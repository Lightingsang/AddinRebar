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8F6A4C6D-E677-40E9-85DD-BC670FAED0F5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7" r:id="rId2"/>
  </sheets>
  <definedNames>
    <definedName name="_xlnm._FilterDatabase" localSheetId="1" hidden="1">Cal!#REF!</definedName>
    <definedName name="_xleta.T" hidden="1" xlm="1">#NAME?</definedName>
    <definedName name="_xlnm.Print_Area" localSheetId="1">Cal!$A$10:$U$37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8" i="7" l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X75" i="7" l="1" a="1"/>
  <c r="BX75" i="7" s="1"/>
  <c r="BX76" i="7" a="1"/>
  <c r="BX76" i="7" s="1"/>
  <c r="BX77" i="7" a="1"/>
  <c r="BX77" i="7" s="1"/>
  <c r="BX78" i="7" a="1"/>
  <c r="BX78" i="7" s="1"/>
  <c r="BX79" i="7" a="1"/>
  <c r="BX79" i="7" s="1"/>
  <c r="BX80" i="7" a="1"/>
  <c r="BX80" i="7" s="1"/>
  <c r="BX81" i="7" a="1"/>
  <c r="BX81" i="7" s="1"/>
  <c r="BX82" i="7" a="1"/>
  <c r="BX82" i="7" s="1"/>
  <c r="BX83" i="7" a="1"/>
  <c r="BX83" i="7" s="1"/>
  <c r="BX84" i="7" a="1"/>
  <c r="BX84" i="7" s="1"/>
  <c r="BX85" i="7" a="1"/>
  <c r="BX85" i="7" s="1"/>
  <c r="BX86" i="7" a="1"/>
  <c r="BX86" i="7" s="1"/>
  <c r="BX87" i="7" a="1"/>
  <c r="BX87" i="7" s="1"/>
  <c r="BX88" i="7" a="1"/>
  <c r="BX88" i="7" s="1"/>
  <c r="BX89" i="7" a="1"/>
  <c r="BX89" i="7" s="1"/>
  <c r="BX90" i="7" a="1"/>
  <c r="BX90" i="7" s="1"/>
  <c r="BX91" i="7" a="1"/>
  <c r="BX91" i="7" s="1"/>
  <c r="BX92" i="7" a="1"/>
  <c r="BX92" i="7" s="1"/>
  <c r="BX120" i="7" a="1"/>
  <c r="BX120" i="7" s="1"/>
  <c r="BX121" i="7" a="1"/>
  <c r="BX121" i="7" s="1"/>
  <c r="BX122" i="7" a="1"/>
  <c r="BX122" i="7" s="1"/>
  <c r="BX123" i="7" a="1"/>
  <c r="BX123" i="7" s="1"/>
  <c r="BX124" i="7" a="1"/>
  <c r="BX124" i="7" s="1"/>
  <c r="BX165" i="7" a="1"/>
  <c r="BX165" i="7" s="1"/>
  <c r="BX166" i="7" a="1"/>
  <c r="BX166" i="7" s="1"/>
  <c r="BX167" i="7" a="1"/>
  <c r="BX167" i="7" s="1"/>
  <c r="BX168" i="7" a="1"/>
  <c r="BX168" i="7" s="1"/>
  <c r="BX169" i="7" a="1"/>
  <c r="BX169" i="7" s="1"/>
  <c r="BX170" i="7" a="1"/>
  <c r="BX170" i="7" s="1"/>
  <c r="BX171" i="7" a="1"/>
  <c r="BX171" i="7" s="1"/>
  <c r="BX172" i="7" a="1"/>
  <c r="BX172" i="7" s="1"/>
  <c r="BX173" i="7" a="1"/>
  <c r="BX173" i="7" s="1"/>
  <c r="BX174" i="7" a="1"/>
  <c r="BX174" i="7" s="1"/>
  <c r="BX175" i="7" a="1"/>
  <c r="BX175" i="7" s="1"/>
  <c r="BX176" i="7" a="1"/>
  <c r="BX176" i="7" s="1"/>
  <c r="BX177" i="7" a="1"/>
  <c r="BX177" i="7" s="1"/>
  <c r="BX178" i="7" a="1"/>
  <c r="BX178" i="7" s="1"/>
  <c r="BX179" i="7" a="1"/>
  <c r="BX179" i="7" s="1"/>
  <c r="BX180" i="7" a="1"/>
  <c r="BX180" i="7" s="1"/>
  <c r="BX181" i="7" a="1"/>
  <c r="BX181" i="7" s="1"/>
  <c r="BX182" i="7" a="1"/>
  <c r="BX182" i="7" s="1"/>
  <c r="BX183" i="7" a="1"/>
  <c r="BX183" i="7" s="1"/>
  <c r="BX184" i="7" a="1"/>
  <c r="BX184" i="7" s="1"/>
  <c r="BX185" i="7" a="1"/>
  <c r="BX185" i="7" s="1"/>
  <c r="BX186" i="7" a="1"/>
  <c r="BX186" i="7" s="1"/>
  <c r="BX187" i="7" a="1"/>
  <c r="BX187" i="7" s="1"/>
  <c r="BX188" i="7" a="1"/>
  <c r="BX188" i="7" s="1"/>
  <c r="BX189" i="7" a="1"/>
  <c r="BX189" i="7" s="1"/>
  <c r="BX190" i="7" a="1"/>
  <c r="BX190" i="7" s="1"/>
  <c r="BX191" i="7" a="1"/>
  <c r="BX191" i="7" s="1"/>
  <c r="BX255" i="7" a="1"/>
  <c r="BX255" i="7" s="1"/>
  <c r="BX256" i="7" a="1"/>
  <c r="BX256" i="7" s="1"/>
  <c r="BX257" i="7" a="1"/>
  <c r="BX257" i="7" s="1"/>
  <c r="BX258" i="7" a="1"/>
  <c r="BX258" i="7" s="1"/>
  <c r="BX259" i="7" a="1"/>
  <c r="BX259" i="7" s="1"/>
  <c r="BX260" i="7" a="1"/>
  <c r="BX260" i="7" s="1"/>
  <c r="BX261" i="7" a="1"/>
  <c r="BX261" i="7" s="1"/>
  <c r="BX262" i="7" a="1"/>
  <c r="BX262" i="7" s="1"/>
  <c r="BX263" i="7" a="1"/>
  <c r="BX263" i="7" s="1"/>
  <c r="BX264" i="7" a="1"/>
  <c r="BX264" i="7" s="1"/>
  <c r="BX265" i="7" a="1"/>
  <c r="BX265" i="7" s="1"/>
  <c r="BX266" i="7" a="1"/>
  <c r="BX266" i="7" s="1"/>
  <c r="BX267" i="7" a="1"/>
  <c r="BX267" i="7" s="1"/>
  <c r="BX268" i="7" a="1"/>
  <c r="BX268" i="7" s="1"/>
  <c r="BX269" i="7" a="1"/>
  <c r="BX269" i="7" s="1"/>
  <c r="BX270" i="7" a="1"/>
  <c r="BX270" i="7" s="1"/>
  <c r="BX271" i="7" a="1"/>
  <c r="BX271" i="7" s="1"/>
  <c r="BX272" i="7" a="1"/>
  <c r="BX272" i="7" s="1"/>
  <c r="BX273" i="7" a="1"/>
  <c r="BX273" i="7" s="1"/>
  <c r="BX274" i="7" a="1"/>
  <c r="BX274" i="7" s="1"/>
  <c r="BX275" i="7" a="1"/>
  <c r="BX275" i="7" s="1"/>
  <c r="BX276" i="7" a="1"/>
  <c r="BX276" i="7" s="1"/>
  <c r="BX277" i="7" a="1"/>
  <c r="BX277" i="7" s="1"/>
  <c r="BX278" i="7" a="1"/>
  <c r="BX278" i="7" s="1"/>
  <c r="BX279" i="7" a="1"/>
  <c r="BX279" i="7" s="1"/>
  <c r="BX280" i="7" a="1"/>
  <c r="BX280" i="7" s="1"/>
  <c r="BX281" i="7" a="1"/>
  <c r="BX281" i="7" s="1"/>
  <c r="BX300" i="7" a="1"/>
  <c r="BX300" i="7" s="1"/>
  <c r="BX301" i="7" a="1"/>
  <c r="BX301" i="7" s="1"/>
  <c r="BX302" i="7" a="1"/>
  <c r="BX302" i="7" s="1"/>
  <c r="BX303" i="7" a="1"/>
  <c r="BX303" i="7" s="1"/>
  <c r="BX304" i="7" a="1"/>
  <c r="BX304" i="7" s="1"/>
  <c r="BX305" i="7" a="1"/>
  <c r="BX305" i="7" s="1"/>
  <c r="BX306" i="7" a="1"/>
  <c r="BX306" i="7" s="1"/>
  <c r="BX307" i="7" a="1"/>
  <c r="BX307" i="7" s="1"/>
  <c r="BX308" i="7" a="1"/>
  <c r="BX308" i="7" s="1"/>
  <c r="BX309" i="7" a="1"/>
  <c r="BX309" i="7" s="1"/>
  <c r="BX310" i="7" a="1"/>
  <c r="BX310" i="7" s="1"/>
  <c r="BX311" i="7" a="1"/>
  <c r="BX311" i="7" s="1"/>
  <c r="BX312" i="7" a="1"/>
  <c r="BX312" i="7" s="1"/>
  <c r="BX313" i="7" a="1"/>
  <c r="BX313" i="7" s="1"/>
  <c r="BX314" i="7" a="1"/>
  <c r="BX314" i="7" s="1"/>
  <c r="BX315" i="7" a="1"/>
  <c r="BX315" i="7" s="1"/>
  <c r="BX316" i="7" a="1"/>
  <c r="BX316" i="7" s="1"/>
  <c r="BX317" i="7" a="1"/>
  <c r="BX317" i="7" s="1"/>
  <c r="BX318" i="7" a="1"/>
  <c r="BX318" i="7" s="1"/>
  <c r="BX319" i="7" a="1"/>
  <c r="BX319" i="7" s="1"/>
  <c r="BX320" i="7" a="1"/>
  <c r="BX320" i="7" s="1"/>
  <c r="BX321" i="7" a="1"/>
  <c r="BX321" i="7" s="1"/>
  <c r="BX322" i="7" a="1"/>
  <c r="BX322" i="7" s="1"/>
  <c r="BX323" i="7" a="1"/>
  <c r="BX323" i="7" s="1"/>
  <c r="BX324" i="7" a="1"/>
  <c r="BX324" i="7" s="1"/>
  <c r="BX325" i="7" a="1"/>
  <c r="BX325" i="7" s="1"/>
  <c r="BX326" i="7" a="1"/>
  <c r="BX326" i="7" s="1"/>
  <c r="BX327" i="7" a="1"/>
  <c r="BX327" i="7" s="1"/>
  <c r="BX328" i="7" a="1"/>
  <c r="BX328" i="7" s="1"/>
  <c r="BX329" i="7" a="1"/>
  <c r="BX329" i="7" s="1"/>
  <c r="BX330" i="7" a="1"/>
  <c r="BX330" i="7" s="1"/>
  <c r="BX331" i="7" a="1"/>
  <c r="BX331" i="7" s="1"/>
  <c r="BX332" i="7" a="1"/>
  <c r="BX332" i="7" s="1"/>
  <c r="BX333" i="7" a="1"/>
  <c r="BX333" i="7" s="1"/>
  <c r="BX334" i="7" a="1"/>
  <c r="BX334" i="7" s="1"/>
  <c r="BX335" i="7" a="1"/>
  <c r="BX335" i="7" s="1"/>
  <c r="BX336" i="7" a="1"/>
  <c r="BX336" i="7" s="1"/>
  <c r="BX337" i="7" a="1"/>
  <c r="BX337" i="7" s="1"/>
  <c r="BX338" i="7" a="1"/>
  <c r="BX338" i="7" s="1"/>
  <c r="BX339" i="7" a="1"/>
  <c r="BX339" i="7" s="1"/>
  <c r="BX340" i="7" a="1"/>
  <c r="BX340" i="7" s="1"/>
  <c r="BX341" i="7" a="1"/>
  <c r="BX341" i="7" s="1"/>
  <c r="BX342" i="7" a="1"/>
  <c r="BX342" i="7" s="1"/>
  <c r="BX343" i="7" a="1"/>
  <c r="BX343" i="7" s="1"/>
  <c r="BX344" i="7" a="1"/>
  <c r="BX344" i="7" s="1"/>
  <c r="BX345" i="7" a="1"/>
  <c r="BX345" i="7" s="1"/>
  <c r="BX346" i="7" a="1"/>
  <c r="BX346" i="7" s="1"/>
  <c r="BX347" i="7" a="1"/>
  <c r="BX347" i="7" s="1"/>
  <c r="BX379" i="7" a="1"/>
  <c r="BX379" i="7" s="1"/>
  <c r="BX380" i="7" a="1"/>
  <c r="BX380" i="7" s="1"/>
  <c r="BX381" i="7" a="1"/>
  <c r="BX381" i="7" s="1"/>
  <c r="BX382" i="7" a="1"/>
  <c r="BX382" i="7" s="1"/>
  <c r="BX383" i="7" a="1"/>
  <c r="BX383" i="7" s="1"/>
  <c r="BX384" i="7" a="1"/>
  <c r="BX384" i="7" s="1"/>
  <c r="BX385" i="7" a="1"/>
  <c r="BX385" i="7" s="1"/>
  <c r="BX386" i="7" a="1"/>
  <c r="BX386" i="7" s="1"/>
  <c r="BX387" i="7" a="1"/>
  <c r="BX387" i="7" s="1"/>
  <c r="BX388" i="7" a="1"/>
  <c r="BX388" i="7" s="1"/>
  <c r="BX389" i="7" a="1"/>
  <c r="BX389" i="7" s="1"/>
  <c r="BX390" i="7" a="1"/>
  <c r="BX390" i="7" s="1"/>
  <c r="BX391" i="7" a="1"/>
  <c r="BX391" i="7" s="1"/>
  <c r="BX392" i="7" a="1"/>
  <c r="BX392" i="7" s="1"/>
  <c r="BX393" i="7" a="1"/>
  <c r="BX393" i="7" s="1"/>
  <c r="BX394" i="7" a="1"/>
  <c r="BX394" i="7" s="1"/>
  <c r="BX395" i="7" a="1"/>
  <c r="BX395" i="7"/>
  <c r="BX396" i="7" a="1"/>
  <c r="BX396" i="7" s="1"/>
  <c r="BX397" i="7" a="1"/>
  <c r="BX397" i="7" s="1"/>
  <c r="BX398" i="7" a="1"/>
  <c r="BX398" i="7" s="1"/>
  <c r="BX399" i="7" a="1"/>
  <c r="BX399" i="7" s="1"/>
  <c r="BX400" i="7" a="1"/>
  <c r="BX400" i="7" s="1"/>
  <c r="BX401" i="7" a="1"/>
  <c r="BX401" i="7" s="1"/>
  <c r="BX402" i="7" a="1"/>
  <c r="BX402" i="7" s="1"/>
  <c r="BX403" i="7" a="1"/>
  <c r="BX403" i="7" s="1"/>
  <c r="BX404" i="7" a="1"/>
  <c r="BX404" i="7" s="1"/>
  <c r="BX405" i="7" a="1"/>
  <c r="BX405" i="7" s="1"/>
  <c r="BX406" i="7" a="1"/>
  <c r="BX406" i="7" s="1"/>
  <c r="BX407" i="7" a="1"/>
  <c r="BX407" i="7" s="1"/>
  <c r="BX408" i="7" a="1"/>
  <c r="BX408" i="7" s="1"/>
  <c r="BX409" i="7" a="1"/>
  <c r="BX409" i="7" s="1"/>
  <c r="BX410" i="7" a="1"/>
  <c r="BX410" i="7" s="1"/>
  <c r="BX411" i="7" a="1"/>
  <c r="BX411" i="7" s="1"/>
  <c r="BX412" i="7" a="1"/>
  <c r="BX412" i="7" s="1"/>
  <c r="BX413" i="7" a="1"/>
  <c r="BX413" i="7" s="1"/>
  <c r="BX414" i="7" a="1"/>
  <c r="BX414" i="7" s="1"/>
  <c r="BX415" i="7" a="1"/>
  <c r="BX415" i="7" s="1"/>
  <c r="BX416" i="7" a="1"/>
  <c r="BX416" i="7" s="1"/>
  <c r="BX417" i="7" a="1"/>
  <c r="BX417" i="7" s="1"/>
  <c r="BX418" i="7" a="1"/>
  <c r="BX418" i="7" s="1"/>
  <c r="BX419" i="7" a="1"/>
  <c r="BX419" i="7" s="1"/>
  <c r="BX420" i="7" a="1"/>
  <c r="BX420" i="7" s="1"/>
  <c r="BX421" i="7" a="1"/>
  <c r="BX421" i="7" s="1"/>
  <c r="BX422" i="7" a="1"/>
  <c r="BX422" i="7" s="1"/>
  <c r="BX423" i="7" a="1"/>
  <c r="BX423" i="7" s="1"/>
  <c r="BX424" i="7" a="1"/>
  <c r="BX424" i="7" s="1"/>
  <c r="BX425" i="7" a="1"/>
  <c r="BX425" i="7" s="1"/>
  <c r="BX426" i="7" a="1"/>
  <c r="BX426" i="7" s="1"/>
  <c r="BX458" i="7" a="1"/>
  <c r="BX458" i="7" s="1"/>
  <c r="BX459" i="7" a="1"/>
  <c r="BX459" i="7" s="1"/>
  <c r="BX460" i="7" a="1"/>
  <c r="BX460" i="7" s="1"/>
  <c r="BX461" i="7" a="1"/>
  <c r="BX461" i="7" s="1"/>
  <c r="BX462" i="7" a="1"/>
  <c r="BX462" i="7" s="1"/>
  <c r="BX463" i="7" a="1"/>
  <c r="BX463" i="7" s="1"/>
  <c r="BX464" i="7" a="1"/>
  <c r="BX464" i="7" s="1"/>
  <c r="BX465" i="7" a="1"/>
  <c r="BX465" i="7" s="1"/>
  <c r="BX466" i="7" a="1"/>
  <c r="BX466" i="7" s="1"/>
  <c r="BX467" i="7" a="1"/>
  <c r="BX467" i="7" s="1"/>
  <c r="BX468" i="7" a="1"/>
  <c r="BX468" i="7" s="1"/>
  <c r="BX469" i="7" a="1"/>
  <c r="BX469" i="7" s="1"/>
  <c r="BX470" i="7" a="1"/>
  <c r="BX470" i="7" s="1"/>
  <c r="BX471" i="7" a="1"/>
  <c r="BX471" i="7" s="1"/>
  <c r="BX472" i="7" a="1"/>
  <c r="BX472" i="7" s="1"/>
  <c r="BX473" i="7" a="1"/>
  <c r="BX473" i="7" s="1"/>
  <c r="BX474" i="7" a="1"/>
  <c r="BX474" i="7" s="1"/>
  <c r="BX475" i="7" a="1"/>
  <c r="BX475" i="7" s="1"/>
  <c r="BX476" i="7" a="1"/>
  <c r="BX476" i="7" s="1"/>
  <c r="BX477" i="7" a="1"/>
  <c r="BX477" i="7" s="1"/>
  <c r="BX478" i="7" a="1"/>
  <c r="BX478" i="7" s="1"/>
  <c r="BX479" i="7" a="1"/>
  <c r="BX479" i="7" s="1"/>
  <c r="BX480" i="7" a="1"/>
  <c r="BX480" i="7" s="1"/>
  <c r="BX481" i="7" a="1"/>
  <c r="BX481" i="7" s="1"/>
  <c r="BX482" i="7" a="1"/>
  <c r="BX482" i="7" s="1"/>
  <c r="BX483" i="7" a="1"/>
  <c r="BX483" i="7" s="1"/>
  <c r="BX484" i="7" a="1"/>
  <c r="BX484" i="7" s="1"/>
  <c r="BX485" i="7" a="1"/>
  <c r="BX485" i="7" s="1"/>
  <c r="BX486" i="7" a="1"/>
  <c r="BX486" i="7" s="1"/>
  <c r="BX487" i="7" a="1"/>
  <c r="BX487" i="7" s="1"/>
  <c r="BX488" i="7" a="1"/>
  <c r="BX488" i="7" s="1"/>
  <c r="BX489" i="7" a="1"/>
  <c r="BX489" i="7" s="1"/>
  <c r="BX490" i="7" a="1"/>
  <c r="BX490" i="7" s="1"/>
  <c r="BX491" i="7" a="1"/>
  <c r="BX491" i="7" s="1"/>
  <c r="BX492" i="7" a="1"/>
  <c r="BX492" i="7" s="1"/>
  <c r="BX493" i="7" a="1"/>
  <c r="BX493" i="7" s="1"/>
  <c r="BX494" i="7" a="1"/>
  <c r="BX494" i="7" s="1"/>
  <c r="BX495" i="7" a="1"/>
  <c r="BX495" i="7" s="1"/>
  <c r="BX496" i="7" a="1"/>
  <c r="BX496" i="7" s="1"/>
  <c r="BX497" i="7" a="1"/>
  <c r="BX497" i="7" s="1"/>
  <c r="BX498" i="7" a="1"/>
  <c r="BX498" i="7" s="1"/>
  <c r="BX499" i="7" a="1"/>
  <c r="BX499" i="7" s="1"/>
  <c r="BX500" i="7" a="1"/>
  <c r="BX500" i="7" s="1"/>
  <c r="BX501" i="7" a="1"/>
  <c r="BX501" i="7" s="1"/>
  <c r="BX502" i="7" a="1"/>
  <c r="BX502" i="7" s="1"/>
  <c r="BX503" i="7" a="1"/>
  <c r="BX503" i="7" s="1"/>
  <c r="BX504" i="7" a="1"/>
  <c r="BX504" i="7" s="1"/>
  <c r="BX505" i="7" a="1"/>
  <c r="BX505" i="7" s="1"/>
  <c r="BX537" i="7" a="1"/>
  <c r="BX537" i="7" s="1"/>
  <c r="BX538" i="7" a="1"/>
  <c r="BX538" i="7" s="1"/>
  <c r="BX539" i="7" a="1"/>
  <c r="BX539" i="7" s="1"/>
  <c r="BX540" i="7" a="1"/>
  <c r="BX540" i="7" s="1"/>
  <c r="BX541" i="7" a="1"/>
  <c r="BX541" i="7" s="1"/>
  <c r="BX542" i="7" a="1"/>
  <c r="BX542" i="7" s="1"/>
  <c r="BX543" i="7" a="1"/>
  <c r="BX543" i="7" s="1"/>
  <c r="BX544" i="7" a="1"/>
  <c r="BX544" i="7" s="1"/>
  <c r="BX545" i="7" a="1"/>
  <c r="BX545" i="7" s="1"/>
  <c r="BX546" i="7" a="1"/>
  <c r="BX546" i="7" s="1"/>
  <c r="BX547" i="7" a="1"/>
  <c r="BX547" i="7" s="1"/>
  <c r="BX548" i="7" a="1"/>
  <c r="BX548" i="7" s="1"/>
  <c r="BX549" i="7" a="1"/>
  <c r="BX549" i="7" s="1"/>
  <c r="BX550" i="7" a="1"/>
  <c r="BX550" i="7" s="1"/>
  <c r="BX551" i="7" a="1"/>
  <c r="BX551" i="7" s="1"/>
  <c r="BX552" i="7" a="1"/>
  <c r="BX552" i="7" s="1"/>
  <c r="BX553" i="7" a="1"/>
  <c r="BX553" i="7" s="1"/>
  <c r="BX554" i="7" a="1"/>
  <c r="BX554" i="7" s="1"/>
  <c r="BX555" i="7" a="1"/>
  <c r="BX555" i="7" s="1"/>
  <c r="BX556" i="7" a="1"/>
  <c r="BX556" i="7" s="1"/>
  <c r="BX557" i="7" a="1"/>
  <c r="BX557" i="7" s="1"/>
  <c r="BX558" i="7" a="1"/>
  <c r="BX558" i="7" s="1"/>
  <c r="BX559" i="7" a="1"/>
  <c r="BX559" i="7" s="1"/>
  <c r="BX560" i="7" a="1"/>
  <c r="BX560" i="7" s="1"/>
  <c r="BX561" i="7" a="1"/>
  <c r="BX561" i="7" s="1"/>
  <c r="BX562" i="7" a="1"/>
  <c r="BX562" i="7" s="1"/>
  <c r="BX563" i="7" a="1"/>
  <c r="BX563" i="7" s="1"/>
  <c r="BX564" i="7" a="1"/>
  <c r="BX564" i="7" s="1"/>
  <c r="BX565" i="7" a="1"/>
  <c r="BX565" i="7" s="1"/>
  <c r="BX566" i="7" a="1"/>
  <c r="BX566" i="7" s="1"/>
  <c r="BX567" i="7" a="1"/>
  <c r="BX567" i="7" s="1"/>
  <c r="BX568" i="7" a="1"/>
  <c r="BX568" i="7" s="1"/>
  <c r="BX569" i="7" a="1"/>
  <c r="BX569" i="7" s="1"/>
  <c r="BX570" i="7" a="1"/>
  <c r="BX570" i="7" s="1"/>
  <c r="BX571" i="7" a="1"/>
  <c r="BX571" i="7" s="1"/>
  <c r="BX572" i="7" a="1"/>
  <c r="BX572" i="7" s="1"/>
  <c r="BX573" i="7" a="1"/>
  <c r="BX573" i="7" s="1"/>
  <c r="BX574" i="7" a="1"/>
  <c r="BX574" i="7" s="1"/>
  <c r="BX575" i="7" a="1"/>
  <c r="BX575" i="7" s="1"/>
  <c r="BX576" i="7" a="1"/>
  <c r="BX576" i="7" s="1"/>
  <c r="BX577" i="7" a="1"/>
  <c r="BX577" i="7" s="1"/>
  <c r="BX578" i="7" a="1"/>
  <c r="BX578" i="7" s="1"/>
  <c r="BX579" i="7" a="1"/>
  <c r="BX579" i="7" s="1"/>
  <c r="BX580" i="7" a="1"/>
  <c r="BX580" i="7" s="1"/>
  <c r="BX581" i="7" a="1"/>
  <c r="BX581" i="7" s="1"/>
  <c r="BX582" i="7" a="1"/>
  <c r="BX582" i="7" s="1"/>
  <c r="BX583" i="7" a="1"/>
  <c r="BX583" i="7" s="1"/>
  <c r="BX584" i="7" a="1"/>
  <c r="BX584" i="7" s="1"/>
  <c r="BX616" i="7" a="1"/>
  <c r="BX616" i="7" s="1"/>
  <c r="BX617" i="7" a="1"/>
  <c r="BX617" i="7" s="1"/>
  <c r="BX618" i="7" a="1"/>
  <c r="BX618" i="7" s="1"/>
  <c r="BX619" i="7" a="1"/>
  <c r="BX619" i="7" s="1"/>
  <c r="BX620" i="7" a="1"/>
  <c r="BX620" i="7" s="1"/>
  <c r="BX621" i="7" a="1"/>
  <c r="BX621" i="7" s="1"/>
  <c r="BX622" i="7" a="1"/>
  <c r="BX622" i="7" s="1"/>
  <c r="BX623" i="7" a="1"/>
  <c r="BX623" i="7" s="1"/>
  <c r="BX624" i="7" a="1"/>
  <c r="BX624" i="7" s="1"/>
  <c r="BX625" i="7" a="1"/>
  <c r="BX625" i="7" s="1"/>
  <c r="BX626" i="7" a="1"/>
  <c r="BX626" i="7" s="1"/>
  <c r="BX627" i="7" a="1"/>
  <c r="BX627" i="7" s="1"/>
  <c r="BX628" i="7" a="1"/>
  <c r="BX628" i="7" s="1"/>
  <c r="BX629" i="7" a="1"/>
  <c r="BX629" i="7" s="1"/>
  <c r="BX630" i="7" a="1"/>
  <c r="BX630" i="7" s="1"/>
  <c r="BX631" i="7" a="1"/>
  <c r="BX631" i="7" s="1"/>
  <c r="BX632" i="7" a="1"/>
  <c r="BX632" i="7" s="1"/>
  <c r="BX633" i="7" a="1"/>
  <c r="BX633" i="7" s="1"/>
  <c r="BX634" i="7" a="1"/>
  <c r="BX634" i="7" s="1"/>
  <c r="BX635" i="7" a="1"/>
  <c r="BX635" i="7" s="1"/>
  <c r="BX636" i="7" a="1"/>
  <c r="BX636" i="7" s="1"/>
  <c r="BX637" i="7" a="1"/>
  <c r="BX637" i="7" s="1"/>
  <c r="BX638" i="7" a="1"/>
  <c r="BX638" i="7" s="1"/>
  <c r="BX639" i="7" a="1"/>
  <c r="BX639" i="7" s="1"/>
  <c r="BX640" i="7" a="1"/>
  <c r="BX640" i="7" s="1"/>
  <c r="BX641" i="7" a="1"/>
  <c r="BX641" i="7" s="1"/>
  <c r="BX642" i="7" a="1"/>
  <c r="BX642" i="7" s="1"/>
  <c r="BX643" i="7" a="1"/>
  <c r="BX643" i="7" s="1"/>
  <c r="BX644" i="7" a="1"/>
  <c r="BX644" i="7" s="1"/>
  <c r="BX645" i="7" a="1"/>
  <c r="BX645" i="7" s="1"/>
  <c r="BX646" i="7" a="1"/>
  <c r="BX646" i="7" s="1"/>
  <c r="BX647" i="7" a="1"/>
  <c r="BX647" i="7" s="1"/>
  <c r="BX648" i="7" a="1"/>
  <c r="BX648" i="7" s="1"/>
  <c r="BX649" i="7" a="1"/>
  <c r="BX649" i="7" s="1"/>
  <c r="BX650" i="7" a="1"/>
  <c r="BX650" i="7" s="1"/>
  <c r="BX651" i="7" a="1"/>
  <c r="BX651" i="7" s="1"/>
  <c r="BX652" i="7" a="1"/>
  <c r="BX652" i="7" s="1"/>
  <c r="BX653" i="7" a="1"/>
  <c r="BX653" i="7" s="1"/>
  <c r="BX654" i="7" a="1"/>
  <c r="BX654" i="7" s="1"/>
  <c r="BX655" i="7" a="1"/>
  <c r="BX655" i="7" s="1"/>
  <c r="BX656" i="7" a="1"/>
  <c r="BX656" i="7" s="1"/>
  <c r="BX657" i="7" a="1"/>
  <c r="BX657" i="7" s="1"/>
  <c r="BX658" i="7" a="1"/>
  <c r="BX658" i="7" s="1"/>
  <c r="BX659" i="7" a="1"/>
  <c r="BX659" i="7" s="1"/>
  <c r="BX660" i="7" a="1"/>
  <c r="BX660" i="7" s="1"/>
  <c r="BX661" i="7" a="1"/>
  <c r="BX661" i="7" s="1"/>
  <c r="BX662" i="7" a="1"/>
  <c r="BX662" i="7" s="1"/>
  <c r="BX663" i="7" a="1"/>
  <c r="BX663" i="7" s="1"/>
  <c r="BX695" i="7" a="1"/>
  <c r="BX695" i="7" s="1"/>
  <c r="BX696" i="7" a="1"/>
  <c r="BX696" i="7" s="1"/>
  <c r="BX697" i="7" a="1"/>
  <c r="BX697" i="7" s="1"/>
  <c r="BX698" i="7" a="1"/>
  <c r="BX698" i="7" s="1"/>
  <c r="BX699" i="7" a="1"/>
  <c r="BX699" i="7" s="1"/>
  <c r="BX700" i="7" a="1"/>
  <c r="BX700" i="7" s="1"/>
  <c r="BX701" i="7" a="1"/>
  <c r="BX701" i="7" s="1"/>
  <c r="BX702" i="7" a="1"/>
  <c r="BX702" i="7" s="1"/>
  <c r="BX703" i="7" a="1"/>
  <c r="BX703" i="7" s="1"/>
  <c r="BX704" i="7" a="1"/>
  <c r="BX704" i="7" s="1"/>
  <c r="BX705" i="7" a="1"/>
  <c r="BX705" i="7" s="1"/>
  <c r="BX706" i="7" a="1"/>
  <c r="BX706" i="7" s="1"/>
  <c r="BX707" i="7" a="1"/>
  <c r="BX707" i="7" s="1"/>
  <c r="BX708" i="7" a="1"/>
  <c r="BX708" i="7" s="1"/>
  <c r="BX709" i="7" a="1"/>
  <c r="BX709" i="7" s="1"/>
  <c r="BX710" i="7" a="1"/>
  <c r="BX710" i="7" s="1"/>
  <c r="BX711" i="7" a="1"/>
  <c r="BX711" i="7" s="1"/>
  <c r="BX712" i="7" a="1"/>
  <c r="BX712" i="7" s="1"/>
  <c r="BX713" i="7" a="1"/>
  <c r="BX713" i="7" s="1"/>
  <c r="BX714" i="7" a="1"/>
  <c r="BX714" i="7" s="1"/>
  <c r="BX715" i="7" a="1"/>
  <c r="BX715" i="7" s="1"/>
  <c r="BX716" i="7" a="1"/>
  <c r="BX716" i="7" s="1"/>
  <c r="BX717" i="7" a="1"/>
  <c r="BX717" i="7" s="1"/>
  <c r="BX718" i="7" a="1"/>
  <c r="BX718" i="7" s="1"/>
  <c r="BX719" i="7" a="1"/>
  <c r="BX719" i="7" s="1"/>
  <c r="BX720" i="7" a="1"/>
  <c r="BX720" i="7" s="1"/>
  <c r="BX721" i="7" a="1"/>
  <c r="BX721" i="7" s="1"/>
  <c r="BX722" i="7" a="1"/>
  <c r="BX722" i="7" s="1"/>
  <c r="BX723" i="7" a="1"/>
  <c r="BX723" i="7" s="1"/>
  <c r="BX724" i="7" a="1"/>
  <c r="BX724" i="7" s="1"/>
  <c r="BX725" i="7" a="1"/>
  <c r="BX725" i="7" s="1"/>
  <c r="BX726" i="7" a="1"/>
  <c r="BX726" i="7" s="1"/>
  <c r="BX727" i="7" a="1"/>
  <c r="BX727" i="7" s="1"/>
  <c r="BX728" i="7" a="1"/>
  <c r="BX728" i="7" s="1"/>
  <c r="BX729" i="7" a="1"/>
  <c r="BX729" i="7" s="1"/>
  <c r="BX730" i="7" a="1"/>
  <c r="BX730" i="7" s="1"/>
  <c r="BX731" i="7" a="1"/>
  <c r="BX731" i="7" s="1"/>
  <c r="BX732" i="7" a="1"/>
  <c r="BX732" i="7" s="1"/>
  <c r="BX733" i="7" a="1"/>
  <c r="BX733" i="7" s="1"/>
  <c r="BX734" i="7" a="1"/>
  <c r="BX734" i="7" s="1"/>
  <c r="BX735" i="7" a="1"/>
  <c r="BX735" i="7" s="1"/>
  <c r="BX736" i="7" a="1"/>
  <c r="BX736" i="7" s="1"/>
  <c r="BX737" i="7" a="1"/>
  <c r="BX737" i="7" s="1"/>
  <c r="BX738" i="7" a="1"/>
  <c r="BX738" i="7" s="1"/>
  <c r="BX739" i="7" a="1"/>
  <c r="BX739" i="7" s="1"/>
  <c r="BX740" i="7" a="1"/>
  <c r="BX740" i="7" s="1"/>
  <c r="BX741" i="7" a="1"/>
  <c r="BX741" i="7" s="1"/>
  <c r="BX742" i="7" a="1"/>
  <c r="BX742" i="7" s="1"/>
  <c r="BX774" i="7" a="1"/>
  <c r="BX774" i="7" s="1"/>
  <c r="BX775" i="7" a="1"/>
  <c r="BX775" i="7" s="1"/>
  <c r="BX776" i="7" a="1"/>
  <c r="BX776" i="7" s="1"/>
  <c r="BX777" i="7" a="1"/>
  <c r="BX777" i="7" s="1"/>
  <c r="BX778" i="7" a="1"/>
  <c r="BX778" i="7" s="1"/>
  <c r="BX779" i="7" a="1"/>
  <c r="BX779" i="7" s="1"/>
  <c r="BX780" i="7" a="1"/>
  <c r="BX780" i="7" s="1"/>
  <c r="BX781" i="7" a="1"/>
  <c r="BX781" i="7" s="1"/>
  <c r="BX782" i="7" a="1"/>
  <c r="BX782" i="7" s="1"/>
  <c r="BX783" i="7" a="1"/>
  <c r="BX783" i="7" s="1"/>
  <c r="BX784" i="7" a="1"/>
  <c r="BX784" i="7" s="1"/>
  <c r="BX785" i="7" a="1"/>
  <c r="BX785" i="7" s="1"/>
  <c r="BX786" i="7" a="1"/>
  <c r="BX786" i="7" s="1"/>
  <c r="BX787" i="7" a="1"/>
  <c r="BX787" i="7" s="1"/>
  <c r="BX788" i="7" a="1"/>
  <c r="BX788" i="7" s="1"/>
  <c r="BX789" i="7" a="1"/>
  <c r="BX789" i="7" s="1"/>
  <c r="BX790" i="7" a="1"/>
  <c r="BX790" i="7" s="1"/>
  <c r="BX791" i="7" a="1"/>
  <c r="BX791" i="7" s="1"/>
  <c r="BX792" i="7" a="1"/>
  <c r="BX792" i="7" s="1"/>
  <c r="BX793" i="7" a="1"/>
  <c r="BX793" i="7" s="1"/>
  <c r="BX794" i="7" a="1"/>
  <c r="BX794" i="7" s="1"/>
  <c r="BX795" i="7" a="1"/>
  <c r="BX795" i="7" s="1"/>
  <c r="BX796" i="7" a="1"/>
  <c r="BX796" i="7" s="1"/>
  <c r="BX797" i="7" a="1"/>
  <c r="BX797" i="7"/>
  <c r="BX798" i="7" a="1"/>
  <c r="BX798" i="7" s="1"/>
  <c r="BX799" i="7" a="1"/>
  <c r="BX799" i="7" s="1"/>
  <c r="BX800" i="7" a="1"/>
  <c r="BX800" i="7" s="1"/>
  <c r="BX801" i="7" a="1"/>
  <c r="BX801" i="7" s="1"/>
  <c r="BX802" i="7" a="1"/>
  <c r="BX802" i="7" s="1"/>
  <c r="BX803" i="7" a="1"/>
  <c r="BX803" i="7" s="1"/>
  <c r="BX804" i="7" a="1"/>
  <c r="BX804" i="7" s="1"/>
  <c r="BX805" i="7" a="1"/>
  <c r="BX805" i="7" s="1"/>
  <c r="BX806" i="7" a="1"/>
  <c r="BX806" i="7" s="1"/>
  <c r="BX807" i="7" a="1"/>
  <c r="BX807" i="7" s="1"/>
  <c r="BX808" i="7" a="1"/>
  <c r="BX808" i="7" s="1"/>
  <c r="BX809" i="7" a="1"/>
  <c r="BX809" i="7" s="1"/>
  <c r="BX810" i="7" a="1"/>
  <c r="BX810" i="7" s="1"/>
  <c r="BX811" i="7" a="1"/>
  <c r="BX811" i="7" s="1"/>
  <c r="BX812" i="7" a="1"/>
  <c r="BX812" i="7" s="1"/>
  <c r="BX813" i="7" a="1"/>
  <c r="BX813" i="7" s="1"/>
  <c r="BX814" i="7" a="1"/>
  <c r="BX814" i="7" s="1"/>
  <c r="BX815" i="7" a="1"/>
  <c r="BX815" i="7" s="1"/>
  <c r="BX816" i="7" a="1"/>
  <c r="BX816" i="7" s="1"/>
  <c r="BX817" i="7" a="1"/>
  <c r="BX817" i="7" s="1"/>
  <c r="BX818" i="7" a="1"/>
  <c r="BX818" i="7" s="1"/>
  <c r="BX819" i="7" a="1"/>
  <c r="BX819" i="7" s="1"/>
  <c r="BX820" i="7" a="1"/>
  <c r="BX820" i="7" s="1"/>
  <c r="BX821" i="7" a="1"/>
  <c r="BX821" i="7" s="1"/>
  <c r="BX835" i="7" a="1"/>
  <c r="BX835" i="7" s="1"/>
  <c r="BX836" i="7" a="1"/>
  <c r="BX836" i="7" s="1"/>
  <c r="BX837" i="7" a="1"/>
  <c r="BX837" i="7"/>
  <c r="BX838" i="7" a="1"/>
  <c r="BX838" i="7" s="1"/>
  <c r="BX839" i="7" a="1"/>
  <c r="BX839" i="7" s="1"/>
  <c r="BX840" i="7" a="1"/>
  <c r="BX840" i="7" s="1"/>
  <c r="BX841" i="7" a="1"/>
  <c r="BX841" i="7" s="1"/>
  <c r="BX842" i="7" a="1"/>
  <c r="BX842" i="7" s="1"/>
  <c r="BX843" i="7" a="1"/>
  <c r="BX843" i="7" s="1"/>
  <c r="BX844" i="7" a="1"/>
  <c r="BX844" i="7" s="1"/>
  <c r="BX845" i="7" a="1"/>
  <c r="BX845" i="7" s="1"/>
  <c r="BX846" i="7" a="1"/>
  <c r="BX846" i="7" s="1"/>
  <c r="BX847" i="7" a="1"/>
  <c r="BX847" i="7" s="1"/>
  <c r="BX848" i="7" a="1"/>
  <c r="BX848" i="7" s="1"/>
  <c r="BX849" i="7" a="1"/>
  <c r="BX849" i="7" s="1"/>
  <c r="BX850" i="7" a="1"/>
  <c r="BX850" i="7" s="1"/>
  <c r="BX851" i="7" a="1"/>
  <c r="BX851" i="7" s="1"/>
  <c r="BX852" i="7" a="1"/>
  <c r="BX852" i="7" s="1"/>
  <c r="BX914" i="7" a="1"/>
  <c r="BX914" i="7" s="1"/>
  <c r="BX915" i="7" a="1"/>
  <c r="BX915" i="7" s="1"/>
  <c r="BX916" i="7" a="1"/>
  <c r="BX916" i="7" s="1"/>
  <c r="BX917" i="7" a="1"/>
  <c r="BX917" i="7" s="1"/>
  <c r="BX918" i="7" a="1"/>
  <c r="BX918" i="7" s="1"/>
  <c r="BX919" i="7" a="1"/>
  <c r="BX919" i="7" s="1"/>
  <c r="BX920" i="7" a="1"/>
  <c r="BX920" i="7" s="1"/>
  <c r="BX921" i="7" a="1"/>
  <c r="BX921" i="7" s="1"/>
  <c r="BX922" i="7" a="1"/>
  <c r="BX922" i="7" s="1"/>
  <c r="BX923" i="7" a="1"/>
  <c r="BX923" i="7" s="1"/>
  <c r="BX924" i="7" a="1"/>
  <c r="BX924" i="7" s="1"/>
  <c r="BX925" i="7" a="1"/>
  <c r="BX925" i="7" s="1"/>
  <c r="BX926" i="7" a="1"/>
  <c r="BX926" i="7" s="1"/>
  <c r="BX927" i="7" a="1"/>
  <c r="BX927" i="7" s="1"/>
  <c r="BX928" i="7" a="1"/>
  <c r="BX928" i="7" s="1"/>
  <c r="BX929" i="7" a="1"/>
  <c r="BX929" i="7" s="1"/>
  <c r="BX930" i="7" a="1"/>
  <c r="BX930" i="7" s="1"/>
  <c r="BX931" i="7" a="1"/>
  <c r="BX931" i="7" s="1"/>
  <c r="BX932" i="7" a="1"/>
  <c r="BX932" i="7" s="1"/>
  <c r="BX933" i="7" a="1"/>
  <c r="BX933" i="7" s="1"/>
  <c r="BX934" i="7" a="1"/>
  <c r="BX934" i="7" s="1"/>
  <c r="BX935" i="7" a="1"/>
  <c r="BX935" i="7" s="1"/>
  <c r="BX936" i="7" a="1"/>
  <c r="BX936" i="7" s="1"/>
  <c r="BX937" i="7" a="1"/>
  <c r="BX937" i="7" s="1"/>
  <c r="BX938" i="7" a="1"/>
  <c r="BX938" i="7" s="1"/>
  <c r="BX939" i="7" a="1"/>
  <c r="BX939" i="7" s="1"/>
  <c r="BX940" i="7" a="1"/>
  <c r="BX940" i="7" s="1"/>
  <c r="BX941" i="7" a="1"/>
  <c r="BX941" i="7" s="1"/>
  <c r="BX942" i="7" a="1"/>
  <c r="BX942" i="7" s="1"/>
  <c r="BX943" i="7" a="1"/>
  <c r="BX943" i="7" s="1"/>
  <c r="BX944" i="7" a="1"/>
  <c r="BX944" i="7" s="1"/>
  <c r="BX945" i="7" a="1"/>
  <c r="BX945" i="7" s="1"/>
  <c r="BX946" i="7" a="1"/>
  <c r="BX946" i="7" s="1"/>
  <c r="BX947" i="7" a="1"/>
  <c r="BX947" i="7" s="1"/>
  <c r="BX948" i="7" a="1"/>
  <c r="BX948" i="7" s="1"/>
  <c r="BX949" i="7" a="1"/>
  <c r="BX949" i="7" s="1"/>
  <c r="BX950" i="7" a="1"/>
  <c r="BX950" i="7" s="1"/>
  <c r="BX951" i="7" a="1"/>
  <c r="BX951" i="7" s="1"/>
  <c r="BX952" i="7" a="1"/>
  <c r="BX952" i="7" s="1"/>
  <c r="BX953" i="7" a="1"/>
  <c r="BX953" i="7" s="1"/>
  <c r="BX954" i="7" a="1"/>
  <c r="BX954" i="7" s="1"/>
  <c r="BX955" i="7" a="1"/>
  <c r="BX955" i="7" s="1"/>
  <c r="BX956" i="7" a="1"/>
  <c r="BX956" i="7" s="1"/>
  <c r="BX957" i="7" a="1"/>
  <c r="BX957" i="7" s="1"/>
  <c r="BX958" i="7" a="1"/>
  <c r="BX958" i="7" s="1"/>
  <c r="BX959" i="7" a="1"/>
  <c r="BX959" i="7" s="1"/>
  <c r="BX960" i="7" a="1"/>
  <c r="BX960" i="7" s="1"/>
  <c r="BX961" i="7" a="1"/>
  <c r="BX961" i="7" s="1"/>
  <c r="BX962" i="7" a="1"/>
  <c r="BX962" i="7" s="1"/>
  <c r="BX963" i="7" a="1"/>
  <c r="BX963" i="7" s="1"/>
  <c r="BX964" i="7" a="1"/>
  <c r="BX964" i="7" s="1"/>
  <c r="BX965" i="7" a="1"/>
  <c r="BX965" i="7" s="1"/>
  <c r="BX966" i="7" a="1"/>
  <c r="BX966" i="7" s="1"/>
  <c r="BX967" i="7" a="1"/>
  <c r="BX967" i="7" s="1"/>
  <c r="BX968" i="7" a="1"/>
  <c r="BX968" i="7" s="1"/>
  <c r="BX969" i="7" a="1"/>
  <c r="BX969" i="7" s="1"/>
  <c r="BX970" i="7" a="1"/>
  <c r="BX970" i="7" s="1"/>
  <c r="BX971" i="7" a="1"/>
  <c r="BX971" i="7" s="1"/>
  <c r="BX972" i="7" a="1"/>
  <c r="BX972" i="7" s="1"/>
  <c r="BX973" i="7" a="1"/>
  <c r="BX973" i="7" s="1"/>
  <c r="BX974" i="7" a="1"/>
  <c r="BX974" i="7"/>
  <c r="BX975" i="7" a="1"/>
  <c r="BX975" i="7" s="1"/>
  <c r="BX976" i="7" a="1"/>
  <c r="BX976" i="7" s="1"/>
  <c r="BX977" i="7" a="1"/>
  <c r="BX977" i="7" s="1"/>
  <c r="BX978" i="7" a="1"/>
  <c r="BX978" i="7" s="1"/>
  <c r="BX979" i="7" a="1"/>
  <c r="BX979" i="7" s="1"/>
  <c r="BX1011" i="7" a="1"/>
  <c r="BX1011" i="7" s="1"/>
  <c r="BX1012" i="7" a="1"/>
  <c r="BX1012" i="7" s="1"/>
  <c r="BX1013" i="7" a="1"/>
  <c r="BX1013" i="7" s="1"/>
  <c r="BX1014" i="7" a="1"/>
  <c r="BX1014" i="7" s="1"/>
  <c r="BX1015" i="7" a="1"/>
  <c r="BX1015" i="7" s="1"/>
  <c r="BX1016" i="7" a="1"/>
  <c r="BX1016" i="7" s="1"/>
  <c r="BX1017" i="7" a="1"/>
  <c r="BX1017" i="7" s="1"/>
  <c r="BX1018" i="7" a="1"/>
  <c r="BX1018" i="7" s="1"/>
  <c r="BX1019" i="7" a="1"/>
  <c r="BX1019" i="7" s="1"/>
  <c r="BX1020" i="7" a="1"/>
  <c r="BX1020" i="7"/>
  <c r="BX1021" i="7" a="1"/>
  <c r="BX1021" i="7" s="1"/>
  <c r="BX1022" i="7" a="1"/>
  <c r="BX1022" i="7" s="1"/>
  <c r="BX1023" i="7" a="1"/>
  <c r="BX1023" i="7" s="1"/>
  <c r="BX1024" i="7" a="1"/>
  <c r="BX1024" i="7" s="1"/>
  <c r="BX1025" i="7" a="1"/>
  <c r="BX1025" i="7" s="1"/>
  <c r="BX1026" i="7" a="1"/>
  <c r="BX1026" i="7" s="1"/>
  <c r="BX1027" i="7" a="1"/>
  <c r="BX1027" i="7" s="1"/>
  <c r="BX1028" i="7" a="1"/>
  <c r="BX1028" i="7" s="1"/>
  <c r="BX1029" i="7" a="1"/>
  <c r="BX1029" i="7" s="1"/>
  <c r="BX1030" i="7" a="1"/>
  <c r="BX1030" i="7" s="1"/>
  <c r="BX1031" i="7" a="1"/>
  <c r="BX1031" i="7" s="1"/>
  <c r="BX1032" i="7" a="1"/>
  <c r="BX1032" i="7" s="1"/>
  <c r="BX1033" i="7" a="1"/>
  <c r="BX1033" i="7" s="1"/>
  <c r="BX1034" i="7" a="1"/>
  <c r="BX1034" i="7" s="1"/>
  <c r="BX1035" i="7" a="1"/>
  <c r="BX1035" i="7" s="1"/>
  <c r="BX1036" i="7" a="1"/>
  <c r="BX1036" i="7" s="1"/>
  <c r="BX1037" i="7" a="1"/>
  <c r="BX1037" i="7" s="1"/>
  <c r="BX1038" i="7" a="1"/>
  <c r="BX1038" i="7" s="1"/>
  <c r="BX1039" i="7" a="1"/>
  <c r="BX1039" i="7" s="1"/>
  <c r="BX1040" i="7" a="1"/>
  <c r="BX1040" i="7" s="1"/>
  <c r="BX1041" i="7" a="1"/>
  <c r="BX1041" i="7" s="1"/>
  <c r="BX1042" i="7" a="1"/>
  <c r="BX1042" i="7" s="1"/>
  <c r="BX1043" i="7" a="1"/>
  <c r="BX1043" i="7" s="1"/>
  <c r="BX1044" i="7" a="1"/>
  <c r="BX1044" i="7" s="1"/>
  <c r="BX1045" i="7" a="1"/>
  <c r="BX1045" i="7" s="1"/>
  <c r="BX1046" i="7" a="1"/>
  <c r="BX1046" i="7" s="1"/>
  <c r="BX1047" i="7" a="1"/>
  <c r="BX1047" i="7" s="1"/>
  <c r="BX1048" i="7" a="1"/>
  <c r="BX1048" i="7" s="1"/>
  <c r="BX1049" i="7" a="1"/>
  <c r="BX1049" i="7" s="1"/>
  <c r="BX1050" i="7" a="1"/>
  <c r="BX1050" i="7" s="1"/>
  <c r="BX1051" i="7" a="1"/>
  <c r="BX1051" i="7" s="1"/>
  <c r="BX1052" i="7" a="1"/>
  <c r="BX1052" i="7" s="1"/>
  <c r="BX1053" i="7" a="1"/>
  <c r="BX1053" i="7" s="1"/>
  <c r="BX1054" i="7" a="1"/>
  <c r="BX1054" i="7" s="1"/>
  <c r="BX1055" i="7" a="1"/>
  <c r="BX1055" i="7" s="1"/>
  <c r="BX1056" i="7" a="1"/>
  <c r="BX1056" i="7" s="1"/>
  <c r="BX1057" i="7" a="1"/>
  <c r="BX1057" i="7" s="1"/>
  <c r="BX1058" i="7" a="1"/>
  <c r="BX1058" i="7" s="1"/>
  <c r="BX1059" i="7" a="1"/>
  <c r="BX1059" i="7" s="1"/>
  <c r="BX1060" i="7" a="1"/>
  <c r="BX1060" i="7" s="1"/>
  <c r="BX1061" i="7" a="1"/>
  <c r="BX1061" i="7" s="1"/>
  <c r="BX1062" i="7" a="1"/>
  <c r="BX1062" i="7" s="1"/>
  <c r="BX1063" i="7" a="1"/>
  <c r="BX1063" i="7" s="1"/>
  <c r="BX1064" i="7" a="1"/>
  <c r="BX1064" i="7" s="1"/>
  <c r="BX1065" i="7" a="1"/>
  <c r="BX1065" i="7" s="1"/>
  <c r="BX1066" i="7" a="1"/>
  <c r="BX1066" i="7" s="1"/>
  <c r="BX1067" i="7" a="1"/>
  <c r="BX1067" i="7" s="1"/>
  <c r="BX1068" i="7" a="1"/>
  <c r="BX1068" i="7" s="1"/>
  <c r="BX1069" i="7" a="1"/>
  <c r="BX1069" i="7" s="1"/>
  <c r="BX1070" i="7" a="1"/>
  <c r="BX1070" i="7" s="1"/>
  <c r="BX1071" i="7" a="1"/>
  <c r="BX1071" i="7" s="1"/>
  <c r="BX1135" i="7" a="1"/>
  <c r="BX1135" i="7" s="1"/>
  <c r="BX1136" i="7" a="1"/>
  <c r="BX1136" i="7" s="1"/>
  <c r="BX1137" i="7" a="1"/>
  <c r="BX1137" i="7" s="1"/>
  <c r="BX1138" i="7" a="1"/>
  <c r="BX1138" i="7" s="1"/>
  <c r="BX1139" i="7" a="1"/>
  <c r="BX1139" i="7" s="1"/>
  <c r="BX1140" i="7" a="1"/>
  <c r="BX1140" i="7" s="1"/>
  <c r="BX1141" i="7" a="1"/>
  <c r="BX1141" i="7" s="1"/>
  <c r="BX1142" i="7" a="1"/>
  <c r="BX1142" i="7" s="1"/>
  <c r="BX1143" i="7" a="1"/>
  <c r="BX1143" i="7" s="1"/>
  <c r="BX1153" i="7" a="1"/>
  <c r="BX1153" i="7" s="1"/>
  <c r="BX1154" i="7" a="1"/>
  <c r="BX1154" i="7" s="1"/>
  <c r="BX1155" i="7" a="1"/>
  <c r="BX1155" i="7" s="1"/>
  <c r="BX1156" i="7" a="1"/>
  <c r="BX1156" i="7" s="1"/>
  <c r="BX1157" i="7" a="1"/>
  <c r="BX1157" i="7" s="1"/>
  <c r="BX1158" i="7" a="1"/>
  <c r="BX1158" i="7" s="1"/>
  <c r="BX1159" i="7" a="1"/>
  <c r="BX1159" i="7" s="1"/>
  <c r="BX1160" i="7" a="1"/>
  <c r="BX1160" i="7" s="1"/>
  <c r="BX1161" i="7" a="1"/>
  <c r="BX1161" i="7" s="1"/>
  <c r="BX1162" i="7" a="1"/>
  <c r="BX1162" i="7" s="1"/>
  <c r="BX1163" i="7" a="1"/>
  <c r="BX1163" i="7" s="1"/>
  <c r="BX1164" i="7" a="1"/>
  <c r="BX1164" i="7" s="1"/>
  <c r="BX1165" i="7" a="1"/>
  <c r="BX1165" i="7" s="1"/>
  <c r="BX1166" i="7" a="1"/>
  <c r="BX1166" i="7" s="1"/>
  <c r="BX1167" i="7" a="1"/>
  <c r="BX1167" i="7" s="1"/>
  <c r="BX1168" i="7" a="1"/>
  <c r="BX1168" i="7" s="1"/>
  <c r="BX1169" i="7" a="1"/>
  <c r="BX1169" i="7" s="1"/>
  <c r="BX1170" i="7" a="1"/>
  <c r="BX1170" i="7" s="1"/>
  <c r="BX1171" i="7" a="1"/>
  <c r="BX1171" i="7" s="1"/>
  <c r="BX1172" i="7" a="1"/>
  <c r="BX1172" i="7" s="1"/>
  <c r="BX1173" i="7" a="1"/>
  <c r="BX1173" i="7" s="1"/>
  <c r="BX1174" i="7" a="1"/>
  <c r="BX1174" i="7" s="1"/>
  <c r="BX1175" i="7" a="1"/>
  <c r="BX1175" i="7" s="1"/>
  <c r="BX1176" i="7" a="1"/>
  <c r="BX1176" i="7" s="1"/>
  <c r="BX1177" i="7" a="1"/>
  <c r="BX1177" i="7" s="1"/>
  <c r="BX1178" i="7" a="1"/>
  <c r="BX1178" i="7" s="1"/>
  <c r="BX1179" i="7" a="1"/>
  <c r="BX1179" i="7" s="1"/>
  <c r="BX1180" i="7" a="1"/>
  <c r="BX1180" i="7" s="1"/>
  <c r="BX1181" i="7" a="1"/>
  <c r="BX1181" i="7" s="1"/>
  <c r="BX1182" i="7" a="1"/>
  <c r="BX1182" i="7" s="1"/>
  <c r="BX1186" i="7" a="1"/>
  <c r="BX1186" i="7" s="1"/>
  <c r="BX1187" i="7" a="1"/>
  <c r="BX1187" i="7" s="1"/>
  <c r="BX1188" i="7" a="1"/>
  <c r="BX1188" i="7" s="1"/>
  <c r="BX1189" i="7" a="1"/>
  <c r="BX1189" i="7" s="1"/>
  <c r="BX1190" i="7" a="1"/>
  <c r="BX1190" i="7" s="1"/>
  <c r="BX1191" i="7" a="1"/>
  <c r="BX1191" i="7" s="1"/>
  <c r="BX1219" i="7" a="1"/>
  <c r="BX1219" i="7" s="1"/>
  <c r="BX1220" i="7" a="1"/>
  <c r="BX1220" i="7" s="1"/>
  <c r="BX1221" i="7" a="1"/>
  <c r="BX1221" i="7" s="1"/>
  <c r="BX1222" i="7" a="1"/>
  <c r="BX1222" i="7" s="1"/>
  <c r="BX1223" i="7" a="1"/>
  <c r="BX1223" i="7" s="1"/>
  <c r="BX1224" i="7" a="1"/>
  <c r="BX1224" i="7"/>
  <c r="BX1225" i="7" a="1"/>
  <c r="BX1225" i="7" s="1"/>
  <c r="BX1226" i="7" a="1"/>
  <c r="BX1226" i="7" s="1"/>
  <c r="BX1227" i="7" a="1"/>
  <c r="BX1227" i="7" s="1"/>
  <c r="BX1228" i="7" a="1"/>
  <c r="BX1228" i="7" s="1"/>
  <c r="BX1229" i="7" a="1"/>
  <c r="BX1229" i="7" s="1"/>
  <c r="BX1230" i="7" a="1"/>
  <c r="BX1230" i="7" s="1"/>
  <c r="BX1231" i="7" a="1"/>
  <c r="BX1231" i="7" s="1"/>
  <c r="BX1232" i="7" a="1"/>
  <c r="BX1232" i="7" s="1"/>
  <c r="BX1233" i="7" a="1"/>
  <c r="BX1233" i="7" s="1"/>
  <c r="BX1234" i="7" a="1"/>
  <c r="BX1234" i="7" s="1"/>
  <c r="BX1235" i="7" a="1"/>
  <c r="BX1235" i="7" s="1"/>
  <c r="BX1236" i="7" a="1"/>
  <c r="BX1236" i="7" s="1"/>
  <c r="BX1237" i="7" a="1"/>
  <c r="BX1237" i="7" s="1"/>
  <c r="BX1238" i="7" a="1"/>
  <c r="BX1238" i="7" s="1"/>
  <c r="BX1239" i="7" a="1"/>
  <c r="BX1239" i="7" s="1"/>
  <c r="BX1240" i="7" a="1"/>
  <c r="BX1240" i="7" s="1"/>
  <c r="BX1241" i="7" a="1"/>
  <c r="BX1241" i="7" s="1"/>
  <c r="BX1242" i="7" a="1"/>
  <c r="BX1242" i="7" s="1"/>
  <c r="BX1246" i="7" a="1"/>
  <c r="BX1246" i="7" s="1"/>
  <c r="BX1247" i="7" a="1"/>
  <c r="BX1247" i="7" s="1"/>
  <c r="BX1248" i="7" a="1"/>
  <c r="BX1248" i="7" s="1"/>
  <c r="BX1252" i="7" a="1"/>
  <c r="BX1252" i="7" s="1"/>
  <c r="BX1253" i="7" a="1"/>
  <c r="BX1253" i="7" s="1"/>
  <c r="BX1254" i="7" a="1"/>
  <c r="BX1254" i="7" s="1"/>
  <c r="BX1255" i="7" a="1"/>
  <c r="BX1255" i="7" s="1"/>
  <c r="BX1256" i="7" a="1"/>
  <c r="BX1256" i="7" s="1"/>
  <c r="BX1257" i="7" a="1"/>
  <c r="BX1257" i="7" s="1"/>
  <c r="BX1258" i="7" a="1"/>
  <c r="BX1258" i="7" s="1"/>
  <c r="BX1259" i="7" a="1"/>
  <c r="BX1259" i="7" s="1"/>
  <c r="BX1260" i="7" a="1"/>
  <c r="BX1260" i="7" s="1"/>
  <c r="BX1261" i="7" a="1"/>
  <c r="BX1261" i="7" s="1"/>
  <c r="BX1262" i="7" a="1"/>
  <c r="BX1262" i="7" s="1"/>
  <c r="BX1263" i="7" a="1"/>
  <c r="BX1263" i="7" s="1"/>
  <c r="BX1264" i="7" a="1"/>
  <c r="BX1264" i="7" s="1"/>
  <c r="BX1265" i="7" a="1"/>
  <c r="BX1265" i="7" s="1"/>
  <c r="BX1266" i="7" a="1"/>
  <c r="BX1266" i="7" s="1"/>
  <c r="BX1267" i="7" a="1"/>
  <c r="BX1267" i="7" s="1"/>
  <c r="BX1268" i="7" a="1"/>
  <c r="BX1268" i="7" s="1"/>
  <c r="BX1269" i="7" a="1"/>
  <c r="BX1269" i="7" s="1"/>
  <c r="BX1270" i="7" a="1"/>
  <c r="BX1270" i="7" s="1"/>
  <c r="BX1271" i="7" a="1"/>
  <c r="BX1271" i="7" s="1"/>
  <c r="BX1272" i="7" a="1"/>
  <c r="BX1272" i="7" s="1"/>
  <c r="BX1273" i="7" a="1"/>
  <c r="BX1273" i="7" s="1"/>
  <c r="BX1274" i="7" a="1"/>
  <c r="BX1274" i="7" s="1"/>
  <c r="BX1275" i="7" a="1"/>
  <c r="BX1275" i="7" s="1"/>
  <c r="BX1276" i="7" a="1"/>
  <c r="BX1276" i="7" s="1"/>
  <c r="BX1277" i="7" a="1"/>
  <c r="BX1277" i="7" s="1"/>
  <c r="BX1278" i="7" a="1"/>
  <c r="BX1278" i="7" s="1"/>
  <c r="BX1279" i="7" a="1"/>
  <c r="BX1279" i="7" s="1"/>
  <c r="BX1280" i="7" a="1"/>
  <c r="BX1280" i="7" s="1"/>
  <c r="BX1281" i="7" a="1"/>
  <c r="BX1281" i="7" s="1"/>
  <c r="BX1282" i="7" a="1"/>
  <c r="BX1282" i="7" s="1"/>
  <c r="BX1283" i="7" a="1"/>
  <c r="BX1283" i="7" s="1"/>
  <c r="BX1284" i="7" a="1"/>
  <c r="BX1284" i="7" s="1"/>
  <c r="BX1285" i="7" a="1"/>
  <c r="BX1285" i="7" s="1"/>
  <c r="BX1286" i="7" a="1"/>
  <c r="BX1286" i="7" s="1"/>
  <c r="BX1287" i="7" a="1"/>
  <c r="BX1287" i="7" s="1"/>
  <c r="BX1288" i="7" a="1"/>
  <c r="BX1288" i="7" s="1"/>
  <c r="BX1289" i="7" a="1"/>
  <c r="BX1289" i="7" s="1"/>
  <c r="BX1290" i="7" a="1"/>
  <c r="BX1290" i="7" s="1"/>
  <c r="BX1291" i="7" a="1"/>
  <c r="BX1291" i="7" s="1"/>
  <c r="BX1292" i="7" a="1"/>
  <c r="BX1292" i="7" s="1"/>
  <c r="BX1293" i="7" a="1"/>
  <c r="BX1293" i="7" s="1"/>
  <c r="BX1294" i="7" a="1"/>
  <c r="BX1294" i="7" s="1"/>
  <c r="BX1295" i="7" a="1"/>
  <c r="BX1295" i="7" s="1"/>
  <c r="BX1296" i="7" a="1"/>
  <c r="BX1296" i="7"/>
  <c r="BX1297" i="7" a="1"/>
  <c r="BX1297" i="7" s="1"/>
  <c r="BX1298" i="7" a="1"/>
  <c r="BX1298" i="7" s="1"/>
  <c r="BX1299" i="7" a="1"/>
  <c r="BX1299" i="7" s="1"/>
  <c r="BX1300" i="7" a="1"/>
  <c r="BX1300" i="7" s="1"/>
  <c r="BX1301" i="7" a="1"/>
  <c r="BX1301" i="7" s="1"/>
  <c r="BX1302" i="7" a="1"/>
  <c r="BX1302" i="7" s="1"/>
  <c r="BX1306" i="7" a="1"/>
  <c r="BX1306" i="7" s="1"/>
  <c r="BX1307" i="7" a="1"/>
  <c r="BX1307" i="7" s="1"/>
  <c r="BX1308" i="7" a="1"/>
  <c r="BX1308" i="7" s="1"/>
  <c r="BX1309" i="7" a="1"/>
  <c r="BX1309" i="7" s="1"/>
  <c r="BX1310" i="7" a="1"/>
  <c r="BX1310" i="7" s="1"/>
  <c r="BX1311" i="7" a="1"/>
  <c r="BX1311" i="7" s="1"/>
  <c r="X27" i="7" a="1"/>
  <c r="X27" i="7" s="1"/>
  <c r="X28" i="7" a="1"/>
  <c r="X28" i="7" s="1"/>
  <c r="X29" i="7" a="1"/>
  <c r="X29" i="7" s="1"/>
  <c r="X31" i="7" a="1"/>
  <c r="X31" i="7" s="1"/>
  <c r="X33" i="7" a="1"/>
  <c r="X33" i="7" s="1"/>
  <c r="X34" i="7" a="1"/>
  <c r="X34" i="7" s="1"/>
  <c r="X35" i="7" a="1"/>
  <c r="X35" i="7" s="1"/>
  <c r="W35" i="7"/>
  <c r="Q35" i="7"/>
  <c r="O35" i="7"/>
  <c r="W34" i="7"/>
  <c r="Q34" i="7"/>
  <c r="O34" i="7"/>
  <c r="W33" i="7"/>
  <c r="Q33" i="7"/>
  <c r="O33" i="7"/>
  <c r="W32" i="7"/>
  <c r="Q32" i="7"/>
  <c r="O32" i="7"/>
  <c r="W31" i="7"/>
  <c r="Q31" i="7"/>
  <c r="O31" i="7"/>
  <c r="W30" i="7"/>
  <c r="Q30" i="7"/>
  <c r="O30" i="7"/>
  <c r="W29" i="7"/>
  <c r="Q29" i="7"/>
  <c r="O29" i="7"/>
  <c r="W28" i="7"/>
  <c r="Q28" i="7"/>
  <c r="O28" i="7"/>
  <c r="W27" i="7"/>
  <c r="Q27" i="7"/>
  <c r="O27" i="7"/>
  <c r="W26" i="7"/>
  <c r="Q26" i="7"/>
  <c r="O26" i="7"/>
  <c r="BW1311" i="7"/>
  <c r="BW1310" i="7"/>
  <c r="BW1309" i="7"/>
  <c r="BW1308" i="7"/>
  <c r="BW1307" i="7"/>
  <c r="BW1306" i="7"/>
  <c r="BW1305" i="7"/>
  <c r="BW1304" i="7"/>
  <c r="BW1303" i="7"/>
  <c r="BW1302" i="7"/>
  <c r="BW1301" i="7"/>
  <c r="BW1300" i="7"/>
  <c r="BW1299" i="7"/>
  <c r="BW1298" i="7"/>
  <c r="BW1297" i="7"/>
  <c r="BW1296" i="7"/>
  <c r="BW1295" i="7"/>
  <c r="BW1294" i="7"/>
  <c r="BW1293" i="7"/>
  <c r="BW1292" i="7"/>
  <c r="BW1291" i="7"/>
  <c r="BW1290" i="7"/>
  <c r="BW1289" i="7"/>
  <c r="BW1288" i="7"/>
  <c r="BW1287" i="7"/>
  <c r="BW1286" i="7"/>
  <c r="BW1285" i="7"/>
  <c r="BW1284" i="7"/>
  <c r="BW1283" i="7"/>
  <c r="BW1282" i="7"/>
  <c r="BW1281" i="7"/>
  <c r="BW1280" i="7"/>
  <c r="BW1279" i="7"/>
  <c r="BW1278" i="7"/>
  <c r="BW1277" i="7"/>
  <c r="BW1276" i="7"/>
  <c r="BW1275" i="7"/>
  <c r="BW1274" i="7"/>
  <c r="BW1273" i="7"/>
  <c r="BW1272" i="7"/>
  <c r="BW1271" i="7"/>
  <c r="BW1270" i="7"/>
  <c r="BW1269" i="7"/>
  <c r="BW1268" i="7"/>
  <c r="BW1267" i="7"/>
  <c r="BW1266" i="7"/>
  <c r="BW1265" i="7"/>
  <c r="BW1264" i="7"/>
  <c r="BW1263" i="7"/>
  <c r="BW1262" i="7"/>
  <c r="BW1261" i="7"/>
  <c r="BW1260" i="7"/>
  <c r="BW1259" i="7"/>
  <c r="BW1258" i="7"/>
  <c r="BW1257" i="7"/>
  <c r="BW1256" i="7"/>
  <c r="BW1255" i="7"/>
  <c r="BW1254" i="7"/>
  <c r="BW1253" i="7"/>
  <c r="BW1252" i="7"/>
  <c r="BW1251" i="7"/>
  <c r="BW1250" i="7"/>
  <c r="BW1249" i="7"/>
  <c r="BW1248" i="7"/>
  <c r="BW1247" i="7"/>
  <c r="BW1246" i="7"/>
  <c r="BW1245" i="7"/>
  <c r="BW1244" i="7"/>
  <c r="BW1243" i="7"/>
  <c r="BW1242" i="7"/>
  <c r="BW1241" i="7"/>
  <c r="BW1240" i="7"/>
  <c r="BW1239" i="7"/>
  <c r="BW1238" i="7"/>
  <c r="BW1237" i="7"/>
  <c r="BW1236" i="7"/>
  <c r="BW1235" i="7"/>
  <c r="BW1234" i="7"/>
  <c r="BW1233" i="7"/>
  <c r="BW1232" i="7"/>
  <c r="BW1231" i="7"/>
  <c r="BW1230" i="7"/>
  <c r="BW1229" i="7"/>
  <c r="BW1228" i="7"/>
  <c r="BW1227" i="7"/>
  <c r="BW1226" i="7"/>
  <c r="BW1225" i="7"/>
  <c r="BW1224" i="7"/>
  <c r="BW1223" i="7"/>
  <c r="BW1222" i="7"/>
  <c r="BW1221" i="7"/>
  <c r="BW1220" i="7"/>
  <c r="BW1219" i="7"/>
  <c r="BW1218" i="7"/>
  <c r="BW1217" i="7"/>
  <c r="BW1216" i="7"/>
  <c r="BW1215" i="7"/>
  <c r="BW1214" i="7"/>
  <c r="BW1213" i="7"/>
  <c r="BW1212" i="7"/>
  <c r="BW1211" i="7"/>
  <c r="BW1210" i="7"/>
  <c r="BW1209" i="7"/>
  <c r="BW1208" i="7"/>
  <c r="BW1207" i="7"/>
  <c r="BW1206" i="7"/>
  <c r="BW1205" i="7"/>
  <c r="BW1204" i="7"/>
  <c r="BW1203" i="7"/>
  <c r="BW1202" i="7"/>
  <c r="BW1201" i="7"/>
  <c r="BW1200" i="7"/>
  <c r="BW1199" i="7"/>
  <c r="BW1198" i="7"/>
  <c r="BW1197" i="7"/>
  <c r="BW1196" i="7"/>
  <c r="BW1195" i="7"/>
  <c r="BW1194" i="7"/>
  <c r="BW1193" i="7"/>
  <c r="BW1192" i="7"/>
  <c r="BW1191" i="7"/>
  <c r="BW1190" i="7"/>
  <c r="BW1189" i="7"/>
  <c r="BW1188" i="7"/>
  <c r="BW1187" i="7"/>
  <c r="BW1186" i="7"/>
  <c r="BW1185" i="7"/>
  <c r="BW1184" i="7"/>
  <c r="BW1183" i="7"/>
  <c r="BW1182" i="7"/>
  <c r="BW1181" i="7"/>
  <c r="BW1180" i="7"/>
  <c r="BW1179" i="7"/>
  <c r="BW1178" i="7"/>
  <c r="BW1177" i="7"/>
  <c r="BW1176" i="7"/>
  <c r="BW1175" i="7"/>
  <c r="BW1174" i="7"/>
  <c r="BW1173" i="7"/>
  <c r="BW1172" i="7"/>
  <c r="BW1171" i="7"/>
  <c r="BW1170" i="7"/>
  <c r="BW1169" i="7"/>
  <c r="BW1168" i="7"/>
  <c r="BW1167" i="7"/>
  <c r="BW1166" i="7"/>
  <c r="BW1165" i="7"/>
  <c r="BW1164" i="7"/>
  <c r="BW1163" i="7"/>
  <c r="BW1162" i="7"/>
  <c r="BW1161" i="7"/>
  <c r="BW1160" i="7"/>
  <c r="BW1159" i="7"/>
  <c r="BW1158" i="7"/>
  <c r="BW1157" i="7"/>
  <c r="BW1156" i="7"/>
  <c r="BW1155" i="7"/>
  <c r="BW1154" i="7"/>
  <c r="BW1153" i="7"/>
  <c r="BW1152" i="7"/>
  <c r="BW1151" i="7"/>
  <c r="BW1150" i="7"/>
  <c r="BW1149" i="7"/>
  <c r="BW1148" i="7"/>
  <c r="BW1147" i="7"/>
  <c r="BW1146" i="7"/>
  <c r="BW1145" i="7"/>
  <c r="BW1144" i="7"/>
  <c r="BW1143" i="7"/>
  <c r="BW1142" i="7"/>
  <c r="BW1141" i="7"/>
  <c r="BW1140" i="7"/>
  <c r="BW1139" i="7"/>
  <c r="BW1138" i="7"/>
  <c r="BW1137" i="7"/>
  <c r="BW1136" i="7"/>
  <c r="BW1135" i="7"/>
  <c r="BW1134" i="7"/>
  <c r="BW1133" i="7"/>
  <c r="BW1132" i="7"/>
  <c r="BW1131" i="7"/>
  <c r="BW1130" i="7"/>
  <c r="BW1129" i="7"/>
  <c r="BW1128" i="7"/>
  <c r="BW1127" i="7"/>
  <c r="BW1126" i="7"/>
  <c r="BW1125" i="7"/>
  <c r="BW1124" i="7"/>
  <c r="BW1123" i="7"/>
  <c r="BW1122" i="7"/>
  <c r="BW1121" i="7"/>
  <c r="BW1120" i="7"/>
  <c r="BW1119" i="7"/>
  <c r="BW1118" i="7"/>
  <c r="BW1117" i="7"/>
  <c r="BW1116" i="7"/>
  <c r="BW1115" i="7"/>
  <c r="BW1114" i="7"/>
  <c r="BW1113" i="7"/>
  <c r="BW1112" i="7"/>
  <c r="BW1111" i="7"/>
  <c r="BW1110" i="7"/>
  <c r="BW1109" i="7"/>
  <c r="BW1108" i="7"/>
  <c r="BW1107" i="7"/>
  <c r="BW1106" i="7"/>
  <c r="BW1105" i="7"/>
  <c r="BW1104" i="7"/>
  <c r="BW1103" i="7"/>
  <c r="BW1102" i="7"/>
  <c r="BW1101" i="7"/>
  <c r="BW1100" i="7"/>
  <c r="BW1099" i="7"/>
  <c r="BW1098" i="7"/>
  <c r="BW1097" i="7"/>
  <c r="BW1096" i="7"/>
  <c r="BW1095" i="7"/>
  <c r="BW1094" i="7"/>
  <c r="BW1093" i="7"/>
  <c r="BW1092" i="7"/>
  <c r="BW1091" i="7"/>
  <c r="BW1090" i="7"/>
  <c r="BW1089" i="7"/>
  <c r="BW1088" i="7"/>
  <c r="BW1087" i="7"/>
  <c r="BW1086" i="7"/>
  <c r="BW1085" i="7"/>
  <c r="BW1084" i="7"/>
  <c r="BW1083" i="7"/>
  <c r="BW1082" i="7"/>
  <c r="BW1081" i="7"/>
  <c r="BW1080" i="7"/>
  <c r="BW1079" i="7"/>
  <c r="BW1078" i="7"/>
  <c r="BW1077" i="7"/>
  <c r="BW1076" i="7"/>
  <c r="BW1075" i="7"/>
  <c r="BW1074" i="7"/>
  <c r="BW1073" i="7"/>
  <c r="BW1072" i="7"/>
  <c r="BW1071" i="7"/>
  <c r="BW1070" i="7"/>
  <c r="BW1069" i="7"/>
  <c r="BW1068" i="7"/>
  <c r="BW1067" i="7"/>
  <c r="BW1066" i="7"/>
  <c r="BW1065" i="7"/>
  <c r="BW1064" i="7"/>
  <c r="BW1063" i="7"/>
  <c r="BW1062" i="7"/>
  <c r="BW1061" i="7"/>
  <c r="BW1060" i="7"/>
  <c r="BW1059" i="7"/>
  <c r="BW1058" i="7"/>
  <c r="BW1057" i="7"/>
  <c r="BW1056" i="7"/>
  <c r="BW1055" i="7"/>
  <c r="BW1054" i="7"/>
  <c r="BW1053" i="7"/>
  <c r="BW1052" i="7"/>
  <c r="BW1051" i="7"/>
  <c r="BW1050" i="7"/>
  <c r="BW1049" i="7"/>
  <c r="BW1048" i="7"/>
  <c r="BW1047" i="7"/>
  <c r="BW1046" i="7"/>
  <c r="BW1045" i="7"/>
  <c r="BW1044" i="7"/>
  <c r="BW1043" i="7"/>
  <c r="BW1042" i="7"/>
  <c r="BW1041" i="7"/>
  <c r="BW1040" i="7"/>
  <c r="BW1039" i="7"/>
  <c r="BW1038" i="7"/>
  <c r="BW1037" i="7"/>
  <c r="BW1036" i="7"/>
  <c r="BW1035" i="7"/>
  <c r="BW1034" i="7"/>
  <c r="BW1033" i="7"/>
  <c r="BW1032" i="7"/>
  <c r="BW1031" i="7"/>
  <c r="BW1030" i="7"/>
  <c r="BW1029" i="7"/>
  <c r="BW1028" i="7"/>
  <c r="BW1027" i="7"/>
  <c r="BW1026" i="7"/>
  <c r="BW1025" i="7"/>
  <c r="BW1024" i="7"/>
  <c r="BW1023" i="7"/>
  <c r="BW1022" i="7"/>
  <c r="BW1021" i="7"/>
  <c r="BW1020" i="7"/>
  <c r="BW1019" i="7"/>
  <c r="BW1018" i="7"/>
  <c r="BW1017" i="7"/>
  <c r="BW1016" i="7"/>
  <c r="BW1015" i="7"/>
  <c r="BW1014" i="7"/>
  <c r="BW1013" i="7"/>
  <c r="BW1012" i="7"/>
  <c r="BW1011" i="7"/>
  <c r="BW1010" i="7"/>
  <c r="BW1009" i="7"/>
  <c r="BW1008" i="7"/>
  <c r="BW1007" i="7"/>
  <c r="BW1006" i="7"/>
  <c r="BW1005" i="7"/>
  <c r="BW1004" i="7"/>
  <c r="BW1003" i="7"/>
  <c r="BW1002" i="7"/>
  <c r="BW1001" i="7"/>
  <c r="BW1000" i="7"/>
  <c r="BW999" i="7"/>
  <c r="BW998" i="7"/>
  <c r="BW997" i="7"/>
  <c r="BW996" i="7"/>
  <c r="BW995" i="7"/>
  <c r="BW994" i="7"/>
  <c r="BW993" i="7"/>
  <c r="BW992" i="7"/>
  <c r="BW991" i="7"/>
  <c r="BW990" i="7"/>
  <c r="BW989" i="7"/>
  <c r="BW988" i="7"/>
  <c r="BW987" i="7"/>
  <c r="BW986" i="7"/>
  <c r="BW985" i="7"/>
  <c r="BW984" i="7"/>
  <c r="BW983" i="7"/>
  <c r="BW982" i="7"/>
  <c r="BW981" i="7"/>
  <c r="BW980" i="7"/>
  <c r="BW979" i="7"/>
  <c r="BW978" i="7"/>
  <c r="BW977" i="7"/>
  <c r="BW976" i="7"/>
  <c r="BW975" i="7"/>
  <c r="BW974" i="7"/>
  <c r="BW973" i="7"/>
  <c r="BW972" i="7"/>
  <c r="BW971" i="7"/>
  <c r="BW970" i="7"/>
  <c r="BW969" i="7"/>
  <c r="BW968" i="7"/>
  <c r="BW967" i="7"/>
  <c r="BW966" i="7"/>
  <c r="BW965" i="7"/>
  <c r="BW964" i="7"/>
  <c r="BW963" i="7"/>
  <c r="BW962" i="7"/>
  <c r="BW961" i="7"/>
  <c r="BW960" i="7"/>
  <c r="BW959" i="7"/>
  <c r="BW958" i="7"/>
  <c r="BW957" i="7"/>
  <c r="BW956" i="7"/>
  <c r="BW955" i="7"/>
  <c r="BW954" i="7"/>
  <c r="BW953" i="7"/>
  <c r="BW952" i="7"/>
  <c r="BW951" i="7"/>
  <c r="BW950" i="7"/>
  <c r="BW949" i="7"/>
  <c r="BW948" i="7"/>
  <c r="BW947" i="7"/>
  <c r="BW946" i="7"/>
  <c r="BW945" i="7"/>
  <c r="BW944" i="7"/>
  <c r="BW943" i="7"/>
  <c r="BW942" i="7"/>
  <c r="BW941" i="7"/>
  <c r="BW940" i="7"/>
  <c r="BW939" i="7"/>
  <c r="BW938" i="7"/>
  <c r="BW937" i="7"/>
  <c r="BW936" i="7"/>
  <c r="BW935" i="7"/>
  <c r="BW934" i="7"/>
  <c r="BW933" i="7"/>
  <c r="BW932" i="7"/>
  <c r="BW931" i="7"/>
  <c r="BW930" i="7"/>
  <c r="BW929" i="7"/>
  <c r="BW928" i="7"/>
  <c r="BW927" i="7"/>
  <c r="BW926" i="7"/>
  <c r="BW925" i="7"/>
  <c r="BW924" i="7"/>
  <c r="BW923" i="7"/>
  <c r="BW922" i="7"/>
  <c r="BW921" i="7"/>
  <c r="BW920" i="7"/>
  <c r="BW919" i="7"/>
  <c r="BW918" i="7"/>
  <c r="BW917" i="7"/>
  <c r="BW916" i="7"/>
  <c r="BW915" i="7"/>
  <c r="BW914" i="7"/>
  <c r="BW913" i="7"/>
  <c r="BW912" i="7"/>
  <c r="BW911" i="7"/>
  <c r="BW910" i="7"/>
  <c r="BW909" i="7"/>
  <c r="BW908" i="7"/>
  <c r="BW907" i="7"/>
  <c r="BW906" i="7"/>
  <c r="BW905" i="7"/>
  <c r="BW904" i="7"/>
  <c r="BW903" i="7"/>
  <c r="BW902" i="7"/>
  <c r="BW901" i="7"/>
  <c r="BW900" i="7"/>
  <c r="BW899" i="7"/>
  <c r="BW898" i="7"/>
  <c r="BW897" i="7"/>
  <c r="BW896" i="7"/>
  <c r="BW895" i="7"/>
  <c r="BW894" i="7"/>
  <c r="BW893" i="7"/>
  <c r="BW892" i="7"/>
  <c r="BW891" i="7"/>
  <c r="BW890" i="7"/>
  <c r="BW889" i="7"/>
  <c r="BW888" i="7"/>
  <c r="BW887" i="7"/>
  <c r="BW886" i="7"/>
  <c r="BW885" i="7"/>
  <c r="BW884" i="7"/>
  <c r="BW883" i="7"/>
  <c r="BW882" i="7"/>
  <c r="BW881" i="7"/>
  <c r="BW880" i="7"/>
  <c r="BW879" i="7"/>
  <c r="BW878" i="7"/>
  <c r="BW877" i="7"/>
  <c r="BW876" i="7"/>
  <c r="BW875" i="7"/>
  <c r="BW874" i="7"/>
  <c r="BW873" i="7"/>
  <c r="BW872" i="7"/>
  <c r="BW871" i="7"/>
  <c r="BW870" i="7"/>
  <c r="BW869" i="7"/>
  <c r="BW868" i="7"/>
  <c r="BW867" i="7"/>
  <c r="BW866" i="7"/>
  <c r="BW865" i="7"/>
  <c r="BW864" i="7"/>
  <c r="BW863" i="7"/>
  <c r="BW862" i="7"/>
  <c r="BW861" i="7"/>
  <c r="BW860" i="7"/>
  <c r="BW859" i="7"/>
  <c r="BW858" i="7"/>
  <c r="BW857" i="7"/>
  <c r="BW856" i="7"/>
  <c r="BW855" i="7"/>
  <c r="BW854" i="7"/>
  <c r="BW853" i="7"/>
  <c r="BW852" i="7"/>
  <c r="BW851" i="7"/>
  <c r="BW850" i="7"/>
  <c r="BW849" i="7"/>
  <c r="BW848" i="7"/>
  <c r="BW847" i="7"/>
  <c r="BW846" i="7"/>
  <c r="BW845" i="7"/>
  <c r="BW844" i="7"/>
  <c r="BW843" i="7"/>
  <c r="BW842" i="7"/>
  <c r="BW841" i="7"/>
  <c r="BW840" i="7"/>
  <c r="BW839" i="7"/>
  <c r="BW838" i="7"/>
  <c r="BW837" i="7"/>
  <c r="BW836" i="7"/>
  <c r="BW835" i="7"/>
  <c r="BW834" i="7"/>
  <c r="BW833" i="7"/>
  <c r="BW832" i="7"/>
  <c r="BW831" i="7"/>
  <c r="BW830" i="7"/>
  <c r="BW829" i="7"/>
  <c r="BW828" i="7"/>
  <c r="BW827" i="7"/>
  <c r="BW826" i="7"/>
  <c r="BW825" i="7"/>
  <c r="BW824" i="7"/>
  <c r="BW823" i="7"/>
  <c r="BW822" i="7"/>
  <c r="BW821" i="7"/>
  <c r="BW820" i="7"/>
  <c r="BW819" i="7"/>
  <c r="BW818" i="7"/>
  <c r="BW817" i="7"/>
  <c r="BW816" i="7"/>
  <c r="BW815" i="7"/>
  <c r="BW814" i="7"/>
  <c r="BW813" i="7"/>
  <c r="BW812" i="7"/>
  <c r="BW811" i="7"/>
  <c r="BW810" i="7"/>
  <c r="BW809" i="7"/>
  <c r="BW808" i="7"/>
  <c r="BW807" i="7"/>
  <c r="BW806" i="7"/>
  <c r="BW805" i="7"/>
  <c r="BW804" i="7"/>
  <c r="BW803" i="7"/>
  <c r="BW802" i="7"/>
  <c r="BW801" i="7"/>
  <c r="BW800" i="7"/>
  <c r="BW799" i="7"/>
  <c r="BW798" i="7"/>
  <c r="BW797" i="7"/>
  <c r="BW796" i="7"/>
  <c r="BW795" i="7"/>
  <c r="BW794" i="7"/>
  <c r="BW793" i="7"/>
  <c r="BW792" i="7"/>
  <c r="BW791" i="7"/>
  <c r="BW790" i="7"/>
  <c r="BW789" i="7"/>
  <c r="BW788" i="7"/>
  <c r="BW787" i="7"/>
  <c r="BW786" i="7"/>
  <c r="BW785" i="7"/>
  <c r="BW784" i="7"/>
  <c r="BW783" i="7"/>
  <c r="BW782" i="7"/>
  <c r="BW781" i="7"/>
  <c r="BW780" i="7"/>
  <c r="BW779" i="7"/>
  <c r="BW778" i="7"/>
  <c r="BW777" i="7"/>
  <c r="BW776" i="7"/>
  <c r="BW775" i="7"/>
  <c r="BW774" i="7"/>
  <c r="BW773" i="7"/>
  <c r="BW772" i="7"/>
  <c r="BW771" i="7"/>
  <c r="BW770" i="7"/>
  <c r="BW769" i="7"/>
  <c r="BW768" i="7"/>
  <c r="BW767" i="7"/>
  <c r="BW766" i="7"/>
  <c r="BW765" i="7"/>
  <c r="BW764" i="7"/>
  <c r="BW763" i="7"/>
  <c r="BW762" i="7"/>
  <c r="BW761" i="7"/>
  <c r="BW760" i="7"/>
  <c r="BW759" i="7"/>
  <c r="BW758" i="7"/>
  <c r="BW757" i="7"/>
  <c r="BW756" i="7"/>
  <c r="BW755" i="7"/>
  <c r="BW754" i="7"/>
  <c r="BW753" i="7"/>
  <c r="BW752" i="7"/>
  <c r="BW751" i="7"/>
  <c r="BW750" i="7"/>
  <c r="BW749" i="7"/>
  <c r="BW748" i="7"/>
  <c r="BW747" i="7"/>
  <c r="BW746" i="7"/>
  <c r="BW745" i="7"/>
  <c r="BW744" i="7"/>
  <c r="BW743" i="7"/>
  <c r="BW742" i="7"/>
  <c r="BW741" i="7"/>
  <c r="BW740" i="7"/>
  <c r="BW739" i="7"/>
  <c r="BW738" i="7"/>
  <c r="BW737" i="7"/>
  <c r="BW736" i="7"/>
  <c r="BW735" i="7"/>
  <c r="BW734" i="7"/>
  <c r="BW733" i="7"/>
  <c r="BW732" i="7"/>
  <c r="BW731" i="7"/>
  <c r="BW730" i="7"/>
  <c r="BW729" i="7"/>
  <c r="BW728" i="7"/>
  <c r="BW727" i="7"/>
  <c r="BW726" i="7"/>
  <c r="BW725" i="7"/>
  <c r="BW724" i="7"/>
  <c r="BW723" i="7"/>
  <c r="BW722" i="7"/>
  <c r="BW721" i="7"/>
  <c r="BW720" i="7"/>
  <c r="BW719" i="7"/>
  <c r="BW718" i="7"/>
  <c r="BW717" i="7"/>
  <c r="BW716" i="7"/>
  <c r="BW715" i="7"/>
  <c r="BW714" i="7"/>
  <c r="BW713" i="7"/>
  <c r="BW712" i="7"/>
  <c r="BW711" i="7"/>
  <c r="BW710" i="7"/>
  <c r="BW709" i="7"/>
  <c r="BW708" i="7"/>
  <c r="BW707" i="7"/>
  <c r="BW706" i="7"/>
  <c r="BW705" i="7"/>
  <c r="BW704" i="7"/>
  <c r="BW703" i="7"/>
  <c r="BW702" i="7"/>
  <c r="BW701" i="7"/>
  <c r="BW700" i="7"/>
  <c r="BW699" i="7"/>
  <c r="BW698" i="7"/>
  <c r="BW697" i="7"/>
  <c r="BW696" i="7"/>
  <c r="BW695" i="7"/>
  <c r="BW694" i="7"/>
  <c r="BW693" i="7"/>
  <c r="BW692" i="7"/>
  <c r="BW691" i="7"/>
  <c r="BW690" i="7"/>
  <c r="BW689" i="7"/>
  <c r="BW688" i="7"/>
  <c r="BW687" i="7"/>
  <c r="BW686" i="7"/>
  <c r="BW685" i="7"/>
  <c r="BW684" i="7"/>
  <c r="BW683" i="7"/>
  <c r="BW682" i="7"/>
  <c r="BW681" i="7"/>
  <c r="BW680" i="7"/>
  <c r="BW679" i="7"/>
  <c r="BW678" i="7"/>
  <c r="BW677" i="7"/>
  <c r="BW676" i="7"/>
  <c r="BW675" i="7"/>
  <c r="BW674" i="7"/>
  <c r="BW673" i="7"/>
  <c r="BW672" i="7"/>
  <c r="BW671" i="7"/>
  <c r="BW670" i="7"/>
  <c r="BW669" i="7"/>
  <c r="BW668" i="7"/>
  <c r="BW667" i="7"/>
  <c r="BW666" i="7"/>
  <c r="BW665" i="7"/>
  <c r="BW664" i="7"/>
  <c r="BW663" i="7"/>
  <c r="BW662" i="7"/>
  <c r="BW661" i="7"/>
  <c r="BW660" i="7"/>
  <c r="BW659" i="7"/>
  <c r="BW658" i="7"/>
  <c r="BW657" i="7"/>
  <c r="BW656" i="7"/>
  <c r="BW655" i="7"/>
  <c r="BW654" i="7"/>
  <c r="BW653" i="7"/>
  <c r="BW652" i="7"/>
  <c r="BW651" i="7"/>
  <c r="BW650" i="7"/>
  <c r="BW649" i="7"/>
  <c r="BW648" i="7"/>
  <c r="BW647" i="7"/>
  <c r="BW646" i="7"/>
  <c r="BW645" i="7"/>
  <c r="BW644" i="7"/>
  <c r="BW643" i="7"/>
  <c r="BW642" i="7"/>
  <c r="BW641" i="7"/>
  <c r="BW640" i="7"/>
  <c r="BW639" i="7"/>
  <c r="BW638" i="7"/>
  <c r="BW637" i="7"/>
  <c r="BW636" i="7"/>
  <c r="BW635" i="7"/>
  <c r="BW634" i="7"/>
  <c r="BW633" i="7"/>
  <c r="BW632" i="7"/>
  <c r="BW631" i="7"/>
  <c r="BW630" i="7"/>
  <c r="BW629" i="7"/>
  <c r="BW628" i="7"/>
  <c r="BW627" i="7"/>
  <c r="BW626" i="7"/>
  <c r="BW625" i="7"/>
  <c r="BW624" i="7"/>
  <c r="BW623" i="7"/>
  <c r="BW622" i="7"/>
  <c r="BW621" i="7"/>
  <c r="BW620" i="7"/>
  <c r="BW619" i="7"/>
  <c r="BW618" i="7"/>
  <c r="BW617" i="7"/>
  <c r="BW616" i="7"/>
  <c r="BW615" i="7"/>
  <c r="BW614" i="7"/>
  <c r="BW613" i="7"/>
  <c r="BW612" i="7"/>
  <c r="BW611" i="7"/>
  <c r="BW610" i="7"/>
  <c r="BW609" i="7"/>
  <c r="BW608" i="7"/>
  <c r="BW607" i="7"/>
  <c r="BW606" i="7"/>
  <c r="BW605" i="7"/>
  <c r="BW604" i="7"/>
  <c r="BW603" i="7"/>
  <c r="BW602" i="7"/>
  <c r="BW601" i="7"/>
  <c r="BW600" i="7"/>
  <c r="BW599" i="7"/>
  <c r="BW598" i="7"/>
  <c r="BW597" i="7"/>
  <c r="BW596" i="7"/>
  <c r="BW595" i="7"/>
  <c r="BW594" i="7"/>
  <c r="BW593" i="7"/>
  <c r="BW592" i="7"/>
  <c r="BW591" i="7"/>
  <c r="BW590" i="7"/>
  <c r="BW589" i="7"/>
  <c r="BW588" i="7"/>
  <c r="BW587" i="7"/>
  <c r="BW586" i="7"/>
  <c r="BW585" i="7"/>
  <c r="BW584" i="7"/>
  <c r="BW583" i="7"/>
  <c r="BW582" i="7"/>
  <c r="BW581" i="7"/>
  <c r="BW580" i="7"/>
  <c r="BW579" i="7"/>
  <c r="BW578" i="7"/>
  <c r="BW577" i="7"/>
  <c r="BW576" i="7"/>
  <c r="BW575" i="7"/>
  <c r="BW574" i="7"/>
  <c r="BW573" i="7"/>
  <c r="BW572" i="7"/>
  <c r="BW571" i="7"/>
  <c r="BW570" i="7"/>
  <c r="BW569" i="7"/>
  <c r="BW568" i="7"/>
  <c r="BW567" i="7"/>
  <c r="BW566" i="7"/>
  <c r="BW565" i="7"/>
  <c r="BW564" i="7"/>
  <c r="BW563" i="7"/>
  <c r="BW562" i="7"/>
  <c r="BW561" i="7"/>
  <c r="BW560" i="7"/>
  <c r="BW559" i="7"/>
  <c r="BW558" i="7"/>
  <c r="BW557" i="7"/>
  <c r="BW556" i="7"/>
  <c r="BW555" i="7"/>
  <c r="BW554" i="7"/>
  <c r="BW553" i="7"/>
  <c r="BW552" i="7"/>
  <c r="BW551" i="7"/>
  <c r="BW550" i="7"/>
  <c r="BW549" i="7"/>
  <c r="BW548" i="7"/>
  <c r="BW547" i="7"/>
  <c r="BW546" i="7"/>
  <c r="BW545" i="7"/>
  <c r="BW544" i="7"/>
  <c r="BW543" i="7"/>
  <c r="BW542" i="7"/>
  <c r="BW541" i="7"/>
  <c r="BW540" i="7"/>
  <c r="BW539" i="7"/>
  <c r="BW538" i="7"/>
  <c r="BW537" i="7"/>
  <c r="BW536" i="7"/>
  <c r="BW535" i="7"/>
  <c r="BW534" i="7"/>
  <c r="BW533" i="7"/>
  <c r="BW532" i="7"/>
  <c r="BW531" i="7"/>
  <c r="BW530" i="7"/>
  <c r="BW529" i="7"/>
  <c r="BW528" i="7"/>
  <c r="BW527" i="7"/>
  <c r="BW526" i="7"/>
  <c r="BW525" i="7"/>
  <c r="BW524" i="7"/>
  <c r="BW523" i="7"/>
  <c r="BW522" i="7"/>
  <c r="BW521" i="7"/>
  <c r="BW520" i="7"/>
  <c r="BW519" i="7"/>
  <c r="BW518" i="7"/>
  <c r="BW517" i="7"/>
  <c r="BW516" i="7"/>
  <c r="BW515" i="7"/>
  <c r="BW514" i="7"/>
  <c r="BW513" i="7"/>
  <c r="BW512" i="7"/>
  <c r="BW511" i="7"/>
  <c r="BW510" i="7"/>
  <c r="BW509" i="7"/>
  <c r="BW508" i="7"/>
  <c r="BW507" i="7"/>
  <c r="BW506" i="7"/>
  <c r="BW505" i="7"/>
  <c r="BW504" i="7"/>
  <c r="BW503" i="7"/>
  <c r="BW502" i="7"/>
  <c r="BW501" i="7"/>
  <c r="BW500" i="7"/>
  <c r="BW499" i="7"/>
  <c r="BW498" i="7"/>
  <c r="BW497" i="7"/>
  <c r="BW496" i="7"/>
  <c r="BW495" i="7"/>
  <c r="BW494" i="7"/>
  <c r="BW493" i="7"/>
  <c r="BW492" i="7"/>
  <c r="BW491" i="7"/>
  <c r="BW490" i="7"/>
  <c r="BW489" i="7"/>
  <c r="BW488" i="7"/>
  <c r="BW487" i="7"/>
  <c r="BW486" i="7"/>
  <c r="BW485" i="7"/>
  <c r="BW484" i="7"/>
  <c r="BW483" i="7"/>
  <c r="BW482" i="7"/>
  <c r="BW481" i="7"/>
  <c r="BW480" i="7"/>
  <c r="BW479" i="7"/>
  <c r="BW478" i="7"/>
  <c r="BW477" i="7"/>
  <c r="BW476" i="7"/>
  <c r="BW475" i="7"/>
  <c r="BW474" i="7"/>
  <c r="BW473" i="7"/>
  <c r="BW472" i="7"/>
  <c r="BW471" i="7"/>
  <c r="BW470" i="7"/>
  <c r="BW469" i="7"/>
  <c r="BW468" i="7"/>
  <c r="BW467" i="7"/>
  <c r="BW466" i="7"/>
  <c r="BW465" i="7"/>
  <c r="BW464" i="7"/>
  <c r="BW463" i="7"/>
  <c r="BW462" i="7"/>
  <c r="BW461" i="7"/>
  <c r="BW460" i="7"/>
  <c r="BW459" i="7"/>
  <c r="BW458" i="7"/>
  <c r="BW457" i="7"/>
  <c r="BW456" i="7"/>
  <c r="BW455" i="7"/>
  <c r="BW454" i="7"/>
  <c r="BW453" i="7"/>
  <c r="BW452" i="7"/>
  <c r="BW451" i="7"/>
  <c r="BW450" i="7"/>
  <c r="BW449" i="7"/>
  <c r="BW448" i="7"/>
  <c r="BW447" i="7"/>
  <c r="BW446" i="7"/>
  <c r="BW445" i="7"/>
  <c r="BW444" i="7"/>
  <c r="BW443" i="7"/>
  <c r="BW442" i="7"/>
  <c r="BW441" i="7"/>
  <c r="BW440" i="7"/>
  <c r="BW439" i="7"/>
  <c r="BW438" i="7"/>
  <c r="BW437" i="7"/>
  <c r="BW436" i="7"/>
  <c r="BW435" i="7"/>
  <c r="BW434" i="7"/>
  <c r="BW433" i="7"/>
  <c r="BW432" i="7"/>
  <c r="BW431" i="7"/>
  <c r="BW430" i="7"/>
  <c r="BW429" i="7"/>
  <c r="BW428" i="7"/>
  <c r="BW427" i="7"/>
  <c r="BW426" i="7"/>
  <c r="BW425" i="7"/>
  <c r="BW424" i="7"/>
  <c r="BW423" i="7"/>
  <c r="BW422" i="7"/>
  <c r="BW421" i="7"/>
  <c r="BW420" i="7"/>
  <c r="BW419" i="7"/>
  <c r="BW418" i="7"/>
  <c r="BW417" i="7"/>
  <c r="BW416" i="7"/>
  <c r="BW415" i="7"/>
  <c r="BW414" i="7"/>
  <c r="BW413" i="7"/>
  <c r="BW412" i="7"/>
  <c r="BW411" i="7"/>
  <c r="BW410" i="7"/>
  <c r="BW409" i="7"/>
  <c r="BW408" i="7"/>
  <c r="BW407" i="7"/>
  <c r="BW406" i="7"/>
  <c r="BW405" i="7"/>
  <c r="BW404" i="7"/>
  <c r="BW403" i="7"/>
  <c r="BW402" i="7"/>
  <c r="BW401" i="7"/>
  <c r="BW400" i="7"/>
  <c r="BW399" i="7"/>
  <c r="BW398" i="7"/>
  <c r="BW397" i="7"/>
  <c r="BW396" i="7"/>
  <c r="BW395" i="7"/>
  <c r="BW394" i="7"/>
  <c r="BW393" i="7"/>
  <c r="BW392" i="7"/>
  <c r="BW391" i="7"/>
  <c r="BW390" i="7"/>
  <c r="BW389" i="7"/>
  <c r="BW388" i="7"/>
  <c r="BW387" i="7"/>
  <c r="BW386" i="7"/>
  <c r="BW385" i="7"/>
  <c r="BW384" i="7"/>
  <c r="BW383" i="7"/>
  <c r="BW382" i="7"/>
  <c r="BW381" i="7"/>
  <c r="BW380" i="7"/>
  <c r="BW379" i="7"/>
  <c r="BW378" i="7"/>
  <c r="BW377" i="7"/>
  <c r="BW376" i="7"/>
  <c r="BW375" i="7"/>
  <c r="BW374" i="7"/>
  <c r="BW373" i="7"/>
  <c r="BW372" i="7"/>
  <c r="BW371" i="7"/>
  <c r="BW370" i="7"/>
  <c r="BW369" i="7"/>
  <c r="BW368" i="7"/>
  <c r="BW367" i="7"/>
  <c r="BW366" i="7"/>
  <c r="BW365" i="7"/>
  <c r="BW364" i="7"/>
  <c r="BW363" i="7"/>
  <c r="BW362" i="7"/>
  <c r="BW361" i="7"/>
  <c r="BW360" i="7"/>
  <c r="BW359" i="7"/>
  <c r="BW358" i="7"/>
  <c r="BW357" i="7"/>
  <c r="BW356" i="7"/>
  <c r="BW355" i="7"/>
  <c r="BW354" i="7"/>
  <c r="BW353" i="7"/>
  <c r="BW352" i="7"/>
  <c r="BW351" i="7"/>
  <c r="BW350" i="7"/>
  <c r="BW349" i="7"/>
  <c r="BW348" i="7"/>
  <c r="BW347" i="7"/>
  <c r="BW346" i="7"/>
  <c r="BW345" i="7"/>
  <c r="BW344" i="7"/>
  <c r="BW343" i="7"/>
  <c r="BW342" i="7"/>
  <c r="BW341" i="7"/>
  <c r="BW340" i="7"/>
  <c r="BW339" i="7"/>
  <c r="BW338" i="7"/>
  <c r="BW337" i="7"/>
  <c r="BW336" i="7"/>
  <c r="BW335" i="7"/>
  <c r="BW334" i="7"/>
  <c r="BW333" i="7"/>
  <c r="BW332" i="7"/>
  <c r="BW331" i="7"/>
  <c r="BW330" i="7"/>
  <c r="BW329" i="7"/>
  <c r="BW328" i="7"/>
  <c r="BW327" i="7"/>
  <c r="BW326" i="7"/>
  <c r="BW325" i="7"/>
  <c r="BW324" i="7"/>
  <c r="BW323" i="7"/>
  <c r="BW322" i="7"/>
  <c r="BW321" i="7"/>
  <c r="BW320" i="7"/>
  <c r="BW319" i="7"/>
  <c r="BW318" i="7"/>
  <c r="BW317" i="7"/>
  <c r="BW316" i="7"/>
  <c r="BW315" i="7"/>
  <c r="BW314" i="7"/>
  <c r="BW313" i="7"/>
  <c r="BW312" i="7"/>
  <c r="BW311" i="7"/>
  <c r="BW310" i="7"/>
  <c r="BW309" i="7"/>
  <c r="BW308" i="7"/>
  <c r="BW307" i="7"/>
  <c r="BW306" i="7"/>
  <c r="BW305" i="7"/>
  <c r="BW304" i="7"/>
  <c r="BW303" i="7"/>
  <c r="BW302" i="7"/>
  <c r="BW301" i="7"/>
  <c r="BW300" i="7"/>
  <c r="BW299" i="7"/>
  <c r="BW298" i="7"/>
  <c r="BW297" i="7"/>
  <c r="BW296" i="7"/>
  <c r="BW295" i="7"/>
  <c r="BW294" i="7"/>
  <c r="BW293" i="7"/>
  <c r="BW292" i="7"/>
  <c r="BW291" i="7"/>
  <c r="BW290" i="7"/>
  <c r="BW289" i="7"/>
  <c r="BW288" i="7"/>
  <c r="BW287" i="7"/>
  <c r="BW286" i="7"/>
  <c r="BW285" i="7"/>
  <c r="BW284" i="7"/>
  <c r="BW283" i="7"/>
  <c r="BW282" i="7"/>
  <c r="BW281" i="7"/>
  <c r="BW280" i="7"/>
  <c r="BW279" i="7"/>
  <c r="BW278" i="7"/>
  <c r="BW277" i="7"/>
  <c r="BW276" i="7"/>
  <c r="BW275" i="7"/>
  <c r="BW274" i="7"/>
  <c r="BW273" i="7"/>
  <c r="BW272" i="7"/>
  <c r="BW271" i="7"/>
  <c r="BW270" i="7"/>
  <c r="BW269" i="7"/>
  <c r="BW268" i="7"/>
  <c r="BW267" i="7"/>
  <c r="BW266" i="7"/>
  <c r="BW265" i="7"/>
  <c r="BW264" i="7"/>
  <c r="BW263" i="7"/>
  <c r="BW262" i="7"/>
  <c r="BW261" i="7"/>
  <c r="BW260" i="7"/>
  <c r="BW259" i="7"/>
  <c r="BW258" i="7"/>
  <c r="BW257" i="7"/>
  <c r="BW256" i="7"/>
  <c r="BW255" i="7"/>
  <c r="BW254" i="7"/>
  <c r="BW253" i="7"/>
  <c r="BW252" i="7"/>
  <c r="BW251" i="7"/>
  <c r="BW250" i="7"/>
  <c r="BW249" i="7"/>
  <c r="BW248" i="7"/>
  <c r="BW247" i="7"/>
  <c r="BW246" i="7"/>
  <c r="BW245" i="7"/>
  <c r="BW244" i="7"/>
  <c r="BW243" i="7"/>
  <c r="BW242" i="7"/>
  <c r="BW241" i="7"/>
  <c r="BW240" i="7"/>
  <c r="BW239" i="7"/>
  <c r="BW238" i="7"/>
  <c r="BW237" i="7"/>
  <c r="BW236" i="7"/>
  <c r="BW235" i="7"/>
  <c r="BW234" i="7"/>
  <c r="BW233" i="7"/>
  <c r="BW232" i="7"/>
  <c r="BW231" i="7"/>
  <c r="BW230" i="7"/>
  <c r="BW229" i="7"/>
  <c r="BW228" i="7"/>
  <c r="BW227" i="7"/>
  <c r="BW226" i="7"/>
  <c r="BW225" i="7"/>
  <c r="BW224" i="7"/>
  <c r="BW223" i="7"/>
  <c r="BW222" i="7"/>
  <c r="BW221" i="7"/>
  <c r="BW220" i="7"/>
  <c r="BW219" i="7"/>
  <c r="BW218" i="7"/>
  <c r="BW217" i="7"/>
  <c r="BW216" i="7"/>
  <c r="BW215" i="7"/>
  <c r="BW214" i="7"/>
  <c r="BW213" i="7"/>
  <c r="BW212" i="7"/>
  <c r="BW211" i="7"/>
  <c r="BW210" i="7"/>
  <c r="BW209" i="7"/>
  <c r="BW208" i="7"/>
  <c r="BW207" i="7"/>
  <c r="BW206" i="7"/>
  <c r="BW205" i="7"/>
  <c r="BW204" i="7"/>
  <c r="BW203" i="7"/>
  <c r="BW202" i="7"/>
  <c r="BW201" i="7"/>
  <c r="BW200" i="7"/>
  <c r="BW199" i="7"/>
  <c r="BW198" i="7"/>
  <c r="BW197" i="7"/>
  <c r="BW196" i="7"/>
  <c r="BW195" i="7"/>
  <c r="BW194" i="7"/>
  <c r="BW193" i="7"/>
  <c r="BW192" i="7"/>
  <c r="BW191" i="7"/>
  <c r="BW190" i="7"/>
  <c r="BW189" i="7"/>
  <c r="BW188" i="7"/>
  <c r="BW187" i="7"/>
  <c r="BW186" i="7"/>
  <c r="BW185" i="7"/>
  <c r="BW184" i="7"/>
  <c r="BW183" i="7"/>
  <c r="BW182" i="7"/>
  <c r="BW181" i="7"/>
  <c r="BW180" i="7"/>
  <c r="BW179" i="7"/>
  <c r="BW178" i="7"/>
  <c r="BW177" i="7"/>
  <c r="BW176" i="7"/>
  <c r="BW175" i="7"/>
  <c r="BW174" i="7"/>
  <c r="BW173" i="7"/>
  <c r="BW172" i="7"/>
  <c r="BW171" i="7"/>
  <c r="BW170" i="7"/>
  <c r="BW169" i="7"/>
  <c r="BW168" i="7"/>
  <c r="BW167" i="7"/>
  <c r="BW166" i="7"/>
  <c r="BW165" i="7"/>
  <c r="BW164" i="7"/>
  <c r="BW163" i="7"/>
  <c r="BW162" i="7"/>
  <c r="BW161" i="7"/>
  <c r="BW160" i="7"/>
  <c r="BW159" i="7"/>
  <c r="BW158" i="7"/>
  <c r="BW157" i="7"/>
  <c r="BW156" i="7"/>
  <c r="BW155" i="7"/>
  <c r="BW154" i="7"/>
  <c r="BW153" i="7"/>
  <c r="BW152" i="7"/>
  <c r="BW151" i="7"/>
  <c r="BW150" i="7"/>
  <c r="BW149" i="7"/>
  <c r="BW148" i="7"/>
  <c r="BW147" i="7"/>
  <c r="BW146" i="7"/>
  <c r="BW145" i="7"/>
  <c r="BW144" i="7"/>
  <c r="BW143" i="7"/>
  <c r="BW142" i="7"/>
  <c r="BW141" i="7"/>
  <c r="BW140" i="7"/>
  <c r="BW139" i="7"/>
  <c r="BW138" i="7"/>
  <c r="BW137" i="7"/>
  <c r="BW136" i="7"/>
  <c r="BW135" i="7"/>
  <c r="BW134" i="7"/>
  <c r="BW133" i="7"/>
  <c r="BW132" i="7"/>
  <c r="BW131" i="7"/>
  <c r="BW130" i="7"/>
  <c r="BW129" i="7"/>
  <c r="BW128" i="7"/>
  <c r="BW127" i="7"/>
  <c r="BW126" i="7"/>
  <c r="BW125" i="7"/>
  <c r="BW124" i="7"/>
  <c r="BW123" i="7"/>
  <c r="BW122" i="7"/>
  <c r="BW121" i="7"/>
  <c r="BW120" i="7"/>
  <c r="BW119" i="7"/>
  <c r="BW118" i="7"/>
  <c r="BW117" i="7"/>
  <c r="BW116" i="7"/>
  <c r="BW115" i="7"/>
  <c r="BW114" i="7"/>
  <c r="BW113" i="7"/>
  <c r="BW112" i="7"/>
  <c r="BW111" i="7"/>
  <c r="BW110" i="7"/>
  <c r="BW109" i="7"/>
  <c r="BW108" i="7"/>
  <c r="BW107" i="7"/>
  <c r="BW106" i="7"/>
  <c r="BW105" i="7"/>
  <c r="BW104" i="7"/>
  <c r="BW103" i="7"/>
  <c r="BW102" i="7"/>
  <c r="BW101" i="7"/>
  <c r="BW100" i="7"/>
  <c r="BW99" i="7"/>
  <c r="BW98" i="7"/>
  <c r="BW97" i="7"/>
  <c r="BW96" i="7"/>
  <c r="BW95" i="7"/>
  <c r="BW94" i="7"/>
  <c r="BW93" i="7"/>
  <c r="BW92" i="7"/>
  <c r="BW91" i="7"/>
  <c r="BW90" i="7"/>
  <c r="BW89" i="7"/>
  <c r="BW88" i="7"/>
  <c r="BW87" i="7"/>
  <c r="BW86" i="7"/>
  <c r="BW85" i="7"/>
  <c r="BW84" i="7"/>
  <c r="BW83" i="7"/>
  <c r="BW82" i="7"/>
  <c r="BW81" i="7"/>
  <c r="BW80" i="7"/>
  <c r="BW79" i="7"/>
  <c r="BW78" i="7"/>
  <c r="BW77" i="7"/>
  <c r="BW76" i="7"/>
  <c r="BW75" i="7"/>
  <c r="BW74" i="7"/>
  <c r="BW73" i="7"/>
  <c r="BW72" i="7"/>
  <c r="BW71" i="7"/>
  <c r="BW70" i="7"/>
  <c r="BW69" i="7"/>
  <c r="BW68" i="7"/>
  <c r="BW67" i="7"/>
  <c r="BW66" i="7"/>
  <c r="BW65" i="7"/>
  <c r="BW64" i="7"/>
  <c r="BW63" i="7"/>
  <c r="BW62" i="7"/>
  <c r="BW61" i="7"/>
  <c r="BW60" i="7"/>
  <c r="BW59" i="7"/>
  <c r="BW58" i="7"/>
  <c r="BW57" i="7"/>
  <c r="BW56" i="7"/>
  <c r="BW55" i="7"/>
  <c r="BW54" i="7"/>
  <c r="BW53" i="7"/>
  <c r="BW52" i="7"/>
  <c r="BW51" i="7"/>
  <c r="BW50" i="7"/>
  <c r="BW49" i="7"/>
  <c r="BW48" i="7"/>
  <c r="BW47" i="7"/>
  <c r="BW46" i="7"/>
  <c r="BW45" i="7"/>
  <c r="BW44" i="7"/>
  <c r="BW43" i="7"/>
  <c r="BW42" i="7"/>
  <c r="BW41" i="7"/>
  <c r="BW40" i="7"/>
  <c r="BW39" i="7"/>
  <c r="BW38" i="7"/>
  <c r="BW37" i="7"/>
  <c r="BW36" i="7"/>
  <c r="BW35" i="7"/>
  <c r="BW34" i="7"/>
  <c r="BW33" i="7"/>
  <c r="BW32" i="7"/>
  <c r="BW31" i="7"/>
  <c r="BW30" i="7"/>
  <c r="BW29" i="7"/>
  <c r="BW28" i="7"/>
  <c r="BW27" i="7"/>
  <c r="BW26" i="7"/>
  <c r="BW25" i="7"/>
  <c r="BW24" i="7"/>
  <c r="BW23" i="7"/>
  <c r="BW22" i="7"/>
  <c r="BW21" i="7"/>
  <c r="BW20" i="7"/>
  <c r="BW19" i="7"/>
  <c r="BW18" i="7"/>
  <c r="BW17" i="7"/>
  <c r="BW16" i="7"/>
  <c r="BW15" i="7"/>
  <c r="BW14" i="7"/>
  <c r="BW13" i="7"/>
  <c r="BQ1311" i="7"/>
  <c r="BQ1310" i="7"/>
  <c r="BQ1309" i="7"/>
  <c r="BQ1308" i="7"/>
  <c r="BQ1307" i="7"/>
  <c r="BQ1306" i="7"/>
  <c r="BQ1305" i="7"/>
  <c r="BQ1304" i="7"/>
  <c r="BQ1303" i="7"/>
  <c r="BQ1302" i="7"/>
  <c r="BQ1301" i="7"/>
  <c r="BQ1300" i="7"/>
  <c r="BQ1299" i="7"/>
  <c r="BQ1298" i="7"/>
  <c r="BQ1297" i="7"/>
  <c r="BQ1296" i="7"/>
  <c r="BQ1295" i="7"/>
  <c r="BQ1294" i="7"/>
  <c r="BQ1293" i="7"/>
  <c r="BQ1292" i="7"/>
  <c r="BQ1291" i="7"/>
  <c r="BQ1290" i="7"/>
  <c r="BQ1289" i="7"/>
  <c r="BQ1288" i="7"/>
  <c r="BQ1287" i="7"/>
  <c r="BQ1286" i="7"/>
  <c r="BQ1285" i="7"/>
  <c r="BQ1284" i="7"/>
  <c r="BQ1283" i="7"/>
  <c r="BQ1282" i="7"/>
  <c r="BQ1281" i="7"/>
  <c r="BQ1280" i="7"/>
  <c r="BQ1279" i="7"/>
  <c r="BQ1278" i="7"/>
  <c r="BQ1277" i="7"/>
  <c r="BQ1276" i="7"/>
  <c r="BQ1275" i="7"/>
  <c r="BQ1274" i="7"/>
  <c r="BQ1273" i="7"/>
  <c r="BQ1272" i="7"/>
  <c r="BQ1271" i="7"/>
  <c r="BQ1270" i="7"/>
  <c r="BQ1269" i="7"/>
  <c r="BQ1268" i="7"/>
  <c r="BQ1267" i="7"/>
  <c r="BQ1266" i="7"/>
  <c r="BQ1265" i="7"/>
  <c r="BQ1264" i="7"/>
  <c r="BQ1263" i="7"/>
  <c r="BQ1262" i="7"/>
  <c r="BQ1261" i="7"/>
  <c r="BQ1260" i="7"/>
  <c r="BQ1259" i="7"/>
  <c r="BQ1258" i="7"/>
  <c r="BQ1257" i="7"/>
  <c r="BQ1256" i="7"/>
  <c r="BQ1255" i="7"/>
  <c r="BQ1254" i="7"/>
  <c r="BQ1253" i="7"/>
  <c r="BQ1252" i="7"/>
  <c r="BQ1251" i="7"/>
  <c r="BQ1250" i="7"/>
  <c r="BQ1249" i="7"/>
  <c r="BQ1248" i="7"/>
  <c r="BQ1247" i="7"/>
  <c r="BQ1246" i="7"/>
  <c r="BQ1245" i="7"/>
  <c r="BQ1244" i="7"/>
  <c r="BQ1243" i="7"/>
  <c r="BQ1242" i="7"/>
  <c r="BQ1241" i="7"/>
  <c r="BQ1240" i="7"/>
  <c r="BQ1239" i="7"/>
  <c r="BQ1238" i="7"/>
  <c r="BQ1237" i="7"/>
  <c r="BQ1236" i="7"/>
  <c r="BQ1235" i="7"/>
  <c r="BQ1234" i="7"/>
  <c r="BQ1233" i="7"/>
  <c r="BQ1232" i="7"/>
  <c r="BQ1231" i="7"/>
  <c r="BQ1230" i="7"/>
  <c r="BQ1229" i="7"/>
  <c r="BQ1228" i="7"/>
  <c r="BQ1227" i="7"/>
  <c r="BQ1226" i="7"/>
  <c r="BQ1225" i="7"/>
  <c r="BQ1224" i="7"/>
  <c r="BQ1223" i="7"/>
  <c r="BQ1222" i="7"/>
  <c r="BQ1221" i="7"/>
  <c r="BQ1220" i="7"/>
  <c r="BQ1219" i="7"/>
  <c r="BQ1218" i="7"/>
  <c r="BQ1217" i="7"/>
  <c r="BQ1216" i="7"/>
  <c r="BQ1215" i="7"/>
  <c r="BQ1214" i="7"/>
  <c r="BQ1213" i="7"/>
  <c r="BQ1212" i="7"/>
  <c r="BQ1211" i="7"/>
  <c r="BQ1210" i="7"/>
  <c r="BQ1209" i="7"/>
  <c r="BQ1208" i="7"/>
  <c r="BQ1207" i="7"/>
  <c r="BQ1206" i="7"/>
  <c r="BQ1205" i="7"/>
  <c r="BQ1204" i="7"/>
  <c r="BQ1203" i="7"/>
  <c r="BQ1202" i="7"/>
  <c r="BQ1201" i="7"/>
  <c r="BQ1200" i="7"/>
  <c r="BQ1199" i="7"/>
  <c r="BQ1198" i="7"/>
  <c r="BQ1197" i="7"/>
  <c r="BQ1196" i="7"/>
  <c r="BQ1195" i="7"/>
  <c r="BQ1194" i="7"/>
  <c r="BQ1193" i="7"/>
  <c r="BQ1192" i="7"/>
  <c r="BQ1191" i="7"/>
  <c r="BQ1190" i="7"/>
  <c r="BQ1189" i="7"/>
  <c r="BQ1188" i="7"/>
  <c r="BQ1187" i="7"/>
  <c r="BQ1186" i="7"/>
  <c r="BQ1185" i="7"/>
  <c r="BQ1184" i="7"/>
  <c r="BQ1183" i="7"/>
  <c r="BQ1182" i="7"/>
  <c r="BQ1181" i="7"/>
  <c r="BQ1180" i="7"/>
  <c r="BQ1179" i="7"/>
  <c r="BQ1178" i="7"/>
  <c r="BQ1177" i="7"/>
  <c r="BQ1176" i="7"/>
  <c r="BQ1175" i="7"/>
  <c r="BQ1174" i="7"/>
  <c r="BQ1173" i="7"/>
  <c r="BQ1172" i="7"/>
  <c r="BQ1171" i="7"/>
  <c r="BQ1170" i="7"/>
  <c r="BQ1169" i="7"/>
  <c r="BQ1168" i="7"/>
  <c r="BQ1167" i="7"/>
  <c r="BQ1166" i="7"/>
  <c r="BQ1165" i="7"/>
  <c r="BQ1164" i="7"/>
  <c r="BQ1163" i="7"/>
  <c r="BQ1162" i="7"/>
  <c r="BQ1161" i="7"/>
  <c r="BQ1160" i="7"/>
  <c r="BQ1159" i="7"/>
  <c r="BQ1158" i="7"/>
  <c r="BQ1157" i="7"/>
  <c r="BQ1156" i="7"/>
  <c r="BQ1155" i="7"/>
  <c r="BQ1154" i="7"/>
  <c r="BQ1153" i="7"/>
  <c r="BQ1152" i="7"/>
  <c r="BQ1151" i="7"/>
  <c r="BQ1150" i="7"/>
  <c r="BQ1149" i="7"/>
  <c r="BQ1148" i="7"/>
  <c r="BQ1147" i="7"/>
  <c r="BQ1146" i="7"/>
  <c r="BQ1145" i="7"/>
  <c r="BQ1144" i="7"/>
  <c r="BQ1143" i="7"/>
  <c r="BQ1142" i="7"/>
  <c r="BQ1141" i="7"/>
  <c r="BQ1140" i="7"/>
  <c r="BQ1139" i="7"/>
  <c r="BQ1138" i="7"/>
  <c r="BQ1137" i="7"/>
  <c r="BQ1136" i="7"/>
  <c r="BQ1135" i="7"/>
  <c r="BQ1134" i="7"/>
  <c r="BQ1133" i="7"/>
  <c r="BQ1132" i="7"/>
  <c r="BQ1131" i="7"/>
  <c r="BQ1130" i="7"/>
  <c r="BQ1129" i="7"/>
  <c r="BQ1128" i="7"/>
  <c r="BQ1127" i="7"/>
  <c r="BQ1126" i="7"/>
  <c r="BQ1125" i="7"/>
  <c r="BQ1124" i="7"/>
  <c r="BQ1123" i="7"/>
  <c r="BQ1122" i="7"/>
  <c r="BQ1121" i="7"/>
  <c r="BQ1120" i="7"/>
  <c r="BQ1119" i="7"/>
  <c r="BQ1118" i="7"/>
  <c r="BQ1117" i="7"/>
  <c r="BQ1116" i="7"/>
  <c r="BQ1115" i="7"/>
  <c r="BQ1114" i="7"/>
  <c r="BQ1113" i="7"/>
  <c r="BQ1112" i="7"/>
  <c r="BQ1111" i="7"/>
  <c r="BQ1110" i="7"/>
  <c r="BQ1109" i="7"/>
  <c r="BQ1108" i="7"/>
  <c r="BQ1107" i="7"/>
  <c r="BQ1106" i="7"/>
  <c r="BQ1105" i="7"/>
  <c r="BQ1104" i="7"/>
  <c r="BQ1103" i="7"/>
  <c r="BQ1102" i="7"/>
  <c r="BQ1101" i="7"/>
  <c r="BQ1100" i="7"/>
  <c r="BQ1099" i="7"/>
  <c r="BQ1098" i="7"/>
  <c r="BQ1097" i="7"/>
  <c r="BQ1096" i="7"/>
  <c r="BQ1095" i="7"/>
  <c r="BQ1094" i="7"/>
  <c r="BQ1093" i="7"/>
  <c r="BQ1092" i="7"/>
  <c r="BQ1091" i="7"/>
  <c r="BQ1090" i="7"/>
  <c r="BQ1089" i="7"/>
  <c r="BQ1088" i="7"/>
  <c r="BQ1087" i="7"/>
  <c r="BQ1086" i="7"/>
  <c r="BQ1085" i="7"/>
  <c r="BQ1084" i="7"/>
  <c r="BQ1083" i="7"/>
  <c r="BQ1082" i="7"/>
  <c r="BQ1081" i="7"/>
  <c r="BQ1080" i="7"/>
  <c r="BQ1079" i="7"/>
  <c r="BQ1078" i="7"/>
  <c r="BQ1077" i="7"/>
  <c r="BQ1076" i="7"/>
  <c r="BQ1075" i="7"/>
  <c r="BQ1074" i="7"/>
  <c r="BQ1073" i="7"/>
  <c r="BQ1072" i="7"/>
  <c r="BQ1071" i="7"/>
  <c r="BQ1070" i="7"/>
  <c r="BQ1069" i="7"/>
  <c r="BQ1068" i="7"/>
  <c r="BQ1067" i="7"/>
  <c r="BQ1066" i="7"/>
  <c r="BQ1065" i="7"/>
  <c r="BQ1064" i="7"/>
  <c r="BQ1063" i="7"/>
  <c r="BQ1062" i="7"/>
  <c r="BQ1061" i="7"/>
  <c r="BQ1060" i="7"/>
  <c r="BQ1059" i="7"/>
  <c r="BQ1058" i="7"/>
  <c r="BQ1057" i="7"/>
  <c r="BQ1056" i="7"/>
  <c r="BQ1055" i="7"/>
  <c r="BQ1054" i="7"/>
  <c r="BQ1053" i="7"/>
  <c r="BQ1052" i="7"/>
  <c r="BQ1051" i="7"/>
  <c r="BQ1050" i="7"/>
  <c r="BQ1049" i="7"/>
  <c r="BQ1048" i="7"/>
  <c r="BQ1047" i="7"/>
  <c r="BQ1046" i="7"/>
  <c r="BQ1045" i="7"/>
  <c r="BQ1044" i="7"/>
  <c r="BQ1043" i="7"/>
  <c r="BQ1042" i="7"/>
  <c r="BQ1041" i="7"/>
  <c r="BQ1040" i="7"/>
  <c r="BQ1039" i="7"/>
  <c r="BQ1038" i="7"/>
  <c r="BQ1037" i="7"/>
  <c r="BQ1036" i="7"/>
  <c r="BQ1035" i="7"/>
  <c r="BQ1034" i="7"/>
  <c r="BQ1033" i="7"/>
  <c r="BQ1032" i="7"/>
  <c r="BQ1031" i="7"/>
  <c r="BQ1030" i="7"/>
  <c r="BQ1029" i="7"/>
  <c r="BQ1028" i="7"/>
  <c r="BQ1027" i="7"/>
  <c r="BQ1026" i="7"/>
  <c r="BQ1025" i="7"/>
  <c r="BQ1024" i="7"/>
  <c r="BQ1023" i="7"/>
  <c r="BQ1022" i="7"/>
  <c r="BQ1021" i="7"/>
  <c r="BQ1020" i="7"/>
  <c r="BQ1019" i="7"/>
  <c r="BQ1018" i="7"/>
  <c r="BQ1017" i="7"/>
  <c r="BQ1016" i="7"/>
  <c r="BQ1015" i="7"/>
  <c r="BQ1014" i="7"/>
  <c r="BQ1013" i="7"/>
  <c r="BQ1012" i="7"/>
  <c r="BQ1011" i="7"/>
  <c r="BQ1010" i="7"/>
  <c r="BQ1009" i="7"/>
  <c r="BQ1008" i="7"/>
  <c r="BQ1007" i="7"/>
  <c r="BQ1006" i="7"/>
  <c r="BQ1005" i="7"/>
  <c r="BQ1004" i="7"/>
  <c r="BQ1003" i="7"/>
  <c r="BQ1002" i="7"/>
  <c r="BQ1001" i="7"/>
  <c r="BQ1000" i="7"/>
  <c r="BQ999" i="7"/>
  <c r="BQ998" i="7"/>
  <c r="BQ997" i="7"/>
  <c r="BQ996" i="7"/>
  <c r="BQ995" i="7"/>
  <c r="BQ994" i="7"/>
  <c r="BQ993" i="7"/>
  <c r="BQ992" i="7"/>
  <c r="BQ991" i="7"/>
  <c r="BQ990" i="7"/>
  <c r="BQ989" i="7"/>
  <c r="BQ988" i="7"/>
  <c r="BQ987" i="7"/>
  <c r="BQ986" i="7"/>
  <c r="BQ985" i="7"/>
  <c r="BQ984" i="7"/>
  <c r="BQ983" i="7"/>
  <c r="BQ982" i="7"/>
  <c r="BQ981" i="7"/>
  <c r="BQ980" i="7"/>
  <c r="BQ979" i="7"/>
  <c r="BQ978" i="7"/>
  <c r="BQ977" i="7"/>
  <c r="BQ976" i="7"/>
  <c r="BQ975" i="7"/>
  <c r="BQ974" i="7"/>
  <c r="BQ973" i="7"/>
  <c r="BQ972" i="7"/>
  <c r="BQ971" i="7"/>
  <c r="BQ970" i="7"/>
  <c r="BQ969" i="7"/>
  <c r="BQ968" i="7"/>
  <c r="BQ967" i="7"/>
  <c r="BQ966" i="7"/>
  <c r="BQ965" i="7"/>
  <c r="BQ964" i="7"/>
  <c r="BQ963" i="7"/>
  <c r="BQ962" i="7"/>
  <c r="BQ961" i="7"/>
  <c r="BQ960" i="7"/>
  <c r="BQ959" i="7"/>
  <c r="BQ958" i="7"/>
  <c r="BQ957" i="7"/>
  <c r="BQ956" i="7"/>
  <c r="BQ955" i="7"/>
  <c r="BQ954" i="7"/>
  <c r="BQ953" i="7"/>
  <c r="BQ952" i="7"/>
  <c r="BQ951" i="7"/>
  <c r="BQ950" i="7"/>
  <c r="BQ949" i="7"/>
  <c r="BQ948" i="7"/>
  <c r="BQ947" i="7"/>
  <c r="BQ946" i="7"/>
  <c r="BQ945" i="7"/>
  <c r="BQ944" i="7"/>
  <c r="BQ943" i="7"/>
  <c r="BQ942" i="7"/>
  <c r="BQ941" i="7"/>
  <c r="BQ940" i="7"/>
  <c r="BQ939" i="7"/>
  <c r="BQ938" i="7"/>
  <c r="BQ937" i="7"/>
  <c r="BQ936" i="7"/>
  <c r="BQ935" i="7"/>
  <c r="BQ934" i="7"/>
  <c r="BQ933" i="7"/>
  <c r="BQ932" i="7"/>
  <c r="BQ931" i="7"/>
  <c r="BQ930" i="7"/>
  <c r="BQ929" i="7"/>
  <c r="BQ928" i="7"/>
  <c r="BQ927" i="7"/>
  <c r="BQ926" i="7"/>
  <c r="BQ925" i="7"/>
  <c r="BQ924" i="7"/>
  <c r="BQ923" i="7"/>
  <c r="BQ922" i="7"/>
  <c r="BQ921" i="7"/>
  <c r="BQ920" i="7"/>
  <c r="BQ919" i="7"/>
  <c r="BQ918" i="7"/>
  <c r="BQ917" i="7"/>
  <c r="BQ916" i="7"/>
  <c r="BQ915" i="7"/>
  <c r="BQ914" i="7"/>
  <c r="BQ913" i="7"/>
  <c r="BQ912" i="7"/>
  <c r="BQ911" i="7"/>
  <c r="BQ910" i="7"/>
  <c r="BQ909" i="7"/>
  <c r="BQ908" i="7"/>
  <c r="BQ907" i="7"/>
  <c r="BQ906" i="7"/>
  <c r="BQ905" i="7"/>
  <c r="BQ904" i="7"/>
  <c r="BQ903" i="7"/>
  <c r="BQ902" i="7"/>
  <c r="BQ901" i="7"/>
  <c r="BQ900" i="7"/>
  <c r="BQ899" i="7"/>
  <c r="BQ898" i="7"/>
  <c r="BQ897" i="7"/>
  <c r="BQ896" i="7"/>
  <c r="BQ895" i="7"/>
  <c r="BQ894" i="7"/>
  <c r="BQ893" i="7"/>
  <c r="BQ892" i="7"/>
  <c r="BQ891" i="7"/>
  <c r="BQ890" i="7"/>
  <c r="BQ889" i="7"/>
  <c r="BQ888" i="7"/>
  <c r="BQ887" i="7"/>
  <c r="BQ886" i="7"/>
  <c r="BQ885" i="7"/>
  <c r="BQ884" i="7"/>
  <c r="BQ883" i="7"/>
  <c r="BQ882" i="7"/>
  <c r="BQ881" i="7"/>
  <c r="BQ880" i="7"/>
  <c r="BQ879" i="7"/>
  <c r="BQ878" i="7"/>
  <c r="BQ877" i="7"/>
  <c r="BQ876" i="7"/>
  <c r="BQ875" i="7"/>
  <c r="BQ874" i="7"/>
  <c r="BQ873" i="7"/>
  <c r="BQ872" i="7"/>
  <c r="BQ871" i="7"/>
  <c r="BQ870" i="7"/>
  <c r="BQ869" i="7"/>
  <c r="BQ868" i="7"/>
  <c r="BQ867" i="7"/>
  <c r="BQ866" i="7"/>
  <c r="BQ865" i="7"/>
  <c r="BQ864" i="7"/>
  <c r="BQ863" i="7"/>
  <c r="BQ862" i="7"/>
  <c r="BQ861" i="7"/>
  <c r="BQ860" i="7"/>
  <c r="BQ859" i="7"/>
  <c r="BQ858" i="7"/>
  <c r="BQ857" i="7"/>
  <c r="BQ856" i="7"/>
  <c r="BQ855" i="7"/>
  <c r="BQ854" i="7"/>
  <c r="BQ853" i="7"/>
  <c r="BQ852" i="7"/>
  <c r="BQ851" i="7"/>
  <c r="BQ850" i="7"/>
  <c r="BQ849" i="7"/>
  <c r="BQ848" i="7"/>
  <c r="BQ847" i="7"/>
  <c r="BQ846" i="7"/>
  <c r="BQ845" i="7"/>
  <c r="BQ844" i="7"/>
  <c r="BQ843" i="7"/>
  <c r="BQ842" i="7"/>
  <c r="BQ841" i="7"/>
  <c r="BQ840" i="7"/>
  <c r="BQ839" i="7"/>
  <c r="BQ838" i="7"/>
  <c r="BQ837" i="7"/>
  <c r="BQ836" i="7"/>
  <c r="BQ835" i="7"/>
  <c r="BQ834" i="7"/>
  <c r="BQ833" i="7"/>
  <c r="BQ832" i="7"/>
  <c r="BQ831" i="7"/>
  <c r="BQ830" i="7"/>
  <c r="BQ829" i="7"/>
  <c r="BQ828" i="7"/>
  <c r="BQ827" i="7"/>
  <c r="BQ826" i="7"/>
  <c r="BQ825" i="7"/>
  <c r="BQ824" i="7"/>
  <c r="BQ823" i="7"/>
  <c r="BQ822" i="7"/>
  <c r="BQ821" i="7"/>
  <c r="BQ820" i="7"/>
  <c r="BQ819" i="7"/>
  <c r="BQ818" i="7"/>
  <c r="BQ817" i="7"/>
  <c r="BQ816" i="7"/>
  <c r="BQ815" i="7"/>
  <c r="BQ814" i="7"/>
  <c r="BQ813" i="7"/>
  <c r="BQ812" i="7"/>
  <c r="BQ811" i="7"/>
  <c r="BQ810" i="7"/>
  <c r="BQ809" i="7"/>
  <c r="BQ808" i="7"/>
  <c r="BQ807" i="7"/>
  <c r="BQ806" i="7"/>
  <c r="BQ805" i="7"/>
  <c r="BQ804" i="7"/>
  <c r="BQ803" i="7"/>
  <c r="BQ802" i="7"/>
  <c r="BQ801" i="7"/>
  <c r="BQ800" i="7"/>
  <c r="BQ799" i="7"/>
  <c r="BQ798" i="7"/>
  <c r="BQ797" i="7"/>
  <c r="BQ796" i="7"/>
  <c r="BQ795" i="7"/>
  <c r="BQ794" i="7"/>
  <c r="BQ793" i="7"/>
  <c r="BQ792" i="7"/>
  <c r="BQ791" i="7"/>
  <c r="BQ790" i="7"/>
  <c r="BQ789" i="7"/>
  <c r="BQ788" i="7"/>
  <c r="BQ787" i="7"/>
  <c r="BQ786" i="7"/>
  <c r="BQ785" i="7"/>
  <c r="BQ784" i="7"/>
  <c r="BQ783" i="7"/>
  <c r="BQ782" i="7"/>
  <c r="BQ781" i="7"/>
  <c r="BQ780" i="7"/>
  <c r="BQ779" i="7"/>
  <c r="BQ778" i="7"/>
  <c r="BQ777" i="7"/>
  <c r="BQ776" i="7"/>
  <c r="BQ775" i="7"/>
  <c r="BQ774" i="7"/>
  <c r="BQ773" i="7"/>
  <c r="BQ772" i="7"/>
  <c r="BQ771" i="7"/>
  <c r="BQ770" i="7"/>
  <c r="BQ769" i="7"/>
  <c r="BQ768" i="7"/>
  <c r="BQ767" i="7"/>
  <c r="BQ766" i="7"/>
  <c r="BQ765" i="7"/>
  <c r="BQ764" i="7"/>
  <c r="BQ763" i="7"/>
  <c r="BQ762" i="7"/>
  <c r="BQ761" i="7"/>
  <c r="BQ760" i="7"/>
  <c r="BQ759" i="7"/>
  <c r="BQ758" i="7"/>
  <c r="BQ757" i="7"/>
  <c r="BQ756" i="7"/>
  <c r="BQ755" i="7"/>
  <c r="BQ754" i="7"/>
  <c r="BQ753" i="7"/>
  <c r="BQ752" i="7"/>
  <c r="BQ751" i="7"/>
  <c r="BQ750" i="7"/>
  <c r="BQ749" i="7"/>
  <c r="BQ748" i="7"/>
  <c r="BQ747" i="7"/>
  <c r="BQ746" i="7"/>
  <c r="BQ745" i="7"/>
  <c r="BQ744" i="7"/>
  <c r="BQ743" i="7"/>
  <c r="BQ742" i="7"/>
  <c r="BQ741" i="7"/>
  <c r="BQ740" i="7"/>
  <c r="BQ739" i="7"/>
  <c r="BQ738" i="7"/>
  <c r="BQ737" i="7"/>
  <c r="BQ736" i="7"/>
  <c r="BQ735" i="7"/>
  <c r="BQ734" i="7"/>
  <c r="BQ733" i="7"/>
  <c r="BQ732" i="7"/>
  <c r="BQ731" i="7"/>
  <c r="BQ730" i="7"/>
  <c r="BQ729" i="7"/>
  <c r="BQ728" i="7"/>
  <c r="BQ727" i="7"/>
  <c r="BQ726" i="7"/>
  <c r="BQ725" i="7"/>
  <c r="BQ724" i="7"/>
  <c r="BQ723" i="7"/>
  <c r="BQ722" i="7"/>
  <c r="BQ721" i="7"/>
  <c r="BQ720" i="7"/>
  <c r="BQ719" i="7"/>
  <c r="BQ718" i="7"/>
  <c r="BQ717" i="7"/>
  <c r="BQ716" i="7"/>
  <c r="BQ715" i="7"/>
  <c r="BQ714" i="7"/>
  <c r="BQ713" i="7"/>
  <c r="BQ712" i="7"/>
  <c r="BQ711" i="7"/>
  <c r="BQ710" i="7"/>
  <c r="BQ709" i="7"/>
  <c r="BQ708" i="7"/>
  <c r="BQ707" i="7"/>
  <c r="BQ706" i="7"/>
  <c r="BQ705" i="7"/>
  <c r="BQ704" i="7"/>
  <c r="BQ703" i="7"/>
  <c r="BQ702" i="7"/>
  <c r="BQ701" i="7"/>
  <c r="BQ700" i="7"/>
  <c r="BQ699" i="7"/>
  <c r="BQ698" i="7"/>
  <c r="BQ697" i="7"/>
  <c r="BQ696" i="7"/>
  <c r="BQ695" i="7"/>
  <c r="BQ694" i="7"/>
  <c r="BQ693" i="7"/>
  <c r="BQ692" i="7"/>
  <c r="BQ691" i="7"/>
  <c r="BQ690" i="7"/>
  <c r="BQ689" i="7"/>
  <c r="BQ688" i="7"/>
  <c r="BQ687" i="7"/>
  <c r="BQ686" i="7"/>
  <c r="BQ685" i="7"/>
  <c r="BQ684" i="7"/>
  <c r="BQ683" i="7"/>
  <c r="BQ682" i="7"/>
  <c r="BQ681" i="7"/>
  <c r="BQ680" i="7"/>
  <c r="BQ679" i="7"/>
  <c r="BQ678" i="7"/>
  <c r="BQ677" i="7"/>
  <c r="BQ676" i="7"/>
  <c r="BQ675" i="7"/>
  <c r="BQ674" i="7"/>
  <c r="BQ673" i="7"/>
  <c r="BQ672" i="7"/>
  <c r="BQ671" i="7"/>
  <c r="BQ670" i="7"/>
  <c r="BQ669" i="7"/>
  <c r="BQ668" i="7"/>
  <c r="BQ667" i="7"/>
  <c r="BQ666" i="7"/>
  <c r="BQ665" i="7"/>
  <c r="BQ664" i="7"/>
  <c r="BQ663" i="7"/>
  <c r="BQ662" i="7"/>
  <c r="BQ661" i="7"/>
  <c r="BQ660" i="7"/>
  <c r="BQ659" i="7"/>
  <c r="BQ658" i="7"/>
  <c r="BQ657" i="7"/>
  <c r="BQ656" i="7"/>
  <c r="BQ655" i="7"/>
  <c r="BQ654" i="7"/>
  <c r="BQ653" i="7"/>
  <c r="BQ652" i="7"/>
  <c r="BQ651" i="7"/>
  <c r="BQ650" i="7"/>
  <c r="BQ649" i="7"/>
  <c r="BQ648" i="7"/>
  <c r="BQ647" i="7"/>
  <c r="BQ646" i="7"/>
  <c r="BQ645" i="7"/>
  <c r="BQ644" i="7"/>
  <c r="BQ643" i="7"/>
  <c r="BQ642" i="7"/>
  <c r="BQ641" i="7"/>
  <c r="BQ640" i="7"/>
  <c r="BQ639" i="7"/>
  <c r="BQ638" i="7"/>
  <c r="BQ637" i="7"/>
  <c r="BQ636" i="7"/>
  <c r="BQ635" i="7"/>
  <c r="BQ634" i="7"/>
  <c r="BQ633" i="7"/>
  <c r="BQ632" i="7"/>
  <c r="BQ631" i="7"/>
  <c r="BQ630" i="7"/>
  <c r="BQ629" i="7"/>
  <c r="BQ628" i="7"/>
  <c r="BQ627" i="7"/>
  <c r="BQ626" i="7"/>
  <c r="BQ625" i="7"/>
  <c r="BQ624" i="7"/>
  <c r="BQ623" i="7"/>
  <c r="BQ622" i="7"/>
  <c r="BQ621" i="7"/>
  <c r="BQ620" i="7"/>
  <c r="BQ619" i="7"/>
  <c r="BQ618" i="7"/>
  <c r="BQ617" i="7"/>
  <c r="BQ616" i="7"/>
  <c r="BQ615" i="7"/>
  <c r="BQ614" i="7"/>
  <c r="BQ613" i="7"/>
  <c r="BQ612" i="7"/>
  <c r="BQ611" i="7"/>
  <c r="BQ610" i="7"/>
  <c r="BQ609" i="7"/>
  <c r="BQ608" i="7"/>
  <c r="BQ607" i="7"/>
  <c r="BQ606" i="7"/>
  <c r="BQ605" i="7"/>
  <c r="BQ604" i="7"/>
  <c r="BQ603" i="7"/>
  <c r="BQ602" i="7"/>
  <c r="BQ601" i="7"/>
  <c r="BQ600" i="7"/>
  <c r="BQ599" i="7"/>
  <c r="BQ598" i="7"/>
  <c r="BQ597" i="7"/>
  <c r="BQ596" i="7"/>
  <c r="BQ595" i="7"/>
  <c r="BQ594" i="7"/>
  <c r="BQ593" i="7"/>
  <c r="BQ592" i="7"/>
  <c r="BQ591" i="7"/>
  <c r="BQ590" i="7"/>
  <c r="BQ589" i="7"/>
  <c r="BQ588" i="7"/>
  <c r="BQ587" i="7"/>
  <c r="BQ586" i="7"/>
  <c r="BQ585" i="7"/>
  <c r="BQ584" i="7"/>
  <c r="BQ583" i="7"/>
  <c r="BQ582" i="7"/>
  <c r="BQ581" i="7"/>
  <c r="BQ580" i="7"/>
  <c r="BQ579" i="7"/>
  <c r="BQ578" i="7"/>
  <c r="BQ577" i="7"/>
  <c r="BQ576" i="7"/>
  <c r="BQ575" i="7"/>
  <c r="BQ574" i="7"/>
  <c r="BQ573" i="7"/>
  <c r="BQ572" i="7"/>
  <c r="BQ571" i="7"/>
  <c r="BQ570" i="7"/>
  <c r="BQ569" i="7"/>
  <c r="BQ568" i="7"/>
  <c r="BQ567" i="7"/>
  <c r="BQ566" i="7"/>
  <c r="BQ565" i="7"/>
  <c r="BQ564" i="7"/>
  <c r="BQ563" i="7"/>
  <c r="BQ562" i="7"/>
  <c r="BQ561" i="7"/>
  <c r="BQ560" i="7"/>
  <c r="BQ559" i="7"/>
  <c r="BQ558" i="7"/>
  <c r="BQ557" i="7"/>
  <c r="BQ556" i="7"/>
  <c r="BQ555" i="7"/>
  <c r="BQ554" i="7"/>
  <c r="BQ553" i="7"/>
  <c r="BQ552" i="7"/>
  <c r="BQ551" i="7"/>
  <c r="BQ550" i="7"/>
  <c r="BQ549" i="7"/>
  <c r="BQ548" i="7"/>
  <c r="BQ547" i="7"/>
  <c r="BQ546" i="7"/>
  <c r="BQ545" i="7"/>
  <c r="BQ544" i="7"/>
  <c r="BQ543" i="7"/>
  <c r="BQ542" i="7"/>
  <c r="BQ541" i="7"/>
  <c r="BQ540" i="7"/>
  <c r="BQ539" i="7"/>
  <c r="BQ538" i="7"/>
  <c r="BQ537" i="7"/>
  <c r="BQ536" i="7"/>
  <c r="BQ535" i="7"/>
  <c r="BQ534" i="7"/>
  <c r="BQ533" i="7"/>
  <c r="BQ532" i="7"/>
  <c r="BQ531" i="7"/>
  <c r="BQ530" i="7"/>
  <c r="BQ529" i="7"/>
  <c r="BQ528" i="7"/>
  <c r="BQ527" i="7"/>
  <c r="BQ526" i="7"/>
  <c r="BQ525" i="7"/>
  <c r="BQ524" i="7"/>
  <c r="BQ523" i="7"/>
  <c r="BQ522" i="7"/>
  <c r="BQ521" i="7"/>
  <c r="BQ520" i="7"/>
  <c r="BQ519" i="7"/>
  <c r="BQ518" i="7"/>
  <c r="BQ517" i="7"/>
  <c r="BQ516" i="7"/>
  <c r="BQ515" i="7"/>
  <c r="BQ514" i="7"/>
  <c r="BQ513" i="7"/>
  <c r="BQ512" i="7"/>
  <c r="BQ511" i="7"/>
  <c r="BQ510" i="7"/>
  <c r="BQ509" i="7"/>
  <c r="BQ508" i="7"/>
  <c r="BQ507" i="7"/>
  <c r="BQ506" i="7"/>
  <c r="BQ505" i="7"/>
  <c r="BQ504" i="7"/>
  <c r="BQ503" i="7"/>
  <c r="BQ502" i="7"/>
  <c r="BQ501" i="7"/>
  <c r="BQ500" i="7"/>
  <c r="BQ499" i="7"/>
  <c r="BQ498" i="7"/>
  <c r="BQ497" i="7"/>
  <c r="BQ496" i="7"/>
  <c r="BQ495" i="7"/>
  <c r="BQ494" i="7"/>
  <c r="BQ493" i="7"/>
  <c r="BQ492" i="7"/>
  <c r="BQ491" i="7"/>
  <c r="BQ490" i="7"/>
  <c r="BQ489" i="7"/>
  <c r="BQ488" i="7"/>
  <c r="BQ487" i="7"/>
  <c r="BQ486" i="7"/>
  <c r="BQ485" i="7"/>
  <c r="BQ484" i="7"/>
  <c r="BQ483" i="7"/>
  <c r="BQ482" i="7"/>
  <c r="BQ481" i="7"/>
  <c r="BQ480" i="7"/>
  <c r="BQ479" i="7"/>
  <c r="BQ478" i="7"/>
  <c r="BQ477" i="7"/>
  <c r="BQ476" i="7"/>
  <c r="BQ475" i="7"/>
  <c r="BQ474" i="7"/>
  <c r="BQ473" i="7"/>
  <c r="BQ472" i="7"/>
  <c r="BQ471" i="7"/>
  <c r="BQ470" i="7"/>
  <c r="BQ469" i="7"/>
  <c r="BQ468" i="7"/>
  <c r="BQ467" i="7"/>
  <c r="BQ466" i="7"/>
  <c r="BQ465" i="7"/>
  <c r="BQ464" i="7"/>
  <c r="BQ463" i="7"/>
  <c r="BQ462" i="7"/>
  <c r="BQ461" i="7"/>
  <c r="BQ460" i="7"/>
  <c r="BQ459" i="7"/>
  <c r="BQ458" i="7"/>
  <c r="BQ457" i="7"/>
  <c r="BQ456" i="7"/>
  <c r="BQ455" i="7"/>
  <c r="BQ454" i="7"/>
  <c r="BQ453" i="7"/>
  <c r="BQ452" i="7"/>
  <c r="BQ451" i="7"/>
  <c r="BQ450" i="7"/>
  <c r="BQ449" i="7"/>
  <c r="BQ448" i="7"/>
  <c r="BQ447" i="7"/>
  <c r="BQ446" i="7"/>
  <c r="BQ445" i="7"/>
  <c r="BQ444" i="7"/>
  <c r="BQ443" i="7"/>
  <c r="BQ442" i="7"/>
  <c r="BQ441" i="7"/>
  <c r="BQ440" i="7"/>
  <c r="BQ439" i="7"/>
  <c r="BQ438" i="7"/>
  <c r="BQ437" i="7"/>
  <c r="BQ436" i="7"/>
  <c r="BQ435" i="7"/>
  <c r="BQ434" i="7"/>
  <c r="BQ433" i="7"/>
  <c r="BQ432" i="7"/>
  <c r="BQ431" i="7"/>
  <c r="BQ430" i="7"/>
  <c r="BQ429" i="7"/>
  <c r="BQ428" i="7"/>
  <c r="BQ427" i="7"/>
  <c r="BQ426" i="7"/>
  <c r="BQ425" i="7"/>
  <c r="BQ424" i="7"/>
  <c r="BQ423" i="7"/>
  <c r="BQ422" i="7"/>
  <c r="BQ421" i="7"/>
  <c r="BQ420" i="7"/>
  <c r="BQ419" i="7"/>
  <c r="BQ418" i="7"/>
  <c r="BQ417" i="7"/>
  <c r="BQ416" i="7"/>
  <c r="BQ415" i="7"/>
  <c r="BQ414" i="7"/>
  <c r="BQ413" i="7"/>
  <c r="BQ412" i="7"/>
  <c r="BQ411" i="7"/>
  <c r="BQ410" i="7"/>
  <c r="BQ409" i="7"/>
  <c r="BQ408" i="7"/>
  <c r="BQ407" i="7"/>
  <c r="BQ406" i="7"/>
  <c r="BQ405" i="7"/>
  <c r="BQ404" i="7"/>
  <c r="BQ403" i="7"/>
  <c r="BQ402" i="7"/>
  <c r="BQ401" i="7"/>
  <c r="BQ400" i="7"/>
  <c r="BQ399" i="7"/>
  <c r="BQ398" i="7"/>
  <c r="BQ397" i="7"/>
  <c r="BQ396" i="7"/>
  <c r="BQ395" i="7"/>
  <c r="BQ394" i="7"/>
  <c r="BQ393" i="7"/>
  <c r="BQ392" i="7"/>
  <c r="BQ391" i="7"/>
  <c r="BQ390" i="7"/>
  <c r="BQ389" i="7"/>
  <c r="BQ388" i="7"/>
  <c r="BQ387" i="7"/>
  <c r="BQ386" i="7"/>
  <c r="BQ385" i="7"/>
  <c r="BQ384" i="7"/>
  <c r="BQ383" i="7"/>
  <c r="BQ382" i="7"/>
  <c r="BQ381" i="7"/>
  <c r="BQ380" i="7"/>
  <c r="BQ379" i="7"/>
  <c r="BQ378" i="7"/>
  <c r="BQ377" i="7"/>
  <c r="BQ376" i="7"/>
  <c r="BQ375" i="7"/>
  <c r="BQ374" i="7"/>
  <c r="BQ373" i="7"/>
  <c r="BQ372" i="7"/>
  <c r="BQ371" i="7"/>
  <c r="BQ370" i="7"/>
  <c r="BQ369" i="7"/>
  <c r="BQ368" i="7"/>
  <c r="BQ367" i="7"/>
  <c r="BQ366" i="7"/>
  <c r="BQ365" i="7"/>
  <c r="BQ364" i="7"/>
  <c r="BQ363" i="7"/>
  <c r="BQ362" i="7"/>
  <c r="BQ361" i="7"/>
  <c r="BQ360" i="7"/>
  <c r="BQ359" i="7"/>
  <c r="BQ358" i="7"/>
  <c r="BQ357" i="7"/>
  <c r="BQ356" i="7"/>
  <c r="BQ355" i="7"/>
  <c r="BQ354" i="7"/>
  <c r="BQ353" i="7"/>
  <c r="BQ352" i="7"/>
  <c r="BQ351" i="7"/>
  <c r="BQ350" i="7"/>
  <c r="BQ349" i="7"/>
  <c r="BQ348" i="7"/>
  <c r="BQ347" i="7"/>
  <c r="BQ346" i="7"/>
  <c r="BQ345" i="7"/>
  <c r="BQ344" i="7"/>
  <c r="BQ343" i="7"/>
  <c r="BQ342" i="7"/>
  <c r="BQ341" i="7"/>
  <c r="BQ340" i="7"/>
  <c r="BQ339" i="7"/>
  <c r="BQ338" i="7"/>
  <c r="BQ337" i="7"/>
  <c r="BQ336" i="7"/>
  <c r="BQ335" i="7"/>
  <c r="BQ334" i="7"/>
  <c r="BQ333" i="7"/>
  <c r="BQ332" i="7"/>
  <c r="BQ331" i="7"/>
  <c r="BQ330" i="7"/>
  <c r="BQ329" i="7"/>
  <c r="BQ328" i="7"/>
  <c r="BQ327" i="7"/>
  <c r="BQ326" i="7"/>
  <c r="BQ325" i="7"/>
  <c r="BQ324" i="7"/>
  <c r="BQ323" i="7"/>
  <c r="BQ322" i="7"/>
  <c r="BQ321" i="7"/>
  <c r="BQ320" i="7"/>
  <c r="BQ319" i="7"/>
  <c r="BQ318" i="7"/>
  <c r="BQ317" i="7"/>
  <c r="BQ316" i="7"/>
  <c r="BQ315" i="7"/>
  <c r="BQ314" i="7"/>
  <c r="BQ313" i="7"/>
  <c r="BQ312" i="7"/>
  <c r="BQ311" i="7"/>
  <c r="BQ310" i="7"/>
  <c r="BQ309" i="7"/>
  <c r="BQ308" i="7"/>
  <c r="BQ307" i="7"/>
  <c r="BQ306" i="7"/>
  <c r="BQ305" i="7"/>
  <c r="BQ304" i="7"/>
  <c r="BQ303" i="7"/>
  <c r="BQ302" i="7"/>
  <c r="BQ301" i="7"/>
  <c r="BQ300" i="7"/>
  <c r="BQ299" i="7"/>
  <c r="BQ298" i="7"/>
  <c r="BQ297" i="7"/>
  <c r="BQ296" i="7"/>
  <c r="BQ295" i="7"/>
  <c r="BQ294" i="7"/>
  <c r="BQ293" i="7"/>
  <c r="BQ292" i="7"/>
  <c r="BQ291" i="7"/>
  <c r="BQ290" i="7"/>
  <c r="BQ289" i="7"/>
  <c r="BQ288" i="7"/>
  <c r="BQ287" i="7"/>
  <c r="BQ286" i="7"/>
  <c r="BQ285" i="7"/>
  <c r="BQ284" i="7"/>
  <c r="BQ283" i="7"/>
  <c r="BQ282" i="7"/>
  <c r="BQ281" i="7"/>
  <c r="BQ280" i="7"/>
  <c r="BQ279" i="7"/>
  <c r="BQ278" i="7"/>
  <c r="BQ277" i="7"/>
  <c r="BQ276" i="7"/>
  <c r="BQ275" i="7"/>
  <c r="BQ274" i="7"/>
  <c r="BQ273" i="7"/>
  <c r="BQ272" i="7"/>
  <c r="BQ271" i="7"/>
  <c r="BQ270" i="7"/>
  <c r="BQ269" i="7"/>
  <c r="BQ268" i="7"/>
  <c r="BQ267" i="7"/>
  <c r="BQ266" i="7"/>
  <c r="BQ265" i="7"/>
  <c r="BQ264" i="7"/>
  <c r="BQ263" i="7"/>
  <c r="BQ262" i="7"/>
  <c r="BQ261" i="7"/>
  <c r="BQ260" i="7"/>
  <c r="BQ259" i="7"/>
  <c r="BQ258" i="7"/>
  <c r="BQ257" i="7"/>
  <c r="BQ256" i="7"/>
  <c r="BQ255" i="7"/>
  <c r="BQ254" i="7"/>
  <c r="BQ253" i="7"/>
  <c r="BQ252" i="7"/>
  <c r="BQ251" i="7"/>
  <c r="BQ250" i="7"/>
  <c r="BQ249" i="7"/>
  <c r="BQ248" i="7"/>
  <c r="BQ247" i="7"/>
  <c r="BQ246" i="7"/>
  <c r="BQ245" i="7"/>
  <c r="BQ244" i="7"/>
  <c r="BQ243" i="7"/>
  <c r="BQ242" i="7"/>
  <c r="BQ241" i="7"/>
  <c r="BQ240" i="7"/>
  <c r="BQ239" i="7"/>
  <c r="BQ238" i="7"/>
  <c r="BQ237" i="7"/>
  <c r="BQ236" i="7"/>
  <c r="BQ235" i="7"/>
  <c r="BQ234" i="7"/>
  <c r="BQ233" i="7"/>
  <c r="BQ232" i="7"/>
  <c r="BQ231" i="7"/>
  <c r="BQ230" i="7"/>
  <c r="BQ229" i="7"/>
  <c r="BQ228" i="7"/>
  <c r="BQ227" i="7"/>
  <c r="BQ226" i="7"/>
  <c r="BQ225" i="7"/>
  <c r="BQ224" i="7"/>
  <c r="BQ223" i="7"/>
  <c r="BQ222" i="7"/>
  <c r="BQ221" i="7"/>
  <c r="BQ220" i="7"/>
  <c r="BQ219" i="7"/>
  <c r="BQ218" i="7"/>
  <c r="BQ217" i="7"/>
  <c r="BQ216" i="7"/>
  <c r="BQ215" i="7"/>
  <c r="BQ214" i="7"/>
  <c r="BQ213" i="7"/>
  <c r="BQ212" i="7"/>
  <c r="BQ211" i="7"/>
  <c r="BQ210" i="7"/>
  <c r="BQ209" i="7"/>
  <c r="BQ208" i="7"/>
  <c r="BQ207" i="7"/>
  <c r="BQ206" i="7"/>
  <c r="BQ205" i="7"/>
  <c r="BQ204" i="7"/>
  <c r="BQ203" i="7"/>
  <c r="BQ202" i="7"/>
  <c r="BQ201" i="7"/>
  <c r="BQ200" i="7"/>
  <c r="BQ199" i="7"/>
  <c r="BQ198" i="7"/>
  <c r="BQ197" i="7"/>
  <c r="BQ196" i="7"/>
  <c r="BQ195" i="7"/>
  <c r="BQ194" i="7"/>
  <c r="BQ193" i="7"/>
  <c r="BQ192" i="7"/>
  <c r="BQ191" i="7"/>
  <c r="BQ190" i="7"/>
  <c r="BQ189" i="7"/>
  <c r="BQ188" i="7"/>
  <c r="BQ187" i="7"/>
  <c r="BQ186" i="7"/>
  <c r="BQ185" i="7"/>
  <c r="BQ184" i="7"/>
  <c r="BQ183" i="7"/>
  <c r="BQ182" i="7"/>
  <c r="BQ181" i="7"/>
  <c r="BQ180" i="7"/>
  <c r="BQ179" i="7"/>
  <c r="BQ178" i="7"/>
  <c r="BQ177" i="7"/>
  <c r="BQ176" i="7"/>
  <c r="BQ175" i="7"/>
  <c r="BQ174" i="7"/>
  <c r="BQ173" i="7"/>
  <c r="BQ172" i="7"/>
  <c r="BQ171" i="7"/>
  <c r="BQ170" i="7"/>
  <c r="BQ169" i="7"/>
  <c r="BQ168" i="7"/>
  <c r="BQ167" i="7"/>
  <c r="BQ166" i="7"/>
  <c r="BQ165" i="7"/>
  <c r="BQ164" i="7"/>
  <c r="BQ163" i="7"/>
  <c r="BQ162" i="7"/>
  <c r="BQ161" i="7"/>
  <c r="BQ160" i="7"/>
  <c r="BQ159" i="7"/>
  <c r="BQ158" i="7"/>
  <c r="BQ157" i="7"/>
  <c r="BQ156" i="7"/>
  <c r="BQ155" i="7"/>
  <c r="BQ154" i="7"/>
  <c r="BQ153" i="7"/>
  <c r="BQ152" i="7"/>
  <c r="BQ151" i="7"/>
  <c r="BQ150" i="7"/>
  <c r="BQ149" i="7"/>
  <c r="BQ148" i="7"/>
  <c r="BQ147" i="7"/>
  <c r="BQ146" i="7"/>
  <c r="BQ145" i="7"/>
  <c r="BQ144" i="7"/>
  <c r="BQ143" i="7"/>
  <c r="BQ142" i="7"/>
  <c r="BQ141" i="7"/>
  <c r="BQ140" i="7"/>
  <c r="BQ139" i="7"/>
  <c r="BQ138" i="7"/>
  <c r="BQ137" i="7"/>
  <c r="BQ136" i="7"/>
  <c r="BQ135" i="7"/>
  <c r="BQ134" i="7"/>
  <c r="BQ133" i="7"/>
  <c r="BQ132" i="7"/>
  <c r="BQ131" i="7"/>
  <c r="BQ130" i="7"/>
  <c r="BQ129" i="7"/>
  <c r="BQ128" i="7"/>
  <c r="BQ127" i="7"/>
  <c r="BQ126" i="7"/>
  <c r="BQ125" i="7"/>
  <c r="BQ124" i="7"/>
  <c r="BQ123" i="7"/>
  <c r="BQ122" i="7"/>
  <c r="BQ121" i="7"/>
  <c r="BQ120" i="7"/>
  <c r="BQ119" i="7"/>
  <c r="BQ118" i="7"/>
  <c r="BQ117" i="7"/>
  <c r="BQ116" i="7"/>
  <c r="BQ115" i="7"/>
  <c r="BQ114" i="7"/>
  <c r="BQ113" i="7"/>
  <c r="BQ112" i="7"/>
  <c r="BQ111" i="7"/>
  <c r="BQ110" i="7"/>
  <c r="BQ109" i="7"/>
  <c r="BQ108" i="7"/>
  <c r="BQ107" i="7"/>
  <c r="BQ106" i="7"/>
  <c r="BQ105" i="7"/>
  <c r="BQ104" i="7"/>
  <c r="BQ103" i="7"/>
  <c r="BQ102" i="7"/>
  <c r="BQ101" i="7"/>
  <c r="BQ100" i="7"/>
  <c r="BQ99" i="7"/>
  <c r="BQ98" i="7"/>
  <c r="BQ97" i="7"/>
  <c r="BQ96" i="7"/>
  <c r="BQ95" i="7"/>
  <c r="BQ94" i="7"/>
  <c r="BQ93" i="7"/>
  <c r="BQ92" i="7"/>
  <c r="BQ91" i="7"/>
  <c r="BQ90" i="7"/>
  <c r="BQ89" i="7"/>
  <c r="BQ88" i="7"/>
  <c r="BQ87" i="7"/>
  <c r="BQ86" i="7"/>
  <c r="BQ85" i="7"/>
  <c r="BQ84" i="7"/>
  <c r="BQ83" i="7"/>
  <c r="BQ82" i="7"/>
  <c r="BQ81" i="7"/>
  <c r="BQ80" i="7"/>
  <c r="BQ79" i="7"/>
  <c r="BQ78" i="7"/>
  <c r="BQ77" i="7"/>
  <c r="BQ76" i="7"/>
  <c r="BQ75" i="7"/>
  <c r="BQ74" i="7"/>
  <c r="BQ73" i="7"/>
  <c r="BQ72" i="7"/>
  <c r="BQ71" i="7"/>
  <c r="BQ70" i="7"/>
  <c r="BQ69" i="7"/>
  <c r="BQ68" i="7"/>
  <c r="BQ67" i="7"/>
  <c r="BQ66" i="7"/>
  <c r="BQ65" i="7"/>
  <c r="BQ64" i="7"/>
  <c r="BQ63" i="7"/>
  <c r="BQ62" i="7"/>
  <c r="BQ61" i="7"/>
  <c r="BQ60" i="7"/>
  <c r="BQ59" i="7"/>
  <c r="BQ58" i="7"/>
  <c r="BQ57" i="7"/>
  <c r="BQ56" i="7"/>
  <c r="BQ55" i="7"/>
  <c r="BQ54" i="7"/>
  <c r="BQ53" i="7"/>
  <c r="BQ52" i="7"/>
  <c r="BQ51" i="7"/>
  <c r="BQ50" i="7"/>
  <c r="BQ49" i="7"/>
  <c r="BQ48" i="7"/>
  <c r="BQ47" i="7"/>
  <c r="BQ46" i="7"/>
  <c r="BQ45" i="7"/>
  <c r="BQ44" i="7"/>
  <c r="BQ43" i="7"/>
  <c r="BQ42" i="7"/>
  <c r="BQ41" i="7"/>
  <c r="BQ40" i="7"/>
  <c r="BQ39" i="7"/>
  <c r="BQ38" i="7"/>
  <c r="BQ37" i="7"/>
  <c r="BQ36" i="7"/>
  <c r="BQ35" i="7"/>
  <c r="BQ34" i="7"/>
  <c r="BQ33" i="7"/>
  <c r="BQ32" i="7"/>
  <c r="BQ31" i="7"/>
  <c r="BQ30" i="7"/>
  <c r="BQ29" i="7"/>
  <c r="BQ28" i="7"/>
  <c r="BQ27" i="7"/>
  <c r="BQ26" i="7"/>
  <c r="BQ25" i="7"/>
  <c r="BQ24" i="7"/>
  <c r="BQ23" i="7"/>
  <c r="BQ22" i="7"/>
  <c r="BQ21" i="7"/>
  <c r="BQ20" i="7"/>
  <c r="BQ19" i="7"/>
  <c r="BQ18" i="7"/>
  <c r="BQ17" i="7"/>
  <c r="BQ16" i="7"/>
  <c r="BQ15" i="7"/>
  <c r="BQ14" i="7"/>
  <c r="BQ13" i="7"/>
  <c r="BO1311" i="7"/>
  <c r="BO1310" i="7"/>
  <c r="BO1309" i="7"/>
  <c r="BO1308" i="7"/>
  <c r="BO1307" i="7"/>
  <c r="BO1306" i="7"/>
  <c r="BO1305" i="7"/>
  <c r="BO1304" i="7"/>
  <c r="BO1303" i="7"/>
  <c r="BO1302" i="7"/>
  <c r="BO1301" i="7"/>
  <c r="BO1300" i="7"/>
  <c r="BO1299" i="7"/>
  <c r="BO1298" i="7"/>
  <c r="BO1297" i="7"/>
  <c r="BO1296" i="7"/>
  <c r="BO1295" i="7"/>
  <c r="BO1294" i="7"/>
  <c r="BO1293" i="7"/>
  <c r="BO1292" i="7"/>
  <c r="BO1291" i="7"/>
  <c r="BO1290" i="7"/>
  <c r="BO1289" i="7"/>
  <c r="BO1288" i="7"/>
  <c r="BO1287" i="7"/>
  <c r="BO1286" i="7"/>
  <c r="BO1285" i="7"/>
  <c r="BO1284" i="7"/>
  <c r="BO1283" i="7"/>
  <c r="BO1282" i="7"/>
  <c r="BO1281" i="7"/>
  <c r="BO1280" i="7"/>
  <c r="BO1279" i="7"/>
  <c r="BO1278" i="7"/>
  <c r="BO1277" i="7"/>
  <c r="BO1276" i="7"/>
  <c r="BO1275" i="7"/>
  <c r="BO1274" i="7"/>
  <c r="BO1273" i="7"/>
  <c r="BO1272" i="7"/>
  <c r="BO1271" i="7"/>
  <c r="BO1270" i="7"/>
  <c r="BO1269" i="7"/>
  <c r="BO1268" i="7"/>
  <c r="BO1267" i="7"/>
  <c r="BO1266" i="7"/>
  <c r="BO1265" i="7"/>
  <c r="BO1264" i="7"/>
  <c r="BO1263" i="7"/>
  <c r="BO1262" i="7"/>
  <c r="BO1261" i="7"/>
  <c r="BO1260" i="7"/>
  <c r="BO1259" i="7"/>
  <c r="BO1258" i="7"/>
  <c r="BO1257" i="7"/>
  <c r="BO1256" i="7"/>
  <c r="BO1255" i="7"/>
  <c r="BO1254" i="7"/>
  <c r="BO1253" i="7"/>
  <c r="BO1252" i="7"/>
  <c r="BO1251" i="7"/>
  <c r="BO1250" i="7"/>
  <c r="BO1249" i="7"/>
  <c r="BO1248" i="7"/>
  <c r="BO1247" i="7"/>
  <c r="BO1246" i="7"/>
  <c r="BO1245" i="7"/>
  <c r="BO1244" i="7"/>
  <c r="BO1243" i="7"/>
  <c r="BO1242" i="7"/>
  <c r="BO1241" i="7"/>
  <c r="BO1240" i="7"/>
  <c r="BO1239" i="7"/>
  <c r="BO1238" i="7"/>
  <c r="BO1237" i="7"/>
  <c r="BO1236" i="7"/>
  <c r="BO1235" i="7"/>
  <c r="BO1234" i="7"/>
  <c r="BO1233" i="7"/>
  <c r="BO1232" i="7"/>
  <c r="BO1231" i="7"/>
  <c r="BO1230" i="7"/>
  <c r="BO1229" i="7"/>
  <c r="BO1228" i="7"/>
  <c r="BO1227" i="7"/>
  <c r="BO1226" i="7"/>
  <c r="BO1225" i="7"/>
  <c r="BO1224" i="7"/>
  <c r="BO1223" i="7"/>
  <c r="BO1222" i="7"/>
  <c r="BO1221" i="7"/>
  <c r="BO1220" i="7"/>
  <c r="BO1219" i="7"/>
  <c r="BO1218" i="7"/>
  <c r="BO1217" i="7"/>
  <c r="BO1216" i="7"/>
  <c r="BO1215" i="7"/>
  <c r="BO1214" i="7"/>
  <c r="BO1213" i="7"/>
  <c r="BO1212" i="7"/>
  <c r="BO1211" i="7"/>
  <c r="BO1210" i="7"/>
  <c r="BO1209" i="7"/>
  <c r="BO1208" i="7"/>
  <c r="BO1207" i="7"/>
  <c r="BO1206" i="7"/>
  <c r="BO1205" i="7"/>
  <c r="BO1204" i="7"/>
  <c r="BO1203" i="7"/>
  <c r="BO1202" i="7"/>
  <c r="BO1201" i="7"/>
  <c r="BO1200" i="7"/>
  <c r="BO1199" i="7"/>
  <c r="BO1198" i="7"/>
  <c r="BO1197" i="7"/>
  <c r="BO1196" i="7"/>
  <c r="BO1195" i="7"/>
  <c r="BO1194" i="7"/>
  <c r="BO1193" i="7"/>
  <c r="BO1192" i="7"/>
  <c r="BO1191" i="7"/>
  <c r="BO1190" i="7"/>
  <c r="BO1189" i="7"/>
  <c r="BO1188" i="7"/>
  <c r="BO1187" i="7"/>
  <c r="BO1186" i="7"/>
  <c r="BO1185" i="7"/>
  <c r="BO1184" i="7"/>
  <c r="BO1183" i="7"/>
  <c r="BO1182" i="7"/>
  <c r="BO1181" i="7"/>
  <c r="BO1180" i="7"/>
  <c r="BO1179" i="7"/>
  <c r="BO1178" i="7"/>
  <c r="BO1177" i="7"/>
  <c r="BO1176" i="7"/>
  <c r="BO1175" i="7"/>
  <c r="BO1174" i="7"/>
  <c r="BO1173" i="7"/>
  <c r="BO1172" i="7"/>
  <c r="BO1171" i="7"/>
  <c r="BO1170" i="7"/>
  <c r="BO1169" i="7"/>
  <c r="BO1168" i="7"/>
  <c r="BO1167" i="7"/>
  <c r="BO1166" i="7"/>
  <c r="BO1165" i="7"/>
  <c r="BO1164" i="7"/>
  <c r="BO1163" i="7"/>
  <c r="BO1162" i="7"/>
  <c r="BO1161" i="7"/>
  <c r="BO1160" i="7"/>
  <c r="BO1159" i="7"/>
  <c r="BO1158" i="7"/>
  <c r="BO1157" i="7"/>
  <c r="BO1156" i="7"/>
  <c r="BO1155" i="7"/>
  <c r="BO1154" i="7"/>
  <c r="BO1153" i="7"/>
  <c r="BO1152" i="7"/>
  <c r="BO1151" i="7"/>
  <c r="BO1150" i="7"/>
  <c r="BO1149" i="7"/>
  <c r="BO1148" i="7"/>
  <c r="BO1147" i="7"/>
  <c r="BO1146" i="7"/>
  <c r="BO1145" i="7"/>
  <c r="BO1144" i="7"/>
  <c r="BO1143" i="7"/>
  <c r="BO1142" i="7"/>
  <c r="BO1141" i="7"/>
  <c r="BO1140" i="7"/>
  <c r="BO1139" i="7"/>
  <c r="BO1138" i="7"/>
  <c r="BO1137" i="7"/>
  <c r="BO1136" i="7"/>
  <c r="BO1135" i="7"/>
  <c r="BO1134" i="7"/>
  <c r="BO1133" i="7"/>
  <c r="BO1132" i="7"/>
  <c r="BO1131" i="7"/>
  <c r="BO1130" i="7"/>
  <c r="BO1129" i="7"/>
  <c r="BO1128" i="7"/>
  <c r="BO1127" i="7"/>
  <c r="BO1126" i="7"/>
  <c r="BO1125" i="7"/>
  <c r="BO1124" i="7"/>
  <c r="BO1123" i="7"/>
  <c r="BO1122" i="7"/>
  <c r="BO1121" i="7"/>
  <c r="BO1120" i="7"/>
  <c r="BO1119" i="7"/>
  <c r="BO1118" i="7"/>
  <c r="BO1117" i="7"/>
  <c r="BO1116" i="7"/>
  <c r="BO1115" i="7"/>
  <c r="BO1114" i="7"/>
  <c r="BO1113" i="7"/>
  <c r="BO1112" i="7"/>
  <c r="BO1111" i="7"/>
  <c r="BO1110" i="7"/>
  <c r="BO1109" i="7"/>
  <c r="BO1108" i="7"/>
  <c r="BO1107" i="7"/>
  <c r="BO1106" i="7"/>
  <c r="BO1105" i="7"/>
  <c r="BO1104" i="7"/>
  <c r="BO1103" i="7"/>
  <c r="BO1102" i="7"/>
  <c r="BO1101" i="7"/>
  <c r="BO1100" i="7"/>
  <c r="BO1099" i="7"/>
  <c r="BO1098" i="7"/>
  <c r="BO1097" i="7"/>
  <c r="BO1096" i="7"/>
  <c r="BO1095" i="7"/>
  <c r="BO1094" i="7"/>
  <c r="BO1093" i="7"/>
  <c r="BO1092" i="7"/>
  <c r="BO1091" i="7"/>
  <c r="BO1090" i="7"/>
  <c r="BO1089" i="7"/>
  <c r="BO1088" i="7"/>
  <c r="BO1087" i="7"/>
  <c r="BO1086" i="7"/>
  <c r="BO1085" i="7"/>
  <c r="BO1084" i="7"/>
  <c r="BO1083" i="7"/>
  <c r="BO1082" i="7"/>
  <c r="BO1081" i="7"/>
  <c r="BO1080" i="7"/>
  <c r="BO1079" i="7"/>
  <c r="BO1078" i="7"/>
  <c r="BO1077" i="7"/>
  <c r="BO1076" i="7"/>
  <c r="BO1075" i="7"/>
  <c r="BO1074" i="7"/>
  <c r="BO1073" i="7"/>
  <c r="BO1072" i="7"/>
  <c r="BO1071" i="7"/>
  <c r="BO1070" i="7"/>
  <c r="BO1069" i="7"/>
  <c r="BO1068" i="7"/>
  <c r="BO1067" i="7"/>
  <c r="BO1066" i="7"/>
  <c r="BO1065" i="7"/>
  <c r="BO1064" i="7"/>
  <c r="BO1063" i="7"/>
  <c r="BO1062" i="7"/>
  <c r="BO1061" i="7"/>
  <c r="BO1060" i="7"/>
  <c r="BO1059" i="7"/>
  <c r="BO1058" i="7"/>
  <c r="BO1057" i="7"/>
  <c r="BO1056" i="7"/>
  <c r="BO1055" i="7"/>
  <c r="BO1054" i="7"/>
  <c r="BO1053" i="7"/>
  <c r="BO1052" i="7"/>
  <c r="BO1051" i="7"/>
  <c r="BO1050" i="7"/>
  <c r="BO1049" i="7"/>
  <c r="BO1048" i="7"/>
  <c r="BO1047" i="7"/>
  <c r="BO1046" i="7"/>
  <c r="BO1045" i="7"/>
  <c r="BO1044" i="7"/>
  <c r="BO1043" i="7"/>
  <c r="BO1042" i="7"/>
  <c r="BO1041" i="7"/>
  <c r="BO1040" i="7"/>
  <c r="BO1039" i="7"/>
  <c r="BO1038" i="7"/>
  <c r="BO1037" i="7"/>
  <c r="BO1036" i="7"/>
  <c r="BO1035" i="7"/>
  <c r="BO1034" i="7"/>
  <c r="BO1033" i="7"/>
  <c r="BO1032" i="7"/>
  <c r="BO1031" i="7"/>
  <c r="BO1030" i="7"/>
  <c r="BO1029" i="7"/>
  <c r="BO1028" i="7"/>
  <c r="BO1027" i="7"/>
  <c r="BO1026" i="7"/>
  <c r="BO1025" i="7"/>
  <c r="BO1024" i="7"/>
  <c r="BO1023" i="7"/>
  <c r="BO1022" i="7"/>
  <c r="BO1021" i="7"/>
  <c r="BO1020" i="7"/>
  <c r="BO1019" i="7"/>
  <c r="BO1018" i="7"/>
  <c r="BO1017" i="7"/>
  <c r="BO1016" i="7"/>
  <c r="BO1015" i="7"/>
  <c r="BO1014" i="7"/>
  <c r="BO1013" i="7"/>
  <c r="BO1012" i="7"/>
  <c r="BO1011" i="7"/>
  <c r="BO1010" i="7"/>
  <c r="BO1009" i="7"/>
  <c r="BO1008" i="7"/>
  <c r="BO1007" i="7"/>
  <c r="BO1006" i="7"/>
  <c r="BO1005" i="7"/>
  <c r="BO1004" i="7"/>
  <c r="BO1003" i="7"/>
  <c r="BO1002" i="7"/>
  <c r="BO1001" i="7"/>
  <c r="BO1000" i="7"/>
  <c r="BO999" i="7"/>
  <c r="BO998" i="7"/>
  <c r="BO997" i="7"/>
  <c r="BO996" i="7"/>
  <c r="BO995" i="7"/>
  <c r="BO994" i="7"/>
  <c r="BO993" i="7"/>
  <c r="BO992" i="7"/>
  <c r="BO991" i="7"/>
  <c r="BO990" i="7"/>
  <c r="BO989" i="7"/>
  <c r="BO988" i="7"/>
  <c r="BO987" i="7"/>
  <c r="BO986" i="7"/>
  <c r="BO985" i="7"/>
  <c r="BO984" i="7"/>
  <c r="BO983" i="7"/>
  <c r="BO982" i="7"/>
  <c r="BO981" i="7"/>
  <c r="BO980" i="7"/>
  <c r="BO979" i="7"/>
  <c r="BO978" i="7"/>
  <c r="BO977" i="7"/>
  <c r="BO976" i="7"/>
  <c r="BO975" i="7"/>
  <c r="BO974" i="7"/>
  <c r="BO973" i="7"/>
  <c r="BO972" i="7"/>
  <c r="BO971" i="7"/>
  <c r="BO970" i="7"/>
  <c r="BO969" i="7"/>
  <c r="BO968" i="7"/>
  <c r="BO967" i="7"/>
  <c r="BO966" i="7"/>
  <c r="BO965" i="7"/>
  <c r="BO964" i="7"/>
  <c r="BO963" i="7"/>
  <c r="BO962" i="7"/>
  <c r="BO961" i="7"/>
  <c r="BO960" i="7"/>
  <c r="BO959" i="7"/>
  <c r="BO958" i="7"/>
  <c r="BO957" i="7"/>
  <c r="BO956" i="7"/>
  <c r="BO955" i="7"/>
  <c r="BO954" i="7"/>
  <c r="BO953" i="7"/>
  <c r="BO952" i="7"/>
  <c r="BO951" i="7"/>
  <c r="BO950" i="7"/>
  <c r="BO949" i="7"/>
  <c r="BO948" i="7"/>
  <c r="BO947" i="7"/>
  <c r="BO946" i="7"/>
  <c r="BO945" i="7"/>
  <c r="BO944" i="7"/>
  <c r="BO943" i="7"/>
  <c r="BO942" i="7"/>
  <c r="BO941" i="7"/>
  <c r="BO940" i="7"/>
  <c r="BO939" i="7"/>
  <c r="BO938" i="7"/>
  <c r="BO937" i="7"/>
  <c r="BO936" i="7"/>
  <c r="BO935" i="7"/>
  <c r="BO934" i="7"/>
  <c r="BO933" i="7"/>
  <c r="BO932" i="7"/>
  <c r="BO931" i="7"/>
  <c r="BO930" i="7"/>
  <c r="BO929" i="7"/>
  <c r="BO928" i="7"/>
  <c r="BO927" i="7"/>
  <c r="BO926" i="7"/>
  <c r="BO925" i="7"/>
  <c r="BO924" i="7"/>
  <c r="BO923" i="7"/>
  <c r="BO922" i="7"/>
  <c r="BO921" i="7"/>
  <c r="BO920" i="7"/>
  <c r="BO919" i="7"/>
  <c r="BO918" i="7"/>
  <c r="BO917" i="7"/>
  <c r="BO916" i="7"/>
  <c r="BO915" i="7"/>
  <c r="BO914" i="7"/>
  <c r="BO913" i="7"/>
  <c r="BO912" i="7"/>
  <c r="BO911" i="7"/>
  <c r="BO910" i="7"/>
  <c r="BO909" i="7"/>
  <c r="BO908" i="7"/>
  <c r="BO907" i="7"/>
  <c r="BO906" i="7"/>
  <c r="BO905" i="7"/>
  <c r="BO904" i="7"/>
  <c r="BO903" i="7"/>
  <c r="BO902" i="7"/>
  <c r="BO901" i="7"/>
  <c r="BO900" i="7"/>
  <c r="BO899" i="7"/>
  <c r="BO898" i="7"/>
  <c r="BO897" i="7"/>
  <c r="BO896" i="7"/>
  <c r="BO895" i="7"/>
  <c r="BO894" i="7"/>
  <c r="BO893" i="7"/>
  <c r="BO892" i="7"/>
  <c r="BO891" i="7"/>
  <c r="BO890" i="7"/>
  <c r="BO889" i="7"/>
  <c r="BO888" i="7"/>
  <c r="BO887" i="7"/>
  <c r="BO886" i="7"/>
  <c r="BO885" i="7"/>
  <c r="BO884" i="7"/>
  <c r="BO883" i="7"/>
  <c r="BO882" i="7"/>
  <c r="BO881" i="7"/>
  <c r="BO880" i="7"/>
  <c r="BO879" i="7"/>
  <c r="BO878" i="7"/>
  <c r="BO877" i="7"/>
  <c r="BO876" i="7"/>
  <c r="BO875" i="7"/>
  <c r="BO874" i="7"/>
  <c r="BO873" i="7"/>
  <c r="BO872" i="7"/>
  <c r="BO871" i="7"/>
  <c r="BO870" i="7"/>
  <c r="BO869" i="7"/>
  <c r="BO868" i="7"/>
  <c r="BO867" i="7"/>
  <c r="BO866" i="7"/>
  <c r="BO865" i="7"/>
  <c r="BO864" i="7"/>
  <c r="BO863" i="7"/>
  <c r="BO862" i="7"/>
  <c r="BO861" i="7"/>
  <c r="BO860" i="7"/>
  <c r="BO859" i="7"/>
  <c r="BO858" i="7"/>
  <c r="BO857" i="7"/>
  <c r="BO856" i="7"/>
  <c r="BO855" i="7"/>
  <c r="BO854" i="7"/>
  <c r="BO853" i="7"/>
  <c r="BO852" i="7"/>
  <c r="BO851" i="7"/>
  <c r="BO850" i="7"/>
  <c r="BO849" i="7"/>
  <c r="BO848" i="7"/>
  <c r="BO847" i="7"/>
  <c r="BO846" i="7"/>
  <c r="BO845" i="7"/>
  <c r="BO844" i="7"/>
  <c r="BO843" i="7"/>
  <c r="BO842" i="7"/>
  <c r="BO841" i="7"/>
  <c r="BO840" i="7"/>
  <c r="BO839" i="7"/>
  <c r="BO838" i="7"/>
  <c r="BO837" i="7"/>
  <c r="BO836" i="7"/>
  <c r="BO835" i="7"/>
  <c r="BO834" i="7"/>
  <c r="BO833" i="7"/>
  <c r="BO832" i="7"/>
  <c r="BO831" i="7"/>
  <c r="BO830" i="7"/>
  <c r="BO829" i="7"/>
  <c r="BO828" i="7"/>
  <c r="BO827" i="7"/>
  <c r="BO826" i="7"/>
  <c r="BO825" i="7"/>
  <c r="BO824" i="7"/>
  <c r="BO823" i="7"/>
  <c r="BO822" i="7"/>
  <c r="BO821" i="7"/>
  <c r="BO820" i="7"/>
  <c r="BO819" i="7"/>
  <c r="BO818" i="7"/>
  <c r="BO817" i="7"/>
  <c r="BO816" i="7"/>
  <c r="BO815" i="7"/>
  <c r="BO814" i="7"/>
  <c r="BO813" i="7"/>
  <c r="BO812" i="7"/>
  <c r="BO811" i="7"/>
  <c r="BO810" i="7"/>
  <c r="BO809" i="7"/>
  <c r="BO808" i="7"/>
  <c r="BO807" i="7"/>
  <c r="BO806" i="7"/>
  <c r="BO805" i="7"/>
  <c r="BO804" i="7"/>
  <c r="BO803" i="7"/>
  <c r="BO802" i="7"/>
  <c r="BO801" i="7"/>
  <c r="BO800" i="7"/>
  <c r="BO799" i="7"/>
  <c r="BO798" i="7"/>
  <c r="BO797" i="7"/>
  <c r="BO796" i="7"/>
  <c r="BO795" i="7"/>
  <c r="BO794" i="7"/>
  <c r="BO793" i="7"/>
  <c r="BO792" i="7"/>
  <c r="BO791" i="7"/>
  <c r="BO790" i="7"/>
  <c r="BO789" i="7"/>
  <c r="BO788" i="7"/>
  <c r="BO787" i="7"/>
  <c r="BO786" i="7"/>
  <c r="BO785" i="7"/>
  <c r="BO784" i="7"/>
  <c r="BO783" i="7"/>
  <c r="BO782" i="7"/>
  <c r="BO781" i="7"/>
  <c r="BO780" i="7"/>
  <c r="BO779" i="7"/>
  <c r="BO778" i="7"/>
  <c r="BO777" i="7"/>
  <c r="BO776" i="7"/>
  <c r="BO775" i="7"/>
  <c r="BO774" i="7"/>
  <c r="BO773" i="7"/>
  <c r="BO772" i="7"/>
  <c r="BO771" i="7"/>
  <c r="BO770" i="7"/>
  <c r="BO769" i="7"/>
  <c r="BO768" i="7"/>
  <c r="BO767" i="7"/>
  <c r="BO766" i="7"/>
  <c r="BO765" i="7"/>
  <c r="BO764" i="7"/>
  <c r="BO763" i="7"/>
  <c r="BO762" i="7"/>
  <c r="BO761" i="7"/>
  <c r="BO760" i="7"/>
  <c r="BO759" i="7"/>
  <c r="BO758" i="7"/>
  <c r="BO757" i="7"/>
  <c r="BO756" i="7"/>
  <c r="BO755" i="7"/>
  <c r="BO754" i="7"/>
  <c r="BO753" i="7"/>
  <c r="BO752" i="7"/>
  <c r="BO751" i="7"/>
  <c r="BO750" i="7"/>
  <c r="BO749" i="7"/>
  <c r="BO748" i="7"/>
  <c r="BO747" i="7"/>
  <c r="BO746" i="7"/>
  <c r="BO745" i="7"/>
  <c r="BO744" i="7"/>
  <c r="BO743" i="7"/>
  <c r="BO742" i="7"/>
  <c r="BO741" i="7"/>
  <c r="BO740" i="7"/>
  <c r="BO739" i="7"/>
  <c r="BO738" i="7"/>
  <c r="BO737" i="7"/>
  <c r="BO736" i="7"/>
  <c r="BO735" i="7"/>
  <c r="BO734" i="7"/>
  <c r="BO733" i="7"/>
  <c r="BO732" i="7"/>
  <c r="BO731" i="7"/>
  <c r="BO730" i="7"/>
  <c r="BO729" i="7"/>
  <c r="BO728" i="7"/>
  <c r="BO727" i="7"/>
  <c r="BO726" i="7"/>
  <c r="BO725" i="7"/>
  <c r="BO724" i="7"/>
  <c r="BO723" i="7"/>
  <c r="BO722" i="7"/>
  <c r="BO721" i="7"/>
  <c r="BO720" i="7"/>
  <c r="BO719" i="7"/>
  <c r="BO718" i="7"/>
  <c r="BO717" i="7"/>
  <c r="BO716" i="7"/>
  <c r="BO715" i="7"/>
  <c r="BO714" i="7"/>
  <c r="BO713" i="7"/>
  <c r="BO712" i="7"/>
  <c r="BO711" i="7"/>
  <c r="BO710" i="7"/>
  <c r="BO709" i="7"/>
  <c r="BO708" i="7"/>
  <c r="BO707" i="7"/>
  <c r="BO706" i="7"/>
  <c r="BO705" i="7"/>
  <c r="BO704" i="7"/>
  <c r="BO703" i="7"/>
  <c r="BO702" i="7"/>
  <c r="BO701" i="7"/>
  <c r="BO700" i="7"/>
  <c r="BO699" i="7"/>
  <c r="BO698" i="7"/>
  <c r="BO697" i="7"/>
  <c r="BO696" i="7"/>
  <c r="BO695" i="7"/>
  <c r="BO694" i="7"/>
  <c r="BO693" i="7"/>
  <c r="BO692" i="7"/>
  <c r="BO691" i="7"/>
  <c r="BO690" i="7"/>
  <c r="BO689" i="7"/>
  <c r="BO688" i="7"/>
  <c r="BO687" i="7"/>
  <c r="BO686" i="7"/>
  <c r="BO685" i="7"/>
  <c r="BO684" i="7"/>
  <c r="BO683" i="7"/>
  <c r="BO682" i="7"/>
  <c r="BO681" i="7"/>
  <c r="BO680" i="7"/>
  <c r="BO679" i="7"/>
  <c r="BO678" i="7"/>
  <c r="BO677" i="7"/>
  <c r="BO676" i="7"/>
  <c r="BO675" i="7"/>
  <c r="BO674" i="7"/>
  <c r="BO673" i="7"/>
  <c r="BO672" i="7"/>
  <c r="BO671" i="7"/>
  <c r="BO670" i="7"/>
  <c r="BO669" i="7"/>
  <c r="BO668" i="7"/>
  <c r="BO667" i="7"/>
  <c r="BO666" i="7"/>
  <c r="BO665" i="7"/>
  <c r="BO664" i="7"/>
  <c r="BO663" i="7"/>
  <c r="BO662" i="7"/>
  <c r="BO661" i="7"/>
  <c r="BO660" i="7"/>
  <c r="BO659" i="7"/>
  <c r="BO658" i="7"/>
  <c r="BO657" i="7"/>
  <c r="BO656" i="7"/>
  <c r="BO655" i="7"/>
  <c r="BO654" i="7"/>
  <c r="BO653" i="7"/>
  <c r="BO652" i="7"/>
  <c r="BO651" i="7"/>
  <c r="BO650" i="7"/>
  <c r="BO649" i="7"/>
  <c r="BO648" i="7"/>
  <c r="BO647" i="7"/>
  <c r="BO646" i="7"/>
  <c r="BO645" i="7"/>
  <c r="BO644" i="7"/>
  <c r="BO643" i="7"/>
  <c r="BO642" i="7"/>
  <c r="BO641" i="7"/>
  <c r="BO640" i="7"/>
  <c r="BO639" i="7"/>
  <c r="BO638" i="7"/>
  <c r="BO637" i="7"/>
  <c r="BO636" i="7"/>
  <c r="BO635" i="7"/>
  <c r="BO634" i="7"/>
  <c r="BO633" i="7"/>
  <c r="BO632" i="7"/>
  <c r="BO631" i="7"/>
  <c r="BO630" i="7"/>
  <c r="BO629" i="7"/>
  <c r="BO628" i="7"/>
  <c r="BO627" i="7"/>
  <c r="BO626" i="7"/>
  <c r="BO625" i="7"/>
  <c r="BO624" i="7"/>
  <c r="BO623" i="7"/>
  <c r="BO622" i="7"/>
  <c r="BO621" i="7"/>
  <c r="BO620" i="7"/>
  <c r="BO619" i="7"/>
  <c r="BO618" i="7"/>
  <c r="BO617" i="7"/>
  <c r="BO616" i="7"/>
  <c r="BO615" i="7"/>
  <c r="BO614" i="7"/>
  <c r="BO613" i="7"/>
  <c r="BO612" i="7"/>
  <c r="BO611" i="7"/>
  <c r="BO610" i="7"/>
  <c r="BO609" i="7"/>
  <c r="BO608" i="7"/>
  <c r="BO607" i="7"/>
  <c r="BO606" i="7"/>
  <c r="BO605" i="7"/>
  <c r="BO604" i="7"/>
  <c r="BO603" i="7"/>
  <c r="BO602" i="7"/>
  <c r="BO601" i="7"/>
  <c r="BO600" i="7"/>
  <c r="BO599" i="7"/>
  <c r="BO598" i="7"/>
  <c r="BO597" i="7"/>
  <c r="BO596" i="7"/>
  <c r="BO595" i="7"/>
  <c r="BO594" i="7"/>
  <c r="BO593" i="7"/>
  <c r="BO592" i="7"/>
  <c r="BO591" i="7"/>
  <c r="BO590" i="7"/>
  <c r="BO589" i="7"/>
  <c r="BO588" i="7"/>
  <c r="BO587" i="7"/>
  <c r="BO586" i="7"/>
  <c r="BO585" i="7"/>
  <c r="BO584" i="7"/>
  <c r="BO583" i="7"/>
  <c r="BO582" i="7"/>
  <c r="BO581" i="7"/>
  <c r="BO580" i="7"/>
  <c r="BO579" i="7"/>
  <c r="BO578" i="7"/>
  <c r="BO577" i="7"/>
  <c r="BO576" i="7"/>
  <c r="BO575" i="7"/>
  <c r="BO574" i="7"/>
  <c r="BO573" i="7"/>
  <c r="BO572" i="7"/>
  <c r="BO571" i="7"/>
  <c r="BO570" i="7"/>
  <c r="BO569" i="7"/>
  <c r="BO568" i="7"/>
  <c r="BO567" i="7"/>
  <c r="BO566" i="7"/>
  <c r="BO565" i="7"/>
  <c r="BO564" i="7"/>
  <c r="BO563" i="7"/>
  <c r="BO562" i="7"/>
  <c r="BO561" i="7"/>
  <c r="BO560" i="7"/>
  <c r="BO559" i="7"/>
  <c r="BO558" i="7"/>
  <c r="BO557" i="7"/>
  <c r="BO556" i="7"/>
  <c r="BO555" i="7"/>
  <c r="BO554" i="7"/>
  <c r="BO553" i="7"/>
  <c r="BO552" i="7"/>
  <c r="BO551" i="7"/>
  <c r="BO550" i="7"/>
  <c r="BO549" i="7"/>
  <c r="BO548" i="7"/>
  <c r="BO547" i="7"/>
  <c r="BO546" i="7"/>
  <c r="BO545" i="7"/>
  <c r="BO544" i="7"/>
  <c r="BO543" i="7"/>
  <c r="BO542" i="7"/>
  <c r="BO541" i="7"/>
  <c r="BO540" i="7"/>
  <c r="BO539" i="7"/>
  <c r="BO538" i="7"/>
  <c r="BO537" i="7"/>
  <c r="BO536" i="7"/>
  <c r="BO535" i="7"/>
  <c r="BO534" i="7"/>
  <c r="BO533" i="7"/>
  <c r="BO532" i="7"/>
  <c r="BO531" i="7"/>
  <c r="BO530" i="7"/>
  <c r="BO529" i="7"/>
  <c r="BO528" i="7"/>
  <c r="BO527" i="7"/>
  <c r="BO526" i="7"/>
  <c r="BO525" i="7"/>
  <c r="BO524" i="7"/>
  <c r="BO523" i="7"/>
  <c r="BO522" i="7"/>
  <c r="BO521" i="7"/>
  <c r="BO520" i="7"/>
  <c r="BO519" i="7"/>
  <c r="BO518" i="7"/>
  <c r="BO517" i="7"/>
  <c r="BO516" i="7"/>
  <c r="BO515" i="7"/>
  <c r="BO514" i="7"/>
  <c r="BO513" i="7"/>
  <c r="BO512" i="7"/>
  <c r="BO511" i="7"/>
  <c r="BO510" i="7"/>
  <c r="BO509" i="7"/>
  <c r="BO508" i="7"/>
  <c r="BO507" i="7"/>
  <c r="BO506" i="7"/>
  <c r="BO505" i="7"/>
  <c r="BO504" i="7"/>
  <c r="BO503" i="7"/>
  <c r="BO502" i="7"/>
  <c r="BO501" i="7"/>
  <c r="BO500" i="7"/>
  <c r="BO499" i="7"/>
  <c r="BO498" i="7"/>
  <c r="BO497" i="7"/>
  <c r="BO496" i="7"/>
  <c r="BO495" i="7"/>
  <c r="BO494" i="7"/>
  <c r="BO493" i="7"/>
  <c r="BO492" i="7"/>
  <c r="BO491" i="7"/>
  <c r="BO490" i="7"/>
  <c r="BO489" i="7"/>
  <c r="BO488" i="7"/>
  <c r="BO487" i="7"/>
  <c r="BO486" i="7"/>
  <c r="BO485" i="7"/>
  <c r="BO484" i="7"/>
  <c r="BO483" i="7"/>
  <c r="BO482" i="7"/>
  <c r="BO481" i="7"/>
  <c r="BO480" i="7"/>
  <c r="BO479" i="7"/>
  <c r="BO478" i="7"/>
  <c r="BO477" i="7"/>
  <c r="BO476" i="7"/>
  <c r="BO475" i="7"/>
  <c r="BO474" i="7"/>
  <c r="BO473" i="7"/>
  <c r="BO472" i="7"/>
  <c r="BO471" i="7"/>
  <c r="BO470" i="7"/>
  <c r="BO469" i="7"/>
  <c r="BO468" i="7"/>
  <c r="BO467" i="7"/>
  <c r="BO466" i="7"/>
  <c r="BO465" i="7"/>
  <c r="BO464" i="7"/>
  <c r="BO463" i="7"/>
  <c r="BO462" i="7"/>
  <c r="BO461" i="7"/>
  <c r="BO460" i="7"/>
  <c r="BO459" i="7"/>
  <c r="BO458" i="7"/>
  <c r="BO457" i="7"/>
  <c r="BO456" i="7"/>
  <c r="BO455" i="7"/>
  <c r="BO454" i="7"/>
  <c r="BO453" i="7"/>
  <c r="BO452" i="7"/>
  <c r="BO451" i="7"/>
  <c r="BO450" i="7"/>
  <c r="BO449" i="7"/>
  <c r="BO448" i="7"/>
  <c r="BO447" i="7"/>
  <c r="BO446" i="7"/>
  <c r="BO445" i="7"/>
  <c r="BO444" i="7"/>
  <c r="BO443" i="7"/>
  <c r="BO442" i="7"/>
  <c r="BO441" i="7"/>
  <c r="BO440" i="7"/>
  <c r="BO439" i="7"/>
  <c r="BO438" i="7"/>
  <c r="BO437" i="7"/>
  <c r="BO436" i="7"/>
  <c r="BO435" i="7"/>
  <c r="BO434" i="7"/>
  <c r="BO433" i="7"/>
  <c r="BO432" i="7"/>
  <c r="BO431" i="7"/>
  <c r="BO430" i="7"/>
  <c r="BO429" i="7"/>
  <c r="BO428" i="7"/>
  <c r="BO427" i="7"/>
  <c r="BO426" i="7"/>
  <c r="BO425" i="7"/>
  <c r="BO424" i="7"/>
  <c r="BO423" i="7"/>
  <c r="BO422" i="7"/>
  <c r="BO421" i="7"/>
  <c r="BO420" i="7"/>
  <c r="BO419" i="7"/>
  <c r="BO418" i="7"/>
  <c r="BO417" i="7"/>
  <c r="BO416" i="7"/>
  <c r="BO415" i="7"/>
  <c r="BO414" i="7"/>
  <c r="BO413" i="7"/>
  <c r="BO412" i="7"/>
  <c r="BO411" i="7"/>
  <c r="BO410" i="7"/>
  <c r="BO409" i="7"/>
  <c r="BO408" i="7"/>
  <c r="BO407" i="7"/>
  <c r="BO406" i="7"/>
  <c r="BO405" i="7"/>
  <c r="BO404" i="7"/>
  <c r="BO403" i="7"/>
  <c r="BO402" i="7"/>
  <c r="BO401" i="7"/>
  <c r="BO400" i="7"/>
  <c r="BO399" i="7"/>
  <c r="BO398" i="7"/>
  <c r="BO397" i="7"/>
  <c r="BO396" i="7"/>
  <c r="BO395" i="7"/>
  <c r="BO394" i="7"/>
  <c r="BO393" i="7"/>
  <c r="BO392" i="7"/>
  <c r="BO391" i="7"/>
  <c r="BO390" i="7"/>
  <c r="BO389" i="7"/>
  <c r="BO388" i="7"/>
  <c r="BO387" i="7"/>
  <c r="BO386" i="7"/>
  <c r="BO385" i="7"/>
  <c r="BO384" i="7"/>
  <c r="BO383" i="7"/>
  <c r="BO382" i="7"/>
  <c r="BO381" i="7"/>
  <c r="BO380" i="7"/>
  <c r="BO379" i="7"/>
  <c r="BO378" i="7"/>
  <c r="BO377" i="7"/>
  <c r="BO376" i="7"/>
  <c r="BO375" i="7"/>
  <c r="BO374" i="7"/>
  <c r="BO373" i="7"/>
  <c r="BO372" i="7"/>
  <c r="BO371" i="7"/>
  <c r="BO370" i="7"/>
  <c r="BO369" i="7"/>
  <c r="BO368" i="7"/>
  <c r="BO367" i="7"/>
  <c r="BO366" i="7"/>
  <c r="BO365" i="7"/>
  <c r="BO364" i="7"/>
  <c r="BO363" i="7"/>
  <c r="BO362" i="7"/>
  <c r="BO361" i="7"/>
  <c r="BO360" i="7"/>
  <c r="BO359" i="7"/>
  <c r="BO358" i="7"/>
  <c r="BO357" i="7"/>
  <c r="BO356" i="7"/>
  <c r="BO355" i="7"/>
  <c r="BO354" i="7"/>
  <c r="BO353" i="7"/>
  <c r="BO352" i="7"/>
  <c r="BO351" i="7"/>
  <c r="BO350" i="7"/>
  <c r="BO349" i="7"/>
  <c r="BO348" i="7"/>
  <c r="BO347" i="7"/>
  <c r="BO346" i="7"/>
  <c r="BO345" i="7"/>
  <c r="BO344" i="7"/>
  <c r="BO343" i="7"/>
  <c r="BO342" i="7"/>
  <c r="BO341" i="7"/>
  <c r="BO340" i="7"/>
  <c r="BO339" i="7"/>
  <c r="BO338" i="7"/>
  <c r="BO337" i="7"/>
  <c r="BO336" i="7"/>
  <c r="BO335" i="7"/>
  <c r="BO334" i="7"/>
  <c r="BO333" i="7"/>
  <c r="BO332" i="7"/>
  <c r="BO331" i="7"/>
  <c r="BO330" i="7"/>
  <c r="BO329" i="7"/>
  <c r="BO328" i="7"/>
  <c r="BO327" i="7"/>
  <c r="BO326" i="7"/>
  <c r="BO325" i="7"/>
  <c r="BO324" i="7"/>
  <c r="BO323" i="7"/>
  <c r="BO322" i="7"/>
  <c r="BO321" i="7"/>
  <c r="BO320" i="7"/>
  <c r="BO319" i="7"/>
  <c r="BO318" i="7"/>
  <c r="BO317" i="7"/>
  <c r="BO316" i="7"/>
  <c r="BO315" i="7"/>
  <c r="BO314" i="7"/>
  <c r="BO313" i="7"/>
  <c r="BO312" i="7"/>
  <c r="BO311" i="7"/>
  <c r="BO310" i="7"/>
  <c r="BO309" i="7"/>
  <c r="BO308" i="7"/>
  <c r="BO307" i="7"/>
  <c r="BO306" i="7"/>
  <c r="BO305" i="7"/>
  <c r="BO304" i="7"/>
  <c r="BO303" i="7"/>
  <c r="BO302" i="7"/>
  <c r="BO301" i="7"/>
  <c r="BO300" i="7"/>
  <c r="BO299" i="7"/>
  <c r="BO298" i="7"/>
  <c r="BO297" i="7"/>
  <c r="BO296" i="7"/>
  <c r="BO295" i="7"/>
  <c r="BO294" i="7"/>
  <c r="BO293" i="7"/>
  <c r="BO292" i="7"/>
  <c r="BO291" i="7"/>
  <c r="BO290" i="7"/>
  <c r="BO289" i="7"/>
  <c r="BO288" i="7"/>
  <c r="BO287" i="7"/>
  <c r="BO286" i="7"/>
  <c r="BO285" i="7"/>
  <c r="BO284" i="7"/>
  <c r="BO283" i="7"/>
  <c r="BO282" i="7"/>
  <c r="BO281" i="7"/>
  <c r="BO280" i="7"/>
  <c r="BO279" i="7"/>
  <c r="BO278" i="7"/>
  <c r="BO277" i="7"/>
  <c r="BO276" i="7"/>
  <c r="BO275" i="7"/>
  <c r="BO274" i="7"/>
  <c r="BO273" i="7"/>
  <c r="BO272" i="7"/>
  <c r="BO271" i="7"/>
  <c r="BO270" i="7"/>
  <c r="BO269" i="7"/>
  <c r="BO268" i="7"/>
  <c r="BO267" i="7"/>
  <c r="BO266" i="7"/>
  <c r="BO265" i="7"/>
  <c r="BO264" i="7"/>
  <c r="BO263" i="7"/>
  <c r="BO262" i="7"/>
  <c r="BO261" i="7"/>
  <c r="BO260" i="7"/>
  <c r="BO259" i="7"/>
  <c r="BO258" i="7"/>
  <c r="BO257" i="7"/>
  <c r="BO256" i="7"/>
  <c r="BO255" i="7"/>
  <c r="BO254" i="7"/>
  <c r="BO253" i="7"/>
  <c r="BO252" i="7"/>
  <c r="BO251" i="7"/>
  <c r="BO250" i="7"/>
  <c r="BO249" i="7"/>
  <c r="BO248" i="7"/>
  <c r="BO247" i="7"/>
  <c r="BO246" i="7"/>
  <c r="BO245" i="7"/>
  <c r="BO244" i="7"/>
  <c r="BO243" i="7"/>
  <c r="BO242" i="7"/>
  <c r="BO241" i="7"/>
  <c r="BO240" i="7"/>
  <c r="BO239" i="7"/>
  <c r="BO238" i="7"/>
  <c r="BO237" i="7"/>
  <c r="BO236" i="7"/>
  <c r="BO235" i="7"/>
  <c r="BO234" i="7"/>
  <c r="BO233" i="7"/>
  <c r="BO232" i="7"/>
  <c r="BO231" i="7"/>
  <c r="BO230" i="7"/>
  <c r="BO229" i="7"/>
  <c r="BO228" i="7"/>
  <c r="BO227" i="7"/>
  <c r="BO226" i="7"/>
  <c r="BO225" i="7"/>
  <c r="BO224" i="7"/>
  <c r="BO223" i="7"/>
  <c r="BO222" i="7"/>
  <c r="BO221" i="7"/>
  <c r="BO220" i="7"/>
  <c r="BO219" i="7"/>
  <c r="BO218" i="7"/>
  <c r="BO217" i="7"/>
  <c r="BO216" i="7"/>
  <c r="BO215" i="7"/>
  <c r="BO214" i="7"/>
  <c r="BO213" i="7"/>
  <c r="BO212" i="7"/>
  <c r="BO211" i="7"/>
  <c r="BO210" i="7"/>
  <c r="BO209" i="7"/>
  <c r="BO208" i="7"/>
  <c r="BO207" i="7"/>
  <c r="BO206" i="7"/>
  <c r="BO205" i="7"/>
  <c r="BO204" i="7"/>
  <c r="BO203" i="7"/>
  <c r="BO202" i="7"/>
  <c r="BO201" i="7"/>
  <c r="BO200" i="7"/>
  <c r="BO199" i="7"/>
  <c r="BO198" i="7"/>
  <c r="BO197" i="7"/>
  <c r="BO196" i="7"/>
  <c r="BO195" i="7"/>
  <c r="BO194" i="7"/>
  <c r="BO193" i="7"/>
  <c r="BO192" i="7"/>
  <c r="BO191" i="7"/>
  <c r="BO190" i="7"/>
  <c r="BO189" i="7"/>
  <c r="BO188" i="7"/>
  <c r="BO187" i="7"/>
  <c r="BO186" i="7"/>
  <c r="BO185" i="7"/>
  <c r="BO184" i="7"/>
  <c r="BO183" i="7"/>
  <c r="BO182" i="7"/>
  <c r="BO181" i="7"/>
  <c r="BO180" i="7"/>
  <c r="BO179" i="7"/>
  <c r="BO178" i="7"/>
  <c r="BO177" i="7"/>
  <c r="BO176" i="7"/>
  <c r="BO175" i="7"/>
  <c r="BO174" i="7"/>
  <c r="BO173" i="7"/>
  <c r="BO172" i="7"/>
  <c r="BO171" i="7"/>
  <c r="BO170" i="7"/>
  <c r="BO169" i="7"/>
  <c r="BO168" i="7"/>
  <c r="BO167" i="7"/>
  <c r="BO166" i="7"/>
  <c r="BO165" i="7"/>
  <c r="BO164" i="7"/>
  <c r="BO163" i="7"/>
  <c r="BO162" i="7"/>
  <c r="BO161" i="7"/>
  <c r="BO160" i="7"/>
  <c r="BO159" i="7"/>
  <c r="BO158" i="7"/>
  <c r="BO157" i="7"/>
  <c r="BO156" i="7"/>
  <c r="BO155" i="7"/>
  <c r="BO154" i="7"/>
  <c r="BO153" i="7"/>
  <c r="BO152" i="7"/>
  <c r="BO151" i="7"/>
  <c r="BO150" i="7"/>
  <c r="BO149" i="7"/>
  <c r="BO148" i="7"/>
  <c r="BO147" i="7"/>
  <c r="BO146" i="7"/>
  <c r="BO145" i="7"/>
  <c r="BO144" i="7"/>
  <c r="BO143" i="7"/>
  <c r="BO142" i="7"/>
  <c r="BO141" i="7"/>
  <c r="BO140" i="7"/>
  <c r="BO139" i="7"/>
  <c r="BO138" i="7"/>
  <c r="BO137" i="7"/>
  <c r="BO136" i="7"/>
  <c r="BO135" i="7"/>
  <c r="BO134" i="7"/>
  <c r="BO133" i="7"/>
  <c r="BO132" i="7"/>
  <c r="BO131" i="7"/>
  <c r="BO130" i="7"/>
  <c r="BO129" i="7"/>
  <c r="BO128" i="7"/>
  <c r="BO127" i="7"/>
  <c r="BO126" i="7"/>
  <c r="BO125" i="7"/>
  <c r="BO124" i="7"/>
  <c r="BO123" i="7"/>
  <c r="BO122" i="7"/>
  <c r="BO121" i="7"/>
  <c r="BO120" i="7"/>
  <c r="BO119" i="7"/>
  <c r="BO118" i="7"/>
  <c r="BO117" i="7"/>
  <c r="BO116" i="7"/>
  <c r="BO115" i="7"/>
  <c r="BO114" i="7"/>
  <c r="BO113" i="7"/>
  <c r="BO112" i="7"/>
  <c r="BO111" i="7"/>
  <c r="BO110" i="7"/>
  <c r="BO109" i="7"/>
  <c r="BO108" i="7"/>
  <c r="BO107" i="7"/>
  <c r="BO106" i="7"/>
  <c r="BO105" i="7"/>
  <c r="BO104" i="7"/>
  <c r="BO103" i="7"/>
  <c r="BO102" i="7"/>
  <c r="BO101" i="7"/>
  <c r="BO100" i="7"/>
  <c r="BO99" i="7"/>
  <c r="BO98" i="7"/>
  <c r="BO97" i="7"/>
  <c r="BO96" i="7"/>
  <c r="BO95" i="7"/>
  <c r="BO94" i="7"/>
  <c r="BO93" i="7"/>
  <c r="BO92" i="7"/>
  <c r="BO91" i="7"/>
  <c r="BO90" i="7"/>
  <c r="BO89" i="7"/>
  <c r="BO88" i="7"/>
  <c r="BO87" i="7"/>
  <c r="BO86" i="7"/>
  <c r="BO85" i="7"/>
  <c r="BO84" i="7"/>
  <c r="BO83" i="7"/>
  <c r="BO82" i="7"/>
  <c r="BO81" i="7"/>
  <c r="BO80" i="7"/>
  <c r="BO79" i="7"/>
  <c r="BO78" i="7"/>
  <c r="BO77" i="7"/>
  <c r="BO76" i="7"/>
  <c r="BO75" i="7"/>
  <c r="BO74" i="7"/>
  <c r="BO73" i="7"/>
  <c r="BO72" i="7"/>
  <c r="BO71" i="7"/>
  <c r="BO70" i="7"/>
  <c r="BO69" i="7"/>
  <c r="BO68" i="7"/>
  <c r="BO67" i="7"/>
  <c r="BO66" i="7"/>
  <c r="BO65" i="7"/>
  <c r="BO64" i="7"/>
  <c r="BO63" i="7"/>
  <c r="BO62" i="7"/>
  <c r="BO61" i="7"/>
  <c r="BO60" i="7"/>
  <c r="BO59" i="7"/>
  <c r="BO58" i="7"/>
  <c r="BO57" i="7"/>
  <c r="BO56" i="7"/>
  <c r="BO55" i="7"/>
  <c r="BO54" i="7"/>
  <c r="BO53" i="7"/>
  <c r="BO52" i="7"/>
  <c r="BO51" i="7"/>
  <c r="BO50" i="7"/>
  <c r="BO49" i="7"/>
  <c r="BO48" i="7"/>
  <c r="BO47" i="7"/>
  <c r="BO46" i="7"/>
  <c r="BO45" i="7"/>
  <c r="BO44" i="7"/>
  <c r="BO43" i="7"/>
  <c r="BO42" i="7"/>
  <c r="BO41" i="7"/>
  <c r="BO40" i="7"/>
  <c r="BO39" i="7"/>
  <c r="BO38" i="7"/>
  <c r="BO37" i="7"/>
  <c r="BO36" i="7"/>
  <c r="BO35" i="7"/>
  <c r="BO34" i="7"/>
  <c r="BO33" i="7"/>
  <c r="BO32" i="7"/>
  <c r="BO31" i="7"/>
  <c r="BO30" i="7"/>
  <c r="BO29" i="7"/>
  <c r="BO28" i="7"/>
  <c r="BO27" i="7"/>
  <c r="BO26" i="7"/>
  <c r="BO25" i="7"/>
  <c r="BO24" i="7"/>
  <c r="BO23" i="7"/>
  <c r="BO22" i="7"/>
  <c r="BO21" i="7"/>
  <c r="BO20" i="7"/>
  <c r="BO19" i="7"/>
  <c r="BO18" i="7"/>
  <c r="BO17" i="7"/>
  <c r="BO16" i="7"/>
  <c r="BO15" i="7"/>
  <c r="BO14" i="7"/>
  <c r="BO13" i="7"/>
  <c r="A25" i="7"/>
  <c r="BA11" i="7"/>
  <c r="R35" i="7" a="1"/>
  <c r="S35" i="7" a="1"/>
  <c r="K35" i="7" a="1"/>
  <c r="J35" i="7" a="1"/>
  <c r="S34" i="7" a="1"/>
  <c r="R34" i="7" a="1"/>
  <c r="K34" i="7" a="1"/>
  <c r="J34" i="7" a="1"/>
  <c r="R33" i="7" a="1"/>
  <c r="S33" i="7" a="1"/>
  <c r="K33" i="7" a="1"/>
  <c r="J33" i="7" a="1"/>
  <c r="S32" i="7" a="1"/>
  <c r="R32" i="7" a="1"/>
  <c r="J32" i="7" a="1"/>
  <c r="K32" i="7" a="1"/>
  <c r="S31" i="7" a="1"/>
  <c r="R31" i="7" a="1"/>
  <c r="K31" i="7" a="1"/>
  <c r="J31" i="7" a="1"/>
  <c r="S30" i="7" a="1"/>
  <c r="R30" i="7" a="1"/>
  <c r="K30" i="7" a="1"/>
  <c r="J30" i="7" a="1"/>
  <c r="S29" i="7" a="1"/>
  <c r="R29" i="7" a="1"/>
  <c r="K29" i="7" a="1"/>
  <c r="J29" i="7" a="1"/>
  <c r="S28" i="7" a="1"/>
  <c r="R28" i="7" a="1"/>
  <c r="K28" i="7" a="1"/>
  <c r="J28" i="7" a="1"/>
  <c r="R27" i="7" a="1"/>
  <c r="S27" i="7" a="1"/>
  <c r="K27" i="7" a="1"/>
  <c r="J27" i="7" a="1"/>
  <c r="R26" i="7" a="1"/>
  <c r="S26" i="7" a="1"/>
  <c r="K26" i="7" a="1"/>
  <c r="J26" i="7" a="1"/>
  <c r="BS1310" i="7" a="1"/>
  <c r="BS1305" i="7" a="1"/>
  <c r="BS1300" i="7" a="1"/>
  <c r="BS1295" i="7" a="1"/>
  <c r="BS1290" i="7" a="1"/>
  <c r="BS1285" i="7" a="1"/>
  <c r="BS1280" i="7" a="1"/>
  <c r="BS1275" i="7" a="1"/>
  <c r="BS1270" i="7" a="1"/>
  <c r="BS1265" i="7" a="1"/>
  <c r="BS1260" i="7" a="1"/>
  <c r="BS1255" i="7" a="1"/>
  <c r="BS1250" i="7" a="1"/>
  <c r="BS1245" i="7" a="1"/>
  <c r="BS1240" i="7" a="1"/>
  <c r="BS1235" i="7" a="1"/>
  <c r="BS1230" i="7" a="1"/>
  <c r="BS1225" i="7" a="1"/>
  <c r="BR1310" i="7" a="1"/>
  <c r="BR1305" i="7" a="1"/>
  <c r="BR1300" i="7" a="1"/>
  <c r="BR1295" i="7" a="1"/>
  <c r="BR1290" i="7" a="1"/>
  <c r="BR1285" i="7" a="1"/>
  <c r="BR1280" i="7" a="1"/>
  <c r="BR1275" i="7" a="1"/>
  <c r="BR1270" i="7" a="1"/>
  <c r="BR1265" i="7" a="1"/>
  <c r="BR1260" i="7" a="1"/>
  <c r="BR1255" i="7" a="1"/>
  <c r="BR1250" i="7" a="1"/>
  <c r="BR1245" i="7" a="1"/>
  <c r="BR1240" i="7" a="1"/>
  <c r="BS1311" i="7" a="1"/>
  <c r="BS1306" i="7" a="1"/>
  <c r="BS1301" i="7" a="1"/>
  <c r="BR1307" i="7" a="1"/>
  <c r="BS1302" i="7" a="1"/>
  <c r="BS1278" i="7" a="1"/>
  <c r="BS1276" i="7" a="1"/>
  <c r="BS1274" i="7" a="1"/>
  <c r="BR1268" i="7" a="1"/>
  <c r="BR1266" i="7" a="1"/>
  <c r="BR1264" i="7" a="1"/>
  <c r="BS1220" i="7" a="1"/>
  <c r="BS1309" i="7" a="1"/>
  <c r="BR1302" i="7" a="1"/>
  <c r="BS1272" i="7" a="1"/>
  <c r="BR1262" i="7" a="1"/>
  <c r="BR1222" i="7" a="1"/>
  <c r="BR1220" i="7" a="1"/>
  <c r="BR1211" i="7" a="1"/>
  <c r="BS1209" i="7" a="1"/>
  <c r="BR1202" i="7" a="1"/>
  <c r="BR1200" i="7" a="1"/>
  <c r="BR1191" i="7" a="1"/>
  <c r="BS1189" i="7" a="1"/>
  <c r="BR1182" i="7" a="1"/>
  <c r="BR1180" i="7" a="1"/>
  <c r="BR1171" i="7" a="1"/>
  <c r="BS1169" i="7" a="1"/>
  <c r="BR1162" i="7" a="1"/>
  <c r="BR1160" i="7" a="1"/>
  <c r="BR1151" i="7" a="1"/>
  <c r="BS1149" i="7" a="1"/>
  <c r="BR1142" i="7" a="1"/>
  <c r="BR1140" i="7" a="1"/>
  <c r="BR1131" i="7" a="1"/>
  <c r="BS1129" i="7" a="1"/>
  <c r="BR1122" i="7" a="1"/>
  <c r="BR1120" i="7" a="1"/>
  <c r="BR1111" i="7" a="1"/>
  <c r="BS1109" i="7" a="1"/>
  <c r="BR1102" i="7" a="1"/>
  <c r="BS1100" i="7" a="1"/>
  <c r="BS1304" i="7" a="1"/>
  <c r="BS1284" i="7" a="1"/>
  <c r="BR1278" i="7" a="1"/>
  <c r="BR1276" i="7" a="1"/>
  <c r="BR1274" i="7" a="1"/>
  <c r="BS1218" i="7" a="1"/>
  <c r="BS1198" i="7" a="1"/>
  <c r="BS1178" i="7" a="1"/>
  <c r="BS1158" i="7" a="1"/>
  <c r="BS1138" i="7" a="1"/>
  <c r="BS1118" i="7" a="1"/>
  <c r="BR1309" i="7" a="1"/>
  <c r="BS1297" i="7" a="1"/>
  <c r="BS1288" i="7" a="1"/>
  <c r="BS1286" i="7" a="1"/>
  <c r="BS1282" i="7" a="1"/>
  <c r="BR1272" i="7" a="1"/>
  <c r="BS1243" i="7" a="1"/>
  <c r="BS1241" i="7" a="1"/>
  <c r="BS1239" i="7" a="1"/>
  <c r="BR1235" i="7" a="1"/>
  <c r="BS1233" i="7" a="1"/>
  <c r="BR1209" i="7" a="1"/>
  <c r="BR1189" i="7" a="1"/>
  <c r="BR1169" i="7" a="1"/>
  <c r="BR1149" i="7" a="1"/>
  <c r="BR1129" i="7" a="1"/>
  <c r="BR1304" i="7" a="1"/>
  <c r="BR1288" i="7" a="1"/>
  <c r="BR1286" i="7" a="1"/>
  <c r="BR1282" i="7" a="1"/>
  <c r="BS1253" i="7" a="1"/>
  <c r="BS1251" i="7" a="1"/>
  <c r="BS1249" i="7" a="1"/>
  <c r="BS1303" i="7" a="1"/>
  <c r="BS1273" i="7" a="1"/>
  <c r="BS1271" i="7" a="1"/>
  <c r="BS1269" i="7" a="1"/>
  <c r="BR1263" i="7" a="1"/>
  <c r="BR1261" i="7" a="1"/>
  <c r="BR1259" i="7" a="1"/>
  <c r="BR1227" i="7" a="1"/>
  <c r="BR1223" i="7" a="1"/>
  <c r="BS1221" i="7" a="1"/>
  <c r="BS1212" i="7" a="1"/>
  <c r="BR1203" i="7" a="1"/>
  <c r="BS1201" i="7" a="1"/>
  <c r="BR1293" i="7" a="1"/>
  <c r="BR1291" i="7" a="1"/>
  <c r="BS1268" i="7" a="1"/>
  <c r="BS1266" i="7" a="1"/>
  <c r="BS1264" i="7" a="1"/>
  <c r="BR1258" i="7" a="1"/>
  <c r="BR1256" i="7" a="1"/>
  <c r="BR1254" i="7" a="1"/>
  <c r="BR1226" i="7" a="1"/>
  <c r="BR1249" i="7" a="1"/>
  <c r="BR1244" i="7" a="1"/>
  <c r="BR1241" i="7" a="1"/>
  <c r="BS1213" i="7" a="1"/>
  <c r="BS1204" i="7" a="1"/>
  <c r="BS1202" i="7" a="1"/>
  <c r="BR1170" i="7" a="1"/>
  <c r="BR1168" i="7" a="1"/>
  <c r="BR1311" i="7" a="1"/>
  <c r="BS1252" i="7" a="1"/>
  <c r="BS1238" i="7" a="1"/>
  <c r="BR1230" i="7" a="1"/>
  <c r="BS1206" i="7" a="1"/>
  <c r="BS1191" i="7" a="1"/>
  <c r="BS1176" i="7" a="1"/>
  <c r="BS1174" i="7" a="1"/>
  <c r="BS1172" i="7" a="1"/>
  <c r="BS1151" i="7" a="1"/>
  <c r="BS1136" i="7" a="1"/>
  <c r="BS1263" i="7" a="1"/>
  <c r="BR1252" i="7" a="1"/>
  <c r="BS1246" i="7" a="1"/>
  <c r="BS1215" i="7" a="1"/>
  <c r="BR1213" i="7" a="1"/>
  <c r="BS1208" i="7" a="1"/>
  <c r="BR1204" i="7" a="1"/>
  <c r="BS1195" i="7" a="1"/>
  <c r="BS1193" i="7" a="1"/>
  <c r="BS1155" i="7" a="1"/>
  <c r="BS1153" i="7" a="1"/>
  <c r="BS1070" i="7" a="1"/>
  <c r="BS1065" i="7" a="1"/>
  <c r="BR1303" i="7" a="1"/>
  <c r="BR1284" i="7" a="1"/>
  <c r="BS1281" i="7" a="1"/>
  <c r="BR1269" i="7" a="1"/>
  <c r="BR1238" i="7" a="1"/>
  <c r="BR1215" i="7" a="1"/>
  <c r="BR1206" i="7" a="1"/>
  <c r="BR1195" i="7" a="1"/>
  <c r="BR1176" i="7" a="1"/>
  <c r="BR1174" i="7" a="1"/>
  <c r="BR1172" i="7" a="1"/>
  <c r="BR1155" i="7" a="1"/>
  <c r="BR1136" i="7" a="1"/>
  <c r="BR1134" i="7" a="1"/>
  <c r="BR1132" i="7" a="1"/>
  <c r="BR1098" i="7" a="1"/>
  <c r="BR1091" i="7" a="1"/>
  <c r="BR1084" i="7" a="1"/>
  <c r="BR1077" i="7" a="1"/>
  <c r="BS1299" i="7" a="1"/>
  <c r="BS1287" i="7" a="1"/>
  <c r="BR1281" i="7" a="1"/>
  <c r="BS1257" i="7" a="1"/>
  <c r="BR1243" i="7" a="1"/>
  <c r="BS1222" i="7" a="1"/>
  <c r="BR1210" i="7" a="1"/>
  <c r="BR1299" i="7" a="1"/>
  <c r="BR1296" i="7" a="1"/>
  <c r="BS1283" i="7" a="1"/>
  <c r="BR1232" i="7" a="1"/>
  <c r="BR1229" i="7" a="1"/>
  <c r="BR1219" i="7" a="1"/>
  <c r="BS1308" i="7" a="1"/>
  <c r="BR1308" i="7" a="1"/>
  <c r="BR1294" i="7" a="1"/>
  <c r="BS1291" i="7" a="1"/>
  <c r="BR1267" i="7" a="1"/>
  <c r="BS1258" i="7" a="1"/>
  <c r="BS1244" i="7" a="1"/>
  <c r="BR1233" i="7" a="1"/>
  <c r="BR1228" i="7" a="1"/>
  <c r="BR1297" i="7" a="1"/>
  <c r="BR1279" i="7" a="1"/>
  <c r="BR1225" i="7" a="1"/>
  <c r="BR1187" i="7" a="1"/>
  <c r="BR1287" i="7" a="1"/>
  <c r="BS1242" i="7" a="1"/>
  <c r="BS1237" i="7" a="1"/>
  <c r="BS1214" i="7" a="1"/>
  <c r="BS1187" i="7" a="1"/>
  <c r="BS1184" i="7" a="1"/>
  <c r="BR1121" i="7" a="1"/>
  <c r="BS1277" i="7" a="1"/>
  <c r="BS1254" i="7" a="1"/>
  <c r="BR1237" i="7" a="1"/>
  <c r="BR1221" i="7" a="1"/>
  <c r="BS1211" i="7" a="1"/>
  <c r="BS1173" i="7" a="1"/>
  <c r="BS1152" i="7" a="1"/>
  <c r="BR1147" i="7" a="1"/>
  <c r="BS1142" i="7" a="1"/>
  <c r="BS1137" i="7" a="1"/>
  <c r="BS1125" i="7" a="1"/>
  <c r="BS1296" i="7" a="1"/>
  <c r="BR1242" i="7" a="1"/>
  <c r="BS1217" i="7" a="1"/>
  <c r="BR1214" i="7" a="1"/>
  <c r="BR1184" i="7" a="1"/>
  <c r="BS1160" i="7" a="1"/>
  <c r="BS1157" i="7" a="1"/>
  <c r="BS1132" i="7" a="1"/>
  <c r="BR1125" i="7" a="1"/>
  <c r="BS1112" i="7" a="1"/>
  <c r="BR1101" i="7" a="1"/>
  <c r="BR1099" i="7" a="1"/>
  <c r="BS1095" i="7" a="1"/>
  <c r="BR1277" i="7" a="1"/>
  <c r="BS1210" i="7" a="1"/>
  <c r="BS1207" i="7" a="1"/>
  <c r="BS1181" i="7" a="1"/>
  <c r="BR1173" i="7" a="1"/>
  <c r="BS1170" i="7" a="1"/>
  <c r="BS1167" i="7" a="1"/>
  <c r="BR1152" i="7" a="1"/>
  <c r="BS1144" i="7" a="1"/>
  <c r="BR1137" i="7" a="1"/>
  <c r="BS1127" i="7" a="1"/>
  <c r="BS1307" i="7" a="1"/>
  <c r="BR1301" i="7" a="1"/>
  <c r="BS1267" i="7" a="1"/>
  <c r="BS1232" i="7" a="1"/>
  <c r="BS1224" i="7" a="1"/>
  <c r="BR1271" i="7" a="1"/>
  <c r="BS1236" i="7" a="1"/>
  <c r="BS1228" i="7" a="1"/>
  <c r="BR1224" i="7" a="1"/>
  <c r="BS1175" i="7" a="1"/>
  <c r="BS1159" i="7" a="1"/>
  <c r="BR1306" i="7" a="1"/>
  <c r="BS1262" i="7" a="1"/>
  <c r="BR1253" i="7" a="1"/>
  <c r="BR1257" i="7" a="1"/>
  <c r="BR1236" i="7" a="1"/>
  <c r="BR1248" i="7" a="1"/>
  <c r="BS1227" i="7" a="1"/>
  <c r="BS1183" i="7" a="1"/>
  <c r="BS1289" i="7" a="1"/>
  <c r="BS1294" i="7" a="1"/>
  <c r="BR1197" i="7" a="1"/>
  <c r="BS1298" i="7" a="1"/>
  <c r="BR1289" i="7" a="1"/>
  <c r="BS1256" i="7" a="1"/>
  <c r="BR1239" i="7" a="1"/>
  <c r="BR1298" i="7" a="1"/>
  <c r="BR1247" i="7" a="1"/>
  <c r="BR1234" i="7" a="1"/>
  <c r="BS1205" i="7" a="1"/>
  <c r="BR1208" i="7" a="1"/>
  <c r="BR1205" i="7" a="1"/>
  <c r="BR1199" i="7" a="1"/>
  <c r="BS1196" i="7" a="1"/>
  <c r="BS1292" i="7" a="1"/>
  <c r="BR1292" i="7" a="1"/>
  <c r="BR1273" i="7" a="1"/>
  <c r="BS1293" i="7" a="1"/>
  <c r="BR1246" i="7" a="1"/>
  <c r="BS1140" i="7" a="1"/>
  <c r="BS1104" i="7" a="1"/>
  <c r="BR1061" i="7" a="1"/>
  <c r="BS1016" i="7" a="1"/>
  <c r="BR1011" i="7" a="1"/>
  <c r="BS966" i="7" a="1"/>
  <c r="BR961" i="7" a="1"/>
  <c r="BS916" i="7" a="1"/>
  <c r="BR911" i="7" a="1"/>
  <c r="BS866" i="7" a="1"/>
  <c r="BR861" i="7" a="1"/>
  <c r="BS1279" i="7" a="1"/>
  <c r="BS1229" i="7" a="1"/>
  <c r="BS1216" i="7" a="1"/>
  <c r="BS1197" i="7" a="1"/>
  <c r="BS1165" i="7" a="1"/>
  <c r="BS1162" i="7" a="1"/>
  <c r="BR1143" i="7" a="1"/>
  <c r="BS1128" i="7" a="1"/>
  <c r="BS1113" i="7" a="1"/>
  <c r="BS1089" i="7" a="1"/>
  <c r="BR1068" i="7" a="1"/>
  <c r="BS1066" i="7" a="1"/>
  <c r="BS1059" i="7" a="1"/>
  <c r="BR1054" i="7" a="1"/>
  <c r="BS1047" i="7" a="1"/>
  <c r="BR1042" i="7" a="1"/>
  <c r="BS1040" i="7" a="1"/>
  <c r="BR1035" i="7" a="1"/>
  <c r="BS1028" i="7" a="1"/>
  <c r="BR1023" i="7" a="1"/>
  <c r="BS1009" i="7" a="1"/>
  <c r="BR1004" i="7" a="1"/>
  <c r="BS997" i="7" a="1"/>
  <c r="BR1216" i="7" a="1"/>
  <c r="BR1201" i="7" a="1"/>
  <c r="BS1192" i="7" a="1"/>
  <c r="BR1165" i="7" a="1"/>
  <c r="BS1120" i="7" a="1"/>
  <c r="BS1106" i="7" a="1"/>
  <c r="BR1104" i="7" a="1"/>
  <c r="BS1087" i="7" a="1"/>
  <c r="BS1085" i="7" a="1"/>
  <c r="BS1083" i="7" a="1"/>
  <c r="BS1021" i="7" a="1"/>
  <c r="BR1016" i="7" a="1"/>
  <c r="BS971" i="7" a="1"/>
  <c r="BR966" i="7" a="1"/>
  <c r="BR1192" i="7" a="1"/>
  <c r="BR1158" i="7" a="1"/>
  <c r="BR1128" i="7" a="1"/>
  <c r="BS1115" i="7" a="1"/>
  <c r="BR1113" i="7" a="1"/>
  <c r="BS1093" i="7" a="1"/>
  <c r="BS1091" i="7" a="1"/>
  <c r="BR1089" i="7" a="1"/>
  <c r="BR1085" i="7" a="1"/>
  <c r="BS1081" i="7" a="1"/>
  <c r="BS1075" i="7" a="1"/>
  <c r="BS1148" i="7" a="1"/>
  <c r="BS1139" i="7" a="1"/>
  <c r="BR1115" i="7" a="1"/>
  <c r="BS1108" i="7" a="1"/>
  <c r="BR1106" i="7" a="1"/>
  <c r="BS1099" i="7" a="1"/>
  <c r="BS1097" i="7" a="1"/>
  <c r="BR1095" i="7" a="1"/>
  <c r="BR1087" i="7" a="1"/>
  <c r="BR1083" i="7" a="1"/>
  <c r="BS1079" i="7" a="1"/>
  <c r="BR1183" i="7" a="1"/>
  <c r="BS1161" i="7" a="1"/>
  <c r="BS1101" i="7" a="1"/>
  <c r="BR1097" i="7" a="1"/>
  <c r="BR1093" i="7" a="1"/>
  <c r="BR1081" i="7" a="1"/>
  <c r="BR1064" i="7" a="1"/>
  <c r="BS1057" i="7" a="1"/>
  <c r="BR1052" i="7" a="1"/>
  <c r="BS1050" i="7" a="1"/>
  <c r="BR1045" i="7" a="1"/>
  <c r="BS1038" i="7" a="1"/>
  <c r="BR1033" i="7" a="1"/>
  <c r="BS1019" i="7" a="1"/>
  <c r="BS1179" i="7" a="1"/>
  <c r="BS1168" i="7" a="1"/>
  <c r="BR1161" i="7" a="1"/>
  <c r="BS1154" i="7" a="1"/>
  <c r="BR1148" i="7" a="1"/>
  <c r="BS1145" i="7" a="1"/>
  <c r="BR1139" i="7" a="1"/>
  <c r="BS1133" i="7" a="1"/>
  <c r="BR1108" i="7" a="1"/>
  <c r="BR1079" i="7" a="1"/>
  <c r="BR1073" i="7" a="1"/>
  <c r="BS1071" i="7" a="1"/>
  <c r="BS1031" i="7" a="1"/>
  <c r="BR1026" i="7" a="1"/>
  <c r="BS1234" i="7" a="1"/>
  <c r="BR1196" i="7" a="1"/>
  <c r="BS1186" i="7" a="1"/>
  <c r="BR1175" i="7" a="1"/>
  <c r="BS1164" i="7" a="1"/>
  <c r="BR1145" i="7" a="1"/>
  <c r="BS1130" i="7" a="1"/>
  <c r="BS1122" i="7" a="1"/>
  <c r="BS1117" i="7" a="1"/>
  <c r="BS1110" i="7" a="1"/>
  <c r="BS1103" i="7" a="1"/>
  <c r="BR1186" i="7" a="1"/>
  <c r="BR1179" i="7" a="1"/>
  <c r="BR1157" i="7" a="1"/>
  <c r="BR1154" i="7" a="1"/>
  <c r="BR1133" i="7" a="1"/>
  <c r="BR1130" i="7" a="1"/>
  <c r="BR1127" i="7" a="1"/>
  <c r="BR1110" i="7" a="1"/>
  <c r="BR1103" i="7" a="1"/>
  <c r="BR1071" i="7" a="1"/>
  <c r="BS1036" i="7" a="1"/>
  <c r="BR1031" i="7" a="1"/>
  <c r="BS986" i="7" a="1"/>
  <c r="BS1261" i="7" a="1"/>
  <c r="BS1200" i="7" a="1"/>
  <c r="BS1171" i="7" a="1"/>
  <c r="BR1164" i="7" a="1"/>
  <c r="BR1117" i="7" a="1"/>
  <c r="BS1105" i="7" a="1"/>
  <c r="BS1069" i="7" a="1"/>
  <c r="BR1062" i="7" a="1"/>
  <c r="BS1060" i="7" a="1"/>
  <c r="BR1055" i="7" a="1"/>
  <c r="BS1048" i="7" a="1"/>
  <c r="BR1043" i="7" a="1"/>
  <c r="BS1029" i="7" a="1"/>
  <c r="BR1024" i="7" a="1"/>
  <c r="BS1017" i="7" a="1"/>
  <c r="BR1012" i="7" a="1"/>
  <c r="BR1283" i="7" a="1"/>
  <c r="BS1259" i="7" a="1"/>
  <c r="BS1248" i="7" a="1"/>
  <c r="BS1231" i="7" a="1"/>
  <c r="BR1194" i="7" a="1"/>
  <c r="BS1185" i="7" a="1"/>
  <c r="BR1141" i="7" a="1"/>
  <c r="BS1121" i="7" a="1"/>
  <c r="BS1116" i="7" a="1"/>
  <c r="BR1114" i="7" a="1"/>
  <c r="BR1107" i="7" a="1"/>
  <c r="BS1098" i="7" a="1"/>
  <c r="BR1096" i="7" a="1"/>
  <c r="BR1090" i="7" a="1"/>
  <c r="BR1088" i="7" a="1"/>
  <c r="BR1082" i="7" a="1"/>
  <c r="BS1080" i="7" a="1"/>
  <c r="BS1074" i="7" a="1"/>
  <c r="BS1051" i="7" a="1"/>
  <c r="BR1046" i="7" a="1"/>
  <c r="BS1247" i="7" a="1"/>
  <c r="BR1207" i="7" a="1"/>
  <c r="BR1198" i="7" a="1"/>
  <c r="BS1177" i="7" a="1"/>
  <c r="BS1146" i="7" a="1"/>
  <c r="BS1134" i="7" a="1"/>
  <c r="BR1072" i="7" a="1"/>
  <c r="BR1063" i="7" a="1"/>
  <c r="BS1049" i="7" a="1"/>
  <c r="BR1044" i="7" a="1"/>
  <c r="BS1037" i="7" a="1"/>
  <c r="BR1177" i="7" a="1"/>
  <c r="BR1126" i="7" a="1"/>
  <c r="BS1078" i="7" a="1"/>
  <c r="BR1058" i="7" a="1"/>
  <c r="BS1052" i="7" a="1"/>
  <c r="BS1046" i="7" a="1"/>
  <c r="BS1043" i="7" a="1"/>
  <c r="BS1027" i="7" a="1"/>
  <c r="BS1001" i="7" a="1"/>
  <c r="BS973" i="7" a="1"/>
  <c r="BR960" i="7" a="1"/>
  <c r="BR942" i="7" a="1"/>
  <c r="BR933" i="7" a="1"/>
  <c r="BS931" i="7" a="1"/>
  <c r="BS922" i="7" a="1"/>
  <c r="BS913" i="7" a="1"/>
  <c r="BR906" i="7" a="1"/>
  <c r="BS904" i="7" a="1"/>
  <c r="BR895" i="7" a="1"/>
  <c r="BS875" i="7" a="1"/>
  <c r="BS848" i="7" a="1"/>
  <c r="BR832" i="7" a="1"/>
  <c r="BS1143" i="7" a="1"/>
  <c r="BS1131" i="7" a="1"/>
  <c r="BR1105" i="7" a="1"/>
  <c r="BR1078" i="7" a="1"/>
  <c r="BR1074" i="7" a="1"/>
  <c r="BS1032" i="7" a="1"/>
  <c r="BR1022" i="7" a="1"/>
  <c r="BR1017" i="7" a="1"/>
  <c r="BR999" i="7" a="1"/>
  <c r="BS990" i="7" a="1"/>
  <c r="BR973" i="7" a="1"/>
  <c r="BR971" i="7" a="1"/>
  <c r="BS969" i="7" a="1"/>
  <c r="BS958" i="7" a="1"/>
  <c r="BR951" i="7" a="1"/>
  <c r="BS949" i="7" a="1"/>
  <c r="BR940" i="7" a="1"/>
  <c r="BS920" i="7" a="1"/>
  <c r="BR904" i="7" a="1"/>
  <c r="BS893" i="7" a="1"/>
  <c r="BR886" i="7" a="1"/>
  <c r="BS884" i="7" a="1"/>
  <c r="BR877" i="7" a="1"/>
  <c r="BS1199" i="7" a="1"/>
  <c r="BS1082" i="7" a="1"/>
  <c r="BR1027" i="7" a="1"/>
  <c r="BS1012" i="7" a="1"/>
  <c r="BS1003" i="7" a="1"/>
  <c r="BR1001" i="7" a="1"/>
  <c r="BR990" i="7" a="1"/>
  <c r="BR931" i="7" a="1"/>
  <c r="BS929" i="7" a="1"/>
  <c r="BR922" i="7" a="1"/>
  <c r="BR913" i="7" a="1"/>
  <c r="BS911" i="7" a="1"/>
  <c r="BS902" i="7" a="1"/>
  <c r="BR875" i="7" a="1"/>
  <c r="BR866" i="7" a="1"/>
  <c r="BS864" i="7" a="1"/>
  <c r="BS855" i="7" a="1"/>
  <c r="BR848" i="7" a="1"/>
  <c r="BS846" i="7" a="1"/>
  <c r="BS816" i="7" a="1"/>
  <c r="BS1190" i="7" a="1"/>
  <c r="BS1182" i="7" a="1"/>
  <c r="BR1049" i="7" a="1"/>
  <c r="BR1040" i="7" a="1"/>
  <c r="BR1032" i="7" a="1"/>
  <c r="BS1024" i="7" a="1"/>
  <c r="BS1005" i="7" a="1"/>
  <c r="BS994" i="7" a="1"/>
  <c r="BS988" i="7" a="1"/>
  <c r="BS984" i="7" a="1"/>
  <c r="BR1218" i="7" a="1"/>
  <c r="BR1190" i="7" a="1"/>
  <c r="BR1167" i="7" a="1"/>
  <c r="BS1119" i="7" a="1"/>
  <c r="BS1135" i="7" a="1"/>
  <c r="BS1124" i="7" a="1"/>
  <c r="BR1109" i="7" a="1"/>
  <c r="BS1086" i="7" a="1"/>
  <c r="BS1077" i="7" a="1"/>
  <c r="BR1066" i="7" a="1"/>
  <c r="BR1217" i="7" a="1"/>
  <c r="BS1141" i="7" a="1"/>
  <c r="BR1135" i="7" a="1"/>
  <c r="BR1119" i="7" a="1"/>
  <c r="BR1086" i="7" a="1"/>
  <c r="BS1073" i="7" a="1"/>
  <c r="BS1045" i="7" a="1"/>
  <c r="BR1037" i="7" a="1"/>
  <c r="BR1034" i="7" a="1"/>
  <c r="BR1014" i="7" a="1"/>
  <c r="BR1188" i="7" a="1"/>
  <c r="BS1180" i="7" a="1"/>
  <c r="BS1166" i="7" a="1"/>
  <c r="BR1094" i="7" a="1"/>
  <c r="BR1051" i="7" a="1"/>
  <c r="BS1042" i="7" a="1"/>
  <c r="BR1021" i="7" a="1"/>
  <c r="BS1000" i="7" a="1"/>
  <c r="BS959" i="7" a="1"/>
  <c r="BS950" i="7" a="1"/>
  <c r="BR943" i="7" a="1"/>
  <c r="BS941" i="7" a="1"/>
  <c r="BR934" i="7" a="1"/>
  <c r="BS923" i="7" a="1"/>
  <c r="BR907" i="7" a="1"/>
  <c r="BR1251" i="7" a="1"/>
  <c r="BR1166" i="7" a="1"/>
  <c r="BS1076" i="7" a="1"/>
  <c r="BS1039" i="7" a="1"/>
  <c r="BR1036" i="7" a="1"/>
  <c r="BR1000" i="7" a="1"/>
  <c r="BR974" i="7" a="1"/>
  <c r="BS972" i="7" a="1"/>
  <c r="BS970" i="7" a="1"/>
  <c r="BR952" i="7" a="1"/>
  <c r="BS932" i="7" a="1"/>
  <c r="BR923" i="7" a="1"/>
  <c r="BS921" i="7" a="1"/>
  <c r="BR914" i="7" a="1"/>
  <c r="BR905" i="7" a="1"/>
  <c r="BS1123" i="7" a="1"/>
  <c r="BR1118" i="7" a="1"/>
  <c r="BR1076" i="7" a="1"/>
  <c r="BS1072" i="7" a="1"/>
  <c r="BS1062" i="7" a="1"/>
  <c r="BR1039" i="7" a="1"/>
  <c r="BS1011" i="7" a="1"/>
  <c r="BS1002" i="7" a="1"/>
  <c r="BS991" i="7" a="1"/>
  <c r="BS1223" i="7" a="1"/>
  <c r="BS1203" i="7" a="1"/>
  <c r="BR1178" i="7" a="1"/>
  <c r="BS1107" i="7" a="1"/>
  <c r="BS1068" i="7" a="1"/>
  <c r="BS1056" i="7" a="1"/>
  <c r="BS1053" i="7" a="1"/>
  <c r="BS1044" i="7" a="1"/>
  <c r="BS1033" i="7" a="1"/>
  <c r="BR1028" i="7" a="1"/>
  <c r="BS1023" i="7" a="1"/>
  <c r="BS1018" i="7" a="1"/>
  <c r="BS1013" i="7" a="1"/>
  <c r="BR1002" i="7" a="1"/>
  <c r="BS995" i="7" a="1"/>
  <c r="BS993" i="7" a="1"/>
  <c r="BR991" i="7" a="1"/>
  <c r="BS985" i="7" a="1"/>
  <c r="BS983" i="7" a="1"/>
  <c r="BS968" i="7" a="1"/>
  <c r="BR1185" i="7" a="1"/>
  <c r="BS1163" i="7" a="1"/>
  <c r="BS1156" i="7" a="1"/>
  <c r="BS1150" i="7" a="1"/>
  <c r="BR1144" i="7" a="1"/>
  <c r="BS1102" i="7" a="1"/>
  <c r="BR1041" i="7" a="1"/>
  <c r="BS1006" i="7" a="1"/>
  <c r="BR987" i="7" a="1"/>
  <c r="BR981" i="7" a="1"/>
  <c r="BR964" i="7" a="1"/>
  <c r="BR955" i="7" a="1"/>
  <c r="BR946" i="7" a="1"/>
  <c r="BS944" i="7" a="1"/>
  <c r="BS935" i="7" a="1"/>
  <c r="BR1193" i="7" a="1"/>
  <c r="BS1094" i="7" a="1"/>
  <c r="BR1060" i="7" a="1"/>
  <c r="BS1055" i="7" a="1"/>
  <c r="BS1034" i="7" a="1"/>
  <c r="BS1022" i="7" a="1"/>
  <c r="BR1009" i="7" a="1"/>
  <c r="BR1005" i="7" a="1"/>
  <c r="BR998" i="7" a="1"/>
  <c r="BR982" i="7" a="1"/>
  <c r="BS963" i="7" a="1"/>
  <c r="BR958" i="7" a="1"/>
  <c r="BS948" i="7" a="1"/>
  <c r="BS926" i="7" a="1"/>
  <c r="BR921" i="7" a="1"/>
  <c r="BS907" i="7" a="1"/>
  <c r="BS900" i="7" a="1"/>
  <c r="BS896" i="7" a="1"/>
  <c r="BR892" i="7" a="1"/>
  <c r="BR888" i="7" a="1"/>
  <c r="BS873" i="7" a="1"/>
  <c r="BS871" i="7" a="1"/>
  <c r="BR1065" i="7" a="1"/>
  <c r="BR1050" i="7" a="1"/>
  <c r="BS1030" i="7" a="1"/>
  <c r="BS1026" i="7" a="1"/>
  <c r="BR1013" i="7" a="1"/>
  <c r="BS979" i="7" a="1"/>
  <c r="BS965" i="7" a="1"/>
  <c r="BS953" i="7" a="1"/>
  <c r="BS938" i="7" a="1"/>
  <c r="BR936" i="7" a="1"/>
  <c r="BR926" i="7" a="1"/>
  <c r="BR909" i="7" a="1"/>
  <c r="BS898" i="7" a="1"/>
  <c r="BR894" i="7" a="1"/>
  <c r="BR873" i="7" a="1"/>
  <c r="BR830" i="7" a="1"/>
  <c r="BS828" i="7" a="1"/>
  <c r="BS819" i="7" a="1"/>
  <c r="BS812" i="7" a="1"/>
  <c r="BR807" i="7" a="1"/>
  <c r="BS805" i="7" a="1"/>
  <c r="BR800" i="7" a="1"/>
  <c r="BS1147" i="7" a="1"/>
  <c r="BR994" i="7" a="1"/>
  <c r="BR979" i="7" a="1"/>
  <c r="BS976" i="7" a="1"/>
  <c r="BR968" i="7" a="1"/>
  <c r="BR963" i="7" a="1"/>
  <c r="BR948" i="7" a="1"/>
  <c r="BS943" i="7" a="1"/>
  <c r="BR900" i="7" a="1"/>
  <c r="BR896" i="7" a="1"/>
  <c r="BR871" i="7" a="1"/>
  <c r="BS869" i="7" a="1"/>
  <c r="BS865" i="7" a="1"/>
  <c r="BS793" i="7" a="1"/>
  <c r="BS788" i="7" a="1"/>
  <c r="BS783" i="7" a="1"/>
  <c r="BS778" i="7" a="1"/>
  <c r="BS773" i="7" a="1"/>
  <c r="BS1219" i="7" a="1"/>
  <c r="BR1156" i="7" a="1"/>
  <c r="BR1030" i="7" a="1"/>
  <c r="BR984" i="7" a="1"/>
  <c r="BR965" i="7" a="1"/>
  <c r="BS960" i="7" a="1"/>
  <c r="BR953" i="7" a="1"/>
  <c r="BR938" i="7" a="1"/>
  <c r="BS928" i="7" a="1"/>
  <c r="BR898" i="7" a="1"/>
  <c r="BS881" i="7" a="1"/>
  <c r="BS879" i="7" a="1"/>
  <c r="BS877" i="7" a="1"/>
  <c r="BS867" i="7" a="1"/>
  <c r="BS863" i="7" a="1"/>
  <c r="BR1146" i="7" a="1"/>
  <c r="BR1070" i="7" a="1"/>
  <c r="BS1054" i="7" a="1"/>
  <c r="BR1029" i="7" a="1"/>
  <c r="BS1025" i="7" a="1"/>
  <c r="BR997" i="7" a="1"/>
  <c r="BS1188" i="7" a="1"/>
  <c r="BS1126" i="7" a="1"/>
  <c r="BR1116" i="7" a="1"/>
  <c r="BS1092" i="7" a="1"/>
  <c r="BR1038" i="7" a="1"/>
  <c r="BR1231" i="7" a="1"/>
  <c r="BR1100" i="7" a="1"/>
  <c r="BR1092" i="7" a="1"/>
  <c r="BS1084" i="7" a="1"/>
  <c r="BR1069" i="7" a="1"/>
  <c r="BS1004" i="7" a="1"/>
  <c r="BR970" i="7" a="1"/>
  <c r="BS947" i="7" a="1"/>
  <c r="BR920" i="7" a="1"/>
  <c r="BR918" i="7" a="1"/>
  <c r="BS887" i="7" a="1"/>
  <c r="BR853" i="7" a="1"/>
  <c r="BR845" i="7" a="1"/>
  <c r="BS841" i="7" a="1"/>
  <c r="BS839" i="7" a="1"/>
  <c r="BR1153" i="7" a="1"/>
  <c r="BR1124" i="7" a="1"/>
  <c r="BR1075" i="7" a="1"/>
  <c r="BS1058" i="7" a="1"/>
  <c r="BR1020" i="7" a="1"/>
  <c r="BS996" i="7" a="1"/>
  <c r="BR986" i="7" a="1"/>
  <c r="BS978" i="7" a="1"/>
  <c r="BS952" i="7" a="1"/>
  <c r="BR947" i="7" a="1"/>
  <c r="BS906" i="7" a="1"/>
  <c r="BR893" i="7" a="1"/>
  <c r="BR887" i="7" a="1"/>
  <c r="BR841" i="7" a="1"/>
  <c r="BR837" i="7" a="1"/>
  <c r="BS820" i="7" a="1"/>
  <c r="BS813" i="7" a="1"/>
  <c r="BR808" i="7" a="1"/>
  <c r="BS1114" i="7" a="1"/>
  <c r="BR1053" i="7" a="1"/>
  <c r="BS1015" i="7" a="1"/>
  <c r="BS1007" i="7" a="1"/>
  <c r="BS989" i="7" a="1"/>
  <c r="BR978" i="7" a="1"/>
  <c r="BS975" i="7" a="1"/>
  <c r="BR962" i="7" a="1"/>
  <c r="BR957" i="7" a="1"/>
  <c r="BR925" i="7" a="1"/>
  <c r="BS908" i="7" a="1"/>
  <c r="BS895" i="7" a="1"/>
  <c r="BS876" i="7" a="1"/>
  <c r="BS874" i="7" a="1"/>
  <c r="BR1212" i="7" a="1"/>
  <c r="BS1010" i="7" a="1"/>
  <c r="BS992" i="7" a="1"/>
  <c r="BS980" i="7" a="1"/>
  <c r="BR972" i="7" a="1"/>
  <c r="BR969" i="7" a="1"/>
  <c r="BS954" i="7" a="1"/>
  <c r="BR949" i="7" a="1"/>
  <c r="BS939" i="7" a="1"/>
  <c r="BR937" i="7" a="1"/>
  <c r="BR932" i="7" a="1"/>
  <c r="BR915" i="7" a="1"/>
  <c r="BR910" i="7" a="1"/>
  <c r="BS901" i="7" a="1"/>
  <c r="BR1150" i="7" a="1"/>
  <c r="BS1088" i="7" a="1"/>
  <c r="BR1080" i="7" a="1"/>
  <c r="BR1067" i="7" a="1"/>
  <c r="BS1061" i="7" a="1"/>
  <c r="BR1056" i="7" a="1"/>
  <c r="BS977" i="7" a="1"/>
  <c r="BS961" i="7" a="1"/>
  <c r="BS934" i="7" a="1"/>
  <c r="BS924" i="7" a="1"/>
  <c r="BR917" i="7" a="1"/>
  <c r="BS905" i="7" a="1"/>
  <c r="BR903" i="7" a="1"/>
  <c r="BS890" i="7" a="1"/>
  <c r="BR992" i="7" a="1"/>
  <c r="BS974" i="7" a="1"/>
  <c r="BR899" i="7" a="1"/>
  <c r="BS878" i="7" a="1"/>
  <c r="BR863" i="7" a="1"/>
  <c r="BS860" i="7" a="1"/>
  <c r="BR855" i="7" a="1"/>
  <c r="BS842" i="7" a="1"/>
  <c r="BS830" i="7" a="1"/>
  <c r="BR794" i="7" a="1"/>
  <c r="BS792" i="7" a="1"/>
  <c r="BR785" i="7" a="1"/>
  <c r="BR783" i="7" a="1"/>
  <c r="BR774" i="7" a="1"/>
  <c r="BS772" i="7" a="1"/>
  <c r="BS767" i="7" a="1"/>
  <c r="BS762" i="7" a="1"/>
  <c r="BS757" i="7" a="1"/>
  <c r="BR1112" i="7" a="1"/>
  <c r="BS1067" i="7" a="1"/>
  <c r="BS998" i="7" a="1"/>
  <c r="BS957" i="7" a="1"/>
  <c r="BS945" i="7" a="1"/>
  <c r="BS914" i="7" a="1"/>
  <c r="BS891" i="7" a="1"/>
  <c r="BR850" i="7" a="1"/>
  <c r="BR842" i="7" a="1"/>
  <c r="BS815" i="7" a="1"/>
  <c r="BS811" i="7" a="1"/>
  <c r="BS809" i="7" a="1"/>
  <c r="BS781" i="7" a="1"/>
  <c r="BR1018" i="7" a="1"/>
  <c r="BR1010" i="7" a="1"/>
  <c r="BS982" i="7" a="1"/>
  <c r="BR902" i="7" a="1"/>
  <c r="BR891" i="7" a="1"/>
  <c r="BS888" i="7" a="1"/>
  <c r="BR878" i="7" a="1"/>
  <c r="BR860" i="7" a="1"/>
  <c r="BS847" i="7" a="1"/>
  <c r="BS817" i="7" a="1"/>
  <c r="BR805" i="7" a="1"/>
  <c r="BS803" i="7" a="1"/>
  <c r="BR792" i="7" a="1"/>
  <c r="BR772" i="7" a="1"/>
  <c r="BR767" i="7" a="1"/>
  <c r="BR1138" i="7" a="1"/>
  <c r="BR1057" i="7" a="1"/>
  <c r="BR1048" i="7" a="1"/>
  <c r="BR945" i="7" a="1"/>
  <c r="BR929" i="7" a="1"/>
  <c r="BR881" i="7" a="1"/>
  <c r="BR847" i="7" a="1"/>
  <c r="BS844" i="7" a="1"/>
  <c r="BR839" i="7" a="1"/>
  <c r="BR815" i="7" a="1"/>
  <c r="BR813" i="7" a="1"/>
  <c r="BR811" i="7" a="1"/>
  <c r="BR809" i="7" a="1"/>
  <c r="BS807" i="7" a="1"/>
  <c r="BS801" i="7" a="1"/>
  <c r="BS790" i="7" a="1"/>
  <c r="BR781" i="7" a="1"/>
  <c r="BS779" i="7" a="1"/>
  <c r="BR1123" i="7" a="1"/>
  <c r="BS1111" i="7" a="1"/>
  <c r="BR941" i="7" a="1"/>
  <c r="BR1181" i="7" a="1"/>
  <c r="BS981" i="7" a="1"/>
  <c r="BS956" i="7" a="1"/>
  <c r="BS1063" i="7" a="1"/>
  <c r="BR1008" i="7" a="1"/>
  <c r="BR976" i="7" a="1"/>
  <c r="BR944" i="7" a="1"/>
  <c r="BS940" i="7" a="1"/>
  <c r="BR928" i="7" a="1"/>
  <c r="BS912" i="7" a="1"/>
  <c r="BR901" i="7" a="1"/>
  <c r="BR890" i="7" a="1"/>
  <c r="BS870" i="7" a="1"/>
  <c r="BR854" i="7" a="1"/>
  <c r="BR836" i="7" a="1"/>
  <c r="BS1096" i="7" a="1"/>
  <c r="BS1014" i="7" a="1"/>
  <c r="BS967" i="7" a="1"/>
  <c r="BR959" i="7" a="1"/>
  <c r="BR924" i="7" a="1"/>
  <c r="BR916" i="7" a="1"/>
  <c r="BR912" i="7" a="1"/>
  <c r="BS897" i="7" a="1"/>
  <c r="BS883" i="7" a="1"/>
  <c r="BR880" i="7" a="1"/>
  <c r="BR995" i="7" a="1"/>
  <c r="BR989" i="7" a="1"/>
  <c r="BR967" i="7" a="1"/>
  <c r="BS955" i="7" a="1"/>
  <c r="BS936" i="7" a="1"/>
  <c r="BR908" i="7" a="1"/>
  <c r="BR897" i="7" a="1"/>
  <c r="BR870" i="7" a="1"/>
  <c r="BS838" i="7" a="1"/>
  <c r="BR980" i="7" a="1"/>
  <c r="BS919" i="7" a="1"/>
  <c r="BS886" i="7" a="1"/>
  <c r="BR876" i="7" a="1"/>
  <c r="BS861" i="7" a="1"/>
  <c r="BR851" i="7" a="1"/>
  <c r="BR843" i="7" a="1"/>
  <c r="BR1006" i="7" a="1"/>
  <c r="BS962" i="7" a="1"/>
  <c r="BR950" i="7" a="1"/>
  <c r="BS903" i="7" a="1"/>
  <c r="BS882" i="7" a="1"/>
  <c r="BR879" i="7" a="1"/>
  <c r="BS872" i="7" a="1"/>
  <c r="BS858" i="7" a="1"/>
  <c r="BS853" i="7" a="1"/>
  <c r="BS845" i="7" a="1"/>
  <c r="BR835" i="7" a="1"/>
  <c r="BS826" i="7" a="1"/>
  <c r="BR822" i="7" a="1"/>
  <c r="BR1163" i="7" a="1"/>
  <c r="BS1041" i="7" a="1"/>
  <c r="BR988" i="7" a="1"/>
  <c r="BS885" i="7" a="1"/>
  <c r="BS880" i="7" a="1"/>
  <c r="BR865" i="7" a="1"/>
  <c r="BR849" i="7" a="1"/>
  <c r="BS825" i="7" a="1"/>
  <c r="BR820" i="7" a="1"/>
  <c r="BR817" i="7" a="1"/>
  <c r="BS802" i="7" a="1"/>
  <c r="BS795" i="7" a="1"/>
  <c r="BS786" i="7" a="1"/>
  <c r="BR755" i="7" a="1"/>
  <c r="BR746" i="7" a="1"/>
  <c r="BS744" i="7" a="1"/>
  <c r="BR735" i="7" a="1"/>
  <c r="BR726" i="7" a="1"/>
  <c r="BS724" i="7" a="1"/>
  <c r="BR715" i="7" a="1"/>
  <c r="BR706" i="7" a="1"/>
  <c r="BS704" i="7" a="1"/>
  <c r="BR695" i="7" a="1"/>
  <c r="BR686" i="7" a="1"/>
  <c r="BS684" i="7" a="1"/>
  <c r="BR675" i="7" a="1"/>
  <c r="BR939" i="7" a="1"/>
  <c r="BR885" i="7" a="1"/>
  <c r="BS840" i="7" a="1"/>
  <c r="BR828" i="7" a="1"/>
  <c r="BS797" i="7" a="1"/>
  <c r="BR784" i="7" a="1"/>
  <c r="BS777" i="7" a="1"/>
  <c r="BS775" i="7" a="1"/>
  <c r="BS753" i="7" a="1"/>
  <c r="BS733" i="7" a="1"/>
  <c r="BS713" i="7" a="1"/>
  <c r="BS693" i="7" a="1"/>
  <c r="BS673" i="7" a="1"/>
  <c r="BS653" i="7" a="1"/>
  <c r="BS633" i="7" a="1"/>
  <c r="BR996" i="7" a="1"/>
  <c r="BS951" i="7" a="1"/>
  <c r="BR874" i="7" a="1"/>
  <c r="BR869" i="7" a="1"/>
  <c r="BR844" i="7" a="1"/>
  <c r="BR825" i="7" a="1"/>
  <c r="BS804" i="7" a="1"/>
  <c r="BR802" i="7" a="1"/>
  <c r="BS799" i="7" a="1"/>
  <c r="BR795" i="7" a="1"/>
  <c r="BR788" i="7" a="1"/>
  <c r="BR786" i="7" a="1"/>
  <c r="BR744" i="7" a="1"/>
  <c r="BR724" i="7" a="1"/>
  <c r="BR704" i="7" a="1"/>
  <c r="BS987" i="7" a="1"/>
  <c r="BR919" i="7" a="1"/>
  <c r="BS856" i="7" a="1"/>
  <c r="BS852" i="7" a="1"/>
  <c r="BR840" i="7" a="1"/>
  <c r="BS814" i="7" a="1"/>
  <c r="BR797" i="7" a="1"/>
  <c r="BR777" i="7" a="1"/>
  <c r="BR775" i="7" a="1"/>
  <c r="BR753" i="7" a="1"/>
  <c r="BS751" i="7" a="1"/>
  <c r="BS742" i="7" a="1"/>
  <c r="BS740" i="7" a="1"/>
  <c r="BR733" i="7" a="1"/>
  <c r="BS731" i="7" a="1"/>
  <c r="BS722" i="7" a="1"/>
  <c r="BS720" i="7" a="1"/>
  <c r="BR713" i="7" a="1"/>
  <c r="BS711" i="7" a="1"/>
  <c r="BS702" i="7" a="1"/>
  <c r="BS700" i="7" a="1"/>
  <c r="BR693" i="7" a="1"/>
  <c r="BS691" i="7" a="1"/>
  <c r="BS682" i="7" a="1"/>
  <c r="BS1194" i="7" a="1"/>
  <c r="BR1015" i="7" a="1"/>
  <c r="BS964" i="7" a="1"/>
  <c r="BS925" i="7" a="1"/>
  <c r="BS889" i="7" a="1"/>
  <c r="BR884" i="7" a="1"/>
  <c r="BR856" i="7" a="1"/>
  <c r="BS836" i="7" a="1"/>
  <c r="BR1159" i="7" a="1"/>
  <c r="BR1025" i="7" a="1"/>
  <c r="BS930" i="7" a="1"/>
  <c r="BR883" i="7" a="1"/>
  <c r="BR859" i="7" a="1"/>
  <c r="BS824" i="7" a="1"/>
  <c r="BR816" i="7" a="1"/>
  <c r="BR758" i="7" a="1"/>
  <c r="BS1226" i="7" a="1"/>
  <c r="BS1090" i="7" a="1"/>
  <c r="BR1047" i="7" a="1"/>
  <c r="BR993" i="7" a="1"/>
  <c r="BR977" i="7" a="1"/>
  <c r="BR930" i="7" a="1"/>
  <c r="BS917" i="7" a="1"/>
  <c r="BS851" i="7" a="1"/>
  <c r="BR824" i="7" a="1"/>
  <c r="BS821" i="7" a="1"/>
  <c r="BS808" i="7" a="1"/>
  <c r="BR803" i="7" a="1"/>
  <c r="BS794" i="7" a="1"/>
  <c r="BR1059" i="7" a="1"/>
  <c r="BR867" i="7" a="1"/>
  <c r="BR821" i="7" a="1"/>
  <c r="BS810" i="7" a="1"/>
  <c r="BS798" i="7" a="1"/>
  <c r="BS787" i="7" a="1"/>
  <c r="BS785" i="7" a="1"/>
  <c r="BS776" i="7" a="1"/>
  <c r="BR754" i="7" a="1"/>
  <c r="BR734" i="7" a="1"/>
  <c r="BR983" i="7" a="1"/>
  <c r="BR935" i="7" a="1"/>
  <c r="BS910" i="7" a="1"/>
  <c r="BR882" i="7" a="1"/>
  <c r="BR846" i="7" a="1"/>
  <c r="BR829" i="7" a="1"/>
  <c r="BR796" i="7" a="1"/>
  <c r="BS789" i="7" a="1"/>
  <c r="BS752" i="7" a="1"/>
  <c r="BS750" i="7" a="1"/>
  <c r="BR743" i="7" a="1"/>
  <c r="BS741" i="7" a="1"/>
  <c r="BS732" i="7" a="1"/>
  <c r="BS730" i="7" a="1"/>
  <c r="BR723" i="7" a="1"/>
  <c r="BS721" i="7" a="1"/>
  <c r="BS712" i="7" a="1"/>
  <c r="BS710" i="7" a="1"/>
  <c r="BR703" i="7" a="1"/>
  <c r="BS701" i="7" a="1"/>
  <c r="BR1019" i="7" a="1"/>
  <c r="BS1008" i="7" a="1"/>
  <c r="BS999" i="7" a="1"/>
  <c r="BS946" i="7" a="1"/>
  <c r="BS915" i="7" a="1"/>
  <c r="BS857" i="7" a="1"/>
  <c r="BS834" i="7" a="1"/>
  <c r="BS831" i="7" a="1"/>
  <c r="BR823" i="7" a="1"/>
  <c r="BR791" i="7" a="1"/>
  <c r="BS782" i="7" a="1"/>
  <c r="BS771" i="7" a="1"/>
  <c r="BS769" i="7" a="1"/>
  <c r="BR763" i="7" a="1"/>
  <c r="BS759" i="7" a="1"/>
  <c r="BR739" i="7" a="1"/>
  <c r="BR719" i="7" a="1"/>
  <c r="BR699" i="7" a="1"/>
  <c r="BS937" i="7" a="1"/>
  <c r="BR927" i="7" a="1"/>
  <c r="BS827" i="7" a="1"/>
  <c r="BS823" i="7" a="1"/>
  <c r="BR810" i="7" a="1"/>
  <c r="BR806" i="7" a="1"/>
  <c r="BS738" i="7" a="1"/>
  <c r="BR725" i="7" a="1"/>
  <c r="BR722" i="7" a="1"/>
  <c r="BS717" i="7" a="1"/>
  <c r="BR712" i="7" a="1"/>
  <c r="BR707" i="7" a="1"/>
  <c r="BS690" i="7" a="1"/>
  <c r="BS688" i="7" a="1"/>
  <c r="BS666" i="7" a="1"/>
  <c r="BR649" i="7" a="1"/>
  <c r="BS647" i="7" a="1"/>
  <c r="BR956" i="7" a="1"/>
  <c r="BS850" i="7" a="1"/>
  <c r="BS843" i="7" a="1"/>
  <c r="BR787" i="7" a="1"/>
  <c r="BS760" i="7" a="1"/>
  <c r="BR730" i="7" a="1"/>
  <c r="BR717" i="7" a="1"/>
  <c r="BS709" i="7" a="1"/>
  <c r="BR668" i="7" a="1"/>
  <c r="BS664" i="7" a="1"/>
  <c r="BS660" i="7" a="1"/>
  <c r="BR647" i="7" a="1"/>
  <c r="BR645" i="7" a="1"/>
  <c r="BS643" i="7" a="1"/>
  <c r="BS628" i="7" a="1"/>
  <c r="BR610" i="7" a="1"/>
  <c r="BR605" i="7" a="1"/>
  <c r="BR600" i="7" a="1"/>
  <c r="BR595" i="7" a="1"/>
  <c r="BR590" i="7" a="1"/>
  <c r="BR585" i="7" a="1"/>
  <c r="BR580" i="7" a="1"/>
  <c r="BR827" i="7" a="1"/>
  <c r="BR814" i="7" a="1"/>
  <c r="BR798" i="7" a="1"/>
  <c r="BR779" i="7" a="1"/>
  <c r="BR776" i="7" a="1"/>
  <c r="BS766" i="7" a="1"/>
  <c r="BS763" i="7" a="1"/>
  <c r="BS746" i="7" a="1"/>
  <c r="BR738" i="7" a="1"/>
  <c r="BS697" i="7" a="1"/>
  <c r="BR690" i="7" a="1"/>
  <c r="BR688" i="7" a="1"/>
  <c r="BR666" i="7" a="1"/>
  <c r="BR664" i="7" a="1"/>
  <c r="BS662" i="7" a="1"/>
  <c r="BS641" i="7" a="1"/>
  <c r="BR619" i="7" a="1"/>
  <c r="BS1064" i="7" a="1"/>
  <c r="BS862" i="7" a="1"/>
  <c r="BR831" i="7" a="1"/>
  <c r="BS818" i="7" a="1"/>
  <c r="BR760" i="7" a="1"/>
  <c r="BS719" i="7" a="1"/>
  <c r="BS714" i="7" a="1"/>
  <c r="BR709" i="7" a="1"/>
  <c r="BR697" i="7" a="1"/>
  <c r="BR662" i="7" a="1"/>
  <c r="BR660" i="7" a="1"/>
  <c r="BR643" i="7" a="1"/>
  <c r="BS639" i="7" a="1"/>
  <c r="BR628" i="7" a="1"/>
  <c r="BS626" i="7" a="1"/>
  <c r="BS617" i="7" a="1"/>
  <c r="BS615" i="7" a="1"/>
  <c r="BS608" i="7" a="1"/>
  <c r="BS603" i="7" a="1"/>
  <c r="BS598" i="7" a="1"/>
  <c r="BS593" i="7" a="1"/>
  <c r="BS588" i="7" a="1"/>
  <c r="BS583" i="7" a="1"/>
  <c r="BS578" i="7" a="1"/>
  <c r="BS573" i="7" a="1"/>
  <c r="BS568" i="7" a="1"/>
  <c r="BS563" i="7" a="1"/>
  <c r="BS558" i="7" a="1"/>
  <c r="BS553" i="7" a="1"/>
  <c r="BS548" i="7" a="1"/>
  <c r="BS543" i="7" a="1"/>
  <c r="BS538" i="7" a="1"/>
  <c r="BS533" i="7" a="1"/>
  <c r="BS849" i="7" a="1"/>
  <c r="BR790" i="7" a="1"/>
  <c r="BR769" i="7" a="1"/>
  <c r="BR766" i="7" a="1"/>
  <c r="BS754" i="7" a="1"/>
  <c r="BR751" i="7" a="1"/>
  <c r="BS743" i="7" a="1"/>
  <c r="BS735" i="7" a="1"/>
  <c r="BS727" i="7" a="1"/>
  <c r="BR954" i="7" a="1"/>
  <c r="BR826" i="7" a="1"/>
  <c r="BS748" i="7" a="1"/>
  <c r="BR711" i="7" a="1"/>
  <c r="BS694" i="7" a="1"/>
  <c r="BS685" i="7" a="1"/>
  <c r="BS683" i="7" a="1"/>
  <c r="BS679" i="7" a="1"/>
  <c r="BS675" i="7" a="1"/>
  <c r="BR658" i="7" a="1"/>
  <c r="BS654" i="7" a="1"/>
  <c r="BS637" i="7" a="1"/>
  <c r="BS613" i="7" a="1"/>
  <c r="BR985" i="7" a="1"/>
  <c r="BS868" i="7" a="1"/>
  <c r="BR782" i="7" a="1"/>
  <c r="BR729" i="7" a="1"/>
  <c r="BR721" i="7" a="1"/>
  <c r="BR716" i="7" a="1"/>
  <c r="BS696" i="7" a="1"/>
  <c r="BS689" i="7" a="1"/>
  <c r="BS687" i="7" a="1"/>
  <c r="BR677" i="7" a="1"/>
  <c r="BR671" i="7" a="1"/>
  <c r="BS665" i="7" a="1"/>
  <c r="BR652" i="7" a="1"/>
  <c r="BR650" i="7" a="1"/>
  <c r="BS648" i="7" a="1"/>
  <c r="BR868" i="7" a="1"/>
  <c r="BR834" i="7" a="1"/>
  <c r="BR804" i="7" a="1"/>
  <c r="BR789" i="7" a="1"/>
  <c r="BR778" i="7" a="1"/>
  <c r="BR768" i="7" a="1"/>
  <c r="BR765" i="7" a="1"/>
  <c r="BR762" i="7" a="1"/>
  <c r="BR745" i="7" a="1"/>
  <c r="BR742" i="7" a="1"/>
  <c r="BS737" i="7" a="1"/>
  <c r="BS718" i="7" a="1"/>
  <c r="BS892" i="7" a="1"/>
  <c r="BS859" i="7" a="1"/>
  <c r="BS796" i="7" a="1"/>
  <c r="BR759" i="7" a="1"/>
  <c r="BR756" i="7" a="1"/>
  <c r="BS734" i="7" a="1"/>
  <c r="BS726" i="7" a="1"/>
  <c r="BR718" i="7" a="1"/>
  <c r="BR708" i="7" a="1"/>
  <c r="BR691" i="7" a="1"/>
  <c r="BS661" i="7" a="1"/>
  <c r="BR646" i="7" a="1"/>
  <c r="BR644" i="7" a="1"/>
  <c r="BS642" i="7" a="1"/>
  <c r="BR629" i="7" a="1"/>
  <c r="BR1007" i="7" a="1"/>
  <c r="BS909" i="7" a="1"/>
  <c r="BS833" i="7" a="1"/>
  <c r="BS774" i="7" a="1"/>
  <c r="BS770" i="7" a="1"/>
  <c r="BS918" i="7" a="1"/>
  <c r="BR889" i="7" a="1"/>
  <c r="BR819" i="7" a="1"/>
  <c r="BS784" i="7" a="1"/>
  <c r="BR761" i="7" a="1"/>
  <c r="BS758" i="7" a="1"/>
  <c r="BS755" i="7" a="1"/>
  <c r="BS749" i="7" a="1"/>
  <c r="BS736" i="7" a="1"/>
  <c r="BR728" i="7" a="1"/>
  <c r="BS670" i="7" a="1"/>
  <c r="BR657" i="7" a="1"/>
  <c r="BR655" i="7" a="1"/>
  <c r="BS651" i="7" a="1"/>
  <c r="BR636" i="7" a="1"/>
  <c r="BR614" i="7" a="1"/>
  <c r="BR607" i="7" a="1"/>
  <c r="BR602" i="7" a="1"/>
  <c r="BR597" i="7" a="1"/>
  <c r="BR592" i="7" a="1"/>
  <c r="BR587" i="7" a="1"/>
  <c r="BR749" i="7" a="1"/>
  <c r="BS729" i="7" a="1"/>
  <c r="BS692" i="7" a="1"/>
  <c r="BR667" i="7" a="1"/>
  <c r="BR661" i="7" a="1"/>
  <c r="BS649" i="7" a="1"/>
  <c r="BR632" i="7" a="1"/>
  <c r="BS624" i="7" a="1"/>
  <c r="BS614" i="7" a="1"/>
  <c r="BS599" i="7" a="1"/>
  <c r="BS597" i="7" a="1"/>
  <c r="BR593" i="7" a="1"/>
  <c r="BR589" i="7" a="1"/>
  <c r="BR579" i="7" a="1"/>
  <c r="BS575" i="7" a="1"/>
  <c r="BR566" i="7" a="1"/>
  <c r="BR557" i="7" a="1"/>
  <c r="BS555" i="7" a="1"/>
  <c r="BR975" i="7" a="1"/>
  <c r="BS791" i="7" a="1"/>
  <c r="BS765" i="7" a="1"/>
  <c r="BS707" i="7" a="1"/>
  <c r="BS703" i="7" a="1"/>
  <c r="BR692" i="7" a="1"/>
  <c r="BR682" i="7" a="1"/>
  <c r="BS676" i="7" a="1"/>
  <c r="BR673" i="7" a="1"/>
  <c r="BS652" i="7" a="1"/>
  <c r="BR637" i="7" a="1"/>
  <c r="BR624" i="7" a="1"/>
  <c r="BS619" i="7" a="1"/>
  <c r="BS605" i="7" a="1"/>
  <c r="BR601" i="7" a="1"/>
  <c r="BR577" i="7" a="1"/>
  <c r="BS564" i="7" a="1"/>
  <c r="BR546" i="7" a="1"/>
  <c r="BR539" i="7" a="1"/>
  <c r="BR532" i="7" a="1"/>
  <c r="BR527" i="7" a="1"/>
  <c r="BR812" i="7" a="1"/>
  <c r="BR771" i="7" a="1"/>
  <c r="BS699" i="7" a="1"/>
  <c r="BR685" i="7" a="1"/>
  <c r="BR679" i="7" a="1"/>
  <c r="BR676" i="7" a="1"/>
  <c r="BR670" i="7" a="1"/>
  <c r="BS629" i="7" a="1"/>
  <c r="BS607" i="7" a="1"/>
  <c r="BR603" i="7" a="1"/>
  <c r="BR599" i="7" a="1"/>
  <c r="BR575" i="7" a="1"/>
  <c r="BR555" i="7" a="1"/>
  <c r="BS854" i="7" a="1"/>
  <c r="BS835" i="7" a="1"/>
  <c r="BR748" i="7" a="1"/>
  <c r="BS715" i="7" a="1"/>
  <c r="BS634" i="7" a="1"/>
  <c r="BS609" i="7" a="1"/>
  <c r="BS1020" i="7" a="1"/>
  <c r="BR864" i="7" a="1"/>
  <c r="BS695" i="7" a="1"/>
  <c r="BR634" i="7" a="1"/>
  <c r="BS616" i="7" a="1"/>
  <c r="BS611" i="7" a="1"/>
  <c r="BR609" i="7" a="1"/>
  <c r="BR573" i="7" a="1"/>
  <c r="BR553" i="7" a="1"/>
  <c r="BR544" i="7" a="1"/>
  <c r="BR537" i="7" a="1"/>
  <c r="BS1035" i="7" a="1"/>
  <c r="BS899" i="7" a="1"/>
  <c r="BS764" i="7" a="1"/>
  <c r="BS728" i="7" a="1"/>
  <c r="BR710" i="7" a="1"/>
  <c r="BR702" i="7" a="1"/>
  <c r="BS681" i="7" a="1"/>
  <c r="BS669" i="7" a="1"/>
  <c r="BS663" i="7" a="1"/>
  <c r="BS657" i="7" a="1"/>
  <c r="BR639" i="7" a="1"/>
  <c r="BS631" i="7" a="1"/>
  <c r="BR626" i="7" a="1"/>
  <c r="BR616" i="7" a="1"/>
  <c r="BR611" i="7" a="1"/>
  <c r="BS586" i="7" a="1"/>
  <c r="BS569" i="7" a="1"/>
  <c r="BS549" i="7" a="1"/>
  <c r="BR818" i="7" a="1"/>
  <c r="BR752" i="7" a="1"/>
  <c r="BR732" i="7" a="1"/>
  <c r="BR727" i="7" a="1"/>
  <c r="BS705" i="7" a="1"/>
  <c r="BR684" i="7" a="1"/>
  <c r="BR678" i="7" a="1"/>
  <c r="BR672" i="7" a="1"/>
  <c r="BR651" i="7" a="1"/>
  <c r="BS623" i="7" a="1"/>
  <c r="BS618" i="7" a="1"/>
  <c r="BR613" i="7" a="1"/>
  <c r="BS594" i="7" a="1"/>
  <c r="BS592" i="7" a="1"/>
  <c r="BR588" i="7" a="1"/>
  <c r="BR584" i="7" a="1"/>
  <c r="BR582" i="7" a="1"/>
  <c r="BR558" i="7" a="1"/>
  <c r="BR741" i="7" a="1"/>
  <c r="BR694" i="7" a="1"/>
  <c r="BR687" i="7" a="1"/>
  <c r="BR623" i="7" a="1"/>
  <c r="BR618" i="7" a="1"/>
  <c r="BS606" i="7" a="1"/>
  <c r="BS600" i="7" a="1"/>
  <c r="BR596" i="7" a="1"/>
  <c r="BR578" i="7" a="1"/>
  <c r="BR576" i="7" a="1"/>
  <c r="BR567" i="7" a="1"/>
  <c r="BS565" i="7" a="1"/>
  <c r="BR801" i="7" a="1"/>
  <c r="BR740" i="7" a="1"/>
  <c r="BR701" i="7" a="1"/>
  <c r="BR656" i="7" a="1"/>
  <c r="BS650" i="7" a="1"/>
  <c r="BS644" i="7" a="1"/>
  <c r="BR641" i="7" a="1"/>
  <c r="BS625" i="7" a="1"/>
  <c r="BR615" i="7" a="1"/>
  <c r="BR606" i="7" a="1"/>
  <c r="BR565" i="7" a="1"/>
  <c r="BR731" i="7" a="1"/>
  <c r="BS680" i="7" a="1"/>
  <c r="BS671" i="7" a="1"/>
  <c r="BR665" i="7" a="1"/>
  <c r="BR659" i="7" a="1"/>
  <c r="BS638" i="7" a="1"/>
  <c r="BR620" i="7" a="1"/>
  <c r="BS610" i="7" a="1"/>
  <c r="BR608" i="7" a="1"/>
  <c r="BR604" i="7" a="1"/>
  <c r="BR574" i="7" a="1"/>
  <c r="BS572" i="7" a="1"/>
  <c r="BS561" i="7" a="1"/>
  <c r="BR554" i="7" a="1"/>
  <c r="BS552" i="7" a="1"/>
  <c r="BR545" i="7" a="1"/>
  <c r="BS536" i="7" a="1"/>
  <c r="BR531" i="7" a="1"/>
  <c r="BR526" i="7" a="1"/>
  <c r="BS829" i="7" a="1"/>
  <c r="BS822" i="7" a="1"/>
  <c r="BR799" i="7" a="1"/>
  <c r="BS761" i="7" a="1"/>
  <c r="BS739" i="7" a="1"/>
  <c r="BS725" i="7" a="1"/>
  <c r="BR700" i="7" a="1"/>
  <c r="BS686" i="7" a="1"/>
  <c r="BS658" i="7" a="1"/>
  <c r="BS622" i="7" a="1"/>
  <c r="BR617" i="7" a="1"/>
  <c r="BS612" i="7" a="1"/>
  <c r="BS591" i="7" a="1"/>
  <c r="BS585" i="7" a="1"/>
  <c r="BR720" i="7" a="1"/>
  <c r="BR698" i="7" a="1"/>
  <c r="BR663" i="7" a="1"/>
  <c r="BS595" i="7" a="1"/>
  <c r="BR591" i="7" a="1"/>
  <c r="BS577" i="7" a="1"/>
  <c r="BR568" i="7" a="1"/>
  <c r="BS550" i="7" a="1"/>
  <c r="BR534" i="7" a="1"/>
  <c r="BS525" i="7" a="1"/>
  <c r="BR523" i="7" a="1"/>
  <c r="BR514" i="7" a="1"/>
  <c r="BS512" i="7" a="1"/>
  <c r="BR503" i="7" a="1"/>
  <c r="BR494" i="7" a="1"/>
  <c r="BR705" i="7" a="1"/>
  <c r="BS668" i="7" a="1"/>
  <c r="BR561" i="7" a="1"/>
  <c r="BS545" i="7" a="1"/>
  <c r="BR536" i="7" a="1"/>
  <c r="BR525" i="7" a="1"/>
  <c r="BS521" i="7" a="1"/>
  <c r="BR512" i="7" a="1"/>
  <c r="BS501" i="7" a="1"/>
  <c r="BS492" i="7" a="1"/>
  <c r="BR838" i="7" a="1"/>
  <c r="BS646" i="7" a="1"/>
  <c r="BS635" i="7" a="1"/>
  <c r="BS630" i="7" a="1"/>
  <c r="BR625" i="7" a="1"/>
  <c r="BS620" i="7" a="1"/>
  <c r="BS587" i="7" a="1"/>
  <c r="BS580" i="7" a="1"/>
  <c r="BR550" i="7" a="1"/>
  <c r="BS527" i="7" a="1"/>
  <c r="BR852" i="7" a="1"/>
  <c r="BR770" i="7" a="1"/>
  <c r="BR736" i="7" a="1"/>
  <c r="BS656" i="7" a="1"/>
  <c r="BS640" i="7" a="1"/>
  <c r="BR635" i="7" a="1"/>
  <c r="BS570" i="7" a="1"/>
  <c r="BR564" i="7" a="1"/>
  <c r="BS547" i="7" a="1"/>
  <c r="BS529" i="7" a="1"/>
  <c r="BR521" i="7" a="1"/>
  <c r="BS519" i="7" a="1"/>
  <c r="BS508" i="7" a="1"/>
  <c r="BR501" i="7" a="1"/>
  <c r="BS499" i="7" a="1"/>
  <c r="BS490" i="7" a="1"/>
  <c r="BS837" i="7" a="1"/>
  <c r="BS780" i="7" a="1"/>
  <c r="BS678" i="7" a="1"/>
  <c r="BR640" i="7" a="1"/>
  <c r="BR630" i="7" a="1"/>
  <c r="BS590" i="7" a="1"/>
  <c r="BS576" i="7" a="1"/>
  <c r="BS567" i="7" a="1"/>
  <c r="BS540" i="7" a="1"/>
  <c r="BR538" i="7" a="1"/>
  <c r="BR780" i="7" a="1"/>
  <c r="BS667" i="7" a="1"/>
  <c r="BS927" i="7" a="1"/>
  <c r="BS894" i="7" a="1"/>
  <c r="BS602" i="7" a="1"/>
  <c r="BR598" i="7" a="1"/>
  <c r="BR552" i="7" a="1"/>
  <c r="BR540" i="7" a="1"/>
  <c r="BR517" i="7" a="1"/>
  <c r="BS506" i="7" a="1"/>
  <c r="BR497" i="7" a="1"/>
  <c r="BS488" i="7" a="1"/>
  <c r="BS481" i="7" a="1"/>
  <c r="BR689" i="7" a="1"/>
  <c r="BR560" i="7" a="1"/>
  <c r="BS557" i="7" a="1"/>
  <c r="BR549" i="7" a="1"/>
  <c r="BS544" i="7" a="1"/>
  <c r="BS535" i="7" a="1"/>
  <c r="BR515" i="7" a="1"/>
  <c r="BR495" i="7" a="1"/>
  <c r="BS493" i="7" a="1"/>
  <c r="BS716" i="7" a="1"/>
  <c r="BR654" i="7" a="1"/>
  <c r="BS601" i="7" a="1"/>
  <c r="BS554" i="7" a="1"/>
  <c r="BS537" i="7" a="1"/>
  <c r="BS528" i="7" a="1"/>
  <c r="BS526" i="7" a="1"/>
  <c r="BR522" i="7" a="1"/>
  <c r="BS511" i="7" a="1"/>
  <c r="BR502" i="7" a="1"/>
  <c r="BR493" i="7" a="1"/>
  <c r="BR486" i="7" a="1"/>
  <c r="BR872" i="7" a="1"/>
  <c r="BS747" i="7" a="1"/>
  <c r="BS627" i="7" a="1"/>
  <c r="BS596" i="7" a="1"/>
  <c r="BS562" i="7" a="1"/>
  <c r="BS559" i="7" a="1"/>
  <c r="BS556" i="7" a="1"/>
  <c r="BS539" i="7" a="1"/>
  <c r="BS530" i="7" a="1"/>
  <c r="BR520" i="7" a="1"/>
  <c r="BR500" i="7" a="1"/>
  <c r="BR1003" i="7" a="1"/>
  <c r="BS756" i="7" a="1"/>
  <c r="BR747" i="7" a="1"/>
  <c r="BR648" i="7" a="1"/>
  <c r="BR642" i="7" a="1"/>
  <c r="BS632" i="7" a="1"/>
  <c r="BR627" i="7" a="1"/>
  <c r="BR622" i="7" a="1"/>
  <c r="BS604" i="7" a="1"/>
  <c r="BR562" i="7" a="1"/>
  <c r="BR530" i="7" a="1"/>
  <c r="BR518" i="7" a="1"/>
  <c r="BR764" i="7" a="1"/>
  <c r="BR680" i="7" a="1"/>
  <c r="BR669" i="7" a="1"/>
  <c r="BR581" i="7" a="1"/>
  <c r="BS513" i="7" a="1"/>
  <c r="BS505" i="7" a="1"/>
  <c r="BR488" i="7" a="1"/>
  <c r="BR469" i="7" a="1"/>
  <c r="BR462" i="7" a="1"/>
  <c r="BR455" i="7" a="1"/>
  <c r="BR448" i="7" a="1"/>
  <c r="BR443" i="7" a="1"/>
  <c r="BR438" i="7" a="1"/>
  <c r="BR681" i="7" a="1"/>
  <c r="BR594" i="7" a="1"/>
  <c r="BS581" i="7" a="1"/>
  <c r="BS541" i="7" a="1"/>
  <c r="BR533" i="7" a="1"/>
  <c r="BR516" i="7" a="1"/>
  <c r="BR513" i="7" a="1"/>
  <c r="BR476" i="7" a="1"/>
  <c r="BS467" i="7" a="1"/>
  <c r="BS460" i="7" a="1"/>
  <c r="BS453" i="7" a="1"/>
  <c r="BR858" i="7" a="1"/>
  <c r="BR570" i="7" a="1"/>
  <c r="BR505" i="7" a="1"/>
  <c r="BS497" i="7" a="1"/>
  <c r="BR490" i="7" a="1"/>
  <c r="BS474" i="7" a="1"/>
  <c r="BR633" i="7" a="1"/>
  <c r="BR559" i="7" a="1"/>
  <c r="BR541" i="7" a="1"/>
  <c r="BR529" i="7" a="1"/>
  <c r="BS510" i="7" a="1"/>
  <c r="BS502" i="7" a="1"/>
  <c r="BR474" i="7" a="1"/>
  <c r="BR467" i="7" a="1"/>
  <c r="BR460" i="7" a="1"/>
  <c r="BR453" i="7" a="1"/>
  <c r="BS933" i="7" a="1"/>
  <c r="BR857" i="7" a="1"/>
  <c r="BR793" i="7" a="1"/>
  <c r="BR714" i="7" a="1"/>
  <c r="BR586" i="7" a="1"/>
  <c r="BS518" i="7" a="1"/>
  <c r="BR510" i="7" a="1"/>
  <c r="BS507" i="7" a="1"/>
  <c r="BS472" i="7" a="1"/>
  <c r="BS465" i="7" a="1"/>
  <c r="BS659" i="7" a="1"/>
  <c r="BR507" i="7" a="1"/>
  <c r="BR492" i="7" a="1"/>
  <c r="BS574" i="7" a="1"/>
  <c r="BR569" i="7" a="1"/>
  <c r="BS515" i="7" a="1"/>
  <c r="BR499" i="7" a="1"/>
  <c r="BS483" i="7" a="1"/>
  <c r="BR472" i="7" a="1"/>
  <c r="BR465" i="7" a="1"/>
  <c r="BR458" i="7" a="1"/>
  <c r="BR451" i="7" a="1"/>
  <c r="BS444" i="7" a="1"/>
  <c r="BR833" i="7" a="1"/>
  <c r="BR621" i="7" a="1"/>
  <c r="BR535" i="7" a="1"/>
  <c r="BS520" i="7" a="1"/>
  <c r="BS517" i="7" a="1"/>
  <c r="BR509" i="7" a="1"/>
  <c r="BS496" i="7" a="1"/>
  <c r="BR638" i="7" a="1"/>
  <c r="BS584" i="7" a="1"/>
  <c r="BR547" i="7" a="1"/>
  <c r="BS531" i="7" a="1"/>
  <c r="BS498" i="7" a="1"/>
  <c r="BR475" i="7" a="1"/>
  <c r="BR468" i="7" a="1"/>
  <c r="BR461" i="7" a="1"/>
  <c r="BS745" i="7" a="1"/>
  <c r="BR683" i="7" a="1"/>
  <c r="BS674" i="7" a="1"/>
  <c r="BS645" i="7" a="1"/>
  <c r="BR583" i="7" a="1"/>
  <c r="BS551" i="7" a="1"/>
  <c r="BS706" i="7" a="1"/>
  <c r="BS582" i="7" a="1"/>
  <c r="BR571" i="7" a="1"/>
  <c r="BS560" i="7" a="1"/>
  <c r="BR519" i="7" a="1"/>
  <c r="BR508" i="7" a="1"/>
  <c r="BR484" i="7" a="1"/>
  <c r="BR471" i="7" a="1"/>
  <c r="BS677" i="7" a="1"/>
  <c r="BR524" i="7" a="1"/>
  <c r="BS487" i="7" a="1"/>
  <c r="BR466" i="7" a="1"/>
  <c r="BR463" i="7" a="1"/>
  <c r="BS446" i="7" a="1"/>
  <c r="BR423" i="7" a="1"/>
  <c r="BR403" i="7" a="1"/>
  <c r="BR383" i="7" a="1"/>
  <c r="BR363" i="7" a="1"/>
  <c r="BS768" i="7" a="1"/>
  <c r="BR487" i="7" a="1"/>
  <c r="BS477" i="7" a="1"/>
  <c r="BR446" i="7" a="1"/>
  <c r="BR432" i="7" a="1"/>
  <c r="BS430" i="7" a="1"/>
  <c r="BS421" i="7" a="1"/>
  <c r="BS419" i="7" a="1"/>
  <c r="BR412" i="7" a="1"/>
  <c r="BS410" i="7" a="1"/>
  <c r="BS401" i="7" a="1"/>
  <c r="BS399" i="7" a="1"/>
  <c r="BR392" i="7" a="1"/>
  <c r="BS390" i="7" a="1"/>
  <c r="BS381" i="7" a="1"/>
  <c r="BS379" i="7" a="1"/>
  <c r="BR372" i="7" a="1"/>
  <c r="BS370" i="7" a="1"/>
  <c r="BS361" i="7" a="1"/>
  <c r="BS359" i="7" a="1"/>
  <c r="BS352" i="7" a="1"/>
  <c r="BS571" i="7" a="1"/>
  <c r="BS494" i="7" a="1"/>
  <c r="BS448" i="7" a="1"/>
  <c r="BR421" i="7" a="1"/>
  <c r="BR401" i="7" a="1"/>
  <c r="BR381" i="7" a="1"/>
  <c r="BR361" i="7" a="1"/>
  <c r="BS800" i="7" a="1"/>
  <c r="BR750" i="7" a="1"/>
  <c r="BS636" i="7" a="1"/>
  <c r="BS579" i="7" a="1"/>
  <c r="BS523" i="7" a="1"/>
  <c r="BR477" i="7" a="1"/>
  <c r="BR612" i="7" a="1"/>
  <c r="BS589" i="7" a="1"/>
  <c r="BS503" i="7" a="1"/>
  <c r="BR498" i="7" a="1"/>
  <c r="BR483" i="7" a="1"/>
  <c r="BS471" i="7" a="1"/>
  <c r="BS468" i="7" a="1"/>
  <c r="BS455" i="7" a="1"/>
  <c r="BS450" i="7" a="1"/>
  <c r="BS417" i="7" a="1"/>
  <c r="BS397" i="7" a="1"/>
  <c r="BS377" i="7" a="1"/>
  <c r="BS439" i="7" a="1"/>
  <c r="BR428" i="7" a="1"/>
  <c r="BR408" i="7" a="1"/>
  <c r="BR388" i="7" a="1"/>
  <c r="BR368" i="7" a="1"/>
  <c r="BS832" i="7" a="1"/>
  <c r="BR674" i="7" a="1"/>
  <c r="BR551" i="7" a="1"/>
  <c r="BS480" i="7" a="1"/>
  <c r="BS457" i="7" a="1"/>
  <c r="BS522" i="7" a="1"/>
  <c r="BS486" i="7" a="1"/>
  <c r="BR480" i="7" a="1"/>
  <c r="BS452" i="7" a="1"/>
  <c r="BS441" i="7" a="1"/>
  <c r="BR439" i="7" a="1"/>
  <c r="BR426" i="7" a="1"/>
  <c r="BR406" i="7" a="1"/>
  <c r="BS621" i="7" a="1"/>
  <c r="BR543" i="7" a="1"/>
  <c r="BS489" i="7" a="1"/>
  <c r="BS470" i="7" a="1"/>
  <c r="BS462" i="7" a="1"/>
  <c r="BR457" i="7" a="1"/>
  <c r="BR441" i="7" a="1"/>
  <c r="BR437" i="7" a="1"/>
  <c r="BR435" i="7" a="1"/>
  <c r="BS433" i="7" a="1"/>
  <c r="BR424" i="7" a="1"/>
  <c r="BR415" i="7" a="1"/>
  <c r="BS413" i="7" a="1"/>
  <c r="BR404" i="7" a="1"/>
  <c r="BR395" i="7" a="1"/>
  <c r="BS393" i="7" a="1"/>
  <c r="BS672" i="7" a="1"/>
  <c r="BR528" i="7" a="1"/>
  <c r="BS516" i="7" a="1"/>
  <c r="BS479" i="7" a="1"/>
  <c r="BS473" i="7" a="1"/>
  <c r="BR452" i="7" a="1"/>
  <c r="BS445" i="7" a="1"/>
  <c r="BS443" i="7" a="1"/>
  <c r="BS422" i="7" a="1"/>
  <c r="BS402" i="7" a="1"/>
  <c r="BS382" i="7" a="1"/>
  <c r="BS542" i="7" a="1"/>
  <c r="BR506" i="7" a="1"/>
  <c r="BR489" i="7" a="1"/>
  <c r="BS485" i="7" a="1"/>
  <c r="BR479" i="7" a="1"/>
  <c r="BR470" i="7" a="1"/>
  <c r="BS459" i="7" a="1"/>
  <c r="BS447" i="7" a="1"/>
  <c r="BS698" i="7" a="1"/>
  <c r="BR542" i="7" a="1"/>
  <c r="BR511" i="7" a="1"/>
  <c r="BR485" i="7" a="1"/>
  <c r="BS476" i="7" a="1"/>
  <c r="BR473" i="7" a="1"/>
  <c r="BR459" i="7" a="1"/>
  <c r="BS454" i="7" a="1"/>
  <c r="BS449" i="7" a="1"/>
  <c r="BR445" i="7" a="1"/>
  <c r="BS431" i="7" a="1"/>
  <c r="BS942" i="7" a="1"/>
  <c r="BR631" i="7" a="1"/>
  <c r="BS482" i="7" a="1"/>
  <c r="BR454" i="7" a="1"/>
  <c r="BR449" i="7" a="1"/>
  <c r="BR696" i="7" a="1"/>
  <c r="BS655" i="7" a="1"/>
  <c r="BS566" i="7" a="1"/>
  <c r="BR496" i="7" a="1"/>
  <c r="BR464" i="7" a="1"/>
  <c r="BR773" i="7" a="1"/>
  <c r="BR757" i="7" a="1"/>
  <c r="BR556" i="7" a="1"/>
  <c r="BR548" i="7" a="1"/>
  <c r="BS806" i="7" a="1"/>
  <c r="BS464" i="7" a="1"/>
  <c r="BS438" i="7" a="1"/>
  <c r="BS408" i="7" a="1"/>
  <c r="BS372" i="7" a="1"/>
  <c r="BS363" i="7" a="1"/>
  <c r="BR336" i="7" a="1"/>
  <c r="BR316" i="7" a="1"/>
  <c r="BR296" i="7" a="1"/>
  <c r="BR737" i="7" a="1"/>
  <c r="BS534" i="7" a="1"/>
  <c r="BS484" i="7" a="1"/>
  <c r="BR431" i="7" a="1"/>
  <c r="BR414" i="7" a="1"/>
  <c r="BR394" i="7" a="1"/>
  <c r="BS391" i="7" a="1"/>
  <c r="BS386" i="7" a="1"/>
  <c r="BS374" i="7" a="1"/>
  <c r="BR345" i="7" a="1"/>
  <c r="BS343" i="7" a="1"/>
  <c r="BS334" i="7" a="1"/>
  <c r="BR325" i="7" a="1"/>
  <c r="BS323" i="7" a="1"/>
  <c r="BS314" i="7" a="1"/>
  <c r="BR305" i="7" a="1"/>
  <c r="BS303" i="7" a="1"/>
  <c r="BS294" i="7" a="1"/>
  <c r="BR285" i="7" a="1"/>
  <c r="BS458" i="7" a="1"/>
  <c r="BS428" i="7" a="1"/>
  <c r="BS405" i="7" a="1"/>
  <c r="BR402" i="7" a="1"/>
  <c r="BR391" i="7" a="1"/>
  <c r="BR386" i="7" a="1"/>
  <c r="BS365" i="7" a="1"/>
  <c r="BS332" i="7" a="1"/>
  <c r="BS312" i="7" a="1"/>
  <c r="BS292" i="7" a="1"/>
  <c r="BS272" i="7" a="1"/>
  <c r="BS252" i="7" a="1"/>
  <c r="BS232" i="7" a="1"/>
  <c r="BR563" i="7" a="1"/>
  <c r="BS500" i="7" a="1"/>
  <c r="BS491" i="7" a="1"/>
  <c r="BS434" i="7" a="1"/>
  <c r="BR399" i="7" a="1"/>
  <c r="BR374" i="7" a="1"/>
  <c r="BS367" i="7" a="1"/>
  <c r="BR343" i="7" a="1"/>
  <c r="BS341" i="7" a="1"/>
  <c r="BR334" i="7" a="1"/>
  <c r="BR332" i="7" a="1"/>
  <c r="BR323" i="7" a="1"/>
  <c r="BS321" i="7" a="1"/>
  <c r="BR314" i="7" a="1"/>
  <c r="BR312" i="7" a="1"/>
  <c r="BR303" i="7" a="1"/>
  <c r="BS301" i="7" a="1"/>
  <c r="BR294" i="7" a="1"/>
  <c r="BR292" i="7" a="1"/>
  <c r="BR283" i="7" a="1"/>
  <c r="BS281" i="7" a="1"/>
  <c r="BR274" i="7" a="1"/>
  <c r="BR272" i="7" a="1"/>
  <c r="BR263" i="7" a="1"/>
  <c r="BS261" i="7" a="1"/>
  <c r="BR254" i="7" a="1"/>
  <c r="BR252" i="7" a="1"/>
  <c r="BR243" i="7" a="1"/>
  <c r="BS241" i="7" a="1"/>
  <c r="BS546" i="7" a="1"/>
  <c r="BS532" i="7" a="1"/>
  <c r="BR491" i="7" a="1"/>
  <c r="BR482" i="7" a="1"/>
  <c r="BS475" i="7" a="1"/>
  <c r="BS463" i="7" a="1"/>
  <c r="BS425" i="7" a="1"/>
  <c r="BR422" i="7" a="1"/>
  <c r="BR405" i="7" a="1"/>
  <c r="BS388" i="7" a="1"/>
  <c r="BS376" i="7" a="1"/>
  <c r="BS369" i="7" a="1"/>
  <c r="BR365" i="7" a="1"/>
  <c r="BS354" i="7" a="1"/>
  <c r="BR352" i="7" a="1"/>
  <c r="BS350" i="7" a="1"/>
  <c r="BS330" i="7" a="1"/>
  <c r="BS310" i="7" a="1"/>
  <c r="BS290" i="7" a="1"/>
  <c r="BS270" i="7" a="1"/>
  <c r="BS250" i="7" a="1"/>
  <c r="BS509" i="7" a="1"/>
  <c r="BR444" i="7" a="1"/>
  <c r="BS437" i="7" a="1"/>
  <c r="BR434" i="7" a="1"/>
  <c r="BR419" i="7" a="1"/>
  <c r="BR413" i="7" a="1"/>
  <c r="BS396" i="7" a="1"/>
  <c r="BR376" i="7" a="1"/>
  <c r="BR367" i="7" a="1"/>
  <c r="BS469" i="7" a="1"/>
  <c r="BR447" i="7" a="1"/>
  <c r="BR425" i="7" a="1"/>
  <c r="BS416" i="7" a="1"/>
  <c r="BR396" i="7" a="1"/>
  <c r="BR393" i="7" a="1"/>
  <c r="BS383" i="7" a="1"/>
  <c r="BS378" i="7" a="1"/>
  <c r="BR369" i="7" a="1"/>
  <c r="BS360" i="7" a="1"/>
  <c r="BR356" i="7" a="1"/>
  <c r="BR354" i="7" a="1"/>
  <c r="BR350" i="7" a="1"/>
  <c r="BS348" i="7" a="1"/>
  <c r="BS339" i="7" a="1"/>
  <c r="BR330" i="7" a="1"/>
  <c r="BS328" i="7" a="1"/>
  <c r="BS319" i="7" a="1"/>
  <c r="BR310" i="7" a="1"/>
  <c r="BS308" i="7" a="1"/>
  <c r="BS299" i="7" a="1"/>
  <c r="BR290" i="7" a="1"/>
  <c r="BS288" i="7" a="1"/>
  <c r="BS279" i="7" a="1"/>
  <c r="BR270" i="7" a="1"/>
  <c r="BS268" i="7" a="1"/>
  <c r="BR481" i="7" a="1"/>
  <c r="BS456" i="7" a="1"/>
  <c r="BR378" i="7" a="1"/>
  <c r="BS371" i="7" a="1"/>
  <c r="BS364" i="7" a="1"/>
  <c r="BR360" i="7" a="1"/>
  <c r="BR348" i="7" a="1"/>
  <c r="BS346" i="7" a="1"/>
  <c r="BR339" i="7" a="1"/>
  <c r="BR337" i="7" a="1"/>
  <c r="BR328" i="7" a="1"/>
  <c r="BS326" i="7" a="1"/>
  <c r="BR319" i="7" a="1"/>
  <c r="BR317" i="7" a="1"/>
  <c r="BS451" i="7" a="1"/>
  <c r="BR440" i="7" a="1"/>
  <c r="BR433" i="7" a="1"/>
  <c r="BR430" i="7" a="1"/>
  <c r="BS427" i="7" a="1"/>
  <c r="BS424" i="7" a="1"/>
  <c r="BR407" i="7" a="1"/>
  <c r="BS398" i="7" a="1"/>
  <c r="BS380" i="7" a="1"/>
  <c r="BS373" i="7" a="1"/>
  <c r="BR371" i="7" a="1"/>
  <c r="BR362" i="7" a="1"/>
  <c r="BS335" i="7" a="1"/>
  <c r="BS461" i="7" a="1"/>
  <c r="BR456" i="7" a="1"/>
  <c r="BR390" i="7" a="1"/>
  <c r="BS385" i="7" a="1"/>
  <c r="BR364" i="7" a="1"/>
  <c r="BR862" i="7" a="1"/>
  <c r="BS436" i="7" a="1"/>
  <c r="BR427" i="7" a="1"/>
  <c r="BS418" i="7" a="1"/>
  <c r="BS409" i="7" a="1"/>
  <c r="BR398" i="7" a="1"/>
  <c r="BS395" i="7" a="1"/>
  <c r="BR380" i="7" a="1"/>
  <c r="BS375" i="7" a="1"/>
  <c r="BR373" i="7" a="1"/>
  <c r="BS344" i="7" a="1"/>
  <c r="BR335" i="7" a="1"/>
  <c r="BS333" i="7" a="1"/>
  <c r="BS324" i="7" a="1"/>
  <c r="BR315" i="7" a="1"/>
  <c r="BS313" i="7" a="1"/>
  <c r="BS304" i="7" a="1"/>
  <c r="BR295" i="7" a="1"/>
  <c r="BS293" i="7" a="1"/>
  <c r="BS284" i="7" a="1"/>
  <c r="BR275" i="7" a="1"/>
  <c r="BS708" i="7" a="1"/>
  <c r="BR572" i="7" a="1"/>
  <c r="BR436" i="7" a="1"/>
  <c r="BS415" i="7" a="1"/>
  <c r="BR385" i="7" a="1"/>
  <c r="BS366" i="7" a="1"/>
  <c r="BS342" i="7" a="1"/>
  <c r="BS322" i="7" a="1"/>
  <c r="BS302" i="7" a="1"/>
  <c r="BS429" i="7" a="1"/>
  <c r="BR418" i="7" a="1"/>
  <c r="BR409" i="7" a="1"/>
  <c r="BS387" i="7" a="1"/>
  <c r="BR375" i="7" a="1"/>
  <c r="BS368" i="7" a="1"/>
  <c r="BR366" i="7" a="1"/>
  <c r="BS357" i="7" a="1"/>
  <c r="BS355" i="7" a="1"/>
  <c r="BS353" i="7" a="1"/>
  <c r="BR344" i="7" a="1"/>
  <c r="BR342" i="7" a="1"/>
  <c r="BR333" i="7" a="1"/>
  <c r="BS331" i="7" a="1"/>
  <c r="BR324" i="7" a="1"/>
  <c r="BR322" i="7" a="1"/>
  <c r="BR313" i="7" a="1"/>
  <c r="BS311" i="7" a="1"/>
  <c r="BR304" i="7" a="1"/>
  <c r="BR302" i="7" a="1"/>
  <c r="BS504" i="7" a="1"/>
  <c r="BS412" i="7" a="1"/>
  <c r="BS400" i="7" a="1"/>
  <c r="BR382" i="7" a="1"/>
  <c r="BR377" i="7" a="1"/>
  <c r="BS351" i="7" a="1"/>
  <c r="BS340" i="7" a="1"/>
  <c r="BS320" i="7" a="1"/>
  <c r="BS300" i="7" a="1"/>
  <c r="BS280" i="7" a="1"/>
  <c r="BS514" i="7" a="1"/>
  <c r="BR504" i="7" a="1"/>
  <c r="BS495" i="7" a="1"/>
  <c r="BS466" i="7" a="1"/>
  <c r="BR450" i="7" a="1"/>
  <c r="BS442" i="7" a="1"/>
  <c r="BR429" i="7" a="1"/>
  <c r="BS406" i="7" a="1"/>
  <c r="BS392" i="7" a="1"/>
  <c r="BS723" i="7" a="1"/>
  <c r="BR653" i="7" a="1"/>
  <c r="BS420" i="7" a="1"/>
  <c r="BS403" i="7" a="1"/>
  <c r="BR400" i="7" a="1"/>
  <c r="BR351" i="7" a="1"/>
  <c r="BS349" i="7" a="1"/>
  <c r="BR340" i="7" a="1"/>
  <c r="BS338" i="7" a="1"/>
  <c r="BS329" i="7" a="1"/>
  <c r="BR320" i="7" a="1"/>
  <c r="BS524" i="7" a="1"/>
  <c r="BR478" i="7" a="1"/>
  <c r="BS423" i="7" a="1"/>
  <c r="BR420" i="7" a="1"/>
  <c r="BS411" i="7" a="1"/>
  <c r="BR379" i="7" a="1"/>
  <c r="BR349" i="7" a="1"/>
  <c r="BR347" i="7" a="1"/>
  <c r="BR338" i="7" a="1"/>
  <c r="BS336" i="7" a="1"/>
  <c r="BR329" i="7" a="1"/>
  <c r="BR327" i="7" a="1"/>
  <c r="BS305" i="7" a="1"/>
  <c r="BR293" i="7" a="1"/>
  <c r="BR279" i="7" a="1"/>
  <c r="BS263" i="7" a="1"/>
  <c r="BR221" i="7" a="1"/>
  <c r="BR201" i="7" a="1"/>
  <c r="BR181" i="7" a="1"/>
  <c r="BS478" i="7" a="1"/>
  <c r="BR311" i="7" a="1"/>
  <c r="BR308" i="7" a="1"/>
  <c r="BS274" i="7" a="1"/>
  <c r="BS267" i="7" a="1"/>
  <c r="BS265" i="7" a="1"/>
  <c r="BR248" i="7" a="1"/>
  <c r="BR246" i="7" a="1"/>
  <c r="BR244" i="7" a="1"/>
  <c r="BR230" i="7" a="1"/>
  <c r="BS228" i="7" a="1"/>
  <c r="BS219" i="7" a="1"/>
  <c r="BR210" i="7" a="1"/>
  <c r="BS208" i="7" a="1"/>
  <c r="BS199" i="7" a="1"/>
  <c r="BR190" i="7" a="1"/>
  <c r="BS188" i="7" a="1"/>
  <c r="BS179" i="7" a="1"/>
  <c r="BR170" i="7" a="1"/>
  <c r="BS168" i="7" a="1"/>
  <c r="BR411" i="7" a="1"/>
  <c r="BR359" i="7" a="1"/>
  <c r="BS318" i="7" a="1"/>
  <c r="BR301" i="7" a="1"/>
  <c r="BS287" i="7" a="1"/>
  <c r="BR267" i="7" a="1"/>
  <c r="BR250" i="7" a="1"/>
  <c r="BS217" i="7" a="1"/>
  <c r="BS197" i="7" a="1"/>
  <c r="BS432" i="7" a="1"/>
  <c r="BS389" i="7" a="1"/>
  <c r="BR326" i="7" a="1"/>
  <c r="BR287" i="7" a="1"/>
  <c r="BR265" i="7" a="1"/>
  <c r="BR228" i="7" a="1"/>
  <c r="BS226" i="7" a="1"/>
  <c r="BR219" i="7" a="1"/>
  <c r="BR217" i="7" a="1"/>
  <c r="BR208" i="7" a="1"/>
  <c r="BS206" i="7" a="1"/>
  <c r="BR199" i="7" a="1"/>
  <c r="BR197" i="7" a="1"/>
  <c r="BR188" i="7" a="1"/>
  <c r="BS186" i="7" a="1"/>
  <c r="BR179" i="7" a="1"/>
  <c r="BR177" i="7" a="1"/>
  <c r="BR168" i="7" a="1"/>
  <c r="BS166" i="7" a="1"/>
  <c r="BR159" i="7" a="1"/>
  <c r="BR157" i="7" a="1"/>
  <c r="BR410" i="7" a="1"/>
  <c r="BR389" i="7" a="1"/>
  <c r="BR318" i="7" a="1"/>
  <c r="BS298" i="7" a="1"/>
  <c r="BS295" i="7" a="1"/>
  <c r="BS276" i="7" a="1"/>
  <c r="BS269" i="7" a="1"/>
  <c r="BS215" i="7" a="1"/>
  <c r="BS195" i="7" a="1"/>
  <c r="BS175" i="7" a="1"/>
  <c r="BR353" i="7" a="1"/>
  <c r="BR284" i="7" a="1"/>
  <c r="BR281" i="7" a="1"/>
  <c r="BS271" i="7" a="1"/>
  <c r="BS237" i="7" a="1"/>
  <c r="BR226" i="7" a="1"/>
  <c r="BR206" i="7" a="1"/>
  <c r="BR186" i="7" a="1"/>
  <c r="BR166" i="7" a="1"/>
  <c r="BR146" i="7" a="1"/>
  <c r="BR442" i="7" a="1"/>
  <c r="BR397" i="7" a="1"/>
  <c r="BR358" i="7" a="1"/>
  <c r="BS325" i="7" a="1"/>
  <c r="BR321" i="7" a="1"/>
  <c r="BS307" i="7" a="1"/>
  <c r="BS278" i="7" a="1"/>
  <c r="BR271" i="7" a="1"/>
  <c r="BS260" i="7" a="1"/>
  <c r="BR241" i="7" a="1"/>
  <c r="BS233" i="7" a="1"/>
  <c r="BS222" i="7" a="1"/>
  <c r="BS317" i="7" a="1"/>
  <c r="BR307" i="7" a="1"/>
  <c r="BS289" i="7" a="1"/>
  <c r="BS286" i="7" a="1"/>
  <c r="BS273" i="7" a="1"/>
  <c r="BS262" i="7" a="1"/>
  <c r="BR258" i="7" a="1"/>
  <c r="BR256" i="7" a="1"/>
  <c r="BR239" i="7" a="1"/>
  <c r="BR235" i="7" a="1"/>
  <c r="BS231" i="7" a="1"/>
  <c r="BS440" i="7" a="1"/>
  <c r="BR387" i="7" a="1"/>
  <c r="BR357" i="7" a="1"/>
  <c r="BR278" i="7" a="1"/>
  <c r="BR262" i="7" a="1"/>
  <c r="BR260" i="7" a="1"/>
  <c r="BS243" i="7" a="1"/>
  <c r="BR233" i="7" a="1"/>
  <c r="BS220" i="7" a="1"/>
  <c r="BS200" i="7" a="1"/>
  <c r="BR417" i="7" a="1"/>
  <c r="BS407" i="7" a="1"/>
  <c r="BS347" i="7" a="1"/>
  <c r="BR300" i="7" a="1"/>
  <c r="BS297" i="7" a="1"/>
  <c r="BR289" i="7" a="1"/>
  <c r="BR286" i="7" a="1"/>
  <c r="BR273" i="7" a="1"/>
  <c r="BS266" i="7" a="1"/>
  <c r="BS264" i="7" a="1"/>
  <c r="BS247" i="7" a="1"/>
  <c r="BS245" i="7" a="1"/>
  <c r="BR231" i="7" a="1"/>
  <c r="BR211" i="7" a="1"/>
  <c r="BR191" i="7" a="1"/>
  <c r="BR370" i="7" a="1"/>
  <c r="BS337" i="7" a="1"/>
  <c r="BR416" i="7" a="1"/>
  <c r="BS291" i="7" a="1"/>
  <c r="BR268" i="7" a="1"/>
  <c r="BR266" i="7" a="1"/>
  <c r="BR264" i="7" a="1"/>
  <c r="BS251" i="7" a="1"/>
  <c r="BS249" i="7" a="1"/>
  <c r="BR245" i="7" a="1"/>
  <c r="BS227" i="7" a="1"/>
  <c r="BS207" i="7" a="1"/>
  <c r="BS187" i="7" a="1"/>
  <c r="BS167" i="7" a="1"/>
  <c r="BS362" i="7" a="1"/>
  <c r="BS356" i="7" a="1"/>
  <c r="BS306" i="7" a="1"/>
  <c r="BR291" i="7" a="1"/>
  <c r="BR280" i="7" a="1"/>
  <c r="BS426" i="7" a="1"/>
  <c r="BS394" i="7" a="1"/>
  <c r="BS309" i="7" a="1"/>
  <c r="BS255" i="7" a="1"/>
  <c r="BR251" i="7" a="1"/>
  <c r="BR249" i="7" a="1"/>
  <c r="BS404" i="7" a="1"/>
  <c r="BS384" i="7" a="1"/>
  <c r="BR346" i="7" a="1"/>
  <c r="BR341" i="7" a="1"/>
  <c r="BS316" i="7" a="1"/>
  <c r="BR306" i="7" a="1"/>
  <c r="BR288" i="7" a="1"/>
  <c r="BS277" i="7" a="1"/>
  <c r="BS257" i="7" a="1"/>
  <c r="BR253" i="7" a="1"/>
  <c r="BS414" i="7" a="1"/>
  <c r="BR384" i="7" a="1"/>
  <c r="BR309" i="7" a="1"/>
  <c r="BR277" i="7" a="1"/>
  <c r="BS259" i="7" a="1"/>
  <c r="BR257" i="7" a="1"/>
  <c r="BR255" i="7" a="1"/>
  <c r="BS240" i="7" a="1"/>
  <c r="BS238" i="7" a="1"/>
  <c r="BS236" i="7" a="1"/>
  <c r="BR225" i="7" a="1"/>
  <c r="BS223" i="7" a="1"/>
  <c r="BS214" i="7" a="1"/>
  <c r="BR355" i="7" a="1"/>
  <c r="BS327" i="7" a="1"/>
  <c r="BR299" i="7" a="1"/>
  <c r="BS285" i="7" a="1"/>
  <c r="BS282" i="7" a="1"/>
  <c r="BS242" i="7" a="1"/>
  <c r="BS212" i="7" a="1"/>
  <c r="BS192" i="7" a="1"/>
  <c r="BS172" i="7" a="1"/>
  <c r="BS152" i="7" a="1"/>
  <c r="BS435" i="7" a="1"/>
  <c r="BS345" i="7" a="1"/>
  <c r="BR331" i="7" a="1"/>
  <c r="BR282" i="7" a="1"/>
  <c r="BS315" i="7" a="1"/>
  <c r="BS296" i="7" a="1"/>
  <c r="BS248" i="7" a="1"/>
  <c r="BS246" i="7" a="1"/>
  <c r="BS244" i="7" a="1"/>
  <c r="BR234" i="7" a="1"/>
  <c r="BS230" i="7" a="1"/>
  <c r="BS210" i="7" a="1"/>
  <c r="BS190" i="7" a="1"/>
  <c r="BS170" i="7" a="1"/>
  <c r="BR192" i="7" a="1"/>
  <c r="BR173" i="7" a="1"/>
  <c r="BR162" i="7" a="1"/>
  <c r="BS140" i="7" a="1"/>
  <c r="BS120" i="7" a="1"/>
  <c r="BS113" i="7" a="1"/>
  <c r="BS108" i="7" a="1"/>
  <c r="BS103" i="7" a="1"/>
  <c r="BS98" i="7" a="1"/>
  <c r="BS93" i="7" a="1"/>
  <c r="BS88" i="7" a="1"/>
  <c r="BS83" i="7" a="1"/>
  <c r="BS78" i="7" a="1"/>
  <c r="BS73" i="7" a="1"/>
  <c r="BS68" i="7" a="1"/>
  <c r="BS63" i="7" a="1"/>
  <c r="BS203" i="7" a="1"/>
  <c r="BS182" i="7" a="1"/>
  <c r="BR176" i="7" a="1"/>
  <c r="BR167" i="7" a="1"/>
  <c r="BR131" i="7" a="1"/>
  <c r="BR98" i="7" a="1"/>
  <c r="BR88" i="7" a="1"/>
  <c r="BR78" i="7" a="1"/>
  <c r="BR73" i="7" a="1"/>
  <c r="BR58" i="7" a="1"/>
  <c r="BR203" i="7" a="1"/>
  <c r="BR195" i="7" a="1"/>
  <c r="BS185" i="7" a="1"/>
  <c r="BR182" i="7" a="1"/>
  <c r="BS164" i="7" a="1"/>
  <c r="BS153" i="7" a="1"/>
  <c r="BS151" i="7" a="1"/>
  <c r="BR140" i="7" a="1"/>
  <c r="BS138" i="7" a="1"/>
  <c r="BS129" i="7" a="1"/>
  <c r="BR120" i="7" a="1"/>
  <c r="BS118" i="7" a="1"/>
  <c r="BR113" i="7" a="1"/>
  <c r="BR108" i="7" a="1"/>
  <c r="BR103" i="7" a="1"/>
  <c r="BR93" i="7" a="1"/>
  <c r="BR83" i="7" a="1"/>
  <c r="BR68" i="7" a="1"/>
  <c r="BR63" i="7" a="1"/>
  <c r="BR53" i="7" a="1"/>
  <c r="BR223" i="7" a="1"/>
  <c r="BS155" i="7" a="1"/>
  <c r="BS127" i="7" a="1"/>
  <c r="BS116" i="7" a="1"/>
  <c r="BS91" i="7" a="1"/>
  <c r="BS86" i="7" a="1"/>
  <c r="BS81" i="7" a="1"/>
  <c r="BS56" i="7" a="1"/>
  <c r="BS46" i="7" a="1"/>
  <c r="BS31" i="7" a="1"/>
  <c r="BR238" i="7" a="1"/>
  <c r="BR227" i="7" a="1"/>
  <c r="BS191" i="7" a="1"/>
  <c r="BR185" i="7" a="1"/>
  <c r="BR164" i="7" a="1"/>
  <c r="BS157" i="7" a="1"/>
  <c r="BR155" i="7" a="1"/>
  <c r="BR153" i="7" a="1"/>
  <c r="BR151" i="7" a="1"/>
  <c r="BS149" i="7" a="1"/>
  <c r="BS147" i="7" a="1"/>
  <c r="BR138" i="7" a="1"/>
  <c r="BS136" i="7" a="1"/>
  <c r="BR129" i="7" a="1"/>
  <c r="BR127" i="7" a="1"/>
  <c r="BR118" i="7" a="1"/>
  <c r="BS111" i="7" a="1"/>
  <c r="BS106" i="7" a="1"/>
  <c r="BS101" i="7" a="1"/>
  <c r="BS96" i="7" a="1"/>
  <c r="BS76" i="7" a="1"/>
  <c r="BS71" i="7" a="1"/>
  <c r="BS66" i="7" a="1"/>
  <c r="BS61" i="7" a="1"/>
  <c r="BS51" i="7" a="1"/>
  <c r="BS41" i="7" a="1"/>
  <c r="BS36" i="7" a="1"/>
  <c r="BS26" i="7" a="1"/>
  <c r="BS256" i="7" a="1"/>
  <c r="BR232" i="7" a="1"/>
  <c r="BS218" i="7" a="1"/>
  <c r="BS202" i="7" a="1"/>
  <c r="BR147" i="7" a="1"/>
  <c r="BS145" i="7" a="1"/>
  <c r="BS125" i="7" a="1"/>
  <c r="BR237" i="7" a="1"/>
  <c r="BR222" i="7" a="1"/>
  <c r="BR218" i="7" a="1"/>
  <c r="BR214" i="7" a="1"/>
  <c r="BR202" i="7" a="1"/>
  <c r="BS198" i="7" a="1"/>
  <c r="BR175" i="7" a="1"/>
  <c r="BR149" i="7" a="1"/>
  <c r="BR136" i="7" a="1"/>
  <c r="BR198" i="7" a="1"/>
  <c r="BS178" i="7" a="1"/>
  <c r="BS159" i="7" a="1"/>
  <c r="BR145" i="7" a="1"/>
  <c r="BS143" i="7" a="1"/>
  <c r="BS134" i="7" a="1"/>
  <c r="BR125" i="7" a="1"/>
  <c r="BS123" i="7" a="1"/>
  <c r="BS213" i="7" a="1"/>
  <c r="BS209" i="7" a="1"/>
  <c r="BS184" i="7" a="1"/>
  <c r="BR178" i="7" a="1"/>
  <c r="BR172" i="7" a="1"/>
  <c r="BS169" i="7" a="1"/>
  <c r="BS132" i="7" a="1"/>
  <c r="BS114" i="7" a="1"/>
  <c r="BR269" i="7" a="1"/>
  <c r="BR242" i="7" a="1"/>
  <c r="BR209" i="7" a="1"/>
  <c r="BS205" i="7" a="1"/>
  <c r="BS194" i="7" a="1"/>
  <c r="BR187" i="7" a="1"/>
  <c r="BS181" i="7" a="1"/>
  <c r="BR169" i="7" a="1"/>
  <c r="BS161" i="7" a="1"/>
  <c r="BR261" i="7" a="1"/>
  <c r="BS254" i="7" a="1"/>
  <c r="BR236" i="7" a="1"/>
  <c r="BS221" i="7" a="1"/>
  <c r="BR205" i="7" a="1"/>
  <c r="BR141" i="7" a="1"/>
  <c r="BR121" i="7" a="1"/>
  <c r="BR297" i="7" a="1"/>
  <c r="BS275" i="7" a="1"/>
  <c r="BR247" i="7" a="1"/>
  <c r="BS201" i="7" a="1"/>
  <c r="BS193" i="7" a="1"/>
  <c r="BS163" i="7" a="1"/>
  <c r="BS139" i="7" a="1"/>
  <c r="BR130" i="7" a="1"/>
  <c r="BS128" i="7" a="1"/>
  <c r="BS119" i="7" a="1"/>
  <c r="BS112" i="7" a="1"/>
  <c r="BS107" i="7" a="1"/>
  <c r="BS102" i="7" a="1"/>
  <c r="BS229" i="7" a="1"/>
  <c r="BR212" i="7" a="1"/>
  <c r="BS180" i="7" a="1"/>
  <c r="BR174" i="7" a="1"/>
  <c r="BR171" i="7" a="1"/>
  <c r="BS158" i="7" a="1"/>
  <c r="BR156" i="7" a="1"/>
  <c r="BR154" i="7" a="1"/>
  <c r="BR150" i="7" a="1"/>
  <c r="BS146" i="7" a="1"/>
  <c r="BS135" i="7" a="1"/>
  <c r="BS358" i="7" a="1"/>
  <c r="BS283" i="7" a="1"/>
  <c r="BR229" i="7" a="1"/>
  <c r="BR220" i="7" a="1"/>
  <c r="BR216" i="7" a="1"/>
  <c r="BR204" i="7" a="1"/>
  <c r="BS196" i="7" a="1"/>
  <c r="BS183" i="7" a="1"/>
  <c r="BR180" i="7" a="1"/>
  <c r="BS165" i="7" a="1"/>
  <c r="BR148" i="7" a="1"/>
  <c r="BR126" i="7" a="1"/>
  <c r="BS115" i="7" a="1"/>
  <c r="BR90" i="7" a="1"/>
  <c r="BS87" i="7" a="1"/>
  <c r="BR79" i="7" a="1"/>
  <c r="BR48" i="7" a="1"/>
  <c r="BS29" i="7" a="1"/>
  <c r="BR27" i="7" a="1"/>
  <c r="BS216" i="7" a="1"/>
  <c r="BS54" i="7" a="1"/>
  <c r="BR61" i="7" a="1"/>
  <c r="BR69" i="7" a="1"/>
  <c r="BR240" i="7" a="1"/>
  <c r="BS211" i="7" a="1"/>
  <c r="BS142" i="7" a="1"/>
  <c r="BS133" i="7" a="1"/>
  <c r="BS124" i="7" a="1"/>
  <c r="BS109" i="7" a="1"/>
  <c r="BS95" i="7" a="1"/>
  <c r="BS84" i="7" a="1"/>
  <c r="BR76" i="7" a="1"/>
  <c r="BS60" i="7" a="1"/>
  <c r="BS55" i="7" a="1"/>
  <c r="BS50" i="7" a="1"/>
  <c r="BR36" i="7" a="1"/>
  <c r="BR70" i="7" a="1"/>
  <c r="BR47" i="7" a="1"/>
  <c r="BR117" i="7" a="1"/>
  <c r="BR213" i="7" a="1"/>
  <c r="BS77" i="7" a="1"/>
  <c r="BR30" i="7" a="1"/>
  <c r="BR193" i="7" a="1"/>
  <c r="BR142" i="7" a="1"/>
  <c r="BS137" i="7" a="1"/>
  <c r="BR106" i="7" a="1"/>
  <c r="BR87" i="7" a="1"/>
  <c r="BS43" i="7" a="1"/>
  <c r="BR29" i="7" a="1"/>
  <c r="BS16" i="7" a="1"/>
  <c r="BS65" i="7" a="1"/>
  <c r="BR55" i="7" a="1"/>
  <c r="BR43" i="7" a="1"/>
  <c r="BS22" i="7" a="1"/>
  <c r="BS18" i="7" a="1"/>
  <c r="BR40" i="7" a="1"/>
  <c r="BS154" i="7" a="1"/>
  <c r="BR276" i="7" a="1"/>
  <c r="BS239" i="7" a="1"/>
  <c r="BS177" i="7" a="1"/>
  <c r="BR163" i="7" a="1"/>
  <c r="BR137" i="7" a="1"/>
  <c r="BR133" i="7" a="1"/>
  <c r="BR124" i="7" a="1"/>
  <c r="BR112" i="7" a="1"/>
  <c r="BR109" i="7" a="1"/>
  <c r="BR95" i="7" a="1"/>
  <c r="BS92" i="7" a="1"/>
  <c r="BR84" i="7" a="1"/>
  <c r="BR60" i="7" a="1"/>
  <c r="BR50" i="7" a="1"/>
  <c r="BS45" i="7" a="1"/>
  <c r="BS20" i="7" a="1"/>
  <c r="BR16" i="7" a="1"/>
  <c r="BS14" i="7" a="1"/>
  <c r="BS24" i="7" a="1"/>
  <c r="BR189" i="7" a="1"/>
  <c r="BR51" i="7" a="1"/>
  <c r="BS19" i="7" a="1"/>
  <c r="BS148" i="7" a="1"/>
  <c r="BR184" i="7" a="1"/>
  <c r="BS141" i="7" a="1"/>
  <c r="BR128" i="7" a="1"/>
  <c r="BR115" i="7" a="1"/>
  <c r="BS100" i="7" a="1"/>
  <c r="BS89" i="7" a="1"/>
  <c r="BR81" i="7" a="1"/>
  <c r="BR31" i="7" a="1"/>
  <c r="BR20" i="7" a="1"/>
  <c r="BR18" i="7" a="1"/>
  <c r="BR14" i="7" a="1"/>
  <c r="BS59" i="7" a="1"/>
  <c r="BS234" i="7" a="1"/>
  <c r="BS21" i="7" a="1"/>
  <c r="BR37" i="7" a="1"/>
  <c r="BR21" i="7" a="1"/>
  <c r="BR200" i="7" a="1"/>
  <c r="BS156" i="7" a="1"/>
  <c r="BR132" i="7" a="1"/>
  <c r="BR123" i="7" a="1"/>
  <c r="BR119" i="7" a="1"/>
  <c r="BR92" i="7" a="1"/>
  <c r="BR65" i="7" a="1"/>
  <c r="BS62" i="7" a="1"/>
  <c r="BS57" i="7" a="1"/>
  <c r="BS52" i="7" a="1"/>
  <c r="BR45" i="7" a="1"/>
  <c r="BS38" i="7" a="1"/>
  <c r="BS33" i="7" a="1"/>
  <c r="BS121" i="7" a="1"/>
  <c r="BR96" i="7" a="1"/>
  <c r="BR56" i="7" a="1"/>
  <c r="BR144" i="7" a="1"/>
  <c r="BS150" i="7" a="1"/>
  <c r="BR100" i="7" a="1"/>
  <c r="BS97" i="7" a="1"/>
  <c r="BR89" i="7" a="1"/>
  <c r="BS70" i="7" a="1"/>
  <c r="BS47" i="7" a="1"/>
  <c r="BS40" i="7" a="1"/>
  <c r="BR38" i="7" a="1"/>
  <c r="BR22" i="7" a="1"/>
  <c r="BR183" i="7" a="1"/>
  <c r="BS176" i="7" a="1"/>
  <c r="BR111" i="7" a="1"/>
  <c r="BR97" i="7" a="1"/>
  <c r="BS67" i="7" a="1"/>
  <c r="BS49" i="7" a="1"/>
  <c r="BR72" i="7" a="1"/>
  <c r="BS225" i="7" a="1"/>
  <c r="BS162" i="7" a="1"/>
  <c r="BS94" i="7" a="1"/>
  <c r="BR86" i="7" a="1"/>
  <c r="BR62" i="7" a="1"/>
  <c r="BR57" i="7" a="1"/>
  <c r="BR52" i="7" a="1"/>
  <c r="BR26" i="7" a="1"/>
  <c r="BR24" i="7" a="1"/>
  <c r="BS235" i="7" a="1"/>
  <c r="BR161" i="7" a="1"/>
  <c r="BR114" i="7" a="1"/>
  <c r="BS105" i="7" a="1"/>
  <c r="BR94" i="7" a="1"/>
  <c r="BS75" i="7" a="1"/>
  <c r="BS64" i="7" a="1"/>
  <c r="BS42" i="7" a="1"/>
  <c r="BS35" i="7" a="1"/>
  <c r="BR33" i="7" a="1"/>
  <c r="BS37" i="7" a="1"/>
  <c r="BR28" i="7" a="1"/>
  <c r="BR44" i="7" a="1"/>
  <c r="BR80" i="7" a="1"/>
  <c r="BS13" i="7" a="1"/>
  <c r="BR259" i="7" a="1"/>
  <c r="BS224" i="7" a="1"/>
  <c r="BR207" i="7" a="1"/>
  <c r="BS122" i="7" a="1"/>
  <c r="BS99" i="7" a="1"/>
  <c r="BR91" i="7" a="1"/>
  <c r="BR67" i="7" a="1"/>
  <c r="BR59" i="7" a="1"/>
  <c r="BR54" i="7" a="1"/>
  <c r="BR49" i="7" a="1"/>
  <c r="BS69" i="7" a="1"/>
  <c r="BS17" i="7" a="1"/>
  <c r="BS15" i="7" a="1"/>
  <c r="BS130" i="7" a="1"/>
  <c r="BR17" i="7" a="1"/>
  <c r="BR224" i="7" a="1"/>
  <c r="BR215" i="7" a="1"/>
  <c r="BS131" i="7" a="1"/>
  <c r="BS126" i="7" a="1"/>
  <c r="BR122" i="7" a="1"/>
  <c r="BR105" i="7" a="1"/>
  <c r="BR102" i="7" a="1"/>
  <c r="BR75" i="7" a="1"/>
  <c r="BS72" i="7" a="1"/>
  <c r="BR64" i="7" a="1"/>
  <c r="BS44" i="7" a="1"/>
  <c r="BR42" i="7" a="1"/>
  <c r="BR35" i="7" a="1"/>
  <c r="BS28" i="7" a="1"/>
  <c r="BS258" i="7" a="1"/>
  <c r="BS189" i="7" a="1"/>
  <c r="BS174" i="7" a="1"/>
  <c r="BS160" i="7" a="1"/>
  <c r="BS144" i="7" a="1"/>
  <c r="BR135" i="7" a="1"/>
  <c r="BS117" i="7" a="1"/>
  <c r="BR99" i="7" a="1"/>
  <c r="BS80" i="7" a="1"/>
  <c r="BS30" i="7" a="1"/>
  <c r="BR196" i="7" a="1"/>
  <c r="BS173" i="7" a="1"/>
  <c r="BS110" i="7" a="1"/>
  <c r="BS104" i="7" a="1"/>
  <c r="BS85" i="7" a="1"/>
  <c r="BS74" i="7" a="1"/>
  <c r="BR66" i="7" a="1"/>
  <c r="BR46" i="7" a="1"/>
  <c r="BS32" i="7" a="1"/>
  <c r="BR19" i="7" a="1"/>
  <c r="BR15" i="7" a="1"/>
  <c r="BR13" i="7" a="1"/>
  <c r="BR104" i="7" a="1"/>
  <c r="BS82" i="7" a="1"/>
  <c r="BR32" i="7" a="1"/>
  <c r="BR23" i="7" a="1"/>
  <c r="BR298" i="7" a="1"/>
  <c r="BS204" i="7" a="1"/>
  <c r="BR143" i="7" a="1"/>
  <c r="BR139" i="7" a="1"/>
  <c r="BR134" i="7" a="1"/>
  <c r="BR101" i="7" a="1"/>
  <c r="BR77" i="7" a="1"/>
  <c r="BR39" i="7" a="1"/>
  <c r="BS25" i="7" a="1"/>
  <c r="BS23" i="7" a="1"/>
  <c r="BR116" i="7" a="1"/>
  <c r="BR110" i="7" a="1"/>
  <c r="BR107" i="7" a="1"/>
  <c r="BR85" i="7" a="1"/>
  <c r="BR74" i="7" a="1"/>
  <c r="BS34" i="7" a="1"/>
  <c r="BR165" i="7" a="1"/>
  <c r="BS253" i="7" a="1"/>
  <c r="BR25" i="7" a="1"/>
  <c r="BR160" i="7" a="1"/>
  <c r="BS53" i="7" a="1"/>
  <c r="BR41" i="7" a="1"/>
  <c r="BS48" i="7" a="1"/>
  <c r="BR194" i="7" a="1"/>
  <c r="BR158" i="7" a="1"/>
  <c r="BS90" i="7" a="1"/>
  <c r="BS39" i="7" a="1"/>
  <c r="BS27" i="7" a="1"/>
  <c r="BS171" i="7" a="1"/>
  <c r="BR71" i="7" a="1"/>
  <c r="BR152" i="7" a="1"/>
  <c r="BR82" i="7" a="1"/>
  <c r="BS58" i="7" a="1"/>
  <c r="BR34" i="7" a="1"/>
  <c r="BS79" i="7" a="1"/>
  <c r="BK1311" i="7" a="1"/>
  <c r="BK1306" i="7" a="1"/>
  <c r="BK1301" i="7" a="1"/>
  <c r="BK1296" i="7" a="1"/>
  <c r="BK1291" i="7" a="1"/>
  <c r="BK1286" i="7" a="1"/>
  <c r="BK1281" i="7" a="1"/>
  <c r="BK1276" i="7" a="1"/>
  <c r="BK1271" i="7" a="1"/>
  <c r="BK1266" i="7" a="1"/>
  <c r="BK1261" i="7" a="1"/>
  <c r="BK1256" i="7" a="1"/>
  <c r="BK1251" i="7" a="1"/>
  <c r="BK1246" i="7" a="1"/>
  <c r="BK1241" i="7" a="1"/>
  <c r="BK1236" i="7" a="1"/>
  <c r="BK1231" i="7" a="1"/>
  <c r="BK1226" i="7" a="1"/>
  <c r="BK1221" i="7" a="1"/>
  <c r="BK1216" i="7" a="1"/>
  <c r="BK1211" i="7" a="1"/>
  <c r="BK1206" i="7" a="1"/>
  <c r="BK1201" i="7" a="1"/>
  <c r="BK1196" i="7" a="1"/>
  <c r="BK1191" i="7" a="1"/>
  <c r="BK1186" i="7" a="1"/>
  <c r="BK1181" i="7" a="1"/>
  <c r="BK1176" i="7" a="1"/>
  <c r="BK1171" i="7" a="1"/>
  <c r="BK1166" i="7" a="1"/>
  <c r="BK1161" i="7" a="1"/>
  <c r="BK1156" i="7" a="1"/>
  <c r="BK1151" i="7" a="1"/>
  <c r="BK1146" i="7" a="1"/>
  <c r="BK1141" i="7" a="1"/>
  <c r="BK1136" i="7" a="1"/>
  <c r="BK1131" i="7" a="1"/>
  <c r="BK1126" i="7" a="1"/>
  <c r="BK1121" i="7" a="1"/>
  <c r="BK1116" i="7" a="1"/>
  <c r="BK1111" i="7" a="1"/>
  <c r="BK1106" i="7" a="1"/>
  <c r="BK1101" i="7" a="1"/>
  <c r="BK1096" i="7" a="1"/>
  <c r="BJ1311" i="7" a="1"/>
  <c r="BJ1306" i="7" a="1"/>
  <c r="BJ1301" i="7" a="1"/>
  <c r="BJ1296" i="7" a="1"/>
  <c r="BJ1291" i="7" a="1"/>
  <c r="BJ1286" i="7" a="1"/>
  <c r="BJ1281" i="7" a="1"/>
  <c r="BJ1276" i="7" a="1"/>
  <c r="BJ1271" i="7" a="1"/>
  <c r="BJ1266" i="7" a="1"/>
  <c r="BJ1261" i="7" a="1"/>
  <c r="BJ1256" i="7" a="1"/>
  <c r="BJ1251" i="7" a="1"/>
  <c r="BJ1246" i="7" a="1"/>
  <c r="BJ1241" i="7" a="1"/>
  <c r="BJ1236" i="7" a="1"/>
  <c r="BJ1231" i="7" a="1"/>
  <c r="BJ1226" i="7" a="1"/>
  <c r="BJ1221" i="7" a="1"/>
  <c r="BJ1216" i="7" a="1"/>
  <c r="BJ1211" i="7" a="1"/>
  <c r="BJ1206" i="7" a="1"/>
  <c r="BJ1201" i="7" a="1"/>
  <c r="BJ1196" i="7" a="1"/>
  <c r="BJ1191" i="7" a="1"/>
  <c r="BJ1186" i="7" a="1"/>
  <c r="BJ1181" i="7" a="1"/>
  <c r="BJ1176" i="7" a="1"/>
  <c r="BJ1171" i="7" a="1"/>
  <c r="BJ1166" i="7" a="1"/>
  <c r="BJ1161" i="7" a="1"/>
  <c r="BJ1156" i="7" a="1"/>
  <c r="BJ1151" i="7" a="1"/>
  <c r="BJ1146" i="7" a="1"/>
  <c r="BJ1141" i="7" a="1"/>
  <c r="BJ1136" i="7" a="1"/>
  <c r="BJ1131" i="7" a="1"/>
  <c r="BJ1126" i="7" a="1"/>
  <c r="BJ1121" i="7" a="1"/>
  <c r="BJ1116" i="7" a="1"/>
  <c r="BJ1111" i="7" a="1"/>
  <c r="BJ1106" i="7" a="1"/>
  <c r="BJ1101" i="7" a="1"/>
  <c r="BJ1096" i="7" a="1"/>
  <c r="BJ1091" i="7" a="1"/>
  <c r="BJ1086" i="7" a="1"/>
  <c r="BJ1081" i="7" a="1"/>
  <c r="BJ1076" i="7" a="1"/>
  <c r="BJ1071" i="7" a="1"/>
  <c r="BK1309" i="7" a="1"/>
  <c r="BK1304" i="7" a="1"/>
  <c r="BK1299" i="7" a="1"/>
  <c r="BK1294" i="7" a="1"/>
  <c r="BJ1309" i="7" a="1"/>
  <c r="BJ1304" i="7" a="1"/>
  <c r="BJ1299" i="7" a="1"/>
  <c r="BJ1294" i="7" a="1"/>
  <c r="BJ1289" i="7" a="1"/>
  <c r="BJ1284" i="7" a="1"/>
  <c r="BJ1279" i="7" a="1"/>
  <c r="BJ1274" i="7" a="1"/>
  <c r="BJ1269" i="7" a="1"/>
  <c r="BJ1264" i="7" a="1"/>
  <c r="BJ1259" i="7" a="1"/>
  <c r="BJ1254" i="7" a="1"/>
  <c r="BJ1249" i="7" a="1"/>
  <c r="BJ1244" i="7" a="1"/>
  <c r="BJ1239" i="7" a="1"/>
  <c r="BK1310" i="7" a="1"/>
  <c r="BJ1303" i="7" a="1"/>
  <c r="BJ1287" i="7" a="1"/>
  <c r="BK1270" i="7" a="1"/>
  <c r="BK1263" i="7" a="1"/>
  <c r="BJ1240" i="7" a="1"/>
  <c r="BJ1212" i="7" a="1"/>
  <c r="BJ1162" i="7" a="1"/>
  <c r="BJ1127" i="7" a="1"/>
  <c r="BK1119" i="7" a="1"/>
  <c r="BJ1107" i="7" a="1"/>
  <c r="BK1099" i="7" a="1"/>
  <c r="BK1062" i="7" a="1"/>
  <c r="BK1056" i="7" a="1"/>
  <c r="BK1044" i="7" a="1"/>
  <c r="BJ1033" i="7" a="1"/>
  <c r="BJ1021" i="7" a="1"/>
  <c r="BJ1015" i="7" a="1"/>
  <c r="BK1003" i="7" a="1"/>
  <c r="BJ992" i="7" a="1"/>
  <c r="BK985" i="7" a="1"/>
  <c r="BJ974" i="7" a="1"/>
  <c r="BK962" i="7" a="1"/>
  <c r="BK956" i="7" a="1"/>
  <c r="BK944" i="7" a="1"/>
  <c r="BJ933" i="7" a="1"/>
  <c r="BJ921" i="7" a="1"/>
  <c r="BJ915" i="7" a="1"/>
  <c r="BK903" i="7" a="1"/>
  <c r="BJ892" i="7" a="1"/>
  <c r="BK885" i="7" a="1"/>
  <c r="BJ874" i="7" a="1"/>
  <c r="BK862" i="7" a="1"/>
  <c r="BK856" i="7" a="1"/>
  <c r="BK844" i="7" a="1"/>
  <c r="BJ833" i="7" a="1"/>
  <c r="BJ821" i="7" a="1"/>
  <c r="BJ815" i="7" a="1"/>
  <c r="BK803" i="7" a="1"/>
  <c r="BJ792" i="7" a="1"/>
  <c r="BK785" i="7" a="1"/>
  <c r="BK1285" i="7" a="1"/>
  <c r="BK1278" i="7" a="1"/>
  <c r="BJ1255" i="7" a="1"/>
  <c r="BJ1248" i="7" a="1"/>
  <c r="BJ1233" i="7" a="1"/>
  <c r="BJ1225" i="7" a="1"/>
  <c r="BK1218" i="7" a="1"/>
  <c r="BK1210" i="7" a="1"/>
  <c r="BJ1204" i="7" a="1"/>
  <c r="BK1197" i="7" a="1"/>
  <c r="BK1189" i="7" a="1"/>
  <c r="BJ1183" i="7" a="1"/>
  <c r="BJ1175" i="7" a="1"/>
  <c r="BK1168" i="7" a="1"/>
  <c r="BK1160" i="7" a="1"/>
  <c r="BJ1154" i="7" a="1"/>
  <c r="BK1147" i="7" a="1"/>
  <c r="BK1139" i="7" a="1"/>
  <c r="BJ1133" i="7" a="1"/>
  <c r="BK1125" i="7" a="1"/>
  <c r="BJ1113" i="7" a="1"/>
  <c r="BK1105" i="7" a="1"/>
  <c r="BJ1093" i="7" a="1"/>
  <c r="BJ1087" i="7" a="1"/>
  <c r="BJ1080" i="7" a="1"/>
  <c r="BJ1074" i="7" a="1"/>
  <c r="BJ1068" i="7" a="1"/>
  <c r="BJ1056" i="7" a="1"/>
  <c r="BJ1050" i="7" a="1"/>
  <c r="BK1038" i="7" a="1"/>
  <c r="BJ1027" i="7" a="1"/>
  <c r="BK1020" i="7" a="1"/>
  <c r="BJ1009" i="7" a="1"/>
  <c r="BK997" i="7" a="1"/>
  <c r="BK991" i="7" a="1"/>
  <c r="BK979" i="7" a="1"/>
  <c r="BJ968" i="7" a="1"/>
  <c r="BJ956" i="7" a="1"/>
  <c r="BJ950" i="7" a="1"/>
  <c r="BK938" i="7" a="1"/>
  <c r="BJ927" i="7" a="1"/>
  <c r="BK920" i="7" a="1"/>
  <c r="BJ909" i="7" a="1"/>
  <c r="BK897" i="7" a="1"/>
  <c r="BK891" i="7" a="1"/>
  <c r="BK879" i="7" a="1"/>
  <c r="BJ868" i="7" a="1"/>
  <c r="BJ856" i="7" a="1"/>
  <c r="BJ850" i="7" a="1"/>
  <c r="BK838" i="7" a="1"/>
  <c r="BJ827" i="7" a="1"/>
  <c r="BK820" i="7" a="1"/>
  <c r="BJ809" i="7" a="1"/>
  <c r="BK797" i="7" a="1"/>
  <c r="BK791" i="7" a="1"/>
  <c r="BK779" i="7" a="1"/>
  <c r="BJ768" i="7" a="1"/>
  <c r="BJ756" i="7" a="1"/>
  <c r="BJ750" i="7" a="1"/>
  <c r="BK738" i="7" a="1"/>
  <c r="BJ727" i="7" a="1"/>
  <c r="BJ1310" i="7" a="1"/>
  <c r="BK1302" i="7" a="1"/>
  <c r="BK1293" i="7" a="1"/>
  <c r="BJ1270" i="7" a="1"/>
  <c r="BJ1263" i="7" a="1"/>
  <c r="BK1239" i="7" a="1"/>
  <c r="BJ1197" i="7" a="1"/>
  <c r="BJ1147" i="7" a="1"/>
  <c r="BJ1119" i="7" a="1"/>
  <c r="BJ1099" i="7" a="1"/>
  <c r="BK1086" i="7" a="1"/>
  <c r="BJ1062" i="7" a="1"/>
  <c r="BK1055" i="7" a="1"/>
  <c r="BJ1044" i="7" a="1"/>
  <c r="BK1032" i="7" a="1"/>
  <c r="BK1026" i="7" a="1"/>
  <c r="BK1014" i="7" a="1"/>
  <c r="BJ1003" i="7" a="1"/>
  <c r="BJ991" i="7" a="1"/>
  <c r="BJ985" i="7" a="1"/>
  <c r="BK973" i="7" a="1"/>
  <c r="BJ962" i="7" a="1"/>
  <c r="BK955" i="7" a="1"/>
  <c r="BJ944" i="7" a="1"/>
  <c r="BK932" i="7" a="1"/>
  <c r="BK926" i="7" a="1"/>
  <c r="BK914" i="7" a="1"/>
  <c r="BJ903" i="7" a="1"/>
  <c r="BJ891" i="7" a="1"/>
  <c r="BJ885" i="7" a="1"/>
  <c r="BK873" i="7" a="1"/>
  <c r="BJ862" i="7" a="1"/>
  <c r="BK855" i="7" a="1"/>
  <c r="BJ844" i="7" a="1"/>
  <c r="BK832" i="7" a="1"/>
  <c r="BK826" i="7" a="1"/>
  <c r="BK814" i="7" a="1"/>
  <c r="BJ803" i="7" a="1"/>
  <c r="BJ791" i="7" a="1"/>
  <c r="BJ785" i="7" a="1"/>
  <c r="BK773" i="7" a="1"/>
  <c r="BJ762" i="7" a="1"/>
  <c r="BK755" i="7" a="1"/>
  <c r="BJ744" i="7" a="1"/>
  <c r="BK732" i="7" a="1"/>
  <c r="BK726" i="7" a="1"/>
  <c r="BK714" i="7" a="1"/>
  <c r="BJ703" i="7" a="1"/>
  <c r="BJ691" i="7" a="1"/>
  <c r="BJ685" i="7" a="1"/>
  <c r="BK673" i="7" a="1"/>
  <c r="BJ662" i="7" a="1"/>
  <c r="BK655" i="7" a="1"/>
  <c r="BJ644" i="7" a="1"/>
  <c r="BK632" i="7" a="1"/>
  <c r="BK626" i="7" a="1"/>
  <c r="BK614" i="7" a="1"/>
  <c r="BJ603" i="7" a="1"/>
  <c r="BJ591" i="7" a="1"/>
  <c r="BJ585" i="7" a="1"/>
  <c r="BK573" i="7" a="1"/>
  <c r="BJ562" i="7" a="1"/>
  <c r="BK555" i="7" a="1"/>
  <c r="BJ544" i="7" a="1"/>
  <c r="BK532" i="7" a="1"/>
  <c r="BK526" i="7" a="1"/>
  <c r="BK514" i="7" a="1"/>
  <c r="BJ503" i="7" a="1"/>
  <c r="BJ1302" i="7" a="1"/>
  <c r="BJ1285" i="7" a="1"/>
  <c r="BJ1278" i="7" a="1"/>
  <c r="BK1254" i="7" a="1"/>
  <c r="BK1247" i="7" a="1"/>
  <c r="BK1232" i="7" a="1"/>
  <c r="BK1224" i="7" a="1"/>
  <c r="BJ1218" i="7" a="1"/>
  <c r="BJ1210" i="7" a="1"/>
  <c r="BK1203" i="7" a="1"/>
  <c r="BK1195" i="7" a="1"/>
  <c r="BJ1189" i="7" a="1"/>
  <c r="BK1182" i="7" a="1"/>
  <c r="BK1174" i="7" a="1"/>
  <c r="BJ1168" i="7" a="1"/>
  <c r="BJ1160" i="7" a="1"/>
  <c r="BK1153" i="7" a="1"/>
  <c r="BK1145" i="7" a="1"/>
  <c r="BJ1139" i="7" a="1"/>
  <c r="BK1132" i="7" a="1"/>
  <c r="BJ1125" i="7" a="1"/>
  <c r="BK1112" i="7" a="1"/>
  <c r="BJ1105" i="7" a="1"/>
  <c r="BK1092" i="7" a="1"/>
  <c r="BK1085" i="7" a="1"/>
  <c r="BK1079" i="7" a="1"/>
  <c r="BK1073" i="7" a="1"/>
  <c r="BK1067" i="7" a="1"/>
  <c r="BK1061" i="7" a="1"/>
  <c r="BK1049" i="7" a="1"/>
  <c r="BJ1038" i="7" a="1"/>
  <c r="BJ1026" i="7" a="1"/>
  <c r="BJ1020" i="7" a="1"/>
  <c r="BK1008" i="7" a="1"/>
  <c r="BJ997" i="7" a="1"/>
  <c r="BK990" i="7" a="1"/>
  <c r="BJ979" i="7" a="1"/>
  <c r="BK967" i="7" a="1"/>
  <c r="BK961" i="7" a="1"/>
  <c r="BK949" i="7" a="1"/>
  <c r="BJ938" i="7" a="1"/>
  <c r="BJ926" i="7" a="1"/>
  <c r="BJ920" i="7" a="1"/>
  <c r="BK908" i="7" a="1"/>
  <c r="BJ897" i="7" a="1"/>
  <c r="BK890" i="7" a="1"/>
  <c r="BJ879" i="7" a="1"/>
  <c r="BK867" i="7" a="1"/>
  <c r="BK861" i="7" a="1"/>
  <c r="BK849" i="7" a="1"/>
  <c r="BJ838" i="7" a="1"/>
  <c r="BJ826" i="7" a="1"/>
  <c r="BJ820" i="7" a="1"/>
  <c r="BK808" i="7" a="1"/>
  <c r="BJ797" i="7" a="1"/>
  <c r="BK790" i="7" a="1"/>
  <c r="BJ779" i="7" a="1"/>
  <c r="BK767" i="7" a="1"/>
  <c r="BK761" i="7" a="1"/>
  <c r="BK749" i="7" a="1"/>
  <c r="BJ738" i="7" a="1"/>
  <c r="BJ726" i="7" a="1"/>
  <c r="BJ720" i="7" a="1"/>
  <c r="BK708" i="7" a="1"/>
  <c r="BJ697" i="7" a="1"/>
  <c r="BK690" i="7" a="1"/>
  <c r="BJ679" i="7" a="1"/>
  <c r="BK667" i="7" a="1"/>
  <c r="BK661" i="7" a="1"/>
  <c r="BK649" i="7" a="1"/>
  <c r="BJ638" i="7" a="1"/>
  <c r="BK1300" i="7" a="1"/>
  <c r="BJ1293" i="7" a="1"/>
  <c r="BK1269" i="7" a="1"/>
  <c r="BK1262" i="7" a="1"/>
  <c r="BJ1247" i="7" a="1"/>
  <c r="BJ1232" i="7" a="1"/>
  <c r="BJ1182" i="7" a="1"/>
  <c r="BK1118" i="7" a="1"/>
  <c r="BK1098" i="7" a="1"/>
  <c r="BJ1061" i="7" a="1"/>
  <c r="BJ1055" i="7" a="1"/>
  <c r="BK1043" i="7" a="1"/>
  <c r="BJ1032" i="7" a="1"/>
  <c r="BK1025" i="7" a="1"/>
  <c r="BJ1014" i="7" a="1"/>
  <c r="BK1002" i="7" a="1"/>
  <c r="BK996" i="7" a="1"/>
  <c r="BK984" i="7" a="1"/>
  <c r="BJ973" i="7" a="1"/>
  <c r="BJ961" i="7" a="1"/>
  <c r="BJ955" i="7" a="1"/>
  <c r="BK943" i="7" a="1"/>
  <c r="BJ932" i="7" a="1"/>
  <c r="BK925" i="7" a="1"/>
  <c r="BJ914" i="7" a="1"/>
  <c r="BK902" i="7" a="1"/>
  <c r="BK896" i="7" a="1"/>
  <c r="BK884" i="7" a="1"/>
  <c r="BJ873" i="7" a="1"/>
  <c r="BJ861" i="7" a="1"/>
  <c r="BJ855" i="7" a="1"/>
  <c r="BK843" i="7" a="1"/>
  <c r="BJ832" i="7" a="1"/>
  <c r="BK825" i="7" a="1"/>
  <c r="BJ814" i="7" a="1"/>
  <c r="BK802" i="7" a="1"/>
  <c r="BK796" i="7" a="1"/>
  <c r="BK784" i="7" a="1"/>
  <c r="BJ773" i="7" a="1"/>
  <c r="BJ761" i="7" a="1"/>
  <c r="BJ755" i="7" a="1"/>
  <c r="BK743" i="7" a="1"/>
  <c r="BJ732" i="7" a="1"/>
  <c r="BK725" i="7" a="1"/>
  <c r="BJ714" i="7" a="1"/>
  <c r="BK702" i="7" a="1"/>
  <c r="BK696" i="7" a="1"/>
  <c r="BK684" i="7" a="1"/>
  <c r="BJ673" i="7" a="1"/>
  <c r="BJ661" i="7" a="1"/>
  <c r="BJ655" i="7" a="1"/>
  <c r="BK643" i="7" a="1"/>
  <c r="BJ632" i="7" a="1"/>
  <c r="BK625" i="7" a="1"/>
  <c r="BJ614" i="7" a="1"/>
  <c r="BK602" i="7" a="1"/>
  <c r="BK596" i="7" a="1"/>
  <c r="BK584" i="7" a="1"/>
  <c r="BJ573" i="7" a="1"/>
  <c r="BJ561" i="7" a="1"/>
  <c r="BJ555" i="7" a="1"/>
  <c r="BK543" i="7" a="1"/>
  <c r="BJ532" i="7" a="1"/>
  <c r="BK1284" i="7" a="1"/>
  <c r="BK1277" i="7" a="1"/>
  <c r="BJ1262" i="7" a="1"/>
  <c r="BK1245" i="7" a="1"/>
  <c r="BK1238" i="7" a="1"/>
  <c r="BK1230" i="7" a="1"/>
  <c r="BJ1224" i="7" a="1"/>
  <c r="BK1217" i="7" a="1"/>
  <c r="BK1209" i="7" a="1"/>
  <c r="BJ1203" i="7" a="1"/>
  <c r="BJ1195" i="7" a="1"/>
  <c r="BK1188" i="7" a="1"/>
  <c r="BK1180" i="7" a="1"/>
  <c r="BJ1174" i="7" a="1"/>
  <c r="BK1167" i="7" a="1"/>
  <c r="BK1159" i="7" a="1"/>
  <c r="BJ1153" i="7" a="1"/>
  <c r="BJ1145" i="7" a="1"/>
  <c r="BK1138" i="7" a="1"/>
  <c r="BJ1132" i="7" a="1"/>
  <c r="BK1124" i="7" a="1"/>
  <c r="BJ1112" i="7" a="1"/>
  <c r="BK1104" i="7" a="1"/>
  <c r="BJ1092" i="7" a="1"/>
  <c r="BJ1085" i="7" a="1"/>
  <c r="BJ1079" i="7" a="1"/>
  <c r="BJ1073" i="7" a="1"/>
  <c r="BJ1067" i="7" a="1"/>
  <c r="BK1060" i="7" a="1"/>
  <c r="BJ1049" i="7" a="1"/>
  <c r="BK1037" i="7" a="1"/>
  <c r="BK1031" i="7" a="1"/>
  <c r="BK1019" i="7" a="1"/>
  <c r="BJ1008" i="7" a="1"/>
  <c r="BJ996" i="7" a="1"/>
  <c r="BJ990" i="7" a="1"/>
  <c r="BK978" i="7" a="1"/>
  <c r="BJ967" i="7" a="1"/>
  <c r="BK1308" i="7" a="1"/>
  <c r="BJ1300" i="7" a="1"/>
  <c r="BK1292" i="7" a="1"/>
  <c r="BJ1277" i="7" a="1"/>
  <c r="BK1260" i="7" a="1"/>
  <c r="BK1253" i="7" a="1"/>
  <c r="BJ1217" i="7" a="1"/>
  <c r="BJ1167" i="7" a="1"/>
  <c r="BK1130" i="7" a="1"/>
  <c r="BJ1118" i="7" a="1"/>
  <c r="BK1110" i="7" a="1"/>
  <c r="BJ1098" i="7" a="1"/>
  <c r="BK1091" i="7" a="1"/>
  <c r="BK1066" i="7" a="1"/>
  <c r="BK1054" i="7" a="1"/>
  <c r="BJ1043" i="7" a="1"/>
  <c r="BJ1031" i="7" a="1"/>
  <c r="BJ1025" i="7" a="1"/>
  <c r="BK1013" i="7" a="1"/>
  <c r="BJ1002" i="7" a="1"/>
  <c r="BK995" i="7" a="1"/>
  <c r="BJ984" i="7" a="1"/>
  <c r="BK972" i="7" a="1"/>
  <c r="BK966" i="7" a="1"/>
  <c r="BK954" i="7" a="1"/>
  <c r="BJ943" i="7" a="1"/>
  <c r="BJ931" i="7" a="1"/>
  <c r="BJ925" i="7" a="1"/>
  <c r="BK913" i="7" a="1"/>
  <c r="BJ902" i="7" a="1"/>
  <c r="BK895" i="7" a="1"/>
  <c r="BJ884" i="7" a="1"/>
  <c r="BK872" i="7" a="1"/>
  <c r="BK866" i="7" a="1"/>
  <c r="BK854" i="7" a="1"/>
  <c r="BJ843" i="7" a="1"/>
  <c r="BJ831" i="7" a="1"/>
  <c r="BJ825" i="7" a="1"/>
  <c r="BJ1292" i="7" a="1"/>
  <c r="BK1275" i="7" a="1"/>
  <c r="BK1268" i="7" a="1"/>
  <c r="BJ1245" i="7" a="1"/>
  <c r="BJ1238" i="7" a="1"/>
  <c r="BJ1230" i="7" a="1"/>
  <c r="BK1223" i="7" a="1"/>
  <c r="BK1215" i="7" a="1"/>
  <c r="BJ1209" i="7" a="1"/>
  <c r="BK1202" i="7" a="1"/>
  <c r="BK1194" i="7" a="1"/>
  <c r="BJ1188" i="7" a="1"/>
  <c r="BJ1180" i="7" a="1"/>
  <c r="BK1173" i="7" a="1"/>
  <c r="BK1165" i="7" a="1"/>
  <c r="BJ1159" i="7" a="1"/>
  <c r="BK1152" i="7" a="1"/>
  <c r="BK1144" i="7" a="1"/>
  <c r="BJ1138" i="7" a="1"/>
  <c r="BJ1124" i="7" a="1"/>
  <c r="BJ1104" i="7" a="1"/>
  <c r="BK1090" i="7" a="1"/>
  <c r="BK1084" i="7" a="1"/>
  <c r="BK1078" i="7" a="1"/>
  <c r="BK1072" i="7" a="1"/>
  <c r="BJ1066" i="7" a="1"/>
  <c r="BJ1060" i="7" a="1"/>
  <c r="BK1048" i="7" a="1"/>
  <c r="BJ1037" i="7" a="1"/>
  <c r="BJ1308" i="7" a="1"/>
  <c r="BK1290" i="7" a="1"/>
  <c r="BK1283" i="7" a="1"/>
  <c r="BJ1260" i="7" a="1"/>
  <c r="BJ1253" i="7" a="1"/>
  <c r="BJ1202" i="7" a="1"/>
  <c r="BJ1152" i="7" a="1"/>
  <c r="BJ1130" i="7" a="1"/>
  <c r="BK1117" i="7" a="1"/>
  <c r="BJ1110" i="7" a="1"/>
  <c r="BK1097" i="7" a="1"/>
  <c r="BK1065" i="7" a="1"/>
  <c r="BJ1054" i="7" a="1"/>
  <c r="BK1042" i="7" a="1"/>
  <c r="BK1036" i="7" a="1"/>
  <c r="BK1024" i="7" a="1"/>
  <c r="BJ1013" i="7" a="1"/>
  <c r="BJ1001" i="7" a="1"/>
  <c r="BJ995" i="7" a="1"/>
  <c r="BK983" i="7" a="1"/>
  <c r="BJ972" i="7" a="1"/>
  <c r="BK965" i="7" a="1"/>
  <c r="BJ954" i="7" a="1"/>
  <c r="BK942" i="7" a="1"/>
  <c r="BK936" i="7" a="1"/>
  <c r="BK924" i="7" a="1"/>
  <c r="BJ913" i="7" a="1"/>
  <c r="BJ901" i="7" a="1"/>
  <c r="BJ895" i="7" a="1"/>
  <c r="BK883" i="7" a="1"/>
  <c r="BJ872" i="7" a="1"/>
  <c r="BJ1275" i="7" a="1"/>
  <c r="BJ1268" i="7" a="1"/>
  <c r="BK1244" i="7" a="1"/>
  <c r="BK1237" i="7" a="1"/>
  <c r="BK1229" i="7" a="1"/>
  <c r="BJ1223" i="7" a="1"/>
  <c r="BJ1215" i="7" a="1"/>
  <c r="BK1208" i="7" a="1"/>
  <c r="BK1200" i="7" a="1"/>
  <c r="BJ1194" i="7" a="1"/>
  <c r="BK1187" i="7" a="1"/>
  <c r="BK1179" i="7" a="1"/>
  <c r="BJ1173" i="7" a="1"/>
  <c r="BJ1165" i="7" a="1"/>
  <c r="BK1158" i="7" a="1"/>
  <c r="BK1150" i="7" a="1"/>
  <c r="BJ1144" i="7" a="1"/>
  <c r="BK1137" i="7" a="1"/>
  <c r="BK1123" i="7" a="1"/>
  <c r="BK1103" i="7" a="1"/>
  <c r="BJ1090" i="7" a="1"/>
  <c r="BJ1084" i="7" a="1"/>
  <c r="BJ1078" i="7" a="1"/>
  <c r="BJ1072" i="7" a="1"/>
  <c r="BK1059" i="7" a="1"/>
  <c r="BJ1048" i="7" a="1"/>
  <c r="BJ1036" i="7" a="1"/>
  <c r="BJ1030" i="7" a="1"/>
  <c r="BK1018" i="7" a="1"/>
  <c r="BJ1007" i="7" a="1"/>
  <c r="BK1000" i="7" a="1"/>
  <c r="BJ989" i="7" a="1"/>
  <c r="BK977" i="7" a="1"/>
  <c r="BK971" i="7" a="1"/>
  <c r="BK959" i="7" a="1"/>
  <c r="BJ948" i="7" a="1"/>
  <c r="BJ936" i="7" a="1"/>
  <c r="BJ930" i="7" a="1"/>
  <c r="BK918" i="7" a="1"/>
  <c r="BJ907" i="7" a="1"/>
  <c r="BK900" i="7" a="1"/>
  <c r="BJ889" i="7" a="1"/>
  <c r="BK877" i="7" a="1"/>
  <c r="BK871" i="7" a="1"/>
  <c r="BK859" i="7" a="1"/>
  <c r="BJ848" i="7" a="1"/>
  <c r="BJ836" i="7" a="1"/>
  <c r="BJ830" i="7" a="1"/>
  <c r="BK818" i="7" a="1"/>
  <c r="BJ807" i="7" a="1"/>
  <c r="BK800" i="7" a="1"/>
  <c r="BJ789" i="7" a="1"/>
  <c r="BK777" i="7" a="1"/>
  <c r="BK771" i="7" a="1"/>
  <c r="BK759" i="7" a="1"/>
  <c r="BJ748" i="7" a="1"/>
  <c r="BJ736" i="7" a="1"/>
  <c r="BJ730" i="7" a="1"/>
  <c r="BK718" i="7" a="1"/>
  <c r="BJ707" i="7" a="1"/>
  <c r="BK1307" i="7" a="1"/>
  <c r="BK1298" i="7" a="1"/>
  <c r="BJ1290" i="7" a="1"/>
  <c r="BJ1283" i="7" a="1"/>
  <c r="BK1259" i="7" a="1"/>
  <c r="BK1252" i="7" a="1"/>
  <c r="BJ1237" i="7" a="1"/>
  <c r="BJ1187" i="7" a="1"/>
  <c r="BJ1137" i="7" a="1"/>
  <c r="BK1129" i="7" a="1"/>
  <c r="BJ1117" i="7" a="1"/>
  <c r="BK1109" i="7" a="1"/>
  <c r="BJ1097" i="7" a="1"/>
  <c r="BJ1307" i="7" a="1"/>
  <c r="BK1274" i="7" a="1"/>
  <c r="BK1267" i="7" a="1"/>
  <c r="BJ1252" i="7" a="1"/>
  <c r="BK1235" i="7" a="1"/>
  <c r="BJ1229" i="7" a="1"/>
  <c r="BK1222" i="7" a="1"/>
  <c r="BK1214" i="7" a="1"/>
  <c r="BJ1208" i="7" a="1"/>
  <c r="BJ1200" i="7" a="1"/>
  <c r="BK1193" i="7" a="1"/>
  <c r="BK1185" i="7" a="1"/>
  <c r="BJ1179" i="7" a="1"/>
  <c r="BK1172" i="7" a="1"/>
  <c r="BK1164" i="7" a="1"/>
  <c r="BJ1158" i="7" a="1"/>
  <c r="BJ1150" i="7" a="1"/>
  <c r="BK1143" i="7" a="1"/>
  <c r="BK1135" i="7" a="1"/>
  <c r="BJ1123" i="7" a="1"/>
  <c r="BK1115" i="7" a="1"/>
  <c r="BJ1103" i="7" a="1"/>
  <c r="BK1095" i="7" a="1"/>
  <c r="BK1089" i="7" a="1"/>
  <c r="BK1083" i="7" a="1"/>
  <c r="BK1077" i="7" a="1"/>
  <c r="BK1070" i="7" a="1"/>
  <c r="BJ1059" i="7" a="1"/>
  <c r="BK1047" i="7" a="1"/>
  <c r="BK1041" i="7" a="1"/>
  <c r="BK1029" i="7" a="1"/>
  <c r="BJ1018" i="7" a="1"/>
  <c r="BJ1006" i="7" a="1"/>
  <c r="BJ1000" i="7" a="1"/>
  <c r="BK988" i="7" a="1"/>
  <c r="BJ977" i="7" a="1"/>
  <c r="BK970" i="7" a="1"/>
  <c r="BJ959" i="7" a="1"/>
  <c r="BK947" i="7" a="1"/>
  <c r="BK941" i="7" a="1"/>
  <c r="BK929" i="7" a="1"/>
  <c r="BJ918" i="7" a="1"/>
  <c r="BJ906" i="7" a="1"/>
  <c r="BJ900" i="7" a="1"/>
  <c r="BK888" i="7" a="1"/>
  <c r="BJ877" i="7" a="1"/>
  <c r="BK870" i="7" a="1"/>
  <c r="BJ859" i="7" a="1"/>
  <c r="BK847" i="7" a="1"/>
  <c r="BK841" i="7" a="1"/>
  <c r="BK829" i="7" a="1"/>
  <c r="BJ818" i="7" a="1"/>
  <c r="BJ806" i="7" a="1"/>
  <c r="BJ800" i="7" a="1"/>
  <c r="BK788" i="7" a="1"/>
  <c r="BJ777" i="7" a="1"/>
  <c r="BK770" i="7" a="1"/>
  <c r="BJ759" i="7" a="1"/>
  <c r="BK747" i="7" a="1"/>
  <c r="BK741" i="7" a="1"/>
  <c r="BK729" i="7" a="1"/>
  <c r="BJ718" i="7" a="1"/>
  <c r="BJ706" i="7" a="1"/>
  <c r="BJ700" i="7" a="1"/>
  <c r="BK688" i="7" a="1"/>
  <c r="BJ677" i="7" a="1"/>
  <c r="BK670" i="7" a="1"/>
  <c r="BJ659" i="7" a="1"/>
  <c r="BK1305" i="7" a="1"/>
  <c r="BJ1298" i="7" a="1"/>
  <c r="BK1289" i="7" a="1"/>
  <c r="BK1282" i="7" a="1"/>
  <c r="BJ1267" i="7" a="1"/>
  <c r="BK1250" i="7" a="1"/>
  <c r="BK1243" i="7" a="1"/>
  <c r="BJ1222" i="7" a="1"/>
  <c r="BJ1172" i="7" a="1"/>
  <c r="BJ1129" i="7" a="1"/>
  <c r="BJ1109" i="7" a="1"/>
  <c r="BK1064" i="7" a="1"/>
  <c r="BJ1053" i="7" a="1"/>
  <c r="BJ1041" i="7" a="1"/>
  <c r="BJ1035" i="7" a="1"/>
  <c r="BK1023" i="7" a="1"/>
  <c r="BJ1012" i="7" a="1"/>
  <c r="BK1005" i="7" a="1"/>
  <c r="BJ994" i="7" a="1"/>
  <c r="BK982" i="7" a="1"/>
  <c r="BK976" i="7" a="1"/>
  <c r="BK964" i="7" a="1"/>
  <c r="BJ953" i="7" a="1"/>
  <c r="BJ941" i="7" a="1"/>
  <c r="BJ935" i="7" a="1"/>
  <c r="BK923" i="7" a="1"/>
  <c r="BJ912" i="7" a="1"/>
  <c r="BK905" i="7" a="1"/>
  <c r="BJ894" i="7" a="1"/>
  <c r="BK882" i="7" a="1"/>
  <c r="BK876" i="7" a="1"/>
  <c r="BK864" i="7" a="1"/>
  <c r="BJ853" i="7" a="1"/>
  <c r="BJ841" i="7" a="1"/>
  <c r="BJ835" i="7" a="1"/>
  <c r="BK823" i="7" a="1"/>
  <c r="BJ812" i="7" a="1"/>
  <c r="BJ1282" i="7" a="1"/>
  <c r="BK1265" i="7" a="1"/>
  <c r="BK1258" i="7" a="1"/>
  <c r="BJ1235" i="7" a="1"/>
  <c r="BK1228" i="7" a="1"/>
  <c r="BK1220" i="7" a="1"/>
  <c r="BJ1214" i="7" a="1"/>
  <c r="BK1207" i="7" a="1"/>
  <c r="BK1199" i="7" a="1"/>
  <c r="BJ1193" i="7" a="1"/>
  <c r="BJ1185" i="7" a="1"/>
  <c r="BK1178" i="7" a="1"/>
  <c r="BK1170" i="7" a="1"/>
  <c r="BJ1164" i="7" a="1"/>
  <c r="BK1157" i="7" a="1"/>
  <c r="BK1149" i="7" a="1"/>
  <c r="BJ1143" i="7" a="1"/>
  <c r="BJ1135" i="7" a="1"/>
  <c r="BK1122" i="7" a="1"/>
  <c r="BJ1115" i="7" a="1"/>
  <c r="BK1102" i="7" a="1"/>
  <c r="BJ1095" i="7" a="1"/>
  <c r="BJ1089" i="7" a="1"/>
  <c r="BJ1083" i="7" a="1"/>
  <c r="BJ1077" i="7" a="1"/>
  <c r="BJ1305" i="7" a="1"/>
  <c r="BK1297" i="7" a="1"/>
  <c r="BK1280" i="7" a="1"/>
  <c r="BK1273" i="7" a="1"/>
  <c r="BJ1250" i="7" a="1"/>
  <c r="BJ1243" i="7" a="1"/>
  <c r="BJ1207" i="7" a="1"/>
  <c r="BJ1157" i="7" a="1"/>
  <c r="BK1128" i="7" a="1"/>
  <c r="BK1108" i="7" a="1"/>
  <c r="BK1076" i="7" a="1"/>
  <c r="BJ1064" i="7" a="1"/>
  <c r="BK1052" i="7" a="1"/>
  <c r="BK1046" i="7" a="1"/>
  <c r="BK1034" i="7" a="1"/>
  <c r="BJ1023" i="7" a="1"/>
  <c r="BJ1011" i="7" a="1"/>
  <c r="BJ1005" i="7" a="1"/>
  <c r="BK993" i="7" a="1"/>
  <c r="BJ982" i="7" a="1"/>
  <c r="BK975" i="7" a="1"/>
  <c r="BJ964" i="7" a="1"/>
  <c r="BK952" i="7" a="1"/>
  <c r="BK946" i="7" a="1"/>
  <c r="BK934" i="7" a="1"/>
  <c r="BJ923" i="7" a="1"/>
  <c r="BJ911" i="7" a="1"/>
  <c r="BJ905" i="7" a="1"/>
  <c r="BK893" i="7" a="1"/>
  <c r="BJ882" i="7" a="1"/>
  <c r="BK875" i="7" a="1"/>
  <c r="BJ864" i="7" a="1"/>
  <c r="BK852" i="7" a="1"/>
  <c r="BK846" i="7" a="1"/>
  <c r="BK834" i="7" a="1"/>
  <c r="BJ823" i="7" a="1"/>
  <c r="BJ811" i="7" a="1"/>
  <c r="BJ805" i="7" a="1"/>
  <c r="BK793" i="7" a="1"/>
  <c r="BJ782" i="7" a="1"/>
  <c r="BK775" i="7" a="1"/>
  <c r="BJ764" i="7" a="1"/>
  <c r="BJ1297" i="7" a="1"/>
  <c r="BK1288" i="7" a="1"/>
  <c r="BJ1265" i="7" a="1"/>
  <c r="BJ1258" i="7" a="1"/>
  <c r="BK1234" i="7" a="1"/>
  <c r="BJ1228" i="7" a="1"/>
  <c r="BJ1220" i="7" a="1"/>
  <c r="BK1213" i="7" a="1"/>
  <c r="BK1205" i="7" a="1"/>
  <c r="BJ1199" i="7" a="1"/>
  <c r="BK1192" i="7" a="1"/>
  <c r="BK1184" i="7" a="1"/>
  <c r="BJ1178" i="7" a="1"/>
  <c r="BJ1170" i="7" a="1"/>
  <c r="BK1163" i="7" a="1"/>
  <c r="BK1155" i="7" a="1"/>
  <c r="BJ1149" i="7" a="1"/>
  <c r="BK1142" i="7" a="1"/>
  <c r="BK1134" i="7" a="1"/>
  <c r="BJ1122" i="7" a="1"/>
  <c r="BK1114" i="7" a="1"/>
  <c r="BJ1102" i="7" a="1"/>
  <c r="BK1094" i="7" a="1"/>
  <c r="BK1088" i="7" a="1"/>
  <c r="BK1082" i="7" a="1"/>
  <c r="BK1075" i="7" a="1"/>
  <c r="BK1069" i="7" a="1"/>
  <c r="BJ1058" i="7" a="1"/>
  <c r="BJ1046" i="7" a="1"/>
  <c r="BJ1040" i="7" a="1"/>
  <c r="BK1028" i="7" a="1"/>
  <c r="BJ1017" i="7" a="1"/>
  <c r="BK1010" i="7" a="1"/>
  <c r="BJ999" i="7" a="1"/>
  <c r="BK1295" i="7" a="1"/>
  <c r="BJ1280" i="7" a="1"/>
  <c r="BJ1273" i="7" a="1"/>
  <c r="BK1249" i="7" a="1"/>
  <c r="BK1242" i="7" a="1"/>
  <c r="BJ1192" i="7" a="1"/>
  <c r="BJ1142" i="7" a="1"/>
  <c r="BJ1128" i="7" a="1"/>
  <c r="BK1120" i="7" a="1"/>
  <c r="BJ1108" i="7" a="1"/>
  <c r="BK1100" i="7" a="1"/>
  <c r="BK1063" i="7" a="1"/>
  <c r="BJ1052" i="7" a="1"/>
  <c r="BK1045" i="7" a="1"/>
  <c r="BJ1034" i="7" a="1"/>
  <c r="BK1022" i="7" a="1"/>
  <c r="BK1016" i="7" a="1"/>
  <c r="BK1004" i="7" a="1"/>
  <c r="BJ993" i="7" a="1"/>
  <c r="BJ981" i="7" a="1"/>
  <c r="BJ975" i="7" a="1"/>
  <c r="BK963" i="7" a="1"/>
  <c r="BJ952" i="7" a="1"/>
  <c r="BK945" i="7" a="1"/>
  <c r="BJ934" i="7" a="1"/>
  <c r="BK922" i="7" a="1"/>
  <c r="BK916" i="7" a="1"/>
  <c r="BJ1288" i="7" a="1"/>
  <c r="BK1264" i="7" a="1"/>
  <c r="BK1257" i="7" a="1"/>
  <c r="BJ1242" i="7" a="1"/>
  <c r="BJ1234" i="7" a="1"/>
  <c r="BK1227" i="7" a="1"/>
  <c r="BK1219" i="7" a="1"/>
  <c r="BJ1213" i="7" a="1"/>
  <c r="BJ1205" i="7" a="1"/>
  <c r="BK1198" i="7" a="1"/>
  <c r="BK1190" i="7" a="1"/>
  <c r="BJ1184" i="7" a="1"/>
  <c r="BK1177" i="7" a="1"/>
  <c r="BK1169" i="7" a="1"/>
  <c r="BJ1163" i="7" a="1"/>
  <c r="BJ1155" i="7" a="1"/>
  <c r="BK1148" i="7" a="1"/>
  <c r="BK1140" i="7" a="1"/>
  <c r="BJ1134" i="7" a="1"/>
  <c r="BJ1114" i="7" a="1"/>
  <c r="BJ1094" i="7" a="1"/>
  <c r="BJ1088" i="7" a="1"/>
  <c r="BJ1082" i="7" a="1"/>
  <c r="BJ1075" i="7" a="1"/>
  <c r="BJ1069" i="7" a="1"/>
  <c r="BK1057" i="7" a="1"/>
  <c r="BK1051" i="7" a="1"/>
  <c r="BK1039" i="7" a="1"/>
  <c r="BJ1028" i="7" a="1"/>
  <c r="BK1303" i="7" a="1"/>
  <c r="BJ1295" i="7" a="1"/>
  <c r="BK1279" i="7" a="1"/>
  <c r="BK1272" i="7" a="1"/>
  <c r="BJ1257" i="7" a="1"/>
  <c r="BK1240" i="7" a="1"/>
  <c r="BJ1227" i="7" a="1"/>
  <c r="BJ1177" i="7" a="1"/>
  <c r="BK1127" i="7" a="1"/>
  <c r="BJ1120" i="7" a="1"/>
  <c r="BK1107" i="7" a="1"/>
  <c r="BJ1100" i="7" a="1"/>
  <c r="BK1081" i="7" a="1"/>
  <c r="BJ1063" i="7" a="1"/>
  <c r="BJ1051" i="7" a="1"/>
  <c r="BJ1045" i="7" a="1"/>
  <c r="BK1033" i="7" a="1"/>
  <c r="BJ1022" i="7" a="1"/>
  <c r="BK1015" i="7" a="1"/>
  <c r="BJ1004" i="7" a="1"/>
  <c r="BK992" i="7" a="1"/>
  <c r="BK986" i="7" a="1"/>
  <c r="BK974" i="7" a="1"/>
  <c r="BJ963" i="7" a="1"/>
  <c r="BJ951" i="7" a="1"/>
  <c r="BJ945" i="7" a="1"/>
  <c r="BK933" i="7" a="1"/>
  <c r="BJ922" i="7" a="1"/>
  <c r="BK915" i="7" a="1"/>
  <c r="BJ904" i="7" a="1"/>
  <c r="BK892" i="7" a="1"/>
  <c r="BK886" i="7" a="1"/>
  <c r="BK1287" i="7" a="1"/>
  <c r="BJ1272" i="7" a="1"/>
  <c r="BK1255" i="7" a="1"/>
  <c r="BK1248" i="7" a="1"/>
  <c r="BK1233" i="7" a="1"/>
  <c r="BK1225" i="7" a="1"/>
  <c r="BJ1219" i="7" a="1"/>
  <c r="BK1212" i="7" a="1"/>
  <c r="BK1204" i="7" a="1"/>
  <c r="BJ1198" i="7" a="1"/>
  <c r="BJ1190" i="7" a="1"/>
  <c r="BK1183" i="7" a="1"/>
  <c r="BK1175" i="7" a="1"/>
  <c r="BJ1169" i="7" a="1"/>
  <c r="BK1162" i="7" a="1"/>
  <c r="BK1154" i="7" a="1"/>
  <c r="BJ1148" i="7" a="1"/>
  <c r="BJ1140" i="7" a="1"/>
  <c r="BK1133" i="7" a="1"/>
  <c r="BK1113" i="7" a="1"/>
  <c r="BK1093" i="7" a="1"/>
  <c r="BK1087" i="7" a="1"/>
  <c r="BK1080" i="7" a="1"/>
  <c r="BK1074" i="7" a="1"/>
  <c r="BK1068" i="7" a="1"/>
  <c r="BJ1057" i="7" a="1"/>
  <c r="BK1050" i="7" a="1"/>
  <c r="BJ1039" i="7" a="1"/>
  <c r="BK1027" i="7" a="1"/>
  <c r="BK1021" i="7" a="1"/>
  <c r="BK1009" i="7" a="1"/>
  <c r="BJ998" i="7" a="1"/>
  <c r="BJ986" i="7" a="1"/>
  <c r="BJ980" i="7" a="1"/>
  <c r="BK968" i="7" a="1"/>
  <c r="BJ957" i="7" a="1"/>
  <c r="BK950" i="7" a="1"/>
  <c r="BJ939" i="7" a="1"/>
  <c r="BK927" i="7" a="1"/>
  <c r="BK921" i="7" a="1"/>
  <c r="BK909" i="7" a="1"/>
  <c r="BJ898" i="7" a="1"/>
  <c r="BJ886" i="7" a="1"/>
  <c r="BJ880" i="7" a="1"/>
  <c r="BK868" i="7" a="1"/>
  <c r="BJ857" i="7" a="1"/>
  <c r="BK850" i="7" a="1"/>
  <c r="BJ839" i="7" a="1"/>
  <c r="BK827" i="7" a="1"/>
  <c r="BK821" i="7" a="1"/>
  <c r="BK809" i="7" a="1"/>
  <c r="BJ798" i="7" a="1"/>
  <c r="BJ786" i="7" a="1"/>
  <c r="BJ780" i="7" a="1"/>
  <c r="BK768" i="7" a="1"/>
  <c r="BJ757" i="7" a="1"/>
  <c r="BK750" i="7" a="1"/>
  <c r="BJ739" i="7" a="1"/>
  <c r="BK727" i="7" a="1"/>
  <c r="BK721" i="7" a="1"/>
  <c r="BK931" i="7" a="1"/>
  <c r="BK912" i="7" a="1"/>
  <c r="BJ865" i="7" a="1"/>
  <c r="BK839" i="7" a="1"/>
  <c r="BK813" i="7" a="1"/>
  <c r="BK781" i="7" a="1"/>
  <c r="BJ772" i="7" a="1"/>
  <c r="BK762" i="7" a="1"/>
  <c r="BK734" i="7" a="1"/>
  <c r="BJ725" i="7" a="1"/>
  <c r="BK709" i="7" a="1"/>
  <c r="BK701" i="7" a="1"/>
  <c r="BJ694" i="7" a="1"/>
  <c r="BK664" i="7" a="1"/>
  <c r="BK650" i="7" a="1"/>
  <c r="BK636" i="7" a="1"/>
  <c r="BK629" i="7" a="1"/>
  <c r="BJ617" i="7" a="1"/>
  <c r="BJ610" i="7" a="1"/>
  <c r="BK597" i="7" a="1"/>
  <c r="BJ590" i="7" a="1"/>
  <c r="BK577" i="7" a="1"/>
  <c r="BK570" i="7" a="1"/>
  <c r="BJ558" i="7" a="1"/>
  <c r="BK551" i="7" a="1"/>
  <c r="BK538" i="7" a="1"/>
  <c r="BK531" i="7" a="1"/>
  <c r="BJ525" i="7" a="1"/>
  <c r="BJ519" i="7" a="1"/>
  <c r="BJ513" i="7" a="1"/>
  <c r="BJ507" i="7" a="1"/>
  <c r="BK494" i="7" a="1"/>
  <c r="BJ483" i="7" a="1"/>
  <c r="BJ471" i="7" a="1"/>
  <c r="BJ465" i="7" a="1"/>
  <c r="BJ460" i="7" a="1"/>
  <c r="BJ455" i="7" a="1"/>
  <c r="BJ450" i="7" a="1"/>
  <c r="BJ445" i="7" a="1"/>
  <c r="BJ440" i="7" a="1"/>
  <c r="BJ435" i="7" a="1"/>
  <c r="BJ430" i="7" a="1"/>
  <c r="BJ425" i="7" a="1"/>
  <c r="BJ420" i="7" a="1"/>
  <c r="BJ1024" i="7" a="1"/>
  <c r="BK994" i="7" a="1"/>
  <c r="BJ971" i="7" a="1"/>
  <c r="BK951" i="7" a="1"/>
  <c r="BK930" i="7" a="1"/>
  <c r="BK911" i="7" a="1"/>
  <c r="BK894" i="7" a="1"/>
  <c r="BK878" i="7" a="1"/>
  <c r="BJ852" i="7" a="1"/>
  <c r="BJ802" i="7" a="1"/>
  <c r="BK792" i="7" a="1"/>
  <c r="BJ781" i="7" a="1"/>
  <c r="BJ771" i="7" a="1"/>
  <c r="BK760" i="7" a="1"/>
  <c r="BK752" i="7" a="1"/>
  <c r="BJ743" i="7" a="1"/>
  <c r="BJ717" i="7" a="1"/>
  <c r="BJ701" i="7" a="1"/>
  <c r="BJ687" i="7" a="1"/>
  <c r="BK679" i="7" a="1"/>
  <c r="BJ672" i="7" a="1"/>
  <c r="BK657" i="7" a="1"/>
  <c r="BJ643" i="7" a="1"/>
  <c r="BJ636" i="7" a="1"/>
  <c r="BJ623" i="7" a="1"/>
  <c r="BK616" i="7" a="1"/>
  <c r="BK603" i="7" a="1"/>
  <c r="BJ597" i="7" a="1"/>
  <c r="BK583" i="7" a="1"/>
  <c r="BJ564" i="7" a="1"/>
  <c r="BJ551" i="7" a="1"/>
  <c r="BK544" i="7" a="1"/>
  <c r="BJ538" i="7" a="1"/>
  <c r="BJ531" i="7" a="1"/>
  <c r="BK506" i="7" a="1"/>
  <c r="BJ500" i="7" a="1"/>
  <c r="BK488" i="7" a="1"/>
  <c r="BJ477" i="7" a="1"/>
  <c r="BK470" i="7" a="1"/>
  <c r="BJ970" i="7" a="1"/>
  <c r="BJ949" i="7" a="1"/>
  <c r="BK910" i="7" a="1"/>
  <c r="BJ878" i="7" a="1"/>
  <c r="BK851" i="7" a="1"/>
  <c r="BK837" i="7" a="1"/>
  <c r="BK824" i="7" a="1"/>
  <c r="BJ813" i="7" a="1"/>
  <c r="BK801" i="7" a="1"/>
  <c r="BJ790" i="7" a="1"/>
  <c r="BK780" i="7" a="1"/>
  <c r="BJ734" i="7" a="1"/>
  <c r="BK724" i="7" a="1"/>
  <c r="BK716" i="7" a="1"/>
  <c r="BJ709" i="7" a="1"/>
  <c r="BK700" i="7" a="1"/>
  <c r="BK693" i="7" a="1"/>
  <c r="BK686" i="7" a="1"/>
  <c r="BK678" i="7" a="1"/>
  <c r="BK671" i="7" a="1"/>
  <c r="BJ664" i="7" a="1"/>
  <c r="BJ650" i="7" a="1"/>
  <c r="BK635" i="7" a="1"/>
  <c r="BJ629" i="7" a="1"/>
  <c r="BJ616" i="7" a="1"/>
  <c r="BK609" i="7" a="1"/>
  <c r="BJ596" i="7" a="1"/>
  <c r="BK589" i="7" a="1"/>
  <c r="BJ577" i="7" a="1"/>
  <c r="BJ570" i="7" a="1"/>
  <c r="BK557" i="7" a="1"/>
  <c r="BK550" i="7" a="1"/>
  <c r="BK537" i="7" a="1"/>
  <c r="BK530" i="7" a="1"/>
  <c r="BK524" i="7" a="1"/>
  <c r="BK518" i="7" a="1"/>
  <c r="BK512" i="7" a="1"/>
  <c r="BJ506" i="7" a="1"/>
  <c r="BK1071" i="7" a="1"/>
  <c r="BK969" i="7" a="1"/>
  <c r="BK948" i="7" a="1"/>
  <c r="BJ929" i="7" a="1"/>
  <c r="BK863" i="7" a="1"/>
  <c r="BJ851" i="7" a="1"/>
  <c r="BJ837" i="7" a="1"/>
  <c r="BJ824" i="7" a="1"/>
  <c r="BK812" i="7" a="1"/>
  <c r="BJ801" i="7" a="1"/>
  <c r="BJ770" i="7" a="1"/>
  <c r="BJ760" i="7" a="1"/>
  <c r="BJ752" i="7" a="1"/>
  <c r="BK742" i="7" a="1"/>
  <c r="BJ724" i="7" a="1"/>
  <c r="BJ716" i="7" a="1"/>
  <c r="BJ708" i="7" a="1"/>
  <c r="BJ686" i="7" a="1"/>
  <c r="BJ671" i="7" a="1"/>
  <c r="BJ657" i="7" a="1"/>
  <c r="BJ649" i="7" a="1"/>
  <c r="BK642" i="7" a="1"/>
  <c r="BK622" i="7" a="1"/>
  <c r="BK615" i="7" a="1"/>
  <c r="BK595" i="7" a="1"/>
  <c r="BJ583" i="7" a="1"/>
  <c r="BK576" i="7" a="1"/>
  <c r="BK563" i="7" a="1"/>
  <c r="BK505" i="7" a="1"/>
  <c r="BK499" i="7" a="1"/>
  <c r="BJ488" i="7" a="1"/>
  <c r="BJ476" i="7" a="1"/>
  <c r="BJ470" i="7" a="1"/>
  <c r="BJ678" i="7" a="1"/>
  <c r="BK569" i="7" a="1"/>
  <c r="BJ1070" i="7" a="1"/>
  <c r="BJ1019" i="7" a="1"/>
  <c r="BJ969" i="7" a="1"/>
  <c r="BK928" i="7" a="1"/>
  <c r="BJ910" i="7" a="1"/>
  <c r="BJ893" i="7" a="1"/>
  <c r="BJ876" i="7" a="1"/>
  <c r="BJ849" i="7" a="1"/>
  <c r="BK836" i="7" a="1"/>
  <c r="BK811" i="7" a="1"/>
  <c r="BK789" i="7" a="1"/>
  <c r="BK769" i="7" a="1"/>
  <c r="BK751" i="7" a="1"/>
  <c r="BJ742" i="7" a="1"/>
  <c r="BK733" i="7" a="1"/>
  <c r="BK723" i="7" a="1"/>
  <c r="BK715" i="7" a="1"/>
  <c r="BJ693" i="7" a="1"/>
  <c r="BK685" i="7" a="1"/>
  <c r="BK663" i="7" a="1"/>
  <c r="BK656" i="7" a="1"/>
  <c r="BJ635" i="7" a="1"/>
  <c r="BK628" i="7" a="1"/>
  <c r="BJ609" i="7" a="1"/>
  <c r="BJ589" i="7" a="1"/>
  <c r="BJ576" i="7" a="1"/>
  <c r="BJ557" i="7" a="1"/>
  <c r="BJ550" i="7" a="1"/>
  <c r="BJ537" i="7" a="1"/>
  <c r="BJ1065" i="7" a="1"/>
  <c r="BK989" i="7" a="1"/>
  <c r="BJ966" i="7" a="1"/>
  <c r="BJ947" i="7" a="1"/>
  <c r="BJ928" i="7" a="1"/>
  <c r="BJ908" i="7" a="1"/>
  <c r="BJ863" i="7" a="1"/>
  <c r="BK848" i="7" a="1"/>
  <c r="BK835" i="7" a="1"/>
  <c r="BK810" i="7" a="1"/>
  <c r="BK778" i="7" a="1"/>
  <c r="BJ751" i="7" a="1"/>
  <c r="BJ741" i="7" a="1"/>
  <c r="BJ733" i="7" a="1"/>
  <c r="BK707" i="7" a="1"/>
  <c r="BK699" i="7" a="1"/>
  <c r="BJ670" i="7" a="1"/>
  <c r="BJ656" i="7" a="1"/>
  <c r="BK1017" i="7" a="1"/>
  <c r="BJ965" i="7" a="1"/>
  <c r="BJ946" i="7" a="1"/>
  <c r="BK907" i="7" a="1"/>
  <c r="BJ890" i="7" a="1"/>
  <c r="BJ875" i="7" a="1"/>
  <c r="BK860" i="7" a="1"/>
  <c r="BK822" i="7" a="1"/>
  <c r="BK799" i="7" a="1"/>
  <c r="BJ769" i="7" a="1"/>
  <c r="BK740" i="7" a="1"/>
  <c r="BK731" i="7" a="1"/>
  <c r="BJ723" i="7" a="1"/>
  <c r="BJ715" i="7" a="1"/>
  <c r="BK692" i="7" a="1"/>
  <c r="BK677" i="7" a="1"/>
  <c r="BJ663" i="7" a="1"/>
  <c r="BK641" i="7" a="1"/>
  <c r="BK634" i="7" a="1"/>
  <c r="BJ628" i="7" a="1"/>
  <c r="BK621" i="7" a="1"/>
  <c r="BJ608" i="7" a="1"/>
  <c r="BJ1016" i="7" a="1"/>
  <c r="BJ988" i="7" a="1"/>
  <c r="BK906" i="7" a="1"/>
  <c r="BK889" i="7" a="1"/>
  <c r="BJ860" i="7" a="1"/>
  <c r="BJ810" i="7" a="1"/>
  <c r="BJ799" i="7" a="1"/>
  <c r="BJ778" i="7" a="1"/>
  <c r="BK758" i="7" a="1"/>
  <c r="BJ749" i="7" a="1"/>
  <c r="BJ731" i="7" a="1"/>
  <c r="BK706" i="7" a="1"/>
  <c r="BJ699" i="7" a="1"/>
  <c r="BJ684" i="7" a="1"/>
  <c r="BK669" i="7" a="1"/>
  <c r="BK654" i="7" a="1"/>
  <c r="BK1058" i="7" a="1"/>
  <c r="BK987" i="7" a="1"/>
  <c r="BJ924" i="7" a="1"/>
  <c r="BK874" i="7" a="1"/>
  <c r="BJ847" i="7" a="1"/>
  <c r="BJ834" i="7" a="1"/>
  <c r="BJ822" i="7" a="1"/>
  <c r="BJ788" i="7" a="1"/>
  <c r="BJ740" i="7" a="1"/>
  <c r="BK730" i="7" a="1"/>
  <c r="BK722" i="7" a="1"/>
  <c r="BK705" i="7" a="1"/>
  <c r="BJ692" i="7" a="1"/>
  <c r="BK676" i="7" a="1"/>
  <c r="BK662" i="7" a="1"/>
  <c r="BK1053" i="7" a="1"/>
  <c r="BK1012" i="7" a="1"/>
  <c r="BJ987" i="7" a="1"/>
  <c r="BJ888" i="7" a="1"/>
  <c r="BJ846" i="7" a="1"/>
  <c r="BK819" i="7" a="1"/>
  <c r="BJ808" i="7" a="1"/>
  <c r="BK798" i="7" a="1"/>
  <c r="BK787" i="7" a="1"/>
  <c r="BJ767" i="7" a="1"/>
  <c r="BJ758" i="7" a="1"/>
  <c r="BK748" i="7" a="1"/>
  <c r="BK713" i="7" a="1"/>
  <c r="BK698" i="7" a="1"/>
  <c r="BK691" i="7" a="1"/>
  <c r="BK683" i="7" a="1"/>
  <c r="BJ676" i="7" a="1"/>
  <c r="BJ669" i="7" a="1"/>
  <c r="BJ654" i="7" a="1"/>
  <c r="BK647" i="7" a="1"/>
  <c r="BJ620" i="7" a="1"/>
  <c r="BK613" i="7" a="1"/>
  <c r="BJ594" i="7" a="1"/>
  <c r="BJ581" i="7" a="1"/>
  <c r="BK574" i="7" a="1"/>
  <c r="BK561" i="7" a="1"/>
  <c r="BK554" i="7" a="1"/>
  <c r="BJ542" i="7" a="1"/>
  <c r="BK1011" i="7" a="1"/>
  <c r="BK960" i="7" a="1"/>
  <c r="BJ942" i="7" a="1"/>
  <c r="BK904" i="7" a="1"/>
  <c r="BK887" i="7" a="1"/>
  <c r="BK858" i="7" a="1"/>
  <c r="BK845" i="7" a="1"/>
  <c r="BK833" i="7" a="1"/>
  <c r="BJ1010" i="7" a="1"/>
  <c r="BJ983" i="7" a="1"/>
  <c r="BJ960" i="7" a="1"/>
  <c r="BK940" i="7" a="1"/>
  <c r="BJ871" i="7" a="1"/>
  <c r="BJ858" i="7" a="1"/>
  <c r="BK831" i="7" a="1"/>
  <c r="BJ819" i="7" a="1"/>
  <c r="BK807" i="7" a="1"/>
  <c r="BJ796" i="7" a="1"/>
  <c r="BJ787" i="7" a="1"/>
  <c r="BJ776" i="7" a="1"/>
  <c r="BJ766" i="7" a="1"/>
  <c r="BK757" i="7" a="1"/>
  <c r="BJ721" i="7" a="1"/>
  <c r="BJ713" i="7" a="1"/>
  <c r="BJ698" i="7" a="1"/>
  <c r="BJ683" i="7" a="1"/>
  <c r="BK668" i="7" a="1"/>
  <c r="BK653" i="7" a="1"/>
  <c r="BJ647" i="7" a="1"/>
  <c r="BJ626" i="7" a="1"/>
  <c r="BJ1047" i="7" a="1"/>
  <c r="BK1007" i="7" a="1"/>
  <c r="BJ940" i="7" a="1"/>
  <c r="BK919" i="7" a="1"/>
  <c r="BJ887" i="7" a="1"/>
  <c r="BJ870" i="7" a="1"/>
  <c r="BJ845" i="7" a="1"/>
  <c r="BK830" i="7" a="1"/>
  <c r="BK795" i="7" a="1"/>
  <c r="BK786" i="7" a="1"/>
  <c r="BK765" i="7" a="1"/>
  <c r="BJ729" i="7" a="1"/>
  <c r="BK720" i="7" a="1"/>
  <c r="BK712" i="7" a="1"/>
  <c r="BK704" i="7" a="1"/>
  <c r="BK689" i="7" a="1"/>
  <c r="BK682" i="7" a="1"/>
  <c r="BJ675" i="7" a="1"/>
  <c r="BJ660" i="7" a="1"/>
  <c r="BK646" i="7" a="1"/>
  <c r="BK1040" i="7" a="1"/>
  <c r="BK980" i="7" a="1"/>
  <c r="BJ958" i="7" a="1"/>
  <c r="BK937" i="7" a="1"/>
  <c r="BK817" i="7" a="1"/>
  <c r="BK805" i="7" a="1"/>
  <c r="BJ795" i="7" a="1"/>
  <c r="BJ784" i="7" a="1"/>
  <c r="BK764" i="7" a="1"/>
  <c r="BK746" i="7" a="1"/>
  <c r="BK728" i="7" a="1"/>
  <c r="BK711" i="7" a="1"/>
  <c r="BJ704" i="7" a="1"/>
  <c r="BJ696" i="7" a="1"/>
  <c r="BJ689" i="7" a="1"/>
  <c r="BJ682" i="7" a="1"/>
  <c r="BK674" i="7" a="1"/>
  <c r="BJ667" i="7" a="1"/>
  <c r="BK659" i="7" a="1"/>
  <c r="BK645" i="7" a="1"/>
  <c r="BK1035" i="7" a="1"/>
  <c r="BJ978" i="7" a="1"/>
  <c r="BK957" i="7" a="1"/>
  <c r="BJ937" i="7" a="1"/>
  <c r="BK917" i="7" a="1"/>
  <c r="BK899" i="7" a="1"/>
  <c r="BJ883" i="7" a="1"/>
  <c r="BJ869" i="7" a="1"/>
  <c r="BK842" i="7" a="1"/>
  <c r="BJ829" i="7" a="1"/>
  <c r="BK1001" i="7" a="1"/>
  <c r="BK935" i="7" a="1"/>
  <c r="BJ917" i="7" a="1"/>
  <c r="BJ899" i="7" a="1"/>
  <c r="BJ842" i="7" a="1"/>
  <c r="BK828" i="7" a="1"/>
  <c r="BK816" i="7" a="1"/>
  <c r="BJ794" i="7" a="1"/>
  <c r="BK783" i="7" a="1"/>
  <c r="BJ774" i="7" a="1"/>
  <c r="BK745" i="7" a="1"/>
  <c r="BK736" i="7" a="1"/>
  <c r="BJ728" i="7" a="1"/>
  <c r="BK710" i="7" a="1"/>
  <c r="BK703" i="7" a="1"/>
  <c r="BJ681" i="7" a="1"/>
  <c r="BJ674" i="7" a="1"/>
  <c r="BJ666" i="7" a="1"/>
  <c r="BJ645" i="7" a="1"/>
  <c r="BK638" i="7" a="1"/>
  <c r="BK630" i="7" a="1"/>
  <c r="BJ618" i="7" a="1"/>
  <c r="BK999" i="7" a="1"/>
  <c r="BK953" i="7" a="1"/>
  <c r="BK898" i="7" a="1"/>
  <c r="BJ881" i="7" a="1"/>
  <c r="BJ866" i="7" a="1"/>
  <c r="BK853" i="7" a="1"/>
  <c r="BJ840" i="7" a="1"/>
  <c r="BJ828" i="7" a="1"/>
  <c r="BK815" i="7" a="1"/>
  <c r="BK782" i="7" a="1"/>
  <c r="BK772" i="7" a="1"/>
  <c r="BK753" i="7" a="1"/>
  <c r="BJ745" i="7" a="1"/>
  <c r="BJ1029" i="7" a="1"/>
  <c r="BK998" i="7" a="1"/>
  <c r="BJ896" i="7" a="1"/>
  <c r="BK880" i="7" a="1"/>
  <c r="BK865" i="7" a="1"/>
  <c r="BJ804" i="7" a="1"/>
  <c r="BJ793" i="7" a="1"/>
  <c r="BJ763" i="7" a="1"/>
  <c r="BJ753" i="7" a="1"/>
  <c r="BK744" i="7" a="1"/>
  <c r="BK717" i="7" a="1"/>
  <c r="BJ1042" i="7" a="1"/>
  <c r="BK766" i="7" a="1"/>
  <c r="BK697" i="7" a="1"/>
  <c r="BK651" i="7" a="1"/>
  <c r="BK624" i="7" a="1"/>
  <c r="BJ613" i="7" a="1"/>
  <c r="BJ575" i="7" a="1"/>
  <c r="BJ566" i="7" a="1"/>
  <c r="BK556" i="7" a="1"/>
  <c r="BK547" i="7" a="1"/>
  <c r="BJ539" i="7" a="1"/>
  <c r="BJ485" i="7" a="1"/>
  <c r="BK478" i="7" a="1"/>
  <c r="BJ472" i="7" a="1"/>
  <c r="BJ464" i="7" a="1"/>
  <c r="BK452" i="7" a="1"/>
  <c r="BJ441" i="7" a="1"/>
  <c r="BJ423" i="7" a="1"/>
  <c r="BK389" i="7" a="1"/>
  <c r="BK339" i="7" a="1"/>
  <c r="BK289" i="7" a="1"/>
  <c r="BK278" i="7" a="1"/>
  <c r="BJ268" i="7" a="1"/>
  <c r="BK257" i="7" a="1"/>
  <c r="BJ247" i="7" a="1"/>
  <c r="BK236" i="7" a="1"/>
  <c r="BJ226" i="7" a="1"/>
  <c r="BK215" i="7" a="1"/>
  <c r="BJ205" i="7" a="1"/>
  <c r="BK194" i="7" a="1"/>
  <c r="BJ189" i="7" a="1"/>
  <c r="BK178" i="7" a="1"/>
  <c r="BJ168" i="7" a="1"/>
  <c r="BK157" i="7" a="1"/>
  <c r="BJ147" i="7" a="1"/>
  <c r="BK136" i="7" a="1"/>
  <c r="BJ126" i="7" a="1"/>
  <c r="BK115" i="7" a="1"/>
  <c r="BJ105" i="7" a="1"/>
  <c r="BK94" i="7" a="1"/>
  <c r="BJ89" i="7" a="1"/>
  <c r="BK78" i="7" a="1"/>
  <c r="BJ68" i="7" a="1"/>
  <c r="BK57" i="7" a="1"/>
  <c r="BJ47" i="7" a="1"/>
  <c r="BK36" i="7" a="1"/>
  <c r="BJ26" i="7" a="1"/>
  <c r="BK15" i="7" a="1"/>
  <c r="BK99" i="7" a="1"/>
  <c r="BK83" i="7" a="1"/>
  <c r="BJ73" i="7" a="1"/>
  <c r="BK62" i="7" a="1"/>
  <c r="BJ52" i="7" a="1"/>
  <c r="BK41" i="7" a="1"/>
  <c r="BJ99" i="7" a="1"/>
  <c r="BK88" i="7" a="1"/>
  <c r="BJ78" i="7" a="1"/>
  <c r="BK1030" i="7" a="1"/>
  <c r="BK840" i="7" a="1"/>
  <c r="BJ765" i="7" a="1"/>
  <c r="BK695" i="7" a="1"/>
  <c r="BJ651" i="7" a="1"/>
  <c r="BJ637" i="7" a="1"/>
  <c r="BJ624" i="7" a="1"/>
  <c r="BJ604" i="7" a="1"/>
  <c r="BK593" i="7" a="1"/>
  <c r="BK565" i="7" a="1"/>
  <c r="BJ556" i="7" a="1"/>
  <c r="BJ529" i="7" a="1"/>
  <c r="BJ522" i="7" a="1"/>
  <c r="BJ514" i="7" a="1"/>
  <c r="BK498" i="7" a="1"/>
  <c r="BJ492" i="7" a="1"/>
  <c r="BK471" i="7" a="1"/>
  <c r="BJ458" i="7" a="1"/>
  <c r="BK446" i="7" a="1"/>
  <c r="BK434" i="7" a="1"/>
  <c r="BK428" i="7" a="1"/>
  <c r="BJ417" i="7" a="1"/>
  <c r="BK411" i="7" a="1"/>
  <c r="BJ406" i="7" a="1"/>
  <c r="BK400" i="7" a="1"/>
  <c r="BJ395" i="7" a="1"/>
  <c r="BJ389" i="7" a="1"/>
  <c r="BK383" i="7" a="1"/>
  <c r="BJ378" i="7" a="1"/>
  <c r="BK372" i="7" a="1"/>
  <c r="BJ367" i="7" a="1"/>
  <c r="BK361" i="7" a="1"/>
  <c r="BJ356" i="7" a="1"/>
  <c r="BK350" i="7" a="1"/>
  <c r="BJ345" i="7" a="1"/>
  <c r="BJ339" i="7" a="1"/>
  <c r="BK333" i="7" a="1"/>
  <c r="BJ328" i="7" a="1"/>
  <c r="BK322" i="7" a="1"/>
  <c r="BJ317" i="7" a="1"/>
  <c r="BK311" i="7" a="1"/>
  <c r="BJ306" i="7" a="1"/>
  <c r="BK300" i="7" a="1"/>
  <c r="BJ295" i="7" a="1"/>
  <c r="BJ289" i="7" a="1"/>
  <c r="BK283" i="7" a="1"/>
  <c r="BJ273" i="7" a="1"/>
  <c r="BK262" i="7" a="1"/>
  <c r="BJ252" i="7" a="1"/>
  <c r="BK241" i="7" a="1"/>
  <c r="BJ231" i="7" a="1"/>
  <c r="BK220" i="7" a="1"/>
  <c r="BJ210" i="7" a="1"/>
  <c r="BK199" i="7" a="1"/>
  <c r="BJ194" i="7" a="1"/>
  <c r="BK183" i="7" a="1"/>
  <c r="BJ173" i="7" a="1"/>
  <c r="BK162" i="7" a="1"/>
  <c r="BJ152" i="7" a="1"/>
  <c r="BK141" i="7" a="1"/>
  <c r="BJ131" i="7" a="1"/>
  <c r="BK120" i="7" a="1"/>
  <c r="BJ110" i="7" a="1"/>
  <c r="BJ94" i="7" a="1"/>
  <c r="BJ31" i="7" a="1"/>
  <c r="BK20" i="7" a="1"/>
  <c r="BK1006" i="7" a="1"/>
  <c r="BJ722" i="7" a="1"/>
  <c r="BJ695" i="7" a="1"/>
  <c r="BK672" i="7" a="1"/>
  <c r="BK648" i="7" a="1"/>
  <c r="BK612" i="7" a="1"/>
  <c r="BJ602" i="7" a="1"/>
  <c r="BJ547" i="7" a="1"/>
  <c r="BK536" i="7" a="1"/>
  <c r="BK521" i="7" a="1"/>
  <c r="BJ505" i="7" a="1"/>
  <c r="BK491" i="7" a="1"/>
  <c r="BK484" i="7" a="1"/>
  <c r="BJ478" i="7" a="1"/>
  <c r="BK463" i="7" a="1"/>
  <c r="BJ452" i="7" a="1"/>
  <c r="BK440" i="7" a="1"/>
  <c r="BJ434" i="7" a="1"/>
  <c r="BK422" i="7" a="1"/>
  <c r="BK394" i="7" a="1"/>
  <c r="BK344" i="7" a="1"/>
  <c r="BK294" i="7" a="1"/>
  <c r="BJ278" i="7" a="1"/>
  <c r="BK267" i="7" a="1"/>
  <c r="BJ257" i="7" a="1"/>
  <c r="BK246" i="7" a="1"/>
  <c r="BJ236" i="7" a="1"/>
  <c r="BK225" i="7" a="1"/>
  <c r="BJ215" i="7" a="1"/>
  <c r="BK204" i="7" a="1"/>
  <c r="BJ199" i="7" a="1"/>
  <c r="BK188" i="7" a="1"/>
  <c r="BJ178" i="7" a="1"/>
  <c r="BK167" i="7" a="1"/>
  <c r="BJ157" i="7" a="1"/>
  <c r="BK146" i="7" a="1"/>
  <c r="BJ136" i="7" a="1"/>
  <c r="BK125" i="7" a="1"/>
  <c r="BJ115" i="7" a="1"/>
  <c r="BK104" i="7" a="1"/>
  <c r="BK67" i="7" a="1"/>
  <c r="BJ57" i="7" a="1"/>
  <c r="BK46" i="7" a="1"/>
  <c r="BJ36" i="7" a="1"/>
  <c r="BK25" i="7" a="1"/>
  <c r="BJ15" i="7" a="1"/>
  <c r="BK763" i="7" a="1"/>
  <c r="BK719" i="7" a="1"/>
  <c r="BJ648" i="7" a="1"/>
  <c r="BK623" i="7" a="1"/>
  <c r="BK601" i="7" a="1"/>
  <c r="BJ593" i="7" a="1"/>
  <c r="BJ584" i="7" a="1"/>
  <c r="BJ574" i="7" a="1"/>
  <c r="BJ565" i="7" a="1"/>
  <c r="BK546" i="7" a="1"/>
  <c r="BJ536" i="7" a="1"/>
  <c r="BK528" i="7" a="1"/>
  <c r="BJ521" i="7" a="1"/>
  <c r="BK513" i="7" a="1"/>
  <c r="BJ498" i="7" a="1"/>
  <c r="BJ491" i="7" a="1"/>
  <c r="BK457" i="7" a="1"/>
  <c r="BJ446" i="7" a="1"/>
  <c r="BJ428" i="7" a="1"/>
  <c r="BK416" i="7" a="1"/>
  <c r="BJ411" i="7" a="1"/>
  <c r="BK405" i="7" a="1"/>
  <c r="BJ400" i="7" a="1"/>
  <c r="BJ394" i="7" a="1"/>
  <c r="BK388" i="7" a="1"/>
  <c r="BJ383" i="7" a="1"/>
  <c r="BK377" i="7" a="1"/>
  <c r="BJ372" i="7" a="1"/>
  <c r="BK366" i="7" a="1"/>
  <c r="BJ361" i="7" a="1"/>
  <c r="BK355" i="7" a="1"/>
  <c r="BJ350" i="7" a="1"/>
  <c r="BJ344" i="7" a="1"/>
  <c r="BK338" i="7" a="1"/>
  <c r="BJ333" i="7" a="1"/>
  <c r="BK327" i="7" a="1"/>
  <c r="BJ322" i="7" a="1"/>
  <c r="BK316" i="7" a="1"/>
  <c r="BJ311" i="7" a="1"/>
  <c r="BK305" i="7" a="1"/>
  <c r="BJ300" i="7" a="1"/>
  <c r="BJ294" i="7" a="1"/>
  <c r="BK288" i="7" a="1"/>
  <c r="BJ283" i="7" a="1"/>
  <c r="BK981" i="7" a="1"/>
  <c r="BJ719" i="7" a="1"/>
  <c r="BK694" i="7" a="1"/>
  <c r="BJ668" i="7" a="1"/>
  <c r="BJ634" i="7" a="1"/>
  <c r="BJ622" i="7" a="1"/>
  <c r="BJ612" i="7" a="1"/>
  <c r="BJ601" i="7" a="1"/>
  <c r="BK582" i="7" a="1"/>
  <c r="BJ546" i="7" a="1"/>
  <c r="BK535" i="7" a="1"/>
  <c r="BK520" i="7" a="1"/>
  <c r="BK504" i="7" a="1"/>
  <c r="BK490" i="7" a="1"/>
  <c r="BJ484" i="7" a="1"/>
  <c r="BK477" i="7" a="1"/>
  <c r="BK469" i="7" a="1"/>
  <c r="BJ463" i="7" a="1"/>
  <c r="BK451" i="7" a="1"/>
  <c r="BK439" i="7" a="1"/>
  <c r="BK433" i="7" a="1"/>
  <c r="BJ422" i="7" a="1"/>
  <c r="BK399" i="7" a="1"/>
  <c r="BK349" i="7" a="1"/>
  <c r="BK299" i="7" a="1"/>
  <c r="BK277" i="7" a="1"/>
  <c r="BJ267" i="7" a="1"/>
  <c r="BK256" i="7" a="1"/>
  <c r="BJ246" i="7" a="1"/>
  <c r="BK235" i="7" a="1"/>
  <c r="BJ225" i="7" a="1"/>
  <c r="BK214" i="7" a="1"/>
  <c r="BJ209" i="7" a="1"/>
  <c r="BK198" i="7" a="1"/>
  <c r="BJ188" i="7" a="1"/>
  <c r="BK177" i="7" a="1"/>
  <c r="BJ167" i="7" a="1"/>
  <c r="BK156" i="7" a="1"/>
  <c r="BJ146" i="7" a="1"/>
  <c r="BK135" i="7" a="1"/>
  <c r="BJ125" i="7" a="1"/>
  <c r="BK114" i="7" a="1"/>
  <c r="BJ109" i="7" a="1"/>
  <c r="BK98" i="7" a="1"/>
  <c r="BJ88" i="7" a="1"/>
  <c r="BK77" i="7" a="1"/>
  <c r="BJ67" i="7" a="1"/>
  <c r="BK56" i="7" a="1"/>
  <c r="BJ46" i="7" a="1"/>
  <c r="BK35" i="7" a="1"/>
  <c r="BJ25" i="7" a="1"/>
  <c r="BK14" i="7" a="1"/>
  <c r="BJ520" i="7" a="1"/>
  <c r="BJ457" i="7" a="1"/>
  <c r="BK445" i="7" a="1"/>
  <c r="BJ976" i="7" a="1"/>
  <c r="BJ817" i="7" a="1"/>
  <c r="BK756" i="7" a="1"/>
  <c r="BJ690" i="7" a="1"/>
  <c r="BK666" i="7" a="1"/>
  <c r="BK633" i="7" a="1"/>
  <c r="BJ621" i="7" a="1"/>
  <c r="BK611" i="7" a="1"/>
  <c r="BK600" i="7" a="1"/>
  <c r="BK592" i="7" a="1"/>
  <c r="BK564" i="7" a="1"/>
  <c r="BJ554" i="7" a="1"/>
  <c r="BK545" i="7" a="1"/>
  <c r="BJ528" i="7" a="1"/>
  <c r="BJ512" i="7" a="1"/>
  <c r="BK497" i="7" a="1"/>
  <c r="BK476" i="7" a="1"/>
  <c r="BJ439" i="7" a="1"/>
  <c r="BK427" i="7" a="1"/>
  <c r="BJ416" i="7" a="1"/>
  <c r="BK410" i="7" a="1"/>
  <c r="BJ405" i="7" a="1"/>
  <c r="BJ399" i="7" a="1"/>
  <c r="BK393" i="7" a="1"/>
  <c r="BJ388" i="7" a="1"/>
  <c r="BK958" i="7" a="1"/>
  <c r="BJ816" i="7" a="1"/>
  <c r="BK754" i="7" a="1"/>
  <c r="BK665" i="7" a="1"/>
  <c r="BJ646" i="7" a="1"/>
  <c r="BJ633" i="7" a="1"/>
  <c r="BK620" i="7" a="1"/>
  <c r="BJ611" i="7" a="1"/>
  <c r="BJ600" i="7" a="1"/>
  <c r="BJ582" i="7" a="1"/>
  <c r="BJ563" i="7" a="1"/>
  <c r="BJ535" i="7" a="1"/>
  <c r="BK511" i="7" a="1"/>
  <c r="BJ504" i="7" a="1"/>
  <c r="BJ490" i="7" a="1"/>
  <c r="BK483" i="7" a="1"/>
  <c r="BK475" i="7" a="1"/>
  <c r="BJ469" i="7" a="1"/>
  <c r="BK462" i="7" a="1"/>
  <c r="BJ451" i="7" a="1"/>
  <c r="BJ433" i="7" a="1"/>
  <c r="BK421" i="7" a="1"/>
  <c r="BK404" i="7" a="1"/>
  <c r="BK354" i="7" a="1"/>
  <c r="BK304" i="7" a="1"/>
  <c r="BJ277" i="7" a="1"/>
  <c r="BK266" i="7" a="1"/>
  <c r="BJ256" i="7" a="1"/>
  <c r="BK245" i="7" a="1"/>
  <c r="BJ235" i="7" a="1"/>
  <c r="BK224" i="7" a="1"/>
  <c r="BJ219" i="7" a="1"/>
  <c r="BK208" i="7" a="1"/>
  <c r="BJ198" i="7" a="1"/>
  <c r="BK187" i="7" a="1"/>
  <c r="BJ177" i="7" a="1"/>
  <c r="BK166" i="7" a="1"/>
  <c r="BJ156" i="7" a="1"/>
  <c r="BK806" i="7" a="1"/>
  <c r="BJ754" i="7" a="1"/>
  <c r="BK619" i="7" a="1"/>
  <c r="BK610" i="7" a="1"/>
  <c r="BJ592" i="7" a="1"/>
  <c r="BK581" i="7" a="1"/>
  <c r="BK939" i="7" a="1"/>
  <c r="BJ712" i="7" a="1"/>
  <c r="BJ688" i="7" a="1"/>
  <c r="BJ665" i="7" a="1"/>
  <c r="BK631" i="7" a="1"/>
  <c r="BK599" i="7" a="1"/>
  <c r="BK591" i="7" a="1"/>
  <c r="BK580" i="7" a="1"/>
  <c r="BK562" i="7" a="1"/>
  <c r="BJ543" i="7" a="1"/>
  <c r="BK534" i="7" a="1"/>
  <c r="BK510" i="7" a="1"/>
  <c r="BK503" i="7" a="1"/>
  <c r="BK496" i="7" a="1"/>
  <c r="BK489" i="7" a="1"/>
  <c r="BK482" i="7" a="1"/>
  <c r="BJ475" i="7" a="1"/>
  <c r="BK468" i="7" a="1"/>
  <c r="BJ462" i="7" a="1"/>
  <c r="BK450" i="7" a="1"/>
  <c r="BJ444" i="7" a="1"/>
  <c r="BK432" i="7" a="1"/>
  <c r="BJ421" i="7" a="1"/>
  <c r="BK409" i="7" a="1"/>
  <c r="BK804" i="7" a="1"/>
  <c r="BJ747" i="7" a="1"/>
  <c r="BJ711" i="7" a="1"/>
  <c r="BK660" i="7" a="1"/>
  <c r="BK644" i="7" a="1"/>
  <c r="BJ631" i="7" a="1"/>
  <c r="BJ619" i="7" a="1"/>
  <c r="BK608" i="7" a="1"/>
  <c r="BK590" i="7" a="1"/>
  <c r="BJ572" i="7" a="1"/>
  <c r="BJ553" i="7" a="1"/>
  <c r="BJ527" i="7" a="1"/>
  <c r="BJ518" i="7" a="1"/>
  <c r="BJ496" i="7" a="1"/>
  <c r="BJ482" i="7" a="1"/>
  <c r="BJ456" i="7" a="1"/>
  <c r="BJ438" i="7" a="1"/>
  <c r="BK426" i="7" a="1"/>
  <c r="BJ415" i="7" a="1"/>
  <c r="BJ409" i="7" a="1"/>
  <c r="BK403" i="7" a="1"/>
  <c r="BJ398" i="7" a="1"/>
  <c r="BK392" i="7" a="1"/>
  <c r="BJ387" i="7" a="1"/>
  <c r="BK381" i="7" a="1"/>
  <c r="BJ376" i="7" a="1"/>
  <c r="BK370" i="7" a="1"/>
  <c r="BJ365" i="7" a="1"/>
  <c r="BJ359" i="7" a="1"/>
  <c r="BK353" i="7" a="1"/>
  <c r="BJ348" i="7" a="1"/>
  <c r="BK342" i="7" a="1"/>
  <c r="BJ337" i="7" a="1"/>
  <c r="BK331" i="7" a="1"/>
  <c r="BJ919" i="7" a="1"/>
  <c r="BJ746" i="7" a="1"/>
  <c r="BK687" i="7" a="1"/>
  <c r="BJ599" i="7" a="1"/>
  <c r="BJ580" i="7" a="1"/>
  <c r="BK571" i="7" a="1"/>
  <c r="BK560" i="7" a="1"/>
  <c r="BK542" i="7" a="1"/>
  <c r="BJ534" i="7" a="1"/>
  <c r="BJ526" i="7" a="1"/>
  <c r="BJ510" i="7" a="1"/>
  <c r="BK495" i="7" a="1"/>
  <c r="BJ916" i="7" a="1"/>
  <c r="BK794" i="7" a="1"/>
  <c r="BJ710" i="7" a="1"/>
  <c r="BJ642" i="7" a="1"/>
  <c r="BJ630" i="7" a="1"/>
  <c r="BK618" i="7" a="1"/>
  <c r="BK607" i="7" a="1"/>
  <c r="BK588" i="7" a="1"/>
  <c r="BJ571" i="7" a="1"/>
  <c r="BK552" i="7" a="1"/>
  <c r="BK525" i="7" a="1"/>
  <c r="BK517" i="7" a="1"/>
  <c r="BK502" i="7" a="1"/>
  <c r="BJ481" i="7" a="1"/>
  <c r="BK455" i="7" a="1"/>
  <c r="BJ449" i="7" a="1"/>
  <c r="BK437" i="7" a="1"/>
  <c r="BJ426" i="7" a="1"/>
  <c r="BJ414" i="7" a="1"/>
  <c r="BK408" i="7" a="1"/>
  <c r="BK901" i="7" a="1"/>
  <c r="BK739" i="7" a="1"/>
  <c r="BK658" i="7" a="1"/>
  <c r="BJ641" i="7" a="1"/>
  <c r="BJ607" i="7" a="1"/>
  <c r="BK598" i="7" a="1"/>
  <c r="BK579" i="7" a="1"/>
  <c r="BJ560" i="7" a="1"/>
  <c r="BK541" i="7" a="1"/>
  <c r="BK533" i="7" a="1"/>
  <c r="BK509" i="7" a="1"/>
  <c r="BJ495" i="7" a="1"/>
  <c r="BK480" i="7" a="1"/>
  <c r="BJ474" i="7" a="1"/>
  <c r="BK467" i="7" a="1"/>
  <c r="BJ461" i="7" a="1"/>
  <c r="BJ443" i="7" a="1"/>
  <c r="BK431" i="7" a="1"/>
  <c r="BK419" i="7" a="1"/>
  <c r="BK369" i="7" a="1"/>
  <c r="BK319" i="7" a="1"/>
  <c r="BK275" i="7" a="1"/>
  <c r="BK737" i="7" a="1"/>
  <c r="BJ705" i="7" a="1"/>
  <c r="BK681" i="7" a="1"/>
  <c r="BK640" i="7" a="1"/>
  <c r="BK606" i="7" a="1"/>
  <c r="BJ588" i="7" a="1"/>
  <c r="BJ579" i="7" a="1"/>
  <c r="BJ569" i="7" a="1"/>
  <c r="BJ552" i="7" a="1"/>
  <c r="BJ541" i="7" a="1"/>
  <c r="BJ524" i="7" a="1"/>
  <c r="BJ517" i="7" a="1"/>
  <c r="BJ502" i="7" a="1"/>
  <c r="BK487" i="7" a="1"/>
  <c r="BK454" i="7" a="1"/>
  <c r="BK448" i="7" a="1"/>
  <c r="BJ437" i="7" a="1"/>
  <c r="BK425" i="7" a="1"/>
  <c r="BJ419" i="7" a="1"/>
  <c r="BK413" i="7" a="1"/>
  <c r="BJ408" i="7" a="1"/>
  <c r="BK402" i="7" a="1"/>
  <c r="BJ397" i="7" a="1"/>
  <c r="BK391" i="7" a="1"/>
  <c r="BJ386" i="7" a="1"/>
  <c r="BK380" i="7" a="1"/>
  <c r="BJ375" i="7" a="1"/>
  <c r="BJ737" i="7" a="1"/>
  <c r="BK680" i="7" a="1"/>
  <c r="BJ658" i="7" a="1"/>
  <c r="BJ640" i="7" a="1"/>
  <c r="BK617" i="7" a="1"/>
  <c r="BJ606" i="7" a="1"/>
  <c r="BJ598" i="7" a="1"/>
  <c r="BK587" i="7" a="1"/>
  <c r="BK578" i="7" a="1"/>
  <c r="BK559" i="7" a="1"/>
  <c r="BK549" i="7" a="1"/>
  <c r="BK540" i="7" a="1"/>
  <c r="BJ533" i="7" a="1"/>
  <c r="BK516" i="7" a="1"/>
  <c r="BJ509" i="7" a="1"/>
  <c r="BK501" i="7" a="1"/>
  <c r="BJ494" i="7" a="1"/>
  <c r="BJ480" i="7" a="1"/>
  <c r="BK473" i="7" a="1"/>
  <c r="BJ467" i="7" a="1"/>
  <c r="BK460" i="7" a="1"/>
  <c r="BJ454" i="7" a="1"/>
  <c r="BK442" i="7" a="1"/>
  <c r="BJ431" i="7" a="1"/>
  <c r="BK374" i="7" a="1"/>
  <c r="BK324" i="7" a="1"/>
  <c r="BJ275" i="7" a="1"/>
  <c r="BK264" i="7" a="1"/>
  <c r="BK881" i="7" a="1"/>
  <c r="BJ783" i="7" a="1"/>
  <c r="BK735" i="7" a="1"/>
  <c r="BK639" i="7" a="1"/>
  <c r="BK627" i="7" a="1"/>
  <c r="BK605" i="7" a="1"/>
  <c r="BK568" i="7" a="1"/>
  <c r="BJ549" i="7" a="1"/>
  <c r="BK523" i="7" a="1"/>
  <c r="BJ516" i="7" a="1"/>
  <c r="BK508" i="7" a="1"/>
  <c r="BJ501" i="7" a="1"/>
  <c r="BK493" i="7" a="1"/>
  <c r="BJ487" i="7" a="1"/>
  <c r="BK466" i="7" a="1"/>
  <c r="BJ448" i="7" a="1"/>
  <c r="BK436" i="7" a="1"/>
  <c r="BK424" i="7" a="1"/>
  <c r="BK418" i="7" a="1"/>
  <c r="BJ413" i="7" a="1"/>
  <c r="BK407" i="7" a="1"/>
  <c r="BJ402" i="7" a="1"/>
  <c r="BK396" i="7" a="1"/>
  <c r="BJ391" i="7" a="1"/>
  <c r="BK385" i="7" a="1"/>
  <c r="BJ380" i="7" a="1"/>
  <c r="BJ374" i="7" a="1"/>
  <c r="BK368" i="7" a="1"/>
  <c r="BJ363" i="7" a="1"/>
  <c r="BK357" i="7" a="1"/>
  <c r="BJ352" i="7" a="1"/>
  <c r="BK346" i="7" a="1"/>
  <c r="BJ341" i="7" a="1"/>
  <c r="BK335" i="7" a="1"/>
  <c r="BJ330" i="7" a="1"/>
  <c r="BJ324" i="7" a="1"/>
  <c r="BK318" i="7" a="1"/>
  <c r="BK869" i="7" a="1"/>
  <c r="BK776" i="7" a="1"/>
  <c r="BJ735" i="7" a="1"/>
  <c r="BJ680" i="7" a="1"/>
  <c r="BJ627" i="7" a="1"/>
  <c r="BJ615" i="7" a="1"/>
  <c r="BJ595" i="7" a="1"/>
  <c r="BJ587" i="7" a="1"/>
  <c r="BJ578" i="7" a="1"/>
  <c r="BJ568" i="7" a="1"/>
  <c r="BJ559" i="7" a="1"/>
  <c r="BJ540" i="7" a="1"/>
  <c r="BK515" i="7" a="1"/>
  <c r="BK500" i="7" a="1"/>
  <c r="BK486" i="7" a="1"/>
  <c r="BK479" i="7" a="1"/>
  <c r="BJ473" i="7" a="1"/>
  <c r="BJ466" i="7" a="1"/>
  <c r="BK459" i="7" a="1"/>
  <c r="BK453" i="7" a="1"/>
  <c r="BJ442" i="7" a="1"/>
  <c r="BK430" i="7" a="1"/>
  <c r="BJ424" i="7" a="1"/>
  <c r="BK379" i="7" a="1"/>
  <c r="BK329" i="7" a="1"/>
  <c r="BK274" i="7" a="1"/>
  <c r="BJ269" i="7" a="1"/>
  <c r="BK258" i="7" a="1"/>
  <c r="BJ248" i="7" a="1"/>
  <c r="BK237" i="7" a="1"/>
  <c r="BJ227" i="7" a="1"/>
  <c r="BK216" i="7" a="1"/>
  <c r="BJ206" i="7" a="1"/>
  <c r="BK195" i="7" a="1"/>
  <c r="BJ185" i="7" a="1"/>
  <c r="BK174" i="7" a="1"/>
  <c r="BJ169" i="7" a="1"/>
  <c r="BK158" i="7" a="1"/>
  <c r="BJ148" i="7" a="1"/>
  <c r="BK137" i="7" a="1"/>
  <c r="BJ127" i="7" a="1"/>
  <c r="BK116" i="7" a="1"/>
  <c r="BJ106" i="7" a="1"/>
  <c r="BK95" i="7" a="1"/>
  <c r="BJ85" i="7" a="1"/>
  <c r="BK74" i="7" a="1"/>
  <c r="BJ69" i="7" a="1"/>
  <c r="BJ867" i="7" a="1"/>
  <c r="BJ775" i="7" a="1"/>
  <c r="BK675" i="7" a="1"/>
  <c r="BJ653" i="7" a="1"/>
  <c r="BJ639" i="7" a="1"/>
  <c r="BJ605" i="7" a="1"/>
  <c r="BK586" i="7" a="1"/>
  <c r="BK567" i="7" a="1"/>
  <c r="BK548" i="7" a="1"/>
  <c r="BK857" i="7" a="1"/>
  <c r="BK774" i="7" a="1"/>
  <c r="BJ702" i="7" a="1"/>
  <c r="BK652" i="7" a="1"/>
  <c r="BJ625" i="7" a="1"/>
  <c r="BK594" i="7" a="1"/>
  <c r="BJ586" i="7" a="1"/>
  <c r="BK575" i="7" a="1"/>
  <c r="BJ567" i="7" a="1"/>
  <c r="BK558" i="7" a="1"/>
  <c r="BJ548" i="7" a="1"/>
  <c r="BK539" i="7" a="1"/>
  <c r="BJ515" i="7" a="1"/>
  <c r="BK485" i="7" a="1"/>
  <c r="BJ479" i="7" a="1"/>
  <c r="BK472" i="7" a="1"/>
  <c r="BJ453" i="7" a="1"/>
  <c r="BK441" i="7" a="1"/>
  <c r="BK429" i="7" a="1"/>
  <c r="BK423" i="7" a="1"/>
  <c r="BK384" i="7" a="1"/>
  <c r="BK334" i="7" a="1"/>
  <c r="BK284" i="7" a="1"/>
  <c r="BJ279" i="7" a="1"/>
  <c r="BK268" i="7" a="1"/>
  <c r="BJ258" i="7" a="1"/>
  <c r="BK247" i="7" a="1"/>
  <c r="BJ237" i="7" a="1"/>
  <c r="BK226" i="7" a="1"/>
  <c r="BJ216" i="7" a="1"/>
  <c r="BK205" i="7" a="1"/>
  <c r="BJ195" i="7" a="1"/>
  <c r="BK184" i="7" a="1"/>
  <c r="BJ179" i="7" a="1"/>
  <c r="BK168" i="7" a="1"/>
  <c r="BJ158" i="7" a="1"/>
  <c r="BK147" i="7" a="1"/>
  <c r="BJ137" i="7" a="1"/>
  <c r="BK126" i="7" a="1"/>
  <c r="BJ116" i="7" a="1"/>
  <c r="BK105" i="7" a="1"/>
  <c r="BJ95" i="7" a="1"/>
  <c r="BK84" i="7" a="1"/>
  <c r="BJ79" i="7" a="1"/>
  <c r="BJ854" i="7" a="1"/>
  <c r="BJ652" i="7" a="1"/>
  <c r="BK637" i="7" a="1"/>
  <c r="BK604" i="7" a="1"/>
  <c r="BK585" i="7" a="1"/>
  <c r="BK566" i="7" a="1"/>
  <c r="BK529" i="7" a="1"/>
  <c r="BK522" i="7" a="1"/>
  <c r="BK507" i="7" a="1"/>
  <c r="BJ499" i="7" a="1"/>
  <c r="BK492" i="7" a="1"/>
  <c r="BK464" i="7" a="1"/>
  <c r="BK458" i="7" a="1"/>
  <c r="BJ447" i="7" a="1"/>
  <c r="BK435" i="7" a="1"/>
  <c r="BJ429" i="7" a="1"/>
  <c r="BK417" i="7" a="1"/>
  <c r="BJ412" i="7" a="1"/>
  <c r="BK406" i="7" a="1"/>
  <c r="BJ401" i="7" a="1"/>
  <c r="BK395" i="7" a="1"/>
  <c r="BJ390" i="7" a="1"/>
  <c r="BJ384" i="7" a="1"/>
  <c r="BK378" i="7" a="1"/>
  <c r="BJ373" i="7" a="1"/>
  <c r="BK367" i="7" a="1"/>
  <c r="BJ362" i="7" a="1"/>
  <c r="BK356" i="7" a="1"/>
  <c r="BJ351" i="7" a="1"/>
  <c r="BK345" i="7" a="1"/>
  <c r="BJ340" i="7" a="1"/>
  <c r="BJ334" i="7" a="1"/>
  <c r="BK328" i="7" a="1"/>
  <c r="BJ323" i="7" a="1"/>
  <c r="BK317" i="7" a="1"/>
  <c r="BJ312" i="7" a="1"/>
  <c r="BK572" i="7" a="1"/>
  <c r="BJ382" i="7" a="1"/>
  <c r="BK348" i="7" a="1"/>
  <c r="BK332" i="7" a="1"/>
  <c r="BJ320" i="7" a="1"/>
  <c r="BJ307" i="7" a="1"/>
  <c r="BJ296" i="7" a="1"/>
  <c r="BJ285" i="7" a="1"/>
  <c r="BK265" i="7" a="1"/>
  <c r="BJ249" i="7" a="1"/>
  <c r="BK240" i="7" a="1"/>
  <c r="BJ233" i="7" a="1"/>
  <c r="BJ224" i="7" a="1"/>
  <c r="BJ217" i="7" a="1"/>
  <c r="BJ208" i="7" a="1"/>
  <c r="BJ201" i="7" a="1"/>
  <c r="BJ192" i="7" a="1"/>
  <c r="BJ176" i="7" a="1"/>
  <c r="BJ160" i="7" a="1"/>
  <c r="BK151" i="7" a="1"/>
  <c r="BK144" i="7" a="1"/>
  <c r="BJ129" i="7" a="1"/>
  <c r="BJ107" i="7" a="1"/>
  <c r="BK76" i="7" a="1"/>
  <c r="BJ70" i="7" a="1"/>
  <c r="BJ63" i="7" a="1"/>
  <c r="BK49" i="7" a="1"/>
  <c r="BJ43" i="7" a="1"/>
  <c r="BK29" i="7" a="1"/>
  <c r="BJ23" i="7" a="1"/>
  <c r="BK55" i="7" a="1"/>
  <c r="BJ49" i="7" a="1"/>
  <c r="BJ29" i="7" a="1"/>
  <c r="BK16" i="7" a="1"/>
  <c r="BK61" i="7" a="1"/>
  <c r="BK42" i="7" a="1"/>
  <c r="BK48" i="7" a="1"/>
  <c r="BJ35" i="7" a="1"/>
  <c r="BK330" i="7" a="1"/>
  <c r="BK271" i="7" a="1"/>
  <c r="BK230" i="7" a="1"/>
  <c r="BJ150" i="7" a="1"/>
  <c r="BK90" i="7" a="1"/>
  <c r="BK54" i="7" a="1"/>
  <c r="BJ48" i="7" a="1"/>
  <c r="BK34" i="7" a="1"/>
  <c r="BJ360" i="7" a="1"/>
  <c r="BJ329" i="7" a="1"/>
  <c r="BJ263" i="7" a="1"/>
  <c r="BK206" i="7" a="1"/>
  <c r="BK197" i="7" a="1"/>
  <c r="BK165" i="7" a="1"/>
  <c r="BK53" i="7" a="1"/>
  <c r="BJ171" i="7" a="1"/>
  <c r="BK109" i="7" a="1"/>
  <c r="BK139" i="7" a="1"/>
  <c r="BK18" i="7" a="1"/>
  <c r="BK24" i="7" a="1"/>
  <c r="BJ202" i="7" a="1"/>
  <c r="BJ44" i="7" a="1"/>
  <c r="BJ193" i="7" a="1"/>
  <c r="BK307" i="7" a="1"/>
  <c r="BJ241" i="7" a="1"/>
  <c r="BJ100" i="7" a="1"/>
  <c r="BK481" i="7" a="1"/>
  <c r="BK438" i="7" a="1"/>
  <c r="BK364" i="7" a="1"/>
  <c r="BJ332" i="7" a="1"/>
  <c r="BJ319" i="7" a="1"/>
  <c r="BK306" i="7" a="1"/>
  <c r="BK295" i="7" a="1"/>
  <c r="BJ284" i="7" a="1"/>
  <c r="BJ274" i="7" a="1"/>
  <c r="BJ240" i="7" a="1"/>
  <c r="BK200" i="7" a="1"/>
  <c r="BJ184" i="7" a="1"/>
  <c r="BJ151" i="7" a="1"/>
  <c r="BJ144" i="7" a="1"/>
  <c r="BJ122" i="7" a="1"/>
  <c r="BK113" i="7" a="1"/>
  <c r="BK91" i="7" a="1"/>
  <c r="BJ84" i="7" a="1"/>
  <c r="BJ62" i="7" a="1"/>
  <c r="BK28" i="7" a="1"/>
  <c r="BJ16" i="7" a="1"/>
  <c r="BK292" i="7" a="1"/>
  <c r="BJ28" i="7" a="1"/>
  <c r="BK213" i="7" a="1"/>
  <c r="BK190" i="7" a="1"/>
  <c r="BJ174" i="7" a="1"/>
  <c r="BK142" i="7" a="1"/>
  <c r="BJ104" i="7" a="1"/>
  <c r="BJ90" i="7" a="1"/>
  <c r="BJ75" i="7" a="1"/>
  <c r="BK60" i="7" a="1"/>
  <c r="BJ34" i="7" a="1"/>
  <c r="BK21" i="7" a="1"/>
  <c r="BK96" i="7" a="1"/>
  <c r="BK33" i="7" a="1"/>
  <c r="BJ21" i="7" a="1"/>
  <c r="BJ338" i="7" a="1"/>
  <c r="BK50" i="7" a="1"/>
  <c r="BJ24" i="7" a="1"/>
  <c r="BJ250" i="7" a="1"/>
  <c r="BK92" i="7" a="1"/>
  <c r="BK37" i="7" a="1"/>
  <c r="BJ486" i="7" a="1"/>
  <c r="BK553" i="7" a="1"/>
  <c r="BJ403" i="7" a="1"/>
  <c r="BJ364" i="7" a="1"/>
  <c r="BJ318" i="7" a="1"/>
  <c r="BJ305" i="7" a="1"/>
  <c r="BK293" i="7" a="1"/>
  <c r="BK282" i="7" a="1"/>
  <c r="BK273" i="7" a="1"/>
  <c r="BJ265" i="7" a="1"/>
  <c r="BK248" i="7" a="1"/>
  <c r="BK232" i="7" a="1"/>
  <c r="BK223" i="7" a="1"/>
  <c r="BK207" i="7" a="1"/>
  <c r="BJ200" i="7" a="1"/>
  <c r="BK191" i="7" a="1"/>
  <c r="BJ183" i="7" a="1"/>
  <c r="BK175" i="7" a="1"/>
  <c r="BK159" i="7" a="1"/>
  <c r="BK128" i="7" a="1"/>
  <c r="BK121" i="7" a="1"/>
  <c r="BK106" i="7" a="1"/>
  <c r="BJ98" i="7" a="1"/>
  <c r="BJ83" i="7" a="1"/>
  <c r="BJ76" i="7" a="1"/>
  <c r="BK69" i="7" a="1"/>
  <c r="BK22" i="7" a="1"/>
  <c r="BK303" i="7" a="1"/>
  <c r="BJ214" i="7" a="1"/>
  <c r="BK222" i="7" a="1"/>
  <c r="BJ97" i="7" a="1"/>
  <c r="BJ14" i="7" a="1"/>
  <c r="BJ149" i="7" a="1"/>
  <c r="BJ141" i="7" a="1"/>
  <c r="BK251" i="7" a="1"/>
  <c r="BJ80" i="7" a="1"/>
  <c r="BK79" i="7" a="1"/>
  <c r="BJ186" i="7" a="1"/>
  <c r="BJ108" i="7" a="1"/>
  <c r="BJ368" i="7" a="1"/>
  <c r="BJ64" i="7" a="1"/>
  <c r="BK382" i="7" a="1"/>
  <c r="BK285" i="7" a="1"/>
  <c r="BK152" i="7" a="1"/>
  <c r="BJ56" i="7" a="1"/>
  <c r="BJ545" i="7" a="1"/>
  <c r="BJ436" i="7" a="1"/>
  <c r="BK401" i="7" a="1"/>
  <c r="BJ381" i="7" a="1"/>
  <c r="BK363" i="7" a="1"/>
  <c r="BK347" i="7" a="1"/>
  <c r="BJ316" i="7" a="1"/>
  <c r="BJ304" i="7" a="1"/>
  <c r="BJ293" i="7" a="1"/>
  <c r="BJ282" i="7" a="1"/>
  <c r="BK272" i="7" a="1"/>
  <c r="BK255" i="7" a="1"/>
  <c r="BK239" i="7" a="1"/>
  <c r="BJ232" i="7" a="1"/>
  <c r="BK182" i="7" a="1"/>
  <c r="BJ159" i="7" a="1"/>
  <c r="BK150" i="7" a="1"/>
  <c r="BK143" i="7" a="1"/>
  <c r="BJ121" i="7" a="1"/>
  <c r="BJ113" i="7" a="1"/>
  <c r="BJ91" i="7" a="1"/>
  <c r="BK82" i="7" a="1"/>
  <c r="BJ55" i="7" a="1"/>
  <c r="BJ22" i="7" a="1"/>
  <c r="BK281" i="7" a="1"/>
  <c r="BJ41" i="7" a="1"/>
  <c r="BJ60" i="7" a="1"/>
  <c r="BJ203" i="7" a="1"/>
  <c r="BJ72" i="7" a="1"/>
  <c r="BJ325" i="7" a="1"/>
  <c r="BK287" i="7" a="1"/>
  <c r="BJ124" i="7" a="1"/>
  <c r="BJ71" i="7" a="1"/>
  <c r="BK31" i="7" a="1"/>
  <c r="BK308" i="7" a="1"/>
  <c r="BJ123" i="7" a="1"/>
  <c r="BJ37" i="7" a="1"/>
  <c r="BK474" i="7" a="1"/>
  <c r="BK398" i="7" a="1"/>
  <c r="BJ379" i="7" a="1"/>
  <c r="BK362" i="7" a="1"/>
  <c r="BJ347" i="7" a="1"/>
  <c r="BJ331" i="7" a="1"/>
  <c r="BK315" i="7" a="1"/>
  <c r="BJ272" i="7" a="1"/>
  <c r="BJ264" i="7" a="1"/>
  <c r="BJ239" i="7" a="1"/>
  <c r="BK231" i="7" a="1"/>
  <c r="BJ223" i="7" a="1"/>
  <c r="BJ207" i="7" a="1"/>
  <c r="BJ191" i="7" a="1"/>
  <c r="BJ182" i="7" a="1"/>
  <c r="BJ175" i="7" a="1"/>
  <c r="BJ166" i="7" a="1"/>
  <c r="BJ135" i="7" a="1"/>
  <c r="BJ128" i="7" a="1"/>
  <c r="BJ120" i="7" a="1"/>
  <c r="BK97" i="7" a="1"/>
  <c r="BK75" i="7" a="1"/>
  <c r="BK68" i="7" a="1"/>
  <c r="BJ61" i="7" a="1"/>
  <c r="BJ42" i="7" a="1"/>
  <c r="BK263" i="7" a="1"/>
  <c r="BK119" i="7" a="1"/>
  <c r="BK112" i="7" a="1"/>
  <c r="BK343" i="7" a="1"/>
  <c r="BJ315" i="7" a="1"/>
  <c r="BK181" i="7" a="1"/>
  <c r="BK134" i="7" a="1"/>
  <c r="BK127" i="7" a="1"/>
  <c r="BJ54" i="7" a="1"/>
  <c r="BJ165" i="7" a="1"/>
  <c r="BK32" i="7" a="1"/>
  <c r="BJ432" i="7" a="1"/>
  <c r="BJ377" i="7" a="1"/>
  <c r="BK360" i="7" a="1"/>
  <c r="BJ346" i="7" a="1"/>
  <c r="BJ255" i="7" a="1"/>
  <c r="BJ143" i="7" a="1"/>
  <c r="BJ82" i="7" a="1"/>
  <c r="BK238" i="7" a="1"/>
  <c r="BJ230" i="7" a="1"/>
  <c r="BJ119" i="7" a="1"/>
  <c r="BK40" i="7" a="1"/>
  <c r="BK172" i="7" a="1"/>
  <c r="BJ354" i="7" a="1"/>
  <c r="BK179" i="7" a="1"/>
  <c r="BK93" i="7" a="1"/>
  <c r="BJ18" i="7" a="1"/>
  <c r="BK145" i="7" a="1"/>
  <c r="BJ530" i="7" a="1"/>
  <c r="BK376" i="7" a="1"/>
  <c r="BK86" i="7" a="1"/>
  <c r="BK447" i="7" a="1"/>
  <c r="BK297" i="7" a="1"/>
  <c r="BJ404" i="7" a="1"/>
  <c r="BK527" i="7" a="1"/>
  <c r="BJ468" i="7" a="1"/>
  <c r="BJ427" i="7" a="1"/>
  <c r="BK397" i="7" a="1"/>
  <c r="BK359" i="7" a="1"/>
  <c r="BJ343" i="7" a="1"/>
  <c r="BJ327" i="7" a="1"/>
  <c r="BK314" i="7" a="1"/>
  <c r="BJ303" i="7" a="1"/>
  <c r="BJ292" i="7" a="1"/>
  <c r="BJ281" i="7" a="1"/>
  <c r="BJ271" i="7" a="1"/>
  <c r="BJ262" i="7" a="1"/>
  <c r="BK254" i="7" a="1"/>
  <c r="BK229" i="7" a="1"/>
  <c r="BJ190" i="7" a="1"/>
  <c r="BK173" i="7" a="1"/>
  <c r="BK149" i="7" a="1"/>
  <c r="BJ142" i="7" a="1"/>
  <c r="BJ134" i="7" a="1"/>
  <c r="BJ112" i="7" a="1"/>
  <c r="BK103" i="7" a="1"/>
  <c r="BK89" i="7" a="1"/>
  <c r="BK81" i="7" a="1"/>
  <c r="BK47" i="7" a="1"/>
  <c r="BK27" i="7" a="1"/>
  <c r="BK66" i="7" a="1"/>
  <c r="BJ40" i="7" a="1"/>
  <c r="BJ187" i="7" a="1"/>
  <c r="BK65" i="7" a="1"/>
  <c r="BK415" i="7" a="1"/>
  <c r="BJ260" i="7" a="1"/>
  <c r="BK58" i="7" a="1"/>
  <c r="BK71" i="7" a="1"/>
  <c r="BK193" i="7" a="1"/>
  <c r="BJ86" i="7" a="1"/>
  <c r="BK242" i="7" a="1"/>
  <c r="BK296" i="7" a="1"/>
  <c r="BJ114" i="7" a="1"/>
  <c r="BJ523" i="7" a="1"/>
  <c r="BK465" i="7" a="1"/>
  <c r="BJ396" i="7" a="1"/>
  <c r="BK326" i="7" a="1"/>
  <c r="BJ314" i="7" a="1"/>
  <c r="BK302" i="7" a="1"/>
  <c r="BK291" i="7" a="1"/>
  <c r="BK280" i="7" a="1"/>
  <c r="BK261" i="7" a="1"/>
  <c r="BJ254" i="7" a="1"/>
  <c r="BJ238" i="7" a="1"/>
  <c r="BJ229" i="7" a="1"/>
  <c r="BJ222" i="7" a="1"/>
  <c r="BJ213" i="7" a="1"/>
  <c r="BJ197" i="7" a="1"/>
  <c r="BK189" i="7" a="1"/>
  <c r="BJ181" i="7" a="1"/>
  <c r="BK118" i="7" a="1"/>
  <c r="BJ74" i="7" a="1"/>
  <c r="BK13" i="7" a="1"/>
  <c r="BJ310" i="7" a="1"/>
  <c r="BJ102" i="7" a="1"/>
  <c r="BK51" i="7" a="1"/>
  <c r="BJ32" i="7" a="1"/>
  <c r="BJ170" i="7" a="1"/>
  <c r="BK64" i="7" a="1"/>
  <c r="BK352" i="7" a="1"/>
  <c r="BJ276" i="7" a="1"/>
  <c r="BJ130" i="7" a="1"/>
  <c r="BK519" i="7" a="1"/>
  <c r="BJ393" i="7" a="1"/>
  <c r="BK375" i="7" a="1"/>
  <c r="BK358" i="7" a="1"/>
  <c r="BK313" i="7" a="1"/>
  <c r="BJ302" i="7" a="1"/>
  <c r="BJ291" i="7" a="1"/>
  <c r="BJ280" i="7" a="1"/>
  <c r="BK270" i="7" a="1"/>
  <c r="BJ261" i="7" a="1"/>
  <c r="BJ245" i="7" a="1"/>
  <c r="BK221" i="7" a="1"/>
  <c r="BJ172" i="7" a="1"/>
  <c r="BK140" i="7" a="1"/>
  <c r="BK133" i="7" a="1"/>
  <c r="BK111" i="7" a="1"/>
  <c r="BJ103" i="7" a="1"/>
  <c r="BJ81" i="7" a="1"/>
  <c r="BJ27" i="7" a="1"/>
  <c r="BJ20" i="7" a="1"/>
  <c r="BK59" i="7" a="1"/>
  <c r="BJ53" i="7" a="1"/>
  <c r="BK39" i="7" a="1"/>
  <c r="BJ33" i="7" a="1"/>
  <c r="BJ13" i="7" a="1"/>
  <c r="BK102" i="7" a="1"/>
  <c r="BJ59" i="7" a="1"/>
  <c r="BK45" i="7" a="1"/>
  <c r="BJ39" i="7" a="1"/>
  <c r="BK26" i="7" a="1"/>
  <c r="BK310" i="7" a="1"/>
  <c r="BJ212" i="7" a="1"/>
  <c r="BJ196" i="7" a="1"/>
  <c r="BJ180" i="7" a="1"/>
  <c r="BK124" i="7" a="1"/>
  <c r="BJ87" i="7" a="1"/>
  <c r="BK390" i="7" a="1"/>
  <c r="BK132" i="7" a="1"/>
  <c r="BK38" i="7" a="1"/>
  <c r="BJ65" i="7" a="1"/>
  <c r="BJ218" i="7" a="1"/>
  <c r="BK461" i="7" a="1"/>
  <c r="BK373" i="7" a="1"/>
  <c r="BJ358" i="7" a="1"/>
  <c r="BJ342" i="7" a="1"/>
  <c r="BJ326" i="7" a="1"/>
  <c r="BJ313" i="7" a="1"/>
  <c r="BK301" i="7" a="1"/>
  <c r="BK290" i="7" a="1"/>
  <c r="BK279" i="7" a="1"/>
  <c r="BK253" i="7" a="1"/>
  <c r="BK228" i="7" a="1"/>
  <c r="BJ221" i="7" a="1"/>
  <c r="BK212" i="7" a="1"/>
  <c r="BJ204" i="7" a="1"/>
  <c r="BK196" i="7" a="1"/>
  <c r="BK180" i="7" a="1"/>
  <c r="BK171" i="7" a="1"/>
  <c r="BK164" i="7" a="1"/>
  <c r="BK155" i="7" a="1"/>
  <c r="BK148" i="7" a="1"/>
  <c r="BJ118" i="7" a="1"/>
  <c r="BJ111" i="7" a="1"/>
  <c r="BJ96" i="7" a="1"/>
  <c r="BK87" i="7" a="1"/>
  <c r="BK73" i="7" a="1"/>
  <c r="BJ66" i="7" a="1"/>
  <c r="BK19" i="7" a="1"/>
  <c r="BK110" i="7" a="1"/>
  <c r="BJ19" i="7" a="1"/>
  <c r="BK325" i="7" a="1"/>
  <c r="BK269" i="7" a="1"/>
  <c r="BJ244" i="7" a="1"/>
  <c r="BK117" i="7" a="1"/>
  <c r="BK52" i="7" a="1"/>
  <c r="BK298" i="7" a="1"/>
  <c r="BK210" i="7" a="1"/>
  <c r="BJ161" i="7" a="1"/>
  <c r="BK209" i="7" a="1"/>
  <c r="BK443" i="7" a="1"/>
  <c r="BJ511" i="7" a="1"/>
  <c r="BJ459" i="7" a="1"/>
  <c r="BK420" i="7" a="1"/>
  <c r="BK371" i="7" a="1"/>
  <c r="BJ357" i="7" a="1"/>
  <c r="BK341" i="7" a="1"/>
  <c r="BK312" i="7" a="1"/>
  <c r="BJ301" i="7" a="1"/>
  <c r="BJ290" i="7" a="1"/>
  <c r="BJ270" i="7" a="1"/>
  <c r="BK260" i="7" a="1"/>
  <c r="BJ253" i="7" a="1"/>
  <c r="BK244" i="7" a="1"/>
  <c r="BJ220" i="7" a="1"/>
  <c r="BK203" i="7" a="1"/>
  <c r="BJ164" i="7" a="1"/>
  <c r="BJ140" i="7" a="1"/>
  <c r="BJ133" i="7" a="1"/>
  <c r="BK80" i="7" a="1"/>
  <c r="BK72" i="7" a="1"/>
  <c r="BK163" i="7" a="1"/>
  <c r="BJ51" i="7" a="1"/>
  <c r="BK386" i="7" a="1"/>
  <c r="BJ17" i="7" a="1"/>
  <c r="BJ508" i="7" a="1"/>
  <c r="BK456" i="7" a="1"/>
  <c r="BJ418" i="7" a="1"/>
  <c r="BJ392" i="7" a="1"/>
  <c r="BJ371" i="7" a="1"/>
  <c r="BJ355" i="7" a="1"/>
  <c r="BK340" i="7" a="1"/>
  <c r="BJ299" i="7" a="1"/>
  <c r="BJ288" i="7" a="1"/>
  <c r="BK252" i="7" a="1"/>
  <c r="BJ228" i="7" a="1"/>
  <c r="BK219" i="7" a="1"/>
  <c r="BJ155" i="7" a="1"/>
  <c r="BJ163" i="7" a="1"/>
  <c r="BJ45" i="7" a="1"/>
  <c r="BK138" i="7" a="1"/>
  <c r="BJ101" i="7" a="1"/>
  <c r="BK249" i="7" a="1"/>
  <c r="BK129" i="7" a="1"/>
  <c r="BK414" i="7" a="1"/>
  <c r="BK387" i="7" a="1"/>
  <c r="BK337" i="7" a="1"/>
  <c r="BK323" i="7" a="1"/>
  <c r="BK309" i="7" a="1"/>
  <c r="BJ251" i="7" a="1"/>
  <c r="BK243" i="7" a="1"/>
  <c r="BK227" i="7" a="1"/>
  <c r="BK218" i="7" a="1"/>
  <c r="BK211" i="7" a="1"/>
  <c r="BK202" i="7" a="1"/>
  <c r="BK186" i="7" a="1"/>
  <c r="BK170" i="7" a="1"/>
  <c r="BJ162" i="7" a="1"/>
  <c r="BK154" i="7" a="1"/>
  <c r="BJ139" i="7" a="1"/>
  <c r="BJ132" i="7" a="1"/>
  <c r="BJ117" i="7" a="1"/>
  <c r="BK108" i="7" a="1"/>
  <c r="BJ497" i="7" a="1"/>
  <c r="BK412" i="7" a="1"/>
  <c r="BJ370" i="7" a="1"/>
  <c r="BK321" i="7" a="1"/>
  <c r="BJ309" i="7" a="1"/>
  <c r="BJ298" i="7" a="1"/>
  <c r="BJ287" i="7" a="1"/>
  <c r="BK276" i="7" a="1"/>
  <c r="BK259" i="7" a="1"/>
  <c r="BK250" i="7" a="1"/>
  <c r="BK234" i="7" a="1"/>
  <c r="BJ211" i="7" a="1"/>
  <c r="BK161" i="7" a="1"/>
  <c r="BJ154" i="7" a="1"/>
  <c r="BK131" i="7" a="1"/>
  <c r="BK123" i="7" a="1"/>
  <c r="BK101" i="7" a="1"/>
  <c r="BJ93" i="7" a="1"/>
  <c r="BJ58" i="7" a="1"/>
  <c r="BK44" i="7" a="1"/>
  <c r="BJ38" i="7" a="1"/>
  <c r="BK130" i="7" a="1"/>
  <c r="BK336" i="7" a="1"/>
  <c r="BK153" i="7" a="1"/>
  <c r="BK17" i="7" a="1"/>
  <c r="BJ335" i="7" a="1"/>
  <c r="BJ493" i="7" a="1"/>
  <c r="BK449" i="7" a="1"/>
  <c r="BJ410" i="7" a="1"/>
  <c r="BJ369" i="7" a="1"/>
  <c r="BJ353" i="7" a="1"/>
  <c r="BJ321" i="7" a="1"/>
  <c r="BJ259" i="7" a="1"/>
  <c r="BJ243" i="7" a="1"/>
  <c r="BJ234" i="7" a="1"/>
  <c r="BK286" i="7" a="1"/>
  <c r="BK30" i="7" a="1"/>
  <c r="BK365" i="7" a="1"/>
  <c r="BK122" i="7" a="1"/>
  <c r="BJ489" i="7" a="1"/>
  <c r="BK444" i="7" a="1"/>
  <c r="BJ407" i="7" a="1"/>
  <c r="BJ385" i="7" a="1"/>
  <c r="BJ366" i="7" a="1"/>
  <c r="BK351" i="7" a="1"/>
  <c r="BJ336" i="7" a="1"/>
  <c r="BK320" i="7" a="1"/>
  <c r="BJ308" i="7" a="1"/>
  <c r="BJ297" i="7" a="1"/>
  <c r="BJ286" i="7" a="1"/>
  <c r="BJ266" i="7" a="1"/>
  <c r="BJ242" i="7" a="1"/>
  <c r="BK233" i="7" a="1"/>
  <c r="BK217" i="7" a="1"/>
  <c r="BK201" i="7" a="1"/>
  <c r="BK192" i="7" a="1"/>
  <c r="BK185" i="7" a="1"/>
  <c r="BK176" i="7" a="1"/>
  <c r="BK169" i="7" a="1"/>
  <c r="BK160" i="7" a="1"/>
  <c r="BJ153" i="7" a="1"/>
  <c r="BJ145" i="7" a="1"/>
  <c r="BJ138" i="7" a="1"/>
  <c r="BK107" i="7" a="1"/>
  <c r="BK100" i="7" a="1"/>
  <c r="BK85" i="7" a="1"/>
  <c r="BJ77" i="7" a="1"/>
  <c r="BK70" i="7" a="1"/>
  <c r="BK63" i="7" a="1"/>
  <c r="BJ50" i="7" a="1"/>
  <c r="BK43" i="7" a="1"/>
  <c r="BJ30" i="7" a="1"/>
  <c r="BK23" i="7" a="1"/>
  <c r="BJ349" i="7" a="1"/>
  <c r="BJ92" i="7" a="1"/>
  <c r="S35" i="7" l="1"/>
  <c r="R35" i="7"/>
  <c r="T35" i="7" s="1"/>
  <c r="V35" i="7" s="1"/>
  <c r="U35" i="7"/>
  <c r="J35" i="7"/>
  <c r="K35" i="7"/>
  <c r="R34" i="7"/>
  <c r="T34" i="7" s="1"/>
  <c r="V34" i="7" s="1"/>
  <c r="S34" i="7"/>
  <c r="U34" i="7"/>
  <c r="J34" i="7"/>
  <c r="K34" i="7"/>
  <c r="S33" i="7"/>
  <c r="R33" i="7"/>
  <c r="T33" i="7" s="1"/>
  <c r="U33" i="7"/>
  <c r="J33" i="7"/>
  <c r="K33" i="7"/>
  <c r="R32" i="7"/>
  <c r="T32" i="7" s="1"/>
  <c r="V32" i="7" s="1"/>
  <c r="S32" i="7"/>
  <c r="U32" i="7"/>
  <c r="K32" i="7"/>
  <c r="J32" i="7"/>
  <c r="R31" i="7"/>
  <c r="T31" i="7" s="1"/>
  <c r="S31" i="7"/>
  <c r="U31" i="7"/>
  <c r="J31" i="7"/>
  <c r="K31" i="7"/>
  <c r="R30" i="7"/>
  <c r="T30" i="7" s="1"/>
  <c r="V30" i="7" s="1"/>
  <c r="S30" i="7"/>
  <c r="U30" i="7"/>
  <c r="J30" i="7"/>
  <c r="K30" i="7"/>
  <c r="R29" i="7"/>
  <c r="T29" i="7" s="1"/>
  <c r="S29" i="7"/>
  <c r="U29" i="7"/>
  <c r="J29" i="7"/>
  <c r="K29" i="7"/>
  <c r="R28" i="7"/>
  <c r="T28" i="7" s="1"/>
  <c r="V28" i="7" s="1"/>
  <c r="S28" i="7"/>
  <c r="U28" i="7" s="1"/>
  <c r="J28" i="7"/>
  <c r="K28" i="7"/>
  <c r="S27" i="7"/>
  <c r="U27" i="7" s="1"/>
  <c r="R27" i="7"/>
  <c r="T27" i="7" s="1"/>
  <c r="V27" i="7" s="1"/>
  <c r="J27" i="7"/>
  <c r="K27" i="7"/>
  <c r="S26" i="7"/>
  <c r="R26" i="7"/>
  <c r="T26" i="7" s="1"/>
  <c r="V26" i="7" s="1"/>
  <c r="U26" i="7"/>
  <c r="J26" i="7"/>
  <c r="K26" i="7"/>
  <c r="BS79" i="7"/>
  <c r="BU79" i="7" s="1"/>
  <c r="BR34" i="7"/>
  <c r="BT34" i="7" s="1"/>
  <c r="BS58" i="7"/>
  <c r="BU58" i="7" s="1"/>
  <c r="BR82" i="7"/>
  <c r="BT82" i="7" s="1"/>
  <c r="BR152" i="7"/>
  <c r="BT152" i="7" s="1"/>
  <c r="BR71" i="7"/>
  <c r="BT71" i="7" s="1"/>
  <c r="BS171" i="7"/>
  <c r="BU171" i="7" s="1"/>
  <c r="BS27" i="7"/>
  <c r="BU27" i="7" s="1"/>
  <c r="BS39" i="7"/>
  <c r="BU39" i="7" s="1"/>
  <c r="BS90" i="7"/>
  <c r="BU90" i="7" s="1"/>
  <c r="BR158" i="7"/>
  <c r="BT158" i="7" s="1"/>
  <c r="BV158" i="7" s="1"/>
  <c r="BR194" i="7"/>
  <c r="BT194" i="7" s="1"/>
  <c r="BS48" i="7"/>
  <c r="BU48" i="7" s="1"/>
  <c r="BR41" i="7"/>
  <c r="BT41" i="7" s="1"/>
  <c r="BS53" i="7"/>
  <c r="BU53" i="7" s="1"/>
  <c r="BR160" i="7"/>
  <c r="BT160" i="7" s="1"/>
  <c r="BR25" i="7"/>
  <c r="BT25" i="7" s="1"/>
  <c r="BS253" i="7"/>
  <c r="BU253" i="7" s="1"/>
  <c r="BR165" i="7"/>
  <c r="BT165" i="7" s="1"/>
  <c r="BV165" i="7" s="1"/>
  <c r="BS34" i="7"/>
  <c r="BU34" i="7" s="1"/>
  <c r="BR74" i="7"/>
  <c r="BT74" i="7" s="1"/>
  <c r="BR85" i="7"/>
  <c r="BT85" i="7" s="1"/>
  <c r="BR107" i="7"/>
  <c r="BT107" i="7" s="1"/>
  <c r="BR110" i="7"/>
  <c r="BT110" i="7" s="1"/>
  <c r="BR116" i="7"/>
  <c r="BT116" i="7" s="1"/>
  <c r="BS23" i="7"/>
  <c r="BU23" i="7" s="1"/>
  <c r="BS25" i="7"/>
  <c r="BU25" i="7" s="1"/>
  <c r="BR39" i="7"/>
  <c r="BT39" i="7" s="1"/>
  <c r="BR77" i="7"/>
  <c r="BT77" i="7" s="1"/>
  <c r="BV77" i="7" s="1"/>
  <c r="BR101" i="7"/>
  <c r="BT101" i="7" s="1"/>
  <c r="BV101" i="7" s="1"/>
  <c r="BR134" i="7"/>
  <c r="BT134" i="7" s="1"/>
  <c r="BR139" i="7"/>
  <c r="BT139" i="7" s="1"/>
  <c r="BV139" i="7" s="1"/>
  <c r="BR143" i="7"/>
  <c r="BT143" i="7" s="1"/>
  <c r="BS204" i="7"/>
  <c r="BU204" i="7" s="1"/>
  <c r="BR298" i="7"/>
  <c r="BT298" i="7" s="1"/>
  <c r="BV298" i="7" s="1"/>
  <c r="BR23" i="7"/>
  <c r="BT23" i="7" s="1"/>
  <c r="BV23" i="7" s="1"/>
  <c r="BR32" i="7"/>
  <c r="BT32" i="7" s="1"/>
  <c r="BV32" i="7" s="1"/>
  <c r="BS82" i="7"/>
  <c r="BU82" i="7" s="1"/>
  <c r="BR104" i="7"/>
  <c r="BT104" i="7" s="1"/>
  <c r="BV104" i="7" s="1"/>
  <c r="BR13" i="7"/>
  <c r="BT13" i="7" s="1"/>
  <c r="BV13" i="7" s="1"/>
  <c r="BR15" i="7"/>
  <c r="BT15" i="7" s="1"/>
  <c r="BR19" i="7"/>
  <c r="BT19" i="7" s="1"/>
  <c r="BS32" i="7"/>
  <c r="BU32" i="7" s="1"/>
  <c r="BR46" i="7"/>
  <c r="BT46" i="7" s="1"/>
  <c r="BR66" i="7"/>
  <c r="BT66" i="7" s="1"/>
  <c r="BS74" i="7"/>
  <c r="BU74" i="7" s="1"/>
  <c r="BS85" i="7"/>
  <c r="BU85" i="7" s="1"/>
  <c r="BS104" i="7"/>
  <c r="BU104" i="7" s="1"/>
  <c r="BS110" i="7"/>
  <c r="BU110" i="7" s="1"/>
  <c r="BS173" i="7"/>
  <c r="BU173" i="7" s="1"/>
  <c r="BR196" i="7"/>
  <c r="BT196" i="7" s="1"/>
  <c r="BV196" i="7" s="1"/>
  <c r="BS30" i="7"/>
  <c r="BU30" i="7" s="1"/>
  <c r="BS80" i="7"/>
  <c r="BU80" i="7" s="1"/>
  <c r="BR99" i="7"/>
  <c r="BT99" i="7" s="1"/>
  <c r="BV99" i="7" s="1"/>
  <c r="BS117" i="7"/>
  <c r="BU117" i="7" s="1"/>
  <c r="BR135" i="7"/>
  <c r="BT135" i="7" s="1"/>
  <c r="BV135" i="7" s="1"/>
  <c r="BS144" i="7"/>
  <c r="BU144" i="7" s="1"/>
  <c r="BS160" i="7"/>
  <c r="BU160" i="7" s="1"/>
  <c r="BS174" i="7"/>
  <c r="BU174" i="7" s="1"/>
  <c r="BS189" i="7"/>
  <c r="BU189" i="7" s="1"/>
  <c r="BS258" i="7"/>
  <c r="BU258" i="7" s="1"/>
  <c r="BS28" i="7"/>
  <c r="BU28" i="7" s="1"/>
  <c r="BR35" i="7"/>
  <c r="BT35" i="7" s="1"/>
  <c r="BR42" i="7"/>
  <c r="BT42" i="7" s="1"/>
  <c r="BS44" i="7"/>
  <c r="BU44" i="7" s="1"/>
  <c r="BR64" i="7"/>
  <c r="BT64" i="7" s="1"/>
  <c r="BS72" i="7"/>
  <c r="BU72" i="7" s="1"/>
  <c r="BR75" i="7"/>
  <c r="BT75" i="7" s="1"/>
  <c r="BR102" i="7"/>
  <c r="BT102" i="7" s="1"/>
  <c r="BR105" i="7"/>
  <c r="BT105" i="7" s="1"/>
  <c r="BV105" i="7" s="1"/>
  <c r="BR122" i="7"/>
  <c r="BT122" i="7" s="1"/>
  <c r="BV122" i="7" s="1"/>
  <c r="BS126" i="7"/>
  <c r="BU126" i="7" s="1"/>
  <c r="BS131" i="7"/>
  <c r="BU131" i="7" s="1"/>
  <c r="BR215" i="7"/>
  <c r="BT215" i="7" s="1"/>
  <c r="BV215" i="7" s="1"/>
  <c r="BR224" i="7"/>
  <c r="BT224" i="7" s="1"/>
  <c r="BV224" i="7" s="1"/>
  <c r="BR17" i="7"/>
  <c r="BT17" i="7" s="1"/>
  <c r="BS130" i="7"/>
  <c r="BU130" i="7" s="1"/>
  <c r="BS15" i="7"/>
  <c r="BU15" i="7" s="1"/>
  <c r="BS17" i="7"/>
  <c r="BU17" i="7" s="1"/>
  <c r="BS69" i="7"/>
  <c r="BU69" i="7" s="1"/>
  <c r="BR49" i="7"/>
  <c r="BT49" i="7" s="1"/>
  <c r="BR54" i="7"/>
  <c r="BT54" i="7" s="1"/>
  <c r="BR59" i="7"/>
  <c r="BT59" i="7" s="1"/>
  <c r="BR67" i="7"/>
  <c r="BT67" i="7" s="1"/>
  <c r="BR91" i="7"/>
  <c r="BT91" i="7" s="1"/>
  <c r="BS99" i="7"/>
  <c r="BU99" i="7" s="1"/>
  <c r="BS122" i="7"/>
  <c r="BU122" i="7" s="1"/>
  <c r="BR207" i="7"/>
  <c r="BT207" i="7" s="1"/>
  <c r="BS224" i="7"/>
  <c r="BU224" i="7" s="1"/>
  <c r="BR259" i="7"/>
  <c r="BT259" i="7" s="1"/>
  <c r="BS13" i="7"/>
  <c r="BU13" i="7" s="1"/>
  <c r="BR80" i="7"/>
  <c r="BT80" i="7" s="1"/>
  <c r="BV80" i="7" s="1"/>
  <c r="BR44" i="7"/>
  <c r="BT44" i="7" s="1"/>
  <c r="BV44" i="7" s="1"/>
  <c r="BR28" i="7"/>
  <c r="BT28" i="7" s="1"/>
  <c r="BV28" i="7" s="1"/>
  <c r="BS37" i="7"/>
  <c r="BU37" i="7" s="1"/>
  <c r="BR33" i="7"/>
  <c r="BT33" i="7" s="1"/>
  <c r="BS35" i="7"/>
  <c r="BU35" i="7" s="1"/>
  <c r="BS42" i="7"/>
  <c r="BU42" i="7" s="1"/>
  <c r="BS64" i="7"/>
  <c r="BU64" i="7" s="1"/>
  <c r="BS75" i="7"/>
  <c r="BU75" i="7" s="1"/>
  <c r="BR94" i="7"/>
  <c r="BT94" i="7" s="1"/>
  <c r="BS105" i="7"/>
  <c r="BU105" i="7" s="1"/>
  <c r="BR114" i="7"/>
  <c r="BT114" i="7" s="1"/>
  <c r="BR161" i="7"/>
  <c r="BT161" i="7" s="1"/>
  <c r="BS235" i="7"/>
  <c r="BU235" i="7" s="1"/>
  <c r="BR24" i="7"/>
  <c r="BT24" i="7" s="1"/>
  <c r="BR26" i="7"/>
  <c r="BT26" i="7" s="1"/>
  <c r="BR52" i="7"/>
  <c r="BT52" i="7" s="1"/>
  <c r="BR57" i="7"/>
  <c r="BT57" i="7" s="1"/>
  <c r="BR62" i="7"/>
  <c r="BT62" i="7" s="1"/>
  <c r="BR86" i="7"/>
  <c r="BT86" i="7" s="1"/>
  <c r="BV86" i="7" s="1"/>
  <c r="BS94" i="7"/>
  <c r="BU94" i="7" s="1"/>
  <c r="BS162" i="7"/>
  <c r="BU162" i="7" s="1"/>
  <c r="BS225" i="7"/>
  <c r="BU225" i="7" s="1"/>
  <c r="BR72" i="7"/>
  <c r="BT72" i="7" s="1"/>
  <c r="BV72" i="7" s="1"/>
  <c r="BS49" i="7"/>
  <c r="BU49" i="7" s="1"/>
  <c r="BS67" i="7"/>
  <c r="BU67" i="7" s="1"/>
  <c r="BR97" i="7"/>
  <c r="BT97" i="7" s="1"/>
  <c r="BV97" i="7" s="1"/>
  <c r="BR111" i="7"/>
  <c r="BT111" i="7" s="1"/>
  <c r="BV111" i="7" s="1"/>
  <c r="BS176" i="7"/>
  <c r="BU176" i="7" s="1"/>
  <c r="BR183" i="7"/>
  <c r="BT183" i="7" s="1"/>
  <c r="BR22" i="7"/>
  <c r="BT22" i="7" s="1"/>
  <c r="BR38" i="7"/>
  <c r="BT38" i="7" s="1"/>
  <c r="BS40" i="7"/>
  <c r="BU40" i="7" s="1"/>
  <c r="BS47" i="7"/>
  <c r="BU47" i="7" s="1"/>
  <c r="BS70" i="7"/>
  <c r="BU70" i="7" s="1"/>
  <c r="BR89" i="7"/>
  <c r="BT89" i="7" s="1"/>
  <c r="BS97" i="7"/>
  <c r="BU97" i="7" s="1"/>
  <c r="BR100" i="7"/>
  <c r="BT100" i="7" s="1"/>
  <c r="BS150" i="7"/>
  <c r="BU150" i="7" s="1"/>
  <c r="BR144" i="7"/>
  <c r="BT144" i="7" s="1"/>
  <c r="BV144" i="7" s="1"/>
  <c r="BR56" i="7"/>
  <c r="BT56" i="7" s="1"/>
  <c r="BV56" i="7" s="1"/>
  <c r="BR96" i="7"/>
  <c r="BT96" i="7" s="1"/>
  <c r="BV96" i="7" s="1"/>
  <c r="BS121" i="7"/>
  <c r="BU121" i="7" s="1"/>
  <c r="BS33" i="7"/>
  <c r="BU33" i="7" s="1"/>
  <c r="BS38" i="7"/>
  <c r="BU38" i="7" s="1"/>
  <c r="BR45" i="7"/>
  <c r="BT45" i="7" s="1"/>
  <c r="BV45" i="7" s="1"/>
  <c r="BS52" i="7"/>
  <c r="BU52" i="7" s="1"/>
  <c r="BS57" i="7"/>
  <c r="BU57" i="7" s="1"/>
  <c r="BS62" i="7"/>
  <c r="BU62" i="7" s="1"/>
  <c r="BR65" i="7"/>
  <c r="BT65" i="7" s="1"/>
  <c r="BR92" i="7"/>
  <c r="BT92" i="7" s="1"/>
  <c r="BR119" i="7"/>
  <c r="BT119" i="7" s="1"/>
  <c r="BR123" i="7"/>
  <c r="BT123" i="7" s="1"/>
  <c r="BR132" i="7"/>
  <c r="BT132" i="7" s="1"/>
  <c r="BS156" i="7"/>
  <c r="BU156" i="7" s="1"/>
  <c r="BR200" i="7"/>
  <c r="BT200" i="7" s="1"/>
  <c r="BR21" i="7"/>
  <c r="BT21" i="7" s="1"/>
  <c r="BR37" i="7"/>
  <c r="BT37" i="7" s="1"/>
  <c r="BS21" i="7"/>
  <c r="BU21" i="7" s="1"/>
  <c r="BS234" i="7"/>
  <c r="BU234" i="7" s="1"/>
  <c r="BS59" i="7"/>
  <c r="BU59" i="7" s="1"/>
  <c r="BR14" i="7"/>
  <c r="BT14" i="7" s="1"/>
  <c r="BR18" i="7"/>
  <c r="BT18" i="7" s="1"/>
  <c r="BV18" i="7" s="1"/>
  <c r="BR20" i="7"/>
  <c r="BT20" i="7" s="1"/>
  <c r="BV20" i="7" s="1"/>
  <c r="BR31" i="7"/>
  <c r="BT31" i="7" s="1"/>
  <c r="BV31" i="7" s="1"/>
  <c r="BR81" i="7"/>
  <c r="BT81" i="7" s="1"/>
  <c r="BS89" i="7"/>
  <c r="BU89" i="7" s="1"/>
  <c r="BS100" i="7"/>
  <c r="BU100" i="7" s="1"/>
  <c r="BR115" i="7"/>
  <c r="BT115" i="7" s="1"/>
  <c r="BV115" i="7" s="1"/>
  <c r="BR128" i="7"/>
  <c r="BT128" i="7" s="1"/>
  <c r="BS141" i="7"/>
  <c r="BU141" i="7" s="1"/>
  <c r="BR184" i="7"/>
  <c r="BT184" i="7" s="1"/>
  <c r="BS148" i="7"/>
  <c r="BU148" i="7" s="1"/>
  <c r="BS19" i="7"/>
  <c r="BU19" i="7" s="1"/>
  <c r="BR51" i="7"/>
  <c r="BT51" i="7" s="1"/>
  <c r="BR189" i="7"/>
  <c r="BT189" i="7" s="1"/>
  <c r="BS24" i="7"/>
  <c r="BU24" i="7" s="1"/>
  <c r="BS14" i="7"/>
  <c r="BU14" i="7" s="1"/>
  <c r="BR16" i="7"/>
  <c r="BT16" i="7" s="1"/>
  <c r="BS20" i="7"/>
  <c r="BU20" i="7" s="1"/>
  <c r="BS45" i="7"/>
  <c r="BU45" i="7" s="1"/>
  <c r="BR50" i="7"/>
  <c r="BT50" i="7" s="1"/>
  <c r="BR60" i="7"/>
  <c r="BT60" i="7" s="1"/>
  <c r="BV60" i="7" s="1"/>
  <c r="BR84" i="7"/>
  <c r="BT84" i="7" s="1"/>
  <c r="BV84" i="7" s="1"/>
  <c r="BS92" i="7"/>
  <c r="BU92" i="7" s="1"/>
  <c r="BR95" i="7"/>
  <c r="BT95" i="7" s="1"/>
  <c r="BR109" i="7"/>
  <c r="BT109" i="7" s="1"/>
  <c r="BR112" i="7"/>
  <c r="BT112" i="7" s="1"/>
  <c r="BV112" i="7" s="1"/>
  <c r="BR124" i="7"/>
  <c r="BT124" i="7" s="1"/>
  <c r="BV124" i="7" s="1"/>
  <c r="BR133" i="7"/>
  <c r="BT133" i="7" s="1"/>
  <c r="BR137" i="7"/>
  <c r="BT137" i="7" s="1"/>
  <c r="BR163" i="7"/>
  <c r="BT163" i="7" s="1"/>
  <c r="BS177" i="7"/>
  <c r="BU177" i="7" s="1"/>
  <c r="BS239" i="7"/>
  <c r="BU239" i="7" s="1"/>
  <c r="BR276" i="7"/>
  <c r="BT276" i="7" s="1"/>
  <c r="BS154" i="7"/>
  <c r="BU154" i="7" s="1"/>
  <c r="BR40" i="7"/>
  <c r="BT40" i="7" s="1"/>
  <c r="BV40" i="7" s="1"/>
  <c r="BS18" i="7"/>
  <c r="BU18" i="7" s="1"/>
  <c r="BS22" i="7"/>
  <c r="BU22" i="7" s="1"/>
  <c r="BR43" i="7"/>
  <c r="BT43" i="7" s="1"/>
  <c r="BV43" i="7" s="1"/>
  <c r="BR55" i="7"/>
  <c r="BT55" i="7" s="1"/>
  <c r="BS65" i="7"/>
  <c r="BU65" i="7" s="1"/>
  <c r="BS16" i="7"/>
  <c r="BU16" i="7" s="1"/>
  <c r="BR29" i="7"/>
  <c r="BT29" i="7" s="1"/>
  <c r="BV29" i="7" s="1"/>
  <c r="BS43" i="7"/>
  <c r="BU43" i="7" s="1"/>
  <c r="BR87" i="7"/>
  <c r="BT87" i="7" s="1"/>
  <c r="BR106" i="7"/>
  <c r="BT106" i="7" s="1"/>
  <c r="BV106" i="7" s="1"/>
  <c r="BS137" i="7"/>
  <c r="BU137" i="7" s="1"/>
  <c r="BR142" i="7"/>
  <c r="BT142" i="7" s="1"/>
  <c r="BV142" i="7" s="1"/>
  <c r="BR193" i="7"/>
  <c r="BT193" i="7" s="1"/>
  <c r="BR30" i="7"/>
  <c r="BT30" i="7" s="1"/>
  <c r="BS77" i="7"/>
  <c r="BU77" i="7" s="1"/>
  <c r="BR213" i="7"/>
  <c r="BT213" i="7" s="1"/>
  <c r="BR117" i="7"/>
  <c r="BT117" i="7" s="1"/>
  <c r="BR47" i="7"/>
  <c r="BT47" i="7" s="1"/>
  <c r="BV47" i="7" s="1"/>
  <c r="BR70" i="7"/>
  <c r="BT70" i="7" s="1"/>
  <c r="BV70" i="7" s="1"/>
  <c r="BR36" i="7"/>
  <c r="BT36" i="7" s="1"/>
  <c r="BS50" i="7"/>
  <c r="BU50" i="7" s="1"/>
  <c r="BS55" i="7"/>
  <c r="BU55" i="7" s="1"/>
  <c r="BS60" i="7"/>
  <c r="BU60" i="7" s="1"/>
  <c r="BR76" i="7"/>
  <c r="BT76" i="7" s="1"/>
  <c r="BV76" i="7" s="1"/>
  <c r="BS84" i="7"/>
  <c r="BU84" i="7" s="1"/>
  <c r="BS95" i="7"/>
  <c r="BU95" i="7" s="1"/>
  <c r="BS109" i="7"/>
  <c r="BU109" i="7" s="1"/>
  <c r="BS124" i="7"/>
  <c r="BU124" i="7" s="1"/>
  <c r="BS133" i="7"/>
  <c r="BU133" i="7" s="1"/>
  <c r="BS142" i="7"/>
  <c r="BU142" i="7" s="1"/>
  <c r="BS211" i="7"/>
  <c r="BU211" i="7" s="1"/>
  <c r="BR240" i="7"/>
  <c r="BT240" i="7" s="1"/>
  <c r="BV240" i="7" s="1"/>
  <c r="BR69" i="7"/>
  <c r="BT69" i="7" s="1"/>
  <c r="BR61" i="7"/>
  <c r="BT61" i="7" s="1"/>
  <c r="BS54" i="7"/>
  <c r="BU54" i="7" s="1"/>
  <c r="BS216" i="7"/>
  <c r="BU216" i="7" s="1"/>
  <c r="BR27" i="7"/>
  <c r="BT27" i="7" s="1"/>
  <c r="BV27" i="7" s="1"/>
  <c r="BS29" i="7"/>
  <c r="BU29" i="7" s="1"/>
  <c r="BR48" i="7"/>
  <c r="BT48" i="7" s="1"/>
  <c r="BV48" i="7" s="1"/>
  <c r="BR79" i="7"/>
  <c r="BT79" i="7" s="1"/>
  <c r="BV79" i="7" s="1"/>
  <c r="BS87" i="7"/>
  <c r="BU87" i="7" s="1"/>
  <c r="BR90" i="7"/>
  <c r="BT90" i="7" s="1"/>
  <c r="BV90" i="7" s="1"/>
  <c r="BS115" i="7"/>
  <c r="BU115" i="7" s="1"/>
  <c r="BR126" i="7"/>
  <c r="BT126" i="7" s="1"/>
  <c r="BV126" i="7" s="1"/>
  <c r="BR148" i="7"/>
  <c r="BT148" i="7" s="1"/>
  <c r="BV148" i="7" s="1"/>
  <c r="BS165" i="7"/>
  <c r="BU165" i="7" s="1"/>
  <c r="BR180" i="7"/>
  <c r="BT180" i="7" s="1"/>
  <c r="BV180" i="7" s="1"/>
  <c r="BS183" i="7"/>
  <c r="BU183" i="7" s="1"/>
  <c r="BS196" i="7"/>
  <c r="BU196" i="7" s="1"/>
  <c r="BR204" i="7"/>
  <c r="BT204" i="7" s="1"/>
  <c r="BV204" i="7" s="1"/>
  <c r="BR216" i="7"/>
  <c r="BT216" i="7" s="1"/>
  <c r="BV216" i="7" s="1"/>
  <c r="BR220" i="7"/>
  <c r="BT220" i="7" s="1"/>
  <c r="BV220" i="7" s="1"/>
  <c r="BR229" i="7"/>
  <c r="BT229" i="7" s="1"/>
  <c r="BS283" i="7"/>
  <c r="BU283" i="7" s="1"/>
  <c r="BS358" i="7"/>
  <c r="BU358" i="7" s="1"/>
  <c r="BS135" i="7"/>
  <c r="BU135" i="7" s="1"/>
  <c r="BS146" i="7"/>
  <c r="BU146" i="7" s="1"/>
  <c r="BR150" i="7"/>
  <c r="BT150" i="7" s="1"/>
  <c r="BR154" i="7"/>
  <c r="BT154" i="7" s="1"/>
  <c r="BV154" i="7" s="1"/>
  <c r="BR156" i="7"/>
  <c r="BT156" i="7" s="1"/>
  <c r="BV156" i="7" s="1"/>
  <c r="BS158" i="7"/>
  <c r="BU158" i="7" s="1"/>
  <c r="BR171" i="7"/>
  <c r="BT171" i="7" s="1"/>
  <c r="BV171" i="7" s="1"/>
  <c r="BR174" i="7"/>
  <c r="BT174" i="7" s="1"/>
  <c r="BS180" i="7"/>
  <c r="BU180" i="7" s="1"/>
  <c r="BR212" i="7"/>
  <c r="BT212" i="7" s="1"/>
  <c r="BS229" i="7"/>
  <c r="BU229" i="7" s="1"/>
  <c r="BS102" i="7"/>
  <c r="BU102" i="7" s="1"/>
  <c r="BS107" i="7"/>
  <c r="BU107" i="7" s="1"/>
  <c r="BS112" i="7"/>
  <c r="BU112" i="7" s="1"/>
  <c r="BS119" i="7"/>
  <c r="BU119" i="7" s="1"/>
  <c r="BS128" i="7"/>
  <c r="BU128" i="7" s="1"/>
  <c r="BR130" i="7"/>
  <c r="BT130" i="7" s="1"/>
  <c r="BV130" i="7" s="1"/>
  <c r="BS139" i="7"/>
  <c r="BU139" i="7" s="1"/>
  <c r="BS163" i="7"/>
  <c r="BU163" i="7" s="1"/>
  <c r="BS193" i="7"/>
  <c r="BU193" i="7" s="1"/>
  <c r="BS201" i="7"/>
  <c r="BU201" i="7" s="1"/>
  <c r="BR247" i="7"/>
  <c r="BT247" i="7" s="1"/>
  <c r="BS275" i="7"/>
  <c r="BU275" i="7" s="1"/>
  <c r="BR297" i="7"/>
  <c r="BT297" i="7" s="1"/>
  <c r="BV297" i="7" s="1"/>
  <c r="BR121" i="7"/>
  <c r="BT121" i="7" s="1"/>
  <c r="BR141" i="7"/>
  <c r="BT141" i="7" s="1"/>
  <c r="BV141" i="7" s="1"/>
  <c r="BR205" i="7"/>
  <c r="BT205" i="7" s="1"/>
  <c r="BS221" i="7"/>
  <c r="BU221" i="7" s="1"/>
  <c r="BR236" i="7"/>
  <c r="BT236" i="7" s="1"/>
  <c r="BS254" i="7"/>
  <c r="BU254" i="7" s="1"/>
  <c r="BR261" i="7"/>
  <c r="BT261" i="7" s="1"/>
  <c r="BV261" i="7" s="1"/>
  <c r="BS161" i="7"/>
  <c r="BU161" i="7" s="1"/>
  <c r="BR169" i="7"/>
  <c r="BT169" i="7" s="1"/>
  <c r="BV169" i="7" s="1"/>
  <c r="BS181" i="7"/>
  <c r="BU181" i="7" s="1"/>
  <c r="BR187" i="7"/>
  <c r="BT187" i="7" s="1"/>
  <c r="BS194" i="7"/>
  <c r="BU194" i="7" s="1"/>
  <c r="BS205" i="7"/>
  <c r="BU205" i="7" s="1"/>
  <c r="BR209" i="7"/>
  <c r="BT209" i="7" s="1"/>
  <c r="BR242" i="7"/>
  <c r="BT242" i="7" s="1"/>
  <c r="BR269" i="7"/>
  <c r="BT269" i="7" s="1"/>
  <c r="BS114" i="7"/>
  <c r="BU114" i="7" s="1"/>
  <c r="BS132" i="7"/>
  <c r="BU132" i="7" s="1"/>
  <c r="BS169" i="7"/>
  <c r="BU169" i="7" s="1"/>
  <c r="BR172" i="7"/>
  <c r="BT172" i="7" s="1"/>
  <c r="BR178" i="7"/>
  <c r="BT178" i="7" s="1"/>
  <c r="BS184" i="7"/>
  <c r="BU184" i="7" s="1"/>
  <c r="BS209" i="7"/>
  <c r="BU209" i="7" s="1"/>
  <c r="BS213" i="7"/>
  <c r="BU213" i="7" s="1"/>
  <c r="BS123" i="7"/>
  <c r="BU123" i="7" s="1"/>
  <c r="BR125" i="7"/>
  <c r="BT125" i="7" s="1"/>
  <c r="BS134" i="7"/>
  <c r="BU134" i="7" s="1"/>
  <c r="BS143" i="7"/>
  <c r="BU143" i="7" s="1"/>
  <c r="BR145" i="7"/>
  <c r="BT145" i="7" s="1"/>
  <c r="BS159" i="7"/>
  <c r="BU159" i="7" s="1"/>
  <c r="BS178" i="7"/>
  <c r="BU178" i="7" s="1"/>
  <c r="BR198" i="7"/>
  <c r="BT198" i="7" s="1"/>
  <c r="BV198" i="7" s="1"/>
  <c r="BR136" i="7"/>
  <c r="BT136" i="7" s="1"/>
  <c r="BV136" i="7" s="1"/>
  <c r="BR149" i="7"/>
  <c r="BT149" i="7" s="1"/>
  <c r="BR175" i="7"/>
  <c r="BT175" i="7" s="1"/>
  <c r="BS198" i="7"/>
  <c r="BU198" i="7" s="1"/>
  <c r="BR202" i="7"/>
  <c r="BT202" i="7" s="1"/>
  <c r="BR214" i="7"/>
  <c r="BT214" i="7" s="1"/>
  <c r="BR218" i="7"/>
  <c r="BT218" i="7" s="1"/>
  <c r="BR222" i="7"/>
  <c r="BT222" i="7" s="1"/>
  <c r="BV222" i="7" s="1"/>
  <c r="BR237" i="7"/>
  <c r="BT237" i="7" s="1"/>
  <c r="BV237" i="7" s="1"/>
  <c r="BS125" i="7"/>
  <c r="BU125" i="7" s="1"/>
  <c r="BS145" i="7"/>
  <c r="BU145" i="7" s="1"/>
  <c r="BR147" i="7"/>
  <c r="BT147" i="7" s="1"/>
  <c r="BV147" i="7" s="1"/>
  <c r="BS202" i="7"/>
  <c r="BU202" i="7" s="1"/>
  <c r="BS218" i="7"/>
  <c r="BU218" i="7" s="1"/>
  <c r="BR232" i="7"/>
  <c r="BT232" i="7" s="1"/>
  <c r="BV232" i="7" s="1"/>
  <c r="BS256" i="7"/>
  <c r="BU256" i="7" s="1"/>
  <c r="BS26" i="7"/>
  <c r="BU26" i="7" s="1"/>
  <c r="BS36" i="7"/>
  <c r="BU36" i="7" s="1"/>
  <c r="BS41" i="7"/>
  <c r="BU41" i="7" s="1"/>
  <c r="BS51" i="7"/>
  <c r="BU51" i="7" s="1"/>
  <c r="BS61" i="7"/>
  <c r="BU61" i="7" s="1"/>
  <c r="BS66" i="7"/>
  <c r="BU66" i="7" s="1"/>
  <c r="BS71" i="7"/>
  <c r="BU71" i="7" s="1"/>
  <c r="BS76" i="7"/>
  <c r="BU76" i="7" s="1"/>
  <c r="BS96" i="7"/>
  <c r="BU96" i="7" s="1"/>
  <c r="BS101" i="7"/>
  <c r="BU101" i="7" s="1"/>
  <c r="BS106" i="7"/>
  <c r="BU106" i="7" s="1"/>
  <c r="BS111" i="7"/>
  <c r="BU111" i="7" s="1"/>
  <c r="BR118" i="7"/>
  <c r="BT118" i="7" s="1"/>
  <c r="BV118" i="7" s="1"/>
  <c r="BR127" i="7"/>
  <c r="BT127" i="7" s="1"/>
  <c r="BR129" i="7"/>
  <c r="BT129" i="7" s="1"/>
  <c r="BV129" i="7" s="1"/>
  <c r="BS136" i="7"/>
  <c r="BU136" i="7" s="1"/>
  <c r="BR138" i="7"/>
  <c r="BT138" i="7" s="1"/>
  <c r="BV138" i="7" s="1"/>
  <c r="BS147" i="7"/>
  <c r="BU147" i="7" s="1"/>
  <c r="BS149" i="7"/>
  <c r="BU149" i="7" s="1"/>
  <c r="BR151" i="7"/>
  <c r="BT151" i="7" s="1"/>
  <c r="BV151" i="7" s="1"/>
  <c r="BR153" i="7"/>
  <c r="BT153" i="7" s="1"/>
  <c r="BV153" i="7" s="1"/>
  <c r="BR155" i="7"/>
  <c r="BT155" i="7" s="1"/>
  <c r="BV155" i="7" s="1"/>
  <c r="BS157" i="7"/>
  <c r="BU157" i="7" s="1"/>
  <c r="BR164" i="7"/>
  <c r="BT164" i="7" s="1"/>
  <c r="BV164" i="7" s="1"/>
  <c r="BR185" i="7"/>
  <c r="BT185" i="7" s="1"/>
  <c r="BV185" i="7" s="1"/>
  <c r="BS191" i="7"/>
  <c r="BU191" i="7" s="1"/>
  <c r="BR227" i="7"/>
  <c r="BT227" i="7" s="1"/>
  <c r="BR238" i="7"/>
  <c r="BT238" i="7" s="1"/>
  <c r="BS31" i="7"/>
  <c r="BU31" i="7" s="1"/>
  <c r="BS46" i="7"/>
  <c r="BU46" i="7" s="1"/>
  <c r="BS56" i="7"/>
  <c r="BU56" i="7" s="1"/>
  <c r="BS81" i="7"/>
  <c r="BU81" i="7" s="1"/>
  <c r="BS86" i="7"/>
  <c r="BU86" i="7" s="1"/>
  <c r="BS91" i="7"/>
  <c r="BU91" i="7" s="1"/>
  <c r="BS116" i="7"/>
  <c r="BU116" i="7" s="1"/>
  <c r="BS127" i="7"/>
  <c r="BU127" i="7" s="1"/>
  <c r="BS155" i="7"/>
  <c r="BU155" i="7" s="1"/>
  <c r="BR223" i="7"/>
  <c r="BT223" i="7" s="1"/>
  <c r="BV223" i="7" s="1"/>
  <c r="BR53" i="7"/>
  <c r="BT53" i="7" s="1"/>
  <c r="BR63" i="7"/>
  <c r="BT63" i="7" s="1"/>
  <c r="BV63" i="7" s="1"/>
  <c r="BR68" i="7"/>
  <c r="BT68" i="7" s="1"/>
  <c r="BV68" i="7" s="1"/>
  <c r="BR83" i="7"/>
  <c r="BT83" i="7" s="1"/>
  <c r="BV83" i="7" s="1"/>
  <c r="BR93" i="7"/>
  <c r="BT93" i="7" s="1"/>
  <c r="BV93" i="7" s="1"/>
  <c r="BR103" i="7"/>
  <c r="BT103" i="7" s="1"/>
  <c r="BV103" i="7" s="1"/>
  <c r="BR108" i="7"/>
  <c r="BT108" i="7" s="1"/>
  <c r="BV108" i="7" s="1"/>
  <c r="BR113" i="7"/>
  <c r="BT113" i="7" s="1"/>
  <c r="BS118" i="7"/>
  <c r="BU118" i="7" s="1"/>
  <c r="BR120" i="7"/>
  <c r="BT120" i="7" s="1"/>
  <c r="BS129" i="7"/>
  <c r="BU129" i="7" s="1"/>
  <c r="BS138" i="7"/>
  <c r="BU138" i="7" s="1"/>
  <c r="BR140" i="7"/>
  <c r="BT140" i="7" s="1"/>
  <c r="BS151" i="7"/>
  <c r="BU151" i="7" s="1"/>
  <c r="BS153" i="7"/>
  <c r="BU153" i="7" s="1"/>
  <c r="BS164" i="7"/>
  <c r="BU164" i="7" s="1"/>
  <c r="BR182" i="7"/>
  <c r="BT182" i="7" s="1"/>
  <c r="BV182" i="7" s="1"/>
  <c r="BS185" i="7"/>
  <c r="BU185" i="7" s="1"/>
  <c r="BR195" i="7"/>
  <c r="BT195" i="7" s="1"/>
  <c r="BR203" i="7"/>
  <c r="BT203" i="7" s="1"/>
  <c r="BV203" i="7" s="1"/>
  <c r="BR58" i="7"/>
  <c r="BT58" i="7" s="1"/>
  <c r="BV58" i="7" s="1"/>
  <c r="BR73" i="7"/>
  <c r="BT73" i="7" s="1"/>
  <c r="BV73" i="7" s="1"/>
  <c r="BR78" i="7"/>
  <c r="BT78" i="7" s="1"/>
  <c r="BR88" i="7"/>
  <c r="BT88" i="7" s="1"/>
  <c r="BR98" i="7"/>
  <c r="BT98" i="7" s="1"/>
  <c r="BV98" i="7" s="1"/>
  <c r="BR131" i="7"/>
  <c r="BT131" i="7" s="1"/>
  <c r="BV131" i="7" s="1"/>
  <c r="BR167" i="7"/>
  <c r="BT167" i="7" s="1"/>
  <c r="BV167" i="7" s="1"/>
  <c r="BR176" i="7"/>
  <c r="BT176" i="7" s="1"/>
  <c r="BS182" i="7"/>
  <c r="BU182" i="7" s="1"/>
  <c r="BS203" i="7"/>
  <c r="BU203" i="7" s="1"/>
  <c r="BS63" i="7"/>
  <c r="BU63" i="7" s="1"/>
  <c r="BS68" i="7"/>
  <c r="BU68" i="7" s="1"/>
  <c r="BS73" i="7"/>
  <c r="BU73" i="7" s="1"/>
  <c r="BS78" i="7"/>
  <c r="BU78" i="7" s="1"/>
  <c r="BS83" i="7"/>
  <c r="BU83" i="7" s="1"/>
  <c r="BS88" i="7"/>
  <c r="BU88" i="7" s="1"/>
  <c r="BS93" i="7"/>
  <c r="BU93" i="7" s="1"/>
  <c r="BS98" i="7"/>
  <c r="BU98" i="7" s="1"/>
  <c r="BS103" i="7"/>
  <c r="BU103" i="7" s="1"/>
  <c r="BS108" i="7"/>
  <c r="BU108" i="7" s="1"/>
  <c r="BS113" i="7"/>
  <c r="BU113" i="7" s="1"/>
  <c r="BS120" i="7"/>
  <c r="BU120" i="7" s="1"/>
  <c r="BS140" i="7"/>
  <c r="BU140" i="7" s="1"/>
  <c r="BR162" i="7"/>
  <c r="BT162" i="7" s="1"/>
  <c r="BV162" i="7" s="1"/>
  <c r="BR173" i="7"/>
  <c r="BT173" i="7" s="1"/>
  <c r="BV173" i="7" s="1"/>
  <c r="BR192" i="7"/>
  <c r="BT192" i="7" s="1"/>
  <c r="BV192" i="7" s="1"/>
  <c r="BS170" i="7"/>
  <c r="BU170" i="7" s="1"/>
  <c r="BS190" i="7"/>
  <c r="BU190" i="7" s="1"/>
  <c r="BS210" i="7"/>
  <c r="BU210" i="7" s="1"/>
  <c r="BS230" i="7"/>
  <c r="BU230" i="7" s="1"/>
  <c r="BR234" i="7"/>
  <c r="BT234" i="7" s="1"/>
  <c r="BS244" i="7"/>
  <c r="BU244" i="7" s="1"/>
  <c r="BS246" i="7"/>
  <c r="BU246" i="7" s="1"/>
  <c r="BS248" i="7"/>
  <c r="BU248" i="7" s="1"/>
  <c r="BS296" i="7"/>
  <c r="BU296" i="7" s="1"/>
  <c r="BS315" i="7"/>
  <c r="BU315" i="7" s="1"/>
  <c r="BR282" i="7"/>
  <c r="BT282" i="7" s="1"/>
  <c r="BR331" i="7"/>
  <c r="BT331" i="7" s="1"/>
  <c r="BV331" i="7" s="1"/>
  <c r="BS345" i="7"/>
  <c r="BU345" i="7" s="1"/>
  <c r="BS435" i="7"/>
  <c r="BU435" i="7" s="1"/>
  <c r="BS152" i="7"/>
  <c r="BU152" i="7" s="1"/>
  <c r="BS172" i="7"/>
  <c r="BU172" i="7" s="1"/>
  <c r="BS192" i="7"/>
  <c r="BU192" i="7" s="1"/>
  <c r="BS212" i="7"/>
  <c r="BU212" i="7" s="1"/>
  <c r="BS242" i="7"/>
  <c r="BU242" i="7" s="1"/>
  <c r="BS282" i="7"/>
  <c r="BU282" i="7" s="1"/>
  <c r="BS285" i="7"/>
  <c r="BU285" i="7" s="1"/>
  <c r="BR299" i="7"/>
  <c r="BT299" i="7" s="1"/>
  <c r="BS327" i="7"/>
  <c r="BU327" i="7" s="1"/>
  <c r="BR355" i="7"/>
  <c r="BT355" i="7" s="1"/>
  <c r="BS214" i="7"/>
  <c r="BU214" i="7" s="1"/>
  <c r="BS223" i="7"/>
  <c r="BU223" i="7" s="1"/>
  <c r="BR225" i="7"/>
  <c r="BT225" i="7" s="1"/>
  <c r="BS236" i="7"/>
  <c r="BU236" i="7" s="1"/>
  <c r="BS238" i="7"/>
  <c r="BU238" i="7" s="1"/>
  <c r="BS240" i="7"/>
  <c r="BU240" i="7" s="1"/>
  <c r="BR255" i="7"/>
  <c r="BT255" i="7" s="1"/>
  <c r="BR257" i="7"/>
  <c r="BT257" i="7" s="1"/>
  <c r="BS259" i="7"/>
  <c r="BU259" i="7" s="1"/>
  <c r="BR277" i="7"/>
  <c r="BT277" i="7" s="1"/>
  <c r="BR309" i="7"/>
  <c r="BT309" i="7" s="1"/>
  <c r="BV309" i="7" s="1"/>
  <c r="BR384" i="7"/>
  <c r="BT384" i="7" s="1"/>
  <c r="BV384" i="7" s="1"/>
  <c r="BS414" i="7"/>
  <c r="BU414" i="7" s="1"/>
  <c r="BR253" i="7"/>
  <c r="BT253" i="7" s="1"/>
  <c r="BS257" i="7"/>
  <c r="BU257" i="7" s="1"/>
  <c r="BS277" i="7"/>
  <c r="BU277" i="7" s="1"/>
  <c r="BR288" i="7"/>
  <c r="BT288" i="7" s="1"/>
  <c r="BV288" i="7" s="1"/>
  <c r="BR306" i="7"/>
  <c r="BT306" i="7" s="1"/>
  <c r="BS316" i="7"/>
  <c r="BU316" i="7" s="1"/>
  <c r="BR341" i="7"/>
  <c r="BT341" i="7" s="1"/>
  <c r="BR346" i="7"/>
  <c r="BT346" i="7" s="1"/>
  <c r="BS384" i="7"/>
  <c r="BU384" i="7" s="1"/>
  <c r="BS404" i="7"/>
  <c r="BU404" i="7" s="1"/>
  <c r="BR249" i="7"/>
  <c r="BT249" i="7" s="1"/>
  <c r="BV249" i="7" s="1"/>
  <c r="BR251" i="7"/>
  <c r="BT251" i="7" s="1"/>
  <c r="BV251" i="7" s="1"/>
  <c r="BS255" i="7"/>
  <c r="BU255" i="7" s="1"/>
  <c r="BS309" i="7"/>
  <c r="BU309" i="7" s="1"/>
  <c r="BS394" i="7"/>
  <c r="BU394" i="7" s="1"/>
  <c r="BS426" i="7"/>
  <c r="BU426" i="7" s="1"/>
  <c r="BR280" i="7"/>
  <c r="BT280" i="7" s="1"/>
  <c r="BR291" i="7"/>
  <c r="BT291" i="7" s="1"/>
  <c r="BV291" i="7" s="1"/>
  <c r="BS306" i="7"/>
  <c r="BU306" i="7" s="1"/>
  <c r="BS356" i="7"/>
  <c r="BU356" i="7" s="1"/>
  <c r="BS362" i="7"/>
  <c r="BU362" i="7" s="1"/>
  <c r="BS167" i="7"/>
  <c r="BU167" i="7" s="1"/>
  <c r="BS187" i="7"/>
  <c r="BU187" i="7" s="1"/>
  <c r="BS207" i="7"/>
  <c r="BU207" i="7" s="1"/>
  <c r="BS227" i="7"/>
  <c r="BU227" i="7" s="1"/>
  <c r="BR245" i="7"/>
  <c r="BT245" i="7" s="1"/>
  <c r="BS249" i="7"/>
  <c r="BU249" i="7" s="1"/>
  <c r="BS251" i="7"/>
  <c r="BU251" i="7" s="1"/>
  <c r="BR264" i="7"/>
  <c r="BT264" i="7" s="1"/>
  <c r="BR266" i="7"/>
  <c r="BT266" i="7" s="1"/>
  <c r="BR268" i="7"/>
  <c r="BT268" i="7" s="1"/>
  <c r="BV268" i="7" s="1"/>
  <c r="BS291" i="7"/>
  <c r="BU291" i="7" s="1"/>
  <c r="BR416" i="7"/>
  <c r="BT416" i="7" s="1"/>
  <c r="BV416" i="7" s="1"/>
  <c r="BS337" i="7"/>
  <c r="BU337" i="7" s="1"/>
  <c r="BR370" i="7"/>
  <c r="BT370" i="7" s="1"/>
  <c r="BV370" i="7" s="1"/>
  <c r="BR191" i="7"/>
  <c r="BT191" i="7" s="1"/>
  <c r="BV191" i="7" s="1"/>
  <c r="BR211" i="7"/>
  <c r="BT211" i="7" s="1"/>
  <c r="BR231" i="7"/>
  <c r="BT231" i="7" s="1"/>
  <c r="BV231" i="7" s="1"/>
  <c r="BS245" i="7"/>
  <c r="BU245" i="7" s="1"/>
  <c r="BS247" i="7"/>
  <c r="BU247" i="7" s="1"/>
  <c r="BS264" i="7"/>
  <c r="BU264" i="7" s="1"/>
  <c r="BS266" i="7"/>
  <c r="BU266" i="7" s="1"/>
  <c r="BR273" i="7"/>
  <c r="BT273" i="7" s="1"/>
  <c r="BV273" i="7" s="1"/>
  <c r="BR286" i="7"/>
  <c r="BT286" i="7" s="1"/>
  <c r="BV286" i="7" s="1"/>
  <c r="BR289" i="7"/>
  <c r="BT289" i="7" s="1"/>
  <c r="BS297" i="7"/>
  <c r="BU297" i="7" s="1"/>
  <c r="BR300" i="7"/>
  <c r="BT300" i="7" s="1"/>
  <c r="BS347" i="7"/>
  <c r="BU347" i="7" s="1"/>
  <c r="BS407" i="7"/>
  <c r="BU407" i="7" s="1"/>
  <c r="BR417" i="7"/>
  <c r="BT417" i="7" s="1"/>
  <c r="BS200" i="7"/>
  <c r="BU200" i="7" s="1"/>
  <c r="BS220" i="7"/>
  <c r="BU220" i="7" s="1"/>
  <c r="BR233" i="7"/>
  <c r="BT233" i="7" s="1"/>
  <c r="BS243" i="7"/>
  <c r="BU243" i="7" s="1"/>
  <c r="BR260" i="7"/>
  <c r="BT260" i="7" s="1"/>
  <c r="BR262" i="7"/>
  <c r="BT262" i="7" s="1"/>
  <c r="BV262" i="7" s="1"/>
  <c r="BR278" i="7"/>
  <c r="BT278" i="7" s="1"/>
  <c r="BR357" i="7"/>
  <c r="BT357" i="7" s="1"/>
  <c r="BV357" i="7" s="1"/>
  <c r="BR387" i="7"/>
  <c r="BT387" i="7" s="1"/>
  <c r="BV387" i="7" s="1"/>
  <c r="BS440" i="7"/>
  <c r="BU440" i="7" s="1"/>
  <c r="BS231" i="7"/>
  <c r="BU231" i="7" s="1"/>
  <c r="BR235" i="7"/>
  <c r="BT235" i="7" s="1"/>
  <c r="BV235" i="7" s="1"/>
  <c r="BR239" i="7"/>
  <c r="BT239" i="7" s="1"/>
  <c r="BV239" i="7" s="1"/>
  <c r="BR256" i="7"/>
  <c r="BT256" i="7" s="1"/>
  <c r="BV256" i="7" s="1"/>
  <c r="BR258" i="7"/>
  <c r="BT258" i="7" s="1"/>
  <c r="BV258" i="7" s="1"/>
  <c r="BS262" i="7"/>
  <c r="BU262" i="7" s="1"/>
  <c r="BS273" i="7"/>
  <c r="BU273" i="7" s="1"/>
  <c r="BS286" i="7"/>
  <c r="BU286" i="7" s="1"/>
  <c r="BS289" i="7"/>
  <c r="BU289" i="7" s="1"/>
  <c r="BR307" i="7"/>
  <c r="BT307" i="7" s="1"/>
  <c r="BS317" i="7"/>
  <c r="BU317" i="7" s="1"/>
  <c r="BS222" i="7"/>
  <c r="BU222" i="7" s="1"/>
  <c r="BS233" i="7"/>
  <c r="BU233" i="7" s="1"/>
  <c r="BR241" i="7"/>
  <c r="BT241" i="7" s="1"/>
  <c r="BS260" i="7"/>
  <c r="BU260" i="7" s="1"/>
  <c r="BR271" i="7"/>
  <c r="BT271" i="7" s="1"/>
  <c r="BV271" i="7" s="1"/>
  <c r="BS278" i="7"/>
  <c r="BU278" i="7" s="1"/>
  <c r="BS307" i="7"/>
  <c r="BU307" i="7" s="1"/>
  <c r="BR321" i="7"/>
  <c r="BT321" i="7" s="1"/>
  <c r="BV321" i="7" s="1"/>
  <c r="BS325" i="7"/>
  <c r="BU325" i="7" s="1"/>
  <c r="BR358" i="7"/>
  <c r="BT358" i="7" s="1"/>
  <c r="BV358" i="7" s="1"/>
  <c r="BR397" i="7"/>
  <c r="BT397" i="7" s="1"/>
  <c r="BV397" i="7" s="1"/>
  <c r="BR442" i="7"/>
  <c r="BT442" i="7" s="1"/>
  <c r="BV442" i="7" s="1"/>
  <c r="BR146" i="7"/>
  <c r="BT146" i="7" s="1"/>
  <c r="BV146" i="7" s="1"/>
  <c r="BR166" i="7"/>
  <c r="BT166" i="7" s="1"/>
  <c r="BR186" i="7"/>
  <c r="BT186" i="7" s="1"/>
  <c r="BR206" i="7"/>
  <c r="BT206" i="7" s="1"/>
  <c r="BR226" i="7"/>
  <c r="BT226" i="7" s="1"/>
  <c r="BS237" i="7"/>
  <c r="BU237" i="7" s="1"/>
  <c r="BS271" i="7"/>
  <c r="BU271" i="7" s="1"/>
  <c r="BR281" i="7"/>
  <c r="BT281" i="7" s="1"/>
  <c r="BV281" i="7" s="1"/>
  <c r="BR284" i="7"/>
  <c r="BT284" i="7" s="1"/>
  <c r="BR353" i="7"/>
  <c r="BT353" i="7" s="1"/>
  <c r="BS175" i="7"/>
  <c r="BU175" i="7" s="1"/>
  <c r="BS195" i="7"/>
  <c r="BU195" i="7" s="1"/>
  <c r="BS215" i="7"/>
  <c r="BU215" i="7" s="1"/>
  <c r="BS269" i="7"/>
  <c r="BU269" i="7" s="1"/>
  <c r="BS276" i="7"/>
  <c r="BU276" i="7" s="1"/>
  <c r="BS295" i="7"/>
  <c r="BU295" i="7" s="1"/>
  <c r="BS298" i="7"/>
  <c r="BU298" i="7" s="1"/>
  <c r="BR318" i="7"/>
  <c r="BT318" i="7" s="1"/>
  <c r="BR389" i="7"/>
  <c r="BT389" i="7" s="1"/>
  <c r="BR410" i="7"/>
  <c r="BT410" i="7" s="1"/>
  <c r="BV410" i="7" s="1"/>
  <c r="BR157" i="7"/>
  <c r="BT157" i="7" s="1"/>
  <c r="BV157" i="7" s="1"/>
  <c r="BR159" i="7"/>
  <c r="BT159" i="7" s="1"/>
  <c r="BS166" i="7"/>
  <c r="BU166" i="7" s="1"/>
  <c r="BR168" i="7"/>
  <c r="BT168" i="7" s="1"/>
  <c r="BR177" i="7"/>
  <c r="BT177" i="7" s="1"/>
  <c r="BV177" i="7" s="1"/>
  <c r="BR179" i="7"/>
  <c r="BT179" i="7" s="1"/>
  <c r="BS186" i="7"/>
  <c r="BU186" i="7" s="1"/>
  <c r="BR188" i="7"/>
  <c r="BT188" i="7" s="1"/>
  <c r="BV188" i="7" s="1"/>
  <c r="BR197" i="7"/>
  <c r="BT197" i="7" s="1"/>
  <c r="BV197" i="7" s="1"/>
  <c r="BR199" i="7"/>
  <c r="BT199" i="7" s="1"/>
  <c r="BS206" i="7"/>
  <c r="BU206" i="7" s="1"/>
  <c r="BR208" i="7"/>
  <c r="BT208" i="7" s="1"/>
  <c r="BV208" i="7" s="1"/>
  <c r="BR217" i="7"/>
  <c r="BT217" i="7" s="1"/>
  <c r="BV217" i="7" s="1"/>
  <c r="BR219" i="7"/>
  <c r="BT219" i="7" s="1"/>
  <c r="BS226" i="7"/>
  <c r="BU226" i="7" s="1"/>
  <c r="BR228" i="7"/>
  <c r="BT228" i="7" s="1"/>
  <c r="BR265" i="7"/>
  <c r="BT265" i="7" s="1"/>
  <c r="BV265" i="7" s="1"/>
  <c r="BR287" i="7"/>
  <c r="BT287" i="7" s="1"/>
  <c r="BV287" i="7" s="1"/>
  <c r="BR326" i="7"/>
  <c r="BT326" i="7" s="1"/>
  <c r="BV326" i="7" s="1"/>
  <c r="BS389" i="7"/>
  <c r="BU389" i="7" s="1"/>
  <c r="BS432" i="7"/>
  <c r="BU432" i="7" s="1"/>
  <c r="BS197" i="7"/>
  <c r="BU197" i="7" s="1"/>
  <c r="BS217" i="7"/>
  <c r="BU217" i="7" s="1"/>
  <c r="BR250" i="7"/>
  <c r="BT250" i="7" s="1"/>
  <c r="BR267" i="7"/>
  <c r="BT267" i="7" s="1"/>
  <c r="BV267" i="7" s="1"/>
  <c r="BS287" i="7"/>
  <c r="BU287" i="7" s="1"/>
  <c r="BR301" i="7"/>
  <c r="BT301" i="7" s="1"/>
  <c r="BS318" i="7"/>
  <c r="BU318" i="7" s="1"/>
  <c r="BR359" i="7"/>
  <c r="BT359" i="7" s="1"/>
  <c r="BR411" i="7"/>
  <c r="BT411" i="7" s="1"/>
  <c r="BV411" i="7" s="1"/>
  <c r="BS168" i="7"/>
  <c r="BU168" i="7" s="1"/>
  <c r="BR170" i="7"/>
  <c r="BT170" i="7" s="1"/>
  <c r="BS179" i="7"/>
  <c r="BU179" i="7" s="1"/>
  <c r="BS188" i="7"/>
  <c r="BU188" i="7" s="1"/>
  <c r="BR190" i="7"/>
  <c r="BT190" i="7" s="1"/>
  <c r="BV190" i="7" s="1"/>
  <c r="BS199" i="7"/>
  <c r="BU199" i="7" s="1"/>
  <c r="BS208" i="7"/>
  <c r="BU208" i="7" s="1"/>
  <c r="BR210" i="7"/>
  <c r="BT210" i="7" s="1"/>
  <c r="BV210" i="7" s="1"/>
  <c r="BS219" i="7"/>
  <c r="BU219" i="7" s="1"/>
  <c r="BS228" i="7"/>
  <c r="BU228" i="7" s="1"/>
  <c r="BR230" i="7"/>
  <c r="BT230" i="7" s="1"/>
  <c r="BV230" i="7" s="1"/>
  <c r="BR244" i="7"/>
  <c r="BT244" i="7" s="1"/>
  <c r="BV244" i="7" s="1"/>
  <c r="BR246" i="7"/>
  <c r="BT246" i="7" s="1"/>
  <c r="BV246" i="7" s="1"/>
  <c r="BR248" i="7"/>
  <c r="BT248" i="7" s="1"/>
  <c r="BS265" i="7"/>
  <c r="BU265" i="7" s="1"/>
  <c r="BS267" i="7"/>
  <c r="BU267" i="7" s="1"/>
  <c r="BS274" i="7"/>
  <c r="BU274" i="7" s="1"/>
  <c r="BR308" i="7"/>
  <c r="BT308" i="7" s="1"/>
  <c r="BR311" i="7"/>
  <c r="BT311" i="7" s="1"/>
  <c r="BV311" i="7" s="1"/>
  <c r="BS478" i="7"/>
  <c r="BU478" i="7" s="1"/>
  <c r="BR181" i="7"/>
  <c r="BT181" i="7" s="1"/>
  <c r="BV181" i="7" s="1"/>
  <c r="BR201" i="7"/>
  <c r="BT201" i="7" s="1"/>
  <c r="BV201" i="7" s="1"/>
  <c r="BR221" i="7"/>
  <c r="BT221" i="7" s="1"/>
  <c r="BS263" i="7"/>
  <c r="BU263" i="7" s="1"/>
  <c r="BR279" i="7"/>
  <c r="BT279" i="7" s="1"/>
  <c r="BV279" i="7" s="1"/>
  <c r="BR293" i="7"/>
  <c r="BT293" i="7" s="1"/>
  <c r="BV293" i="7" s="1"/>
  <c r="BS305" i="7"/>
  <c r="BU305" i="7" s="1"/>
  <c r="BR327" i="7"/>
  <c r="BT327" i="7" s="1"/>
  <c r="BV327" i="7" s="1"/>
  <c r="BR329" i="7"/>
  <c r="BT329" i="7" s="1"/>
  <c r="BV329" i="7" s="1"/>
  <c r="BS336" i="7"/>
  <c r="BU336" i="7" s="1"/>
  <c r="BR338" i="7"/>
  <c r="BT338" i="7" s="1"/>
  <c r="BV338" i="7" s="1"/>
  <c r="BR347" i="7"/>
  <c r="BT347" i="7" s="1"/>
  <c r="BV347" i="7" s="1"/>
  <c r="BR349" i="7"/>
  <c r="BT349" i="7" s="1"/>
  <c r="BR379" i="7"/>
  <c r="BT379" i="7" s="1"/>
  <c r="BS411" i="7"/>
  <c r="BU411" i="7" s="1"/>
  <c r="BR420" i="7"/>
  <c r="BT420" i="7" s="1"/>
  <c r="BS423" i="7"/>
  <c r="BU423" i="7" s="1"/>
  <c r="BR478" i="7"/>
  <c r="BT478" i="7" s="1"/>
  <c r="BS524" i="7"/>
  <c r="BU524" i="7" s="1"/>
  <c r="BR320" i="7"/>
  <c r="BT320" i="7" s="1"/>
  <c r="BS329" i="7"/>
  <c r="BU329" i="7" s="1"/>
  <c r="BS338" i="7"/>
  <c r="BU338" i="7" s="1"/>
  <c r="BR340" i="7"/>
  <c r="BT340" i="7" s="1"/>
  <c r="BS349" i="7"/>
  <c r="BU349" i="7" s="1"/>
  <c r="BR351" i="7"/>
  <c r="BT351" i="7" s="1"/>
  <c r="BV351" i="7" s="1"/>
  <c r="BR400" i="7"/>
  <c r="BT400" i="7" s="1"/>
  <c r="BV400" i="7" s="1"/>
  <c r="BS403" i="7"/>
  <c r="BU403" i="7" s="1"/>
  <c r="BS420" i="7"/>
  <c r="BU420" i="7" s="1"/>
  <c r="BR653" i="7"/>
  <c r="BT653" i="7" s="1"/>
  <c r="BV653" i="7" s="1"/>
  <c r="BS723" i="7"/>
  <c r="BU723" i="7" s="1"/>
  <c r="BS392" i="7"/>
  <c r="BU392" i="7" s="1"/>
  <c r="BS406" i="7"/>
  <c r="BU406" i="7" s="1"/>
  <c r="BR429" i="7"/>
  <c r="BT429" i="7" s="1"/>
  <c r="BS442" i="7"/>
  <c r="BU442" i="7" s="1"/>
  <c r="BR450" i="7"/>
  <c r="BT450" i="7" s="1"/>
  <c r="BS466" i="7"/>
  <c r="BU466" i="7" s="1"/>
  <c r="BS495" i="7"/>
  <c r="BU495" i="7" s="1"/>
  <c r="BR504" i="7"/>
  <c r="BT504" i="7" s="1"/>
  <c r="BS514" i="7"/>
  <c r="BU514" i="7" s="1"/>
  <c r="BS280" i="7"/>
  <c r="BU280" i="7" s="1"/>
  <c r="BS300" i="7"/>
  <c r="BU300" i="7" s="1"/>
  <c r="BS320" i="7"/>
  <c r="BU320" i="7" s="1"/>
  <c r="BS340" i="7"/>
  <c r="BU340" i="7" s="1"/>
  <c r="BS351" i="7"/>
  <c r="BU351" i="7" s="1"/>
  <c r="BR377" i="7"/>
  <c r="BT377" i="7" s="1"/>
  <c r="BV377" i="7" s="1"/>
  <c r="BR382" i="7"/>
  <c r="BT382" i="7" s="1"/>
  <c r="BS400" i="7"/>
  <c r="BU400" i="7" s="1"/>
  <c r="BS412" i="7"/>
  <c r="BU412" i="7" s="1"/>
  <c r="BS504" i="7"/>
  <c r="BU504" i="7" s="1"/>
  <c r="BR302" i="7"/>
  <c r="BT302" i="7" s="1"/>
  <c r="BV302" i="7" s="1"/>
  <c r="BR304" i="7"/>
  <c r="BT304" i="7" s="1"/>
  <c r="BV304" i="7" s="1"/>
  <c r="BS311" i="7"/>
  <c r="BU311" i="7" s="1"/>
  <c r="BR313" i="7"/>
  <c r="BT313" i="7" s="1"/>
  <c r="BR322" i="7"/>
  <c r="BT322" i="7" s="1"/>
  <c r="BR324" i="7"/>
  <c r="BT324" i="7" s="1"/>
  <c r="BS331" i="7"/>
  <c r="BU331" i="7" s="1"/>
  <c r="BR333" i="7"/>
  <c r="BT333" i="7" s="1"/>
  <c r="BR342" i="7"/>
  <c r="BT342" i="7" s="1"/>
  <c r="BV342" i="7" s="1"/>
  <c r="BR344" i="7"/>
  <c r="BT344" i="7" s="1"/>
  <c r="BS353" i="7"/>
  <c r="BU353" i="7" s="1"/>
  <c r="BS355" i="7"/>
  <c r="BU355" i="7" s="1"/>
  <c r="BS357" i="7"/>
  <c r="BU357" i="7" s="1"/>
  <c r="BR366" i="7"/>
  <c r="BT366" i="7" s="1"/>
  <c r="BV366" i="7" s="1"/>
  <c r="BS368" i="7"/>
  <c r="BU368" i="7" s="1"/>
  <c r="BR375" i="7"/>
  <c r="BT375" i="7" s="1"/>
  <c r="BS387" i="7"/>
  <c r="BU387" i="7" s="1"/>
  <c r="BR409" i="7"/>
  <c r="BT409" i="7" s="1"/>
  <c r="BV409" i="7" s="1"/>
  <c r="BR418" i="7"/>
  <c r="BT418" i="7" s="1"/>
  <c r="BV418" i="7" s="1"/>
  <c r="BS429" i="7"/>
  <c r="BU429" i="7" s="1"/>
  <c r="BS302" i="7"/>
  <c r="BU302" i="7" s="1"/>
  <c r="BS322" i="7"/>
  <c r="BU322" i="7" s="1"/>
  <c r="BS342" i="7"/>
  <c r="BU342" i="7" s="1"/>
  <c r="BS366" i="7"/>
  <c r="BU366" i="7" s="1"/>
  <c r="BR385" i="7"/>
  <c r="BT385" i="7" s="1"/>
  <c r="BS415" i="7"/>
  <c r="BU415" i="7" s="1"/>
  <c r="BR436" i="7"/>
  <c r="BT436" i="7" s="1"/>
  <c r="BR572" i="7"/>
  <c r="BT572" i="7" s="1"/>
  <c r="BS708" i="7"/>
  <c r="BU708" i="7" s="1"/>
  <c r="BR275" i="7"/>
  <c r="BT275" i="7" s="1"/>
  <c r="BV275" i="7" s="1"/>
  <c r="BS284" i="7"/>
  <c r="BU284" i="7" s="1"/>
  <c r="BS293" i="7"/>
  <c r="BU293" i="7" s="1"/>
  <c r="BR295" i="7"/>
  <c r="BT295" i="7" s="1"/>
  <c r="BS304" i="7"/>
  <c r="BU304" i="7" s="1"/>
  <c r="BS313" i="7"/>
  <c r="BU313" i="7" s="1"/>
  <c r="BR315" i="7"/>
  <c r="BT315" i="7" s="1"/>
  <c r="BV315" i="7" s="1"/>
  <c r="BS324" i="7"/>
  <c r="BU324" i="7" s="1"/>
  <c r="BS333" i="7"/>
  <c r="BU333" i="7" s="1"/>
  <c r="BR335" i="7"/>
  <c r="BT335" i="7" s="1"/>
  <c r="BS344" i="7"/>
  <c r="BU344" i="7" s="1"/>
  <c r="BR373" i="7"/>
  <c r="BT373" i="7" s="1"/>
  <c r="BV373" i="7" s="1"/>
  <c r="BS375" i="7"/>
  <c r="BU375" i="7" s="1"/>
  <c r="BR380" i="7"/>
  <c r="BT380" i="7" s="1"/>
  <c r="BS395" i="7"/>
  <c r="BU395" i="7" s="1"/>
  <c r="BR398" i="7"/>
  <c r="BT398" i="7" s="1"/>
  <c r="BS409" i="7"/>
  <c r="BU409" i="7" s="1"/>
  <c r="BS418" i="7"/>
  <c r="BU418" i="7" s="1"/>
  <c r="BR427" i="7"/>
  <c r="BT427" i="7" s="1"/>
  <c r="BV427" i="7" s="1"/>
  <c r="BS436" i="7"/>
  <c r="BU436" i="7" s="1"/>
  <c r="BR862" i="7"/>
  <c r="BT862" i="7" s="1"/>
  <c r="BR364" i="7"/>
  <c r="BT364" i="7" s="1"/>
  <c r="BV364" i="7" s="1"/>
  <c r="BS385" i="7"/>
  <c r="BU385" i="7" s="1"/>
  <c r="BR390" i="7"/>
  <c r="BT390" i="7" s="1"/>
  <c r="BV390" i="7" s="1"/>
  <c r="BR456" i="7"/>
  <c r="BT456" i="7" s="1"/>
  <c r="BS461" i="7"/>
  <c r="BU461" i="7" s="1"/>
  <c r="BS335" i="7"/>
  <c r="BU335" i="7" s="1"/>
  <c r="BR362" i="7"/>
  <c r="BT362" i="7" s="1"/>
  <c r="BV362" i="7" s="1"/>
  <c r="BR371" i="7"/>
  <c r="BT371" i="7" s="1"/>
  <c r="BS373" i="7"/>
  <c r="BU373" i="7" s="1"/>
  <c r="BS380" i="7"/>
  <c r="BU380" i="7" s="1"/>
  <c r="BS398" i="7"/>
  <c r="BU398" i="7" s="1"/>
  <c r="BR407" i="7"/>
  <c r="BT407" i="7" s="1"/>
  <c r="BV407" i="7" s="1"/>
  <c r="BS424" i="7"/>
  <c r="BU424" i="7" s="1"/>
  <c r="BS427" i="7"/>
  <c r="BU427" i="7" s="1"/>
  <c r="BR430" i="7"/>
  <c r="BT430" i="7" s="1"/>
  <c r="BR433" i="7"/>
  <c r="BT433" i="7" s="1"/>
  <c r="BR440" i="7"/>
  <c r="BT440" i="7" s="1"/>
  <c r="BS451" i="7"/>
  <c r="BU451" i="7" s="1"/>
  <c r="BR317" i="7"/>
  <c r="BT317" i="7" s="1"/>
  <c r="BV317" i="7" s="1"/>
  <c r="BR319" i="7"/>
  <c r="BT319" i="7" s="1"/>
  <c r="BS326" i="7"/>
  <c r="BU326" i="7" s="1"/>
  <c r="BR328" i="7"/>
  <c r="BT328" i="7" s="1"/>
  <c r="BR337" i="7"/>
  <c r="BT337" i="7" s="1"/>
  <c r="BV337" i="7" s="1"/>
  <c r="BR339" i="7"/>
  <c r="BT339" i="7" s="1"/>
  <c r="BS346" i="7"/>
  <c r="BU346" i="7" s="1"/>
  <c r="BR348" i="7"/>
  <c r="BT348" i="7" s="1"/>
  <c r="BV348" i="7" s="1"/>
  <c r="BR360" i="7"/>
  <c r="BT360" i="7" s="1"/>
  <c r="BV360" i="7" s="1"/>
  <c r="BS364" i="7"/>
  <c r="BU364" i="7" s="1"/>
  <c r="BS371" i="7"/>
  <c r="BU371" i="7" s="1"/>
  <c r="BR378" i="7"/>
  <c r="BT378" i="7" s="1"/>
  <c r="BS456" i="7"/>
  <c r="BU456" i="7" s="1"/>
  <c r="BR481" i="7"/>
  <c r="BT481" i="7" s="1"/>
  <c r="BV481" i="7" s="1"/>
  <c r="BS268" i="7"/>
  <c r="BU268" i="7" s="1"/>
  <c r="BR270" i="7"/>
  <c r="BT270" i="7" s="1"/>
  <c r="BS279" i="7"/>
  <c r="BU279" i="7" s="1"/>
  <c r="BS288" i="7"/>
  <c r="BU288" i="7" s="1"/>
  <c r="BR290" i="7"/>
  <c r="BT290" i="7" s="1"/>
  <c r="BS299" i="7"/>
  <c r="BU299" i="7" s="1"/>
  <c r="BS308" i="7"/>
  <c r="BU308" i="7" s="1"/>
  <c r="BR310" i="7"/>
  <c r="BT310" i="7" s="1"/>
  <c r="BS319" i="7"/>
  <c r="BU319" i="7" s="1"/>
  <c r="BS328" i="7"/>
  <c r="BU328" i="7" s="1"/>
  <c r="BR330" i="7"/>
  <c r="BT330" i="7" s="1"/>
  <c r="BS339" i="7"/>
  <c r="BU339" i="7" s="1"/>
  <c r="BS348" i="7"/>
  <c r="BU348" i="7" s="1"/>
  <c r="BR350" i="7"/>
  <c r="BT350" i="7" s="1"/>
  <c r="BV350" i="7" s="1"/>
  <c r="BR354" i="7"/>
  <c r="BT354" i="7" s="1"/>
  <c r="BV354" i="7" s="1"/>
  <c r="BR356" i="7"/>
  <c r="BT356" i="7" s="1"/>
  <c r="BV356" i="7" s="1"/>
  <c r="BS360" i="7"/>
  <c r="BU360" i="7" s="1"/>
  <c r="BR369" i="7"/>
  <c r="BT369" i="7" s="1"/>
  <c r="BV369" i="7" s="1"/>
  <c r="BS378" i="7"/>
  <c r="BU378" i="7" s="1"/>
  <c r="BS383" i="7"/>
  <c r="BU383" i="7" s="1"/>
  <c r="BR393" i="7"/>
  <c r="BT393" i="7" s="1"/>
  <c r="BR396" i="7"/>
  <c r="BT396" i="7" s="1"/>
  <c r="BS416" i="7"/>
  <c r="BU416" i="7" s="1"/>
  <c r="BR425" i="7"/>
  <c r="BT425" i="7" s="1"/>
  <c r="BR447" i="7"/>
  <c r="BT447" i="7" s="1"/>
  <c r="BS469" i="7"/>
  <c r="BU469" i="7" s="1"/>
  <c r="BR367" i="7"/>
  <c r="BT367" i="7" s="1"/>
  <c r="BR376" i="7"/>
  <c r="BT376" i="7" s="1"/>
  <c r="BV376" i="7" s="1"/>
  <c r="BS396" i="7"/>
  <c r="BU396" i="7" s="1"/>
  <c r="BR413" i="7"/>
  <c r="BT413" i="7" s="1"/>
  <c r="BR419" i="7"/>
  <c r="BT419" i="7" s="1"/>
  <c r="BV419" i="7" s="1"/>
  <c r="BR434" i="7"/>
  <c r="BT434" i="7" s="1"/>
  <c r="BV434" i="7" s="1"/>
  <c r="BS437" i="7"/>
  <c r="BU437" i="7" s="1"/>
  <c r="BR444" i="7"/>
  <c r="BT444" i="7" s="1"/>
  <c r="BV444" i="7" s="1"/>
  <c r="BS509" i="7"/>
  <c r="BU509" i="7" s="1"/>
  <c r="BS250" i="7"/>
  <c r="BU250" i="7" s="1"/>
  <c r="BS270" i="7"/>
  <c r="BU270" i="7" s="1"/>
  <c r="BS290" i="7"/>
  <c r="BU290" i="7" s="1"/>
  <c r="BS310" i="7"/>
  <c r="BU310" i="7" s="1"/>
  <c r="BS330" i="7"/>
  <c r="BU330" i="7" s="1"/>
  <c r="BS350" i="7"/>
  <c r="BU350" i="7" s="1"/>
  <c r="BR352" i="7"/>
  <c r="BT352" i="7" s="1"/>
  <c r="BS354" i="7"/>
  <c r="BU354" i="7" s="1"/>
  <c r="BR365" i="7"/>
  <c r="BT365" i="7" s="1"/>
  <c r="BS369" i="7"/>
  <c r="BU369" i="7" s="1"/>
  <c r="BS376" i="7"/>
  <c r="BU376" i="7" s="1"/>
  <c r="BS388" i="7"/>
  <c r="BU388" i="7" s="1"/>
  <c r="BR405" i="7"/>
  <c r="BT405" i="7" s="1"/>
  <c r="BR422" i="7"/>
  <c r="BT422" i="7" s="1"/>
  <c r="BV422" i="7" s="1"/>
  <c r="BS425" i="7"/>
  <c r="BU425" i="7" s="1"/>
  <c r="BS463" i="7"/>
  <c r="BU463" i="7" s="1"/>
  <c r="BS475" i="7"/>
  <c r="BU475" i="7" s="1"/>
  <c r="BR482" i="7"/>
  <c r="BT482" i="7" s="1"/>
  <c r="BR491" i="7"/>
  <c r="BT491" i="7" s="1"/>
  <c r="BV491" i="7" s="1"/>
  <c r="BS532" i="7"/>
  <c r="BU532" i="7" s="1"/>
  <c r="BS546" i="7"/>
  <c r="BU546" i="7" s="1"/>
  <c r="BS241" i="7"/>
  <c r="BU241" i="7" s="1"/>
  <c r="BR243" i="7"/>
  <c r="BT243" i="7" s="1"/>
  <c r="BV243" i="7" s="1"/>
  <c r="BR252" i="7"/>
  <c r="BT252" i="7" s="1"/>
  <c r="BV252" i="7" s="1"/>
  <c r="BR254" i="7"/>
  <c r="BT254" i="7" s="1"/>
  <c r="BV254" i="7" s="1"/>
  <c r="BS261" i="7"/>
  <c r="BU261" i="7" s="1"/>
  <c r="BR263" i="7"/>
  <c r="BT263" i="7" s="1"/>
  <c r="BR272" i="7"/>
  <c r="BT272" i="7" s="1"/>
  <c r="BR274" i="7"/>
  <c r="BT274" i="7" s="1"/>
  <c r="BV274" i="7" s="1"/>
  <c r="BS281" i="7"/>
  <c r="BU281" i="7" s="1"/>
  <c r="BR283" i="7"/>
  <c r="BT283" i="7" s="1"/>
  <c r="BV283" i="7" s="1"/>
  <c r="BR292" i="7"/>
  <c r="BT292" i="7" s="1"/>
  <c r="BR294" i="7"/>
  <c r="BT294" i="7" s="1"/>
  <c r="BS301" i="7"/>
  <c r="BU301" i="7" s="1"/>
  <c r="BR303" i="7"/>
  <c r="BT303" i="7" s="1"/>
  <c r="BV303" i="7" s="1"/>
  <c r="BR312" i="7"/>
  <c r="BT312" i="7" s="1"/>
  <c r="BV312" i="7" s="1"/>
  <c r="BR314" i="7"/>
  <c r="BT314" i="7" s="1"/>
  <c r="BV314" i="7" s="1"/>
  <c r="BS321" i="7"/>
  <c r="BU321" i="7" s="1"/>
  <c r="BR323" i="7"/>
  <c r="BT323" i="7" s="1"/>
  <c r="BV323" i="7" s="1"/>
  <c r="BR332" i="7"/>
  <c r="BT332" i="7" s="1"/>
  <c r="BV332" i="7" s="1"/>
  <c r="BR334" i="7"/>
  <c r="BT334" i="7" s="1"/>
  <c r="BV334" i="7" s="1"/>
  <c r="BS341" i="7"/>
  <c r="BU341" i="7" s="1"/>
  <c r="BR343" i="7"/>
  <c r="BT343" i="7" s="1"/>
  <c r="BV343" i="7" s="1"/>
  <c r="BS367" i="7"/>
  <c r="BU367" i="7" s="1"/>
  <c r="BR374" i="7"/>
  <c r="BT374" i="7" s="1"/>
  <c r="BV374" i="7" s="1"/>
  <c r="BR399" i="7"/>
  <c r="BT399" i="7" s="1"/>
  <c r="BS434" i="7"/>
  <c r="BU434" i="7" s="1"/>
  <c r="BS491" i="7"/>
  <c r="BU491" i="7" s="1"/>
  <c r="BS500" i="7"/>
  <c r="BU500" i="7" s="1"/>
  <c r="BR563" i="7"/>
  <c r="BT563" i="7" s="1"/>
  <c r="BS232" i="7"/>
  <c r="BU232" i="7" s="1"/>
  <c r="BS252" i="7"/>
  <c r="BU252" i="7" s="1"/>
  <c r="BS272" i="7"/>
  <c r="BU272" i="7" s="1"/>
  <c r="BS292" i="7"/>
  <c r="BU292" i="7" s="1"/>
  <c r="BS312" i="7"/>
  <c r="BU312" i="7" s="1"/>
  <c r="BS332" i="7"/>
  <c r="BU332" i="7" s="1"/>
  <c r="BS365" i="7"/>
  <c r="BU365" i="7" s="1"/>
  <c r="BR386" i="7"/>
  <c r="BT386" i="7" s="1"/>
  <c r="BR391" i="7"/>
  <c r="BT391" i="7" s="1"/>
  <c r="BV391" i="7" s="1"/>
  <c r="BR402" i="7"/>
  <c r="BT402" i="7" s="1"/>
  <c r="BV402" i="7" s="1"/>
  <c r="BS405" i="7"/>
  <c r="BU405" i="7" s="1"/>
  <c r="BS428" i="7"/>
  <c r="BU428" i="7" s="1"/>
  <c r="BS458" i="7"/>
  <c r="BU458" i="7" s="1"/>
  <c r="BR285" i="7"/>
  <c r="BT285" i="7" s="1"/>
  <c r="BS294" i="7"/>
  <c r="BU294" i="7" s="1"/>
  <c r="BS303" i="7"/>
  <c r="BU303" i="7" s="1"/>
  <c r="BR305" i="7"/>
  <c r="BT305" i="7" s="1"/>
  <c r="BS314" i="7"/>
  <c r="BU314" i="7" s="1"/>
  <c r="BS323" i="7"/>
  <c r="BU323" i="7" s="1"/>
  <c r="BR325" i="7"/>
  <c r="BT325" i="7" s="1"/>
  <c r="BS334" i="7"/>
  <c r="BU334" i="7" s="1"/>
  <c r="BS343" i="7"/>
  <c r="BU343" i="7" s="1"/>
  <c r="BR345" i="7"/>
  <c r="BT345" i="7" s="1"/>
  <c r="BS374" i="7"/>
  <c r="BU374" i="7" s="1"/>
  <c r="BS386" i="7"/>
  <c r="BU386" i="7" s="1"/>
  <c r="BS391" i="7"/>
  <c r="BU391" i="7" s="1"/>
  <c r="BR394" i="7"/>
  <c r="BT394" i="7" s="1"/>
  <c r="BR414" i="7"/>
  <c r="BT414" i="7" s="1"/>
  <c r="BV414" i="7" s="1"/>
  <c r="BR431" i="7"/>
  <c r="BT431" i="7" s="1"/>
  <c r="BV431" i="7" s="1"/>
  <c r="BS484" i="7"/>
  <c r="BU484" i="7" s="1"/>
  <c r="BS534" i="7"/>
  <c r="BU534" i="7" s="1"/>
  <c r="BR737" i="7"/>
  <c r="BT737" i="7" s="1"/>
  <c r="BR296" i="7"/>
  <c r="BT296" i="7" s="1"/>
  <c r="BV296" i="7" s="1"/>
  <c r="BR316" i="7"/>
  <c r="BT316" i="7" s="1"/>
  <c r="BV316" i="7" s="1"/>
  <c r="BR336" i="7"/>
  <c r="BT336" i="7" s="1"/>
  <c r="BV336" i="7" s="1"/>
  <c r="BS363" i="7"/>
  <c r="BU363" i="7" s="1"/>
  <c r="BS372" i="7"/>
  <c r="BU372" i="7" s="1"/>
  <c r="BS408" i="7"/>
  <c r="BU408" i="7" s="1"/>
  <c r="BS438" i="7"/>
  <c r="BU438" i="7" s="1"/>
  <c r="BS464" i="7"/>
  <c r="BU464" i="7" s="1"/>
  <c r="BS806" i="7"/>
  <c r="BU806" i="7" s="1"/>
  <c r="BR548" i="7"/>
  <c r="BT548" i="7" s="1"/>
  <c r="BV548" i="7" s="1"/>
  <c r="BR556" i="7"/>
  <c r="BT556" i="7" s="1"/>
  <c r="BR757" i="7"/>
  <c r="BT757" i="7" s="1"/>
  <c r="BR773" i="7"/>
  <c r="BT773" i="7" s="1"/>
  <c r="BR464" i="7"/>
  <c r="BT464" i="7" s="1"/>
  <c r="BV464" i="7" s="1"/>
  <c r="BR496" i="7"/>
  <c r="BT496" i="7" s="1"/>
  <c r="BV496" i="7" s="1"/>
  <c r="BS566" i="7"/>
  <c r="BU566" i="7" s="1"/>
  <c r="BS655" i="7"/>
  <c r="BU655" i="7" s="1"/>
  <c r="BR696" i="7"/>
  <c r="BT696" i="7" s="1"/>
  <c r="BV696" i="7" s="1"/>
  <c r="BR449" i="7"/>
  <c r="BT449" i="7" s="1"/>
  <c r="BV449" i="7" s="1"/>
  <c r="BR454" i="7"/>
  <c r="BT454" i="7" s="1"/>
  <c r="BV454" i="7" s="1"/>
  <c r="BS482" i="7"/>
  <c r="BU482" i="7" s="1"/>
  <c r="BR631" i="7"/>
  <c r="BT631" i="7" s="1"/>
  <c r="BV631" i="7" s="1"/>
  <c r="BS942" i="7"/>
  <c r="BU942" i="7" s="1"/>
  <c r="BS431" i="7"/>
  <c r="BU431" i="7" s="1"/>
  <c r="BR445" i="7"/>
  <c r="BT445" i="7" s="1"/>
  <c r="BS449" i="7"/>
  <c r="BU449" i="7" s="1"/>
  <c r="BS454" i="7"/>
  <c r="BU454" i="7" s="1"/>
  <c r="BR459" i="7"/>
  <c r="BT459" i="7" s="1"/>
  <c r="BR473" i="7"/>
  <c r="BT473" i="7" s="1"/>
  <c r="BS476" i="7"/>
  <c r="BU476" i="7" s="1"/>
  <c r="BR485" i="7"/>
  <c r="BT485" i="7" s="1"/>
  <c r="BR511" i="7"/>
  <c r="BT511" i="7" s="1"/>
  <c r="BR542" i="7"/>
  <c r="BT542" i="7" s="1"/>
  <c r="BS698" i="7"/>
  <c r="BU698" i="7" s="1"/>
  <c r="BS447" i="7"/>
  <c r="BU447" i="7" s="1"/>
  <c r="BS459" i="7"/>
  <c r="BU459" i="7" s="1"/>
  <c r="BR470" i="7"/>
  <c r="BT470" i="7" s="1"/>
  <c r="BV470" i="7" s="1"/>
  <c r="BR479" i="7"/>
  <c r="BT479" i="7" s="1"/>
  <c r="BV479" i="7" s="1"/>
  <c r="BS485" i="7"/>
  <c r="BU485" i="7" s="1"/>
  <c r="BR489" i="7"/>
  <c r="BT489" i="7" s="1"/>
  <c r="BV489" i="7" s="1"/>
  <c r="BR506" i="7"/>
  <c r="BT506" i="7" s="1"/>
  <c r="BS542" i="7"/>
  <c r="BU542" i="7" s="1"/>
  <c r="BS382" i="7"/>
  <c r="BU382" i="7" s="1"/>
  <c r="BS402" i="7"/>
  <c r="BU402" i="7" s="1"/>
  <c r="BS422" i="7"/>
  <c r="BU422" i="7" s="1"/>
  <c r="BS443" i="7"/>
  <c r="BU443" i="7" s="1"/>
  <c r="BS445" i="7"/>
  <c r="BU445" i="7" s="1"/>
  <c r="BR452" i="7"/>
  <c r="BT452" i="7" s="1"/>
  <c r="BS473" i="7"/>
  <c r="BU473" i="7" s="1"/>
  <c r="BS479" i="7"/>
  <c r="BU479" i="7" s="1"/>
  <c r="BS516" i="7"/>
  <c r="BU516" i="7" s="1"/>
  <c r="BR528" i="7"/>
  <c r="BT528" i="7" s="1"/>
  <c r="BV528" i="7" s="1"/>
  <c r="BS672" i="7"/>
  <c r="BU672" i="7" s="1"/>
  <c r="BS393" i="7"/>
  <c r="BU393" i="7" s="1"/>
  <c r="BR395" i="7"/>
  <c r="BT395" i="7" s="1"/>
  <c r="BV395" i="7" s="1"/>
  <c r="BR404" i="7"/>
  <c r="BT404" i="7" s="1"/>
  <c r="BV404" i="7" s="1"/>
  <c r="BS413" i="7"/>
  <c r="BU413" i="7" s="1"/>
  <c r="BR415" i="7"/>
  <c r="BT415" i="7" s="1"/>
  <c r="BV415" i="7" s="1"/>
  <c r="BR424" i="7"/>
  <c r="BT424" i="7" s="1"/>
  <c r="BV424" i="7" s="1"/>
  <c r="BS433" i="7"/>
  <c r="BU433" i="7" s="1"/>
  <c r="BR435" i="7"/>
  <c r="BT435" i="7" s="1"/>
  <c r="BV435" i="7" s="1"/>
  <c r="BR437" i="7"/>
  <c r="BT437" i="7" s="1"/>
  <c r="BV437" i="7" s="1"/>
  <c r="BR441" i="7"/>
  <c r="BT441" i="7" s="1"/>
  <c r="BV441" i="7" s="1"/>
  <c r="BR457" i="7"/>
  <c r="BT457" i="7" s="1"/>
  <c r="BS462" i="7"/>
  <c r="BU462" i="7" s="1"/>
  <c r="BS470" i="7"/>
  <c r="BU470" i="7" s="1"/>
  <c r="BS489" i="7"/>
  <c r="BU489" i="7" s="1"/>
  <c r="BR543" i="7"/>
  <c r="BT543" i="7" s="1"/>
  <c r="BS621" i="7"/>
  <c r="BU621" i="7" s="1"/>
  <c r="BR406" i="7"/>
  <c r="BT406" i="7" s="1"/>
  <c r="BV406" i="7" s="1"/>
  <c r="BR426" i="7"/>
  <c r="BT426" i="7" s="1"/>
  <c r="BR439" i="7"/>
  <c r="BT439" i="7" s="1"/>
  <c r="BV439" i="7" s="1"/>
  <c r="BS441" i="7"/>
  <c r="BU441" i="7" s="1"/>
  <c r="BS452" i="7"/>
  <c r="BU452" i="7" s="1"/>
  <c r="BR480" i="7"/>
  <c r="BT480" i="7" s="1"/>
  <c r="BS486" i="7"/>
  <c r="BU486" i="7" s="1"/>
  <c r="BS522" i="7"/>
  <c r="BU522" i="7" s="1"/>
  <c r="BS457" i="7"/>
  <c r="BU457" i="7" s="1"/>
  <c r="BS480" i="7"/>
  <c r="BU480" i="7" s="1"/>
  <c r="BR551" i="7"/>
  <c r="BT551" i="7" s="1"/>
  <c r="BR674" i="7"/>
  <c r="BT674" i="7" s="1"/>
  <c r="BV674" i="7" s="1"/>
  <c r="BS832" i="7"/>
  <c r="BU832" i="7" s="1"/>
  <c r="BR368" i="7"/>
  <c r="BT368" i="7" s="1"/>
  <c r="BV368" i="7" s="1"/>
  <c r="BR388" i="7"/>
  <c r="BT388" i="7" s="1"/>
  <c r="BR408" i="7"/>
  <c r="BT408" i="7" s="1"/>
  <c r="BV408" i="7" s="1"/>
  <c r="BR428" i="7"/>
  <c r="BT428" i="7" s="1"/>
  <c r="BS439" i="7"/>
  <c r="BU439" i="7" s="1"/>
  <c r="BS377" i="7"/>
  <c r="BU377" i="7" s="1"/>
  <c r="BS397" i="7"/>
  <c r="BU397" i="7" s="1"/>
  <c r="BS417" i="7"/>
  <c r="BU417" i="7" s="1"/>
  <c r="BS450" i="7"/>
  <c r="BU450" i="7" s="1"/>
  <c r="BS455" i="7"/>
  <c r="BU455" i="7" s="1"/>
  <c r="BS468" i="7"/>
  <c r="BU468" i="7" s="1"/>
  <c r="BS471" i="7"/>
  <c r="BU471" i="7" s="1"/>
  <c r="BR483" i="7"/>
  <c r="BT483" i="7" s="1"/>
  <c r="BR498" i="7"/>
  <c r="BT498" i="7" s="1"/>
  <c r="BS503" i="7"/>
  <c r="BU503" i="7" s="1"/>
  <c r="BS589" i="7"/>
  <c r="BU589" i="7" s="1"/>
  <c r="BR612" i="7"/>
  <c r="BT612" i="7" s="1"/>
  <c r="BR477" i="7"/>
  <c r="BT477" i="7" s="1"/>
  <c r="BV477" i="7" s="1"/>
  <c r="BS523" i="7"/>
  <c r="BU523" i="7" s="1"/>
  <c r="BS579" i="7"/>
  <c r="BU579" i="7" s="1"/>
  <c r="BS636" i="7"/>
  <c r="BU636" i="7" s="1"/>
  <c r="BR750" i="7"/>
  <c r="BT750" i="7" s="1"/>
  <c r="BS800" i="7"/>
  <c r="BU800" i="7" s="1"/>
  <c r="BR361" i="7"/>
  <c r="BT361" i="7" s="1"/>
  <c r="BR381" i="7"/>
  <c r="BT381" i="7" s="1"/>
  <c r="BR401" i="7"/>
  <c r="BT401" i="7" s="1"/>
  <c r="BR421" i="7"/>
  <c r="BT421" i="7" s="1"/>
  <c r="BS448" i="7"/>
  <c r="BU448" i="7" s="1"/>
  <c r="BS494" i="7"/>
  <c r="BU494" i="7" s="1"/>
  <c r="BS571" i="7"/>
  <c r="BU571" i="7" s="1"/>
  <c r="BS352" i="7"/>
  <c r="BU352" i="7" s="1"/>
  <c r="BS359" i="7"/>
  <c r="BU359" i="7" s="1"/>
  <c r="BS361" i="7"/>
  <c r="BU361" i="7" s="1"/>
  <c r="BS370" i="7"/>
  <c r="BU370" i="7" s="1"/>
  <c r="BR372" i="7"/>
  <c r="BT372" i="7" s="1"/>
  <c r="BV372" i="7" s="1"/>
  <c r="BS379" i="7"/>
  <c r="BU379" i="7" s="1"/>
  <c r="BS381" i="7"/>
  <c r="BU381" i="7" s="1"/>
  <c r="BS390" i="7"/>
  <c r="BU390" i="7" s="1"/>
  <c r="BR392" i="7"/>
  <c r="BT392" i="7" s="1"/>
  <c r="BS399" i="7"/>
  <c r="BU399" i="7" s="1"/>
  <c r="BS401" i="7"/>
  <c r="BU401" i="7" s="1"/>
  <c r="BS410" i="7"/>
  <c r="BU410" i="7" s="1"/>
  <c r="BR412" i="7"/>
  <c r="BT412" i="7" s="1"/>
  <c r="BS419" i="7"/>
  <c r="BU419" i="7" s="1"/>
  <c r="BS421" i="7"/>
  <c r="BU421" i="7" s="1"/>
  <c r="BS430" i="7"/>
  <c r="BU430" i="7" s="1"/>
  <c r="BR432" i="7"/>
  <c r="BT432" i="7" s="1"/>
  <c r="BR446" i="7"/>
  <c r="BT446" i="7" s="1"/>
  <c r="BS477" i="7"/>
  <c r="BU477" i="7" s="1"/>
  <c r="BR487" i="7"/>
  <c r="BT487" i="7" s="1"/>
  <c r="BS768" i="7"/>
  <c r="BU768" i="7" s="1"/>
  <c r="BR363" i="7"/>
  <c r="BT363" i="7" s="1"/>
  <c r="BV363" i="7" s="1"/>
  <c r="BR383" i="7"/>
  <c r="BT383" i="7" s="1"/>
  <c r="BR403" i="7"/>
  <c r="BT403" i="7" s="1"/>
  <c r="BV403" i="7" s="1"/>
  <c r="BR423" i="7"/>
  <c r="BT423" i="7" s="1"/>
  <c r="BV423" i="7" s="1"/>
  <c r="BS446" i="7"/>
  <c r="BU446" i="7" s="1"/>
  <c r="BR463" i="7"/>
  <c r="BT463" i="7" s="1"/>
  <c r="BR466" i="7"/>
  <c r="BT466" i="7" s="1"/>
  <c r="BV466" i="7" s="1"/>
  <c r="BS487" i="7"/>
  <c r="BU487" i="7" s="1"/>
  <c r="BR524" i="7"/>
  <c r="BT524" i="7" s="1"/>
  <c r="BV524" i="7" s="1"/>
  <c r="BS677" i="7"/>
  <c r="BU677" i="7" s="1"/>
  <c r="BR471" i="7"/>
  <c r="BT471" i="7" s="1"/>
  <c r="BR484" i="7"/>
  <c r="BT484" i="7" s="1"/>
  <c r="BR508" i="7"/>
  <c r="BT508" i="7" s="1"/>
  <c r="BR519" i="7"/>
  <c r="BT519" i="7" s="1"/>
  <c r="BS560" i="7"/>
  <c r="BU560" i="7" s="1"/>
  <c r="BR571" i="7"/>
  <c r="BT571" i="7" s="1"/>
  <c r="BS582" i="7"/>
  <c r="BU582" i="7" s="1"/>
  <c r="BS706" i="7"/>
  <c r="BU706" i="7" s="1"/>
  <c r="BS551" i="7"/>
  <c r="BU551" i="7" s="1"/>
  <c r="BR583" i="7"/>
  <c r="BT583" i="7" s="1"/>
  <c r="BS645" i="7"/>
  <c r="BU645" i="7" s="1"/>
  <c r="BS674" i="7"/>
  <c r="BU674" i="7" s="1"/>
  <c r="BR683" i="7"/>
  <c r="BT683" i="7" s="1"/>
  <c r="BV683" i="7" s="1"/>
  <c r="BS745" i="7"/>
  <c r="BU745" i="7" s="1"/>
  <c r="BR461" i="7"/>
  <c r="BT461" i="7" s="1"/>
  <c r="BV461" i="7" s="1"/>
  <c r="BR468" i="7"/>
  <c r="BT468" i="7" s="1"/>
  <c r="BV468" i="7" s="1"/>
  <c r="BR475" i="7"/>
  <c r="BT475" i="7" s="1"/>
  <c r="BV475" i="7" s="1"/>
  <c r="BS498" i="7"/>
  <c r="BU498" i="7" s="1"/>
  <c r="BS531" i="7"/>
  <c r="BU531" i="7" s="1"/>
  <c r="BR547" i="7"/>
  <c r="BT547" i="7" s="1"/>
  <c r="BV547" i="7" s="1"/>
  <c r="BS584" i="7"/>
  <c r="BU584" i="7" s="1"/>
  <c r="BR638" i="7"/>
  <c r="BT638" i="7" s="1"/>
  <c r="BS496" i="7"/>
  <c r="BU496" i="7" s="1"/>
  <c r="BR509" i="7"/>
  <c r="BT509" i="7" s="1"/>
  <c r="BS517" i="7"/>
  <c r="BU517" i="7" s="1"/>
  <c r="BS520" i="7"/>
  <c r="BU520" i="7" s="1"/>
  <c r="BR535" i="7"/>
  <c r="BT535" i="7" s="1"/>
  <c r="BR621" i="7"/>
  <c r="BT621" i="7" s="1"/>
  <c r="BV621" i="7" s="1"/>
  <c r="BR833" i="7"/>
  <c r="BT833" i="7" s="1"/>
  <c r="BS444" i="7"/>
  <c r="BU444" i="7" s="1"/>
  <c r="BR451" i="7"/>
  <c r="BT451" i="7" s="1"/>
  <c r="BV451" i="7" s="1"/>
  <c r="BR458" i="7"/>
  <c r="BT458" i="7" s="1"/>
  <c r="BR465" i="7"/>
  <c r="BT465" i="7" s="1"/>
  <c r="BV465" i="7" s="1"/>
  <c r="BR472" i="7"/>
  <c r="BT472" i="7" s="1"/>
  <c r="BV472" i="7" s="1"/>
  <c r="BS483" i="7"/>
  <c r="BU483" i="7" s="1"/>
  <c r="BR499" i="7"/>
  <c r="BT499" i="7" s="1"/>
  <c r="BV499" i="7" s="1"/>
  <c r="BS515" i="7"/>
  <c r="BU515" i="7" s="1"/>
  <c r="BR569" i="7"/>
  <c r="BT569" i="7" s="1"/>
  <c r="BV569" i="7" s="1"/>
  <c r="BS574" i="7"/>
  <c r="BU574" i="7" s="1"/>
  <c r="BR492" i="7"/>
  <c r="BT492" i="7" s="1"/>
  <c r="BV492" i="7" s="1"/>
  <c r="BR507" i="7"/>
  <c r="BT507" i="7" s="1"/>
  <c r="BV507" i="7" s="1"/>
  <c r="BS659" i="7"/>
  <c r="BU659" i="7" s="1"/>
  <c r="BS465" i="7"/>
  <c r="BU465" i="7" s="1"/>
  <c r="BS472" i="7"/>
  <c r="BU472" i="7" s="1"/>
  <c r="BS507" i="7"/>
  <c r="BU507" i="7" s="1"/>
  <c r="BR510" i="7"/>
  <c r="BT510" i="7" s="1"/>
  <c r="BS518" i="7"/>
  <c r="BU518" i="7" s="1"/>
  <c r="BR586" i="7"/>
  <c r="BT586" i="7" s="1"/>
  <c r="BR714" i="7"/>
  <c r="BT714" i="7" s="1"/>
  <c r="BV714" i="7" s="1"/>
  <c r="BR793" i="7"/>
  <c r="BT793" i="7" s="1"/>
  <c r="BR857" i="7"/>
  <c r="BT857" i="7" s="1"/>
  <c r="BV857" i="7" s="1"/>
  <c r="BS933" i="7"/>
  <c r="BU933" i="7" s="1"/>
  <c r="BR453" i="7"/>
  <c r="BT453" i="7" s="1"/>
  <c r="BR460" i="7"/>
  <c r="BT460" i="7" s="1"/>
  <c r="BV460" i="7" s="1"/>
  <c r="BR467" i="7"/>
  <c r="BT467" i="7" s="1"/>
  <c r="BV467" i="7" s="1"/>
  <c r="BR474" i="7"/>
  <c r="BT474" i="7" s="1"/>
  <c r="BV474" i="7" s="1"/>
  <c r="BS502" i="7"/>
  <c r="BU502" i="7" s="1"/>
  <c r="BS510" i="7"/>
  <c r="BU510" i="7" s="1"/>
  <c r="BR529" i="7"/>
  <c r="BT529" i="7" s="1"/>
  <c r="BV529" i="7" s="1"/>
  <c r="BR541" i="7"/>
  <c r="BT541" i="7" s="1"/>
  <c r="BV541" i="7" s="1"/>
  <c r="BR559" i="7"/>
  <c r="BT559" i="7" s="1"/>
  <c r="BR633" i="7"/>
  <c r="BT633" i="7" s="1"/>
  <c r="BS474" i="7"/>
  <c r="BU474" i="7" s="1"/>
  <c r="BR490" i="7"/>
  <c r="BT490" i="7" s="1"/>
  <c r="BS497" i="7"/>
  <c r="BU497" i="7" s="1"/>
  <c r="BR505" i="7"/>
  <c r="BT505" i="7" s="1"/>
  <c r="BR570" i="7"/>
  <c r="BT570" i="7" s="1"/>
  <c r="BR858" i="7"/>
  <c r="BT858" i="7" s="1"/>
  <c r="BS453" i="7"/>
  <c r="BU453" i="7" s="1"/>
  <c r="BS460" i="7"/>
  <c r="BU460" i="7" s="1"/>
  <c r="BS467" i="7"/>
  <c r="BU467" i="7" s="1"/>
  <c r="BR476" i="7"/>
  <c r="BT476" i="7" s="1"/>
  <c r="BV476" i="7" s="1"/>
  <c r="BR513" i="7"/>
  <c r="BT513" i="7" s="1"/>
  <c r="BV513" i="7" s="1"/>
  <c r="BR516" i="7"/>
  <c r="BT516" i="7" s="1"/>
  <c r="BV516" i="7" s="1"/>
  <c r="BR533" i="7"/>
  <c r="BT533" i="7" s="1"/>
  <c r="BV533" i="7" s="1"/>
  <c r="BS541" i="7"/>
  <c r="BU541" i="7" s="1"/>
  <c r="BS581" i="7"/>
  <c r="BU581" i="7" s="1"/>
  <c r="BR594" i="7"/>
  <c r="BT594" i="7" s="1"/>
  <c r="BV594" i="7" s="1"/>
  <c r="BR681" i="7"/>
  <c r="BT681" i="7" s="1"/>
  <c r="BV681" i="7" s="1"/>
  <c r="BR438" i="7"/>
  <c r="BT438" i="7" s="1"/>
  <c r="BV438" i="7" s="1"/>
  <c r="BR443" i="7"/>
  <c r="BT443" i="7" s="1"/>
  <c r="BV443" i="7" s="1"/>
  <c r="BR448" i="7"/>
  <c r="BT448" i="7" s="1"/>
  <c r="BR455" i="7"/>
  <c r="BT455" i="7" s="1"/>
  <c r="BR462" i="7"/>
  <c r="BT462" i="7" s="1"/>
  <c r="BV462" i="7" s="1"/>
  <c r="BR469" i="7"/>
  <c r="BT469" i="7" s="1"/>
  <c r="BV469" i="7" s="1"/>
  <c r="BR488" i="7"/>
  <c r="BT488" i="7" s="1"/>
  <c r="BS505" i="7"/>
  <c r="BU505" i="7" s="1"/>
  <c r="BS513" i="7"/>
  <c r="BU513" i="7" s="1"/>
  <c r="BR581" i="7"/>
  <c r="BT581" i="7" s="1"/>
  <c r="BV581" i="7" s="1"/>
  <c r="BR669" i="7"/>
  <c r="BT669" i="7" s="1"/>
  <c r="BR680" i="7"/>
  <c r="BT680" i="7" s="1"/>
  <c r="BV680" i="7" s="1"/>
  <c r="BR764" i="7"/>
  <c r="BT764" i="7" s="1"/>
  <c r="BR518" i="7"/>
  <c r="BT518" i="7" s="1"/>
  <c r="BV518" i="7" s="1"/>
  <c r="BR530" i="7"/>
  <c r="BT530" i="7" s="1"/>
  <c r="BV530" i="7" s="1"/>
  <c r="BR562" i="7"/>
  <c r="BT562" i="7" s="1"/>
  <c r="BV562" i="7" s="1"/>
  <c r="BS604" i="7"/>
  <c r="BU604" i="7" s="1"/>
  <c r="BR622" i="7"/>
  <c r="BT622" i="7" s="1"/>
  <c r="BR627" i="7"/>
  <c r="BT627" i="7" s="1"/>
  <c r="BV627" i="7" s="1"/>
  <c r="BS632" i="7"/>
  <c r="BU632" i="7" s="1"/>
  <c r="BR642" i="7"/>
  <c r="BT642" i="7" s="1"/>
  <c r="BV642" i="7" s="1"/>
  <c r="BR648" i="7"/>
  <c r="BT648" i="7" s="1"/>
  <c r="BR747" i="7"/>
  <c r="BT747" i="7" s="1"/>
  <c r="BS756" i="7"/>
  <c r="BU756" i="7" s="1"/>
  <c r="BR1003" i="7"/>
  <c r="BT1003" i="7" s="1"/>
  <c r="BR500" i="7"/>
  <c r="BT500" i="7" s="1"/>
  <c r="BV500" i="7" s="1"/>
  <c r="BR520" i="7"/>
  <c r="BT520" i="7" s="1"/>
  <c r="BV520" i="7" s="1"/>
  <c r="BS530" i="7"/>
  <c r="BU530" i="7" s="1"/>
  <c r="BS539" i="7"/>
  <c r="BU539" i="7" s="1"/>
  <c r="BS556" i="7"/>
  <c r="BU556" i="7" s="1"/>
  <c r="BS559" i="7"/>
  <c r="BU559" i="7" s="1"/>
  <c r="BS562" i="7"/>
  <c r="BU562" i="7" s="1"/>
  <c r="BS596" i="7"/>
  <c r="BU596" i="7" s="1"/>
  <c r="BS627" i="7"/>
  <c r="BU627" i="7" s="1"/>
  <c r="BS747" i="7"/>
  <c r="BU747" i="7" s="1"/>
  <c r="BR872" i="7"/>
  <c r="BT872" i="7" s="1"/>
  <c r="BV872" i="7" s="1"/>
  <c r="BR486" i="7"/>
  <c r="BT486" i="7" s="1"/>
  <c r="BV486" i="7" s="1"/>
  <c r="BR493" i="7"/>
  <c r="BT493" i="7" s="1"/>
  <c r="BV493" i="7" s="1"/>
  <c r="BR502" i="7"/>
  <c r="BT502" i="7" s="1"/>
  <c r="BV502" i="7" s="1"/>
  <c r="BS511" i="7"/>
  <c r="BU511" i="7" s="1"/>
  <c r="BR522" i="7"/>
  <c r="BT522" i="7" s="1"/>
  <c r="BV522" i="7" s="1"/>
  <c r="BS526" i="7"/>
  <c r="BU526" i="7" s="1"/>
  <c r="BS528" i="7"/>
  <c r="BU528" i="7" s="1"/>
  <c r="BS537" i="7"/>
  <c r="BU537" i="7" s="1"/>
  <c r="BS554" i="7"/>
  <c r="BU554" i="7" s="1"/>
  <c r="BS601" i="7"/>
  <c r="BU601" i="7" s="1"/>
  <c r="BR654" i="7"/>
  <c r="BT654" i="7" s="1"/>
  <c r="BS716" i="7"/>
  <c r="BU716" i="7" s="1"/>
  <c r="BS493" i="7"/>
  <c r="BU493" i="7" s="1"/>
  <c r="BR495" i="7"/>
  <c r="BT495" i="7" s="1"/>
  <c r="BV495" i="7" s="1"/>
  <c r="BR515" i="7"/>
  <c r="BT515" i="7" s="1"/>
  <c r="BS535" i="7"/>
  <c r="BU535" i="7" s="1"/>
  <c r="BS544" i="7"/>
  <c r="BU544" i="7" s="1"/>
  <c r="BR549" i="7"/>
  <c r="BT549" i="7" s="1"/>
  <c r="BV549" i="7" s="1"/>
  <c r="BS557" i="7"/>
  <c r="BU557" i="7" s="1"/>
  <c r="BR560" i="7"/>
  <c r="BT560" i="7" s="1"/>
  <c r="BV560" i="7" s="1"/>
  <c r="BR689" i="7"/>
  <c r="BT689" i="7" s="1"/>
  <c r="BS481" i="7"/>
  <c r="BU481" i="7" s="1"/>
  <c r="BS488" i="7"/>
  <c r="BU488" i="7" s="1"/>
  <c r="BR497" i="7"/>
  <c r="BT497" i="7" s="1"/>
  <c r="BV497" i="7" s="1"/>
  <c r="BS506" i="7"/>
  <c r="BU506" i="7" s="1"/>
  <c r="BR517" i="7"/>
  <c r="BT517" i="7" s="1"/>
  <c r="BV517" i="7" s="1"/>
  <c r="BR540" i="7"/>
  <c r="BT540" i="7" s="1"/>
  <c r="BR552" i="7"/>
  <c r="BT552" i="7" s="1"/>
  <c r="BR598" i="7"/>
  <c r="BT598" i="7" s="1"/>
  <c r="BS602" i="7"/>
  <c r="BU602" i="7" s="1"/>
  <c r="BS894" i="7"/>
  <c r="BU894" i="7" s="1"/>
  <c r="BS927" i="7"/>
  <c r="BU927" i="7" s="1"/>
  <c r="BS667" i="7"/>
  <c r="BU667" i="7" s="1"/>
  <c r="BR780" i="7"/>
  <c r="BT780" i="7" s="1"/>
  <c r="BR538" i="7"/>
  <c r="BT538" i="7" s="1"/>
  <c r="BV538" i="7" s="1"/>
  <c r="BS540" i="7"/>
  <c r="BU540" i="7" s="1"/>
  <c r="BS567" i="7"/>
  <c r="BU567" i="7" s="1"/>
  <c r="BS576" i="7"/>
  <c r="BU576" i="7" s="1"/>
  <c r="BS590" i="7"/>
  <c r="BU590" i="7" s="1"/>
  <c r="BR630" i="7"/>
  <c r="BT630" i="7" s="1"/>
  <c r="BV630" i="7" s="1"/>
  <c r="BR640" i="7"/>
  <c r="BT640" i="7" s="1"/>
  <c r="BS678" i="7"/>
  <c r="BU678" i="7" s="1"/>
  <c r="BS780" i="7"/>
  <c r="BU780" i="7" s="1"/>
  <c r="BS837" i="7"/>
  <c r="BU837" i="7" s="1"/>
  <c r="BS490" i="7"/>
  <c r="BU490" i="7" s="1"/>
  <c r="BS499" i="7"/>
  <c r="BU499" i="7" s="1"/>
  <c r="BR501" i="7"/>
  <c r="BT501" i="7" s="1"/>
  <c r="BS508" i="7"/>
  <c r="BU508" i="7" s="1"/>
  <c r="BS519" i="7"/>
  <c r="BU519" i="7" s="1"/>
  <c r="BR521" i="7"/>
  <c r="BT521" i="7" s="1"/>
  <c r="BS529" i="7"/>
  <c r="BU529" i="7" s="1"/>
  <c r="BS547" i="7"/>
  <c r="BU547" i="7" s="1"/>
  <c r="BR564" i="7"/>
  <c r="BT564" i="7" s="1"/>
  <c r="BS570" i="7"/>
  <c r="BU570" i="7" s="1"/>
  <c r="BR635" i="7"/>
  <c r="BT635" i="7" s="1"/>
  <c r="BV635" i="7" s="1"/>
  <c r="BS640" i="7"/>
  <c r="BU640" i="7" s="1"/>
  <c r="BS656" i="7"/>
  <c r="BU656" i="7" s="1"/>
  <c r="BR736" i="7"/>
  <c r="BT736" i="7" s="1"/>
  <c r="BV736" i="7" s="1"/>
  <c r="BR770" i="7"/>
  <c r="BT770" i="7" s="1"/>
  <c r="BV770" i="7" s="1"/>
  <c r="BR852" i="7"/>
  <c r="BT852" i="7" s="1"/>
  <c r="BV852" i="7" s="1"/>
  <c r="BS527" i="7"/>
  <c r="BU527" i="7" s="1"/>
  <c r="BR550" i="7"/>
  <c r="BT550" i="7" s="1"/>
  <c r="BV550" i="7" s="1"/>
  <c r="BS580" i="7"/>
  <c r="BU580" i="7" s="1"/>
  <c r="BS587" i="7"/>
  <c r="BU587" i="7" s="1"/>
  <c r="BS620" i="7"/>
  <c r="BU620" i="7" s="1"/>
  <c r="BR625" i="7"/>
  <c r="BT625" i="7" s="1"/>
  <c r="BS630" i="7"/>
  <c r="BU630" i="7" s="1"/>
  <c r="BS635" i="7"/>
  <c r="BU635" i="7" s="1"/>
  <c r="BS646" i="7"/>
  <c r="BU646" i="7" s="1"/>
  <c r="BR838" i="7"/>
  <c r="BT838" i="7" s="1"/>
  <c r="BS492" i="7"/>
  <c r="BU492" i="7" s="1"/>
  <c r="BS501" i="7"/>
  <c r="BU501" i="7" s="1"/>
  <c r="BR512" i="7"/>
  <c r="BT512" i="7" s="1"/>
  <c r="BS521" i="7"/>
  <c r="BU521" i="7" s="1"/>
  <c r="BR525" i="7"/>
  <c r="BT525" i="7" s="1"/>
  <c r="BV525" i="7" s="1"/>
  <c r="BR536" i="7"/>
  <c r="BT536" i="7" s="1"/>
  <c r="BV536" i="7" s="1"/>
  <c r="BS545" i="7"/>
  <c r="BU545" i="7" s="1"/>
  <c r="BR561" i="7"/>
  <c r="BT561" i="7" s="1"/>
  <c r="BS668" i="7"/>
  <c r="BU668" i="7" s="1"/>
  <c r="BR705" i="7"/>
  <c r="BT705" i="7" s="1"/>
  <c r="BR494" i="7"/>
  <c r="BT494" i="7" s="1"/>
  <c r="BV494" i="7" s="1"/>
  <c r="BR503" i="7"/>
  <c r="BT503" i="7" s="1"/>
  <c r="BS512" i="7"/>
  <c r="BU512" i="7" s="1"/>
  <c r="BR514" i="7"/>
  <c r="BT514" i="7" s="1"/>
  <c r="BV514" i="7" s="1"/>
  <c r="BR523" i="7"/>
  <c r="BT523" i="7" s="1"/>
  <c r="BV523" i="7" s="1"/>
  <c r="BS525" i="7"/>
  <c r="BU525" i="7" s="1"/>
  <c r="BR534" i="7"/>
  <c r="BT534" i="7" s="1"/>
  <c r="BS550" i="7"/>
  <c r="BU550" i="7" s="1"/>
  <c r="BR568" i="7"/>
  <c r="BT568" i="7" s="1"/>
  <c r="BS577" i="7"/>
  <c r="BU577" i="7" s="1"/>
  <c r="BR591" i="7"/>
  <c r="BT591" i="7" s="1"/>
  <c r="BS595" i="7"/>
  <c r="BU595" i="7" s="1"/>
  <c r="BR663" i="7"/>
  <c r="BT663" i="7" s="1"/>
  <c r="BR698" i="7"/>
  <c r="BT698" i="7" s="1"/>
  <c r="BR720" i="7"/>
  <c r="BT720" i="7" s="1"/>
  <c r="BS585" i="7"/>
  <c r="BU585" i="7" s="1"/>
  <c r="BS591" i="7"/>
  <c r="BU591" i="7" s="1"/>
  <c r="BS612" i="7"/>
  <c r="BU612" i="7" s="1"/>
  <c r="BR617" i="7"/>
  <c r="BT617" i="7" s="1"/>
  <c r="BS622" i="7"/>
  <c r="BU622" i="7" s="1"/>
  <c r="BS658" i="7"/>
  <c r="BU658" i="7" s="1"/>
  <c r="BS686" i="7"/>
  <c r="BU686" i="7" s="1"/>
  <c r="BR700" i="7"/>
  <c r="BT700" i="7" s="1"/>
  <c r="BV700" i="7" s="1"/>
  <c r="BS725" i="7"/>
  <c r="BU725" i="7" s="1"/>
  <c r="BS739" i="7"/>
  <c r="BU739" i="7" s="1"/>
  <c r="BS761" i="7"/>
  <c r="BU761" i="7" s="1"/>
  <c r="BR799" i="7"/>
  <c r="BT799" i="7" s="1"/>
  <c r="BS822" i="7"/>
  <c r="BU822" i="7" s="1"/>
  <c r="BS829" i="7"/>
  <c r="BU829" i="7" s="1"/>
  <c r="BR526" i="7"/>
  <c r="BT526" i="7" s="1"/>
  <c r="BR531" i="7"/>
  <c r="BT531" i="7" s="1"/>
  <c r="BS536" i="7"/>
  <c r="BU536" i="7" s="1"/>
  <c r="BR545" i="7"/>
  <c r="BT545" i="7" s="1"/>
  <c r="BS552" i="7"/>
  <c r="BU552" i="7" s="1"/>
  <c r="BR554" i="7"/>
  <c r="BT554" i="7" s="1"/>
  <c r="BV554" i="7" s="1"/>
  <c r="BS561" i="7"/>
  <c r="BU561" i="7" s="1"/>
  <c r="BS572" i="7"/>
  <c r="BU572" i="7" s="1"/>
  <c r="BR574" i="7"/>
  <c r="BT574" i="7" s="1"/>
  <c r="BR604" i="7"/>
  <c r="BT604" i="7" s="1"/>
  <c r="BV604" i="7" s="1"/>
  <c r="BR608" i="7"/>
  <c r="BT608" i="7" s="1"/>
  <c r="BV608" i="7" s="1"/>
  <c r="BS610" i="7"/>
  <c r="BU610" i="7" s="1"/>
  <c r="BR620" i="7"/>
  <c r="BT620" i="7" s="1"/>
  <c r="BS638" i="7"/>
  <c r="BU638" i="7" s="1"/>
  <c r="BR659" i="7"/>
  <c r="BT659" i="7" s="1"/>
  <c r="BV659" i="7" s="1"/>
  <c r="BR665" i="7"/>
  <c r="BT665" i="7" s="1"/>
  <c r="BV665" i="7" s="1"/>
  <c r="BS671" i="7"/>
  <c r="BU671" i="7" s="1"/>
  <c r="BS680" i="7"/>
  <c r="BU680" i="7" s="1"/>
  <c r="BR731" i="7"/>
  <c r="BT731" i="7" s="1"/>
  <c r="BR565" i="7"/>
  <c r="BT565" i="7" s="1"/>
  <c r="BR606" i="7"/>
  <c r="BT606" i="7" s="1"/>
  <c r="BR615" i="7"/>
  <c r="BT615" i="7" s="1"/>
  <c r="BS625" i="7"/>
  <c r="BU625" i="7" s="1"/>
  <c r="BR641" i="7"/>
  <c r="BT641" i="7" s="1"/>
  <c r="BS644" i="7"/>
  <c r="BU644" i="7" s="1"/>
  <c r="BS650" i="7"/>
  <c r="BU650" i="7" s="1"/>
  <c r="BR656" i="7"/>
  <c r="BT656" i="7" s="1"/>
  <c r="BV656" i="7" s="1"/>
  <c r="BR701" i="7"/>
  <c r="BT701" i="7" s="1"/>
  <c r="BR740" i="7"/>
  <c r="BT740" i="7" s="1"/>
  <c r="BR801" i="7"/>
  <c r="BT801" i="7" s="1"/>
  <c r="BV801" i="7" s="1"/>
  <c r="BS565" i="7"/>
  <c r="BU565" i="7" s="1"/>
  <c r="BR567" i="7"/>
  <c r="BT567" i="7" s="1"/>
  <c r="BV567" i="7" s="1"/>
  <c r="BR576" i="7"/>
  <c r="BT576" i="7" s="1"/>
  <c r="BV576" i="7" s="1"/>
  <c r="BR578" i="7"/>
  <c r="BT578" i="7" s="1"/>
  <c r="BV578" i="7" s="1"/>
  <c r="BR596" i="7"/>
  <c r="BT596" i="7" s="1"/>
  <c r="BV596" i="7" s="1"/>
  <c r="BS600" i="7"/>
  <c r="BU600" i="7" s="1"/>
  <c r="BS606" i="7"/>
  <c r="BU606" i="7" s="1"/>
  <c r="BR618" i="7"/>
  <c r="BT618" i="7" s="1"/>
  <c r="BR623" i="7"/>
  <c r="BT623" i="7" s="1"/>
  <c r="BR687" i="7"/>
  <c r="BT687" i="7" s="1"/>
  <c r="BR694" i="7"/>
  <c r="BT694" i="7" s="1"/>
  <c r="BR741" i="7"/>
  <c r="BT741" i="7" s="1"/>
  <c r="BR558" i="7"/>
  <c r="BT558" i="7" s="1"/>
  <c r="BR582" i="7"/>
  <c r="BT582" i="7" s="1"/>
  <c r="BR584" i="7"/>
  <c r="BT584" i="7" s="1"/>
  <c r="BV584" i="7" s="1"/>
  <c r="BR588" i="7"/>
  <c r="BT588" i="7" s="1"/>
  <c r="BS592" i="7"/>
  <c r="BU592" i="7" s="1"/>
  <c r="BS594" i="7"/>
  <c r="BU594" i="7" s="1"/>
  <c r="BR613" i="7"/>
  <c r="BT613" i="7" s="1"/>
  <c r="BS618" i="7"/>
  <c r="BU618" i="7" s="1"/>
  <c r="BS623" i="7"/>
  <c r="BU623" i="7" s="1"/>
  <c r="BR651" i="7"/>
  <c r="BT651" i="7" s="1"/>
  <c r="BR672" i="7"/>
  <c r="BT672" i="7" s="1"/>
  <c r="BV672" i="7" s="1"/>
  <c r="BR678" i="7"/>
  <c r="BT678" i="7" s="1"/>
  <c r="BV678" i="7" s="1"/>
  <c r="BR684" i="7"/>
  <c r="BT684" i="7" s="1"/>
  <c r="BV684" i="7" s="1"/>
  <c r="BS705" i="7"/>
  <c r="BU705" i="7" s="1"/>
  <c r="BR727" i="7"/>
  <c r="BT727" i="7" s="1"/>
  <c r="BR732" i="7"/>
  <c r="BT732" i="7" s="1"/>
  <c r="BR752" i="7"/>
  <c r="BT752" i="7" s="1"/>
  <c r="BR818" i="7"/>
  <c r="BT818" i="7" s="1"/>
  <c r="BS549" i="7"/>
  <c r="BU549" i="7" s="1"/>
  <c r="BS569" i="7"/>
  <c r="BU569" i="7" s="1"/>
  <c r="BS586" i="7"/>
  <c r="BU586" i="7" s="1"/>
  <c r="BR611" i="7"/>
  <c r="BT611" i="7" s="1"/>
  <c r="BR616" i="7"/>
  <c r="BT616" i="7" s="1"/>
  <c r="BV616" i="7" s="1"/>
  <c r="BR626" i="7"/>
  <c r="BT626" i="7" s="1"/>
  <c r="BS631" i="7"/>
  <c r="BU631" i="7" s="1"/>
  <c r="BR639" i="7"/>
  <c r="BT639" i="7" s="1"/>
  <c r="BV639" i="7" s="1"/>
  <c r="BS657" i="7"/>
  <c r="BU657" i="7" s="1"/>
  <c r="BS663" i="7"/>
  <c r="BU663" i="7" s="1"/>
  <c r="BS669" i="7"/>
  <c r="BU669" i="7" s="1"/>
  <c r="BS681" i="7"/>
  <c r="BU681" i="7" s="1"/>
  <c r="BR702" i="7"/>
  <c r="BT702" i="7" s="1"/>
  <c r="BR710" i="7"/>
  <c r="BT710" i="7" s="1"/>
  <c r="BV710" i="7" s="1"/>
  <c r="BS728" i="7"/>
  <c r="BU728" i="7" s="1"/>
  <c r="BS764" i="7"/>
  <c r="BU764" i="7" s="1"/>
  <c r="BS899" i="7"/>
  <c r="BU899" i="7" s="1"/>
  <c r="BS1035" i="7"/>
  <c r="BU1035" i="7" s="1"/>
  <c r="BR537" i="7"/>
  <c r="BT537" i="7" s="1"/>
  <c r="BV537" i="7" s="1"/>
  <c r="BR544" i="7"/>
  <c r="BT544" i="7" s="1"/>
  <c r="BR553" i="7"/>
  <c r="BT553" i="7" s="1"/>
  <c r="BR573" i="7"/>
  <c r="BT573" i="7" s="1"/>
  <c r="BR609" i="7"/>
  <c r="BT609" i="7" s="1"/>
  <c r="BS611" i="7"/>
  <c r="BU611" i="7" s="1"/>
  <c r="BS616" i="7"/>
  <c r="BU616" i="7" s="1"/>
  <c r="BR634" i="7"/>
  <c r="BT634" i="7" s="1"/>
  <c r="BS695" i="7"/>
  <c r="BU695" i="7" s="1"/>
  <c r="BR864" i="7"/>
  <c r="BT864" i="7" s="1"/>
  <c r="BS1020" i="7"/>
  <c r="BU1020" i="7" s="1"/>
  <c r="BS609" i="7"/>
  <c r="BU609" i="7" s="1"/>
  <c r="BS634" i="7"/>
  <c r="BU634" i="7" s="1"/>
  <c r="BS715" i="7"/>
  <c r="BU715" i="7" s="1"/>
  <c r="BR748" i="7"/>
  <c r="BT748" i="7" s="1"/>
  <c r="BV748" i="7" s="1"/>
  <c r="BS835" i="7"/>
  <c r="BU835" i="7" s="1"/>
  <c r="BS854" i="7"/>
  <c r="BU854" i="7" s="1"/>
  <c r="BR555" i="7"/>
  <c r="BT555" i="7" s="1"/>
  <c r="BV555" i="7" s="1"/>
  <c r="BR575" i="7"/>
  <c r="BT575" i="7" s="1"/>
  <c r="BR599" i="7"/>
  <c r="BT599" i="7" s="1"/>
  <c r="BR603" i="7"/>
  <c r="BT603" i="7" s="1"/>
  <c r="BS607" i="7"/>
  <c r="BU607" i="7" s="1"/>
  <c r="BS629" i="7"/>
  <c r="BU629" i="7" s="1"/>
  <c r="BR670" i="7"/>
  <c r="BT670" i="7" s="1"/>
  <c r="BR676" i="7"/>
  <c r="BT676" i="7" s="1"/>
  <c r="BV676" i="7" s="1"/>
  <c r="BR679" i="7"/>
  <c r="BT679" i="7" s="1"/>
  <c r="BV679" i="7" s="1"/>
  <c r="BR685" i="7"/>
  <c r="BT685" i="7" s="1"/>
  <c r="BV685" i="7" s="1"/>
  <c r="BS699" i="7"/>
  <c r="BU699" i="7" s="1"/>
  <c r="BR771" i="7"/>
  <c r="BT771" i="7" s="1"/>
  <c r="BV771" i="7" s="1"/>
  <c r="BR812" i="7"/>
  <c r="BT812" i="7" s="1"/>
  <c r="BR527" i="7"/>
  <c r="BT527" i="7" s="1"/>
  <c r="BV527" i="7" s="1"/>
  <c r="BR532" i="7"/>
  <c r="BT532" i="7" s="1"/>
  <c r="BR539" i="7"/>
  <c r="BT539" i="7" s="1"/>
  <c r="BV539" i="7" s="1"/>
  <c r="BR546" i="7"/>
  <c r="BT546" i="7" s="1"/>
  <c r="BV546" i="7" s="1"/>
  <c r="BS564" i="7"/>
  <c r="BU564" i="7" s="1"/>
  <c r="BR577" i="7"/>
  <c r="BT577" i="7" s="1"/>
  <c r="BV577" i="7" s="1"/>
  <c r="BR601" i="7"/>
  <c r="BT601" i="7" s="1"/>
  <c r="BV601" i="7" s="1"/>
  <c r="BS605" i="7"/>
  <c r="BU605" i="7" s="1"/>
  <c r="BS619" i="7"/>
  <c r="BU619" i="7" s="1"/>
  <c r="BR624" i="7"/>
  <c r="BT624" i="7" s="1"/>
  <c r="BR637" i="7"/>
  <c r="BT637" i="7" s="1"/>
  <c r="BS652" i="7"/>
  <c r="BU652" i="7" s="1"/>
  <c r="BR673" i="7"/>
  <c r="BT673" i="7" s="1"/>
  <c r="BS676" i="7"/>
  <c r="BU676" i="7" s="1"/>
  <c r="BR682" i="7"/>
  <c r="BT682" i="7" s="1"/>
  <c r="BV682" i="7" s="1"/>
  <c r="BR692" i="7"/>
  <c r="BT692" i="7" s="1"/>
  <c r="BS703" i="7"/>
  <c r="BU703" i="7" s="1"/>
  <c r="BS707" i="7"/>
  <c r="BU707" i="7" s="1"/>
  <c r="BS765" i="7"/>
  <c r="BU765" i="7" s="1"/>
  <c r="BS791" i="7"/>
  <c r="BU791" i="7" s="1"/>
  <c r="BR975" i="7"/>
  <c r="BT975" i="7" s="1"/>
  <c r="BV975" i="7" s="1"/>
  <c r="BS555" i="7"/>
  <c r="BU555" i="7" s="1"/>
  <c r="BR557" i="7"/>
  <c r="BT557" i="7" s="1"/>
  <c r="BV557" i="7" s="1"/>
  <c r="BR566" i="7"/>
  <c r="BT566" i="7" s="1"/>
  <c r="BV566" i="7" s="1"/>
  <c r="BS575" i="7"/>
  <c r="BU575" i="7" s="1"/>
  <c r="BR579" i="7"/>
  <c r="BT579" i="7" s="1"/>
  <c r="BR589" i="7"/>
  <c r="BT589" i="7" s="1"/>
  <c r="BV589" i="7" s="1"/>
  <c r="BR593" i="7"/>
  <c r="BT593" i="7" s="1"/>
  <c r="BV593" i="7" s="1"/>
  <c r="BS597" i="7"/>
  <c r="BU597" i="7" s="1"/>
  <c r="BS599" i="7"/>
  <c r="BU599" i="7" s="1"/>
  <c r="BS614" i="7"/>
  <c r="BU614" i="7" s="1"/>
  <c r="BS624" i="7"/>
  <c r="BU624" i="7" s="1"/>
  <c r="BR632" i="7"/>
  <c r="BT632" i="7" s="1"/>
  <c r="BS649" i="7"/>
  <c r="BU649" i="7" s="1"/>
  <c r="BR661" i="7"/>
  <c r="BT661" i="7" s="1"/>
  <c r="BV661" i="7" s="1"/>
  <c r="BR667" i="7"/>
  <c r="BT667" i="7" s="1"/>
  <c r="BV667" i="7" s="1"/>
  <c r="BS692" i="7"/>
  <c r="BU692" i="7" s="1"/>
  <c r="BS729" i="7"/>
  <c r="BU729" i="7" s="1"/>
  <c r="BR749" i="7"/>
  <c r="BT749" i="7" s="1"/>
  <c r="BV749" i="7" s="1"/>
  <c r="BR587" i="7"/>
  <c r="BT587" i="7" s="1"/>
  <c r="BR592" i="7"/>
  <c r="BT592" i="7" s="1"/>
  <c r="BR597" i="7"/>
  <c r="BT597" i="7" s="1"/>
  <c r="BV597" i="7" s="1"/>
  <c r="BR602" i="7"/>
  <c r="BT602" i="7" s="1"/>
  <c r="BV602" i="7" s="1"/>
  <c r="BR607" i="7"/>
  <c r="BT607" i="7" s="1"/>
  <c r="BV607" i="7" s="1"/>
  <c r="BR614" i="7"/>
  <c r="BT614" i="7" s="1"/>
  <c r="BV614" i="7" s="1"/>
  <c r="BR636" i="7"/>
  <c r="BT636" i="7" s="1"/>
  <c r="BS651" i="7"/>
  <c r="BU651" i="7" s="1"/>
  <c r="BR655" i="7"/>
  <c r="BT655" i="7" s="1"/>
  <c r="BV655" i="7" s="1"/>
  <c r="BR657" i="7"/>
  <c r="BT657" i="7" s="1"/>
  <c r="BS670" i="7"/>
  <c r="BU670" i="7" s="1"/>
  <c r="BR728" i="7"/>
  <c r="BT728" i="7" s="1"/>
  <c r="BS736" i="7"/>
  <c r="BU736" i="7" s="1"/>
  <c r="BS749" i="7"/>
  <c r="BU749" i="7" s="1"/>
  <c r="BS755" i="7"/>
  <c r="BU755" i="7" s="1"/>
  <c r="BS758" i="7"/>
  <c r="BU758" i="7" s="1"/>
  <c r="BR761" i="7"/>
  <c r="BT761" i="7" s="1"/>
  <c r="BV761" i="7" s="1"/>
  <c r="BS784" i="7"/>
  <c r="BU784" i="7" s="1"/>
  <c r="BR819" i="7"/>
  <c r="BT819" i="7" s="1"/>
  <c r="BR889" i="7"/>
  <c r="BT889" i="7" s="1"/>
  <c r="BV889" i="7" s="1"/>
  <c r="BS918" i="7"/>
  <c r="BU918" i="7" s="1"/>
  <c r="BS770" i="7"/>
  <c r="BU770" i="7" s="1"/>
  <c r="BS774" i="7"/>
  <c r="BU774" i="7" s="1"/>
  <c r="BS833" i="7"/>
  <c r="BU833" i="7" s="1"/>
  <c r="BS909" i="7"/>
  <c r="BU909" i="7" s="1"/>
  <c r="BR1007" i="7"/>
  <c r="BT1007" i="7" s="1"/>
  <c r="BR629" i="7"/>
  <c r="BT629" i="7" s="1"/>
  <c r="BV629" i="7" s="1"/>
  <c r="BS642" i="7"/>
  <c r="BU642" i="7" s="1"/>
  <c r="BR644" i="7"/>
  <c r="BT644" i="7" s="1"/>
  <c r="BV644" i="7" s="1"/>
  <c r="BR646" i="7"/>
  <c r="BT646" i="7" s="1"/>
  <c r="BV646" i="7" s="1"/>
  <c r="BS661" i="7"/>
  <c r="BU661" i="7" s="1"/>
  <c r="BR691" i="7"/>
  <c r="BT691" i="7" s="1"/>
  <c r="BR708" i="7"/>
  <c r="BT708" i="7" s="1"/>
  <c r="BR718" i="7"/>
  <c r="BT718" i="7" s="1"/>
  <c r="BS726" i="7"/>
  <c r="BU726" i="7" s="1"/>
  <c r="BS734" i="7"/>
  <c r="BU734" i="7" s="1"/>
  <c r="BR756" i="7"/>
  <c r="BT756" i="7" s="1"/>
  <c r="BV756" i="7" s="1"/>
  <c r="BR759" i="7"/>
  <c r="BT759" i="7" s="1"/>
  <c r="BS796" i="7"/>
  <c r="BU796" i="7" s="1"/>
  <c r="BS859" i="7"/>
  <c r="BU859" i="7" s="1"/>
  <c r="BS892" i="7"/>
  <c r="BU892" i="7" s="1"/>
  <c r="BS718" i="7"/>
  <c r="BU718" i="7" s="1"/>
  <c r="BS737" i="7"/>
  <c r="BU737" i="7" s="1"/>
  <c r="BR742" i="7"/>
  <c r="BT742" i="7" s="1"/>
  <c r="BR745" i="7"/>
  <c r="BT745" i="7" s="1"/>
  <c r="BR762" i="7"/>
  <c r="BT762" i="7" s="1"/>
  <c r="BR765" i="7"/>
  <c r="BT765" i="7" s="1"/>
  <c r="BV765" i="7" s="1"/>
  <c r="BR768" i="7"/>
  <c r="BT768" i="7" s="1"/>
  <c r="BV768" i="7" s="1"/>
  <c r="BR778" i="7"/>
  <c r="BT778" i="7" s="1"/>
  <c r="BV778" i="7" s="1"/>
  <c r="BR789" i="7"/>
  <c r="BT789" i="7" s="1"/>
  <c r="BR804" i="7"/>
  <c r="BT804" i="7" s="1"/>
  <c r="BR834" i="7"/>
  <c r="BT834" i="7" s="1"/>
  <c r="BR868" i="7"/>
  <c r="BT868" i="7" s="1"/>
  <c r="BS648" i="7"/>
  <c r="BU648" i="7" s="1"/>
  <c r="BR650" i="7"/>
  <c r="BT650" i="7" s="1"/>
  <c r="BR652" i="7"/>
  <c r="BT652" i="7" s="1"/>
  <c r="BV652" i="7" s="1"/>
  <c r="BS665" i="7"/>
  <c r="BU665" i="7" s="1"/>
  <c r="BR671" i="7"/>
  <c r="BT671" i="7" s="1"/>
  <c r="BV671" i="7" s="1"/>
  <c r="BR677" i="7"/>
  <c r="BT677" i="7" s="1"/>
  <c r="BS687" i="7"/>
  <c r="BU687" i="7" s="1"/>
  <c r="BS689" i="7"/>
  <c r="BU689" i="7" s="1"/>
  <c r="BS696" i="7"/>
  <c r="BU696" i="7" s="1"/>
  <c r="BR716" i="7"/>
  <c r="BT716" i="7" s="1"/>
  <c r="BV716" i="7" s="1"/>
  <c r="BR721" i="7"/>
  <c r="BT721" i="7" s="1"/>
  <c r="BV721" i="7" s="1"/>
  <c r="BR729" i="7"/>
  <c r="BT729" i="7" s="1"/>
  <c r="BV729" i="7" s="1"/>
  <c r="BR782" i="7"/>
  <c r="BT782" i="7" s="1"/>
  <c r="BS868" i="7"/>
  <c r="BU868" i="7" s="1"/>
  <c r="BR985" i="7"/>
  <c r="BT985" i="7" s="1"/>
  <c r="BV985" i="7" s="1"/>
  <c r="BS613" i="7"/>
  <c r="BU613" i="7" s="1"/>
  <c r="BS637" i="7"/>
  <c r="BU637" i="7" s="1"/>
  <c r="BS654" i="7"/>
  <c r="BU654" i="7" s="1"/>
  <c r="BR658" i="7"/>
  <c r="BT658" i="7" s="1"/>
  <c r="BS675" i="7"/>
  <c r="BU675" i="7" s="1"/>
  <c r="BS679" i="7"/>
  <c r="BU679" i="7" s="1"/>
  <c r="BS683" i="7"/>
  <c r="BU683" i="7" s="1"/>
  <c r="BS685" i="7"/>
  <c r="BU685" i="7" s="1"/>
  <c r="BS694" i="7"/>
  <c r="BU694" i="7" s="1"/>
  <c r="BR711" i="7"/>
  <c r="BT711" i="7" s="1"/>
  <c r="BV711" i="7" s="1"/>
  <c r="BS748" i="7"/>
  <c r="BU748" i="7" s="1"/>
  <c r="BR826" i="7"/>
  <c r="BT826" i="7" s="1"/>
  <c r="BV826" i="7" s="1"/>
  <c r="BR954" i="7"/>
  <c r="BT954" i="7" s="1"/>
  <c r="BS727" i="7"/>
  <c r="BU727" i="7" s="1"/>
  <c r="BS735" i="7"/>
  <c r="BU735" i="7" s="1"/>
  <c r="BS743" i="7"/>
  <c r="BU743" i="7" s="1"/>
  <c r="BR751" i="7"/>
  <c r="BT751" i="7" s="1"/>
  <c r="BV751" i="7" s="1"/>
  <c r="BS754" i="7"/>
  <c r="BU754" i="7" s="1"/>
  <c r="BR766" i="7"/>
  <c r="BT766" i="7" s="1"/>
  <c r="BV766" i="7" s="1"/>
  <c r="BR769" i="7"/>
  <c r="BT769" i="7" s="1"/>
  <c r="BV769" i="7" s="1"/>
  <c r="BR790" i="7"/>
  <c r="BT790" i="7" s="1"/>
  <c r="BV790" i="7" s="1"/>
  <c r="BS849" i="7"/>
  <c r="BU849" i="7" s="1"/>
  <c r="BS533" i="7"/>
  <c r="BU533" i="7" s="1"/>
  <c r="BS538" i="7"/>
  <c r="BU538" i="7" s="1"/>
  <c r="BS543" i="7"/>
  <c r="BU543" i="7" s="1"/>
  <c r="BS548" i="7"/>
  <c r="BU548" i="7" s="1"/>
  <c r="BS553" i="7"/>
  <c r="BU553" i="7" s="1"/>
  <c r="BS558" i="7"/>
  <c r="BU558" i="7" s="1"/>
  <c r="BS563" i="7"/>
  <c r="BU563" i="7" s="1"/>
  <c r="BS568" i="7"/>
  <c r="BU568" i="7" s="1"/>
  <c r="BS573" i="7"/>
  <c r="BU573" i="7" s="1"/>
  <c r="BS578" i="7"/>
  <c r="BU578" i="7" s="1"/>
  <c r="BS583" i="7"/>
  <c r="BU583" i="7" s="1"/>
  <c r="BS588" i="7"/>
  <c r="BU588" i="7" s="1"/>
  <c r="BS593" i="7"/>
  <c r="BU593" i="7" s="1"/>
  <c r="BS598" i="7"/>
  <c r="BU598" i="7" s="1"/>
  <c r="BS603" i="7"/>
  <c r="BU603" i="7" s="1"/>
  <c r="BS608" i="7"/>
  <c r="BU608" i="7" s="1"/>
  <c r="BS615" i="7"/>
  <c r="BU615" i="7" s="1"/>
  <c r="BS617" i="7"/>
  <c r="BU617" i="7" s="1"/>
  <c r="BS626" i="7"/>
  <c r="BU626" i="7" s="1"/>
  <c r="BR628" i="7"/>
  <c r="BT628" i="7" s="1"/>
  <c r="BS639" i="7"/>
  <c r="BU639" i="7" s="1"/>
  <c r="BR643" i="7"/>
  <c r="BT643" i="7" s="1"/>
  <c r="BR660" i="7"/>
  <c r="BT660" i="7" s="1"/>
  <c r="BR662" i="7"/>
  <c r="BT662" i="7" s="1"/>
  <c r="BR697" i="7"/>
  <c r="BT697" i="7" s="1"/>
  <c r="BR709" i="7"/>
  <c r="BT709" i="7" s="1"/>
  <c r="BV709" i="7" s="1"/>
  <c r="BS714" i="7"/>
  <c r="BU714" i="7" s="1"/>
  <c r="BS719" i="7"/>
  <c r="BU719" i="7" s="1"/>
  <c r="BR760" i="7"/>
  <c r="BT760" i="7" s="1"/>
  <c r="BS818" i="7"/>
  <c r="BU818" i="7" s="1"/>
  <c r="BR831" i="7"/>
  <c r="BT831" i="7" s="1"/>
  <c r="BV831" i="7" s="1"/>
  <c r="BS862" i="7"/>
  <c r="BU862" i="7" s="1"/>
  <c r="BS1064" i="7"/>
  <c r="BU1064" i="7" s="1"/>
  <c r="BR619" i="7"/>
  <c r="BT619" i="7" s="1"/>
  <c r="BV619" i="7" s="1"/>
  <c r="BS641" i="7"/>
  <c r="BU641" i="7" s="1"/>
  <c r="BS662" i="7"/>
  <c r="BU662" i="7" s="1"/>
  <c r="BR664" i="7"/>
  <c r="BT664" i="7" s="1"/>
  <c r="BV664" i="7" s="1"/>
  <c r="BR666" i="7"/>
  <c r="BT666" i="7" s="1"/>
  <c r="BV666" i="7" s="1"/>
  <c r="BR688" i="7"/>
  <c r="BT688" i="7" s="1"/>
  <c r="BV688" i="7" s="1"/>
  <c r="BR690" i="7"/>
  <c r="BT690" i="7" s="1"/>
  <c r="BS697" i="7"/>
  <c r="BU697" i="7" s="1"/>
  <c r="BR738" i="7"/>
  <c r="BT738" i="7" s="1"/>
  <c r="BS746" i="7"/>
  <c r="BU746" i="7" s="1"/>
  <c r="BS763" i="7"/>
  <c r="BU763" i="7" s="1"/>
  <c r="BS766" i="7"/>
  <c r="BU766" i="7" s="1"/>
  <c r="BR776" i="7"/>
  <c r="BT776" i="7" s="1"/>
  <c r="BR779" i="7"/>
  <c r="BT779" i="7" s="1"/>
  <c r="BR798" i="7"/>
  <c r="BT798" i="7" s="1"/>
  <c r="BR814" i="7"/>
  <c r="BT814" i="7" s="1"/>
  <c r="BV814" i="7" s="1"/>
  <c r="BR827" i="7"/>
  <c r="BT827" i="7" s="1"/>
  <c r="BV827" i="7" s="1"/>
  <c r="BR580" i="7"/>
  <c r="BT580" i="7" s="1"/>
  <c r="BR585" i="7"/>
  <c r="BT585" i="7" s="1"/>
  <c r="BR590" i="7"/>
  <c r="BT590" i="7" s="1"/>
  <c r="BV590" i="7" s="1"/>
  <c r="BR595" i="7"/>
  <c r="BT595" i="7" s="1"/>
  <c r="BV595" i="7" s="1"/>
  <c r="BR600" i="7"/>
  <c r="BT600" i="7" s="1"/>
  <c r="BR605" i="7"/>
  <c r="BT605" i="7" s="1"/>
  <c r="BR610" i="7"/>
  <c r="BT610" i="7" s="1"/>
  <c r="BV610" i="7" s="1"/>
  <c r="BS628" i="7"/>
  <c r="BU628" i="7" s="1"/>
  <c r="BS643" i="7"/>
  <c r="BU643" i="7" s="1"/>
  <c r="BR645" i="7"/>
  <c r="BT645" i="7" s="1"/>
  <c r="BR647" i="7"/>
  <c r="BT647" i="7" s="1"/>
  <c r="BS660" i="7"/>
  <c r="BU660" i="7" s="1"/>
  <c r="BS664" i="7"/>
  <c r="BU664" i="7" s="1"/>
  <c r="BR668" i="7"/>
  <c r="BT668" i="7" s="1"/>
  <c r="BS709" i="7"/>
  <c r="BU709" i="7" s="1"/>
  <c r="BR717" i="7"/>
  <c r="BT717" i="7" s="1"/>
  <c r="BV717" i="7" s="1"/>
  <c r="BR730" i="7"/>
  <c r="BT730" i="7" s="1"/>
  <c r="BS760" i="7"/>
  <c r="BU760" i="7" s="1"/>
  <c r="BR787" i="7"/>
  <c r="BT787" i="7" s="1"/>
  <c r="BS843" i="7"/>
  <c r="BU843" i="7" s="1"/>
  <c r="BS850" i="7"/>
  <c r="BU850" i="7" s="1"/>
  <c r="BR956" i="7"/>
  <c r="BT956" i="7" s="1"/>
  <c r="BS647" i="7"/>
  <c r="BU647" i="7" s="1"/>
  <c r="BR649" i="7"/>
  <c r="BT649" i="7" s="1"/>
  <c r="BV649" i="7" s="1"/>
  <c r="BS666" i="7"/>
  <c r="BU666" i="7" s="1"/>
  <c r="BS688" i="7"/>
  <c r="BU688" i="7" s="1"/>
  <c r="BS690" i="7"/>
  <c r="BU690" i="7" s="1"/>
  <c r="BR707" i="7"/>
  <c r="BT707" i="7" s="1"/>
  <c r="BV707" i="7" s="1"/>
  <c r="BR712" i="7"/>
  <c r="BT712" i="7" s="1"/>
  <c r="BV712" i="7" s="1"/>
  <c r="BS717" i="7"/>
  <c r="BU717" i="7" s="1"/>
  <c r="BR722" i="7"/>
  <c r="BT722" i="7" s="1"/>
  <c r="BR725" i="7"/>
  <c r="BT725" i="7" s="1"/>
  <c r="BS738" i="7"/>
  <c r="BU738" i="7" s="1"/>
  <c r="BR806" i="7"/>
  <c r="BT806" i="7" s="1"/>
  <c r="BV806" i="7" s="1"/>
  <c r="BR810" i="7"/>
  <c r="BT810" i="7" s="1"/>
  <c r="BS823" i="7"/>
  <c r="BU823" i="7" s="1"/>
  <c r="BS827" i="7"/>
  <c r="BU827" i="7" s="1"/>
  <c r="BR927" i="7"/>
  <c r="BT927" i="7" s="1"/>
  <c r="BV927" i="7" s="1"/>
  <c r="BS937" i="7"/>
  <c r="BU937" i="7" s="1"/>
  <c r="BR699" i="7"/>
  <c r="BT699" i="7" s="1"/>
  <c r="BV699" i="7" s="1"/>
  <c r="BR719" i="7"/>
  <c r="BT719" i="7" s="1"/>
  <c r="BR739" i="7"/>
  <c r="BT739" i="7" s="1"/>
  <c r="BS759" i="7"/>
  <c r="BU759" i="7" s="1"/>
  <c r="BR763" i="7"/>
  <c r="BT763" i="7" s="1"/>
  <c r="BV763" i="7" s="1"/>
  <c r="BS769" i="7"/>
  <c r="BU769" i="7" s="1"/>
  <c r="BS771" i="7"/>
  <c r="BU771" i="7" s="1"/>
  <c r="BS782" i="7"/>
  <c r="BU782" i="7" s="1"/>
  <c r="BR791" i="7"/>
  <c r="BT791" i="7" s="1"/>
  <c r="BV791" i="7" s="1"/>
  <c r="BR823" i="7"/>
  <c r="BT823" i="7" s="1"/>
  <c r="BV823" i="7" s="1"/>
  <c r="BS831" i="7"/>
  <c r="BU831" i="7" s="1"/>
  <c r="BS834" i="7"/>
  <c r="BU834" i="7" s="1"/>
  <c r="BS857" i="7"/>
  <c r="BU857" i="7" s="1"/>
  <c r="BS915" i="7"/>
  <c r="BU915" i="7" s="1"/>
  <c r="BS946" i="7"/>
  <c r="BU946" i="7" s="1"/>
  <c r="BS999" i="7"/>
  <c r="BU999" i="7" s="1"/>
  <c r="BS1008" i="7"/>
  <c r="BU1008" i="7" s="1"/>
  <c r="BR1019" i="7"/>
  <c r="BT1019" i="7" s="1"/>
  <c r="BS701" i="7"/>
  <c r="BU701" i="7" s="1"/>
  <c r="BR703" i="7"/>
  <c r="BT703" i="7" s="1"/>
  <c r="BS710" i="7"/>
  <c r="BU710" i="7" s="1"/>
  <c r="BS712" i="7"/>
  <c r="BU712" i="7" s="1"/>
  <c r="BS721" i="7"/>
  <c r="BU721" i="7" s="1"/>
  <c r="BR723" i="7"/>
  <c r="BT723" i="7" s="1"/>
  <c r="BS730" i="7"/>
  <c r="BU730" i="7" s="1"/>
  <c r="BS732" i="7"/>
  <c r="BU732" i="7" s="1"/>
  <c r="BS741" i="7"/>
  <c r="BU741" i="7" s="1"/>
  <c r="BR743" i="7"/>
  <c r="BT743" i="7" s="1"/>
  <c r="BS750" i="7"/>
  <c r="BU750" i="7" s="1"/>
  <c r="BS752" i="7"/>
  <c r="BU752" i="7" s="1"/>
  <c r="BS789" i="7"/>
  <c r="BU789" i="7" s="1"/>
  <c r="BR796" i="7"/>
  <c r="BT796" i="7" s="1"/>
  <c r="BR829" i="7"/>
  <c r="BT829" i="7" s="1"/>
  <c r="BV829" i="7" s="1"/>
  <c r="BR846" i="7"/>
  <c r="BT846" i="7" s="1"/>
  <c r="BR882" i="7"/>
  <c r="BT882" i="7" s="1"/>
  <c r="BS910" i="7"/>
  <c r="BU910" i="7" s="1"/>
  <c r="BR935" i="7"/>
  <c r="BT935" i="7" s="1"/>
  <c r="BR983" i="7"/>
  <c r="BT983" i="7" s="1"/>
  <c r="BR734" i="7"/>
  <c r="BT734" i="7" s="1"/>
  <c r="BV734" i="7" s="1"/>
  <c r="BR754" i="7"/>
  <c r="BT754" i="7" s="1"/>
  <c r="BS776" i="7"/>
  <c r="BU776" i="7" s="1"/>
  <c r="BS785" i="7"/>
  <c r="BU785" i="7" s="1"/>
  <c r="BS787" i="7"/>
  <c r="BU787" i="7" s="1"/>
  <c r="BS798" i="7"/>
  <c r="BU798" i="7" s="1"/>
  <c r="BS810" i="7"/>
  <c r="BU810" i="7" s="1"/>
  <c r="BR821" i="7"/>
  <c r="BT821" i="7" s="1"/>
  <c r="BV821" i="7" s="1"/>
  <c r="BR867" i="7"/>
  <c r="BT867" i="7" s="1"/>
  <c r="BR1059" i="7"/>
  <c r="BT1059" i="7" s="1"/>
  <c r="BV1059" i="7" s="1"/>
  <c r="BS794" i="7"/>
  <c r="BU794" i="7" s="1"/>
  <c r="BR803" i="7"/>
  <c r="BT803" i="7" s="1"/>
  <c r="BV803" i="7" s="1"/>
  <c r="BS808" i="7"/>
  <c r="BU808" i="7" s="1"/>
  <c r="BS821" i="7"/>
  <c r="BU821" i="7" s="1"/>
  <c r="BR824" i="7"/>
  <c r="BT824" i="7" s="1"/>
  <c r="BS851" i="7"/>
  <c r="BU851" i="7" s="1"/>
  <c r="BS917" i="7"/>
  <c r="BU917" i="7" s="1"/>
  <c r="BR930" i="7"/>
  <c r="BT930" i="7" s="1"/>
  <c r="BR977" i="7"/>
  <c r="BT977" i="7" s="1"/>
  <c r="BR993" i="7"/>
  <c r="BT993" i="7" s="1"/>
  <c r="BR1047" i="7"/>
  <c r="BT1047" i="7" s="1"/>
  <c r="BV1047" i="7" s="1"/>
  <c r="BS1090" i="7"/>
  <c r="BU1090" i="7" s="1"/>
  <c r="BS1226" i="7"/>
  <c r="BU1226" i="7" s="1"/>
  <c r="BR758" i="7"/>
  <c r="BT758" i="7" s="1"/>
  <c r="BV758" i="7" s="1"/>
  <c r="BR816" i="7"/>
  <c r="BT816" i="7" s="1"/>
  <c r="BS824" i="7"/>
  <c r="BU824" i="7" s="1"/>
  <c r="BR859" i="7"/>
  <c r="BT859" i="7" s="1"/>
  <c r="BV859" i="7" s="1"/>
  <c r="BR883" i="7"/>
  <c r="BT883" i="7" s="1"/>
  <c r="BS930" i="7"/>
  <c r="BU930" i="7" s="1"/>
  <c r="BR1025" i="7"/>
  <c r="BT1025" i="7" s="1"/>
  <c r="BV1025" i="7" s="1"/>
  <c r="BR1159" i="7"/>
  <c r="BT1159" i="7" s="1"/>
  <c r="BV1159" i="7" s="1"/>
  <c r="BS836" i="7"/>
  <c r="BU836" i="7" s="1"/>
  <c r="BR856" i="7"/>
  <c r="BT856" i="7" s="1"/>
  <c r="BR884" i="7"/>
  <c r="BT884" i="7" s="1"/>
  <c r="BS889" i="7"/>
  <c r="BU889" i="7" s="1"/>
  <c r="BS925" i="7"/>
  <c r="BU925" i="7" s="1"/>
  <c r="BS964" i="7"/>
  <c r="BU964" i="7" s="1"/>
  <c r="BR1015" i="7"/>
  <c r="BT1015" i="7" s="1"/>
  <c r="BS1194" i="7"/>
  <c r="BU1194" i="7" s="1"/>
  <c r="BS682" i="7"/>
  <c r="BU682" i="7" s="1"/>
  <c r="BS691" i="7"/>
  <c r="BU691" i="7" s="1"/>
  <c r="BR693" i="7"/>
  <c r="BT693" i="7" s="1"/>
  <c r="BS700" i="7"/>
  <c r="BU700" i="7" s="1"/>
  <c r="BS702" i="7"/>
  <c r="BU702" i="7" s="1"/>
  <c r="BS711" i="7"/>
  <c r="BU711" i="7" s="1"/>
  <c r="BR713" i="7"/>
  <c r="BT713" i="7" s="1"/>
  <c r="BV713" i="7" s="1"/>
  <c r="BS720" i="7"/>
  <c r="BU720" i="7" s="1"/>
  <c r="BS722" i="7"/>
  <c r="BU722" i="7" s="1"/>
  <c r="BS731" i="7"/>
  <c r="BU731" i="7" s="1"/>
  <c r="BR733" i="7"/>
  <c r="BT733" i="7" s="1"/>
  <c r="BV733" i="7" s="1"/>
  <c r="BS740" i="7"/>
  <c r="BU740" i="7" s="1"/>
  <c r="BS742" i="7"/>
  <c r="BU742" i="7" s="1"/>
  <c r="BS751" i="7"/>
  <c r="BU751" i="7" s="1"/>
  <c r="BR753" i="7"/>
  <c r="BT753" i="7" s="1"/>
  <c r="BR775" i="7"/>
  <c r="BT775" i="7" s="1"/>
  <c r="BR777" i="7"/>
  <c r="BT777" i="7" s="1"/>
  <c r="BR797" i="7"/>
  <c r="BT797" i="7" s="1"/>
  <c r="BS814" i="7"/>
  <c r="BU814" i="7" s="1"/>
  <c r="BR840" i="7"/>
  <c r="BT840" i="7" s="1"/>
  <c r="BS852" i="7"/>
  <c r="BU852" i="7" s="1"/>
  <c r="BS856" i="7"/>
  <c r="BU856" i="7" s="1"/>
  <c r="BR919" i="7"/>
  <c r="BT919" i="7" s="1"/>
  <c r="BV919" i="7" s="1"/>
  <c r="BS987" i="7"/>
  <c r="BU987" i="7" s="1"/>
  <c r="BR704" i="7"/>
  <c r="BT704" i="7" s="1"/>
  <c r="BV704" i="7" s="1"/>
  <c r="BR724" i="7"/>
  <c r="BT724" i="7" s="1"/>
  <c r="BR744" i="7"/>
  <c r="BT744" i="7" s="1"/>
  <c r="BV744" i="7" s="1"/>
  <c r="BR786" i="7"/>
  <c r="BT786" i="7" s="1"/>
  <c r="BR788" i="7"/>
  <c r="BT788" i="7" s="1"/>
  <c r="BR795" i="7"/>
  <c r="BT795" i="7" s="1"/>
  <c r="BS799" i="7"/>
  <c r="BU799" i="7" s="1"/>
  <c r="BR802" i="7"/>
  <c r="BT802" i="7" s="1"/>
  <c r="BV802" i="7" s="1"/>
  <c r="BS804" i="7"/>
  <c r="BU804" i="7" s="1"/>
  <c r="BR825" i="7"/>
  <c r="BT825" i="7" s="1"/>
  <c r="BR844" i="7"/>
  <c r="BT844" i="7" s="1"/>
  <c r="BR869" i="7"/>
  <c r="BT869" i="7" s="1"/>
  <c r="BR874" i="7"/>
  <c r="BT874" i="7" s="1"/>
  <c r="BS951" i="7"/>
  <c r="BU951" i="7" s="1"/>
  <c r="BR996" i="7"/>
  <c r="BT996" i="7" s="1"/>
  <c r="BS633" i="7"/>
  <c r="BU633" i="7" s="1"/>
  <c r="BS653" i="7"/>
  <c r="BU653" i="7" s="1"/>
  <c r="BS673" i="7"/>
  <c r="BU673" i="7" s="1"/>
  <c r="BS693" i="7"/>
  <c r="BU693" i="7" s="1"/>
  <c r="BS713" i="7"/>
  <c r="BU713" i="7" s="1"/>
  <c r="BS733" i="7"/>
  <c r="BU733" i="7" s="1"/>
  <c r="BS753" i="7"/>
  <c r="BU753" i="7" s="1"/>
  <c r="BS775" i="7"/>
  <c r="BU775" i="7" s="1"/>
  <c r="BS777" i="7"/>
  <c r="BU777" i="7" s="1"/>
  <c r="BR784" i="7"/>
  <c r="BT784" i="7" s="1"/>
  <c r="BS797" i="7"/>
  <c r="BU797" i="7" s="1"/>
  <c r="BR828" i="7"/>
  <c r="BT828" i="7" s="1"/>
  <c r="BV828" i="7" s="1"/>
  <c r="BS840" i="7"/>
  <c r="BU840" i="7" s="1"/>
  <c r="BR885" i="7"/>
  <c r="BT885" i="7" s="1"/>
  <c r="BV885" i="7" s="1"/>
  <c r="BR939" i="7"/>
  <c r="BT939" i="7" s="1"/>
  <c r="BR675" i="7"/>
  <c r="BT675" i="7" s="1"/>
  <c r="BV675" i="7" s="1"/>
  <c r="BS684" i="7"/>
  <c r="BU684" i="7" s="1"/>
  <c r="BR686" i="7"/>
  <c r="BT686" i="7" s="1"/>
  <c r="BR695" i="7"/>
  <c r="BT695" i="7" s="1"/>
  <c r="BS704" i="7"/>
  <c r="BU704" i="7" s="1"/>
  <c r="BR706" i="7"/>
  <c r="BT706" i="7" s="1"/>
  <c r="BV706" i="7" s="1"/>
  <c r="BR715" i="7"/>
  <c r="BT715" i="7" s="1"/>
  <c r="BS724" i="7"/>
  <c r="BU724" i="7" s="1"/>
  <c r="BR726" i="7"/>
  <c r="BT726" i="7" s="1"/>
  <c r="BV726" i="7" s="1"/>
  <c r="BR735" i="7"/>
  <c r="BT735" i="7" s="1"/>
  <c r="BS744" i="7"/>
  <c r="BU744" i="7" s="1"/>
  <c r="BR746" i="7"/>
  <c r="BT746" i="7" s="1"/>
  <c r="BV746" i="7" s="1"/>
  <c r="BR755" i="7"/>
  <c r="BT755" i="7" s="1"/>
  <c r="BV755" i="7" s="1"/>
  <c r="BS786" i="7"/>
  <c r="BU786" i="7" s="1"/>
  <c r="BS795" i="7"/>
  <c r="BU795" i="7" s="1"/>
  <c r="BS802" i="7"/>
  <c r="BU802" i="7" s="1"/>
  <c r="BR817" i="7"/>
  <c r="BT817" i="7" s="1"/>
  <c r="BV817" i="7" s="1"/>
  <c r="BR820" i="7"/>
  <c r="BT820" i="7" s="1"/>
  <c r="BV820" i="7" s="1"/>
  <c r="BS825" i="7"/>
  <c r="BU825" i="7" s="1"/>
  <c r="BR849" i="7"/>
  <c r="BT849" i="7" s="1"/>
  <c r="BV849" i="7" s="1"/>
  <c r="BR865" i="7"/>
  <c r="BT865" i="7" s="1"/>
  <c r="BS880" i="7"/>
  <c r="BU880" i="7" s="1"/>
  <c r="BS885" i="7"/>
  <c r="BU885" i="7" s="1"/>
  <c r="BR988" i="7"/>
  <c r="BT988" i="7" s="1"/>
  <c r="BS1041" i="7"/>
  <c r="BU1041" i="7" s="1"/>
  <c r="BR1163" i="7"/>
  <c r="BT1163" i="7" s="1"/>
  <c r="BV1163" i="7" s="1"/>
  <c r="BR822" i="7"/>
  <c r="BT822" i="7" s="1"/>
  <c r="BV822" i="7" s="1"/>
  <c r="BS826" i="7"/>
  <c r="BU826" i="7" s="1"/>
  <c r="BR835" i="7"/>
  <c r="BT835" i="7" s="1"/>
  <c r="BS845" i="7"/>
  <c r="BU845" i="7" s="1"/>
  <c r="BS853" i="7"/>
  <c r="BU853" i="7" s="1"/>
  <c r="BS858" i="7"/>
  <c r="BU858" i="7" s="1"/>
  <c r="BS872" i="7"/>
  <c r="BU872" i="7" s="1"/>
  <c r="BR879" i="7"/>
  <c r="BT879" i="7" s="1"/>
  <c r="BV879" i="7" s="1"/>
  <c r="BS882" i="7"/>
  <c r="BU882" i="7" s="1"/>
  <c r="BS903" i="7"/>
  <c r="BU903" i="7" s="1"/>
  <c r="BR950" i="7"/>
  <c r="BT950" i="7" s="1"/>
  <c r="BV950" i="7" s="1"/>
  <c r="BS962" i="7"/>
  <c r="BU962" i="7" s="1"/>
  <c r="BR1006" i="7"/>
  <c r="BT1006" i="7" s="1"/>
  <c r="BV1006" i="7" s="1"/>
  <c r="BR843" i="7"/>
  <c r="BT843" i="7" s="1"/>
  <c r="BR851" i="7"/>
  <c r="BT851" i="7" s="1"/>
  <c r="BV851" i="7" s="1"/>
  <c r="BS861" i="7"/>
  <c r="BU861" i="7" s="1"/>
  <c r="BR876" i="7"/>
  <c r="BT876" i="7" s="1"/>
  <c r="BS886" i="7"/>
  <c r="BU886" i="7" s="1"/>
  <c r="BS919" i="7"/>
  <c r="BU919" i="7" s="1"/>
  <c r="BR980" i="7"/>
  <c r="BT980" i="7" s="1"/>
  <c r="BS838" i="7"/>
  <c r="BU838" i="7" s="1"/>
  <c r="BR870" i="7"/>
  <c r="BT870" i="7" s="1"/>
  <c r="BR897" i="7"/>
  <c r="BT897" i="7" s="1"/>
  <c r="BR908" i="7"/>
  <c r="BT908" i="7" s="1"/>
  <c r="BS936" i="7"/>
  <c r="BU936" i="7" s="1"/>
  <c r="BS955" i="7"/>
  <c r="BU955" i="7" s="1"/>
  <c r="BR967" i="7"/>
  <c r="BT967" i="7" s="1"/>
  <c r="BV967" i="7" s="1"/>
  <c r="BR989" i="7"/>
  <c r="BT989" i="7" s="1"/>
  <c r="BV989" i="7" s="1"/>
  <c r="BR995" i="7"/>
  <c r="BT995" i="7" s="1"/>
  <c r="BR880" i="7"/>
  <c r="BT880" i="7" s="1"/>
  <c r="BV880" i="7" s="1"/>
  <c r="BS883" i="7"/>
  <c r="BU883" i="7" s="1"/>
  <c r="BS897" i="7"/>
  <c r="BU897" i="7" s="1"/>
  <c r="BR912" i="7"/>
  <c r="BT912" i="7" s="1"/>
  <c r="BV912" i="7" s="1"/>
  <c r="BR916" i="7"/>
  <c r="BT916" i="7" s="1"/>
  <c r="BR924" i="7"/>
  <c r="BT924" i="7" s="1"/>
  <c r="BR959" i="7"/>
  <c r="BT959" i="7" s="1"/>
  <c r="BS967" i="7"/>
  <c r="BU967" i="7" s="1"/>
  <c r="BS1014" i="7"/>
  <c r="BU1014" i="7" s="1"/>
  <c r="BS1096" i="7"/>
  <c r="BU1096" i="7" s="1"/>
  <c r="BR836" i="7"/>
  <c r="BT836" i="7" s="1"/>
  <c r="BR854" i="7"/>
  <c r="BT854" i="7" s="1"/>
  <c r="BS870" i="7"/>
  <c r="BU870" i="7" s="1"/>
  <c r="BR890" i="7"/>
  <c r="BT890" i="7" s="1"/>
  <c r="BR901" i="7"/>
  <c r="BT901" i="7" s="1"/>
  <c r="BV901" i="7" s="1"/>
  <c r="BS912" i="7"/>
  <c r="BU912" i="7" s="1"/>
  <c r="BR928" i="7"/>
  <c r="BT928" i="7" s="1"/>
  <c r="BV928" i="7" s="1"/>
  <c r="BS940" i="7"/>
  <c r="BU940" i="7" s="1"/>
  <c r="BR944" i="7"/>
  <c r="BT944" i="7" s="1"/>
  <c r="BV944" i="7" s="1"/>
  <c r="BR976" i="7"/>
  <c r="BT976" i="7" s="1"/>
  <c r="BV976" i="7" s="1"/>
  <c r="BR1008" i="7"/>
  <c r="BT1008" i="7" s="1"/>
  <c r="BV1008" i="7" s="1"/>
  <c r="BS1063" i="7"/>
  <c r="BU1063" i="7" s="1"/>
  <c r="BS956" i="7"/>
  <c r="BU956" i="7" s="1"/>
  <c r="BS981" i="7"/>
  <c r="BU981" i="7" s="1"/>
  <c r="BR1181" i="7"/>
  <c r="BT1181" i="7" s="1"/>
  <c r="BR941" i="7"/>
  <c r="BT941" i="7" s="1"/>
  <c r="BS1111" i="7"/>
  <c r="BU1111" i="7" s="1"/>
  <c r="BR1123" i="7"/>
  <c r="BT1123" i="7" s="1"/>
  <c r="BS779" i="7"/>
  <c r="BU779" i="7" s="1"/>
  <c r="BR781" i="7"/>
  <c r="BT781" i="7" s="1"/>
  <c r="BS790" i="7"/>
  <c r="BU790" i="7" s="1"/>
  <c r="BS801" i="7"/>
  <c r="BU801" i="7" s="1"/>
  <c r="BS807" i="7"/>
  <c r="BU807" i="7" s="1"/>
  <c r="BR809" i="7"/>
  <c r="BT809" i="7" s="1"/>
  <c r="BR811" i="7"/>
  <c r="BT811" i="7" s="1"/>
  <c r="BR813" i="7"/>
  <c r="BT813" i="7" s="1"/>
  <c r="BR815" i="7"/>
  <c r="BT815" i="7" s="1"/>
  <c r="BV815" i="7" s="1"/>
  <c r="BR839" i="7"/>
  <c r="BT839" i="7" s="1"/>
  <c r="BV839" i="7" s="1"/>
  <c r="BS844" i="7"/>
  <c r="BU844" i="7" s="1"/>
  <c r="BR847" i="7"/>
  <c r="BT847" i="7" s="1"/>
  <c r="BR881" i="7"/>
  <c r="BT881" i="7" s="1"/>
  <c r="BR929" i="7"/>
  <c r="BT929" i="7" s="1"/>
  <c r="BV929" i="7" s="1"/>
  <c r="BR945" i="7"/>
  <c r="BT945" i="7" s="1"/>
  <c r="BV945" i="7" s="1"/>
  <c r="BR1048" i="7"/>
  <c r="BT1048" i="7" s="1"/>
  <c r="BV1048" i="7" s="1"/>
  <c r="BR1057" i="7"/>
  <c r="BT1057" i="7" s="1"/>
  <c r="BR1138" i="7"/>
  <c r="BT1138" i="7" s="1"/>
  <c r="BR767" i="7"/>
  <c r="BT767" i="7" s="1"/>
  <c r="BR772" i="7"/>
  <c r="BT772" i="7" s="1"/>
  <c r="BR792" i="7"/>
  <c r="BT792" i="7" s="1"/>
  <c r="BS803" i="7"/>
  <c r="BU803" i="7" s="1"/>
  <c r="BR805" i="7"/>
  <c r="BT805" i="7" s="1"/>
  <c r="BS817" i="7"/>
  <c r="BU817" i="7" s="1"/>
  <c r="BS847" i="7"/>
  <c r="BU847" i="7" s="1"/>
  <c r="BR860" i="7"/>
  <c r="BT860" i="7" s="1"/>
  <c r="BV860" i="7" s="1"/>
  <c r="BR878" i="7"/>
  <c r="BT878" i="7" s="1"/>
  <c r="BV878" i="7" s="1"/>
  <c r="BS888" i="7"/>
  <c r="BU888" i="7" s="1"/>
  <c r="BR891" i="7"/>
  <c r="BT891" i="7" s="1"/>
  <c r="BV891" i="7" s="1"/>
  <c r="BR902" i="7"/>
  <c r="BT902" i="7" s="1"/>
  <c r="BV902" i="7" s="1"/>
  <c r="BS982" i="7"/>
  <c r="BU982" i="7" s="1"/>
  <c r="BR1010" i="7"/>
  <c r="BT1010" i="7" s="1"/>
  <c r="BR1018" i="7"/>
  <c r="BT1018" i="7" s="1"/>
  <c r="BS781" i="7"/>
  <c r="BU781" i="7" s="1"/>
  <c r="BS809" i="7"/>
  <c r="BU809" i="7" s="1"/>
  <c r="BS811" i="7"/>
  <c r="BU811" i="7" s="1"/>
  <c r="BS815" i="7"/>
  <c r="BU815" i="7" s="1"/>
  <c r="BR842" i="7"/>
  <c r="BT842" i="7" s="1"/>
  <c r="BR850" i="7"/>
  <c r="BT850" i="7" s="1"/>
  <c r="BS891" i="7"/>
  <c r="BU891" i="7" s="1"/>
  <c r="BS914" i="7"/>
  <c r="BU914" i="7" s="1"/>
  <c r="BS945" i="7"/>
  <c r="BU945" i="7" s="1"/>
  <c r="BS957" i="7"/>
  <c r="BU957" i="7" s="1"/>
  <c r="BS998" i="7"/>
  <c r="BU998" i="7" s="1"/>
  <c r="BS1067" i="7"/>
  <c r="BU1067" i="7" s="1"/>
  <c r="BR1112" i="7"/>
  <c r="BT1112" i="7" s="1"/>
  <c r="BV1112" i="7" s="1"/>
  <c r="BS757" i="7"/>
  <c r="BU757" i="7" s="1"/>
  <c r="BS762" i="7"/>
  <c r="BU762" i="7" s="1"/>
  <c r="BS767" i="7"/>
  <c r="BU767" i="7" s="1"/>
  <c r="BS772" i="7"/>
  <c r="BU772" i="7" s="1"/>
  <c r="BR774" i="7"/>
  <c r="BT774" i="7" s="1"/>
  <c r="BV774" i="7" s="1"/>
  <c r="BR783" i="7"/>
  <c r="BT783" i="7" s="1"/>
  <c r="BR785" i="7"/>
  <c r="BT785" i="7" s="1"/>
  <c r="BV785" i="7" s="1"/>
  <c r="BS792" i="7"/>
  <c r="BU792" i="7" s="1"/>
  <c r="BR794" i="7"/>
  <c r="BT794" i="7" s="1"/>
  <c r="BV794" i="7" s="1"/>
  <c r="BS830" i="7"/>
  <c r="BU830" i="7" s="1"/>
  <c r="BS842" i="7"/>
  <c r="BU842" i="7" s="1"/>
  <c r="BR855" i="7"/>
  <c r="BT855" i="7" s="1"/>
  <c r="BS860" i="7"/>
  <c r="BU860" i="7" s="1"/>
  <c r="BR863" i="7"/>
  <c r="BT863" i="7" s="1"/>
  <c r="BS878" i="7"/>
  <c r="BU878" i="7" s="1"/>
  <c r="BR899" i="7"/>
  <c r="BT899" i="7" s="1"/>
  <c r="BV899" i="7" s="1"/>
  <c r="BS974" i="7"/>
  <c r="BU974" i="7" s="1"/>
  <c r="BR992" i="7"/>
  <c r="BT992" i="7" s="1"/>
  <c r="BS890" i="7"/>
  <c r="BU890" i="7" s="1"/>
  <c r="BR903" i="7"/>
  <c r="BT903" i="7" s="1"/>
  <c r="BS905" i="7"/>
  <c r="BU905" i="7" s="1"/>
  <c r="BR917" i="7"/>
  <c r="BT917" i="7" s="1"/>
  <c r="BV917" i="7" s="1"/>
  <c r="BS924" i="7"/>
  <c r="BU924" i="7" s="1"/>
  <c r="BS934" i="7"/>
  <c r="BU934" i="7" s="1"/>
  <c r="BS961" i="7"/>
  <c r="BU961" i="7" s="1"/>
  <c r="BS977" i="7"/>
  <c r="BU977" i="7" s="1"/>
  <c r="BR1056" i="7"/>
  <c r="BT1056" i="7" s="1"/>
  <c r="BV1056" i="7" s="1"/>
  <c r="BS1061" i="7"/>
  <c r="BU1061" i="7" s="1"/>
  <c r="BR1067" i="7"/>
  <c r="BT1067" i="7" s="1"/>
  <c r="BV1067" i="7" s="1"/>
  <c r="BR1080" i="7"/>
  <c r="BT1080" i="7" s="1"/>
  <c r="BV1080" i="7" s="1"/>
  <c r="BS1088" i="7"/>
  <c r="BU1088" i="7" s="1"/>
  <c r="BR1150" i="7"/>
  <c r="BT1150" i="7" s="1"/>
  <c r="BS901" i="7"/>
  <c r="BU901" i="7" s="1"/>
  <c r="BR910" i="7"/>
  <c r="BT910" i="7" s="1"/>
  <c r="BV910" i="7" s="1"/>
  <c r="BR915" i="7"/>
  <c r="BT915" i="7" s="1"/>
  <c r="BV915" i="7" s="1"/>
  <c r="BR932" i="7"/>
  <c r="BT932" i="7" s="1"/>
  <c r="BR937" i="7"/>
  <c r="BT937" i="7" s="1"/>
  <c r="BV937" i="7" s="1"/>
  <c r="BS939" i="7"/>
  <c r="BU939" i="7" s="1"/>
  <c r="BR949" i="7"/>
  <c r="BT949" i="7" s="1"/>
  <c r="BV949" i="7" s="1"/>
  <c r="BS954" i="7"/>
  <c r="BU954" i="7" s="1"/>
  <c r="BR969" i="7"/>
  <c r="BT969" i="7" s="1"/>
  <c r="BV969" i="7" s="1"/>
  <c r="BR972" i="7"/>
  <c r="BT972" i="7" s="1"/>
  <c r="BV972" i="7" s="1"/>
  <c r="BS980" i="7"/>
  <c r="BU980" i="7" s="1"/>
  <c r="BS992" i="7"/>
  <c r="BU992" i="7" s="1"/>
  <c r="BS1010" i="7"/>
  <c r="BU1010" i="7" s="1"/>
  <c r="BR1212" i="7"/>
  <c r="BT1212" i="7" s="1"/>
  <c r="BS874" i="7"/>
  <c r="BU874" i="7" s="1"/>
  <c r="BS876" i="7"/>
  <c r="BU876" i="7" s="1"/>
  <c r="BS895" i="7"/>
  <c r="BU895" i="7" s="1"/>
  <c r="BS908" i="7"/>
  <c r="BU908" i="7" s="1"/>
  <c r="BR925" i="7"/>
  <c r="BT925" i="7" s="1"/>
  <c r="BV925" i="7" s="1"/>
  <c r="BR957" i="7"/>
  <c r="BT957" i="7" s="1"/>
  <c r="BR962" i="7"/>
  <c r="BT962" i="7" s="1"/>
  <c r="BS975" i="7"/>
  <c r="BU975" i="7" s="1"/>
  <c r="BR978" i="7"/>
  <c r="BT978" i="7" s="1"/>
  <c r="BS989" i="7"/>
  <c r="BU989" i="7" s="1"/>
  <c r="BS1007" i="7"/>
  <c r="BU1007" i="7" s="1"/>
  <c r="BS1015" i="7"/>
  <c r="BU1015" i="7" s="1"/>
  <c r="BR1053" i="7"/>
  <c r="BT1053" i="7" s="1"/>
  <c r="BS1114" i="7"/>
  <c r="BU1114" i="7" s="1"/>
  <c r="BR808" i="7"/>
  <c r="BT808" i="7" s="1"/>
  <c r="BV808" i="7" s="1"/>
  <c r="BS813" i="7"/>
  <c r="BU813" i="7" s="1"/>
  <c r="BS820" i="7"/>
  <c r="BU820" i="7" s="1"/>
  <c r="BR837" i="7"/>
  <c r="BT837" i="7" s="1"/>
  <c r="BR841" i="7"/>
  <c r="BT841" i="7" s="1"/>
  <c r="BV841" i="7" s="1"/>
  <c r="BR887" i="7"/>
  <c r="BT887" i="7" s="1"/>
  <c r="BV887" i="7" s="1"/>
  <c r="BR893" i="7"/>
  <c r="BT893" i="7" s="1"/>
  <c r="BS906" i="7"/>
  <c r="BU906" i="7" s="1"/>
  <c r="BR947" i="7"/>
  <c r="BT947" i="7" s="1"/>
  <c r="BV947" i="7" s="1"/>
  <c r="BS952" i="7"/>
  <c r="BU952" i="7" s="1"/>
  <c r="BS978" i="7"/>
  <c r="BU978" i="7" s="1"/>
  <c r="BR986" i="7"/>
  <c r="BT986" i="7" s="1"/>
  <c r="BS996" i="7"/>
  <c r="BU996" i="7" s="1"/>
  <c r="BR1020" i="7"/>
  <c r="BT1020" i="7" s="1"/>
  <c r="BS1058" i="7"/>
  <c r="BU1058" i="7" s="1"/>
  <c r="BR1075" i="7"/>
  <c r="BT1075" i="7" s="1"/>
  <c r="BR1124" i="7"/>
  <c r="BT1124" i="7" s="1"/>
  <c r="BR1153" i="7"/>
  <c r="BT1153" i="7" s="1"/>
  <c r="BS839" i="7"/>
  <c r="BU839" i="7" s="1"/>
  <c r="BS841" i="7"/>
  <c r="BU841" i="7" s="1"/>
  <c r="BR845" i="7"/>
  <c r="BT845" i="7" s="1"/>
  <c r="BV845" i="7" s="1"/>
  <c r="BR853" i="7"/>
  <c r="BT853" i="7" s="1"/>
  <c r="BV853" i="7" s="1"/>
  <c r="BS887" i="7"/>
  <c r="BU887" i="7" s="1"/>
  <c r="BR918" i="7"/>
  <c r="BT918" i="7" s="1"/>
  <c r="BV918" i="7" s="1"/>
  <c r="BR920" i="7"/>
  <c r="BT920" i="7" s="1"/>
  <c r="BV920" i="7" s="1"/>
  <c r="BS947" i="7"/>
  <c r="BU947" i="7" s="1"/>
  <c r="BR970" i="7"/>
  <c r="BT970" i="7" s="1"/>
  <c r="BV970" i="7" s="1"/>
  <c r="BS1004" i="7"/>
  <c r="BU1004" i="7" s="1"/>
  <c r="BR1069" i="7"/>
  <c r="BT1069" i="7" s="1"/>
  <c r="BV1069" i="7" s="1"/>
  <c r="BS1084" i="7"/>
  <c r="BU1084" i="7" s="1"/>
  <c r="BR1092" i="7"/>
  <c r="BT1092" i="7" s="1"/>
  <c r="BV1092" i="7" s="1"/>
  <c r="BR1100" i="7"/>
  <c r="BT1100" i="7" s="1"/>
  <c r="BR1231" i="7"/>
  <c r="BT1231" i="7" s="1"/>
  <c r="BR1038" i="7"/>
  <c r="BT1038" i="7" s="1"/>
  <c r="BS1092" i="7"/>
  <c r="BU1092" i="7" s="1"/>
  <c r="BR1116" i="7"/>
  <c r="BT1116" i="7" s="1"/>
  <c r="BS1126" i="7"/>
  <c r="BU1126" i="7" s="1"/>
  <c r="BS1188" i="7"/>
  <c r="BU1188" i="7" s="1"/>
  <c r="BR997" i="7"/>
  <c r="BT997" i="7" s="1"/>
  <c r="BV997" i="7" s="1"/>
  <c r="BS1025" i="7"/>
  <c r="BU1025" i="7" s="1"/>
  <c r="BR1029" i="7"/>
  <c r="BT1029" i="7" s="1"/>
  <c r="BS1054" i="7"/>
  <c r="BU1054" i="7" s="1"/>
  <c r="BR1070" i="7"/>
  <c r="BT1070" i="7" s="1"/>
  <c r="BR1146" i="7"/>
  <c r="BT1146" i="7" s="1"/>
  <c r="BV1146" i="7" s="1"/>
  <c r="BS863" i="7"/>
  <c r="BU863" i="7" s="1"/>
  <c r="BS867" i="7"/>
  <c r="BU867" i="7" s="1"/>
  <c r="BS877" i="7"/>
  <c r="BU877" i="7" s="1"/>
  <c r="BS879" i="7"/>
  <c r="BU879" i="7" s="1"/>
  <c r="BS881" i="7"/>
  <c r="BU881" i="7" s="1"/>
  <c r="BR898" i="7"/>
  <c r="BT898" i="7" s="1"/>
  <c r="BV898" i="7" s="1"/>
  <c r="BS928" i="7"/>
  <c r="BU928" i="7" s="1"/>
  <c r="BR938" i="7"/>
  <c r="BT938" i="7" s="1"/>
  <c r="BR953" i="7"/>
  <c r="BT953" i="7" s="1"/>
  <c r="BS960" i="7"/>
  <c r="BU960" i="7" s="1"/>
  <c r="BR965" i="7"/>
  <c r="BT965" i="7" s="1"/>
  <c r="BR984" i="7"/>
  <c r="BT984" i="7" s="1"/>
  <c r="BR1030" i="7"/>
  <c r="BT1030" i="7" s="1"/>
  <c r="BR1156" i="7"/>
  <c r="BT1156" i="7" s="1"/>
  <c r="BS1219" i="7"/>
  <c r="BU1219" i="7" s="1"/>
  <c r="BS773" i="7"/>
  <c r="BU773" i="7" s="1"/>
  <c r="BS778" i="7"/>
  <c r="BU778" i="7" s="1"/>
  <c r="BS783" i="7"/>
  <c r="BU783" i="7" s="1"/>
  <c r="BS788" i="7"/>
  <c r="BU788" i="7" s="1"/>
  <c r="BS793" i="7"/>
  <c r="BU793" i="7" s="1"/>
  <c r="BS865" i="7"/>
  <c r="BU865" i="7" s="1"/>
  <c r="BS869" i="7"/>
  <c r="BU869" i="7" s="1"/>
  <c r="BR871" i="7"/>
  <c r="BT871" i="7" s="1"/>
  <c r="BV871" i="7" s="1"/>
  <c r="BR896" i="7"/>
  <c r="BT896" i="7" s="1"/>
  <c r="BV896" i="7" s="1"/>
  <c r="BR900" i="7"/>
  <c r="BT900" i="7" s="1"/>
  <c r="BV900" i="7" s="1"/>
  <c r="BS943" i="7"/>
  <c r="BU943" i="7" s="1"/>
  <c r="BR948" i="7"/>
  <c r="BT948" i="7" s="1"/>
  <c r="BR963" i="7"/>
  <c r="BT963" i="7" s="1"/>
  <c r="BR968" i="7"/>
  <c r="BT968" i="7" s="1"/>
  <c r="BS976" i="7"/>
  <c r="BU976" i="7" s="1"/>
  <c r="BR979" i="7"/>
  <c r="BT979" i="7" s="1"/>
  <c r="BR994" i="7"/>
  <c r="BT994" i="7" s="1"/>
  <c r="BS1147" i="7"/>
  <c r="BU1147" i="7" s="1"/>
  <c r="BR800" i="7"/>
  <c r="BT800" i="7" s="1"/>
  <c r="BV800" i="7" s="1"/>
  <c r="BS805" i="7"/>
  <c r="BU805" i="7" s="1"/>
  <c r="BR807" i="7"/>
  <c r="BT807" i="7" s="1"/>
  <c r="BS812" i="7"/>
  <c r="BU812" i="7" s="1"/>
  <c r="BS819" i="7"/>
  <c r="BU819" i="7" s="1"/>
  <c r="BS828" i="7"/>
  <c r="BU828" i="7" s="1"/>
  <c r="BR830" i="7"/>
  <c r="BT830" i="7" s="1"/>
  <c r="BR873" i="7"/>
  <c r="BT873" i="7" s="1"/>
  <c r="BV873" i="7" s="1"/>
  <c r="BR894" i="7"/>
  <c r="BT894" i="7" s="1"/>
  <c r="BV894" i="7" s="1"/>
  <c r="BS898" i="7"/>
  <c r="BU898" i="7" s="1"/>
  <c r="BR909" i="7"/>
  <c r="BT909" i="7" s="1"/>
  <c r="BV909" i="7" s="1"/>
  <c r="BR926" i="7"/>
  <c r="BT926" i="7" s="1"/>
  <c r="BV926" i="7" s="1"/>
  <c r="BR936" i="7"/>
  <c r="BT936" i="7" s="1"/>
  <c r="BV936" i="7" s="1"/>
  <c r="BS938" i="7"/>
  <c r="BU938" i="7" s="1"/>
  <c r="BS953" i="7"/>
  <c r="BU953" i="7" s="1"/>
  <c r="BS965" i="7"/>
  <c r="BU965" i="7" s="1"/>
  <c r="BS979" i="7"/>
  <c r="BU979" i="7" s="1"/>
  <c r="BR1013" i="7"/>
  <c r="BT1013" i="7" s="1"/>
  <c r="BS1026" i="7"/>
  <c r="BU1026" i="7" s="1"/>
  <c r="BS1030" i="7"/>
  <c r="BU1030" i="7" s="1"/>
  <c r="BR1050" i="7"/>
  <c r="BT1050" i="7" s="1"/>
  <c r="BR1065" i="7"/>
  <c r="BT1065" i="7" s="1"/>
  <c r="BV1065" i="7" s="1"/>
  <c r="BS871" i="7"/>
  <c r="BU871" i="7" s="1"/>
  <c r="BS873" i="7"/>
  <c r="BU873" i="7" s="1"/>
  <c r="BR888" i="7"/>
  <c r="BT888" i="7" s="1"/>
  <c r="BV888" i="7" s="1"/>
  <c r="BR892" i="7"/>
  <c r="BT892" i="7" s="1"/>
  <c r="BV892" i="7" s="1"/>
  <c r="BS896" i="7"/>
  <c r="BU896" i="7" s="1"/>
  <c r="BS900" i="7"/>
  <c r="BU900" i="7" s="1"/>
  <c r="BS907" i="7"/>
  <c r="BU907" i="7" s="1"/>
  <c r="BR921" i="7"/>
  <c r="BT921" i="7" s="1"/>
  <c r="BS926" i="7"/>
  <c r="BU926" i="7" s="1"/>
  <c r="BS948" i="7"/>
  <c r="BU948" i="7" s="1"/>
  <c r="BR958" i="7"/>
  <c r="BT958" i="7" s="1"/>
  <c r="BV958" i="7" s="1"/>
  <c r="BS963" i="7"/>
  <c r="BU963" i="7" s="1"/>
  <c r="BR982" i="7"/>
  <c r="BT982" i="7" s="1"/>
  <c r="BR998" i="7"/>
  <c r="BT998" i="7" s="1"/>
  <c r="BV998" i="7" s="1"/>
  <c r="BR1005" i="7"/>
  <c r="BT1005" i="7" s="1"/>
  <c r="BR1009" i="7"/>
  <c r="BT1009" i="7" s="1"/>
  <c r="BS1022" i="7"/>
  <c r="BU1022" i="7" s="1"/>
  <c r="BS1034" i="7"/>
  <c r="BU1034" i="7" s="1"/>
  <c r="BS1055" i="7"/>
  <c r="BU1055" i="7" s="1"/>
  <c r="BR1060" i="7"/>
  <c r="BT1060" i="7" s="1"/>
  <c r="BS1094" i="7"/>
  <c r="BU1094" i="7" s="1"/>
  <c r="BR1193" i="7"/>
  <c r="BT1193" i="7" s="1"/>
  <c r="BS935" i="7"/>
  <c r="BU935" i="7" s="1"/>
  <c r="BS944" i="7"/>
  <c r="BU944" i="7" s="1"/>
  <c r="BR946" i="7"/>
  <c r="BT946" i="7" s="1"/>
  <c r="BV946" i="7" s="1"/>
  <c r="BR955" i="7"/>
  <c r="BT955" i="7" s="1"/>
  <c r="BV955" i="7" s="1"/>
  <c r="BR964" i="7"/>
  <c r="BT964" i="7" s="1"/>
  <c r="BV964" i="7" s="1"/>
  <c r="BR981" i="7"/>
  <c r="BT981" i="7" s="1"/>
  <c r="BR987" i="7"/>
  <c r="BT987" i="7" s="1"/>
  <c r="BV987" i="7" s="1"/>
  <c r="BS1006" i="7"/>
  <c r="BU1006" i="7" s="1"/>
  <c r="BR1041" i="7"/>
  <c r="BT1041" i="7" s="1"/>
  <c r="BV1041" i="7" s="1"/>
  <c r="BS1102" i="7"/>
  <c r="BU1102" i="7" s="1"/>
  <c r="BR1144" i="7"/>
  <c r="BT1144" i="7" s="1"/>
  <c r="BS1150" i="7"/>
  <c r="BU1150" i="7" s="1"/>
  <c r="BS1156" i="7"/>
  <c r="BU1156" i="7" s="1"/>
  <c r="BS1163" i="7"/>
  <c r="BU1163" i="7" s="1"/>
  <c r="BR1185" i="7"/>
  <c r="BT1185" i="7" s="1"/>
  <c r="BS968" i="7"/>
  <c r="BU968" i="7" s="1"/>
  <c r="BS983" i="7"/>
  <c r="BU983" i="7" s="1"/>
  <c r="BS985" i="7"/>
  <c r="BU985" i="7" s="1"/>
  <c r="BR991" i="7"/>
  <c r="BT991" i="7" s="1"/>
  <c r="BS993" i="7"/>
  <c r="BU993" i="7" s="1"/>
  <c r="BS995" i="7"/>
  <c r="BU995" i="7" s="1"/>
  <c r="BR1002" i="7"/>
  <c r="BT1002" i="7" s="1"/>
  <c r="BV1002" i="7" s="1"/>
  <c r="BS1013" i="7"/>
  <c r="BU1013" i="7" s="1"/>
  <c r="BS1018" i="7"/>
  <c r="BU1018" i="7" s="1"/>
  <c r="BS1023" i="7"/>
  <c r="BU1023" i="7" s="1"/>
  <c r="BR1028" i="7"/>
  <c r="BT1028" i="7" s="1"/>
  <c r="BS1033" i="7"/>
  <c r="BU1033" i="7" s="1"/>
  <c r="BS1044" i="7"/>
  <c r="BU1044" i="7" s="1"/>
  <c r="BS1053" i="7"/>
  <c r="BU1053" i="7" s="1"/>
  <c r="BS1056" i="7"/>
  <c r="BU1056" i="7" s="1"/>
  <c r="BS1068" i="7"/>
  <c r="BU1068" i="7" s="1"/>
  <c r="BS1107" i="7"/>
  <c r="BU1107" i="7" s="1"/>
  <c r="BR1178" i="7"/>
  <c r="BT1178" i="7" s="1"/>
  <c r="BS1203" i="7"/>
  <c r="BU1203" i="7" s="1"/>
  <c r="BS1223" i="7"/>
  <c r="BU1223" i="7" s="1"/>
  <c r="BS991" i="7"/>
  <c r="BU991" i="7" s="1"/>
  <c r="BS1002" i="7"/>
  <c r="BU1002" i="7" s="1"/>
  <c r="BS1011" i="7"/>
  <c r="BU1011" i="7" s="1"/>
  <c r="BR1039" i="7"/>
  <c r="BT1039" i="7" s="1"/>
  <c r="BS1062" i="7"/>
  <c r="BU1062" i="7" s="1"/>
  <c r="BS1072" i="7"/>
  <c r="BU1072" i="7" s="1"/>
  <c r="BR1076" i="7"/>
  <c r="BT1076" i="7" s="1"/>
  <c r="BV1076" i="7" s="1"/>
  <c r="BR1118" i="7"/>
  <c r="BT1118" i="7" s="1"/>
  <c r="BV1118" i="7" s="1"/>
  <c r="BS1123" i="7"/>
  <c r="BU1123" i="7" s="1"/>
  <c r="BR905" i="7"/>
  <c r="BT905" i="7" s="1"/>
  <c r="BR914" i="7"/>
  <c r="BT914" i="7" s="1"/>
  <c r="BV914" i="7" s="1"/>
  <c r="BS921" i="7"/>
  <c r="BU921" i="7" s="1"/>
  <c r="BR923" i="7"/>
  <c r="BT923" i="7" s="1"/>
  <c r="BV923" i="7" s="1"/>
  <c r="BS932" i="7"/>
  <c r="BU932" i="7" s="1"/>
  <c r="BR952" i="7"/>
  <c r="BT952" i="7" s="1"/>
  <c r="BS970" i="7"/>
  <c r="BU970" i="7" s="1"/>
  <c r="BS972" i="7"/>
  <c r="BU972" i="7" s="1"/>
  <c r="BR974" i="7"/>
  <c r="BT974" i="7" s="1"/>
  <c r="BR1000" i="7"/>
  <c r="BT1000" i="7" s="1"/>
  <c r="BR1036" i="7"/>
  <c r="BT1036" i="7" s="1"/>
  <c r="BS1039" i="7"/>
  <c r="BU1039" i="7" s="1"/>
  <c r="BS1076" i="7"/>
  <c r="BU1076" i="7" s="1"/>
  <c r="BR1166" i="7"/>
  <c r="BT1166" i="7" s="1"/>
  <c r="BV1166" i="7" s="1"/>
  <c r="BR1251" i="7"/>
  <c r="BT1251" i="7" s="1"/>
  <c r="BR907" i="7"/>
  <c r="BT907" i="7" s="1"/>
  <c r="BV907" i="7" s="1"/>
  <c r="BS923" i="7"/>
  <c r="BU923" i="7" s="1"/>
  <c r="BR934" i="7"/>
  <c r="BT934" i="7" s="1"/>
  <c r="BS941" i="7"/>
  <c r="BU941" i="7" s="1"/>
  <c r="BR943" i="7"/>
  <c r="BT943" i="7" s="1"/>
  <c r="BS950" i="7"/>
  <c r="BU950" i="7" s="1"/>
  <c r="BS959" i="7"/>
  <c r="BU959" i="7" s="1"/>
  <c r="BS1000" i="7"/>
  <c r="BU1000" i="7" s="1"/>
  <c r="BR1021" i="7"/>
  <c r="BT1021" i="7" s="1"/>
  <c r="BV1021" i="7" s="1"/>
  <c r="BS1042" i="7"/>
  <c r="BU1042" i="7" s="1"/>
  <c r="BR1051" i="7"/>
  <c r="BT1051" i="7" s="1"/>
  <c r="BR1094" i="7"/>
  <c r="BT1094" i="7" s="1"/>
  <c r="BS1166" i="7"/>
  <c r="BU1166" i="7" s="1"/>
  <c r="BS1180" i="7"/>
  <c r="BU1180" i="7" s="1"/>
  <c r="BR1188" i="7"/>
  <c r="BT1188" i="7" s="1"/>
  <c r="BR1014" i="7"/>
  <c r="BT1014" i="7" s="1"/>
  <c r="BV1014" i="7" s="1"/>
  <c r="BR1034" i="7"/>
  <c r="BT1034" i="7" s="1"/>
  <c r="BV1034" i="7" s="1"/>
  <c r="BR1037" i="7"/>
  <c r="BT1037" i="7" s="1"/>
  <c r="BS1045" i="7"/>
  <c r="BU1045" i="7" s="1"/>
  <c r="BS1073" i="7"/>
  <c r="BU1073" i="7" s="1"/>
  <c r="BR1086" i="7"/>
  <c r="BT1086" i="7" s="1"/>
  <c r="BR1119" i="7"/>
  <c r="BT1119" i="7" s="1"/>
  <c r="BV1119" i="7" s="1"/>
  <c r="BR1135" i="7"/>
  <c r="BT1135" i="7" s="1"/>
  <c r="BV1135" i="7" s="1"/>
  <c r="BS1141" i="7"/>
  <c r="BU1141" i="7" s="1"/>
  <c r="BR1217" i="7"/>
  <c r="BT1217" i="7" s="1"/>
  <c r="BV1217" i="7" s="1"/>
  <c r="BR1066" i="7"/>
  <c r="BT1066" i="7" s="1"/>
  <c r="BV1066" i="7" s="1"/>
  <c r="BS1077" i="7"/>
  <c r="BU1077" i="7" s="1"/>
  <c r="BS1086" i="7"/>
  <c r="BU1086" i="7" s="1"/>
  <c r="BR1109" i="7"/>
  <c r="BT1109" i="7" s="1"/>
  <c r="BV1109" i="7" s="1"/>
  <c r="BS1124" i="7"/>
  <c r="BU1124" i="7" s="1"/>
  <c r="BS1135" i="7"/>
  <c r="BU1135" i="7" s="1"/>
  <c r="BS1119" i="7"/>
  <c r="BU1119" i="7" s="1"/>
  <c r="BR1167" i="7"/>
  <c r="BT1167" i="7" s="1"/>
  <c r="BR1190" i="7"/>
  <c r="BT1190" i="7" s="1"/>
  <c r="BR1218" i="7"/>
  <c r="BT1218" i="7" s="1"/>
  <c r="BS984" i="7"/>
  <c r="BU984" i="7" s="1"/>
  <c r="BS988" i="7"/>
  <c r="BU988" i="7" s="1"/>
  <c r="BS994" i="7"/>
  <c r="BU994" i="7" s="1"/>
  <c r="BS1005" i="7"/>
  <c r="BU1005" i="7" s="1"/>
  <c r="BS1024" i="7"/>
  <c r="BU1024" i="7" s="1"/>
  <c r="BR1032" i="7"/>
  <c r="BT1032" i="7" s="1"/>
  <c r="BV1032" i="7" s="1"/>
  <c r="BR1040" i="7"/>
  <c r="BT1040" i="7" s="1"/>
  <c r="BV1040" i="7" s="1"/>
  <c r="BR1049" i="7"/>
  <c r="BT1049" i="7" s="1"/>
  <c r="BV1049" i="7" s="1"/>
  <c r="BS1182" i="7"/>
  <c r="BU1182" i="7" s="1"/>
  <c r="BS1190" i="7"/>
  <c r="BU1190" i="7" s="1"/>
  <c r="BS816" i="7"/>
  <c r="BU816" i="7" s="1"/>
  <c r="BS846" i="7"/>
  <c r="BU846" i="7" s="1"/>
  <c r="BR848" i="7"/>
  <c r="BT848" i="7" s="1"/>
  <c r="BS855" i="7"/>
  <c r="BU855" i="7" s="1"/>
  <c r="BS864" i="7"/>
  <c r="BU864" i="7" s="1"/>
  <c r="BR866" i="7"/>
  <c r="BT866" i="7" s="1"/>
  <c r="BR875" i="7"/>
  <c r="BT875" i="7" s="1"/>
  <c r="BS902" i="7"/>
  <c r="BU902" i="7" s="1"/>
  <c r="BS911" i="7"/>
  <c r="BU911" i="7" s="1"/>
  <c r="BR913" i="7"/>
  <c r="BT913" i="7" s="1"/>
  <c r="BR922" i="7"/>
  <c r="BT922" i="7" s="1"/>
  <c r="BS929" i="7"/>
  <c r="BU929" i="7" s="1"/>
  <c r="BR931" i="7"/>
  <c r="BT931" i="7" s="1"/>
  <c r="BR990" i="7"/>
  <c r="BT990" i="7" s="1"/>
  <c r="BV990" i="7" s="1"/>
  <c r="BR1001" i="7"/>
  <c r="BT1001" i="7" s="1"/>
  <c r="BS1003" i="7"/>
  <c r="BU1003" i="7" s="1"/>
  <c r="BS1012" i="7"/>
  <c r="BU1012" i="7" s="1"/>
  <c r="BR1027" i="7"/>
  <c r="BT1027" i="7" s="1"/>
  <c r="BS1082" i="7"/>
  <c r="BU1082" i="7" s="1"/>
  <c r="BS1199" i="7"/>
  <c r="BU1199" i="7" s="1"/>
  <c r="BR877" i="7"/>
  <c r="BT877" i="7" s="1"/>
  <c r="BV877" i="7" s="1"/>
  <c r="BS884" i="7"/>
  <c r="BU884" i="7" s="1"/>
  <c r="BR886" i="7"/>
  <c r="BT886" i="7" s="1"/>
  <c r="BV886" i="7" s="1"/>
  <c r="BS893" i="7"/>
  <c r="BU893" i="7" s="1"/>
  <c r="BR904" i="7"/>
  <c r="BT904" i="7" s="1"/>
  <c r="BV904" i="7" s="1"/>
  <c r="BS920" i="7"/>
  <c r="BU920" i="7" s="1"/>
  <c r="BR940" i="7"/>
  <c r="BT940" i="7" s="1"/>
  <c r="BS949" i="7"/>
  <c r="BU949" i="7" s="1"/>
  <c r="BR951" i="7"/>
  <c r="BT951" i="7" s="1"/>
  <c r="BV951" i="7" s="1"/>
  <c r="BS958" i="7"/>
  <c r="BU958" i="7" s="1"/>
  <c r="BS969" i="7"/>
  <c r="BU969" i="7" s="1"/>
  <c r="BR971" i="7"/>
  <c r="BT971" i="7" s="1"/>
  <c r="BV971" i="7" s="1"/>
  <c r="BR973" i="7"/>
  <c r="BT973" i="7" s="1"/>
  <c r="BS990" i="7"/>
  <c r="BU990" i="7" s="1"/>
  <c r="BR999" i="7"/>
  <c r="BT999" i="7" s="1"/>
  <c r="BV999" i="7" s="1"/>
  <c r="BR1017" i="7"/>
  <c r="BT1017" i="7" s="1"/>
  <c r="BV1017" i="7" s="1"/>
  <c r="BR1022" i="7"/>
  <c r="BT1022" i="7" s="1"/>
  <c r="BV1022" i="7" s="1"/>
  <c r="BS1032" i="7"/>
  <c r="BU1032" i="7" s="1"/>
  <c r="BR1074" i="7"/>
  <c r="BT1074" i="7" s="1"/>
  <c r="BV1074" i="7" s="1"/>
  <c r="BR1078" i="7"/>
  <c r="BT1078" i="7" s="1"/>
  <c r="BV1078" i="7" s="1"/>
  <c r="BR1105" i="7"/>
  <c r="BT1105" i="7" s="1"/>
  <c r="BV1105" i="7" s="1"/>
  <c r="BS1131" i="7"/>
  <c r="BU1131" i="7" s="1"/>
  <c r="BS1143" i="7"/>
  <c r="BU1143" i="7" s="1"/>
  <c r="BR832" i="7"/>
  <c r="BT832" i="7" s="1"/>
  <c r="BV832" i="7" s="1"/>
  <c r="BS848" i="7"/>
  <c r="BU848" i="7" s="1"/>
  <c r="BS875" i="7"/>
  <c r="BU875" i="7" s="1"/>
  <c r="BR895" i="7"/>
  <c r="BT895" i="7" s="1"/>
  <c r="BS904" i="7"/>
  <c r="BU904" i="7" s="1"/>
  <c r="BR906" i="7"/>
  <c r="BT906" i="7" s="1"/>
  <c r="BS913" i="7"/>
  <c r="BU913" i="7" s="1"/>
  <c r="BS922" i="7"/>
  <c r="BU922" i="7" s="1"/>
  <c r="BS931" i="7"/>
  <c r="BU931" i="7" s="1"/>
  <c r="BR933" i="7"/>
  <c r="BT933" i="7" s="1"/>
  <c r="BV933" i="7" s="1"/>
  <c r="BR942" i="7"/>
  <c r="BT942" i="7" s="1"/>
  <c r="BR960" i="7"/>
  <c r="BT960" i="7" s="1"/>
  <c r="BV960" i="7" s="1"/>
  <c r="BS973" i="7"/>
  <c r="BU973" i="7" s="1"/>
  <c r="BS1001" i="7"/>
  <c r="BU1001" i="7" s="1"/>
  <c r="BS1027" i="7"/>
  <c r="BU1027" i="7" s="1"/>
  <c r="BS1043" i="7"/>
  <c r="BU1043" i="7" s="1"/>
  <c r="BS1046" i="7"/>
  <c r="BU1046" i="7" s="1"/>
  <c r="BS1052" i="7"/>
  <c r="BU1052" i="7" s="1"/>
  <c r="BR1058" i="7"/>
  <c r="BT1058" i="7" s="1"/>
  <c r="BV1058" i="7" s="1"/>
  <c r="BS1078" i="7"/>
  <c r="BU1078" i="7" s="1"/>
  <c r="BR1126" i="7"/>
  <c r="BT1126" i="7" s="1"/>
  <c r="BV1126" i="7" s="1"/>
  <c r="BR1177" i="7"/>
  <c r="BT1177" i="7" s="1"/>
  <c r="BV1177" i="7" s="1"/>
  <c r="BS1037" i="7"/>
  <c r="BU1037" i="7" s="1"/>
  <c r="BR1044" i="7"/>
  <c r="BT1044" i="7" s="1"/>
  <c r="BS1049" i="7"/>
  <c r="BU1049" i="7" s="1"/>
  <c r="BR1063" i="7"/>
  <c r="BT1063" i="7" s="1"/>
  <c r="BR1072" i="7"/>
  <c r="BT1072" i="7" s="1"/>
  <c r="BS1134" i="7"/>
  <c r="BU1134" i="7" s="1"/>
  <c r="BS1146" i="7"/>
  <c r="BU1146" i="7" s="1"/>
  <c r="BS1177" i="7"/>
  <c r="BU1177" i="7" s="1"/>
  <c r="BR1198" i="7"/>
  <c r="BT1198" i="7" s="1"/>
  <c r="BV1198" i="7" s="1"/>
  <c r="BR1207" i="7"/>
  <c r="BT1207" i="7" s="1"/>
  <c r="BS1247" i="7"/>
  <c r="BU1247" i="7" s="1"/>
  <c r="BR1046" i="7"/>
  <c r="BT1046" i="7" s="1"/>
  <c r="BS1051" i="7"/>
  <c r="BU1051" i="7" s="1"/>
  <c r="BS1074" i="7"/>
  <c r="BU1074" i="7" s="1"/>
  <c r="BS1080" i="7"/>
  <c r="BU1080" i="7" s="1"/>
  <c r="BR1082" i="7"/>
  <c r="BT1082" i="7" s="1"/>
  <c r="BR1088" i="7"/>
  <c r="BT1088" i="7" s="1"/>
  <c r="BV1088" i="7" s="1"/>
  <c r="BR1090" i="7"/>
  <c r="BT1090" i="7" s="1"/>
  <c r="BV1090" i="7" s="1"/>
  <c r="BR1096" i="7"/>
  <c r="BT1096" i="7" s="1"/>
  <c r="BV1096" i="7" s="1"/>
  <c r="BS1098" i="7"/>
  <c r="BU1098" i="7" s="1"/>
  <c r="BR1107" i="7"/>
  <c r="BT1107" i="7" s="1"/>
  <c r="BV1107" i="7" s="1"/>
  <c r="BR1114" i="7"/>
  <c r="BT1114" i="7" s="1"/>
  <c r="BS1116" i="7"/>
  <c r="BU1116" i="7" s="1"/>
  <c r="BS1121" i="7"/>
  <c r="BU1121" i="7" s="1"/>
  <c r="BR1141" i="7"/>
  <c r="BT1141" i="7" s="1"/>
  <c r="BS1185" i="7"/>
  <c r="BU1185" i="7" s="1"/>
  <c r="BR1194" i="7"/>
  <c r="BT1194" i="7" s="1"/>
  <c r="BV1194" i="7" s="1"/>
  <c r="BS1231" i="7"/>
  <c r="BU1231" i="7" s="1"/>
  <c r="BS1248" i="7"/>
  <c r="BU1248" i="7" s="1"/>
  <c r="BS1259" i="7"/>
  <c r="BU1259" i="7" s="1"/>
  <c r="BR1283" i="7"/>
  <c r="BT1283" i="7" s="1"/>
  <c r="BV1283" i="7" s="1"/>
  <c r="BR1012" i="7"/>
  <c r="BT1012" i="7" s="1"/>
  <c r="BV1012" i="7" s="1"/>
  <c r="BS1017" i="7"/>
  <c r="BU1017" i="7" s="1"/>
  <c r="BR1024" i="7"/>
  <c r="BT1024" i="7" s="1"/>
  <c r="BV1024" i="7" s="1"/>
  <c r="BS1029" i="7"/>
  <c r="BU1029" i="7" s="1"/>
  <c r="BR1043" i="7"/>
  <c r="BT1043" i="7" s="1"/>
  <c r="BS1048" i="7"/>
  <c r="BU1048" i="7" s="1"/>
  <c r="BR1055" i="7"/>
  <c r="BT1055" i="7" s="1"/>
  <c r="BV1055" i="7" s="1"/>
  <c r="BS1060" i="7"/>
  <c r="BU1060" i="7" s="1"/>
  <c r="BR1062" i="7"/>
  <c r="BT1062" i="7" s="1"/>
  <c r="BV1062" i="7" s="1"/>
  <c r="BS1069" i="7"/>
  <c r="BU1069" i="7" s="1"/>
  <c r="BS1105" i="7"/>
  <c r="BU1105" i="7" s="1"/>
  <c r="BR1117" i="7"/>
  <c r="BT1117" i="7" s="1"/>
  <c r="BR1164" i="7"/>
  <c r="BT1164" i="7" s="1"/>
  <c r="BS1171" i="7"/>
  <c r="BU1171" i="7" s="1"/>
  <c r="BS1200" i="7"/>
  <c r="BU1200" i="7" s="1"/>
  <c r="BS1261" i="7"/>
  <c r="BU1261" i="7" s="1"/>
  <c r="BS986" i="7"/>
  <c r="BU986" i="7" s="1"/>
  <c r="BR1031" i="7"/>
  <c r="BT1031" i="7" s="1"/>
  <c r="BV1031" i="7" s="1"/>
  <c r="BS1036" i="7"/>
  <c r="BU1036" i="7" s="1"/>
  <c r="BR1071" i="7"/>
  <c r="BT1071" i="7" s="1"/>
  <c r="BR1103" i="7"/>
  <c r="BT1103" i="7" s="1"/>
  <c r="BV1103" i="7" s="1"/>
  <c r="BR1110" i="7"/>
  <c r="BT1110" i="7" s="1"/>
  <c r="BV1110" i="7" s="1"/>
  <c r="BR1127" i="7"/>
  <c r="BT1127" i="7" s="1"/>
  <c r="BV1127" i="7" s="1"/>
  <c r="BR1130" i="7"/>
  <c r="BT1130" i="7" s="1"/>
  <c r="BV1130" i="7" s="1"/>
  <c r="BR1133" i="7"/>
  <c r="BT1133" i="7" s="1"/>
  <c r="BR1154" i="7"/>
  <c r="BT1154" i="7" s="1"/>
  <c r="BV1154" i="7" s="1"/>
  <c r="BR1157" i="7"/>
  <c r="BT1157" i="7" s="1"/>
  <c r="BV1157" i="7" s="1"/>
  <c r="BR1179" i="7"/>
  <c r="BT1179" i="7" s="1"/>
  <c r="BV1179" i="7" s="1"/>
  <c r="BR1186" i="7"/>
  <c r="BT1186" i="7" s="1"/>
  <c r="BV1186" i="7" s="1"/>
  <c r="BS1103" i="7"/>
  <c r="BU1103" i="7" s="1"/>
  <c r="BS1110" i="7"/>
  <c r="BU1110" i="7" s="1"/>
  <c r="BS1117" i="7"/>
  <c r="BU1117" i="7" s="1"/>
  <c r="BS1122" i="7"/>
  <c r="BU1122" i="7" s="1"/>
  <c r="BS1130" i="7"/>
  <c r="BU1130" i="7" s="1"/>
  <c r="BR1145" i="7"/>
  <c r="BT1145" i="7" s="1"/>
  <c r="BS1164" i="7"/>
  <c r="BU1164" i="7" s="1"/>
  <c r="BR1175" i="7"/>
  <c r="BT1175" i="7" s="1"/>
  <c r="BS1186" i="7"/>
  <c r="BU1186" i="7" s="1"/>
  <c r="BR1196" i="7"/>
  <c r="BT1196" i="7" s="1"/>
  <c r="BS1234" i="7"/>
  <c r="BU1234" i="7" s="1"/>
  <c r="BR1026" i="7"/>
  <c r="BT1026" i="7" s="1"/>
  <c r="BV1026" i="7" s="1"/>
  <c r="BS1031" i="7"/>
  <c r="BU1031" i="7" s="1"/>
  <c r="BS1071" i="7"/>
  <c r="BU1071" i="7" s="1"/>
  <c r="BR1073" i="7"/>
  <c r="BT1073" i="7" s="1"/>
  <c r="BV1073" i="7" s="1"/>
  <c r="BR1079" i="7"/>
  <c r="BT1079" i="7" s="1"/>
  <c r="BR1108" i="7"/>
  <c r="BT1108" i="7" s="1"/>
  <c r="BV1108" i="7" s="1"/>
  <c r="BS1133" i="7"/>
  <c r="BU1133" i="7" s="1"/>
  <c r="BR1139" i="7"/>
  <c r="BT1139" i="7" s="1"/>
  <c r="BV1139" i="7" s="1"/>
  <c r="BS1145" i="7"/>
  <c r="BU1145" i="7" s="1"/>
  <c r="BR1148" i="7"/>
  <c r="BT1148" i="7" s="1"/>
  <c r="BS1154" i="7"/>
  <c r="BU1154" i="7" s="1"/>
  <c r="BR1161" i="7"/>
  <c r="BT1161" i="7" s="1"/>
  <c r="BS1168" i="7"/>
  <c r="BU1168" i="7" s="1"/>
  <c r="BS1179" i="7"/>
  <c r="BU1179" i="7" s="1"/>
  <c r="BS1019" i="7"/>
  <c r="BU1019" i="7" s="1"/>
  <c r="BR1033" i="7"/>
  <c r="BT1033" i="7" s="1"/>
  <c r="BS1038" i="7"/>
  <c r="BU1038" i="7" s="1"/>
  <c r="BR1045" i="7"/>
  <c r="BT1045" i="7" s="1"/>
  <c r="BV1045" i="7" s="1"/>
  <c r="BS1050" i="7"/>
  <c r="BU1050" i="7" s="1"/>
  <c r="BR1052" i="7"/>
  <c r="BT1052" i="7" s="1"/>
  <c r="BV1052" i="7" s="1"/>
  <c r="BS1057" i="7"/>
  <c r="BU1057" i="7" s="1"/>
  <c r="BR1064" i="7"/>
  <c r="BT1064" i="7" s="1"/>
  <c r="BR1081" i="7"/>
  <c r="BT1081" i="7" s="1"/>
  <c r="BV1081" i="7" s="1"/>
  <c r="BR1093" i="7"/>
  <c r="BT1093" i="7" s="1"/>
  <c r="BV1093" i="7" s="1"/>
  <c r="BR1097" i="7"/>
  <c r="BT1097" i="7" s="1"/>
  <c r="BV1097" i="7" s="1"/>
  <c r="BS1101" i="7"/>
  <c r="BU1101" i="7" s="1"/>
  <c r="BS1161" i="7"/>
  <c r="BU1161" i="7" s="1"/>
  <c r="BR1183" i="7"/>
  <c r="BT1183" i="7" s="1"/>
  <c r="BV1183" i="7" s="1"/>
  <c r="BS1079" i="7"/>
  <c r="BU1079" i="7" s="1"/>
  <c r="BR1083" i="7"/>
  <c r="BT1083" i="7" s="1"/>
  <c r="BV1083" i="7" s="1"/>
  <c r="BR1087" i="7"/>
  <c r="BT1087" i="7" s="1"/>
  <c r="BR1095" i="7"/>
  <c r="BT1095" i="7" s="1"/>
  <c r="BS1097" i="7"/>
  <c r="BU1097" i="7" s="1"/>
  <c r="BS1099" i="7"/>
  <c r="BU1099" i="7" s="1"/>
  <c r="BR1106" i="7"/>
  <c r="BT1106" i="7" s="1"/>
  <c r="BS1108" i="7"/>
  <c r="BU1108" i="7" s="1"/>
  <c r="BR1115" i="7"/>
  <c r="BT1115" i="7" s="1"/>
  <c r="BS1139" i="7"/>
  <c r="BU1139" i="7" s="1"/>
  <c r="BS1148" i="7"/>
  <c r="BU1148" i="7" s="1"/>
  <c r="BS1075" i="7"/>
  <c r="BU1075" i="7" s="1"/>
  <c r="BS1081" i="7"/>
  <c r="BU1081" i="7" s="1"/>
  <c r="BR1085" i="7"/>
  <c r="BT1085" i="7" s="1"/>
  <c r="BV1085" i="7" s="1"/>
  <c r="BR1089" i="7"/>
  <c r="BT1089" i="7" s="1"/>
  <c r="BV1089" i="7" s="1"/>
  <c r="BS1091" i="7"/>
  <c r="BU1091" i="7" s="1"/>
  <c r="BS1093" i="7"/>
  <c r="BU1093" i="7" s="1"/>
  <c r="BR1113" i="7"/>
  <c r="BT1113" i="7" s="1"/>
  <c r="BV1113" i="7" s="1"/>
  <c r="BS1115" i="7"/>
  <c r="BU1115" i="7" s="1"/>
  <c r="BR1128" i="7"/>
  <c r="BT1128" i="7" s="1"/>
  <c r="BV1128" i="7" s="1"/>
  <c r="BR1158" i="7"/>
  <c r="BT1158" i="7" s="1"/>
  <c r="BV1158" i="7" s="1"/>
  <c r="BR1192" i="7"/>
  <c r="BT1192" i="7" s="1"/>
  <c r="BR966" i="7"/>
  <c r="BT966" i="7" s="1"/>
  <c r="BS971" i="7"/>
  <c r="BU971" i="7" s="1"/>
  <c r="BR1016" i="7"/>
  <c r="BT1016" i="7" s="1"/>
  <c r="BS1021" i="7"/>
  <c r="BU1021" i="7" s="1"/>
  <c r="BS1083" i="7"/>
  <c r="BU1083" i="7" s="1"/>
  <c r="BS1085" i="7"/>
  <c r="BU1085" i="7" s="1"/>
  <c r="BS1087" i="7"/>
  <c r="BU1087" i="7" s="1"/>
  <c r="BR1104" i="7"/>
  <c r="BT1104" i="7" s="1"/>
  <c r="BV1104" i="7" s="1"/>
  <c r="BS1106" i="7"/>
  <c r="BU1106" i="7" s="1"/>
  <c r="BS1120" i="7"/>
  <c r="BU1120" i="7" s="1"/>
  <c r="BR1165" i="7"/>
  <c r="BT1165" i="7" s="1"/>
  <c r="BS1192" i="7"/>
  <c r="BU1192" i="7" s="1"/>
  <c r="BR1201" i="7"/>
  <c r="BT1201" i="7" s="1"/>
  <c r="BV1201" i="7" s="1"/>
  <c r="BR1216" i="7"/>
  <c r="BT1216" i="7" s="1"/>
  <c r="BV1216" i="7" s="1"/>
  <c r="BS997" i="7"/>
  <c r="BU997" i="7" s="1"/>
  <c r="BR1004" i="7"/>
  <c r="BT1004" i="7" s="1"/>
  <c r="BS1009" i="7"/>
  <c r="BU1009" i="7" s="1"/>
  <c r="BR1023" i="7"/>
  <c r="BT1023" i="7" s="1"/>
  <c r="BV1023" i="7" s="1"/>
  <c r="BS1028" i="7"/>
  <c r="BU1028" i="7" s="1"/>
  <c r="BR1035" i="7"/>
  <c r="BT1035" i="7" s="1"/>
  <c r="BV1035" i="7" s="1"/>
  <c r="BS1040" i="7"/>
  <c r="BU1040" i="7" s="1"/>
  <c r="BR1042" i="7"/>
  <c r="BT1042" i="7" s="1"/>
  <c r="BS1047" i="7"/>
  <c r="BU1047" i="7" s="1"/>
  <c r="BR1054" i="7"/>
  <c r="BT1054" i="7" s="1"/>
  <c r="BS1059" i="7"/>
  <c r="BU1059" i="7" s="1"/>
  <c r="BS1066" i="7"/>
  <c r="BU1066" i="7" s="1"/>
  <c r="BR1068" i="7"/>
  <c r="BT1068" i="7" s="1"/>
  <c r="BV1068" i="7" s="1"/>
  <c r="BS1089" i="7"/>
  <c r="BU1089" i="7" s="1"/>
  <c r="BS1113" i="7"/>
  <c r="BU1113" i="7" s="1"/>
  <c r="BS1128" i="7"/>
  <c r="BU1128" i="7" s="1"/>
  <c r="BR1143" i="7"/>
  <c r="BT1143" i="7" s="1"/>
  <c r="BS1162" i="7"/>
  <c r="BU1162" i="7" s="1"/>
  <c r="BS1165" i="7"/>
  <c r="BU1165" i="7" s="1"/>
  <c r="BS1197" i="7"/>
  <c r="BU1197" i="7" s="1"/>
  <c r="BS1216" i="7"/>
  <c r="BU1216" i="7" s="1"/>
  <c r="BS1229" i="7"/>
  <c r="BU1229" i="7" s="1"/>
  <c r="BS1279" i="7"/>
  <c r="BU1279" i="7" s="1"/>
  <c r="BR861" i="7"/>
  <c r="BT861" i="7" s="1"/>
  <c r="BV861" i="7" s="1"/>
  <c r="BS866" i="7"/>
  <c r="BU866" i="7" s="1"/>
  <c r="BR911" i="7"/>
  <c r="BT911" i="7" s="1"/>
  <c r="BV911" i="7" s="1"/>
  <c r="BS916" i="7"/>
  <c r="BU916" i="7" s="1"/>
  <c r="BR961" i="7"/>
  <c r="BT961" i="7" s="1"/>
  <c r="BS966" i="7"/>
  <c r="BU966" i="7" s="1"/>
  <c r="BR1011" i="7"/>
  <c r="BT1011" i="7" s="1"/>
  <c r="BS1016" i="7"/>
  <c r="BU1016" i="7" s="1"/>
  <c r="BR1061" i="7"/>
  <c r="BT1061" i="7" s="1"/>
  <c r="BS1104" i="7"/>
  <c r="BU1104" i="7" s="1"/>
  <c r="BS1140" i="7"/>
  <c r="BU1140" i="7" s="1"/>
  <c r="BR1246" i="7"/>
  <c r="BT1246" i="7" s="1"/>
  <c r="BV1246" i="7" s="1"/>
  <c r="BS1293" i="7"/>
  <c r="BU1293" i="7" s="1"/>
  <c r="BR1273" i="7"/>
  <c r="BT1273" i="7" s="1"/>
  <c r="BV1273" i="7" s="1"/>
  <c r="BR1292" i="7"/>
  <c r="BT1292" i="7" s="1"/>
  <c r="BS1292" i="7"/>
  <c r="BU1292" i="7" s="1"/>
  <c r="BS1196" i="7"/>
  <c r="BU1196" i="7" s="1"/>
  <c r="BR1199" i="7"/>
  <c r="BT1199" i="7" s="1"/>
  <c r="BR1205" i="7"/>
  <c r="BT1205" i="7" s="1"/>
  <c r="BR1208" i="7"/>
  <c r="BT1208" i="7" s="1"/>
  <c r="BV1208" i="7" s="1"/>
  <c r="BS1205" i="7"/>
  <c r="BU1205" i="7" s="1"/>
  <c r="BR1234" i="7"/>
  <c r="BT1234" i="7" s="1"/>
  <c r="BV1234" i="7" s="1"/>
  <c r="BR1247" i="7"/>
  <c r="BT1247" i="7" s="1"/>
  <c r="BR1298" i="7"/>
  <c r="BT1298" i="7" s="1"/>
  <c r="BV1298" i="7" s="1"/>
  <c r="BR1239" i="7"/>
  <c r="BT1239" i="7" s="1"/>
  <c r="BS1256" i="7"/>
  <c r="BU1256" i="7" s="1"/>
  <c r="BR1289" i="7"/>
  <c r="BT1289" i="7" s="1"/>
  <c r="BS1298" i="7"/>
  <c r="BU1298" i="7" s="1"/>
  <c r="BR1197" i="7"/>
  <c r="BT1197" i="7" s="1"/>
  <c r="BS1294" i="7"/>
  <c r="BU1294" i="7" s="1"/>
  <c r="BS1289" i="7"/>
  <c r="BU1289" i="7" s="1"/>
  <c r="BS1183" i="7"/>
  <c r="BU1183" i="7" s="1"/>
  <c r="BS1227" i="7"/>
  <c r="BU1227" i="7" s="1"/>
  <c r="BR1248" i="7"/>
  <c r="BT1248" i="7" s="1"/>
  <c r="BR1236" i="7"/>
  <c r="BT1236" i="7" s="1"/>
  <c r="BV1236" i="7" s="1"/>
  <c r="BR1257" i="7"/>
  <c r="BT1257" i="7" s="1"/>
  <c r="BV1257" i="7" s="1"/>
  <c r="BR1253" i="7"/>
  <c r="BT1253" i="7" s="1"/>
  <c r="BV1253" i="7" s="1"/>
  <c r="BS1262" i="7"/>
  <c r="BU1262" i="7" s="1"/>
  <c r="BR1306" i="7"/>
  <c r="BT1306" i="7" s="1"/>
  <c r="BV1306" i="7" s="1"/>
  <c r="BS1159" i="7"/>
  <c r="BU1159" i="7" s="1"/>
  <c r="BS1175" i="7"/>
  <c r="BU1175" i="7" s="1"/>
  <c r="BR1224" i="7"/>
  <c r="BT1224" i="7" s="1"/>
  <c r="BV1224" i="7" s="1"/>
  <c r="BS1228" i="7"/>
  <c r="BU1228" i="7" s="1"/>
  <c r="BS1236" i="7"/>
  <c r="BU1236" i="7" s="1"/>
  <c r="BR1271" i="7"/>
  <c r="BT1271" i="7" s="1"/>
  <c r="BS1224" i="7"/>
  <c r="BU1224" i="7" s="1"/>
  <c r="BS1232" i="7"/>
  <c r="BU1232" i="7" s="1"/>
  <c r="BS1267" i="7"/>
  <c r="BU1267" i="7" s="1"/>
  <c r="BR1301" i="7"/>
  <c r="BT1301" i="7" s="1"/>
  <c r="BV1301" i="7" s="1"/>
  <c r="BS1307" i="7"/>
  <c r="BU1307" i="7" s="1"/>
  <c r="BS1127" i="7"/>
  <c r="BU1127" i="7" s="1"/>
  <c r="BR1137" i="7"/>
  <c r="BT1137" i="7" s="1"/>
  <c r="BS1144" i="7"/>
  <c r="BU1144" i="7" s="1"/>
  <c r="BR1152" i="7"/>
  <c r="BT1152" i="7" s="1"/>
  <c r="BS1167" i="7"/>
  <c r="BU1167" i="7" s="1"/>
  <c r="BS1170" i="7"/>
  <c r="BU1170" i="7" s="1"/>
  <c r="BR1173" i="7"/>
  <c r="BT1173" i="7" s="1"/>
  <c r="BV1173" i="7" s="1"/>
  <c r="BS1181" i="7"/>
  <c r="BU1181" i="7" s="1"/>
  <c r="BS1207" i="7"/>
  <c r="BU1207" i="7" s="1"/>
  <c r="BS1210" i="7"/>
  <c r="BU1210" i="7" s="1"/>
  <c r="BR1277" i="7"/>
  <c r="BT1277" i="7" s="1"/>
  <c r="BV1277" i="7" s="1"/>
  <c r="BS1095" i="7"/>
  <c r="BU1095" i="7" s="1"/>
  <c r="BR1099" i="7"/>
  <c r="BT1099" i="7" s="1"/>
  <c r="BV1099" i="7" s="1"/>
  <c r="BR1101" i="7"/>
  <c r="BT1101" i="7" s="1"/>
  <c r="BS1112" i="7"/>
  <c r="BU1112" i="7" s="1"/>
  <c r="BR1125" i="7"/>
  <c r="BT1125" i="7" s="1"/>
  <c r="BS1132" i="7"/>
  <c r="BU1132" i="7" s="1"/>
  <c r="BS1157" i="7"/>
  <c r="BU1157" i="7" s="1"/>
  <c r="BS1160" i="7"/>
  <c r="BU1160" i="7" s="1"/>
  <c r="BR1184" i="7"/>
  <c r="BT1184" i="7" s="1"/>
  <c r="BV1184" i="7" s="1"/>
  <c r="BR1214" i="7"/>
  <c r="BT1214" i="7" s="1"/>
  <c r="BV1214" i="7" s="1"/>
  <c r="BS1217" i="7"/>
  <c r="BU1217" i="7" s="1"/>
  <c r="BR1242" i="7"/>
  <c r="BT1242" i="7" s="1"/>
  <c r="BV1242" i="7" s="1"/>
  <c r="BS1296" i="7"/>
  <c r="BU1296" i="7" s="1"/>
  <c r="BS1125" i="7"/>
  <c r="BU1125" i="7" s="1"/>
  <c r="BS1137" i="7"/>
  <c r="BU1137" i="7" s="1"/>
  <c r="BS1142" i="7"/>
  <c r="BU1142" i="7" s="1"/>
  <c r="BR1147" i="7"/>
  <c r="BT1147" i="7" s="1"/>
  <c r="BV1147" i="7" s="1"/>
  <c r="BS1152" i="7"/>
  <c r="BU1152" i="7" s="1"/>
  <c r="BS1173" i="7"/>
  <c r="BU1173" i="7" s="1"/>
  <c r="BS1211" i="7"/>
  <c r="BU1211" i="7" s="1"/>
  <c r="BR1221" i="7"/>
  <c r="BT1221" i="7" s="1"/>
  <c r="BR1237" i="7"/>
  <c r="BT1237" i="7" s="1"/>
  <c r="BV1237" i="7" s="1"/>
  <c r="BS1254" i="7"/>
  <c r="BU1254" i="7" s="1"/>
  <c r="BS1277" i="7"/>
  <c r="BU1277" i="7" s="1"/>
  <c r="BR1121" i="7"/>
  <c r="BT1121" i="7" s="1"/>
  <c r="BV1121" i="7" s="1"/>
  <c r="BS1184" i="7"/>
  <c r="BU1184" i="7" s="1"/>
  <c r="BS1187" i="7"/>
  <c r="BU1187" i="7" s="1"/>
  <c r="BS1214" i="7"/>
  <c r="BU1214" i="7" s="1"/>
  <c r="BS1237" i="7"/>
  <c r="BU1237" i="7" s="1"/>
  <c r="BS1242" i="7"/>
  <c r="BU1242" i="7" s="1"/>
  <c r="BR1287" i="7"/>
  <c r="BT1287" i="7" s="1"/>
  <c r="BR1187" i="7"/>
  <c r="BT1187" i="7" s="1"/>
  <c r="BV1187" i="7" s="1"/>
  <c r="BR1225" i="7"/>
  <c r="BT1225" i="7" s="1"/>
  <c r="BV1225" i="7" s="1"/>
  <c r="BR1279" i="7"/>
  <c r="BT1279" i="7" s="1"/>
  <c r="BR1297" i="7"/>
  <c r="BT1297" i="7" s="1"/>
  <c r="BV1297" i="7" s="1"/>
  <c r="BR1228" i="7"/>
  <c r="BT1228" i="7" s="1"/>
  <c r="BV1228" i="7" s="1"/>
  <c r="BR1233" i="7"/>
  <c r="BT1233" i="7" s="1"/>
  <c r="BV1233" i="7" s="1"/>
  <c r="BS1244" i="7"/>
  <c r="BU1244" i="7" s="1"/>
  <c r="BS1258" i="7"/>
  <c r="BU1258" i="7" s="1"/>
  <c r="BR1267" i="7"/>
  <c r="BT1267" i="7" s="1"/>
  <c r="BV1267" i="7" s="1"/>
  <c r="BS1291" i="7"/>
  <c r="BU1291" i="7" s="1"/>
  <c r="BR1294" i="7"/>
  <c r="BT1294" i="7" s="1"/>
  <c r="BV1294" i="7" s="1"/>
  <c r="BR1308" i="7"/>
  <c r="BT1308" i="7" s="1"/>
  <c r="BV1308" i="7" s="1"/>
  <c r="BS1308" i="7"/>
  <c r="BU1308" i="7" s="1"/>
  <c r="BR1219" i="7"/>
  <c r="BT1219" i="7" s="1"/>
  <c r="BR1229" i="7"/>
  <c r="BT1229" i="7" s="1"/>
  <c r="BR1232" i="7"/>
  <c r="BT1232" i="7" s="1"/>
  <c r="BV1232" i="7" s="1"/>
  <c r="BS1283" i="7"/>
  <c r="BU1283" i="7" s="1"/>
  <c r="BR1296" i="7"/>
  <c r="BT1296" i="7" s="1"/>
  <c r="BR1299" i="7"/>
  <c r="BT1299" i="7" s="1"/>
  <c r="BV1299" i="7" s="1"/>
  <c r="BR1210" i="7"/>
  <c r="BT1210" i="7" s="1"/>
  <c r="BS1222" i="7"/>
  <c r="BU1222" i="7" s="1"/>
  <c r="BR1243" i="7"/>
  <c r="BT1243" i="7" s="1"/>
  <c r="BV1243" i="7" s="1"/>
  <c r="BS1257" i="7"/>
  <c r="BU1257" i="7" s="1"/>
  <c r="BR1281" i="7"/>
  <c r="BT1281" i="7" s="1"/>
  <c r="BV1281" i="7" s="1"/>
  <c r="BS1287" i="7"/>
  <c r="BU1287" i="7" s="1"/>
  <c r="BS1299" i="7"/>
  <c r="BU1299" i="7" s="1"/>
  <c r="BR1077" i="7"/>
  <c r="BT1077" i="7" s="1"/>
  <c r="BV1077" i="7" s="1"/>
  <c r="BR1084" i="7"/>
  <c r="BT1084" i="7" s="1"/>
  <c r="BR1091" i="7"/>
  <c r="BT1091" i="7" s="1"/>
  <c r="BV1091" i="7" s="1"/>
  <c r="BR1098" i="7"/>
  <c r="BT1098" i="7" s="1"/>
  <c r="BV1098" i="7" s="1"/>
  <c r="BR1132" i="7"/>
  <c r="BT1132" i="7" s="1"/>
  <c r="BV1132" i="7" s="1"/>
  <c r="BR1134" i="7"/>
  <c r="BT1134" i="7" s="1"/>
  <c r="BV1134" i="7" s="1"/>
  <c r="BR1136" i="7"/>
  <c r="BT1136" i="7" s="1"/>
  <c r="BR1155" i="7"/>
  <c r="BT1155" i="7" s="1"/>
  <c r="BR1172" i="7"/>
  <c r="BT1172" i="7" s="1"/>
  <c r="BR1174" i="7"/>
  <c r="BT1174" i="7" s="1"/>
  <c r="BR1176" i="7"/>
  <c r="BT1176" i="7" s="1"/>
  <c r="BR1195" i="7"/>
  <c r="BT1195" i="7" s="1"/>
  <c r="BR1206" i="7"/>
  <c r="BT1206" i="7" s="1"/>
  <c r="BR1215" i="7"/>
  <c r="BT1215" i="7" s="1"/>
  <c r="BV1215" i="7" s="1"/>
  <c r="BR1238" i="7"/>
  <c r="BT1238" i="7" s="1"/>
  <c r="BV1238" i="7" s="1"/>
  <c r="BR1269" i="7"/>
  <c r="BT1269" i="7" s="1"/>
  <c r="BV1269" i="7" s="1"/>
  <c r="BS1281" i="7"/>
  <c r="BU1281" i="7" s="1"/>
  <c r="BR1284" i="7"/>
  <c r="BT1284" i="7" s="1"/>
  <c r="BV1284" i="7" s="1"/>
  <c r="BR1303" i="7"/>
  <c r="BT1303" i="7" s="1"/>
  <c r="BV1303" i="7" s="1"/>
  <c r="BS1065" i="7"/>
  <c r="BU1065" i="7" s="1"/>
  <c r="BS1070" i="7"/>
  <c r="BU1070" i="7" s="1"/>
  <c r="BS1153" i="7"/>
  <c r="BU1153" i="7" s="1"/>
  <c r="BS1155" i="7"/>
  <c r="BU1155" i="7" s="1"/>
  <c r="BS1193" i="7"/>
  <c r="BU1193" i="7" s="1"/>
  <c r="BS1195" i="7"/>
  <c r="BU1195" i="7" s="1"/>
  <c r="BR1204" i="7"/>
  <c r="BT1204" i="7" s="1"/>
  <c r="BS1208" i="7"/>
  <c r="BU1208" i="7" s="1"/>
  <c r="BR1213" i="7"/>
  <c r="BT1213" i="7" s="1"/>
  <c r="BS1215" i="7"/>
  <c r="BU1215" i="7" s="1"/>
  <c r="BS1246" i="7"/>
  <c r="BU1246" i="7" s="1"/>
  <c r="BR1252" i="7"/>
  <c r="BT1252" i="7" s="1"/>
  <c r="BS1263" i="7"/>
  <c r="BU1263" i="7" s="1"/>
  <c r="BS1136" i="7"/>
  <c r="BU1136" i="7" s="1"/>
  <c r="BS1151" i="7"/>
  <c r="BU1151" i="7" s="1"/>
  <c r="BS1172" i="7"/>
  <c r="BU1172" i="7" s="1"/>
  <c r="BS1174" i="7"/>
  <c r="BU1174" i="7" s="1"/>
  <c r="BS1176" i="7"/>
  <c r="BU1176" i="7" s="1"/>
  <c r="BS1191" i="7"/>
  <c r="BU1191" i="7" s="1"/>
  <c r="BS1206" i="7"/>
  <c r="BU1206" i="7" s="1"/>
  <c r="BR1230" i="7"/>
  <c r="BT1230" i="7" s="1"/>
  <c r="BV1230" i="7" s="1"/>
  <c r="BS1238" i="7"/>
  <c r="BU1238" i="7" s="1"/>
  <c r="BS1252" i="7"/>
  <c r="BU1252" i="7" s="1"/>
  <c r="BR1311" i="7"/>
  <c r="BT1311" i="7" s="1"/>
  <c r="BV1311" i="7" s="1"/>
  <c r="BR1168" i="7"/>
  <c r="BT1168" i="7" s="1"/>
  <c r="BV1168" i="7" s="1"/>
  <c r="BR1170" i="7"/>
  <c r="BT1170" i="7" s="1"/>
  <c r="BS1202" i="7"/>
  <c r="BU1202" i="7" s="1"/>
  <c r="BS1204" i="7"/>
  <c r="BU1204" i="7" s="1"/>
  <c r="BS1213" i="7"/>
  <c r="BU1213" i="7" s="1"/>
  <c r="BR1241" i="7"/>
  <c r="BT1241" i="7" s="1"/>
  <c r="BR1244" i="7"/>
  <c r="BT1244" i="7" s="1"/>
  <c r="BR1249" i="7"/>
  <c r="BT1249" i="7" s="1"/>
  <c r="BV1249" i="7" s="1"/>
  <c r="BR1226" i="7"/>
  <c r="BT1226" i="7" s="1"/>
  <c r="BR1254" i="7"/>
  <c r="BT1254" i="7" s="1"/>
  <c r="BV1254" i="7" s="1"/>
  <c r="BR1256" i="7"/>
  <c r="BT1256" i="7" s="1"/>
  <c r="BV1256" i="7" s="1"/>
  <c r="BR1258" i="7"/>
  <c r="BT1258" i="7" s="1"/>
  <c r="BS1264" i="7"/>
  <c r="BU1264" i="7" s="1"/>
  <c r="BS1266" i="7"/>
  <c r="BU1266" i="7" s="1"/>
  <c r="BS1268" i="7"/>
  <c r="BU1268" i="7" s="1"/>
  <c r="BR1291" i="7"/>
  <c r="BT1291" i="7" s="1"/>
  <c r="BR1293" i="7"/>
  <c r="BT1293" i="7" s="1"/>
  <c r="BS1201" i="7"/>
  <c r="BU1201" i="7" s="1"/>
  <c r="BR1203" i="7"/>
  <c r="BT1203" i="7" s="1"/>
  <c r="BV1203" i="7" s="1"/>
  <c r="BS1212" i="7"/>
  <c r="BU1212" i="7" s="1"/>
  <c r="BS1221" i="7"/>
  <c r="BU1221" i="7" s="1"/>
  <c r="BR1223" i="7"/>
  <c r="BT1223" i="7" s="1"/>
  <c r="BV1223" i="7" s="1"/>
  <c r="BR1227" i="7"/>
  <c r="BT1227" i="7" s="1"/>
  <c r="BR1259" i="7"/>
  <c r="BT1259" i="7" s="1"/>
  <c r="BR1261" i="7"/>
  <c r="BT1261" i="7" s="1"/>
  <c r="BR1263" i="7"/>
  <c r="BT1263" i="7" s="1"/>
  <c r="BS1269" i="7"/>
  <c r="BU1269" i="7" s="1"/>
  <c r="BS1271" i="7"/>
  <c r="BU1271" i="7" s="1"/>
  <c r="BS1273" i="7"/>
  <c r="BU1273" i="7" s="1"/>
  <c r="BS1303" i="7"/>
  <c r="BU1303" i="7" s="1"/>
  <c r="BS1249" i="7"/>
  <c r="BU1249" i="7" s="1"/>
  <c r="BS1251" i="7"/>
  <c r="BU1251" i="7" s="1"/>
  <c r="BS1253" i="7"/>
  <c r="BU1253" i="7" s="1"/>
  <c r="BR1282" i="7"/>
  <c r="BT1282" i="7" s="1"/>
  <c r="BV1282" i="7" s="1"/>
  <c r="BR1286" i="7"/>
  <c r="BT1286" i="7" s="1"/>
  <c r="BV1286" i="7" s="1"/>
  <c r="BR1288" i="7"/>
  <c r="BT1288" i="7" s="1"/>
  <c r="BV1288" i="7" s="1"/>
  <c r="BR1304" i="7"/>
  <c r="BT1304" i="7" s="1"/>
  <c r="BV1304" i="7" s="1"/>
  <c r="BR1129" i="7"/>
  <c r="BT1129" i="7" s="1"/>
  <c r="BV1129" i="7" s="1"/>
  <c r="BR1149" i="7"/>
  <c r="BT1149" i="7" s="1"/>
  <c r="BV1149" i="7" s="1"/>
  <c r="BR1169" i="7"/>
  <c r="BT1169" i="7" s="1"/>
  <c r="BV1169" i="7" s="1"/>
  <c r="BR1189" i="7"/>
  <c r="BT1189" i="7" s="1"/>
  <c r="BV1189" i="7" s="1"/>
  <c r="BR1209" i="7"/>
  <c r="BT1209" i="7" s="1"/>
  <c r="BV1209" i="7" s="1"/>
  <c r="BS1233" i="7"/>
  <c r="BU1233" i="7" s="1"/>
  <c r="BR1235" i="7"/>
  <c r="BT1235" i="7" s="1"/>
  <c r="BS1239" i="7"/>
  <c r="BU1239" i="7" s="1"/>
  <c r="BS1241" i="7"/>
  <c r="BU1241" i="7" s="1"/>
  <c r="BS1243" i="7"/>
  <c r="BU1243" i="7" s="1"/>
  <c r="BR1272" i="7"/>
  <c r="BT1272" i="7" s="1"/>
  <c r="BS1282" i="7"/>
  <c r="BU1282" i="7" s="1"/>
  <c r="BS1286" i="7"/>
  <c r="BU1286" i="7" s="1"/>
  <c r="BS1288" i="7"/>
  <c r="BU1288" i="7" s="1"/>
  <c r="BS1297" i="7"/>
  <c r="BU1297" i="7" s="1"/>
  <c r="BR1309" i="7"/>
  <c r="BT1309" i="7" s="1"/>
  <c r="BS1118" i="7"/>
  <c r="BU1118" i="7" s="1"/>
  <c r="BS1138" i="7"/>
  <c r="BU1138" i="7" s="1"/>
  <c r="BS1158" i="7"/>
  <c r="BU1158" i="7" s="1"/>
  <c r="BS1178" i="7"/>
  <c r="BU1178" i="7" s="1"/>
  <c r="BS1198" i="7"/>
  <c r="BU1198" i="7" s="1"/>
  <c r="BS1218" i="7"/>
  <c r="BU1218" i="7" s="1"/>
  <c r="BR1274" i="7"/>
  <c r="BT1274" i="7" s="1"/>
  <c r="BV1274" i="7" s="1"/>
  <c r="BR1276" i="7"/>
  <c r="BT1276" i="7" s="1"/>
  <c r="BV1276" i="7" s="1"/>
  <c r="BR1278" i="7"/>
  <c r="BT1278" i="7" s="1"/>
  <c r="BS1284" i="7"/>
  <c r="BU1284" i="7" s="1"/>
  <c r="BS1304" i="7"/>
  <c r="BU1304" i="7" s="1"/>
  <c r="BS1100" i="7"/>
  <c r="BU1100" i="7" s="1"/>
  <c r="BR1102" i="7"/>
  <c r="BT1102" i="7" s="1"/>
  <c r="BV1102" i="7" s="1"/>
  <c r="BS1109" i="7"/>
  <c r="BU1109" i="7" s="1"/>
  <c r="BR1111" i="7"/>
  <c r="BT1111" i="7" s="1"/>
  <c r="BV1111" i="7" s="1"/>
  <c r="BR1120" i="7"/>
  <c r="BT1120" i="7" s="1"/>
  <c r="BR1122" i="7"/>
  <c r="BT1122" i="7" s="1"/>
  <c r="BV1122" i="7" s="1"/>
  <c r="BS1129" i="7"/>
  <c r="BU1129" i="7" s="1"/>
  <c r="BR1131" i="7"/>
  <c r="BT1131" i="7" s="1"/>
  <c r="BV1131" i="7" s="1"/>
  <c r="BR1140" i="7"/>
  <c r="BT1140" i="7" s="1"/>
  <c r="BR1142" i="7"/>
  <c r="BT1142" i="7" s="1"/>
  <c r="BS1149" i="7"/>
  <c r="BU1149" i="7" s="1"/>
  <c r="BR1151" i="7"/>
  <c r="BT1151" i="7" s="1"/>
  <c r="BV1151" i="7" s="1"/>
  <c r="BR1160" i="7"/>
  <c r="BT1160" i="7" s="1"/>
  <c r="BV1160" i="7" s="1"/>
  <c r="BR1162" i="7"/>
  <c r="BT1162" i="7" s="1"/>
  <c r="BV1162" i="7" s="1"/>
  <c r="BS1169" i="7"/>
  <c r="BU1169" i="7" s="1"/>
  <c r="BR1171" i="7"/>
  <c r="BT1171" i="7" s="1"/>
  <c r="BV1171" i="7" s="1"/>
  <c r="BR1180" i="7"/>
  <c r="BT1180" i="7" s="1"/>
  <c r="BV1180" i="7" s="1"/>
  <c r="BR1182" i="7"/>
  <c r="BT1182" i="7" s="1"/>
  <c r="BS1189" i="7"/>
  <c r="BU1189" i="7" s="1"/>
  <c r="BR1191" i="7"/>
  <c r="BT1191" i="7" s="1"/>
  <c r="BR1200" i="7"/>
  <c r="BT1200" i="7" s="1"/>
  <c r="BV1200" i="7" s="1"/>
  <c r="BR1202" i="7"/>
  <c r="BT1202" i="7" s="1"/>
  <c r="BS1209" i="7"/>
  <c r="BU1209" i="7" s="1"/>
  <c r="BR1211" i="7"/>
  <c r="BT1211" i="7" s="1"/>
  <c r="BR1220" i="7"/>
  <c r="BT1220" i="7" s="1"/>
  <c r="BR1222" i="7"/>
  <c r="BT1222" i="7" s="1"/>
  <c r="BR1262" i="7"/>
  <c r="BT1262" i="7" s="1"/>
  <c r="BS1272" i="7"/>
  <c r="BU1272" i="7" s="1"/>
  <c r="BR1302" i="7"/>
  <c r="BT1302" i="7" s="1"/>
  <c r="BV1302" i="7" s="1"/>
  <c r="BS1309" i="7"/>
  <c r="BU1309" i="7" s="1"/>
  <c r="BS1220" i="7"/>
  <c r="BU1220" i="7" s="1"/>
  <c r="BR1264" i="7"/>
  <c r="BT1264" i="7" s="1"/>
  <c r="BV1264" i="7" s="1"/>
  <c r="BR1266" i="7"/>
  <c r="BT1266" i="7" s="1"/>
  <c r="BV1266" i="7" s="1"/>
  <c r="BR1268" i="7"/>
  <c r="BT1268" i="7" s="1"/>
  <c r="BS1274" i="7"/>
  <c r="BU1274" i="7" s="1"/>
  <c r="BS1276" i="7"/>
  <c r="BU1276" i="7" s="1"/>
  <c r="BS1278" i="7"/>
  <c r="BU1278" i="7" s="1"/>
  <c r="BS1302" i="7"/>
  <c r="BU1302" i="7" s="1"/>
  <c r="BR1307" i="7"/>
  <c r="BT1307" i="7" s="1"/>
  <c r="BV1307" i="7" s="1"/>
  <c r="BS1301" i="7"/>
  <c r="BU1301" i="7" s="1"/>
  <c r="BS1306" i="7"/>
  <c r="BU1306" i="7" s="1"/>
  <c r="BS1311" i="7"/>
  <c r="BU1311" i="7" s="1"/>
  <c r="BR1240" i="7"/>
  <c r="BT1240" i="7" s="1"/>
  <c r="BR1245" i="7"/>
  <c r="BT1245" i="7" s="1"/>
  <c r="BV1245" i="7" s="1"/>
  <c r="BR1250" i="7"/>
  <c r="BT1250" i="7" s="1"/>
  <c r="BV1250" i="7" s="1"/>
  <c r="BR1255" i="7"/>
  <c r="BT1255" i="7" s="1"/>
  <c r="BV1255" i="7" s="1"/>
  <c r="BR1260" i="7"/>
  <c r="BT1260" i="7" s="1"/>
  <c r="BV1260" i="7" s="1"/>
  <c r="BR1265" i="7"/>
  <c r="BT1265" i="7" s="1"/>
  <c r="BV1265" i="7" s="1"/>
  <c r="BR1270" i="7"/>
  <c r="BT1270" i="7" s="1"/>
  <c r="BV1270" i="7" s="1"/>
  <c r="BR1275" i="7"/>
  <c r="BT1275" i="7" s="1"/>
  <c r="BR1280" i="7"/>
  <c r="BT1280" i="7" s="1"/>
  <c r="BV1280" i="7" s="1"/>
  <c r="BR1285" i="7"/>
  <c r="BT1285" i="7" s="1"/>
  <c r="BV1285" i="7" s="1"/>
  <c r="BR1290" i="7"/>
  <c r="BT1290" i="7" s="1"/>
  <c r="BR1295" i="7"/>
  <c r="BT1295" i="7" s="1"/>
  <c r="BR1300" i="7"/>
  <c r="BT1300" i="7" s="1"/>
  <c r="BV1300" i="7" s="1"/>
  <c r="BR1305" i="7"/>
  <c r="BT1305" i="7" s="1"/>
  <c r="BV1305" i="7" s="1"/>
  <c r="BR1310" i="7"/>
  <c r="BT1310" i="7" s="1"/>
  <c r="BV1310" i="7" s="1"/>
  <c r="BS1225" i="7"/>
  <c r="BU1225" i="7" s="1"/>
  <c r="BS1230" i="7"/>
  <c r="BU1230" i="7" s="1"/>
  <c r="BS1235" i="7"/>
  <c r="BU1235" i="7" s="1"/>
  <c r="BS1240" i="7"/>
  <c r="BU1240" i="7" s="1"/>
  <c r="BS1245" i="7"/>
  <c r="BU1245" i="7" s="1"/>
  <c r="BS1250" i="7"/>
  <c r="BU1250" i="7" s="1"/>
  <c r="BS1255" i="7"/>
  <c r="BU1255" i="7" s="1"/>
  <c r="BS1260" i="7"/>
  <c r="BU1260" i="7" s="1"/>
  <c r="BS1265" i="7"/>
  <c r="BU1265" i="7" s="1"/>
  <c r="BS1270" i="7"/>
  <c r="BU1270" i="7" s="1"/>
  <c r="BS1275" i="7"/>
  <c r="BU1275" i="7" s="1"/>
  <c r="BS1280" i="7"/>
  <c r="BU1280" i="7" s="1"/>
  <c r="BS1285" i="7"/>
  <c r="BU1285" i="7" s="1"/>
  <c r="BS1290" i="7"/>
  <c r="BU1290" i="7" s="1"/>
  <c r="BS1295" i="7"/>
  <c r="BU1295" i="7" s="1"/>
  <c r="BS1300" i="7"/>
  <c r="BU1300" i="7" s="1"/>
  <c r="BS1305" i="7"/>
  <c r="BU1305" i="7" s="1"/>
  <c r="BS1310" i="7"/>
  <c r="BU1310" i="7" s="1"/>
  <c r="BJ92" i="7"/>
  <c r="BJ349" i="7"/>
  <c r="BK23" i="7"/>
  <c r="BJ30" i="7"/>
  <c r="BK43" i="7"/>
  <c r="BJ50" i="7"/>
  <c r="BK63" i="7"/>
  <c r="BK70" i="7"/>
  <c r="BJ77" i="7"/>
  <c r="BK85" i="7"/>
  <c r="BK100" i="7"/>
  <c r="BK107" i="7"/>
  <c r="BJ138" i="7"/>
  <c r="BJ145" i="7"/>
  <c r="BJ153" i="7"/>
  <c r="BK160" i="7"/>
  <c r="BK169" i="7"/>
  <c r="BK176" i="7"/>
  <c r="BK185" i="7"/>
  <c r="BK192" i="7"/>
  <c r="BK201" i="7"/>
  <c r="BK217" i="7"/>
  <c r="BK233" i="7"/>
  <c r="BJ242" i="7"/>
  <c r="BJ266" i="7"/>
  <c r="BJ286" i="7"/>
  <c r="BJ297" i="7"/>
  <c r="BJ308" i="7"/>
  <c r="BK320" i="7"/>
  <c r="BJ336" i="7"/>
  <c r="BK351" i="7"/>
  <c r="BJ366" i="7"/>
  <c r="BJ385" i="7"/>
  <c r="BJ407" i="7"/>
  <c r="BK444" i="7"/>
  <c r="BJ489" i="7"/>
  <c r="BK122" i="7"/>
  <c r="BK365" i="7"/>
  <c r="BK30" i="7"/>
  <c r="BK286" i="7"/>
  <c r="BJ234" i="7"/>
  <c r="BJ243" i="7"/>
  <c r="BJ259" i="7"/>
  <c r="BJ321" i="7"/>
  <c r="BJ353" i="7"/>
  <c r="BJ369" i="7"/>
  <c r="BJ410" i="7"/>
  <c r="BK449" i="7"/>
  <c r="BJ493" i="7"/>
  <c r="BJ335" i="7"/>
  <c r="BK17" i="7"/>
  <c r="BK153" i="7"/>
  <c r="BK336" i="7"/>
  <c r="BK130" i="7"/>
  <c r="BJ38" i="7"/>
  <c r="BK44" i="7"/>
  <c r="BJ58" i="7"/>
  <c r="BJ93" i="7"/>
  <c r="BK101" i="7"/>
  <c r="BK123" i="7"/>
  <c r="BK131" i="7"/>
  <c r="BJ154" i="7"/>
  <c r="BK161" i="7"/>
  <c r="BJ211" i="7"/>
  <c r="BK234" i="7"/>
  <c r="BK250" i="7"/>
  <c r="BK259" i="7"/>
  <c r="BK276" i="7"/>
  <c r="BJ287" i="7"/>
  <c r="BJ298" i="7"/>
  <c r="BJ309" i="7"/>
  <c r="BK321" i="7"/>
  <c r="BJ370" i="7"/>
  <c r="BK412" i="7"/>
  <c r="BJ497" i="7"/>
  <c r="BK108" i="7"/>
  <c r="BJ117" i="7"/>
  <c r="BJ132" i="7"/>
  <c r="BJ139" i="7"/>
  <c r="BK154" i="7"/>
  <c r="BJ162" i="7"/>
  <c r="BK170" i="7"/>
  <c r="BK186" i="7"/>
  <c r="BK202" i="7"/>
  <c r="BK211" i="7"/>
  <c r="BK218" i="7"/>
  <c r="BK227" i="7"/>
  <c r="BK243" i="7"/>
  <c r="BJ251" i="7"/>
  <c r="BK309" i="7"/>
  <c r="BK323" i="7"/>
  <c r="BK337" i="7"/>
  <c r="BK387" i="7"/>
  <c r="BK414" i="7"/>
  <c r="BK129" i="7"/>
  <c r="BK249" i="7"/>
  <c r="BJ101" i="7"/>
  <c r="BK138" i="7"/>
  <c r="BJ45" i="7"/>
  <c r="BJ163" i="7"/>
  <c r="BJ155" i="7"/>
  <c r="BK219" i="7"/>
  <c r="BJ228" i="7"/>
  <c r="BK252" i="7"/>
  <c r="BJ288" i="7"/>
  <c r="BJ299" i="7"/>
  <c r="BK340" i="7"/>
  <c r="BJ355" i="7"/>
  <c r="BJ371" i="7"/>
  <c r="BJ392" i="7"/>
  <c r="BJ418" i="7"/>
  <c r="BK456" i="7"/>
  <c r="BJ508" i="7"/>
  <c r="BJ17" i="7"/>
  <c r="BK386" i="7"/>
  <c r="BJ51" i="7"/>
  <c r="BK163" i="7"/>
  <c r="BK72" i="7"/>
  <c r="BK80" i="7"/>
  <c r="BJ133" i="7"/>
  <c r="BJ140" i="7"/>
  <c r="BJ164" i="7"/>
  <c r="BK203" i="7"/>
  <c r="BJ220" i="7"/>
  <c r="BK244" i="7"/>
  <c r="BJ253" i="7"/>
  <c r="BK260" i="7"/>
  <c r="BJ270" i="7"/>
  <c r="BJ290" i="7"/>
  <c r="BJ301" i="7"/>
  <c r="BK312" i="7"/>
  <c r="BK341" i="7"/>
  <c r="BJ357" i="7"/>
  <c r="BK371" i="7"/>
  <c r="BK420" i="7"/>
  <c r="BJ459" i="7"/>
  <c r="BJ511" i="7"/>
  <c r="BK443" i="7"/>
  <c r="BK209" i="7"/>
  <c r="BJ161" i="7"/>
  <c r="BK210" i="7"/>
  <c r="BK298" i="7"/>
  <c r="BK52" i="7"/>
  <c r="BK117" i="7"/>
  <c r="BJ244" i="7"/>
  <c r="BK269" i="7"/>
  <c r="BK325" i="7"/>
  <c r="BJ19" i="7"/>
  <c r="BK110" i="7"/>
  <c r="BK19" i="7"/>
  <c r="BJ66" i="7"/>
  <c r="BK73" i="7"/>
  <c r="BK87" i="7"/>
  <c r="BJ96" i="7"/>
  <c r="BJ111" i="7"/>
  <c r="BJ118" i="7"/>
  <c r="BK148" i="7"/>
  <c r="BK155" i="7"/>
  <c r="BK164" i="7"/>
  <c r="BK171" i="7"/>
  <c r="BK180" i="7"/>
  <c r="BK196" i="7"/>
  <c r="BJ204" i="7"/>
  <c r="BK212" i="7"/>
  <c r="BJ221" i="7"/>
  <c r="BK228" i="7"/>
  <c r="BK253" i="7"/>
  <c r="BK279" i="7"/>
  <c r="BK290" i="7"/>
  <c r="BK301" i="7"/>
  <c r="BJ313" i="7"/>
  <c r="BJ326" i="7"/>
  <c r="BJ342" i="7"/>
  <c r="BJ358" i="7"/>
  <c r="BK373" i="7"/>
  <c r="BK461" i="7"/>
  <c r="BJ218" i="7"/>
  <c r="BJ65" i="7"/>
  <c r="BK38" i="7"/>
  <c r="BK132" i="7"/>
  <c r="BK390" i="7"/>
  <c r="BJ87" i="7"/>
  <c r="BK124" i="7"/>
  <c r="BJ180" i="7"/>
  <c r="BJ196" i="7"/>
  <c r="BJ212" i="7"/>
  <c r="BK310" i="7"/>
  <c r="BK26" i="7"/>
  <c r="BJ39" i="7"/>
  <c r="BK45" i="7"/>
  <c r="BJ59" i="7"/>
  <c r="BK102" i="7"/>
  <c r="BJ13" i="7"/>
  <c r="BJ33" i="7"/>
  <c r="BK39" i="7"/>
  <c r="BJ53" i="7"/>
  <c r="BK59" i="7"/>
  <c r="BJ20" i="7"/>
  <c r="BJ27" i="7"/>
  <c r="BJ81" i="7"/>
  <c r="BJ103" i="7"/>
  <c r="BK111" i="7"/>
  <c r="BK133" i="7"/>
  <c r="BK140" i="7"/>
  <c r="BJ172" i="7"/>
  <c r="BK221" i="7"/>
  <c r="BJ245" i="7"/>
  <c r="BJ261" i="7"/>
  <c r="BK270" i="7"/>
  <c r="BJ280" i="7"/>
  <c r="BJ291" i="7"/>
  <c r="BJ302" i="7"/>
  <c r="BK313" i="7"/>
  <c r="BK358" i="7"/>
  <c r="BK375" i="7"/>
  <c r="BJ393" i="7"/>
  <c r="BK519" i="7"/>
  <c r="BJ130" i="7"/>
  <c r="BJ276" i="7"/>
  <c r="BK352" i="7"/>
  <c r="BK64" i="7"/>
  <c r="BJ170" i="7"/>
  <c r="BJ32" i="7"/>
  <c r="BK51" i="7"/>
  <c r="BJ102" i="7"/>
  <c r="BJ310" i="7"/>
  <c r="BK13" i="7"/>
  <c r="BJ74" i="7"/>
  <c r="BK118" i="7"/>
  <c r="BJ181" i="7"/>
  <c r="BK189" i="7"/>
  <c r="BJ197" i="7"/>
  <c r="BJ213" i="7"/>
  <c r="BJ222" i="7"/>
  <c r="BJ229" i="7"/>
  <c r="BJ238" i="7"/>
  <c r="BJ254" i="7"/>
  <c r="BK261" i="7"/>
  <c r="BK280" i="7"/>
  <c r="BK291" i="7"/>
  <c r="BK302" i="7"/>
  <c r="BJ314" i="7"/>
  <c r="BK326" i="7"/>
  <c r="BJ396" i="7"/>
  <c r="BK465" i="7"/>
  <c r="BJ523" i="7"/>
  <c r="BJ114" i="7"/>
  <c r="BK296" i="7"/>
  <c r="BK242" i="7"/>
  <c r="BJ86" i="7"/>
  <c r="BK193" i="7"/>
  <c r="BK71" i="7"/>
  <c r="BK58" i="7"/>
  <c r="BJ260" i="7"/>
  <c r="BK415" i="7"/>
  <c r="BK65" i="7"/>
  <c r="BJ187" i="7"/>
  <c r="BJ40" i="7"/>
  <c r="BK66" i="7"/>
  <c r="BK27" i="7"/>
  <c r="BK47" i="7"/>
  <c r="BK81" i="7"/>
  <c r="BK89" i="7"/>
  <c r="BK103" i="7"/>
  <c r="BJ112" i="7"/>
  <c r="BJ134" i="7"/>
  <c r="BJ142" i="7"/>
  <c r="BK149" i="7"/>
  <c r="BK173" i="7"/>
  <c r="BJ190" i="7"/>
  <c r="BK229" i="7"/>
  <c r="BK254" i="7"/>
  <c r="BJ262" i="7"/>
  <c r="BJ271" i="7"/>
  <c r="BJ281" i="7"/>
  <c r="BJ292" i="7"/>
  <c r="BJ303" i="7"/>
  <c r="BK314" i="7"/>
  <c r="BJ327" i="7"/>
  <c r="BJ343" i="7"/>
  <c r="BK359" i="7"/>
  <c r="BK397" i="7"/>
  <c r="BJ427" i="7"/>
  <c r="BJ468" i="7"/>
  <c r="BK527" i="7"/>
  <c r="BJ404" i="7"/>
  <c r="BK297" i="7"/>
  <c r="BK447" i="7"/>
  <c r="BK86" i="7"/>
  <c r="BK376" i="7"/>
  <c r="BJ530" i="7"/>
  <c r="BK145" i="7"/>
  <c r="BJ18" i="7"/>
  <c r="BK93" i="7"/>
  <c r="BK179" i="7"/>
  <c r="BJ354" i="7"/>
  <c r="BK172" i="7"/>
  <c r="BK40" i="7"/>
  <c r="BJ119" i="7"/>
  <c r="BJ230" i="7"/>
  <c r="BK238" i="7"/>
  <c r="BJ82" i="7"/>
  <c r="BJ143" i="7"/>
  <c r="BJ255" i="7"/>
  <c r="BJ346" i="7"/>
  <c r="BK360" i="7"/>
  <c r="BJ377" i="7"/>
  <c r="BJ432" i="7"/>
  <c r="BK32" i="7"/>
  <c r="BJ165" i="7"/>
  <c r="BJ54" i="7"/>
  <c r="BK127" i="7"/>
  <c r="BK134" i="7"/>
  <c r="BK181" i="7"/>
  <c r="BJ315" i="7"/>
  <c r="BK343" i="7"/>
  <c r="BK112" i="7"/>
  <c r="BK119" i="7"/>
  <c r="BK263" i="7"/>
  <c r="BJ42" i="7"/>
  <c r="BJ61" i="7"/>
  <c r="BK68" i="7"/>
  <c r="BK75" i="7"/>
  <c r="BK97" i="7"/>
  <c r="BJ120" i="7"/>
  <c r="BJ128" i="7"/>
  <c r="BJ135" i="7"/>
  <c r="BJ166" i="7"/>
  <c r="BJ175" i="7"/>
  <c r="BJ182" i="7"/>
  <c r="BJ191" i="7"/>
  <c r="BJ207" i="7"/>
  <c r="BJ223" i="7"/>
  <c r="BK231" i="7"/>
  <c r="BJ239" i="7"/>
  <c r="BJ264" i="7"/>
  <c r="BJ272" i="7"/>
  <c r="BK315" i="7"/>
  <c r="BJ331" i="7"/>
  <c r="BJ347" i="7"/>
  <c r="BK362" i="7"/>
  <c r="BJ379" i="7"/>
  <c r="BK398" i="7"/>
  <c r="BK474" i="7"/>
  <c r="BJ37" i="7"/>
  <c r="BJ123" i="7"/>
  <c r="BK308" i="7"/>
  <c r="BK31" i="7"/>
  <c r="BJ71" i="7"/>
  <c r="BJ124" i="7"/>
  <c r="BK287" i="7"/>
  <c r="BJ325" i="7"/>
  <c r="BJ72" i="7"/>
  <c r="BJ203" i="7"/>
  <c r="BJ60" i="7"/>
  <c r="BJ41" i="7"/>
  <c r="BK281" i="7"/>
  <c r="BJ22" i="7"/>
  <c r="BJ55" i="7"/>
  <c r="BK82" i="7"/>
  <c r="BJ91" i="7"/>
  <c r="BJ113" i="7"/>
  <c r="BJ121" i="7"/>
  <c r="BK143" i="7"/>
  <c r="BK150" i="7"/>
  <c r="BJ159" i="7"/>
  <c r="BK182" i="7"/>
  <c r="BJ232" i="7"/>
  <c r="BK239" i="7"/>
  <c r="BK255" i="7"/>
  <c r="BK272" i="7"/>
  <c r="BJ282" i="7"/>
  <c r="BJ293" i="7"/>
  <c r="BJ304" i="7"/>
  <c r="BJ316" i="7"/>
  <c r="BK347" i="7"/>
  <c r="BK363" i="7"/>
  <c r="BJ381" i="7"/>
  <c r="BK401" i="7"/>
  <c r="BJ436" i="7"/>
  <c r="BJ545" i="7"/>
  <c r="BJ56" i="7"/>
  <c r="BK152" i="7"/>
  <c r="BK285" i="7"/>
  <c r="BK382" i="7"/>
  <c r="BJ64" i="7"/>
  <c r="BJ368" i="7"/>
  <c r="BJ108" i="7"/>
  <c r="BJ186" i="7"/>
  <c r="BK79" i="7"/>
  <c r="BJ80" i="7"/>
  <c r="BK251" i="7"/>
  <c r="BJ141" i="7"/>
  <c r="BJ149" i="7"/>
  <c r="BJ14" i="7"/>
  <c r="BJ97" i="7"/>
  <c r="BK222" i="7"/>
  <c r="BJ214" i="7"/>
  <c r="BK303" i="7"/>
  <c r="BK22" i="7"/>
  <c r="BK69" i="7"/>
  <c r="BJ76" i="7"/>
  <c r="BJ83" i="7"/>
  <c r="BJ98" i="7"/>
  <c r="BK106" i="7"/>
  <c r="BK121" i="7"/>
  <c r="BK128" i="7"/>
  <c r="BK159" i="7"/>
  <c r="BK175" i="7"/>
  <c r="BJ183" i="7"/>
  <c r="BK191" i="7"/>
  <c r="BJ200" i="7"/>
  <c r="BK207" i="7"/>
  <c r="BK223" i="7"/>
  <c r="BK232" i="7"/>
  <c r="BK248" i="7"/>
  <c r="BJ265" i="7"/>
  <c r="BK273" i="7"/>
  <c r="BK282" i="7"/>
  <c r="BK293" i="7"/>
  <c r="BJ305" i="7"/>
  <c r="BJ318" i="7"/>
  <c r="BJ364" i="7"/>
  <c r="BJ403" i="7"/>
  <c r="BK553" i="7"/>
  <c r="BJ486" i="7"/>
  <c r="BK37" i="7"/>
  <c r="BK92" i="7"/>
  <c r="BJ250" i="7"/>
  <c r="BJ24" i="7"/>
  <c r="BK50" i="7"/>
  <c r="BJ338" i="7"/>
  <c r="BJ21" i="7"/>
  <c r="BK33" i="7"/>
  <c r="BK96" i="7"/>
  <c r="BK21" i="7"/>
  <c r="BJ34" i="7"/>
  <c r="BK60" i="7"/>
  <c r="BJ75" i="7"/>
  <c r="BJ90" i="7"/>
  <c r="BJ104" i="7"/>
  <c r="BK142" i="7"/>
  <c r="BJ174" i="7"/>
  <c r="BK190" i="7"/>
  <c r="BK213" i="7"/>
  <c r="BJ28" i="7"/>
  <c r="BK292" i="7"/>
  <c r="BJ16" i="7"/>
  <c r="BK28" i="7"/>
  <c r="BJ62" i="7"/>
  <c r="BJ84" i="7"/>
  <c r="BK91" i="7"/>
  <c r="BK113" i="7"/>
  <c r="BJ122" i="7"/>
  <c r="BJ144" i="7"/>
  <c r="BJ151" i="7"/>
  <c r="BJ184" i="7"/>
  <c r="BK200" i="7"/>
  <c r="BJ240" i="7"/>
  <c r="BJ274" i="7"/>
  <c r="BJ284" i="7"/>
  <c r="BK295" i="7"/>
  <c r="BK306" i="7"/>
  <c r="BJ319" i="7"/>
  <c r="BJ332" i="7"/>
  <c r="BK364" i="7"/>
  <c r="BK438" i="7"/>
  <c r="BK481" i="7"/>
  <c r="BJ100" i="7"/>
  <c r="BJ241" i="7"/>
  <c r="BK307" i="7"/>
  <c r="BJ193" i="7"/>
  <c r="BJ44" i="7"/>
  <c r="BJ202" i="7"/>
  <c r="BK24" i="7"/>
  <c r="BK18" i="7"/>
  <c r="BK139" i="7"/>
  <c r="BK109" i="7"/>
  <c r="BJ171" i="7"/>
  <c r="BK53" i="7"/>
  <c r="BK165" i="7"/>
  <c r="BK197" i="7"/>
  <c r="BK206" i="7"/>
  <c r="BJ263" i="7"/>
  <c r="BJ329" i="7"/>
  <c r="BJ360" i="7"/>
  <c r="BK34" i="7"/>
  <c r="BJ48" i="7"/>
  <c r="BK54" i="7"/>
  <c r="BK90" i="7"/>
  <c r="BJ150" i="7"/>
  <c r="BK230" i="7"/>
  <c r="BK271" i="7"/>
  <c r="BK330" i="7"/>
  <c r="BJ35" i="7"/>
  <c r="BK48" i="7"/>
  <c r="BK42" i="7"/>
  <c r="BK61" i="7"/>
  <c r="BK16" i="7"/>
  <c r="BJ29" i="7"/>
  <c r="BJ49" i="7"/>
  <c r="BK55" i="7"/>
  <c r="BJ23" i="7"/>
  <c r="BK29" i="7"/>
  <c r="BJ43" i="7"/>
  <c r="BK49" i="7"/>
  <c r="BJ63" i="7"/>
  <c r="BJ70" i="7"/>
  <c r="BK76" i="7"/>
  <c r="BJ107" i="7"/>
  <c r="BJ129" i="7"/>
  <c r="BK144" i="7"/>
  <c r="BK151" i="7"/>
  <c r="BJ160" i="7"/>
  <c r="BJ176" i="7"/>
  <c r="BJ192" i="7"/>
  <c r="BJ201" i="7"/>
  <c r="BJ208" i="7"/>
  <c r="BJ217" i="7"/>
  <c r="BJ224" i="7"/>
  <c r="BJ233" i="7"/>
  <c r="BK240" i="7"/>
  <c r="BJ249" i="7"/>
  <c r="BK265" i="7"/>
  <c r="BJ285" i="7"/>
  <c r="BJ296" i="7"/>
  <c r="BJ307" i="7"/>
  <c r="BJ320" i="7"/>
  <c r="BK332" i="7"/>
  <c r="BK348" i="7"/>
  <c r="BJ382" i="7"/>
  <c r="BK572" i="7"/>
  <c r="BJ312" i="7"/>
  <c r="BK317" i="7"/>
  <c r="BJ323" i="7"/>
  <c r="BK328" i="7"/>
  <c r="BJ334" i="7"/>
  <c r="BJ340" i="7"/>
  <c r="BK345" i="7"/>
  <c r="BJ351" i="7"/>
  <c r="BK356" i="7"/>
  <c r="BJ362" i="7"/>
  <c r="BK367" i="7"/>
  <c r="BJ373" i="7"/>
  <c r="BK378" i="7"/>
  <c r="BJ384" i="7"/>
  <c r="BJ390" i="7"/>
  <c r="BK395" i="7"/>
  <c r="BJ401" i="7"/>
  <c r="BK406" i="7"/>
  <c r="BJ412" i="7"/>
  <c r="BK417" i="7"/>
  <c r="BJ429" i="7"/>
  <c r="BK435" i="7"/>
  <c r="BJ447" i="7"/>
  <c r="BK458" i="7"/>
  <c r="BK464" i="7"/>
  <c r="BK492" i="7"/>
  <c r="BJ499" i="7"/>
  <c r="BK507" i="7"/>
  <c r="BK522" i="7"/>
  <c r="BK529" i="7"/>
  <c r="BK566" i="7"/>
  <c r="BK585" i="7"/>
  <c r="BK604" i="7"/>
  <c r="BK637" i="7"/>
  <c r="BJ652" i="7"/>
  <c r="BJ854" i="7"/>
  <c r="BJ79" i="7"/>
  <c r="BK84" i="7"/>
  <c r="BJ95" i="7"/>
  <c r="BK105" i="7"/>
  <c r="BJ116" i="7"/>
  <c r="BK126" i="7"/>
  <c r="BJ137" i="7"/>
  <c r="BK147" i="7"/>
  <c r="BJ158" i="7"/>
  <c r="BK168" i="7"/>
  <c r="BJ179" i="7"/>
  <c r="BK184" i="7"/>
  <c r="BJ195" i="7"/>
  <c r="BK205" i="7"/>
  <c r="BJ216" i="7"/>
  <c r="BK226" i="7"/>
  <c r="BJ237" i="7"/>
  <c r="BK247" i="7"/>
  <c r="BJ258" i="7"/>
  <c r="BK268" i="7"/>
  <c r="BJ279" i="7"/>
  <c r="BK284" i="7"/>
  <c r="BK334" i="7"/>
  <c r="BK384" i="7"/>
  <c r="BK423" i="7"/>
  <c r="BK429" i="7"/>
  <c r="BK441" i="7"/>
  <c r="BJ453" i="7"/>
  <c r="BK472" i="7"/>
  <c r="BJ479" i="7"/>
  <c r="BK485" i="7"/>
  <c r="BJ515" i="7"/>
  <c r="BK539" i="7"/>
  <c r="BJ548" i="7"/>
  <c r="BK558" i="7"/>
  <c r="BJ567" i="7"/>
  <c r="BK575" i="7"/>
  <c r="BJ586" i="7"/>
  <c r="BK594" i="7"/>
  <c r="BJ625" i="7"/>
  <c r="BK652" i="7"/>
  <c r="BJ702" i="7"/>
  <c r="BK774" i="7"/>
  <c r="BK857" i="7"/>
  <c r="BK548" i="7"/>
  <c r="BK567" i="7"/>
  <c r="BK586" i="7"/>
  <c r="BJ605" i="7"/>
  <c r="BJ639" i="7"/>
  <c r="BJ653" i="7"/>
  <c r="BK675" i="7"/>
  <c r="BJ775" i="7"/>
  <c r="BJ867" i="7"/>
  <c r="BJ69" i="7"/>
  <c r="BK74" i="7"/>
  <c r="BJ85" i="7"/>
  <c r="BK95" i="7"/>
  <c r="BJ106" i="7"/>
  <c r="BK116" i="7"/>
  <c r="BJ127" i="7"/>
  <c r="BK137" i="7"/>
  <c r="BJ148" i="7"/>
  <c r="BK158" i="7"/>
  <c r="BJ169" i="7"/>
  <c r="BK174" i="7"/>
  <c r="BJ185" i="7"/>
  <c r="BK195" i="7"/>
  <c r="BJ206" i="7"/>
  <c r="BK216" i="7"/>
  <c r="BJ227" i="7"/>
  <c r="BK237" i="7"/>
  <c r="BJ248" i="7"/>
  <c r="BK258" i="7"/>
  <c r="BJ269" i="7"/>
  <c r="BK274" i="7"/>
  <c r="BK329" i="7"/>
  <c r="BK379" i="7"/>
  <c r="BJ424" i="7"/>
  <c r="BK430" i="7"/>
  <c r="BJ442" i="7"/>
  <c r="BK453" i="7"/>
  <c r="BK459" i="7"/>
  <c r="BJ466" i="7"/>
  <c r="BJ473" i="7"/>
  <c r="BK479" i="7"/>
  <c r="BK486" i="7"/>
  <c r="BK500" i="7"/>
  <c r="BK515" i="7"/>
  <c r="BJ540" i="7"/>
  <c r="BJ559" i="7"/>
  <c r="BJ568" i="7"/>
  <c r="BJ578" i="7"/>
  <c r="BJ587" i="7"/>
  <c r="BJ595" i="7"/>
  <c r="BJ615" i="7"/>
  <c r="BJ627" i="7"/>
  <c r="BJ680" i="7"/>
  <c r="BJ735" i="7"/>
  <c r="BK776" i="7"/>
  <c r="BK869" i="7"/>
  <c r="BK318" i="7"/>
  <c r="BJ324" i="7"/>
  <c r="BJ330" i="7"/>
  <c r="BK335" i="7"/>
  <c r="BJ341" i="7"/>
  <c r="BK346" i="7"/>
  <c r="BJ352" i="7"/>
  <c r="BK357" i="7"/>
  <c r="BJ363" i="7"/>
  <c r="BK368" i="7"/>
  <c r="BJ374" i="7"/>
  <c r="BJ380" i="7"/>
  <c r="BK385" i="7"/>
  <c r="BJ391" i="7"/>
  <c r="BK396" i="7"/>
  <c r="BJ402" i="7"/>
  <c r="BK407" i="7"/>
  <c r="BJ413" i="7"/>
  <c r="BK418" i="7"/>
  <c r="BK424" i="7"/>
  <c r="BK436" i="7"/>
  <c r="BJ448" i="7"/>
  <c r="BK466" i="7"/>
  <c r="BJ487" i="7"/>
  <c r="BK493" i="7"/>
  <c r="BJ501" i="7"/>
  <c r="BK508" i="7"/>
  <c r="BJ516" i="7"/>
  <c r="BK523" i="7"/>
  <c r="BJ549" i="7"/>
  <c r="BK568" i="7"/>
  <c r="BK605" i="7"/>
  <c r="BK627" i="7"/>
  <c r="BK639" i="7"/>
  <c r="BK735" i="7"/>
  <c r="BJ783" i="7"/>
  <c r="BK881" i="7"/>
  <c r="BK264" i="7"/>
  <c r="BJ275" i="7"/>
  <c r="BK324" i="7"/>
  <c r="BK374" i="7"/>
  <c r="BJ431" i="7"/>
  <c r="BK442" i="7"/>
  <c r="BJ454" i="7"/>
  <c r="BK460" i="7"/>
  <c r="BJ467" i="7"/>
  <c r="BK473" i="7"/>
  <c r="BJ480" i="7"/>
  <c r="BJ494" i="7"/>
  <c r="BK501" i="7"/>
  <c r="BJ509" i="7"/>
  <c r="BK516" i="7"/>
  <c r="BJ533" i="7"/>
  <c r="BK540" i="7"/>
  <c r="BK549" i="7"/>
  <c r="BK559" i="7"/>
  <c r="BK578" i="7"/>
  <c r="BK587" i="7"/>
  <c r="BJ598" i="7"/>
  <c r="BJ606" i="7"/>
  <c r="BK617" i="7"/>
  <c r="BJ640" i="7"/>
  <c r="BJ658" i="7"/>
  <c r="BK680" i="7"/>
  <c r="BJ737" i="7"/>
  <c r="BJ375" i="7"/>
  <c r="BK380" i="7"/>
  <c r="BJ386" i="7"/>
  <c r="BK391" i="7"/>
  <c r="BJ397" i="7"/>
  <c r="BK402" i="7"/>
  <c r="BJ408" i="7"/>
  <c r="BK413" i="7"/>
  <c r="BJ419" i="7"/>
  <c r="BK425" i="7"/>
  <c r="BJ437" i="7"/>
  <c r="BK448" i="7"/>
  <c r="BK454" i="7"/>
  <c r="BK487" i="7"/>
  <c r="BJ502" i="7"/>
  <c r="BJ517" i="7"/>
  <c r="BJ524" i="7"/>
  <c r="BJ541" i="7"/>
  <c r="BJ552" i="7"/>
  <c r="BJ569" i="7"/>
  <c r="BJ579" i="7"/>
  <c r="BJ588" i="7"/>
  <c r="BK606" i="7"/>
  <c r="BK640" i="7"/>
  <c r="BK681" i="7"/>
  <c r="BJ705" i="7"/>
  <c r="BK737" i="7"/>
  <c r="BK275" i="7"/>
  <c r="BK319" i="7"/>
  <c r="BK369" i="7"/>
  <c r="BK419" i="7"/>
  <c r="BK431" i="7"/>
  <c r="BJ443" i="7"/>
  <c r="BJ461" i="7"/>
  <c r="BK467" i="7"/>
  <c r="BJ474" i="7"/>
  <c r="BK480" i="7"/>
  <c r="BJ495" i="7"/>
  <c r="BK509" i="7"/>
  <c r="BK533" i="7"/>
  <c r="BK541" i="7"/>
  <c r="BJ560" i="7"/>
  <c r="BK579" i="7"/>
  <c r="BK598" i="7"/>
  <c r="BJ607" i="7"/>
  <c r="BJ641" i="7"/>
  <c r="BK658" i="7"/>
  <c r="BK739" i="7"/>
  <c r="BK901" i="7"/>
  <c r="BK408" i="7"/>
  <c r="BJ414" i="7"/>
  <c r="BJ426" i="7"/>
  <c r="BK437" i="7"/>
  <c r="BJ449" i="7"/>
  <c r="BK455" i="7"/>
  <c r="BJ481" i="7"/>
  <c r="BK502" i="7"/>
  <c r="BK517" i="7"/>
  <c r="BK525" i="7"/>
  <c r="BK552" i="7"/>
  <c r="BJ571" i="7"/>
  <c r="BK588" i="7"/>
  <c r="BK607" i="7"/>
  <c r="BK618" i="7"/>
  <c r="BJ630" i="7"/>
  <c r="BJ642" i="7"/>
  <c r="BJ710" i="7"/>
  <c r="BK794" i="7"/>
  <c r="BJ916" i="7"/>
  <c r="BK495" i="7"/>
  <c r="BJ510" i="7"/>
  <c r="BJ526" i="7"/>
  <c r="BJ534" i="7"/>
  <c r="BK542" i="7"/>
  <c r="BK560" i="7"/>
  <c r="BK571" i="7"/>
  <c r="BJ580" i="7"/>
  <c r="BJ599" i="7"/>
  <c r="BK687" i="7"/>
  <c r="BJ746" i="7"/>
  <c r="BJ919" i="7"/>
  <c r="BK331" i="7"/>
  <c r="BJ337" i="7"/>
  <c r="BK342" i="7"/>
  <c r="BJ348" i="7"/>
  <c r="BK353" i="7"/>
  <c r="BJ359" i="7"/>
  <c r="BJ365" i="7"/>
  <c r="BK370" i="7"/>
  <c r="BJ376" i="7"/>
  <c r="BK381" i="7"/>
  <c r="BJ387" i="7"/>
  <c r="BK392" i="7"/>
  <c r="BJ398" i="7"/>
  <c r="BK403" i="7"/>
  <c r="BJ409" i="7"/>
  <c r="BJ415" i="7"/>
  <c r="BK426" i="7"/>
  <c r="BJ438" i="7"/>
  <c r="BJ456" i="7"/>
  <c r="BJ482" i="7"/>
  <c r="BJ496" i="7"/>
  <c r="BJ518" i="7"/>
  <c r="BJ527" i="7"/>
  <c r="BJ553" i="7"/>
  <c r="BJ572" i="7"/>
  <c r="BK590" i="7"/>
  <c r="BK608" i="7"/>
  <c r="BJ619" i="7"/>
  <c r="BJ631" i="7"/>
  <c r="BK644" i="7"/>
  <c r="BK660" i="7"/>
  <c r="BJ711" i="7"/>
  <c r="BJ747" i="7"/>
  <c r="BK804" i="7"/>
  <c r="BK409" i="7"/>
  <c r="BJ421" i="7"/>
  <c r="BK432" i="7"/>
  <c r="BJ444" i="7"/>
  <c r="BK450" i="7"/>
  <c r="BJ462" i="7"/>
  <c r="BK468" i="7"/>
  <c r="BJ475" i="7"/>
  <c r="BK482" i="7"/>
  <c r="BK489" i="7"/>
  <c r="BK496" i="7"/>
  <c r="BK503" i="7"/>
  <c r="BK510" i="7"/>
  <c r="BK534" i="7"/>
  <c r="BJ543" i="7"/>
  <c r="BK562" i="7"/>
  <c r="BK580" i="7"/>
  <c r="BK591" i="7"/>
  <c r="BK599" i="7"/>
  <c r="BK631" i="7"/>
  <c r="BJ665" i="7"/>
  <c r="BJ688" i="7"/>
  <c r="BJ712" i="7"/>
  <c r="BK939" i="7"/>
  <c r="BK581" i="7"/>
  <c r="BJ592" i="7"/>
  <c r="BK610" i="7"/>
  <c r="BK619" i="7"/>
  <c r="BJ754" i="7"/>
  <c r="BK806" i="7"/>
  <c r="BJ156" i="7"/>
  <c r="BK166" i="7"/>
  <c r="BJ177" i="7"/>
  <c r="BK187" i="7"/>
  <c r="BJ198" i="7"/>
  <c r="BK208" i="7"/>
  <c r="BJ219" i="7"/>
  <c r="BK224" i="7"/>
  <c r="BJ235" i="7"/>
  <c r="BK245" i="7"/>
  <c r="BJ256" i="7"/>
  <c r="BK266" i="7"/>
  <c r="BJ277" i="7"/>
  <c r="BK304" i="7"/>
  <c r="BK354" i="7"/>
  <c r="BK404" i="7"/>
  <c r="BK421" i="7"/>
  <c r="BJ433" i="7"/>
  <c r="BJ451" i="7"/>
  <c r="BK462" i="7"/>
  <c r="BJ469" i="7"/>
  <c r="BK475" i="7"/>
  <c r="BK483" i="7"/>
  <c r="BJ490" i="7"/>
  <c r="BJ504" i="7"/>
  <c r="BK511" i="7"/>
  <c r="BJ535" i="7"/>
  <c r="BJ563" i="7"/>
  <c r="BJ582" i="7"/>
  <c r="BJ600" i="7"/>
  <c r="BJ611" i="7"/>
  <c r="BK620" i="7"/>
  <c r="BJ633" i="7"/>
  <c r="BJ646" i="7"/>
  <c r="BK665" i="7"/>
  <c r="BK754" i="7"/>
  <c r="BJ816" i="7"/>
  <c r="BK958" i="7"/>
  <c r="BJ388" i="7"/>
  <c r="BK393" i="7"/>
  <c r="BJ399" i="7"/>
  <c r="BJ405" i="7"/>
  <c r="BK410" i="7"/>
  <c r="BJ416" i="7"/>
  <c r="BK427" i="7"/>
  <c r="BJ439" i="7"/>
  <c r="BK476" i="7"/>
  <c r="BK497" i="7"/>
  <c r="BJ512" i="7"/>
  <c r="BJ528" i="7"/>
  <c r="BK545" i="7"/>
  <c r="BJ554" i="7"/>
  <c r="BK564" i="7"/>
  <c r="BK592" i="7"/>
  <c r="BK600" i="7"/>
  <c r="BK611" i="7"/>
  <c r="BJ621" i="7"/>
  <c r="BK633" i="7"/>
  <c r="BK666" i="7"/>
  <c r="BJ690" i="7"/>
  <c r="BK756" i="7"/>
  <c r="BJ817" i="7"/>
  <c r="BJ976" i="7"/>
  <c r="BK445" i="7"/>
  <c r="BJ457" i="7"/>
  <c r="BJ520" i="7"/>
  <c r="BK14" i="7"/>
  <c r="BJ25" i="7"/>
  <c r="BK35" i="7"/>
  <c r="BJ46" i="7"/>
  <c r="BK56" i="7"/>
  <c r="BJ67" i="7"/>
  <c r="BK77" i="7"/>
  <c r="BJ88" i="7"/>
  <c r="BK98" i="7"/>
  <c r="BJ109" i="7"/>
  <c r="BK114" i="7"/>
  <c r="BJ125" i="7"/>
  <c r="BK135" i="7"/>
  <c r="BJ146" i="7"/>
  <c r="BK156" i="7"/>
  <c r="BJ167" i="7"/>
  <c r="BK177" i="7"/>
  <c r="BJ188" i="7"/>
  <c r="BK198" i="7"/>
  <c r="BJ209" i="7"/>
  <c r="BK214" i="7"/>
  <c r="BJ225" i="7"/>
  <c r="BK235" i="7"/>
  <c r="BJ246" i="7"/>
  <c r="BK256" i="7"/>
  <c r="BJ267" i="7"/>
  <c r="BK277" i="7"/>
  <c r="BK299" i="7"/>
  <c r="BK349" i="7"/>
  <c r="BK399" i="7"/>
  <c r="BJ422" i="7"/>
  <c r="BK433" i="7"/>
  <c r="BK439" i="7"/>
  <c r="BK451" i="7"/>
  <c r="BJ463" i="7"/>
  <c r="BK469" i="7"/>
  <c r="BK477" i="7"/>
  <c r="BJ484" i="7"/>
  <c r="BK490" i="7"/>
  <c r="BK504" i="7"/>
  <c r="BK520" i="7"/>
  <c r="BK535" i="7"/>
  <c r="BJ546" i="7"/>
  <c r="BK582" i="7"/>
  <c r="BJ601" i="7"/>
  <c r="BJ612" i="7"/>
  <c r="BJ622" i="7"/>
  <c r="BJ634" i="7"/>
  <c r="BJ668" i="7"/>
  <c r="BK694" i="7"/>
  <c r="BJ719" i="7"/>
  <c r="BK981" i="7"/>
  <c r="BJ283" i="7"/>
  <c r="BK288" i="7"/>
  <c r="BJ294" i="7"/>
  <c r="BJ300" i="7"/>
  <c r="BK305" i="7"/>
  <c r="BJ311" i="7"/>
  <c r="BK316" i="7"/>
  <c r="BJ322" i="7"/>
  <c r="BK327" i="7"/>
  <c r="BJ333" i="7"/>
  <c r="BK338" i="7"/>
  <c r="BJ344" i="7"/>
  <c r="BJ350" i="7"/>
  <c r="BK355" i="7"/>
  <c r="BJ361" i="7"/>
  <c r="BK366" i="7"/>
  <c r="BJ372" i="7"/>
  <c r="BK377" i="7"/>
  <c r="BJ383" i="7"/>
  <c r="BK388" i="7"/>
  <c r="BJ394" i="7"/>
  <c r="BJ400" i="7"/>
  <c r="BK405" i="7"/>
  <c r="BJ411" i="7"/>
  <c r="BK416" i="7"/>
  <c r="BJ428" i="7"/>
  <c r="BJ446" i="7"/>
  <c r="BK457" i="7"/>
  <c r="BJ491" i="7"/>
  <c r="BJ498" i="7"/>
  <c r="BK513" i="7"/>
  <c r="BJ521" i="7"/>
  <c r="BK528" i="7"/>
  <c r="BJ536" i="7"/>
  <c r="BK546" i="7"/>
  <c r="BJ565" i="7"/>
  <c r="BJ574" i="7"/>
  <c r="BJ584" i="7"/>
  <c r="BJ593" i="7"/>
  <c r="BK601" i="7"/>
  <c r="BK623" i="7"/>
  <c r="BJ648" i="7"/>
  <c r="BK719" i="7"/>
  <c r="BK763" i="7"/>
  <c r="BJ15" i="7"/>
  <c r="BK25" i="7"/>
  <c r="BJ36" i="7"/>
  <c r="BK46" i="7"/>
  <c r="BJ57" i="7"/>
  <c r="BK67" i="7"/>
  <c r="BK104" i="7"/>
  <c r="BJ115" i="7"/>
  <c r="BK125" i="7"/>
  <c r="BJ136" i="7"/>
  <c r="BK146" i="7"/>
  <c r="BJ157" i="7"/>
  <c r="BK167" i="7"/>
  <c r="BJ178" i="7"/>
  <c r="BK188" i="7"/>
  <c r="BJ199" i="7"/>
  <c r="BK204" i="7"/>
  <c r="BJ215" i="7"/>
  <c r="BK225" i="7"/>
  <c r="BJ236" i="7"/>
  <c r="BK246" i="7"/>
  <c r="BJ257" i="7"/>
  <c r="BK267" i="7"/>
  <c r="BJ278" i="7"/>
  <c r="BK294" i="7"/>
  <c r="BK344" i="7"/>
  <c r="BK394" i="7"/>
  <c r="BK422" i="7"/>
  <c r="BJ434" i="7"/>
  <c r="BK440" i="7"/>
  <c r="BJ452" i="7"/>
  <c r="BK463" i="7"/>
  <c r="BJ478" i="7"/>
  <c r="BK484" i="7"/>
  <c r="BK491" i="7"/>
  <c r="BJ505" i="7"/>
  <c r="BK521" i="7"/>
  <c r="BK536" i="7"/>
  <c r="BJ547" i="7"/>
  <c r="BJ602" i="7"/>
  <c r="BK612" i="7"/>
  <c r="BK648" i="7"/>
  <c r="BK672" i="7"/>
  <c r="BJ695" i="7"/>
  <c r="BJ722" i="7"/>
  <c r="BK1006" i="7"/>
  <c r="BK20" i="7"/>
  <c r="BJ31" i="7"/>
  <c r="BJ94" i="7"/>
  <c r="BJ110" i="7"/>
  <c r="BK120" i="7"/>
  <c r="BJ131" i="7"/>
  <c r="BK141" i="7"/>
  <c r="BJ152" i="7"/>
  <c r="BK162" i="7"/>
  <c r="BJ173" i="7"/>
  <c r="BK183" i="7"/>
  <c r="BJ194" i="7"/>
  <c r="BK199" i="7"/>
  <c r="BJ210" i="7"/>
  <c r="BK220" i="7"/>
  <c r="BJ231" i="7"/>
  <c r="BK241" i="7"/>
  <c r="BJ252" i="7"/>
  <c r="BK262" i="7"/>
  <c r="BJ273" i="7"/>
  <c r="BK283" i="7"/>
  <c r="BJ289" i="7"/>
  <c r="BJ295" i="7"/>
  <c r="BK300" i="7"/>
  <c r="BJ306" i="7"/>
  <c r="BK311" i="7"/>
  <c r="BJ317" i="7"/>
  <c r="BK322" i="7"/>
  <c r="BJ328" i="7"/>
  <c r="BK333" i="7"/>
  <c r="BJ339" i="7"/>
  <c r="BJ345" i="7"/>
  <c r="BK350" i="7"/>
  <c r="BJ356" i="7"/>
  <c r="BK361" i="7"/>
  <c r="BJ367" i="7"/>
  <c r="BK372" i="7"/>
  <c r="BJ378" i="7"/>
  <c r="BK383" i="7"/>
  <c r="BJ389" i="7"/>
  <c r="BJ395" i="7"/>
  <c r="BK400" i="7"/>
  <c r="BJ406" i="7"/>
  <c r="BK411" i="7"/>
  <c r="BJ417" i="7"/>
  <c r="BK428" i="7"/>
  <c r="BK434" i="7"/>
  <c r="BK446" i="7"/>
  <c r="BJ458" i="7"/>
  <c r="BK471" i="7"/>
  <c r="BJ492" i="7"/>
  <c r="BK498" i="7"/>
  <c r="BJ514" i="7"/>
  <c r="BJ522" i="7"/>
  <c r="BJ529" i="7"/>
  <c r="BJ556" i="7"/>
  <c r="BK565" i="7"/>
  <c r="BK593" i="7"/>
  <c r="BJ604" i="7"/>
  <c r="BJ624" i="7"/>
  <c r="BJ637" i="7"/>
  <c r="BJ651" i="7"/>
  <c r="BK695" i="7"/>
  <c r="BJ765" i="7"/>
  <c r="BK840" i="7"/>
  <c r="BK1030" i="7"/>
  <c r="BJ78" i="7"/>
  <c r="BK88" i="7"/>
  <c r="BJ99" i="7"/>
  <c r="BK41" i="7"/>
  <c r="BJ52" i="7"/>
  <c r="BK62" i="7"/>
  <c r="BJ73" i="7"/>
  <c r="BK83" i="7"/>
  <c r="BK99" i="7"/>
  <c r="BK15" i="7"/>
  <c r="BJ26" i="7"/>
  <c r="BK36" i="7"/>
  <c r="BJ47" i="7"/>
  <c r="BK57" i="7"/>
  <c r="BJ68" i="7"/>
  <c r="BK78" i="7"/>
  <c r="BJ89" i="7"/>
  <c r="BK94" i="7"/>
  <c r="BJ105" i="7"/>
  <c r="BK115" i="7"/>
  <c r="BJ126" i="7"/>
  <c r="BK136" i="7"/>
  <c r="BJ147" i="7"/>
  <c r="BK157" i="7"/>
  <c r="BJ168" i="7"/>
  <c r="BK178" i="7"/>
  <c r="BJ189" i="7"/>
  <c r="BK194" i="7"/>
  <c r="BJ205" i="7"/>
  <c r="BK215" i="7"/>
  <c r="BJ226" i="7"/>
  <c r="BK236" i="7"/>
  <c r="BJ247" i="7"/>
  <c r="BK257" i="7"/>
  <c r="BJ268" i="7"/>
  <c r="BK278" i="7"/>
  <c r="BK289" i="7"/>
  <c r="BK339" i="7"/>
  <c r="BK389" i="7"/>
  <c r="BJ423" i="7"/>
  <c r="BJ441" i="7"/>
  <c r="BK452" i="7"/>
  <c r="BJ464" i="7"/>
  <c r="BJ472" i="7"/>
  <c r="BK478" i="7"/>
  <c r="BJ485" i="7"/>
  <c r="BJ539" i="7"/>
  <c r="BK547" i="7"/>
  <c r="BK556" i="7"/>
  <c r="BJ566" i="7"/>
  <c r="BJ575" i="7"/>
  <c r="BJ613" i="7"/>
  <c r="BK624" i="7"/>
  <c r="BK651" i="7"/>
  <c r="BK697" i="7"/>
  <c r="BK766" i="7"/>
  <c r="BJ1042" i="7"/>
  <c r="BK717" i="7"/>
  <c r="BK744" i="7"/>
  <c r="BJ753" i="7"/>
  <c r="BJ763" i="7"/>
  <c r="BJ793" i="7"/>
  <c r="BJ804" i="7"/>
  <c r="BK865" i="7"/>
  <c r="BK880" i="7"/>
  <c r="BJ896" i="7"/>
  <c r="BK998" i="7"/>
  <c r="BJ1029" i="7"/>
  <c r="BJ745" i="7"/>
  <c r="BK753" i="7"/>
  <c r="BK772" i="7"/>
  <c r="BK782" i="7"/>
  <c r="BK815" i="7"/>
  <c r="BJ828" i="7"/>
  <c r="BJ840" i="7"/>
  <c r="BK853" i="7"/>
  <c r="BJ866" i="7"/>
  <c r="BJ881" i="7"/>
  <c r="BK898" i="7"/>
  <c r="BK953" i="7"/>
  <c r="BK999" i="7"/>
  <c r="BJ618" i="7"/>
  <c r="BK630" i="7"/>
  <c r="BK638" i="7"/>
  <c r="BJ645" i="7"/>
  <c r="BJ666" i="7"/>
  <c r="BJ674" i="7"/>
  <c r="BJ681" i="7"/>
  <c r="BK703" i="7"/>
  <c r="BK710" i="7"/>
  <c r="BJ728" i="7"/>
  <c r="BK736" i="7"/>
  <c r="BK745" i="7"/>
  <c r="BJ774" i="7"/>
  <c r="BK783" i="7"/>
  <c r="BJ794" i="7"/>
  <c r="BK816" i="7"/>
  <c r="BK828" i="7"/>
  <c r="BJ842" i="7"/>
  <c r="BJ899" i="7"/>
  <c r="BJ917" i="7"/>
  <c r="BK935" i="7"/>
  <c r="BK1001" i="7"/>
  <c r="BJ829" i="7"/>
  <c r="BK842" i="7"/>
  <c r="BJ869" i="7"/>
  <c r="BJ883" i="7"/>
  <c r="BK899" i="7"/>
  <c r="BK917" i="7"/>
  <c r="BJ937" i="7"/>
  <c r="BK957" i="7"/>
  <c r="BJ978" i="7"/>
  <c r="BK1035" i="7"/>
  <c r="BK645" i="7"/>
  <c r="BK659" i="7"/>
  <c r="BJ667" i="7"/>
  <c r="BK674" i="7"/>
  <c r="BJ682" i="7"/>
  <c r="BJ689" i="7"/>
  <c r="BJ696" i="7"/>
  <c r="BJ704" i="7"/>
  <c r="BK711" i="7"/>
  <c r="BK728" i="7"/>
  <c r="BK746" i="7"/>
  <c r="BK764" i="7"/>
  <c r="BJ784" i="7"/>
  <c r="BJ795" i="7"/>
  <c r="BK805" i="7"/>
  <c r="BK817" i="7"/>
  <c r="BK937" i="7"/>
  <c r="BJ958" i="7"/>
  <c r="BK980" i="7"/>
  <c r="BK1040" i="7"/>
  <c r="BK646" i="7"/>
  <c r="BJ660" i="7"/>
  <c r="BJ675" i="7"/>
  <c r="BK682" i="7"/>
  <c r="BK689" i="7"/>
  <c r="BK704" i="7"/>
  <c r="BK712" i="7"/>
  <c r="BK720" i="7"/>
  <c r="BJ729" i="7"/>
  <c r="BK765" i="7"/>
  <c r="BK786" i="7"/>
  <c r="BK795" i="7"/>
  <c r="BK830" i="7"/>
  <c r="BJ845" i="7"/>
  <c r="BJ870" i="7"/>
  <c r="BJ887" i="7"/>
  <c r="BK919" i="7"/>
  <c r="BJ940" i="7"/>
  <c r="BK1007" i="7"/>
  <c r="BJ1047" i="7"/>
  <c r="BJ626" i="7"/>
  <c r="BJ647" i="7"/>
  <c r="BK653" i="7"/>
  <c r="BK668" i="7"/>
  <c r="BJ683" i="7"/>
  <c r="BJ698" i="7"/>
  <c r="BJ713" i="7"/>
  <c r="BJ721" i="7"/>
  <c r="BK757" i="7"/>
  <c r="BJ766" i="7"/>
  <c r="BJ776" i="7"/>
  <c r="BJ787" i="7"/>
  <c r="BJ796" i="7"/>
  <c r="BK807" i="7"/>
  <c r="BJ819" i="7"/>
  <c r="BK831" i="7"/>
  <c r="BJ858" i="7"/>
  <c r="BJ871" i="7"/>
  <c r="BK940" i="7"/>
  <c r="BJ960" i="7"/>
  <c r="BJ983" i="7"/>
  <c r="BJ1010" i="7"/>
  <c r="BK833" i="7"/>
  <c r="BK845" i="7"/>
  <c r="BK858" i="7"/>
  <c r="BK887" i="7"/>
  <c r="BK904" i="7"/>
  <c r="BJ942" i="7"/>
  <c r="BK960" i="7"/>
  <c r="BK1011" i="7"/>
  <c r="BJ542" i="7"/>
  <c r="BK554" i="7"/>
  <c r="BK561" i="7"/>
  <c r="BK574" i="7"/>
  <c r="BJ581" i="7"/>
  <c r="BJ594" i="7"/>
  <c r="BK613" i="7"/>
  <c r="BJ620" i="7"/>
  <c r="BK647" i="7"/>
  <c r="BJ654" i="7"/>
  <c r="BJ669" i="7"/>
  <c r="BJ676" i="7"/>
  <c r="BK683" i="7"/>
  <c r="BK691" i="7"/>
  <c r="BK698" i="7"/>
  <c r="BK713" i="7"/>
  <c r="BK748" i="7"/>
  <c r="BJ758" i="7"/>
  <c r="BJ767" i="7"/>
  <c r="BK787" i="7"/>
  <c r="BK798" i="7"/>
  <c r="BJ808" i="7"/>
  <c r="BK819" i="7"/>
  <c r="BJ846" i="7"/>
  <c r="BJ888" i="7"/>
  <c r="BJ987" i="7"/>
  <c r="BK1012" i="7"/>
  <c r="BK1053" i="7"/>
  <c r="BK662" i="7"/>
  <c r="BK676" i="7"/>
  <c r="BJ692" i="7"/>
  <c r="BK705" i="7"/>
  <c r="BK722" i="7"/>
  <c r="BK730" i="7"/>
  <c r="BJ740" i="7"/>
  <c r="BJ788" i="7"/>
  <c r="BJ822" i="7"/>
  <c r="BJ834" i="7"/>
  <c r="BJ847" i="7"/>
  <c r="BK874" i="7"/>
  <c r="BJ924" i="7"/>
  <c r="BK987" i="7"/>
  <c r="BK1058" i="7"/>
  <c r="BK654" i="7"/>
  <c r="BK669" i="7"/>
  <c r="BJ684" i="7"/>
  <c r="BJ699" i="7"/>
  <c r="BK706" i="7"/>
  <c r="BJ731" i="7"/>
  <c r="BJ749" i="7"/>
  <c r="BK758" i="7"/>
  <c r="BJ778" i="7"/>
  <c r="BJ799" i="7"/>
  <c r="BJ810" i="7"/>
  <c r="BJ860" i="7"/>
  <c r="BK889" i="7"/>
  <c r="BK906" i="7"/>
  <c r="BJ988" i="7"/>
  <c r="BJ1016" i="7"/>
  <c r="BJ608" i="7"/>
  <c r="BK621" i="7"/>
  <c r="BJ628" i="7"/>
  <c r="BK634" i="7"/>
  <c r="BK641" i="7"/>
  <c r="BJ663" i="7"/>
  <c r="BK677" i="7"/>
  <c r="BK692" i="7"/>
  <c r="BJ715" i="7"/>
  <c r="BJ723" i="7"/>
  <c r="BK731" i="7"/>
  <c r="BK740" i="7"/>
  <c r="BJ769" i="7"/>
  <c r="BK799" i="7"/>
  <c r="BK822" i="7"/>
  <c r="BK860" i="7"/>
  <c r="BJ875" i="7"/>
  <c r="BJ890" i="7"/>
  <c r="BK907" i="7"/>
  <c r="BJ946" i="7"/>
  <c r="BJ965" i="7"/>
  <c r="BK1017" i="7"/>
  <c r="BJ656" i="7"/>
  <c r="BJ670" i="7"/>
  <c r="BK699" i="7"/>
  <c r="BK707" i="7"/>
  <c r="BJ733" i="7"/>
  <c r="BJ741" i="7"/>
  <c r="BJ751" i="7"/>
  <c r="BK778" i="7"/>
  <c r="BK810" i="7"/>
  <c r="BK835" i="7"/>
  <c r="BK848" i="7"/>
  <c r="BJ863" i="7"/>
  <c r="BJ908" i="7"/>
  <c r="BJ928" i="7"/>
  <c r="BJ947" i="7"/>
  <c r="BJ966" i="7"/>
  <c r="BK989" i="7"/>
  <c r="BJ1065" i="7"/>
  <c r="BJ537" i="7"/>
  <c r="BJ550" i="7"/>
  <c r="BJ557" i="7"/>
  <c r="BJ576" i="7"/>
  <c r="BJ589" i="7"/>
  <c r="BJ609" i="7"/>
  <c r="BK628" i="7"/>
  <c r="BJ635" i="7"/>
  <c r="BK656" i="7"/>
  <c r="BK663" i="7"/>
  <c r="BK685" i="7"/>
  <c r="BJ693" i="7"/>
  <c r="BK715" i="7"/>
  <c r="BK723" i="7"/>
  <c r="BK733" i="7"/>
  <c r="BJ742" i="7"/>
  <c r="BK751" i="7"/>
  <c r="BK769" i="7"/>
  <c r="BK789" i="7"/>
  <c r="BK811" i="7"/>
  <c r="BK836" i="7"/>
  <c r="BJ849" i="7"/>
  <c r="BJ876" i="7"/>
  <c r="BJ893" i="7"/>
  <c r="BJ910" i="7"/>
  <c r="BK928" i="7"/>
  <c r="BJ969" i="7"/>
  <c r="BJ1019" i="7"/>
  <c r="BJ1070" i="7"/>
  <c r="BK569" i="7"/>
  <c r="BJ678" i="7"/>
  <c r="BJ470" i="7"/>
  <c r="BJ476" i="7"/>
  <c r="BJ488" i="7"/>
  <c r="BK499" i="7"/>
  <c r="BK505" i="7"/>
  <c r="BK563" i="7"/>
  <c r="BK576" i="7"/>
  <c r="BJ583" i="7"/>
  <c r="BK595" i="7"/>
  <c r="BK615" i="7"/>
  <c r="BK622" i="7"/>
  <c r="BK642" i="7"/>
  <c r="BJ649" i="7"/>
  <c r="BJ657" i="7"/>
  <c r="BJ671" i="7"/>
  <c r="BJ686" i="7"/>
  <c r="BJ708" i="7"/>
  <c r="BJ716" i="7"/>
  <c r="BJ724" i="7"/>
  <c r="BK742" i="7"/>
  <c r="BJ752" i="7"/>
  <c r="BJ760" i="7"/>
  <c r="BJ770" i="7"/>
  <c r="BJ801" i="7"/>
  <c r="BK812" i="7"/>
  <c r="BJ824" i="7"/>
  <c r="BJ837" i="7"/>
  <c r="BJ851" i="7"/>
  <c r="BK863" i="7"/>
  <c r="BJ929" i="7"/>
  <c r="BK948" i="7"/>
  <c r="BK969" i="7"/>
  <c r="BK1071" i="7"/>
  <c r="BJ506" i="7"/>
  <c r="BK512" i="7"/>
  <c r="BK518" i="7"/>
  <c r="BK524" i="7"/>
  <c r="BK530" i="7"/>
  <c r="BK537" i="7"/>
  <c r="BK550" i="7"/>
  <c r="BK557" i="7"/>
  <c r="BJ570" i="7"/>
  <c r="BJ577" i="7"/>
  <c r="BK589" i="7"/>
  <c r="BJ596" i="7"/>
  <c r="BK609" i="7"/>
  <c r="BJ616" i="7"/>
  <c r="BJ629" i="7"/>
  <c r="BK635" i="7"/>
  <c r="BJ650" i="7"/>
  <c r="BJ664" i="7"/>
  <c r="BK671" i="7"/>
  <c r="BK678" i="7"/>
  <c r="BK686" i="7"/>
  <c r="BK693" i="7"/>
  <c r="BK700" i="7"/>
  <c r="BJ709" i="7"/>
  <c r="BK716" i="7"/>
  <c r="BK724" i="7"/>
  <c r="BJ734" i="7"/>
  <c r="BK780" i="7"/>
  <c r="BJ790" i="7"/>
  <c r="BK801" i="7"/>
  <c r="BJ813" i="7"/>
  <c r="BK824" i="7"/>
  <c r="BK837" i="7"/>
  <c r="BK851" i="7"/>
  <c r="BJ878" i="7"/>
  <c r="BK910" i="7"/>
  <c r="BJ949" i="7"/>
  <c r="BJ970" i="7"/>
  <c r="BK470" i="7"/>
  <c r="BJ477" i="7"/>
  <c r="BK488" i="7"/>
  <c r="BJ500" i="7"/>
  <c r="BK506" i="7"/>
  <c r="BJ531" i="7"/>
  <c r="BJ538" i="7"/>
  <c r="BK544" i="7"/>
  <c r="BJ551" i="7"/>
  <c r="BJ564" i="7"/>
  <c r="BK583" i="7"/>
  <c r="BJ597" i="7"/>
  <c r="BK603" i="7"/>
  <c r="BK616" i="7"/>
  <c r="BJ623" i="7"/>
  <c r="BJ636" i="7"/>
  <c r="BJ643" i="7"/>
  <c r="BK657" i="7"/>
  <c r="BJ672" i="7"/>
  <c r="BK679" i="7"/>
  <c r="BJ687" i="7"/>
  <c r="BJ701" i="7"/>
  <c r="BJ717" i="7"/>
  <c r="BJ743" i="7"/>
  <c r="BK752" i="7"/>
  <c r="BK760" i="7"/>
  <c r="BJ771" i="7"/>
  <c r="BJ781" i="7"/>
  <c r="BK792" i="7"/>
  <c r="BJ802" i="7"/>
  <c r="BJ852" i="7"/>
  <c r="BK878" i="7"/>
  <c r="BK894" i="7"/>
  <c r="BK911" i="7"/>
  <c r="BK930" i="7"/>
  <c r="BK951" i="7"/>
  <c r="BJ971" i="7"/>
  <c r="BK994" i="7"/>
  <c r="BJ1024" i="7"/>
  <c r="BJ420" i="7"/>
  <c r="BJ425" i="7"/>
  <c r="BJ430" i="7"/>
  <c r="BJ435" i="7"/>
  <c r="BJ440" i="7"/>
  <c r="BJ445" i="7"/>
  <c r="BJ450" i="7"/>
  <c r="BJ455" i="7"/>
  <c r="BJ460" i="7"/>
  <c r="BJ465" i="7"/>
  <c r="BJ471" i="7"/>
  <c r="BJ483" i="7"/>
  <c r="BK494" i="7"/>
  <c r="BJ507" i="7"/>
  <c r="BJ513" i="7"/>
  <c r="BJ519" i="7"/>
  <c r="BJ525" i="7"/>
  <c r="BK531" i="7"/>
  <c r="BK538" i="7"/>
  <c r="BK551" i="7"/>
  <c r="BJ558" i="7"/>
  <c r="BK570" i="7"/>
  <c r="BK577" i="7"/>
  <c r="BJ590" i="7"/>
  <c r="BK597" i="7"/>
  <c r="BJ610" i="7"/>
  <c r="BJ617" i="7"/>
  <c r="BK629" i="7"/>
  <c r="BK636" i="7"/>
  <c r="BK650" i="7"/>
  <c r="BK664" i="7"/>
  <c r="BJ694" i="7"/>
  <c r="BK701" i="7"/>
  <c r="BK709" i="7"/>
  <c r="BJ725" i="7"/>
  <c r="BK734" i="7"/>
  <c r="BK762" i="7"/>
  <c r="BJ772" i="7"/>
  <c r="BK781" i="7"/>
  <c r="BK813" i="7"/>
  <c r="BK839" i="7"/>
  <c r="BJ865" i="7"/>
  <c r="BK912" i="7"/>
  <c r="BK931" i="7"/>
  <c r="BK721" i="7"/>
  <c r="BK727" i="7"/>
  <c r="BJ739" i="7"/>
  <c r="BK750" i="7"/>
  <c r="BJ757" i="7"/>
  <c r="BK768" i="7"/>
  <c r="BJ780" i="7"/>
  <c r="BJ786" i="7"/>
  <c r="BJ798" i="7"/>
  <c r="BK809" i="7"/>
  <c r="BK821" i="7"/>
  <c r="BK827" i="7"/>
  <c r="BJ839" i="7"/>
  <c r="BK850" i="7"/>
  <c r="BJ857" i="7"/>
  <c r="BK868" i="7"/>
  <c r="BJ880" i="7"/>
  <c r="BJ886" i="7"/>
  <c r="BJ898" i="7"/>
  <c r="BK909" i="7"/>
  <c r="BK921" i="7"/>
  <c r="BK927" i="7"/>
  <c r="BJ939" i="7"/>
  <c r="BK950" i="7"/>
  <c r="BJ957" i="7"/>
  <c r="BK968" i="7"/>
  <c r="BJ980" i="7"/>
  <c r="BJ986" i="7"/>
  <c r="BJ998" i="7"/>
  <c r="BK1009" i="7"/>
  <c r="BK1021" i="7"/>
  <c r="BK1027" i="7"/>
  <c r="BJ1039" i="7"/>
  <c r="BK1050" i="7"/>
  <c r="BJ1057" i="7"/>
  <c r="BK1068" i="7"/>
  <c r="BK1074" i="7"/>
  <c r="BK1080" i="7"/>
  <c r="BK1087" i="7"/>
  <c r="BK1093" i="7"/>
  <c r="BK1113" i="7"/>
  <c r="BK1133" i="7"/>
  <c r="BJ1140" i="7"/>
  <c r="BJ1148" i="7"/>
  <c r="BK1154" i="7"/>
  <c r="BK1162" i="7"/>
  <c r="BJ1169" i="7"/>
  <c r="BK1175" i="7"/>
  <c r="BK1183" i="7"/>
  <c r="BJ1190" i="7"/>
  <c r="BJ1198" i="7"/>
  <c r="BK1204" i="7"/>
  <c r="BK1212" i="7"/>
  <c r="BJ1219" i="7"/>
  <c r="BK1225" i="7"/>
  <c r="BK1233" i="7"/>
  <c r="BK1248" i="7"/>
  <c r="BK1255" i="7"/>
  <c r="BJ1272" i="7"/>
  <c r="BK1287" i="7"/>
  <c r="BK886" i="7"/>
  <c r="BK892" i="7"/>
  <c r="BJ904" i="7"/>
  <c r="BK915" i="7"/>
  <c r="BJ922" i="7"/>
  <c r="BK933" i="7"/>
  <c r="BJ945" i="7"/>
  <c r="BJ951" i="7"/>
  <c r="BJ963" i="7"/>
  <c r="BK974" i="7"/>
  <c r="BK986" i="7"/>
  <c r="BK992" i="7"/>
  <c r="BJ1004" i="7"/>
  <c r="BK1015" i="7"/>
  <c r="BJ1022" i="7"/>
  <c r="BK1033" i="7"/>
  <c r="BJ1045" i="7"/>
  <c r="BJ1051" i="7"/>
  <c r="BJ1063" i="7"/>
  <c r="BK1081" i="7"/>
  <c r="BJ1100" i="7"/>
  <c r="BK1107" i="7"/>
  <c r="BJ1120" i="7"/>
  <c r="BK1127" i="7"/>
  <c r="BJ1177" i="7"/>
  <c r="BJ1227" i="7"/>
  <c r="BK1240" i="7"/>
  <c r="BJ1257" i="7"/>
  <c r="BK1272" i="7"/>
  <c r="BK1279" i="7"/>
  <c r="BJ1295" i="7"/>
  <c r="BK1303" i="7"/>
  <c r="BJ1028" i="7"/>
  <c r="BK1039" i="7"/>
  <c r="BK1051" i="7"/>
  <c r="BK1057" i="7"/>
  <c r="BJ1069" i="7"/>
  <c r="BJ1075" i="7"/>
  <c r="BJ1082" i="7"/>
  <c r="BJ1088" i="7"/>
  <c r="BJ1094" i="7"/>
  <c r="BJ1114" i="7"/>
  <c r="BJ1134" i="7"/>
  <c r="BK1140" i="7"/>
  <c r="BK1148" i="7"/>
  <c r="BJ1155" i="7"/>
  <c r="BJ1163" i="7"/>
  <c r="BK1169" i="7"/>
  <c r="BK1177" i="7"/>
  <c r="BJ1184" i="7"/>
  <c r="BK1190" i="7"/>
  <c r="BK1198" i="7"/>
  <c r="BJ1205" i="7"/>
  <c r="BJ1213" i="7"/>
  <c r="BK1219" i="7"/>
  <c r="BK1227" i="7"/>
  <c r="BJ1234" i="7"/>
  <c r="BJ1242" i="7"/>
  <c r="BK1257" i="7"/>
  <c r="BK1264" i="7"/>
  <c r="BJ1288" i="7"/>
  <c r="BK916" i="7"/>
  <c r="BK922" i="7"/>
  <c r="BJ934" i="7"/>
  <c r="BK945" i="7"/>
  <c r="BJ952" i="7"/>
  <c r="BK963" i="7"/>
  <c r="BJ975" i="7"/>
  <c r="BJ981" i="7"/>
  <c r="BJ993" i="7"/>
  <c r="BK1004" i="7"/>
  <c r="BK1016" i="7"/>
  <c r="BK1022" i="7"/>
  <c r="BJ1034" i="7"/>
  <c r="BK1045" i="7"/>
  <c r="BJ1052" i="7"/>
  <c r="BK1063" i="7"/>
  <c r="BK1100" i="7"/>
  <c r="BJ1108" i="7"/>
  <c r="BK1120" i="7"/>
  <c r="BJ1128" i="7"/>
  <c r="BJ1142" i="7"/>
  <c r="BJ1192" i="7"/>
  <c r="BK1242" i="7"/>
  <c r="BK1249" i="7"/>
  <c r="BJ1273" i="7"/>
  <c r="BJ1280" i="7"/>
  <c r="BK1295" i="7"/>
  <c r="BJ999" i="7"/>
  <c r="BK1010" i="7"/>
  <c r="BJ1017" i="7"/>
  <c r="BK1028" i="7"/>
  <c r="BJ1040" i="7"/>
  <c r="BJ1046" i="7"/>
  <c r="BJ1058" i="7"/>
  <c r="BK1069" i="7"/>
  <c r="BK1075" i="7"/>
  <c r="BK1082" i="7"/>
  <c r="BK1088" i="7"/>
  <c r="BK1094" i="7"/>
  <c r="BJ1102" i="7"/>
  <c r="BK1114" i="7"/>
  <c r="BJ1122" i="7"/>
  <c r="BK1134" i="7"/>
  <c r="BK1142" i="7"/>
  <c r="BJ1149" i="7"/>
  <c r="BK1155" i="7"/>
  <c r="BK1163" i="7"/>
  <c r="BJ1170" i="7"/>
  <c r="BJ1178" i="7"/>
  <c r="BK1184" i="7"/>
  <c r="BK1192" i="7"/>
  <c r="BJ1199" i="7"/>
  <c r="BK1205" i="7"/>
  <c r="BK1213" i="7"/>
  <c r="BJ1220" i="7"/>
  <c r="BJ1228" i="7"/>
  <c r="BK1234" i="7"/>
  <c r="BJ1258" i="7"/>
  <c r="BJ1265" i="7"/>
  <c r="BK1288" i="7"/>
  <c r="BJ1297" i="7"/>
  <c r="BJ764" i="7"/>
  <c r="BK775" i="7"/>
  <c r="BJ782" i="7"/>
  <c r="BK793" i="7"/>
  <c r="BJ805" i="7"/>
  <c r="BJ811" i="7"/>
  <c r="BJ823" i="7"/>
  <c r="BK834" i="7"/>
  <c r="BK846" i="7"/>
  <c r="BK852" i="7"/>
  <c r="BJ864" i="7"/>
  <c r="BK875" i="7"/>
  <c r="BJ882" i="7"/>
  <c r="BK893" i="7"/>
  <c r="BJ905" i="7"/>
  <c r="BJ911" i="7"/>
  <c r="BJ923" i="7"/>
  <c r="BK934" i="7"/>
  <c r="BK946" i="7"/>
  <c r="BK952" i="7"/>
  <c r="BJ964" i="7"/>
  <c r="BK975" i="7"/>
  <c r="BJ982" i="7"/>
  <c r="BK993" i="7"/>
  <c r="BJ1005" i="7"/>
  <c r="BJ1011" i="7"/>
  <c r="BJ1023" i="7"/>
  <c r="BK1034" i="7"/>
  <c r="BK1046" i="7"/>
  <c r="BK1052" i="7"/>
  <c r="BJ1064" i="7"/>
  <c r="BK1076" i="7"/>
  <c r="BK1108" i="7"/>
  <c r="BK1128" i="7"/>
  <c r="BJ1157" i="7"/>
  <c r="BJ1207" i="7"/>
  <c r="BJ1243" i="7"/>
  <c r="BJ1250" i="7"/>
  <c r="BK1273" i="7"/>
  <c r="BK1280" i="7"/>
  <c r="BK1297" i="7"/>
  <c r="BJ1305" i="7"/>
  <c r="BJ1077" i="7"/>
  <c r="BJ1083" i="7"/>
  <c r="BJ1089" i="7"/>
  <c r="BJ1095" i="7"/>
  <c r="BK1102" i="7"/>
  <c r="BJ1115" i="7"/>
  <c r="BK1122" i="7"/>
  <c r="BJ1135" i="7"/>
  <c r="BJ1143" i="7"/>
  <c r="BK1149" i="7"/>
  <c r="BK1157" i="7"/>
  <c r="BJ1164" i="7"/>
  <c r="BK1170" i="7"/>
  <c r="BK1178" i="7"/>
  <c r="BJ1185" i="7"/>
  <c r="BJ1193" i="7"/>
  <c r="BK1199" i="7"/>
  <c r="BK1207" i="7"/>
  <c r="BJ1214" i="7"/>
  <c r="BK1220" i="7"/>
  <c r="BK1228" i="7"/>
  <c r="BJ1235" i="7"/>
  <c r="BK1258" i="7"/>
  <c r="BK1265" i="7"/>
  <c r="BJ1282" i="7"/>
  <c r="BJ812" i="7"/>
  <c r="BK823" i="7"/>
  <c r="BJ835" i="7"/>
  <c r="BJ841" i="7"/>
  <c r="BJ853" i="7"/>
  <c r="BK864" i="7"/>
  <c r="BK876" i="7"/>
  <c r="BK882" i="7"/>
  <c r="BJ894" i="7"/>
  <c r="BK905" i="7"/>
  <c r="BJ912" i="7"/>
  <c r="BK923" i="7"/>
  <c r="BJ935" i="7"/>
  <c r="BJ941" i="7"/>
  <c r="BJ953" i="7"/>
  <c r="BK964" i="7"/>
  <c r="BK976" i="7"/>
  <c r="BK982" i="7"/>
  <c r="BJ994" i="7"/>
  <c r="BK1005" i="7"/>
  <c r="BJ1012" i="7"/>
  <c r="BK1023" i="7"/>
  <c r="BJ1035" i="7"/>
  <c r="BJ1041" i="7"/>
  <c r="BJ1053" i="7"/>
  <c r="BK1064" i="7"/>
  <c r="BJ1109" i="7"/>
  <c r="BJ1129" i="7"/>
  <c r="BJ1172" i="7"/>
  <c r="BJ1222" i="7"/>
  <c r="BK1243" i="7"/>
  <c r="BK1250" i="7"/>
  <c r="BJ1267" i="7"/>
  <c r="BK1282" i="7"/>
  <c r="BK1289" i="7"/>
  <c r="BJ1298" i="7"/>
  <c r="BK1305" i="7"/>
  <c r="BJ659" i="7"/>
  <c r="BK670" i="7"/>
  <c r="BJ677" i="7"/>
  <c r="BK688" i="7"/>
  <c r="BJ700" i="7"/>
  <c r="BJ706" i="7"/>
  <c r="BJ718" i="7"/>
  <c r="BK729" i="7"/>
  <c r="BK741" i="7"/>
  <c r="BK747" i="7"/>
  <c r="BJ759" i="7"/>
  <c r="BK770" i="7"/>
  <c r="BJ777" i="7"/>
  <c r="BK788" i="7"/>
  <c r="BJ800" i="7"/>
  <c r="BJ806" i="7"/>
  <c r="BJ818" i="7"/>
  <c r="BK829" i="7"/>
  <c r="BK841" i="7"/>
  <c r="BK847" i="7"/>
  <c r="BJ859" i="7"/>
  <c r="BK870" i="7"/>
  <c r="BJ877" i="7"/>
  <c r="BK888" i="7"/>
  <c r="BJ900" i="7"/>
  <c r="BJ906" i="7"/>
  <c r="BJ918" i="7"/>
  <c r="BK929" i="7"/>
  <c r="BK941" i="7"/>
  <c r="BK947" i="7"/>
  <c r="BJ959" i="7"/>
  <c r="BK970" i="7"/>
  <c r="BJ977" i="7"/>
  <c r="BK988" i="7"/>
  <c r="BJ1000" i="7"/>
  <c r="BJ1006" i="7"/>
  <c r="BJ1018" i="7"/>
  <c r="BK1029" i="7"/>
  <c r="BK1041" i="7"/>
  <c r="BK1047" i="7"/>
  <c r="BJ1059" i="7"/>
  <c r="BK1070" i="7"/>
  <c r="BK1077" i="7"/>
  <c r="BK1083" i="7"/>
  <c r="BK1089" i="7"/>
  <c r="BK1095" i="7"/>
  <c r="BJ1103" i="7"/>
  <c r="BK1115" i="7"/>
  <c r="BJ1123" i="7"/>
  <c r="BK1135" i="7"/>
  <c r="BK1143" i="7"/>
  <c r="BJ1150" i="7"/>
  <c r="BJ1158" i="7"/>
  <c r="BK1164" i="7"/>
  <c r="BK1172" i="7"/>
  <c r="BJ1179" i="7"/>
  <c r="BK1185" i="7"/>
  <c r="BK1193" i="7"/>
  <c r="BJ1200" i="7"/>
  <c r="BJ1208" i="7"/>
  <c r="BK1214" i="7"/>
  <c r="BK1222" i="7"/>
  <c r="BJ1229" i="7"/>
  <c r="BK1235" i="7"/>
  <c r="BJ1252" i="7"/>
  <c r="BK1267" i="7"/>
  <c r="BK1274" i="7"/>
  <c r="BJ1307" i="7"/>
  <c r="BJ1097" i="7"/>
  <c r="BK1109" i="7"/>
  <c r="BJ1117" i="7"/>
  <c r="BK1129" i="7"/>
  <c r="BJ1137" i="7"/>
  <c r="BJ1187" i="7"/>
  <c r="BJ1237" i="7"/>
  <c r="BK1252" i="7"/>
  <c r="BK1259" i="7"/>
  <c r="BJ1283" i="7"/>
  <c r="BJ1290" i="7"/>
  <c r="BK1298" i="7"/>
  <c r="BK1307" i="7"/>
  <c r="BJ707" i="7"/>
  <c r="BK718" i="7"/>
  <c r="BJ730" i="7"/>
  <c r="BJ736" i="7"/>
  <c r="BJ748" i="7"/>
  <c r="BK759" i="7"/>
  <c r="BK771" i="7"/>
  <c r="BK777" i="7"/>
  <c r="BJ789" i="7"/>
  <c r="BK800" i="7"/>
  <c r="BJ807" i="7"/>
  <c r="BK818" i="7"/>
  <c r="BJ830" i="7"/>
  <c r="BJ836" i="7"/>
  <c r="BJ848" i="7"/>
  <c r="BK859" i="7"/>
  <c r="BK871" i="7"/>
  <c r="BK877" i="7"/>
  <c r="BJ889" i="7"/>
  <c r="BK900" i="7"/>
  <c r="BJ907" i="7"/>
  <c r="BK918" i="7"/>
  <c r="BJ930" i="7"/>
  <c r="BJ936" i="7"/>
  <c r="BJ948" i="7"/>
  <c r="BK959" i="7"/>
  <c r="BK971" i="7"/>
  <c r="BK977" i="7"/>
  <c r="BJ989" i="7"/>
  <c r="BK1000" i="7"/>
  <c r="BJ1007" i="7"/>
  <c r="BK1018" i="7"/>
  <c r="BJ1030" i="7"/>
  <c r="BJ1036" i="7"/>
  <c r="BJ1048" i="7"/>
  <c r="BK1059" i="7"/>
  <c r="BJ1072" i="7"/>
  <c r="BJ1078" i="7"/>
  <c r="BJ1084" i="7"/>
  <c r="BJ1090" i="7"/>
  <c r="BK1103" i="7"/>
  <c r="BK1123" i="7"/>
  <c r="BK1137" i="7"/>
  <c r="BJ1144" i="7"/>
  <c r="BK1150" i="7"/>
  <c r="BK1158" i="7"/>
  <c r="BJ1165" i="7"/>
  <c r="BJ1173" i="7"/>
  <c r="BK1179" i="7"/>
  <c r="BK1187" i="7"/>
  <c r="BJ1194" i="7"/>
  <c r="BK1200" i="7"/>
  <c r="BK1208" i="7"/>
  <c r="BJ1215" i="7"/>
  <c r="BJ1223" i="7"/>
  <c r="BK1229" i="7"/>
  <c r="BK1237" i="7"/>
  <c r="BK1244" i="7"/>
  <c r="BJ1268" i="7"/>
  <c r="BJ1275" i="7"/>
  <c r="BJ872" i="7"/>
  <c r="BK883" i="7"/>
  <c r="BJ895" i="7"/>
  <c r="BJ901" i="7"/>
  <c r="BJ913" i="7"/>
  <c r="BK924" i="7"/>
  <c r="BK936" i="7"/>
  <c r="BK942" i="7"/>
  <c r="BJ954" i="7"/>
  <c r="BK965" i="7"/>
  <c r="BJ972" i="7"/>
  <c r="BK983" i="7"/>
  <c r="BJ995" i="7"/>
  <c r="BJ1001" i="7"/>
  <c r="BJ1013" i="7"/>
  <c r="BK1024" i="7"/>
  <c r="BK1036" i="7"/>
  <c r="BK1042" i="7"/>
  <c r="BJ1054" i="7"/>
  <c r="BK1065" i="7"/>
  <c r="BK1097" i="7"/>
  <c r="BJ1110" i="7"/>
  <c r="BK1117" i="7"/>
  <c r="BJ1130" i="7"/>
  <c r="BJ1152" i="7"/>
  <c r="BJ1202" i="7"/>
  <c r="BJ1253" i="7"/>
  <c r="BJ1260" i="7"/>
  <c r="BK1283" i="7"/>
  <c r="BK1290" i="7"/>
  <c r="BJ1308" i="7"/>
  <c r="BJ1037" i="7"/>
  <c r="BK1048" i="7"/>
  <c r="BJ1060" i="7"/>
  <c r="BJ1066" i="7"/>
  <c r="BK1072" i="7"/>
  <c r="BK1078" i="7"/>
  <c r="BK1084" i="7"/>
  <c r="BK1090" i="7"/>
  <c r="BJ1104" i="7"/>
  <c r="BJ1124" i="7"/>
  <c r="BJ1138" i="7"/>
  <c r="BK1144" i="7"/>
  <c r="BK1152" i="7"/>
  <c r="BJ1159" i="7"/>
  <c r="BK1165" i="7"/>
  <c r="BK1173" i="7"/>
  <c r="BJ1180" i="7"/>
  <c r="BJ1188" i="7"/>
  <c r="BK1194" i="7"/>
  <c r="BK1202" i="7"/>
  <c r="BJ1209" i="7"/>
  <c r="BK1215" i="7"/>
  <c r="BK1223" i="7"/>
  <c r="BJ1230" i="7"/>
  <c r="BJ1238" i="7"/>
  <c r="BJ1245" i="7"/>
  <c r="BK1268" i="7"/>
  <c r="BK1275" i="7"/>
  <c r="BJ1292" i="7"/>
  <c r="BJ825" i="7"/>
  <c r="BJ831" i="7"/>
  <c r="BJ843" i="7"/>
  <c r="BK854" i="7"/>
  <c r="BK866" i="7"/>
  <c r="BK872" i="7"/>
  <c r="BJ884" i="7"/>
  <c r="BK895" i="7"/>
  <c r="BJ902" i="7"/>
  <c r="BK913" i="7"/>
  <c r="BJ925" i="7"/>
  <c r="BJ931" i="7"/>
  <c r="BJ943" i="7"/>
  <c r="BK954" i="7"/>
  <c r="BK966" i="7"/>
  <c r="BK972" i="7"/>
  <c r="BJ984" i="7"/>
  <c r="BK995" i="7"/>
  <c r="BJ1002" i="7"/>
  <c r="BK1013" i="7"/>
  <c r="BJ1025" i="7"/>
  <c r="BJ1031" i="7"/>
  <c r="BJ1043" i="7"/>
  <c r="BK1054" i="7"/>
  <c r="BK1066" i="7"/>
  <c r="BK1091" i="7"/>
  <c r="BJ1098" i="7"/>
  <c r="BK1110" i="7"/>
  <c r="BJ1118" i="7"/>
  <c r="BK1130" i="7"/>
  <c r="BJ1167" i="7"/>
  <c r="BJ1217" i="7"/>
  <c r="BK1253" i="7"/>
  <c r="BK1260" i="7"/>
  <c r="BJ1277" i="7"/>
  <c r="BK1292" i="7"/>
  <c r="BJ1300" i="7"/>
  <c r="BK1308" i="7"/>
  <c r="BJ967" i="7"/>
  <c r="BK978" i="7"/>
  <c r="BJ990" i="7"/>
  <c r="BJ996" i="7"/>
  <c r="BJ1008" i="7"/>
  <c r="BK1019" i="7"/>
  <c r="BK1031" i="7"/>
  <c r="BK1037" i="7"/>
  <c r="BJ1049" i="7"/>
  <c r="BK1060" i="7"/>
  <c r="BJ1067" i="7"/>
  <c r="BJ1073" i="7"/>
  <c r="BJ1079" i="7"/>
  <c r="BJ1085" i="7"/>
  <c r="BJ1092" i="7"/>
  <c r="BK1104" i="7"/>
  <c r="BJ1112" i="7"/>
  <c r="BK1124" i="7"/>
  <c r="BJ1132" i="7"/>
  <c r="BK1138" i="7"/>
  <c r="BJ1145" i="7"/>
  <c r="BJ1153" i="7"/>
  <c r="BK1159" i="7"/>
  <c r="BK1167" i="7"/>
  <c r="BJ1174" i="7"/>
  <c r="BK1180" i="7"/>
  <c r="BK1188" i="7"/>
  <c r="BJ1195" i="7"/>
  <c r="BJ1203" i="7"/>
  <c r="BK1209" i="7"/>
  <c r="BK1217" i="7"/>
  <c r="BJ1224" i="7"/>
  <c r="BK1230" i="7"/>
  <c r="BK1238" i="7"/>
  <c r="BK1245" i="7"/>
  <c r="BJ1262" i="7"/>
  <c r="BK1277" i="7"/>
  <c r="BK1284" i="7"/>
  <c r="BJ532" i="7"/>
  <c r="BK543" i="7"/>
  <c r="BJ555" i="7"/>
  <c r="BJ561" i="7"/>
  <c r="BJ573" i="7"/>
  <c r="BK584" i="7"/>
  <c r="BK596" i="7"/>
  <c r="BK602" i="7"/>
  <c r="BJ614" i="7"/>
  <c r="BK625" i="7"/>
  <c r="BJ632" i="7"/>
  <c r="BK643" i="7"/>
  <c r="BJ655" i="7"/>
  <c r="BJ661" i="7"/>
  <c r="BJ673" i="7"/>
  <c r="BK684" i="7"/>
  <c r="BK696" i="7"/>
  <c r="BK702" i="7"/>
  <c r="BJ714" i="7"/>
  <c r="BK725" i="7"/>
  <c r="BJ732" i="7"/>
  <c r="BK743" i="7"/>
  <c r="BJ755" i="7"/>
  <c r="BJ761" i="7"/>
  <c r="BJ773" i="7"/>
  <c r="BK784" i="7"/>
  <c r="BK796" i="7"/>
  <c r="BK802" i="7"/>
  <c r="BJ814" i="7"/>
  <c r="BK825" i="7"/>
  <c r="BJ832" i="7"/>
  <c r="BK843" i="7"/>
  <c r="BJ855" i="7"/>
  <c r="BJ861" i="7"/>
  <c r="BJ873" i="7"/>
  <c r="BK884" i="7"/>
  <c r="BK896" i="7"/>
  <c r="BK902" i="7"/>
  <c r="BJ914" i="7"/>
  <c r="BK925" i="7"/>
  <c r="BJ932" i="7"/>
  <c r="BK943" i="7"/>
  <c r="BJ955" i="7"/>
  <c r="BJ961" i="7"/>
  <c r="BJ973" i="7"/>
  <c r="BK984" i="7"/>
  <c r="BK996" i="7"/>
  <c r="BK1002" i="7"/>
  <c r="BJ1014" i="7"/>
  <c r="BK1025" i="7"/>
  <c r="BJ1032" i="7"/>
  <c r="BK1043" i="7"/>
  <c r="BJ1055" i="7"/>
  <c r="BJ1061" i="7"/>
  <c r="BK1098" i="7"/>
  <c r="BK1118" i="7"/>
  <c r="BJ1182" i="7"/>
  <c r="BJ1232" i="7"/>
  <c r="BJ1247" i="7"/>
  <c r="BK1262" i="7"/>
  <c r="BK1269" i="7"/>
  <c r="BJ1293" i="7"/>
  <c r="BK1300" i="7"/>
  <c r="BJ638" i="7"/>
  <c r="BK649" i="7"/>
  <c r="BK661" i="7"/>
  <c r="BK667" i="7"/>
  <c r="BJ679" i="7"/>
  <c r="BK690" i="7"/>
  <c r="BJ697" i="7"/>
  <c r="BK708" i="7"/>
  <c r="BJ720" i="7"/>
  <c r="BJ726" i="7"/>
  <c r="BJ738" i="7"/>
  <c r="BK749" i="7"/>
  <c r="BK761" i="7"/>
  <c r="BK767" i="7"/>
  <c r="BJ779" i="7"/>
  <c r="BK790" i="7"/>
  <c r="BJ797" i="7"/>
  <c r="BK808" i="7"/>
  <c r="BJ820" i="7"/>
  <c r="BJ826" i="7"/>
  <c r="BJ838" i="7"/>
  <c r="BK849" i="7"/>
  <c r="BK861" i="7"/>
  <c r="BK867" i="7"/>
  <c r="BJ879" i="7"/>
  <c r="BK890" i="7"/>
  <c r="BJ897" i="7"/>
  <c r="BK908" i="7"/>
  <c r="BJ920" i="7"/>
  <c r="BJ926" i="7"/>
  <c r="BJ938" i="7"/>
  <c r="BK949" i="7"/>
  <c r="BK961" i="7"/>
  <c r="BK967" i="7"/>
  <c r="BJ979" i="7"/>
  <c r="BK990" i="7"/>
  <c r="BJ997" i="7"/>
  <c r="BK1008" i="7"/>
  <c r="BJ1020" i="7"/>
  <c r="BJ1026" i="7"/>
  <c r="BJ1038" i="7"/>
  <c r="BK1049" i="7"/>
  <c r="BK1061" i="7"/>
  <c r="BK1067" i="7"/>
  <c r="BK1073" i="7"/>
  <c r="BK1079" i="7"/>
  <c r="BK1085" i="7"/>
  <c r="BK1092" i="7"/>
  <c r="BJ1105" i="7"/>
  <c r="BK1112" i="7"/>
  <c r="BJ1125" i="7"/>
  <c r="BK1132" i="7"/>
  <c r="BJ1139" i="7"/>
  <c r="BK1145" i="7"/>
  <c r="BK1153" i="7"/>
  <c r="BJ1160" i="7"/>
  <c r="BJ1168" i="7"/>
  <c r="BK1174" i="7"/>
  <c r="BK1182" i="7"/>
  <c r="BJ1189" i="7"/>
  <c r="BK1195" i="7"/>
  <c r="BK1203" i="7"/>
  <c r="BJ1210" i="7"/>
  <c r="BJ1218" i="7"/>
  <c r="BK1224" i="7"/>
  <c r="BK1232" i="7"/>
  <c r="BK1247" i="7"/>
  <c r="BK1254" i="7"/>
  <c r="BJ1278" i="7"/>
  <c r="BJ1285" i="7"/>
  <c r="BJ1302" i="7"/>
  <c r="BJ503" i="7"/>
  <c r="BK514" i="7"/>
  <c r="BK526" i="7"/>
  <c r="BK532" i="7"/>
  <c r="BJ544" i="7"/>
  <c r="BK555" i="7"/>
  <c r="BJ562" i="7"/>
  <c r="BK573" i="7"/>
  <c r="BJ585" i="7"/>
  <c r="BJ591" i="7"/>
  <c r="BJ603" i="7"/>
  <c r="BK614" i="7"/>
  <c r="BK626" i="7"/>
  <c r="BK632" i="7"/>
  <c r="BJ644" i="7"/>
  <c r="BK655" i="7"/>
  <c r="BJ662" i="7"/>
  <c r="BK673" i="7"/>
  <c r="BJ685" i="7"/>
  <c r="BJ691" i="7"/>
  <c r="BJ703" i="7"/>
  <c r="BK714" i="7"/>
  <c r="BK726" i="7"/>
  <c r="BK732" i="7"/>
  <c r="BJ744" i="7"/>
  <c r="BK755" i="7"/>
  <c r="BJ762" i="7"/>
  <c r="BK773" i="7"/>
  <c r="BJ785" i="7"/>
  <c r="BJ791" i="7"/>
  <c r="BJ803" i="7"/>
  <c r="BK814" i="7"/>
  <c r="BK826" i="7"/>
  <c r="BK832" i="7"/>
  <c r="BJ844" i="7"/>
  <c r="BK855" i="7"/>
  <c r="BJ862" i="7"/>
  <c r="BK873" i="7"/>
  <c r="BJ885" i="7"/>
  <c r="BJ891" i="7"/>
  <c r="BJ903" i="7"/>
  <c r="BK914" i="7"/>
  <c r="BK926" i="7"/>
  <c r="BK932" i="7"/>
  <c r="BJ944" i="7"/>
  <c r="BK955" i="7"/>
  <c r="BJ962" i="7"/>
  <c r="BK973" i="7"/>
  <c r="BJ985" i="7"/>
  <c r="BJ991" i="7"/>
  <c r="BJ1003" i="7"/>
  <c r="BK1014" i="7"/>
  <c r="BK1026" i="7"/>
  <c r="BK1032" i="7"/>
  <c r="BJ1044" i="7"/>
  <c r="BK1055" i="7"/>
  <c r="BJ1062" i="7"/>
  <c r="BK1086" i="7"/>
  <c r="BJ1099" i="7"/>
  <c r="BJ1119" i="7"/>
  <c r="BJ1147" i="7"/>
  <c r="BJ1197" i="7"/>
  <c r="BK1239" i="7"/>
  <c r="BJ1263" i="7"/>
  <c r="BJ1270" i="7"/>
  <c r="BK1293" i="7"/>
  <c r="BK1302" i="7"/>
  <c r="BJ1310" i="7"/>
  <c r="BJ727" i="7"/>
  <c r="BK738" i="7"/>
  <c r="BJ750" i="7"/>
  <c r="BJ756" i="7"/>
  <c r="BJ768" i="7"/>
  <c r="BK779" i="7"/>
  <c r="BK791" i="7"/>
  <c r="BK797" i="7"/>
  <c r="BJ809" i="7"/>
  <c r="BK820" i="7"/>
  <c r="BJ827" i="7"/>
  <c r="BK838" i="7"/>
  <c r="BJ850" i="7"/>
  <c r="BJ856" i="7"/>
  <c r="BJ868" i="7"/>
  <c r="BK879" i="7"/>
  <c r="BK891" i="7"/>
  <c r="BK897" i="7"/>
  <c r="BJ909" i="7"/>
  <c r="BK920" i="7"/>
  <c r="BJ927" i="7"/>
  <c r="BK938" i="7"/>
  <c r="BJ950" i="7"/>
  <c r="BJ956" i="7"/>
  <c r="BJ968" i="7"/>
  <c r="BK979" i="7"/>
  <c r="BK991" i="7"/>
  <c r="BK997" i="7"/>
  <c r="BJ1009" i="7"/>
  <c r="BK1020" i="7"/>
  <c r="BJ1027" i="7"/>
  <c r="BK1038" i="7"/>
  <c r="BJ1050" i="7"/>
  <c r="BJ1056" i="7"/>
  <c r="BJ1068" i="7"/>
  <c r="BJ1074" i="7"/>
  <c r="BJ1080" i="7"/>
  <c r="BJ1087" i="7"/>
  <c r="BJ1093" i="7"/>
  <c r="BK1105" i="7"/>
  <c r="BJ1113" i="7"/>
  <c r="BK1125" i="7"/>
  <c r="BJ1133" i="7"/>
  <c r="BK1139" i="7"/>
  <c r="BK1147" i="7"/>
  <c r="BJ1154" i="7"/>
  <c r="BK1160" i="7"/>
  <c r="BK1168" i="7"/>
  <c r="BJ1175" i="7"/>
  <c r="BJ1183" i="7"/>
  <c r="BK1189" i="7"/>
  <c r="BK1197" i="7"/>
  <c r="BJ1204" i="7"/>
  <c r="BK1210" i="7"/>
  <c r="BK1218" i="7"/>
  <c r="BJ1225" i="7"/>
  <c r="BJ1233" i="7"/>
  <c r="BJ1248" i="7"/>
  <c r="BJ1255" i="7"/>
  <c r="BK1278" i="7"/>
  <c r="BK1285" i="7"/>
  <c r="BK785" i="7"/>
  <c r="BJ792" i="7"/>
  <c r="BK803" i="7"/>
  <c r="BJ815" i="7"/>
  <c r="BJ821" i="7"/>
  <c r="BJ833" i="7"/>
  <c r="BK844" i="7"/>
  <c r="BK856" i="7"/>
  <c r="BK862" i="7"/>
  <c r="BJ874" i="7"/>
  <c r="BK885" i="7"/>
  <c r="BJ892" i="7"/>
  <c r="BK903" i="7"/>
  <c r="BJ915" i="7"/>
  <c r="BJ921" i="7"/>
  <c r="BJ933" i="7"/>
  <c r="BK944" i="7"/>
  <c r="BK956" i="7"/>
  <c r="BK962" i="7"/>
  <c r="BJ974" i="7"/>
  <c r="BK985" i="7"/>
  <c r="BJ992" i="7"/>
  <c r="BK1003" i="7"/>
  <c r="BJ1015" i="7"/>
  <c r="BJ1021" i="7"/>
  <c r="BJ1033" i="7"/>
  <c r="BK1044" i="7"/>
  <c r="BK1056" i="7"/>
  <c r="BK1062" i="7"/>
  <c r="BK1099" i="7"/>
  <c r="BJ1107" i="7"/>
  <c r="BK1119" i="7"/>
  <c r="BJ1127" i="7"/>
  <c r="BJ1162" i="7"/>
  <c r="BJ1212" i="7"/>
  <c r="BJ1240" i="7"/>
  <c r="BK1263" i="7"/>
  <c r="BK1270" i="7"/>
  <c r="BJ1287" i="7"/>
  <c r="BJ1303" i="7"/>
  <c r="BK1310" i="7"/>
  <c r="BJ1239" i="7"/>
  <c r="BJ1244" i="7"/>
  <c r="BJ1249" i="7"/>
  <c r="BJ1254" i="7"/>
  <c r="BJ1259" i="7"/>
  <c r="BJ1264" i="7"/>
  <c r="BJ1269" i="7"/>
  <c r="BJ1274" i="7"/>
  <c r="BJ1279" i="7"/>
  <c r="BJ1284" i="7"/>
  <c r="BJ1289" i="7"/>
  <c r="BJ1294" i="7"/>
  <c r="BJ1299" i="7"/>
  <c r="BJ1304" i="7"/>
  <c r="BJ1309" i="7"/>
  <c r="BK1294" i="7"/>
  <c r="BK1299" i="7"/>
  <c r="BK1304" i="7"/>
  <c r="BK1309" i="7"/>
  <c r="BJ1071" i="7"/>
  <c r="BJ1076" i="7"/>
  <c r="BJ1081" i="7"/>
  <c r="BJ1086" i="7"/>
  <c r="BJ1091" i="7"/>
  <c r="BJ1096" i="7"/>
  <c r="BJ1101" i="7"/>
  <c r="BJ1106" i="7"/>
  <c r="BJ1111" i="7"/>
  <c r="BJ1116" i="7"/>
  <c r="BJ1121" i="7"/>
  <c r="BJ1126" i="7"/>
  <c r="BJ1131" i="7"/>
  <c r="BJ1136" i="7"/>
  <c r="BJ1141" i="7"/>
  <c r="BJ1146" i="7"/>
  <c r="BJ1151" i="7"/>
  <c r="BJ1156" i="7"/>
  <c r="BJ1161" i="7"/>
  <c r="BJ1166" i="7"/>
  <c r="BJ1171" i="7"/>
  <c r="BJ1176" i="7"/>
  <c r="BJ1181" i="7"/>
  <c r="BJ1186" i="7"/>
  <c r="BJ1191" i="7"/>
  <c r="BJ1196" i="7"/>
  <c r="BJ1201" i="7"/>
  <c r="BJ1206" i="7"/>
  <c r="BJ1211" i="7"/>
  <c r="BJ1216" i="7"/>
  <c r="BJ1221" i="7"/>
  <c r="BJ1226" i="7"/>
  <c r="BJ1231" i="7"/>
  <c r="BJ1236" i="7"/>
  <c r="BJ1241" i="7"/>
  <c r="BJ1246" i="7"/>
  <c r="BJ1251" i="7"/>
  <c r="BJ1256" i="7"/>
  <c r="BJ1261" i="7"/>
  <c r="BJ1266" i="7"/>
  <c r="BJ1271" i="7"/>
  <c r="BJ1276" i="7"/>
  <c r="BJ1281" i="7"/>
  <c r="BJ1286" i="7"/>
  <c r="BJ1291" i="7"/>
  <c r="BJ1296" i="7"/>
  <c r="BJ1301" i="7"/>
  <c r="BJ1306" i="7"/>
  <c r="BJ1311" i="7"/>
  <c r="BK1096" i="7"/>
  <c r="BK1101" i="7"/>
  <c r="BK1106" i="7"/>
  <c r="BK1111" i="7"/>
  <c r="BK1116" i="7"/>
  <c r="BK1121" i="7"/>
  <c r="BK1126" i="7"/>
  <c r="BK1131" i="7"/>
  <c r="BK1136" i="7"/>
  <c r="BK1141" i="7"/>
  <c r="BK1146" i="7"/>
  <c r="BK1151" i="7"/>
  <c r="BK1156" i="7"/>
  <c r="BK1161" i="7"/>
  <c r="BK1166" i="7"/>
  <c r="BK1171" i="7"/>
  <c r="BK1176" i="7"/>
  <c r="BK1181" i="7"/>
  <c r="BK1186" i="7"/>
  <c r="BK1191" i="7"/>
  <c r="BK1196" i="7"/>
  <c r="BK1201" i="7"/>
  <c r="BK1206" i="7"/>
  <c r="BK1211" i="7"/>
  <c r="BK1216" i="7"/>
  <c r="BK1221" i="7"/>
  <c r="BK1226" i="7"/>
  <c r="BK1231" i="7"/>
  <c r="BK1236" i="7"/>
  <c r="BK1241" i="7"/>
  <c r="BK1246" i="7"/>
  <c r="BK1251" i="7"/>
  <c r="BK1256" i="7"/>
  <c r="BK1261" i="7"/>
  <c r="BK1266" i="7"/>
  <c r="BK1271" i="7"/>
  <c r="BK1276" i="7"/>
  <c r="BK1281" i="7"/>
  <c r="BK1286" i="7"/>
  <c r="BK1291" i="7"/>
  <c r="BK1296" i="7"/>
  <c r="BK1301" i="7"/>
  <c r="BK1306" i="7"/>
  <c r="BK1311" i="7"/>
  <c r="BO12" i="7"/>
  <c r="BW12" i="7"/>
  <c r="BK12" i="7" a="1"/>
  <c r="BJ12" i="7" a="1"/>
  <c r="BS12" i="7" a="1"/>
  <c r="BR12" i="7" a="1"/>
  <c r="V33" i="7" l="1"/>
  <c r="V31" i="7"/>
  <c r="V29" i="7"/>
  <c r="BV285" i="7"/>
  <c r="BV636" i="7"/>
  <c r="BV506" i="7"/>
  <c r="BV109" i="7"/>
  <c r="BV1295" i="7"/>
  <c r="BV1268" i="7"/>
  <c r="BV1205" i="7"/>
  <c r="BV1004" i="7"/>
  <c r="BV1028" i="7"/>
  <c r="BV981" i="7"/>
  <c r="BV921" i="7"/>
  <c r="BV893" i="7"/>
  <c r="BV1018" i="7"/>
  <c r="BV881" i="7"/>
  <c r="BV795" i="7"/>
  <c r="BV867" i="7"/>
  <c r="BV605" i="7"/>
  <c r="BV782" i="7"/>
  <c r="BV762" i="7"/>
  <c r="BV1007" i="7"/>
  <c r="BV702" i="7"/>
  <c r="BV620" i="7"/>
  <c r="BV503" i="7"/>
  <c r="BV622" i="7"/>
  <c r="BV551" i="7"/>
  <c r="BV737" i="7"/>
  <c r="BV335" i="7"/>
  <c r="BV318" i="7"/>
  <c r="BV253" i="7"/>
  <c r="BV88" i="7"/>
  <c r="BV87" i="7"/>
  <c r="BV95" i="7"/>
  <c r="BV81" i="7"/>
  <c r="BV25" i="7"/>
  <c r="BV1084" i="7"/>
  <c r="BV848" i="7"/>
  <c r="BV743" i="7"/>
  <c r="BV579" i="7"/>
  <c r="BV392" i="7"/>
  <c r="BV378" i="7"/>
  <c r="BV389" i="7"/>
  <c r="BV187" i="7"/>
  <c r="BV1290" i="7"/>
  <c r="BV1293" i="7"/>
  <c r="BV1199" i="7"/>
  <c r="BV1079" i="7"/>
  <c r="BV1133" i="7"/>
  <c r="BV1043" i="7"/>
  <c r="BV1082" i="7"/>
  <c r="BV905" i="7"/>
  <c r="BV1212" i="7"/>
  <c r="BV783" i="7"/>
  <c r="BV1010" i="7"/>
  <c r="BV847" i="7"/>
  <c r="BV995" i="7"/>
  <c r="BV784" i="7"/>
  <c r="BV788" i="7"/>
  <c r="BV883" i="7"/>
  <c r="BV600" i="7"/>
  <c r="BV745" i="7"/>
  <c r="BV651" i="7"/>
  <c r="BV640" i="7"/>
  <c r="BV689" i="7"/>
  <c r="BV463" i="7"/>
  <c r="BV612" i="7"/>
  <c r="BV371" i="7"/>
  <c r="BV78" i="7"/>
  <c r="BV145" i="7"/>
  <c r="BV33" i="7"/>
  <c r="BV17" i="7"/>
  <c r="BV160" i="7"/>
  <c r="BV41" i="7"/>
  <c r="BV1275" i="7"/>
  <c r="BV1142" i="7"/>
  <c r="BV1279" i="7"/>
  <c r="BV1292" i="7"/>
  <c r="BV1064" i="7"/>
  <c r="BV1027" i="7"/>
  <c r="BV934" i="7"/>
  <c r="BV1070" i="7"/>
  <c r="BV724" i="7"/>
  <c r="BV816" i="7"/>
  <c r="BV739" i="7"/>
  <c r="BV956" i="7"/>
  <c r="BV585" i="7"/>
  <c r="BV592" i="7"/>
  <c r="BV613" i="7"/>
  <c r="BV740" i="7"/>
  <c r="BV574" i="7"/>
  <c r="BV561" i="7"/>
  <c r="BV453" i="7"/>
  <c r="BV498" i="7"/>
  <c r="BV386" i="7"/>
  <c r="BV482" i="7"/>
  <c r="BV219" i="7"/>
  <c r="BV278" i="7"/>
  <c r="BV211" i="7"/>
  <c r="BV280" i="7"/>
  <c r="BV277" i="7"/>
  <c r="BV125" i="7"/>
  <c r="BV212" i="7"/>
  <c r="BV50" i="7"/>
  <c r="BV14" i="7"/>
  <c r="BV143" i="7"/>
  <c r="BV837" i="7"/>
  <c r="BV723" i="7"/>
  <c r="BV532" i="7"/>
  <c r="BV617" i="7"/>
  <c r="BV53" i="7"/>
  <c r="BV1140" i="7"/>
  <c r="BV1309" i="7"/>
  <c r="BV1152" i="7"/>
  <c r="BV1248" i="7"/>
  <c r="BV1143" i="7"/>
  <c r="BV1165" i="7"/>
  <c r="BV1046" i="7"/>
  <c r="BV813" i="7"/>
  <c r="BV719" i="7"/>
  <c r="BV580" i="7"/>
  <c r="BV954" i="7"/>
  <c r="BV587" i="7"/>
  <c r="BV812" i="7"/>
  <c r="BV864" i="7"/>
  <c r="BV701" i="7"/>
  <c r="BV764" i="7"/>
  <c r="BV458" i="7"/>
  <c r="BV383" i="7"/>
  <c r="BV483" i="7"/>
  <c r="BV480" i="7"/>
  <c r="BV394" i="7"/>
  <c r="BV339" i="7"/>
  <c r="BV456" i="7"/>
  <c r="BV340" i="7"/>
  <c r="BV221" i="7"/>
  <c r="BV195" i="7"/>
  <c r="BV236" i="7"/>
  <c r="BV55" i="7"/>
  <c r="BV194" i="7"/>
  <c r="BV943" i="7"/>
  <c r="BV742" i="7"/>
  <c r="BV1258" i="7"/>
  <c r="BV1071" i="7"/>
  <c r="BV1086" i="7"/>
  <c r="BV811" i="7"/>
  <c r="BV908" i="7"/>
  <c r="BV735" i="7"/>
  <c r="BV330" i="7"/>
  <c r="BV295" i="7"/>
  <c r="BV170" i="7"/>
  <c r="BV260" i="7"/>
  <c r="BV257" i="7"/>
  <c r="BV174" i="7"/>
  <c r="BV134" i="7"/>
  <c r="BV1262" i="7"/>
  <c r="BV1210" i="7"/>
  <c r="BV1287" i="7"/>
  <c r="BV1137" i="7"/>
  <c r="BV1196" i="7"/>
  <c r="BV1207" i="7"/>
  <c r="BV1001" i="7"/>
  <c r="BV1251" i="7"/>
  <c r="BV1039" i="7"/>
  <c r="BV991" i="7"/>
  <c r="BV807" i="7"/>
  <c r="BV903" i="7"/>
  <c r="BV809" i="7"/>
  <c r="BV890" i="7"/>
  <c r="BV897" i="7"/>
  <c r="BV835" i="7"/>
  <c r="BV693" i="7"/>
  <c r="BV754" i="7"/>
  <c r="BV703" i="7"/>
  <c r="BV787" i="7"/>
  <c r="BV760" i="7"/>
  <c r="BV677" i="7"/>
  <c r="BV819" i="7"/>
  <c r="BV634" i="7"/>
  <c r="BV626" i="7"/>
  <c r="BV588" i="7"/>
  <c r="BV720" i="7"/>
  <c r="BV515" i="7"/>
  <c r="BV669" i="7"/>
  <c r="BV793" i="7"/>
  <c r="BV583" i="7"/>
  <c r="BV542" i="7"/>
  <c r="BV773" i="7"/>
  <c r="BV413" i="7"/>
  <c r="BV328" i="7"/>
  <c r="BV241" i="7"/>
  <c r="BV255" i="7"/>
  <c r="BV282" i="7"/>
  <c r="BV205" i="7"/>
  <c r="BV16" i="7"/>
  <c r="BV62" i="7"/>
  <c r="BV259" i="7"/>
  <c r="BV705" i="7"/>
  <c r="BV382" i="7"/>
  <c r="BV1222" i="7"/>
  <c r="BV798" i="7"/>
  <c r="BV833" i="7"/>
  <c r="BV511" i="7"/>
  <c r="BV757" i="7"/>
  <c r="BV320" i="7"/>
  <c r="BV199" i="7"/>
  <c r="BV353" i="7"/>
  <c r="BV233" i="7"/>
  <c r="BV127" i="7"/>
  <c r="BV1220" i="7"/>
  <c r="BV1120" i="7"/>
  <c r="BV1226" i="7"/>
  <c r="BV1195" i="7"/>
  <c r="BV1296" i="7"/>
  <c r="BV1115" i="7"/>
  <c r="BV1175" i="7"/>
  <c r="BV973" i="7"/>
  <c r="BV931" i="7"/>
  <c r="BV1037" i="7"/>
  <c r="BV1050" i="7"/>
  <c r="BV1156" i="7"/>
  <c r="BV1153" i="7"/>
  <c r="BV992" i="7"/>
  <c r="BV854" i="7"/>
  <c r="BV715" i="7"/>
  <c r="BV993" i="7"/>
  <c r="BV983" i="7"/>
  <c r="BV1019" i="7"/>
  <c r="BV730" i="7"/>
  <c r="BV779" i="7"/>
  <c r="BV692" i="7"/>
  <c r="BV611" i="7"/>
  <c r="BV582" i="7"/>
  <c r="BV641" i="7"/>
  <c r="BV545" i="7"/>
  <c r="BV663" i="7"/>
  <c r="BV512" i="7"/>
  <c r="BV564" i="7"/>
  <c r="BV858" i="7"/>
  <c r="BV586" i="7"/>
  <c r="BV426" i="7"/>
  <c r="BV485" i="7"/>
  <c r="BV556" i="7"/>
  <c r="BV345" i="7"/>
  <c r="BV294" i="7"/>
  <c r="BV405" i="7"/>
  <c r="BV310" i="7"/>
  <c r="BV319" i="7"/>
  <c r="BV862" i="7"/>
  <c r="BV344" i="7"/>
  <c r="BV359" i="7"/>
  <c r="BV284" i="7"/>
  <c r="BV178" i="7"/>
  <c r="BV121" i="7"/>
  <c r="BV36" i="7"/>
  <c r="BV21" i="7"/>
  <c r="BV52" i="7"/>
  <c r="BV207" i="7"/>
  <c r="BV75" i="7"/>
  <c r="BV39" i="7"/>
  <c r="BV1029" i="7"/>
  <c r="BV1206" i="7"/>
  <c r="BV1053" i="7"/>
  <c r="BV780" i="7"/>
  <c r="BV1272" i="7"/>
  <c r="BV1252" i="7"/>
  <c r="BV1176" i="7"/>
  <c r="BV1197" i="7"/>
  <c r="BV1061" i="7"/>
  <c r="BV1033" i="7"/>
  <c r="BV1030" i="7"/>
  <c r="BV1124" i="7"/>
  <c r="BV805" i="7"/>
  <c r="BV836" i="7"/>
  <c r="BV980" i="7"/>
  <c r="BV840" i="7"/>
  <c r="BV977" i="7"/>
  <c r="BV935" i="7"/>
  <c r="BV776" i="7"/>
  <c r="BV609" i="7"/>
  <c r="BV558" i="7"/>
  <c r="BV570" i="7"/>
  <c r="BV535" i="7"/>
  <c r="BV446" i="7"/>
  <c r="BV292" i="7"/>
  <c r="BV367" i="7"/>
  <c r="BV504" i="7"/>
  <c r="BV478" i="7"/>
  <c r="BV308" i="7"/>
  <c r="BV172" i="7"/>
  <c r="BV189" i="7"/>
  <c r="BV200" i="7"/>
  <c r="BV89" i="7"/>
  <c r="BV26" i="7"/>
  <c r="BV1060" i="7"/>
  <c r="BV698" i="7"/>
  <c r="BV1240" i="7"/>
  <c r="BV1244" i="7"/>
  <c r="BV1174" i="7"/>
  <c r="BV1106" i="7"/>
  <c r="BV1145" i="7"/>
  <c r="BV922" i="7"/>
  <c r="BV1036" i="7"/>
  <c r="BV1185" i="7"/>
  <c r="BV994" i="7"/>
  <c r="BV984" i="7"/>
  <c r="BV1116" i="7"/>
  <c r="BV1075" i="7"/>
  <c r="BV932" i="7"/>
  <c r="BV781" i="7"/>
  <c r="BV996" i="7"/>
  <c r="BV1015" i="7"/>
  <c r="BV930" i="7"/>
  <c r="BV810" i="7"/>
  <c r="BV697" i="7"/>
  <c r="BV650" i="7"/>
  <c r="BV670" i="7"/>
  <c r="BV573" i="7"/>
  <c r="BV741" i="7"/>
  <c r="BV615" i="7"/>
  <c r="BV531" i="7"/>
  <c r="BV591" i="7"/>
  <c r="BV654" i="7"/>
  <c r="BV488" i="7"/>
  <c r="BV505" i="7"/>
  <c r="BV510" i="7"/>
  <c r="BV571" i="7"/>
  <c r="BV432" i="7"/>
  <c r="BV421" i="7"/>
  <c r="BV473" i="7"/>
  <c r="BV572" i="7"/>
  <c r="BV333" i="7"/>
  <c r="BV301" i="7"/>
  <c r="BV307" i="7"/>
  <c r="BV417" i="7"/>
  <c r="BV266" i="7"/>
  <c r="BV225" i="7"/>
  <c r="BV140" i="7"/>
  <c r="BV218" i="7"/>
  <c r="BV150" i="7"/>
  <c r="BV276" i="7"/>
  <c r="BV51" i="7"/>
  <c r="BV24" i="7"/>
  <c r="BV64" i="7"/>
  <c r="BV71" i="7"/>
  <c r="BV830" i="7"/>
  <c r="BV375" i="7"/>
  <c r="BV942" i="7"/>
  <c r="BV37" i="7"/>
  <c r="BV1211" i="7"/>
  <c r="BV1202" i="7"/>
  <c r="BV1263" i="7"/>
  <c r="BV1241" i="7"/>
  <c r="BV1172" i="7"/>
  <c r="BV1229" i="7"/>
  <c r="BV1289" i="7"/>
  <c r="BV1011" i="7"/>
  <c r="BV1054" i="7"/>
  <c r="BV1141" i="7"/>
  <c r="BV1072" i="7"/>
  <c r="BV913" i="7"/>
  <c r="BV1218" i="7"/>
  <c r="BV1188" i="7"/>
  <c r="BV1000" i="7"/>
  <c r="BV1009" i="7"/>
  <c r="BV1013" i="7"/>
  <c r="BV979" i="7"/>
  <c r="BV965" i="7"/>
  <c r="BV978" i="7"/>
  <c r="BV792" i="7"/>
  <c r="BV988" i="7"/>
  <c r="BV695" i="7"/>
  <c r="BV797" i="7"/>
  <c r="BV882" i="7"/>
  <c r="BV668" i="7"/>
  <c r="BV662" i="7"/>
  <c r="BV718" i="7"/>
  <c r="BV632" i="7"/>
  <c r="BV673" i="7"/>
  <c r="BV553" i="7"/>
  <c r="BV694" i="7"/>
  <c r="BV606" i="7"/>
  <c r="BV526" i="7"/>
  <c r="BV838" i="7"/>
  <c r="BV521" i="7"/>
  <c r="BV401" i="7"/>
  <c r="BV543" i="7"/>
  <c r="BV452" i="7"/>
  <c r="BV459" i="7"/>
  <c r="BV325" i="7"/>
  <c r="BV563" i="7"/>
  <c r="BV447" i="7"/>
  <c r="BV290" i="7"/>
  <c r="BV440" i="7"/>
  <c r="BV436" i="7"/>
  <c r="BV420" i="7"/>
  <c r="BV179" i="7"/>
  <c r="BV264" i="7"/>
  <c r="BV214" i="7"/>
  <c r="BV247" i="7"/>
  <c r="BV117" i="7"/>
  <c r="BV132" i="7"/>
  <c r="BV91" i="7"/>
  <c r="BV66" i="7"/>
  <c r="BV116" i="7"/>
  <c r="BV152" i="7"/>
  <c r="BV1221" i="7"/>
  <c r="BV786" i="7"/>
  <c r="BV228" i="7"/>
  <c r="BV102" i="7"/>
  <c r="BV1261" i="7"/>
  <c r="BV1213" i="7"/>
  <c r="BV1155" i="7"/>
  <c r="BV1219" i="7"/>
  <c r="BV1125" i="7"/>
  <c r="BV1016" i="7"/>
  <c r="BV1164" i="7"/>
  <c r="BV1063" i="7"/>
  <c r="BV906" i="7"/>
  <c r="BV1190" i="7"/>
  <c r="BV974" i="7"/>
  <c r="BV1178" i="7"/>
  <c r="BV1005" i="7"/>
  <c r="BV1038" i="7"/>
  <c r="BV1020" i="7"/>
  <c r="BV863" i="7"/>
  <c r="BV772" i="7"/>
  <c r="BV1123" i="7"/>
  <c r="BV876" i="7"/>
  <c r="BV686" i="7"/>
  <c r="BV874" i="7"/>
  <c r="BV777" i="7"/>
  <c r="BV846" i="7"/>
  <c r="BV660" i="7"/>
  <c r="BV868" i="7"/>
  <c r="BV708" i="7"/>
  <c r="BV544" i="7"/>
  <c r="BV818" i="7"/>
  <c r="BV687" i="7"/>
  <c r="BV565" i="7"/>
  <c r="BV568" i="7"/>
  <c r="BV598" i="7"/>
  <c r="BV1003" i="7"/>
  <c r="BV490" i="7"/>
  <c r="BV509" i="7"/>
  <c r="BV519" i="7"/>
  <c r="BV381" i="7"/>
  <c r="BV365" i="7"/>
  <c r="BV425" i="7"/>
  <c r="BV433" i="7"/>
  <c r="BV324" i="7"/>
  <c r="BV450" i="7"/>
  <c r="BV226" i="7"/>
  <c r="BV346" i="7"/>
  <c r="BV234" i="7"/>
  <c r="BV202" i="7"/>
  <c r="BV213" i="7"/>
  <c r="BV123" i="7"/>
  <c r="BV161" i="7"/>
  <c r="BV67" i="7"/>
  <c r="BV42" i="7"/>
  <c r="BV46" i="7"/>
  <c r="BV110" i="7"/>
  <c r="BV82" i="7"/>
  <c r="BV1291" i="7"/>
  <c r="BV1193" i="7"/>
  <c r="BV100" i="7"/>
  <c r="BV1191" i="7"/>
  <c r="BV1235" i="7"/>
  <c r="BV1259" i="7"/>
  <c r="BV1136" i="7"/>
  <c r="BV1271" i="7"/>
  <c r="BV1239" i="7"/>
  <c r="BV961" i="7"/>
  <c r="BV1042" i="7"/>
  <c r="BV1095" i="7"/>
  <c r="BV1161" i="7"/>
  <c r="BV1117" i="7"/>
  <c r="BV1167" i="7"/>
  <c r="BV968" i="7"/>
  <c r="BV953" i="7"/>
  <c r="BV1231" i="7"/>
  <c r="BV962" i="7"/>
  <c r="BV850" i="7"/>
  <c r="BV767" i="7"/>
  <c r="BV959" i="7"/>
  <c r="BV869" i="7"/>
  <c r="BV775" i="7"/>
  <c r="BV824" i="7"/>
  <c r="BV725" i="7"/>
  <c r="BV738" i="7"/>
  <c r="BV643" i="7"/>
  <c r="BV658" i="7"/>
  <c r="BV834" i="7"/>
  <c r="BV691" i="7"/>
  <c r="BV728" i="7"/>
  <c r="BV637" i="7"/>
  <c r="BV603" i="7"/>
  <c r="BV752" i="7"/>
  <c r="BV623" i="7"/>
  <c r="BV731" i="7"/>
  <c r="BV552" i="7"/>
  <c r="BV455" i="7"/>
  <c r="BV508" i="7"/>
  <c r="BV361" i="7"/>
  <c r="BV428" i="7"/>
  <c r="BV272" i="7"/>
  <c r="BV430" i="7"/>
  <c r="BV398" i="7"/>
  <c r="BV385" i="7"/>
  <c r="BV322" i="7"/>
  <c r="BV379" i="7"/>
  <c r="BV248" i="7"/>
  <c r="BV250" i="7"/>
  <c r="BV168" i="7"/>
  <c r="BV206" i="7"/>
  <c r="BV300" i="7"/>
  <c r="BV341" i="7"/>
  <c r="BV355" i="7"/>
  <c r="BV120" i="7"/>
  <c r="BV238" i="7"/>
  <c r="BV269" i="7"/>
  <c r="BV163" i="7"/>
  <c r="BV184" i="7"/>
  <c r="BV119" i="7"/>
  <c r="BV38" i="7"/>
  <c r="BV114" i="7"/>
  <c r="BV59" i="7"/>
  <c r="BV35" i="7"/>
  <c r="BV107" i="7"/>
  <c r="BV1227" i="7"/>
  <c r="BV1204" i="7"/>
  <c r="BV1101" i="7"/>
  <c r="BV966" i="7"/>
  <c r="BV1087" i="7"/>
  <c r="BV1114" i="7"/>
  <c r="BV1044" i="7"/>
  <c r="BV895" i="7"/>
  <c r="BV940" i="7"/>
  <c r="BV875" i="7"/>
  <c r="BV1094" i="7"/>
  <c r="BV1144" i="7"/>
  <c r="BV982" i="7"/>
  <c r="BV963" i="7"/>
  <c r="BV938" i="7"/>
  <c r="BV1100" i="7"/>
  <c r="BV986" i="7"/>
  <c r="BV957" i="7"/>
  <c r="BV1150" i="7"/>
  <c r="BV855" i="7"/>
  <c r="BV842" i="7"/>
  <c r="BV1138" i="7"/>
  <c r="BV941" i="7"/>
  <c r="BV924" i="7"/>
  <c r="BV865" i="7"/>
  <c r="BV844" i="7"/>
  <c r="BV753" i="7"/>
  <c r="BV884" i="7"/>
  <c r="BV796" i="7"/>
  <c r="BV722" i="7"/>
  <c r="BV647" i="7"/>
  <c r="BV804" i="7"/>
  <c r="BV624" i="7"/>
  <c r="BV599" i="7"/>
  <c r="BV732" i="7"/>
  <c r="BV618" i="7"/>
  <c r="BV799" i="7"/>
  <c r="BV534" i="7"/>
  <c r="BV501" i="7"/>
  <c r="BV540" i="7"/>
  <c r="BV747" i="7"/>
  <c r="BV448" i="7"/>
  <c r="BV633" i="7"/>
  <c r="BV638" i="7"/>
  <c r="BV484" i="7"/>
  <c r="BV412" i="7"/>
  <c r="BV445" i="7"/>
  <c r="BV305" i="7"/>
  <c r="BV263" i="7"/>
  <c r="BV352" i="7"/>
  <c r="BV396" i="7"/>
  <c r="BV270" i="7"/>
  <c r="BV313" i="7"/>
  <c r="BV429" i="7"/>
  <c r="BV349" i="7"/>
  <c r="BV186" i="7"/>
  <c r="BV245" i="7"/>
  <c r="BV227" i="7"/>
  <c r="BV175" i="7"/>
  <c r="BV242" i="7"/>
  <c r="BV61" i="7"/>
  <c r="BV30" i="7"/>
  <c r="BV137" i="7"/>
  <c r="BV92" i="7"/>
  <c r="BV22" i="7"/>
  <c r="BV54" i="7"/>
  <c r="BV19" i="7"/>
  <c r="BV85" i="7"/>
  <c r="BV34" i="7"/>
  <c r="BV870" i="7"/>
  <c r="BV759" i="7"/>
  <c r="BV487" i="7"/>
  <c r="BV57" i="7"/>
  <c r="BV1182" i="7"/>
  <c r="BV1278" i="7"/>
  <c r="BV1170" i="7"/>
  <c r="BV1247" i="7"/>
  <c r="BV1192" i="7"/>
  <c r="BV1148" i="7"/>
  <c r="BV866" i="7"/>
  <c r="BV1051" i="7"/>
  <c r="BV952" i="7"/>
  <c r="BV948" i="7"/>
  <c r="BV1057" i="7"/>
  <c r="BV1181" i="7"/>
  <c r="BV916" i="7"/>
  <c r="BV843" i="7"/>
  <c r="BV939" i="7"/>
  <c r="BV825" i="7"/>
  <c r="BV856" i="7"/>
  <c r="BV645" i="7"/>
  <c r="BV690" i="7"/>
  <c r="BV628" i="7"/>
  <c r="BV789" i="7"/>
  <c r="BV657" i="7"/>
  <c r="BV575" i="7"/>
  <c r="BV727" i="7"/>
  <c r="BV625" i="7"/>
  <c r="BV648" i="7"/>
  <c r="BV559" i="7"/>
  <c r="BV471" i="7"/>
  <c r="BV750" i="7"/>
  <c r="BV388" i="7"/>
  <c r="BV457" i="7"/>
  <c r="BV399" i="7"/>
  <c r="BV393" i="7"/>
  <c r="BV380" i="7"/>
  <c r="BV159" i="7"/>
  <c r="BV166" i="7"/>
  <c r="BV289" i="7"/>
  <c r="BV306" i="7"/>
  <c r="BV299" i="7"/>
  <c r="BV176" i="7"/>
  <c r="BV113" i="7"/>
  <c r="BV149" i="7"/>
  <c r="BV209" i="7"/>
  <c r="BV229" i="7"/>
  <c r="BV69" i="7"/>
  <c r="BV193" i="7"/>
  <c r="BV133" i="7"/>
  <c r="BV128" i="7"/>
  <c r="BV65" i="7"/>
  <c r="BV183" i="7"/>
  <c r="BV94" i="7"/>
  <c r="BV49" i="7"/>
  <c r="BV15" i="7"/>
  <c r="BV74" i="7"/>
  <c r="BS12" i="7"/>
  <c r="BR12" i="7"/>
  <c r="BT12" i="7" s="1"/>
  <c r="BK12" i="7"/>
  <c r="BJ12" i="7"/>
  <c r="BQ12" i="7"/>
  <c r="K16" i="7"/>
  <c r="K15" i="7"/>
  <c r="K17" i="7" s="1"/>
  <c r="DD6" i="1"/>
  <c r="DE6" i="1"/>
  <c r="DD7" i="1"/>
  <c r="DE7" i="1"/>
  <c r="DF7" i="1" s="1"/>
  <c r="DD8" i="1"/>
  <c r="DE8" i="1"/>
  <c r="DF8" i="1" s="1"/>
  <c r="DD9" i="1"/>
  <c r="DE9" i="1"/>
  <c r="DD10" i="1"/>
  <c r="DE10" i="1"/>
  <c r="DD11" i="1"/>
  <c r="DE11" i="1"/>
  <c r="DD12" i="1"/>
  <c r="DE12" i="1"/>
  <c r="DF12" i="1" s="1"/>
  <c r="DD13" i="1"/>
  <c r="DE13" i="1"/>
  <c r="DF13" i="1" s="1"/>
  <c r="DD14" i="1"/>
  <c r="DE14" i="1"/>
  <c r="DD15" i="1"/>
  <c r="DE15" i="1"/>
  <c r="DF15" i="1" s="1"/>
  <c r="DA6" i="1"/>
  <c r="DA7" i="1"/>
  <c r="DA8" i="1"/>
  <c r="DA9" i="1"/>
  <c r="DA10" i="1"/>
  <c r="DA11" i="1"/>
  <c r="DA12" i="1"/>
  <c r="DA13" i="1"/>
  <c r="DA14" i="1"/>
  <c r="DA15" i="1"/>
  <c r="DE5" i="1"/>
  <c r="DF5" i="1" s="1"/>
  <c r="DD5" i="1"/>
  <c r="DA5" i="1"/>
  <c r="EI9" i="1"/>
  <c r="EY4" i="1"/>
  <c r="FA5" i="1"/>
  <c r="EZ5" i="1"/>
  <c r="EX5" i="1"/>
  <c r="EW5" i="1"/>
  <c r="Y29" i="7" l="1"/>
  <c r="Z29" i="7" s="1"/>
  <c r="Y28" i="7"/>
  <c r="Z28" i="7" s="1"/>
  <c r="Y31" i="7"/>
  <c r="Z31" i="7" s="1"/>
  <c r="Y27" i="7"/>
  <c r="Z27" i="7" s="1"/>
  <c r="Y33" i="7"/>
  <c r="Z33" i="7" s="1"/>
  <c r="Y34" i="7"/>
  <c r="Z34" i="7" s="1"/>
  <c r="Y35" i="7"/>
  <c r="Z35" i="7" s="1"/>
  <c r="BY1223" i="7"/>
  <c r="BZ1223" i="7" s="1"/>
  <c r="BY265" i="7"/>
  <c r="BZ265" i="7" s="1"/>
  <c r="BY944" i="7"/>
  <c r="BZ944" i="7" s="1"/>
  <c r="BY274" i="7"/>
  <c r="BZ274" i="7" s="1"/>
  <c r="BY920" i="7"/>
  <c r="BZ920" i="7" s="1"/>
  <c r="BY699" i="7"/>
  <c r="BZ699" i="7" s="1"/>
  <c r="BY190" i="7"/>
  <c r="BZ190" i="7" s="1"/>
  <c r="BY1066" i="7"/>
  <c r="BZ1066" i="7" s="1"/>
  <c r="BY165" i="7"/>
  <c r="BZ165" i="7" s="1"/>
  <c r="BY171" i="7"/>
  <c r="BZ171" i="7" s="1"/>
  <c r="BY1297" i="7"/>
  <c r="BZ1297" i="7" s="1"/>
  <c r="BY820" i="7"/>
  <c r="BZ820" i="7" s="1"/>
  <c r="BY167" i="7"/>
  <c r="BZ167" i="7" s="1"/>
  <c r="BY644" i="7"/>
  <c r="BZ644" i="7" s="1"/>
  <c r="BY474" i="7"/>
  <c r="BZ474" i="7" s="1"/>
  <c r="BY1062" i="7"/>
  <c r="BZ1062" i="7" s="1"/>
  <c r="BY616" i="7"/>
  <c r="BZ616" i="7" s="1"/>
  <c r="BY347" i="7"/>
  <c r="BZ347" i="7" s="1"/>
  <c r="BY936" i="7"/>
  <c r="BZ936" i="7" s="1"/>
  <c r="BY584" i="7"/>
  <c r="BZ584" i="7" s="1"/>
  <c r="BY716" i="7"/>
  <c r="BZ716" i="7" s="1"/>
  <c r="BY1040" i="7"/>
  <c r="BZ1040" i="7" s="1"/>
  <c r="BY1065" i="7"/>
  <c r="BZ1065" i="7" s="1"/>
  <c r="BY416" i="7"/>
  <c r="BZ416" i="7" s="1"/>
  <c r="BY933" i="7"/>
  <c r="BZ933" i="7" s="1"/>
  <c r="BY1242" i="7"/>
  <c r="BZ1242" i="7" s="1"/>
  <c r="BY314" i="7"/>
  <c r="BZ314" i="7" s="1"/>
  <c r="BY1022" i="7"/>
  <c r="BZ1022" i="7" s="1"/>
  <c r="BY83" i="7"/>
  <c r="BZ83" i="7" s="1"/>
  <c r="BY927" i="7"/>
  <c r="BZ927" i="7" s="1"/>
  <c r="BY949" i="7"/>
  <c r="BZ949" i="7" s="1"/>
  <c r="BY1179" i="7"/>
  <c r="BZ1179" i="7" s="1"/>
  <c r="BY1286" i="7"/>
  <c r="BZ1286" i="7" s="1"/>
  <c r="BY537" i="7"/>
  <c r="BZ537" i="7" s="1"/>
  <c r="BY1047" i="7"/>
  <c r="BZ1047" i="7" s="1"/>
  <c r="BY402" i="7"/>
  <c r="BZ402" i="7" s="1"/>
  <c r="BY975" i="7"/>
  <c r="BZ975" i="7" s="1"/>
  <c r="BY696" i="7"/>
  <c r="BZ696" i="7" s="1"/>
  <c r="BY1280" i="7"/>
  <c r="BZ1280" i="7" s="1"/>
  <c r="BY653" i="7"/>
  <c r="BZ653" i="7" s="1"/>
  <c r="BY1056" i="7"/>
  <c r="BZ1056" i="7" s="1"/>
  <c r="BY538" i="7"/>
  <c r="BZ538" i="7" s="1"/>
  <c r="BY489" i="7"/>
  <c r="BZ489" i="7" s="1"/>
  <c r="BY646" i="7"/>
  <c r="BZ646" i="7" s="1"/>
  <c r="BY1269" i="7"/>
  <c r="BZ1269" i="7" s="1"/>
  <c r="BY1069" i="7"/>
  <c r="BZ1069" i="7" s="1"/>
  <c r="BY1294" i="7"/>
  <c r="BZ1294" i="7" s="1"/>
  <c r="BY1281" i="7"/>
  <c r="BZ1281" i="7" s="1"/>
  <c r="BY1041" i="7"/>
  <c r="BZ1041" i="7" s="1"/>
  <c r="BY467" i="7"/>
  <c r="BZ467" i="7" s="1"/>
  <c r="BY713" i="7"/>
  <c r="BZ713" i="7" s="1"/>
  <c r="BY408" i="7"/>
  <c r="BZ408" i="7" s="1"/>
  <c r="BY971" i="7"/>
  <c r="BZ971" i="7" s="1"/>
  <c r="BY1267" i="7"/>
  <c r="BZ1267" i="7" s="1"/>
  <c r="BY409" i="7"/>
  <c r="BZ409" i="7" s="1"/>
  <c r="BY486" i="7"/>
  <c r="BZ486" i="7" s="1"/>
  <c r="BY821" i="7"/>
  <c r="BZ821" i="7" s="1"/>
  <c r="BY1025" i="7"/>
  <c r="BZ1025" i="7" s="1"/>
  <c r="BY326" i="7"/>
  <c r="BZ326" i="7" s="1"/>
  <c r="BY577" i="7"/>
  <c r="BZ577" i="7" s="1"/>
  <c r="BY852" i="7"/>
  <c r="BZ852" i="7" s="1"/>
  <c r="BY802" i="7"/>
  <c r="BZ802" i="7" s="1"/>
  <c r="BY1277" i="7"/>
  <c r="BZ1277" i="7" s="1"/>
  <c r="BY955" i="7"/>
  <c r="BZ955" i="7" s="1"/>
  <c r="BY407" i="7"/>
  <c r="BZ407" i="7" s="1"/>
  <c r="BY548" i="7"/>
  <c r="BZ548" i="7" s="1"/>
  <c r="BY717" i="7"/>
  <c r="BZ717" i="7" s="1"/>
  <c r="BY711" i="7"/>
  <c r="BZ711" i="7" s="1"/>
  <c r="BY1168" i="7"/>
  <c r="BZ1168" i="7" s="1"/>
  <c r="BY919" i="7"/>
  <c r="BZ919" i="7" s="1"/>
  <c r="BY960" i="7"/>
  <c r="BZ960" i="7" s="1"/>
  <c r="BY496" i="7"/>
  <c r="BZ496" i="7" s="1"/>
  <c r="BY465" i="7"/>
  <c r="BZ465" i="7" s="1"/>
  <c r="BY423" i="7"/>
  <c r="BZ423" i="7" s="1"/>
  <c r="BY1160" i="7"/>
  <c r="BZ1160" i="7" s="1"/>
  <c r="BY970" i="7"/>
  <c r="BZ970" i="7" s="1"/>
  <c r="BY329" i="7"/>
  <c r="BZ329" i="7" s="1"/>
  <c r="BY302" i="7"/>
  <c r="BZ302" i="7" s="1"/>
  <c r="BY806" i="7"/>
  <c r="BZ806" i="7" s="1"/>
  <c r="BY1048" i="7"/>
  <c r="BZ1048" i="7" s="1"/>
  <c r="BY321" i="7"/>
  <c r="BZ321" i="7" s="1"/>
  <c r="BY621" i="7"/>
  <c r="BZ621" i="7" s="1"/>
  <c r="BY1166" i="7"/>
  <c r="BZ1166" i="7" s="1"/>
  <c r="BY122" i="7"/>
  <c r="BZ122" i="7" s="1"/>
  <c r="BY1187" i="7"/>
  <c r="BZ1187" i="7" s="1"/>
  <c r="BY1135" i="7"/>
  <c r="BZ1135" i="7" s="1"/>
  <c r="BY817" i="7"/>
  <c r="BZ817" i="7" s="1"/>
  <c r="BY477" i="7"/>
  <c r="BZ477" i="7" s="1"/>
  <c r="BY1306" i="7"/>
  <c r="BZ1306" i="7" s="1"/>
  <c r="BY1171" i="7"/>
  <c r="BZ1171" i="7" s="1"/>
  <c r="BY406" i="7"/>
  <c r="BZ406" i="7" s="1"/>
  <c r="BY635" i="7"/>
  <c r="BZ635" i="7" s="1"/>
  <c r="BY726" i="7"/>
  <c r="BZ726" i="7" s="1"/>
  <c r="BY191" i="7"/>
  <c r="BZ191" i="7" s="1"/>
  <c r="BY395" i="7"/>
  <c r="BZ395" i="7" s="1"/>
  <c r="BY460" i="7"/>
  <c r="BZ460" i="7" s="1"/>
  <c r="BY494" i="7"/>
  <c r="BZ494" i="7" s="1"/>
  <c r="BY1266" i="7"/>
  <c r="BZ1266" i="7" s="1"/>
  <c r="BY655" i="7"/>
  <c r="BZ655" i="7" s="1"/>
  <c r="BY304" i="7"/>
  <c r="BZ304" i="7" s="1"/>
  <c r="BY918" i="7"/>
  <c r="BZ918" i="7" s="1"/>
  <c r="BY1253" i="7"/>
  <c r="BZ1253" i="7" s="1"/>
  <c r="BY1158" i="7"/>
  <c r="BZ1158" i="7" s="1"/>
  <c r="BY268" i="7"/>
  <c r="BZ268" i="7" s="1"/>
  <c r="BY706" i="7"/>
  <c r="BZ706" i="7" s="1"/>
  <c r="BY1301" i="7"/>
  <c r="BZ1301" i="7" s="1"/>
  <c r="BY1068" i="7"/>
  <c r="BZ1068" i="7" s="1"/>
  <c r="BY1246" i="7"/>
  <c r="BZ1246" i="7" s="1"/>
  <c r="BY390" i="7"/>
  <c r="BZ390" i="7" s="1"/>
  <c r="BY1288" i="7"/>
  <c r="BZ1288" i="7" s="1"/>
  <c r="BY704" i="7"/>
  <c r="BZ704" i="7" s="1"/>
  <c r="BY1270" i="7"/>
  <c r="BZ1270" i="7" s="1"/>
  <c r="BY261" i="7"/>
  <c r="BZ261" i="7" s="1"/>
  <c r="BY334" i="7"/>
  <c r="BZ334" i="7" s="1"/>
  <c r="BY567" i="7"/>
  <c r="BZ567" i="7" s="1"/>
  <c r="BY343" i="7"/>
  <c r="BZ343" i="7" s="1"/>
  <c r="BY1012" i="7"/>
  <c r="BZ1012" i="7" s="1"/>
  <c r="BY256" i="7"/>
  <c r="BZ256" i="7" s="1"/>
  <c r="BY1310" i="7"/>
  <c r="BZ1310" i="7" s="1"/>
  <c r="BY1031" i="7"/>
  <c r="BZ1031" i="7" s="1"/>
  <c r="BY311" i="7"/>
  <c r="BZ311" i="7" s="1"/>
  <c r="BY649" i="7"/>
  <c r="BZ649" i="7" s="1"/>
  <c r="BY656" i="7"/>
  <c r="BZ656" i="7" s="1"/>
  <c r="BY1265" i="7"/>
  <c r="BZ1265" i="7" s="1"/>
  <c r="BY947" i="7"/>
  <c r="BZ947" i="7" s="1"/>
  <c r="BY271" i="7"/>
  <c r="BZ271" i="7" s="1"/>
  <c r="BY976" i="7"/>
  <c r="BZ976" i="7" s="1"/>
  <c r="BY475" i="7"/>
  <c r="BZ475" i="7" s="1"/>
  <c r="BY1157" i="7"/>
  <c r="BZ1157" i="7" s="1"/>
  <c r="BY631" i="7"/>
  <c r="BZ631" i="7" s="1"/>
  <c r="BY86" i="7"/>
  <c r="BZ86" i="7" s="1"/>
  <c r="BY1238" i="7"/>
  <c r="BZ1238" i="7" s="1"/>
  <c r="BY262" i="7"/>
  <c r="BZ262" i="7" s="1"/>
  <c r="BY462" i="7"/>
  <c r="BZ462" i="7" s="1"/>
  <c r="BY338" i="7"/>
  <c r="BZ338" i="7" s="1"/>
  <c r="BY469" i="7"/>
  <c r="BZ469" i="7" s="1"/>
  <c r="BY415" i="7"/>
  <c r="BZ415" i="7" s="1"/>
  <c r="BY958" i="7"/>
  <c r="BZ958" i="7" s="1"/>
  <c r="BY281" i="7"/>
  <c r="BZ281" i="7" s="1"/>
  <c r="BY1032" i="7"/>
  <c r="BZ1032" i="7" s="1"/>
  <c r="BY841" i="7"/>
  <c r="BZ841" i="7" s="1"/>
  <c r="BY1189" i="7"/>
  <c r="BZ1189" i="7" s="1"/>
  <c r="BY554" i="7"/>
  <c r="BZ554" i="7" s="1"/>
  <c r="BY969" i="7"/>
  <c r="BZ969" i="7" s="1"/>
  <c r="BY1026" i="7"/>
  <c r="BZ1026" i="7" s="1"/>
  <c r="BY470" i="7"/>
  <c r="BZ470" i="7" s="1"/>
  <c r="BY627" i="7"/>
  <c r="BZ627" i="7" s="1"/>
  <c r="BY411" i="7"/>
  <c r="BZ411" i="7" s="1"/>
  <c r="BY1186" i="7"/>
  <c r="BZ1186" i="7" s="1"/>
  <c r="BY1302" i="7"/>
  <c r="BZ1302" i="7" s="1"/>
  <c r="BY539" i="7"/>
  <c r="BZ539" i="7" s="1"/>
  <c r="BY1254" i="7"/>
  <c r="BZ1254" i="7" s="1"/>
  <c r="BY497" i="7"/>
  <c r="BZ497" i="7" s="1"/>
  <c r="BY803" i="7"/>
  <c r="BZ803" i="7" s="1"/>
  <c r="BY1298" i="7"/>
  <c r="BZ1298" i="7" s="1"/>
  <c r="BY1311" i="7"/>
  <c r="BZ1311" i="7" s="1"/>
  <c r="BY1169" i="7"/>
  <c r="BZ1169" i="7" s="1"/>
  <c r="BY619" i="7"/>
  <c r="BZ619" i="7" s="1"/>
  <c r="BY1163" i="7"/>
  <c r="BZ1163" i="7" s="1"/>
  <c r="BY422" i="7"/>
  <c r="BZ422" i="7" s="1"/>
  <c r="BY337" i="7"/>
  <c r="BZ337" i="7" s="1"/>
  <c r="BY967" i="7"/>
  <c r="BZ967" i="7" s="1"/>
  <c r="BY923" i="7"/>
  <c r="BZ923" i="7" s="1"/>
  <c r="BY917" i="7"/>
  <c r="BZ917" i="7" s="1"/>
  <c r="BY928" i="7"/>
  <c r="BZ928" i="7" s="1"/>
  <c r="BY546" i="7"/>
  <c r="BZ546" i="7" s="1"/>
  <c r="BY700" i="7"/>
  <c r="BZ700" i="7" s="1"/>
  <c r="BY410" i="7"/>
  <c r="BZ410" i="7" s="1"/>
  <c r="BY914" i="7"/>
  <c r="BZ914" i="7" s="1"/>
  <c r="BY659" i="7"/>
  <c r="BZ659" i="7" s="1"/>
  <c r="BY851" i="7"/>
  <c r="BZ851" i="7" s="1"/>
  <c r="BY562" i="7"/>
  <c r="BZ562" i="7" s="1"/>
  <c r="BY1228" i="7"/>
  <c r="BZ1228" i="7" s="1"/>
  <c r="BY1162" i="7"/>
  <c r="BZ1162" i="7" s="1"/>
  <c r="BY557" i="7"/>
  <c r="BZ557" i="7" s="1"/>
  <c r="BY1049" i="7"/>
  <c r="BZ1049" i="7" s="1"/>
  <c r="BY1224" i="7"/>
  <c r="BZ1224" i="7" s="1"/>
  <c r="BY1177" i="7"/>
  <c r="BZ1177" i="7" s="1"/>
  <c r="BY80" i="7"/>
  <c r="BZ80" i="7" s="1"/>
  <c r="BY493" i="7"/>
  <c r="BZ493" i="7" s="1"/>
  <c r="BY1035" i="7"/>
  <c r="BZ1035" i="7" s="1"/>
  <c r="BY1255" i="7"/>
  <c r="BZ1255" i="7" s="1"/>
  <c r="BY707" i="7"/>
  <c r="BZ707" i="7" s="1"/>
  <c r="BY1308" i="7"/>
  <c r="BZ1308" i="7" s="1"/>
  <c r="BY185" i="7"/>
  <c r="BZ185" i="7" s="1"/>
  <c r="BY275" i="7"/>
  <c r="BZ275" i="7" s="1"/>
  <c r="BY808" i="7"/>
  <c r="BZ808" i="7" s="1"/>
  <c r="BY1139" i="7"/>
  <c r="BZ1139" i="7" s="1"/>
  <c r="BY972" i="7"/>
  <c r="BZ972" i="7" s="1"/>
  <c r="BY472" i="7"/>
  <c r="BZ472" i="7" s="1"/>
  <c r="BY736" i="7"/>
  <c r="BZ736" i="7" s="1"/>
  <c r="BY815" i="7"/>
  <c r="BZ815" i="7" s="1"/>
  <c r="BY424" i="7"/>
  <c r="BZ424" i="7" s="1"/>
  <c r="BY578" i="7"/>
  <c r="BZ578" i="7" s="1"/>
  <c r="BY1055" i="7"/>
  <c r="BZ1055" i="7" s="1"/>
  <c r="BY1058" i="7"/>
  <c r="BZ1058" i="7" s="1"/>
  <c r="BY124" i="7"/>
  <c r="BZ124" i="7" s="1"/>
  <c r="BY1274" i="7"/>
  <c r="BZ1274" i="7" s="1"/>
  <c r="BY849" i="7"/>
  <c r="BZ849" i="7" s="1"/>
  <c r="BY794" i="7"/>
  <c r="BZ794" i="7" s="1"/>
  <c r="BY547" i="7"/>
  <c r="BZ547" i="7" s="1"/>
  <c r="BY721" i="7"/>
  <c r="BZ721" i="7" s="1"/>
  <c r="BY1234" i="7"/>
  <c r="BZ1234" i="7" s="1"/>
  <c r="BY384" i="7"/>
  <c r="BZ384" i="7" s="1"/>
  <c r="BY945" i="7"/>
  <c r="BZ945" i="7" s="1"/>
  <c r="BY79" i="7"/>
  <c r="BZ79" i="7" s="1"/>
  <c r="BY946" i="7"/>
  <c r="BZ946" i="7" s="1"/>
  <c r="BY1264" i="7"/>
  <c r="BZ1264" i="7" s="1"/>
  <c r="BY419" i="7"/>
  <c r="BZ419" i="7" s="1"/>
  <c r="BY1024" i="7"/>
  <c r="BZ1024" i="7" s="1"/>
  <c r="BY1273" i="7"/>
  <c r="BZ1273" i="7" s="1"/>
  <c r="BY169" i="7"/>
  <c r="BZ169" i="7" s="1"/>
  <c r="BY566" i="7"/>
  <c r="BZ566" i="7" s="1"/>
  <c r="BY550" i="7"/>
  <c r="BZ550" i="7" s="1"/>
  <c r="BY733" i="7"/>
  <c r="BZ733" i="7" s="1"/>
  <c r="BY336" i="7"/>
  <c r="BZ336" i="7" s="1"/>
  <c r="BY1014" i="7"/>
  <c r="BZ1014" i="7" s="1"/>
  <c r="BY391" i="7"/>
  <c r="BZ391" i="7" s="1"/>
  <c r="BY845" i="7"/>
  <c r="BZ845" i="7" s="1"/>
  <c r="BY1180" i="7"/>
  <c r="BZ1180" i="7" s="1"/>
  <c r="BY926" i="7"/>
  <c r="BZ926" i="7" s="1"/>
  <c r="BY323" i="7"/>
  <c r="BZ323" i="7" s="1"/>
  <c r="BY541" i="7"/>
  <c r="BZ541" i="7" s="1"/>
  <c r="BY303" i="7"/>
  <c r="BZ303" i="7" s="1"/>
  <c r="BY1256" i="7"/>
  <c r="BZ1256" i="7" s="1"/>
  <c r="BY312" i="7"/>
  <c r="BZ312" i="7" s="1"/>
  <c r="BY1017" i="7"/>
  <c r="BZ1017" i="7" s="1"/>
  <c r="BY414" i="7"/>
  <c r="BZ414" i="7" s="1"/>
  <c r="BY327" i="7"/>
  <c r="BZ327" i="7" s="1"/>
  <c r="BY791" i="7"/>
  <c r="BZ791" i="7" s="1"/>
  <c r="BY182" i="7"/>
  <c r="BZ182" i="7" s="1"/>
  <c r="BY915" i="7"/>
  <c r="BZ915" i="7" s="1"/>
  <c r="BY181" i="7"/>
  <c r="BZ181" i="7" s="1"/>
  <c r="BY1059" i="7"/>
  <c r="BZ1059" i="7" s="1"/>
  <c r="BY258" i="7"/>
  <c r="BZ258" i="7" s="1"/>
  <c r="BY495" i="7"/>
  <c r="BZ495" i="7" s="1"/>
  <c r="BY491" i="7"/>
  <c r="BZ491" i="7" s="1"/>
  <c r="BY1021" i="7"/>
  <c r="BZ1021" i="7" s="1"/>
  <c r="BY400" i="7"/>
  <c r="BZ400" i="7" s="1"/>
  <c r="BY642" i="7"/>
  <c r="BZ642" i="7" s="1"/>
  <c r="BY177" i="7"/>
  <c r="BZ177" i="7" s="1"/>
  <c r="BY1276" i="7"/>
  <c r="BZ1276" i="7" s="1"/>
  <c r="BY661" i="7"/>
  <c r="BZ661" i="7" s="1"/>
  <c r="BY937" i="7"/>
  <c r="BZ937" i="7" s="1"/>
  <c r="BY331" i="7"/>
  <c r="BZ331" i="7" s="1"/>
  <c r="BY84" i="7"/>
  <c r="BZ84" i="7" s="1"/>
  <c r="BY1236" i="7"/>
  <c r="BZ1236" i="7" s="1"/>
  <c r="BY468" i="7"/>
  <c r="BZ468" i="7" s="1"/>
  <c r="BY710" i="7"/>
  <c r="BZ710" i="7" s="1"/>
  <c r="BY316" i="7"/>
  <c r="BZ316" i="7" s="1"/>
  <c r="BY418" i="7"/>
  <c r="BZ418" i="7" s="1"/>
  <c r="BY569" i="7"/>
  <c r="BZ569" i="7" s="1"/>
  <c r="BY479" i="7"/>
  <c r="BZ479" i="7" s="1"/>
  <c r="BY500" i="7"/>
  <c r="BZ500" i="7" s="1"/>
  <c r="BY188" i="7"/>
  <c r="BZ188" i="7" s="1"/>
  <c r="BY476" i="7"/>
  <c r="BZ476" i="7" s="1"/>
  <c r="BY1173" i="7"/>
  <c r="BZ1173" i="7" s="1"/>
  <c r="BY1285" i="7"/>
  <c r="BZ1285" i="7" s="1"/>
  <c r="BY1232" i="7"/>
  <c r="BZ1232" i="7" s="1"/>
  <c r="BY342" i="7"/>
  <c r="BZ342" i="7" s="1"/>
  <c r="BY77" i="7"/>
  <c r="BZ77" i="7" s="1"/>
  <c r="BY555" i="7"/>
  <c r="BZ555" i="7" s="1"/>
  <c r="BY800" i="7"/>
  <c r="BZ800" i="7" s="1"/>
  <c r="BY1257" i="7"/>
  <c r="BZ1257" i="7" s="1"/>
  <c r="BY464" i="7"/>
  <c r="BZ464" i="7" s="1"/>
  <c r="BY1283" i="7"/>
  <c r="BZ1283" i="7" s="1"/>
  <c r="BY180" i="7"/>
  <c r="BZ180" i="7" s="1"/>
  <c r="BY76" i="7"/>
  <c r="BZ76" i="7" s="1"/>
  <c r="BY639" i="7"/>
  <c r="BZ639" i="7" s="1"/>
  <c r="BY309" i="7"/>
  <c r="BZ309" i="7" s="1"/>
  <c r="BY1233" i="7"/>
  <c r="BZ1233" i="7" s="1"/>
  <c r="BY734" i="7"/>
  <c r="BZ734" i="7" s="1"/>
  <c r="BY466" i="7"/>
  <c r="BZ466" i="7" s="1"/>
  <c r="BY778" i="7"/>
  <c r="BZ778" i="7" s="1"/>
  <c r="BY1023" i="7"/>
  <c r="BZ1023" i="7" s="1"/>
  <c r="BY481" i="7"/>
  <c r="BZ481" i="7" s="1"/>
  <c r="BY332" i="7"/>
  <c r="BZ332" i="7" s="1"/>
  <c r="BY267" i="7"/>
  <c r="BZ267" i="7" s="1"/>
  <c r="BY951" i="7"/>
  <c r="BZ951" i="7" s="1"/>
  <c r="BY315" i="7"/>
  <c r="BZ315" i="7" s="1"/>
  <c r="BY1299" i="7"/>
  <c r="BZ1299" i="7" s="1"/>
  <c r="BY774" i="7"/>
  <c r="BZ774" i="7" s="1"/>
  <c r="BY839" i="7"/>
  <c r="BZ839" i="7" s="1"/>
  <c r="BY1284" i="7"/>
  <c r="BZ1284" i="7" s="1"/>
  <c r="BY1159" i="7"/>
  <c r="BZ1159" i="7" s="1"/>
  <c r="BY404" i="7"/>
  <c r="BZ404" i="7" s="1"/>
  <c r="BY499" i="7"/>
  <c r="BZ499" i="7" s="1"/>
  <c r="BY729" i="7"/>
  <c r="BZ729" i="7" s="1"/>
  <c r="BY629" i="7"/>
  <c r="BZ629" i="7" s="1"/>
  <c r="BY1154" i="7"/>
  <c r="BZ1154" i="7" s="1"/>
  <c r="BY173" i="7"/>
  <c r="BZ173" i="7" s="1"/>
  <c r="BY1045" i="7"/>
  <c r="BZ1045" i="7" s="1"/>
  <c r="BY549" i="7"/>
  <c r="BZ549" i="7" s="1"/>
  <c r="BY925" i="7"/>
  <c r="BZ925" i="7" s="1"/>
  <c r="BY1307" i="7"/>
  <c r="BZ1307" i="7" s="1"/>
  <c r="BY790" i="7"/>
  <c r="BZ790" i="7" s="1"/>
  <c r="BY560" i="7"/>
  <c r="BZ560" i="7" s="1"/>
  <c r="BY652" i="7"/>
  <c r="BZ652" i="7" s="1"/>
  <c r="BY1034" i="7"/>
  <c r="BZ1034" i="7" s="1"/>
  <c r="BY714" i="7"/>
  <c r="BZ714" i="7" s="1"/>
  <c r="BY581" i="7"/>
  <c r="BZ581" i="7" s="1"/>
  <c r="BY90" i="7"/>
  <c r="BZ90" i="7" s="1"/>
  <c r="BY814" i="7"/>
  <c r="BZ814" i="7" s="1"/>
  <c r="BY1260" i="7"/>
  <c r="BZ1260" i="7" s="1"/>
  <c r="BY492" i="7"/>
  <c r="BZ492" i="7" s="1"/>
  <c r="BY1225" i="7"/>
  <c r="BZ1225" i="7" s="1"/>
  <c r="BY1282" i="7"/>
  <c r="BZ1282" i="7" s="1"/>
  <c r="BY279" i="7"/>
  <c r="BZ279" i="7" s="1"/>
  <c r="BY1300" i="7"/>
  <c r="BZ1300" i="7" s="1"/>
  <c r="BY576" i="7"/>
  <c r="BZ576" i="7" s="1"/>
  <c r="BY785" i="7"/>
  <c r="BZ785" i="7" s="1"/>
  <c r="BY502" i="7"/>
  <c r="BZ502" i="7" s="1"/>
  <c r="BY950" i="7"/>
  <c r="BZ950" i="7" s="1"/>
  <c r="BY630" i="7"/>
  <c r="BZ630" i="7" s="1"/>
  <c r="BY929" i="7"/>
  <c r="BZ929" i="7" s="1"/>
  <c r="BY1237" i="7"/>
  <c r="BZ1237" i="7" s="1"/>
  <c r="BY387" i="7"/>
  <c r="BZ387" i="7" s="1"/>
  <c r="BY461" i="7"/>
  <c r="BZ461" i="7" s="1"/>
  <c r="BY317" i="7"/>
  <c r="BZ317" i="7" s="1"/>
  <c r="BY709" i="7"/>
  <c r="BZ709" i="7" s="1"/>
  <c r="BY712" i="7"/>
  <c r="BZ712" i="7" s="1"/>
  <c r="BY1067" i="7"/>
  <c r="BZ1067" i="7" s="1"/>
  <c r="BY1052" i="7"/>
  <c r="BZ1052" i="7" s="1"/>
  <c r="BY801" i="7"/>
  <c r="BZ801" i="7" s="1"/>
  <c r="BY403" i="7"/>
  <c r="BZ403" i="7" s="1"/>
  <c r="BY964" i="7"/>
  <c r="BZ964" i="7" s="1"/>
  <c r="BY1230" i="7"/>
  <c r="BZ1230" i="7" s="1"/>
  <c r="BY397" i="7"/>
  <c r="BZ397" i="7" s="1"/>
  <c r="BY273" i="7"/>
  <c r="BZ273" i="7" s="1"/>
  <c r="BU12" i="7"/>
  <c r="DF14" i="1"/>
  <c r="DF6" i="1"/>
  <c r="DF11" i="1"/>
  <c r="DF10" i="1"/>
  <c r="DF9" i="1"/>
  <c r="CI15" i="1"/>
  <c r="CI16" i="1"/>
  <c r="CI17" i="1"/>
  <c r="CI18" i="1"/>
  <c r="CI19" i="1"/>
  <c r="CI5" i="1"/>
  <c r="CI6" i="1"/>
  <c r="CI7" i="1"/>
  <c r="CI8" i="1"/>
  <c r="CI9" i="1"/>
  <c r="CI4" i="1"/>
  <c r="CG16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H17" i="1" s="1"/>
  <c r="CF18" i="1"/>
  <c r="CH18" i="1" s="1"/>
  <c r="CF19" i="1"/>
  <c r="CG19" i="1" s="1"/>
  <c r="CF4" i="1"/>
  <c r="CG4" i="1" s="1"/>
  <c r="BX141" i="7" a="1"/>
  <c r="BX523" i="7" a="1"/>
  <c r="BX684" i="7" a="1"/>
  <c r="BX66" i="7" a="1"/>
  <c r="BX1249" i="7" a="1"/>
  <c r="BX192" i="7" a="1"/>
  <c r="BX1093" i="7" a="1"/>
  <c r="BX64" i="7" a="1"/>
  <c r="BX588" i="7" a="1"/>
  <c r="BX860" i="7" a="1"/>
  <c r="BX526" i="7" a="1"/>
  <c r="BX1197" i="7" a="1"/>
  <c r="BX348" i="7" a="1"/>
  <c r="BX517" i="7" a="1"/>
  <c r="BX30" i="7" a="1"/>
  <c r="BX862" i="7" a="1"/>
  <c r="BX63" i="7" a="1"/>
  <c r="BX690" i="7" a="1"/>
  <c r="BX1002" i="7" a="1"/>
  <c r="BX112" i="7" a="1"/>
  <c r="BX205" i="7" a="1"/>
  <c r="BX866" i="7" a="1"/>
  <c r="BX294" i="7" a="1"/>
  <c r="BX68" i="7" a="1"/>
  <c r="BX985" i="7" a="1"/>
  <c r="X32" i="7" a="1"/>
  <c r="BX69" i="7" a="1"/>
  <c r="BX244" i="7" a="1"/>
  <c r="BX1117" i="7" a="1"/>
  <c r="BX442" i="7" a="1"/>
  <c r="BX222" i="7" a="1"/>
  <c r="BX602" i="7" a="1"/>
  <c r="BX236" i="7" a="1"/>
  <c r="BX35" i="7" a="1"/>
  <c r="BX220" i="7" a="1"/>
  <c r="BX1120" i="7" a="1"/>
  <c r="BX677" i="7" a="1"/>
  <c r="BX24" i="7" a="1"/>
  <c r="BX455" i="7" a="1"/>
  <c r="BX1118" i="7" a="1"/>
  <c r="BX23" i="7" a="1"/>
  <c r="BX446" i="7" a="1"/>
  <c r="BX822" i="7" a="1"/>
  <c r="BX99" i="7" a="1"/>
  <c r="BX756" i="7" a="1"/>
  <c r="BX755" i="7" a="1"/>
  <c r="BX1111" i="7" a="1"/>
  <c r="BX73" i="7" a="1"/>
  <c r="BX768" i="7" a="1"/>
  <c r="BX885" i="7" a="1"/>
  <c r="BX894" i="7" a="1"/>
  <c r="BX193" i="7" a="1"/>
  <c r="BX829" i="7" a="1"/>
  <c r="BX1210" i="7" a="1"/>
  <c r="BX55" i="7" a="1"/>
  <c r="BX1104" i="7" a="1"/>
  <c r="BX104" i="7" a="1"/>
  <c r="BX163" i="7" a="1"/>
  <c r="BX1080" i="7" a="1"/>
  <c r="BX129" i="7" a="1"/>
  <c r="BX911" i="7" a="1"/>
  <c r="BX1101" i="7" a="1"/>
  <c r="BX224" i="7" a="1"/>
  <c r="BX515" i="7" a="1"/>
  <c r="BX890" i="7" a="1"/>
  <c r="BX102" i="7" a="1"/>
  <c r="BX70" i="7" a="1"/>
  <c r="BX203" i="7" a="1"/>
  <c r="BX1078" i="7" a="1"/>
  <c r="BX445" i="7" a="1"/>
  <c r="BX375" i="7" a="1"/>
  <c r="BX449" i="7" a="1"/>
  <c r="BX350" i="7" a="1"/>
  <c r="BX143" i="7" a="1"/>
  <c r="BX1113" i="7" a="1"/>
  <c r="BX293" i="7" a="1"/>
  <c r="BX892" i="7" a="1"/>
  <c r="BX33" i="7" a="1"/>
  <c r="BX1185" i="7" a="1"/>
  <c r="BX751" i="7" a="1"/>
  <c r="BX282" i="7" a="1"/>
  <c r="BX1127" i="7" a="1"/>
  <c r="BX520" i="7" a="1"/>
  <c r="BX48" i="7" a="1"/>
  <c r="BX511" i="7" a="1"/>
  <c r="BX764" i="7" a="1"/>
  <c r="BX250" i="7" a="1"/>
  <c r="BX360" i="7" a="1"/>
  <c r="BX595" i="7" a="1"/>
  <c r="BX1108" i="7" a="1"/>
  <c r="BX74" i="7" a="1"/>
  <c r="BX1305" i="7" a="1"/>
  <c r="BX753" i="7" a="1"/>
  <c r="BX991" i="7" a="1"/>
  <c r="BX430" i="7" a="1"/>
  <c r="BX195" i="7" a="1"/>
  <c r="BX1094" i="7" a="1"/>
  <c r="BX96" i="7" a="1"/>
  <c r="BX1145" i="7" a="1"/>
  <c r="BX113" i="7" a="1"/>
  <c r="BX900" i="7" a="1"/>
  <c r="BX160" i="7" a="1"/>
  <c r="BX130" i="7" a="1"/>
  <c r="BX1082" i="7" a="1"/>
  <c r="BX767" i="7" a="1"/>
  <c r="BX226" i="7" a="1"/>
  <c r="BX194" i="7" a="1"/>
  <c r="BX364" i="7" a="1"/>
  <c r="BX365" i="7" a="1"/>
  <c r="BX111" i="7" a="1"/>
  <c r="BX232" i="7" a="1"/>
  <c r="BX1128" i="7" a="1"/>
  <c r="BX1103" i="7" a="1"/>
  <c r="BX295" i="7" a="1"/>
  <c r="BX1144" i="7" a="1"/>
  <c r="BX367" i="7" a="1"/>
  <c r="BX668" i="7" a="1"/>
  <c r="BX1005" i="7" a="1"/>
  <c r="BX452" i="7" a="1"/>
  <c r="BX1146" i="7" a="1"/>
  <c r="BX34" i="7" a="1"/>
  <c r="BX133" i="7" a="1"/>
  <c r="BX233" i="7" a="1"/>
  <c r="BX200" i="7" a="1"/>
  <c r="BX218" i="7" a="1"/>
  <c r="BX1083" i="7" a="1"/>
  <c r="BX1003" i="7" a="1"/>
  <c r="BX1204" i="7" a="1"/>
  <c r="BX57" i="7" a="1"/>
  <c r="BX589" i="7" a="1"/>
  <c r="BX824" i="7" a="1"/>
  <c r="BX765" i="7" a="1"/>
  <c r="BX1192" i="7" a="1"/>
  <c r="BX832" i="7" a="1"/>
  <c r="BX42" i="7" a="1"/>
  <c r="BX20" i="7" a="1"/>
  <c r="BX769" i="7" a="1"/>
  <c r="BX827" i="7" a="1"/>
  <c r="BX908" i="7" a="1"/>
  <c r="BX370" i="7" a="1"/>
  <c r="BX683" i="7" a="1"/>
  <c r="BX902" i="7" a="1"/>
  <c r="BX105" i="7" a="1"/>
  <c r="BX249" i="7" a="1"/>
  <c r="BX114" i="7" a="1"/>
  <c r="BX993" i="7" a="1"/>
  <c r="BX759" i="7" a="1"/>
  <c r="BX52" i="7" a="1"/>
  <c r="BX889" i="7" a="1"/>
  <c r="BX1100" i="7" a="1"/>
  <c r="BX227" i="7" a="1"/>
  <c r="BX349" i="7" a="1"/>
  <c r="BX1208" i="7" a="1"/>
  <c r="BX289" i="7" a="1"/>
  <c r="BX144" i="7" a="1"/>
  <c r="BX291" i="7" a="1"/>
  <c r="BX1090" i="7" a="1"/>
  <c r="BX905" i="7" a="1"/>
  <c r="BX283" i="7" a="1"/>
  <c r="BX855" i="7" a="1"/>
  <c r="BX231" i="7" a="1"/>
  <c r="BX251" i="7" a="1"/>
  <c r="BX745" i="7" a="1"/>
  <c r="BX440" i="7" a="1"/>
  <c r="BX893" i="7" a="1"/>
  <c r="BX43" i="7" a="1"/>
  <c r="BX507" i="7" a="1"/>
  <c r="BX585" i="7" a="1"/>
  <c r="BX687" i="7" a="1"/>
  <c r="BX868" i="7" a="1"/>
  <c r="BX351" i="7" a="1"/>
  <c r="BX872" i="7" a="1"/>
  <c r="BX58" i="7" a="1"/>
  <c r="BX1217" i="7" a="1"/>
  <c r="BX142" i="7" a="1"/>
  <c r="BX528" i="7" a="1"/>
  <c r="BX996" i="7" a="1"/>
  <c r="BX1126" i="7" a="1"/>
  <c r="BX530" i="7" a="1"/>
  <c r="BX292" i="7" a="1"/>
  <c r="BX441" i="7" a="1"/>
  <c r="BX895" i="7" a="1"/>
  <c r="BX909" i="7" a="1"/>
  <c r="BX1151" i="7" a="1"/>
  <c r="BX196" i="7" a="1"/>
  <c r="BX450" i="7" a="1"/>
  <c r="BX106" i="7" a="1"/>
  <c r="BX990" i="7" a="1"/>
  <c r="BX44" i="7" a="1"/>
  <c r="BX877" i="7" a="1"/>
  <c r="BX999" i="7" a="1"/>
  <c r="BX437" i="7" a="1"/>
  <c r="BX770" i="7" a="1"/>
  <c r="BX594" i="7" a="1"/>
  <c r="BX199" i="7" a="1"/>
  <c r="BX238" i="7" a="1"/>
  <c r="BX1115" i="7" a="1"/>
  <c r="BX1183" i="7" a="1"/>
  <c r="BX153" i="7" a="1"/>
  <c r="BX1073" i="7" a="1"/>
  <c r="BX1130" i="7" a="1"/>
  <c r="BX1303" i="7" a="1"/>
  <c r="BX353" i="7" a="1"/>
  <c r="BX876" i="7" a="1"/>
  <c r="BX525" i="7" a="1"/>
  <c r="BX439" i="7" a="1"/>
  <c r="BX603" i="7" a="1"/>
  <c r="BX378" i="7" a="1"/>
  <c r="BX1213" i="7" a="1"/>
  <c r="BX164" i="7" a="1"/>
  <c r="BX1201" i="7" a="1"/>
  <c r="BX1097" i="7" a="1"/>
  <c r="BX207" i="7" a="1"/>
  <c r="BX245" i="7" a="1"/>
  <c r="BX510" i="7" a="1"/>
  <c r="BX67" i="7" a="1"/>
  <c r="BX743" i="7" a="1"/>
  <c r="BX512" i="7" a="1"/>
  <c r="BX605" i="7" a="1"/>
  <c r="BX854" i="7" a="1"/>
  <c r="BX906" i="7" a="1"/>
  <c r="BX457" i="7" a="1"/>
  <c r="BX773" i="7" a="1"/>
  <c r="BX1202" i="7" a="1"/>
  <c r="BX873" i="7" a="1"/>
  <c r="BX216" i="7" a="1"/>
  <c r="BX746" i="7" a="1"/>
  <c r="BX672" i="7" a="1"/>
  <c r="BX1125" i="7" a="1"/>
  <c r="BX36" i="7" a="1"/>
  <c r="BX1072" i="7" a="1"/>
  <c r="BX373" i="7" a="1"/>
  <c r="BX744" i="7" a="1"/>
  <c r="BX1001" i="7" a="1"/>
  <c r="BX869" i="7" a="1"/>
  <c r="BX1304" i="7" a="1"/>
  <c r="BX1114" i="7" a="1"/>
  <c r="BX228" i="7" a="1"/>
  <c r="BX240" i="7" a="1"/>
  <c r="BX772" i="7" a="1"/>
  <c r="BX253" i="7" a="1"/>
  <c r="BX154" i="7" a="1"/>
  <c r="BX863" i="7" a="1"/>
  <c r="BX1081" i="7" a="1"/>
  <c r="BX49" i="7" a="1"/>
  <c r="BX284" i="7" a="1"/>
  <c r="BX1086" i="7" a="1"/>
  <c r="BX1196" i="7" a="1"/>
  <c r="BX376" i="7" a="1"/>
  <c r="BX1194" i="7" a="1"/>
  <c r="BX443" i="7" a="1"/>
  <c r="BX1214" i="7" a="1"/>
  <c r="BX681" i="7" a="1"/>
  <c r="BX1195" i="7" a="1"/>
  <c r="BX221" i="7" a="1"/>
  <c r="BX225" i="7" a="1"/>
  <c r="BX17" i="7" a="1"/>
  <c r="BX670" i="7" a="1"/>
  <c r="BX107" i="7" a="1"/>
  <c r="BX896" i="7" a="1"/>
  <c r="BX436" i="7" a="1"/>
  <c r="BX592" i="7" a="1"/>
  <c r="BX1075" i="7" a="1"/>
  <c r="BX897" i="7" a="1"/>
  <c r="BX912" i="7" a="1"/>
  <c r="BX59" i="7" a="1"/>
  <c r="BX609" i="7" a="1"/>
  <c r="BX760" i="7" a="1"/>
  <c r="BX361" i="7" a="1"/>
  <c r="BX898" i="7" a="1"/>
  <c r="BX861" i="7" a="1"/>
  <c r="BX1250" i="7" a="1"/>
  <c r="BX604" i="7" a="1"/>
  <c r="BX237" i="7" a="1"/>
  <c r="BX1193" i="7" a="1"/>
  <c r="BX162" i="7" a="1"/>
  <c r="BX132" i="7" a="1"/>
  <c r="BX241" i="7" a="1"/>
  <c r="BX1121" i="7" a="1"/>
  <c r="BX1198" i="7" a="1"/>
  <c r="BX100" i="7" a="1"/>
  <c r="BX995" i="7" a="1"/>
  <c r="X26" i="7" a="1"/>
  <c r="BX522" i="7" a="1"/>
  <c r="BX355" i="7" a="1"/>
  <c r="BX833" i="7" a="1"/>
  <c r="BX1110" i="7" a="1"/>
  <c r="BX352" i="7" a="1"/>
  <c r="BX880" i="7" a="1"/>
  <c r="BX366" i="7" a="1"/>
  <c r="BX1215" i="7" a="1"/>
  <c r="BX358" i="7" a="1"/>
  <c r="BX516" i="7" a="1"/>
  <c r="BX535" i="7" a="1"/>
  <c r="BX161" i="7" a="1"/>
  <c r="BX757" i="7" a="1"/>
  <c r="BX1133" i="7" a="1"/>
  <c r="BX1211" i="7" a="1"/>
  <c r="BX518" i="7" a="1"/>
  <c r="BX1095" i="7" a="1"/>
  <c r="BX875" i="7" a="1"/>
  <c r="BX514" i="7" a="1"/>
  <c r="BX669" i="7" a="1"/>
  <c r="BX879" i="7" a="1"/>
  <c r="BX825" i="7" a="1"/>
  <c r="BX904" i="7" a="1"/>
  <c r="BX456" i="7" a="1"/>
  <c r="BX686" i="7" a="1"/>
  <c r="BX428" i="7" a="1"/>
  <c r="BX853" i="7" a="1"/>
  <c r="BX980" i="7" a="1"/>
  <c r="BX223" i="7" a="1"/>
  <c r="BX1124" i="7" a="1"/>
  <c r="BX903" i="7" a="1"/>
  <c r="BX210" i="7" a="1"/>
  <c r="BX1085" i="7" a="1"/>
  <c r="BX53" i="7" a="1"/>
  <c r="BX984" i="7" a="1"/>
  <c r="BX213" i="7" a="1"/>
  <c r="BX988" i="7" a="1"/>
  <c r="BX362" i="7" a="1"/>
  <c r="BX527" i="7" a="1"/>
  <c r="BX901" i="7" a="1"/>
  <c r="BX127" i="7" a="1"/>
  <c r="BX997" i="7" a="1"/>
  <c r="BX215" i="7" a="1"/>
  <c r="BX1092" i="7" a="1"/>
  <c r="BX41" i="7" a="1"/>
  <c r="BX429" i="7" a="1"/>
  <c r="BX115" i="7" a="1"/>
  <c r="BX444" i="7" a="1"/>
  <c r="BX126" i="7" a="1"/>
  <c r="BX771" i="7" a="1"/>
  <c r="BX867" i="7" a="1"/>
  <c r="BX1109" i="7" a="1"/>
  <c r="BX531" i="7" a="1"/>
  <c r="BX356" i="7" a="1"/>
  <c r="BX673" i="7" a="1"/>
  <c r="BX138" i="7" a="1"/>
  <c r="BX298" i="7" a="1"/>
  <c r="BX110" i="7" a="1"/>
  <c r="BX31" i="7" a="1"/>
  <c r="BX438" i="7" a="1"/>
  <c r="BX891" i="7" a="1"/>
  <c r="BX692" i="7" a="1"/>
  <c r="BX532" i="7" a="1"/>
  <c r="BX607" i="7" a="1"/>
  <c r="BX1000" i="7" a="1"/>
  <c r="BX691" i="7" a="1"/>
  <c r="BX150" i="7" a="1"/>
  <c r="BX239" i="7" a="1"/>
  <c r="BX910" i="7" a="1"/>
  <c r="BX1099" i="7" a="1"/>
  <c r="BX615" i="7" a="1"/>
  <c r="BX597" i="7" a="1"/>
  <c r="BX1107" i="7" a="1"/>
  <c r="BX209" i="7" a="1"/>
  <c r="BX12" i="7" a="1"/>
  <c r="BX148" i="7" a="1"/>
  <c r="BX1006" i="7" a="1"/>
  <c r="BX682" i="7" a="1"/>
  <c r="BX197" i="7" a="1"/>
  <c r="BX747" i="7" a="1"/>
  <c r="BX54" i="7" a="1"/>
  <c r="BX899" i="7" a="1"/>
  <c r="BX243" i="7" a="1"/>
  <c r="BX748" i="7" a="1"/>
  <c r="BX432" i="7" a="1"/>
  <c r="BX208" i="7" a="1"/>
  <c r="BX448" i="7" a="1"/>
  <c r="BX427" i="7" a="1"/>
  <c r="BX93" i="7" a="1"/>
  <c r="BX287" i="7" a="1"/>
  <c r="BX1147" i="7" a="1"/>
  <c r="BX454" i="7" a="1"/>
  <c r="BX354" i="7" a="1"/>
  <c r="BX1116" i="7" a="1"/>
  <c r="BX368" i="7" a="1"/>
  <c r="BX693" i="7" a="1"/>
  <c r="BX1203" i="7" a="1"/>
  <c r="BX359" i="7" a="1"/>
  <c r="BX763" i="7" a="1"/>
  <c r="BX601" i="7" a="1"/>
  <c r="BX103" i="7" a="1"/>
  <c r="BX598" i="7" a="1"/>
  <c r="BX593" i="7" a="1"/>
  <c r="BX830" i="7" a="1"/>
  <c r="BX50" i="7" a="1"/>
  <c r="BX610" i="7" a="1"/>
  <c r="BX1212" i="7" a="1"/>
  <c r="BX1200" i="7" a="1"/>
  <c r="BX15" i="7" a="1"/>
  <c r="BX608" i="7" a="1"/>
  <c r="BX1106" i="7" a="1"/>
  <c r="BX134" i="7" a="1"/>
  <c r="X30" i="7" a="1"/>
  <c r="BX21" i="7" a="1"/>
  <c r="BX688" i="7" a="1"/>
  <c r="BX883" i="7" a="1"/>
  <c r="BX694" i="7" a="1"/>
  <c r="BX1199" i="7" a="1"/>
  <c r="BX151" i="7" a="1"/>
  <c r="BX678" i="7" a="1"/>
  <c r="BX1150" i="7" a="1"/>
  <c r="BX212" i="7" a="1"/>
  <c r="BX766" i="7" a="1"/>
  <c r="BX95" i="7" a="1"/>
  <c r="BX982" i="7" a="1"/>
  <c r="BX157" i="7" a="1"/>
  <c r="BX887" i="7" a="1"/>
  <c r="BX1152" i="7" a="1"/>
  <c r="BX363" i="7" a="1"/>
  <c r="BX235" i="7" a="1"/>
  <c r="BX229" i="7" a="1"/>
  <c r="BX94" i="7" a="1"/>
  <c r="BX217" i="7" a="1"/>
  <c r="BX1088" i="7" a="1"/>
  <c r="BX1209" i="7" a="1"/>
  <c r="BX431" i="7" a="1"/>
  <c r="BX882" i="7" a="1"/>
  <c r="BX433" i="7" a="1"/>
  <c r="BX435" i="7" a="1"/>
  <c r="BX247" i="7" a="1"/>
  <c r="BX369" i="7" a="1"/>
  <c r="BX149" i="7" a="1"/>
  <c r="BX749" i="7" a="1"/>
  <c r="BX1131" i="7" a="1"/>
  <c r="BX666" i="7" a="1"/>
  <c r="BX1149" i="7" a="1"/>
  <c r="BX447" i="7" a="1"/>
  <c r="BX870" i="7" a="1"/>
  <c r="BX606" i="7" a="1"/>
  <c r="BX1251" i="7" a="1"/>
  <c r="BX434" i="7" a="1"/>
  <c r="BX533" i="7" a="1"/>
  <c r="BX1077" i="7" a="1"/>
  <c r="BX1089" i="7" a="1"/>
  <c r="BX508" i="7" a="1"/>
  <c r="BX596" i="7" a="1"/>
  <c r="BX679" i="7" a="1"/>
  <c r="BX612" i="7" a="1"/>
  <c r="BX18" i="7" a="1"/>
  <c r="BX22" i="7" a="1"/>
  <c r="BX599" i="7" a="1"/>
  <c r="BX871" i="7" a="1"/>
  <c r="BX211" i="7" a="1"/>
  <c r="BX1105" i="7" a="1"/>
  <c r="BX198" i="7" a="1"/>
  <c r="BX1184" i="7" a="1"/>
  <c r="BX529" i="7" a="1"/>
  <c r="BX131" i="7" a="1"/>
  <c r="BX881" i="7" a="1"/>
  <c r="BX128" i="7" a="1"/>
  <c r="BX61" i="7" a="1"/>
  <c r="BX230" i="7" a="1"/>
  <c r="BX1098" i="7" a="1"/>
  <c r="BX377" i="7" a="1"/>
  <c r="BX252" i="7" a="1"/>
  <c r="BX1134" i="7" a="1"/>
  <c r="BX372" i="7" a="1"/>
  <c r="BX119" i="7" a="1"/>
  <c r="BX246" i="7" a="1"/>
  <c r="BX1148" i="7" a="1"/>
  <c r="BX453" i="7" a="1"/>
  <c r="BX286" i="7" a="1"/>
  <c r="BX290" i="7" a="1"/>
  <c r="BX288" i="7" a="1"/>
  <c r="BX1245" i="7" a="1"/>
  <c r="BX614" i="7" a="1"/>
  <c r="BX371" i="7" a="1"/>
  <c r="BX506" i="7" a="1"/>
  <c r="BX1076" i="7" a="1"/>
  <c r="BX750" i="7" a="1"/>
  <c r="BX586" i="7" a="1"/>
  <c r="BX858" i="7" a="1"/>
  <c r="BX234" i="7" a="1"/>
  <c r="BX878" i="7" a="1"/>
  <c r="BX674" i="7" a="1"/>
  <c r="BX1244" i="7" a="1"/>
  <c r="BX664" i="7" a="1"/>
  <c r="BX297" i="7" a="1"/>
  <c r="BX47" i="7" a="1"/>
  <c r="BX600" i="7" a="1"/>
  <c r="BX1102" i="7" a="1"/>
  <c r="BX155" i="7" a="1"/>
  <c r="BX1087" i="7" a="1"/>
  <c r="BX685" i="7" a="1"/>
  <c r="BX856" i="7" a="1"/>
  <c r="BX513" i="7" a="1"/>
  <c r="BX214" i="7" a="1"/>
  <c r="BX613" i="7" a="1"/>
  <c r="BX137" i="7" a="1"/>
  <c r="BX62" i="7" a="1"/>
  <c r="BX159" i="7" a="1"/>
  <c r="BX1010" i="7" a="1"/>
  <c r="BX886" i="7" a="1"/>
  <c r="BX254" i="7" a="1"/>
  <c r="BX831" i="7" a="1"/>
  <c r="BX986" i="7" a="1"/>
  <c r="BX152" i="7" a="1"/>
  <c r="BX109" i="7" a="1"/>
  <c r="BX1205" i="7" a="1"/>
  <c r="BX374" i="7" a="1"/>
  <c r="BX296" i="7" a="1"/>
  <c r="BX519" i="7" a="1"/>
  <c r="BX888" i="7" a="1"/>
  <c r="BX72" i="7" a="1"/>
  <c r="BX40" i="7" a="1"/>
  <c r="BX762" i="7" a="1"/>
  <c r="BX521" i="7" a="1"/>
  <c r="BX1008" i="7" a="1"/>
  <c r="BX56" i="7" a="1"/>
  <c r="BX524" i="7" a="1"/>
  <c r="BX823" i="7" a="1"/>
  <c r="BX27" i="7" a="1"/>
  <c r="BX14" i="7" a="1"/>
  <c r="BX587" i="7" a="1"/>
  <c r="BX859" i="7" a="1"/>
  <c r="BX1218" i="7" a="1"/>
  <c r="BX671" i="7" a="1"/>
  <c r="BX98" i="7" a="1"/>
  <c r="BX665" i="7" a="1"/>
  <c r="BX998" i="7" a="1"/>
  <c r="BX611" i="7" a="1"/>
  <c r="BX37" i="7" a="1"/>
  <c r="BX158" i="7" a="1"/>
  <c r="BX989" i="7" a="1"/>
  <c r="BX46" i="7" a="1"/>
  <c r="BX689" i="7" a="1"/>
  <c r="BX981" i="7" a="1"/>
  <c r="BX451" i="7" a="1"/>
  <c r="BX145" i="7" a="1"/>
  <c r="BX1004" i="7" a="1"/>
  <c r="BX1119" i="7" a="1"/>
  <c r="BX758" i="7" a="1"/>
  <c r="BX285" i="7" a="1"/>
  <c r="BX761" i="7" a="1"/>
  <c r="BX1129" i="7" a="1"/>
  <c r="BX108" i="7" a="1"/>
  <c r="BX1074" i="7" a="1"/>
  <c r="BX101" i="7" a="1"/>
  <c r="BX25" i="7" a="1"/>
  <c r="BX219" i="7" a="1"/>
  <c r="BX204" i="7" a="1"/>
  <c r="BX1123" i="7" a="1"/>
  <c r="BX117" i="7" a="1"/>
  <c r="BX32" i="7" a="1"/>
  <c r="BX534" i="7" a="1"/>
  <c r="BX834" i="7" a="1"/>
  <c r="BX65" i="7" a="1"/>
  <c r="BX667" i="7" a="1"/>
  <c r="BX874" i="7" a="1"/>
  <c r="BX299" i="7" a="1"/>
  <c r="BX39" i="7" a="1"/>
  <c r="BX536" i="7" a="1"/>
  <c r="BX884" i="7" a="1"/>
  <c r="BX987" i="7" a="1"/>
  <c r="BX1096" i="7" a="1"/>
  <c r="BX28" i="7" a="1"/>
  <c r="BX828" i="7" a="1"/>
  <c r="BX29" i="7" a="1"/>
  <c r="BX140" i="7" a="1"/>
  <c r="BX38" i="7" a="1"/>
  <c r="BX676" i="7" a="1"/>
  <c r="BX907" i="7" a="1"/>
  <c r="BX71" i="7" a="1"/>
  <c r="BX139" i="7" a="1"/>
  <c r="BX135" i="7" a="1"/>
  <c r="BX147" i="7" a="1"/>
  <c r="BX146" i="7" a="1"/>
  <c r="BX206" i="7" a="1"/>
  <c r="BX992" i="7" a="1"/>
  <c r="BX752" i="7" a="1"/>
  <c r="BX201" i="7" a="1"/>
  <c r="BX983" i="7" a="1"/>
  <c r="BX125" i="7" a="1"/>
  <c r="BX591" i="7" a="1"/>
  <c r="BX913" i="7" a="1"/>
  <c r="BX116" i="7" a="1"/>
  <c r="BX26" i="7" a="1"/>
  <c r="BX1112" i="7" a="1"/>
  <c r="BX1207" i="7" a="1"/>
  <c r="BX1084" i="7" a="1"/>
  <c r="BX118" i="7" a="1"/>
  <c r="BX51" i="7" a="1"/>
  <c r="BX680" i="7" a="1"/>
  <c r="BX248" i="7" a="1"/>
  <c r="BX45" i="7" a="1"/>
  <c r="BX13" i="7" a="1"/>
  <c r="BX1079" i="7" a="1"/>
  <c r="BX865" i="7" a="1"/>
  <c r="BX509" i="7" a="1"/>
  <c r="BX1122" i="7" a="1"/>
  <c r="BX242" i="7" a="1"/>
  <c r="BX1009" i="7" a="1"/>
  <c r="BX97" i="7" a="1"/>
  <c r="BX1007" i="7" a="1"/>
  <c r="BX1243" i="7" a="1"/>
  <c r="BX864" i="7" a="1"/>
  <c r="BX857" i="7" a="1"/>
  <c r="BX1132" i="7" a="1"/>
  <c r="BX590" i="7" a="1"/>
  <c r="BX19" i="7" a="1"/>
  <c r="BX1206" i="7" a="1"/>
  <c r="BX156" i="7" a="1"/>
  <c r="BX994" i="7" a="1"/>
  <c r="BX1216" i="7" a="1"/>
  <c r="BX1091" i="7" a="1"/>
  <c r="BX675" i="7" a="1"/>
  <c r="BX16" i="7" a="1"/>
  <c r="BX754" i="7" a="1"/>
  <c r="BX357" i="7" a="1"/>
  <c r="BX202" i="7" a="1"/>
  <c r="BX60" i="7" a="1"/>
  <c r="BX826" i="7" a="1"/>
  <c r="BX136" i="7" a="1"/>
  <c r="BX136" i="7" l="1"/>
  <c r="BY136" i="7" s="1"/>
  <c r="BZ136" i="7" s="1"/>
  <c r="BX826" i="7"/>
  <c r="BY826" i="7" s="1"/>
  <c r="BZ826" i="7" s="1"/>
  <c r="BX60" i="7"/>
  <c r="BY60" i="7" s="1"/>
  <c r="BZ60" i="7" s="1"/>
  <c r="BX202" i="7"/>
  <c r="BX357" i="7"/>
  <c r="BY357" i="7" s="1"/>
  <c r="BZ357" i="7" s="1"/>
  <c r="BX754" i="7"/>
  <c r="BX16" i="7"/>
  <c r="BX675" i="7"/>
  <c r="BY675" i="7" s="1"/>
  <c r="BZ675" i="7" s="1"/>
  <c r="BX1091" i="7"/>
  <c r="BY1091" i="7" s="1"/>
  <c r="BZ1091" i="7" s="1"/>
  <c r="BX1216" i="7"/>
  <c r="BY1216" i="7" s="1"/>
  <c r="BZ1216" i="7" s="1"/>
  <c r="BX994" i="7"/>
  <c r="BX156" i="7"/>
  <c r="BY156" i="7" s="1"/>
  <c r="BZ156" i="7" s="1"/>
  <c r="BX1206" i="7"/>
  <c r="BX19" i="7"/>
  <c r="BX590" i="7"/>
  <c r="BY590" i="7" s="1"/>
  <c r="BZ590" i="7" s="1"/>
  <c r="BX1132" i="7"/>
  <c r="BY1132" i="7" s="1"/>
  <c r="BZ1132" i="7" s="1"/>
  <c r="BX857" i="7"/>
  <c r="BY857" i="7" s="1"/>
  <c r="BZ857" i="7" s="1"/>
  <c r="BX864" i="7"/>
  <c r="BX1243" i="7"/>
  <c r="BY1243" i="7" s="1"/>
  <c r="BZ1243" i="7" s="1"/>
  <c r="BX1007" i="7"/>
  <c r="BX97" i="7"/>
  <c r="BY97" i="7" s="1"/>
  <c r="BZ97" i="7" s="1"/>
  <c r="BX1009" i="7"/>
  <c r="BX242" i="7"/>
  <c r="BX1122" i="7"/>
  <c r="BY1122" i="7" s="1"/>
  <c r="BZ1122" i="7" s="1"/>
  <c r="BX509" i="7"/>
  <c r="BX865" i="7"/>
  <c r="BX1079" i="7"/>
  <c r="BX13" i="7"/>
  <c r="BY13" i="7" s="1"/>
  <c r="BZ13" i="7" s="1"/>
  <c r="BX45" i="7"/>
  <c r="BY45" i="7" s="1"/>
  <c r="BZ45" i="7" s="1"/>
  <c r="BX248" i="7"/>
  <c r="BX680" i="7"/>
  <c r="BY680" i="7" s="1"/>
  <c r="BZ680" i="7" s="1"/>
  <c r="BX51" i="7"/>
  <c r="BY51" i="7" s="1"/>
  <c r="BZ51" i="7" s="1"/>
  <c r="BX118" i="7"/>
  <c r="BY118" i="7" s="1"/>
  <c r="BZ118" i="7" s="1"/>
  <c r="BX1084" i="7"/>
  <c r="BX1207" i="7"/>
  <c r="BX1112" i="7"/>
  <c r="BY1112" i="7" s="1"/>
  <c r="BZ1112" i="7" s="1"/>
  <c r="BX26" i="7"/>
  <c r="BX116" i="7"/>
  <c r="BX913" i="7"/>
  <c r="BX591" i="7"/>
  <c r="BX125" i="7"/>
  <c r="BX983" i="7"/>
  <c r="BX201" i="7"/>
  <c r="BY201" i="7" s="1"/>
  <c r="BZ201" i="7" s="1"/>
  <c r="BX752" i="7"/>
  <c r="BX992" i="7"/>
  <c r="BX206" i="7"/>
  <c r="BX146" i="7"/>
  <c r="BY146" i="7" s="1"/>
  <c r="BZ146" i="7" s="1"/>
  <c r="BX147" i="7"/>
  <c r="BY147" i="7" s="1"/>
  <c r="BZ147" i="7" s="1"/>
  <c r="BX135" i="7"/>
  <c r="BY135" i="7" s="1"/>
  <c r="BZ135" i="7" s="1"/>
  <c r="BX139" i="7"/>
  <c r="BY139" i="7" s="1"/>
  <c r="BZ139" i="7" s="1"/>
  <c r="BX71" i="7"/>
  <c r="BX907" i="7"/>
  <c r="BY907" i="7" s="1"/>
  <c r="BZ907" i="7" s="1"/>
  <c r="BX676" i="7"/>
  <c r="BY676" i="7" s="1"/>
  <c r="BZ676" i="7" s="1"/>
  <c r="BX38" i="7"/>
  <c r="BX140" i="7"/>
  <c r="BX29" i="7"/>
  <c r="BY29" i="7" s="1"/>
  <c r="BZ29" i="7" s="1"/>
  <c r="BX828" i="7"/>
  <c r="BY828" i="7" s="1"/>
  <c r="BZ828" i="7" s="1"/>
  <c r="BX28" i="7"/>
  <c r="BY28" i="7" s="1"/>
  <c r="BZ28" i="7" s="1"/>
  <c r="BX1096" i="7"/>
  <c r="BY1096" i="7" s="1"/>
  <c r="BZ1096" i="7" s="1"/>
  <c r="BX987" i="7"/>
  <c r="BY987" i="7" s="1"/>
  <c r="BZ987" i="7" s="1"/>
  <c r="BX884" i="7"/>
  <c r="BX536" i="7"/>
  <c r="BY536" i="7" s="1"/>
  <c r="BZ536" i="7" s="1"/>
  <c r="BX39" i="7"/>
  <c r="BX299" i="7"/>
  <c r="BY299" i="7" s="1"/>
  <c r="BZ299" i="7" s="1"/>
  <c r="BX874" i="7"/>
  <c r="BX667" i="7"/>
  <c r="BY667" i="7" s="1"/>
  <c r="BZ667" i="7" s="1"/>
  <c r="BX65" i="7"/>
  <c r="BX834" i="7"/>
  <c r="BX534" i="7"/>
  <c r="BX32" i="7"/>
  <c r="BY32" i="7" s="1"/>
  <c r="BZ32" i="7" s="1"/>
  <c r="BX117" i="7"/>
  <c r="BX1123" i="7"/>
  <c r="BX204" i="7"/>
  <c r="BY204" i="7" s="1"/>
  <c r="BZ204" i="7" s="1"/>
  <c r="BX219" i="7"/>
  <c r="BX25" i="7"/>
  <c r="BX101" i="7"/>
  <c r="BY101" i="7" s="1"/>
  <c r="BZ101" i="7" s="1"/>
  <c r="BX1074" i="7"/>
  <c r="BY1074" i="7" s="1"/>
  <c r="BZ1074" i="7" s="1"/>
  <c r="BX108" i="7"/>
  <c r="BY108" i="7" s="1"/>
  <c r="BZ108" i="7" s="1"/>
  <c r="BX1129" i="7"/>
  <c r="BY1129" i="7" s="1"/>
  <c r="BZ1129" i="7" s="1"/>
  <c r="BX761" i="7"/>
  <c r="BY761" i="7" s="1"/>
  <c r="BZ761" i="7" s="1"/>
  <c r="BX285" i="7"/>
  <c r="BX758" i="7"/>
  <c r="BY758" i="7" s="1"/>
  <c r="BZ758" i="7" s="1"/>
  <c r="BX1119" i="7"/>
  <c r="BY1119" i="7" s="1"/>
  <c r="BZ1119" i="7" s="1"/>
  <c r="BX1004" i="7"/>
  <c r="BX145" i="7"/>
  <c r="BX451" i="7"/>
  <c r="BY451" i="7" s="1"/>
  <c r="BZ451" i="7" s="1"/>
  <c r="BX981" i="7"/>
  <c r="BX689" i="7"/>
  <c r="BX46" i="7"/>
  <c r="BX989" i="7"/>
  <c r="BY989" i="7" s="1"/>
  <c r="BZ989" i="7" s="1"/>
  <c r="BX158" i="7"/>
  <c r="BY158" i="7" s="1"/>
  <c r="BZ158" i="7" s="1"/>
  <c r="BX37" i="7"/>
  <c r="BX611" i="7"/>
  <c r="BX998" i="7"/>
  <c r="BY998" i="7" s="1"/>
  <c r="BZ998" i="7" s="1"/>
  <c r="BX665" i="7"/>
  <c r="BY665" i="7" s="1"/>
  <c r="BZ665" i="7" s="1"/>
  <c r="BX98" i="7"/>
  <c r="BY98" i="7" s="1"/>
  <c r="BZ98" i="7" s="1"/>
  <c r="BX671" i="7"/>
  <c r="BY671" i="7" s="1"/>
  <c r="BZ671" i="7" s="1"/>
  <c r="BX1218" i="7"/>
  <c r="BX859" i="7"/>
  <c r="BY859" i="7" s="1"/>
  <c r="BZ859" i="7" s="1"/>
  <c r="BX587" i="7"/>
  <c r="BX14" i="7"/>
  <c r="BX27" i="7"/>
  <c r="BY27" i="7" s="1"/>
  <c r="BZ27" i="7" s="1"/>
  <c r="BX823" i="7"/>
  <c r="BY823" i="7" s="1"/>
  <c r="BZ823" i="7" s="1"/>
  <c r="BX524" i="7"/>
  <c r="BY524" i="7" s="1"/>
  <c r="BZ524" i="7" s="1"/>
  <c r="BX56" i="7"/>
  <c r="BY56" i="7" s="1"/>
  <c r="BZ56" i="7" s="1"/>
  <c r="BX1008" i="7"/>
  <c r="BY1008" i="7" s="1"/>
  <c r="BZ1008" i="7" s="1"/>
  <c r="BX521" i="7"/>
  <c r="BX762" i="7"/>
  <c r="BX40" i="7"/>
  <c r="BY40" i="7" s="1"/>
  <c r="BZ40" i="7" s="1"/>
  <c r="BX72" i="7"/>
  <c r="BY72" i="7" s="1"/>
  <c r="BZ72" i="7" s="1"/>
  <c r="BX888" i="7"/>
  <c r="BY888" i="7" s="1"/>
  <c r="BZ888" i="7" s="1"/>
  <c r="BX519" i="7"/>
  <c r="BY519" i="7" s="1"/>
  <c r="BZ519" i="7" s="1"/>
  <c r="BX296" i="7"/>
  <c r="BY296" i="7" s="1"/>
  <c r="BZ296" i="7" s="1"/>
  <c r="BX374" i="7"/>
  <c r="BY374" i="7" s="1"/>
  <c r="BZ374" i="7" s="1"/>
  <c r="BX1205" i="7"/>
  <c r="BX109" i="7"/>
  <c r="BX152" i="7"/>
  <c r="BX986" i="7"/>
  <c r="BX831" i="7"/>
  <c r="BY831" i="7" s="1"/>
  <c r="BZ831" i="7" s="1"/>
  <c r="BX254" i="7"/>
  <c r="BY254" i="7" s="1"/>
  <c r="BZ254" i="7" s="1"/>
  <c r="BX886" i="7"/>
  <c r="BY886" i="7" s="1"/>
  <c r="BZ886" i="7" s="1"/>
  <c r="BX1010" i="7"/>
  <c r="BX159" i="7"/>
  <c r="BX62" i="7"/>
  <c r="BX137" i="7"/>
  <c r="BX613" i="7"/>
  <c r="BX214" i="7"/>
  <c r="BX513" i="7"/>
  <c r="BY513" i="7" s="1"/>
  <c r="BZ513" i="7" s="1"/>
  <c r="BX856" i="7"/>
  <c r="BX685" i="7"/>
  <c r="BY685" i="7" s="1"/>
  <c r="BZ685" i="7" s="1"/>
  <c r="BX1087" i="7"/>
  <c r="BX155" i="7"/>
  <c r="BY155" i="7" s="1"/>
  <c r="BZ155" i="7" s="1"/>
  <c r="BX1102" i="7"/>
  <c r="BY1102" i="7" s="1"/>
  <c r="BZ1102" i="7" s="1"/>
  <c r="BX600" i="7"/>
  <c r="BX47" i="7"/>
  <c r="BY47" i="7" s="1"/>
  <c r="BZ47" i="7" s="1"/>
  <c r="BX297" i="7"/>
  <c r="BY297" i="7" s="1"/>
  <c r="BZ297" i="7" s="1"/>
  <c r="BX664" i="7"/>
  <c r="BY664" i="7" s="1"/>
  <c r="BZ664" i="7" s="1"/>
  <c r="BX1244" i="7"/>
  <c r="BX674" i="7"/>
  <c r="BY674" i="7" s="1"/>
  <c r="BZ674" i="7" s="1"/>
  <c r="BX878" i="7"/>
  <c r="BY878" i="7" s="1"/>
  <c r="BZ878" i="7" s="1"/>
  <c r="BX234" i="7"/>
  <c r="BX858" i="7"/>
  <c r="BX586" i="7"/>
  <c r="BX750" i="7"/>
  <c r="BY750" i="7" s="1"/>
  <c r="BZ750" i="7" s="1"/>
  <c r="BX1076" i="7"/>
  <c r="BY1076" i="7" s="1"/>
  <c r="BZ1076" i="7" s="1"/>
  <c r="BX506" i="7"/>
  <c r="BX371" i="7"/>
  <c r="BX614" i="7"/>
  <c r="BY614" i="7" s="1"/>
  <c r="BZ614" i="7" s="1"/>
  <c r="BX1245" i="7"/>
  <c r="BY1245" i="7" s="1"/>
  <c r="BZ1245" i="7" s="1"/>
  <c r="BX288" i="7"/>
  <c r="BY288" i="7" s="1"/>
  <c r="BZ288" i="7" s="1"/>
  <c r="BX290" i="7"/>
  <c r="BX286" i="7"/>
  <c r="BY286" i="7" s="1"/>
  <c r="BZ286" i="7" s="1"/>
  <c r="BX453" i="7"/>
  <c r="BX1148" i="7"/>
  <c r="BX246" i="7"/>
  <c r="BY246" i="7" s="1"/>
  <c r="BZ246" i="7" s="1"/>
  <c r="BX119" i="7"/>
  <c r="BX372" i="7"/>
  <c r="BY372" i="7" s="1"/>
  <c r="BZ372" i="7" s="1"/>
  <c r="BX1134" i="7"/>
  <c r="BY1134" i="7" s="1"/>
  <c r="BZ1134" i="7" s="1"/>
  <c r="BX252" i="7"/>
  <c r="BY252" i="7" s="1"/>
  <c r="BZ252" i="7" s="1"/>
  <c r="BX377" i="7"/>
  <c r="BY377" i="7" s="1"/>
  <c r="BZ377" i="7" s="1"/>
  <c r="BX1098" i="7"/>
  <c r="BY1098" i="7" s="1"/>
  <c r="BZ1098" i="7" s="1"/>
  <c r="BX230" i="7"/>
  <c r="BY230" i="7" s="1"/>
  <c r="BZ230" i="7" s="1"/>
  <c r="BX61" i="7"/>
  <c r="BX128" i="7"/>
  <c r="BX881" i="7"/>
  <c r="BX131" i="7"/>
  <c r="BY131" i="7" s="1"/>
  <c r="BZ131" i="7" s="1"/>
  <c r="BX529" i="7"/>
  <c r="BY529" i="7" s="1"/>
  <c r="BZ529" i="7" s="1"/>
  <c r="BX1184" i="7"/>
  <c r="BY1184" i="7" s="1"/>
  <c r="BZ1184" i="7" s="1"/>
  <c r="BX198" i="7"/>
  <c r="BY198" i="7" s="1"/>
  <c r="BZ198" i="7" s="1"/>
  <c r="BX1105" i="7"/>
  <c r="BY1105" i="7" s="1"/>
  <c r="BZ1105" i="7" s="1"/>
  <c r="BX211" i="7"/>
  <c r="BX871" i="7"/>
  <c r="BY871" i="7" s="1"/>
  <c r="BZ871" i="7" s="1"/>
  <c r="BX599" i="7"/>
  <c r="BX22" i="7"/>
  <c r="BX18" i="7"/>
  <c r="BY18" i="7" s="1"/>
  <c r="BZ18" i="7" s="1"/>
  <c r="BX612" i="7"/>
  <c r="BY612" i="7" s="1"/>
  <c r="BZ612" i="7" s="1"/>
  <c r="BX679" i="7"/>
  <c r="BY679" i="7" s="1"/>
  <c r="BZ679" i="7" s="1"/>
  <c r="BX596" i="7"/>
  <c r="BY596" i="7" s="1"/>
  <c r="BZ596" i="7" s="1"/>
  <c r="BX508" i="7"/>
  <c r="BX1089" i="7"/>
  <c r="BY1089" i="7" s="1"/>
  <c r="BZ1089" i="7" s="1"/>
  <c r="BX1077" i="7"/>
  <c r="BY1077" i="7" s="1"/>
  <c r="BZ1077" i="7" s="1"/>
  <c r="BX533" i="7"/>
  <c r="BY533" i="7" s="1"/>
  <c r="BZ533" i="7" s="1"/>
  <c r="BX434" i="7"/>
  <c r="BY434" i="7" s="1"/>
  <c r="BZ434" i="7" s="1"/>
  <c r="BX1251" i="7"/>
  <c r="BX606" i="7"/>
  <c r="BX870" i="7"/>
  <c r="BX447" i="7"/>
  <c r="BX1149" i="7"/>
  <c r="BY1149" i="7" s="1"/>
  <c r="BZ1149" i="7" s="1"/>
  <c r="BX666" i="7"/>
  <c r="BY666" i="7" s="1"/>
  <c r="BZ666" i="7" s="1"/>
  <c r="BX1131" i="7"/>
  <c r="BY1131" i="7" s="1"/>
  <c r="BZ1131" i="7" s="1"/>
  <c r="BX749" i="7"/>
  <c r="BY749" i="7" s="1"/>
  <c r="BZ749" i="7" s="1"/>
  <c r="BX149" i="7"/>
  <c r="BY149" i="7" s="1"/>
  <c r="BZ149" i="7" s="1"/>
  <c r="BX369" i="7"/>
  <c r="BY369" i="7" s="1"/>
  <c r="BZ369" i="7" s="1"/>
  <c r="BX247" i="7"/>
  <c r="BX435" i="7"/>
  <c r="BY435" i="7" s="1"/>
  <c r="BZ435" i="7" s="1"/>
  <c r="BX433" i="7"/>
  <c r="BX882" i="7"/>
  <c r="BX431" i="7"/>
  <c r="BY431" i="7" s="1"/>
  <c r="BZ431" i="7" s="1"/>
  <c r="BX1209" i="7"/>
  <c r="BY1209" i="7" s="1"/>
  <c r="BZ1209" i="7" s="1"/>
  <c r="BX1088" i="7"/>
  <c r="BY1088" i="7" s="1"/>
  <c r="BZ1088" i="7" s="1"/>
  <c r="BX217" i="7"/>
  <c r="BY217" i="7" s="1"/>
  <c r="BZ217" i="7" s="1"/>
  <c r="BX94" i="7"/>
  <c r="BX229" i="7"/>
  <c r="BX235" i="7"/>
  <c r="BY235" i="7" s="1"/>
  <c r="BZ235" i="7" s="1"/>
  <c r="BX363" i="7"/>
  <c r="BY363" i="7" s="1"/>
  <c r="BZ363" i="7" s="1"/>
  <c r="BX1152" i="7"/>
  <c r="BX887" i="7"/>
  <c r="BY887" i="7" s="1"/>
  <c r="BZ887" i="7" s="1"/>
  <c r="BX157" i="7"/>
  <c r="BY157" i="7" s="1"/>
  <c r="BZ157" i="7" s="1"/>
  <c r="BX982" i="7"/>
  <c r="BX95" i="7"/>
  <c r="BX766" i="7"/>
  <c r="BY766" i="7" s="1"/>
  <c r="BZ766" i="7" s="1"/>
  <c r="BX212" i="7"/>
  <c r="BX1150" i="7"/>
  <c r="BX678" i="7"/>
  <c r="BY678" i="7" s="1"/>
  <c r="BZ678" i="7" s="1"/>
  <c r="BX151" i="7"/>
  <c r="BY151" i="7" s="1"/>
  <c r="BZ151" i="7" s="1"/>
  <c r="BX1199" i="7"/>
  <c r="BX694" i="7"/>
  <c r="BX883" i="7"/>
  <c r="BX688" i="7"/>
  <c r="BY688" i="7" s="1"/>
  <c r="BZ688" i="7" s="1"/>
  <c r="BX21" i="7"/>
  <c r="X30" i="7"/>
  <c r="Y30" i="7" s="1"/>
  <c r="Z30" i="7" s="1"/>
  <c r="BX134" i="7"/>
  <c r="BX1106" i="7"/>
  <c r="BX608" i="7"/>
  <c r="BY608" i="7" s="1"/>
  <c r="BZ608" i="7" s="1"/>
  <c r="BX15" i="7"/>
  <c r="BX1200" i="7"/>
  <c r="BY1200" i="7" s="1"/>
  <c r="BZ1200" i="7" s="1"/>
  <c r="BX1212" i="7"/>
  <c r="BX610" i="7"/>
  <c r="BY610" i="7" s="1"/>
  <c r="BZ610" i="7" s="1"/>
  <c r="BX50" i="7"/>
  <c r="BX830" i="7"/>
  <c r="BX593" i="7"/>
  <c r="BY593" i="7" s="1"/>
  <c r="BZ593" i="7" s="1"/>
  <c r="BX598" i="7"/>
  <c r="BX103" i="7"/>
  <c r="BY103" i="7" s="1"/>
  <c r="BZ103" i="7" s="1"/>
  <c r="BX601" i="7"/>
  <c r="BY601" i="7" s="1"/>
  <c r="BZ601" i="7" s="1"/>
  <c r="BX763" i="7"/>
  <c r="BY763" i="7" s="1"/>
  <c r="BZ763" i="7" s="1"/>
  <c r="BX359" i="7"/>
  <c r="BX1203" i="7"/>
  <c r="BY1203" i="7" s="1"/>
  <c r="BZ1203" i="7" s="1"/>
  <c r="BX693" i="7"/>
  <c r="BX368" i="7"/>
  <c r="BY368" i="7" s="1"/>
  <c r="BZ368" i="7" s="1"/>
  <c r="BX1116" i="7"/>
  <c r="BY1116" i="7" s="1"/>
  <c r="BZ1116" i="7" s="1"/>
  <c r="BX354" i="7"/>
  <c r="BY354" i="7" s="1"/>
  <c r="BZ354" i="7" s="1"/>
  <c r="BX454" i="7"/>
  <c r="BY454" i="7" s="1"/>
  <c r="BZ454" i="7" s="1"/>
  <c r="BX1147" i="7"/>
  <c r="BY1147" i="7" s="1"/>
  <c r="BZ1147" i="7" s="1"/>
  <c r="BX287" i="7"/>
  <c r="BY287" i="7" s="1"/>
  <c r="BZ287" i="7" s="1"/>
  <c r="BX93" i="7"/>
  <c r="BY93" i="7" s="1"/>
  <c r="BZ93" i="7" s="1"/>
  <c r="BX427" i="7"/>
  <c r="BY427" i="7" s="1"/>
  <c r="BZ427" i="7" s="1"/>
  <c r="BX448" i="7"/>
  <c r="BX208" i="7"/>
  <c r="BY208" i="7" s="1"/>
  <c r="BZ208" i="7" s="1"/>
  <c r="BX432" i="7"/>
  <c r="BX748" i="7"/>
  <c r="BY748" i="7" s="1"/>
  <c r="BZ748" i="7" s="1"/>
  <c r="BX243" i="7"/>
  <c r="BY243" i="7" s="1"/>
  <c r="BZ243" i="7" s="1"/>
  <c r="BX899" i="7"/>
  <c r="BY899" i="7" s="1"/>
  <c r="BZ899" i="7" s="1"/>
  <c r="BX54" i="7"/>
  <c r="BX747" i="7"/>
  <c r="BX197" i="7"/>
  <c r="BY197" i="7" s="1"/>
  <c r="BZ197" i="7" s="1"/>
  <c r="BX682" i="7"/>
  <c r="BY682" i="7" s="1"/>
  <c r="BZ682" i="7" s="1"/>
  <c r="BX1006" i="7"/>
  <c r="BY1006" i="7" s="1"/>
  <c r="BZ1006" i="7" s="1"/>
  <c r="BX148" i="7"/>
  <c r="BY148" i="7" s="1"/>
  <c r="BZ148" i="7" s="1"/>
  <c r="BX12" i="7"/>
  <c r="BX209" i="7"/>
  <c r="BX1107" i="7"/>
  <c r="BY1107" i="7" s="1"/>
  <c r="BZ1107" i="7" s="1"/>
  <c r="BX597" i="7"/>
  <c r="BY597" i="7" s="1"/>
  <c r="BZ597" i="7" s="1"/>
  <c r="BX615" i="7"/>
  <c r="BX1099" i="7"/>
  <c r="BY1099" i="7" s="1"/>
  <c r="BZ1099" i="7" s="1"/>
  <c r="BX910" i="7"/>
  <c r="BY910" i="7" s="1"/>
  <c r="BZ910" i="7" s="1"/>
  <c r="BX239" i="7"/>
  <c r="BY239" i="7" s="1"/>
  <c r="BZ239" i="7" s="1"/>
  <c r="BX150" i="7"/>
  <c r="BX691" i="7"/>
  <c r="BX1000" i="7"/>
  <c r="BX607" i="7"/>
  <c r="BY607" i="7" s="1"/>
  <c r="BZ607" i="7" s="1"/>
  <c r="BX532" i="7"/>
  <c r="BX692" i="7"/>
  <c r="BY692" i="7" s="1"/>
  <c r="BZ692" i="7" s="1"/>
  <c r="BX891" i="7"/>
  <c r="BY891" i="7" s="1"/>
  <c r="BZ891" i="7" s="1"/>
  <c r="BX438" i="7"/>
  <c r="BY438" i="7" s="1"/>
  <c r="BZ438" i="7" s="1"/>
  <c r="BX31" i="7"/>
  <c r="BY31" i="7" s="1"/>
  <c r="BZ31" i="7" s="1"/>
  <c r="BX110" i="7"/>
  <c r="BX298" i="7"/>
  <c r="BY298" i="7" s="1"/>
  <c r="BZ298" i="7" s="1"/>
  <c r="BX138" i="7"/>
  <c r="BY138" i="7" s="1"/>
  <c r="BZ138" i="7" s="1"/>
  <c r="BX673" i="7"/>
  <c r="BX356" i="7"/>
  <c r="BY356" i="7" s="1"/>
  <c r="BZ356" i="7" s="1"/>
  <c r="BX531" i="7"/>
  <c r="BX1109" i="7"/>
  <c r="BY1109" i="7" s="1"/>
  <c r="BZ1109" i="7" s="1"/>
  <c r="BX867" i="7"/>
  <c r="BX771" i="7"/>
  <c r="BY771" i="7" s="1"/>
  <c r="BZ771" i="7" s="1"/>
  <c r="BX126" i="7"/>
  <c r="BY126" i="7" s="1"/>
  <c r="BZ126" i="7" s="1"/>
  <c r="BX444" i="7"/>
  <c r="BY444" i="7" s="1"/>
  <c r="BZ444" i="7" s="1"/>
  <c r="BX115" i="7"/>
  <c r="BY115" i="7" s="1"/>
  <c r="BZ115" i="7" s="1"/>
  <c r="BX429" i="7"/>
  <c r="BY429" i="7" s="1"/>
  <c r="BZ429" i="7" s="1"/>
  <c r="BX41" i="7"/>
  <c r="BX1092" i="7"/>
  <c r="BY1092" i="7" s="1"/>
  <c r="BZ1092" i="7" s="1"/>
  <c r="BX215" i="7"/>
  <c r="BY215" i="7" s="1"/>
  <c r="BZ215" i="7" s="1"/>
  <c r="BX997" i="7"/>
  <c r="BY997" i="7" s="1"/>
  <c r="BZ997" i="7" s="1"/>
  <c r="BX127" i="7"/>
  <c r="BX901" i="7"/>
  <c r="BY901" i="7" s="1"/>
  <c r="BZ901" i="7" s="1"/>
  <c r="BX527" i="7"/>
  <c r="BY527" i="7" s="1"/>
  <c r="BZ527" i="7" s="1"/>
  <c r="BX362" i="7"/>
  <c r="BY362" i="7" s="1"/>
  <c r="BZ362" i="7" s="1"/>
  <c r="BX988" i="7"/>
  <c r="BX213" i="7"/>
  <c r="BX984" i="7"/>
  <c r="BX53" i="7"/>
  <c r="BX1085" i="7"/>
  <c r="BY1085" i="7" s="1"/>
  <c r="BZ1085" i="7" s="1"/>
  <c r="BX210" i="7"/>
  <c r="BY210" i="7" s="1"/>
  <c r="BZ210" i="7" s="1"/>
  <c r="BX903" i="7"/>
  <c r="BX1124" i="7"/>
  <c r="BY1124" i="7" s="1"/>
  <c r="BZ1124" i="7" s="1"/>
  <c r="BX223" i="7"/>
  <c r="BY223" i="7" s="1"/>
  <c r="BZ223" i="7" s="1"/>
  <c r="BX980" i="7"/>
  <c r="BX853" i="7"/>
  <c r="BY853" i="7" s="1"/>
  <c r="BZ853" i="7" s="1"/>
  <c r="BX428" i="7"/>
  <c r="BX686" i="7"/>
  <c r="BX456" i="7"/>
  <c r="BX904" i="7"/>
  <c r="BY904" i="7" s="1"/>
  <c r="BZ904" i="7" s="1"/>
  <c r="BX825" i="7"/>
  <c r="BX879" i="7"/>
  <c r="BY879" i="7" s="1"/>
  <c r="BZ879" i="7" s="1"/>
  <c r="BX669" i="7"/>
  <c r="BX514" i="7"/>
  <c r="BY514" i="7" s="1"/>
  <c r="BZ514" i="7" s="1"/>
  <c r="BX875" i="7"/>
  <c r="BX1095" i="7"/>
  <c r="BX518" i="7"/>
  <c r="BY518" i="7" s="1"/>
  <c r="BZ518" i="7" s="1"/>
  <c r="BX1211" i="7"/>
  <c r="BX1133" i="7"/>
  <c r="BY1133" i="7" s="1"/>
  <c r="BZ1133" i="7" s="1"/>
  <c r="BX757" i="7"/>
  <c r="BX161" i="7"/>
  <c r="BX535" i="7"/>
  <c r="BX516" i="7"/>
  <c r="BY516" i="7" s="1"/>
  <c r="BZ516" i="7" s="1"/>
  <c r="BX358" i="7"/>
  <c r="BY358" i="7" s="1"/>
  <c r="BZ358" i="7" s="1"/>
  <c r="BX1215" i="7"/>
  <c r="BY1215" i="7" s="1"/>
  <c r="BZ1215" i="7" s="1"/>
  <c r="BX366" i="7"/>
  <c r="BY366" i="7" s="1"/>
  <c r="BZ366" i="7" s="1"/>
  <c r="BX880" i="7"/>
  <c r="BY880" i="7" s="1"/>
  <c r="BZ880" i="7" s="1"/>
  <c r="BX352" i="7"/>
  <c r="BX1110" i="7"/>
  <c r="BY1110" i="7" s="1"/>
  <c r="BZ1110" i="7" s="1"/>
  <c r="BX833" i="7"/>
  <c r="BX355" i="7"/>
  <c r="BX522" i="7"/>
  <c r="BY522" i="7" s="1"/>
  <c r="BZ522" i="7" s="1"/>
  <c r="X26" i="7"/>
  <c r="Y26" i="7" s="1"/>
  <c r="Z26" i="7" s="1"/>
  <c r="BX995" i="7"/>
  <c r="BX100" i="7"/>
  <c r="BY100" i="7" s="1"/>
  <c r="BZ100" i="7" s="1"/>
  <c r="BX1198" i="7"/>
  <c r="BY1198" i="7" s="1"/>
  <c r="BZ1198" i="7" s="1"/>
  <c r="BX1121" i="7"/>
  <c r="BY1121" i="7" s="1"/>
  <c r="BZ1121" i="7" s="1"/>
  <c r="BX241" i="7"/>
  <c r="BX132" i="7"/>
  <c r="BX162" i="7"/>
  <c r="BY162" i="7" s="1"/>
  <c r="BZ162" i="7" s="1"/>
  <c r="BX1193" i="7"/>
  <c r="BX237" i="7"/>
  <c r="BY237" i="7" s="1"/>
  <c r="BZ237" i="7" s="1"/>
  <c r="BX604" i="7"/>
  <c r="BY604" i="7" s="1"/>
  <c r="BZ604" i="7" s="1"/>
  <c r="BX1250" i="7"/>
  <c r="BY1250" i="7" s="1"/>
  <c r="BZ1250" i="7" s="1"/>
  <c r="BX861" i="7"/>
  <c r="BY861" i="7" s="1"/>
  <c r="BZ861" i="7" s="1"/>
  <c r="BX898" i="7"/>
  <c r="BY898" i="7" s="1"/>
  <c r="BZ898" i="7" s="1"/>
  <c r="BX361" i="7"/>
  <c r="BX760" i="7"/>
  <c r="BX609" i="7"/>
  <c r="BX59" i="7"/>
  <c r="BX912" i="7"/>
  <c r="BY912" i="7" s="1"/>
  <c r="BZ912" i="7" s="1"/>
  <c r="BX897" i="7"/>
  <c r="BX1075" i="7"/>
  <c r="BX592" i="7"/>
  <c r="BX436" i="7"/>
  <c r="BX896" i="7"/>
  <c r="BY896" i="7" s="1"/>
  <c r="BZ896" i="7" s="1"/>
  <c r="BX107" i="7"/>
  <c r="BX670" i="7"/>
  <c r="BX17" i="7"/>
  <c r="BX225" i="7"/>
  <c r="BX221" i="7"/>
  <c r="BX1195" i="7"/>
  <c r="BX681" i="7"/>
  <c r="BY681" i="7" s="1"/>
  <c r="BZ681" i="7" s="1"/>
  <c r="BX1214" i="7"/>
  <c r="BY1214" i="7" s="1"/>
  <c r="BZ1214" i="7" s="1"/>
  <c r="BX443" i="7"/>
  <c r="BY443" i="7" s="1"/>
  <c r="BZ443" i="7" s="1"/>
  <c r="BX1194" i="7"/>
  <c r="BY1194" i="7" s="1"/>
  <c r="BZ1194" i="7" s="1"/>
  <c r="BX376" i="7"/>
  <c r="BY376" i="7" s="1"/>
  <c r="BZ376" i="7" s="1"/>
  <c r="BX1196" i="7"/>
  <c r="BX1086" i="7"/>
  <c r="BX284" i="7"/>
  <c r="BX49" i="7"/>
  <c r="BX1081" i="7"/>
  <c r="BY1081" i="7" s="1"/>
  <c r="BZ1081" i="7" s="1"/>
  <c r="BX863" i="7"/>
  <c r="BX154" i="7"/>
  <c r="BY154" i="7" s="1"/>
  <c r="BZ154" i="7" s="1"/>
  <c r="BX253" i="7"/>
  <c r="BX772" i="7"/>
  <c r="BX240" i="7"/>
  <c r="BY240" i="7" s="1"/>
  <c r="BZ240" i="7" s="1"/>
  <c r="BX228" i="7"/>
  <c r="BX1114" i="7"/>
  <c r="BX1304" i="7"/>
  <c r="BY1304" i="7" s="1"/>
  <c r="BZ1304" i="7" s="1"/>
  <c r="BX869" i="7"/>
  <c r="BX1001" i="7"/>
  <c r="BX744" i="7"/>
  <c r="BY744" i="7" s="1"/>
  <c r="BZ744" i="7" s="1"/>
  <c r="BX373" i="7"/>
  <c r="BY373" i="7" s="1"/>
  <c r="BZ373" i="7" s="1"/>
  <c r="BX1072" i="7"/>
  <c r="BX36" i="7"/>
  <c r="BX1125" i="7"/>
  <c r="BX672" i="7"/>
  <c r="BY672" i="7" s="1"/>
  <c r="BZ672" i="7" s="1"/>
  <c r="BX746" i="7"/>
  <c r="BY746" i="7" s="1"/>
  <c r="BZ746" i="7" s="1"/>
  <c r="BX216" i="7"/>
  <c r="BY216" i="7" s="1"/>
  <c r="BZ216" i="7" s="1"/>
  <c r="BX873" i="7"/>
  <c r="BY873" i="7" s="1"/>
  <c r="BZ873" i="7" s="1"/>
  <c r="BX1202" i="7"/>
  <c r="BX773" i="7"/>
  <c r="BX457" i="7"/>
  <c r="BX906" i="7"/>
  <c r="BX854" i="7"/>
  <c r="BX605" i="7"/>
  <c r="BX512" i="7"/>
  <c r="BX743" i="7"/>
  <c r="BY743" i="7" s="1"/>
  <c r="BZ743" i="7" s="1"/>
  <c r="BX67" i="7"/>
  <c r="BX510" i="7"/>
  <c r="BX245" i="7"/>
  <c r="BX207" i="7"/>
  <c r="BX1097" i="7"/>
  <c r="BY1097" i="7" s="1"/>
  <c r="BZ1097" i="7" s="1"/>
  <c r="BX1201" i="7"/>
  <c r="BY1201" i="7" s="1"/>
  <c r="BZ1201" i="7" s="1"/>
  <c r="BX164" i="7"/>
  <c r="BY164" i="7" s="1"/>
  <c r="BZ164" i="7" s="1"/>
  <c r="BX1213" i="7"/>
  <c r="BX378" i="7"/>
  <c r="BX603" i="7"/>
  <c r="BX439" i="7"/>
  <c r="BY439" i="7" s="1"/>
  <c r="BZ439" i="7" s="1"/>
  <c r="BX525" i="7"/>
  <c r="BY525" i="7" s="1"/>
  <c r="BZ525" i="7" s="1"/>
  <c r="BX876" i="7"/>
  <c r="BX353" i="7"/>
  <c r="BX1303" i="7"/>
  <c r="BY1303" i="7" s="1"/>
  <c r="BZ1303" i="7" s="1"/>
  <c r="BX1130" i="7"/>
  <c r="BY1130" i="7" s="1"/>
  <c r="BZ1130" i="7" s="1"/>
  <c r="BX1073" i="7"/>
  <c r="BY1073" i="7" s="1"/>
  <c r="BZ1073" i="7" s="1"/>
  <c r="BX153" i="7"/>
  <c r="BY153" i="7" s="1"/>
  <c r="BZ153" i="7" s="1"/>
  <c r="BX1183" i="7"/>
  <c r="BY1183" i="7" s="1"/>
  <c r="BZ1183" i="7" s="1"/>
  <c r="BX1115" i="7"/>
  <c r="BX238" i="7"/>
  <c r="BX199" i="7"/>
  <c r="BX594" i="7"/>
  <c r="BY594" i="7" s="1"/>
  <c r="BZ594" i="7" s="1"/>
  <c r="BX770" i="7"/>
  <c r="BY770" i="7" s="1"/>
  <c r="BZ770" i="7" s="1"/>
  <c r="BX437" i="7"/>
  <c r="BY437" i="7" s="1"/>
  <c r="BZ437" i="7" s="1"/>
  <c r="BX999" i="7"/>
  <c r="BY999" i="7" s="1"/>
  <c r="BZ999" i="7" s="1"/>
  <c r="BX877" i="7"/>
  <c r="BY877" i="7" s="1"/>
  <c r="BZ877" i="7" s="1"/>
  <c r="BX44" i="7"/>
  <c r="BY44" i="7" s="1"/>
  <c r="BZ44" i="7" s="1"/>
  <c r="BX990" i="7"/>
  <c r="BY990" i="7" s="1"/>
  <c r="BZ990" i="7" s="1"/>
  <c r="BX106" i="7"/>
  <c r="BY106" i="7" s="1"/>
  <c r="BZ106" i="7" s="1"/>
  <c r="BX450" i="7"/>
  <c r="BX196" i="7"/>
  <c r="BY196" i="7" s="1"/>
  <c r="BZ196" i="7" s="1"/>
  <c r="BX1151" i="7"/>
  <c r="BY1151" i="7" s="1"/>
  <c r="BZ1151" i="7" s="1"/>
  <c r="BX909" i="7"/>
  <c r="BY909" i="7" s="1"/>
  <c r="BZ909" i="7" s="1"/>
  <c r="BX895" i="7"/>
  <c r="BX441" i="7"/>
  <c r="BY441" i="7" s="1"/>
  <c r="BZ441" i="7" s="1"/>
  <c r="BX292" i="7"/>
  <c r="BX530" i="7"/>
  <c r="BY530" i="7" s="1"/>
  <c r="BZ530" i="7" s="1"/>
  <c r="BX1126" i="7"/>
  <c r="BY1126" i="7" s="1"/>
  <c r="BZ1126" i="7" s="1"/>
  <c r="BX996" i="7"/>
  <c r="BX528" i="7"/>
  <c r="BY528" i="7" s="1"/>
  <c r="BZ528" i="7" s="1"/>
  <c r="BX142" i="7"/>
  <c r="BY142" i="7" s="1"/>
  <c r="BZ142" i="7" s="1"/>
  <c r="BX1217" i="7"/>
  <c r="BY1217" i="7" s="1"/>
  <c r="BZ1217" i="7" s="1"/>
  <c r="BX58" i="7"/>
  <c r="BY58" i="7" s="1"/>
  <c r="BZ58" i="7" s="1"/>
  <c r="BX872" i="7"/>
  <c r="BY872" i="7" s="1"/>
  <c r="BZ872" i="7" s="1"/>
  <c r="BX351" i="7"/>
  <c r="BY351" i="7" s="1"/>
  <c r="BZ351" i="7" s="1"/>
  <c r="BX868" i="7"/>
  <c r="BX687" i="7"/>
  <c r="BY687" i="7" s="1"/>
  <c r="BZ687" i="7" s="1"/>
  <c r="BX585" i="7"/>
  <c r="BX507" i="7"/>
  <c r="BY507" i="7" s="1"/>
  <c r="BZ507" i="7" s="1"/>
  <c r="BX43" i="7"/>
  <c r="BY43" i="7" s="1"/>
  <c r="BZ43" i="7" s="1"/>
  <c r="BX893" i="7"/>
  <c r="BX440" i="7"/>
  <c r="BX745" i="7"/>
  <c r="BX251" i="7"/>
  <c r="BY251" i="7" s="1"/>
  <c r="BZ251" i="7" s="1"/>
  <c r="BX231" i="7"/>
  <c r="BY231" i="7" s="1"/>
  <c r="BZ231" i="7" s="1"/>
  <c r="BX855" i="7"/>
  <c r="BX283" i="7"/>
  <c r="BY283" i="7" s="1"/>
  <c r="BZ283" i="7" s="1"/>
  <c r="BX905" i="7"/>
  <c r="BX1090" i="7"/>
  <c r="BY1090" i="7" s="1"/>
  <c r="BZ1090" i="7" s="1"/>
  <c r="BX291" i="7"/>
  <c r="BY291" i="7" s="1"/>
  <c r="BZ291" i="7" s="1"/>
  <c r="BX144" i="7"/>
  <c r="BY144" i="7" s="1"/>
  <c r="BZ144" i="7" s="1"/>
  <c r="BX289" i="7"/>
  <c r="BX1208" i="7"/>
  <c r="BY1208" i="7" s="1"/>
  <c r="BZ1208" i="7" s="1"/>
  <c r="BX349" i="7"/>
  <c r="BX227" i="7"/>
  <c r="BX1100" i="7"/>
  <c r="BX889" i="7"/>
  <c r="BY889" i="7" s="1"/>
  <c r="BZ889" i="7" s="1"/>
  <c r="BX52" i="7"/>
  <c r="BX759" i="7"/>
  <c r="BX993" i="7"/>
  <c r="BX114" i="7"/>
  <c r="BX249" i="7"/>
  <c r="BY249" i="7" s="1"/>
  <c r="BZ249" i="7" s="1"/>
  <c r="BX105" i="7"/>
  <c r="BY105" i="7" s="1"/>
  <c r="BZ105" i="7" s="1"/>
  <c r="BX902" i="7"/>
  <c r="BY902" i="7" s="1"/>
  <c r="BZ902" i="7" s="1"/>
  <c r="BX683" i="7"/>
  <c r="BY683" i="7" s="1"/>
  <c r="BZ683" i="7" s="1"/>
  <c r="BX370" i="7"/>
  <c r="BY370" i="7" s="1"/>
  <c r="BZ370" i="7" s="1"/>
  <c r="BX908" i="7"/>
  <c r="BX827" i="7"/>
  <c r="BY827" i="7" s="1"/>
  <c r="BZ827" i="7" s="1"/>
  <c r="BX769" i="7"/>
  <c r="BY769" i="7" s="1"/>
  <c r="BZ769" i="7" s="1"/>
  <c r="BX20" i="7"/>
  <c r="BY20" i="7" s="1"/>
  <c r="BZ20" i="7" s="1"/>
  <c r="BX42" i="7"/>
  <c r="BX832" i="7"/>
  <c r="BY832" i="7" s="1"/>
  <c r="BZ832" i="7" s="1"/>
  <c r="BX1192" i="7"/>
  <c r="BX765" i="7"/>
  <c r="BY765" i="7" s="1"/>
  <c r="BZ765" i="7" s="1"/>
  <c r="BX824" i="7"/>
  <c r="BY824" i="7" s="1"/>
  <c r="BZ824" i="7" s="1"/>
  <c r="BX589" i="7"/>
  <c r="BY589" i="7" s="1"/>
  <c r="BZ589" i="7" s="1"/>
  <c r="BX57" i="7"/>
  <c r="BX1204" i="7"/>
  <c r="BX1003" i="7"/>
  <c r="BX1083" i="7"/>
  <c r="BY1083" i="7" s="1"/>
  <c r="BZ1083" i="7" s="1"/>
  <c r="BX218" i="7"/>
  <c r="BX200" i="7"/>
  <c r="BX233" i="7"/>
  <c r="BX133" i="7"/>
  <c r="BX34" i="7"/>
  <c r="BY34" i="7" s="1"/>
  <c r="BZ34" i="7" s="1"/>
  <c r="BX1146" i="7"/>
  <c r="BY1146" i="7" s="1"/>
  <c r="BZ1146" i="7" s="1"/>
  <c r="BX452" i="7"/>
  <c r="BX1005" i="7"/>
  <c r="BX668" i="7"/>
  <c r="BX367" i="7"/>
  <c r="BX1144" i="7"/>
  <c r="BX295" i="7"/>
  <c r="BX1103" i="7"/>
  <c r="BY1103" i="7" s="1"/>
  <c r="BZ1103" i="7" s="1"/>
  <c r="BX1128" i="7"/>
  <c r="BY1128" i="7" s="1"/>
  <c r="BZ1128" i="7" s="1"/>
  <c r="BX232" i="7"/>
  <c r="BY232" i="7" s="1"/>
  <c r="BZ232" i="7" s="1"/>
  <c r="BX111" i="7"/>
  <c r="BY111" i="7" s="1"/>
  <c r="BZ111" i="7" s="1"/>
  <c r="BX365" i="7"/>
  <c r="BX364" i="7"/>
  <c r="BY364" i="7" s="1"/>
  <c r="BZ364" i="7" s="1"/>
  <c r="BX194" i="7"/>
  <c r="BX226" i="7"/>
  <c r="BX767" i="7"/>
  <c r="BY767" i="7" s="1"/>
  <c r="BZ767" i="7" s="1"/>
  <c r="BX1082" i="7"/>
  <c r="BX130" i="7"/>
  <c r="BY130" i="7" s="1"/>
  <c r="BZ130" i="7" s="1"/>
  <c r="BX160" i="7"/>
  <c r="BX900" i="7"/>
  <c r="BY900" i="7" s="1"/>
  <c r="BZ900" i="7" s="1"/>
  <c r="BX113" i="7"/>
  <c r="BX1145" i="7"/>
  <c r="BX96" i="7"/>
  <c r="BY96" i="7" s="1"/>
  <c r="BZ96" i="7" s="1"/>
  <c r="BX1094" i="7"/>
  <c r="BX195" i="7"/>
  <c r="BX430" i="7"/>
  <c r="BX991" i="7"/>
  <c r="BX753" i="7"/>
  <c r="BX1305" i="7"/>
  <c r="BY1305" i="7" s="1"/>
  <c r="BZ1305" i="7" s="1"/>
  <c r="BX74" i="7"/>
  <c r="BX1108" i="7"/>
  <c r="BY1108" i="7" s="1"/>
  <c r="BZ1108" i="7" s="1"/>
  <c r="BX595" i="7"/>
  <c r="BY595" i="7" s="1"/>
  <c r="BZ595" i="7" s="1"/>
  <c r="BX360" i="7"/>
  <c r="BY360" i="7" s="1"/>
  <c r="BZ360" i="7" s="1"/>
  <c r="BX250" i="7"/>
  <c r="BX764" i="7"/>
  <c r="BX511" i="7"/>
  <c r="BX48" i="7"/>
  <c r="BY48" i="7" s="1"/>
  <c r="BZ48" i="7" s="1"/>
  <c r="BX520" i="7"/>
  <c r="BY520" i="7" s="1"/>
  <c r="BZ520" i="7" s="1"/>
  <c r="BX1127" i="7"/>
  <c r="BY1127" i="7" s="1"/>
  <c r="BZ1127" i="7" s="1"/>
  <c r="BX282" i="7"/>
  <c r="BX751" i="7"/>
  <c r="BY751" i="7" s="1"/>
  <c r="BZ751" i="7" s="1"/>
  <c r="BX1185" i="7"/>
  <c r="BX33" i="7"/>
  <c r="BX892" i="7"/>
  <c r="BY892" i="7" s="1"/>
  <c r="BZ892" i="7" s="1"/>
  <c r="BX293" i="7"/>
  <c r="BY293" i="7" s="1"/>
  <c r="BZ293" i="7" s="1"/>
  <c r="BX1113" i="7"/>
  <c r="BY1113" i="7" s="1"/>
  <c r="BZ1113" i="7" s="1"/>
  <c r="BX143" i="7"/>
  <c r="BX350" i="7"/>
  <c r="BY350" i="7" s="1"/>
  <c r="BZ350" i="7" s="1"/>
  <c r="BX449" i="7"/>
  <c r="BY449" i="7" s="1"/>
  <c r="BZ449" i="7" s="1"/>
  <c r="BX375" i="7"/>
  <c r="BX445" i="7"/>
  <c r="BX1078" i="7"/>
  <c r="BY1078" i="7" s="1"/>
  <c r="BZ1078" i="7" s="1"/>
  <c r="BX203" i="7"/>
  <c r="BY203" i="7" s="1"/>
  <c r="BZ203" i="7" s="1"/>
  <c r="BX70" i="7"/>
  <c r="BY70" i="7" s="1"/>
  <c r="BZ70" i="7" s="1"/>
  <c r="BX102" i="7"/>
  <c r="BY102" i="7" s="1"/>
  <c r="BZ102" i="7" s="1"/>
  <c r="BX890" i="7"/>
  <c r="BX515" i="7"/>
  <c r="BX224" i="7"/>
  <c r="BY224" i="7" s="1"/>
  <c r="BZ224" i="7" s="1"/>
  <c r="BX1101" i="7"/>
  <c r="BX911" i="7"/>
  <c r="BY911" i="7" s="1"/>
  <c r="BZ911" i="7" s="1"/>
  <c r="BX129" i="7"/>
  <c r="BY129" i="7" s="1"/>
  <c r="BZ129" i="7" s="1"/>
  <c r="BX1080" i="7"/>
  <c r="BY1080" i="7" s="1"/>
  <c r="BZ1080" i="7" s="1"/>
  <c r="BX163" i="7"/>
  <c r="BX104" i="7"/>
  <c r="BY104" i="7" s="1"/>
  <c r="BZ104" i="7" s="1"/>
  <c r="BX1104" i="7"/>
  <c r="BY1104" i="7" s="1"/>
  <c r="BZ1104" i="7" s="1"/>
  <c r="BX55" i="7"/>
  <c r="BX1210" i="7"/>
  <c r="BX829" i="7"/>
  <c r="BY829" i="7" s="1"/>
  <c r="BZ829" i="7" s="1"/>
  <c r="BX193" i="7"/>
  <c r="BX894" i="7"/>
  <c r="BY894" i="7" s="1"/>
  <c r="BZ894" i="7" s="1"/>
  <c r="BX885" i="7"/>
  <c r="BY885" i="7" s="1"/>
  <c r="BZ885" i="7" s="1"/>
  <c r="BX768" i="7"/>
  <c r="BY768" i="7" s="1"/>
  <c r="BZ768" i="7" s="1"/>
  <c r="BX73" i="7"/>
  <c r="BY73" i="7" s="1"/>
  <c r="BZ73" i="7" s="1"/>
  <c r="BX1111" i="7"/>
  <c r="BY1111" i="7" s="1"/>
  <c r="BZ1111" i="7" s="1"/>
  <c r="BX755" i="7"/>
  <c r="BY755" i="7" s="1"/>
  <c r="BZ755" i="7" s="1"/>
  <c r="BX756" i="7"/>
  <c r="BY756" i="7" s="1"/>
  <c r="BZ756" i="7" s="1"/>
  <c r="BX99" i="7"/>
  <c r="BY99" i="7" s="1"/>
  <c r="BZ99" i="7" s="1"/>
  <c r="BX822" i="7"/>
  <c r="BY822" i="7" s="1"/>
  <c r="BZ822" i="7" s="1"/>
  <c r="BX446" i="7"/>
  <c r="BX23" i="7"/>
  <c r="BY23" i="7" s="1"/>
  <c r="BZ23" i="7" s="1"/>
  <c r="BX1118" i="7"/>
  <c r="BY1118" i="7" s="1"/>
  <c r="BZ1118" i="7" s="1"/>
  <c r="BX455" i="7"/>
  <c r="BX24" i="7"/>
  <c r="BX677" i="7"/>
  <c r="BX1120" i="7"/>
  <c r="BX220" i="7"/>
  <c r="BY220" i="7" s="1"/>
  <c r="BZ220" i="7" s="1"/>
  <c r="BX35" i="7"/>
  <c r="BY35" i="7" s="1"/>
  <c r="BZ35" i="7" s="1"/>
  <c r="BX236" i="7"/>
  <c r="BX602" i="7"/>
  <c r="BY602" i="7" s="1"/>
  <c r="BZ602" i="7" s="1"/>
  <c r="BX222" i="7"/>
  <c r="BY222" i="7" s="1"/>
  <c r="BZ222" i="7" s="1"/>
  <c r="BX442" i="7"/>
  <c r="BY442" i="7" s="1"/>
  <c r="BZ442" i="7" s="1"/>
  <c r="BX1117" i="7"/>
  <c r="BX244" i="7"/>
  <c r="BY244" i="7" s="1"/>
  <c r="BZ244" i="7" s="1"/>
  <c r="BX69" i="7"/>
  <c r="X32" i="7"/>
  <c r="Y32" i="7" s="1"/>
  <c r="Z32" i="7" s="1"/>
  <c r="BX985" i="7"/>
  <c r="BY985" i="7" s="1"/>
  <c r="BZ985" i="7" s="1"/>
  <c r="BX68" i="7"/>
  <c r="BY68" i="7" s="1"/>
  <c r="BZ68" i="7" s="1"/>
  <c r="BX294" i="7"/>
  <c r="BX866" i="7"/>
  <c r="BX205" i="7"/>
  <c r="BX112" i="7"/>
  <c r="BY112" i="7" s="1"/>
  <c r="BZ112" i="7" s="1"/>
  <c r="BX1002" i="7"/>
  <c r="BY1002" i="7" s="1"/>
  <c r="BZ1002" i="7" s="1"/>
  <c r="BX690" i="7"/>
  <c r="BX63" i="7"/>
  <c r="BY63" i="7" s="1"/>
  <c r="BZ63" i="7" s="1"/>
  <c r="BX862" i="7"/>
  <c r="BX30" i="7"/>
  <c r="BX517" i="7"/>
  <c r="BY517" i="7" s="1"/>
  <c r="BZ517" i="7" s="1"/>
  <c r="BX348" i="7"/>
  <c r="BY348" i="7" s="1"/>
  <c r="BZ348" i="7" s="1"/>
  <c r="BX1197" i="7"/>
  <c r="BX526" i="7"/>
  <c r="BX860" i="7"/>
  <c r="BY860" i="7" s="1"/>
  <c r="BZ860" i="7" s="1"/>
  <c r="BX588" i="7"/>
  <c r="BY588" i="7" s="1"/>
  <c r="BZ588" i="7" s="1"/>
  <c r="BX64" i="7"/>
  <c r="BX1093" i="7"/>
  <c r="BY1093" i="7" s="1"/>
  <c r="BZ1093" i="7" s="1"/>
  <c r="BX192" i="7"/>
  <c r="BY192" i="7" s="1"/>
  <c r="BZ192" i="7" s="1"/>
  <c r="BX1249" i="7"/>
  <c r="BY1249" i="7" s="1"/>
  <c r="BZ1249" i="7" s="1"/>
  <c r="BX66" i="7"/>
  <c r="BX684" i="7"/>
  <c r="BY684" i="7" s="1"/>
  <c r="BZ684" i="7" s="1"/>
  <c r="BX523" i="7"/>
  <c r="BY523" i="7" s="1"/>
  <c r="BZ523" i="7" s="1"/>
  <c r="BX141" i="7"/>
  <c r="BY141" i="7" s="1"/>
  <c r="BZ141" i="7" s="1"/>
  <c r="BY838" i="7"/>
  <c r="BZ838" i="7" s="1"/>
  <c r="BY568" i="7"/>
  <c r="BZ568" i="7" s="1"/>
  <c r="BY417" i="7"/>
  <c r="BZ417" i="7" s="1"/>
  <c r="BY864" i="7"/>
  <c r="BZ864" i="7" s="1"/>
  <c r="BY361" i="7"/>
  <c r="BZ361" i="7" s="1"/>
  <c r="BY730" i="7"/>
  <c r="BZ730" i="7" s="1"/>
  <c r="BY91" i="7"/>
  <c r="BZ91" i="7" s="1"/>
  <c r="BY1207" i="7"/>
  <c r="BZ1207" i="7" s="1"/>
  <c r="BY92" i="7"/>
  <c r="BZ92" i="7" s="1"/>
  <c r="BY264" i="7"/>
  <c r="BZ264" i="7" s="1"/>
  <c r="BY986" i="7"/>
  <c r="BZ986" i="7" s="1"/>
  <c r="BY38" i="7"/>
  <c r="BZ38" i="7" s="1"/>
  <c r="BY272" i="7"/>
  <c r="BZ272" i="7" s="1"/>
  <c r="BY957" i="7"/>
  <c r="BZ957" i="7" s="1"/>
  <c r="BY728" i="7"/>
  <c r="BZ728" i="7" s="1"/>
  <c r="BY1063" i="7"/>
  <c r="BZ1063" i="7" s="1"/>
  <c r="BY1287" i="7"/>
  <c r="BZ1287" i="7" s="1"/>
  <c r="BY1140" i="7"/>
  <c r="BZ1140" i="7" s="1"/>
  <c r="BY1100" i="7"/>
  <c r="BZ1100" i="7" s="1"/>
  <c r="BY1165" i="7"/>
  <c r="BZ1165" i="7" s="1"/>
  <c r="BY804" i="7"/>
  <c r="BZ804" i="7" s="1"/>
  <c r="BY775" i="7"/>
  <c r="BZ775" i="7" s="1"/>
  <c r="BY648" i="7"/>
  <c r="BZ648" i="7" s="1"/>
  <c r="BY487" i="7"/>
  <c r="BZ487" i="7" s="1"/>
  <c r="BY75" i="7"/>
  <c r="BZ75" i="7" s="1"/>
  <c r="BY866" i="7"/>
  <c r="BZ866" i="7" s="1"/>
  <c r="BY420" i="7"/>
  <c r="BZ420" i="7" s="1"/>
  <c r="BY483" i="7"/>
  <c r="BZ483" i="7" s="1"/>
  <c r="BY503" i="7"/>
  <c r="BZ503" i="7" s="1"/>
  <c r="BY1210" i="7"/>
  <c r="BZ1210" i="7" s="1"/>
  <c r="BY307" i="7"/>
  <c r="BZ307" i="7" s="1"/>
  <c r="BY1185" i="7"/>
  <c r="BZ1185" i="7" s="1"/>
  <c r="BY473" i="7"/>
  <c r="BZ473" i="7" s="1"/>
  <c r="BY445" i="7"/>
  <c r="BZ445" i="7" s="1"/>
  <c r="BY1037" i="7"/>
  <c r="BZ1037" i="7" s="1"/>
  <c r="BY385" i="7"/>
  <c r="BZ385" i="7" s="1"/>
  <c r="BY934" i="7"/>
  <c r="BZ934" i="7" s="1"/>
  <c r="BY399" i="7"/>
  <c r="BZ399" i="7" s="1"/>
  <c r="BY534" i="7"/>
  <c r="BZ534" i="7" s="1"/>
  <c r="BY123" i="7"/>
  <c r="BZ123" i="7" s="1"/>
  <c r="BY932" i="7"/>
  <c r="BZ932" i="7" s="1"/>
  <c r="BY599" i="7"/>
  <c r="BZ599" i="7" s="1"/>
  <c r="BY881" i="7"/>
  <c r="BZ881" i="7" s="1"/>
  <c r="BY95" i="7"/>
  <c r="BZ95" i="7" s="1"/>
  <c r="BY53" i="7"/>
  <c r="BZ53" i="7" s="1"/>
  <c r="BY250" i="7"/>
  <c r="BZ250" i="7" s="1"/>
  <c r="BY1295" i="7"/>
  <c r="BZ1295" i="7" s="1"/>
  <c r="BY703" i="7"/>
  <c r="BZ703" i="7" s="1"/>
  <c r="BY982" i="7"/>
  <c r="BZ982" i="7" s="1"/>
  <c r="BY127" i="7"/>
  <c r="BZ127" i="7" s="1"/>
  <c r="BY1030" i="7"/>
  <c r="BZ1030" i="7" s="1"/>
  <c r="BY446" i="7"/>
  <c r="BZ446" i="7" s="1"/>
  <c r="BY218" i="7"/>
  <c r="BZ218" i="7" s="1"/>
  <c r="BY579" i="7"/>
  <c r="BZ579" i="7" s="1"/>
  <c r="BY322" i="7"/>
  <c r="BZ322" i="7" s="1"/>
  <c r="BY209" i="7"/>
  <c r="BZ209" i="7" s="1"/>
  <c r="BY432" i="7"/>
  <c r="BZ432" i="7" s="1"/>
  <c r="BY1251" i="7"/>
  <c r="BZ1251" i="7" s="1"/>
  <c r="BY16" i="7"/>
  <c r="BZ16" i="7" s="1"/>
  <c r="BY1057" i="7"/>
  <c r="BZ1057" i="7" s="1"/>
  <c r="BY930" i="7"/>
  <c r="BZ930" i="7" s="1"/>
  <c r="BY1009" i="7"/>
  <c r="BZ1009" i="7" s="1"/>
  <c r="BY745" i="7"/>
  <c r="BZ745" i="7" s="1"/>
  <c r="BY55" i="7"/>
  <c r="BZ55" i="7" s="1"/>
  <c r="BY1086" i="7"/>
  <c r="BZ1086" i="7" s="1"/>
  <c r="BY953" i="7"/>
  <c r="BZ953" i="7" s="1"/>
  <c r="BY708" i="7"/>
  <c r="BZ708" i="7" s="1"/>
  <c r="BY1191" i="7"/>
  <c r="BZ1191" i="7" s="1"/>
  <c r="BY625" i="7"/>
  <c r="BZ625" i="7" s="1"/>
  <c r="BY1156" i="7"/>
  <c r="BZ1156" i="7" s="1"/>
  <c r="BY561" i="7"/>
  <c r="BZ561" i="7" s="1"/>
  <c r="BY634" i="7"/>
  <c r="BZ634" i="7" s="1"/>
  <c r="BY88" i="7"/>
  <c r="BZ88" i="7" s="1"/>
  <c r="BY168" i="7"/>
  <c r="BZ168" i="7" s="1"/>
  <c r="BY1190" i="7"/>
  <c r="BZ1190" i="7" s="1"/>
  <c r="BY178" i="7"/>
  <c r="BZ178" i="7" s="1"/>
  <c r="BY375" i="7"/>
  <c r="BZ375" i="7" s="1"/>
  <c r="BY819" i="7"/>
  <c r="BZ819" i="7" s="1"/>
  <c r="BY452" i="7"/>
  <c r="BZ452" i="7" s="1"/>
  <c r="BY995" i="7"/>
  <c r="BZ995" i="7" s="1"/>
  <c r="BY14" i="7"/>
  <c r="BZ14" i="7" s="1"/>
  <c r="BY1033" i="7"/>
  <c r="BZ1033" i="7" s="1"/>
  <c r="BY812" i="7"/>
  <c r="BZ812" i="7" s="1"/>
  <c r="BY15" i="7"/>
  <c r="BZ15" i="7" s="1"/>
  <c r="BY455" i="7"/>
  <c r="BZ455" i="7" s="1"/>
  <c r="BY807" i="7"/>
  <c r="BZ807" i="7" s="1"/>
  <c r="BY504" i="7"/>
  <c r="BZ504" i="7" s="1"/>
  <c r="BY511" i="7"/>
  <c r="BZ511" i="7" s="1"/>
  <c r="BY1028" i="7"/>
  <c r="BZ1028" i="7" s="1"/>
  <c r="BY359" i="7"/>
  <c r="BZ359" i="7" s="1"/>
  <c r="BY571" i="7"/>
  <c r="BZ571" i="7" s="1"/>
  <c r="BY759" i="7"/>
  <c r="BZ759" i="7" s="1"/>
  <c r="BY1174" i="7"/>
  <c r="BZ1174" i="7" s="1"/>
  <c r="BY81" i="7"/>
  <c r="BZ81" i="7" s="1"/>
  <c r="BY1084" i="7"/>
  <c r="BZ1084" i="7" s="1"/>
  <c r="BY436" i="7"/>
  <c r="BZ436" i="7" s="1"/>
  <c r="BY740" i="7"/>
  <c r="BZ740" i="7" s="1"/>
  <c r="BY1039" i="7"/>
  <c r="BZ1039" i="7" s="1"/>
  <c r="BY324" i="7"/>
  <c r="BZ324" i="7" s="1"/>
  <c r="BY335" i="7"/>
  <c r="BZ335" i="7" s="1"/>
  <c r="BY163" i="7"/>
  <c r="BZ163" i="7" s="1"/>
  <c r="BY37" i="7"/>
  <c r="BZ37" i="7" s="1"/>
  <c r="BY1153" i="7"/>
  <c r="BZ1153" i="7" s="1"/>
  <c r="BY805" i="7"/>
  <c r="BZ805" i="7" s="1"/>
  <c r="BY1003" i="7"/>
  <c r="BZ1003" i="7" s="1"/>
  <c r="BY22" i="7"/>
  <c r="BZ22" i="7" s="1"/>
  <c r="BY305" i="7"/>
  <c r="BZ305" i="7" s="1"/>
  <c r="BY906" i="7"/>
  <c r="BZ906" i="7" s="1"/>
  <c r="BY87" i="7"/>
  <c r="BZ87" i="7" s="1"/>
  <c r="BY773" i="7"/>
  <c r="BZ773" i="7" s="1"/>
  <c r="BY1106" i="7"/>
  <c r="BZ1106" i="7" s="1"/>
  <c r="BY308" i="7"/>
  <c r="BZ308" i="7" s="1"/>
  <c r="BY227" i="7"/>
  <c r="BZ227" i="7" s="1"/>
  <c r="BY383" i="7"/>
  <c r="BZ383" i="7" s="1"/>
  <c r="BY116" i="7"/>
  <c r="BZ116" i="7" s="1"/>
  <c r="BY884" i="7"/>
  <c r="BZ884" i="7" s="1"/>
  <c r="BY793" i="7"/>
  <c r="BZ793" i="7" s="1"/>
  <c r="BY330" i="7"/>
  <c r="BZ330" i="7" s="1"/>
  <c r="BY996" i="7"/>
  <c r="BZ996" i="7" s="1"/>
  <c r="BY799" i="7"/>
  <c r="BZ799" i="7" s="1"/>
  <c r="BY757" i="7"/>
  <c r="BZ757" i="7" s="1"/>
  <c r="BY544" i="7"/>
  <c r="BZ544" i="7" s="1"/>
  <c r="BY310" i="7"/>
  <c r="BZ310" i="7" s="1"/>
  <c r="BY389" i="7"/>
  <c r="BZ389" i="7" s="1"/>
  <c r="BY583" i="7"/>
  <c r="BZ583" i="7" s="1"/>
  <c r="BY405" i="7"/>
  <c r="BZ405" i="7" s="1"/>
  <c r="BY1227" i="7"/>
  <c r="BZ1227" i="7" s="1"/>
  <c r="BY833" i="7"/>
  <c r="BZ833" i="7" s="1"/>
  <c r="BY526" i="7"/>
  <c r="BZ526" i="7" s="1"/>
  <c r="BY650" i="7"/>
  <c r="BZ650" i="7" s="1"/>
  <c r="BY1145" i="7"/>
  <c r="BZ1145" i="7" s="1"/>
  <c r="BY396" i="7"/>
  <c r="BZ396" i="7" s="1"/>
  <c r="BY269" i="7"/>
  <c r="BZ269" i="7" s="1"/>
  <c r="BY301" i="7"/>
  <c r="BZ301" i="7" s="1"/>
  <c r="BY620" i="7"/>
  <c r="BZ620" i="7" s="1"/>
  <c r="BY50" i="7"/>
  <c r="BZ50" i="7" s="1"/>
  <c r="BY1279" i="7"/>
  <c r="BZ1279" i="7" s="1"/>
  <c r="BY587" i="7"/>
  <c r="BZ587" i="7" s="1"/>
  <c r="BY238" i="7"/>
  <c r="BZ238" i="7" s="1"/>
  <c r="BY1244" i="7"/>
  <c r="BZ1244" i="7" s="1"/>
  <c r="BY613" i="7"/>
  <c r="BZ613" i="7" s="1"/>
  <c r="BY647" i="7"/>
  <c r="BZ647" i="7" s="1"/>
  <c r="BY1136" i="7"/>
  <c r="BZ1136" i="7" s="1"/>
  <c r="BY1211" i="7"/>
  <c r="BZ1211" i="7" s="1"/>
  <c r="BY349" i="7"/>
  <c r="BZ349" i="7" s="1"/>
  <c r="BY241" i="7"/>
  <c r="BZ241" i="7" s="1"/>
  <c r="BY245" i="7"/>
  <c r="BZ245" i="7" s="1"/>
  <c r="BY292" i="7"/>
  <c r="BZ292" i="7" s="1"/>
  <c r="BY17" i="7"/>
  <c r="BZ17" i="7" s="1"/>
  <c r="BY564" i="7"/>
  <c r="BZ564" i="7" s="1"/>
  <c r="BY320" i="7"/>
  <c r="BZ320" i="7" s="1"/>
  <c r="BY248" i="7"/>
  <c r="BZ248" i="7" s="1"/>
  <c r="BY779" i="7"/>
  <c r="BZ779" i="7" s="1"/>
  <c r="BY874" i="7"/>
  <c r="BZ874" i="7" s="1"/>
  <c r="BY1231" i="7"/>
  <c r="BZ1231" i="7" s="1"/>
  <c r="BY952" i="7"/>
  <c r="BZ952" i="7" s="1"/>
  <c r="BY623" i="7"/>
  <c r="BZ623" i="7" s="1"/>
  <c r="BY638" i="7"/>
  <c r="BZ638" i="7" s="1"/>
  <c r="BY140" i="7"/>
  <c r="BZ140" i="7" s="1"/>
  <c r="BY1213" i="7"/>
  <c r="BZ1213" i="7" s="1"/>
  <c r="BY1229" i="7"/>
  <c r="BZ1229" i="7" s="1"/>
  <c r="BY371" i="7"/>
  <c r="BZ371" i="7" s="1"/>
  <c r="BY551" i="7"/>
  <c r="BZ551" i="7" s="1"/>
  <c r="BY128" i="7"/>
  <c r="BZ128" i="7" s="1"/>
  <c r="BY962" i="7"/>
  <c r="BZ962" i="7" s="1"/>
  <c r="BY65" i="7"/>
  <c r="BZ65" i="7" s="1"/>
  <c r="BY686" i="7"/>
  <c r="BZ686" i="7" s="1"/>
  <c r="BY1000" i="7"/>
  <c r="BZ1000" i="7" s="1"/>
  <c r="BY722" i="7"/>
  <c r="BZ722" i="7" s="1"/>
  <c r="BY869" i="7"/>
  <c r="BZ869" i="7" s="1"/>
  <c r="BY760" i="7"/>
  <c r="BZ760" i="7" s="1"/>
  <c r="BY1292" i="7"/>
  <c r="BZ1292" i="7" s="1"/>
  <c r="BY174" i="7"/>
  <c r="BZ174" i="7" s="1"/>
  <c r="BY573" i="7"/>
  <c r="BZ573" i="7" s="1"/>
  <c r="BY59" i="7"/>
  <c r="BZ59" i="7" s="1"/>
  <c r="BY847" i="7"/>
  <c r="BZ847" i="7" s="1"/>
  <c r="BY609" i="7"/>
  <c r="BZ609" i="7" s="1"/>
  <c r="BY186" i="7"/>
  <c r="BZ186" i="7" s="1"/>
  <c r="BY392" i="7"/>
  <c r="BZ392" i="7" s="1"/>
  <c r="BY453" i="7"/>
  <c r="BZ453" i="7" s="1"/>
  <c r="BY798" i="7"/>
  <c r="BZ798" i="7" s="1"/>
  <c r="BY260" i="7"/>
  <c r="BZ260" i="7" s="1"/>
  <c r="BY1144" i="7"/>
  <c r="BZ1144" i="7" s="1"/>
  <c r="BY662" i="7"/>
  <c r="BZ662" i="7" s="1"/>
  <c r="BY954" i="7"/>
  <c r="BZ954" i="7" s="1"/>
  <c r="BY830" i="7"/>
  <c r="BZ830" i="7" s="1"/>
  <c r="BY1020" i="7"/>
  <c r="BZ1020" i="7" s="1"/>
  <c r="BY26" i="7"/>
  <c r="BZ26" i="7" s="1"/>
  <c r="BY941" i="7"/>
  <c r="BZ941" i="7" s="1"/>
  <c r="BY1241" i="7"/>
  <c r="BZ1241" i="7" s="1"/>
  <c r="BY1289" i="7"/>
  <c r="BZ1289" i="7" s="1"/>
  <c r="BY21" i="7"/>
  <c r="BZ21" i="7" s="1"/>
  <c r="BY956" i="7"/>
  <c r="BZ956" i="7" s="1"/>
  <c r="BY284" i="7"/>
  <c r="BZ284" i="7" s="1"/>
  <c r="BY689" i="7"/>
  <c r="BZ689" i="7" s="1"/>
  <c r="BY353" i="7"/>
  <c r="BZ353" i="7" s="1"/>
  <c r="BY110" i="7"/>
  <c r="BZ110" i="7" s="1"/>
  <c r="BY628" i="7"/>
  <c r="BZ628" i="7" s="1"/>
  <c r="BY789" i="7"/>
  <c r="BZ789" i="7" s="1"/>
  <c r="BY425" i="7"/>
  <c r="BZ425" i="7" s="1"/>
  <c r="BY137" i="7"/>
  <c r="BZ137" i="7" s="1"/>
  <c r="BY276" i="7"/>
  <c r="BZ276" i="7" s="1"/>
  <c r="BY242" i="7"/>
  <c r="BZ242" i="7" s="1"/>
  <c r="BY30" i="7"/>
  <c r="BZ30" i="7" s="1"/>
  <c r="BY1219" i="7"/>
  <c r="BZ1219" i="7" s="1"/>
  <c r="BY236" i="7"/>
  <c r="BZ236" i="7" s="1"/>
  <c r="BY876" i="7"/>
  <c r="BZ876" i="7" s="1"/>
  <c r="BY626" i="7"/>
  <c r="BZ626" i="7" s="1"/>
  <c r="BY333" i="7"/>
  <c r="BZ333" i="7" s="1"/>
  <c r="BY855" i="7"/>
  <c r="BZ855" i="7" s="1"/>
  <c r="BY398" i="7"/>
  <c r="BZ398" i="7" s="1"/>
  <c r="BY57" i="7"/>
  <c r="BZ57" i="7" s="1"/>
  <c r="BY278" i="7"/>
  <c r="BZ278" i="7" s="1"/>
  <c r="BY107" i="7"/>
  <c r="BZ107" i="7" s="1"/>
  <c r="BY1137" i="7"/>
  <c r="BZ1137" i="7" s="1"/>
  <c r="BY1027" i="7"/>
  <c r="BZ1027" i="7" s="1"/>
  <c r="BY863" i="7"/>
  <c r="BZ863" i="7" s="1"/>
  <c r="BY856" i="7"/>
  <c r="BZ856" i="7" s="1"/>
  <c r="BY1087" i="7"/>
  <c r="BZ1087" i="7" s="1"/>
  <c r="BY1004" i="7"/>
  <c r="BZ1004" i="7" s="1"/>
  <c r="BY294" i="7"/>
  <c r="BZ294" i="7" s="1"/>
  <c r="BY868" i="7"/>
  <c r="BZ868" i="7" s="1"/>
  <c r="BY727" i="7"/>
  <c r="BZ727" i="7" s="1"/>
  <c r="BY1071" i="7"/>
  <c r="BZ1071" i="7" s="1"/>
  <c r="BY553" i="7"/>
  <c r="BZ553" i="7" s="1"/>
  <c r="BY1204" i="7"/>
  <c r="BZ1204" i="7" s="1"/>
  <c r="BY818" i="7"/>
  <c r="BZ818" i="7" s="1"/>
  <c r="BY1019" i="7"/>
  <c r="BZ1019" i="7" s="1"/>
  <c r="BY226" i="7"/>
  <c r="BZ226" i="7" s="1"/>
  <c r="BY1123" i="7"/>
  <c r="BZ1123" i="7" s="1"/>
  <c r="BY1290" i="7"/>
  <c r="BZ1290" i="7" s="1"/>
  <c r="BY983" i="7"/>
  <c r="BZ983" i="7" s="1"/>
  <c r="BY797" i="7"/>
  <c r="BZ797" i="7" s="1"/>
  <c r="BY837" i="7"/>
  <c r="BZ837" i="7" s="1"/>
  <c r="BY1115" i="7"/>
  <c r="BZ1115" i="7" s="1"/>
  <c r="BY1293" i="7"/>
  <c r="BZ1293" i="7" s="1"/>
  <c r="BY62" i="7"/>
  <c r="BZ62" i="7" s="1"/>
  <c r="BY1195" i="7"/>
  <c r="BZ1195" i="7" s="1"/>
  <c r="BY701" i="7"/>
  <c r="BZ701" i="7" s="1"/>
  <c r="BY965" i="7"/>
  <c r="BZ965" i="7" s="1"/>
  <c r="BY270" i="7"/>
  <c r="BZ270" i="7" s="1"/>
  <c r="BY152" i="7"/>
  <c r="BZ152" i="7" s="1"/>
  <c r="BY1101" i="7"/>
  <c r="BZ1101" i="7" s="1"/>
  <c r="BY328" i="7"/>
  <c r="BZ328" i="7" s="1"/>
  <c r="BY618" i="7"/>
  <c r="BZ618" i="7" s="1"/>
  <c r="BY176" i="7"/>
  <c r="BZ176" i="7" s="1"/>
  <c r="BY458" i="7"/>
  <c r="BZ458" i="7" s="1"/>
  <c r="BY890" i="7"/>
  <c r="BZ890" i="7" s="1"/>
  <c r="BY67" i="7"/>
  <c r="BZ67" i="7" s="1"/>
  <c r="BY280" i="7"/>
  <c r="BZ280" i="7" s="1"/>
  <c r="BY570" i="7"/>
  <c r="BZ570" i="7" s="1"/>
  <c r="BY1082" i="7"/>
  <c r="BZ1082" i="7" s="1"/>
  <c r="BY858" i="7"/>
  <c r="BZ858" i="7" s="1"/>
  <c r="BY543" i="7"/>
  <c r="BZ543" i="7" s="1"/>
  <c r="BY723" i="7"/>
  <c r="BZ723" i="7" s="1"/>
  <c r="BY39" i="7"/>
  <c r="BZ39" i="7" s="1"/>
  <c r="BY1291" i="7"/>
  <c r="BZ1291" i="7" s="1"/>
  <c r="BY893" i="7"/>
  <c r="BZ893" i="7" s="1"/>
  <c r="BY948" i="7"/>
  <c r="BZ948" i="7" s="1"/>
  <c r="BY193" i="7"/>
  <c r="BZ193" i="7" s="1"/>
  <c r="BY1072" i="7"/>
  <c r="BZ1072" i="7" s="1"/>
  <c r="BY290" i="7"/>
  <c r="BZ290" i="7" s="1"/>
  <c r="BY844" i="7"/>
  <c r="BZ844" i="7" s="1"/>
  <c r="BY870" i="7"/>
  <c r="BZ870" i="7" s="1"/>
  <c r="BY781" i="7"/>
  <c r="BZ781" i="7" s="1"/>
  <c r="BY365" i="7"/>
  <c r="BZ365" i="7" s="1"/>
  <c r="BY574" i="7"/>
  <c r="BZ574" i="7" s="1"/>
  <c r="BY119" i="7"/>
  <c r="BZ119" i="7" s="1"/>
  <c r="BY1240" i="7"/>
  <c r="BZ1240" i="7" s="1"/>
  <c r="BY49" i="7"/>
  <c r="BZ49" i="7" s="1"/>
  <c r="BY54" i="7"/>
  <c r="BZ54" i="7" s="1"/>
  <c r="BY1259" i="7"/>
  <c r="BZ1259" i="7" s="1"/>
  <c r="BY697" i="7"/>
  <c r="BZ697" i="7" s="1"/>
  <c r="BY413" i="7"/>
  <c r="BZ413" i="7" s="1"/>
  <c r="BY189" i="7"/>
  <c r="BZ189" i="7" s="1"/>
  <c r="BY1239" i="7"/>
  <c r="BZ1239" i="7" s="1"/>
  <c r="BY786" i="7"/>
  <c r="BZ786" i="7" s="1"/>
  <c r="BY615" i="7"/>
  <c r="BZ615" i="7" s="1"/>
  <c r="BY1138" i="7"/>
  <c r="BZ1138" i="7" s="1"/>
  <c r="BY825" i="7"/>
  <c r="BZ825" i="7" s="1"/>
  <c r="BY69" i="7"/>
  <c r="BZ69" i="7" s="1"/>
  <c r="BY988" i="7"/>
  <c r="BZ988" i="7" s="1"/>
  <c r="BY490" i="7"/>
  <c r="BZ490" i="7" s="1"/>
  <c r="BY747" i="7"/>
  <c r="BZ747" i="7" s="1"/>
  <c r="BY943" i="7"/>
  <c r="BZ943" i="7" s="1"/>
  <c r="BY160" i="7"/>
  <c r="BZ160" i="7" s="1"/>
  <c r="BY426" i="7"/>
  <c r="BZ426" i="7" s="1"/>
  <c r="BY433" i="7"/>
  <c r="BZ433" i="7" s="1"/>
  <c r="BY175" i="7"/>
  <c r="BZ175" i="7" s="1"/>
  <c r="BY1142" i="7"/>
  <c r="BZ1142" i="7" s="1"/>
  <c r="BY702" i="7"/>
  <c r="BZ702" i="7" s="1"/>
  <c r="BY718" i="7"/>
  <c r="BZ718" i="7" s="1"/>
  <c r="BY637" i="7"/>
  <c r="BZ637" i="7" s="1"/>
  <c r="BY421" i="7"/>
  <c r="BZ421" i="7" s="1"/>
  <c r="BY450" i="7"/>
  <c r="BZ450" i="7" s="1"/>
  <c r="BY938" i="7"/>
  <c r="BZ938" i="7" s="1"/>
  <c r="BY1070" i="7"/>
  <c r="BZ1070" i="7" s="1"/>
  <c r="BY121" i="7"/>
  <c r="BZ121" i="7" s="1"/>
  <c r="BY1248" i="7"/>
  <c r="BZ1248" i="7" s="1"/>
  <c r="BY247" i="7"/>
  <c r="BZ247" i="7" s="1"/>
  <c r="BY916" i="7"/>
  <c r="BZ916" i="7" s="1"/>
  <c r="BY1263" i="7"/>
  <c r="BZ1263" i="7" s="1"/>
  <c r="BY784" i="7"/>
  <c r="BZ784" i="7" s="1"/>
  <c r="BY605" i="7"/>
  <c r="BZ605" i="7" s="1"/>
  <c r="BY1261" i="7"/>
  <c r="BZ1261" i="7" s="1"/>
  <c r="BY1148" i="7"/>
  <c r="BZ1148" i="7" s="1"/>
  <c r="BY724" i="7"/>
  <c r="BZ724" i="7" s="1"/>
  <c r="BY52" i="7"/>
  <c r="BZ52" i="7" s="1"/>
  <c r="BY1061" i="7"/>
  <c r="BZ1061" i="7" s="1"/>
  <c r="BY1046" i="7"/>
  <c r="BZ1046" i="7" s="1"/>
  <c r="BY935" i="7"/>
  <c r="BZ935" i="7" s="1"/>
  <c r="BY585" i="7"/>
  <c r="BZ585" i="7" s="1"/>
  <c r="BY505" i="7"/>
  <c r="BZ505" i="7" s="1"/>
  <c r="BY300" i="7"/>
  <c r="BZ300" i="7" s="1"/>
  <c r="BY378" i="7"/>
  <c r="BZ378" i="7" s="1"/>
  <c r="BY968" i="7"/>
  <c r="BZ968" i="7" s="1"/>
  <c r="BY846" i="7"/>
  <c r="BZ846" i="7" s="1"/>
  <c r="BY895" i="7"/>
  <c r="BZ895" i="7" s="1"/>
  <c r="BY82" i="7"/>
  <c r="BZ82" i="7" s="1"/>
  <c r="BY776" i="7"/>
  <c r="BZ776" i="7" s="1"/>
  <c r="BY913" i="7"/>
  <c r="BZ913" i="7" s="1"/>
  <c r="BY78" i="7"/>
  <c r="BZ78" i="7" s="1"/>
  <c r="BY731" i="7"/>
  <c r="BZ731" i="7" s="1"/>
  <c r="BY159" i="7"/>
  <c r="BZ159" i="7" s="1"/>
  <c r="BY71" i="7"/>
  <c r="BZ71" i="7" s="1"/>
  <c r="BY85" i="7"/>
  <c r="BZ85" i="7" s="1"/>
  <c r="BY508" i="7"/>
  <c r="BZ508" i="7" s="1"/>
  <c r="BY979" i="7"/>
  <c r="BZ979" i="7" s="1"/>
  <c r="BY1220" i="7"/>
  <c r="BZ1220" i="7" s="1"/>
  <c r="BY1199" i="7"/>
  <c r="BZ1199" i="7" s="1"/>
  <c r="BY1226" i="7"/>
  <c r="BZ1226" i="7" s="1"/>
  <c r="BY1038" i="7"/>
  <c r="BZ1038" i="7" s="1"/>
  <c r="BY1064" i="7"/>
  <c r="BZ1064" i="7" s="1"/>
  <c r="BY715" i="7"/>
  <c r="BZ715" i="7" s="1"/>
  <c r="BY1114" i="7"/>
  <c r="BZ1114" i="7" s="1"/>
  <c r="BY229" i="7"/>
  <c r="BZ229" i="7" s="1"/>
  <c r="BY457" i="7"/>
  <c r="BZ457" i="7" s="1"/>
  <c r="BY1050" i="7"/>
  <c r="BZ1050" i="7" s="1"/>
  <c r="BY339" i="7"/>
  <c r="BZ339" i="7" s="1"/>
  <c r="BY624" i="7"/>
  <c r="BZ624" i="7" s="1"/>
  <c r="BY586" i="7"/>
  <c r="BZ586" i="7" s="1"/>
  <c r="BY1120" i="7"/>
  <c r="BZ1120" i="7" s="1"/>
  <c r="BY670" i="7"/>
  <c r="BZ670" i="7" s="1"/>
  <c r="BY114" i="7"/>
  <c r="BZ114" i="7" s="1"/>
  <c r="BY1268" i="7"/>
  <c r="BZ1268" i="7" s="1"/>
  <c r="BY559" i="7"/>
  <c r="BZ559" i="7" s="1"/>
  <c r="BY459" i="7"/>
  <c r="BZ459" i="7" s="1"/>
  <c r="BY809" i="7"/>
  <c r="BZ809" i="7" s="1"/>
  <c r="BY1182" i="7"/>
  <c r="BZ1182" i="7" s="1"/>
  <c r="BY194" i="7"/>
  <c r="BZ194" i="7" s="1"/>
  <c r="BY591" i="7"/>
  <c r="BZ591" i="7" s="1"/>
  <c r="BY1117" i="7"/>
  <c r="BZ1117" i="7" s="1"/>
  <c r="BY1155" i="7"/>
  <c r="BZ1155" i="7" s="1"/>
  <c r="BY575" i="7"/>
  <c r="BZ575" i="7" s="1"/>
  <c r="BY603" i="7"/>
  <c r="BZ603" i="7" s="1"/>
  <c r="BY633" i="7"/>
  <c r="BZ633" i="7" s="1"/>
  <c r="BY875" i="7"/>
  <c r="BZ875" i="7" s="1"/>
  <c r="BY206" i="7"/>
  <c r="BZ206" i="7" s="1"/>
  <c r="BY1075" i="7"/>
  <c r="BZ1075" i="7" s="1"/>
  <c r="BY1141" i="7"/>
  <c r="BZ1141" i="7" s="1"/>
  <c r="BY41" i="7"/>
  <c r="BZ41" i="7" s="1"/>
  <c r="BY120" i="7"/>
  <c r="BZ120" i="7" s="1"/>
  <c r="BY382" i="7"/>
  <c r="BZ382" i="7" s="1"/>
  <c r="BY1001" i="7"/>
  <c r="BZ1001" i="7" s="1"/>
  <c r="BY753" i="7"/>
  <c r="BZ753" i="7" s="1"/>
  <c r="BY345" i="7"/>
  <c r="BZ345" i="7" s="1"/>
  <c r="BY510" i="7"/>
  <c r="BZ510" i="7" s="1"/>
  <c r="BY556" i="7"/>
  <c r="BZ556" i="7" s="1"/>
  <c r="BY1094" i="7"/>
  <c r="BZ1094" i="7" s="1"/>
  <c r="BY289" i="7"/>
  <c r="BZ289" i="7" s="1"/>
  <c r="BY1212" i="7"/>
  <c r="BZ1212" i="7" s="1"/>
  <c r="BY992" i="7"/>
  <c r="BZ992" i="7" s="1"/>
  <c r="BY572" i="7"/>
  <c r="BZ572" i="7" s="1"/>
  <c r="BY1150" i="7"/>
  <c r="BZ1150" i="7" s="1"/>
  <c r="BY783" i="7"/>
  <c r="BZ783" i="7" s="1"/>
  <c r="BY867" i="7"/>
  <c r="BZ867" i="7" s="1"/>
  <c r="BY1296" i="7"/>
  <c r="BZ1296" i="7" s="1"/>
  <c r="BY816" i="7"/>
  <c r="BZ816" i="7" s="1"/>
  <c r="BY512" i="7"/>
  <c r="BZ512" i="7" s="1"/>
  <c r="BY213" i="7"/>
  <c r="BZ213" i="7" s="1"/>
  <c r="BY834" i="7"/>
  <c r="BZ834" i="7" s="1"/>
  <c r="BY645" i="7"/>
  <c r="BZ645" i="7" s="1"/>
  <c r="BY1053" i="7"/>
  <c r="BZ1053" i="7" s="1"/>
  <c r="BY772" i="7"/>
  <c r="BZ772" i="7" s="1"/>
  <c r="BY207" i="7"/>
  <c r="BZ207" i="7" s="1"/>
  <c r="BY719" i="7"/>
  <c r="BZ719" i="7" s="1"/>
  <c r="BY1309" i="7"/>
  <c r="BZ1309" i="7" s="1"/>
  <c r="BY24" i="7"/>
  <c r="BZ24" i="7" s="1"/>
  <c r="BY257" i="7"/>
  <c r="BZ257" i="7" s="1"/>
  <c r="BY184" i="7"/>
  <c r="BZ184" i="7" s="1"/>
  <c r="BY1178" i="7"/>
  <c r="BZ1178" i="7" s="1"/>
  <c r="BY854" i="7"/>
  <c r="BZ854" i="7" s="1"/>
  <c r="BY598" i="7"/>
  <c r="BZ598" i="7" s="1"/>
  <c r="BY980" i="7"/>
  <c r="BZ980" i="7" s="1"/>
  <c r="BY792" i="7"/>
  <c r="BZ792" i="7" s="1"/>
  <c r="BY1192" i="7"/>
  <c r="BZ1192" i="7" s="1"/>
  <c r="BY448" i="7"/>
  <c r="BZ448" i="7" s="1"/>
  <c r="BY897" i="7"/>
  <c r="BZ897" i="7" s="1"/>
  <c r="BY266" i="7"/>
  <c r="BZ266" i="7" s="1"/>
  <c r="BY277" i="7"/>
  <c r="BZ277" i="7" s="1"/>
  <c r="BY940" i="7"/>
  <c r="BZ940" i="7" s="1"/>
  <c r="BY172" i="7"/>
  <c r="BZ172" i="7" s="1"/>
  <c r="BY134" i="7"/>
  <c r="BZ134" i="7" s="1"/>
  <c r="BY532" i="7"/>
  <c r="BZ532" i="7" s="1"/>
  <c r="BY393" i="7"/>
  <c r="BZ393" i="7" s="1"/>
  <c r="BY811" i="7"/>
  <c r="BZ811" i="7" s="1"/>
  <c r="BY1176" i="7"/>
  <c r="BZ1176" i="7" s="1"/>
  <c r="BY501" i="7"/>
  <c r="BZ501" i="7" s="1"/>
  <c r="BY981" i="7"/>
  <c r="BZ981" i="7" s="1"/>
  <c r="BY720" i="7"/>
  <c r="BZ720" i="7" s="1"/>
  <c r="BY379" i="7"/>
  <c r="BZ379" i="7" s="1"/>
  <c r="BY535" i="7"/>
  <c r="BZ535" i="7" s="1"/>
  <c r="BY509" i="7"/>
  <c r="BZ509" i="7" s="1"/>
  <c r="BY882" i="7"/>
  <c r="BZ882" i="7" s="1"/>
  <c r="BY1011" i="7"/>
  <c r="BZ1011" i="7" s="1"/>
  <c r="BY488" i="7"/>
  <c r="BZ488" i="7" s="1"/>
  <c r="BY592" i="7"/>
  <c r="BZ592" i="7" s="1"/>
  <c r="BY212" i="7"/>
  <c r="BZ212" i="7" s="1"/>
  <c r="BY1016" i="7"/>
  <c r="BZ1016" i="7" s="1"/>
  <c r="BY447" i="7"/>
  <c r="BZ447" i="7" s="1"/>
  <c r="BY42" i="7"/>
  <c r="BZ42" i="7" s="1"/>
  <c r="BY1275" i="7"/>
  <c r="BZ1275" i="7" s="1"/>
  <c r="BY341" i="7"/>
  <c r="BZ341" i="7" s="1"/>
  <c r="BY754" i="7"/>
  <c r="BZ754" i="7" s="1"/>
  <c r="BY133" i="7"/>
  <c r="BZ133" i="7" s="1"/>
  <c r="BY1060" i="7"/>
  <c r="BZ1060" i="7" s="1"/>
  <c r="BY183" i="7"/>
  <c r="BZ183" i="7" s="1"/>
  <c r="BY959" i="7"/>
  <c r="BZ959" i="7" s="1"/>
  <c r="BY991" i="7"/>
  <c r="BZ991" i="7" s="1"/>
  <c r="BY263" i="7"/>
  <c r="BZ263" i="7" s="1"/>
  <c r="BY352" i="7"/>
  <c r="BZ352" i="7" s="1"/>
  <c r="BY611" i="7"/>
  <c r="BZ611" i="7" s="1"/>
  <c r="BY641" i="7"/>
  <c r="BZ641" i="7" s="1"/>
  <c r="BY663" i="7"/>
  <c r="BZ663" i="7" s="1"/>
  <c r="BY132" i="7"/>
  <c r="BZ132" i="7" s="1"/>
  <c r="BY939" i="7"/>
  <c r="BZ939" i="7" s="1"/>
  <c r="BY651" i="7"/>
  <c r="BZ651" i="7" s="1"/>
  <c r="BY737" i="7"/>
  <c r="BZ737" i="7" s="1"/>
  <c r="BY1152" i="7"/>
  <c r="BZ1152" i="7" s="1"/>
  <c r="BY810" i="7"/>
  <c r="BZ810" i="7" s="1"/>
  <c r="BY214" i="7"/>
  <c r="BZ214" i="7" s="1"/>
  <c r="BY109" i="7"/>
  <c r="BZ109" i="7" s="1"/>
  <c r="BY732" i="7"/>
  <c r="BZ732" i="7" s="1"/>
  <c r="BY346" i="7"/>
  <c r="BZ346" i="7" s="1"/>
  <c r="BY795" i="7"/>
  <c r="BZ795" i="7" s="1"/>
  <c r="BY89" i="7"/>
  <c r="BZ89" i="7" s="1"/>
  <c r="BY622" i="7"/>
  <c r="BZ622" i="7" s="1"/>
  <c r="BY1172" i="7"/>
  <c r="BZ1172" i="7" s="1"/>
  <c r="BY388" i="7"/>
  <c r="BZ388" i="7" s="1"/>
  <c r="BY480" i="7"/>
  <c r="BZ480" i="7" s="1"/>
  <c r="BY742" i="7"/>
  <c r="BZ742" i="7" s="1"/>
  <c r="BY580" i="7"/>
  <c r="BZ580" i="7" s="1"/>
  <c r="BY668" i="7"/>
  <c r="BZ668" i="7" s="1"/>
  <c r="BY484" i="7"/>
  <c r="BZ484" i="7" s="1"/>
  <c r="BY698" i="7"/>
  <c r="BZ698" i="7" s="1"/>
  <c r="BY94" i="7"/>
  <c r="BZ94" i="7" s="1"/>
  <c r="BY565" i="7"/>
  <c r="BZ565" i="7" s="1"/>
  <c r="BY843" i="7"/>
  <c r="BZ843" i="7" s="1"/>
  <c r="BY582" i="7"/>
  <c r="BZ582" i="7" s="1"/>
  <c r="BY1202" i="7"/>
  <c r="BZ1202" i="7" s="1"/>
  <c r="BY482" i="7"/>
  <c r="BZ482" i="7" s="1"/>
  <c r="BY787" i="7"/>
  <c r="BZ787" i="7" s="1"/>
  <c r="BY796" i="7"/>
  <c r="BZ796" i="7" s="1"/>
  <c r="BY552" i="7"/>
  <c r="BZ552" i="7" s="1"/>
  <c r="BY1018" i="7"/>
  <c r="BZ1018" i="7" s="1"/>
  <c r="BY542" i="7"/>
  <c r="BZ542" i="7" s="1"/>
  <c r="BY179" i="7"/>
  <c r="BZ179" i="7" s="1"/>
  <c r="BY942" i="7"/>
  <c r="BZ942" i="7" s="1"/>
  <c r="BY974" i="7"/>
  <c r="BZ974" i="7" s="1"/>
  <c r="BY187" i="7"/>
  <c r="BZ187" i="7" s="1"/>
  <c r="BY313" i="7"/>
  <c r="BZ313" i="7" s="1"/>
  <c r="BY143" i="7"/>
  <c r="BZ143" i="7" s="1"/>
  <c r="BY836" i="7"/>
  <c r="BZ836" i="7" s="1"/>
  <c r="BY961" i="7"/>
  <c r="BZ961" i="7" s="1"/>
  <c r="BY741" i="7"/>
  <c r="BZ741" i="7" s="1"/>
  <c r="BY25" i="7"/>
  <c r="BZ25" i="7" s="1"/>
  <c r="BY344" i="7"/>
  <c r="BZ344" i="7" s="1"/>
  <c r="BY113" i="7"/>
  <c r="BZ113" i="7" s="1"/>
  <c r="BY295" i="7"/>
  <c r="BZ295" i="7" s="1"/>
  <c r="BY33" i="7"/>
  <c r="BZ33" i="7" s="1"/>
  <c r="BY1278" i="7"/>
  <c r="BZ1278" i="7" s="1"/>
  <c r="BY782" i="7"/>
  <c r="BZ782" i="7" s="1"/>
  <c r="BY695" i="7"/>
  <c r="BZ695" i="7" s="1"/>
  <c r="BY966" i="7"/>
  <c r="BZ966" i="7" s="1"/>
  <c r="BY285" i="7"/>
  <c r="BZ285" i="7" s="1"/>
  <c r="BY1258" i="7"/>
  <c r="BZ1258" i="7" s="1"/>
  <c r="BY994" i="7"/>
  <c r="BZ994" i="7" s="1"/>
  <c r="BY161" i="7"/>
  <c r="BZ161" i="7" s="1"/>
  <c r="BY253" i="7"/>
  <c r="BZ253" i="7" s="1"/>
  <c r="BY636" i="7"/>
  <c r="BZ636" i="7" s="1"/>
  <c r="BY705" i="7"/>
  <c r="BZ705" i="7" s="1"/>
  <c r="BY150" i="7"/>
  <c r="BZ150" i="7" s="1"/>
  <c r="BY563" i="7"/>
  <c r="BZ563" i="7" s="1"/>
  <c r="BY61" i="7"/>
  <c r="BZ61" i="7" s="1"/>
  <c r="BY669" i="7"/>
  <c r="BZ669" i="7" s="1"/>
  <c r="BY1164" i="7"/>
  <c r="BZ1164" i="7" s="1"/>
  <c r="BY1044" i="7"/>
  <c r="BZ1044" i="7" s="1"/>
  <c r="BY1221" i="7"/>
  <c r="BZ1221" i="7" s="1"/>
  <c r="BY735" i="7"/>
  <c r="BZ735" i="7" s="1"/>
  <c r="BY905" i="7"/>
  <c r="BZ905" i="7" s="1"/>
  <c r="BY355" i="7"/>
  <c r="BZ355" i="7" s="1"/>
  <c r="BY984" i="7"/>
  <c r="BZ984" i="7" s="1"/>
  <c r="BY694" i="7"/>
  <c r="BZ694" i="7" s="1"/>
  <c r="BY234" i="7"/>
  <c r="BZ234" i="7" s="1"/>
  <c r="BY903" i="7"/>
  <c r="BZ903" i="7" s="1"/>
  <c r="BY1188" i="7"/>
  <c r="BZ1188" i="7" s="1"/>
  <c r="BY498" i="7"/>
  <c r="BZ498" i="7" s="1"/>
  <c r="BY842" i="7"/>
  <c r="BZ842" i="7" s="1"/>
  <c r="BY1271" i="7"/>
  <c r="BZ1271" i="7" s="1"/>
  <c r="BY862" i="7"/>
  <c r="BZ862" i="7" s="1"/>
  <c r="BY1015" i="7"/>
  <c r="BZ1015" i="7" s="1"/>
  <c r="BY19" i="7"/>
  <c r="BZ19" i="7" s="1"/>
  <c r="BY456" i="7"/>
  <c r="BZ456" i="7" s="1"/>
  <c r="BY738" i="7"/>
  <c r="BZ738" i="7" s="1"/>
  <c r="BY677" i="7"/>
  <c r="BZ677" i="7" s="1"/>
  <c r="BY1247" i="7"/>
  <c r="BZ1247" i="7" s="1"/>
  <c r="BY319" i="7"/>
  <c r="BZ319" i="7" s="1"/>
  <c r="BY306" i="7"/>
  <c r="BZ306" i="7" s="1"/>
  <c r="BY386" i="7"/>
  <c r="BZ386" i="7" s="1"/>
  <c r="BY978" i="7"/>
  <c r="BZ978" i="7" s="1"/>
  <c r="BY202" i="7"/>
  <c r="BZ202" i="7" s="1"/>
  <c r="BY558" i="7"/>
  <c r="BZ558" i="7" s="1"/>
  <c r="BY255" i="7"/>
  <c r="BZ255" i="7" s="1"/>
  <c r="BY195" i="7"/>
  <c r="BZ195" i="7" s="1"/>
  <c r="BY125" i="7"/>
  <c r="BZ125" i="7" s="1"/>
  <c r="BY850" i="7"/>
  <c r="BZ850" i="7" s="1"/>
  <c r="BY752" i="7"/>
  <c r="BZ752" i="7" s="1"/>
  <c r="BY973" i="7"/>
  <c r="BZ973" i="7" s="1"/>
  <c r="BY777" i="7"/>
  <c r="BZ777" i="7" s="1"/>
  <c r="BY632" i="7"/>
  <c r="BZ632" i="7" s="1"/>
  <c r="BY1262" i="7"/>
  <c r="BZ1262" i="7" s="1"/>
  <c r="BY1013" i="7"/>
  <c r="BZ1013" i="7" s="1"/>
  <c r="BY1007" i="7"/>
  <c r="BZ1007" i="7" s="1"/>
  <c r="BY259" i="7"/>
  <c r="BZ259" i="7" s="1"/>
  <c r="BY1181" i="7"/>
  <c r="BZ1181" i="7" s="1"/>
  <c r="BY428" i="7"/>
  <c r="BZ428" i="7" s="1"/>
  <c r="BY1010" i="7"/>
  <c r="BZ1010" i="7" s="1"/>
  <c r="BY1029" i="7"/>
  <c r="BZ1029" i="7" s="1"/>
  <c r="BY200" i="7"/>
  <c r="BZ200" i="7" s="1"/>
  <c r="BY725" i="7"/>
  <c r="BZ725" i="7" s="1"/>
  <c r="BY117" i="7"/>
  <c r="BZ117" i="7" s="1"/>
  <c r="BY848" i="7"/>
  <c r="BZ848" i="7" s="1"/>
  <c r="BY1206" i="7"/>
  <c r="BZ1206" i="7" s="1"/>
  <c r="BY1095" i="7"/>
  <c r="BZ1095" i="7" s="1"/>
  <c r="BY1161" i="7"/>
  <c r="BZ1161" i="7" s="1"/>
  <c r="BY471" i="7"/>
  <c r="BZ471" i="7" s="1"/>
  <c r="BY318" i="7"/>
  <c r="BZ318" i="7" s="1"/>
  <c r="BY401" i="7"/>
  <c r="BZ401" i="7" s="1"/>
  <c r="BY924" i="7"/>
  <c r="BZ924" i="7" s="1"/>
  <c r="BY921" i="7"/>
  <c r="BZ921" i="7" s="1"/>
  <c r="BY835" i="7"/>
  <c r="BZ835" i="7" s="1"/>
  <c r="BY654" i="7"/>
  <c r="BZ654" i="7" s="1"/>
  <c r="BY1167" i="7"/>
  <c r="BZ1167" i="7" s="1"/>
  <c r="BY883" i="7"/>
  <c r="BZ883" i="7" s="1"/>
  <c r="BY199" i="7"/>
  <c r="BZ199" i="7" s="1"/>
  <c r="BY228" i="7"/>
  <c r="BZ228" i="7" s="1"/>
  <c r="BY1051" i="7"/>
  <c r="BZ1051" i="7" s="1"/>
  <c r="BY325" i="7"/>
  <c r="BZ325" i="7" s="1"/>
  <c r="BY693" i="7"/>
  <c r="BZ693" i="7" s="1"/>
  <c r="BY440" i="7"/>
  <c r="BZ440" i="7" s="1"/>
  <c r="BY1170" i="7"/>
  <c r="BZ1170" i="7" s="1"/>
  <c r="BY46" i="7"/>
  <c r="BZ46" i="7" s="1"/>
  <c r="BY1218" i="7"/>
  <c r="BZ1218" i="7" s="1"/>
  <c r="BY233" i="7"/>
  <c r="BZ233" i="7" s="1"/>
  <c r="BY1196" i="7"/>
  <c r="BZ1196" i="7" s="1"/>
  <c r="BY1036" i="7"/>
  <c r="BZ1036" i="7" s="1"/>
  <c r="BY600" i="7"/>
  <c r="BZ600" i="7" s="1"/>
  <c r="BY977" i="7"/>
  <c r="BZ977" i="7" s="1"/>
  <c r="BY673" i="7"/>
  <c r="BZ673" i="7" s="1"/>
  <c r="BY166" i="7"/>
  <c r="BZ166" i="7" s="1"/>
  <c r="BY690" i="7"/>
  <c r="BZ690" i="7" s="1"/>
  <c r="BY463" i="7"/>
  <c r="BZ463" i="7" s="1"/>
  <c r="BY478" i="7"/>
  <c r="BZ478" i="7" s="1"/>
  <c r="BY764" i="7"/>
  <c r="BZ764" i="7" s="1"/>
  <c r="BY521" i="7"/>
  <c r="BZ521" i="7" s="1"/>
  <c r="BY506" i="7"/>
  <c r="BZ506" i="7" s="1"/>
  <c r="BY1143" i="7"/>
  <c r="BZ1143" i="7" s="1"/>
  <c r="BY545" i="7"/>
  <c r="BZ545" i="7" s="1"/>
  <c r="BY211" i="7"/>
  <c r="BZ211" i="7" s="1"/>
  <c r="BY1222" i="7"/>
  <c r="BZ1222" i="7" s="1"/>
  <c r="BY788" i="7"/>
  <c r="BZ788" i="7" s="1"/>
  <c r="BY1054" i="7"/>
  <c r="BZ1054" i="7" s="1"/>
  <c r="BY908" i="7"/>
  <c r="BZ908" i="7" s="1"/>
  <c r="BY515" i="7"/>
  <c r="BZ515" i="7" s="1"/>
  <c r="BY205" i="7"/>
  <c r="BZ205" i="7" s="1"/>
  <c r="BY340" i="7"/>
  <c r="BZ340" i="7" s="1"/>
  <c r="BY219" i="7"/>
  <c r="BZ219" i="7" s="1"/>
  <c r="BY221" i="7"/>
  <c r="BZ221" i="7" s="1"/>
  <c r="BY430" i="7"/>
  <c r="BZ430" i="7" s="1"/>
  <c r="BY36" i="7"/>
  <c r="BZ36" i="7" s="1"/>
  <c r="BY1042" i="7"/>
  <c r="BZ1042" i="7" s="1"/>
  <c r="BY1079" i="7"/>
  <c r="BZ1079" i="7" s="1"/>
  <c r="BY1252" i="7"/>
  <c r="BZ1252" i="7" s="1"/>
  <c r="BY643" i="7"/>
  <c r="BZ643" i="7" s="1"/>
  <c r="BY840" i="7"/>
  <c r="BZ840" i="7" s="1"/>
  <c r="BY531" i="7"/>
  <c r="BZ531" i="7" s="1"/>
  <c r="BY1197" i="7"/>
  <c r="BZ1197" i="7" s="1"/>
  <c r="BY993" i="7"/>
  <c r="BZ993" i="7" s="1"/>
  <c r="BY66" i="7"/>
  <c r="BZ66" i="7" s="1"/>
  <c r="BY282" i="7"/>
  <c r="BZ282" i="7" s="1"/>
  <c r="BY691" i="7"/>
  <c r="BZ691" i="7" s="1"/>
  <c r="BY739" i="7"/>
  <c r="BZ739" i="7" s="1"/>
  <c r="BY640" i="7"/>
  <c r="BZ640" i="7" s="1"/>
  <c r="BY1205" i="7"/>
  <c r="BZ1205" i="7" s="1"/>
  <c r="BY170" i="7"/>
  <c r="BZ170" i="7" s="1"/>
  <c r="BY380" i="7"/>
  <c r="BZ380" i="7" s="1"/>
  <c r="BY660" i="7"/>
  <c r="BZ660" i="7" s="1"/>
  <c r="BY412" i="7"/>
  <c r="BZ412" i="7" s="1"/>
  <c r="BY394" i="7"/>
  <c r="BZ394" i="7" s="1"/>
  <c r="BY931" i="7"/>
  <c r="BZ931" i="7" s="1"/>
  <c r="BY367" i="7"/>
  <c r="BZ367" i="7" s="1"/>
  <c r="BY617" i="7"/>
  <c r="BZ617" i="7" s="1"/>
  <c r="BY64" i="7"/>
  <c r="BZ64" i="7" s="1"/>
  <c r="BY963" i="7"/>
  <c r="BZ963" i="7" s="1"/>
  <c r="BY1235" i="7"/>
  <c r="BZ1235" i="7" s="1"/>
  <c r="BY74" i="7"/>
  <c r="BZ74" i="7" s="1"/>
  <c r="BY606" i="7"/>
  <c r="BZ606" i="7" s="1"/>
  <c r="BY145" i="7"/>
  <c r="BZ145" i="7" s="1"/>
  <c r="BY1272" i="7"/>
  <c r="BZ1272" i="7" s="1"/>
  <c r="BY1005" i="7"/>
  <c r="BZ1005" i="7" s="1"/>
  <c r="BY922" i="7"/>
  <c r="BZ922" i="7" s="1"/>
  <c r="BY658" i="7"/>
  <c r="BZ658" i="7" s="1"/>
  <c r="BY813" i="7"/>
  <c r="BZ813" i="7" s="1"/>
  <c r="BY1043" i="7"/>
  <c r="BZ1043" i="7" s="1"/>
  <c r="BY540" i="7"/>
  <c r="BZ540" i="7" s="1"/>
  <c r="BY762" i="7"/>
  <c r="BZ762" i="7" s="1"/>
  <c r="BY225" i="7"/>
  <c r="BZ225" i="7" s="1"/>
  <c r="BY1175" i="7"/>
  <c r="BZ1175" i="7" s="1"/>
  <c r="BY1125" i="7"/>
  <c r="BZ1125" i="7" s="1"/>
  <c r="BY1193" i="7"/>
  <c r="BZ1193" i="7" s="1"/>
  <c r="BY657" i="7"/>
  <c r="BZ657" i="7" s="1"/>
  <c r="BY865" i="7"/>
  <c r="BZ865" i="7" s="1"/>
  <c r="BY780" i="7"/>
  <c r="BZ780" i="7" s="1"/>
  <c r="BY381" i="7"/>
  <c r="BZ381" i="7" s="1"/>
  <c r="BY485" i="7"/>
  <c r="BZ485" i="7" s="1"/>
  <c r="CG15" i="1"/>
  <c r="BV12" i="7"/>
  <c r="CG17" i="1"/>
  <c r="CG18" i="1"/>
  <c r="CH19" i="1"/>
  <c r="CH9" i="1"/>
  <c r="CH8" i="1"/>
  <c r="CH4" i="1"/>
  <c r="CH7" i="1"/>
  <c r="CH6" i="1"/>
  <c r="CH5" i="1"/>
  <c r="BQ7" i="1"/>
  <c r="BQ8" i="1"/>
  <c r="BQ9" i="1"/>
  <c r="BQ10" i="1"/>
  <c r="BQ11" i="1"/>
  <c r="BQ12" i="1"/>
  <c r="BQ13" i="1"/>
  <c r="BQ14" i="1"/>
  <c r="BQ15" i="1"/>
  <c r="BQ6" i="1"/>
  <c r="BY12" i="7" l="1"/>
  <c r="BZ12" i="7" s="1"/>
  <c r="X15" i="1"/>
  <c r="X14" i="1"/>
  <c r="X13" i="1"/>
  <c r="X12" i="1"/>
  <c r="X11" i="1"/>
  <c r="X10" i="1"/>
  <c r="X9" i="1"/>
  <c r="X8" i="1"/>
  <c r="X7" i="1"/>
  <c r="X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TEEL_BOX" description="Connection to the 'STEEL_BOX' query in the workbook." type="5" refreshedVersion="0" background="1" saveData="1">
    <dbPr connection="Provider=Microsoft.Mashup.OleDb.1;Data Source=$Workbook$;Location=STEEL_BOX;Extended Properties=&quot;&quot;" command="SELECT * FROM [STEEL_BOX]"/>
  </connection>
  <connection id="2" xr16:uid="{00000000-0015-0000-FFFF-FFFF01000000}" keepAlive="1" name="Query - STEEL_CHANNEL" description="Connection to the 'STEEL_CHANNEL' query in the workbook." type="5" refreshedVersion="8" background="1" saveData="1">
    <dbPr connection="Provider=Microsoft.Mashup.OleDb.1;Data Source=$Workbook$;Location=STEEL_CHANNEL;Extended Properties=&quot;&quot;" command="SELECT * FROM [STEEL_CHANNE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<sst xmlns="http://schemas.openxmlformats.org/spreadsheetml/2006/main" count="5541" uniqueCount="250">
  <si>
    <t>A. THÔNG TIN THIẾT KẾ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</si>
  <si>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</si>
  <si>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</si>
  <si>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</si>
  <si>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</si>
  <si>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</si>
  <si>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</si>
  <si>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</si>
  <si>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</si>
  <si>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</si>
  <si>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</si>
  <si>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</si>
  <si>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</si>
  <si>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</si>
  <si>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</si>
  <si>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</si>
  <si>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</si>
  <si>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</si>
  <si>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</si>
  <si>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A</t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</si>
  <si>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</si>
  <si>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t>N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</si>
  <si>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</si>
  <si>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</si>
  <si>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</si>
  <si>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</si>
  <si>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</si>
  <si>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</si>
  <si>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</si>
  <si>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</si>
  <si>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t>B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</si>
  <si>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</si>
  <si>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</si>
  <si>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</si>
  <si>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</si>
  <si>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</si>
  <si>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</si>
  <si>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</si>
  <si>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</si>
  <si>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</si>
  <si>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</si>
  <si>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</si>
  <si>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</si>
  <si>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</si>
  <si>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</si>
  <si>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</si>
  <si>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</si>
  <si>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</si>
  <si>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</si>
  <si>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</si>
  <si>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</si>
  <si>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</si>
  <si>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</si>
  <si>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</si>
  <si>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</si>
  <si>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</si>
  <si>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</si>
  <si>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</si>
  <si>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</si>
  <si>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</si>
  <si>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</si>
  <si>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</si>
  <si>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</si>
  <si>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</si>
  <si>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</si>
  <si>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</si>
  <si>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</si>
  <si>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</si>
  <si>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</si>
  <si>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</si>
  <si>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</si>
  <si>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</si>
  <si>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</si>
  <si>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</si>
  <si>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</si>
  <si>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</si>
  <si>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</si>
  <si>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</si>
  <si>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</si>
  <si>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</si>
  <si>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</si>
  <si>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</si>
  <si>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</si>
  <si>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</si>
  <si>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</si>
  <si>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</si>
  <si>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</si>
  <si>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</si>
  <si>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</si>
  <si>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</si>
  <si>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</si>
  <si>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</si>
  <si>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</si>
  <si>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</si>
  <si>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</si>
  <si>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</si>
  <si>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</si>
  <si>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</si>
  <si>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</si>
  <si>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</si>
  <si>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</si>
  <si>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</si>
  <si>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</si>
  <si>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</si>
  <si>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</si>
  <si>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</si>
  <si>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</si>
  <si>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</si>
  <si>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</si>
  <si>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</si>
  <si>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</si>
  <si>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</si>
  <si>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</si>
  <si>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</si>
  <si>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</si>
  <si>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</si>
  <si>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</si>
  <si>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</si>
  <si>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</si>
  <si>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</si>
  <si>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</si>
  <si>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</si>
  <si>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</si>
  <si>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Cx</t>
  </si>
  <si>
    <t>Cy</t>
  </si>
  <si>
    <t>Ix</t>
  </si>
  <si>
    <t>Iy</t>
  </si>
  <si>
    <t>Zx</t>
  </si>
  <si>
    <t>Zy</t>
  </si>
  <si>
    <t>2L50x4</t>
  </si>
  <si>
    <t>L50x50</t>
  </si>
  <si>
    <t>Ký hiệu</t>
  </si>
  <si>
    <t>AxB</t>
  </si>
  <si>
    <t>t</t>
  </si>
  <si>
    <t>r1</t>
  </si>
  <si>
    <t>r2</t>
  </si>
  <si>
    <t>mo</t>
  </si>
  <si>
    <t>MaxIx0</t>
  </si>
  <si>
    <t>MinIx</t>
  </si>
  <si>
    <t>rx</t>
  </si>
  <si>
    <t>ry</t>
  </si>
  <si>
    <t>Max rx</t>
  </si>
  <si>
    <t>Min ry</t>
  </si>
  <si>
    <t>Tan a</t>
  </si>
  <si>
    <t>2L90x75x9</t>
  </si>
  <si>
    <t>L90x75</t>
  </si>
  <si>
    <t xml:space="preserve">Bản mã liên kết </t>
  </si>
  <si>
    <t>cm</t>
  </si>
  <si>
    <t>Lx</t>
  </si>
  <si>
    <t>Ly</t>
  </si>
  <si>
    <t>lamdax</t>
  </si>
  <si>
    <t>lamday</t>
  </si>
  <si>
    <t>lamdagh</t>
  </si>
  <si>
    <t>check</t>
  </si>
  <si>
    <t>phi</t>
  </si>
  <si>
    <t>xichma</t>
  </si>
  <si>
    <t>gamcf</t>
  </si>
  <si>
    <t>Đều</t>
  </si>
  <si>
    <t>Ghép ngắn</t>
  </si>
  <si>
    <t>Ghép dài</t>
  </si>
  <si>
    <t>Thép ống</t>
  </si>
  <si>
    <r>
      <t>R</t>
    </r>
    <r>
      <rPr>
        <b/>
        <vertAlign val="subscript"/>
        <sz val="10"/>
        <color rgb="FF0070C0"/>
        <rFont val="Arial"/>
        <family val="2"/>
      </rPr>
      <t>sn</t>
    </r>
  </si>
  <si>
    <r>
      <t>R</t>
    </r>
    <r>
      <rPr>
        <b/>
        <vertAlign val="subscript"/>
        <sz val="10"/>
        <color rgb="FF0070C0"/>
        <rFont val="Arial"/>
        <family val="2"/>
      </rPr>
      <t>s</t>
    </r>
  </si>
  <si>
    <r>
      <t>R</t>
    </r>
    <r>
      <rPr>
        <b/>
        <vertAlign val="subscript"/>
        <sz val="10"/>
        <color rgb="FF0070C0"/>
        <rFont val="Arial"/>
        <family val="2"/>
      </rPr>
      <t>sc</t>
    </r>
  </si>
  <si>
    <r>
      <t>R</t>
    </r>
    <r>
      <rPr>
        <b/>
        <vertAlign val="subscript"/>
        <sz val="10"/>
        <color rgb="FF0070C0"/>
        <rFont val="Arial"/>
        <family val="2"/>
      </rPr>
      <t>sw</t>
    </r>
  </si>
  <si>
    <r>
      <t>E</t>
    </r>
    <r>
      <rPr>
        <b/>
        <vertAlign val="subscript"/>
        <sz val="10"/>
        <color rgb="FF0070C0"/>
        <rFont val="Arial"/>
        <family val="2"/>
      </rPr>
      <t>s</t>
    </r>
  </si>
  <si>
    <t>Kích thước</t>
  </si>
  <si>
    <t>I</t>
  </si>
  <si>
    <t>1. Vật Liệu</t>
  </si>
  <si>
    <t>Cường độ tiêu chuẩn của thép</t>
  </si>
  <si>
    <t>Cường độ tiêu chuẩn kéo đứt của thép</t>
  </si>
  <si>
    <t>Cường độ tính toán của thép</t>
  </si>
  <si>
    <t>Hệ số độ tin cậy về vật liệu</t>
  </si>
  <si>
    <t>2. Tính toán</t>
  </si>
  <si>
    <t>kN</t>
  </si>
  <si>
    <t>m</t>
  </si>
  <si>
    <t>j</t>
  </si>
  <si>
    <t>Kiểm tra</t>
  </si>
  <si>
    <t>THIẾT KẾ CẤU KIỆN CHỊU KÉO, NÉN ĐÚNG TÂM</t>
  </si>
  <si>
    <t>Kiểm tra ổn định của cấu kiện theo 7.1.2.1</t>
  </si>
  <si>
    <t>FS</t>
  </si>
  <si>
    <t>H</t>
  </si>
  <si>
    <t>Phần tử</t>
  </si>
  <si>
    <t>vị trí</t>
  </si>
  <si>
    <t>L</t>
  </si>
  <si>
    <t>Combo</t>
  </si>
  <si>
    <t>(m)</t>
  </si>
  <si>
    <r>
      <rPr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x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</si>
  <si>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</si>
  <si>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</si>
  <si>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</si>
  <si>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</si>
  <si>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</si>
  <si>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</si>
  <si>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</si>
  <si>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max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</si>
  <si>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u</t>
    </r>
  </si>
  <si>
    <t>Độ mảnh
giới hạn</t>
  </si>
  <si>
    <t>N &lt; 0</t>
  </si>
  <si>
    <t>N &gt; 0</t>
  </si>
  <si>
    <t>Label</t>
  </si>
  <si>
    <t>tw</t>
  </si>
  <si>
    <t>tf</t>
  </si>
  <si>
    <t>H Tổng</t>
  </si>
  <si>
    <t>Bf</t>
  </si>
  <si>
    <t>K1</t>
  </si>
  <si>
    <t>848</t>
  </si>
  <si>
    <t>-</t>
  </si>
  <si>
    <t>849</t>
  </si>
  <si>
    <t>850</t>
  </si>
  <si>
    <t>851</t>
  </si>
  <si>
    <t>856</t>
  </si>
  <si>
    <t>857</t>
  </si>
  <si>
    <t>859</t>
  </si>
  <si>
    <t>860</t>
  </si>
  <si>
    <t>1350</t>
  </si>
  <si>
    <t>1361</t>
  </si>
  <si>
    <t>COMBO 1</t>
  </si>
  <si>
    <t>COMBO 2</t>
  </si>
  <si>
    <t>COMBO 3</t>
  </si>
  <si>
    <t>COMBO 4</t>
  </si>
  <si>
    <t>COMBO 5</t>
  </si>
  <si>
    <t>COMBO 6</t>
  </si>
  <si>
    <t>COMBO 7</t>
  </si>
  <si>
    <t>COMBO 8</t>
  </si>
  <si>
    <t>COMBO 9</t>
  </si>
  <si>
    <t>COMBO 10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</si>
  <si>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</si>
  <si>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rFont val="Calibri"/>
        <family val="2"/>
        <scheme val="minor"/>
      </rPr>
      <t>u</t>
    </r>
    <r>
      <rPr>
        <sz val="10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</si>
  <si>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rFont val="Calibri"/>
        <family val="2"/>
        <scheme val="minor"/>
      </rPr>
      <t>yd</t>
    </r>
    <r>
      <rPr>
        <sz val="10"/>
        <rFont val="Calibri"/>
        <family val="2"/>
        <scheme val="minor"/>
      </rPr>
      <t xml:space="preserve"> 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</si>
  <si>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m</t>
    </r>
    <r>
      <rPr>
        <sz val="10"/>
        <rFont val="Calibri"/>
        <family val="2"/>
      </rPr>
      <t xml:space="preserve"> 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</si>
  <si>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</rPr>
      <t>c</t>
    </r>
    <r>
      <rPr>
        <sz val="10"/>
        <rFont val="Calibri"/>
        <family val="2"/>
      </rPr>
      <t xml:space="preserve"> =</t>
    </r>
  </si>
  <si>
    <r>
      <rPr>
        <sz val="10"/>
        <rFont val="Symbol"/>
        <family val="1"/>
        <charset val="2"/>
      </rPr>
      <t>m</t>
    </r>
    <r>
      <rPr>
        <vertAlign val="subscript"/>
        <sz val="10"/>
        <rFont val="Calibri"/>
        <family val="2"/>
        <scheme val="minor"/>
      </rPr>
      <t>x</t>
    </r>
  </si>
  <si>
    <r>
      <t>L</t>
    </r>
    <r>
      <rPr>
        <vertAlign val="subscript"/>
        <sz val="10"/>
        <rFont val="Calibri"/>
        <family val="2"/>
        <scheme val="minor"/>
      </rPr>
      <t>x</t>
    </r>
  </si>
  <si>
    <r>
      <rPr>
        <sz val="10"/>
        <rFont val="Symbol"/>
        <family val="1"/>
        <charset val="2"/>
      </rPr>
      <t>m</t>
    </r>
    <r>
      <rPr>
        <vertAlign val="subscript"/>
        <sz val="10"/>
        <rFont val="Calibri"/>
        <family val="2"/>
        <scheme val="minor"/>
      </rPr>
      <t>y</t>
    </r>
  </si>
  <si>
    <r>
      <t>L</t>
    </r>
    <r>
      <rPr>
        <vertAlign val="subscript"/>
        <sz val="10"/>
        <rFont val="Calibri"/>
        <family val="2"/>
        <scheme val="minor"/>
      </rPr>
      <t>y</t>
    </r>
  </si>
  <si>
    <r>
      <t>i</t>
    </r>
    <r>
      <rPr>
        <vertAlign val="subscript"/>
        <sz val="10"/>
        <rFont val="Calibri"/>
        <family val="2"/>
        <scheme val="minor"/>
      </rPr>
      <t>x</t>
    </r>
  </si>
  <si>
    <r>
      <t>i</t>
    </r>
    <r>
      <rPr>
        <vertAlign val="subscript"/>
        <sz val="10"/>
        <rFont val="Calibri"/>
        <family val="2"/>
        <scheme val="minor"/>
      </rPr>
      <t>y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</si>
  <si>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x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</si>
  <si>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y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</si>
  <si>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max</t>
    </r>
  </si>
  <si>
    <r>
      <rPr>
        <sz val="10"/>
        <rFont val="Symbol"/>
        <family val="1"/>
        <charset val="2"/>
      </rPr>
      <t>l</t>
    </r>
    <r>
      <rPr>
        <vertAlign val="subscript"/>
        <sz val="10"/>
        <rFont val="Calibri"/>
        <family val="2"/>
        <scheme val="minor"/>
      </rPr>
      <t>u</t>
    </r>
  </si>
  <si>
    <r>
      <t>cm</t>
    </r>
    <r>
      <rPr>
        <vertAlign val="superscript"/>
        <sz val="10"/>
        <rFont val="Calibri"/>
        <family val="2"/>
        <scheme val="minor"/>
      </rPr>
      <t>2</t>
    </r>
  </si>
  <si>
    <t>Hệ số điều kiện làm việc</t>
  </si>
  <si>
    <t>Hệ số huy động cấu kiện FS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</si>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</sst>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(* #,##0_);_(* \(#,##0\);_(* &quot;-&quot;??_);_(@_)"/>
    <numFmt numFmtId="166" formatCode="0.000"/>
  </numFmts>
  <fonts count="4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sz val="11"/>
      <name val="Times New Roman"/>
      <family val="1"/>
    </font>
    <font>
      <sz val="10"/>
      <color rgb="FF0000FF"/>
      <name val="Arial"/>
      <family val="2"/>
    </font>
    <font>
      <sz val="10"/>
      <color rgb="FFC00000"/>
      <name val="Calibri"/>
      <family val="2"/>
      <scheme val="minor"/>
    </font>
    <font>
      <b/>
      <vertAlign val="subscript"/>
      <sz val="10"/>
      <color rgb="FF0070C0"/>
      <name val="Arial"/>
      <family val="2"/>
    </font>
    <font>
      <sz val="10"/>
      <color theme="1"/>
      <name val="Calibri"/>
      <family val="1"/>
      <charset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1"/>
      <charset val="2"/>
    </font>
    <font>
      <sz val="10"/>
      <name val="Symbol"/>
      <family val="1"/>
      <charset val="2"/>
    </font>
    <font>
      <vertAlign val="subscript"/>
      <sz val="10"/>
      <name val="Calibri"/>
      <family val="2"/>
    </font>
    <font>
      <sz val="10"/>
      <name val="Calibri"/>
      <family val="2"/>
    </font>
    <font>
      <sz val="10"/>
      <name val="Calibri"/>
      <family val="1"/>
      <charset val="2"/>
      <scheme val="minor"/>
    </font>
    <font>
      <vertAlign val="superscript"/>
      <sz val="10"/>
      <name val="Calibri"/>
      <family val="2"/>
      <scheme val="minor"/>
    </font>
    <font>
      <b/>
      <sz val="14"/>
      <color rgb="FF0000CC"/>
      <name val="Calibri"/>
      <family val="2"/>
      <scheme val="minor"/>
    </font>
    <font>
      <b/>
      <sz val="10"/>
      <color rgb="FF0000CC"/>
      <name val="Calibri"/>
      <family val="2"/>
      <scheme val="minor"/>
    </font>
    <font>
      <sz val="10"/>
      <color rgb="FF0000CC"/>
      <name val="Calibri"/>
      <family val="2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7">
    <xf numFmtId="0" fontId="0" fillId="0" borderId="0"/>
    <xf numFmtId="0" fontId="13" fillId="0" borderId="0"/>
    <xf numFmtId="0" fontId="19" fillId="0" borderId="0"/>
    <xf numFmtId="164" fontId="19" fillId="0" borderId="0" applyFont="0" applyFill="0" applyBorder="0" applyAlignment="0" applyProtection="0"/>
    <xf numFmtId="0" fontId="24" fillId="0" borderId="0"/>
    <xf numFmtId="0" fontId="25" fillId="0" borderId="0"/>
    <xf numFmtId="0" fontId="25" fillId="0" borderId="0"/>
  </cellStyleXfs>
  <cellXfs count="190">
    <xf numFmtId="0" fontId="0" fillId="0" borderId="0" xfId="0"/>
    <xf numFmtId="0" fontId="1" fillId="0" borderId="0" xfId="0" applyFont="1"/>
    <xf numFmtId="0" fontId="1" fillId="2" borderId="9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left" indent="1"/>
    </xf>
    <xf numFmtId="1" fontId="1" fillId="2" borderId="11" xfId="0" applyNumberFormat="1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right" vertical="center"/>
    </xf>
    <xf numFmtId="0" fontId="7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6" borderId="0" xfId="0" applyFont="1" applyFill="1"/>
    <xf numFmtId="0" fontId="11" fillId="5" borderId="0" xfId="0" applyFont="1" applyFill="1" applyAlignment="1">
      <alignment horizontal="center" wrapText="1"/>
    </xf>
    <xf numFmtId="0" fontId="7" fillId="2" borderId="1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22" fillId="5" borderId="11" xfId="2" applyFont="1" applyFill="1" applyBorder="1" applyAlignment="1">
      <alignment horizontal="center" vertical="center" wrapText="1"/>
    </xf>
    <xf numFmtId="0" fontId="22" fillId="5" borderId="11" xfId="2" applyFont="1" applyFill="1" applyBorder="1" applyAlignment="1">
      <alignment vertical="center"/>
    </xf>
    <xf numFmtId="0" fontId="1" fillId="0" borderId="11" xfId="0" applyFont="1" applyBorder="1"/>
    <xf numFmtId="1" fontId="21" fillId="2" borderId="11" xfId="5" applyNumberFormat="1" applyFont="1" applyFill="1" applyBorder="1" applyAlignment="1">
      <alignment vertical="center"/>
    </xf>
    <xf numFmtId="0" fontId="21" fillId="2" borderId="11" xfId="5" applyFont="1" applyFill="1" applyBorder="1" applyAlignment="1">
      <alignment vertical="center"/>
    </xf>
    <xf numFmtId="0" fontId="21" fillId="2" borderId="14" xfId="5" applyFont="1" applyFill="1" applyBorder="1" applyAlignment="1">
      <alignment vertical="center"/>
    </xf>
    <xf numFmtId="0" fontId="26" fillId="2" borderId="11" xfId="4" applyFont="1" applyFill="1" applyBorder="1" applyAlignment="1">
      <alignment horizontal="left" vertical="center"/>
    </xf>
    <xf numFmtId="0" fontId="26" fillId="2" borderId="14" xfId="4" applyFont="1" applyFill="1" applyBorder="1" applyAlignment="1">
      <alignment horizontal="left" vertical="center"/>
    </xf>
    <xf numFmtId="0" fontId="26" fillId="2" borderId="14" xfId="5" applyFont="1" applyFill="1" applyBorder="1" applyAlignment="1">
      <alignment horizontal="left" vertical="center"/>
    </xf>
    <xf numFmtId="0" fontId="26" fillId="2" borderId="14" xfId="6" applyFont="1" applyFill="1" applyBorder="1" applyAlignment="1">
      <alignment horizontal="left" vertical="center"/>
    </xf>
    <xf numFmtId="0" fontId="26" fillId="2" borderId="11" xfId="4" applyFont="1" applyFill="1" applyBorder="1" applyAlignment="1">
      <alignment horizontal="center" vertical="center"/>
    </xf>
    <xf numFmtId="1" fontId="21" fillId="2" borderId="11" xfId="5" applyNumberFormat="1" applyFont="1" applyFill="1" applyBorder="1" applyAlignment="1">
      <alignment horizontal="center" vertical="center"/>
    </xf>
    <xf numFmtId="0" fontId="21" fillId="2" borderId="11" xfId="5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7" fillId="7" borderId="0" xfId="0" applyFont="1" applyFill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0" fillId="4" borderId="11" xfId="4" applyFont="1" applyFill="1" applyBorder="1" applyAlignment="1">
      <alignment horizontal="center" vertical="center"/>
    </xf>
    <xf numFmtId="0" fontId="20" fillId="4" borderId="11" xfId="0" applyFont="1" applyFill="1" applyBorder="1" applyAlignment="1">
      <alignment horizontal="center" vertical="center"/>
    </xf>
    <xf numFmtId="0" fontId="20" fillId="4" borderId="11" xfId="0" applyFont="1" applyFill="1" applyBorder="1" applyAlignment="1">
      <alignment vertical="center"/>
    </xf>
    <xf numFmtId="0" fontId="20" fillId="4" borderId="14" xfId="5" applyFont="1" applyFill="1" applyBorder="1" applyAlignment="1">
      <alignment horizontal="center" vertical="center"/>
    </xf>
    <xf numFmtId="0" fontId="20" fillId="4" borderId="14" xfId="4" applyFont="1" applyFill="1" applyBorder="1" applyAlignment="1">
      <alignment horizontal="center" vertical="center"/>
    </xf>
    <xf numFmtId="0" fontId="20" fillId="2" borderId="24" xfId="2" applyFont="1" applyFill="1" applyBorder="1" applyAlignment="1" applyProtection="1">
      <alignment horizontal="center" vertical="center"/>
      <protection hidden="1"/>
    </xf>
    <xf numFmtId="0" fontId="0" fillId="2" borderId="25" xfId="0" applyFill="1" applyBorder="1" applyAlignment="1">
      <alignment horizontal="center" vertical="center"/>
    </xf>
    <xf numFmtId="165" fontId="21" fillId="2" borderId="25" xfId="3" applyNumberFormat="1" applyFont="1" applyFill="1" applyBorder="1" applyAlignment="1" applyProtection="1">
      <alignment horizontal="center" vertical="center"/>
      <protection hidden="1"/>
    </xf>
    <xf numFmtId="164" fontId="21" fillId="2" borderId="25" xfId="2" applyNumberFormat="1" applyFont="1" applyFill="1" applyBorder="1" applyAlignment="1" applyProtection="1">
      <alignment horizontal="center" vertical="center"/>
      <protection hidden="1"/>
    </xf>
    <xf numFmtId="2" fontId="21" fillId="2" borderId="25" xfId="2" applyNumberFormat="1" applyFont="1" applyFill="1" applyBorder="1" applyAlignment="1" applyProtection="1">
      <alignment horizontal="center" vertical="center"/>
      <protection hidden="1"/>
    </xf>
    <xf numFmtId="2" fontId="21" fillId="2" borderId="3" xfId="2" applyNumberFormat="1" applyFont="1" applyFill="1" applyBorder="1" applyAlignment="1" applyProtection="1">
      <alignment horizontal="center" vertical="center"/>
      <protection hidden="1"/>
    </xf>
    <xf numFmtId="0" fontId="1" fillId="2" borderId="11" xfId="0" applyFont="1" applyFill="1" applyBorder="1"/>
    <xf numFmtId="0" fontId="20" fillId="2" borderId="21" xfId="2" applyFont="1" applyFill="1" applyBorder="1" applyAlignment="1" applyProtection="1">
      <alignment horizontal="center" vertical="center"/>
      <protection hidden="1"/>
    </xf>
    <xf numFmtId="0" fontId="0" fillId="2" borderId="11" xfId="0" applyFill="1" applyBorder="1" applyAlignment="1">
      <alignment horizontal="center" vertical="center"/>
    </xf>
    <xf numFmtId="165" fontId="21" fillId="2" borderId="11" xfId="3" applyNumberFormat="1" applyFont="1" applyFill="1" applyBorder="1" applyAlignment="1" applyProtection="1">
      <alignment horizontal="center" vertical="center"/>
      <protection hidden="1"/>
    </xf>
    <xf numFmtId="164" fontId="21" fillId="2" borderId="11" xfId="2" applyNumberFormat="1" applyFont="1" applyFill="1" applyBorder="1" applyAlignment="1" applyProtection="1">
      <alignment horizontal="center" vertical="center"/>
      <protection hidden="1"/>
    </xf>
    <xf numFmtId="2" fontId="21" fillId="2" borderId="11" xfId="2" applyNumberFormat="1" applyFont="1" applyFill="1" applyBorder="1" applyAlignment="1" applyProtection="1">
      <alignment horizontal="center" vertical="center"/>
      <protection hidden="1"/>
    </xf>
    <xf numFmtId="2" fontId="21" fillId="2" borderId="14" xfId="2" applyNumberFormat="1" applyFont="1" applyFill="1" applyBorder="1" applyAlignment="1" applyProtection="1">
      <alignment horizontal="center" vertical="center"/>
      <protection hidden="1"/>
    </xf>
    <xf numFmtId="0" fontId="20" fillId="2" borderId="22" xfId="2" applyFont="1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>
      <alignment horizontal="center" vertical="center"/>
    </xf>
    <xf numFmtId="165" fontId="21" fillId="2" borderId="23" xfId="3" applyNumberFormat="1" applyFont="1" applyFill="1" applyBorder="1" applyAlignment="1" applyProtection="1">
      <alignment horizontal="center" vertical="center"/>
      <protection hidden="1"/>
    </xf>
    <xf numFmtId="164" fontId="21" fillId="2" borderId="23" xfId="2" applyNumberFormat="1" applyFont="1" applyFill="1" applyBorder="1" applyAlignment="1" applyProtection="1">
      <alignment horizontal="center" vertical="center"/>
      <protection hidden="1"/>
    </xf>
    <xf numFmtId="2" fontId="21" fillId="2" borderId="23" xfId="2" applyNumberFormat="1" applyFont="1" applyFill="1" applyBorder="1" applyAlignment="1" applyProtection="1">
      <alignment horizontal="center" vertical="center"/>
      <protection hidden="1"/>
    </xf>
    <xf numFmtId="2" fontId="21" fillId="2" borderId="26" xfId="2" applyNumberFormat="1" applyFont="1" applyFill="1" applyBorder="1" applyAlignment="1" applyProtection="1">
      <alignment horizontal="center" vertical="center"/>
      <protection hidden="1"/>
    </xf>
    <xf numFmtId="0" fontId="1" fillId="4" borderId="11" xfId="0" applyFont="1" applyFill="1" applyBorder="1" applyAlignment="1">
      <alignment horizontal="center" vertical="center"/>
    </xf>
    <xf numFmtId="2" fontId="1" fillId="2" borderId="11" xfId="0" applyNumberFormat="1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1" xfId="0" applyFont="1" applyFill="1" applyBorder="1"/>
    <xf numFmtId="0" fontId="14" fillId="4" borderId="30" xfId="0" applyFont="1" applyFill="1" applyBorder="1" applyAlignment="1">
      <alignment vertical="center"/>
    </xf>
    <xf numFmtId="0" fontId="1" fillId="2" borderId="13" xfId="0" applyFont="1" applyFill="1" applyBorder="1" applyAlignment="1">
      <alignment horizontal="left" vertical="top" indent="2"/>
    </xf>
    <xf numFmtId="0" fontId="9" fillId="2" borderId="11" xfId="0" applyFont="1" applyFill="1" applyBorder="1"/>
    <xf numFmtId="0" fontId="9" fillId="2" borderId="1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0" fontId="9" fillId="2" borderId="0" xfId="0" applyFont="1" applyFill="1" applyAlignment="1">
      <alignment horizontal="center" vertical="top"/>
    </xf>
    <xf numFmtId="0" fontId="9" fillId="2" borderId="11" xfId="0" applyFont="1" applyFill="1" applyBorder="1" applyAlignment="1">
      <alignment vertical="top"/>
    </xf>
    <xf numFmtId="164" fontId="1" fillId="2" borderId="11" xfId="0" applyNumberFormat="1" applyFont="1" applyFill="1" applyBorder="1" applyAlignment="1">
      <alignment horizontal="center" vertical="center"/>
    </xf>
    <xf numFmtId="166" fontId="1" fillId="2" borderId="11" xfId="0" applyNumberFormat="1" applyFont="1" applyFill="1" applyBorder="1" applyAlignment="1">
      <alignment horizontal="center" vertical="center"/>
    </xf>
    <xf numFmtId="0" fontId="4" fillId="4" borderId="11" xfId="0" applyFont="1" applyFill="1" applyBorder="1"/>
    <xf numFmtId="164" fontId="4" fillId="4" borderId="11" xfId="0" applyNumberFormat="1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2" fontId="1" fillId="4" borderId="11" xfId="0" applyNumberFormat="1" applyFont="1" applyFill="1" applyBorder="1" applyAlignment="1">
      <alignment horizontal="center" vertical="center" wrapText="1"/>
    </xf>
    <xf numFmtId="0" fontId="29" fillId="4" borderId="11" xfId="0" applyFont="1" applyFill="1" applyBorder="1" applyAlignment="1">
      <alignment horizontal="center" vertical="center" wrapText="1"/>
    </xf>
    <xf numFmtId="164" fontId="1" fillId="4" borderId="11" xfId="0" applyNumberFormat="1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vertical="center"/>
    </xf>
    <xf numFmtId="0" fontId="31" fillId="3" borderId="1" xfId="0" applyFont="1" applyFill="1" applyBorder="1" applyAlignment="1">
      <alignment vertical="center"/>
    </xf>
    <xf numFmtId="0" fontId="31" fillId="3" borderId="1" xfId="0" applyFont="1" applyFill="1" applyBorder="1" applyAlignment="1">
      <alignment horizontal="center" vertical="center"/>
    </xf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/>
    <xf numFmtId="0" fontId="7" fillId="0" borderId="2" xfId="0" applyFont="1" applyBorder="1"/>
    <xf numFmtId="0" fontId="7" fillId="0" borderId="0" xfId="0" applyFont="1"/>
    <xf numFmtId="0" fontId="31" fillId="3" borderId="0" xfId="0" applyFont="1" applyFill="1" applyAlignment="1">
      <alignment vertical="center"/>
    </xf>
    <xf numFmtId="0" fontId="31" fillId="3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/>
    <xf numFmtId="0" fontId="7" fillId="0" borderId="12" xfId="0" applyFont="1" applyBorder="1"/>
    <xf numFmtId="0" fontId="7" fillId="2" borderId="0" xfId="0" applyFont="1" applyFill="1" applyAlignment="1">
      <alignment vertical="top"/>
    </xf>
    <xf numFmtId="0" fontId="7" fillId="2" borderId="12" xfId="0" applyFont="1" applyFill="1" applyBorder="1" applyAlignment="1">
      <alignment vertical="top"/>
    </xf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center" vertical="top"/>
    </xf>
    <xf numFmtId="1" fontId="7" fillId="2" borderId="0" xfId="0" applyNumberFormat="1" applyFont="1" applyFill="1" applyAlignment="1">
      <alignment horizontal="center" vertical="center"/>
    </xf>
    <xf numFmtId="0" fontId="32" fillId="2" borderId="0" xfId="0" applyFont="1" applyFill="1" applyAlignment="1">
      <alignment horizontal="right" vertical="center"/>
    </xf>
    <xf numFmtId="0" fontId="7" fillId="2" borderId="4" xfId="0" applyFont="1" applyFill="1" applyBorder="1" applyAlignment="1">
      <alignment vertical="top"/>
    </xf>
    <xf numFmtId="0" fontId="7" fillId="2" borderId="5" xfId="0" applyFont="1" applyFill="1" applyBorder="1" applyAlignment="1">
      <alignment vertical="top"/>
    </xf>
    <xf numFmtId="0" fontId="7" fillId="4" borderId="11" xfId="0" applyFont="1" applyFill="1" applyBorder="1" applyAlignment="1">
      <alignment horizontal="center" vertical="center" wrapText="1"/>
    </xf>
    <xf numFmtId="2" fontId="7" fillId="4" borderId="11" xfId="0" applyNumberFormat="1" applyFont="1" applyFill="1" applyBorder="1" applyAlignment="1">
      <alignment horizontal="center" vertical="center" wrapText="1"/>
    </xf>
    <xf numFmtId="0" fontId="36" fillId="4" borderId="11" xfId="0" applyFont="1" applyFill="1" applyBorder="1" applyAlignment="1">
      <alignment horizontal="center" vertical="center" wrapText="1"/>
    </xf>
    <xf numFmtId="164" fontId="7" fillId="4" borderId="11" xfId="0" applyNumberFormat="1" applyFont="1" applyFill="1" applyBorder="1" applyAlignment="1">
      <alignment horizontal="center" vertical="center" wrapText="1"/>
    </xf>
    <xf numFmtId="0" fontId="7" fillId="4" borderId="25" xfId="0" applyFont="1" applyFill="1" applyBorder="1" applyAlignment="1">
      <alignment horizontal="center" vertical="center" wrapText="1"/>
    </xf>
    <xf numFmtId="0" fontId="7" fillId="2" borderId="11" xfId="0" applyFont="1" applyFill="1" applyBorder="1"/>
    <xf numFmtId="164" fontId="7" fillId="2" borderId="11" xfId="0" applyNumberFormat="1" applyFont="1" applyFill="1" applyBorder="1" applyAlignment="1">
      <alignment horizontal="center" vertical="center"/>
    </xf>
    <xf numFmtId="1" fontId="7" fillId="2" borderId="11" xfId="0" applyNumberFormat="1" applyFont="1" applyFill="1" applyBorder="1" applyAlignment="1">
      <alignment horizontal="center" vertical="center"/>
    </xf>
    <xf numFmtId="166" fontId="7" fillId="2" borderId="11" xfId="0" applyNumberFormat="1" applyFont="1" applyFill="1" applyBorder="1" applyAlignment="1">
      <alignment horizontal="center" vertical="center"/>
    </xf>
    <xf numFmtId="2" fontId="7" fillId="2" borderId="11" xfId="0" applyNumberFormat="1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vertical="top"/>
    </xf>
    <xf numFmtId="1" fontId="7" fillId="2" borderId="11" xfId="0" applyNumberFormat="1" applyFont="1" applyFill="1" applyBorder="1" applyAlignment="1">
      <alignment vertical="top"/>
    </xf>
    <xf numFmtId="0" fontId="7" fillId="2" borderId="11" xfId="0" applyFont="1" applyFill="1" applyBorder="1" applyAlignment="1">
      <alignment horizontal="center" vertical="top"/>
    </xf>
    <xf numFmtId="0" fontId="7" fillId="0" borderId="0" xfId="0" applyFont="1" applyAlignment="1">
      <alignment horizontal="center"/>
    </xf>
    <xf numFmtId="0" fontId="9" fillId="2" borderId="11" xfId="0" applyFont="1" applyFill="1" applyBorder="1" applyAlignment="1">
      <alignment horizontal="center" vertical="top"/>
    </xf>
    <xf numFmtId="164" fontId="9" fillId="2" borderId="11" xfId="0" applyNumberFormat="1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38" fillId="3" borderId="1" xfId="0" applyFont="1" applyFill="1" applyBorder="1" applyAlignment="1">
      <alignment vertical="center"/>
    </xf>
    <xf numFmtId="0" fontId="38" fillId="3" borderId="1" xfId="0" applyFont="1" applyFill="1" applyBorder="1" applyAlignment="1">
      <alignment horizontal="center" vertical="center"/>
    </xf>
    <xf numFmtId="0" fontId="38" fillId="3" borderId="0" xfId="0" applyFont="1" applyFill="1" applyAlignment="1">
      <alignment vertical="center"/>
    </xf>
    <xf numFmtId="0" fontId="38" fillId="3" borderId="0" xfId="0" applyFont="1" applyFill="1" applyAlignment="1">
      <alignment horizontal="center" vertical="center"/>
    </xf>
    <xf numFmtId="0" fontId="39" fillId="4" borderId="16" xfId="0" applyFont="1" applyFill="1" applyBorder="1" applyAlignment="1">
      <alignment vertical="center"/>
    </xf>
    <xf numFmtId="0" fontId="39" fillId="4" borderId="16" xfId="0" applyFont="1" applyFill="1" applyBorder="1" applyAlignment="1">
      <alignment horizontal="center" vertical="center"/>
    </xf>
    <xf numFmtId="0" fontId="9" fillId="2" borderId="0" xfId="0" applyFont="1" applyFill="1" applyAlignment="1">
      <alignment vertical="top"/>
    </xf>
    <xf numFmtId="0" fontId="9" fillId="2" borderId="0" xfId="0" applyFont="1" applyFill="1" applyAlignment="1">
      <alignment horizontal="center"/>
    </xf>
    <xf numFmtId="0" fontId="40" fillId="2" borderId="0" xfId="0" applyFont="1" applyFill="1" applyAlignment="1">
      <alignment horizontal="center" vertical="center"/>
    </xf>
    <xf numFmtId="0" fontId="39" fillId="2" borderId="13" xfId="0" applyFont="1" applyFill="1" applyBorder="1" applyAlignment="1">
      <alignment horizontal="left" indent="1"/>
    </xf>
    <xf numFmtId="0" fontId="9" fillId="2" borderId="13" xfId="0" applyFont="1" applyFill="1" applyBorder="1" applyAlignment="1">
      <alignment vertical="top"/>
    </xf>
    <xf numFmtId="0" fontId="11" fillId="5" borderId="10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wrapText="1"/>
    </xf>
    <xf numFmtId="0" fontId="1" fillId="4" borderId="27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20" xfId="0" applyFont="1" applyFill="1" applyBorder="1" applyAlignment="1">
      <alignment horizontal="center" vertical="center"/>
    </xf>
    <xf numFmtId="0" fontId="33" fillId="4" borderId="11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/>
    </xf>
    <xf numFmtId="0" fontId="29" fillId="4" borderId="11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/>
    </xf>
    <xf numFmtId="0" fontId="30" fillId="8" borderId="11" xfId="0" applyFont="1" applyFill="1" applyBorder="1" applyAlignment="1">
      <alignment horizontal="center" vertical="center" wrapText="1"/>
    </xf>
    <xf numFmtId="0" fontId="10" fillId="3" borderId="28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36" fillId="4" borderId="11" xfId="0" applyFont="1" applyFill="1" applyBorder="1" applyAlignment="1">
      <alignment horizontal="center" vertical="center" wrapText="1"/>
    </xf>
    <xf numFmtId="1" fontId="36" fillId="4" borderId="11" xfId="0" applyNumberFormat="1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0" xfId="0" applyFont="1" applyFill="1" applyAlignment="1">
      <alignment horizontal="center" vertical="center"/>
    </xf>
    <xf numFmtId="0" fontId="31" fillId="4" borderId="12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7" fillId="4" borderId="3" xfId="0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11" fillId="5" borderId="17" xfId="0" applyFont="1" applyFill="1" applyBorder="1" applyAlignment="1">
      <alignment horizontal="center"/>
    </xf>
    <xf numFmtId="0" fontId="11" fillId="5" borderId="18" xfId="0" applyFont="1" applyFill="1" applyBorder="1" applyAlignment="1">
      <alignment horizontal="center"/>
    </xf>
    <xf numFmtId="0" fontId="11" fillId="5" borderId="19" xfId="0" applyFont="1" applyFill="1" applyBorder="1" applyAlignment="1">
      <alignment horizontal="center"/>
    </xf>
    <xf numFmtId="0" fontId="22" fillId="5" borderId="20" xfId="2" applyFont="1" applyFill="1" applyBorder="1" applyAlignment="1">
      <alignment horizontal="center" vertical="center"/>
    </xf>
    <xf numFmtId="0" fontId="22" fillId="5" borderId="25" xfId="2" applyFont="1" applyFill="1" applyBorder="1" applyAlignment="1">
      <alignment horizontal="center" vertical="center"/>
    </xf>
    <xf numFmtId="0" fontId="22" fillId="5" borderId="11" xfId="2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wrapText="1"/>
    </xf>
    <xf numFmtId="0" fontId="11" fillId="5" borderId="16" xfId="0" applyFont="1" applyFill="1" applyBorder="1" applyAlignment="1">
      <alignment horizontal="center" wrapText="1"/>
    </xf>
    <xf numFmtId="0" fontId="11" fillId="5" borderId="6" xfId="0" applyFont="1" applyFill="1" applyBorder="1" applyAlignment="1">
      <alignment horizontal="center" wrapText="1"/>
    </xf>
    <xf numFmtId="0" fontId="11" fillId="5" borderId="0" xfId="0" applyFont="1" applyFill="1" applyAlignment="1">
      <alignment horizontal="center" wrapText="1"/>
    </xf>
    <xf numFmtId="0" fontId="20" fillId="4" borderId="11" xfId="4" applyFont="1" applyFill="1" applyBorder="1" applyAlignment="1">
      <alignment horizontal="center" vertical="center"/>
    </xf>
    <xf numFmtId="0" fontId="22" fillId="5" borderId="3" xfId="2" applyFont="1" applyFill="1" applyBorder="1" applyAlignment="1">
      <alignment horizontal="center" vertical="center" wrapText="1"/>
    </xf>
    <xf numFmtId="0" fontId="22" fillId="5" borderId="4" xfId="2" applyFont="1" applyFill="1" applyBorder="1" applyAlignment="1">
      <alignment horizontal="center" vertical="center" wrapText="1"/>
    </xf>
    <xf numFmtId="0" fontId="22" fillId="5" borderId="11" xfId="2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41" fillId="5" borderId="9" xfId="0" applyFont="1" applyFill="1" applyBorder="1" applyAlignment="1">
      <alignment horizontal="center"/>
    </xf>
    <xf numFmtId="0" fontId="11" fillId="5" borderId="31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</cellXfs>
  <cellStyles count="7">
    <cellStyle name="Comma 2" xfId="3" xr:uid="{00000000-0005-0000-0000-000000000000}"/>
    <cellStyle name="Normal" xfId="0" builtinId="0"/>
    <cellStyle name="Normal 2" xfId="5" xr:uid="{00000000-0005-0000-0000-000002000000}"/>
    <cellStyle name="Normal 2 2" xfId="6" xr:uid="{00000000-0005-0000-0000-000003000000}"/>
    <cellStyle name="Normal 5" xfId="2" xr:uid="{00000000-0005-0000-0000-000004000000}"/>
    <cellStyle name="Normal 6" xfId="1" xr:uid="{00000000-0005-0000-0000-000005000000}"/>
    <cellStyle name="Normal_Sheet3" xfId="4" xr:uid="{00000000-0005-0000-0000-000006000000}"/>
  </cellStyles>
  <dxfs count="6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94896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E4D4BDB-9916-4E24-98DD-DE704E0C8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4DCC9A95-B211-4B8B-AA95-8CE5A1D354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596109</xdr:colOff>
      <xdr:row>19</xdr:row>
      <xdr:rowOff>92319</xdr:rowOff>
    </xdr:from>
    <xdr:ext cx="1144865" cy="364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F47F8B1-FB01-4215-8870-FB89C04DAED4}"/>
                </a:ext>
              </a:extLst>
            </xdr:cNvPr>
            <xdr:cNvSpPr txBox="1"/>
          </xdr:nvSpPr>
          <xdr:spPr>
            <a:xfrm>
              <a:off x="2486455" y="1968011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𝐹𝑆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𝐴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2F47F8B1-FB01-4215-8870-FB89C04DAED4}"/>
                </a:ext>
              </a:extLst>
            </xdr:cNvPr>
            <xdr:cNvSpPr txBox="1"/>
          </xdr:nvSpPr>
          <xdr:spPr>
            <a:xfrm>
              <a:off x="2486455" y="1968011"/>
              <a:ext cx="1144865" cy="364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𝐹𝑆=𝑁/(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𝜑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𝐴𝑓_𝑦𝑑 𝛾_𝑐 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≤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49</xdr:col>
      <xdr:colOff>359019</xdr:colOff>
      <xdr:row>19</xdr:row>
      <xdr:rowOff>14654</xdr:rowOff>
    </xdr:from>
    <xdr:to>
      <xdr:col>50</xdr:col>
      <xdr:colOff>241787</xdr:colOff>
      <xdr:row>23</xdr:row>
      <xdr:rowOff>124557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38E8191F-25A8-117A-695C-5D2505A128AE}"/>
            </a:ext>
          </a:extLst>
        </xdr:cNvPr>
        <xdr:cNvSpPr/>
      </xdr:nvSpPr>
      <xdr:spPr>
        <a:xfrm>
          <a:off x="9363807" y="1890346"/>
          <a:ext cx="366345" cy="754673"/>
        </a:xfrm>
        <a:prstGeom prst="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285750</xdr:colOff>
      <xdr:row>11</xdr:row>
      <xdr:rowOff>41545</xdr:rowOff>
    </xdr:from>
    <xdr:to>
      <xdr:col>22</xdr:col>
      <xdr:colOff>211674</xdr:colOff>
      <xdr:row>20</xdr:row>
      <xdr:rowOff>91802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09763A-410F-FBB9-CB5C-53FB21B26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8154" y="459180"/>
          <a:ext cx="1933501" cy="16637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FD33"/>
  <sheetViews>
    <sheetView showGridLines="0" zoomScale="130" zoomScaleNormal="130" zoomScaleSheetLayoutView="100" workbookViewId="0">
      <selection activeCell="M17" sqref="M17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10" customWidth="1"/>
    <col min="11" max="15" width="7.33203125" style="1"/>
    <col min="16" max="20" width="0" style="1" hidden="1" customWidth="1"/>
    <col min="21" max="21" width="3.33203125" style="10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10" customWidth="1"/>
    <col min="48" max="50" width="7.33203125" style="1"/>
    <col min="51" max="51" width="3.33203125" style="10" customWidth="1"/>
    <col min="52" max="54" width="7.33203125" style="1"/>
    <col min="55" max="59" width="0" style="1" hidden="1" customWidth="1"/>
    <col min="60" max="60" width="3.33203125" style="10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10" customWidth="1"/>
    <col min="81" max="81" width="9.5546875" style="24" bestFit="1" customWidth="1"/>
    <col min="82" max="83" width="9.5546875" style="32" customWidth="1"/>
    <col min="84" max="85" width="5" style="24" bestFit="1" customWidth="1"/>
    <col min="86" max="86" width="5" style="24" customWidth="1"/>
    <col min="87" max="87" width="5" style="24" bestFit="1" customWidth="1"/>
    <col min="88" max="88" width="7" style="25" bestFit="1" customWidth="1"/>
    <col min="89" max="103" width="0" style="1" hidden="1" customWidth="1"/>
    <col min="104" max="104" width="3.33203125" style="10" customWidth="1"/>
    <col min="105" max="105" width="10.44140625" style="22" customWidth="1"/>
    <col min="106" max="110" width="7.33203125" style="22"/>
    <col min="111" max="16384" width="7.33203125" style="1"/>
  </cols>
  <sheetData>
    <row r="1" spans="1:160" ht="14.25" customHeight="1">
      <c r="A1" s="141" t="s">
        <v>1</v>
      </c>
      <c r="B1" s="6" t="s">
        <v>17</v>
      </c>
      <c r="C1" s="6" t="s">
        <v>24</v>
      </c>
      <c r="D1" s="6" t="s">
        <v>25</v>
      </c>
      <c r="E1" s="186" t="s">
        <v>245</v>
      </c>
      <c r="F1" s="17"/>
      <c r="G1" s="17"/>
      <c r="H1" s="17"/>
      <c r="I1" s="17"/>
      <c r="K1" s="176" t="s">
        <v>40</v>
      </c>
      <c r="L1" s="177"/>
      <c r="M1" s="177"/>
      <c r="N1" s="177"/>
      <c r="O1" s="177"/>
      <c r="P1" s="11"/>
      <c r="Q1" s="11"/>
      <c r="R1" s="11"/>
      <c r="S1" s="11"/>
      <c r="T1" s="11"/>
      <c r="V1" s="184" t="s">
        <v>50</v>
      </c>
      <c r="W1" s="184"/>
      <c r="X1" s="184"/>
      <c r="Y1" s="184"/>
      <c r="Z1" s="184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V1" s="170" t="s">
        <v>103</v>
      </c>
      <c r="AW1" s="171"/>
      <c r="AX1" s="172"/>
      <c r="AZ1" s="170" t="s">
        <v>51</v>
      </c>
      <c r="BA1" s="171"/>
      <c r="BB1" s="172"/>
      <c r="BI1" s="175" t="s">
        <v>60</v>
      </c>
      <c r="BJ1" s="175"/>
      <c r="BK1" s="183" t="s">
        <v>85</v>
      </c>
      <c r="BL1" s="175" t="s">
        <v>61</v>
      </c>
      <c r="BM1" s="175"/>
      <c r="BN1" s="175"/>
      <c r="BO1" s="175"/>
      <c r="BP1" s="183" t="s">
        <v>90</v>
      </c>
      <c r="BQ1" s="183"/>
      <c r="CC1" s="181" t="s">
        <v>61</v>
      </c>
      <c r="CD1" s="182"/>
      <c r="CE1" s="182"/>
      <c r="CF1" s="182"/>
      <c r="CG1" s="182"/>
      <c r="CH1" s="182"/>
      <c r="CI1" s="182"/>
      <c r="CJ1" s="182"/>
      <c r="DA1" s="175" t="s">
        <v>160</v>
      </c>
      <c r="DB1" s="175"/>
      <c r="DC1" s="175"/>
      <c r="DD1" s="175"/>
      <c r="DE1" s="175"/>
      <c r="DF1" s="175"/>
      <c r="DZ1" s="34">
        <v>1</v>
      </c>
      <c r="EA1" s="34">
        <v>2</v>
      </c>
      <c r="EB1" s="34">
        <v>3</v>
      </c>
      <c r="EC1" s="34">
        <v>4</v>
      </c>
      <c r="ED1" s="34">
        <v>5</v>
      </c>
      <c r="EE1" s="34">
        <v>6</v>
      </c>
      <c r="EF1" s="34">
        <v>7</v>
      </c>
      <c r="EG1" s="34">
        <v>8</v>
      </c>
      <c r="EH1" s="34">
        <v>9</v>
      </c>
      <c r="EI1" s="34">
        <v>10</v>
      </c>
      <c r="EJ1" s="34">
        <v>11</v>
      </c>
      <c r="EK1" s="34">
        <v>12</v>
      </c>
      <c r="EL1" s="34">
        <v>13</v>
      </c>
      <c r="EM1" s="34">
        <v>14</v>
      </c>
      <c r="EN1" s="34">
        <v>15</v>
      </c>
      <c r="EO1" s="34">
        <v>16</v>
      </c>
      <c r="EP1" s="34">
        <v>17</v>
      </c>
      <c r="EQ1" s="34">
        <v>18</v>
      </c>
      <c r="ER1" s="34">
        <v>19</v>
      </c>
      <c r="ES1" s="34">
        <v>20</v>
      </c>
      <c r="ET1" s="34">
        <v>21</v>
      </c>
      <c r="EU1" s="34">
        <v>22</v>
      </c>
      <c r="EV1" s="34">
        <v>23</v>
      </c>
      <c r="EW1" s="34">
        <v>24</v>
      </c>
      <c r="EX1" s="34">
        <v>25</v>
      </c>
      <c r="EY1" s="34">
        <v>26</v>
      </c>
      <c r="EZ1" s="34">
        <v>27</v>
      </c>
      <c r="FA1" s="34">
        <v>28</v>
      </c>
    </row>
    <row r="2" spans="1:160" ht="15.6">
      <c r="A2" s="142"/>
      <c r="B2" s="6" t="s">
        <v>18</v>
      </c>
      <c r="C2" s="6" t="s">
        <v>18</v>
      </c>
      <c r="D2" s="6" t="s">
        <v>18</v>
      </c>
      <c r="E2" s="187"/>
      <c r="F2" s="17"/>
      <c r="G2" s="17"/>
      <c r="H2" s="17"/>
      <c r="I2" s="17"/>
      <c r="K2" s="178"/>
      <c r="L2" s="179"/>
      <c r="M2" s="179"/>
      <c r="N2" s="179"/>
      <c r="O2" s="179"/>
      <c r="P2" s="11"/>
      <c r="Q2" s="11"/>
      <c r="R2" s="11"/>
      <c r="S2" s="11"/>
      <c r="T2" s="11"/>
      <c r="V2" s="185"/>
      <c r="W2" s="185"/>
      <c r="X2" s="185"/>
      <c r="Y2" s="185"/>
      <c r="Z2" s="185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V2" s="6" t="s">
        <v>104</v>
      </c>
      <c r="AW2" s="6" t="s">
        <v>19</v>
      </c>
      <c r="AX2" s="6" t="s">
        <v>30</v>
      </c>
      <c r="AZ2" s="6" t="s">
        <v>52</v>
      </c>
      <c r="BA2" s="6" t="s">
        <v>53</v>
      </c>
      <c r="BB2" s="6" t="s">
        <v>54</v>
      </c>
      <c r="BI2" s="175"/>
      <c r="BJ2" s="175"/>
      <c r="BK2" s="183"/>
      <c r="BL2" s="175" t="s">
        <v>62</v>
      </c>
      <c r="BM2" s="175"/>
      <c r="BN2" s="175" t="s">
        <v>63</v>
      </c>
      <c r="BO2" s="175"/>
      <c r="BP2" s="183"/>
      <c r="BQ2" s="183"/>
      <c r="CC2" s="180" t="s">
        <v>105</v>
      </c>
      <c r="CD2" s="40" t="s">
        <v>115</v>
      </c>
      <c r="CE2" s="40" t="s">
        <v>104</v>
      </c>
      <c r="CF2" s="41" t="s">
        <v>161</v>
      </c>
      <c r="CG2" s="41" t="s">
        <v>162</v>
      </c>
      <c r="CH2" s="41" t="s">
        <v>163</v>
      </c>
      <c r="CI2" s="41" t="s">
        <v>164</v>
      </c>
      <c r="CJ2" s="42" t="s">
        <v>165</v>
      </c>
      <c r="DA2" s="65">
        <v>1</v>
      </c>
      <c r="DB2" s="65">
        <v>2</v>
      </c>
      <c r="DC2" s="65">
        <v>3</v>
      </c>
      <c r="DD2" s="65">
        <v>4</v>
      </c>
      <c r="DE2" s="65">
        <v>6</v>
      </c>
      <c r="DF2" s="65">
        <v>8</v>
      </c>
      <c r="DZ2" s="33"/>
      <c r="EA2" s="33"/>
      <c r="EB2" s="33"/>
      <c r="EC2" s="33"/>
      <c r="ED2" s="33"/>
      <c r="EE2" s="33"/>
      <c r="EF2" s="33"/>
      <c r="EG2" s="33"/>
      <c r="EH2" s="33"/>
      <c r="EI2" s="33"/>
      <c r="EJ2" s="33"/>
      <c r="EK2" s="33"/>
      <c r="EL2" s="33"/>
      <c r="EM2" s="33"/>
      <c r="EN2" s="33"/>
      <c r="EO2" s="33"/>
      <c r="EP2" s="33"/>
      <c r="EQ2" s="33"/>
      <c r="ER2" s="33"/>
      <c r="ES2" s="33"/>
      <c r="ET2" s="33"/>
      <c r="EU2" s="33"/>
      <c r="EV2" s="33"/>
      <c r="EW2" s="33"/>
      <c r="EX2" s="33"/>
      <c r="EY2" s="33"/>
      <c r="EZ2" s="33"/>
      <c r="FA2" s="33"/>
      <c r="FB2" s="33"/>
    </row>
    <row r="3" spans="1:160" ht="15.6">
      <c r="A3" s="7" t="s">
        <v>26</v>
      </c>
      <c r="B3" s="2">
        <f>2.06*10^5</f>
        <v>206000</v>
      </c>
      <c r="C3" s="2">
        <v>235</v>
      </c>
      <c r="D3" s="188">
        <v>370</v>
      </c>
      <c r="E3" s="189">
        <v>1.1000000000000001</v>
      </c>
      <c r="F3" s="18"/>
      <c r="G3" s="18"/>
      <c r="H3" s="18"/>
      <c r="I3" s="18"/>
      <c r="K3" s="12" t="s">
        <v>41</v>
      </c>
      <c r="L3" s="12" t="s">
        <v>42</v>
      </c>
      <c r="M3" s="12" t="s">
        <v>43</v>
      </c>
      <c r="N3" s="12" t="s">
        <v>44</v>
      </c>
      <c r="O3" s="12" t="s">
        <v>45</v>
      </c>
      <c r="P3" s="8"/>
      <c r="Q3" s="8"/>
      <c r="R3" s="8"/>
      <c r="S3" s="8"/>
      <c r="T3" s="8"/>
      <c r="V3" s="13" t="s">
        <v>39</v>
      </c>
      <c r="W3" s="13" t="s">
        <v>46</v>
      </c>
      <c r="X3" s="13" t="s">
        <v>47</v>
      </c>
      <c r="Y3" s="13" t="s">
        <v>48</v>
      </c>
      <c r="Z3" s="15" t="s">
        <v>49</v>
      </c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V3" s="3">
        <v>360</v>
      </c>
      <c r="AW3" s="3">
        <v>560</v>
      </c>
      <c r="AX3" s="3">
        <v>475</v>
      </c>
      <c r="AZ3" s="3" t="s">
        <v>55</v>
      </c>
      <c r="BA3" s="3">
        <v>430</v>
      </c>
      <c r="BB3" s="3">
        <v>180</v>
      </c>
      <c r="BI3" s="175"/>
      <c r="BJ3" s="175"/>
      <c r="BK3" s="183"/>
      <c r="BL3" s="20" t="s">
        <v>86</v>
      </c>
      <c r="BM3" s="20" t="s">
        <v>87</v>
      </c>
      <c r="BN3" s="20" t="s">
        <v>88</v>
      </c>
      <c r="BO3" s="20" t="s">
        <v>89</v>
      </c>
      <c r="BP3" s="173" t="s">
        <v>101</v>
      </c>
      <c r="BQ3" s="21" t="s">
        <v>102</v>
      </c>
      <c r="CC3" s="180"/>
      <c r="CD3" s="39" t="s">
        <v>22</v>
      </c>
      <c r="CE3" s="39" t="s">
        <v>22</v>
      </c>
      <c r="CF3" s="39" t="s">
        <v>22</v>
      </c>
      <c r="CG3" s="39" t="s">
        <v>22</v>
      </c>
      <c r="CH3" s="39" t="s">
        <v>22</v>
      </c>
      <c r="CI3" s="39" t="s">
        <v>22</v>
      </c>
      <c r="CJ3" s="43" t="s">
        <v>22</v>
      </c>
      <c r="DA3" s="150" t="s">
        <v>131</v>
      </c>
      <c r="DB3" s="150" t="s">
        <v>166</v>
      </c>
      <c r="DC3" s="150"/>
      <c r="DD3" s="63" t="s">
        <v>19</v>
      </c>
      <c r="DE3" s="63" t="s">
        <v>167</v>
      </c>
      <c r="DF3" s="63" t="s">
        <v>139</v>
      </c>
      <c r="DZ3" s="33" t="s">
        <v>131</v>
      </c>
      <c r="EA3" s="33" t="s">
        <v>132</v>
      </c>
      <c r="EB3" s="33" t="s">
        <v>19</v>
      </c>
      <c r="EC3" s="33" t="s">
        <v>30</v>
      </c>
      <c r="ED3" s="33" t="s">
        <v>133</v>
      </c>
      <c r="EE3" s="33" t="s">
        <v>134</v>
      </c>
      <c r="EF3" s="33" t="s">
        <v>135</v>
      </c>
      <c r="EG3" s="33" t="s">
        <v>19</v>
      </c>
      <c r="EH3" s="33" t="s">
        <v>136</v>
      </c>
      <c r="EI3" s="33" t="s">
        <v>123</v>
      </c>
      <c r="EJ3" s="33" t="s">
        <v>124</v>
      </c>
      <c r="EK3" s="33" t="s">
        <v>125</v>
      </c>
      <c r="EL3" s="33" t="s">
        <v>126</v>
      </c>
      <c r="EM3" s="33" t="s">
        <v>137</v>
      </c>
      <c r="EN3" s="33" t="s">
        <v>138</v>
      </c>
      <c r="EO3" s="33" t="s">
        <v>139</v>
      </c>
      <c r="EP3" s="33" t="s">
        <v>140</v>
      </c>
      <c r="EQ3" s="33" t="s">
        <v>141</v>
      </c>
      <c r="ER3" s="33" t="s">
        <v>142</v>
      </c>
      <c r="ES3" s="33" t="s">
        <v>127</v>
      </c>
      <c r="ET3" s="33" t="s">
        <v>128</v>
      </c>
      <c r="EU3" s="33" t="s">
        <v>143</v>
      </c>
      <c r="EV3" s="33"/>
      <c r="EW3" s="33"/>
      <c r="EX3" s="33"/>
      <c r="EY3" s="33"/>
      <c r="EZ3" s="33"/>
      <c r="FA3" s="33"/>
      <c r="FB3" s="33"/>
      <c r="FC3" s="33"/>
    </row>
    <row r="4" spans="1:160" ht="15">
      <c r="A4" s="7" t="s">
        <v>27</v>
      </c>
      <c r="B4" s="2">
        <f t="shared" ref="B4:B33" si="0">2.06*10^5</f>
        <v>206000</v>
      </c>
      <c r="C4" s="2">
        <v>345</v>
      </c>
      <c r="D4" s="188">
        <v>510</v>
      </c>
      <c r="E4" s="189">
        <v>1.1000000000000001</v>
      </c>
      <c r="F4" s="18"/>
      <c r="G4" s="18"/>
      <c r="H4" s="18"/>
      <c r="I4" s="18"/>
      <c r="K4" s="12">
        <v>5.6</v>
      </c>
      <c r="L4" s="12">
        <v>500</v>
      </c>
      <c r="M4" s="12">
        <v>300</v>
      </c>
      <c r="N4" s="12">
        <v>210</v>
      </c>
      <c r="O4" s="12">
        <v>225</v>
      </c>
      <c r="P4" s="8"/>
      <c r="Q4" s="8"/>
      <c r="R4" s="8"/>
      <c r="S4" s="8"/>
      <c r="T4" s="8"/>
      <c r="V4" s="14">
        <v>10</v>
      </c>
      <c r="W4" s="3">
        <v>1.5</v>
      </c>
      <c r="X4" s="5">
        <v>78.5</v>
      </c>
      <c r="Y4" s="3">
        <v>57.1</v>
      </c>
      <c r="Z4" s="3">
        <v>1</v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V4" s="3">
        <v>370</v>
      </c>
      <c r="AW4" s="3">
        <v>580</v>
      </c>
      <c r="AX4" s="3">
        <v>485</v>
      </c>
      <c r="AZ4" s="3" t="s">
        <v>56</v>
      </c>
      <c r="BA4" s="3">
        <v>510</v>
      </c>
      <c r="BB4" s="3">
        <v>225</v>
      </c>
      <c r="BI4" s="175"/>
      <c r="BJ4" s="175"/>
      <c r="BK4" s="20" t="s">
        <v>22</v>
      </c>
      <c r="BL4" s="20" t="s">
        <v>22</v>
      </c>
      <c r="BM4" s="20" t="s">
        <v>22</v>
      </c>
      <c r="BN4" s="20" t="s">
        <v>22</v>
      </c>
      <c r="BO4" s="20" t="s">
        <v>22</v>
      </c>
      <c r="BP4" s="174"/>
      <c r="BQ4" s="20" t="s">
        <v>22</v>
      </c>
      <c r="CC4" s="26" t="s">
        <v>106</v>
      </c>
      <c r="CD4" s="30">
        <v>235</v>
      </c>
      <c r="CE4" s="30">
        <v>373</v>
      </c>
      <c r="CF4" s="26">
        <f>CD4</f>
        <v>235</v>
      </c>
      <c r="CG4" s="26">
        <f>CF4/1.15</f>
        <v>204.34782608695653</v>
      </c>
      <c r="CH4" s="26">
        <f>CF4</f>
        <v>235</v>
      </c>
      <c r="CI4" s="26">
        <f>0.7*CD4</f>
        <v>164.5</v>
      </c>
      <c r="CJ4" s="27">
        <v>200000</v>
      </c>
      <c r="DA4" s="150"/>
      <c r="DB4" s="63" t="s">
        <v>39</v>
      </c>
      <c r="DC4" s="63" t="s">
        <v>133</v>
      </c>
      <c r="DD4" s="63" t="s">
        <v>23</v>
      </c>
      <c r="DE4" s="63" t="s">
        <v>20</v>
      </c>
      <c r="DF4" s="63" t="s">
        <v>20</v>
      </c>
      <c r="DZ4" s="33" t="s">
        <v>129</v>
      </c>
      <c r="EA4" s="33" t="s">
        <v>130</v>
      </c>
      <c r="EB4" s="33">
        <v>50</v>
      </c>
      <c r="EC4" s="33">
        <v>50</v>
      </c>
      <c r="ED4" s="33">
        <v>4</v>
      </c>
      <c r="EE4" s="33">
        <v>6.5</v>
      </c>
      <c r="EF4" s="33">
        <v>3</v>
      </c>
      <c r="EG4" s="33">
        <v>3.8919999999999999</v>
      </c>
      <c r="EH4" s="33">
        <v>3.06</v>
      </c>
      <c r="EI4" s="33">
        <v>1.37</v>
      </c>
      <c r="EJ4" s="33">
        <v>1.37</v>
      </c>
      <c r="EK4" s="33">
        <v>9.06</v>
      </c>
      <c r="EL4" s="33">
        <v>9.06</v>
      </c>
      <c r="EM4" s="33">
        <v>14.4</v>
      </c>
      <c r="EN4" s="33">
        <v>3.76</v>
      </c>
      <c r="EO4" s="33">
        <v>1.53</v>
      </c>
      <c r="EP4" s="33">
        <v>1.53</v>
      </c>
      <c r="EQ4" s="33">
        <v>1.92</v>
      </c>
      <c r="ER4" s="33">
        <v>0.98299999999999998</v>
      </c>
      <c r="ES4" s="33">
        <v>2.4900000000000002</v>
      </c>
      <c r="ET4" s="33">
        <v>2.4900000000000002</v>
      </c>
      <c r="EU4" s="33"/>
      <c r="EV4" s="33">
        <v>1.53</v>
      </c>
      <c r="EW4" s="33"/>
      <c r="EX4" s="33"/>
      <c r="EY4" s="38">
        <f>(EP4^2+(EJ4+0.5*FC5)^2)^0.5</f>
        <v>2.4161539686038225</v>
      </c>
      <c r="EZ4" s="33"/>
      <c r="FA4" s="33"/>
      <c r="FB4" s="33"/>
      <c r="FC4" s="33"/>
    </row>
    <row r="5" spans="1:160" ht="14.4">
      <c r="A5" s="7" t="s">
        <v>246</v>
      </c>
      <c r="B5" s="2">
        <f t="shared" si="0"/>
        <v>206000</v>
      </c>
      <c r="C5" s="2">
        <v>355</v>
      </c>
      <c r="D5" s="188">
        <v>510</v>
      </c>
      <c r="E5" s="189">
        <v>1.1000000000000001</v>
      </c>
      <c r="F5" s="18"/>
      <c r="G5" s="18"/>
      <c r="H5" s="18"/>
      <c r="I5" s="18"/>
      <c r="K5" s="12">
        <v>5.8</v>
      </c>
      <c r="L5" s="12">
        <v>500</v>
      </c>
      <c r="M5" s="12">
        <v>400</v>
      </c>
      <c r="N5" s="12">
        <v>210</v>
      </c>
      <c r="O5" s="12">
        <v>210</v>
      </c>
      <c r="P5" s="8"/>
      <c r="Q5" s="8"/>
      <c r="R5" s="8"/>
      <c r="S5" s="8"/>
      <c r="T5" s="8"/>
      <c r="V5" s="14">
        <v>12</v>
      </c>
      <c r="W5" s="3">
        <v>1.5</v>
      </c>
      <c r="X5" s="5">
        <v>113</v>
      </c>
      <c r="Y5" s="3">
        <v>84.2</v>
      </c>
      <c r="Z5" s="3">
        <v>1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V5" s="3">
        <v>380</v>
      </c>
      <c r="AW5" s="3">
        <v>590</v>
      </c>
      <c r="AX5" s="3">
        <v>500</v>
      </c>
      <c r="AZ5" s="3" t="s">
        <v>57</v>
      </c>
      <c r="BA5" s="3">
        <v>410</v>
      </c>
      <c r="BB5" s="3">
        <v>180</v>
      </c>
      <c r="BI5" s="44" t="s">
        <v>64</v>
      </c>
      <c r="BJ5" s="45" t="s">
        <v>65</v>
      </c>
      <c r="BK5" s="46">
        <v>19000</v>
      </c>
      <c r="BL5" s="47">
        <v>7.5</v>
      </c>
      <c r="BM5" s="47">
        <v>6</v>
      </c>
      <c r="BN5" s="48">
        <v>0.85</v>
      </c>
      <c r="BO5" s="49">
        <v>0.56000000000000005</v>
      </c>
      <c r="BP5" s="50"/>
      <c r="BQ5" s="50"/>
      <c r="CC5" s="26" t="s">
        <v>107</v>
      </c>
      <c r="CD5" s="30">
        <v>295</v>
      </c>
      <c r="CE5" s="30">
        <v>490</v>
      </c>
      <c r="CF5" s="26">
        <f t="shared" ref="CF5:CF19" si="1">CD5</f>
        <v>295</v>
      </c>
      <c r="CG5" s="26">
        <f t="shared" ref="CG5:CG19" si="2">CF5/1.15</f>
        <v>256.52173913043481</v>
      </c>
      <c r="CH5" s="26">
        <f t="shared" ref="CH5:CH19" si="3">CF5</f>
        <v>295</v>
      </c>
      <c r="CI5" s="26">
        <f t="shared" ref="CI5:CI19" si="4">0.7*CD5</f>
        <v>206.5</v>
      </c>
      <c r="CJ5" s="27">
        <v>200000</v>
      </c>
      <c r="DA5" s="3" t="str">
        <f>"o"&amp;DB5&amp;"x"&amp;DC5</f>
        <v>o21.4x1.4</v>
      </c>
      <c r="DB5" s="66">
        <v>21.4</v>
      </c>
      <c r="DC5" s="66">
        <v>1.4</v>
      </c>
      <c r="DD5" s="64">
        <f>PI()*(DB5^2-(DB5-2*DC5)^2)/400</f>
        <v>0.87964594300514209</v>
      </c>
      <c r="DE5" s="64">
        <f>PI()*((DB5/10)^4-((DB5-2*DC5)/10)^4)/64</f>
        <v>0.44197810406293314</v>
      </c>
      <c r="DF5" s="64">
        <f>SQRT(DE5/DD5)</f>
        <v>0.70883707577975874</v>
      </c>
      <c r="DZ5" s="33" t="s">
        <v>144</v>
      </c>
      <c r="EA5" s="33" t="s">
        <v>145</v>
      </c>
      <c r="EB5" s="33">
        <v>90</v>
      </c>
      <c r="EC5" s="33">
        <v>75</v>
      </c>
      <c r="ED5" s="33">
        <v>9</v>
      </c>
      <c r="EE5" s="33">
        <v>8.5</v>
      </c>
      <c r="EF5" s="33">
        <v>6</v>
      </c>
      <c r="EG5" s="33">
        <v>14.04</v>
      </c>
      <c r="EH5" s="33">
        <v>11</v>
      </c>
      <c r="EI5" s="33">
        <v>2.75</v>
      </c>
      <c r="EJ5" s="35">
        <v>2</v>
      </c>
      <c r="EK5" s="33">
        <v>109</v>
      </c>
      <c r="EL5" s="33">
        <v>68.099999999999994</v>
      </c>
      <c r="EM5" s="33">
        <v>143</v>
      </c>
      <c r="EN5" s="33">
        <v>34.1</v>
      </c>
      <c r="EO5" s="35">
        <v>2.78</v>
      </c>
      <c r="EP5" s="35">
        <v>2.2000000000000002</v>
      </c>
      <c r="EQ5" s="33">
        <v>3.19</v>
      </c>
      <c r="ER5" s="33">
        <v>1.56</v>
      </c>
      <c r="ES5" s="33">
        <v>17.399999999999999</v>
      </c>
      <c r="ET5" s="33">
        <v>12.4</v>
      </c>
      <c r="EU5" s="33">
        <v>0.67600000000000005</v>
      </c>
      <c r="EV5" s="33"/>
      <c r="EW5" s="33">
        <f>EO5</f>
        <v>2.78</v>
      </c>
      <c r="EX5" s="33">
        <f>EP5</f>
        <v>2.2000000000000002</v>
      </c>
      <c r="EY5" s="33"/>
      <c r="EZ5" s="38">
        <f>(EP5^2+(EJ5+0.5*FC5)^2)^0.5</f>
        <v>3.3301651610693423</v>
      </c>
      <c r="FA5" s="38">
        <f>(EO5^2+(EI5+0.5*FC5)^2)^0.5</f>
        <v>4.2767861765582813</v>
      </c>
      <c r="FB5" s="36" t="s">
        <v>146</v>
      </c>
      <c r="FC5" s="37">
        <v>1</v>
      </c>
      <c r="FD5" s="1" t="s">
        <v>147</v>
      </c>
    </row>
    <row r="6" spans="1:160" ht="14.4">
      <c r="A6" s="7" t="s">
        <v>29</v>
      </c>
      <c r="B6" s="2">
        <f t="shared" si="0"/>
        <v>206000</v>
      </c>
      <c r="C6" s="2">
        <v>250</v>
      </c>
      <c r="D6" s="188">
        <v>400</v>
      </c>
      <c r="E6" s="189">
        <v>1.1000000000000001</v>
      </c>
      <c r="F6" s="18"/>
      <c r="G6" s="18"/>
      <c r="H6" s="18"/>
      <c r="I6" s="18"/>
      <c r="K6" s="12">
        <v>8.8000000000000007</v>
      </c>
      <c r="L6" s="12">
        <v>830</v>
      </c>
      <c r="M6" s="12">
        <v>660</v>
      </c>
      <c r="N6" s="12">
        <v>332</v>
      </c>
      <c r="O6" s="12">
        <v>448</v>
      </c>
      <c r="P6" s="8"/>
      <c r="Q6" s="8"/>
      <c r="R6" s="8"/>
      <c r="S6" s="8"/>
      <c r="T6" s="8"/>
      <c r="V6" s="14">
        <v>16</v>
      </c>
      <c r="W6" s="3">
        <v>2</v>
      </c>
      <c r="X6" s="5">
        <f t="shared" ref="X6:X15" si="5">PI()*V6^2/4</f>
        <v>201.06192982974676</v>
      </c>
      <c r="Y6" s="3">
        <v>157</v>
      </c>
      <c r="Z6" s="3">
        <v>1</v>
      </c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V6" s="3">
        <v>390</v>
      </c>
      <c r="AW6" s="3">
        <v>610</v>
      </c>
      <c r="AX6" s="3">
        <v>515</v>
      </c>
      <c r="AZ6" s="3" t="s">
        <v>58</v>
      </c>
      <c r="BA6" s="3">
        <v>450</v>
      </c>
      <c r="BB6" s="3">
        <v>200</v>
      </c>
      <c r="BI6" s="51" t="s">
        <v>66</v>
      </c>
      <c r="BJ6" s="52" t="s">
        <v>67</v>
      </c>
      <c r="BK6" s="53">
        <v>24000</v>
      </c>
      <c r="BL6" s="54">
        <v>11</v>
      </c>
      <c r="BM6" s="54">
        <v>8.5</v>
      </c>
      <c r="BN6" s="55">
        <v>1.1000000000000001</v>
      </c>
      <c r="BO6" s="56">
        <v>0.75</v>
      </c>
      <c r="BP6" s="50" t="s">
        <v>91</v>
      </c>
      <c r="BQ6" s="50">
        <f>VALUE(MID(BP6,2,2))</f>
        <v>12</v>
      </c>
      <c r="CC6" s="26" t="s">
        <v>108</v>
      </c>
      <c r="CD6" s="30">
        <v>390</v>
      </c>
      <c r="CE6" s="30">
        <v>590</v>
      </c>
      <c r="CF6" s="26">
        <f t="shared" si="1"/>
        <v>390</v>
      </c>
      <c r="CG6" s="26">
        <f t="shared" si="2"/>
        <v>339.13043478260875</v>
      </c>
      <c r="CH6" s="26">
        <f t="shared" si="3"/>
        <v>390</v>
      </c>
      <c r="CI6" s="26">
        <f t="shared" si="4"/>
        <v>273</v>
      </c>
      <c r="CJ6" s="27">
        <v>200000</v>
      </c>
      <c r="DA6" s="3" t="str">
        <f t="shared" ref="DA6:DA15" si="6">"o"&amp;DB6&amp;"x"&amp;DC6</f>
        <v>o21.4x1.8</v>
      </c>
      <c r="DB6" s="66">
        <v>21.4</v>
      </c>
      <c r="DC6" s="66">
        <v>1.8</v>
      </c>
      <c r="DD6" s="64">
        <f t="shared" ref="DD6:DD15" si="7">PI()*(DB6^2-(DB6-2*DC6)^2)/400</f>
        <v>1.108353888186479</v>
      </c>
      <c r="DE6" s="64">
        <f t="shared" ref="DE6:DE15" si="8">PI()*((DB6/10)^4-((DB6-2*DC6)/10)^4)/64</f>
        <v>0.53672037035430209</v>
      </c>
      <c r="DF6" s="64">
        <f t="shared" ref="DF6:DF15" si="9">SQRT(DE6/DD6)</f>
        <v>0.69588073690827201</v>
      </c>
      <c r="DZ6" s="33"/>
      <c r="EA6" s="33"/>
      <c r="EB6" s="33"/>
      <c r="EC6" s="33"/>
      <c r="ED6" s="33"/>
      <c r="EE6" s="33"/>
      <c r="EF6" s="33"/>
      <c r="EG6" s="33"/>
      <c r="EH6" s="33"/>
      <c r="EI6" s="33"/>
      <c r="EJ6" s="33"/>
      <c r="EK6" s="33"/>
      <c r="EL6" s="33"/>
      <c r="EM6" s="33"/>
      <c r="EN6" s="33"/>
      <c r="EO6" s="33"/>
      <c r="EP6" s="33"/>
      <c r="EQ6" s="33"/>
      <c r="ER6" s="33"/>
      <c r="ES6" s="33"/>
      <c r="ET6" s="33"/>
      <c r="EU6" s="33"/>
      <c r="EV6" s="33"/>
      <c r="EW6" s="33"/>
      <c r="EX6" s="33"/>
      <c r="EY6" s="33"/>
      <c r="EZ6" s="33"/>
      <c r="FA6" s="33"/>
      <c r="FB6" s="33"/>
      <c r="FC6" s="33"/>
    </row>
    <row r="7" spans="1:160" ht="14.4">
      <c r="A7" s="7" t="s">
        <v>28</v>
      </c>
      <c r="B7" s="2">
        <f t="shared" si="0"/>
        <v>206000</v>
      </c>
      <c r="C7" s="2">
        <v>345</v>
      </c>
      <c r="D7" s="188">
        <v>450</v>
      </c>
      <c r="E7" s="189">
        <v>1.1000000000000001</v>
      </c>
      <c r="F7" s="18"/>
      <c r="G7" s="18"/>
      <c r="H7" s="18"/>
      <c r="I7" s="18"/>
      <c r="K7" s="12">
        <v>10.9</v>
      </c>
      <c r="L7" s="12">
        <v>1040</v>
      </c>
      <c r="M7" s="12">
        <v>940</v>
      </c>
      <c r="N7" s="12">
        <v>416</v>
      </c>
      <c r="O7" s="12">
        <v>728</v>
      </c>
      <c r="P7" s="8"/>
      <c r="Q7" s="8"/>
      <c r="R7" s="8"/>
      <c r="S7" s="8"/>
      <c r="T7" s="8"/>
      <c r="V7" s="14">
        <v>18</v>
      </c>
      <c r="W7" s="3">
        <v>2.5</v>
      </c>
      <c r="X7" s="5">
        <f t="shared" si="5"/>
        <v>254.46900494077323</v>
      </c>
      <c r="Y7" s="3">
        <v>192</v>
      </c>
      <c r="Z7" s="3">
        <v>0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V7" s="3">
        <v>430</v>
      </c>
      <c r="AW7" s="3">
        <v>670</v>
      </c>
      <c r="AX7" s="3">
        <v>565</v>
      </c>
      <c r="AZ7" s="3" t="s">
        <v>59</v>
      </c>
      <c r="BA7" s="3">
        <v>490</v>
      </c>
      <c r="BB7" s="3">
        <v>215</v>
      </c>
      <c r="BI7" s="51" t="s">
        <v>68</v>
      </c>
      <c r="BJ7" s="52" t="s">
        <v>69</v>
      </c>
      <c r="BK7" s="53">
        <v>27500</v>
      </c>
      <c r="BL7" s="54">
        <v>15</v>
      </c>
      <c r="BM7" s="54">
        <v>11.5</v>
      </c>
      <c r="BN7" s="55">
        <v>1.35</v>
      </c>
      <c r="BO7" s="56">
        <v>0.9</v>
      </c>
      <c r="BP7" s="50" t="s">
        <v>92</v>
      </c>
      <c r="BQ7" s="50">
        <f t="shared" ref="BQ7:BQ15" si="10">VALUE(MID(BP7,2,2))</f>
        <v>16</v>
      </c>
      <c r="CC7" s="26" t="s">
        <v>109</v>
      </c>
      <c r="CD7" s="30">
        <v>235</v>
      </c>
      <c r="CE7" s="30">
        <v>373</v>
      </c>
      <c r="CF7" s="26">
        <f t="shared" si="1"/>
        <v>235</v>
      </c>
      <c r="CG7" s="26">
        <f t="shared" si="2"/>
        <v>204.34782608695653</v>
      </c>
      <c r="CH7" s="26">
        <f t="shared" si="3"/>
        <v>235</v>
      </c>
      <c r="CI7" s="26">
        <f t="shared" si="4"/>
        <v>164.5</v>
      </c>
      <c r="CJ7" s="28">
        <v>200000</v>
      </c>
      <c r="DA7" s="3" t="str">
        <f t="shared" si="6"/>
        <v>o21.4x2</v>
      </c>
      <c r="DB7" s="66">
        <v>21.4</v>
      </c>
      <c r="DC7" s="66">
        <v>2</v>
      </c>
      <c r="DD7" s="64">
        <f t="shared" si="7"/>
        <v>1.2189379495928396</v>
      </c>
      <c r="DE7" s="64">
        <f t="shared" si="8"/>
        <v>0.57954404813391514</v>
      </c>
      <c r="DF7" s="64">
        <f t="shared" si="9"/>
        <v>0.689528824633169</v>
      </c>
      <c r="DZ7" s="33"/>
      <c r="EA7" s="33"/>
      <c r="EB7" s="33"/>
      <c r="EC7" s="33"/>
      <c r="ED7" s="33"/>
      <c r="EE7" s="33"/>
      <c r="EF7" s="33"/>
      <c r="EG7" s="33"/>
      <c r="EH7" s="33"/>
      <c r="EI7" s="33"/>
      <c r="EJ7" s="33"/>
      <c r="EK7" s="33"/>
      <c r="EL7" s="33"/>
      <c r="EM7" s="33"/>
      <c r="EN7" s="33"/>
      <c r="EO7" s="33"/>
      <c r="EP7" s="33"/>
      <c r="EQ7" s="33"/>
      <c r="ER7" s="33"/>
      <c r="ES7" s="33"/>
      <c r="ET7" s="33"/>
      <c r="EU7" s="33"/>
      <c r="EV7" s="33"/>
      <c r="EW7" s="33"/>
      <c r="EX7" s="33"/>
      <c r="EY7" s="33"/>
      <c r="EZ7" s="33"/>
      <c r="FA7" s="33"/>
      <c r="FB7" s="33"/>
      <c r="FC7" s="33"/>
    </row>
    <row r="8" spans="1:160" ht="14.4">
      <c r="A8" s="7" t="s">
        <v>3</v>
      </c>
      <c r="B8" s="2">
        <f t="shared" si="0"/>
        <v>206000</v>
      </c>
      <c r="C8" s="2">
        <v>235</v>
      </c>
      <c r="D8" s="188">
        <v>360</v>
      </c>
      <c r="E8" s="189">
        <v>1.05</v>
      </c>
      <c r="F8" s="18"/>
      <c r="G8" s="18"/>
      <c r="H8" s="18"/>
      <c r="I8" s="18"/>
      <c r="K8" s="12">
        <v>12.9</v>
      </c>
      <c r="L8" s="12">
        <v>1220</v>
      </c>
      <c r="M8" s="12">
        <v>1100</v>
      </c>
      <c r="N8" s="12">
        <v>427</v>
      </c>
      <c r="O8" s="12">
        <v>854</v>
      </c>
      <c r="P8" s="8"/>
      <c r="Q8" s="8"/>
      <c r="R8" s="8"/>
      <c r="S8" s="8"/>
      <c r="T8" s="8"/>
      <c r="V8" s="14">
        <v>20</v>
      </c>
      <c r="W8" s="3">
        <v>2.5</v>
      </c>
      <c r="X8" s="5">
        <f t="shared" si="5"/>
        <v>314.15926535897933</v>
      </c>
      <c r="Y8" s="3">
        <v>245</v>
      </c>
      <c r="Z8" s="3">
        <v>1.1000000000000001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V8" s="3">
        <v>440</v>
      </c>
      <c r="AW8" s="3">
        <v>685</v>
      </c>
      <c r="AX8" s="3">
        <v>580</v>
      </c>
      <c r="BI8" s="51" t="s">
        <v>70</v>
      </c>
      <c r="BJ8" s="52" t="s">
        <v>71</v>
      </c>
      <c r="BK8" s="53">
        <v>30000</v>
      </c>
      <c r="BL8" s="54">
        <v>18.5</v>
      </c>
      <c r="BM8" s="54">
        <v>14.5</v>
      </c>
      <c r="BN8" s="55">
        <v>1.55</v>
      </c>
      <c r="BO8" s="56">
        <v>1.05</v>
      </c>
      <c r="BP8" s="50" t="s">
        <v>93</v>
      </c>
      <c r="BQ8" s="50">
        <f t="shared" si="10"/>
        <v>20</v>
      </c>
      <c r="CC8" s="26" t="s">
        <v>110</v>
      </c>
      <c r="CD8" s="30">
        <v>295</v>
      </c>
      <c r="CE8" s="30">
        <v>490</v>
      </c>
      <c r="CF8" s="26">
        <f t="shared" si="1"/>
        <v>295</v>
      </c>
      <c r="CG8" s="26">
        <f t="shared" si="2"/>
        <v>256.52173913043481</v>
      </c>
      <c r="CH8" s="26">
        <f t="shared" si="3"/>
        <v>295</v>
      </c>
      <c r="CI8" s="26">
        <f t="shared" si="4"/>
        <v>206.5</v>
      </c>
      <c r="CJ8" s="28">
        <v>200000</v>
      </c>
      <c r="DA8" s="3" t="str">
        <f t="shared" si="6"/>
        <v>o21.4x2.3</v>
      </c>
      <c r="DB8" s="66">
        <v>21.4</v>
      </c>
      <c r="DC8" s="66">
        <v>2.2999999999999998</v>
      </c>
      <c r="DD8" s="64">
        <f t="shared" si="7"/>
        <v>1.3801016527219963</v>
      </c>
      <c r="DE8" s="64">
        <f t="shared" si="8"/>
        <v>0.63846952709051297</v>
      </c>
      <c r="DF8" s="64">
        <f t="shared" si="9"/>
        <v>0.6801654210557897</v>
      </c>
      <c r="DZ8" s="33"/>
      <c r="EA8" s="33"/>
      <c r="EB8" s="33"/>
      <c r="EC8" s="33"/>
      <c r="ED8" s="33"/>
      <c r="EE8" s="33"/>
      <c r="EF8" s="33" t="s">
        <v>21</v>
      </c>
      <c r="EG8" s="33" t="s">
        <v>148</v>
      </c>
      <c r="EH8" s="33" t="s">
        <v>149</v>
      </c>
      <c r="EI8" s="33" t="s">
        <v>19</v>
      </c>
      <c r="EJ8" s="33" t="s">
        <v>139</v>
      </c>
      <c r="EK8" s="33" t="s">
        <v>140</v>
      </c>
      <c r="EL8" s="33" t="s">
        <v>150</v>
      </c>
      <c r="EM8" s="33" t="s">
        <v>151</v>
      </c>
      <c r="EN8" s="33" t="s">
        <v>152</v>
      </c>
      <c r="EO8" s="33" t="s">
        <v>153</v>
      </c>
      <c r="EP8" s="33" t="s">
        <v>154</v>
      </c>
      <c r="EQ8" s="33" t="s">
        <v>155</v>
      </c>
      <c r="ER8" s="33" t="s">
        <v>156</v>
      </c>
      <c r="ES8" s="33" t="s">
        <v>153</v>
      </c>
      <c r="ET8" s="33"/>
      <c r="EU8" s="33"/>
      <c r="EV8" s="33"/>
      <c r="EW8" s="33"/>
      <c r="EX8" s="33"/>
      <c r="EY8" s="33"/>
      <c r="EZ8" s="33"/>
      <c r="FA8" s="33"/>
      <c r="FB8" s="33"/>
      <c r="FC8" s="33"/>
    </row>
    <row r="9" spans="1:160" ht="14.4">
      <c r="A9" s="7" t="s">
        <v>2</v>
      </c>
      <c r="B9" s="2">
        <f t="shared" si="0"/>
        <v>206000</v>
      </c>
      <c r="C9" s="2">
        <v>225</v>
      </c>
      <c r="D9" s="188">
        <v>360</v>
      </c>
      <c r="E9" s="189">
        <v>1.05</v>
      </c>
      <c r="F9" s="18"/>
      <c r="G9" s="18"/>
      <c r="H9" s="18"/>
      <c r="I9" s="18"/>
      <c r="V9" s="14">
        <v>22</v>
      </c>
      <c r="W9" s="3">
        <v>2.5</v>
      </c>
      <c r="X9" s="5">
        <f t="shared" si="5"/>
        <v>380.13271108436498</v>
      </c>
      <c r="Y9" s="3">
        <v>303</v>
      </c>
      <c r="Z9" s="3">
        <v>1.1000000000000001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V9" s="3">
        <v>450</v>
      </c>
      <c r="AW9" s="3">
        <v>700</v>
      </c>
      <c r="AX9" s="3">
        <v>595</v>
      </c>
      <c r="BI9" s="51" t="s">
        <v>72</v>
      </c>
      <c r="BJ9" s="52" t="s">
        <v>73</v>
      </c>
      <c r="BK9" s="53">
        <v>32500</v>
      </c>
      <c r="BL9" s="54">
        <v>22</v>
      </c>
      <c r="BM9" s="54">
        <v>17</v>
      </c>
      <c r="BN9" s="55">
        <v>1.75</v>
      </c>
      <c r="BO9" s="56">
        <v>1.1499999999999999</v>
      </c>
      <c r="BP9" s="50" t="s">
        <v>94</v>
      </c>
      <c r="BQ9" s="50">
        <f t="shared" si="10"/>
        <v>25</v>
      </c>
      <c r="CC9" s="26" t="s">
        <v>111</v>
      </c>
      <c r="CD9" s="30">
        <v>390</v>
      </c>
      <c r="CE9" s="30">
        <v>590</v>
      </c>
      <c r="CF9" s="26">
        <f t="shared" si="1"/>
        <v>390</v>
      </c>
      <c r="CG9" s="26">
        <f t="shared" si="2"/>
        <v>339.13043478260875</v>
      </c>
      <c r="CH9" s="26">
        <f t="shared" si="3"/>
        <v>390</v>
      </c>
      <c r="CI9" s="26">
        <f t="shared" si="4"/>
        <v>273</v>
      </c>
      <c r="CJ9" s="28">
        <v>200000</v>
      </c>
      <c r="DA9" s="3" t="str">
        <f t="shared" si="6"/>
        <v>o21.4x2.5</v>
      </c>
      <c r="DB9" s="66">
        <v>21.4</v>
      </c>
      <c r="DC9" s="66">
        <v>2.5</v>
      </c>
      <c r="DD9" s="64">
        <f t="shared" si="7"/>
        <v>1.4844025288211768</v>
      </c>
      <c r="DE9" s="64">
        <f t="shared" si="8"/>
        <v>0.67440117890668083</v>
      </c>
      <c r="DF9" s="64">
        <f t="shared" si="9"/>
        <v>0.6740363491682031</v>
      </c>
      <c r="DZ9" s="33"/>
      <c r="EA9" s="33"/>
      <c r="EB9" s="33"/>
      <c r="EC9" s="33"/>
      <c r="ED9" s="33"/>
      <c r="EE9" s="33"/>
      <c r="EF9" s="33">
        <v>-530</v>
      </c>
      <c r="EG9" s="33">
        <v>150</v>
      </c>
      <c r="EH9" s="33">
        <v>150</v>
      </c>
      <c r="EI9" s="33">
        <f>2*EG5</f>
        <v>28.08</v>
      </c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</row>
    <row r="10" spans="1:160" ht="14.4">
      <c r="A10" s="7" t="s">
        <v>4</v>
      </c>
      <c r="B10" s="2">
        <f t="shared" si="0"/>
        <v>206000</v>
      </c>
      <c r="C10" s="2">
        <v>215</v>
      </c>
      <c r="D10" s="188">
        <v>360</v>
      </c>
      <c r="E10" s="189">
        <v>1.05</v>
      </c>
      <c r="F10" s="18"/>
      <c r="G10" s="18"/>
      <c r="H10" s="18"/>
      <c r="I10" s="18"/>
      <c r="V10" s="14">
        <v>24</v>
      </c>
      <c r="W10" s="3">
        <v>3</v>
      </c>
      <c r="X10" s="5">
        <f t="shared" si="5"/>
        <v>452.38934211693021</v>
      </c>
      <c r="Y10" s="3">
        <v>353</v>
      </c>
      <c r="Z10" s="3">
        <v>1.1000000000000001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V10" s="3">
        <v>460</v>
      </c>
      <c r="AW10" s="3">
        <v>720</v>
      </c>
      <c r="AX10" s="3">
        <v>605</v>
      </c>
      <c r="BI10" s="51" t="s">
        <v>74</v>
      </c>
      <c r="BJ10" s="52" t="s">
        <v>75</v>
      </c>
      <c r="BK10" s="53">
        <v>34500</v>
      </c>
      <c r="BL10" s="54">
        <v>25.5</v>
      </c>
      <c r="BM10" s="54">
        <v>19.5</v>
      </c>
      <c r="BN10" s="55">
        <v>1.95</v>
      </c>
      <c r="BO10" s="56">
        <v>1.3</v>
      </c>
      <c r="BP10" s="50" t="s">
        <v>95</v>
      </c>
      <c r="BQ10" s="50">
        <f t="shared" si="10"/>
        <v>28</v>
      </c>
      <c r="CC10" s="26" t="s">
        <v>118</v>
      </c>
      <c r="CD10" s="30">
        <v>240</v>
      </c>
      <c r="CE10" s="30">
        <v>380</v>
      </c>
      <c r="CF10" s="26">
        <f t="shared" si="1"/>
        <v>240</v>
      </c>
      <c r="CG10" s="26"/>
      <c r="CH10" s="26">
        <f t="shared" si="3"/>
        <v>240</v>
      </c>
      <c r="CI10" s="26">
        <v>170</v>
      </c>
      <c r="CJ10" s="27">
        <v>200000</v>
      </c>
      <c r="DA10" s="3" t="str">
        <f t="shared" si="6"/>
        <v>o25.4x1.4</v>
      </c>
      <c r="DB10" s="66">
        <v>25.4</v>
      </c>
      <c r="DC10" s="66">
        <v>1.4</v>
      </c>
      <c r="DD10" s="64">
        <f t="shared" si="7"/>
        <v>1.0555751316061712</v>
      </c>
      <c r="DE10" s="64">
        <f t="shared" si="8"/>
        <v>0.76260025382887842</v>
      </c>
      <c r="DF10" s="64">
        <f t="shared" si="9"/>
        <v>0.84997058772642242</v>
      </c>
      <c r="DZ10" s="33"/>
      <c r="EA10" s="33"/>
      <c r="EB10" s="33"/>
      <c r="EC10" s="33"/>
      <c r="ED10" s="33"/>
      <c r="EE10" s="33"/>
      <c r="EF10" s="33"/>
      <c r="EG10" s="33"/>
      <c r="EH10" s="33"/>
      <c r="EI10" s="33"/>
      <c r="EJ10" s="33"/>
      <c r="EK10" s="33"/>
      <c r="EL10" s="33"/>
      <c r="EM10" s="33"/>
      <c r="EN10" s="33"/>
      <c r="EO10" s="33"/>
      <c r="EP10" s="33"/>
      <c r="EQ10" s="33"/>
      <c r="ER10" s="33"/>
      <c r="ES10" s="33"/>
      <c r="ET10" s="33"/>
      <c r="EU10" s="33"/>
      <c r="EV10" s="33"/>
      <c r="EW10" s="33"/>
      <c r="EX10" s="33"/>
      <c r="EY10" s="33"/>
      <c r="EZ10" s="33"/>
      <c r="FA10" s="33"/>
      <c r="FB10" s="33"/>
      <c r="FC10" s="33"/>
    </row>
    <row r="11" spans="1:160" ht="14.4">
      <c r="A11" s="7" t="s">
        <v>5</v>
      </c>
      <c r="B11" s="2">
        <f t="shared" si="0"/>
        <v>206000</v>
      </c>
      <c r="C11" s="2">
        <v>215</v>
      </c>
      <c r="D11" s="188">
        <v>360</v>
      </c>
      <c r="E11" s="189">
        <v>1.05</v>
      </c>
      <c r="F11" s="18"/>
      <c r="G11" s="18"/>
      <c r="H11" s="18"/>
      <c r="I11" s="18"/>
      <c r="V11" s="14">
        <v>27</v>
      </c>
      <c r="W11" s="3">
        <v>3</v>
      </c>
      <c r="X11" s="5">
        <f t="shared" si="5"/>
        <v>572.55526111673976</v>
      </c>
      <c r="Y11" s="3">
        <v>459</v>
      </c>
      <c r="Z11" s="3">
        <v>1.2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V11" s="3">
        <v>470</v>
      </c>
      <c r="AW11" s="3">
        <v>735</v>
      </c>
      <c r="AX11" s="3">
        <v>620</v>
      </c>
      <c r="BI11" s="51" t="s">
        <v>76</v>
      </c>
      <c r="BJ11" s="52" t="s">
        <v>77</v>
      </c>
      <c r="BK11" s="53">
        <v>36000</v>
      </c>
      <c r="BL11" s="54">
        <v>29</v>
      </c>
      <c r="BM11" s="54">
        <v>22</v>
      </c>
      <c r="BN11" s="55">
        <v>2.1</v>
      </c>
      <c r="BO11" s="56">
        <v>1.4</v>
      </c>
      <c r="BP11" s="50" t="s">
        <v>96</v>
      </c>
      <c r="BQ11" s="50">
        <f t="shared" si="10"/>
        <v>32</v>
      </c>
      <c r="CC11" s="26" t="s">
        <v>119</v>
      </c>
      <c r="CD11" s="30">
        <v>300</v>
      </c>
      <c r="CE11" s="30">
        <v>440</v>
      </c>
      <c r="CF11" s="26">
        <f t="shared" si="1"/>
        <v>300</v>
      </c>
      <c r="CG11" s="26"/>
      <c r="CH11" s="26">
        <f t="shared" si="3"/>
        <v>300</v>
      </c>
      <c r="CI11" s="26">
        <v>210</v>
      </c>
      <c r="CJ11" s="27">
        <v>200000</v>
      </c>
      <c r="DA11" s="3" t="str">
        <f t="shared" si="6"/>
        <v>o25.4x1.8</v>
      </c>
      <c r="DB11" s="66">
        <v>25.4</v>
      </c>
      <c r="DC11" s="66">
        <v>1.8</v>
      </c>
      <c r="DD11" s="64">
        <f t="shared" si="7"/>
        <v>1.3345485592449446</v>
      </c>
      <c r="DE11" s="64">
        <f t="shared" si="8"/>
        <v>0.93451762861127252</v>
      </c>
      <c r="DF11" s="64">
        <f t="shared" si="9"/>
        <v>0.8368094167730189</v>
      </c>
      <c r="DZ11" s="33"/>
      <c r="EA11" s="33"/>
      <c r="EB11" s="33"/>
      <c r="EC11" s="33"/>
      <c r="ED11" s="33"/>
      <c r="EE11" s="33"/>
      <c r="EF11" s="33"/>
      <c r="EG11" s="33"/>
      <c r="EH11" s="33"/>
      <c r="EI11" s="33"/>
      <c r="EJ11" s="33"/>
      <c r="EK11" s="33"/>
      <c r="EL11" s="33"/>
      <c r="EM11" s="33"/>
      <c r="EN11" s="33"/>
      <c r="EO11" s="33"/>
      <c r="EP11" s="33"/>
      <c r="EQ11" s="33"/>
      <c r="ER11" s="33"/>
      <c r="ES11" s="33"/>
      <c r="ET11" s="33"/>
      <c r="EU11" s="33"/>
      <c r="EV11" s="33"/>
      <c r="EW11" s="33"/>
      <c r="EX11" s="33"/>
      <c r="EY11" s="33"/>
      <c r="EZ11" s="33"/>
      <c r="FA11" s="33"/>
      <c r="FB11" s="33"/>
      <c r="FC11" s="33"/>
    </row>
    <row r="12" spans="1:160" ht="14.4">
      <c r="A12" s="7" t="s">
        <v>6</v>
      </c>
      <c r="B12" s="2">
        <f t="shared" si="0"/>
        <v>206000</v>
      </c>
      <c r="C12" s="2">
        <v>215</v>
      </c>
      <c r="D12" s="188">
        <v>360</v>
      </c>
      <c r="E12" s="189">
        <v>1.05</v>
      </c>
      <c r="F12" s="18"/>
      <c r="G12" s="18"/>
      <c r="H12" s="18"/>
      <c r="I12" s="18"/>
      <c r="V12" s="14">
        <v>30</v>
      </c>
      <c r="W12" s="3">
        <v>3.5</v>
      </c>
      <c r="X12" s="5">
        <f t="shared" si="5"/>
        <v>706.85834705770344</v>
      </c>
      <c r="Y12" s="3">
        <v>561</v>
      </c>
      <c r="Z12" s="3">
        <v>1.3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V12" s="3">
        <v>480</v>
      </c>
      <c r="AW12" s="3">
        <v>750</v>
      </c>
      <c r="AX12" s="3">
        <v>630</v>
      </c>
      <c r="BI12" s="51" t="s">
        <v>78</v>
      </c>
      <c r="BJ12" s="52" t="s">
        <v>79</v>
      </c>
      <c r="BK12" s="53">
        <v>37000</v>
      </c>
      <c r="BL12" s="54">
        <v>32</v>
      </c>
      <c r="BM12" s="54">
        <v>25</v>
      </c>
      <c r="BN12" s="55">
        <v>2.25</v>
      </c>
      <c r="BO12" s="56">
        <v>1.5</v>
      </c>
      <c r="BP12" s="50" t="s">
        <v>97</v>
      </c>
      <c r="BQ12" s="50">
        <f t="shared" si="10"/>
        <v>35</v>
      </c>
      <c r="CC12" s="26" t="s">
        <v>120</v>
      </c>
      <c r="CD12" s="30">
        <v>300</v>
      </c>
      <c r="CE12" s="30">
        <v>450</v>
      </c>
      <c r="CF12" s="26">
        <f t="shared" si="1"/>
        <v>300</v>
      </c>
      <c r="CG12" s="26"/>
      <c r="CH12" s="26">
        <f t="shared" si="3"/>
        <v>300</v>
      </c>
      <c r="CI12" s="26">
        <v>210</v>
      </c>
      <c r="CJ12" s="27">
        <v>200000</v>
      </c>
      <c r="DA12" s="3" t="str">
        <f t="shared" si="6"/>
        <v>o25.4x2</v>
      </c>
      <c r="DB12" s="66">
        <v>25.4</v>
      </c>
      <c r="DC12" s="66">
        <v>2</v>
      </c>
      <c r="DD12" s="64">
        <f t="shared" si="7"/>
        <v>1.4702653618800234</v>
      </c>
      <c r="DE12" s="64">
        <f t="shared" si="8"/>
        <v>1.0136744537481825</v>
      </c>
      <c r="DF12" s="64">
        <f t="shared" si="9"/>
        <v>0.83033125919719553</v>
      </c>
      <c r="DZ12" s="33"/>
      <c r="EA12" s="33"/>
      <c r="EB12" s="33"/>
      <c r="EC12" s="33"/>
      <c r="ED12" s="33"/>
      <c r="EE12" s="33"/>
      <c r="EF12" s="33" t="s">
        <v>157</v>
      </c>
      <c r="EG12" s="33"/>
      <c r="EH12" s="33"/>
      <c r="EI12" s="33"/>
      <c r="EJ12" s="33"/>
      <c r="EK12" s="33"/>
      <c r="EL12" s="33"/>
      <c r="EM12" s="33"/>
      <c r="EN12" s="33"/>
      <c r="EO12" s="33"/>
      <c r="EP12" s="33"/>
      <c r="EQ12" s="33"/>
      <c r="ER12" s="33"/>
      <c r="ES12" s="33"/>
      <c r="ET12" s="33"/>
      <c r="EU12" s="33"/>
      <c r="EV12" s="33"/>
      <c r="EW12" s="33"/>
      <c r="EX12" s="33"/>
      <c r="EY12" s="33"/>
      <c r="EZ12" s="33"/>
      <c r="FA12" s="33"/>
      <c r="FB12" s="33"/>
      <c r="FC12" s="33"/>
    </row>
    <row r="13" spans="1:160" ht="14.4">
      <c r="A13" s="7" t="s">
        <v>7</v>
      </c>
      <c r="B13" s="2">
        <f t="shared" si="0"/>
        <v>206000</v>
      </c>
      <c r="C13" s="2">
        <v>275</v>
      </c>
      <c r="D13" s="188">
        <v>410</v>
      </c>
      <c r="E13" s="189">
        <v>1.05</v>
      </c>
      <c r="F13" s="18"/>
      <c r="G13" s="18"/>
      <c r="H13" s="18"/>
      <c r="I13" s="18"/>
      <c r="V13" s="14">
        <v>36</v>
      </c>
      <c r="W13" s="3">
        <v>4</v>
      </c>
      <c r="X13" s="5">
        <f t="shared" si="5"/>
        <v>1017.8760197630929</v>
      </c>
      <c r="Y13" s="3">
        <v>816</v>
      </c>
      <c r="Z13" s="3">
        <v>1.3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V13" s="3">
        <v>490</v>
      </c>
      <c r="AW13" s="3">
        <v>765</v>
      </c>
      <c r="AX13" s="3">
        <v>645</v>
      </c>
      <c r="BI13" s="51" t="s">
        <v>80</v>
      </c>
      <c r="BJ13" s="52" t="s">
        <v>81</v>
      </c>
      <c r="BK13" s="53">
        <v>38000</v>
      </c>
      <c r="BL13" s="54">
        <v>36</v>
      </c>
      <c r="BM13" s="54">
        <v>27.5</v>
      </c>
      <c r="BN13" s="55">
        <v>2.4500000000000002</v>
      </c>
      <c r="BO13" s="56">
        <v>1.6</v>
      </c>
      <c r="BP13" s="50" t="s">
        <v>98</v>
      </c>
      <c r="BQ13" s="50">
        <f t="shared" si="10"/>
        <v>40</v>
      </c>
      <c r="CC13" s="26" t="s">
        <v>121</v>
      </c>
      <c r="CD13" s="30">
        <v>400</v>
      </c>
      <c r="CE13" s="30">
        <v>570</v>
      </c>
      <c r="CF13" s="26">
        <f t="shared" si="1"/>
        <v>400</v>
      </c>
      <c r="CG13" s="26"/>
      <c r="CH13" s="26">
        <f t="shared" si="3"/>
        <v>400</v>
      </c>
      <c r="CI13" s="26">
        <v>280</v>
      </c>
      <c r="CJ13" s="27">
        <v>200000</v>
      </c>
      <c r="DA13" s="3" t="str">
        <f t="shared" si="6"/>
        <v>o25.4x2.3</v>
      </c>
      <c r="DB13" s="66">
        <v>25.4</v>
      </c>
      <c r="DC13" s="66">
        <v>2.2999999999999998</v>
      </c>
      <c r="DD13" s="64">
        <f t="shared" si="7"/>
        <v>1.6691281768522577</v>
      </c>
      <c r="DE13" s="64">
        <f t="shared" si="8"/>
        <v>1.1243664681321022</v>
      </c>
      <c r="DF13" s="64">
        <f t="shared" si="9"/>
        <v>0.82074661132410409</v>
      </c>
      <c r="DZ13" s="33"/>
      <c r="EA13" s="33"/>
      <c r="EB13" s="33"/>
      <c r="EC13" s="33"/>
      <c r="ED13" s="33"/>
      <c r="EE13" s="33"/>
      <c r="EF13" s="33" t="s">
        <v>158</v>
      </c>
      <c r="EG13" s="33"/>
      <c r="EH13" s="33"/>
      <c r="EI13" s="33"/>
      <c r="EJ13" s="33"/>
      <c r="EK13" s="33"/>
      <c r="EL13" s="33"/>
      <c r="EM13" s="33"/>
      <c r="EN13" s="33"/>
      <c r="EO13" s="33"/>
      <c r="EP13" s="33"/>
      <c r="EQ13" s="33"/>
      <c r="ER13" s="33"/>
      <c r="ES13" s="33"/>
      <c r="ET13" s="33"/>
      <c r="EU13" s="33"/>
      <c r="EV13" s="33"/>
      <c r="EW13" s="33"/>
      <c r="EX13" s="33"/>
      <c r="EY13" s="33"/>
      <c r="EZ13" s="33"/>
      <c r="FA13" s="33"/>
      <c r="FB13" s="33"/>
      <c r="FC13" s="33"/>
    </row>
    <row r="14" spans="1:160" ht="14.4">
      <c r="A14" s="7" t="s">
        <v>8</v>
      </c>
      <c r="B14" s="2">
        <f t="shared" si="0"/>
        <v>206000</v>
      </c>
      <c r="C14" s="2">
        <v>265</v>
      </c>
      <c r="D14" s="188">
        <v>410</v>
      </c>
      <c r="E14" s="189">
        <v>1.05</v>
      </c>
      <c r="F14" s="18"/>
      <c r="G14" s="18"/>
      <c r="H14" s="18"/>
      <c r="I14" s="18"/>
      <c r="V14" s="14">
        <v>42</v>
      </c>
      <c r="W14" s="3">
        <v>4.5</v>
      </c>
      <c r="X14" s="5">
        <f t="shared" si="5"/>
        <v>1385.4423602330987</v>
      </c>
      <c r="Y14" s="3">
        <v>1120</v>
      </c>
      <c r="Z14" s="3">
        <v>1.6</v>
      </c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V14" s="3">
        <v>510</v>
      </c>
      <c r="AW14" s="3">
        <v>795</v>
      </c>
      <c r="AX14" s="3">
        <v>670</v>
      </c>
      <c r="BI14" s="51" t="s">
        <v>80</v>
      </c>
      <c r="BJ14" s="52" t="s">
        <v>82</v>
      </c>
      <c r="BK14" s="53">
        <v>39000</v>
      </c>
      <c r="BL14" s="54">
        <v>39.5</v>
      </c>
      <c r="BM14" s="54">
        <v>30</v>
      </c>
      <c r="BN14" s="55">
        <v>2.6</v>
      </c>
      <c r="BO14" s="56">
        <v>1.7</v>
      </c>
      <c r="BP14" s="50" t="s">
        <v>99</v>
      </c>
      <c r="BQ14" s="50">
        <f t="shared" si="10"/>
        <v>45</v>
      </c>
      <c r="CC14" s="26" t="s">
        <v>122</v>
      </c>
      <c r="CD14" s="30">
        <v>500</v>
      </c>
      <c r="CE14" s="30">
        <v>650</v>
      </c>
      <c r="CF14" s="26">
        <f t="shared" si="1"/>
        <v>500</v>
      </c>
      <c r="CG14" s="26"/>
      <c r="CH14" s="26">
        <f t="shared" si="3"/>
        <v>500</v>
      </c>
      <c r="CI14" s="26">
        <v>300</v>
      </c>
      <c r="CJ14" s="27">
        <v>200000</v>
      </c>
      <c r="DA14" s="3" t="str">
        <f t="shared" si="6"/>
        <v>o25.4x2.5</v>
      </c>
      <c r="DB14" s="66">
        <v>25.4</v>
      </c>
      <c r="DC14" s="66">
        <v>2.5</v>
      </c>
      <c r="DD14" s="64">
        <f t="shared" si="7"/>
        <v>1.7985617941801564</v>
      </c>
      <c r="DE14" s="64">
        <f t="shared" si="8"/>
        <v>1.1930310021245523</v>
      </c>
      <c r="DF14" s="64">
        <f t="shared" si="9"/>
        <v>0.81444766559920845</v>
      </c>
      <c r="DZ14" s="33"/>
      <c r="EA14" s="33"/>
      <c r="EB14" s="33"/>
      <c r="EC14" s="33"/>
      <c r="ED14" s="33"/>
      <c r="EE14" s="33"/>
      <c r="EF14" s="33" t="s">
        <v>159</v>
      </c>
      <c r="EG14" s="33"/>
      <c r="EH14" s="33"/>
      <c r="EI14" s="33"/>
      <c r="EJ14" s="33"/>
      <c r="EK14" s="33"/>
      <c r="EL14" s="33"/>
      <c r="EM14" s="33"/>
      <c r="EN14" s="33"/>
      <c r="EO14" s="33"/>
      <c r="EP14" s="33"/>
      <c r="EQ14" s="33"/>
      <c r="ER14" s="33"/>
      <c r="ES14" s="33"/>
      <c r="ET14" s="33"/>
      <c r="EU14" s="33"/>
      <c r="EV14" s="33"/>
      <c r="EW14" s="33"/>
      <c r="EX14" s="33"/>
      <c r="EY14" s="33"/>
      <c r="EZ14" s="33"/>
      <c r="FA14" s="33"/>
      <c r="FB14" s="33"/>
      <c r="FC14" s="33"/>
    </row>
    <row r="15" spans="1:160" ht="15" thickBot="1">
      <c r="A15" s="7" t="s">
        <v>9</v>
      </c>
      <c r="B15" s="2">
        <f t="shared" si="0"/>
        <v>206000</v>
      </c>
      <c r="C15" s="2">
        <v>255</v>
      </c>
      <c r="D15" s="188">
        <v>410</v>
      </c>
      <c r="E15" s="189">
        <v>1.05</v>
      </c>
      <c r="F15" s="18"/>
      <c r="G15" s="18"/>
      <c r="H15" s="18"/>
      <c r="I15" s="18"/>
      <c r="V15" s="14">
        <v>48</v>
      </c>
      <c r="W15" s="3">
        <v>5</v>
      </c>
      <c r="X15" s="5">
        <f t="shared" si="5"/>
        <v>1809.5573684677208</v>
      </c>
      <c r="Y15" s="3">
        <v>1472</v>
      </c>
      <c r="Z15" s="3">
        <v>1.6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V15" s="3">
        <v>540</v>
      </c>
      <c r="AW15" s="3">
        <v>845</v>
      </c>
      <c r="AX15" s="3">
        <v>710</v>
      </c>
      <c r="BI15" s="57" t="s">
        <v>83</v>
      </c>
      <c r="BJ15" s="58" t="s">
        <v>84</v>
      </c>
      <c r="BK15" s="59">
        <v>39500</v>
      </c>
      <c r="BL15" s="60">
        <v>43</v>
      </c>
      <c r="BM15" s="60">
        <v>33</v>
      </c>
      <c r="BN15" s="61">
        <v>2.75</v>
      </c>
      <c r="BO15" s="62">
        <v>1.8</v>
      </c>
      <c r="BP15" s="50" t="s">
        <v>100</v>
      </c>
      <c r="BQ15" s="50">
        <f t="shared" si="10"/>
        <v>50</v>
      </c>
      <c r="CC15" s="26" t="s">
        <v>116</v>
      </c>
      <c r="CD15" s="30">
        <v>235</v>
      </c>
      <c r="CE15" s="30">
        <v>380</v>
      </c>
      <c r="CF15" s="26">
        <f t="shared" si="1"/>
        <v>235</v>
      </c>
      <c r="CG15" s="26">
        <f t="shared" si="2"/>
        <v>204.34782608695653</v>
      </c>
      <c r="CH15" s="26">
        <f t="shared" si="3"/>
        <v>235</v>
      </c>
      <c r="CI15" s="26">
        <f t="shared" si="4"/>
        <v>164.5</v>
      </c>
      <c r="CJ15" s="29">
        <v>200000</v>
      </c>
      <c r="DA15" s="3" t="str">
        <f t="shared" si="6"/>
        <v>o31.8x1.8</v>
      </c>
      <c r="DB15" s="66">
        <v>31.8</v>
      </c>
      <c r="DC15" s="66">
        <v>1.8</v>
      </c>
      <c r="DD15" s="64">
        <f t="shared" si="7"/>
        <v>1.6964600329384882</v>
      </c>
      <c r="DE15" s="64">
        <f t="shared" si="8"/>
        <v>1.915388200189202</v>
      </c>
      <c r="DF15" s="64">
        <f t="shared" si="9"/>
        <v>1.0625676449054906</v>
      </c>
      <c r="DZ15" s="33"/>
      <c r="EA15" s="33"/>
      <c r="EB15" s="33"/>
      <c r="EC15" s="33"/>
      <c r="ED15" s="33"/>
      <c r="EE15" s="33"/>
      <c r="EF15" s="33"/>
      <c r="EG15" s="33"/>
      <c r="EH15" s="33"/>
      <c r="EI15" s="33"/>
      <c r="EJ15" s="33"/>
      <c r="EK15" s="33"/>
      <c r="EL15" s="33"/>
      <c r="EM15" s="33"/>
      <c r="EN15" s="33"/>
      <c r="EO15" s="33"/>
      <c r="EP15" s="33"/>
      <c r="EQ15" s="33"/>
      <c r="ER15" s="33"/>
      <c r="ES15" s="33"/>
      <c r="ET15" s="33"/>
      <c r="EU15" s="33"/>
      <c r="EV15" s="33"/>
      <c r="EW15" s="33"/>
      <c r="EX15" s="33"/>
      <c r="EY15" s="33"/>
      <c r="EZ15" s="33"/>
      <c r="FA15" s="33"/>
      <c r="FB15" s="33"/>
      <c r="FC15" s="33"/>
    </row>
    <row r="16" spans="1:160">
      <c r="A16" s="7" t="s">
        <v>10</v>
      </c>
      <c r="B16" s="2">
        <f t="shared" si="0"/>
        <v>206000</v>
      </c>
      <c r="C16" s="2">
        <v>245</v>
      </c>
      <c r="D16" s="188">
        <v>410</v>
      </c>
      <c r="E16" s="189">
        <v>1.05</v>
      </c>
      <c r="F16" s="18"/>
      <c r="G16" s="18"/>
      <c r="H16" s="18"/>
      <c r="I16" s="18"/>
      <c r="AV16" s="3">
        <v>570</v>
      </c>
      <c r="AW16" s="3">
        <v>890</v>
      </c>
      <c r="AX16" s="3">
        <v>750</v>
      </c>
      <c r="CC16" s="26" t="s">
        <v>117</v>
      </c>
      <c r="CD16" s="30">
        <v>295</v>
      </c>
      <c r="CE16" s="30">
        <v>440</v>
      </c>
      <c r="CF16" s="26">
        <f t="shared" si="1"/>
        <v>295</v>
      </c>
      <c r="CG16" s="26">
        <f t="shared" si="2"/>
        <v>256.52173913043481</v>
      </c>
      <c r="CH16" s="26">
        <f t="shared" si="3"/>
        <v>295</v>
      </c>
      <c r="CI16" s="26">
        <f t="shared" si="4"/>
        <v>206.5</v>
      </c>
      <c r="CJ16" s="29">
        <v>200000</v>
      </c>
      <c r="DA16" s="3"/>
      <c r="DB16" s="66"/>
      <c r="DC16" s="66"/>
      <c r="DD16" s="64"/>
      <c r="DE16" s="64"/>
      <c r="DF16" s="64"/>
    </row>
    <row r="17" spans="1:110">
      <c r="A17" s="7" t="s">
        <v>11</v>
      </c>
      <c r="B17" s="2">
        <f t="shared" si="0"/>
        <v>206000</v>
      </c>
      <c r="C17" s="2">
        <v>235</v>
      </c>
      <c r="D17" s="188">
        <v>410</v>
      </c>
      <c r="E17" s="189">
        <v>1.05</v>
      </c>
      <c r="F17" s="18"/>
      <c r="G17" s="18"/>
      <c r="H17" s="18"/>
      <c r="I17" s="18"/>
      <c r="AV17" s="3">
        <v>590</v>
      </c>
      <c r="AW17" s="3">
        <v>920</v>
      </c>
      <c r="AX17" s="3">
        <v>775</v>
      </c>
      <c r="CC17" s="26" t="s">
        <v>112</v>
      </c>
      <c r="CD17" s="30">
        <v>295</v>
      </c>
      <c r="CE17" s="30">
        <v>440</v>
      </c>
      <c r="CF17" s="26">
        <f t="shared" si="1"/>
        <v>295</v>
      </c>
      <c r="CG17" s="26">
        <f t="shared" si="2"/>
        <v>256.52173913043481</v>
      </c>
      <c r="CH17" s="26">
        <f t="shared" si="3"/>
        <v>295</v>
      </c>
      <c r="CI17" s="26">
        <f t="shared" si="4"/>
        <v>206.5</v>
      </c>
      <c r="CJ17" s="29">
        <v>200000</v>
      </c>
      <c r="DA17" s="3"/>
      <c r="DB17" s="66"/>
      <c r="DC17" s="66"/>
      <c r="DD17" s="64"/>
      <c r="DE17" s="64"/>
      <c r="DF17" s="64"/>
    </row>
    <row r="18" spans="1:110">
      <c r="A18" s="7" t="s">
        <v>12</v>
      </c>
      <c r="B18" s="2">
        <f t="shared" si="0"/>
        <v>206000</v>
      </c>
      <c r="C18" s="2">
        <v>355</v>
      </c>
      <c r="D18" s="188">
        <v>470</v>
      </c>
      <c r="E18" s="189">
        <v>1.05</v>
      </c>
      <c r="F18" s="18"/>
      <c r="G18" s="18"/>
      <c r="H18" s="18"/>
      <c r="I18" s="18"/>
      <c r="AV18" s="3"/>
      <c r="AW18" s="3"/>
      <c r="AX18" s="3"/>
      <c r="CC18" s="26" t="s">
        <v>113</v>
      </c>
      <c r="CD18" s="30">
        <v>390</v>
      </c>
      <c r="CE18" s="30">
        <v>560</v>
      </c>
      <c r="CF18" s="26">
        <f t="shared" si="1"/>
        <v>390</v>
      </c>
      <c r="CG18" s="26">
        <f t="shared" si="2"/>
        <v>339.13043478260875</v>
      </c>
      <c r="CH18" s="26">
        <f t="shared" si="3"/>
        <v>390</v>
      </c>
      <c r="CI18" s="26">
        <f t="shared" si="4"/>
        <v>273</v>
      </c>
      <c r="CJ18" s="28">
        <v>200000</v>
      </c>
      <c r="DA18" s="3"/>
      <c r="DB18" s="66"/>
      <c r="DC18" s="66"/>
      <c r="DD18" s="64"/>
      <c r="DE18" s="64"/>
      <c r="DF18" s="64"/>
    </row>
    <row r="19" spans="1:110">
      <c r="A19" s="7" t="s">
        <v>13</v>
      </c>
      <c r="B19" s="2">
        <f t="shared" si="0"/>
        <v>206000</v>
      </c>
      <c r="C19" s="2">
        <v>345</v>
      </c>
      <c r="D19" s="188">
        <v>470</v>
      </c>
      <c r="E19" s="189">
        <v>1.05</v>
      </c>
      <c r="F19" s="18"/>
      <c r="G19" s="18"/>
      <c r="H19" s="18"/>
      <c r="I19" s="18"/>
      <c r="AV19" s="3"/>
      <c r="AW19" s="3"/>
      <c r="AX19" s="3"/>
      <c r="CC19" s="26" t="s">
        <v>114</v>
      </c>
      <c r="CD19" s="30">
        <v>490</v>
      </c>
      <c r="CE19" s="30">
        <v>620</v>
      </c>
      <c r="CF19" s="26">
        <f t="shared" si="1"/>
        <v>490</v>
      </c>
      <c r="CG19" s="26">
        <f t="shared" si="2"/>
        <v>426.08695652173918</v>
      </c>
      <c r="CH19" s="26">
        <f t="shared" si="3"/>
        <v>490</v>
      </c>
      <c r="CI19" s="26">
        <f t="shared" si="4"/>
        <v>343</v>
      </c>
      <c r="CJ19" s="29">
        <v>200000</v>
      </c>
      <c r="DA19" s="3"/>
      <c r="DB19" s="66"/>
      <c r="DC19" s="66"/>
      <c r="DD19" s="64"/>
      <c r="DE19" s="64"/>
      <c r="DF19" s="64"/>
    </row>
    <row r="20" spans="1:110">
      <c r="A20" s="7" t="s">
        <v>14</v>
      </c>
      <c r="B20" s="2">
        <f t="shared" si="0"/>
        <v>206000</v>
      </c>
      <c r="C20" s="2">
        <v>335</v>
      </c>
      <c r="D20" s="188">
        <v>470</v>
      </c>
      <c r="E20" s="189">
        <v>1.05</v>
      </c>
      <c r="F20" s="18"/>
      <c r="G20" s="18"/>
      <c r="H20" s="18"/>
      <c r="I20" s="18"/>
      <c r="AV20" s="3"/>
      <c r="AW20" s="3"/>
      <c r="AX20" s="3"/>
      <c r="CC20" s="23"/>
      <c r="CD20" s="31"/>
      <c r="CE20" s="31"/>
      <c r="DA20" s="3"/>
      <c r="DB20" s="66"/>
      <c r="DC20" s="66"/>
      <c r="DD20" s="64"/>
      <c r="DE20" s="64"/>
      <c r="DF20" s="64"/>
    </row>
    <row r="21" spans="1:110">
      <c r="A21" s="7" t="s">
        <v>15</v>
      </c>
      <c r="B21" s="2">
        <f t="shared" si="0"/>
        <v>206000</v>
      </c>
      <c r="C21" s="2">
        <v>325</v>
      </c>
      <c r="D21" s="188">
        <v>470</v>
      </c>
      <c r="E21" s="189">
        <v>1.05</v>
      </c>
      <c r="F21" s="18"/>
      <c r="G21" s="18"/>
      <c r="H21" s="18"/>
      <c r="I21" s="18"/>
      <c r="AV21" s="3"/>
      <c r="AW21" s="3"/>
      <c r="AX21" s="3"/>
      <c r="CC21" s="23"/>
      <c r="CD21" s="31"/>
      <c r="CE21" s="31"/>
      <c r="DA21" s="3"/>
      <c r="DB21" s="66"/>
      <c r="DC21" s="66"/>
      <c r="DD21" s="64"/>
      <c r="DE21" s="64"/>
      <c r="DF21" s="64"/>
    </row>
    <row r="22" spans="1:110">
      <c r="A22" s="7" t="s">
        <v>16</v>
      </c>
      <c r="B22" s="2">
        <f t="shared" si="0"/>
        <v>206000</v>
      </c>
      <c r="C22" s="2">
        <v>315</v>
      </c>
      <c r="D22" s="188">
        <v>470</v>
      </c>
      <c r="E22" s="189">
        <v>1.05</v>
      </c>
      <c r="F22" s="18"/>
      <c r="G22" s="18"/>
      <c r="H22" s="18"/>
      <c r="I22" s="18"/>
      <c r="AV22" s="3"/>
      <c r="AW22" s="3"/>
      <c r="AX22" s="3"/>
      <c r="DA22" s="3"/>
      <c r="DB22" s="67"/>
      <c r="DC22" s="67"/>
      <c r="DD22" s="64"/>
      <c r="DE22" s="64"/>
      <c r="DF22" s="64"/>
    </row>
    <row r="23" spans="1:110">
      <c r="A23" s="7" t="s">
        <v>31</v>
      </c>
      <c r="B23" s="2">
        <f t="shared" si="0"/>
        <v>206000</v>
      </c>
      <c r="C23" s="2">
        <v>205</v>
      </c>
      <c r="D23" s="188">
        <v>330</v>
      </c>
      <c r="E23" s="189">
        <v>1.05</v>
      </c>
      <c r="F23" s="18"/>
      <c r="G23" s="18"/>
      <c r="H23" s="18"/>
      <c r="I23" s="18"/>
      <c r="AV23" s="3"/>
      <c r="AW23" s="3"/>
      <c r="AX23" s="3"/>
      <c r="DA23" s="3"/>
      <c r="DB23" s="67"/>
      <c r="DC23" s="67"/>
      <c r="DD23" s="64"/>
      <c r="DE23" s="64"/>
      <c r="DF23" s="64"/>
    </row>
    <row r="24" spans="1:110">
      <c r="A24" s="7" t="s">
        <v>32</v>
      </c>
      <c r="B24" s="2">
        <f t="shared" si="0"/>
        <v>206000</v>
      </c>
      <c r="C24" s="2">
        <v>195</v>
      </c>
      <c r="D24" s="188">
        <v>330</v>
      </c>
      <c r="E24" s="189">
        <v>1.05</v>
      </c>
      <c r="F24" s="18"/>
      <c r="G24" s="18"/>
      <c r="H24" s="18"/>
      <c r="I24" s="18"/>
      <c r="DA24" s="3"/>
      <c r="DB24" s="67"/>
      <c r="DC24" s="67"/>
      <c r="DD24" s="64"/>
      <c r="DE24" s="64"/>
      <c r="DF24" s="64"/>
    </row>
    <row r="25" spans="1:110">
      <c r="A25" s="7" t="s">
        <v>33</v>
      </c>
      <c r="B25" s="2">
        <f t="shared" si="0"/>
        <v>206000</v>
      </c>
      <c r="C25" s="2">
        <v>245</v>
      </c>
      <c r="D25" s="188">
        <v>400</v>
      </c>
      <c r="E25" s="189">
        <v>1.05</v>
      </c>
      <c r="F25" s="18"/>
      <c r="G25" s="18"/>
      <c r="H25" s="18"/>
      <c r="I25" s="18"/>
      <c r="DA25" s="3"/>
      <c r="DB25" s="67"/>
      <c r="DC25" s="67"/>
      <c r="DD25" s="64"/>
      <c r="DE25" s="64"/>
      <c r="DF25" s="64"/>
    </row>
    <row r="26" spans="1:110">
      <c r="A26" s="7" t="s">
        <v>34</v>
      </c>
      <c r="B26" s="2">
        <f t="shared" si="0"/>
        <v>206000</v>
      </c>
      <c r="C26" s="2">
        <v>235</v>
      </c>
      <c r="D26" s="188">
        <v>400</v>
      </c>
      <c r="E26" s="189">
        <v>1.05</v>
      </c>
      <c r="F26" s="18"/>
      <c r="G26" s="18"/>
      <c r="H26" s="18"/>
      <c r="I26" s="18"/>
      <c r="DA26" s="3"/>
      <c r="DB26" s="67"/>
      <c r="DC26" s="67"/>
      <c r="DD26" s="64"/>
      <c r="DE26" s="64"/>
      <c r="DF26" s="64"/>
    </row>
    <row r="27" spans="1:110">
      <c r="A27" s="7" t="s">
        <v>35</v>
      </c>
      <c r="B27" s="2">
        <f t="shared" si="0"/>
        <v>206000</v>
      </c>
      <c r="C27" s="2">
        <v>285</v>
      </c>
      <c r="D27" s="188">
        <v>490</v>
      </c>
      <c r="E27" s="189">
        <v>1.05</v>
      </c>
      <c r="F27" s="18"/>
      <c r="G27" s="18"/>
      <c r="H27" s="18"/>
      <c r="I27" s="18"/>
      <c r="DA27" s="3"/>
      <c r="DB27" s="67"/>
      <c r="DC27" s="67"/>
      <c r="DD27" s="64"/>
      <c r="DE27" s="64"/>
      <c r="DF27" s="64"/>
    </row>
    <row r="28" spans="1:110">
      <c r="A28" s="7" t="s">
        <v>36</v>
      </c>
      <c r="B28" s="2">
        <f t="shared" si="0"/>
        <v>206000</v>
      </c>
      <c r="C28" s="2">
        <v>275</v>
      </c>
      <c r="D28" s="188">
        <v>490</v>
      </c>
      <c r="E28" s="189">
        <v>1.05</v>
      </c>
      <c r="F28" s="18"/>
      <c r="G28" s="18"/>
      <c r="H28" s="18"/>
      <c r="I28" s="18"/>
      <c r="DA28" s="3"/>
      <c r="DB28" s="67"/>
      <c r="DC28" s="67"/>
      <c r="DD28" s="64"/>
      <c r="DE28" s="64"/>
      <c r="DF28" s="64"/>
    </row>
    <row r="29" spans="1:110">
      <c r="A29" s="7" t="s">
        <v>37</v>
      </c>
      <c r="B29" s="2">
        <f t="shared" si="0"/>
        <v>206000</v>
      </c>
      <c r="C29" s="2">
        <v>400</v>
      </c>
      <c r="D29" s="188">
        <v>540</v>
      </c>
      <c r="E29" s="189">
        <v>1.05</v>
      </c>
      <c r="F29" s="18"/>
      <c r="G29" s="18"/>
      <c r="H29" s="18"/>
      <c r="I29" s="18"/>
      <c r="DA29" s="3"/>
      <c r="DB29" s="67"/>
      <c r="DC29" s="67"/>
      <c r="DD29" s="64"/>
      <c r="DE29" s="64"/>
      <c r="DF29" s="64"/>
    </row>
    <row r="30" spans="1:110">
      <c r="A30" s="7" t="s">
        <v>38</v>
      </c>
      <c r="B30" s="2">
        <f t="shared" si="0"/>
        <v>206000</v>
      </c>
      <c r="C30" s="2">
        <v>390</v>
      </c>
      <c r="D30" s="188">
        <v>540</v>
      </c>
      <c r="E30" s="189">
        <v>1.05</v>
      </c>
      <c r="DA30" s="3"/>
      <c r="DB30" s="67"/>
      <c r="DC30" s="67"/>
      <c r="DD30" s="64"/>
      <c r="DE30" s="64"/>
      <c r="DF30" s="64"/>
    </row>
    <row r="31" spans="1:110">
      <c r="A31" s="7" t="s">
        <v>247</v>
      </c>
      <c r="B31" s="2">
        <f t="shared" si="0"/>
        <v>206000</v>
      </c>
      <c r="C31" s="2">
        <v>220</v>
      </c>
      <c r="D31" s="188">
        <v>340</v>
      </c>
      <c r="E31" s="189">
        <v>1.05</v>
      </c>
    </row>
    <row r="32" spans="1:110">
      <c r="A32" s="7" t="s">
        <v>248</v>
      </c>
      <c r="B32" s="2">
        <f t="shared" si="0"/>
        <v>206000</v>
      </c>
      <c r="C32" s="2">
        <v>240</v>
      </c>
      <c r="D32" s="188">
        <v>380</v>
      </c>
      <c r="E32" s="189">
        <v>1.05</v>
      </c>
    </row>
    <row r="33" spans="1:5">
      <c r="A33" s="7" t="s">
        <v>249</v>
      </c>
      <c r="B33" s="2">
        <f t="shared" si="0"/>
        <v>206000</v>
      </c>
      <c r="C33" s="2">
        <v>260</v>
      </c>
      <c r="D33" s="188">
        <v>420</v>
      </c>
      <c r="E33" s="189">
        <v>1.05</v>
      </c>
    </row>
  </sheetData>
  <mergeCells count="16"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AV1:AX1"/>
    <mergeCell ref="BP3:BP4"/>
    <mergeCell ref="DA1:DF1"/>
    <mergeCell ref="DA3:DA4"/>
    <mergeCell ref="DB3:DC3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6666"/>
  </sheetPr>
  <dimension ref="A1:CC2111"/>
  <sheetViews>
    <sheetView showGridLines="0" tabSelected="1" topLeftCell="A13" zoomScale="160" zoomScaleNormal="160" zoomScaleSheetLayoutView="100" workbookViewId="0">
      <selection activeCell="M20" sqref="M20"/>
    </sheetView>
  </sheetViews>
  <sheetFormatPr defaultColWidth="7.33203125" defaultRowHeight="13.8" outlineLevelCol="1"/>
  <cols>
    <col min="1" max="1" width="14.109375" style="127" customWidth="1"/>
    <col min="2" max="2" width="4.6640625" style="127" customWidth="1"/>
    <col min="3" max="3" width="6.44140625" style="128" hidden="1" customWidth="1"/>
    <col min="4" max="4" width="4.6640625" style="128" customWidth="1"/>
    <col min="5" max="5" width="4.6640625" style="129" customWidth="1"/>
    <col min="6" max="7" width="5.6640625" style="129" hidden="1" customWidth="1" outlineLevel="1"/>
    <col min="8" max="9" width="5.6640625" style="128" hidden="1" customWidth="1" outlineLevel="1"/>
    <col min="10" max="10" width="12.5546875" style="124" bestFit="1" customWidth="1" collapsed="1"/>
    <col min="11" max="11" width="4.6640625" style="98" customWidth="1"/>
    <col min="12" max="12" width="8.5546875" style="95" bestFit="1" customWidth="1"/>
    <col min="13" max="13" width="4.6640625" style="98" customWidth="1"/>
    <col min="14" max="19" width="4.6640625" style="95" customWidth="1"/>
    <col min="20" max="20" width="4.6640625" style="98" customWidth="1"/>
    <col min="21" max="21" width="6.44140625" style="99" bestFit="1" customWidth="1"/>
    <col min="22" max="22" width="4.6640625" style="99" customWidth="1"/>
    <col min="23" max="23" width="4.6640625" style="95" customWidth="1"/>
    <col min="24" max="24" width="6.33203125" style="95" customWidth="1"/>
    <col min="25" max="25" width="6.88671875" style="95" customWidth="1"/>
    <col min="26" max="26" width="7.33203125" style="95" customWidth="1"/>
    <col min="27" max="49" width="7.33203125" style="1" hidden="1" customWidth="1"/>
    <col min="50" max="51" width="7.33203125" style="1"/>
    <col min="52" max="52" width="3" style="10" customWidth="1"/>
    <col min="53" max="53" width="13.6640625" style="70" bestFit="1" customWidth="1"/>
    <col min="54" max="61" width="5.6640625" style="71" customWidth="1"/>
    <col min="62" max="62" width="12.5546875" style="71" bestFit="1" customWidth="1"/>
    <col min="63" max="63" width="5.6640625" style="50" customWidth="1"/>
    <col min="64" max="64" width="8.6640625" style="70" customWidth="1"/>
    <col min="65" max="65" width="5.6640625" style="70" customWidth="1"/>
    <col min="66" max="66" width="5.6640625" style="71" customWidth="1"/>
    <col min="67" max="67" width="5.6640625" style="50" customWidth="1"/>
    <col min="68" max="68" width="5.6640625" style="71" customWidth="1"/>
    <col min="69" max="69" width="5.6640625" style="50" customWidth="1"/>
    <col min="70" max="71" width="5.6640625" style="77" customWidth="1"/>
    <col min="72" max="78" width="5.6640625" style="50" customWidth="1"/>
    <col min="79" max="80" width="0" style="1" hidden="1" customWidth="1"/>
    <col min="81" max="81" width="3" style="10" customWidth="1"/>
    <col min="82" max="16384" width="7.33203125" style="1"/>
  </cols>
  <sheetData>
    <row r="1" spans="1:78" ht="12.75" hidden="1" customHeight="1">
      <c r="A1" s="130"/>
      <c r="B1" s="130"/>
      <c r="C1" s="131"/>
      <c r="D1" s="131"/>
      <c r="E1" s="131"/>
      <c r="F1" s="131"/>
      <c r="G1" s="131"/>
      <c r="H1" s="131"/>
      <c r="I1" s="131"/>
      <c r="J1" s="90"/>
      <c r="K1" s="90"/>
      <c r="L1" s="89"/>
      <c r="M1" s="90"/>
      <c r="N1" s="89"/>
      <c r="O1" s="89"/>
      <c r="P1" s="90"/>
      <c r="Q1" s="90"/>
      <c r="R1" s="91"/>
      <c r="S1" s="91"/>
      <c r="T1" s="92"/>
      <c r="U1" s="93"/>
      <c r="V1" s="93"/>
      <c r="W1" s="94"/>
      <c r="BA1" s="79"/>
      <c r="BB1" s="65"/>
      <c r="BC1" s="65"/>
      <c r="BD1" s="65"/>
      <c r="BE1" s="65"/>
      <c r="BF1" s="65"/>
      <c r="BG1" s="65"/>
      <c r="BH1" s="65"/>
      <c r="BI1" s="65"/>
      <c r="BJ1" s="65"/>
      <c r="BK1" s="79"/>
      <c r="BL1" s="79"/>
      <c r="BM1" s="79"/>
      <c r="BN1" s="65"/>
      <c r="BO1" s="79"/>
      <c r="BP1" s="65"/>
      <c r="BQ1" s="79"/>
      <c r="BR1" s="80"/>
      <c r="BS1" s="80"/>
      <c r="BT1" s="79"/>
      <c r="BU1" s="79"/>
      <c r="BV1" s="79"/>
      <c r="BW1" s="79"/>
      <c r="BX1" s="79"/>
      <c r="BY1" s="79"/>
      <c r="BZ1" s="79"/>
    </row>
    <row r="2" spans="1:78" ht="12.75" hidden="1" customHeight="1">
      <c r="A2" s="132"/>
      <c r="B2" s="132"/>
      <c r="C2" s="133"/>
      <c r="D2" s="133"/>
      <c r="E2" s="133"/>
      <c r="F2" s="133"/>
      <c r="G2" s="133"/>
      <c r="H2" s="133"/>
      <c r="I2" s="133"/>
      <c r="J2" s="97"/>
      <c r="K2" s="97"/>
      <c r="L2" s="96"/>
      <c r="M2" s="97"/>
      <c r="N2" s="96"/>
      <c r="O2" s="96"/>
      <c r="P2" s="97"/>
      <c r="Q2" s="97"/>
      <c r="W2" s="100"/>
      <c r="BA2" s="79"/>
      <c r="BB2" s="65"/>
      <c r="BC2" s="65"/>
      <c r="BD2" s="65"/>
      <c r="BE2" s="65"/>
      <c r="BF2" s="65"/>
      <c r="BG2" s="65"/>
      <c r="BH2" s="65"/>
      <c r="BI2" s="65"/>
      <c r="BJ2" s="65"/>
      <c r="BK2" s="79"/>
      <c r="BL2" s="79"/>
      <c r="BM2" s="79"/>
      <c r="BN2" s="65"/>
      <c r="BO2" s="79"/>
      <c r="BP2" s="65"/>
      <c r="BQ2" s="79"/>
      <c r="BR2" s="80"/>
      <c r="BS2" s="80"/>
      <c r="BT2" s="79"/>
      <c r="BU2" s="79"/>
      <c r="BV2" s="79"/>
      <c r="BW2" s="79"/>
      <c r="BX2" s="79"/>
      <c r="BY2" s="79"/>
      <c r="BZ2" s="79"/>
    </row>
    <row r="3" spans="1:78" ht="12.75" hidden="1" customHeight="1">
      <c r="A3" s="132"/>
      <c r="B3" s="132"/>
      <c r="C3" s="133"/>
      <c r="D3" s="133"/>
      <c r="E3" s="133"/>
      <c r="F3" s="133"/>
      <c r="G3" s="133"/>
      <c r="H3" s="133"/>
      <c r="I3" s="133"/>
      <c r="J3" s="97"/>
      <c r="K3" s="97"/>
      <c r="L3" s="96"/>
      <c r="M3" s="97"/>
      <c r="N3" s="96"/>
      <c r="O3" s="96"/>
      <c r="P3" s="97"/>
      <c r="Q3" s="97"/>
      <c r="W3" s="100"/>
      <c r="BA3" s="79"/>
      <c r="BB3" s="65"/>
      <c r="BC3" s="65"/>
      <c r="BD3" s="65"/>
      <c r="BE3" s="65"/>
      <c r="BF3" s="65"/>
      <c r="BG3" s="65"/>
      <c r="BH3" s="65"/>
      <c r="BI3" s="65"/>
      <c r="BJ3" s="65"/>
      <c r="BK3" s="79"/>
      <c r="BL3" s="79"/>
      <c r="BM3" s="79"/>
      <c r="BN3" s="65"/>
      <c r="BO3" s="79"/>
      <c r="BP3" s="65"/>
      <c r="BQ3" s="79"/>
      <c r="BR3" s="80"/>
      <c r="BS3" s="80"/>
      <c r="BT3" s="79"/>
      <c r="BU3" s="79"/>
      <c r="BV3" s="79"/>
      <c r="BW3" s="79"/>
      <c r="BX3" s="79"/>
      <c r="BY3" s="79"/>
      <c r="BZ3" s="79"/>
    </row>
    <row r="4" spans="1:78" ht="12.75" hidden="1" customHeight="1">
      <c r="A4" s="132"/>
      <c r="B4" s="132"/>
      <c r="C4" s="133"/>
      <c r="D4" s="133"/>
      <c r="E4" s="133"/>
      <c r="F4" s="133"/>
      <c r="G4" s="133"/>
      <c r="H4" s="133"/>
      <c r="I4" s="133"/>
      <c r="J4" s="97"/>
      <c r="K4" s="97"/>
      <c r="L4" s="96"/>
      <c r="M4" s="97"/>
      <c r="N4" s="96"/>
      <c r="O4" s="96"/>
      <c r="P4" s="97"/>
      <c r="Q4" s="97"/>
      <c r="W4" s="100"/>
      <c r="BA4" s="79"/>
      <c r="BB4" s="65"/>
      <c r="BC4" s="65"/>
      <c r="BD4" s="65"/>
      <c r="BE4" s="65"/>
      <c r="BF4" s="65"/>
      <c r="BG4" s="65"/>
      <c r="BH4" s="65"/>
      <c r="BI4" s="65"/>
      <c r="BJ4" s="65"/>
      <c r="BK4" s="79"/>
      <c r="BL4" s="79"/>
      <c r="BM4" s="79"/>
      <c r="BN4" s="65"/>
      <c r="BO4" s="79"/>
      <c r="BP4" s="65"/>
      <c r="BQ4" s="79"/>
      <c r="BR4" s="80"/>
      <c r="BS4" s="80"/>
      <c r="BT4" s="79"/>
      <c r="BU4" s="79"/>
      <c r="BV4" s="79"/>
      <c r="BW4" s="79"/>
      <c r="BX4" s="79"/>
      <c r="BY4" s="79"/>
      <c r="BZ4" s="79"/>
    </row>
    <row r="5" spans="1:78" ht="12.75" hidden="1" customHeight="1">
      <c r="A5" s="132"/>
      <c r="B5" s="132"/>
      <c r="C5" s="133"/>
      <c r="D5" s="133"/>
      <c r="E5" s="133"/>
      <c r="F5" s="133"/>
      <c r="G5" s="133"/>
      <c r="H5" s="133"/>
      <c r="I5" s="133"/>
      <c r="J5" s="97"/>
      <c r="K5" s="97"/>
      <c r="L5" s="96"/>
      <c r="M5" s="97"/>
      <c r="N5" s="96"/>
      <c r="O5" s="96"/>
      <c r="P5" s="97"/>
      <c r="Q5" s="97"/>
      <c r="W5" s="100"/>
      <c r="BA5" s="79"/>
      <c r="BB5" s="65"/>
      <c r="BC5" s="65"/>
      <c r="BD5" s="65"/>
      <c r="BE5" s="65"/>
      <c r="BF5" s="65"/>
      <c r="BG5" s="65"/>
      <c r="BH5" s="65"/>
      <c r="BI5" s="65"/>
      <c r="BJ5" s="65"/>
      <c r="BK5" s="79"/>
      <c r="BL5" s="79"/>
      <c r="BM5" s="79"/>
      <c r="BN5" s="65"/>
      <c r="BO5" s="79"/>
      <c r="BP5" s="65"/>
      <c r="BQ5" s="79"/>
      <c r="BR5" s="80"/>
      <c r="BS5" s="80"/>
      <c r="BT5" s="79"/>
      <c r="BU5" s="79"/>
      <c r="BV5" s="79"/>
      <c r="BW5" s="79"/>
      <c r="BX5" s="79"/>
      <c r="BY5" s="79"/>
      <c r="BZ5" s="79"/>
    </row>
    <row r="6" spans="1:78" ht="12.75" hidden="1" customHeight="1">
      <c r="A6" s="132"/>
      <c r="B6" s="132"/>
      <c r="C6" s="133"/>
      <c r="D6" s="133"/>
      <c r="E6" s="133"/>
      <c r="F6" s="133"/>
      <c r="G6" s="133"/>
      <c r="H6" s="133"/>
      <c r="I6" s="133"/>
      <c r="J6" s="97"/>
      <c r="K6" s="97"/>
      <c r="L6" s="96"/>
      <c r="M6" s="97"/>
      <c r="N6" s="96"/>
      <c r="O6" s="96"/>
      <c r="P6" s="97"/>
      <c r="Q6" s="97"/>
      <c r="W6" s="100"/>
      <c r="BA6" s="79"/>
      <c r="BB6" s="65"/>
      <c r="BC6" s="65"/>
      <c r="BD6" s="65"/>
      <c r="BE6" s="65"/>
      <c r="BF6" s="65"/>
      <c r="BG6" s="65"/>
      <c r="BH6" s="65"/>
      <c r="BI6" s="65"/>
      <c r="BJ6" s="65"/>
      <c r="BK6" s="79"/>
      <c r="BL6" s="79"/>
      <c r="BM6" s="79"/>
      <c r="BN6" s="65"/>
      <c r="BO6" s="79"/>
      <c r="BP6" s="65"/>
      <c r="BQ6" s="79"/>
      <c r="BR6" s="80"/>
      <c r="BS6" s="80"/>
      <c r="BT6" s="79"/>
      <c r="BU6" s="79"/>
      <c r="BV6" s="79"/>
      <c r="BW6" s="79"/>
      <c r="BX6" s="79"/>
      <c r="BY6" s="79"/>
      <c r="BZ6" s="79"/>
    </row>
    <row r="7" spans="1:78" ht="12.75" hidden="1" customHeight="1">
      <c r="A7" s="132"/>
      <c r="B7" s="132"/>
      <c r="C7" s="133"/>
      <c r="D7" s="133"/>
      <c r="E7" s="133"/>
      <c r="F7" s="133"/>
      <c r="G7" s="133"/>
      <c r="H7" s="133"/>
      <c r="I7" s="133"/>
      <c r="J7" s="97"/>
      <c r="K7" s="97"/>
      <c r="L7" s="96"/>
      <c r="M7" s="97"/>
      <c r="N7" s="96"/>
      <c r="O7" s="96"/>
      <c r="P7" s="97"/>
      <c r="Q7" s="97"/>
      <c r="W7" s="100"/>
      <c r="BA7" s="79"/>
      <c r="BB7" s="65"/>
      <c r="BC7" s="65"/>
      <c r="BD7" s="65"/>
      <c r="BE7" s="65"/>
      <c r="BF7" s="65"/>
      <c r="BG7" s="65"/>
      <c r="BH7" s="65"/>
      <c r="BI7" s="65"/>
      <c r="BJ7" s="65"/>
      <c r="BK7" s="79"/>
      <c r="BL7" s="79"/>
      <c r="BM7" s="79"/>
      <c r="BN7" s="65"/>
      <c r="BO7" s="79"/>
      <c r="BP7" s="65"/>
      <c r="BQ7" s="79"/>
      <c r="BR7" s="80"/>
      <c r="BS7" s="80"/>
      <c r="BT7" s="79"/>
      <c r="BU7" s="79"/>
      <c r="BV7" s="79"/>
      <c r="BW7" s="79"/>
      <c r="BX7" s="79"/>
      <c r="BY7" s="79"/>
      <c r="BZ7" s="79"/>
    </row>
    <row r="8" spans="1:78" ht="12.75" hidden="1" customHeight="1">
      <c r="A8" s="132"/>
      <c r="B8" s="132"/>
      <c r="C8" s="133"/>
      <c r="D8" s="133"/>
      <c r="E8" s="133"/>
      <c r="F8" s="133"/>
      <c r="G8" s="133"/>
      <c r="H8" s="133"/>
      <c r="I8" s="133"/>
      <c r="J8" s="97"/>
      <c r="K8" s="97"/>
      <c r="L8" s="96"/>
      <c r="M8" s="97"/>
      <c r="N8" s="96"/>
      <c r="O8" s="96"/>
      <c r="P8" s="97"/>
      <c r="Q8" s="97"/>
      <c r="W8" s="100"/>
      <c r="BA8" s="79"/>
      <c r="BB8" s="65"/>
      <c r="BC8" s="65"/>
      <c r="BD8" s="65"/>
      <c r="BE8" s="65"/>
      <c r="BF8" s="65"/>
      <c r="BG8" s="65"/>
      <c r="BH8" s="65"/>
      <c r="BI8" s="65"/>
      <c r="BJ8" s="65"/>
      <c r="BK8" s="79"/>
      <c r="BL8" s="79"/>
      <c r="BM8" s="79"/>
      <c r="BN8" s="65"/>
      <c r="BO8" s="79"/>
      <c r="BP8" s="65"/>
      <c r="BQ8" s="79"/>
      <c r="BR8" s="80"/>
      <c r="BS8" s="80"/>
      <c r="BT8" s="79"/>
      <c r="BU8" s="79"/>
      <c r="BV8" s="79"/>
      <c r="BW8" s="79"/>
      <c r="BX8" s="79"/>
      <c r="BY8" s="79"/>
      <c r="BZ8" s="79"/>
    </row>
    <row r="9" spans="1:78" ht="12.75" hidden="1" customHeight="1">
      <c r="A9" s="132"/>
      <c r="B9" s="132"/>
      <c r="C9" s="133"/>
      <c r="D9" s="133"/>
      <c r="E9" s="133"/>
      <c r="F9" s="133"/>
      <c r="G9" s="133"/>
      <c r="H9" s="133"/>
      <c r="I9" s="133"/>
      <c r="J9" s="97"/>
      <c r="K9" s="97"/>
      <c r="L9" s="96"/>
      <c r="M9" s="97"/>
      <c r="N9" s="96"/>
      <c r="O9" s="96"/>
      <c r="P9" s="97"/>
      <c r="Q9" s="97"/>
      <c r="W9" s="100"/>
      <c r="BA9" s="79"/>
      <c r="BB9" s="65"/>
      <c r="BC9" s="65"/>
      <c r="BD9" s="65"/>
      <c r="BE9" s="65"/>
      <c r="BF9" s="65"/>
      <c r="BG9" s="65"/>
      <c r="BH9" s="65"/>
      <c r="BI9" s="65"/>
      <c r="BJ9" s="65"/>
      <c r="BK9" s="79"/>
      <c r="BL9" s="79"/>
      <c r="BM9" s="79"/>
      <c r="BN9" s="65"/>
      <c r="BO9" s="79"/>
      <c r="BP9" s="65"/>
      <c r="BQ9" s="79"/>
      <c r="BR9" s="80"/>
      <c r="BS9" s="80"/>
      <c r="BT9" s="79"/>
      <c r="BU9" s="79"/>
      <c r="BV9" s="79"/>
      <c r="BW9" s="79"/>
      <c r="BX9" s="79"/>
      <c r="BY9" s="79"/>
      <c r="BZ9" s="79"/>
    </row>
    <row r="10" spans="1:78" ht="20.25" customHeight="1">
      <c r="A10" s="154" t="s">
        <v>178</v>
      </c>
      <c r="B10" s="15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61"/>
      <c r="S10" s="161"/>
      <c r="T10" s="161"/>
      <c r="U10" s="161"/>
      <c r="V10" s="161"/>
      <c r="W10" s="161"/>
      <c r="X10" s="161"/>
      <c r="Y10" s="161"/>
      <c r="Z10" s="162"/>
      <c r="AX10" s="160" t="s">
        <v>101</v>
      </c>
      <c r="AY10" s="160"/>
      <c r="BA10" s="81" t="s">
        <v>101</v>
      </c>
      <c r="BB10" s="143" t="s">
        <v>182</v>
      </c>
      <c r="BC10" s="144"/>
      <c r="BD10" s="81" t="s">
        <v>183</v>
      </c>
      <c r="BE10" s="81" t="s">
        <v>184</v>
      </c>
      <c r="BF10" s="150" t="s">
        <v>166</v>
      </c>
      <c r="BG10" s="150"/>
      <c r="BH10" s="150"/>
      <c r="BI10" s="150"/>
      <c r="BJ10" s="150"/>
      <c r="BK10" s="82" t="s">
        <v>19</v>
      </c>
      <c r="BL10" s="149" t="s">
        <v>185</v>
      </c>
      <c r="BM10" s="82" t="s">
        <v>21</v>
      </c>
      <c r="BN10" s="83" t="s">
        <v>187</v>
      </c>
      <c r="BO10" s="81" t="s">
        <v>188</v>
      </c>
      <c r="BP10" s="83" t="s">
        <v>189</v>
      </c>
      <c r="BQ10" s="81" t="s">
        <v>190</v>
      </c>
      <c r="BR10" s="84" t="s">
        <v>191</v>
      </c>
      <c r="BS10" s="84" t="s">
        <v>192</v>
      </c>
      <c r="BT10" s="151" t="s">
        <v>193</v>
      </c>
      <c r="BU10" s="151" t="s">
        <v>194</v>
      </c>
      <c r="BV10" s="151" t="s">
        <v>195</v>
      </c>
      <c r="BW10" s="151" t="s">
        <v>196</v>
      </c>
      <c r="BX10" s="152" t="s">
        <v>176</v>
      </c>
      <c r="BY10" s="149" t="s">
        <v>180</v>
      </c>
      <c r="BZ10" s="149" t="s">
        <v>177</v>
      </c>
    </row>
    <row r="11" spans="1:78" ht="12.75" customHeight="1">
      <c r="A11" s="156"/>
      <c r="B11" s="157"/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63"/>
      <c r="S11" s="163"/>
      <c r="T11" s="163"/>
      <c r="U11" s="163"/>
      <c r="V11" s="163"/>
      <c r="W11" s="163"/>
      <c r="X11" s="163"/>
      <c r="Y11" s="163"/>
      <c r="Z11" s="164"/>
      <c r="AX11" s="169" t="s">
        <v>203</v>
      </c>
      <c r="AY11" s="169"/>
      <c r="BA11" s="87">
        <f>12+COUNTA(BA12:BA999999)</f>
        <v>1312</v>
      </c>
      <c r="BB11" s="81" t="s">
        <v>200</v>
      </c>
      <c r="BC11" s="81" t="s">
        <v>207</v>
      </c>
      <c r="BD11" s="81" t="s">
        <v>186</v>
      </c>
      <c r="BE11" s="81" t="s">
        <v>175</v>
      </c>
      <c r="BF11" s="81" t="s">
        <v>181</v>
      </c>
      <c r="BG11" s="81" t="s">
        <v>204</v>
      </c>
      <c r="BH11" s="81" t="s">
        <v>201</v>
      </c>
      <c r="BI11" s="81" t="s">
        <v>202</v>
      </c>
      <c r="BJ11" s="81" t="s">
        <v>101</v>
      </c>
      <c r="BK11" s="82" t="s">
        <v>23</v>
      </c>
      <c r="BL11" s="149"/>
      <c r="BM11" s="82" t="s">
        <v>174</v>
      </c>
      <c r="BN11" s="81" t="s">
        <v>175</v>
      </c>
      <c r="BO11" s="81" t="s">
        <v>175</v>
      </c>
      <c r="BP11" s="81" t="s">
        <v>175</v>
      </c>
      <c r="BQ11" s="81" t="s">
        <v>175</v>
      </c>
      <c r="BR11" s="84" t="s">
        <v>147</v>
      </c>
      <c r="BS11" s="84" t="s">
        <v>147</v>
      </c>
      <c r="BT11" s="151"/>
      <c r="BU11" s="151"/>
      <c r="BV11" s="151"/>
      <c r="BW11" s="151"/>
      <c r="BX11" s="152"/>
      <c r="BY11" s="149"/>
      <c r="BZ11" s="149"/>
    </row>
    <row r="12" spans="1:78" ht="15" customHeight="1">
      <c r="A12" s="68" t="s">
        <v>0</v>
      </c>
      <c r="B12" s="134"/>
      <c r="C12" s="135"/>
      <c r="D12" s="135"/>
      <c r="E12" s="73"/>
      <c r="F12" s="73"/>
      <c r="G12" s="73"/>
      <c r="H12" s="75"/>
      <c r="I12" s="75"/>
      <c r="J12" s="106"/>
      <c r="K12" s="8"/>
      <c r="L12" s="101"/>
      <c r="M12" s="8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2"/>
      <c r="AX12" s="153" t="s">
        <v>197</v>
      </c>
      <c r="AY12" s="153"/>
      <c r="BA12" s="70" t="s">
        <v>205</v>
      </c>
      <c r="BB12" s="71" t="s">
        <v>206</v>
      </c>
      <c r="BC12" s="71" t="s">
        <v>207</v>
      </c>
      <c r="BD12" s="71">
        <v>0</v>
      </c>
      <c r="BE12" s="71">
        <v>5.72</v>
      </c>
      <c r="BF12" s="71">
        <v>268</v>
      </c>
      <c r="BG12" s="71">
        <v>212</v>
      </c>
      <c r="BH12" s="71">
        <v>5</v>
      </c>
      <c r="BI12" s="71">
        <v>10</v>
      </c>
      <c r="BJ12" s="12" t="str" cm="1">
        <f t="array" ref="BJ12">_xll.Dce_Name_SectI(BF12, BF12, BG12, BH12, BI12, "x", "-", $AX$11)</f>
        <v>268x212x5x10</v>
      </c>
      <c r="BK12" s="77" cm="1">
        <f t="array" ref="BK12">_xll.DCEPropSectI(BF12, BH12, BG12, BI12, BG12, BI12, "A")/100</f>
        <v>54.8</v>
      </c>
      <c r="BL12" s="70" t="s">
        <v>217</v>
      </c>
      <c r="BM12" s="70">
        <v>-49.968166526631649</v>
      </c>
      <c r="BN12" s="71">
        <v>0.9</v>
      </c>
      <c r="BO12" s="77">
        <f>BN12*BE12</f>
        <v>5.1479999999999997</v>
      </c>
      <c r="BP12" s="71">
        <v>0.9</v>
      </c>
      <c r="BQ12" s="77">
        <f>BP12*BE12</f>
        <v>5.1479999999999997</v>
      </c>
      <c r="BR12" s="77" cm="1">
        <f t="array" ref="BR12">_xll.DCEPropSectI(BF12, BH12, BG12, BI12, BG12, BI12, "rx")/10</f>
        <v>11.847052463297633</v>
      </c>
      <c r="BS12" s="77" cm="1">
        <f t="array" ref="BS12">_xll.DCEPropSectI(BF12, BH12, BG12, BI12, BG12, BI12, "ry")/10</f>
        <v>5.3836052600564113</v>
      </c>
      <c r="BT12" s="5">
        <f>BO12*100/BR12</f>
        <v>43.453846566043239</v>
      </c>
      <c r="BU12" s="5">
        <f>BQ12*100/BS12</f>
        <v>95.623652762870975</v>
      </c>
      <c r="BV12" s="5">
        <f>MAX(BT12,BU12)</f>
        <v>95.623652762870975</v>
      </c>
      <c r="BW12" s="71">
        <f>IF(BM12&lt;0,$AY$14,$AY$15)</f>
        <v>200</v>
      </c>
      <c r="BX12" s="78" cm="1">
        <f t="array" ref="BX12">IF(BM12&gt;0,1,_xll.DCETCVN5575FactorPhi7121(BV12*SQRT($K$17/206000),"b"))</f>
        <v>0.59843366787807328</v>
      </c>
      <c r="BY12" s="64">
        <f t="shared" ref="BY12" si="0">ABS(BM12)/(BX12*BK12*$K$17*$K$19)*10</f>
        <v>7.2556703343067436E-2</v>
      </c>
      <c r="BZ12" s="3" t="str">
        <f>IF(AND(BV12&lt;=BW12,BY12&lt;=1),"OK","Check")</f>
        <v>OK</v>
      </c>
    </row>
    <row r="13" spans="1:78">
      <c r="A13" s="4" t="s">
        <v>168</v>
      </c>
      <c r="B13" s="72"/>
      <c r="C13" s="74"/>
      <c r="D13" s="74"/>
      <c r="E13" s="9"/>
      <c r="F13" s="9"/>
      <c r="G13" s="9"/>
      <c r="H13" s="75"/>
      <c r="I13" s="75"/>
      <c r="J13" s="106"/>
      <c r="K13" s="8"/>
      <c r="L13" s="103"/>
      <c r="M13" s="8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2"/>
      <c r="AX13" s="153"/>
      <c r="AY13" s="153"/>
      <c r="BA13" s="70" t="s">
        <v>205</v>
      </c>
      <c r="BB13" s="71" t="s">
        <v>206</v>
      </c>
      <c r="BC13" s="71" t="s">
        <v>207</v>
      </c>
      <c r="BD13" s="71">
        <v>0.72</v>
      </c>
      <c r="BE13" s="71">
        <v>5.72</v>
      </c>
      <c r="BF13" s="71">
        <v>268</v>
      </c>
      <c r="BG13" s="71">
        <v>212</v>
      </c>
      <c r="BH13" s="71">
        <v>5</v>
      </c>
      <c r="BI13" s="71">
        <v>10</v>
      </c>
      <c r="BJ13" s="12" t="str" cm="1">
        <f t="array" ref="BJ13">_xll.Dce_Name_SectI(BF13, BF13, BG13, BH13, BI13, "x", "-", $AX$11)</f>
        <v>268x212x5x10</v>
      </c>
      <c r="BK13" s="77" cm="1">
        <f t="array" ref="BK13">_xll.DCEPropSectI(BF13, BH13, BG13, BI13, BG13, BI13, "A")/100</f>
        <v>54.8</v>
      </c>
      <c r="BL13" s="70" t="s">
        <v>217</v>
      </c>
      <c r="BM13" s="70">
        <v>-50.270025234189234</v>
      </c>
      <c r="BN13" s="71">
        <v>0.9</v>
      </c>
      <c r="BO13" s="77">
        <f t="shared" ref="BO13:BO76" si="1">BN13*BE13</f>
        <v>5.1479999999999997</v>
      </c>
      <c r="BP13" s="71">
        <v>0.9</v>
      </c>
      <c r="BQ13" s="77">
        <f t="shared" ref="BQ13:BQ76" si="2">BP13*BE13</f>
        <v>5.1479999999999997</v>
      </c>
      <c r="BR13" s="77" cm="1">
        <f t="array" ref="BR13">_xll.DCEPropSectI(BF13, BH13, BG13, BI13, BG13, BI13, "rx")/10</f>
        <v>11.847052463297633</v>
      </c>
      <c r="BS13" s="77" cm="1">
        <f t="array" ref="BS13">_xll.DCEPropSectI(BF13, BH13, BG13, BI13, BG13, BI13, "ry")/10</f>
        <v>5.3836052600564113</v>
      </c>
      <c r="BT13" s="5">
        <f t="shared" ref="BT13:BT76" si="3">BO13*100/BR13</f>
        <v>43.453846566043239</v>
      </c>
      <c r="BU13" s="5">
        <f t="shared" ref="BU13:BU76" si="4">BQ13*100/BS13</f>
        <v>95.623652762870975</v>
      </c>
      <c r="BV13" s="5">
        <f t="shared" ref="BV13:BV76" si="5">MAX(BT13,BU13)</f>
        <v>95.623652762870975</v>
      </c>
      <c r="BW13" s="71">
        <f t="shared" ref="BW13:BW76" si="6">IF(BM13&lt;0,$AY$14,$AY$15)</f>
        <v>200</v>
      </c>
      <c r="BX13" s="78" cm="1">
        <f t="array" ref="BX13">IF(BM13&gt;0,1,_xll.DCETCVN5575FactorPhi7121(BV13*SQRT($K$17/206000),"b"))</f>
        <v>0.59843366787807328</v>
      </c>
      <c r="BY13" s="64">
        <f t="shared" ref="BY13:BY76" si="7">ABS(BM13)/(BX13*BK13*$K$17*$K$19)*10</f>
        <v>7.2995019859726187E-2</v>
      </c>
      <c r="BZ13" s="3" t="str">
        <f t="shared" ref="BZ13:BZ76" si="8">IF(AND(BV13&lt;=BW13,BY13&lt;=1),"OK","Check")</f>
        <v>OK</v>
      </c>
    </row>
    <row r="14" spans="1:78" ht="15" customHeight="1">
      <c r="A14" s="69" t="s">
        <v>105</v>
      </c>
      <c r="B14" s="72"/>
      <c r="C14" s="74"/>
      <c r="D14" s="74"/>
      <c r="E14" s="9"/>
      <c r="F14" s="9"/>
      <c r="G14" s="9"/>
      <c r="H14" s="137"/>
      <c r="I14" s="137"/>
      <c r="J14" s="104"/>
      <c r="K14" s="88" t="s">
        <v>33</v>
      </c>
      <c r="L14" s="88"/>
      <c r="M14" s="8"/>
      <c r="N14" s="103"/>
      <c r="O14" s="103"/>
      <c r="P14" s="103"/>
      <c r="Q14" s="103"/>
      <c r="R14" s="101"/>
      <c r="S14" s="101"/>
      <c r="T14" s="101"/>
      <c r="U14" s="101"/>
      <c r="V14" s="101"/>
      <c r="W14" s="101"/>
      <c r="X14" s="101"/>
      <c r="Y14" s="101"/>
      <c r="Z14" s="102"/>
      <c r="AX14" s="85" t="s">
        <v>198</v>
      </c>
      <c r="AY14" s="86">
        <v>200</v>
      </c>
      <c r="BA14" s="70" t="s">
        <v>205</v>
      </c>
      <c r="BB14" s="71" t="s">
        <v>206</v>
      </c>
      <c r="BC14" s="71" t="s">
        <v>207</v>
      </c>
      <c r="BD14" s="71">
        <v>1.43</v>
      </c>
      <c r="BE14" s="71">
        <v>5.72</v>
      </c>
      <c r="BF14" s="71">
        <v>268</v>
      </c>
      <c r="BG14" s="71">
        <v>212</v>
      </c>
      <c r="BH14" s="71">
        <v>5</v>
      </c>
      <c r="BI14" s="71">
        <v>10</v>
      </c>
      <c r="BJ14" s="12" t="str" cm="1">
        <f t="array" ref="BJ14">_xll.Dce_Name_SectI(BF14, BF14, BG14, BH14, BI14, "x", "-", $AX$11)</f>
        <v>268x212x5x10</v>
      </c>
      <c r="BK14" s="77" cm="1">
        <f t="array" ref="BK14">_xll.DCEPropSectI(BF14, BH14, BG14, BI14, BG14, BI14, "A")/100</f>
        <v>54.8</v>
      </c>
      <c r="BL14" s="70" t="s">
        <v>217</v>
      </c>
      <c r="BM14" s="70">
        <v>-50.571883941746819</v>
      </c>
      <c r="BN14" s="71">
        <v>0.9</v>
      </c>
      <c r="BO14" s="77">
        <f t="shared" si="1"/>
        <v>5.1479999999999997</v>
      </c>
      <c r="BP14" s="71">
        <v>0.9</v>
      </c>
      <c r="BQ14" s="77">
        <f t="shared" si="2"/>
        <v>5.1479999999999997</v>
      </c>
      <c r="BR14" s="77" cm="1">
        <f t="array" ref="BR14">_xll.DCEPropSectI(BF14, BH14, BG14, BI14, BG14, BI14, "rx")/10</f>
        <v>11.847052463297633</v>
      </c>
      <c r="BS14" s="77" cm="1">
        <f t="array" ref="BS14">_xll.DCEPropSectI(BF14, BH14, BG14, BI14, BG14, BI14, "ry")/10</f>
        <v>5.3836052600564113</v>
      </c>
      <c r="BT14" s="5">
        <f t="shared" si="3"/>
        <v>43.453846566043239</v>
      </c>
      <c r="BU14" s="5">
        <f t="shared" si="4"/>
        <v>95.623652762870975</v>
      </c>
      <c r="BV14" s="5">
        <f t="shared" si="5"/>
        <v>95.623652762870975</v>
      </c>
      <c r="BW14" s="71">
        <f t="shared" si="6"/>
        <v>200</v>
      </c>
      <c r="BX14" s="78" cm="1">
        <f t="array" ref="BX14">IF(BM14&gt;0,1,_xll.DCETCVN5575FactorPhi7121(BV14*SQRT($K$17/206000),"b"))</f>
        <v>0.59843366787807328</v>
      </c>
      <c r="BY14" s="64">
        <f t="shared" si="7"/>
        <v>7.3433336376384925E-2</v>
      </c>
      <c r="BZ14" s="3" t="str">
        <f t="shared" si="8"/>
        <v>OK</v>
      </c>
    </row>
    <row r="15" spans="1:78" ht="15">
      <c r="A15" s="69" t="s">
        <v>169</v>
      </c>
      <c r="B15" s="72"/>
      <c r="C15" s="74"/>
      <c r="D15" s="74"/>
      <c r="E15" s="9"/>
      <c r="F15" s="9"/>
      <c r="G15" s="9"/>
      <c r="H15" s="137"/>
      <c r="I15" s="137"/>
      <c r="J15" s="105" t="s">
        <v>227</v>
      </c>
      <c r="K15" s="106">
        <f>VLOOKUP(K14,Data!$A$3:$D$82,3,FALSE)</f>
        <v>245</v>
      </c>
      <c r="L15" s="8" t="s">
        <v>22</v>
      </c>
      <c r="M15" s="8"/>
      <c r="N15" s="103"/>
      <c r="O15" s="103"/>
      <c r="P15" s="103"/>
      <c r="Q15" s="103"/>
      <c r="R15" s="101"/>
      <c r="S15" s="101"/>
      <c r="T15" s="101"/>
      <c r="U15" s="101"/>
      <c r="V15" s="101"/>
      <c r="W15" s="101"/>
      <c r="X15" s="101"/>
      <c r="Y15" s="101"/>
      <c r="Z15" s="102"/>
      <c r="AX15" s="85" t="s">
        <v>199</v>
      </c>
      <c r="AY15" s="86">
        <v>400</v>
      </c>
      <c r="BA15" s="70" t="s">
        <v>205</v>
      </c>
      <c r="BB15" s="71" t="s">
        <v>206</v>
      </c>
      <c r="BC15" s="71" t="s">
        <v>207</v>
      </c>
      <c r="BD15" s="71">
        <v>2.15</v>
      </c>
      <c r="BE15" s="71">
        <v>5.72</v>
      </c>
      <c r="BF15" s="71">
        <v>268</v>
      </c>
      <c r="BG15" s="71">
        <v>212</v>
      </c>
      <c r="BH15" s="71">
        <v>5</v>
      </c>
      <c r="BI15" s="71">
        <v>10</v>
      </c>
      <c r="BJ15" s="12" t="str" cm="1">
        <f t="array" ref="BJ15">_xll.Dce_Name_SectI(BF15, BF15, BG15, BH15, BI15, "x", "-", $AX$11)</f>
        <v>268x212x5x10</v>
      </c>
      <c r="BK15" s="77" cm="1">
        <f t="array" ref="BK15">_xll.DCEPropSectI(BF15, BH15, BG15, BI15, BG15, BI15, "A")/100</f>
        <v>54.8</v>
      </c>
      <c r="BL15" s="70" t="s">
        <v>217</v>
      </c>
      <c r="BM15" s="70">
        <v>-50.873742649304404</v>
      </c>
      <c r="BN15" s="71">
        <v>0.9</v>
      </c>
      <c r="BO15" s="77">
        <f t="shared" si="1"/>
        <v>5.1479999999999997</v>
      </c>
      <c r="BP15" s="71">
        <v>0.9</v>
      </c>
      <c r="BQ15" s="77">
        <f t="shared" si="2"/>
        <v>5.1479999999999997</v>
      </c>
      <c r="BR15" s="77" cm="1">
        <f t="array" ref="BR15">_xll.DCEPropSectI(BF15, BH15, BG15, BI15, BG15, BI15, "rx")/10</f>
        <v>11.847052463297633</v>
      </c>
      <c r="BS15" s="77" cm="1">
        <f t="array" ref="BS15">_xll.DCEPropSectI(BF15, BH15, BG15, BI15, BG15, BI15, "ry")/10</f>
        <v>5.3836052600564113</v>
      </c>
      <c r="BT15" s="5">
        <f t="shared" si="3"/>
        <v>43.453846566043239</v>
      </c>
      <c r="BU15" s="5">
        <f t="shared" si="4"/>
        <v>95.623652762870975</v>
      </c>
      <c r="BV15" s="5">
        <f t="shared" si="5"/>
        <v>95.623652762870975</v>
      </c>
      <c r="BW15" s="71">
        <f t="shared" si="6"/>
        <v>200</v>
      </c>
      <c r="BX15" s="78" cm="1">
        <f t="array" ref="BX15">IF(BM15&gt;0,1,_xll.DCETCVN5575FactorPhi7121(BV15*SQRT($K$17/206000),"b"))</f>
        <v>0.59843366787807328</v>
      </c>
      <c r="BY15" s="64">
        <f t="shared" si="7"/>
        <v>7.3871652893043677E-2</v>
      </c>
      <c r="BZ15" s="3" t="str">
        <f t="shared" si="8"/>
        <v>OK</v>
      </c>
    </row>
    <row r="16" spans="1:78" ht="15">
      <c r="A16" s="69" t="s">
        <v>170</v>
      </c>
      <c r="B16" s="72"/>
      <c r="C16" s="74"/>
      <c r="D16" s="74"/>
      <c r="E16" s="9"/>
      <c r="F16" s="9"/>
      <c r="G16" s="9"/>
      <c r="H16" s="137"/>
      <c r="I16" s="137"/>
      <c r="J16" s="105" t="s">
        <v>228</v>
      </c>
      <c r="K16" s="106">
        <f>VLOOKUP(K14,Data!$A$3:$D$82,4,FALSE)</f>
        <v>400</v>
      </c>
      <c r="L16" s="8" t="s">
        <v>22</v>
      </c>
      <c r="M16" s="8"/>
      <c r="N16" s="103"/>
      <c r="O16" s="103"/>
      <c r="P16" s="103"/>
      <c r="Q16" s="103"/>
      <c r="R16" s="101"/>
      <c r="S16" s="101"/>
      <c r="T16" s="101"/>
      <c r="U16" s="101"/>
      <c r="V16" s="101"/>
      <c r="W16" s="101"/>
      <c r="X16" s="101"/>
      <c r="Y16" s="101"/>
      <c r="Z16" s="102"/>
      <c r="BA16" s="70" t="s">
        <v>205</v>
      </c>
      <c r="BB16" s="71" t="s">
        <v>206</v>
      </c>
      <c r="BC16" s="71" t="s">
        <v>207</v>
      </c>
      <c r="BD16" s="71">
        <v>2.86</v>
      </c>
      <c r="BE16" s="71">
        <v>5.72</v>
      </c>
      <c r="BF16" s="71">
        <v>268</v>
      </c>
      <c r="BG16" s="71">
        <v>212</v>
      </c>
      <c r="BH16" s="71">
        <v>5</v>
      </c>
      <c r="BI16" s="71">
        <v>10</v>
      </c>
      <c r="BJ16" s="12" t="str" cm="1">
        <f t="array" ref="BJ16">_xll.Dce_Name_SectI(BF16, BF16, BG16, BH16, BI16, "x", "-", $AX$11)</f>
        <v>268x212x5x10</v>
      </c>
      <c r="BK16" s="77" cm="1">
        <f t="array" ref="BK16">_xll.DCEPropSectI(BF16, BH16, BG16, BI16, BG16, BI16, "A")/100</f>
        <v>54.8</v>
      </c>
      <c r="BL16" s="70" t="s">
        <v>217</v>
      </c>
      <c r="BM16" s="70">
        <v>-51.175601356861982</v>
      </c>
      <c r="BN16" s="71">
        <v>0.9</v>
      </c>
      <c r="BO16" s="77">
        <f t="shared" si="1"/>
        <v>5.1479999999999997</v>
      </c>
      <c r="BP16" s="71">
        <v>0.9</v>
      </c>
      <c r="BQ16" s="77">
        <f t="shared" si="2"/>
        <v>5.1479999999999997</v>
      </c>
      <c r="BR16" s="77" cm="1">
        <f t="array" ref="BR16">_xll.DCEPropSectI(BF16, BH16, BG16, BI16, BG16, BI16, "rx")/10</f>
        <v>11.847052463297633</v>
      </c>
      <c r="BS16" s="77" cm="1">
        <f t="array" ref="BS16">_xll.DCEPropSectI(BF16, BH16, BG16, BI16, BG16, BI16, "ry")/10</f>
        <v>5.3836052600564113</v>
      </c>
      <c r="BT16" s="5">
        <f t="shared" si="3"/>
        <v>43.453846566043239</v>
      </c>
      <c r="BU16" s="5">
        <f t="shared" si="4"/>
        <v>95.623652762870975</v>
      </c>
      <c r="BV16" s="5">
        <f t="shared" si="5"/>
        <v>95.623652762870975</v>
      </c>
      <c r="BW16" s="71">
        <f t="shared" si="6"/>
        <v>200</v>
      </c>
      <c r="BX16" s="78" cm="1">
        <f t="array" ref="BX16">IF(BM16&gt;0,1,_xll.DCETCVN5575FactorPhi7121(BV16*SQRT($K$17/206000),"b"))</f>
        <v>0.59843366787807328</v>
      </c>
      <c r="BY16" s="64">
        <f t="shared" si="7"/>
        <v>7.4309969409702414E-2</v>
      </c>
      <c r="BZ16" s="3" t="str">
        <f t="shared" si="8"/>
        <v>OK</v>
      </c>
    </row>
    <row r="17" spans="1:78" ht="15">
      <c r="A17" s="69" t="s">
        <v>171</v>
      </c>
      <c r="B17" s="72"/>
      <c r="C17" s="74"/>
      <c r="D17" s="74"/>
      <c r="E17" s="9"/>
      <c r="F17" s="9"/>
      <c r="G17" s="9"/>
      <c r="H17" s="137"/>
      <c r="I17" s="137"/>
      <c r="J17" s="105" t="s">
        <v>229</v>
      </c>
      <c r="K17" s="107">
        <f>K15/K18</f>
        <v>233.33333333333331</v>
      </c>
      <c r="L17" s="8" t="s">
        <v>22</v>
      </c>
      <c r="M17" s="8"/>
      <c r="N17" s="103"/>
      <c r="O17" s="103"/>
      <c r="P17" s="103"/>
      <c r="Q17" s="103"/>
      <c r="R17" s="101"/>
      <c r="S17" s="101"/>
      <c r="T17" s="101"/>
      <c r="U17" s="101"/>
      <c r="V17" s="101"/>
      <c r="W17" s="101"/>
      <c r="X17" s="101"/>
      <c r="Y17" s="101"/>
      <c r="Z17" s="102"/>
      <c r="BA17" s="70" t="s">
        <v>205</v>
      </c>
      <c r="BB17" s="71" t="s">
        <v>206</v>
      </c>
      <c r="BC17" s="71" t="s">
        <v>207</v>
      </c>
      <c r="BD17" s="71">
        <v>3.58</v>
      </c>
      <c r="BE17" s="71">
        <v>5.72</v>
      </c>
      <c r="BF17" s="71">
        <v>268</v>
      </c>
      <c r="BG17" s="71">
        <v>212</v>
      </c>
      <c r="BH17" s="71">
        <v>5</v>
      </c>
      <c r="BI17" s="71">
        <v>10</v>
      </c>
      <c r="BJ17" s="12" t="str" cm="1">
        <f t="array" ref="BJ17">_xll.Dce_Name_SectI(BF17, BF17, BG17, BH17, BI17, "x", "-", $AX$11)</f>
        <v>268x212x5x10</v>
      </c>
      <c r="BK17" s="77" cm="1">
        <f t="array" ref="BK17">_xll.DCEPropSectI(BF17, BH17, BG17, BI17, BG17, BI17, "A")/100</f>
        <v>54.8</v>
      </c>
      <c r="BL17" s="70" t="s">
        <v>217</v>
      </c>
      <c r="BM17" s="70">
        <v>-51.477460064419567</v>
      </c>
      <c r="BN17" s="71">
        <v>0.9</v>
      </c>
      <c r="BO17" s="77">
        <f t="shared" si="1"/>
        <v>5.1479999999999997</v>
      </c>
      <c r="BP17" s="71">
        <v>0.9</v>
      </c>
      <c r="BQ17" s="77">
        <f t="shared" si="2"/>
        <v>5.1479999999999997</v>
      </c>
      <c r="BR17" s="77" cm="1">
        <f t="array" ref="BR17">_xll.DCEPropSectI(BF17, BH17, BG17, BI17, BG17, BI17, "rx")/10</f>
        <v>11.847052463297633</v>
      </c>
      <c r="BS17" s="77" cm="1">
        <f t="array" ref="BS17">_xll.DCEPropSectI(BF17, BH17, BG17, BI17, BG17, BI17, "ry")/10</f>
        <v>5.3836052600564113</v>
      </c>
      <c r="BT17" s="5">
        <f t="shared" si="3"/>
        <v>43.453846566043239</v>
      </c>
      <c r="BU17" s="5">
        <f t="shared" si="4"/>
        <v>95.623652762870975</v>
      </c>
      <c r="BV17" s="5">
        <f t="shared" si="5"/>
        <v>95.623652762870975</v>
      </c>
      <c r="BW17" s="71">
        <f t="shared" si="6"/>
        <v>200</v>
      </c>
      <c r="BX17" s="78" cm="1">
        <f t="array" ref="BX17">IF(BM17&gt;0,1,_xll.DCETCVN5575FactorPhi7121(BV17*SQRT($K$17/206000),"b"))</f>
        <v>0.59843366787807328</v>
      </c>
      <c r="BY17" s="64">
        <f t="shared" si="7"/>
        <v>7.4748285926361166E-2</v>
      </c>
      <c r="BZ17" s="3" t="str">
        <f t="shared" si="8"/>
        <v>OK</v>
      </c>
    </row>
    <row r="18" spans="1:78" ht="15">
      <c r="A18" s="69" t="s">
        <v>172</v>
      </c>
      <c r="B18" s="72"/>
      <c r="C18" s="74"/>
      <c r="D18" s="74"/>
      <c r="E18" s="9"/>
      <c r="F18" s="9"/>
      <c r="G18" s="9"/>
      <c r="H18" s="137"/>
      <c r="I18" s="137"/>
      <c r="J18" s="108" t="s">
        <v>230</v>
      </c>
      <c r="K18" s="8">
        <f>VLOOKUP(K14,Data!$A$3:$E$82,5,FALSE)</f>
        <v>1.05</v>
      </c>
      <c r="L18" s="8"/>
      <c r="M18" s="8"/>
      <c r="N18" s="103"/>
      <c r="O18" s="103"/>
      <c r="P18" s="103"/>
      <c r="Q18" s="103"/>
      <c r="R18" s="101"/>
      <c r="S18" s="101"/>
      <c r="T18" s="101"/>
      <c r="U18" s="101"/>
      <c r="V18" s="101"/>
      <c r="W18" s="101"/>
      <c r="X18" s="101"/>
      <c r="Y18" s="101"/>
      <c r="Z18" s="102"/>
      <c r="BA18" s="70" t="s">
        <v>205</v>
      </c>
      <c r="BB18" s="71" t="s">
        <v>206</v>
      </c>
      <c r="BC18" s="71" t="s">
        <v>207</v>
      </c>
      <c r="BD18" s="71">
        <v>4.29</v>
      </c>
      <c r="BE18" s="71">
        <v>5.72</v>
      </c>
      <c r="BF18" s="71">
        <v>268</v>
      </c>
      <c r="BG18" s="71">
        <v>212</v>
      </c>
      <c r="BH18" s="71">
        <v>5</v>
      </c>
      <c r="BI18" s="71">
        <v>10</v>
      </c>
      <c r="BJ18" s="12" t="str" cm="1">
        <f t="array" ref="BJ18">_xll.Dce_Name_SectI(BF18, BF18, BG18, BH18, BI18, "x", "-", $AX$11)</f>
        <v>268x212x5x10</v>
      </c>
      <c r="BK18" s="77" cm="1">
        <f t="array" ref="BK18">_xll.DCEPropSectI(BF18, BH18, BG18, BI18, BG18, BI18, "A")/100</f>
        <v>54.8</v>
      </c>
      <c r="BL18" s="70" t="s">
        <v>217</v>
      </c>
      <c r="BM18" s="70">
        <v>-51.779318771977152</v>
      </c>
      <c r="BN18" s="71">
        <v>0.9</v>
      </c>
      <c r="BO18" s="77">
        <f t="shared" si="1"/>
        <v>5.1479999999999997</v>
      </c>
      <c r="BP18" s="71">
        <v>0.9</v>
      </c>
      <c r="BQ18" s="77">
        <f t="shared" si="2"/>
        <v>5.1479999999999997</v>
      </c>
      <c r="BR18" s="77" cm="1">
        <f t="array" ref="BR18">_xll.DCEPropSectI(BF18, BH18, BG18, BI18, BG18, BI18, "rx")/10</f>
        <v>11.847052463297633</v>
      </c>
      <c r="BS18" s="77" cm="1">
        <f t="array" ref="BS18">_xll.DCEPropSectI(BF18, BH18, BG18, BI18, BG18, BI18, "ry")/10</f>
        <v>5.3836052600564113</v>
      </c>
      <c r="BT18" s="5">
        <f t="shared" si="3"/>
        <v>43.453846566043239</v>
      </c>
      <c r="BU18" s="5">
        <f t="shared" si="4"/>
        <v>95.623652762870975</v>
      </c>
      <c r="BV18" s="5">
        <f t="shared" si="5"/>
        <v>95.623652762870975</v>
      </c>
      <c r="BW18" s="71">
        <f t="shared" si="6"/>
        <v>200</v>
      </c>
      <c r="BX18" s="78" cm="1">
        <f t="array" ref="BX18">IF(BM18&gt;0,1,_xll.DCETCVN5575FactorPhi7121(BV18*SQRT($K$17/206000),"b"))</f>
        <v>0.59843366787807328</v>
      </c>
      <c r="BY18" s="64">
        <f t="shared" si="7"/>
        <v>7.5186602443019918E-2</v>
      </c>
      <c r="BZ18" s="3" t="str">
        <f t="shared" si="8"/>
        <v>OK</v>
      </c>
    </row>
    <row r="19" spans="1:78" ht="15">
      <c r="A19" s="69" t="s">
        <v>243</v>
      </c>
      <c r="B19" s="72"/>
      <c r="C19" s="74"/>
      <c r="D19" s="74"/>
      <c r="E19" s="9"/>
      <c r="F19" s="9"/>
      <c r="G19" s="9"/>
      <c r="H19" s="137"/>
      <c r="I19" s="137"/>
      <c r="J19" s="108" t="s">
        <v>231</v>
      </c>
      <c r="K19" s="75">
        <v>0.9</v>
      </c>
      <c r="L19" s="8"/>
      <c r="M19" s="8"/>
      <c r="N19" s="103"/>
      <c r="O19" s="103"/>
      <c r="P19" s="103"/>
      <c r="Q19" s="103"/>
      <c r="R19" s="101"/>
      <c r="S19" s="101"/>
      <c r="T19" s="101"/>
      <c r="U19" s="101"/>
      <c r="V19" s="101"/>
      <c r="W19" s="101"/>
      <c r="X19" s="101"/>
      <c r="Y19" s="101"/>
      <c r="Z19" s="102"/>
      <c r="BA19" s="70" t="s">
        <v>205</v>
      </c>
      <c r="BB19" s="71" t="s">
        <v>206</v>
      </c>
      <c r="BC19" s="71" t="s">
        <v>207</v>
      </c>
      <c r="BD19" s="71">
        <v>5.01</v>
      </c>
      <c r="BE19" s="71">
        <v>5.72</v>
      </c>
      <c r="BF19" s="71">
        <v>268</v>
      </c>
      <c r="BG19" s="71">
        <v>212</v>
      </c>
      <c r="BH19" s="71">
        <v>5</v>
      </c>
      <c r="BI19" s="71">
        <v>10</v>
      </c>
      <c r="BJ19" s="12" t="str" cm="1">
        <f t="array" ref="BJ19">_xll.Dce_Name_SectI(BF19, BF19, BG19, BH19, BI19, "x", "-", $AX$11)</f>
        <v>268x212x5x10</v>
      </c>
      <c r="BK19" s="77" cm="1">
        <f t="array" ref="BK19">_xll.DCEPropSectI(BF19, BH19, BG19, BI19, BG19, BI19, "A")/100</f>
        <v>54.8</v>
      </c>
      <c r="BL19" s="70" t="s">
        <v>217</v>
      </c>
      <c r="BM19" s="70">
        <v>-52.081177479534738</v>
      </c>
      <c r="BN19" s="71">
        <v>0.9</v>
      </c>
      <c r="BO19" s="77">
        <f t="shared" si="1"/>
        <v>5.1479999999999997</v>
      </c>
      <c r="BP19" s="71">
        <v>0.9</v>
      </c>
      <c r="BQ19" s="77">
        <f t="shared" si="2"/>
        <v>5.1479999999999997</v>
      </c>
      <c r="BR19" s="77" cm="1">
        <f t="array" ref="BR19">_xll.DCEPropSectI(BF19, BH19, BG19, BI19, BG19, BI19, "rx")/10</f>
        <v>11.847052463297633</v>
      </c>
      <c r="BS19" s="77" cm="1">
        <f t="array" ref="BS19">_xll.DCEPropSectI(BF19, BH19, BG19, BI19, BG19, BI19, "ry")/10</f>
        <v>5.3836052600564113</v>
      </c>
      <c r="BT19" s="5">
        <f t="shared" si="3"/>
        <v>43.453846566043239</v>
      </c>
      <c r="BU19" s="5">
        <f t="shared" si="4"/>
        <v>95.623652762870975</v>
      </c>
      <c r="BV19" s="5">
        <f t="shared" si="5"/>
        <v>95.623652762870975</v>
      </c>
      <c r="BW19" s="71">
        <f t="shared" si="6"/>
        <v>200</v>
      </c>
      <c r="BX19" s="78" cm="1">
        <f t="array" ref="BX19">IF(BM19&gt;0,1,_xll.DCETCVN5575FactorPhi7121(BV19*SQRT($K$17/206000),"b"))</f>
        <v>0.59843366787807328</v>
      </c>
      <c r="BY19" s="64">
        <f t="shared" si="7"/>
        <v>7.5624918959678655E-2</v>
      </c>
      <c r="BZ19" s="3" t="str">
        <f t="shared" si="8"/>
        <v>OK</v>
      </c>
    </row>
    <row r="20" spans="1:78">
      <c r="A20" s="69" t="s">
        <v>179</v>
      </c>
      <c r="B20" s="72"/>
      <c r="C20" s="74"/>
      <c r="D20" s="74"/>
      <c r="E20" s="9"/>
      <c r="F20" s="9"/>
      <c r="G20" s="9"/>
      <c r="H20" s="137"/>
      <c r="I20" s="138"/>
      <c r="J20" s="106"/>
      <c r="K20" s="8"/>
      <c r="L20" s="101"/>
      <c r="M20" s="8"/>
      <c r="N20" s="103"/>
      <c r="O20" s="103"/>
      <c r="P20" s="103"/>
      <c r="Q20" s="103"/>
      <c r="R20" s="101"/>
      <c r="S20" s="101"/>
      <c r="T20" s="101"/>
      <c r="U20" s="101"/>
      <c r="V20" s="101"/>
      <c r="W20" s="101"/>
      <c r="X20" s="101"/>
      <c r="Y20" s="101"/>
      <c r="Z20" s="102"/>
      <c r="BA20" s="70" t="s">
        <v>205</v>
      </c>
      <c r="BB20" s="71" t="s">
        <v>206</v>
      </c>
      <c r="BC20" s="71" t="s">
        <v>207</v>
      </c>
      <c r="BD20" s="71">
        <v>5.72</v>
      </c>
      <c r="BE20" s="71">
        <v>5.72</v>
      </c>
      <c r="BF20" s="71">
        <v>268</v>
      </c>
      <c r="BG20" s="71">
        <v>212</v>
      </c>
      <c r="BH20" s="71">
        <v>5</v>
      </c>
      <c r="BI20" s="71">
        <v>10</v>
      </c>
      <c r="BJ20" s="12" t="str" cm="1">
        <f t="array" ref="BJ20">_xll.Dce_Name_SectI(BF20, BF20, BG20, BH20, BI20, "x", "-", $AX$11)</f>
        <v>268x212x5x10</v>
      </c>
      <c r="BK20" s="77" cm="1">
        <f t="array" ref="BK20">_xll.DCEPropSectI(BF20, BH20, BG20, BI20, BG20, BI20, "A")/100</f>
        <v>54.8</v>
      </c>
      <c r="BL20" s="70" t="s">
        <v>217</v>
      </c>
      <c r="BM20" s="70">
        <v>-52.383036187092323</v>
      </c>
      <c r="BN20" s="71">
        <v>0.9</v>
      </c>
      <c r="BO20" s="77">
        <f t="shared" si="1"/>
        <v>5.1479999999999997</v>
      </c>
      <c r="BP20" s="71">
        <v>0.9</v>
      </c>
      <c r="BQ20" s="77">
        <f t="shared" si="2"/>
        <v>5.1479999999999997</v>
      </c>
      <c r="BR20" s="77" cm="1">
        <f t="array" ref="BR20">_xll.DCEPropSectI(BF20, BH20, BG20, BI20, BG20, BI20, "rx")/10</f>
        <v>11.847052463297633</v>
      </c>
      <c r="BS20" s="77" cm="1">
        <f t="array" ref="BS20">_xll.DCEPropSectI(BF20, BH20, BG20, BI20, BG20, BI20, "ry")/10</f>
        <v>5.3836052600564113</v>
      </c>
      <c r="BT20" s="5">
        <f t="shared" si="3"/>
        <v>43.453846566043239</v>
      </c>
      <c r="BU20" s="5">
        <f t="shared" si="4"/>
        <v>95.623652762870975</v>
      </c>
      <c r="BV20" s="5">
        <f t="shared" si="5"/>
        <v>95.623652762870975</v>
      </c>
      <c r="BW20" s="71">
        <f t="shared" si="6"/>
        <v>200</v>
      </c>
      <c r="BX20" s="78" cm="1">
        <f t="array" ref="BX20">IF(BM20&gt;0,1,_xll.DCETCVN5575FactorPhi7121(BV20*SQRT($K$17/206000),"b"))</f>
        <v>0.59843366787807328</v>
      </c>
      <c r="BY20" s="64">
        <f t="shared" si="7"/>
        <v>7.6063235476337407E-2</v>
      </c>
      <c r="BZ20" s="3" t="str">
        <f t="shared" si="8"/>
        <v>OK</v>
      </c>
    </row>
    <row r="21" spans="1:78">
      <c r="A21" s="69" t="s">
        <v>244</v>
      </c>
      <c r="B21" s="72"/>
      <c r="C21" s="74"/>
      <c r="D21" s="74"/>
      <c r="E21" s="9"/>
      <c r="F21" s="9"/>
      <c r="G21" s="9"/>
      <c r="H21" s="137"/>
      <c r="I21" s="138"/>
      <c r="J21" s="106"/>
      <c r="K21" s="8"/>
      <c r="L21" s="101"/>
      <c r="M21" s="8"/>
      <c r="N21" s="103"/>
      <c r="O21" s="103"/>
      <c r="P21" s="103"/>
      <c r="Q21" s="103"/>
      <c r="R21" s="101"/>
      <c r="S21" s="101"/>
      <c r="T21" s="101"/>
      <c r="U21" s="101"/>
      <c r="V21" s="101"/>
      <c r="W21" s="101"/>
      <c r="X21" s="101"/>
      <c r="Y21" s="101"/>
      <c r="Z21" s="102"/>
      <c r="BA21" s="70" t="s">
        <v>205</v>
      </c>
      <c r="BB21" s="71" t="s">
        <v>206</v>
      </c>
      <c r="BC21" s="71" t="s">
        <v>207</v>
      </c>
      <c r="BD21" s="71">
        <v>0</v>
      </c>
      <c r="BE21" s="71">
        <v>5.72</v>
      </c>
      <c r="BF21" s="71">
        <v>268</v>
      </c>
      <c r="BG21" s="71">
        <v>212</v>
      </c>
      <c r="BH21" s="71">
        <v>5</v>
      </c>
      <c r="BI21" s="71">
        <v>10</v>
      </c>
      <c r="BJ21" s="12" t="str" cm="1">
        <f t="array" ref="BJ21">_xll.Dce_Name_SectI(BF21, BF21, BG21, BH21, BI21, "x", "-", $AX$11)</f>
        <v>268x212x5x10</v>
      </c>
      <c r="BK21" s="77" cm="1">
        <f t="array" ref="BK21">_xll.DCEPropSectI(BF21, BH21, BG21, BI21, BG21, BI21, "A")/100</f>
        <v>54.8</v>
      </c>
      <c r="BL21" s="70" t="s">
        <v>218</v>
      </c>
      <c r="BM21" s="70">
        <v>-111.60765698789214</v>
      </c>
      <c r="BN21" s="71">
        <v>0.9</v>
      </c>
      <c r="BO21" s="77">
        <f t="shared" si="1"/>
        <v>5.1479999999999997</v>
      </c>
      <c r="BP21" s="71">
        <v>0.9</v>
      </c>
      <c r="BQ21" s="77">
        <f t="shared" si="2"/>
        <v>5.1479999999999997</v>
      </c>
      <c r="BR21" s="77" cm="1">
        <f t="array" ref="BR21">_xll.DCEPropSectI(BF21, BH21, BG21, BI21, BG21, BI21, "rx")/10</f>
        <v>11.847052463297633</v>
      </c>
      <c r="BS21" s="77" cm="1">
        <f t="array" ref="BS21">_xll.DCEPropSectI(BF21, BH21, BG21, BI21, BG21, BI21, "ry")/10</f>
        <v>5.3836052600564113</v>
      </c>
      <c r="BT21" s="5">
        <f t="shared" si="3"/>
        <v>43.453846566043239</v>
      </c>
      <c r="BU21" s="5">
        <f t="shared" si="4"/>
        <v>95.623652762870975</v>
      </c>
      <c r="BV21" s="5">
        <f t="shared" si="5"/>
        <v>95.623652762870975</v>
      </c>
      <c r="BW21" s="71">
        <f t="shared" si="6"/>
        <v>200</v>
      </c>
      <c r="BX21" s="78" cm="1">
        <f t="array" ref="BX21">IF(BM21&gt;0,1,_xll.DCETCVN5575FactorPhi7121(BV21*SQRT($K$17/206000),"b"))</f>
        <v>0.59843366787807328</v>
      </c>
      <c r="BY21" s="64">
        <f t="shared" si="7"/>
        <v>0.16206085237426851</v>
      </c>
      <c r="BZ21" s="3" t="str">
        <f t="shared" si="8"/>
        <v>OK</v>
      </c>
    </row>
    <row r="22" spans="1:78">
      <c r="A22" s="140"/>
      <c r="B22" s="136"/>
      <c r="C22" s="75"/>
      <c r="D22" s="75"/>
      <c r="E22" s="73"/>
      <c r="F22" s="73"/>
      <c r="G22" s="73"/>
      <c r="H22" s="137"/>
      <c r="I22" s="138"/>
      <c r="J22" s="106"/>
      <c r="K22" s="8"/>
      <c r="L22" s="101"/>
      <c r="M22" s="8"/>
      <c r="N22" s="103"/>
      <c r="O22" s="103"/>
      <c r="P22" s="103"/>
      <c r="Q22" s="103"/>
      <c r="R22" s="101"/>
      <c r="S22" s="101"/>
      <c r="T22" s="101"/>
      <c r="U22" s="101"/>
      <c r="V22" s="101"/>
      <c r="W22" s="101"/>
      <c r="X22" s="101"/>
      <c r="Y22" s="101"/>
      <c r="Z22" s="102"/>
      <c r="BA22" s="70" t="s">
        <v>205</v>
      </c>
      <c r="BB22" s="71" t="s">
        <v>206</v>
      </c>
      <c r="BC22" s="71" t="s">
        <v>207</v>
      </c>
      <c r="BD22" s="71">
        <v>0.72</v>
      </c>
      <c r="BE22" s="71">
        <v>5.72</v>
      </c>
      <c r="BF22" s="71">
        <v>268</v>
      </c>
      <c r="BG22" s="71">
        <v>212</v>
      </c>
      <c r="BH22" s="71">
        <v>5</v>
      </c>
      <c r="BI22" s="71">
        <v>10</v>
      </c>
      <c r="BJ22" s="12" t="str" cm="1">
        <f t="array" ref="BJ22">_xll.Dce_Name_SectI(BF22, BF22, BG22, BH22, BI22, "x", "-", $AX$11)</f>
        <v>268x212x5x10</v>
      </c>
      <c r="BK22" s="77" cm="1">
        <f t="array" ref="BK22">_xll.DCEPropSectI(BF22, BH22, BG22, BI22, BG22, BI22, "A")/100</f>
        <v>54.8</v>
      </c>
      <c r="BL22" s="70" t="s">
        <v>218</v>
      </c>
      <c r="BM22" s="70">
        <v>-111.90951569544973</v>
      </c>
      <c r="BN22" s="71">
        <v>0.9</v>
      </c>
      <c r="BO22" s="77">
        <f t="shared" si="1"/>
        <v>5.1479999999999997</v>
      </c>
      <c r="BP22" s="71">
        <v>0.9</v>
      </c>
      <c r="BQ22" s="77">
        <f t="shared" si="2"/>
        <v>5.1479999999999997</v>
      </c>
      <c r="BR22" s="77" cm="1">
        <f t="array" ref="BR22">_xll.DCEPropSectI(BF22, BH22, BG22, BI22, BG22, BI22, "rx")/10</f>
        <v>11.847052463297633</v>
      </c>
      <c r="BS22" s="77" cm="1">
        <f t="array" ref="BS22">_xll.DCEPropSectI(BF22, BH22, BG22, BI22, BG22, BI22, "ry")/10</f>
        <v>5.3836052600564113</v>
      </c>
      <c r="BT22" s="5">
        <f t="shared" si="3"/>
        <v>43.453846566043239</v>
      </c>
      <c r="BU22" s="5">
        <f t="shared" si="4"/>
        <v>95.623652762870975</v>
      </c>
      <c r="BV22" s="5">
        <f t="shared" si="5"/>
        <v>95.623652762870975</v>
      </c>
      <c r="BW22" s="71">
        <f t="shared" si="6"/>
        <v>200</v>
      </c>
      <c r="BX22" s="78" cm="1">
        <f t="array" ref="BX22">IF(BM22&gt;0,1,_xll.DCETCVN5575FactorPhi7121(BV22*SQRT($K$17/206000),"b"))</f>
        <v>0.59843366787807328</v>
      </c>
      <c r="BY22" s="64">
        <f t="shared" si="7"/>
        <v>0.16249916889092725</v>
      </c>
      <c r="BZ22" s="3" t="str">
        <f t="shared" si="8"/>
        <v>OK</v>
      </c>
    </row>
    <row r="23" spans="1:78">
      <c r="A23" s="139" t="s">
        <v>173</v>
      </c>
      <c r="B23" s="136"/>
      <c r="C23" s="75"/>
      <c r="D23" s="75"/>
      <c r="E23" s="73"/>
      <c r="F23" s="73"/>
      <c r="G23" s="73"/>
      <c r="H23" s="75"/>
      <c r="I23" s="75"/>
      <c r="J23" s="106"/>
      <c r="K23" s="8"/>
      <c r="L23" s="101"/>
      <c r="M23" s="8"/>
      <c r="N23" s="101"/>
      <c r="O23" s="101"/>
      <c r="P23" s="101"/>
      <c r="Q23" s="101"/>
      <c r="R23" s="109"/>
      <c r="S23" s="109"/>
      <c r="T23" s="109"/>
      <c r="U23" s="109"/>
      <c r="V23" s="109"/>
      <c r="W23" s="109"/>
      <c r="X23" s="109"/>
      <c r="Y23" s="109"/>
      <c r="Z23" s="110"/>
      <c r="BA23" s="70" t="s">
        <v>205</v>
      </c>
      <c r="BB23" s="71" t="s">
        <v>206</v>
      </c>
      <c r="BC23" s="71" t="s">
        <v>207</v>
      </c>
      <c r="BD23" s="71">
        <v>1.43</v>
      </c>
      <c r="BE23" s="71">
        <v>5.72</v>
      </c>
      <c r="BF23" s="71">
        <v>268</v>
      </c>
      <c r="BG23" s="71">
        <v>212</v>
      </c>
      <c r="BH23" s="71">
        <v>5</v>
      </c>
      <c r="BI23" s="71">
        <v>10</v>
      </c>
      <c r="BJ23" s="12" t="str" cm="1">
        <f t="array" ref="BJ23">_xll.Dce_Name_SectI(BF23, BF23, BG23, BH23, BI23, "x", "-", $AX$11)</f>
        <v>268x212x5x10</v>
      </c>
      <c r="BK23" s="77" cm="1">
        <f t="array" ref="BK23">_xll.DCEPropSectI(BF23, BH23, BG23, BI23, BG23, BI23, "A")/100</f>
        <v>54.8</v>
      </c>
      <c r="BL23" s="70" t="s">
        <v>218</v>
      </c>
      <c r="BM23" s="70">
        <v>-112.21137440300731</v>
      </c>
      <c r="BN23" s="71">
        <v>0.9</v>
      </c>
      <c r="BO23" s="77">
        <f t="shared" si="1"/>
        <v>5.1479999999999997</v>
      </c>
      <c r="BP23" s="71">
        <v>0.9</v>
      </c>
      <c r="BQ23" s="77">
        <f t="shared" si="2"/>
        <v>5.1479999999999997</v>
      </c>
      <c r="BR23" s="77" cm="1">
        <f t="array" ref="BR23">_xll.DCEPropSectI(BF23, BH23, BG23, BI23, BG23, BI23, "rx")/10</f>
        <v>11.847052463297633</v>
      </c>
      <c r="BS23" s="77" cm="1">
        <f t="array" ref="BS23">_xll.DCEPropSectI(BF23, BH23, BG23, BI23, BG23, BI23, "ry")/10</f>
        <v>5.3836052600564113</v>
      </c>
      <c r="BT23" s="5">
        <f t="shared" si="3"/>
        <v>43.453846566043239</v>
      </c>
      <c r="BU23" s="5">
        <f t="shared" si="4"/>
        <v>95.623652762870975</v>
      </c>
      <c r="BV23" s="5">
        <f t="shared" si="5"/>
        <v>95.623652762870975</v>
      </c>
      <c r="BW23" s="71">
        <f t="shared" si="6"/>
        <v>200</v>
      </c>
      <c r="BX23" s="78" cm="1">
        <f t="array" ref="BX23">IF(BM23&gt;0,1,_xll.DCETCVN5575FactorPhi7121(BV23*SQRT($K$17/206000),"b"))</f>
        <v>0.59843366787807328</v>
      </c>
      <c r="BY23" s="64">
        <f t="shared" si="7"/>
        <v>0.16293748540758601</v>
      </c>
      <c r="BZ23" s="3" t="str">
        <f t="shared" si="8"/>
        <v>OK</v>
      </c>
    </row>
    <row r="24" spans="1:78" ht="14.25" customHeight="1">
      <c r="A24" s="111" t="s">
        <v>101</v>
      </c>
      <c r="B24" s="165" t="s">
        <v>182</v>
      </c>
      <c r="C24" s="166"/>
      <c r="D24" s="111" t="s">
        <v>183</v>
      </c>
      <c r="E24" s="111" t="s">
        <v>184</v>
      </c>
      <c r="F24" s="146" t="s">
        <v>166</v>
      </c>
      <c r="G24" s="146"/>
      <c r="H24" s="146"/>
      <c r="I24" s="146"/>
      <c r="J24" s="147"/>
      <c r="K24" s="112" t="s">
        <v>19</v>
      </c>
      <c r="L24" s="145" t="s">
        <v>185</v>
      </c>
      <c r="M24" s="112" t="s">
        <v>21</v>
      </c>
      <c r="N24" s="113" t="s">
        <v>232</v>
      </c>
      <c r="O24" s="111" t="s">
        <v>233</v>
      </c>
      <c r="P24" s="113" t="s">
        <v>234</v>
      </c>
      <c r="Q24" s="111" t="s">
        <v>235</v>
      </c>
      <c r="R24" s="114" t="s">
        <v>236</v>
      </c>
      <c r="S24" s="114" t="s">
        <v>237</v>
      </c>
      <c r="T24" s="158" t="s">
        <v>238</v>
      </c>
      <c r="U24" s="159" t="s">
        <v>239</v>
      </c>
      <c r="V24" s="159" t="s">
        <v>240</v>
      </c>
      <c r="W24" s="158" t="s">
        <v>241</v>
      </c>
      <c r="X24" s="148" t="s">
        <v>176</v>
      </c>
      <c r="Y24" s="145" t="s">
        <v>180</v>
      </c>
      <c r="Z24" s="145" t="s">
        <v>177</v>
      </c>
      <c r="BA24" s="70" t="s">
        <v>205</v>
      </c>
      <c r="BB24" s="71" t="s">
        <v>206</v>
      </c>
      <c r="BC24" s="71" t="s">
        <v>207</v>
      </c>
      <c r="BD24" s="71">
        <v>2.15</v>
      </c>
      <c r="BE24" s="71">
        <v>5.72</v>
      </c>
      <c r="BF24" s="71">
        <v>268</v>
      </c>
      <c r="BG24" s="71">
        <v>212</v>
      </c>
      <c r="BH24" s="71">
        <v>5</v>
      </c>
      <c r="BI24" s="71">
        <v>10</v>
      </c>
      <c r="BJ24" s="12" t="str" cm="1">
        <f t="array" ref="BJ24">_xll.Dce_Name_SectI(BF24, BF24, BG24, BH24, BI24, "x", "-", $AX$11)</f>
        <v>268x212x5x10</v>
      </c>
      <c r="BK24" s="77" cm="1">
        <f t="array" ref="BK24">_xll.DCEPropSectI(BF24, BH24, BG24, BI24, BG24, BI24, "A")/100</f>
        <v>54.8</v>
      </c>
      <c r="BL24" s="70" t="s">
        <v>218</v>
      </c>
      <c r="BM24" s="70">
        <v>-112.5132331105649</v>
      </c>
      <c r="BN24" s="71">
        <v>0.9</v>
      </c>
      <c r="BO24" s="77">
        <f t="shared" si="1"/>
        <v>5.1479999999999997</v>
      </c>
      <c r="BP24" s="71">
        <v>0.9</v>
      </c>
      <c r="BQ24" s="77">
        <f t="shared" si="2"/>
        <v>5.1479999999999997</v>
      </c>
      <c r="BR24" s="77" cm="1">
        <f t="array" ref="BR24">_xll.DCEPropSectI(BF24, BH24, BG24, BI24, BG24, BI24, "rx")/10</f>
        <v>11.847052463297633</v>
      </c>
      <c r="BS24" s="77" cm="1">
        <f t="array" ref="BS24">_xll.DCEPropSectI(BF24, BH24, BG24, BI24, BG24, BI24, "ry")/10</f>
        <v>5.3836052600564113</v>
      </c>
      <c r="BT24" s="5">
        <f t="shared" si="3"/>
        <v>43.453846566043239</v>
      </c>
      <c r="BU24" s="5">
        <f t="shared" si="4"/>
        <v>95.623652762870975</v>
      </c>
      <c r="BV24" s="5">
        <f t="shared" si="5"/>
        <v>95.623652762870975</v>
      </c>
      <c r="BW24" s="71">
        <f t="shared" si="6"/>
        <v>200</v>
      </c>
      <c r="BX24" s="78" cm="1">
        <f t="array" ref="BX24">IF(BM24&gt;0,1,_xll.DCETCVN5575FactorPhi7121(BV24*SQRT($K$17/206000),"b"))</f>
        <v>0.59843366787807328</v>
      </c>
      <c r="BY24" s="64">
        <f t="shared" si="7"/>
        <v>0.16337580192424478</v>
      </c>
      <c r="BZ24" s="3" t="str">
        <f t="shared" si="8"/>
        <v>OK</v>
      </c>
    </row>
    <row r="25" spans="1:78" ht="14.25" customHeight="1">
      <c r="A25" s="111">
        <f>12+COUNTA(A26:A1000013)</f>
        <v>22</v>
      </c>
      <c r="B25" s="167"/>
      <c r="C25" s="168"/>
      <c r="D25" s="111" t="s">
        <v>186</v>
      </c>
      <c r="E25" s="111" t="s">
        <v>175</v>
      </c>
      <c r="F25" s="111" t="s">
        <v>181</v>
      </c>
      <c r="G25" s="111" t="s">
        <v>204</v>
      </c>
      <c r="H25" s="111" t="s">
        <v>201</v>
      </c>
      <c r="I25" s="111" t="s">
        <v>202</v>
      </c>
      <c r="J25" s="115"/>
      <c r="K25" s="112" t="s">
        <v>242</v>
      </c>
      <c r="L25" s="145"/>
      <c r="M25" s="112" t="s">
        <v>174</v>
      </c>
      <c r="N25" s="111" t="s">
        <v>175</v>
      </c>
      <c r="O25" s="111" t="s">
        <v>175</v>
      </c>
      <c r="P25" s="111" t="s">
        <v>175</v>
      </c>
      <c r="Q25" s="111" t="s">
        <v>175</v>
      </c>
      <c r="R25" s="114" t="s">
        <v>147</v>
      </c>
      <c r="S25" s="114" t="s">
        <v>147</v>
      </c>
      <c r="T25" s="158"/>
      <c r="U25" s="159"/>
      <c r="V25" s="159"/>
      <c r="W25" s="158"/>
      <c r="X25" s="148"/>
      <c r="Y25" s="145"/>
      <c r="Z25" s="145"/>
      <c r="BA25" s="70" t="s">
        <v>205</v>
      </c>
      <c r="BB25" s="71" t="s">
        <v>206</v>
      </c>
      <c r="BC25" s="71" t="s">
        <v>207</v>
      </c>
      <c r="BD25" s="71">
        <v>2.86</v>
      </c>
      <c r="BE25" s="71">
        <v>5.72</v>
      </c>
      <c r="BF25" s="71">
        <v>268</v>
      </c>
      <c r="BG25" s="71">
        <v>212</v>
      </c>
      <c r="BH25" s="71">
        <v>5</v>
      </c>
      <c r="BI25" s="71">
        <v>10</v>
      </c>
      <c r="BJ25" s="12" t="str" cm="1">
        <f t="array" ref="BJ25">_xll.Dce_Name_SectI(BF25, BF25, BG25, BH25, BI25, "x", "-", $AX$11)</f>
        <v>268x212x5x10</v>
      </c>
      <c r="BK25" s="77" cm="1">
        <f t="array" ref="BK25">_xll.DCEPropSectI(BF25, BH25, BG25, BI25, BG25, BI25, "A")/100</f>
        <v>54.8</v>
      </c>
      <c r="BL25" s="70" t="s">
        <v>218</v>
      </c>
      <c r="BM25" s="70">
        <v>-112.81509181812248</v>
      </c>
      <c r="BN25" s="71">
        <v>0.9</v>
      </c>
      <c r="BO25" s="77">
        <f t="shared" si="1"/>
        <v>5.1479999999999997</v>
      </c>
      <c r="BP25" s="71">
        <v>0.9</v>
      </c>
      <c r="BQ25" s="77">
        <f t="shared" si="2"/>
        <v>5.1479999999999997</v>
      </c>
      <c r="BR25" s="77" cm="1">
        <f t="array" ref="BR25">_xll.DCEPropSectI(BF25, BH25, BG25, BI25, BG25, BI25, "rx")/10</f>
        <v>11.847052463297633</v>
      </c>
      <c r="BS25" s="77" cm="1">
        <f t="array" ref="BS25">_xll.DCEPropSectI(BF25, BH25, BG25, BI25, BG25, BI25, "ry")/10</f>
        <v>5.3836052600564113</v>
      </c>
      <c r="BT25" s="5">
        <f t="shared" si="3"/>
        <v>43.453846566043239</v>
      </c>
      <c r="BU25" s="5">
        <f t="shared" si="4"/>
        <v>95.623652762870975</v>
      </c>
      <c r="BV25" s="5">
        <f t="shared" si="5"/>
        <v>95.623652762870975</v>
      </c>
      <c r="BW25" s="71">
        <f t="shared" si="6"/>
        <v>200</v>
      </c>
      <c r="BX25" s="78" cm="1">
        <f t="array" ref="BX25">IF(BM25&gt;0,1,_xll.DCETCVN5575FactorPhi7121(BV25*SQRT($K$17/206000),"b"))</f>
        <v>0.59843366787807328</v>
      </c>
      <c r="BY25" s="64">
        <f t="shared" si="7"/>
        <v>0.16381411844090352</v>
      </c>
      <c r="BZ25" s="3" t="str">
        <f t="shared" si="8"/>
        <v>OK</v>
      </c>
    </row>
    <row r="26" spans="1:78">
      <c r="A26" s="70" t="s">
        <v>205</v>
      </c>
      <c r="B26" s="71" t="s">
        <v>206</v>
      </c>
      <c r="C26" s="71" t="s">
        <v>207</v>
      </c>
      <c r="D26" s="71">
        <v>5.72</v>
      </c>
      <c r="E26" s="71">
        <v>5.72</v>
      </c>
      <c r="F26" s="71">
        <v>268</v>
      </c>
      <c r="G26" s="71">
        <v>212</v>
      </c>
      <c r="H26" s="71">
        <v>5</v>
      </c>
      <c r="I26" s="71">
        <v>10</v>
      </c>
      <c r="J26" s="12" t="str" cm="1">
        <f t="array" ref="J26">_xll.Dce_Name_SectI(F26, F26, G26, H26, I26, "x", "-", $AX$11)</f>
        <v>268x212x5x10</v>
      </c>
      <c r="K26" s="117" cm="1">
        <f t="array" ref="K26">_xll.DCEPropSectI(F26, H26, G26, I26, G26, I26, "A")/100</f>
        <v>54.8</v>
      </c>
      <c r="L26" s="116" t="s">
        <v>218</v>
      </c>
      <c r="M26" s="116">
        <v>-114.02252664835282</v>
      </c>
      <c r="N26" s="12">
        <v>0.9</v>
      </c>
      <c r="O26" s="117">
        <f t="shared" ref="O26:O35" si="9">N26*E26</f>
        <v>5.1479999999999997</v>
      </c>
      <c r="P26" s="12">
        <v>0.9</v>
      </c>
      <c r="Q26" s="117">
        <f t="shared" ref="Q26:Q35" si="10">P26*E26</f>
        <v>5.1479999999999997</v>
      </c>
      <c r="R26" s="117" cm="1">
        <f t="array" ref="R26">_xll.DCEPropSectI(F26, H26, G26, I26, G26, I26, "rx")/10</f>
        <v>11.847052463297633</v>
      </c>
      <c r="S26" s="117" cm="1">
        <f t="array" ref="S26">_xll.DCEPropSectI(F26, H26, G26, I26, G26, I26, "ry")/10</f>
        <v>5.3836052600564113</v>
      </c>
      <c r="T26" s="118">
        <f t="shared" ref="T26:T35" si="11">O26*100/R26</f>
        <v>43.453846566043239</v>
      </c>
      <c r="U26" s="118">
        <f t="shared" ref="U26:U35" si="12">Q26*100/S26</f>
        <v>95.623652762870975</v>
      </c>
      <c r="V26" s="118">
        <f t="shared" ref="V26:V35" si="13">MAX(T26,U26)</f>
        <v>95.623652762870975</v>
      </c>
      <c r="W26" s="12">
        <f t="shared" ref="W26:W35" si="14">IF(M26&lt;0,$AY$14,$AY$15)</f>
        <v>200</v>
      </c>
      <c r="X26" s="119" cm="1">
        <f t="array" ref="X26">IF(M26&gt;0,1,_xll.DCETCVN5575FactorPhi7121(V26*SQRT($K$17/206000),"b"))</f>
        <v>0.59843366787807328</v>
      </c>
      <c r="Y26" s="120">
        <f t="shared" ref="Y26" si="15">ABS(M26)/(X26*K26*$K$17*$K$19)*10</f>
        <v>0.16556738450753852</v>
      </c>
      <c r="Z26" s="12" t="str">
        <f t="shared" ref="Z26" si="16">IF(AND(V26&lt;=W26,Y26&lt;=1),"OK","Check")</f>
        <v>OK</v>
      </c>
      <c r="BA26" s="70" t="s">
        <v>205</v>
      </c>
      <c r="BB26" s="71" t="s">
        <v>206</v>
      </c>
      <c r="BC26" s="71" t="s">
        <v>207</v>
      </c>
      <c r="BD26" s="71">
        <v>3.58</v>
      </c>
      <c r="BE26" s="71">
        <v>5.72</v>
      </c>
      <c r="BF26" s="71">
        <v>268</v>
      </c>
      <c r="BG26" s="71">
        <v>212</v>
      </c>
      <c r="BH26" s="71">
        <v>5</v>
      </c>
      <c r="BI26" s="71">
        <v>10</v>
      </c>
      <c r="BJ26" s="12" t="str" cm="1">
        <f t="array" ref="BJ26">_xll.Dce_Name_SectI(BF26, BF26, BG26, BH26, BI26, "x", "-", $AX$11)</f>
        <v>268x212x5x10</v>
      </c>
      <c r="BK26" s="77" cm="1">
        <f t="array" ref="BK26">_xll.DCEPropSectI(BF26, BH26, BG26, BI26, BG26, BI26, "A")/100</f>
        <v>54.8</v>
      </c>
      <c r="BL26" s="70" t="s">
        <v>218</v>
      </c>
      <c r="BM26" s="70">
        <v>-113.11695052568007</v>
      </c>
      <c r="BN26" s="71">
        <v>0.9</v>
      </c>
      <c r="BO26" s="77">
        <f t="shared" si="1"/>
        <v>5.1479999999999997</v>
      </c>
      <c r="BP26" s="71">
        <v>0.9</v>
      </c>
      <c r="BQ26" s="77">
        <f t="shared" si="2"/>
        <v>5.1479999999999997</v>
      </c>
      <c r="BR26" s="77" cm="1">
        <f t="array" ref="BR26">_xll.DCEPropSectI(BF26, BH26, BG26, BI26, BG26, BI26, "rx")/10</f>
        <v>11.847052463297633</v>
      </c>
      <c r="BS26" s="77" cm="1">
        <f t="array" ref="BS26">_xll.DCEPropSectI(BF26, BH26, BG26, BI26, BG26, BI26, "ry")/10</f>
        <v>5.3836052600564113</v>
      </c>
      <c r="BT26" s="5">
        <f t="shared" si="3"/>
        <v>43.453846566043239</v>
      </c>
      <c r="BU26" s="5">
        <f t="shared" si="4"/>
        <v>95.623652762870975</v>
      </c>
      <c r="BV26" s="5">
        <f t="shared" si="5"/>
        <v>95.623652762870975</v>
      </c>
      <c r="BW26" s="71">
        <f t="shared" si="6"/>
        <v>200</v>
      </c>
      <c r="BX26" s="78" cm="1">
        <f t="array" ref="BX26">IF(BM26&gt;0,1,_xll.DCETCVN5575FactorPhi7121(BV26*SQRT($K$17/206000),"b"))</f>
        <v>0.59843366787807328</v>
      </c>
      <c r="BY26" s="64">
        <f t="shared" si="7"/>
        <v>0.16425243495756225</v>
      </c>
      <c r="BZ26" s="3" t="str">
        <f t="shared" si="8"/>
        <v>OK</v>
      </c>
    </row>
    <row r="27" spans="1:78">
      <c r="A27" s="76" t="s">
        <v>205</v>
      </c>
      <c r="B27" s="76" t="s">
        <v>208</v>
      </c>
      <c r="C27" s="125" t="s">
        <v>207</v>
      </c>
      <c r="D27" s="125">
        <v>0</v>
      </c>
      <c r="E27" s="71">
        <v>6.1</v>
      </c>
      <c r="F27" s="71">
        <v>268</v>
      </c>
      <c r="G27" s="71">
        <v>212</v>
      </c>
      <c r="H27" s="126">
        <v>5</v>
      </c>
      <c r="I27" s="125">
        <v>10</v>
      </c>
      <c r="J27" s="123" t="str" cm="1">
        <f t="array" ref="J27">_xll.Dce_Name_SectI(F27, F27, G27, H27, I27, "x", "-", $AX$11)</f>
        <v>268x212x5x10</v>
      </c>
      <c r="K27" s="12" cm="1">
        <f t="array" ref="K27">_xll.DCEPropSectI(F27, H27, G27, I27, G27, I27, "A")/100</f>
        <v>54.8</v>
      </c>
      <c r="L27" s="117" t="s">
        <v>224</v>
      </c>
      <c r="M27" s="12">
        <v>43.56703022348988</v>
      </c>
      <c r="N27" s="117">
        <v>0.9</v>
      </c>
      <c r="O27" s="117">
        <f t="shared" si="9"/>
        <v>5.49</v>
      </c>
      <c r="P27" s="117">
        <v>0.9</v>
      </c>
      <c r="Q27" s="118">
        <f t="shared" si="10"/>
        <v>5.49</v>
      </c>
      <c r="R27" s="118" cm="1">
        <f t="array" ref="R27">_xll.DCEPropSectI(F27, H27, G27, I27, G27, I27, "rx")/10</f>
        <v>11.847052463297633</v>
      </c>
      <c r="S27" s="118" cm="1">
        <f t="array" ref="S27">_xll.DCEPropSectI(F27, H27, G27, I27, G27, I27, "ry")/10</f>
        <v>5.3836052600564113</v>
      </c>
      <c r="T27" s="12">
        <f t="shared" si="11"/>
        <v>46.340640568682481</v>
      </c>
      <c r="U27" s="118">
        <f t="shared" si="12"/>
        <v>101.97627305131346</v>
      </c>
      <c r="V27" s="118">
        <f t="shared" si="13"/>
        <v>101.97627305131346</v>
      </c>
      <c r="W27" s="12">
        <f t="shared" si="14"/>
        <v>400</v>
      </c>
      <c r="X27" s="119" cm="1">
        <f t="array" ref="X27">IF(M27&gt;0,1,_xll.DCETCVN5575FactorPhi7121(V27*SQRT($K$17/206000),"b"))</f>
        <v>1</v>
      </c>
      <c r="Y27" s="120">
        <f t="shared" ref="Y27:Y35" si="17">ABS(M27)/(X27*K27*$K$17*$K$19)*10</f>
        <v>3.7858038080891457E-2</v>
      </c>
      <c r="Z27" s="12" t="str">
        <f t="shared" ref="Z27:Z35" si="18">IF(AND(V27&lt;=W27,Y27&lt;=1),"OK","Check")</f>
        <v>OK</v>
      </c>
      <c r="BA27" s="70" t="s">
        <v>205</v>
      </c>
      <c r="BB27" s="71" t="s">
        <v>206</v>
      </c>
      <c r="BC27" s="71" t="s">
        <v>207</v>
      </c>
      <c r="BD27" s="71">
        <v>4.29</v>
      </c>
      <c r="BE27" s="71">
        <v>5.72</v>
      </c>
      <c r="BF27" s="71">
        <v>268</v>
      </c>
      <c r="BG27" s="71">
        <v>212</v>
      </c>
      <c r="BH27" s="71">
        <v>5</v>
      </c>
      <c r="BI27" s="71">
        <v>10</v>
      </c>
      <c r="BJ27" s="12" t="str" cm="1">
        <f t="array" ref="BJ27">_xll.Dce_Name_SectI(BF27, BF27, BG27, BH27, BI27, "x", "-", $AX$11)</f>
        <v>268x212x5x10</v>
      </c>
      <c r="BK27" s="77" cm="1">
        <f t="array" ref="BK27">_xll.DCEPropSectI(BF27, BH27, BG27, BI27, BG27, BI27, "A")/100</f>
        <v>54.8</v>
      </c>
      <c r="BL27" s="70" t="s">
        <v>218</v>
      </c>
      <c r="BM27" s="70">
        <v>-113.41880923323765</v>
      </c>
      <c r="BN27" s="71">
        <v>0.9</v>
      </c>
      <c r="BO27" s="77">
        <f t="shared" si="1"/>
        <v>5.1479999999999997</v>
      </c>
      <c r="BP27" s="71">
        <v>0.9</v>
      </c>
      <c r="BQ27" s="77">
        <f t="shared" si="2"/>
        <v>5.1479999999999997</v>
      </c>
      <c r="BR27" s="77" cm="1">
        <f t="array" ref="BR27">_xll.DCEPropSectI(BF27, BH27, BG27, BI27, BG27, BI27, "rx")/10</f>
        <v>11.847052463297633</v>
      </c>
      <c r="BS27" s="77" cm="1">
        <f t="array" ref="BS27">_xll.DCEPropSectI(BF27, BH27, BG27, BI27, BG27, BI27, "ry")/10</f>
        <v>5.3836052600564113</v>
      </c>
      <c r="BT27" s="5">
        <f t="shared" si="3"/>
        <v>43.453846566043239</v>
      </c>
      <c r="BU27" s="5">
        <f t="shared" si="4"/>
        <v>95.623652762870975</v>
      </c>
      <c r="BV27" s="5">
        <f t="shared" si="5"/>
        <v>95.623652762870975</v>
      </c>
      <c r="BW27" s="71">
        <f t="shared" si="6"/>
        <v>200</v>
      </c>
      <c r="BX27" s="78" cm="1">
        <f t="array" ref="BX27">IF(BM27&gt;0,1,_xll.DCETCVN5575FactorPhi7121(BV27*SQRT($K$17/206000),"b"))</f>
        <v>0.59843366787807328</v>
      </c>
      <c r="BY27" s="64">
        <f t="shared" si="7"/>
        <v>0.16469075147422102</v>
      </c>
      <c r="BZ27" s="3" t="str">
        <f t="shared" si="8"/>
        <v>OK</v>
      </c>
    </row>
    <row r="28" spans="1:78">
      <c r="A28" s="76" t="s">
        <v>205</v>
      </c>
      <c r="B28" s="76" t="s">
        <v>209</v>
      </c>
      <c r="C28" s="125" t="s">
        <v>207</v>
      </c>
      <c r="D28" s="125">
        <v>0</v>
      </c>
      <c r="E28" s="71">
        <v>6.48</v>
      </c>
      <c r="F28" s="71">
        <v>268</v>
      </c>
      <c r="G28" s="71">
        <v>212</v>
      </c>
      <c r="H28" s="126">
        <v>5</v>
      </c>
      <c r="I28" s="125">
        <v>10</v>
      </c>
      <c r="J28" s="123" t="str" cm="1">
        <f t="array" ref="J28">_xll.Dce_Name_SectI(F28, F28, G28, H28, I28, "x", "-", $AX$11)</f>
        <v>268x212x5x10</v>
      </c>
      <c r="K28" s="12" cm="1">
        <f t="array" ref="K28">_xll.DCEPropSectI(F28, H28, G28, I28, G28, I28, "A")/100</f>
        <v>54.8</v>
      </c>
      <c r="L28" s="117" t="s">
        <v>224</v>
      </c>
      <c r="M28" s="12">
        <v>45.57310699003078</v>
      </c>
      <c r="N28" s="117">
        <v>0.9</v>
      </c>
      <c r="O28" s="117">
        <f t="shared" si="9"/>
        <v>5.8320000000000007</v>
      </c>
      <c r="P28" s="117">
        <v>0.9</v>
      </c>
      <c r="Q28" s="118">
        <f t="shared" si="10"/>
        <v>5.8320000000000007</v>
      </c>
      <c r="R28" s="118" cm="1">
        <f t="array" ref="R28">_xll.DCEPropSectI(F28, H28, G28, I28, G28, I28, "rx")/10</f>
        <v>11.847052463297633</v>
      </c>
      <c r="S28" s="118" cm="1">
        <f t="array" ref="S28">_xll.DCEPropSectI(F28, H28, G28, I28, G28, I28, "ry")/10</f>
        <v>5.3836052600564113</v>
      </c>
      <c r="T28" s="12">
        <f t="shared" si="11"/>
        <v>49.227434571321723</v>
      </c>
      <c r="U28" s="118">
        <f t="shared" si="12"/>
        <v>108.32889333975595</v>
      </c>
      <c r="V28" s="118">
        <f t="shared" si="13"/>
        <v>108.32889333975595</v>
      </c>
      <c r="W28" s="12">
        <f t="shared" si="14"/>
        <v>400</v>
      </c>
      <c r="X28" s="119" cm="1">
        <f t="array" ref="X28">IF(M28&gt;0,1,_xll.DCETCVN5575FactorPhi7121(V28*SQRT($K$17/206000),"b"))</f>
        <v>1</v>
      </c>
      <c r="Y28" s="120">
        <f t="shared" si="17"/>
        <v>3.960123999828883E-2</v>
      </c>
      <c r="Z28" s="12" t="str">
        <f t="shared" si="18"/>
        <v>OK</v>
      </c>
      <c r="BA28" s="70" t="s">
        <v>205</v>
      </c>
      <c r="BB28" s="71" t="s">
        <v>206</v>
      </c>
      <c r="BC28" s="71" t="s">
        <v>207</v>
      </c>
      <c r="BD28" s="71">
        <v>5.01</v>
      </c>
      <c r="BE28" s="71">
        <v>5.72</v>
      </c>
      <c r="BF28" s="71">
        <v>268</v>
      </c>
      <c r="BG28" s="71">
        <v>212</v>
      </c>
      <c r="BH28" s="71">
        <v>5</v>
      </c>
      <c r="BI28" s="71">
        <v>10</v>
      </c>
      <c r="BJ28" s="12" t="str" cm="1">
        <f t="array" ref="BJ28">_xll.Dce_Name_SectI(BF28, BF28, BG28, BH28, BI28, "x", "-", $AX$11)</f>
        <v>268x212x5x10</v>
      </c>
      <c r="BK28" s="77" cm="1">
        <f t="array" ref="BK28">_xll.DCEPropSectI(BF28, BH28, BG28, BI28, BG28, BI28, "A")/100</f>
        <v>54.8</v>
      </c>
      <c r="BL28" s="70" t="s">
        <v>218</v>
      </c>
      <c r="BM28" s="70">
        <v>-113.72066794079524</v>
      </c>
      <c r="BN28" s="71">
        <v>0.9</v>
      </c>
      <c r="BO28" s="77">
        <f t="shared" si="1"/>
        <v>5.1479999999999997</v>
      </c>
      <c r="BP28" s="71">
        <v>0.9</v>
      </c>
      <c r="BQ28" s="77">
        <f t="shared" si="2"/>
        <v>5.1479999999999997</v>
      </c>
      <c r="BR28" s="77" cm="1">
        <f t="array" ref="BR28">_xll.DCEPropSectI(BF28, BH28, BG28, BI28, BG28, BI28, "rx")/10</f>
        <v>11.847052463297633</v>
      </c>
      <c r="BS28" s="77" cm="1">
        <f t="array" ref="BS28">_xll.DCEPropSectI(BF28, BH28, BG28, BI28, BG28, BI28, "ry")/10</f>
        <v>5.3836052600564113</v>
      </c>
      <c r="BT28" s="5">
        <f t="shared" si="3"/>
        <v>43.453846566043239</v>
      </c>
      <c r="BU28" s="5">
        <f t="shared" si="4"/>
        <v>95.623652762870975</v>
      </c>
      <c r="BV28" s="5">
        <f t="shared" si="5"/>
        <v>95.623652762870975</v>
      </c>
      <c r="BW28" s="71">
        <f t="shared" si="6"/>
        <v>200</v>
      </c>
      <c r="BX28" s="78" cm="1">
        <f t="array" ref="BX28">IF(BM28&gt;0,1,_xll.DCETCVN5575FactorPhi7121(BV28*SQRT($K$17/206000),"b"))</f>
        <v>0.59843366787807328</v>
      </c>
      <c r="BY28" s="64">
        <f t="shared" si="7"/>
        <v>0.16512906799087979</v>
      </c>
      <c r="BZ28" s="3" t="str">
        <f t="shared" si="8"/>
        <v>OK</v>
      </c>
    </row>
    <row r="29" spans="1:78">
      <c r="A29" s="76" t="s">
        <v>205</v>
      </c>
      <c r="B29" s="76" t="s">
        <v>210</v>
      </c>
      <c r="C29" s="125" t="s">
        <v>207</v>
      </c>
      <c r="D29" s="125">
        <v>15</v>
      </c>
      <c r="E29" s="71">
        <v>36</v>
      </c>
      <c r="F29" s="71">
        <v>390</v>
      </c>
      <c r="G29" s="71">
        <v>212</v>
      </c>
      <c r="H29" s="126">
        <v>5</v>
      </c>
      <c r="I29" s="125">
        <v>10</v>
      </c>
      <c r="J29" s="123" t="str" cm="1">
        <f t="array" ref="J29">_xll.Dce_Name_SectI(F29, F29, G29, H29, I29, "x", "-", $AX$11)</f>
        <v>390x212x5x10</v>
      </c>
      <c r="K29" s="12" cm="1">
        <f t="array" ref="K29">_xll.DCEPropSectI(F29, H29, G29, I29, G29, I29, "A")/100</f>
        <v>60.9</v>
      </c>
      <c r="L29" s="117" t="s">
        <v>218</v>
      </c>
      <c r="M29" s="12">
        <v>325.91840699307289</v>
      </c>
      <c r="N29" s="117">
        <v>0.9</v>
      </c>
      <c r="O29" s="117">
        <f t="shared" si="9"/>
        <v>32.4</v>
      </c>
      <c r="P29" s="117">
        <v>0.9</v>
      </c>
      <c r="Q29" s="118">
        <f t="shared" si="10"/>
        <v>32.4</v>
      </c>
      <c r="R29" s="118" cm="1">
        <f t="array" ref="R29">_xll.DCEPropSectI(F29, H29, G29, I29, G29, I29, "rx")/10</f>
        <v>16.91131201300167</v>
      </c>
      <c r="S29" s="118" cm="1">
        <f t="array" ref="S29">_xll.DCEPropSectI(F29, H29, G29, I29, G29, I29, "ry")/10</f>
        <v>5.1070747638622018</v>
      </c>
      <c r="T29" s="12">
        <f t="shared" si="11"/>
        <v>191.58773710218577</v>
      </c>
      <c r="U29" s="118">
        <f t="shared" si="12"/>
        <v>634.41405301647956</v>
      </c>
      <c r="V29" s="118">
        <f t="shared" si="13"/>
        <v>634.41405301647956</v>
      </c>
      <c r="W29" s="12">
        <f t="shared" si="14"/>
        <v>400</v>
      </c>
      <c r="X29" s="119" cm="1">
        <f t="array" ref="X29">IF(M29&gt;0,1,_xll.DCETCVN5575FactorPhi7121(V29*SQRT($K$17/206000),"b"))</f>
        <v>1</v>
      </c>
      <c r="Y29" s="120">
        <f t="shared" si="17"/>
        <v>0.25484276096103914</v>
      </c>
      <c r="Z29" s="12" t="str">
        <f t="shared" si="18"/>
        <v>Check</v>
      </c>
      <c r="BA29" s="70" t="s">
        <v>205</v>
      </c>
      <c r="BB29" s="71" t="s">
        <v>206</v>
      </c>
      <c r="BC29" s="71" t="s">
        <v>207</v>
      </c>
      <c r="BD29" s="71">
        <v>5.72</v>
      </c>
      <c r="BE29" s="71">
        <v>5.72</v>
      </c>
      <c r="BF29" s="71">
        <v>268</v>
      </c>
      <c r="BG29" s="71">
        <v>212</v>
      </c>
      <c r="BH29" s="71">
        <v>5</v>
      </c>
      <c r="BI29" s="71">
        <v>10</v>
      </c>
      <c r="BJ29" s="12" t="str" cm="1">
        <f t="array" ref="BJ29">_xll.Dce_Name_SectI(BF29, BF29, BG29, BH29, BI29, "x", "-", $AX$11)</f>
        <v>268x212x5x10</v>
      </c>
      <c r="BK29" s="77" cm="1">
        <f t="array" ref="BK29">_xll.DCEPropSectI(BF29, BH29, BG29, BI29, BG29, BI29, "A")/100</f>
        <v>54.8</v>
      </c>
      <c r="BL29" s="70" t="s">
        <v>218</v>
      </c>
      <c r="BM29" s="70">
        <v>-114.02252664835282</v>
      </c>
      <c r="BN29" s="71">
        <v>0.9</v>
      </c>
      <c r="BO29" s="77">
        <f t="shared" si="1"/>
        <v>5.1479999999999997</v>
      </c>
      <c r="BP29" s="71">
        <v>0.9</v>
      </c>
      <c r="BQ29" s="77">
        <f t="shared" si="2"/>
        <v>5.1479999999999997</v>
      </c>
      <c r="BR29" s="77" cm="1">
        <f t="array" ref="BR29">_xll.DCEPropSectI(BF29, BH29, BG29, BI29, BG29, BI29, "rx")/10</f>
        <v>11.847052463297633</v>
      </c>
      <c r="BS29" s="77" cm="1">
        <f t="array" ref="BS29">_xll.DCEPropSectI(BF29, BH29, BG29, BI29, BG29, BI29, "ry")/10</f>
        <v>5.3836052600564113</v>
      </c>
      <c r="BT29" s="5">
        <f t="shared" si="3"/>
        <v>43.453846566043239</v>
      </c>
      <c r="BU29" s="5">
        <f t="shared" si="4"/>
        <v>95.623652762870975</v>
      </c>
      <c r="BV29" s="5">
        <f t="shared" si="5"/>
        <v>95.623652762870975</v>
      </c>
      <c r="BW29" s="71">
        <f t="shared" si="6"/>
        <v>200</v>
      </c>
      <c r="BX29" s="78" cm="1">
        <f t="array" ref="BX29">IF(BM29&gt;0,1,_xll.DCETCVN5575FactorPhi7121(BV29*SQRT($K$17/206000),"b"))</f>
        <v>0.59843366787807328</v>
      </c>
      <c r="BY29" s="64">
        <f t="shared" si="7"/>
        <v>0.16556738450753852</v>
      </c>
      <c r="BZ29" s="3" t="str">
        <f t="shared" si="8"/>
        <v>OK</v>
      </c>
    </row>
    <row r="30" spans="1:78">
      <c r="A30" s="76" t="s">
        <v>205</v>
      </c>
      <c r="B30" s="76" t="s">
        <v>211</v>
      </c>
      <c r="C30" s="125" t="s">
        <v>207</v>
      </c>
      <c r="D30" s="125">
        <v>6.85</v>
      </c>
      <c r="E30" s="71">
        <v>6.85</v>
      </c>
      <c r="F30" s="71">
        <v>268</v>
      </c>
      <c r="G30" s="71">
        <v>212</v>
      </c>
      <c r="H30" s="126">
        <v>5</v>
      </c>
      <c r="I30" s="125">
        <v>10</v>
      </c>
      <c r="J30" s="123" t="str" cm="1">
        <f t="array" ref="J30">_xll.Dce_Name_SectI(F30, F30, G30, H30, I30, "x", "-", $AX$11)</f>
        <v>268x212x5x10</v>
      </c>
      <c r="K30" s="12" cm="1">
        <f t="array" ref="K30">_xll.DCEPropSectI(F30, H30, G30, I30, G30, I30, "A")/100</f>
        <v>54.8</v>
      </c>
      <c r="L30" s="117" t="s">
        <v>218</v>
      </c>
      <c r="M30" s="12">
        <v>-138.37129693769691</v>
      </c>
      <c r="N30" s="117">
        <v>0.9</v>
      </c>
      <c r="O30" s="117">
        <f t="shared" si="9"/>
        <v>6.165</v>
      </c>
      <c r="P30" s="117">
        <v>0.9</v>
      </c>
      <c r="Q30" s="118">
        <f t="shared" si="10"/>
        <v>6.165</v>
      </c>
      <c r="R30" s="118" cm="1">
        <f t="array" ref="R30">_xll.DCEPropSectI(F30, H30, G30, I30, G30, I30, "rx")/10</f>
        <v>11.847052463297633</v>
      </c>
      <c r="S30" s="118" cm="1">
        <f t="array" ref="S30">_xll.DCEPropSectI(F30, H30, G30, I30, G30, I30, "ry")/10</f>
        <v>5.3836052600564113</v>
      </c>
      <c r="T30" s="12">
        <f t="shared" si="11"/>
        <v>52.038260310733605</v>
      </c>
      <c r="U30" s="118">
        <f t="shared" si="12"/>
        <v>114.5143394100815</v>
      </c>
      <c r="V30" s="118">
        <f t="shared" si="13"/>
        <v>114.5143394100815</v>
      </c>
      <c r="W30" s="12">
        <f t="shared" si="14"/>
        <v>200</v>
      </c>
      <c r="X30" s="119" cm="1">
        <f t="array" ref="X30">IF(M30&gt;0,1,_xll.DCETCVN5575FactorPhi7121(V30*SQRT($K$17/206000),"b"))</f>
        <v>0.47786839095804584</v>
      </c>
      <c r="Y30" s="120">
        <f t="shared" si="17"/>
        <v>0.25161576806734293</v>
      </c>
      <c r="Z30" s="12" t="str">
        <f t="shared" si="18"/>
        <v>OK</v>
      </c>
      <c r="BA30" s="70" t="s">
        <v>205</v>
      </c>
      <c r="BB30" s="71" t="s">
        <v>206</v>
      </c>
      <c r="BC30" s="71" t="s">
        <v>207</v>
      </c>
      <c r="BD30" s="71">
        <v>0</v>
      </c>
      <c r="BE30" s="71">
        <v>5.72</v>
      </c>
      <c r="BF30" s="71">
        <v>268</v>
      </c>
      <c r="BG30" s="71">
        <v>212</v>
      </c>
      <c r="BH30" s="71">
        <v>5</v>
      </c>
      <c r="BI30" s="71">
        <v>10</v>
      </c>
      <c r="BJ30" s="12" t="str" cm="1">
        <f t="array" ref="BJ30">_xll.Dce_Name_SectI(BF30, BF30, BG30, BH30, BI30, "x", "-", $AX$11)</f>
        <v>268x212x5x10</v>
      </c>
      <c r="BK30" s="77" cm="1">
        <f t="array" ref="BK30">_xll.DCEPropSectI(BF30, BH30, BG30, BI30, BG30, BI30, "A")/100</f>
        <v>54.8</v>
      </c>
      <c r="BL30" s="70" t="s">
        <v>219</v>
      </c>
      <c r="BM30" s="70">
        <v>-47.869863269886615</v>
      </c>
      <c r="BN30" s="71">
        <v>0.9</v>
      </c>
      <c r="BO30" s="77">
        <f t="shared" si="1"/>
        <v>5.1479999999999997</v>
      </c>
      <c r="BP30" s="71">
        <v>0.9</v>
      </c>
      <c r="BQ30" s="77">
        <f t="shared" si="2"/>
        <v>5.1479999999999997</v>
      </c>
      <c r="BR30" s="77" cm="1">
        <f t="array" ref="BR30">_xll.DCEPropSectI(BF30, BH30, BG30, BI30, BG30, BI30, "rx")/10</f>
        <v>11.847052463297633</v>
      </c>
      <c r="BS30" s="77" cm="1">
        <f t="array" ref="BS30">_xll.DCEPropSectI(BF30, BH30, BG30, BI30, BG30, BI30, "ry")/10</f>
        <v>5.3836052600564113</v>
      </c>
      <c r="BT30" s="5">
        <f t="shared" si="3"/>
        <v>43.453846566043239</v>
      </c>
      <c r="BU30" s="5">
        <f t="shared" si="4"/>
        <v>95.623652762870975</v>
      </c>
      <c r="BV30" s="5">
        <f t="shared" si="5"/>
        <v>95.623652762870975</v>
      </c>
      <c r="BW30" s="71">
        <f t="shared" si="6"/>
        <v>200</v>
      </c>
      <c r="BX30" s="78" cm="1">
        <f t="array" ref="BX30">IF(BM30&gt;0,1,_xll.DCETCVN5575FactorPhi7121(BV30*SQRT($K$17/206000),"b"))</f>
        <v>0.59843366787807328</v>
      </c>
      <c r="BY30" s="64">
        <f t="shared" si="7"/>
        <v>6.9509844162386897E-2</v>
      </c>
      <c r="BZ30" s="3" t="str">
        <f t="shared" si="8"/>
        <v>OK</v>
      </c>
    </row>
    <row r="31" spans="1:78">
      <c r="A31" s="76" t="s">
        <v>205</v>
      </c>
      <c r="B31" s="76" t="s">
        <v>212</v>
      </c>
      <c r="C31" s="125" t="s">
        <v>207</v>
      </c>
      <c r="D31" s="125">
        <v>0</v>
      </c>
      <c r="E31" s="71">
        <v>9.2100000000000009</v>
      </c>
      <c r="F31" s="71">
        <v>264</v>
      </c>
      <c r="G31" s="71">
        <v>212</v>
      </c>
      <c r="H31" s="126">
        <v>5</v>
      </c>
      <c r="I31" s="125">
        <v>8</v>
      </c>
      <c r="J31" s="123" t="str" cm="1">
        <f t="array" ref="J31">_xll.Dce_Name_SectI(F31, F31, G31, H31, I31, "x", "-", $AX$11)</f>
        <v>264x212x5x8</v>
      </c>
      <c r="K31" s="12" cm="1">
        <f t="array" ref="K31">_xll.DCEPropSectI(F31, H31, G31, I31, G31, I31, "A")/100</f>
        <v>46.32</v>
      </c>
      <c r="L31" s="117" t="s">
        <v>218</v>
      </c>
      <c r="M31" s="12">
        <v>320.01685717892701</v>
      </c>
      <c r="N31" s="117">
        <v>0.9</v>
      </c>
      <c r="O31" s="117">
        <f t="shared" si="9"/>
        <v>8.2890000000000015</v>
      </c>
      <c r="P31" s="117">
        <v>0.9</v>
      </c>
      <c r="Q31" s="118">
        <f t="shared" si="10"/>
        <v>8.2890000000000015</v>
      </c>
      <c r="R31" s="118" cm="1">
        <f t="array" ref="R31">_xll.DCEPropSectI(F31, H31, G31, I31, G31, I31, "rx")/10</f>
        <v>11.562881075579337</v>
      </c>
      <c r="S31" s="118" cm="1">
        <f t="array" ref="S31">_xll.DCEPropSectI(F31, H31, G31, I31, G31, I31, "ry")/10</f>
        <v>5.237608536144422</v>
      </c>
      <c r="T31" s="12">
        <f t="shared" si="11"/>
        <v>71.686286020066973</v>
      </c>
      <c r="U31" s="118">
        <f t="shared" si="12"/>
        <v>158.25925024365813</v>
      </c>
      <c r="V31" s="118">
        <f t="shared" si="13"/>
        <v>158.25925024365813</v>
      </c>
      <c r="W31" s="12">
        <f t="shared" si="14"/>
        <v>400</v>
      </c>
      <c r="X31" s="119" cm="1">
        <f t="array" ref="X31">IF(M31&gt;0,1,_xll.DCETCVN5575FactorPhi7121(V31*SQRT($K$17/206000),"b"))</f>
        <v>1</v>
      </c>
      <c r="Y31" s="120">
        <f t="shared" si="17"/>
        <v>0.32899175217835247</v>
      </c>
      <c r="Z31" s="12" t="str">
        <f t="shared" si="18"/>
        <v>OK</v>
      </c>
      <c r="BA31" s="70" t="s">
        <v>205</v>
      </c>
      <c r="BB31" s="71" t="s">
        <v>206</v>
      </c>
      <c r="BC31" s="71" t="s">
        <v>207</v>
      </c>
      <c r="BD31" s="71">
        <v>0.72</v>
      </c>
      <c r="BE31" s="71">
        <v>5.72</v>
      </c>
      <c r="BF31" s="71">
        <v>268</v>
      </c>
      <c r="BG31" s="71">
        <v>212</v>
      </c>
      <c r="BH31" s="71">
        <v>5</v>
      </c>
      <c r="BI31" s="71">
        <v>10</v>
      </c>
      <c r="BJ31" s="12" t="str" cm="1">
        <f t="array" ref="BJ31">_xll.Dce_Name_SectI(BF31, BF31, BG31, BH31, BI31, "x", "-", $AX$11)</f>
        <v>268x212x5x10</v>
      </c>
      <c r="BK31" s="77" cm="1">
        <f t="array" ref="BK31">_xll.DCEPropSectI(BF31, BH31, BG31, BI31, BG31, BI31, "A")/100</f>
        <v>54.8</v>
      </c>
      <c r="BL31" s="70" t="s">
        <v>219</v>
      </c>
      <c r="BM31" s="70">
        <v>-48.1717219774442</v>
      </c>
      <c r="BN31" s="71">
        <v>0.9</v>
      </c>
      <c r="BO31" s="77">
        <f t="shared" si="1"/>
        <v>5.1479999999999997</v>
      </c>
      <c r="BP31" s="71">
        <v>0.9</v>
      </c>
      <c r="BQ31" s="77">
        <f t="shared" si="2"/>
        <v>5.1479999999999997</v>
      </c>
      <c r="BR31" s="77" cm="1">
        <f t="array" ref="BR31">_xll.DCEPropSectI(BF31, BH31, BG31, BI31, BG31, BI31, "rx")/10</f>
        <v>11.847052463297633</v>
      </c>
      <c r="BS31" s="77" cm="1">
        <f t="array" ref="BS31">_xll.DCEPropSectI(BF31, BH31, BG31, BI31, BG31, BI31, "ry")/10</f>
        <v>5.3836052600564113</v>
      </c>
      <c r="BT31" s="5">
        <f t="shared" si="3"/>
        <v>43.453846566043239</v>
      </c>
      <c r="BU31" s="5">
        <f t="shared" si="4"/>
        <v>95.623652762870975</v>
      </c>
      <c r="BV31" s="5">
        <f t="shared" si="5"/>
        <v>95.623652762870975</v>
      </c>
      <c r="BW31" s="71">
        <f t="shared" si="6"/>
        <v>200</v>
      </c>
      <c r="BX31" s="78" cm="1">
        <f t="array" ref="BX31">IF(BM31&gt;0,1,_xll.DCETCVN5575FactorPhi7121(BV31*SQRT($K$17/206000),"b"))</f>
        <v>0.59843366787807328</v>
      </c>
      <c r="BY31" s="64">
        <f t="shared" si="7"/>
        <v>6.9948160679045635E-2</v>
      </c>
      <c r="BZ31" s="3" t="str">
        <f t="shared" si="8"/>
        <v>OK</v>
      </c>
    </row>
    <row r="32" spans="1:78">
      <c r="A32" s="76" t="s">
        <v>205</v>
      </c>
      <c r="B32" s="76" t="s">
        <v>213</v>
      </c>
      <c r="C32" s="125" t="s">
        <v>207</v>
      </c>
      <c r="D32" s="125">
        <v>9.67</v>
      </c>
      <c r="E32" s="71">
        <v>9.67</v>
      </c>
      <c r="F32" s="71">
        <v>264</v>
      </c>
      <c r="G32" s="71">
        <v>212</v>
      </c>
      <c r="H32" s="126">
        <v>5</v>
      </c>
      <c r="I32" s="125">
        <v>8</v>
      </c>
      <c r="J32" s="123" t="str" cm="1">
        <f t="array" ref="J32">_xll.Dce_Name_SectI(F32, F32, G32, H32, I32, "x", "-", $AX$11)</f>
        <v>264x212x5x8</v>
      </c>
      <c r="K32" s="12" cm="1">
        <f t="array" ref="K32">_xll.DCEPropSectI(F32, H32, G32, I32, G32, I32, "A")/100</f>
        <v>46.32</v>
      </c>
      <c r="L32" s="117" t="s">
        <v>218</v>
      </c>
      <c r="M32" s="12">
        <v>-53.849437795160796</v>
      </c>
      <c r="N32" s="117">
        <v>0.9</v>
      </c>
      <c r="O32" s="117">
        <f t="shared" si="9"/>
        <v>8.7029999999999994</v>
      </c>
      <c r="P32" s="117">
        <v>0.9</v>
      </c>
      <c r="Q32" s="118">
        <f t="shared" si="10"/>
        <v>8.7029999999999994</v>
      </c>
      <c r="R32" s="118" cm="1">
        <f t="array" ref="R32">_xll.DCEPropSectI(F32, H32, G32, I32, G32, I32, "rx")/10</f>
        <v>11.562881075579337</v>
      </c>
      <c r="S32" s="118" cm="1">
        <f t="array" ref="S32">_xll.DCEPropSectI(F32, H32, G32, I32, G32, I32, "ry")/10</f>
        <v>5.237608536144422</v>
      </c>
      <c r="T32" s="12">
        <f t="shared" si="11"/>
        <v>75.26670855744274</v>
      </c>
      <c r="U32" s="118">
        <f t="shared" si="12"/>
        <v>166.16362104844453</v>
      </c>
      <c r="V32" s="118">
        <f t="shared" si="13"/>
        <v>166.16362104844453</v>
      </c>
      <c r="W32" s="12">
        <f t="shared" si="14"/>
        <v>200</v>
      </c>
      <c r="X32" s="119" cm="1">
        <f t="array" ref="X32">IF(M32&gt;0,1,_xll.DCETCVN5575FactorPhi7121(V32*SQRT($K$17/206000),"b"))</f>
        <v>0.24301446879398786</v>
      </c>
      <c r="Y32" s="120">
        <f t="shared" si="17"/>
        <v>0.22780392169722502</v>
      </c>
      <c r="Z32" s="12" t="str">
        <f t="shared" si="18"/>
        <v>OK</v>
      </c>
      <c r="BA32" s="70" t="s">
        <v>205</v>
      </c>
      <c r="BB32" s="71" t="s">
        <v>206</v>
      </c>
      <c r="BC32" s="71" t="s">
        <v>207</v>
      </c>
      <c r="BD32" s="71">
        <v>1.43</v>
      </c>
      <c r="BE32" s="71">
        <v>5.72</v>
      </c>
      <c r="BF32" s="71">
        <v>268</v>
      </c>
      <c r="BG32" s="71">
        <v>212</v>
      </c>
      <c r="BH32" s="71">
        <v>5</v>
      </c>
      <c r="BI32" s="71">
        <v>10</v>
      </c>
      <c r="BJ32" s="12" t="str" cm="1">
        <f t="array" ref="BJ32">_xll.Dce_Name_SectI(BF32, BF32, BG32, BH32, BI32, "x", "-", $AX$11)</f>
        <v>268x212x5x10</v>
      </c>
      <c r="BK32" s="77" cm="1">
        <f t="array" ref="BK32">_xll.DCEPropSectI(BF32, BH32, BG32, BI32, BG32, BI32, "A")/100</f>
        <v>54.8</v>
      </c>
      <c r="BL32" s="70" t="s">
        <v>219</v>
      </c>
      <c r="BM32" s="70">
        <v>-48.473580685001785</v>
      </c>
      <c r="BN32" s="71">
        <v>0.9</v>
      </c>
      <c r="BO32" s="77">
        <f t="shared" si="1"/>
        <v>5.1479999999999997</v>
      </c>
      <c r="BP32" s="71">
        <v>0.9</v>
      </c>
      <c r="BQ32" s="77">
        <f t="shared" si="2"/>
        <v>5.1479999999999997</v>
      </c>
      <c r="BR32" s="77" cm="1">
        <f t="array" ref="BR32">_xll.DCEPropSectI(BF32, BH32, BG32, BI32, BG32, BI32, "rx")/10</f>
        <v>11.847052463297633</v>
      </c>
      <c r="BS32" s="77" cm="1">
        <f t="array" ref="BS32">_xll.DCEPropSectI(BF32, BH32, BG32, BI32, BG32, BI32, "ry")/10</f>
        <v>5.3836052600564113</v>
      </c>
      <c r="BT32" s="5">
        <f t="shared" si="3"/>
        <v>43.453846566043239</v>
      </c>
      <c r="BU32" s="5">
        <f t="shared" si="4"/>
        <v>95.623652762870975</v>
      </c>
      <c r="BV32" s="5">
        <f t="shared" si="5"/>
        <v>95.623652762870975</v>
      </c>
      <c r="BW32" s="71">
        <f t="shared" si="6"/>
        <v>200</v>
      </c>
      <c r="BX32" s="78" cm="1">
        <f t="array" ref="BX32">IF(BM32&gt;0,1,_xll.DCETCVN5575FactorPhi7121(BV32*SQRT($K$17/206000),"b"))</f>
        <v>0.59843366787807328</v>
      </c>
      <c r="BY32" s="64">
        <f t="shared" si="7"/>
        <v>7.0386477195704386E-2</v>
      </c>
      <c r="BZ32" s="3" t="str">
        <f t="shared" si="8"/>
        <v>OK</v>
      </c>
    </row>
    <row r="33" spans="1:78">
      <c r="A33" s="76" t="s">
        <v>205</v>
      </c>
      <c r="B33" s="76" t="s">
        <v>214</v>
      </c>
      <c r="C33" s="125" t="s">
        <v>207</v>
      </c>
      <c r="D33" s="125">
        <v>10.16</v>
      </c>
      <c r="E33" s="71">
        <v>10.16</v>
      </c>
      <c r="F33" s="71">
        <v>264</v>
      </c>
      <c r="G33" s="71">
        <v>212</v>
      </c>
      <c r="H33" s="126">
        <v>5</v>
      </c>
      <c r="I33" s="125">
        <v>8</v>
      </c>
      <c r="J33" s="123" t="str" cm="1">
        <f t="array" ref="J33">_xll.Dce_Name_SectI(F33, F33, G33, H33, I33, "x", "-", $AX$11)</f>
        <v>264x212x5x8</v>
      </c>
      <c r="K33" s="12" cm="1">
        <f t="array" ref="K33">_xll.DCEPropSectI(F33, H33, G33, I33, G33, I33, "A")/100</f>
        <v>46.32</v>
      </c>
      <c r="L33" s="117" t="s">
        <v>218</v>
      </c>
      <c r="M33" s="12">
        <v>216.88735454935966</v>
      </c>
      <c r="N33" s="117">
        <v>0.9</v>
      </c>
      <c r="O33" s="117">
        <f t="shared" si="9"/>
        <v>9.1440000000000001</v>
      </c>
      <c r="P33" s="117">
        <v>0.9</v>
      </c>
      <c r="Q33" s="118">
        <f t="shared" si="10"/>
        <v>9.1440000000000001</v>
      </c>
      <c r="R33" s="118" cm="1">
        <f t="array" ref="R33">_xll.DCEPropSectI(F33, H33, G33, I33, G33, I33, "rx")/10</f>
        <v>11.562881075579337</v>
      </c>
      <c r="S33" s="118" cm="1">
        <f t="array" ref="S33">_xll.DCEPropSectI(F33, H33, G33, I33, G33, I33, "ry")/10</f>
        <v>5.237608536144422</v>
      </c>
      <c r="T33" s="12">
        <f t="shared" si="11"/>
        <v>79.080636912473437</v>
      </c>
      <c r="U33" s="118">
        <f t="shared" si="12"/>
        <v>174.58349429702133</v>
      </c>
      <c r="V33" s="118">
        <f t="shared" si="13"/>
        <v>174.58349429702133</v>
      </c>
      <c r="W33" s="12">
        <f t="shared" si="14"/>
        <v>400</v>
      </c>
      <c r="X33" s="119" cm="1">
        <f t="array" ref="X33">IF(M33&gt;0,1,_xll.DCETCVN5575FactorPhi7121(V33*SQRT($K$17/206000),"b"))</f>
        <v>1</v>
      </c>
      <c r="Y33" s="120">
        <f t="shared" si="17"/>
        <v>0.22296997548046676</v>
      </c>
      <c r="Z33" s="12" t="str">
        <f t="shared" si="18"/>
        <v>OK</v>
      </c>
      <c r="BA33" s="70" t="s">
        <v>205</v>
      </c>
      <c r="BB33" s="71" t="s">
        <v>206</v>
      </c>
      <c r="BC33" s="71" t="s">
        <v>207</v>
      </c>
      <c r="BD33" s="71">
        <v>2.15</v>
      </c>
      <c r="BE33" s="71">
        <v>5.72</v>
      </c>
      <c r="BF33" s="71">
        <v>268</v>
      </c>
      <c r="BG33" s="71">
        <v>212</v>
      </c>
      <c r="BH33" s="71">
        <v>5</v>
      </c>
      <c r="BI33" s="71">
        <v>10</v>
      </c>
      <c r="BJ33" s="12" t="str" cm="1">
        <f t="array" ref="BJ33">_xll.Dce_Name_SectI(BF33, BF33, BG33, BH33, BI33, "x", "-", $AX$11)</f>
        <v>268x212x5x10</v>
      </c>
      <c r="BK33" s="77" cm="1">
        <f t="array" ref="BK33">_xll.DCEPropSectI(BF33, BH33, BG33, BI33, BG33, BI33, "A")/100</f>
        <v>54.8</v>
      </c>
      <c r="BL33" s="70" t="s">
        <v>219</v>
      </c>
      <c r="BM33" s="70">
        <v>-48.77543939255937</v>
      </c>
      <c r="BN33" s="71">
        <v>0.9</v>
      </c>
      <c r="BO33" s="77">
        <f t="shared" si="1"/>
        <v>5.1479999999999997</v>
      </c>
      <c r="BP33" s="71">
        <v>0.9</v>
      </c>
      <c r="BQ33" s="77">
        <f t="shared" si="2"/>
        <v>5.1479999999999997</v>
      </c>
      <c r="BR33" s="77" cm="1">
        <f t="array" ref="BR33">_xll.DCEPropSectI(BF33, BH33, BG33, BI33, BG33, BI33, "rx")/10</f>
        <v>11.847052463297633</v>
      </c>
      <c r="BS33" s="77" cm="1">
        <f t="array" ref="BS33">_xll.DCEPropSectI(BF33, BH33, BG33, BI33, BG33, BI33, "ry")/10</f>
        <v>5.3836052600564113</v>
      </c>
      <c r="BT33" s="5">
        <f t="shared" si="3"/>
        <v>43.453846566043239</v>
      </c>
      <c r="BU33" s="5">
        <f t="shared" si="4"/>
        <v>95.623652762870975</v>
      </c>
      <c r="BV33" s="5">
        <f t="shared" si="5"/>
        <v>95.623652762870975</v>
      </c>
      <c r="BW33" s="71">
        <f t="shared" si="6"/>
        <v>200</v>
      </c>
      <c r="BX33" s="78" cm="1">
        <f t="array" ref="BX33">IF(BM33&gt;0,1,_xll.DCETCVN5575FactorPhi7121(BV33*SQRT($K$17/206000),"b"))</f>
        <v>0.59843366787807328</v>
      </c>
      <c r="BY33" s="64">
        <f t="shared" si="7"/>
        <v>7.0824793712363138E-2</v>
      </c>
      <c r="BZ33" s="3" t="str">
        <f t="shared" si="8"/>
        <v>OK</v>
      </c>
    </row>
    <row r="34" spans="1:78">
      <c r="A34" s="76" t="s">
        <v>205</v>
      </c>
      <c r="B34" s="76" t="s">
        <v>215</v>
      </c>
      <c r="C34" s="125" t="s">
        <v>207</v>
      </c>
      <c r="D34" s="125">
        <v>9.33</v>
      </c>
      <c r="E34" s="71">
        <v>9.33</v>
      </c>
      <c r="F34" s="71">
        <v>264</v>
      </c>
      <c r="G34" s="71">
        <v>212</v>
      </c>
      <c r="H34" s="126">
        <v>5</v>
      </c>
      <c r="I34" s="125">
        <v>8</v>
      </c>
      <c r="J34" s="123" t="str" cm="1">
        <f t="array" ref="J34">_xll.Dce_Name_SectI(F34, F34, G34, H34, I34, "x", "-", $AX$11)</f>
        <v>264x212x5x8</v>
      </c>
      <c r="K34" s="12" cm="1">
        <f t="array" ref="K34">_xll.DCEPropSectI(F34, H34, G34, I34, G34, I34, "A")/100</f>
        <v>46.32</v>
      </c>
      <c r="L34" s="117" t="s">
        <v>218</v>
      </c>
      <c r="M34" s="12">
        <v>265.48951807666083</v>
      </c>
      <c r="N34" s="117">
        <v>0.9</v>
      </c>
      <c r="O34" s="117">
        <f t="shared" si="9"/>
        <v>8.3970000000000002</v>
      </c>
      <c r="P34" s="117">
        <v>0.9</v>
      </c>
      <c r="Q34" s="118">
        <f t="shared" si="10"/>
        <v>8.3970000000000002</v>
      </c>
      <c r="R34" s="118" cm="1">
        <f t="array" ref="R34">_xll.DCEPropSectI(F34, H34, G34, I34, G34, I34, "rx")/10</f>
        <v>11.562881075579337</v>
      </c>
      <c r="S34" s="118" cm="1">
        <f t="array" ref="S34">_xll.DCEPropSectI(F34, H34, G34, I34, G34, I34, "ry")/10</f>
        <v>5.237608536144422</v>
      </c>
      <c r="T34" s="12">
        <f t="shared" si="11"/>
        <v>72.620309290686734</v>
      </c>
      <c r="U34" s="118">
        <f t="shared" si="12"/>
        <v>160.3212600188198</v>
      </c>
      <c r="V34" s="118">
        <f t="shared" si="13"/>
        <v>160.3212600188198</v>
      </c>
      <c r="W34" s="12">
        <f t="shared" si="14"/>
        <v>400</v>
      </c>
      <c r="X34" s="119" cm="1">
        <f t="array" ref="X34">IF(M34&gt;0,1,_xll.DCETCVN5575FactorPhi7121(V34*SQRT($K$17/206000),"b"))</f>
        <v>1</v>
      </c>
      <c r="Y34" s="120">
        <f t="shared" si="17"/>
        <v>0.2729351900615396</v>
      </c>
      <c r="Z34" s="12" t="str">
        <f t="shared" si="18"/>
        <v>OK</v>
      </c>
      <c r="BA34" s="70" t="s">
        <v>205</v>
      </c>
      <c r="BB34" s="71" t="s">
        <v>206</v>
      </c>
      <c r="BC34" s="71" t="s">
        <v>207</v>
      </c>
      <c r="BD34" s="71">
        <v>2.86</v>
      </c>
      <c r="BE34" s="71">
        <v>5.72</v>
      </c>
      <c r="BF34" s="71">
        <v>268</v>
      </c>
      <c r="BG34" s="71">
        <v>212</v>
      </c>
      <c r="BH34" s="71">
        <v>5</v>
      </c>
      <c r="BI34" s="71">
        <v>10</v>
      </c>
      <c r="BJ34" s="12" t="str" cm="1">
        <f t="array" ref="BJ34">_xll.Dce_Name_SectI(BF34, BF34, BG34, BH34, BI34, "x", "-", $AX$11)</f>
        <v>268x212x5x10</v>
      </c>
      <c r="BK34" s="77" cm="1">
        <f t="array" ref="BK34">_xll.DCEPropSectI(BF34, BH34, BG34, BI34, BG34, BI34, "A")/100</f>
        <v>54.8</v>
      </c>
      <c r="BL34" s="70" t="s">
        <v>219</v>
      </c>
      <c r="BM34" s="70">
        <v>-49.077298100116948</v>
      </c>
      <c r="BN34" s="71">
        <v>0.9</v>
      </c>
      <c r="BO34" s="77">
        <f t="shared" si="1"/>
        <v>5.1479999999999997</v>
      </c>
      <c r="BP34" s="71">
        <v>0.9</v>
      </c>
      <c r="BQ34" s="77">
        <f t="shared" si="2"/>
        <v>5.1479999999999997</v>
      </c>
      <c r="BR34" s="77" cm="1">
        <f t="array" ref="BR34">_xll.DCEPropSectI(BF34, BH34, BG34, BI34, BG34, BI34, "rx")/10</f>
        <v>11.847052463297633</v>
      </c>
      <c r="BS34" s="77" cm="1">
        <f t="array" ref="BS34">_xll.DCEPropSectI(BF34, BH34, BG34, BI34, BG34, BI34, "ry")/10</f>
        <v>5.3836052600564113</v>
      </c>
      <c r="BT34" s="5">
        <f t="shared" si="3"/>
        <v>43.453846566043239</v>
      </c>
      <c r="BU34" s="5">
        <f t="shared" si="4"/>
        <v>95.623652762870975</v>
      </c>
      <c r="BV34" s="5">
        <f t="shared" si="5"/>
        <v>95.623652762870975</v>
      </c>
      <c r="BW34" s="71">
        <f t="shared" si="6"/>
        <v>200</v>
      </c>
      <c r="BX34" s="78" cm="1">
        <f t="array" ref="BX34">IF(BM34&gt;0,1,_xll.DCETCVN5575FactorPhi7121(BV34*SQRT($K$17/206000),"b"))</f>
        <v>0.59843366787807328</v>
      </c>
      <c r="BY34" s="64">
        <f t="shared" si="7"/>
        <v>7.1263110229021875E-2</v>
      </c>
      <c r="BZ34" s="3" t="str">
        <f t="shared" si="8"/>
        <v>OK</v>
      </c>
    </row>
    <row r="35" spans="1:78">
      <c r="A35" s="76" t="s">
        <v>205</v>
      </c>
      <c r="B35" s="76" t="s">
        <v>216</v>
      </c>
      <c r="C35" s="125" t="s">
        <v>207</v>
      </c>
      <c r="D35" s="125">
        <v>0</v>
      </c>
      <c r="E35" s="71">
        <v>9.44</v>
      </c>
      <c r="F35" s="71">
        <v>264</v>
      </c>
      <c r="G35" s="71">
        <v>212</v>
      </c>
      <c r="H35" s="126">
        <v>5</v>
      </c>
      <c r="I35" s="125">
        <v>8</v>
      </c>
      <c r="J35" s="123" t="str" cm="1">
        <f t="array" ref="J35">_xll.Dce_Name_SectI(F35, F35, G35, H35, I35, "x", "-", $AX$11)</f>
        <v>264x212x5x8</v>
      </c>
      <c r="K35" s="12" cm="1">
        <f t="array" ref="K35">_xll.DCEPropSectI(F35, H35, G35, I35, G35, I35, "A")/100</f>
        <v>46.32</v>
      </c>
      <c r="L35" s="117" t="s">
        <v>218</v>
      </c>
      <c r="M35" s="12">
        <v>120.81755033593834</v>
      </c>
      <c r="N35" s="117">
        <v>0.9</v>
      </c>
      <c r="O35" s="117">
        <f t="shared" si="9"/>
        <v>8.4960000000000004</v>
      </c>
      <c r="P35" s="117">
        <v>0.9</v>
      </c>
      <c r="Q35" s="118">
        <f t="shared" si="10"/>
        <v>8.4960000000000004</v>
      </c>
      <c r="R35" s="118" cm="1">
        <f t="array" ref="R35">_xll.DCEPropSectI(F35, H35, G35, I35, G35, I35, "rx")/10</f>
        <v>11.562881075579337</v>
      </c>
      <c r="S35" s="118" cm="1">
        <f t="array" ref="S35">_xll.DCEPropSectI(F35, H35, G35, I35, G35, I35, "ry")/10</f>
        <v>5.237608536144422</v>
      </c>
      <c r="T35" s="12">
        <f t="shared" si="11"/>
        <v>73.476497288754857</v>
      </c>
      <c r="U35" s="118">
        <f t="shared" si="12"/>
        <v>162.21143564605134</v>
      </c>
      <c r="V35" s="118">
        <f t="shared" si="13"/>
        <v>162.21143564605134</v>
      </c>
      <c r="W35" s="12">
        <f t="shared" si="14"/>
        <v>400</v>
      </c>
      <c r="X35" s="119" cm="1">
        <f t="array" ref="X35">IF(M35&gt;0,1,_xll.DCETCVN5575FactorPhi7121(V35*SQRT($K$17/206000),"b"))</f>
        <v>1</v>
      </c>
      <c r="Y35" s="120">
        <f t="shared" si="17"/>
        <v>0.12420588693142767</v>
      </c>
      <c r="Z35" s="12" t="str">
        <f t="shared" si="18"/>
        <v>OK</v>
      </c>
      <c r="BA35" s="70" t="s">
        <v>205</v>
      </c>
      <c r="BB35" s="71" t="s">
        <v>206</v>
      </c>
      <c r="BC35" s="71" t="s">
        <v>207</v>
      </c>
      <c r="BD35" s="71">
        <v>3.58</v>
      </c>
      <c r="BE35" s="71">
        <v>5.72</v>
      </c>
      <c r="BF35" s="71">
        <v>268</v>
      </c>
      <c r="BG35" s="71">
        <v>212</v>
      </c>
      <c r="BH35" s="71">
        <v>5</v>
      </c>
      <c r="BI35" s="71">
        <v>10</v>
      </c>
      <c r="BJ35" s="12" t="str" cm="1">
        <f t="array" ref="BJ35">_xll.Dce_Name_SectI(BF35, BF35, BG35, BH35, BI35, "x", "-", $AX$11)</f>
        <v>268x212x5x10</v>
      </c>
      <c r="BK35" s="77" cm="1">
        <f t="array" ref="BK35">_xll.DCEPropSectI(BF35, BH35, BG35, BI35, BG35, BI35, "A")/100</f>
        <v>54.8</v>
      </c>
      <c r="BL35" s="70" t="s">
        <v>219</v>
      </c>
      <c r="BM35" s="70">
        <v>-49.379156807674534</v>
      </c>
      <c r="BN35" s="71">
        <v>0.9</v>
      </c>
      <c r="BO35" s="77">
        <f t="shared" si="1"/>
        <v>5.1479999999999997</v>
      </c>
      <c r="BP35" s="71">
        <v>0.9</v>
      </c>
      <c r="BQ35" s="77">
        <f t="shared" si="2"/>
        <v>5.1479999999999997</v>
      </c>
      <c r="BR35" s="77" cm="1">
        <f t="array" ref="BR35">_xll.DCEPropSectI(BF35, BH35, BG35, BI35, BG35, BI35, "rx")/10</f>
        <v>11.847052463297633</v>
      </c>
      <c r="BS35" s="77" cm="1">
        <f t="array" ref="BS35">_xll.DCEPropSectI(BF35, BH35, BG35, BI35, BG35, BI35, "ry")/10</f>
        <v>5.3836052600564113</v>
      </c>
      <c r="BT35" s="5">
        <f t="shared" si="3"/>
        <v>43.453846566043239</v>
      </c>
      <c r="BU35" s="5">
        <f t="shared" si="4"/>
        <v>95.623652762870975</v>
      </c>
      <c r="BV35" s="5">
        <f t="shared" si="5"/>
        <v>95.623652762870975</v>
      </c>
      <c r="BW35" s="71">
        <f t="shared" si="6"/>
        <v>200</v>
      </c>
      <c r="BX35" s="78" cm="1">
        <f t="array" ref="BX35">IF(BM35&gt;0,1,_xll.DCETCVN5575FactorPhi7121(BV35*SQRT($K$17/206000),"b"))</f>
        <v>0.59843366787807328</v>
      </c>
      <c r="BY35" s="64">
        <f t="shared" si="7"/>
        <v>7.1701426745680627E-2</v>
      </c>
      <c r="BZ35" s="3" t="str">
        <f t="shared" si="8"/>
        <v>OK</v>
      </c>
    </row>
    <row r="36" spans="1:78">
      <c r="A36" s="76"/>
      <c r="B36" s="76"/>
      <c r="C36" s="125"/>
      <c r="D36" s="125"/>
      <c r="E36" s="71"/>
      <c r="F36" s="71"/>
      <c r="G36" s="71"/>
      <c r="H36" s="126"/>
      <c r="I36" s="125"/>
      <c r="J36" s="123"/>
      <c r="K36" s="12"/>
      <c r="L36" s="117"/>
      <c r="M36" s="12"/>
      <c r="N36" s="117"/>
      <c r="O36" s="117"/>
      <c r="P36" s="117"/>
      <c r="Q36" s="118"/>
      <c r="R36" s="118"/>
      <c r="S36" s="118"/>
      <c r="T36" s="12"/>
      <c r="U36" s="118"/>
      <c r="V36" s="118"/>
      <c r="W36" s="12"/>
      <c r="X36" s="119"/>
      <c r="Y36" s="120"/>
      <c r="Z36" s="12"/>
      <c r="BA36" s="70" t="s">
        <v>205</v>
      </c>
      <c r="BB36" s="71" t="s">
        <v>206</v>
      </c>
      <c r="BC36" s="71" t="s">
        <v>207</v>
      </c>
      <c r="BD36" s="71">
        <v>4.29</v>
      </c>
      <c r="BE36" s="71">
        <v>5.72</v>
      </c>
      <c r="BF36" s="71">
        <v>268</v>
      </c>
      <c r="BG36" s="71">
        <v>212</v>
      </c>
      <c r="BH36" s="71">
        <v>5</v>
      </c>
      <c r="BI36" s="71">
        <v>10</v>
      </c>
      <c r="BJ36" s="12" t="str" cm="1">
        <f t="array" ref="BJ36">_xll.Dce_Name_SectI(BF36, BF36, BG36, BH36, BI36, "x", "-", $AX$11)</f>
        <v>268x212x5x10</v>
      </c>
      <c r="BK36" s="77" cm="1">
        <f t="array" ref="BK36">_xll.DCEPropSectI(BF36, BH36, BG36, BI36, BG36, BI36, "A")/100</f>
        <v>54.8</v>
      </c>
      <c r="BL36" s="70" t="s">
        <v>219</v>
      </c>
      <c r="BM36" s="70">
        <v>-49.681015515232119</v>
      </c>
      <c r="BN36" s="71">
        <v>0.9</v>
      </c>
      <c r="BO36" s="77">
        <f t="shared" si="1"/>
        <v>5.1479999999999997</v>
      </c>
      <c r="BP36" s="71">
        <v>0.9</v>
      </c>
      <c r="BQ36" s="77">
        <f t="shared" si="2"/>
        <v>5.1479999999999997</v>
      </c>
      <c r="BR36" s="77" cm="1">
        <f t="array" ref="BR36">_xll.DCEPropSectI(BF36, BH36, BG36, BI36, BG36, BI36, "rx")/10</f>
        <v>11.847052463297633</v>
      </c>
      <c r="BS36" s="77" cm="1">
        <f t="array" ref="BS36">_xll.DCEPropSectI(BF36, BH36, BG36, BI36, BG36, BI36, "ry")/10</f>
        <v>5.3836052600564113</v>
      </c>
      <c r="BT36" s="5">
        <f t="shared" si="3"/>
        <v>43.453846566043239</v>
      </c>
      <c r="BU36" s="5">
        <f t="shared" si="4"/>
        <v>95.623652762870975</v>
      </c>
      <c r="BV36" s="5">
        <f t="shared" si="5"/>
        <v>95.623652762870975</v>
      </c>
      <c r="BW36" s="71">
        <f t="shared" si="6"/>
        <v>200</v>
      </c>
      <c r="BX36" s="78" cm="1">
        <f t="array" ref="BX36">IF(BM36&gt;0,1,_xll.DCETCVN5575FactorPhi7121(BV36*SQRT($K$17/206000),"b"))</f>
        <v>0.59843366787807328</v>
      </c>
      <c r="BY36" s="64">
        <f t="shared" si="7"/>
        <v>7.2139743262339379E-2</v>
      </c>
      <c r="BZ36" s="3" t="str">
        <f t="shared" si="8"/>
        <v>OK</v>
      </c>
    </row>
    <row r="37" spans="1:78">
      <c r="A37" s="76"/>
      <c r="B37" s="76"/>
      <c r="C37" s="125"/>
      <c r="D37" s="125"/>
      <c r="E37" s="71"/>
      <c r="F37" s="71"/>
      <c r="G37" s="71"/>
      <c r="H37" s="126"/>
      <c r="I37" s="125"/>
      <c r="J37" s="123"/>
      <c r="K37" s="12"/>
      <c r="L37" s="117"/>
      <c r="M37" s="12"/>
      <c r="N37" s="117"/>
      <c r="O37" s="117"/>
      <c r="P37" s="117"/>
      <c r="Q37" s="118"/>
      <c r="R37" s="118"/>
      <c r="S37" s="118"/>
      <c r="T37" s="12"/>
      <c r="U37" s="118"/>
      <c r="V37" s="118"/>
      <c r="W37" s="12"/>
      <c r="X37" s="119"/>
      <c r="Y37" s="120"/>
      <c r="Z37" s="12"/>
      <c r="BA37" s="70" t="s">
        <v>205</v>
      </c>
      <c r="BB37" s="71" t="s">
        <v>206</v>
      </c>
      <c r="BC37" s="71" t="s">
        <v>207</v>
      </c>
      <c r="BD37" s="71">
        <v>5.01</v>
      </c>
      <c r="BE37" s="71">
        <v>5.72</v>
      </c>
      <c r="BF37" s="71">
        <v>268</v>
      </c>
      <c r="BG37" s="71">
        <v>212</v>
      </c>
      <c r="BH37" s="71">
        <v>5</v>
      </c>
      <c r="BI37" s="71">
        <v>10</v>
      </c>
      <c r="BJ37" s="12" t="str" cm="1">
        <f t="array" ref="BJ37">_xll.Dce_Name_SectI(BF37, BF37, BG37, BH37, BI37, "x", "-", $AX$11)</f>
        <v>268x212x5x10</v>
      </c>
      <c r="BK37" s="77" cm="1">
        <f t="array" ref="BK37">_xll.DCEPropSectI(BF37, BH37, BG37, BI37, BG37, BI37, "A")/100</f>
        <v>54.8</v>
      </c>
      <c r="BL37" s="70" t="s">
        <v>219</v>
      </c>
      <c r="BM37" s="70">
        <v>-49.982874222789704</v>
      </c>
      <c r="BN37" s="71">
        <v>0.9</v>
      </c>
      <c r="BO37" s="77">
        <f t="shared" si="1"/>
        <v>5.1479999999999997</v>
      </c>
      <c r="BP37" s="71">
        <v>0.9</v>
      </c>
      <c r="BQ37" s="77">
        <f t="shared" si="2"/>
        <v>5.1479999999999997</v>
      </c>
      <c r="BR37" s="77" cm="1">
        <f t="array" ref="BR37">_xll.DCEPropSectI(BF37, BH37, BG37, BI37, BG37, BI37, "rx")/10</f>
        <v>11.847052463297633</v>
      </c>
      <c r="BS37" s="77" cm="1">
        <f t="array" ref="BS37">_xll.DCEPropSectI(BF37, BH37, BG37, BI37, BG37, BI37, "ry")/10</f>
        <v>5.3836052600564113</v>
      </c>
      <c r="BT37" s="5">
        <f t="shared" si="3"/>
        <v>43.453846566043239</v>
      </c>
      <c r="BU37" s="5">
        <f t="shared" si="4"/>
        <v>95.623652762870975</v>
      </c>
      <c r="BV37" s="5">
        <f t="shared" si="5"/>
        <v>95.623652762870975</v>
      </c>
      <c r="BW37" s="71">
        <f t="shared" si="6"/>
        <v>200</v>
      </c>
      <c r="BX37" s="78" cm="1">
        <f t="array" ref="BX37">IF(BM37&gt;0,1,_xll.DCETCVN5575FactorPhi7121(BV37*SQRT($K$17/206000),"b"))</f>
        <v>0.59843366787807328</v>
      </c>
      <c r="BY37" s="64">
        <f t="shared" si="7"/>
        <v>7.2578059778998116E-2</v>
      </c>
      <c r="BZ37" s="3" t="str">
        <f t="shared" si="8"/>
        <v>OK</v>
      </c>
    </row>
    <row r="38" spans="1:78">
      <c r="A38" s="76"/>
      <c r="B38" s="76"/>
      <c r="C38" s="125"/>
      <c r="D38" s="125"/>
      <c r="E38" s="71"/>
      <c r="F38" s="71"/>
      <c r="G38" s="71"/>
      <c r="H38" s="126"/>
      <c r="I38" s="125"/>
      <c r="J38" s="123"/>
      <c r="K38" s="12"/>
      <c r="L38" s="117"/>
      <c r="M38" s="12"/>
      <c r="N38" s="117"/>
      <c r="O38" s="117"/>
      <c r="P38" s="117"/>
      <c r="Q38" s="118"/>
      <c r="R38" s="118"/>
      <c r="S38" s="118"/>
      <c r="T38" s="12"/>
      <c r="U38" s="118"/>
      <c r="V38" s="118"/>
      <c r="W38" s="12"/>
      <c r="X38" s="119"/>
      <c r="Y38" s="120"/>
      <c r="Z38" s="12"/>
      <c r="BA38" s="70" t="s">
        <v>205</v>
      </c>
      <c r="BB38" s="71" t="s">
        <v>206</v>
      </c>
      <c r="BC38" s="71" t="s">
        <v>207</v>
      </c>
      <c r="BD38" s="71">
        <v>5.72</v>
      </c>
      <c r="BE38" s="71">
        <v>5.72</v>
      </c>
      <c r="BF38" s="71">
        <v>268</v>
      </c>
      <c r="BG38" s="71">
        <v>212</v>
      </c>
      <c r="BH38" s="71">
        <v>5</v>
      </c>
      <c r="BI38" s="71">
        <v>10</v>
      </c>
      <c r="BJ38" s="12" t="str" cm="1">
        <f t="array" ref="BJ38">_xll.Dce_Name_SectI(BF38, BF38, BG38, BH38, BI38, "x", "-", $AX$11)</f>
        <v>268x212x5x10</v>
      </c>
      <c r="BK38" s="77" cm="1">
        <f t="array" ref="BK38">_xll.DCEPropSectI(BF38, BH38, BG38, BI38, BG38, BI38, "A")/100</f>
        <v>54.8</v>
      </c>
      <c r="BL38" s="70" t="s">
        <v>219</v>
      </c>
      <c r="BM38" s="70">
        <v>-50.284732930347289</v>
      </c>
      <c r="BN38" s="71">
        <v>0.9</v>
      </c>
      <c r="BO38" s="77">
        <f t="shared" si="1"/>
        <v>5.1479999999999997</v>
      </c>
      <c r="BP38" s="71">
        <v>0.9</v>
      </c>
      <c r="BQ38" s="77">
        <f t="shared" si="2"/>
        <v>5.1479999999999997</v>
      </c>
      <c r="BR38" s="77" cm="1">
        <f t="array" ref="BR38">_xll.DCEPropSectI(BF38, BH38, BG38, BI38, BG38, BI38, "rx")/10</f>
        <v>11.847052463297633</v>
      </c>
      <c r="BS38" s="77" cm="1">
        <f t="array" ref="BS38">_xll.DCEPropSectI(BF38, BH38, BG38, BI38, BG38, BI38, "ry")/10</f>
        <v>5.3836052600564113</v>
      </c>
      <c r="BT38" s="5">
        <f t="shared" si="3"/>
        <v>43.453846566043239</v>
      </c>
      <c r="BU38" s="5">
        <f t="shared" si="4"/>
        <v>95.623652762870975</v>
      </c>
      <c r="BV38" s="5">
        <f t="shared" si="5"/>
        <v>95.623652762870975</v>
      </c>
      <c r="BW38" s="71">
        <f t="shared" si="6"/>
        <v>200</v>
      </c>
      <c r="BX38" s="78" cm="1">
        <f t="array" ref="BX38">IF(BM38&gt;0,1,_xll.DCETCVN5575FactorPhi7121(BV38*SQRT($K$17/206000),"b"))</f>
        <v>0.59843366787807328</v>
      </c>
      <c r="BY38" s="64">
        <f t="shared" si="7"/>
        <v>7.3016376295656882E-2</v>
      </c>
      <c r="BZ38" s="3" t="str">
        <f t="shared" si="8"/>
        <v>OK</v>
      </c>
    </row>
    <row r="39" spans="1:78">
      <c r="A39" s="76"/>
      <c r="B39" s="76"/>
      <c r="C39" s="125"/>
      <c r="D39" s="125"/>
      <c r="E39" s="71"/>
      <c r="F39" s="71"/>
      <c r="G39" s="71"/>
      <c r="H39" s="126"/>
      <c r="I39" s="125"/>
      <c r="J39" s="123"/>
      <c r="K39" s="12"/>
      <c r="L39" s="117"/>
      <c r="M39" s="12"/>
      <c r="N39" s="117"/>
      <c r="O39" s="117"/>
      <c r="P39" s="117"/>
      <c r="Q39" s="118"/>
      <c r="R39" s="118"/>
      <c r="S39" s="118"/>
      <c r="T39" s="12"/>
      <c r="U39" s="118"/>
      <c r="V39" s="118"/>
      <c r="W39" s="12"/>
      <c r="X39" s="119"/>
      <c r="Y39" s="120"/>
      <c r="Z39" s="12"/>
      <c r="BA39" s="70" t="s">
        <v>205</v>
      </c>
      <c r="BB39" s="71" t="s">
        <v>206</v>
      </c>
      <c r="BC39" s="71" t="s">
        <v>207</v>
      </c>
      <c r="BD39" s="71">
        <v>0</v>
      </c>
      <c r="BE39" s="71">
        <v>5.72</v>
      </c>
      <c r="BF39" s="71">
        <v>268</v>
      </c>
      <c r="BG39" s="71">
        <v>212</v>
      </c>
      <c r="BH39" s="71">
        <v>5</v>
      </c>
      <c r="BI39" s="71">
        <v>10</v>
      </c>
      <c r="BJ39" s="12" t="str" cm="1">
        <f t="array" ref="BJ39">_xll.Dce_Name_SectI(BF39, BF39, BG39, BH39, BI39, "x", "-", $AX$11)</f>
        <v>268x212x5x10</v>
      </c>
      <c r="BK39" s="77" cm="1">
        <f t="array" ref="BK39">_xll.DCEPropSectI(BF39, BH39, BG39, BI39, BG39, BI39, "A")/100</f>
        <v>54.8</v>
      </c>
      <c r="BL39" s="70" t="s">
        <v>220</v>
      </c>
      <c r="BM39" s="70">
        <v>-86.098619501789926</v>
      </c>
      <c r="BN39" s="71">
        <v>0.9</v>
      </c>
      <c r="BO39" s="77">
        <f t="shared" si="1"/>
        <v>5.1479999999999997</v>
      </c>
      <c r="BP39" s="71">
        <v>0.9</v>
      </c>
      <c r="BQ39" s="77">
        <f t="shared" si="2"/>
        <v>5.1479999999999997</v>
      </c>
      <c r="BR39" s="77" cm="1">
        <f t="array" ref="BR39">_xll.DCEPropSectI(BF39, BH39, BG39, BI39, BG39, BI39, "rx")/10</f>
        <v>11.847052463297633</v>
      </c>
      <c r="BS39" s="77" cm="1">
        <f t="array" ref="BS39">_xll.DCEPropSectI(BF39, BH39, BG39, BI39, BG39, BI39, "ry")/10</f>
        <v>5.3836052600564113</v>
      </c>
      <c r="BT39" s="5">
        <f t="shared" si="3"/>
        <v>43.453846566043239</v>
      </c>
      <c r="BU39" s="5">
        <f t="shared" si="4"/>
        <v>95.623652762870975</v>
      </c>
      <c r="BV39" s="5">
        <f t="shared" si="5"/>
        <v>95.623652762870975</v>
      </c>
      <c r="BW39" s="71">
        <f t="shared" si="6"/>
        <v>200</v>
      </c>
      <c r="BX39" s="78" cm="1">
        <f t="array" ref="BX39">IF(BM39&gt;0,1,_xll.DCETCVN5575FactorPhi7121(BV39*SQRT($K$17/206000),"b"))</f>
        <v>0.59843366787807328</v>
      </c>
      <c r="BY39" s="64">
        <f t="shared" si="7"/>
        <v>0.12502023643612215</v>
      </c>
      <c r="BZ39" s="3" t="str">
        <f t="shared" si="8"/>
        <v>OK</v>
      </c>
    </row>
    <row r="40" spans="1:78">
      <c r="A40" s="76"/>
      <c r="B40" s="76"/>
      <c r="C40" s="125"/>
      <c r="D40" s="125"/>
      <c r="E40" s="71"/>
      <c r="F40" s="71"/>
      <c r="G40" s="71"/>
      <c r="H40" s="126"/>
      <c r="I40" s="125"/>
      <c r="J40" s="123"/>
      <c r="K40" s="12"/>
      <c r="L40" s="117"/>
      <c r="M40" s="12"/>
      <c r="N40" s="117"/>
      <c r="O40" s="117"/>
      <c r="P40" s="117"/>
      <c r="Q40" s="118"/>
      <c r="R40" s="118"/>
      <c r="S40" s="118"/>
      <c r="T40" s="12"/>
      <c r="U40" s="118"/>
      <c r="V40" s="118"/>
      <c r="W40" s="12"/>
      <c r="X40" s="119"/>
      <c r="Y40" s="120"/>
      <c r="Z40" s="12"/>
      <c r="BA40" s="70" t="s">
        <v>205</v>
      </c>
      <c r="BB40" s="71" t="s">
        <v>206</v>
      </c>
      <c r="BC40" s="71" t="s">
        <v>207</v>
      </c>
      <c r="BD40" s="71">
        <v>0.72</v>
      </c>
      <c r="BE40" s="71">
        <v>5.72</v>
      </c>
      <c r="BF40" s="71">
        <v>268</v>
      </c>
      <c r="BG40" s="71">
        <v>212</v>
      </c>
      <c r="BH40" s="71">
        <v>5</v>
      </c>
      <c r="BI40" s="71">
        <v>10</v>
      </c>
      <c r="BJ40" s="12" t="str" cm="1">
        <f t="array" ref="BJ40">_xll.Dce_Name_SectI(BF40, BF40, BG40, BH40, BI40, "x", "-", $AX$11)</f>
        <v>268x212x5x10</v>
      </c>
      <c r="BK40" s="77" cm="1">
        <f t="array" ref="BK40">_xll.DCEPropSectI(BF40, BH40, BG40, BI40, BG40, BI40, "A")/100</f>
        <v>54.8</v>
      </c>
      <c r="BL40" s="70" t="s">
        <v>220</v>
      </c>
      <c r="BM40" s="70">
        <v>-86.400478209347511</v>
      </c>
      <c r="BN40" s="71">
        <v>0.9</v>
      </c>
      <c r="BO40" s="77">
        <f t="shared" si="1"/>
        <v>5.1479999999999997</v>
      </c>
      <c r="BP40" s="71">
        <v>0.9</v>
      </c>
      <c r="BQ40" s="77">
        <f t="shared" si="2"/>
        <v>5.1479999999999997</v>
      </c>
      <c r="BR40" s="77" cm="1">
        <f t="array" ref="BR40">_xll.DCEPropSectI(BF40, BH40, BG40, BI40, BG40, BI40, "rx")/10</f>
        <v>11.847052463297633</v>
      </c>
      <c r="BS40" s="77" cm="1">
        <f t="array" ref="BS40">_xll.DCEPropSectI(BF40, BH40, BG40, BI40, BG40, BI40, "ry")/10</f>
        <v>5.3836052600564113</v>
      </c>
      <c r="BT40" s="5">
        <f t="shared" si="3"/>
        <v>43.453846566043239</v>
      </c>
      <c r="BU40" s="5">
        <f t="shared" si="4"/>
        <v>95.623652762870975</v>
      </c>
      <c r="BV40" s="5">
        <f t="shared" si="5"/>
        <v>95.623652762870975</v>
      </c>
      <c r="BW40" s="71">
        <f t="shared" si="6"/>
        <v>200</v>
      </c>
      <c r="BX40" s="78" cm="1">
        <f t="array" ref="BX40">IF(BM40&gt;0,1,_xll.DCETCVN5575FactorPhi7121(BV40*SQRT($K$17/206000),"b"))</f>
        <v>0.59843366787807328</v>
      </c>
      <c r="BY40" s="64">
        <f t="shared" si="7"/>
        <v>0.12545855295278088</v>
      </c>
      <c r="BZ40" s="3" t="str">
        <f t="shared" si="8"/>
        <v>OK</v>
      </c>
    </row>
    <row r="41" spans="1:78">
      <c r="A41" s="76"/>
      <c r="B41" s="76"/>
      <c r="C41" s="125"/>
      <c r="D41" s="125"/>
      <c r="E41" s="71"/>
      <c r="F41" s="71"/>
      <c r="G41" s="71"/>
      <c r="H41" s="126"/>
      <c r="I41" s="125"/>
      <c r="J41" s="123"/>
      <c r="K41" s="12"/>
      <c r="L41" s="117"/>
      <c r="M41" s="12"/>
      <c r="N41" s="117"/>
      <c r="O41" s="117"/>
      <c r="P41" s="117"/>
      <c r="Q41" s="118"/>
      <c r="R41" s="118"/>
      <c r="S41" s="118"/>
      <c r="T41" s="12"/>
      <c r="U41" s="118"/>
      <c r="V41" s="118"/>
      <c r="W41" s="12"/>
      <c r="X41" s="119"/>
      <c r="Y41" s="120"/>
      <c r="Z41" s="12"/>
      <c r="BA41" s="70" t="s">
        <v>205</v>
      </c>
      <c r="BB41" s="71" t="s">
        <v>206</v>
      </c>
      <c r="BC41" s="71" t="s">
        <v>207</v>
      </c>
      <c r="BD41" s="71">
        <v>1.43</v>
      </c>
      <c r="BE41" s="71">
        <v>5.72</v>
      </c>
      <c r="BF41" s="71">
        <v>268</v>
      </c>
      <c r="BG41" s="71">
        <v>212</v>
      </c>
      <c r="BH41" s="71">
        <v>5</v>
      </c>
      <c r="BI41" s="71">
        <v>10</v>
      </c>
      <c r="BJ41" s="12" t="str" cm="1">
        <f t="array" ref="BJ41">_xll.Dce_Name_SectI(BF41, BF41, BG41, BH41, BI41, "x", "-", $AX$11)</f>
        <v>268x212x5x10</v>
      </c>
      <c r="BK41" s="77" cm="1">
        <f t="array" ref="BK41">_xll.DCEPropSectI(BF41, BH41, BG41, BI41, BG41, BI41, "A")/100</f>
        <v>54.8</v>
      </c>
      <c r="BL41" s="70" t="s">
        <v>220</v>
      </c>
      <c r="BM41" s="70">
        <v>-86.702336916905097</v>
      </c>
      <c r="BN41" s="71">
        <v>0.9</v>
      </c>
      <c r="BO41" s="77">
        <f t="shared" si="1"/>
        <v>5.1479999999999997</v>
      </c>
      <c r="BP41" s="71">
        <v>0.9</v>
      </c>
      <c r="BQ41" s="77">
        <f t="shared" si="2"/>
        <v>5.1479999999999997</v>
      </c>
      <c r="BR41" s="77" cm="1">
        <f t="array" ref="BR41">_xll.DCEPropSectI(BF41, BH41, BG41, BI41, BG41, BI41, "rx")/10</f>
        <v>11.847052463297633</v>
      </c>
      <c r="BS41" s="77" cm="1">
        <f t="array" ref="BS41">_xll.DCEPropSectI(BF41, BH41, BG41, BI41, BG41, BI41, "ry")/10</f>
        <v>5.3836052600564113</v>
      </c>
      <c r="BT41" s="5">
        <f t="shared" si="3"/>
        <v>43.453846566043239</v>
      </c>
      <c r="BU41" s="5">
        <f t="shared" si="4"/>
        <v>95.623652762870975</v>
      </c>
      <c r="BV41" s="5">
        <f t="shared" si="5"/>
        <v>95.623652762870975</v>
      </c>
      <c r="BW41" s="71">
        <f t="shared" si="6"/>
        <v>200</v>
      </c>
      <c r="BX41" s="78" cm="1">
        <f t="array" ref="BX41">IF(BM41&gt;0,1,_xll.DCETCVN5575FactorPhi7121(BV41*SQRT($K$17/206000),"b"))</f>
        <v>0.59843366787807328</v>
      </c>
      <c r="BY41" s="64">
        <f t="shared" si="7"/>
        <v>0.12589686946943962</v>
      </c>
      <c r="BZ41" s="3" t="str">
        <f t="shared" si="8"/>
        <v>OK</v>
      </c>
    </row>
    <row r="42" spans="1:78">
      <c r="A42" s="76"/>
      <c r="B42" s="76"/>
      <c r="C42" s="125"/>
      <c r="D42" s="125"/>
      <c r="E42" s="71"/>
      <c r="F42" s="71"/>
      <c r="G42" s="71"/>
      <c r="H42" s="126"/>
      <c r="I42" s="125"/>
      <c r="J42" s="123"/>
      <c r="K42" s="12"/>
      <c r="L42" s="117"/>
      <c r="M42" s="12"/>
      <c r="N42" s="117"/>
      <c r="O42" s="117"/>
      <c r="P42" s="117"/>
      <c r="Q42" s="118"/>
      <c r="R42" s="118"/>
      <c r="S42" s="118"/>
      <c r="T42" s="12"/>
      <c r="U42" s="118"/>
      <c r="V42" s="118"/>
      <c r="W42" s="12"/>
      <c r="X42" s="119"/>
      <c r="Y42" s="120"/>
      <c r="Z42" s="12"/>
      <c r="BA42" s="70" t="s">
        <v>205</v>
      </c>
      <c r="BB42" s="71" t="s">
        <v>206</v>
      </c>
      <c r="BC42" s="71" t="s">
        <v>207</v>
      </c>
      <c r="BD42" s="71">
        <v>2.15</v>
      </c>
      <c r="BE42" s="71">
        <v>5.72</v>
      </c>
      <c r="BF42" s="71">
        <v>268</v>
      </c>
      <c r="BG42" s="71">
        <v>212</v>
      </c>
      <c r="BH42" s="71">
        <v>5</v>
      </c>
      <c r="BI42" s="71">
        <v>10</v>
      </c>
      <c r="BJ42" s="12" t="str" cm="1">
        <f t="array" ref="BJ42">_xll.Dce_Name_SectI(BF42, BF42, BG42, BH42, BI42, "x", "-", $AX$11)</f>
        <v>268x212x5x10</v>
      </c>
      <c r="BK42" s="77" cm="1">
        <f t="array" ref="BK42">_xll.DCEPropSectI(BF42, BH42, BG42, BI42, BG42, BI42, "A")/100</f>
        <v>54.8</v>
      </c>
      <c r="BL42" s="70" t="s">
        <v>220</v>
      </c>
      <c r="BM42" s="70">
        <v>-87.004195624462682</v>
      </c>
      <c r="BN42" s="71">
        <v>0.9</v>
      </c>
      <c r="BO42" s="77">
        <f t="shared" si="1"/>
        <v>5.1479999999999997</v>
      </c>
      <c r="BP42" s="71">
        <v>0.9</v>
      </c>
      <c r="BQ42" s="77">
        <f t="shared" si="2"/>
        <v>5.1479999999999997</v>
      </c>
      <c r="BR42" s="77" cm="1">
        <f t="array" ref="BR42">_xll.DCEPropSectI(BF42, BH42, BG42, BI42, BG42, BI42, "rx")/10</f>
        <v>11.847052463297633</v>
      </c>
      <c r="BS42" s="77" cm="1">
        <f t="array" ref="BS42">_xll.DCEPropSectI(BF42, BH42, BG42, BI42, BG42, BI42, "ry")/10</f>
        <v>5.3836052600564113</v>
      </c>
      <c r="BT42" s="5">
        <f t="shared" si="3"/>
        <v>43.453846566043239</v>
      </c>
      <c r="BU42" s="5">
        <f t="shared" si="4"/>
        <v>95.623652762870975</v>
      </c>
      <c r="BV42" s="5">
        <f t="shared" si="5"/>
        <v>95.623652762870975</v>
      </c>
      <c r="BW42" s="71">
        <f t="shared" si="6"/>
        <v>200</v>
      </c>
      <c r="BX42" s="78" cm="1">
        <f t="array" ref="BX42">IF(BM42&gt;0,1,_xll.DCETCVN5575FactorPhi7121(BV42*SQRT($K$17/206000),"b"))</f>
        <v>0.59843366787807328</v>
      </c>
      <c r="BY42" s="64">
        <f t="shared" si="7"/>
        <v>0.12633518598609836</v>
      </c>
      <c r="BZ42" s="3" t="str">
        <f t="shared" si="8"/>
        <v>OK</v>
      </c>
    </row>
    <row r="43" spans="1:78">
      <c r="A43" s="76"/>
      <c r="B43" s="76"/>
      <c r="C43" s="125"/>
      <c r="D43" s="125"/>
      <c r="E43" s="71"/>
      <c r="F43" s="71"/>
      <c r="G43" s="71"/>
      <c r="H43" s="126"/>
      <c r="I43" s="125"/>
      <c r="J43" s="123"/>
      <c r="K43" s="12"/>
      <c r="L43" s="117"/>
      <c r="M43" s="12"/>
      <c r="N43" s="117"/>
      <c r="O43" s="117"/>
      <c r="P43" s="117"/>
      <c r="Q43" s="118"/>
      <c r="R43" s="118"/>
      <c r="S43" s="118"/>
      <c r="T43" s="12"/>
      <c r="U43" s="118"/>
      <c r="V43" s="118"/>
      <c r="W43" s="12"/>
      <c r="X43" s="119"/>
      <c r="Y43" s="120"/>
      <c r="Z43" s="12"/>
      <c r="BA43" s="70" t="s">
        <v>205</v>
      </c>
      <c r="BB43" s="71" t="s">
        <v>206</v>
      </c>
      <c r="BC43" s="71" t="s">
        <v>207</v>
      </c>
      <c r="BD43" s="71">
        <v>2.86</v>
      </c>
      <c r="BE43" s="71">
        <v>5.72</v>
      </c>
      <c r="BF43" s="71">
        <v>268</v>
      </c>
      <c r="BG43" s="71">
        <v>212</v>
      </c>
      <c r="BH43" s="71">
        <v>5</v>
      </c>
      <c r="BI43" s="71">
        <v>10</v>
      </c>
      <c r="BJ43" s="12" t="str" cm="1">
        <f t="array" ref="BJ43">_xll.Dce_Name_SectI(BF43, BF43, BG43, BH43, BI43, "x", "-", $AX$11)</f>
        <v>268x212x5x10</v>
      </c>
      <c r="BK43" s="77" cm="1">
        <f t="array" ref="BK43">_xll.DCEPropSectI(BF43, BH43, BG43, BI43, BG43, BI43, "A")/100</f>
        <v>54.8</v>
      </c>
      <c r="BL43" s="70" t="s">
        <v>220</v>
      </c>
      <c r="BM43" s="70">
        <v>-87.306054332020267</v>
      </c>
      <c r="BN43" s="71">
        <v>0.9</v>
      </c>
      <c r="BO43" s="77">
        <f t="shared" si="1"/>
        <v>5.1479999999999997</v>
      </c>
      <c r="BP43" s="71">
        <v>0.9</v>
      </c>
      <c r="BQ43" s="77">
        <f t="shared" si="2"/>
        <v>5.1479999999999997</v>
      </c>
      <c r="BR43" s="77" cm="1">
        <f t="array" ref="BR43">_xll.DCEPropSectI(BF43, BH43, BG43, BI43, BG43, BI43, "rx")/10</f>
        <v>11.847052463297633</v>
      </c>
      <c r="BS43" s="77" cm="1">
        <f t="array" ref="BS43">_xll.DCEPropSectI(BF43, BH43, BG43, BI43, BG43, BI43, "ry")/10</f>
        <v>5.3836052600564113</v>
      </c>
      <c r="BT43" s="5">
        <f t="shared" si="3"/>
        <v>43.453846566043239</v>
      </c>
      <c r="BU43" s="5">
        <f t="shared" si="4"/>
        <v>95.623652762870975</v>
      </c>
      <c r="BV43" s="5">
        <f t="shared" si="5"/>
        <v>95.623652762870975</v>
      </c>
      <c r="BW43" s="71">
        <f t="shared" si="6"/>
        <v>200</v>
      </c>
      <c r="BX43" s="78" cm="1">
        <f t="array" ref="BX43">IF(BM43&gt;0,1,_xll.DCETCVN5575FactorPhi7121(BV43*SQRT($K$17/206000),"b"))</f>
        <v>0.59843366787807328</v>
      </c>
      <c r="BY43" s="64">
        <f t="shared" si="7"/>
        <v>0.12677350250275712</v>
      </c>
      <c r="BZ43" s="3" t="str">
        <f t="shared" si="8"/>
        <v>OK</v>
      </c>
    </row>
    <row r="44" spans="1:78">
      <c r="A44" s="76"/>
      <c r="B44" s="76"/>
      <c r="C44" s="125"/>
      <c r="D44" s="125"/>
      <c r="E44" s="71"/>
      <c r="F44" s="71"/>
      <c r="G44" s="71"/>
      <c r="H44" s="126"/>
      <c r="I44" s="125"/>
      <c r="J44" s="123"/>
      <c r="K44" s="12"/>
      <c r="L44" s="117"/>
      <c r="M44" s="12"/>
      <c r="N44" s="117"/>
      <c r="O44" s="117"/>
      <c r="P44" s="117"/>
      <c r="Q44" s="118"/>
      <c r="R44" s="118"/>
      <c r="S44" s="118"/>
      <c r="T44" s="12"/>
      <c r="U44" s="118"/>
      <c r="V44" s="118"/>
      <c r="W44" s="12"/>
      <c r="X44" s="119"/>
      <c r="Y44" s="120"/>
      <c r="Z44" s="12"/>
      <c r="BA44" s="70" t="s">
        <v>205</v>
      </c>
      <c r="BB44" s="71" t="s">
        <v>206</v>
      </c>
      <c r="BC44" s="71" t="s">
        <v>207</v>
      </c>
      <c r="BD44" s="71">
        <v>3.58</v>
      </c>
      <c r="BE44" s="71">
        <v>5.72</v>
      </c>
      <c r="BF44" s="71">
        <v>268</v>
      </c>
      <c r="BG44" s="71">
        <v>212</v>
      </c>
      <c r="BH44" s="71">
        <v>5</v>
      </c>
      <c r="BI44" s="71">
        <v>10</v>
      </c>
      <c r="BJ44" s="12" t="str" cm="1">
        <f t="array" ref="BJ44">_xll.Dce_Name_SectI(BF44, BF44, BG44, BH44, BI44, "x", "-", $AX$11)</f>
        <v>268x212x5x10</v>
      </c>
      <c r="BK44" s="77" cm="1">
        <f t="array" ref="BK44">_xll.DCEPropSectI(BF44, BH44, BG44, BI44, BG44, BI44, "A")/100</f>
        <v>54.8</v>
      </c>
      <c r="BL44" s="70" t="s">
        <v>220</v>
      </c>
      <c r="BM44" s="70">
        <v>-87.607913039577852</v>
      </c>
      <c r="BN44" s="71">
        <v>0.9</v>
      </c>
      <c r="BO44" s="77">
        <f t="shared" si="1"/>
        <v>5.1479999999999997</v>
      </c>
      <c r="BP44" s="71">
        <v>0.9</v>
      </c>
      <c r="BQ44" s="77">
        <f t="shared" si="2"/>
        <v>5.1479999999999997</v>
      </c>
      <c r="BR44" s="77" cm="1">
        <f t="array" ref="BR44">_xll.DCEPropSectI(BF44, BH44, BG44, BI44, BG44, BI44, "rx")/10</f>
        <v>11.847052463297633</v>
      </c>
      <c r="BS44" s="77" cm="1">
        <f t="array" ref="BS44">_xll.DCEPropSectI(BF44, BH44, BG44, BI44, BG44, BI44, "ry")/10</f>
        <v>5.3836052600564113</v>
      </c>
      <c r="BT44" s="5">
        <f t="shared" si="3"/>
        <v>43.453846566043239</v>
      </c>
      <c r="BU44" s="5">
        <f t="shared" si="4"/>
        <v>95.623652762870975</v>
      </c>
      <c r="BV44" s="5">
        <f t="shared" si="5"/>
        <v>95.623652762870975</v>
      </c>
      <c r="BW44" s="71">
        <f t="shared" si="6"/>
        <v>200</v>
      </c>
      <c r="BX44" s="78" cm="1">
        <f t="array" ref="BX44">IF(BM44&gt;0,1,_xll.DCETCVN5575FactorPhi7121(BV44*SQRT($K$17/206000),"b"))</f>
        <v>0.59843366787807328</v>
      </c>
      <c r="BY44" s="64">
        <f t="shared" si="7"/>
        <v>0.12721181901941586</v>
      </c>
      <c r="BZ44" s="3" t="str">
        <f t="shared" si="8"/>
        <v>OK</v>
      </c>
    </row>
    <row r="45" spans="1:78">
      <c r="A45" s="76"/>
      <c r="B45" s="76"/>
      <c r="C45" s="125"/>
      <c r="D45" s="125"/>
      <c r="E45" s="71"/>
      <c r="F45" s="71"/>
      <c r="G45" s="71"/>
      <c r="H45" s="126"/>
      <c r="I45" s="125"/>
      <c r="J45" s="123"/>
      <c r="K45" s="12"/>
      <c r="L45" s="117"/>
      <c r="M45" s="12"/>
      <c r="N45" s="117"/>
      <c r="O45" s="117"/>
      <c r="P45" s="117"/>
      <c r="Q45" s="118"/>
      <c r="R45" s="118"/>
      <c r="S45" s="118"/>
      <c r="T45" s="12"/>
      <c r="U45" s="118"/>
      <c r="V45" s="118"/>
      <c r="W45" s="12"/>
      <c r="X45" s="119"/>
      <c r="Y45" s="120"/>
      <c r="Z45" s="12"/>
      <c r="BA45" s="70" t="s">
        <v>205</v>
      </c>
      <c r="BB45" s="71" t="s">
        <v>206</v>
      </c>
      <c r="BC45" s="71" t="s">
        <v>207</v>
      </c>
      <c r="BD45" s="71">
        <v>4.29</v>
      </c>
      <c r="BE45" s="71">
        <v>5.72</v>
      </c>
      <c r="BF45" s="71">
        <v>268</v>
      </c>
      <c r="BG45" s="71">
        <v>212</v>
      </c>
      <c r="BH45" s="71">
        <v>5</v>
      </c>
      <c r="BI45" s="71">
        <v>10</v>
      </c>
      <c r="BJ45" s="12" t="str" cm="1">
        <f t="array" ref="BJ45">_xll.Dce_Name_SectI(BF45, BF45, BG45, BH45, BI45, "x", "-", $AX$11)</f>
        <v>268x212x5x10</v>
      </c>
      <c r="BK45" s="77" cm="1">
        <f t="array" ref="BK45">_xll.DCEPropSectI(BF45, BH45, BG45, BI45, BG45, BI45, "A")/100</f>
        <v>54.8</v>
      </c>
      <c r="BL45" s="70" t="s">
        <v>220</v>
      </c>
      <c r="BM45" s="70">
        <v>-87.909771747135437</v>
      </c>
      <c r="BN45" s="71">
        <v>0.9</v>
      </c>
      <c r="BO45" s="77">
        <f t="shared" si="1"/>
        <v>5.1479999999999997</v>
      </c>
      <c r="BP45" s="71">
        <v>0.9</v>
      </c>
      <c r="BQ45" s="77">
        <f t="shared" si="2"/>
        <v>5.1479999999999997</v>
      </c>
      <c r="BR45" s="77" cm="1">
        <f t="array" ref="BR45">_xll.DCEPropSectI(BF45, BH45, BG45, BI45, BG45, BI45, "rx")/10</f>
        <v>11.847052463297633</v>
      </c>
      <c r="BS45" s="77" cm="1">
        <f t="array" ref="BS45">_xll.DCEPropSectI(BF45, BH45, BG45, BI45, BG45, BI45, "ry")/10</f>
        <v>5.3836052600564113</v>
      </c>
      <c r="BT45" s="5">
        <f t="shared" si="3"/>
        <v>43.453846566043239</v>
      </c>
      <c r="BU45" s="5">
        <f t="shared" si="4"/>
        <v>95.623652762870975</v>
      </c>
      <c r="BV45" s="5">
        <f t="shared" si="5"/>
        <v>95.623652762870975</v>
      </c>
      <c r="BW45" s="71">
        <f t="shared" si="6"/>
        <v>200</v>
      </c>
      <c r="BX45" s="78" cm="1">
        <f t="array" ref="BX45">IF(BM45&gt;0,1,_xll.DCETCVN5575FactorPhi7121(BV45*SQRT($K$17/206000),"b"))</f>
        <v>0.59843366787807328</v>
      </c>
      <c r="BY45" s="64">
        <f t="shared" si="7"/>
        <v>0.12765013553607463</v>
      </c>
      <c r="BZ45" s="3" t="str">
        <f t="shared" si="8"/>
        <v>OK</v>
      </c>
    </row>
    <row r="46" spans="1:78">
      <c r="A46" s="76"/>
      <c r="B46" s="76"/>
      <c r="C46" s="125"/>
      <c r="D46" s="125"/>
      <c r="E46" s="71"/>
      <c r="F46" s="71"/>
      <c r="G46" s="71"/>
      <c r="H46" s="126"/>
      <c r="I46" s="125"/>
      <c r="J46" s="123"/>
      <c r="K46" s="12"/>
      <c r="L46" s="117"/>
      <c r="M46" s="12"/>
      <c r="N46" s="117"/>
      <c r="O46" s="117"/>
      <c r="P46" s="117"/>
      <c r="Q46" s="118"/>
      <c r="R46" s="118"/>
      <c r="S46" s="118"/>
      <c r="T46" s="12"/>
      <c r="U46" s="118"/>
      <c r="V46" s="118"/>
      <c r="W46" s="12"/>
      <c r="X46" s="119"/>
      <c r="Y46" s="120"/>
      <c r="Z46" s="12"/>
      <c r="BA46" s="70" t="s">
        <v>205</v>
      </c>
      <c r="BB46" s="71" t="s">
        <v>206</v>
      </c>
      <c r="BC46" s="71" t="s">
        <v>207</v>
      </c>
      <c r="BD46" s="71">
        <v>5.01</v>
      </c>
      <c r="BE46" s="71">
        <v>5.72</v>
      </c>
      <c r="BF46" s="71">
        <v>268</v>
      </c>
      <c r="BG46" s="71">
        <v>212</v>
      </c>
      <c r="BH46" s="71">
        <v>5</v>
      </c>
      <c r="BI46" s="71">
        <v>10</v>
      </c>
      <c r="BJ46" s="12" t="str" cm="1">
        <f t="array" ref="BJ46">_xll.Dce_Name_SectI(BF46, BF46, BG46, BH46, BI46, "x", "-", $AX$11)</f>
        <v>268x212x5x10</v>
      </c>
      <c r="BK46" s="77" cm="1">
        <f t="array" ref="BK46">_xll.DCEPropSectI(BF46, BH46, BG46, BI46, BG46, BI46, "A")/100</f>
        <v>54.8</v>
      </c>
      <c r="BL46" s="70" t="s">
        <v>220</v>
      </c>
      <c r="BM46" s="70">
        <v>-88.211630454693022</v>
      </c>
      <c r="BN46" s="71">
        <v>0.9</v>
      </c>
      <c r="BO46" s="77">
        <f t="shared" si="1"/>
        <v>5.1479999999999997</v>
      </c>
      <c r="BP46" s="71">
        <v>0.9</v>
      </c>
      <c r="BQ46" s="77">
        <f t="shared" si="2"/>
        <v>5.1479999999999997</v>
      </c>
      <c r="BR46" s="77" cm="1">
        <f t="array" ref="BR46">_xll.DCEPropSectI(BF46, BH46, BG46, BI46, BG46, BI46, "rx")/10</f>
        <v>11.847052463297633</v>
      </c>
      <c r="BS46" s="77" cm="1">
        <f t="array" ref="BS46">_xll.DCEPropSectI(BF46, BH46, BG46, BI46, BG46, BI46, "ry")/10</f>
        <v>5.3836052600564113</v>
      </c>
      <c r="BT46" s="5">
        <f t="shared" si="3"/>
        <v>43.453846566043239</v>
      </c>
      <c r="BU46" s="5">
        <f t="shared" si="4"/>
        <v>95.623652762870975</v>
      </c>
      <c r="BV46" s="5">
        <f t="shared" si="5"/>
        <v>95.623652762870975</v>
      </c>
      <c r="BW46" s="71">
        <f t="shared" si="6"/>
        <v>200</v>
      </c>
      <c r="BX46" s="78" cm="1">
        <f t="array" ref="BX46">IF(BM46&gt;0,1,_xll.DCETCVN5575FactorPhi7121(BV46*SQRT($K$17/206000),"b"))</f>
        <v>0.59843366787807328</v>
      </c>
      <c r="BY46" s="64">
        <f t="shared" si="7"/>
        <v>0.12808845205273336</v>
      </c>
      <c r="BZ46" s="3" t="str">
        <f t="shared" si="8"/>
        <v>OK</v>
      </c>
    </row>
    <row r="47" spans="1:78">
      <c r="A47" s="76"/>
      <c r="B47" s="76"/>
      <c r="C47" s="125"/>
      <c r="D47" s="125"/>
      <c r="E47" s="71"/>
      <c r="F47" s="71"/>
      <c r="G47" s="71"/>
      <c r="H47" s="126"/>
      <c r="I47" s="125"/>
      <c r="J47" s="123"/>
      <c r="K47" s="12"/>
      <c r="L47" s="117"/>
      <c r="M47" s="12"/>
      <c r="N47" s="117"/>
      <c r="O47" s="117"/>
      <c r="P47" s="117"/>
      <c r="Q47" s="118"/>
      <c r="R47" s="118"/>
      <c r="S47" s="118"/>
      <c r="T47" s="12"/>
      <c r="U47" s="118"/>
      <c r="V47" s="118"/>
      <c r="W47" s="12"/>
      <c r="X47" s="119"/>
      <c r="Y47" s="120"/>
      <c r="Z47" s="12"/>
      <c r="BA47" s="70" t="s">
        <v>205</v>
      </c>
      <c r="BB47" s="71" t="s">
        <v>206</v>
      </c>
      <c r="BC47" s="71" t="s">
        <v>207</v>
      </c>
      <c r="BD47" s="71">
        <v>5.72</v>
      </c>
      <c r="BE47" s="71">
        <v>5.72</v>
      </c>
      <c r="BF47" s="71">
        <v>268</v>
      </c>
      <c r="BG47" s="71">
        <v>212</v>
      </c>
      <c r="BH47" s="71">
        <v>5</v>
      </c>
      <c r="BI47" s="71">
        <v>10</v>
      </c>
      <c r="BJ47" s="12" t="str" cm="1">
        <f t="array" ref="BJ47">_xll.Dce_Name_SectI(BF47, BF47, BG47, BH47, BI47, "x", "-", $AX$11)</f>
        <v>268x212x5x10</v>
      </c>
      <c r="BK47" s="77" cm="1">
        <f t="array" ref="BK47">_xll.DCEPropSectI(BF47, BH47, BG47, BI47, BG47, BI47, "A")/100</f>
        <v>54.8</v>
      </c>
      <c r="BL47" s="70" t="s">
        <v>220</v>
      </c>
      <c r="BM47" s="70">
        <v>-88.513489162250607</v>
      </c>
      <c r="BN47" s="71">
        <v>0.9</v>
      </c>
      <c r="BO47" s="77">
        <f t="shared" si="1"/>
        <v>5.1479999999999997</v>
      </c>
      <c r="BP47" s="71">
        <v>0.9</v>
      </c>
      <c r="BQ47" s="77">
        <f t="shared" si="2"/>
        <v>5.1479999999999997</v>
      </c>
      <c r="BR47" s="77" cm="1">
        <f t="array" ref="BR47">_xll.DCEPropSectI(BF47, BH47, BG47, BI47, BG47, BI47, "rx")/10</f>
        <v>11.847052463297633</v>
      </c>
      <c r="BS47" s="77" cm="1">
        <f t="array" ref="BS47">_xll.DCEPropSectI(BF47, BH47, BG47, BI47, BG47, BI47, "ry")/10</f>
        <v>5.3836052600564113</v>
      </c>
      <c r="BT47" s="5">
        <f t="shared" si="3"/>
        <v>43.453846566043239</v>
      </c>
      <c r="BU47" s="5">
        <f t="shared" si="4"/>
        <v>95.623652762870975</v>
      </c>
      <c r="BV47" s="5">
        <f t="shared" si="5"/>
        <v>95.623652762870975</v>
      </c>
      <c r="BW47" s="71">
        <f t="shared" si="6"/>
        <v>200</v>
      </c>
      <c r="BX47" s="78" cm="1">
        <f t="array" ref="BX47">IF(BM47&gt;0,1,_xll.DCETCVN5575FactorPhi7121(BV47*SQRT($K$17/206000),"b"))</f>
        <v>0.59843366787807328</v>
      </c>
      <c r="BY47" s="64">
        <f t="shared" si="7"/>
        <v>0.1285267685693921</v>
      </c>
      <c r="BZ47" s="3" t="str">
        <f t="shared" si="8"/>
        <v>OK</v>
      </c>
    </row>
    <row r="48" spans="1:78">
      <c r="A48" s="76"/>
      <c r="B48" s="76"/>
      <c r="C48" s="125"/>
      <c r="D48" s="125"/>
      <c r="E48" s="71"/>
      <c r="F48" s="71"/>
      <c r="G48" s="71"/>
      <c r="H48" s="126"/>
      <c r="I48" s="125"/>
      <c r="J48" s="123"/>
      <c r="K48" s="12"/>
      <c r="L48" s="117"/>
      <c r="M48" s="12"/>
      <c r="N48" s="117"/>
      <c r="O48" s="117"/>
      <c r="P48" s="117"/>
      <c r="Q48" s="118"/>
      <c r="R48" s="118"/>
      <c r="S48" s="118"/>
      <c r="T48" s="12"/>
      <c r="U48" s="118"/>
      <c r="V48" s="118"/>
      <c r="W48" s="12"/>
      <c r="X48" s="119"/>
      <c r="Y48" s="120"/>
      <c r="Z48" s="12"/>
      <c r="BA48" s="70" t="s">
        <v>205</v>
      </c>
      <c r="BB48" s="71" t="s">
        <v>206</v>
      </c>
      <c r="BC48" s="71" t="s">
        <v>207</v>
      </c>
      <c r="BD48" s="71">
        <v>0</v>
      </c>
      <c r="BE48" s="71">
        <v>5.72</v>
      </c>
      <c r="BF48" s="71">
        <v>268</v>
      </c>
      <c r="BG48" s="71">
        <v>212</v>
      </c>
      <c r="BH48" s="71">
        <v>5</v>
      </c>
      <c r="BI48" s="71">
        <v>10</v>
      </c>
      <c r="BJ48" s="12" t="str" cm="1">
        <f t="array" ref="BJ48">_xll.Dce_Name_SectI(BF48, BF48, BG48, BH48, BI48, "x", "-", $AX$11)</f>
        <v>268x212x5x10</v>
      </c>
      <c r="BK48" s="77" cm="1">
        <f t="array" ref="BK48">_xll.DCEPropSectI(BF48, BH48, BG48, BI48, BG48, BI48, "A")/100</f>
        <v>54.8</v>
      </c>
      <c r="BL48" s="70" t="s">
        <v>221</v>
      </c>
      <c r="BM48" s="70">
        <v>-85.809101835166416</v>
      </c>
      <c r="BN48" s="71">
        <v>0.9</v>
      </c>
      <c r="BO48" s="77">
        <f t="shared" si="1"/>
        <v>5.1479999999999997</v>
      </c>
      <c r="BP48" s="71">
        <v>0.9</v>
      </c>
      <c r="BQ48" s="77">
        <f t="shared" si="2"/>
        <v>5.1479999999999997</v>
      </c>
      <c r="BR48" s="77" cm="1">
        <f t="array" ref="BR48">_xll.DCEPropSectI(BF48, BH48, BG48, BI48, BG48, BI48, "rx")/10</f>
        <v>11.847052463297633</v>
      </c>
      <c r="BS48" s="77" cm="1">
        <f t="array" ref="BS48">_xll.DCEPropSectI(BF48, BH48, BG48, BI48, BG48, BI48, "ry")/10</f>
        <v>5.3836052600564113</v>
      </c>
      <c r="BT48" s="5">
        <f t="shared" si="3"/>
        <v>43.453846566043239</v>
      </c>
      <c r="BU48" s="5">
        <f t="shared" si="4"/>
        <v>95.623652762870975</v>
      </c>
      <c r="BV48" s="5">
        <f t="shared" si="5"/>
        <v>95.623652762870975</v>
      </c>
      <c r="BW48" s="71">
        <f t="shared" si="6"/>
        <v>200</v>
      </c>
      <c r="BX48" s="78" cm="1">
        <f t="array" ref="BX48">IF(BM48&gt;0,1,_xll.DCETCVN5575FactorPhi7121(BV48*SQRT($K$17/206000),"b"))</f>
        <v>0.59843366787807328</v>
      </c>
      <c r="BY48" s="64">
        <f t="shared" si="7"/>
        <v>0.12459983983344544</v>
      </c>
      <c r="BZ48" s="3" t="str">
        <f t="shared" si="8"/>
        <v>OK</v>
      </c>
    </row>
    <row r="49" spans="1:78">
      <c r="A49" s="76"/>
      <c r="B49" s="76"/>
      <c r="C49" s="125"/>
      <c r="D49" s="125"/>
      <c r="E49" s="71"/>
      <c r="F49" s="71"/>
      <c r="G49" s="71"/>
      <c r="H49" s="126"/>
      <c r="I49" s="125"/>
      <c r="J49" s="123"/>
      <c r="K49" s="12"/>
      <c r="L49" s="117"/>
      <c r="M49" s="12"/>
      <c r="N49" s="117"/>
      <c r="O49" s="117"/>
      <c r="P49" s="117"/>
      <c r="Q49" s="118"/>
      <c r="R49" s="118"/>
      <c r="S49" s="118"/>
      <c r="T49" s="12"/>
      <c r="U49" s="118"/>
      <c r="V49" s="118"/>
      <c r="W49" s="12"/>
      <c r="X49" s="119"/>
      <c r="Y49" s="120"/>
      <c r="Z49" s="12"/>
      <c r="BA49" s="70" t="s">
        <v>205</v>
      </c>
      <c r="BB49" s="71" t="s">
        <v>206</v>
      </c>
      <c r="BC49" s="71" t="s">
        <v>207</v>
      </c>
      <c r="BD49" s="71">
        <v>0.72</v>
      </c>
      <c r="BE49" s="71">
        <v>5.72</v>
      </c>
      <c r="BF49" s="71">
        <v>268</v>
      </c>
      <c r="BG49" s="71">
        <v>212</v>
      </c>
      <c r="BH49" s="71">
        <v>5</v>
      </c>
      <c r="BI49" s="71">
        <v>10</v>
      </c>
      <c r="BJ49" s="12" t="str" cm="1">
        <f t="array" ref="BJ49">_xll.Dce_Name_SectI(BF49, BF49, BG49, BH49, BI49, "x", "-", $AX$11)</f>
        <v>268x212x5x10</v>
      </c>
      <c r="BK49" s="77" cm="1">
        <f t="array" ref="BK49">_xll.DCEPropSectI(BF49, BH49, BG49, BI49, BG49, BI49, "A")/100</f>
        <v>54.8</v>
      </c>
      <c r="BL49" s="70" t="s">
        <v>221</v>
      </c>
      <c r="BM49" s="70">
        <v>-86.110960542724001</v>
      </c>
      <c r="BN49" s="71">
        <v>0.9</v>
      </c>
      <c r="BO49" s="77">
        <f t="shared" si="1"/>
        <v>5.1479999999999997</v>
      </c>
      <c r="BP49" s="71">
        <v>0.9</v>
      </c>
      <c r="BQ49" s="77">
        <f t="shared" si="2"/>
        <v>5.1479999999999997</v>
      </c>
      <c r="BR49" s="77" cm="1">
        <f t="array" ref="BR49">_xll.DCEPropSectI(BF49, BH49, BG49, BI49, BG49, BI49, "rx")/10</f>
        <v>11.847052463297633</v>
      </c>
      <c r="BS49" s="77" cm="1">
        <f t="array" ref="BS49">_xll.DCEPropSectI(BF49, BH49, BG49, BI49, BG49, BI49, "ry")/10</f>
        <v>5.3836052600564113</v>
      </c>
      <c r="BT49" s="5">
        <f t="shared" si="3"/>
        <v>43.453846566043239</v>
      </c>
      <c r="BU49" s="5">
        <f t="shared" si="4"/>
        <v>95.623652762870975</v>
      </c>
      <c r="BV49" s="5">
        <f t="shared" si="5"/>
        <v>95.623652762870975</v>
      </c>
      <c r="BW49" s="71">
        <f t="shared" si="6"/>
        <v>200</v>
      </c>
      <c r="BX49" s="78" cm="1">
        <f t="array" ref="BX49">IF(BM49&gt;0,1,_xll.DCETCVN5575FactorPhi7121(BV49*SQRT($K$17/206000),"b"))</f>
        <v>0.59843366787807328</v>
      </c>
      <c r="BY49" s="64">
        <f t="shared" si="7"/>
        <v>0.12503815635010418</v>
      </c>
      <c r="BZ49" s="3" t="str">
        <f t="shared" si="8"/>
        <v>OK</v>
      </c>
    </row>
    <row r="50" spans="1:78">
      <c r="A50" s="76"/>
      <c r="B50" s="76"/>
      <c r="C50" s="125"/>
      <c r="D50" s="125"/>
      <c r="E50" s="71"/>
      <c r="F50" s="71"/>
      <c r="G50" s="71"/>
      <c r="H50" s="126"/>
      <c r="I50" s="125"/>
      <c r="J50" s="123"/>
      <c r="K50" s="12"/>
      <c r="L50" s="117"/>
      <c r="M50" s="12"/>
      <c r="N50" s="117"/>
      <c r="O50" s="117"/>
      <c r="P50" s="117"/>
      <c r="Q50" s="118"/>
      <c r="R50" s="118"/>
      <c r="S50" s="118"/>
      <c r="T50" s="12"/>
      <c r="U50" s="118"/>
      <c r="V50" s="118"/>
      <c r="W50" s="12"/>
      <c r="X50" s="119"/>
      <c r="Y50" s="120"/>
      <c r="Z50" s="12"/>
      <c r="BA50" s="70" t="s">
        <v>205</v>
      </c>
      <c r="BB50" s="71" t="s">
        <v>206</v>
      </c>
      <c r="BC50" s="71" t="s">
        <v>207</v>
      </c>
      <c r="BD50" s="71">
        <v>1.43</v>
      </c>
      <c r="BE50" s="71">
        <v>5.72</v>
      </c>
      <c r="BF50" s="71">
        <v>268</v>
      </c>
      <c r="BG50" s="71">
        <v>212</v>
      </c>
      <c r="BH50" s="71">
        <v>5</v>
      </c>
      <c r="BI50" s="71">
        <v>10</v>
      </c>
      <c r="BJ50" s="12" t="str" cm="1">
        <f t="array" ref="BJ50">_xll.Dce_Name_SectI(BF50, BF50, BG50, BH50, BI50, "x", "-", $AX$11)</f>
        <v>268x212x5x10</v>
      </c>
      <c r="BK50" s="77" cm="1">
        <f t="array" ref="BK50">_xll.DCEPropSectI(BF50, BH50, BG50, BI50, BG50, BI50, "A")/100</f>
        <v>54.8</v>
      </c>
      <c r="BL50" s="70" t="s">
        <v>221</v>
      </c>
      <c r="BM50" s="70">
        <v>-86.412819250281586</v>
      </c>
      <c r="BN50" s="71">
        <v>0.9</v>
      </c>
      <c r="BO50" s="77">
        <f t="shared" si="1"/>
        <v>5.1479999999999997</v>
      </c>
      <c r="BP50" s="71">
        <v>0.9</v>
      </c>
      <c r="BQ50" s="77">
        <f t="shared" si="2"/>
        <v>5.1479999999999997</v>
      </c>
      <c r="BR50" s="77" cm="1">
        <f t="array" ref="BR50">_xll.DCEPropSectI(BF50, BH50, BG50, BI50, BG50, BI50, "rx")/10</f>
        <v>11.847052463297633</v>
      </c>
      <c r="BS50" s="77" cm="1">
        <f t="array" ref="BS50">_xll.DCEPropSectI(BF50, BH50, BG50, BI50, BG50, BI50, "ry")/10</f>
        <v>5.3836052600564113</v>
      </c>
      <c r="BT50" s="5">
        <f t="shared" si="3"/>
        <v>43.453846566043239</v>
      </c>
      <c r="BU50" s="5">
        <f t="shared" si="4"/>
        <v>95.623652762870975</v>
      </c>
      <c r="BV50" s="5">
        <f t="shared" si="5"/>
        <v>95.623652762870975</v>
      </c>
      <c r="BW50" s="71">
        <f t="shared" si="6"/>
        <v>200</v>
      </c>
      <c r="BX50" s="78" cm="1">
        <f t="array" ref="BX50">IF(BM50&gt;0,1,_xll.DCETCVN5575FactorPhi7121(BV50*SQRT($K$17/206000),"b"))</f>
        <v>0.59843366787807328</v>
      </c>
      <c r="BY50" s="64">
        <f t="shared" si="7"/>
        <v>0.12547647286676294</v>
      </c>
      <c r="BZ50" s="3" t="str">
        <f t="shared" si="8"/>
        <v>OK</v>
      </c>
    </row>
    <row r="51" spans="1:78">
      <c r="A51" s="76"/>
      <c r="B51" s="76"/>
      <c r="C51" s="125"/>
      <c r="D51" s="125"/>
      <c r="E51" s="71"/>
      <c r="F51" s="71"/>
      <c r="G51" s="71"/>
      <c r="H51" s="126"/>
      <c r="I51" s="125"/>
      <c r="J51" s="123"/>
      <c r="K51" s="12"/>
      <c r="L51" s="117"/>
      <c r="M51" s="12"/>
      <c r="N51" s="117"/>
      <c r="O51" s="117"/>
      <c r="P51" s="117"/>
      <c r="Q51" s="118"/>
      <c r="R51" s="118"/>
      <c r="S51" s="118"/>
      <c r="T51" s="12"/>
      <c r="U51" s="118"/>
      <c r="V51" s="118"/>
      <c r="W51" s="12"/>
      <c r="X51" s="119"/>
      <c r="Y51" s="120"/>
      <c r="Z51" s="12"/>
      <c r="BA51" s="70" t="s">
        <v>205</v>
      </c>
      <c r="BB51" s="71" t="s">
        <v>206</v>
      </c>
      <c r="BC51" s="71" t="s">
        <v>207</v>
      </c>
      <c r="BD51" s="71">
        <v>2.15</v>
      </c>
      <c r="BE51" s="71">
        <v>5.72</v>
      </c>
      <c r="BF51" s="71">
        <v>268</v>
      </c>
      <c r="BG51" s="71">
        <v>212</v>
      </c>
      <c r="BH51" s="71">
        <v>5</v>
      </c>
      <c r="BI51" s="71">
        <v>10</v>
      </c>
      <c r="BJ51" s="12" t="str" cm="1">
        <f t="array" ref="BJ51">_xll.Dce_Name_SectI(BF51, BF51, BG51, BH51, BI51, "x", "-", $AX$11)</f>
        <v>268x212x5x10</v>
      </c>
      <c r="BK51" s="77" cm="1">
        <f t="array" ref="BK51">_xll.DCEPropSectI(BF51, BH51, BG51, BI51, BG51, BI51, "A")/100</f>
        <v>54.8</v>
      </c>
      <c r="BL51" s="70" t="s">
        <v>221</v>
      </c>
      <c r="BM51" s="70">
        <v>-86.714677957839172</v>
      </c>
      <c r="BN51" s="71">
        <v>0.9</v>
      </c>
      <c r="BO51" s="77">
        <f t="shared" si="1"/>
        <v>5.1479999999999997</v>
      </c>
      <c r="BP51" s="71">
        <v>0.9</v>
      </c>
      <c r="BQ51" s="77">
        <f t="shared" si="2"/>
        <v>5.1479999999999997</v>
      </c>
      <c r="BR51" s="77" cm="1">
        <f t="array" ref="BR51">_xll.DCEPropSectI(BF51, BH51, BG51, BI51, BG51, BI51, "rx")/10</f>
        <v>11.847052463297633</v>
      </c>
      <c r="BS51" s="77" cm="1">
        <f t="array" ref="BS51">_xll.DCEPropSectI(BF51, BH51, BG51, BI51, BG51, BI51, "ry")/10</f>
        <v>5.3836052600564113</v>
      </c>
      <c r="BT51" s="5">
        <f t="shared" si="3"/>
        <v>43.453846566043239</v>
      </c>
      <c r="BU51" s="5">
        <f t="shared" si="4"/>
        <v>95.623652762870975</v>
      </c>
      <c r="BV51" s="5">
        <f t="shared" si="5"/>
        <v>95.623652762870975</v>
      </c>
      <c r="BW51" s="71">
        <f t="shared" si="6"/>
        <v>200</v>
      </c>
      <c r="BX51" s="78" cm="1">
        <f t="array" ref="BX51">IF(BM51&gt;0,1,_xll.DCETCVN5575FactorPhi7121(BV51*SQRT($K$17/206000),"b"))</f>
        <v>0.59843366787807328</v>
      </c>
      <c r="BY51" s="64">
        <f t="shared" si="7"/>
        <v>0.12591478938342168</v>
      </c>
      <c r="BZ51" s="3" t="str">
        <f t="shared" si="8"/>
        <v>OK</v>
      </c>
    </row>
    <row r="52" spans="1:78">
      <c r="A52" s="76"/>
      <c r="B52" s="76"/>
      <c r="C52" s="125"/>
      <c r="D52" s="125"/>
      <c r="E52" s="71"/>
      <c r="F52" s="71"/>
      <c r="G52" s="71"/>
      <c r="H52" s="126"/>
      <c r="I52" s="125"/>
      <c r="J52" s="123"/>
      <c r="K52" s="12"/>
      <c r="L52" s="117"/>
      <c r="M52" s="12"/>
      <c r="N52" s="117"/>
      <c r="O52" s="117"/>
      <c r="P52" s="117"/>
      <c r="Q52" s="118"/>
      <c r="R52" s="118"/>
      <c r="S52" s="118"/>
      <c r="T52" s="12"/>
      <c r="U52" s="118"/>
      <c r="V52" s="118"/>
      <c r="W52" s="12"/>
      <c r="X52" s="119"/>
      <c r="Y52" s="120"/>
      <c r="Z52" s="12"/>
      <c r="BA52" s="70" t="s">
        <v>205</v>
      </c>
      <c r="BB52" s="71" t="s">
        <v>206</v>
      </c>
      <c r="BC52" s="71" t="s">
        <v>207</v>
      </c>
      <c r="BD52" s="71">
        <v>2.86</v>
      </c>
      <c r="BE52" s="71">
        <v>5.72</v>
      </c>
      <c r="BF52" s="71">
        <v>268</v>
      </c>
      <c r="BG52" s="71">
        <v>212</v>
      </c>
      <c r="BH52" s="71">
        <v>5</v>
      </c>
      <c r="BI52" s="71">
        <v>10</v>
      </c>
      <c r="BJ52" s="12" t="str" cm="1">
        <f t="array" ref="BJ52">_xll.Dce_Name_SectI(BF52, BF52, BG52, BH52, BI52, "x", "-", $AX$11)</f>
        <v>268x212x5x10</v>
      </c>
      <c r="BK52" s="77" cm="1">
        <f t="array" ref="BK52">_xll.DCEPropSectI(BF52, BH52, BG52, BI52, BG52, BI52, "A")/100</f>
        <v>54.8</v>
      </c>
      <c r="BL52" s="70" t="s">
        <v>221</v>
      </c>
      <c r="BM52" s="70">
        <v>-87.016536665396757</v>
      </c>
      <c r="BN52" s="71">
        <v>0.9</v>
      </c>
      <c r="BO52" s="77">
        <f t="shared" si="1"/>
        <v>5.1479999999999997</v>
      </c>
      <c r="BP52" s="71">
        <v>0.9</v>
      </c>
      <c r="BQ52" s="77">
        <f t="shared" si="2"/>
        <v>5.1479999999999997</v>
      </c>
      <c r="BR52" s="77" cm="1">
        <f t="array" ref="BR52">_xll.DCEPropSectI(BF52, BH52, BG52, BI52, BG52, BI52, "rx")/10</f>
        <v>11.847052463297633</v>
      </c>
      <c r="BS52" s="77" cm="1">
        <f t="array" ref="BS52">_xll.DCEPropSectI(BF52, BH52, BG52, BI52, BG52, BI52, "ry")/10</f>
        <v>5.3836052600564113</v>
      </c>
      <c r="BT52" s="5">
        <f t="shared" si="3"/>
        <v>43.453846566043239</v>
      </c>
      <c r="BU52" s="5">
        <f t="shared" si="4"/>
        <v>95.623652762870975</v>
      </c>
      <c r="BV52" s="5">
        <f t="shared" si="5"/>
        <v>95.623652762870975</v>
      </c>
      <c r="BW52" s="71">
        <f t="shared" si="6"/>
        <v>200</v>
      </c>
      <c r="BX52" s="78" cm="1">
        <f t="array" ref="BX52">IF(BM52&gt;0,1,_xll.DCETCVN5575FactorPhi7121(BV52*SQRT($K$17/206000),"b"))</f>
        <v>0.59843366787807328</v>
      </c>
      <c r="BY52" s="64">
        <f t="shared" si="7"/>
        <v>0.12635310590008042</v>
      </c>
      <c r="BZ52" s="3" t="str">
        <f t="shared" si="8"/>
        <v>OK</v>
      </c>
    </row>
    <row r="53" spans="1:78">
      <c r="A53" s="76"/>
      <c r="B53" s="76"/>
      <c r="C53" s="125"/>
      <c r="D53" s="125"/>
      <c r="E53" s="71"/>
      <c r="F53" s="71"/>
      <c r="G53" s="71"/>
      <c r="H53" s="126"/>
      <c r="I53" s="125"/>
      <c r="J53" s="123"/>
      <c r="K53" s="12"/>
      <c r="L53" s="117"/>
      <c r="M53" s="12"/>
      <c r="N53" s="117"/>
      <c r="O53" s="117"/>
      <c r="P53" s="117"/>
      <c r="Q53" s="118"/>
      <c r="R53" s="118"/>
      <c r="S53" s="118"/>
      <c r="T53" s="12"/>
      <c r="U53" s="118"/>
      <c r="V53" s="118"/>
      <c r="W53" s="12"/>
      <c r="X53" s="119"/>
      <c r="Y53" s="120"/>
      <c r="Z53" s="12"/>
      <c r="BA53" s="70" t="s">
        <v>205</v>
      </c>
      <c r="BB53" s="71" t="s">
        <v>206</v>
      </c>
      <c r="BC53" s="71" t="s">
        <v>207</v>
      </c>
      <c r="BD53" s="71">
        <v>3.58</v>
      </c>
      <c r="BE53" s="71">
        <v>5.72</v>
      </c>
      <c r="BF53" s="71">
        <v>268</v>
      </c>
      <c r="BG53" s="71">
        <v>212</v>
      </c>
      <c r="BH53" s="71">
        <v>5</v>
      </c>
      <c r="BI53" s="71">
        <v>10</v>
      </c>
      <c r="BJ53" s="12" t="str" cm="1">
        <f t="array" ref="BJ53">_xll.Dce_Name_SectI(BF53, BF53, BG53, BH53, BI53, "x", "-", $AX$11)</f>
        <v>268x212x5x10</v>
      </c>
      <c r="BK53" s="77" cm="1">
        <f t="array" ref="BK53">_xll.DCEPropSectI(BF53, BH53, BG53, BI53, BG53, BI53, "A")/100</f>
        <v>54.8</v>
      </c>
      <c r="BL53" s="70" t="s">
        <v>221</v>
      </c>
      <c r="BM53" s="70">
        <v>-87.318395372954342</v>
      </c>
      <c r="BN53" s="71">
        <v>0.9</v>
      </c>
      <c r="BO53" s="77">
        <f t="shared" si="1"/>
        <v>5.1479999999999997</v>
      </c>
      <c r="BP53" s="71">
        <v>0.9</v>
      </c>
      <c r="BQ53" s="77">
        <f t="shared" si="2"/>
        <v>5.1479999999999997</v>
      </c>
      <c r="BR53" s="77" cm="1">
        <f t="array" ref="BR53">_xll.DCEPropSectI(BF53, BH53, BG53, BI53, BG53, BI53, "rx")/10</f>
        <v>11.847052463297633</v>
      </c>
      <c r="BS53" s="77" cm="1">
        <f t="array" ref="BS53">_xll.DCEPropSectI(BF53, BH53, BG53, BI53, BG53, BI53, "ry")/10</f>
        <v>5.3836052600564113</v>
      </c>
      <c r="BT53" s="5">
        <f t="shared" si="3"/>
        <v>43.453846566043239</v>
      </c>
      <c r="BU53" s="5">
        <f t="shared" si="4"/>
        <v>95.623652762870975</v>
      </c>
      <c r="BV53" s="5">
        <f t="shared" si="5"/>
        <v>95.623652762870975</v>
      </c>
      <c r="BW53" s="71">
        <f t="shared" si="6"/>
        <v>200</v>
      </c>
      <c r="BX53" s="78" cm="1">
        <f t="array" ref="BX53">IF(BM53&gt;0,1,_xll.DCETCVN5575FactorPhi7121(BV53*SQRT($K$17/206000),"b"))</f>
        <v>0.59843366787807328</v>
      </c>
      <c r="BY53" s="64">
        <f t="shared" si="7"/>
        <v>0.12679142241673919</v>
      </c>
      <c r="BZ53" s="3" t="str">
        <f t="shared" si="8"/>
        <v>OK</v>
      </c>
    </row>
    <row r="54" spans="1:78">
      <c r="A54" s="76"/>
      <c r="B54" s="76"/>
      <c r="C54" s="125"/>
      <c r="D54" s="125"/>
      <c r="E54" s="71"/>
      <c r="F54" s="71"/>
      <c r="G54" s="71"/>
      <c r="H54" s="125"/>
      <c r="I54" s="125"/>
      <c r="J54" s="123"/>
      <c r="K54" s="12"/>
      <c r="L54" s="121"/>
      <c r="M54" s="12"/>
      <c r="N54" s="121"/>
      <c r="O54" s="121"/>
      <c r="P54" s="121"/>
      <c r="Q54" s="121"/>
      <c r="R54" s="121"/>
      <c r="S54" s="121"/>
      <c r="T54" s="121"/>
      <c r="U54" s="122"/>
      <c r="V54" s="122"/>
      <c r="W54" s="121"/>
      <c r="X54" s="119"/>
      <c r="Y54" s="120"/>
      <c r="Z54" s="12"/>
      <c r="BA54" s="70" t="s">
        <v>205</v>
      </c>
      <c r="BB54" s="71" t="s">
        <v>206</v>
      </c>
      <c r="BC54" s="71" t="s">
        <v>207</v>
      </c>
      <c r="BD54" s="71">
        <v>4.29</v>
      </c>
      <c r="BE54" s="71">
        <v>5.72</v>
      </c>
      <c r="BF54" s="71">
        <v>268</v>
      </c>
      <c r="BG54" s="71">
        <v>212</v>
      </c>
      <c r="BH54" s="71">
        <v>5</v>
      </c>
      <c r="BI54" s="71">
        <v>10</v>
      </c>
      <c r="BJ54" s="12" t="str" cm="1">
        <f t="array" ref="BJ54">_xll.Dce_Name_SectI(BF54, BF54, BG54, BH54, BI54, "x", "-", $AX$11)</f>
        <v>268x212x5x10</v>
      </c>
      <c r="BK54" s="77" cm="1">
        <f t="array" ref="BK54">_xll.DCEPropSectI(BF54, BH54, BG54, BI54, BG54, BI54, "A")/100</f>
        <v>54.8</v>
      </c>
      <c r="BL54" s="70" t="s">
        <v>221</v>
      </c>
      <c r="BM54" s="70">
        <v>-87.620254080511927</v>
      </c>
      <c r="BN54" s="71">
        <v>0.9</v>
      </c>
      <c r="BO54" s="77">
        <f t="shared" si="1"/>
        <v>5.1479999999999997</v>
      </c>
      <c r="BP54" s="71">
        <v>0.9</v>
      </c>
      <c r="BQ54" s="77">
        <f t="shared" si="2"/>
        <v>5.1479999999999997</v>
      </c>
      <c r="BR54" s="77" cm="1">
        <f t="array" ref="BR54">_xll.DCEPropSectI(BF54, BH54, BG54, BI54, BG54, BI54, "rx")/10</f>
        <v>11.847052463297633</v>
      </c>
      <c r="BS54" s="77" cm="1">
        <f t="array" ref="BS54">_xll.DCEPropSectI(BF54, BH54, BG54, BI54, BG54, BI54, "ry")/10</f>
        <v>5.3836052600564113</v>
      </c>
      <c r="BT54" s="5">
        <f t="shared" si="3"/>
        <v>43.453846566043239</v>
      </c>
      <c r="BU54" s="5">
        <f t="shared" si="4"/>
        <v>95.623652762870975</v>
      </c>
      <c r="BV54" s="5">
        <f t="shared" si="5"/>
        <v>95.623652762870975</v>
      </c>
      <c r="BW54" s="71">
        <f t="shared" si="6"/>
        <v>200</v>
      </c>
      <c r="BX54" s="78" cm="1">
        <f t="array" ref="BX54">IF(BM54&gt;0,1,_xll.DCETCVN5575FactorPhi7121(BV54*SQRT($K$17/206000),"b"))</f>
        <v>0.59843366787807328</v>
      </c>
      <c r="BY54" s="64">
        <f t="shared" si="7"/>
        <v>0.12722973893339792</v>
      </c>
      <c r="BZ54" s="3" t="str">
        <f t="shared" si="8"/>
        <v>OK</v>
      </c>
    </row>
    <row r="55" spans="1:78">
      <c r="A55" s="76"/>
      <c r="B55" s="76"/>
      <c r="C55" s="125"/>
      <c r="D55" s="125"/>
      <c r="E55" s="71"/>
      <c r="F55" s="71"/>
      <c r="G55" s="71"/>
      <c r="H55" s="125"/>
      <c r="I55" s="125"/>
      <c r="J55" s="123"/>
      <c r="K55" s="12"/>
      <c r="L55" s="121"/>
      <c r="M55" s="12"/>
      <c r="N55" s="121"/>
      <c r="O55" s="121"/>
      <c r="P55" s="121"/>
      <c r="Q55" s="121"/>
      <c r="R55" s="121"/>
      <c r="S55" s="121"/>
      <c r="T55" s="121"/>
      <c r="U55" s="122"/>
      <c r="V55" s="122"/>
      <c r="W55" s="121"/>
      <c r="X55" s="119"/>
      <c r="Y55" s="120"/>
      <c r="Z55" s="12"/>
      <c r="BA55" s="70" t="s">
        <v>205</v>
      </c>
      <c r="BB55" s="71" t="s">
        <v>206</v>
      </c>
      <c r="BC55" s="71" t="s">
        <v>207</v>
      </c>
      <c r="BD55" s="71">
        <v>5.01</v>
      </c>
      <c r="BE55" s="71">
        <v>5.72</v>
      </c>
      <c r="BF55" s="71">
        <v>268</v>
      </c>
      <c r="BG55" s="71">
        <v>212</v>
      </c>
      <c r="BH55" s="71">
        <v>5</v>
      </c>
      <c r="BI55" s="71">
        <v>10</v>
      </c>
      <c r="BJ55" s="12" t="str" cm="1">
        <f t="array" ref="BJ55">_xll.Dce_Name_SectI(BF55, BF55, BG55, BH55, BI55, "x", "-", $AX$11)</f>
        <v>268x212x5x10</v>
      </c>
      <c r="BK55" s="77" cm="1">
        <f t="array" ref="BK55">_xll.DCEPropSectI(BF55, BH55, BG55, BI55, BG55, BI55, "A")/100</f>
        <v>54.8</v>
      </c>
      <c r="BL55" s="70" t="s">
        <v>221</v>
      </c>
      <c r="BM55" s="70">
        <v>-87.922112788069512</v>
      </c>
      <c r="BN55" s="71">
        <v>0.9</v>
      </c>
      <c r="BO55" s="77">
        <f t="shared" si="1"/>
        <v>5.1479999999999997</v>
      </c>
      <c r="BP55" s="71">
        <v>0.9</v>
      </c>
      <c r="BQ55" s="77">
        <f t="shared" si="2"/>
        <v>5.1479999999999997</v>
      </c>
      <c r="BR55" s="77" cm="1">
        <f t="array" ref="BR55">_xll.DCEPropSectI(BF55, BH55, BG55, BI55, BG55, BI55, "rx")/10</f>
        <v>11.847052463297633</v>
      </c>
      <c r="BS55" s="77" cm="1">
        <f t="array" ref="BS55">_xll.DCEPropSectI(BF55, BH55, BG55, BI55, BG55, BI55, "ry")/10</f>
        <v>5.3836052600564113</v>
      </c>
      <c r="BT55" s="5">
        <f t="shared" si="3"/>
        <v>43.453846566043239</v>
      </c>
      <c r="BU55" s="5">
        <f t="shared" si="4"/>
        <v>95.623652762870975</v>
      </c>
      <c r="BV55" s="5">
        <f t="shared" si="5"/>
        <v>95.623652762870975</v>
      </c>
      <c r="BW55" s="71">
        <f t="shared" si="6"/>
        <v>200</v>
      </c>
      <c r="BX55" s="78" cm="1">
        <f t="array" ref="BX55">IF(BM55&gt;0,1,_xll.DCETCVN5575FactorPhi7121(BV55*SQRT($K$17/206000),"b"))</f>
        <v>0.59843366787807328</v>
      </c>
      <c r="BY55" s="64">
        <f t="shared" si="7"/>
        <v>0.12766805545005669</v>
      </c>
      <c r="BZ55" s="3" t="str">
        <f t="shared" si="8"/>
        <v>OK</v>
      </c>
    </row>
    <row r="56" spans="1:78">
      <c r="A56" s="76"/>
      <c r="B56" s="76"/>
      <c r="C56" s="125"/>
      <c r="D56" s="125"/>
      <c r="E56" s="71"/>
      <c r="F56" s="71"/>
      <c r="G56" s="71"/>
      <c r="H56" s="125"/>
      <c r="I56" s="125"/>
      <c r="J56" s="123"/>
      <c r="K56" s="12"/>
      <c r="L56" s="121"/>
      <c r="M56" s="12"/>
      <c r="N56" s="121"/>
      <c r="O56" s="121"/>
      <c r="P56" s="121"/>
      <c r="Q56" s="121"/>
      <c r="R56" s="121"/>
      <c r="S56" s="121"/>
      <c r="T56" s="121"/>
      <c r="U56" s="122"/>
      <c r="V56" s="122"/>
      <c r="W56" s="121"/>
      <c r="X56" s="119"/>
      <c r="Y56" s="120"/>
      <c r="Z56" s="12"/>
      <c r="BA56" s="70" t="s">
        <v>205</v>
      </c>
      <c r="BB56" s="71" t="s">
        <v>206</v>
      </c>
      <c r="BC56" s="71" t="s">
        <v>207</v>
      </c>
      <c r="BD56" s="71">
        <v>5.72</v>
      </c>
      <c r="BE56" s="71">
        <v>5.72</v>
      </c>
      <c r="BF56" s="71">
        <v>268</v>
      </c>
      <c r="BG56" s="71">
        <v>212</v>
      </c>
      <c r="BH56" s="71">
        <v>5</v>
      </c>
      <c r="BI56" s="71">
        <v>10</v>
      </c>
      <c r="BJ56" s="12" t="str" cm="1">
        <f t="array" ref="BJ56">_xll.Dce_Name_SectI(BF56, BF56, BG56, BH56, BI56, "x", "-", $AX$11)</f>
        <v>268x212x5x10</v>
      </c>
      <c r="BK56" s="77" cm="1">
        <f t="array" ref="BK56">_xll.DCEPropSectI(BF56, BH56, BG56, BI56, BG56, BI56, "A")/100</f>
        <v>54.8</v>
      </c>
      <c r="BL56" s="70" t="s">
        <v>221</v>
      </c>
      <c r="BM56" s="70">
        <v>-88.223971495627097</v>
      </c>
      <c r="BN56" s="71">
        <v>0.9</v>
      </c>
      <c r="BO56" s="77">
        <f t="shared" si="1"/>
        <v>5.1479999999999997</v>
      </c>
      <c r="BP56" s="71">
        <v>0.9</v>
      </c>
      <c r="BQ56" s="77">
        <f t="shared" si="2"/>
        <v>5.1479999999999997</v>
      </c>
      <c r="BR56" s="77" cm="1">
        <f t="array" ref="BR56">_xll.DCEPropSectI(BF56, BH56, BG56, BI56, BG56, BI56, "rx")/10</f>
        <v>11.847052463297633</v>
      </c>
      <c r="BS56" s="77" cm="1">
        <f t="array" ref="BS56">_xll.DCEPropSectI(BF56, BH56, BG56, BI56, BG56, BI56, "ry")/10</f>
        <v>5.3836052600564113</v>
      </c>
      <c r="BT56" s="5">
        <f t="shared" si="3"/>
        <v>43.453846566043239</v>
      </c>
      <c r="BU56" s="5">
        <f t="shared" si="4"/>
        <v>95.623652762870975</v>
      </c>
      <c r="BV56" s="5">
        <f t="shared" si="5"/>
        <v>95.623652762870975</v>
      </c>
      <c r="BW56" s="71">
        <f t="shared" si="6"/>
        <v>200</v>
      </c>
      <c r="BX56" s="78" cm="1">
        <f t="array" ref="BX56">IF(BM56&gt;0,1,_xll.DCETCVN5575FactorPhi7121(BV56*SQRT($K$17/206000),"b"))</f>
        <v>0.59843366787807328</v>
      </c>
      <c r="BY56" s="64">
        <f t="shared" si="7"/>
        <v>0.12810637196671543</v>
      </c>
      <c r="BZ56" s="3" t="str">
        <f t="shared" si="8"/>
        <v>OK</v>
      </c>
    </row>
    <row r="57" spans="1:78">
      <c r="A57" s="76"/>
      <c r="B57" s="76"/>
      <c r="C57" s="125"/>
      <c r="D57" s="125"/>
      <c r="E57" s="71"/>
      <c r="F57" s="71"/>
      <c r="G57" s="71"/>
      <c r="H57" s="125"/>
      <c r="I57" s="125"/>
      <c r="J57" s="123"/>
      <c r="K57" s="12"/>
      <c r="L57" s="121"/>
      <c r="M57" s="12"/>
      <c r="N57" s="121"/>
      <c r="O57" s="121"/>
      <c r="P57" s="121"/>
      <c r="Q57" s="121"/>
      <c r="R57" s="121"/>
      <c r="S57" s="121"/>
      <c r="T57" s="121"/>
      <c r="U57" s="122"/>
      <c r="V57" s="122"/>
      <c r="W57" s="121"/>
      <c r="X57" s="119"/>
      <c r="Y57" s="120"/>
      <c r="Z57" s="12"/>
      <c r="BA57" s="70" t="s">
        <v>205</v>
      </c>
      <c r="BB57" s="71" t="s">
        <v>206</v>
      </c>
      <c r="BC57" s="71" t="s">
        <v>207</v>
      </c>
      <c r="BD57" s="71">
        <v>0</v>
      </c>
      <c r="BE57" s="71">
        <v>5.72</v>
      </c>
      <c r="BF57" s="71">
        <v>268</v>
      </c>
      <c r="BG57" s="71">
        <v>212</v>
      </c>
      <c r="BH57" s="71">
        <v>5</v>
      </c>
      <c r="BI57" s="71">
        <v>10</v>
      </c>
      <c r="BJ57" s="12" t="str" cm="1">
        <f t="array" ref="BJ57">_xll.Dce_Name_SectI(BF57, BF57, BG57, BH57, BI57, "x", "-", $AX$11)</f>
        <v>268x212x5x10</v>
      </c>
      <c r="BK57" s="77" cm="1">
        <f t="array" ref="BK57">_xll.DCEPropSectI(BF57, BH57, BG57, BI57, BG57, BI57, "A")/100</f>
        <v>54.8</v>
      </c>
      <c r="BL57" s="70" t="s">
        <v>222</v>
      </c>
      <c r="BM57" s="70">
        <v>-84.442150907626285</v>
      </c>
      <c r="BN57" s="71">
        <v>0.9</v>
      </c>
      <c r="BO57" s="77">
        <f t="shared" si="1"/>
        <v>5.1479999999999997</v>
      </c>
      <c r="BP57" s="71">
        <v>0.9</v>
      </c>
      <c r="BQ57" s="77">
        <f t="shared" si="2"/>
        <v>5.1479999999999997</v>
      </c>
      <c r="BR57" s="77" cm="1">
        <f t="array" ref="BR57">_xll.DCEPropSectI(BF57, BH57, BG57, BI57, BG57, BI57, "rx")/10</f>
        <v>11.847052463297633</v>
      </c>
      <c r="BS57" s="77" cm="1">
        <f t="array" ref="BS57">_xll.DCEPropSectI(BF57, BH57, BG57, BI57, BG57, BI57, "ry")/10</f>
        <v>5.3836052600564113</v>
      </c>
      <c r="BT57" s="5">
        <f t="shared" si="3"/>
        <v>43.453846566043239</v>
      </c>
      <c r="BU57" s="5">
        <f t="shared" si="4"/>
        <v>95.623652762870975</v>
      </c>
      <c r="BV57" s="5">
        <f t="shared" si="5"/>
        <v>95.623652762870975</v>
      </c>
      <c r="BW57" s="71">
        <f t="shared" si="6"/>
        <v>200</v>
      </c>
      <c r="BX57" s="78" cm="1">
        <f t="array" ref="BX57">IF(BM57&gt;0,1,_xll.DCETCVN5575FactorPhi7121(BV57*SQRT($K$17/206000),"b"))</f>
        <v>0.59843366787807328</v>
      </c>
      <c r="BY57" s="64">
        <f t="shared" si="7"/>
        <v>0.12261494705413566</v>
      </c>
      <c r="BZ57" s="3" t="str">
        <f t="shared" si="8"/>
        <v>OK</v>
      </c>
    </row>
    <row r="58" spans="1:78">
      <c r="A58" s="76"/>
      <c r="B58" s="76"/>
      <c r="C58" s="125"/>
      <c r="D58" s="125"/>
      <c r="E58" s="71"/>
      <c r="F58" s="71"/>
      <c r="G58" s="71"/>
      <c r="H58" s="125"/>
      <c r="I58" s="125"/>
      <c r="J58" s="123"/>
      <c r="K58" s="12"/>
      <c r="L58" s="121"/>
      <c r="M58" s="12"/>
      <c r="N58" s="121"/>
      <c r="O58" s="121"/>
      <c r="P58" s="121"/>
      <c r="Q58" s="121"/>
      <c r="R58" s="121"/>
      <c r="S58" s="121"/>
      <c r="T58" s="121"/>
      <c r="U58" s="122"/>
      <c r="V58" s="122"/>
      <c r="W58" s="121"/>
      <c r="X58" s="119"/>
      <c r="Y58" s="120"/>
      <c r="Z58" s="12"/>
      <c r="BA58" s="70" t="s">
        <v>205</v>
      </c>
      <c r="BB58" s="71" t="s">
        <v>206</v>
      </c>
      <c r="BC58" s="71" t="s">
        <v>207</v>
      </c>
      <c r="BD58" s="71">
        <v>0.72</v>
      </c>
      <c r="BE58" s="71">
        <v>5.72</v>
      </c>
      <c r="BF58" s="71">
        <v>268</v>
      </c>
      <c r="BG58" s="71">
        <v>212</v>
      </c>
      <c r="BH58" s="71">
        <v>5</v>
      </c>
      <c r="BI58" s="71">
        <v>10</v>
      </c>
      <c r="BJ58" s="12" t="str" cm="1">
        <f t="array" ref="BJ58">_xll.Dce_Name_SectI(BF58, BF58, BG58, BH58, BI58, "x", "-", $AX$11)</f>
        <v>268x212x5x10</v>
      </c>
      <c r="BK58" s="77" cm="1">
        <f t="array" ref="BK58">_xll.DCEPropSectI(BF58, BH58, BG58, BI58, BG58, BI58, "A")/100</f>
        <v>54.8</v>
      </c>
      <c r="BL58" s="70" t="s">
        <v>222</v>
      </c>
      <c r="BM58" s="70">
        <v>-84.74400961518387</v>
      </c>
      <c r="BN58" s="71">
        <v>0.9</v>
      </c>
      <c r="BO58" s="77">
        <f t="shared" si="1"/>
        <v>5.1479999999999997</v>
      </c>
      <c r="BP58" s="71">
        <v>0.9</v>
      </c>
      <c r="BQ58" s="77">
        <f t="shared" si="2"/>
        <v>5.1479999999999997</v>
      </c>
      <c r="BR58" s="77" cm="1">
        <f t="array" ref="BR58">_xll.DCEPropSectI(BF58, BH58, BG58, BI58, BG58, BI58, "rx")/10</f>
        <v>11.847052463297633</v>
      </c>
      <c r="BS58" s="77" cm="1">
        <f t="array" ref="BS58">_xll.DCEPropSectI(BF58, BH58, BG58, BI58, BG58, BI58, "ry")/10</f>
        <v>5.3836052600564113</v>
      </c>
      <c r="BT58" s="5">
        <f t="shared" si="3"/>
        <v>43.453846566043239</v>
      </c>
      <c r="BU58" s="5">
        <f t="shared" si="4"/>
        <v>95.623652762870975</v>
      </c>
      <c r="BV58" s="5">
        <f t="shared" si="5"/>
        <v>95.623652762870975</v>
      </c>
      <c r="BW58" s="71">
        <f t="shared" si="6"/>
        <v>200</v>
      </c>
      <c r="BX58" s="78" cm="1">
        <f t="array" ref="BX58">IF(BM58&gt;0,1,_xll.DCETCVN5575FactorPhi7121(BV58*SQRT($K$17/206000),"b"))</f>
        <v>0.59843366787807328</v>
      </c>
      <c r="BY58" s="64">
        <f t="shared" si="7"/>
        <v>0.12305326357079441</v>
      </c>
      <c r="BZ58" s="3" t="str">
        <f t="shared" si="8"/>
        <v>OK</v>
      </c>
    </row>
    <row r="59" spans="1:78">
      <c r="A59" s="76"/>
      <c r="B59" s="76"/>
      <c r="C59" s="125"/>
      <c r="D59" s="125"/>
      <c r="E59" s="71"/>
      <c r="F59" s="71"/>
      <c r="G59" s="71"/>
      <c r="H59" s="125"/>
      <c r="I59" s="125"/>
      <c r="J59" s="123"/>
      <c r="K59" s="12"/>
      <c r="L59" s="121"/>
      <c r="M59" s="12"/>
      <c r="N59" s="121"/>
      <c r="O59" s="121"/>
      <c r="P59" s="121"/>
      <c r="Q59" s="121"/>
      <c r="R59" s="121"/>
      <c r="S59" s="121"/>
      <c r="T59" s="121"/>
      <c r="U59" s="122"/>
      <c r="V59" s="122"/>
      <c r="W59" s="121"/>
      <c r="X59" s="119"/>
      <c r="Y59" s="120"/>
      <c r="Z59" s="12"/>
      <c r="BA59" s="70" t="s">
        <v>205</v>
      </c>
      <c r="BB59" s="71" t="s">
        <v>206</v>
      </c>
      <c r="BC59" s="71" t="s">
        <v>207</v>
      </c>
      <c r="BD59" s="71">
        <v>1.43</v>
      </c>
      <c r="BE59" s="71">
        <v>5.72</v>
      </c>
      <c r="BF59" s="71">
        <v>268</v>
      </c>
      <c r="BG59" s="71">
        <v>212</v>
      </c>
      <c r="BH59" s="71">
        <v>5</v>
      </c>
      <c r="BI59" s="71">
        <v>10</v>
      </c>
      <c r="BJ59" s="12" t="str" cm="1">
        <f t="array" ref="BJ59">_xll.Dce_Name_SectI(BF59, BF59, BG59, BH59, BI59, "x", "-", $AX$11)</f>
        <v>268x212x5x10</v>
      </c>
      <c r="BK59" s="77" cm="1">
        <f t="array" ref="BK59">_xll.DCEPropSectI(BF59, BH59, BG59, BI59, BG59, BI59, "A")/100</f>
        <v>54.8</v>
      </c>
      <c r="BL59" s="70" t="s">
        <v>222</v>
      </c>
      <c r="BM59" s="70">
        <v>-85.045868322741455</v>
      </c>
      <c r="BN59" s="71">
        <v>0.9</v>
      </c>
      <c r="BO59" s="77">
        <f t="shared" si="1"/>
        <v>5.1479999999999997</v>
      </c>
      <c r="BP59" s="71">
        <v>0.9</v>
      </c>
      <c r="BQ59" s="77">
        <f t="shared" si="2"/>
        <v>5.1479999999999997</v>
      </c>
      <c r="BR59" s="77" cm="1">
        <f t="array" ref="BR59">_xll.DCEPropSectI(BF59, BH59, BG59, BI59, BG59, BI59, "rx")/10</f>
        <v>11.847052463297633</v>
      </c>
      <c r="BS59" s="77" cm="1">
        <f t="array" ref="BS59">_xll.DCEPropSectI(BF59, BH59, BG59, BI59, BG59, BI59, "ry")/10</f>
        <v>5.3836052600564113</v>
      </c>
      <c r="BT59" s="5">
        <f t="shared" si="3"/>
        <v>43.453846566043239</v>
      </c>
      <c r="BU59" s="5">
        <f t="shared" si="4"/>
        <v>95.623652762870975</v>
      </c>
      <c r="BV59" s="5">
        <f t="shared" si="5"/>
        <v>95.623652762870975</v>
      </c>
      <c r="BW59" s="71">
        <f t="shared" si="6"/>
        <v>200</v>
      </c>
      <c r="BX59" s="78" cm="1">
        <f t="array" ref="BX59">IF(BM59&gt;0,1,_xll.DCETCVN5575FactorPhi7121(BV59*SQRT($K$17/206000),"b"))</f>
        <v>0.59843366787807328</v>
      </c>
      <c r="BY59" s="64">
        <f t="shared" si="7"/>
        <v>0.12349158008745315</v>
      </c>
      <c r="BZ59" s="3" t="str">
        <f t="shared" si="8"/>
        <v>OK</v>
      </c>
    </row>
    <row r="60" spans="1:78">
      <c r="A60" s="76"/>
      <c r="B60" s="76"/>
      <c r="C60" s="125"/>
      <c r="D60" s="125"/>
      <c r="E60" s="71"/>
      <c r="F60" s="71"/>
      <c r="G60" s="71"/>
      <c r="H60" s="125"/>
      <c r="I60" s="125"/>
      <c r="J60" s="123"/>
      <c r="K60" s="12"/>
      <c r="L60" s="121"/>
      <c r="M60" s="12"/>
      <c r="N60" s="121"/>
      <c r="O60" s="121"/>
      <c r="P60" s="121"/>
      <c r="Q60" s="121"/>
      <c r="R60" s="121"/>
      <c r="S60" s="121"/>
      <c r="T60" s="121"/>
      <c r="U60" s="122"/>
      <c r="V60" s="122"/>
      <c r="W60" s="121"/>
      <c r="X60" s="119"/>
      <c r="Y60" s="120"/>
      <c r="Z60" s="12"/>
      <c r="BA60" s="70" t="s">
        <v>205</v>
      </c>
      <c r="BB60" s="71" t="s">
        <v>206</v>
      </c>
      <c r="BC60" s="71" t="s">
        <v>207</v>
      </c>
      <c r="BD60" s="71">
        <v>2.15</v>
      </c>
      <c r="BE60" s="71">
        <v>5.72</v>
      </c>
      <c r="BF60" s="71">
        <v>268</v>
      </c>
      <c r="BG60" s="71">
        <v>212</v>
      </c>
      <c r="BH60" s="71">
        <v>5</v>
      </c>
      <c r="BI60" s="71">
        <v>10</v>
      </c>
      <c r="BJ60" s="12" t="str" cm="1">
        <f t="array" ref="BJ60">_xll.Dce_Name_SectI(BF60, BF60, BG60, BH60, BI60, "x", "-", $AX$11)</f>
        <v>268x212x5x10</v>
      </c>
      <c r="BK60" s="77" cm="1">
        <f t="array" ref="BK60">_xll.DCEPropSectI(BF60, BH60, BG60, BI60, BG60, BI60, "A")/100</f>
        <v>54.8</v>
      </c>
      <c r="BL60" s="70" t="s">
        <v>222</v>
      </c>
      <c r="BM60" s="70">
        <v>-85.347727030299041</v>
      </c>
      <c r="BN60" s="71">
        <v>0.9</v>
      </c>
      <c r="BO60" s="77">
        <f t="shared" si="1"/>
        <v>5.1479999999999997</v>
      </c>
      <c r="BP60" s="71">
        <v>0.9</v>
      </c>
      <c r="BQ60" s="77">
        <f t="shared" si="2"/>
        <v>5.1479999999999997</v>
      </c>
      <c r="BR60" s="77" cm="1">
        <f t="array" ref="BR60">_xll.DCEPropSectI(BF60, BH60, BG60, BI60, BG60, BI60, "rx")/10</f>
        <v>11.847052463297633</v>
      </c>
      <c r="BS60" s="77" cm="1">
        <f t="array" ref="BS60">_xll.DCEPropSectI(BF60, BH60, BG60, BI60, BG60, BI60, "ry")/10</f>
        <v>5.3836052600564113</v>
      </c>
      <c r="BT60" s="5">
        <f t="shared" si="3"/>
        <v>43.453846566043239</v>
      </c>
      <c r="BU60" s="5">
        <f t="shared" si="4"/>
        <v>95.623652762870975</v>
      </c>
      <c r="BV60" s="5">
        <f t="shared" si="5"/>
        <v>95.623652762870975</v>
      </c>
      <c r="BW60" s="71">
        <f t="shared" si="6"/>
        <v>200</v>
      </c>
      <c r="BX60" s="78" cm="1">
        <f t="array" ref="BX60">IF(BM60&gt;0,1,_xll.DCETCVN5575FactorPhi7121(BV60*SQRT($K$17/206000),"b"))</f>
        <v>0.59843366787807328</v>
      </c>
      <c r="BY60" s="64">
        <f t="shared" si="7"/>
        <v>0.1239298966041119</v>
      </c>
      <c r="BZ60" s="3" t="str">
        <f t="shared" si="8"/>
        <v>OK</v>
      </c>
    </row>
    <row r="61" spans="1:78">
      <c r="A61" s="76"/>
      <c r="B61" s="76"/>
      <c r="C61" s="125"/>
      <c r="D61" s="125"/>
      <c r="E61" s="71"/>
      <c r="F61" s="71"/>
      <c r="G61" s="71"/>
      <c r="H61" s="125"/>
      <c r="I61" s="125"/>
      <c r="J61" s="123"/>
      <c r="K61" s="12"/>
      <c r="L61" s="121"/>
      <c r="M61" s="12"/>
      <c r="N61" s="121"/>
      <c r="O61" s="121"/>
      <c r="P61" s="121"/>
      <c r="Q61" s="121"/>
      <c r="R61" s="121"/>
      <c r="S61" s="121"/>
      <c r="T61" s="121"/>
      <c r="U61" s="122"/>
      <c r="V61" s="122"/>
      <c r="W61" s="121"/>
      <c r="X61" s="119"/>
      <c r="Y61" s="120"/>
      <c r="Z61" s="12"/>
      <c r="BA61" s="70" t="s">
        <v>205</v>
      </c>
      <c r="BB61" s="71" t="s">
        <v>206</v>
      </c>
      <c r="BC61" s="71" t="s">
        <v>207</v>
      </c>
      <c r="BD61" s="71">
        <v>2.86</v>
      </c>
      <c r="BE61" s="71">
        <v>5.72</v>
      </c>
      <c r="BF61" s="71">
        <v>268</v>
      </c>
      <c r="BG61" s="71">
        <v>212</v>
      </c>
      <c r="BH61" s="71">
        <v>5</v>
      </c>
      <c r="BI61" s="71">
        <v>10</v>
      </c>
      <c r="BJ61" s="12" t="str" cm="1">
        <f t="array" ref="BJ61">_xll.Dce_Name_SectI(BF61, BF61, BG61, BH61, BI61, "x", "-", $AX$11)</f>
        <v>268x212x5x10</v>
      </c>
      <c r="BK61" s="77" cm="1">
        <f t="array" ref="BK61">_xll.DCEPropSectI(BF61, BH61, BG61, BI61, BG61, BI61, "A")/100</f>
        <v>54.8</v>
      </c>
      <c r="BL61" s="70" t="s">
        <v>222</v>
      </c>
      <c r="BM61" s="70">
        <v>-85.649585737856626</v>
      </c>
      <c r="BN61" s="71">
        <v>0.9</v>
      </c>
      <c r="BO61" s="77">
        <f t="shared" si="1"/>
        <v>5.1479999999999997</v>
      </c>
      <c r="BP61" s="71">
        <v>0.9</v>
      </c>
      <c r="BQ61" s="77">
        <f t="shared" si="2"/>
        <v>5.1479999999999997</v>
      </c>
      <c r="BR61" s="77" cm="1">
        <f t="array" ref="BR61">_xll.DCEPropSectI(BF61, BH61, BG61, BI61, BG61, BI61, "rx")/10</f>
        <v>11.847052463297633</v>
      </c>
      <c r="BS61" s="77" cm="1">
        <f t="array" ref="BS61">_xll.DCEPropSectI(BF61, BH61, BG61, BI61, BG61, BI61, "ry")/10</f>
        <v>5.3836052600564113</v>
      </c>
      <c r="BT61" s="5">
        <f t="shared" si="3"/>
        <v>43.453846566043239</v>
      </c>
      <c r="BU61" s="5">
        <f t="shared" si="4"/>
        <v>95.623652762870975</v>
      </c>
      <c r="BV61" s="5">
        <f t="shared" si="5"/>
        <v>95.623652762870975</v>
      </c>
      <c r="BW61" s="71">
        <f t="shared" si="6"/>
        <v>200</v>
      </c>
      <c r="BX61" s="78" cm="1">
        <f t="array" ref="BX61">IF(BM61&gt;0,1,_xll.DCETCVN5575FactorPhi7121(BV61*SQRT($K$17/206000),"b"))</f>
        <v>0.59843366787807328</v>
      </c>
      <c r="BY61" s="64">
        <f t="shared" si="7"/>
        <v>0.12436821312077065</v>
      </c>
      <c r="BZ61" s="3" t="str">
        <f t="shared" si="8"/>
        <v>OK</v>
      </c>
    </row>
    <row r="62" spans="1:78">
      <c r="A62" s="76"/>
      <c r="B62" s="76"/>
      <c r="C62" s="125"/>
      <c r="D62" s="125"/>
      <c r="E62" s="71"/>
      <c r="F62" s="71"/>
      <c r="G62" s="71"/>
      <c r="H62" s="125"/>
      <c r="I62" s="125"/>
      <c r="J62" s="123"/>
      <c r="K62" s="12"/>
      <c r="L62" s="121"/>
      <c r="M62" s="12"/>
      <c r="N62" s="121"/>
      <c r="O62" s="121"/>
      <c r="P62" s="121"/>
      <c r="Q62" s="121"/>
      <c r="R62" s="121"/>
      <c r="S62" s="121"/>
      <c r="T62" s="121"/>
      <c r="U62" s="122"/>
      <c r="V62" s="122"/>
      <c r="W62" s="121"/>
      <c r="X62" s="119"/>
      <c r="Y62" s="120"/>
      <c r="Z62" s="12"/>
      <c r="BA62" s="70" t="s">
        <v>205</v>
      </c>
      <c r="BB62" s="71" t="s">
        <v>206</v>
      </c>
      <c r="BC62" s="71" t="s">
        <v>207</v>
      </c>
      <c r="BD62" s="71">
        <v>3.58</v>
      </c>
      <c r="BE62" s="71">
        <v>5.72</v>
      </c>
      <c r="BF62" s="71">
        <v>268</v>
      </c>
      <c r="BG62" s="71">
        <v>212</v>
      </c>
      <c r="BH62" s="71">
        <v>5</v>
      </c>
      <c r="BI62" s="71">
        <v>10</v>
      </c>
      <c r="BJ62" s="12" t="str" cm="1">
        <f t="array" ref="BJ62">_xll.Dce_Name_SectI(BF62, BF62, BG62, BH62, BI62, "x", "-", $AX$11)</f>
        <v>268x212x5x10</v>
      </c>
      <c r="BK62" s="77" cm="1">
        <f t="array" ref="BK62">_xll.DCEPropSectI(BF62, BH62, BG62, BI62, BG62, BI62, "A")/100</f>
        <v>54.8</v>
      </c>
      <c r="BL62" s="70" t="s">
        <v>222</v>
      </c>
      <c r="BM62" s="70">
        <v>-85.951444445414211</v>
      </c>
      <c r="BN62" s="71">
        <v>0.9</v>
      </c>
      <c r="BO62" s="77">
        <f t="shared" si="1"/>
        <v>5.1479999999999997</v>
      </c>
      <c r="BP62" s="71">
        <v>0.9</v>
      </c>
      <c r="BQ62" s="77">
        <f t="shared" si="2"/>
        <v>5.1479999999999997</v>
      </c>
      <c r="BR62" s="77" cm="1">
        <f t="array" ref="BR62">_xll.DCEPropSectI(BF62, BH62, BG62, BI62, BG62, BI62, "rx")/10</f>
        <v>11.847052463297633</v>
      </c>
      <c r="BS62" s="77" cm="1">
        <f t="array" ref="BS62">_xll.DCEPropSectI(BF62, BH62, BG62, BI62, BG62, BI62, "ry")/10</f>
        <v>5.3836052600564113</v>
      </c>
      <c r="BT62" s="5">
        <f t="shared" si="3"/>
        <v>43.453846566043239</v>
      </c>
      <c r="BU62" s="5">
        <f t="shared" si="4"/>
        <v>95.623652762870975</v>
      </c>
      <c r="BV62" s="5">
        <f t="shared" si="5"/>
        <v>95.623652762870975</v>
      </c>
      <c r="BW62" s="71">
        <f t="shared" si="6"/>
        <v>200</v>
      </c>
      <c r="BX62" s="78" cm="1">
        <f t="array" ref="BX62">IF(BM62&gt;0,1,_xll.DCETCVN5575FactorPhi7121(BV62*SQRT($K$17/206000),"b"))</f>
        <v>0.59843366787807328</v>
      </c>
      <c r="BY62" s="64">
        <f t="shared" si="7"/>
        <v>0.1248065296374294</v>
      </c>
      <c r="BZ62" s="3" t="str">
        <f t="shared" si="8"/>
        <v>OK</v>
      </c>
    </row>
    <row r="63" spans="1:78">
      <c r="A63" s="76"/>
      <c r="B63" s="76"/>
      <c r="C63" s="125"/>
      <c r="D63" s="125"/>
      <c r="E63" s="71"/>
      <c r="F63" s="71"/>
      <c r="G63" s="71"/>
      <c r="H63" s="125"/>
      <c r="I63" s="125"/>
      <c r="J63" s="123"/>
      <c r="K63" s="12"/>
      <c r="L63" s="121"/>
      <c r="M63" s="12"/>
      <c r="N63" s="121"/>
      <c r="O63" s="121"/>
      <c r="P63" s="121"/>
      <c r="Q63" s="121"/>
      <c r="R63" s="121"/>
      <c r="S63" s="121"/>
      <c r="T63" s="121"/>
      <c r="U63" s="122"/>
      <c r="V63" s="122"/>
      <c r="W63" s="121"/>
      <c r="X63" s="119"/>
      <c r="Y63" s="120"/>
      <c r="Z63" s="12"/>
      <c r="BA63" s="70" t="s">
        <v>205</v>
      </c>
      <c r="BB63" s="71" t="s">
        <v>206</v>
      </c>
      <c r="BC63" s="71" t="s">
        <v>207</v>
      </c>
      <c r="BD63" s="71">
        <v>4.29</v>
      </c>
      <c r="BE63" s="71">
        <v>5.72</v>
      </c>
      <c r="BF63" s="71">
        <v>268</v>
      </c>
      <c r="BG63" s="71">
        <v>212</v>
      </c>
      <c r="BH63" s="71">
        <v>5</v>
      </c>
      <c r="BI63" s="71">
        <v>10</v>
      </c>
      <c r="BJ63" s="12" t="str" cm="1">
        <f t="array" ref="BJ63">_xll.Dce_Name_SectI(BF63, BF63, BG63, BH63, BI63, "x", "-", $AX$11)</f>
        <v>268x212x5x10</v>
      </c>
      <c r="BK63" s="77" cm="1">
        <f t="array" ref="BK63">_xll.DCEPropSectI(BF63, BH63, BG63, BI63, BG63, BI63, "A")/100</f>
        <v>54.8</v>
      </c>
      <c r="BL63" s="70" t="s">
        <v>222</v>
      </c>
      <c r="BM63" s="70">
        <v>-86.253303152971796</v>
      </c>
      <c r="BN63" s="71">
        <v>0.9</v>
      </c>
      <c r="BO63" s="77">
        <f t="shared" si="1"/>
        <v>5.1479999999999997</v>
      </c>
      <c r="BP63" s="71">
        <v>0.9</v>
      </c>
      <c r="BQ63" s="77">
        <f t="shared" si="2"/>
        <v>5.1479999999999997</v>
      </c>
      <c r="BR63" s="77" cm="1">
        <f t="array" ref="BR63">_xll.DCEPropSectI(BF63, BH63, BG63, BI63, BG63, BI63, "rx")/10</f>
        <v>11.847052463297633</v>
      </c>
      <c r="BS63" s="77" cm="1">
        <f t="array" ref="BS63">_xll.DCEPropSectI(BF63, BH63, BG63, BI63, BG63, BI63, "ry")/10</f>
        <v>5.3836052600564113</v>
      </c>
      <c r="BT63" s="5">
        <f t="shared" si="3"/>
        <v>43.453846566043239</v>
      </c>
      <c r="BU63" s="5">
        <f t="shared" si="4"/>
        <v>95.623652762870975</v>
      </c>
      <c r="BV63" s="5">
        <f t="shared" si="5"/>
        <v>95.623652762870975</v>
      </c>
      <c r="BW63" s="71">
        <f t="shared" si="6"/>
        <v>200</v>
      </c>
      <c r="BX63" s="78" cm="1">
        <f t="array" ref="BX63">IF(BM63&gt;0,1,_xll.DCETCVN5575FactorPhi7121(BV63*SQRT($K$17/206000),"b"))</f>
        <v>0.59843366787807328</v>
      </c>
      <c r="BY63" s="64">
        <f t="shared" si="7"/>
        <v>0.12524484615408815</v>
      </c>
      <c r="BZ63" s="3" t="str">
        <f t="shared" si="8"/>
        <v>OK</v>
      </c>
    </row>
    <row r="64" spans="1:78">
      <c r="A64" s="76"/>
      <c r="B64" s="76"/>
      <c r="C64" s="125"/>
      <c r="D64" s="125"/>
      <c r="E64" s="71"/>
      <c r="F64" s="71"/>
      <c r="G64" s="71"/>
      <c r="H64" s="125"/>
      <c r="I64" s="125"/>
      <c r="J64" s="123"/>
      <c r="K64" s="12"/>
      <c r="L64" s="121"/>
      <c r="M64" s="12"/>
      <c r="N64" s="121"/>
      <c r="O64" s="121"/>
      <c r="P64" s="121"/>
      <c r="Q64" s="121"/>
      <c r="R64" s="121"/>
      <c r="S64" s="121"/>
      <c r="T64" s="121"/>
      <c r="U64" s="122"/>
      <c r="V64" s="122"/>
      <c r="W64" s="121"/>
      <c r="X64" s="119"/>
      <c r="Y64" s="120"/>
      <c r="Z64" s="12"/>
      <c r="BA64" s="70" t="s">
        <v>205</v>
      </c>
      <c r="BB64" s="71" t="s">
        <v>206</v>
      </c>
      <c r="BC64" s="71" t="s">
        <v>207</v>
      </c>
      <c r="BD64" s="71">
        <v>5.01</v>
      </c>
      <c r="BE64" s="71">
        <v>5.72</v>
      </c>
      <c r="BF64" s="71">
        <v>268</v>
      </c>
      <c r="BG64" s="71">
        <v>212</v>
      </c>
      <c r="BH64" s="71">
        <v>5</v>
      </c>
      <c r="BI64" s="71">
        <v>10</v>
      </c>
      <c r="BJ64" s="12" t="str" cm="1">
        <f t="array" ref="BJ64">_xll.Dce_Name_SectI(BF64, BF64, BG64, BH64, BI64, "x", "-", $AX$11)</f>
        <v>268x212x5x10</v>
      </c>
      <c r="BK64" s="77" cm="1">
        <f t="array" ref="BK64">_xll.DCEPropSectI(BF64, BH64, BG64, BI64, BG64, BI64, "A")/100</f>
        <v>54.8</v>
      </c>
      <c r="BL64" s="70" t="s">
        <v>222</v>
      </c>
      <c r="BM64" s="70">
        <v>-86.555161860529381</v>
      </c>
      <c r="BN64" s="71">
        <v>0.9</v>
      </c>
      <c r="BO64" s="77">
        <f t="shared" si="1"/>
        <v>5.1479999999999997</v>
      </c>
      <c r="BP64" s="71">
        <v>0.9</v>
      </c>
      <c r="BQ64" s="77">
        <f t="shared" si="2"/>
        <v>5.1479999999999997</v>
      </c>
      <c r="BR64" s="77" cm="1">
        <f t="array" ref="BR64">_xll.DCEPropSectI(BF64, BH64, BG64, BI64, BG64, BI64, "rx")/10</f>
        <v>11.847052463297633</v>
      </c>
      <c r="BS64" s="77" cm="1">
        <f t="array" ref="BS64">_xll.DCEPropSectI(BF64, BH64, BG64, BI64, BG64, BI64, "ry")/10</f>
        <v>5.3836052600564113</v>
      </c>
      <c r="BT64" s="5">
        <f t="shared" si="3"/>
        <v>43.453846566043239</v>
      </c>
      <c r="BU64" s="5">
        <f t="shared" si="4"/>
        <v>95.623652762870975</v>
      </c>
      <c r="BV64" s="5">
        <f t="shared" si="5"/>
        <v>95.623652762870975</v>
      </c>
      <c r="BW64" s="71">
        <f t="shared" si="6"/>
        <v>200</v>
      </c>
      <c r="BX64" s="78" cm="1">
        <f t="array" ref="BX64">IF(BM64&gt;0,1,_xll.DCETCVN5575FactorPhi7121(BV64*SQRT($K$17/206000),"b"))</f>
        <v>0.59843366787807328</v>
      </c>
      <c r="BY64" s="64">
        <f t="shared" si="7"/>
        <v>0.12568316267074689</v>
      </c>
      <c r="BZ64" s="3" t="str">
        <f t="shared" si="8"/>
        <v>OK</v>
      </c>
    </row>
    <row r="65" spans="1:78">
      <c r="A65" s="76"/>
      <c r="B65" s="76"/>
      <c r="C65" s="125"/>
      <c r="D65" s="125"/>
      <c r="E65" s="71"/>
      <c r="F65" s="71"/>
      <c r="G65" s="71"/>
      <c r="H65" s="125"/>
      <c r="I65" s="125"/>
      <c r="J65" s="123"/>
      <c r="K65" s="12"/>
      <c r="L65" s="121"/>
      <c r="M65" s="12"/>
      <c r="N65" s="121"/>
      <c r="O65" s="121"/>
      <c r="P65" s="121"/>
      <c r="Q65" s="121"/>
      <c r="R65" s="121"/>
      <c r="S65" s="121"/>
      <c r="T65" s="121"/>
      <c r="U65" s="122"/>
      <c r="V65" s="122"/>
      <c r="W65" s="121"/>
      <c r="X65" s="119"/>
      <c r="Y65" s="120"/>
      <c r="Z65" s="12"/>
      <c r="BA65" s="70" t="s">
        <v>205</v>
      </c>
      <c r="BB65" s="71" t="s">
        <v>206</v>
      </c>
      <c r="BC65" s="71" t="s">
        <v>207</v>
      </c>
      <c r="BD65" s="71">
        <v>5.72</v>
      </c>
      <c r="BE65" s="71">
        <v>5.72</v>
      </c>
      <c r="BF65" s="71">
        <v>268</v>
      </c>
      <c r="BG65" s="71">
        <v>212</v>
      </c>
      <c r="BH65" s="71">
        <v>5</v>
      </c>
      <c r="BI65" s="71">
        <v>10</v>
      </c>
      <c r="BJ65" s="12" t="str" cm="1">
        <f t="array" ref="BJ65">_xll.Dce_Name_SectI(BF65, BF65, BG65, BH65, BI65, "x", "-", $AX$11)</f>
        <v>268x212x5x10</v>
      </c>
      <c r="BK65" s="77" cm="1">
        <f t="array" ref="BK65">_xll.DCEPropSectI(BF65, BH65, BG65, BI65, BG65, BI65, "A")/100</f>
        <v>54.8</v>
      </c>
      <c r="BL65" s="70" t="s">
        <v>222</v>
      </c>
      <c r="BM65" s="70">
        <v>-86.857020568086966</v>
      </c>
      <c r="BN65" s="71">
        <v>0.9</v>
      </c>
      <c r="BO65" s="77">
        <f t="shared" si="1"/>
        <v>5.1479999999999997</v>
      </c>
      <c r="BP65" s="71">
        <v>0.9</v>
      </c>
      <c r="BQ65" s="77">
        <f t="shared" si="2"/>
        <v>5.1479999999999997</v>
      </c>
      <c r="BR65" s="77" cm="1">
        <f t="array" ref="BR65">_xll.DCEPropSectI(BF65, BH65, BG65, BI65, BG65, BI65, "rx")/10</f>
        <v>11.847052463297633</v>
      </c>
      <c r="BS65" s="77" cm="1">
        <f t="array" ref="BS65">_xll.DCEPropSectI(BF65, BH65, BG65, BI65, BG65, BI65, "ry")/10</f>
        <v>5.3836052600564113</v>
      </c>
      <c r="BT65" s="5">
        <f t="shared" si="3"/>
        <v>43.453846566043239</v>
      </c>
      <c r="BU65" s="5">
        <f t="shared" si="4"/>
        <v>95.623652762870975</v>
      </c>
      <c r="BV65" s="5">
        <f t="shared" si="5"/>
        <v>95.623652762870975</v>
      </c>
      <c r="BW65" s="71">
        <f t="shared" si="6"/>
        <v>200</v>
      </c>
      <c r="BX65" s="78" cm="1">
        <f t="array" ref="BX65">IF(BM65&gt;0,1,_xll.DCETCVN5575FactorPhi7121(BV65*SQRT($K$17/206000),"b"))</f>
        <v>0.59843366787807328</v>
      </c>
      <c r="BY65" s="64">
        <f t="shared" si="7"/>
        <v>0.12612147918740563</v>
      </c>
      <c r="BZ65" s="3" t="str">
        <f t="shared" si="8"/>
        <v>OK</v>
      </c>
    </row>
    <row r="66" spans="1:78">
      <c r="A66" s="76"/>
      <c r="B66" s="76"/>
      <c r="C66" s="125"/>
      <c r="D66" s="125"/>
      <c r="E66" s="71"/>
      <c r="F66" s="71"/>
      <c r="G66" s="71"/>
      <c r="H66" s="125"/>
      <c r="I66" s="125"/>
      <c r="J66" s="123"/>
      <c r="K66" s="12"/>
      <c r="L66" s="121"/>
      <c r="M66" s="12"/>
      <c r="N66" s="121"/>
      <c r="O66" s="121"/>
      <c r="P66" s="121"/>
      <c r="Q66" s="121"/>
      <c r="R66" s="121"/>
      <c r="S66" s="121"/>
      <c r="T66" s="121"/>
      <c r="U66" s="122"/>
      <c r="V66" s="122"/>
      <c r="W66" s="121"/>
      <c r="X66" s="119"/>
      <c r="Y66" s="120"/>
      <c r="Z66" s="12"/>
      <c r="BA66" s="70" t="s">
        <v>205</v>
      </c>
      <c r="BB66" s="71" t="s">
        <v>206</v>
      </c>
      <c r="BC66" s="71" t="s">
        <v>207</v>
      </c>
      <c r="BD66" s="71">
        <v>0</v>
      </c>
      <c r="BE66" s="71">
        <v>5.72</v>
      </c>
      <c r="BF66" s="71">
        <v>268</v>
      </c>
      <c r="BG66" s="71">
        <v>212</v>
      </c>
      <c r="BH66" s="71">
        <v>5</v>
      </c>
      <c r="BI66" s="71">
        <v>10</v>
      </c>
      <c r="BJ66" s="12" t="str" cm="1">
        <f t="array" ref="BJ66">_xll.Dce_Name_SectI(BF66, BF66, BG66, BH66, BI66, "x", "-", $AX$11)</f>
        <v>268x212x5x10</v>
      </c>
      <c r="BK66" s="77" cm="1">
        <f t="array" ref="BK66">_xll.DCEPropSectI(BF66, BH66, BG66, BI66, BG66, BI66, "A")/100</f>
        <v>54.8</v>
      </c>
      <c r="BL66" s="70" t="s">
        <v>223</v>
      </c>
      <c r="BM66" s="70">
        <v>-49.938279912559985</v>
      </c>
      <c r="BN66" s="71">
        <v>0.9</v>
      </c>
      <c r="BO66" s="77">
        <f t="shared" si="1"/>
        <v>5.1479999999999997</v>
      </c>
      <c r="BP66" s="71">
        <v>0.9</v>
      </c>
      <c r="BQ66" s="77">
        <f t="shared" si="2"/>
        <v>5.1479999999999997</v>
      </c>
      <c r="BR66" s="77" cm="1">
        <f t="array" ref="BR66">_xll.DCEPropSectI(BF66, BH66, BG66, BI66, BG66, BI66, "rx")/10</f>
        <v>11.847052463297633</v>
      </c>
      <c r="BS66" s="77" cm="1">
        <f t="array" ref="BS66">_xll.DCEPropSectI(BF66, BH66, BG66, BI66, BG66, BI66, "ry")/10</f>
        <v>5.3836052600564113</v>
      </c>
      <c r="BT66" s="5">
        <f t="shared" si="3"/>
        <v>43.453846566043239</v>
      </c>
      <c r="BU66" s="5">
        <f t="shared" si="4"/>
        <v>95.623652762870975</v>
      </c>
      <c r="BV66" s="5">
        <f t="shared" si="5"/>
        <v>95.623652762870975</v>
      </c>
      <c r="BW66" s="71">
        <f t="shared" si="6"/>
        <v>200</v>
      </c>
      <c r="BX66" s="78" cm="1">
        <f t="array" ref="BX66">IF(BM66&gt;0,1,_xll.DCETCVN5575FactorPhi7121(BV66*SQRT($K$17/206000),"b"))</f>
        <v>0.59843366787807328</v>
      </c>
      <c r="BY66" s="64">
        <f t="shared" si="7"/>
        <v>7.2513306229627802E-2</v>
      </c>
      <c r="BZ66" s="3" t="str">
        <f t="shared" si="8"/>
        <v>OK</v>
      </c>
    </row>
    <row r="67" spans="1:78">
      <c r="A67" s="76"/>
      <c r="B67" s="76"/>
      <c r="C67" s="125"/>
      <c r="D67" s="125"/>
      <c r="E67" s="71"/>
      <c r="F67" s="71"/>
      <c r="G67" s="71"/>
      <c r="H67" s="126"/>
      <c r="I67" s="125"/>
      <c r="J67" s="123"/>
      <c r="K67" s="12"/>
      <c r="L67" s="117"/>
      <c r="M67" s="12"/>
      <c r="N67" s="117"/>
      <c r="O67" s="117"/>
      <c r="P67" s="117"/>
      <c r="Q67" s="118"/>
      <c r="R67" s="118"/>
      <c r="S67" s="118"/>
      <c r="T67" s="12"/>
      <c r="U67" s="118"/>
      <c r="V67" s="118"/>
      <c r="W67" s="12"/>
      <c r="X67" s="119"/>
      <c r="Y67" s="120"/>
      <c r="Z67" s="12"/>
      <c r="BA67" s="70" t="s">
        <v>205</v>
      </c>
      <c r="BB67" s="71" t="s">
        <v>206</v>
      </c>
      <c r="BC67" s="71" t="s">
        <v>207</v>
      </c>
      <c r="BD67" s="71">
        <v>0.72</v>
      </c>
      <c r="BE67" s="71">
        <v>5.72</v>
      </c>
      <c r="BF67" s="71">
        <v>268</v>
      </c>
      <c r="BG67" s="71">
        <v>212</v>
      </c>
      <c r="BH67" s="71">
        <v>5</v>
      </c>
      <c r="BI67" s="71">
        <v>10</v>
      </c>
      <c r="BJ67" s="12" t="str" cm="1">
        <f t="array" ref="BJ67">_xll.Dce_Name_SectI(BF67, BF67, BG67, BH67, BI67, "x", "-", $AX$11)</f>
        <v>268x212x5x10</v>
      </c>
      <c r="BK67" s="77" cm="1">
        <f t="array" ref="BK67">_xll.DCEPropSectI(BF67, BH67, BG67, BI67, BG67, BI67, "A")/100</f>
        <v>54.8</v>
      </c>
      <c r="BL67" s="70" t="s">
        <v>223</v>
      </c>
      <c r="BM67" s="70">
        <v>-50.24013862011757</v>
      </c>
      <c r="BN67" s="71">
        <v>0.9</v>
      </c>
      <c r="BO67" s="77">
        <f t="shared" si="1"/>
        <v>5.1479999999999997</v>
      </c>
      <c r="BP67" s="71">
        <v>0.9</v>
      </c>
      <c r="BQ67" s="77">
        <f t="shared" si="2"/>
        <v>5.1479999999999997</v>
      </c>
      <c r="BR67" s="77" cm="1">
        <f t="array" ref="BR67">_xll.DCEPropSectI(BF67, BH67, BG67, BI67, BG67, BI67, "rx")/10</f>
        <v>11.847052463297633</v>
      </c>
      <c r="BS67" s="77" cm="1">
        <f t="array" ref="BS67">_xll.DCEPropSectI(BF67, BH67, BG67, BI67, BG67, BI67, "ry")/10</f>
        <v>5.3836052600564113</v>
      </c>
      <c r="BT67" s="5">
        <f t="shared" si="3"/>
        <v>43.453846566043239</v>
      </c>
      <c r="BU67" s="5">
        <f t="shared" si="4"/>
        <v>95.623652762870975</v>
      </c>
      <c r="BV67" s="5">
        <f t="shared" si="5"/>
        <v>95.623652762870975</v>
      </c>
      <c r="BW67" s="71">
        <f t="shared" si="6"/>
        <v>200</v>
      </c>
      <c r="BX67" s="78" cm="1">
        <f t="array" ref="BX67">IF(BM67&gt;0,1,_xll.DCETCVN5575FactorPhi7121(BV67*SQRT($K$17/206000),"b"))</f>
        <v>0.59843366787807328</v>
      </c>
      <c r="BY67" s="64">
        <f t="shared" si="7"/>
        <v>7.2951622746286554E-2</v>
      </c>
      <c r="BZ67" s="3" t="str">
        <f t="shared" si="8"/>
        <v>OK</v>
      </c>
    </row>
    <row r="68" spans="1:78">
      <c r="A68" s="76"/>
      <c r="B68" s="76"/>
      <c r="C68" s="125"/>
      <c r="D68" s="125"/>
      <c r="E68" s="71"/>
      <c r="F68" s="71"/>
      <c r="G68" s="71"/>
      <c r="H68" s="126"/>
      <c r="I68" s="125"/>
      <c r="J68" s="123"/>
      <c r="K68" s="12"/>
      <c r="L68" s="117"/>
      <c r="M68" s="12"/>
      <c r="N68" s="117"/>
      <c r="O68" s="117"/>
      <c r="P68" s="117"/>
      <c r="Q68" s="118"/>
      <c r="R68" s="118"/>
      <c r="S68" s="118"/>
      <c r="T68" s="12"/>
      <c r="U68" s="118"/>
      <c r="V68" s="118"/>
      <c r="W68" s="12"/>
      <c r="X68" s="119"/>
      <c r="Y68" s="120"/>
      <c r="Z68" s="12"/>
      <c r="BA68" s="70" t="s">
        <v>205</v>
      </c>
      <c r="BB68" s="71" t="s">
        <v>206</v>
      </c>
      <c r="BC68" s="71" t="s">
        <v>207</v>
      </c>
      <c r="BD68" s="71">
        <v>1.43</v>
      </c>
      <c r="BE68" s="71">
        <v>5.72</v>
      </c>
      <c r="BF68" s="71">
        <v>268</v>
      </c>
      <c r="BG68" s="71">
        <v>212</v>
      </c>
      <c r="BH68" s="71">
        <v>5</v>
      </c>
      <c r="BI68" s="71">
        <v>10</v>
      </c>
      <c r="BJ68" s="12" t="str" cm="1">
        <f t="array" ref="BJ68">_xll.Dce_Name_SectI(BF68, BF68, BG68, BH68, BI68, "x", "-", $AX$11)</f>
        <v>268x212x5x10</v>
      </c>
      <c r="BK68" s="77" cm="1">
        <f t="array" ref="BK68">_xll.DCEPropSectI(BF68, BH68, BG68, BI68, BG68, BI68, "A")/100</f>
        <v>54.8</v>
      </c>
      <c r="BL68" s="70" t="s">
        <v>223</v>
      </c>
      <c r="BM68" s="70">
        <v>-50.541997327675155</v>
      </c>
      <c r="BN68" s="71">
        <v>0.9</v>
      </c>
      <c r="BO68" s="77">
        <f t="shared" si="1"/>
        <v>5.1479999999999997</v>
      </c>
      <c r="BP68" s="71">
        <v>0.9</v>
      </c>
      <c r="BQ68" s="77">
        <f t="shared" si="2"/>
        <v>5.1479999999999997</v>
      </c>
      <c r="BR68" s="77" cm="1">
        <f t="array" ref="BR68">_xll.DCEPropSectI(BF68, BH68, BG68, BI68, BG68, BI68, "rx")/10</f>
        <v>11.847052463297633</v>
      </c>
      <c r="BS68" s="77" cm="1">
        <f t="array" ref="BS68">_xll.DCEPropSectI(BF68, BH68, BG68, BI68, BG68, BI68, "ry")/10</f>
        <v>5.3836052600564113</v>
      </c>
      <c r="BT68" s="5">
        <f t="shared" si="3"/>
        <v>43.453846566043239</v>
      </c>
      <c r="BU68" s="5">
        <f t="shared" si="4"/>
        <v>95.623652762870975</v>
      </c>
      <c r="BV68" s="5">
        <f t="shared" si="5"/>
        <v>95.623652762870975</v>
      </c>
      <c r="BW68" s="71">
        <f t="shared" si="6"/>
        <v>200</v>
      </c>
      <c r="BX68" s="78" cm="1">
        <f t="array" ref="BX68">IF(BM68&gt;0,1,_xll.DCETCVN5575FactorPhi7121(BV68*SQRT($K$17/206000),"b"))</f>
        <v>0.59843366787807328</v>
      </c>
      <c r="BY68" s="64">
        <f t="shared" si="7"/>
        <v>7.3389939262945306E-2</v>
      </c>
      <c r="BZ68" s="3" t="str">
        <f t="shared" si="8"/>
        <v>OK</v>
      </c>
    </row>
    <row r="69" spans="1:78">
      <c r="A69" s="76"/>
      <c r="B69" s="76"/>
      <c r="C69" s="125"/>
      <c r="D69" s="125"/>
      <c r="E69" s="71"/>
      <c r="F69" s="71"/>
      <c r="G69" s="71"/>
      <c r="H69" s="126"/>
      <c r="I69" s="125"/>
      <c r="J69" s="123"/>
      <c r="K69" s="12"/>
      <c r="L69" s="117"/>
      <c r="M69" s="12"/>
      <c r="N69" s="117"/>
      <c r="O69" s="117"/>
      <c r="P69" s="117"/>
      <c r="Q69" s="118"/>
      <c r="R69" s="118"/>
      <c r="S69" s="118"/>
      <c r="T69" s="12"/>
      <c r="U69" s="118"/>
      <c r="V69" s="118"/>
      <c r="W69" s="12"/>
      <c r="X69" s="119"/>
      <c r="Y69" s="120"/>
      <c r="Z69" s="12"/>
      <c r="BA69" s="70" t="s">
        <v>205</v>
      </c>
      <c r="BB69" s="71" t="s">
        <v>206</v>
      </c>
      <c r="BC69" s="71" t="s">
        <v>207</v>
      </c>
      <c r="BD69" s="71">
        <v>2.15</v>
      </c>
      <c r="BE69" s="71">
        <v>5.72</v>
      </c>
      <c r="BF69" s="71">
        <v>268</v>
      </c>
      <c r="BG69" s="71">
        <v>212</v>
      </c>
      <c r="BH69" s="71">
        <v>5</v>
      </c>
      <c r="BI69" s="71">
        <v>10</v>
      </c>
      <c r="BJ69" s="12" t="str" cm="1">
        <f t="array" ref="BJ69">_xll.Dce_Name_SectI(BF69, BF69, BG69, BH69, BI69, "x", "-", $AX$11)</f>
        <v>268x212x5x10</v>
      </c>
      <c r="BK69" s="77" cm="1">
        <f t="array" ref="BK69">_xll.DCEPropSectI(BF69, BH69, BG69, BI69, BG69, BI69, "A")/100</f>
        <v>54.8</v>
      </c>
      <c r="BL69" s="70" t="s">
        <v>223</v>
      </c>
      <c r="BM69" s="70">
        <v>-50.84385603523274</v>
      </c>
      <c r="BN69" s="71">
        <v>0.9</v>
      </c>
      <c r="BO69" s="77">
        <f t="shared" si="1"/>
        <v>5.1479999999999997</v>
      </c>
      <c r="BP69" s="71">
        <v>0.9</v>
      </c>
      <c r="BQ69" s="77">
        <f t="shared" si="2"/>
        <v>5.1479999999999997</v>
      </c>
      <c r="BR69" s="77" cm="1">
        <f t="array" ref="BR69">_xll.DCEPropSectI(BF69, BH69, BG69, BI69, BG69, BI69, "rx")/10</f>
        <v>11.847052463297633</v>
      </c>
      <c r="BS69" s="77" cm="1">
        <f t="array" ref="BS69">_xll.DCEPropSectI(BF69, BH69, BG69, BI69, BG69, BI69, "ry")/10</f>
        <v>5.3836052600564113</v>
      </c>
      <c r="BT69" s="5">
        <f t="shared" si="3"/>
        <v>43.453846566043239</v>
      </c>
      <c r="BU69" s="5">
        <f t="shared" si="4"/>
        <v>95.623652762870975</v>
      </c>
      <c r="BV69" s="5">
        <f t="shared" si="5"/>
        <v>95.623652762870975</v>
      </c>
      <c r="BW69" s="71">
        <f t="shared" si="6"/>
        <v>200</v>
      </c>
      <c r="BX69" s="78" cm="1">
        <f t="array" ref="BX69">IF(BM69&gt;0,1,_xll.DCETCVN5575FactorPhi7121(BV69*SQRT($K$17/206000),"b"))</f>
        <v>0.59843366787807328</v>
      </c>
      <c r="BY69" s="64">
        <f t="shared" si="7"/>
        <v>7.3828255779604057E-2</v>
      </c>
      <c r="BZ69" s="3" t="str">
        <f t="shared" si="8"/>
        <v>OK</v>
      </c>
    </row>
    <row r="70" spans="1:78">
      <c r="A70" s="76"/>
      <c r="B70" s="76"/>
      <c r="C70" s="125"/>
      <c r="D70" s="125"/>
      <c r="E70" s="71"/>
      <c r="F70" s="71"/>
      <c r="G70" s="71"/>
      <c r="H70" s="126"/>
      <c r="I70" s="125"/>
      <c r="J70" s="123"/>
      <c r="K70" s="12"/>
      <c r="L70" s="117"/>
      <c r="M70" s="12"/>
      <c r="N70" s="117"/>
      <c r="O70" s="117"/>
      <c r="P70" s="117"/>
      <c r="Q70" s="118"/>
      <c r="R70" s="118"/>
      <c r="S70" s="118"/>
      <c r="T70" s="12"/>
      <c r="U70" s="118"/>
      <c r="V70" s="118"/>
      <c r="W70" s="12"/>
      <c r="X70" s="119"/>
      <c r="Y70" s="120"/>
      <c r="Z70" s="12"/>
      <c r="BA70" s="70" t="s">
        <v>205</v>
      </c>
      <c r="BB70" s="71" t="s">
        <v>206</v>
      </c>
      <c r="BC70" s="71" t="s">
        <v>207</v>
      </c>
      <c r="BD70" s="71">
        <v>2.86</v>
      </c>
      <c r="BE70" s="71">
        <v>5.72</v>
      </c>
      <c r="BF70" s="71">
        <v>268</v>
      </c>
      <c r="BG70" s="71">
        <v>212</v>
      </c>
      <c r="BH70" s="71">
        <v>5</v>
      </c>
      <c r="BI70" s="71">
        <v>10</v>
      </c>
      <c r="BJ70" s="12" t="str" cm="1">
        <f t="array" ref="BJ70">_xll.Dce_Name_SectI(BF70, BF70, BG70, BH70, BI70, "x", "-", $AX$11)</f>
        <v>268x212x5x10</v>
      </c>
      <c r="BK70" s="77" cm="1">
        <f t="array" ref="BK70">_xll.DCEPropSectI(BF70, BH70, BG70, BI70, BG70, BI70, "A")/100</f>
        <v>54.8</v>
      </c>
      <c r="BL70" s="70" t="s">
        <v>223</v>
      </c>
      <c r="BM70" s="70">
        <v>-51.145714742790318</v>
      </c>
      <c r="BN70" s="71">
        <v>0.9</v>
      </c>
      <c r="BO70" s="77">
        <f t="shared" si="1"/>
        <v>5.1479999999999997</v>
      </c>
      <c r="BP70" s="71">
        <v>0.9</v>
      </c>
      <c r="BQ70" s="77">
        <f t="shared" si="2"/>
        <v>5.1479999999999997</v>
      </c>
      <c r="BR70" s="77" cm="1">
        <f t="array" ref="BR70">_xll.DCEPropSectI(BF70, BH70, BG70, BI70, BG70, BI70, "rx")/10</f>
        <v>11.847052463297633</v>
      </c>
      <c r="BS70" s="77" cm="1">
        <f t="array" ref="BS70">_xll.DCEPropSectI(BF70, BH70, BG70, BI70, BG70, BI70, "ry")/10</f>
        <v>5.3836052600564113</v>
      </c>
      <c r="BT70" s="5">
        <f t="shared" si="3"/>
        <v>43.453846566043239</v>
      </c>
      <c r="BU70" s="5">
        <f t="shared" si="4"/>
        <v>95.623652762870975</v>
      </c>
      <c r="BV70" s="5">
        <f t="shared" si="5"/>
        <v>95.623652762870975</v>
      </c>
      <c r="BW70" s="71">
        <f t="shared" si="6"/>
        <v>200</v>
      </c>
      <c r="BX70" s="78" cm="1">
        <f t="array" ref="BX70">IF(BM70&gt;0,1,_xll.DCETCVN5575FactorPhi7121(BV70*SQRT($K$17/206000),"b"))</f>
        <v>0.59843366787807328</v>
      </c>
      <c r="BY70" s="64">
        <f t="shared" si="7"/>
        <v>7.4266572296262781E-2</v>
      </c>
      <c r="BZ70" s="3" t="str">
        <f t="shared" si="8"/>
        <v>OK</v>
      </c>
    </row>
    <row r="71" spans="1:78">
      <c r="A71" s="76"/>
      <c r="B71" s="76"/>
      <c r="C71" s="125"/>
      <c r="D71" s="125"/>
      <c r="E71" s="71"/>
      <c r="F71" s="71"/>
      <c r="G71" s="71"/>
      <c r="H71" s="126"/>
      <c r="I71" s="125"/>
      <c r="J71" s="123"/>
      <c r="K71" s="12"/>
      <c r="L71" s="117"/>
      <c r="M71" s="12"/>
      <c r="N71" s="117"/>
      <c r="O71" s="117"/>
      <c r="P71" s="117"/>
      <c r="Q71" s="118"/>
      <c r="R71" s="118"/>
      <c r="S71" s="118"/>
      <c r="T71" s="12"/>
      <c r="U71" s="118"/>
      <c r="V71" s="118"/>
      <c r="W71" s="12"/>
      <c r="X71" s="119"/>
      <c r="Y71" s="120"/>
      <c r="Z71" s="12"/>
      <c r="BA71" s="70" t="s">
        <v>205</v>
      </c>
      <c r="BB71" s="71" t="s">
        <v>206</v>
      </c>
      <c r="BC71" s="71" t="s">
        <v>207</v>
      </c>
      <c r="BD71" s="71">
        <v>3.58</v>
      </c>
      <c r="BE71" s="71">
        <v>5.72</v>
      </c>
      <c r="BF71" s="71">
        <v>268</v>
      </c>
      <c r="BG71" s="71">
        <v>212</v>
      </c>
      <c r="BH71" s="71">
        <v>5</v>
      </c>
      <c r="BI71" s="71">
        <v>10</v>
      </c>
      <c r="BJ71" s="12" t="str" cm="1">
        <f t="array" ref="BJ71">_xll.Dce_Name_SectI(BF71, BF71, BG71, BH71, BI71, "x", "-", $AX$11)</f>
        <v>268x212x5x10</v>
      </c>
      <c r="BK71" s="77" cm="1">
        <f t="array" ref="BK71">_xll.DCEPropSectI(BF71, BH71, BG71, BI71, BG71, BI71, "A")/100</f>
        <v>54.8</v>
      </c>
      <c r="BL71" s="70" t="s">
        <v>223</v>
      </c>
      <c r="BM71" s="70">
        <v>-51.447573450347903</v>
      </c>
      <c r="BN71" s="71">
        <v>0.9</v>
      </c>
      <c r="BO71" s="77">
        <f t="shared" si="1"/>
        <v>5.1479999999999997</v>
      </c>
      <c r="BP71" s="71">
        <v>0.9</v>
      </c>
      <c r="BQ71" s="77">
        <f t="shared" si="2"/>
        <v>5.1479999999999997</v>
      </c>
      <c r="BR71" s="77" cm="1">
        <f t="array" ref="BR71">_xll.DCEPropSectI(BF71, BH71, BG71, BI71, BG71, BI71, "rx")/10</f>
        <v>11.847052463297633</v>
      </c>
      <c r="BS71" s="77" cm="1">
        <f t="array" ref="BS71">_xll.DCEPropSectI(BF71, BH71, BG71, BI71, BG71, BI71, "ry")/10</f>
        <v>5.3836052600564113</v>
      </c>
      <c r="BT71" s="5">
        <f t="shared" si="3"/>
        <v>43.453846566043239</v>
      </c>
      <c r="BU71" s="5">
        <f t="shared" si="4"/>
        <v>95.623652762870975</v>
      </c>
      <c r="BV71" s="5">
        <f t="shared" si="5"/>
        <v>95.623652762870975</v>
      </c>
      <c r="BW71" s="71">
        <f t="shared" si="6"/>
        <v>200</v>
      </c>
      <c r="BX71" s="78" cm="1">
        <f t="array" ref="BX71">IF(BM71&gt;0,1,_xll.DCETCVN5575FactorPhi7121(BV71*SQRT($K$17/206000),"b"))</f>
        <v>0.59843366787807328</v>
      </c>
      <c r="BY71" s="64">
        <f t="shared" si="7"/>
        <v>7.4704888812921533E-2</v>
      </c>
      <c r="BZ71" s="3" t="str">
        <f t="shared" si="8"/>
        <v>OK</v>
      </c>
    </row>
    <row r="72" spans="1:78">
      <c r="A72" s="76"/>
      <c r="B72" s="76"/>
      <c r="C72" s="125"/>
      <c r="D72" s="125"/>
      <c r="E72" s="71"/>
      <c r="F72" s="71"/>
      <c r="G72" s="71"/>
      <c r="H72" s="126"/>
      <c r="I72" s="125"/>
      <c r="J72" s="123"/>
      <c r="K72" s="12"/>
      <c r="L72" s="117"/>
      <c r="M72" s="12"/>
      <c r="N72" s="117"/>
      <c r="O72" s="117"/>
      <c r="P72" s="117"/>
      <c r="Q72" s="118"/>
      <c r="R72" s="118"/>
      <c r="S72" s="118"/>
      <c r="T72" s="12"/>
      <c r="U72" s="118"/>
      <c r="V72" s="118"/>
      <c r="W72" s="12"/>
      <c r="X72" s="119"/>
      <c r="Y72" s="120"/>
      <c r="Z72" s="12"/>
      <c r="BA72" s="70" t="s">
        <v>205</v>
      </c>
      <c r="BB72" s="71" t="s">
        <v>206</v>
      </c>
      <c r="BC72" s="71" t="s">
        <v>207</v>
      </c>
      <c r="BD72" s="71">
        <v>4.29</v>
      </c>
      <c r="BE72" s="71">
        <v>5.72</v>
      </c>
      <c r="BF72" s="71">
        <v>268</v>
      </c>
      <c r="BG72" s="71">
        <v>212</v>
      </c>
      <c r="BH72" s="71">
        <v>5</v>
      </c>
      <c r="BI72" s="71">
        <v>10</v>
      </c>
      <c r="BJ72" s="12" t="str" cm="1">
        <f t="array" ref="BJ72">_xll.Dce_Name_SectI(BF72, BF72, BG72, BH72, BI72, "x", "-", $AX$11)</f>
        <v>268x212x5x10</v>
      </c>
      <c r="BK72" s="77" cm="1">
        <f t="array" ref="BK72">_xll.DCEPropSectI(BF72, BH72, BG72, BI72, BG72, BI72, "A")/100</f>
        <v>54.8</v>
      </c>
      <c r="BL72" s="70" t="s">
        <v>223</v>
      </c>
      <c r="BM72" s="70">
        <v>-51.749432157905488</v>
      </c>
      <c r="BN72" s="71">
        <v>0.9</v>
      </c>
      <c r="BO72" s="77">
        <f t="shared" si="1"/>
        <v>5.1479999999999997</v>
      </c>
      <c r="BP72" s="71">
        <v>0.9</v>
      </c>
      <c r="BQ72" s="77">
        <f t="shared" si="2"/>
        <v>5.1479999999999997</v>
      </c>
      <c r="BR72" s="77" cm="1">
        <f t="array" ref="BR72">_xll.DCEPropSectI(BF72, BH72, BG72, BI72, BG72, BI72, "rx")/10</f>
        <v>11.847052463297633</v>
      </c>
      <c r="BS72" s="77" cm="1">
        <f t="array" ref="BS72">_xll.DCEPropSectI(BF72, BH72, BG72, BI72, BG72, BI72, "ry")/10</f>
        <v>5.3836052600564113</v>
      </c>
      <c r="BT72" s="5">
        <f t="shared" si="3"/>
        <v>43.453846566043239</v>
      </c>
      <c r="BU72" s="5">
        <f t="shared" si="4"/>
        <v>95.623652762870975</v>
      </c>
      <c r="BV72" s="5">
        <f t="shared" si="5"/>
        <v>95.623652762870975</v>
      </c>
      <c r="BW72" s="71">
        <f t="shared" si="6"/>
        <v>200</v>
      </c>
      <c r="BX72" s="78" cm="1">
        <f t="array" ref="BX72">IF(BM72&gt;0,1,_xll.DCETCVN5575FactorPhi7121(BV72*SQRT($K$17/206000),"b"))</f>
        <v>0.59843366787807328</v>
      </c>
      <c r="BY72" s="64">
        <f t="shared" si="7"/>
        <v>7.5143205329580284E-2</v>
      </c>
      <c r="BZ72" s="3" t="str">
        <f t="shared" si="8"/>
        <v>OK</v>
      </c>
    </row>
    <row r="73" spans="1:78">
      <c r="A73" s="76"/>
      <c r="B73" s="76"/>
      <c r="C73" s="125"/>
      <c r="D73" s="125"/>
      <c r="E73" s="71"/>
      <c r="F73" s="71"/>
      <c r="G73" s="71"/>
      <c r="H73" s="126"/>
      <c r="I73" s="125"/>
      <c r="J73" s="123"/>
      <c r="K73" s="12"/>
      <c r="L73" s="117"/>
      <c r="M73" s="12"/>
      <c r="N73" s="117"/>
      <c r="O73" s="117"/>
      <c r="P73" s="117"/>
      <c r="Q73" s="118"/>
      <c r="R73" s="118"/>
      <c r="S73" s="118"/>
      <c r="T73" s="12"/>
      <c r="U73" s="118"/>
      <c r="V73" s="118"/>
      <c r="W73" s="12"/>
      <c r="X73" s="119"/>
      <c r="Y73" s="120"/>
      <c r="Z73" s="12"/>
      <c r="BA73" s="70" t="s">
        <v>205</v>
      </c>
      <c r="BB73" s="71" t="s">
        <v>206</v>
      </c>
      <c r="BC73" s="71" t="s">
        <v>207</v>
      </c>
      <c r="BD73" s="71">
        <v>5.01</v>
      </c>
      <c r="BE73" s="71">
        <v>5.72</v>
      </c>
      <c r="BF73" s="71">
        <v>268</v>
      </c>
      <c r="BG73" s="71">
        <v>212</v>
      </c>
      <c r="BH73" s="71">
        <v>5</v>
      </c>
      <c r="BI73" s="71">
        <v>10</v>
      </c>
      <c r="BJ73" s="12" t="str" cm="1">
        <f t="array" ref="BJ73">_xll.Dce_Name_SectI(BF73, BF73, BG73, BH73, BI73, "x", "-", $AX$11)</f>
        <v>268x212x5x10</v>
      </c>
      <c r="BK73" s="77" cm="1">
        <f t="array" ref="BK73">_xll.DCEPropSectI(BF73, BH73, BG73, BI73, BG73, BI73, "A")/100</f>
        <v>54.8</v>
      </c>
      <c r="BL73" s="70" t="s">
        <v>223</v>
      </c>
      <c r="BM73" s="70">
        <v>-52.051290865463073</v>
      </c>
      <c r="BN73" s="71">
        <v>0.9</v>
      </c>
      <c r="BO73" s="77">
        <f t="shared" si="1"/>
        <v>5.1479999999999997</v>
      </c>
      <c r="BP73" s="71">
        <v>0.9</v>
      </c>
      <c r="BQ73" s="77">
        <f t="shared" si="2"/>
        <v>5.1479999999999997</v>
      </c>
      <c r="BR73" s="77" cm="1">
        <f t="array" ref="BR73">_xll.DCEPropSectI(BF73, BH73, BG73, BI73, BG73, BI73, "rx")/10</f>
        <v>11.847052463297633</v>
      </c>
      <c r="BS73" s="77" cm="1">
        <f t="array" ref="BS73">_xll.DCEPropSectI(BF73, BH73, BG73, BI73, BG73, BI73, "ry")/10</f>
        <v>5.3836052600564113</v>
      </c>
      <c r="BT73" s="5">
        <f t="shared" si="3"/>
        <v>43.453846566043239</v>
      </c>
      <c r="BU73" s="5">
        <f t="shared" si="4"/>
        <v>95.623652762870975</v>
      </c>
      <c r="BV73" s="5">
        <f t="shared" si="5"/>
        <v>95.623652762870975</v>
      </c>
      <c r="BW73" s="71">
        <f t="shared" si="6"/>
        <v>200</v>
      </c>
      <c r="BX73" s="78" cm="1">
        <f t="array" ref="BX73">IF(BM73&gt;0,1,_xll.DCETCVN5575FactorPhi7121(BV73*SQRT($K$17/206000),"b"))</f>
        <v>0.59843366787807328</v>
      </c>
      <c r="BY73" s="64">
        <f t="shared" si="7"/>
        <v>7.5581521846239036E-2</v>
      </c>
      <c r="BZ73" s="3" t="str">
        <f t="shared" si="8"/>
        <v>OK</v>
      </c>
    </row>
    <row r="74" spans="1:78">
      <c r="A74" s="76"/>
      <c r="B74" s="76"/>
      <c r="C74" s="125"/>
      <c r="D74" s="125"/>
      <c r="E74" s="71"/>
      <c r="F74" s="71"/>
      <c r="G74" s="71"/>
      <c r="H74" s="126"/>
      <c r="I74" s="125"/>
      <c r="J74" s="123"/>
      <c r="K74" s="12"/>
      <c r="L74" s="117"/>
      <c r="M74" s="12"/>
      <c r="N74" s="117"/>
      <c r="O74" s="117"/>
      <c r="P74" s="117"/>
      <c r="Q74" s="118"/>
      <c r="R74" s="118"/>
      <c r="S74" s="118"/>
      <c r="T74" s="12"/>
      <c r="U74" s="118"/>
      <c r="V74" s="118"/>
      <c r="W74" s="12"/>
      <c r="X74" s="119"/>
      <c r="Y74" s="120"/>
      <c r="Z74" s="12"/>
      <c r="BA74" s="70" t="s">
        <v>205</v>
      </c>
      <c r="BB74" s="71" t="s">
        <v>206</v>
      </c>
      <c r="BC74" s="71" t="s">
        <v>207</v>
      </c>
      <c r="BD74" s="71">
        <v>5.72</v>
      </c>
      <c r="BE74" s="71">
        <v>5.72</v>
      </c>
      <c r="BF74" s="71">
        <v>268</v>
      </c>
      <c r="BG74" s="71">
        <v>212</v>
      </c>
      <c r="BH74" s="71">
        <v>5</v>
      </c>
      <c r="BI74" s="71">
        <v>10</v>
      </c>
      <c r="BJ74" s="12" t="str" cm="1">
        <f t="array" ref="BJ74">_xll.Dce_Name_SectI(BF74, BF74, BG74, BH74, BI74, "x", "-", $AX$11)</f>
        <v>268x212x5x10</v>
      </c>
      <c r="BK74" s="77" cm="1">
        <f t="array" ref="BK74">_xll.DCEPropSectI(BF74, BH74, BG74, BI74, BG74, BI74, "A")/100</f>
        <v>54.8</v>
      </c>
      <c r="BL74" s="70" t="s">
        <v>223</v>
      </c>
      <c r="BM74" s="70">
        <v>-52.353149573020659</v>
      </c>
      <c r="BN74" s="71">
        <v>0.9</v>
      </c>
      <c r="BO74" s="77">
        <f t="shared" si="1"/>
        <v>5.1479999999999997</v>
      </c>
      <c r="BP74" s="71">
        <v>0.9</v>
      </c>
      <c r="BQ74" s="77">
        <f t="shared" si="2"/>
        <v>5.1479999999999997</v>
      </c>
      <c r="BR74" s="77" cm="1">
        <f t="array" ref="BR74">_xll.DCEPropSectI(BF74, BH74, BG74, BI74, BG74, BI74, "rx")/10</f>
        <v>11.847052463297633</v>
      </c>
      <c r="BS74" s="77" cm="1">
        <f t="array" ref="BS74">_xll.DCEPropSectI(BF74, BH74, BG74, BI74, BG74, BI74, "ry")/10</f>
        <v>5.3836052600564113</v>
      </c>
      <c r="BT74" s="5">
        <f t="shared" si="3"/>
        <v>43.453846566043239</v>
      </c>
      <c r="BU74" s="5">
        <f t="shared" si="4"/>
        <v>95.623652762870975</v>
      </c>
      <c r="BV74" s="5">
        <f t="shared" si="5"/>
        <v>95.623652762870975</v>
      </c>
      <c r="BW74" s="71">
        <f t="shared" si="6"/>
        <v>200</v>
      </c>
      <c r="BX74" s="78" cm="1">
        <f t="array" ref="BX74">IF(BM74&gt;0,1,_xll.DCETCVN5575FactorPhi7121(BV74*SQRT($K$17/206000),"b"))</f>
        <v>0.59843366787807328</v>
      </c>
      <c r="BY74" s="64">
        <f t="shared" si="7"/>
        <v>7.6019838362897788E-2</v>
      </c>
      <c r="BZ74" s="3" t="str">
        <f t="shared" si="8"/>
        <v>OK</v>
      </c>
    </row>
    <row r="75" spans="1:78">
      <c r="A75" s="76"/>
      <c r="B75" s="76"/>
      <c r="C75" s="125"/>
      <c r="D75" s="125"/>
      <c r="E75" s="71"/>
      <c r="F75" s="71"/>
      <c r="G75" s="71"/>
      <c r="H75" s="126"/>
      <c r="I75" s="125"/>
      <c r="J75" s="123"/>
      <c r="K75" s="12"/>
      <c r="L75" s="117"/>
      <c r="M75" s="12"/>
      <c r="N75" s="117"/>
      <c r="O75" s="117"/>
      <c r="P75" s="117"/>
      <c r="Q75" s="118"/>
      <c r="R75" s="118"/>
      <c r="S75" s="118"/>
      <c r="T75" s="12"/>
      <c r="U75" s="118"/>
      <c r="V75" s="118"/>
      <c r="W75" s="12"/>
      <c r="X75" s="119"/>
      <c r="Y75" s="120"/>
      <c r="Z75" s="12"/>
      <c r="BA75" s="70" t="s">
        <v>205</v>
      </c>
      <c r="BB75" s="71" t="s">
        <v>206</v>
      </c>
      <c r="BC75" s="71" t="s">
        <v>207</v>
      </c>
      <c r="BD75" s="71">
        <v>0</v>
      </c>
      <c r="BE75" s="71">
        <v>5.72</v>
      </c>
      <c r="BF75" s="71">
        <v>268</v>
      </c>
      <c r="BG75" s="71">
        <v>212</v>
      </c>
      <c r="BH75" s="71">
        <v>5</v>
      </c>
      <c r="BI75" s="71">
        <v>10</v>
      </c>
      <c r="BJ75" s="12" t="str" cm="1">
        <f t="array" ref="BJ75">_xll.Dce_Name_SectI(BF75, BF75, BG75, BH75, BI75, "x", "-", $AX$11)</f>
        <v>268x212x5x10</v>
      </c>
      <c r="BK75" s="77" cm="1">
        <f t="array" ref="BK75">_xll.DCEPropSectI(BF75, BH75, BG75, BI75, BG75, BI75, "A")/100</f>
        <v>54.8</v>
      </c>
      <c r="BL75" s="70" t="s">
        <v>224</v>
      </c>
      <c r="BM75" s="70">
        <v>59.81233264004959</v>
      </c>
      <c r="BN75" s="71">
        <v>0.9</v>
      </c>
      <c r="BO75" s="77">
        <f t="shared" si="1"/>
        <v>5.1479999999999997</v>
      </c>
      <c r="BP75" s="71">
        <v>0.9</v>
      </c>
      <c r="BQ75" s="77">
        <f t="shared" si="2"/>
        <v>5.1479999999999997</v>
      </c>
      <c r="BR75" s="77" cm="1">
        <f t="array" ref="BR75">_xll.DCEPropSectI(BF75, BH75, BG75, BI75, BG75, BI75, "rx")/10</f>
        <v>11.847052463297633</v>
      </c>
      <c r="BS75" s="77" cm="1">
        <f t="array" ref="BS75">_xll.DCEPropSectI(BF75, BH75, BG75, BI75, BG75, BI75, "ry")/10</f>
        <v>5.3836052600564113</v>
      </c>
      <c r="BT75" s="5">
        <f t="shared" si="3"/>
        <v>43.453846566043239</v>
      </c>
      <c r="BU75" s="5">
        <f t="shared" si="4"/>
        <v>95.623652762870975</v>
      </c>
      <c r="BV75" s="5">
        <f t="shared" si="5"/>
        <v>95.623652762870975</v>
      </c>
      <c r="BW75" s="71">
        <f t="shared" si="6"/>
        <v>400</v>
      </c>
      <c r="BX75" s="78" cm="1">
        <f t="array" ref="BX75">IF(BM75&gt;0,1,_xll.DCETCVN5575FactorPhi7121(BV75*SQRT($K$17/206000),"b"))</f>
        <v>1</v>
      </c>
      <c r="BY75" s="64">
        <f t="shared" si="7"/>
        <v>5.1974567813737917E-2</v>
      </c>
      <c r="BZ75" s="3" t="str">
        <f t="shared" si="8"/>
        <v>OK</v>
      </c>
    </row>
    <row r="76" spans="1:78">
      <c r="A76" s="76"/>
      <c r="B76" s="76"/>
      <c r="C76" s="125"/>
      <c r="D76" s="125"/>
      <c r="E76" s="71"/>
      <c r="F76" s="71"/>
      <c r="G76" s="71"/>
      <c r="H76" s="126"/>
      <c r="I76" s="125"/>
      <c r="J76" s="123"/>
      <c r="K76" s="12"/>
      <c r="L76" s="117"/>
      <c r="M76" s="12"/>
      <c r="N76" s="117"/>
      <c r="O76" s="117"/>
      <c r="P76" s="117"/>
      <c r="Q76" s="118"/>
      <c r="R76" s="118"/>
      <c r="S76" s="118"/>
      <c r="T76" s="12"/>
      <c r="U76" s="118"/>
      <c r="V76" s="118"/>
      <c r="W76" s="12"/>
      <c r="X76" s="119"/>
      <c r="Y76" s="120"/>
      <c r="Z76" s="12"/>
      <c r="BA76" s="70" t="s">
        <v>205</v>
      </c>
      <c r="BB76" s="71" t="s">
        <v>206</v>
      </c>
      <c r="BC76" s="71" t="s">
        <v>207</v>
      </c>
      <c r="BD76" s="71">
        <v>0.72</v>
      </c>
      <c r="BE76" s="71">
        <v>5.72</v>
      </c>
      <c r="BF76" s="71">
        <v>268</v>
      </c>
      <c r="BG76" s="71">
        <v>212</v>
      </c>
      <c r="BH76" s="71">
        <v>5</v>
      </c>
      <c r="BI76" s="71">
        <v>10</v>
      </c>
      <c r="BJ76" s="12" t="str" cm="1">
        <f t="array" ref="BJ76">_xll.Dce_Name_SectI(BF76, BF76, BG76, BH76, BI76, "x", "-", $AX$11)</f>
        <v>268x212x5x10</v>
      </c>
      <c r="BK76" s="77" cm="1">
        <f t="array" ref="BK76">_xll.DCEPropSectI(BF76, BH76, BG76, BI76, BG76, BI76, "A")/100</f>
        <v>54.8</v>
      </c>
      <c r="BL76" s="70" t="s">
        <v>224</v>
      </c>
      <c r="BM76" s="70">
        <v>59.510473932492005</v>
      </c>
      <c r="BN76" s="71">
        <v>0.9</v>
      </c>
      <c r="BO76" s="77">
        <f t="shared" si="1"/>
        <v>5.1479999999999997</v>
      </c>
      <c r="BP76" s="71">
        <v>0.9</v>
      </c>
      <c r="BQ76" s="77">
        <f t="shared" si="2"/>
        <v>5.1479999999999997</v>
      </c>
      <c r="BR76" s="77" cm="1">
        <f t="array" ref="BR76">_xll.DCEPropSectI(BF76, BH76, BG76, BI76, BG76, BI76, "rx")/10</f>
        <v>11.847052463297633</v>
      </c>
      <c r="BS76" s="77" cm="1">
        <f t="array" ref="BS76">_xll.DCEPropSectI(BF76, BH76, BG76, BI76, BG76, BI76, "ry")/10</f>
        <v>5.3836052600564113</v>
      </c>
      <c r="BT76" s="5">
        <f t="shared" si="3"/>
        <v>43.453846566043239</v>
      </c>
      <c r="BU76" s="5">
        <f t="shared" si="4"/>
        <v>95.623652762870975</v>
      </c>
      <c r="BV76" s="5">
        <f t="shared" si="5"/>
        <v>95.623652762870975</v>
      </c>
      <c r="BW76" s="71">
        <f t="shared" si="6"/>
        <v>400</v>
      </c>
      <c r="BX76" s="78" cm="1">
        <f t="array" ref="BX76">IF(BM76&gt;0,1,_xll.DCETCVN5575FactorPhi7121(BV76*SQRT($K$17/206000),"b"))</f>
        <v>1</v>
      </c>
      <c r="BY76" s="64">
        <f t="shared" si="7"/>
        <v>5.1712264452982291E-2</v>
      </c>
      <c r="BZ76" s="3" t="str">
        <f t="shared" si="8"/>
        <v>OK</v>
      </c>
    </row>
    <row r="77" spans="1:78">
      <c r="A77" s="76"/>
      <c r="B77" s="76"/>
      <c r="C77" s="125"/>
      <c r="D77" s="125"/>
      <c r="E77" s="71"/>
      <c r="F77" s="71"/>
      <c r="G77" s="71"/>
      <c r="H77" s="126"/>
      <c r="I77" s="125"/>
      <c r="J77" s="123"/>
      <c r="K77" s="12"/>
      <c r="L77" s="117"/>
      <c r="M77" s="12"/>
      <c r="N77" s="117"/>
      <c r="O77" s="117"/>
      <c r="P77" s="117"/>
      <c r="Q77" s="118"/>
      <c r="R77" s="118"/>
      <c r="S77" s="118"/>
      <c r="T77" s="12"/>
      <c r="U77" s="118"/>
      <c r="V77" s="118"/>
      <c r="W77" s="12"/>
      <c r="X77" s="119"/>
      <c r="Y77" s="120"/>
      <c r="Z77" s="12"/>
      <c r="BA77" s="70" t="s">
        <v>205</v>
      </c>
      <c r="BB77" s="71" t="s">
        <v>206</v>
      </c>
      <c r="BC77" s="71" t="s">
        <v>207</v>
      </c>
      <c r="BD77" s="71">
        <v>1.43</v>
      </c>
      <c r="BE77" s="71">
        <v>5.72</v>
      </c>
      <c r="BF77" s="71">
        <v>268</v>
      </c>
      <c r="BG77" s="71">
        <v>212</v>
      </c>
      <c r="BH77" s="71">
        <v>5</v>
      </c>
      <c r="BI77" s="71">
        <v>10</v>
      </c>
      <c r="BJ77" s="12" t="str" cm="1">
        <f t="array" ref="BJ77">_xll.Dce_Name_SectI(BF77, BF77, BG77, BH77, BI77, "x", "-", $AX$11)</f>
        <v>268x212x5x10</v>
      </c>
      <c r="BK77" s="77" cm="1">
        <f t="array" ref="BK77">_xll.DCEPropSectI(BF77, BH77, BG77, BI77, BG77, BI77, "A")/100</f>
        <v>54.8</v>
      </c>
      <c r="BL77" s="70" t="s">
        <v>224</v>
      </c>
      <c r="BM77" s="70">
        <v>59.20861522493442</v>
      </c>
      <c r="BN77" s="71">
        <v>0.9</v>
      </c>
      <c r="BO77" s="77">
        <f t="shared" ref="BO77:BO140" si="19">BN77*BE77</f>
        <v>5.1479999999999997</v>
      </c>
      <c r="BP77" s="71">
        <v>0.9</v>
      </c>
      <c r="BQ77" s="77">
        <f t="shared" ref="BQ77:BQ140" si="20">BP77*BE77</f>
        <v>5.1479999999999997</v>
      </c>
      <c r="BR77" s="77" cm="1">
        <f t="array" ref="BR77">_xll.DCEPropSectI(BF77, BH77, BG77, BI77, BG77, BI77, "rx")/10</f>
        <v>11.847052463297633</v>
      </c>
      <c r="BS77" s="77" cm="1">
        <f t="array" ref="BS77">_xll.DCEPropSectI(BF77, BH77, BG77, BI77, BG77, BI77, "ry")/10</f>
        <v>5.3836052600564113</v>
      </c>
      <c r="BT77" s="5">
        <f t="shared" ref="BT77:BT140" si="21">BO77*100/BR77</f>
        <v>43.453846566043239</v>
      </c>
      <c r="BU77" s="5">
        <f t="shared" ref="BU77:BU140" si="22">BQ77*100/BS77</f>
        <v>95.623652762870975</v>
      </c>
      <c r="BV77" s="5">
        <f t="shared" ref="BV77:BV140" si="23">MAX(BT77,BU77)</f>
        <v>95.623652762870975</v>
      </c>
      <c r="BW77" s="71">
        <f t="shared" ref="BW77:BW140" si="24">IF(BM77&lt;0,$AY$14,$AY$15)</f>
        <v>400</v>
      </c>
      <c r="BX77" s="78" cm="1">
        <f t="array" ref="BX77">IF(BM77&gt;0,1,_xll.DCETCVN5575FactorPhi7121(BV77*SQRT($K$17/206000),"b"))</f>
        <v>1</v>
      </c>
      <c r="BY77" s="64">
        <f t="shared" ref="BY77:BY140" si="25">ABS(BM77)/(BX77*BK77*$K$17*$K$19)*10</f>
        <v>5.1449961092226652E-2</v>
      </c>
      <c r="BZ77" s="3" t="str">
        <f t="shared" ref="BZ77:BZ140" si="26">IF(AND(BV77&lt;=BW77,BY77&lt;=1),"OK","Check")</f>
        <v>OK</v>
      </c>
    </row>
    <row r="78" spans="1:78">
      <c r="A78" s="76"/>
      <c r="B78" s="76"/>
      <c r="C78" s="125"/>
      <c r="D78" s="125"/>
      <c r="E78" s="71"/>
      <c r="F78" s="71"/>
      <c r="G78" s="71"/>
      <c r="H78" s="126"/>
      <c r="I78" s="125"/>
      <c r="J78" s="123"/>
      <c r="K78" s="12"/>
      <c r="L78" s="117"/>
      <c r="M78" s="12"/>
      <c r="N78" s="117"/>
      <c r="O78" s="117"/>
      <c r="P78" s="117"/>
      <c r="Q78" s="118"/>
      <c r="R78" s="118"/>
      <c r="S78" s="118"/>
      <c r="T78" s="12"/>
      <c r="U78" s="118"/>
      <c r="V78" s="118"/>
      <c r="W78" s="12"/>
      <c r="X78" s="119"/>
      <c r="Y78" s="120"/>
      <c r="Z78" s="12"/>
      <c r="BA78" s="70" t="s">
        <v>205</v>
      </c>
      <c r="BB78" s="71" t="s">
        <v>206</v>
      </c>
      <c r="BC78" s="71" t="s">
        <v>207</v>
      </c>
      <c r="BD78" s="71">
        <v>2.15</v>
      </c>
      <c r="BE78" s="71">
        <v>5.72</v>
      </c>
      <c r="BF78" s="71">
        <v>268</v>
      </c>
      <c r="BG78" s="71">
        <v>212</v>
      </c>
      <c r="BH78" s="71">
        <v>5</v>
      </c>
      <c r="BI78" s="71">
        <v>10</v>
      </c>
      <c r="BJ78" s="12" t="str" cm="1">
        <f t="array" ref="BJ78">_xll.Dce_Name_SectI(BF78, BF78, BG78, BH78, BI78, "x", "-", $AX$11)</f>
        <v>268x212x5x10</v>
      </c>
      <c r="BK78" s="77" cm="1">
        <f t="array" ref="BK78">_xll.DCEPropSectI(BF78, BH78, BG78, BI78, BG78, BI78, "A")/100</f>
        <v>54.8</v>
      </c>
      <c r="BL78" s="70" t="s">
        <v>224</v>
      </c>
      <c r="BM78" s="70">
        <v>58.906756517376834</v>
      </c>
      <c r="BN78" s="71">
        <v>0.9</v>
      </c>
      <c r="BO78" s="77">
        <f t="shared" si="19"/>
        <v>5.1479999999999997</v>
      </c>
      <c r="BP78" s="71">
        <v>0.9</v>
      </c>
      <c r="BQ78" s="77">
        <f t="shared" si="20"/>
        <v>5.1479999999999997</v>
      </c>
      <c r="BR78" s="77" cm="1">
        <f t="array" ref="BR78">_xll.DCEPropSectI(BF78, BH78, BG78, BI78, BG78, BI78, "rx")/10</f>
        <v>11.847052463297633</v>
      </c>
      <c r="BS78" s="77" cm="1">
        <f t="array" ref="BS78">_xll.DCEPropSectI(BF78, BH78, BG78, BI78, BG78, BI78, "ry")/10</f>
        <v>5.3836052600564113</v>
      </c>
      <c r="BT78" s="5">
        <f t="shared" si="21"/>
        <v>43.453846566043239</v>
      </c>
      <c r="BU78" s="5">
        <f t="shared" si="22"/>
        <v>95.623652762870975</v>
      </c>
      <c r="BV78" s="5">
        <f t="shared" si="23"/>
        <v>95.623652762870975</v>
      </c>
      <c r="BW78" s="71">
        <f t="shared" si="24"/>
        <v>400</v>
      </c>
      <c r="BX78" s="78" cm="1">
        <f t="array" ref="BX78">IF(BM78&gt;0,1,_xll.DCETCVN5575FactorPhi7121(BV78*SQRT($K$17/206000),"b"))</f>
        <v>1</v>
      </c>
      <c r="BY78" s="64">
        <f t="shared" si="25"/>
        <v>5.118765773147102E-2</v>
      </c>
      <c r="BZ78" s="3" t="str">
        <f t="shared" si="26"/>
        <v>OK</v>
      </c>
    </row>
    <row r="79" spans="1:78">
      <c r="A79" s="76"/>
      <c r="B79" s="76"/>
      <c r="C79" s="125"/>
      <c r="D79" s="125"/>
      <c r="E79" s="71"/>
      <c r="F79" s="71"/>
      <c r="G79" s="71"/>
      <c r="H79" s="126"/>
      <c r="I79" s="125"/>
      <c r="J79" s="123"/>
      <c r="K79" s="12"/>
      <c r="L79" s="117"/>
      <c r="M79" s="12"/>
      <c r="N79" s="117"/>
      <c r="O79" s="117"/>
      <c r="P79" s="117"/>
      <c r="Q79" s="118"/>
      <c r="R79" s="118"/>
      <c r="S79" s="118"/>
      <c r="T79" s="12"/>
      <c r="U79" s="118"/>
      <c r="V79" s="118"/>
      <c r="W79" s="12"/>
      <c r="X79" s="119"/>
      <c r="Y79" s="120"/>
      <c r="Z79" s="12"/>
      <c r="BA79" s="70" t="s">
        <v>205</v>
      </c>
      <c r="BB79" s="71" t="s">
        <v>206</v>
      </c>
      <c r="BC79" s="71" t="s">
        <v>207</v>
      </c>
      <c r="BD79" s="71">
        <v>2.86</v>
      </c>
      <c r="BE79" s="71">
        <v>5.72</v>
      </c>
      <c r="BF79" s="71">
        <v>268</v>
      </c>
      <c r="BG79" s="71">
        <v>212</v>
      </c>
      <c r="BH79" s="71">
        <v>5</v>
      </c>
      <c r="BI79" s="71">
        <v>10</v>
      </c>
      <c r="BJ79" s="12" t="str" cm="1">
        <f t="array" ref="BJ79">_xll.Dce_Name_SectI(BF79, BF79, BG79, BH79, BI79, "x", "-", $AX$11)</f>
        <v>268x212x5x10</v>
      </c>
      <c r="BK79" s="77" cm="1">
        <f t="array" ref="BK79">_xll.DCEPropSectI(BF79, BH79, BG79, BI79, BG79, BI79, "A")/100</f>
        <v>54.8</v>
      </c>
      <c r="BL79" s="70" t="s">
        <v>224</v>
      </c>
      <c r="BM79" s="70">
        <v>58.604897809819256</v>
      </c>
      <c r="BN79" s="71">
        <v>0.9</v>
      </c>
      <c r="BO79" s="77">
        <f t="shared" si="19"/>
        <v>5.1479999999999997</v>
      </c>
      <c r="BP79" s="71">
        <v>0.9</v>
      </c>
      <c r="BQ79" s="77">
        <f t="shared" si="20"/>
        <v>5.1479999999999997</v>
      </c>
      <c r="BR79" s="77" cm="1">
        <f t="array" ref="BR79">_xll.DCEPropSectI(BF79, BH79, BG79, BI79, BG79, BI79, "rx")/10</f>
        <v>11.847052463297633</v>
      </c>
      <c r="BS79" s="77" cm="1">
        <f t="array" ref="BS79">_xll.DCEPropSectI(BF79, BH79, BG79, BI79, BG79, BI79, "ry")/10</f>
        <v>5.3836052600564113</v>
      </c>
      <c r="BT79" s="5">
        <f t="shared" si="21"/>
        <v>43.453846566043239</v>
      </c>
      <c r="BU79" s="5">
        <f t="shared" si="22"/>
        <v>95.623652762870975</v>
      </c>
      <c r="BV79" s="5">
        <f t="shared" si="23"/>
        <v>95.623652762870975</v>
      </c>
      <c r="BW79" s="71">
        <f t="shared" si="24"/>
        <v>400</v>
      </c>
      <c r="BX79" s="78" cm="1">
        <f t="array" ref="BX79">IF(BM79&gt;0,1,_xll.DCETCVN5575FactorPhi7121(BV79*SQRT($K$17/206000),"b"))</f>
        <v>1</v>
      </c>
      <c r="BY79" s="64">
        <f t="shared" si="25"/>
        <v>5.0925354370715381E-2</v>
      </c>
      <c r="BZ79" s="3" t="str">
        <f t="shared" si="26"/>
        <v>OK</v>
      </c>
    </row>
    <row r="80" spans="1:78">
      <c r="A80" s="76"/>
      <c r="B80" s="76"/>
      <c r="C80" s="125"/>
      <c r="D80" s="125"/>
      <c r="E80" s="71"/>
      <c r="F80" s="71"/>
      <c r="G80" s="71"/>
      <c r="H80" s="126"/>
      <c r="I80" s="125"/>
      <c r="J80" s="123"/>
      <c r="K80" s="12"/>
      <c r="L80" s="117"/>
      <c r="M80" s="12"/>
      <c r="N80" s="117"/>
      <c r="O80" s="117"/>
      <c r="P80" s="117"/>
      <c r="Q80" s="118"/>
      <c r="R80" s="118"/>
      <c r="S80" s="118"/>
      <c r="T80" s="12"/>
      <c r="U80" s="118"/>
      <c r="V80" s="118"/>
      <c r="W80" s="12"/>
      <c r="X80" s="119"/>
      <c r="Y80" s="120"/>
      <c r="Z80" s="12"/>
      <c r="BA80" s="70" t="s">
        <v>205</v>
      </c>
      <c r="BB80" s="71" t="s">
        <v>206</v>
      </c>
      <c r="BC80" s="71" t="s">
        <v>207</v>
      </c>
      <c r="BD80" s="71">
        <v>3.58</v>
      </c>
      <c r="BE80" s="71">
        <v>5.72</v>
      </c>
      <c r="BF80" s="71">
        <v>268</v>
      </c>
      <c r="BG80" s="71">
        <v>212</v>
      </c>
      <c r="BH80" s="71">
        <v>5</v>
      </c>
      <c r="BI80" s="71">
        <v>10</v>
      </c>
      <c r="BJ80" s="12" t="str" cm="1">
        <f t="array" ref="BJ80">_xll.Dce_Name_SectI(BF80, BF80, BG80, BH80, BI80, "x", "-", $AX$11)</f>
        <v>268x212x5x10</v>
      </c>
      <c r="BK80" s="77" cm="1">
        <f t="array" ref="BK80">_xll.DCEPropSectI(BF80, BH80, BG80, BI80, BG80, BI80, "A")/100</f>
        <v>54.8</v>
      </c>
      <c r="BL80" s="70" t="s">
        <v>224</v>
      </c>
      <c r="BM80" s="70">
        <v>58.303039102261671</v>
      </c>
      <c r="BN80" s="71">
        <v>0.9</v>
      </c>
      <c r="BO80" s="77">
        <f t="shared" si="19"/>
        <v>5.1479999999999997</v>
      </c>
      <c r="BP80" s="71">
        <v>0.9</v>
      </c>
      <c r="BQ80" s="77">
        <f t="shared" si="20"/>
        <v>5.1479999999999997</v>
      </c>
      <c r="BR80" s="77" cm="1">
        <f t="array" ref="BR80">_xll.DCEPropSectI(BF80, BH80, BG80, BI80, BG80, BI80, "rx")/10</f>
        <v>11.847052463297633</v>
      </c>
      <c r="BS80" s="77" cm="1">
        <f t="array" ref="BS80">_xll.DCEPropSectI(BF80, BH80, BG80, BI80, BG80, BI80, "ry")/10</f>
        <v>5.3836052600564113</v>
      </c>
      <c r="BT80" s="5">
        <f t="shared" si="21"/>
        <v>43.453846566043239</v>
      </c>
      <c r="BU80" s="5">
        <f t="shared" si="22"/>
        <v>95.623652762870975</v>
      </c>
      <c r="BV80" s="5">
        <f t="shared" si="23"/>
        <v>95.623652762870975</v>
      </c>
      <c r="BW80" s="71">
        <f t="shared" si="24"/>
        <v>400</v>
      </c>
      <c r="BX80" s="78" cm="1">
        <f t="array" ref="BX80">IF(BM80&gt;0,1,_xll.DCETCVN5575FactorPhi7121(BV80*SQRT($K$17/206000),"b"))</f>
        <v>1</v>
      </c>
      <c r="BY80" s="64">
        <f t="shared" si="25"/>
        <v>5.0663051009959749E-2</v>
      </c>
      <c r="BZ80" s="3" t="str">
        <f t="shared" si="26"/>
        <v>OK</v>
      </c>
    </row>
    <row r="81" spans="1:78">
      <c r="A81" s="76"/>
      <c r="B81" s="76"/>
      <c r="C81" s="125"/>
      <c r="D81" s="125"/>
      <c r="E81" s="71"/>
      <c r="F81" s="71"/>
      <c r="G81" s="71"/>
      <c r="H81" s="126"/>
      <c r="I81" s="125"/>
      <c r="J81" s="123"/>
      <c r="K81" s="12"/>
      <c r="L81" s="117"/>
      <c r="M81" s="12"/>
      <c r="N81" s="117"/>
      <c r="O81" s="117"/>
      <c r="P81" s="117"/>
      <c r="Q81" s="118"/>
      <c r="R81" s="118"/>
      <c r="S81" s="118"/>
      <c r="T81" s="12"/>
      <c r="U81" s="118"/>
      <c r="V81" s="118"/>
      <c r="W81" s="12"/>
      <c r="X81" s="119"/>
      <c r="Y81" s="120"/>
      <c r="Z81" s="12"/>
      <c r="BA81" s="70" t="s">
        <v>205</v>
      </c>
      <c r="BB81" s="71" t="s">
        <v>206</v>
      </c>
      <c r="BC81" s="71" t="s">
        <v>207</v>
      </c>
      <c r="BD81" s="71">
        <v>4.29</v>
      </c>
      <c r="BE81" s="71">
        <v>5.72</v>
      </c>
      <c r="BF81" s="71">
        <v>268</v>
      </c>
      <c r="BG81" s="71">
        <v>212</v>
      </c>
      <c r="BH81" s="71">
        <v>5</v>
      </c>
      <c r="BI81" s="71">
        <v>10</v>
      </c>
      <c r="BJ81" s="12" t="str" cm="1">
        <f t="array" ref="BJ81">_xll.Dce_Name_SectI(BF81, BF81, BG81, BH81, BI81, "x", "-", $AX$11)</f>
        <v>268x212x5x10</v>
      </c>
      <c r="BK81" s="77" cm="1">
        <f t="array" ref="BK81">_xll.DCEPropSectI(BF81, BH81, BG81, BI81, BG81, BI81, "A")/100</f>
        <v>54.8</v>
      </c>
      <c r="BL81" s="70" t="s">
        <v>224</v>
      </c>
      <c r="BM81" s="70">
        <v>58.001180394704086</v>
      </c>
      <c r="BN81" s="71">
        <v>0.9</v>
      </c>
      <c r="BO81" s="77">
        <f t="shared" si="19"/>
        <v>5.1479999999999997</v>
      </c>
      <c r="BP81" s="71">
        <v>0.9</v>
      </c>
      <c r="BQ81" s="77">
        <f t="shared" si="20"/>
        <v>5.1479999999999997</v>
      </c>
      <c r="BR81" s="77" cm="1">
        <f t="array" ref="BR81">_xll.DCEPropSectI(BF81, BH81, BG81, BI81, BG81, BI81, "rx")/10</f>
        <v>11.847052463297633</v>
      </c>
      <c r="BS81" s="77" cm="1">
        <f t="array" ref="BS81">_xll.DCEPropSectI(BF81, BH81, BG81, BI81, BG81, BI81, "ry")/10</f>
        <v>5.3836052600564113</v>
      </c>
      <c r="BT81" s="5">
        <f t="shared" si="21"/>
        <v>43.453846566043239</v>
      </c>
      <c r="BU81" s="5">
        <f t="shared" si="22"/>
        <v>95.623652762870975</v>
      </c>
      <c r="BV81" s="5">
        <f t="shared" si="23"/>
        <v>95.623652762870975</v>
      </c>
      <c r="BW81" s="71">
        <f t="shared" si="24"/>
        <v>400</v>
      </c>
      <c r="BX81" s="78" cm="1">
        <f t="array" ref="BX81">IF(BM81&gt;0,1,_xll.DCETCVN5575FactorPhi7121(BV81*SQRT($K$17/206000),"b"))</f>
        <v>1</v>
      </c>
      <c r="BY81" s="64">
        <f t="shared" si="25"/>
        <v>5.040074764920411E-2</v>
      </c>
      <c r="BZ81" s="3" t="str">
        <f t="shared" si="26"/>
        <v>OK</v>
      </c>
    </row>
    <row r="82" spans="1:78">
      <c r="A82" s="76"/>
      <c r="B82" s="76"/>
      <c r="C82" s="125"/>
      <c r="D82" s="125"/>
      <c r="E82" s="71"/>
      <c r="F82" s="71"/>
      <c r="G82" s="71"/>
      <c r="H82" s="126"/>
      <c r="I82" s="125"/>
      <c r="J82" s="123"/>
      <c r="K82" s="12"/>
      <c r="L82" s="117"/>
      <c r="M82" s="12"/>
      <c r="N82" s="117"/>
      <c r="O82" s="117"/>
      <c r="P82" s="117"/>
      <c r="Q82" s="118"/>
      <c r="R82" s="118"/>
      <c r="S82" s="118"/>
      <c r="T82" s="12"/>
      <c r="U82" s="118"/>
      <c r="V82" s="118"/>
      <c r="W82" s="12"/>
      <c r="X82" s="119"/>
      <c r="Y82" s="120"/>
      <c r="Z82" s="12"/>
      <c r="BA82" s="70" t="s">
        <v>205</v>
      </c>
      <c r="BB82" s="71" t="s">
        <v>206</v>
      </c>
      <c r="BC82" s="71" t="s">
        <v>207</v>
      </c>
      <c r="BD82" s="71">
        <v>5.01</v>
      </c>
      <c r="BE82" s="71">
        <v>5.72</v>
      </c>
      <c r="BF82" s="71">
        <v>268</v>
      </c>
      <c r="BG82" s="71">
        <v>212</v>
      </c>
      <c r="BH82" s="71">
        <v>5</v>
      </c>
      <c r="BI82" s="71">
        <v>10</v>
      </c>
      <c r="BJ82" s="12" t="str" cm="1">
        <f t="array" ref="BJ82">_xll.Dce_Name_SectI(BF82, BF82, BG82, BH82, BI82, "x", "-", $AX$11)</f>
        <v>268x212x5x10</v>
      </c>
      <c r="BK82" s="77" cm="1">
        <f t="array" ref="BK82">_xll.DCEPropSectI(BF82, BH82, BG82, BI82, BG82, BI82, "A")/100</f>
        <v>54.8</v>
      </c>
      <c r="BL82" s="70" t="s">
        <v>224</v>
      </c>
      <c r="BM82" s="70">
        <v>57.699321687146501</v>
      </c>
      <c r="BN82" s="71">
        <v>0.9</v>
      </c>
      <c r="BO82" s="77">
        <f t="shared" si="19"/>
        <v>5.1479999999999997</v>
      </c>
      <c r="BP82" s="71">
        <v>0.9</v>
      </c>
      <c r="BQ82" s="77">
        <f t="shared" si="20"/>
        <v>5.1479999999999997</v>
      </c>
      <c r="BR82" s="77" cm="1">
        <f t="array" ref="BR82">_xll.DCEPropSectI(BF82, BH82, BG82, BI82, BG82, BI82, "rx")/10</f>
        <v>11.847052463297633</v>
      </c>
      <c r="BS82" s="77" cm="1">
        <f t="array" ref="BS82">_xll.DCEPropSectI(BF82, BH82, BG82, BI82, BG82, BI82, "ry")/10</f>
        <v>5.3836052600564113</v>
      </c>
      <c r="BT82" s="5">
        <f t="shared" si="21"/>
        <v>43.453846566043239</v>
      </c>
      <c r="BU82" s="5">
        <f t="shared" si="22"/>
        <v>95.623652762870975</v>
      </c>
      <c r="BV82" s="5">
        <f t="shared" si="23"/>
        <v>95.623652762870975</v>
      </c>
      <c r="BW82" s="71">
        <f t="shared" si="24"/>
        <v>400</v>
      </c>
      <c r="BX82" s="78" cm="1">
        <f t="array" ref="BX82">IF(BM82&gt;0,1,_xll.DCETCVN5575FactorPhi7121(BV82*SQRT($K$17/206000),"b"))</f>
        <v>1</v>
      </c>
      <c r="BY82" s="64">
        <f t="shared" si="25"/>
        <v>5.0138444288448478E-2</v>
      </c>
      <c r="BZ82" s="3" t="str">
        <f t="shared" si="26"/>
        <v>OK</v>
      </c>
    </row>
    <row r="83" spans="1:78">
      <c r="A83" s="76"/>
      <c r="B83" s="76"/>
      <c r="C83" s="125"/>
      <c r="D83" s="125"/>
      <c r="E83" s="71"/>
      <c r="F83" s="71"/>
      <c r="G83" s="71"/>
      <c r="H83" s="126"/>
      <c r="I83" s="125"/>
      <c r="J83" s="123"/>
      <c r="K83" s="12"/>
      <c r="L83" s="117"/>
      <c r="M83" s="12"/>
      <c r="N83" s="117"/>
      <c r="O83" s="117"/>
      <c r="P83" s="117"/>
      <c r="Q83" s="118"/>
      <c r="R83" s="118"/>
      <c r="S83" s="118"/>
      <c r="T83" s="12"/>
      <c r="U83" s="118"/>
      <c r="V83" s="118"/>
      <c r="W83" s="12"/>
      <c r="X83" s="119"/>
      <c r="Y83" s="120"/>
      <c r="Z83" s="12"/>
      <c r="BA83" s="70" t="s">
        <v>205</v>
      </c>
      <c r="BB83" s="71" t="s">
        <v>206</v>
      </c>
      <c r="BC83" s="71" t="s">
        <v>207</v>
      </c>
      <c r="BD83" s="71">
        <v>5.72</v>
      </c>
      <c r="BE83" s="71">
        <v>5.72</v>
      </c>
      <c r="BF83" s="71">
        <v>268</v>
      </c>
      <c r="BG83" s="71">
        <v>212</v>
      </c>
      <c r="BH83" s="71">
        <v>5</v>
      </c>
      <c r="BI83" s="71">
        <v>10</v>
      </c>
      <c r="BJ83" s="12" t="str" cm="1">
        <f t="array" ref="BJ83">_xll.Dce_Name_SectI(BF83, BF83, BG83, BH83, BI83, "x", "-", $AX$11)</f>
        <v>268x212x5x10</v>
      </c>
      <c r="BK83" s="77" cm="1">
        <f t="array" ref="BK83">_xll.DCEPropSectI(BF83, BH83, BG83, BI83, BG83, BI83, "A")/100</f>
        <v>54.8</v>
      </c>
      <c r="BL83" s="70" t="s">
        <v>224</v>
      </c>
      <c r="BM83" s="70">
        <v>57.397462979588916</v>
      </c>
      <c r="BN83" s="71">
        <v>0.9</v>
      </c>
      <c r="BO83" s="77">
        <f t="shared" si="19"/>
        <v>5.1479999999999997</v>
      </c>
      <c r="BP83" s="71">
        <v>0.9</v>
      </c>
      <c r="BQ83" s="77">
        <f t="shared" si="20"/>
        <v>5.1479999999999997</v>
      </c>
      <c r="BR83" s="77" cm="1">
        <f t="array" ref="BR83">_xll.DCEPropSectI(BF83, BH83, BG83, BI83, BG83, BI83, "rx")/10</f>
        <v>11.847052463297633</v>
      </c>
      <c r="BS83" s="77" cm="1">
        <f t="array" ref="BS83">_xll.DCEPropSectI(BF83, BH83, BG83, BI83, BG83, BI83, "ry")/10</f>
        <v>5.3836052600564113</v>
      </c>
      <c r="BT83" s="5">
        <f t="shared" si="21"/>
        <v>43.453846566043239</v>
      </c>
      <c r="BU83" s="5">
        <f t="shared" si="22"/>
        <v>95.623652762870975</v>
      </c>
      <c r="BV83" s="5">
        <f t="shared" si="23"/>
        <v>95.623652762870975</v>
      </c>
      <c r="BW83" s="71">
        <f t="shared" si="24"/>
        <v>400</v>
      </c>
      <c r="BX83" s="78" cm="1">
        <f t="array" ref="BX83">IF(BM83&gt;0,1,_xll.DCETCVN5575FactorPhi7121(BV83*SQRT($K$17/206000),"b"))</f>
        <v>1</v>
      </c>
      <c r="BY83" s="64">
        <f t="shared" si="25"/>
        <v>4.9876140927692839E-2</v>
      </c>
      <c r="BZ83" s="3" t="str">
        <f t="shared" si="26"/>
        <v>OK</v>
      </c>
    </row>
    <row r="84" spans="1:78">
      <c r="A84" s="76"/>
      <c r="B84" s="76"/>
      <c r="C84" s="125"/>
      <c r="D84" s="125"/>
      <c r="E84" s="71"/>
      <c r="F84" s="71"/>
      <c r="G84" s="71"/>
      <c r="H84" s="126"/>
      <c r="I84" s="125"/>
      <c r="J84" s="123"/>
      <c r="K84" s="12"/>
      <c r="L84" s="117"/>
      <c r="M84" s="12"/>
      <c r="N84" s="117"/>
      <c r="O84" s="117"/>
      <c r="P84" s="117"/>
      <c r="Q84" s="118"/>
      <c r="R84" s="118"/>
      <c r="S84" s="118"/>
      <c r="T84" s="12"/>
      <c r="U84" s="118"/>
      <c r="V84" s="118"/>
      <c r="W84" s="12"/>
      <c r="X84" s="119"/>
      <c r="Y84" s="120"/>
      <c r="Z84" s="12"/>
      <c r="BA84" s="70" t="s">
        <v>205</v>
      </c>
      <c r="BB84" s="71" t="s">
        <v>206</v>
      </c>
      <c r="BC84" s="71" t="s">
        <v>207</v>
      </c>
      <c r="BD84" s="71">
        <v>0</v>
      </c>
      <c r="BE84" s="71">
        <v>5.72</v>
      </c>
      <c r="BF84" s="71">
        <v>268</v>
      </c>
      <c r="BG84" s="71">
        <v>212</v>
      </c>
      <c r="BH84" s="71">
        <v>5</v>
      </c>
      <c r="BI84" s="71">
        <v>10</v>
      </c>
      <c r="BJ84" s="12" t="str" cm="1">
        <f t="array" ref="BJ84">_xll.Dce_Name_SectI(BF84, BF84, BG84, BH84, BI84, "x", "-", $AX$11)</f>
        <v>268x212x5x10</v>
      </c>
      <c r="BK84" s="77" cm="1">
        <f t="array" ref="BK84">_xll.DCEPropSectI(BF84, BH84, BG84, BI84, BG84, BI84, "A")/100</f>
        <v>54.8</v>
      </c>
      <c r="BL84" s="70" t="s">
        <v>225</v>
      </c>
      <c r="BM84" s="70">
        <v>16.978182535878972</v>
      </c>
      <c r="BN84" s="71">
        <v>0.9</v>
      </c>
      <c r="BO84" s="77">
        <f t="shared" si="19"/>
        <v>5.1479999999999997</v>
      </c>
      <c r="BP84" s="71">
        <v>0.9</v>
      </c>
      <c r="BQ84" s="77">
        <f t="shared" si="20"/>
        <v>5.1479999999999997</v>
      </c>
      <c r="BR84" s="77" cm="1">
        <f t="array" ref="BR84">_xll.DCEPropSectI(BF84, BH84, BG84, BI84, BG84, BI84, "rx")/10</f>
        <v>11.847052463297633</v>
      </c>
      <c r="BS84" s="77" cm="1">
        <f t="array" ref="BS84">_xll.DCEPropSectI(BF84, BH84, BG84, BI84, BG84, BI84, "ry")/10</f>
        <v>5.3836052600564113</v>
      </c>
      <c r="BT84" s="5">
        <f t="shared" si="21"/>
        <v>43.453846566043239</v>
      </c>
      <c r="BU84" s="5">
        <f t="shared" si="22"/>
        <v>95.623652762870975</v>
      </c>
      <c r="BV84" s="5">
        <f t="shared" si="23"/>
        <v>95.623652762870975</v>
      </c>
      <c r="BW84" s="71">
        <f t="shared" si="24"/>
        <v>400</v>
      </c>
      <c r="BX84" s="78" cm="1">
        <f t="array" ref="BX84">IF(BM84&gt;0,1,_xll.DCETCVN5575FactorPhi7121(BV84*SQRT($K$17/206000),"b"))</f>
        <v>1</v>
      </c>
      <c r="BY84" s="64">
        <f t="shared" si="25"/>
        <v>1.4753373771184372E-2</v>
      </c>
      <c r="BZ84" s="3" t="str">
        <f t="shared" si="26"/>
        <v>OK</v>
      </c>
    </row>
    <row r="85" spans="1:78">
      <c r="A85" s="76"/>
      <c r="B85" s="76"/>
      <c r="C85" s="125"/>
      <c r="D85" s="125"/>
      <c r="E85" s="71"/>
      <c r="F85" s="71"/>
      <c r="G85" s="71"/>
      <c r="H85" s="126"/>
      <c r="I85" s="125"/>
      <c r="J85" s="123"/>
      <c r="K85" s="12"/>
      <c r="L85" s="117"/>
      <c r="M85" s="12"/>
      <c r="N85" s="117"/>
      <c r="O85" s="117"/>
      <c r="P85" s="117"/>
      <c r="Q85" s="118"/>
      <c r="R85" s="118"/>
      <c r="S85" s="118"/>
      <c r="T85" s="12"/>
      <c r="U85" s="118"/>
      <c r="V85" s="118"/>
      <c r="W85" s="12"/>
      <c r="X85" s="119"/>
      <c r="Y85" s="120"/>
      <c r="Z85" s="12"/>
      <c r="BA85" s="70" t="s">
        <v>205</v>
      </c>
      <c r="BB85" s="71" t="s">
        <v>206</v>
      </c>
      <c r="BC85" s="71" t="s">
        <v>207</v>
      </c>
      <c r="BD85" s="71">
        <v>0.72</v>
      </c>
      <c r="BE85" s="71">
        <v>5.72</v>
      </c>
      <c r="BF85" s="71">
        <v>268</v>
      </c>
      <c r="BG85" s="71">
        <v>212</v>
      </c>
      <c r="BH85" s="71">
        <v>5</v>
      </c>
      <c r="BI85" s="71">
        <v>10</v>
      </c>
      <c r="BJ85" s="12" t="str" cm="1">
        <f t="array" ref="BJ85">_xll.Dce_Name_SectI(BF85, BF85, BG85, BH85, BI85, "x", "-", $AX$11)</f>
        <v>268x212x5x10</v>
      </c>
      <c r="BK85" s="77" cm="1">
        <f t="array" ref="BK85">_xll.DCEPropSectI(BF85, BH85, BG85, BI85, BG85, BI85, "A")/100</f>
        <v>54.8</v>
      </c>
      <c r="BL85" s="70" t="s">
        <v>225</v>
      </c>
      <c r="BM85" s="70">
        <v>16.676323828321387</v>
      </c>
      <c r="BN85" s="71">
        <v>0.9</v>
      </c>
      <c r="BO85" s="77">
        <f t="shared" si="19"/>
        <v>5.1479999999999997</v>
      </c>
      <c r="BP85" s="71">
        <v>0.9</v>
      </c>
      <c r="BQ85" s="77">
        <f t="shared" si="20"/>
        <v>5.1479999999999997</v>
      </c>
      <c r="BR85" s="77" cm="1">
        <f t="array" ref="BR85">_xll.DCEPropSectI(BF85, BH85, BG85, BI85, BG85, BI85, "rx")/10</f>
        <v>11.847052463297633</v>
      </c>
      <c r="BS85" s="77" cm="1">
        <f t="array" ref="BS85">_xll.DCEPropSectI(BF85, BH85, BG85, BI85, BG85, BI85, "ry")/10</f>
        <v>5.3836052600564113</v>
      </c>
      <c r="BT85" s="5">
        <f t="shared" si="21"/>
        <v>43.453846566043239</v>
      </c>
      <c r="BU85" s="5">
        <f t="shared" si="22"/>
        <v>95.623652762870975</v>
      </c>
      <c r="BV85" s="5">
        <f t="shared" si="23"/>
        <v>95.623652762870975</v>
      </c>
      <c r="BW85" s="71">
        <f t="shared" si="24"/>
        <v>400</v>
      </c>
      <c r="BX85" s="78" cm="1">
        <f t="array" ref="BX85">IF(BM85&gt;0,1,_xll.DCETCVN5575FactorPhi7121(BV85*SQRT($K$17/206000),"b"))</f>
        <v>1</v>
      </c>
      <c r="BY85" s="64">
        <f t="shared" si="25"/>
        <v>1.4491070410428736E-2</v>
      </c>
      <c r="BZ85" s="3" t="str">
        <f t="shared" si="26"/>
        <v>OK</v>
      </c>
    </row>
    <row r="86" spans="1:78">
      <c r="A86" s="76"/>
      <c r="B86" s="76"/>
      <c r="C86" s="125"/>
      <c r="D86" s="125"/>
      <c r="E86" s="71"/>
      <c r="F86" s="71"/>
      <c r="G86" s="71"/>
      <c r="H86" s="126"/>
      <c r="I86" s="125"/>
      <c r="J86" s="123"/>
      <c r="K86" s="12"/>
      <c r="L86" s="117"/>
      <c r="M86" s="12"/>
      <c r="N86" s="117"/>
      <c r="O86" s="117"/>
      <c r="P86" s="117"/>
      <c r="Q86" s="118"/>
      <c r="R86" s="118"/>
      <c r="S86" s="118"/>
      <c r="T86" s="12"/>
      <c r="U86" s="118"/>
      <c r="V86" s="118"/>
      <c r="W86" s="12"/>
      <c r="X86" s="119"/>
      <c r="Y86" s="120"/>
      <c r="Z86" s="12"/>
      <c r="BA86" s="70" t="s">
        <v>205</v>
      </c>
      <c r="BB86" s="71" t="s">
        <v>206</v>
      </c>
      <c r="BC86" s="71" t="s">
        <v>207</v>
      </c>
      <c r="BD86" s="71">
        <v>1.43</v>
      </c>
      <c r="BE86" s="71">
        <v>5.72</v>
      </c>
      <c r="BF86" s="71">
        <v>268</v>
      </c>
      <c r="BG86" s="71">
        <v>212</v>
      </c>
      <c r="BH86" s="71">
        <v>5</v>
      </c>
      <c r="BI86" s="71">
        <v>10</v>
      </c>
      <c r="BJ86" s="12" t="str" cm="1">
        <f t="array" ref="BJ86">_xll.Dce_Name_SectI(BF86, BF86, BG86, BH86, BI86, "x", "-", $AX$11)</f>
        <v>268x212x5x10</v>
      </c>
      <c r="BK86" s="77" cm="1">
        <f t="array" ref="BK86">_xll.DCEPropSectI(BF86, BH86, BG86, BI86, BG86, BI86, "A")/100</f>
        <v>54.8</v>
      </c>
      <c r="BL86" s="70" t="s">
        <v>225</v>
      </c>
      <c r="BM86" s="70">
        <v>16.374465120763801</v>
      </c>
      <c r="BN86" s="71">
        <v>0.9</v>
      </c>
      <c r="BO86" s="77">
        <f t="shared" si="19"/>
        <v>5.1479999999999997</v>
      </c>
      <c r="BP86" s="71">
        <v>0.9</v>
      </c>
      <c r="BQ86" s="77">
        <f t="shared" si="20"/>
        <v>5.1479999999999997</v>
      </c>
      <c r="BR86" s="77" cm="1">
        <f t="array" ref="BR86">_xll.DCEPropSectI(BF86, BH86, BG86, BI86, BG86, BI86, "rx")/10</f>
        <v>11.847052463297633</v>
      </c>
      <c r="BS86" s="77" cm="1">
        <f t="array" ref="BS86">_xll.DCEPropSectI(BF86, BH86, BG86, BI86, BG86, BI86, "ry")/10</f>
        <v>5.3836052600564113</v>
      </c>
      <c r="BT86" s="5">
        <f t="shared" si="21"/>
        <v>43.453846566043239</v>
      </c>
      <c r="BU86" s="5">
        <f t="shared" si="22"/>
        <v>95.623652762870975</v>
      </c>
      <c r="BV86" s="5">
        <f t="shared" si="23"/>
        <v>95.623652762870975</v>
      </c>
      <c r="BW86" s="71">
        <f t="shared" si="24"/>
        <v>400</v>
      </c>
      <c r="BX86" s="78" cm="1">
        <f t="array" ref="BX86">IF(BM86&gt;0,1,_xll.DCETCVN5575FactorPhi7121(BV86*SQRT($K$17/206000),"b"))</f>
        <v>1</v>
      </c>
      <c r="BY86" s="64">
        <f t="shared" si="25"/>
        <v>1.4228767049673101E-2</v>
      </c>
      <c r="BZ86" s="3" t="str">
        <f t="shared" si="26"/>
        <v>OK</v>
      </c>
    </row>
    <row r="87" spans="1:78">
      <c r="A87" s="76"/>
      <c r="B87" s="76"/>
      <c r="C87" s="125"/>
      <c r="D87" s="125"/>
      <c r="E87" s="71"/>
      <c r="F87" s="71"/>
      <c r="G87" s="71"/>
      <c r="H87" s="126"/>
      <c r="I87" s="125"/>
      <c r="J87" s="123"/>
      <c r="K87" s="12"/>
      <c r="L87" s="117"/>
      <c r="M87" s="12"/>
      <c r="N87" s="117"/>
      <c r="O87" s="117"/>
      <c r="P87" s="117"/>
      <c r="Q87" s="118"/>
      <c r="R87" s="118"/>
      <c r="S87" s="118"/>
      <c r="T87" s="12"/>
      <c r="U87" s="118"/>
      <c r="V87" s="118"/>
      <c r="W87" s="12"/>
      <c r="X87" s="119"/>
      <c r="Y87" s="120"/>
      <c r="Z87" s="12"/>
      <c r="BA87" s="70" t="s">
        <v>205</v>
      </c>
      <c r="BB87" s="71" t="s">
        <v>206</v>
      </c>
      <c r="BC87" s="71" t="s">
        <v>207</v>
      </c>
      <c r="BD87" s="71">
        <v>2.15</v>
      </c>
      <c r="BE87" s="71">
        <v>5.72</v>
      </c>
      <c r="BF87" s="71">
        <v>268</v>
      </c>
      <c r="BG87" s="71">
        <v>212</v>
      </c>
      <c r="BH87" s="71">
        <v>5</v>
      </c>
      <c r="BI87" s="71">
        <v>10</v>
      </c>
      <c r="BJ87" s="12" t="str" cm="1">
        <f t="array" ref="BJ87">_xll.Dce_Name_SectI(BF87, BF87, BG87, BH87, BI87, "x", "-", $AX$11)</f>
        <v>268x212x5x10</v>
      </c>
      <c r="BK87" s="77" cm="1">
        <f t="array" ref="BK87">_xll.DCEPropSectI(BF87, BH87, BG87, BI87, BG87, BI87, "A")/100</f>
        <v>54.8</v>
      </c>
      <c r="BL87" s="70" t="s">
        <v>225</v>
      </c>
      <c r="BM87" s="70">
        <v>16.072606413206216</v>
      </c>
      <c r="BN87" s="71">
        <v>0.9</v>
      </c>
      <c r="BO87" s="77">
        <f t="shared" si="19"/>
        <v>5.1479999999999997</v>
      </c>
      <c r="BP87" s="71">
        <v>0.9</v>
      </c>
      <c r="BQ87" s="77">
        <f t="shared" si="20"/>
        <v>5.1479999999999997</v>
      </c>
      <c r="BR87" s="77" cm="1">
        <f t="array" ref="BR87">_xll.DCEPropSectI(BF87, BH87, BG87, BI87, BG87, BI87, "rx")/10</f>
        <v>11.847052463297633</v>
      </c>
      <c r="BS87" s="77" cm="1">
        <f t="array" ref="BS87">_xll.DCEPropSectI(BF87, BH87, BG87, BI87, BG87, BI87, "ry")/10</f>
        <v>5.3836052600564113</v>
      </c>
      <c r="BT87" s="5">
        <f t="shared" si="21"/>
        <v>43.453846566043239</v>
      </c>
      <c r="BU87" s="5">
        <f t="shared" si="22"/>
        <v>95.623652762870975</v>
      </c>
      <c r="BV87" s="5">
        <f t="shared" si="23"/>
        <v>95.623652762870975</v>
      </c>
      <c r="BW87" s="71">
        <f t="shared" si="24"/>
        <v>400</v>
      </c>
      <c r="BX87" s="78" cm="1">
        <f t="array" ref="BX87">IF(BM87&gt;0,1,_xll.DCETCVN5575FactorPhi7121(BV87*SQRT($K$17/206000),"b"))</f>
        <v>1</v>
      </c>
      <c r="BY87" s="64">
        <f t="shared" si="25"/>
        <v>1.3966463688917465E-2</v>
      </c>
      <c r="BZ87" s="3" t="str">
        <f t="shared" si="26"/>
        <v>OK</v>
      </c>
    </row>
    <row r="88" spans="1:78">
      <c r="A88" s="76"/>
      <c r="B88" s="76"/>
      <c r="C88" s="125"/>
      <c r="D88" s="125"/>
      <c r="E88" s="71"/>
      <c r="F88" s="71"/>
      <c r="G88" s="71"/>
      <c r="H88" s="126"/>
      <c r="I88" s="125"/>
      <c r="J88" s="123"/>
      <c r="K88" s="12"/>
      <c r="L88" s="117"/>
      <c r="M88" s="12"/>
      <c r="N88" s="117"/>
      <c r="O88" s="117"/>
      <c r="P88" s="117"/>
      <c r="Q88" s="118"/>
      <c r="R88" s="118"/>
      <c r="S88" s="118"/>
      <c r="T88" s="12"/>
      <c r="U88" s="118"/>
      <c r="V88" s="118"/>
      <c r="W88" s="12"/>
      <c r="X88" s="119"/>
      <c r="Y88" s="120"/>
      <c r="Z88" s="12"/>
      <c r="BA88" s="70" t="s">
        <v>205</v>
      </c>
      <c r="BB88" s="71" t="s">
        <v>206</v>
      </c>
      <c r="BC88" s="71" t="s">
        <v>207</v>
      </c>
      <c r="BD88" s="71">
        <v>2.86</v>
      </c>
      <c r="BE88" s="71">
        <v>5.72</v>
      </c>
      <c r="BF88" s="71">
        <v>268</v>
      </c>
      <c r="BG88" s="71">
        <v>212</v>
      </c>
      <c r="BH88" s="71">
        <v>5</v>
      </c>
      <c r="BI88" s="71">
        <v>10</v>
      </c>
      <c r="BJ88" s="12" t="str" cm="1">
        <f t="array" ref="BJ88">_xll.Dce_Name_SectI(BF88, BF88, BG88, BH88, BI88, "x", "-", $AX$11)</f>
        <v>268x212x5x10</v>
      </c>
      <c r="BK88" s="77" cm="1">
        <f t="array" ref="BK88">_xll.DCEPropSectI(BF88, BH88, BG88, BI88, BG88, BI88, "A")/100</f>
        <v>54.8</v>
      </c>
      <c r="BL88" s="70" t="s">
        <v>225</v>
      </c>
      <c r="BM88" s="70">
        <v>15.770747705648638</v>
      </c>
      <c r="BN88" s="71">
        <v>0.9</v>
      </c>
      <c r="BO88" s="77">
        <f t="shared" si="19"/>
        <v>5.1479999999999997</v>
      </c>
      <c r="BP88" s="71">
        <v>0.9</v>
      </c>
      <c r="BQ88" s="77">
        <f t="shared" si="20"/>
        <v>5.1479999999999997</v>
      </c>
      <c r="BR88" s="77" cm="1">
        <f t="array" ref="BR88">_xll.DCEPropSectI(BF88, BH88, BG88, BI88, BG88, BI88, "rx")/10</f>
        <v>11.847052463297633</v>
      </c>
      <c r="BS88" s="77" cm="1">
        <f t="array" ref="BS88">_xll.DCEPropSectI(BF88, BH88, BG88, BI88, BG88, BI88, "ry")/10</f>
        <v>5.3836052600564113</v>
      </c>
      <c r="BT88" s="5">
        <f t="shared" si="21"/>
        <v>43.453846566043239</v>
      </c>
      <c r="BU88" s="5">
        <f t="shared" si="22"/>
        <v>95.623652762870975</v>
      </c>
      <c r="BV88" s="5">
        <f t="shared" si="23"/>
        <v>95.623652762870975</v>
      </c>
      <c r="BW88" s="71">
        <f t="shared" si="24"/>
        <v>400</v>
      </c>
      <c r="BX88" s="78" cm="1">
        <f t="array" ref="BX88">IF(BM88&gt;0,1,_xll.DCETCVN5575FactorPhi7121(BV88*SQRT($K$17/206000),"b"))</f>
        <v>1</v>
      </c>
      <c r="BY88" s="64">
        <f t="shared" si="25"/>
        <v>1.3704160328161834E-2</v>
      </c>
      <c r="BZ88" s="3" t="str">
        <f t="shared" si="26"/>
        <v>OK</v>
      </c>
    </row>
    <row r="89" spans="1:78">
      <c r="A89" s="76"/>
      <c r="B89" s="76"/>
      <c r="C89" s="125"/>
      <c r="D89" s="125"/>
      <c r="E89" s="71"/>
      <c r="F89" s="71"/>
      <c r="G89" s="71"/>
      <c r="H89" s="126"/>
      <c r="I89" s="125"/>
      <c r="J89" s="123"/>
      <c r="K89" s="12"/>
      <c r="L89" s="117"/>
      <c r="M89" s="12"/>
      <c r="N89" s="117"/>
      <c r="O89" s="117"/>
      <c r="P89" s="117"/>
      <c r="Q89" s="118"/>
      <c r="R89" s="118"/>
      <c r="S89" s="118"/>
      <c r="T89" s="12"/>
      <c r="U89" s="118"/>
      <c r="V89" s="118"/>
      <c r="W89" s="12"/>
      <c r="X89" s="119"/>
      <c r="Y89" s="120"/>
      <c r="Z89" s="12"/>
      <c r="BA89" s="70" t="s">
        <v>205</v>
      </c>
      <c r="BB89" s="71" t="s">
        <v>206</v>
      </c>
      <c r="BC89" s="71" t="s">
        <v>207</v>
      </c>
      <c r="BD89" s="71">
        <v>3.58</v>
      </c>
      <c r="BE89" s="71">
        <v>5.72</v>
      </c>
      <c r="BF89" s="71">
        <v>268</v>
      </c>
      <c r="BG89" s="71">
        <v>212</v>
      </c>
      <c r="BH89" s="71">
        <v>5</v>
      </c>
      <c r="BI89" s="71">
        <v>10</v>
      </c>
      <c r="BJ89" s="12" t="str" cm="1">
        <f t="array" ref="BJ89">_xll.Dce_Name_SectI(BF89, BF89, BG89, BH89, BI89, "x", "-", $AX$11)</f>
        <v>268x212x5x10</v>
      </c>
      <c r="BK89" s="77" cm="1">
        <f t="array" ref="BK89">_xll.DCEPropSectI(BF89, BH89, BG89, BI89, BG89, BI89, "A")/100</f>
        <v>54.8</v>
      </c>
      <c r="BL89" s="70" t="s">
        <v>225</v>
      </c>
      <c r="BM89" s="70">
        <v>15.468888998091053</v>
      </c>
      <c r="BN89" s="71">
        <v>0.9</v>
      </c>
      <c r="BO89" s="77">
        <f t="shared" si="19"/>
        <v>5.1479999999999997</v>
      </c>
      <c r="BP89" s="71">
        <v>0.9</v>
      </c>
      <c r="BQ89" s="77">
        <f t="shared" si="20"/>
        <v>5.1479999999999997</v>
      </c>
      <c r="BR89" s="77" cm="1">
        <f t="array" ref="BR89">_xll.DCEPropSectI(BF89, BH89, BG89, BI89, BG89, BI89, "rx")/10</f>
        <v>11.847052463297633</v>
      </c>
      <c r="BS89" s="77" cm="1">
        <f t="array" ref="BS89">_xll.DCEPropSectI(BF89, BH89, BG89, BI89, BG89, BI89, "ry")/10</f>
        <v>5.3836052600564113</v>
      </c>
      <c r="BT89" s="5">
        <f t="shared" si="21"/>
        <v>43.453846566043239</v>
      </c>
      <c r="BU89" s="5">
        <f t="shared" si="22"/>
        <v>95.623652762870975</v>
      </c>
      <c r="BV89" s="5">
        <f t="shared" si="23"/>
        <v>95.623652762870975</v>
      </c>
      <c r="BW89" s="71">
        <f t="shared" si="24"/>
        <v>400</v>
      </c>
      <c r="BX89" s="78" cm="1">
        <f t="array" ref="BX89">IF(BM89&gt;0,1,_xll.DCETCVN5575FactorPhi7121(BV89*SQRT($K$17/206000),"b"))</f>
        <v>1</v>
      </c>
      <c r="BY89" s="64">
        <f t="shared" si="25"/>
        <v>1.3441856967406199E-2</v>
      </c>
      <c r="BZ89" s="3" t="str">
        <f t="shared" si="26"/>
        <v>OK</v>
      </c>
    </row>
    <row r="90" spans="1:78">
      <c r="A90" s="76"/>
      <c r="B90" s="76"/>
      <c r="C90" s="125"/>
      <c r="D90" s="125"/>
      <c r="E90" s="71"/>
      <c r="F90" s="71"/>
      <c r="G90" s="71"/>
      <c r="H90" s="126"/>
      <c r="I90" s="125"/>
      <c r="J90" s="123"/>
      <c r="K90" s="12"/>
      <c r="L90" s="117"/>
      <c r="M90" s="12"/>
      <c r="N90" s="117"/>
      <c r="O90" s="117"/>
      <c r="P90" s="117"/>
      <c r="Q90" s="118"/>
      <c r="R90" s="118"/>
      <c r="S90" s="118"/>
      <c r="T90" s="12"/>
      <c r="U90" s="118"/>
      <c r="V90" s="118"/>
      <c r="W90" s="12"/>
      <c r="X90" s="119"/>
      <c r="Y90" s="120"/>
      <c r="Z90" s="12"/>
      <c r="BA90" s="70" t="s">
        <v>205</v>
      </c>
      <c r="BB90" s="71" t="s">
        <v>206</v>
      </c>
      <c r="BC90" s="71" t="s">
        <v>207</v>
      </c>
      <c r="BD90" s="71">
        <v>4.29</v>
      </c>
      <c r="BE90" s="71">
        <v>5.72</v>
      </c>
      <c r="BF90" s="71">
        <v>268</v>
      </c>
      <c r="BG90" s="71">
        <v>212</v>
      </c>
      <c r="BH90" s="71">
        <v>5</v>
      </c>
      <c r="BI90" s="71">
        <v>10</v>
      </c>
      <c r="BJ90" s="12" t="str" cm="1">
        <f t="array" ref="BJ90">_xll.Dce_Name_SectI(BF90, BF90, BG90, BH90, BI90, "x", "-", $AX$11)</f>
        <v>268x212x5x10</v>
      </c>
      <c r="BK90" s="77" cm="1">
        <f t="array" ref="BK90">_xll.DCEPropSectI(BF90, BH90, BG90, BI90, BG90, BI90, "A")/100</f>
        <v>54.8</v>
      </c>
      <c r="BL90" s="70" t="s">
        <v>225</v>
      </c>
      <c r="BM90" s="70">
        <v>15.167030290533468</v>
      </c>
      <c r="BN90" s="71">
        <v>0.9</v>
      </c>
      <c r="BO90" s="77">
        <f t="shared" si="19"/>
        <v>5.1479999999999997</v>
      </c>
      <c r="BP90" s="71">
        <v>0.9</v>
      </c>
      <c r="BQ90" s="77">
        <f t="shared" si="20"/>
        <v>5.1479999999999997</v>
      </c>
      <c r="BR90" s="77" cm="1">
        <f t="array" ref="BR90">_xll.DCEPropSectI(BF90, BH90, BG90, BI90, BG90, BI90, "rx")/10</f>
        <v>11.847052463297633</v>
      </c>
      <c r="BS90" s="77" cm="1">
        <f t="array" ref="BS90">_xll.DCEPropSectI(BF90, BH90, BG90, BI90, BG90, BI90, "ry")/10</f>
        <v>5.3836052600564113</v>
      </c>
      <c r="BT90" s="5">
        <f t="shared" si="21"/>
        <v>43.453846566043239</v>
      </c>
      <c r="BU90" s="5">
        <f t="shared" si="22"/>
        <v>95.623652762870975</v>
      </c>
      <c r="BV90" s="5">
        <f t="shared" si="23"/>
        <v>95.623652762870975</v>
      </c>
      <c r="BW90" s="71">
        <f t="shared" si="24"/>
        <v>400</v>
      </c>
      <c r="BX90" s="78" cm="1">
        <f t="array" ref="BX90">IF(BM90&gt;0,1,_xll.DCETCVN5575FactorPhi7121(BV90*SQRT($K$17/206000),"b"))</f>
        <v>1</v>
      </c>
      <c r="BY90" s="64">
        <f t="shared" si="25"/>
        <v>1.3179553606650563E-2</v>
      </c>
      <c r="BZ90" s="3" t="str">
        <f t="shared" si="26"/>
        <v>OK</v>
      </c>
    </row>
    <row r="91" spans="1:78">
      <c r="A91" s="76"/>
      <c r="B91" s="76"/>
      <c r="C91" s="125"/>
      <c r="D91" s="125"/>
      <c r="E91" s="71"/>
      <c r="F91" s="71"/>
      <c r="G91" s="71"/>
      <c r="H91" s="126"/>
      <c r="I91" s="125"/>
      <c r="J91" s="123"/>
      <c r="K91" s="12"/>
      <c r="L91" s="117"/>
      <c r="M91" s="12"/>
      <c r="N91" s="117"/>
      <c r="O91" s="117"/>
      <c r="P91" s="117"/>
      <c r="Q91" s="118"/>
      <c r="R91" s="118"/>
      <c r="S91" s="118"/>
      <c r="T91" s="12"/>
      <c r="U91" s="118"/>
      <c r="V91" s="118"/>
      <c r="W91" s="12"/>
      <c r="X91" s="119"/>
      <c r="Y91" s="120"/>
      <c r="Z91" s="12"/>
      <c r="BA91" s="70" t="s">
        <v>205</v>
      </c>
      <c r="BB91" s="71" t="s">
        <v>206</v>
      </c>
      <c r="BC91" s="71" t="s">
        <v>207</v>
      </c>
      <c r="BD91" s="71">
        <v>5.01</v>
      </c>
      <c r="BE91" s="71">
        <v>5.72</v>
      </c>
      <c r="BF91" s="71">
        <v>268</v>
      </c>
      <c r="BG91" s="71">
        <v>212</v>
      </c>
      <c r="BH91" s="71">
        <v>5</v>
      </c>
      <c r="BI91" s="71">
        <v>10</v>
      </c>
      <c r="BJ91" s="12" t="str" cm="1">
        <f t="array" ref="BJ91">_xll.Dce_Name_SectI(BF91, BF91, BG91, BH91, BI91, "x", "-", $AX$11)</f>
        <v>268x212x5x10</v>
      </c>
      <c r="BK91" s="77" cm="1">
        <f t="array" ref="BK91">_xll.DCEPropSectI(BF91, BH91, BG91, BI91, BG91, BI91, "A")/100</f>
        <v>54.8</v>
      </c>
      <c r="BL91" s="70" t="s">
        <v>225</v>
      </c>
      <c r="BM91" s="70">
        <v>14.865171582975883</v>
      </c>
      <c r="BN91" s="71">
        <v>0.9</v>
      </c>
      <c r="BO91" s="77">
        <f t="shared" si="19"/>
        <v>5.1479999999999997</v>
      </c>
      <c r="BP91" s="71">
        <v>0.9</v>
      </c>
      <c r="BQ91" s="77">
        <f t="shared" si="20"/>
        <v>5.1479999999999997</v>
      </c>
      <c r="BR91" s="77" cm="1">
        <f t="array" ref="BR91">_xll.DCEPropSectI(BF91, BH91, BG91, BI91, BG91, BI91, "rx")/10</f>
        <v>11.847052463297633</v>
      </c>
      <c r="BS91" s="77" cm="1">
        <f t="array" ref="BS91">_xll.DCEPropSectI(BF91, BH91, BG91, BI91, BG91, BI91, "ry")/10</f>
        <v>5.3836052600564113</v>
      </c>
      <c r="BT91" s="5">
        <f t="shared" si="21"/>
        <v>43.453846566043239</v>
      </c>
      <c r="BU91" s="5">
        <f t="shared" si="22"/>
        <v>95.623652762870975</v>
      </c>
      <c r="BV91" s="5">
        <f t="shared" si="23"/>
        <v>95.623652762870975</v>
      </c>
      <c r="BW91" s="71">
        <f t="shared" si="24"/>
        <v>400</v>
      </c>
      <c r="BX91" s="78" cm="1">
        <f t="array" ref="BX91">IF(BM91&gt;0,1,_xll.DCETCVN5575FactorPhi7121(BV91*SQRT($K$17/206000),"b"))</f>
        <v>1</v>
      </c>
      <c r="BY91" s="64">
        <f t="shared" si="25"/>
        <v>1.2917250245894931E-2</v>
      </c>
      <c r="BZ91" s="3" t="str">
        <f t="shared" si="26"/>
        <v>OK</v>
      </c>
    </row>
    <row r="92" spans="1:78">
      <c r="A92" s="76"/>
      <c r="B92" s="76"/>
      <c r="C92" s="125"/>
      <c r="D92" s="125"/>
      <c r="E92" s="71"/>
      <c r="F92" s="71"/>
      <c r="G92" s="71"/>
      <c r="H92" s="126"/>
      <c r="I92" s="125"/>
      <c r="J92" s="123"/>
      <c r="K92" s="12"/>
      <c r="L92" s="117"/>
      <c r="M92" s="12"/>
      <c r="N92" s="117"/>
      <c r="O92" s="117"/>
      <c r="P92" s="117"/>
      <c r="Q92" s="118"/>
      <c r="R92" s="118"/>
      <c r="S92" s="118"/>
      <c r="T92" s="12"/>
      <c r="U92" s="118"/>
      <c r="V92" s="118"/>
      <c r="W92" s="12"/>
      <c r="X92" s="119"/>
      <c r="Y92" s="120"/>
      <c r="Z92" s="12"/>
      <c r="BA92" s="70" t="s">
        <v>205</v>
      </c>
      <c r="BB92" s="71" t="s">
        <v>206</v>
      </c>
      <c r="BC92" s="71" t="s">
        <v>207</v>
      </c>
      <c r="BD92" s="71">
        <v>5.72</v>
      </c>
      <c r="BE92" s="71">
        <v>5.72</v>
      </c>
      <c r="BF92" s="71">
        <v>268</v>
      </c>
      <c r="BG92" s="71">
        <v>212</v>
      </c>
      <c r="BH92" s="71">
        <v>5</v>
      </c>
      <c r="BI92" s="71">
        <v>10</v>
      </c>
      <c r="BJ92" s="12" t="str" cm="1">
        <f t="array" ref="BJ92">_xll.Dce_Name_SectI(BF92, BF92, BG92, BH92, BI92, "x", "-", $AX$11)</f>
        <v>268x212x5x10</v>
      </c>
      <c r="BK92" s="77" cm="1">
        <f t="array" ref="BK92">_xll.DCEPropSectI(BF92, BH92, BG92, BI92, BG92, BI92, "A")/100</f>
        <v>54.8</v>
      </c>
      <c r="BL92" s="70" t="s">
        <v>225</v>
      </c>
      <c r="BM92" s="70">
        <v>14.563312875418298</v>
      </c>
      <c r="BN92" s="71">
        <v>0.9</v>
      </c>
      <c r="BO92" s="77">
        <f t="shared" si="19"/>
        <v>5.1479999999999997</v>
      </c>
      <c r="BP92" s="71">
        <v>0.9</v>
      </c>
      <c r="BQ92" s="77">
        <f t="shared" si="20"/>
        <v>5.1479999999999997</v>
      </c>
      <c r="BR92" s="77" cm="1">
        <f t="array" ref="BR92">_xll.DCEPropSectI(BF92, BH92, BG92, BI92, BG92, BI92, "rx")/10</f>
        <v>11.847052463297633</v>
      </c>
      <c r="BS92" s="77" cm="1">
        <f t="array" ref="BS92">_xll.DCEPropSectI(BF92, BH92, BG92, BI92, BG92, BI92, "ry")/10</f>
        <v>5.3836052600564113</v>
      </c>
      <c r="BT92" s="5">
        <f t="shared" si="21"/>
        <v>43.453846566043239</v>
      </c>
      <c r="BU92" s="5">
        <f t="shared" si="22"/>
        <v>95.623652762870975</v>
      </c>
      <c r="BV92" s="5">
        <f t="shared" si="23"/>
        <v>95.623652762870975</v>
      </c>
      <c r="BW92" s="71">
        <f t="shared" si="24"/>
        <v>400</v>
      </c>
      <c r="BX92" s="78" cm="1">
        <f t="array" ref="BX92">IF(BM92&gt;0,1,_xll.DCETCVN5575FactorPhi7121(BV92*SQRT($K$17/206000),"b"))</f>
        <v>1</v>
      </c>
      <c r="BY92" s="64">
        <f t="shared" si="25"/>
        <v>1.2654946885139295E-2</v>
      </c>
      <c r="BZ92" s="3" t="str">
        <f t="shared" si="26"/>
        <v>OK</v>
      </c>
    </row>
    <row r="93" spans="1:78">
      <c r="A93" s="76"/>
      <c r="B93" s="76"/>
      <c r="C93" s="125"/>
      <c r="D93" s="125"/>
      <c r="E93" s="71"/>
      <c r="F93" s="71"/>
      <c r="G93" s="71"/>
      <c r="H93" s="126"/>
      <c r="I93" s="125"/>
      <c r="J93" s="123"/>
      <c r="K93" s="12"/>
      <c r="L93" s="117"/>
      <c r="M93" s="12"/>
      <c r="N93" s="117"/>
      <c r="O93" s="117"/>
      <c r="P93" s="117"/>
      <c r="Q93" s="118"/>
      <c r="R93" s="118"/>
      <c r="S93" s="118"/>
      <c r="T93" s="12"/>
      <c r="U93" s="118"/>
      <c r="V93" s="118"/>
      <c r="W93" s="12"/>
      <c r="X93" s="119"/>
      <c r="Y93" s="120"/>
      <c r="Z93" s="12"/>
      <c r="BA93" s="70" t="s">
        <v>205</v>
      </c>
      <c r="BB93" s="71" t="s">
        <v>206</v>
      </c>
      <c r="BC93" s="71" t="s">
        <v>207</v>
      </c>
      <c r="BD93" s="71">
        <v>0</v>
      </c>
      <c r="BE93" s="71">
        <v>5.72</v>
      </c>
      <c r="BF93" s="71">
        <v>268</v>
      </c>
      <c r="BG93" s="71">
        <v>212</v>
      </c>
      <c r="BH93" s="71">
        <v>5</v>
      </c>
      <c r="BI93" s="71">
        <v>10</v>
      </c>
      <c r="BJ93" s="12" t="str" cm="1">
        <f t="array" ref="BJ93">_xll.Dce_Name_SectI(BF93, BF93, BG93, BH93, BI93, "x", "-", $AX$11)</f>
        <v>268x212x5x10</v>
      </c>
      <c r="BK93" s="77" cm="1">
        <f t="array" ref="BK93">_xll.DCEPropSectI(BF93, BH93, BG93, BI93, BG93, BI93, "A")/100</f>
        <v>54.8</v>
      </c>
      <c r="BL93" s="70" t="s">
        <v>226</v>
      </c>
      <c r="BM93" s="70">
        <v>-12.093403670100955</v>
      </c>
      <c r="BN93" s="71">
        <v>0.9</v>
      </c>
      <c r="BO93" s="77">
        <f t="shared" si="19"/>
        <v>5.1479999999999997</v>
      </c>
      <c r="BP93" s="71">
        <v>0.9</v>
      </c>
      <c r="BQ93" s="77">
        <f t="shared" si="20"/>
        <v>5.1479999999999997</v>
      </c>
      <c r="BR93" s="77" cm="1">
        <f t="array" ref="BR93">_xll.DCEPropSectI(BF93, BH93, BG93, BI93, BG93, BI93, "rx")/10</f>
        <v>11.847052463297633</v>
      </c>
      <c r="BS93" s="77" cm="1">
        <f t="array" ref="BS93">_xll.DCEPropSectI(BF93, BH93, BG93, BI93, BG93, BI93, "ry")/10</f>
        <v>5.3836052600564113</v>
      </c>
      <c r="BT93" s="5">
        <f t="shared" si="21"/>
        <v>43.453846566043239</v>
      </c>
      <c r="BU93" s="5">
        <f t="shared" si="22"/>
        <v>95.623652762870975</v>
      </c>
      <c r="BV93" s="5">
        <f t="shared" si="23"/>
        <v>95.623652762870975</v>
      </c>
      <c r="BW93" s="71">
        <f t="shared" si="24"/>
        <v>200</v>
      </c>
      <c r="BX93" s="78" cm="1">
        <f t="array" ref="BX93">IF(BM93&gt;0,1,_xll.DCETCVN5575FactorPhi7121(BV93*SQRT($K$17/206000),"b"))</f>
        <v>0.59843366787807328</v>
      </c>
      <c r="BY93" s="64">
        <f t="shared" si="25"/>
        <v>1.7560330176049532E-2</v>
      </c>
      <c r="BZ93" s="3" t="str">
        <f t="shared" si="26"/>
        <v>OK</v>
      </c>
    </row>
    <row r="94" spans="1:78">
      <c r="A94" s="76"/>
      <c r="B94" s="76"/>
      <c r="C94" s="125"/>
      <c r="D94" s="125"/>
      <c r="E94" s="71"/>
      <c r="F94" s="71"/>
      <c r="G94" s="71"/>
      <c r="H94" s="126"/>
      <c r="I94" s="125"/>
      <c r="J94" s="123"/>
      <c r="K94" s="12"/>
      <c r="L94" s="117"/>
      <c r="M94" s="12"/>
      <c r="N94" s="117"/>
      <c r="O94" s="117"/>
      <c r="P94" s="117"/>
      <c r="Q94" s="118"/>
      <c r="R94" s="118"/>
      <c r="S94" s="118"/>
      <c r="T94" s="12"/>
      <c r="U94" s="118"/>
      <c r="V94" s="118"/>
      <c r="W94" s="12"/>
      <c r="X94" s="119"/>
      <c r="Y94" s="120"/>
      <c r="Z94" s="12"/>
      <c r="BA94" s="70" t="s">
        <v>205</v>
      </c>
      <c r="BB94" s="71" t="s">
        <v>206</v>
      </c>
      <c r="BC94" s="71" t="s">
        <v>207</v>
      </c>
      <c r="BD94" s="71">
        <v>0.72</v>
      </c>
      <c r="BE94" s="71">
        <v>5.72</v>
      </c>
      <c r="BF94" s="71">
        <v>268</v>
      </c>
      <c r="BG94" s="71">
        <v>212</v>
      </c>
      <c r="BH94" s="71">
        <v>5</v>
      </c>
      <c r="BI94" s="71">
        <v>10</v>
      </c>
      <c r="BJ94" s="12" t="str" cm="1">
        <f t="array" ref="BJ94">_xll.Dce_Name_SectI(BF94, BF94, BG94, BH94, BI94, "x", "-", $AX$11)</f>
        <v>268x212x5x10</v>
      </c>
      <c r="BK94" s="77" cm="1">
        <f t="array" ref="BK94">_xll.DCEPropSectI(BF94, BH94, BG94, BI94, BG94, BI94, "A")/100</f>
        <v>54.8</v>
      </c>
      <c r="BL94" s="70" t="s">
        <v>226</v>
      </c>
      <c r="BM94" s="70">
        <v>-12.39526237765854</v>
      </c>
      <c r="BN94" s="71">
        <v>0.9</v>
      </c>
      <c r="BO94" s="77">
        <f t="shared" si="19"/>
        <v>5.1479999999999997</v>
      </c>
      <c r="BP94" s="71">
        <v>0.9</v>
      </c>
      <c r="BQ94" s="77">
        <f t="shared" si="20"/>
        <v>5.1479999999999997</v>
      </c>
      <c r="BR94" s="77" cm="1">
        <f t="array" ref="BR94">_xll.DCEPropSectI(BF94, BH94, BG94, BI94, BG94, BI94, "rx")/10</f>
        <v>11.847052463297633</v>
      </c>
      <c r="BS94" s="77" cm="1">
        <f t="array" ref="BS94">_xll.DCEPropSectI(BF94, BH94, BG94, BI94, BG94, BI94, "ry")/10</f>
        <v>5.3836052600564113</v>
      </c>
      <c r="BT94" s="5">
        <f t="shared" si="21"/>
        <v>43.453846566043239</v>
      </c>
      <c r="BU94" s="5">
        <f t="shared" si="22"/>
        <v>95.623652762870975</v>
      </c>
      <c r="BV94" s="5">
        <f t="shared" si="23"/>
        <v>95.623652762870975</v>
      </c>
      <c r="BW94" s="71">
        <f t="shared" si="24"/>
        <v>200</v>
      </c>
      <c r="BX94" s="78" cm="1">
        <f t="array" ref="BX94">IF(BM94&gt;0,1,_xll.DCETCVN5575FactorPhi7121(BV94*SQRT($K$17/206000),"b"))</f>
        <v>0.59843366787807328</v>
      </c>
      <c r="BY94" s="64">
        <f t="shared" si="25"/>
        <v>1.7998646692708283E-2</v>
      </c>
      <c r="BZ94" s="3" t="str">
        <f t="shared" si="26"/>
        <v>OK</v>
      </c>
    </row>
    <row r="95" spans="1:78">
      <c r="A95" s="76"/>
      <c r="B95" s="76"/>
      <c r="C95" s="125"/>
      <c r="D95" s="125"/>
      <c r="E95" s="71"/>
      <c r="F95" s="71"/>
      <c r="G95" s="71"/>
      <c r="H95" s="126"/>
      <c r="I95" s="125"/>
      <c r="J95" s="123"/>
      <c r="K95" s="12"/>
      <c r="L95" s="117"/>
      <c r="M95" s="12"/>
      <c r="N95" s="117"/>
      <c r="O95" s="117"/>
      <c r="P95" s="117"/>
      <c r="Q95" s="118"/>
      <c r="R95" s="118"/>
      <c r="S95" s="118"/>
      <c r="T95" s="12"/>
      <c r="U95" s="118"/>
      <c r="V95" s="118"/>
      <c r="W95" s="12"/>
      <c r="X95" s="119"/>
      <c r="Y95" s="120"/>
      <c r="Z95" s="12"/>
      <c r="BA95" s="70" t="s">
        <v>205</v>
      </c>
      <c r="BB95" s="71" t="s">
        <v>206</v>
      </c>
      <c r="BC95" s="71" t="s">
        <v>207</v>
      </c>
      <c r="BD95" s="71">
        <v>1.43</v>
      </c>
      <c r="BE95" s="71">
        <v>5.72</v>
      </c>
      <c r="BF95" s="71">
        <v>268</v>
      </c>
      <c r="BG95" s="71">
        <v>212</v>
      </c>
      <c r="BH95" s="71">
        <v>5</v>
      </c>
      <c r="BI95" s="71">
        <v>10</v>
      </c>
      <c r="BJ95" s="12" t="str" cm="1">
        <f t="array" ref="BJ95">_xll.Dce_Name_SectI(BF95, BF95, BG95, BH95, BI95, "x", "-", $AX$11)</f>
        <v>268x212x5x10</v>
      </c>
      <c r="BK95" s="77" cm="1">
        <f t="array" ref="BK95">_xll.DCEPropSectI(BF95, BH95, BG95, BI95, BG95, BI95, "A")/100</f>
        <v>54.8</v>
      </c>
      <c r="BL95" s="70" t="s">
        <v>226</v>
      </c>
      <c r="BM95" s="70">
        <v>-12.697121085216125</v>
      </c>
      <c r="BN95" s="71">
        <v>0.9</v>
      </c>
      <c r="BO95" s="77">
        <f t="shared" si="19"/>
        <v>5.1479999999999997</v>
      </c>
      <c r="BP95" s="71">
        <v>0.9</v>
      </c>
      <c r="BQ95" s="77">
        <f t="shared" si="20"/>
        <v>5.1479999999999997</v>
      </c>
      <c r="BR95" s="77" cm="1">
        <f t="array" ref="BR95">_xll.DCEPropSectI(BF95, BH95, BG95, BI95, BG95, BI95, "rx")/10</f>
        <v>11.847052463297633</v>
      </c>
      <c r="BS95" s="77" cm="1">
        <f t="array" ref="BS95">_xll.DCEPropSectI(BF95, BH95, BG95, BI95, BG95, BI95, "ry")/10</f>
        <v>5.3836052600564113</v>
      </c>
      <c r="BT95" s="5">
        <f t="shared" si="21"/>
        <v>43.453846566043239</v>
      </c>
      <c r="BU95" s="5">
        <f t="shared" si="22"/>
        <v>95.623652762870975</v>
      </c>
      <c r="BV95" s="5">
        <f t="shared" si="23"/>
        <v>95.623652762870975</v>
      </c>
      <c r="BW95" s="71">
        <f t="shared" si="24"/>
        <v>200</v>
      </c>
      <c r="BX95" s="78" cm="1">
        <f t="array" ref="BX95">IF(BM95&gt;0,1,_xll.DCETCVN5575FactorPhi7121(BV95*SQRT($K$17/206000),"b"))</f>
        <v>0.59843366787807328</v>
      </c>
      <c r="BY95" s="64">
        <f t="shared" si="25"/>
        <v>1.8436963209367028E-2</v>
      </c>
      <c r="BZ95" s="3" t="str">
        <f t="shared" si="26"/>
        <v>OK</v>
      </c>
    </row>
    <row r="96" spans="1:78">
      <c r="A96" s="76"/>
      <c r="B96" s="76"/>
      <c r="C96" s="125"/>
      <c r="D96" s="125"/>
      <c r="E96" s="71"/>
      <c r="F96" s="71"/>
      <c r="G96" s="71"/>
      <c r="H96" s="126"/>
      <c r="I96" s="125"/>
      <c r="J96" s="123"/>
      <c r="K96" s="12"/>
      <c r="L96" s="117"/>
      <c r="M96" s="12"/>
      <c r="N96" s="117"/>
      <c r="O96" s="117"/>
      <c r="P96" s="117"/>
      <c r="Q96" s="118"/>
      <c r="R96" s="118"/>
      <c r="S96" s="118"/>
      <c r="T96" s="12"/>
      <c r="U96" s="118"/>
      <c r="V96" s="118"/>
      <c r="W96" s="12"/>
      <c r="X96" s="119"/>
      <c r="Y96" s="120"/>
      <c r="Z96" s="12"/>
      <c r="BA96" s="70" t="s">
        <v>205</v>
      </c>
      <c r="BB96" s="71" t="s">
        <v>206</v>
      </c>
      <c r="BC96" s="71" t="s">
        <v>207</v>
      </c>
      <c r="BD96" s="71">
        <v>2.15</v>
      </c>
      <c r="BE96" s="71">
        <v>5.72</v>
      </c>
      <c r="BF96" s="71">
        <v>268</v>
      </c>
      <c r="BG96" s="71">
        <v>212</v>
      </c>
      <c r="BH96" s="71">
        <v>5</v>
      </c>
      <c r="BI96" s="71">
        <v>10</v>
      </c>
      <c r="BJ96" s="12" t="str" cm="1">
        <f t="array" ref="BJ96">_xll.Dce_Name_SectI(BF96, BF96, BG96, BH96, BI96, "x", "-", $AX$11)</f>
        <v>268x212x5x10</v>
      </c>
      <c r="BK96" s="77" cm="1">
        <f t="array" ref="BK96">_xll.DCEPropSectI(BF96, BH96, BG96, BI96, BG96, BI96, "A")/100</f>
        <v>54.8</v>
      </c>
      <c r="BL96" s="70" t="s">
        <v>226</v>
      </c>
      <c r="BM96" s="70">
        <v>-12.99897979277371</v>
      </c>
      <c r="BN96" s="71">
        <v>0.9</v>
      </c>
      <c r="BO96" s="77">
        <f t="shared" si="19"/>
        <v>5.1479999999999997</v>
      </c>
      <c r="BP96" s="71">
        <v>0.9</v>
      </c>
      <c r="BQ96" s="77">
        <f t="shared" si="20"/>
        <v>5.1479999999999997</v>
      </c>
      <c r="BR96" s="77" cm="1">
        <f t="array" ref="BR96">_xll.DCEPropSectI(BF96, BH96, BG96, BI96, BG96, BI96, "rx")/10</f>
        <v>11.847052463297633</v>
      </c>
      <c r="BS96" s="77" cm="1">
        <f t="array" ref="BS96">_xll.DCEPropSectI(BF96, BH96, BG96, BI96, BG96, BI96, "ry")/10</f>
        <v>5.3836052600564113</v>
      </c>
      <c r="BT96" s="5">
        <f t="shared" si="21"/>
        <v>43.453846566043239</v>
      </c>
      <c r="BU96" s="5">
        <f t="shared" si="22"/>
        <v>95.623652762870975</v>
      </c>
      <c r="BV96" s="5">
        <f t="shared" si="23"/>
        <v>95.623652762870975</v>
      </c>
      <c r="BW96" s="71">
        <f t="shared" si="24"/>
        <v>200</v>
      </c>
      <c r="BX96" s="78" cm="1">
        <f t="array" ref="BX96">IF(BM96&gt;0,1,_xll.DCETCVN5575FactorPhi7121(BV96*SQRT($K$17/206000),"b"))</f>
        <v>0.59843366787807328</v>
      </c>
      <c r="BY96" s="64">
        <f t="shared" si="25"/>
        <v>1.8875279726025779E-2</v>
      </c>
      <c r="BZ96" s="3" t="str">
        <f t="shared" si="26"/>
        <v>OK</v>
      </c>
    </row>
    <row r="97" spans="1:78">
      <c r="A97" s="76"/>
      <c r="B97" s="76"/>
      <c r="C97" s="125"/>
      <c r="D97" s="125"/>
      <c r="E97" s="71"/>
      <c r="F97" s="71"/>
      <c r="G97" s="71"/>
      <c r="H97" s="126"/>
      <c r="I97" s="125"/>
      <c r="J97" s="123"/>
      <c r="K97" s="12"/>
      <c r="L97" s="117"/>
      <c r="M97" s="12"/>
      <c r="N97" s="117"/>
      <c r="O97" s="117"/>
      <c r="P97" s="117"/>
      <c r="Q97" s="118"/>
      <c r="R97" s="118"/>
      <c r="S97" s="118"/>
      <c r="T97" s="12"/>
      <c r="U97" s="118"/>
      <c r="V97" s="118"/>
      <c r="W97" s="12"/>
      <c r="X97" s="119"/>
      <c r="Y97" s="120"/>
      <c r="Z97" s="12"/>
      <c r="BA97" s="70" t="s">
        <v>205</v>
      </c>
      <c r="BB97" s="71" t="s">
        <v>206</v>
      </c>
      <c r="BC97" s="71" t="s">
        <v>207</v>
      </c>
      <c r="BD97" s="71">
        <v>2.86</v>
      </c>
      <c r="BE97" s="71">
        <v>5.72</v>
      </c>
      <c r="BF97" s="71">
        <v>268</v>
      </c>
      <c r="BG97" s="71">
        <v>212</v>
      </c>
      <c r="BH97" s="71">
        <v>5</v>
      </c>
      <c r="BI97" s="71">
        <v>10</v>
      </c>
      <c r="BJ97" s="12" t="str" cm="1">
        <f t="array" ref="BJ97">_xll.Dce_Name_SectI(BF97, BF97, BG97, BH97, BI97, "x", "-", $AX$11)</f>
        <v>268x212x5x10</v>
      </c>
      <c r="BK97" s="77" cm="1">
        <f t="array" ref="BK97">_xll.DCEPropSectI(BF97, BH97, BG97, BI97, BG97, BI97, "A")/100</f>
        <v>54.8</v>
      </c>
      <c r="BL97" s="70" t="s">
        <v>226</v>
      </c>
      <c r="BM97" s="70">
        <v>-13.300838500331288</v>
      </c>
      <c r="BN97" s="71">
        <v>0.9</v>
      </c>
      <c r="BO97" s="77">
        <f t="shared" si="19"/>
        <v>5.1479999999999997</v>
      </c>
      <c r="BP97" s="71">
        <v>0.9</v>
      </c>
      <c r="BQ97" s="77">
        <f t="shared" si="20"/>
        <v>5.1479999999999997</v>
      </c>
      <c r="BR97" s="77" cm="1">
        <f t="array" ref="BR97">_xll.DCEPropSectI(BF97, BH97, BG97, BI97, BG97, BI97, "rx")/10</f>
        <v>11.847052463297633</v>
      </c>
      <c r="BS97" s="77" cm="1">
        <f t="array" ref="BS97">_xll.DCEPropSectI(BF97, BH97, BG97, BI97, BG97, BI97, "ry")/10</f>
        <v>5.3836052600564113</v>
      </c>
      <c r="BT97" s="5">
        <f t="shared" si="21"/>
        <v>43.453846566043239</v>
      </c>
      <c r="BU97" s="5">
        <f t="shared" si="22"/>
        <v>95.623652762870975</v>
      </c>
      <c r="BV97" s="5">
        <f t="shared" si="23"/>
        <v>95.623652762870975</v>
      </c>
      <c r="BW97" s="71">
        <f t="shared" si="24"/>
        <v>200</v>
      </c>
      <c r="BX97" s="78" cm="1">
        <f t="array" ref="BX97">IF(BM97&gt;0,1,_xll.DCETCVN5575FactorPhi7121(BV97*SQRT($K$17/206000),"b"))</f>
        <v>0.59843366787807328</v>
      </c>
      <c r="BY97" s="64">
        <f t="shared" si="25"/>
        <v>1.9313596242684517E-2</v>
      </c>
      <c r="BZ97" s="3" t="str">
        <f t="shared" si="26"/>
        <v>OK</v>
      </c>
    </row>
    <row r="98" spans="1:78">
      <c r="A98" s="76"/>
      <c r="B98" s="76"/>
      <c r="C98" s="125"/>
      <c r="D98" s="125"/>
      <c r="E98" s="71"/>
      <c r="F98" s="71"/>
      <c r="G98" s="71"/>
      <c r="H98" s="126"/>
      <c r="I98" s="125"/>
      <c r="J98" s="123"/>
      <c r="K98" s="12"/>
      <c r="L98" s="117"/>
      <c r="M98" s="12"/>
      <c r="N98" s="117"/>
      <c r="O98" s="117"/>
      <c r="P98" s="117"/>
      <c r="Q98" s="118"/>
      <c r="R98" s="118"/>
      <c r="S98" s="118"/>
      <c r="T98" s="12"/>
      <c r="U98" s="118"/>
      <c r="V98" s="118"/>
      <c r="W98" s="12"/>
      <c r="X98" s="119"/>
      <c r="Y98" s="120"/>
      <c r="Z98" s="12"/>
      <c r="BA98" s="70" t="s">
        <v>205</v>
      </c>
      <c r="BB98" s="71" t="s">
        <v>206</v>
      </c>
      <c r="BC98" s="71" t="s">
        <v>207</v>
      </c>
      <c r="BD98" s="71">
        <v>3.58</v>
      </c>
      <c r="BE98" s="71">
        <v>5.72</v>
      </c>
      <c r="BF98" s="71">
        <v>268</v>
      </c>
      <c r="BG98" s="71">
        <v>212</v>
      </c>
      <c r="BH98" s="71">
        <v>5</v>
      </c>
      <c r="BI98" s="71">
        <v>10</v>
      </c>
      <c r="BJ98" s="12" t="str" cm="1">
        <f t="array" ref="BJ98">_xll.Dce_Name_SectI(BF98, BF98, BG98, BH98, BI98, "x", "-", $AX$11)</f>
        <v>268x212x5x10</v>
      </c>
      <c r="BK98" s="77" cm="1">
        <f t="array" ref="BK98">_xll.DCEPropSectI(BF98, BH98, BG98, BI98, BG98, BI98, "A")/100</f>
        <v>54.8</v>
      </c>
      <c r="BL98" s="70" t="s">
        <v>226</v>
      </c>
      <c r="BM98" s="70">
        <v>-13.602697207888873</v>
      </c>
      <c r="BN98" s="71">
        <v>0.9</v>
      </c>
      <c r="BO98" s="77">
        <f t="shared" si="19"/>
        <v>5.1479999999999997</v>
      </c>
      <c r="BP98" s="71">
        <v>0.9</v>
      </c>
      <c r="BQ98" s="77">
        <f t="shared" si="20"/>
        <v>5.1479999999999997</v>
      </c>
      <c r="BR98" s="77" cm="1">
        <f t="array" ref="BR98">_xll.DCEPropSectI(BF98, BH98, BG98, BI98, BG98, BI98, "rx")/10</f>
        <v>11.847052463297633</v>
      </c>
      <c r="BS98" s="77" cm="1">
        <f t="array" ref="BS98">_xll.DCEPropSectI(BF98, BH98, BG98, BI98, BG98, BI98, "ry")/10</f>
        <v>5.3836052600564113</v>
      </c>
      <c r="BT98" s="5">
        <f t="shared" si="21"/>
        <v>43.453846566043239</v>
      </c>
      <c r="BU98" s="5">
        <f t="shared" si="22"/>
        <v>95.623652762870975</v>
      </c>
      <c r="BV98" s="5">
        <f t="shared" si="23"/>
        <v>95.623652762870975</v>
      </c>
      <c r="BW98" s="71">
        <f t="shared" si="24"/>
        <v>200</v>
      </c>
      <c r="BX98" s="78" cm="1">
        <f t="array" ref="BX98">IF(BM98&gt;0,1,_xll.DCETCVN5575FactorPhi7121(BV98*SQRT($K$17/206000),"b"))</f>
        <v>0.59843366787807328</v>
      </c>
      <c r="BY98" s="64">
        <f t="shared" si="25"/>
        <v>1.9751912759343265E-2</v>
      </c>
      <c r="BZ98" s="3" t="str">
        <f t="shared" si="26"/>
        <v>OK</v>
      </c>
    </row>
    <row r="99" spans="1:78">
      <c r="A99" s="76"/>
      <c r="B99" s="76"/>
      <c r="C99" s="125"/>
      <c r="D99" s="125"/>
      <c r="E99" s="71"/>
      <c r="F99" s="71"/>
      <c r="G99" s="71"/>
      <c r="H99" s="126"/>
      <c r="I99" s="125"/>
      <c r="J99" s="123"/>
      <c r="K99" s="12"/>
      <c r="L99" s="117"/>
      <c r="M99" s="12"/>
      <c r="N99" s="117"/>
      <c r="O99" s="117"/>
      <c r="P99" s="117"/>
      <c r="Q99" s="118"/>
      <c r="R99" s="118"/>
      <c r="S99" s="118"/>
      <c r="T99" s="12"/>
      <c r="U99" s="118"/>
      <c r="V99" s="118"/>
      <c r="W99" s="12"/>
      <c r="X99" s="119"/>
      <c r="Y99" s="120"/>
      <c r="Z99" s="12"/>
      <c r="BA99" s="70" t="s">
        <v>205</v>
      </c>
      <c r="BB99" s="71" t="s">
        <v>206</v>
      </c>
      <c r="BC99" s="71" t="s">
        <v>207</v>
      </c>
      <c r="BD99" s="71">
        <v>4.29</v>
      </c>
      <c r="BE99" s="71">
        <v>5.72</v>
      </c>
      <c r="BF99" s="71">
        <v>268</v>
      </c>
      <c r="BG99" s="71">
        <v>212</v>
      </c>
      <c r="BH99" s="71">
        <v>5</v>
      </c>
      <c r="BI99" s="71">
        <v>10</v>
      </c>
      <c r="BJ99" s="12" t="str" cm="1">
        <f t="array" ref="BJ99">_xll.Dce_Name_SectI(BF99, BF99, BG99, BH99, BI99, "x", "-", $AX$11)</f>
        <v>268x212x5x10</v>
      </c>
      <c r="BK99" s="77" cm="1">
        <f t="array" ref="BK99">_xll.DCEPropSectI(BF99, BH99, BG99, BI99, BG99, BI99, "A")/100</f>
        <v>54.8</v>
      </c>
      <c r="BL99" s="70" t="s">
        <v>226</v>
      </c>
      <c r="BM99" s="70">
        <v>-13.904555915446458</v>
      </c>
      <c r="BN99" s="71">
        <v>0.9</v>
      </c>
      <c r="BO99" s="77">
        <f t="shared" si="19"/>
        <v>5.1479999999999997</v>
      </c>
      <c r="BP99" s="71">
        <v>0.9</v>
      </c>
      <c r="BQ99" s="77">
        <f t="shared" si="20"/>
        <v>5.1479999999999997</v>
      </c>
      <c r="BR99" s="77" cm="1">
        <f t="array" ref="BR99">_xll.DCEPropSectI(BF99, BH99, BG99, BI99, BG99, BI99, "rx")/10</f>
        <v>11.847052463297633</v>
      </c>
      <c r="BS99" s="77" cm="1">
        <f t="array" ref="BS99">_xll.DCEPropSectI(BF99, BH99, BG99, BI99, BG99, BI99, "ry")/10</f>
        <v>5.3836052600564113</v>
      </c>
      <c r="BT99" s="5">
        <f t="shared" si="21"/>
        <v>43.453846566043239</v>
      </c>
      <c r="BU99" s="5">
        <f t="shared" si="22"/>
        <v>95.623652762870975</v>
      </c>
      <c r="BV99" s="5">
        <f t="shared" si="23"/>
        <v>95.623652762870975</v>
      </c>
      <c r="BW99" s="71">
        <f t="shared" si="24"/>
        <v>200</v>
      </c>
      <c r="BX99" s="78" cm="1">
        <f t="array" ref="BX99">IF(BM99&gt;0,1,_xll.DCETCVN5575FactorPhi7121(BV99*SQRT($K$17/206000),"b"))</f>
        <v>0.59843366787807328</v>
      </c>
      <c r="BY99" s="64">
        <f t="shared" si="25"/>
        <v>2.019022927600201E-2</v>
      </c>
      <c r="BZ99" s="3" t="str">
        <f t="shared" si="26"/>
        <v>OK</v>
      </c>
    </row>
    <row r="100" spans="1:78">
      <c r="A100" s="76"/>
      <c r="B100" s="76"/>
      <c r="C100" s="125"/>
      <c r="D100" s="125"/>
      <c r="E100" s="71"/>
      <c r="F100" s="71"/>
      <c r="G100" s="71"/>
      <c r="H100" s="126"/>
      <c r="I100" s="125"/>
      <c r="J100" s="123"/>
      <c r="K100" s="12"/>
      <c r="L100" s="117"/>
      <c r="M100" s="12"/>
      <c r="N100" s="117"/>
      <c r="O100" s="117"/>
      <c r="P100" s="117"/>
      <c r="Q100" s="118"/>
      <c r="R100" s="118"/>
      <c r="S100" s="118"/>
      <c r="T100" s="12"/>
      <c r="U100" s="118"/>
      <c r="V100" s="118"/>
      <c r="W100" s="12"/>
      <c r="X100" s="119"/>
      <c r="Y100" s="120"/>
      <c r="Z100" s="12"/>
      <c r="BA100" s="70" t="s">
        <v>205</v>
      </c>
      <c r="BB100" s="71" t="s">
        <v>206</v>
      </c>
      <c r="BC100" s="71" t="s">
        <v>207</v>
      </c>
      <c r="BD100" s="71">
        <v>5.01</v>
      </c>
      <c r="BE100" s="71">
        <v>5.72</v>
      </c>
      <c r="BF100" s="71">
        <v>268</v>
      </c>
      <c r="BG100" s="71">
        <v>212</v>
      </c>
      <c r="BH100" s="71">
        <v>5</v>
      </c>
      <c r="BI100" s="71">
        <v>10</v>
      </c>
      <c r="BJ100" s="12" t="str" cm="1">
        <f t="array" ref="BJ100">_xll.Dce_Name_SectI(BF100, BF100, BG100, BH100, BI100, "x", "-", $AX$11)</f>
        <v>268x212x5x10</v>
      </c>
      <c r="BK100" s="77" cm="1">
        <f t="array" ref="BK100">_xll.DCEPropSectI(BF100, BH100, BG100, BI100, BG100, BI100, "A")/100</f>
        <v>54.8</v>
      </c>
      <c r="BL100" s="70" t="s">
        <v>226</v>
      </c>
      <c r="BM100" s="70">
        <v>-14.206414623004044</v>
      </c>
      <c r="BN100" s="71">
        <v>0.9</v>
      </c>
      <c r="BO100" s="77">
        <f t="shared" si="19"/>
        <v>5.1479999999999997</v>
      </c>
      <c r="BP100" s="71">
        <v>0.9</v>
      </c>
      <c r="BQ100" s="77">
        <f t="shared" si="20"/>
        <v>5.1479999999999997</v>
      </c>
      <c r="BR100" s="77" cm="1">
        <f t="array" ref="BR100">_xll.DCEPropSectI(BF100, BH100, BG100, BI100, BG100, BI100, "rx")/10</f>
        <v>11.847052463297633</v>
      </c>
      <c r="BS100" s="77" cm="1">
        <f t="array" ref="BS100">_xll.DCEPropSectI(BF100, BH100, BG100, BI100, BG100, BI100, "ry")/10</f>
        <v>5.3836052600564113</v>
      </c>
      <c r="BT100" s="5">
        <f t="shared" si="21"/>
        <v>43.453846566043239</v>
      </c>
      <c r="BU100" s="5">
        <f t="shared" si="22"/>
        <v>95.623652762870975</v>
      </c>
      <c r="BV100" s="5">
        <f t="shared" si="23"/>
        <v>95.623652762870975</v>
      </c>
      <c r="BW100" s="71">
        <f t="shared" si="24"/>
        <v>200</v>
      </c>
      <c r="BX100" s="78" cm="1">
        <f t="array" ref="BX100">IF(BM100&gt;0,1,_xll.DCETCVN5575FactorPhi7121(BV100*SQRT($K$17/206000),"b"))</f>
        <v>0.59843366787807328</v>
      </c>
      <c r="BY100" s="64">
        <f t="shared" si="25"/>
        <v>2.0628545792660762E-2</v>
      </c>
      <c r="BZ100" s="3" t="str">
        <f t="shared" si="26"/>
        <v>OK</v>
      </c>
    </row>
    <row r="101" spans="1:78">
      <c r="A101" s="76"/>
      <c r="B101" s="76"/>
      <c r="C101" s="125"/>
      <c r="D101" s="125"/>
      <c r="E101" s="71"/>
      <c r="F101" s="71"/>
      <c r="G101" s="71"/>
      <c r="H101" s="126"/>
      <c r="I101" s="125"/>
      <c r="J101" s="123"/>
      <c r="K101" s="12"/>
      <c r="L101" s="117"/>
      <c r="M101" s="12"/>
      <c r="N101" s="117"/>
      <c r="O101" s="117"/>
      <c r="P101" s="117"/>
      <c r="Q101" s="118"/>
      <c r="R101" s="118"/>
      <c r="S101" s="118"/>
      <c r="T101" s="12"/>
      <c r="U101" s="118"/>
      <c r="V101" s="118"/>
      <c r="W101" s="12"/>
      <c r="X101" s="119"/>
      <c r="Y101" s="120"/>
      <c r="Z101" s="12"/>
      <c r="BA101" s="70" t="s">
        <v>205</v>
      </c>
      <c r="BB101" s="71" t="s">
        <v>206</v>
      </c>
      <c r="BC101" s="71" t="s">
        <v>207</v>
      </c>
      <c r="BD101" s="71">
        <v>5.72</v>
      </c>
      <c r="BE101" s="71">
        <v>5.72</v>
      </c>
      <c r="BF101" s="71">
        <v>268</v>
      </c>
      <c r="BG101" s="71">
        <v>212</v>
      </c>
      <c r="BH101" s="71">
        <v>5</v>
      </c>
      <c r="BI101" s="71">
        <v>10</v>
      </c>
      <c r="BJ101" s="12" t="str" cm="1">
        <f t="array" ref="BJ101">_xll.Dce_Name_SectI(BF101, BF101, BG101, BH101, BI101, "x", "-", $AX$11)</f>
        <v>268x212x5x10</v>
      </c>
      <c r="BK101" s="77" cm="1">
        <f t="array" ref="BK101">_xll.DCEPropSectI(BF101, BH101, BG101, BI101, BG101, BI101, "A")/100</f>
        <v>54.8</v>
      </c>
      <c r="BL101" s="70" t="s">
        <v>226</v>
      </c>
      <c r="BM101" s="70">
        <v>-14.508273330561629</v>
      </c>
      <c r="BN101" s="71">
        <v>0.9</v>
      </c>
      <c r="BO101" s="77">
        <f t="shared" si="19"/>
        <v>5.1479999999999997</v>
      </c>
      <c r="BP101" s="71">
        <v>0.9</v>
      </c>
      <c r="BQ101" s="77">
        <f t="shared" si="20"/>
        <v>5.1479999999999997</v>
      </c>
      <c r="BR101" s="77" cm="1">
        <f t="array" ref="BR101">_xll.DCEPropSectI(BF101, BH101, BG101, BI101, BG101, BI101, "rx")/10</f>
        <v>11.847052463297633</v>
      </c>
      <c r="BS101" s="77" cm="1">
        <f t="array" ref="BS101">_xll.DCEPropSectI(BF101, BH101, BG101, BI101, BG101, BI101, "ry")/10</f>
        <v>5.3836052600564113</v>
      </c>
      <c r="BT101" s="5">
        <f t="shared" si="21"/>
        <v>43.453846566043239</v>
      </c>
      <c r="BU101" s="5">
        <f t="shared" si="22"/>
        <v>95.623652762870975</v>
      </c>
      <c r="BV101" s="5">
        <f t="shared" si="23"/>
        <v>95.623652762870975</v>
      </c>
      <c r="BW101" s="71">
        <f t="shared" si="24"/>
        <v>200</v>
      </c>
      <c r="BX101" s="78" cm="1">
        <f t="array" ref="BX101">IF(BM101&gt;0,1,_xll.DCETCVN5575FactorPhi7121(BV101*SQRT($K$17/206000),"b"))</f>
        <v>0.59843366787807328</v>
      </c>
      <c r="BY101" s="64">
        <f t="shared" si="25"/>
        <v>2.106686230931951E-2</v>
      </c>
      <c r="BZ101" s="3" t="str">
        <f t="shared" si="26"/>
        <v>OK</v>
      </c>
    </row>
    <row r="102" spans="1:78">
      <c r="A102" s="76"/>
      <c r="B102" s="76"/>
      <c r="C102" s="125"/>
      <c r="D102" s="125"/>
      <c r="E102" s="71"/>
      <c r="F102" s="71"/>
      <c r="G102" s="71"/>
      <c r="H102" s="126"/>
      <c r="I102" s="125"/>
      <c r="J102" s="123"/>
      <c r="K102" s="12"/>
      <c r="L102" s="117"/>
      <c r="M102" s="12"/>
      <c r="N102" s="117"/>
      <c r="O102" s="117"/>
      <c r="P102" s="117"/>
      <c r="Q102" s="118"/>
      <c r="R102" s="118"/>
      <c r="S102" s="118"/>
      <c r="T102" s="12"/>
      <c r="U102" s="118"/>
      <c r="V102" s="118"/>
      <c r="W102" s="12"/>
      <c r="X102" s="119"/>
      <c r="Y102" s="120"/>
      <c r="Z102" s="12"/>
      <c r="BA102" s="70" t="s">
        <v>205</v>
      </c>
      <c r="BB102" s="71" t="s">
        <v>208</v>
      </c>
      <c r="BC102" s="71" t="s">
        <v>207</v>
      </c>
      <c r="BD102" s="71">
        <v>0</v>
      </c>
      <c r="BE102" s="71">
        <v>6.1</v>
      </c>
      <c r="BF102" s="71">
        <v>268</v>
      </c>
      <c r="BG102" s="71">
        <v>212</v>
      </c>
      <c r="BH102" s="71">
        <v>5</v>
      </c>
      <c r="BI102" s="71">
        <v>10</v>
      </c>
      <c r="BJ102" s="12" t="str" cm="1">
        <f t="array" ref="BJ102">_xll.Dce_Name_SectI(BF102, BF102, BG102, BH102, BI102, "x", "-", $AX$11)</f>
        <v>268x212x5x10</v>
      </c>
      <c r="BK102" s="77" cm="1">
        <f t="array" ref="BK102">_xll.DCEPropSectI(BF102, BH102, BG102, BI102, BG102, BI102, "A")/100</f>
        <v>54.8</v>
      </c>
      <c r="BL102" s="70" t="s">
        <v>217</v>
      </c>
      <c r="BM102" s="70">
        <v>-0.82557292017577311</v>
      </c>
      <c r="BN102" s="71">
        <v>0.9</v>
      </c>
      <c r="BO102" s="77">
        <f t="shared" si="19"/>
        <v>5.49</v>
      </c>
      <c r="BP102" s="71">
        <v>0.9</v>
      </c>
      <c r="BQ102" s="77">
        <f t="shared" si="20"/>
        <v>5.49</v>
      </c>
      <c r="BR102" s="77" cm="1">
        <f t="array" ref="BR102">_xll.DCEPropSectI(BF102, BH102, BG102, BI102, BG102, BI102, "rx")/10</f>
        <v>11.847052463297633</v>
      </c>
      <c r="BS102" s="77" cm="1">
        <f t="array" ref="BS102">_xll.DCEPropSectI(BF102, BH102, BG102, BI102, BG102, BI102, "ry")/10</f>
        <v>5.3836052600564113</v>
      </c>
      <c r="BT102" s="5">
        <f t="shared" si="21"/>
        <v>46.340640568682481</v>
      </c>
      <c r="BU102" s="5">
        <f t="shared" si="22"/>
        <v>101.97627305131346</v>
      </c>
      <c r="BV102" s="5">
        <f t="shared" si="23"/>
        <v>101.97627305131346</v>
      </c>
      <c r="BW102" s="71">
        <f t="shared" si="24"/>
        <v>200</v>
      </c>
      <c r="BX102" s="78" cm="1">
        <f t="array" ref="BX102">IF(BM102&gt;0,1,_xll.DCETCVN5575FactorPhi7121(BV102*SQRT($K$17/206000),"b"))</f>
        <v>0.55590262168625593</v>
      </c>
      <c r="BY102" s="64">
        <f t="shared" si="25"/>
        <v>1.2904965970634923E-3</v>
      </c>
      <c r="BZ102" s="3" t="str">
        <f t="shared" si="26"/>
        <v>OK</v>
      </c>
    </row>
    <row r="103" spans="1:78">
      <c r="A103" s="76"/>
      <c r="B103" s="76"/>
      <c r="C103" s="125"/>
      <c r="D103" s="125"/>
      <c r="E103" s="71"/>
      <c r="F103" s="71"/>
      <c r="G103" s="71"/>
      <c r="H103" s="126"/>
      <c r="I103" s="125"/>
      <c r="J103" s="123"/>
      <c r="K103" s="12"/>
      <c r="L103" s="117"/>
      <c r="M103" s="12"/>
      <c r="N103" s="117"/>
      <c r="O103" s="117"/>
      <c r="P103" s="117"/>
      <c r="Q103" s="118"/>
      <c r="R103" s="118"/>
      <c r="S103" s="118"/>
      <c r="T103" s="12"/>
      <c r="U103" s="118"/>
      <c r="V103" s="118"/>
      <c r="W103" s="12"/>
      <c r="X103" s="119"/>
      <c r="Y103" s="120"/>
      <c r="Z103" s="12"/>
      <c r="BA103" s="70" t="s">
        <v>205</v>
      </c>
      <c r="BB103" s="71" t="s">
        <v>208</v>
      </c>
      <c r="BC103" s="71" t="s">
        <v>207</v>
      </c>
      <c r="BD103" s="71">
        <v>0.76</v>
      </c>
      <c r="BE103" s="71">
        <v>6.1</v>
      </c>
      <c r="BF103" s="71">
        <v>268</v>
      </c>
      <c r="BG103" s="71">
        <v>212</v>
      </c>
      <c r="BH103" s="71">
        <v>5</v>
      </c>
      <c r="BI103" s="71">
        <v>10</v>
      </c>
      <c r="BJ103" s="12" t="str" cm="1">
        <f t="array" ref="BJ103">_xll.Dce_Name_SectI(BF103, BF103, BG103, BH103, BI103, "x", "-", $AX$11)</f>
        <v>268x212x5x10</v>
      </c>
      <c r="BK103" s="77" cm="1">
        <f t="array" ref="BK103">_xll.DCEPropSectI(BF103, BH103, BG103, BI103, BG103, BI103, "A")/100</f>
        <v>54.8</v>
      </c>
      <c r="BL103" s="70" t="s">
        <v>217</v>
      </c>
      <c r="BM103" s="70">
        <v>-1.1472040321585264</v>
      </c>
      <c r="BN103" s="71">
        <v>0.9</v>
      </c>
      <c r="BO103" s="77">
        <f t="shared" si="19"/>
        <v>5.49</v>
      </c>
      <c r="BP103" s="71">
        <v>0.9</v>
      </c>
      <c r="BQ103" s="77">
        <f t="shared" si="20"/>
        <v>5.49</v>
      </c>
      <c r="BR103" s="77" cm="1">
        <f t="array" ref="BR103">_xll.DCEPropSectI(BF103, BH103, BG103, BI103, BG103, BI103, "rx")/10</f>
        <v>11.847052463297633</v>
      </c>
      <c r="BS103" s="77" cm="1">
        <f t="array" ref="BS103">_xll.DCEPropSectI(BF103, BH103, BG103, BI103, BG103, BI103, "ry")/10</f>
        <v>5.3836052600564113</v>
      </c>
      <c r="BT103" s="5">
        <f t="shared" si="21"/>
        <v>46.340640568682481</v>
      </c>
      <c r="BU103" s="5">
        <f t="shared" si="22"/>
        <v>101.97627305131346</v>
      </c>
      <c r="BV103" s="5">
        <f t="shared" si="23"/>
        <v>101.97627305131346</v>
      </c>
      <c r="BW103" s="71">
        <f t="shared" si="24"/>
        <v>200</v>
      </c>
      <c r="BX103" s="78" cm="1">
        <f t="array" ref="BX103">IF(BM103&gt;0,1,_xll.DCETCVN5575FactorPhi7121(BV103*SQRT($K$17/206000),"b"))</f>
        <v>0.55590262168625593</v>
      </c>
      <c r="BY103" s="64">
        <f t="shared" si="25"/>
        <v>1.793255160698451E-3</v>
      </c>
      <c r="BZ103" s="3" t="str">
        <f t="shared" si="26"/>
        <v>OK</v>
      </c>
    </row>
    <row r="104" spans="1:78">
      <c r="A104" s="76"/>
      <c r="B104" s="76"/>
      <c r="C104" s="125"/>
      <c r="D104" s="125"/>
      <c r="E104" s="71"/>
      <c r="F104" s="71"/>
      <c r="G104" s="71"/>
      <c r="H104" s="126"/>
      <c r="I104" s="125"/>
      <c r="J104" s="123"/>
      <c r="K104" s="12"/>
      <c r="L104" s="117"/>
      <c r="M104" s="12"/>
      <c r="N104" s="117"/>
      <c r="O104" s="117"/>
      <c r="P104" s="117"/>
      <c r="Q104" s="118"/>
      <c r="R104" s="118"/>
      <c r="S104" s="118"/>
      <c r="T104" s="12"/>
      <c r="U104" s="118"/>
      <c r="V104" s="118"/>
      <c r="W104" s="12"/>
      <c r="X104" s="119"/>
      <c r="Y104" s="120"/>
      <c r="Z104" s="12"/>
      <c r="BA104" s="70" t="s">
        <v>205</v>
      </c>
      <c r="BB104" s="71" t="s">
        <v>208</v>
      </c>
      <c r="BC104" s="71" t="s">
        <v>207</v>
      </c>
      <c r="BD104" s="71">
        <v>1.52</v>
      </c>
      <c r="BE104" s="71">
        <v>6.1</v>
      </c>
      <c r="BF104" s="71">
        <v>268</v>
      </c>
      <c r="BG104" s="71">
        <v>212</v>
      </c>
      <c r="BH104" s="71">
        <v>5</v>
      </c>
      <c r="BI104" s="71">
        <v>10</v>
      </c>
      <c r="BJ104" s="12" t="str" cm="1">
        <f t="array" ref="BJ104">_xll.Dce_Name_SectI(BF104, BF104, BG104, BH104, BI104, "x", "-", $AX$11)</f>
        <v>268x212x5x10</v>
      </c>
      <c r="BK104" s="77" cm="1">
        <f t="array" ref="BK104">_xll.DCEPropSectI(BF104, BH104, BG104, BI104, BG104, BI104, "A")/100</f>
        <v>54.8</v>
      </c>
      <c r="BL104" s="70" t="s">
        <v>217</v>
      </c>
      <c r="BM104" s="70">
        <v>-1.4688351441412799</v>
      </c>
      <c r="BN104" s="71">
        <v>0.9</v>
      </c>
      <c r="BO104" s="77">
        <f t="shared" si="19"/>
        <v>5.49</v>
      </c>
      <c r="BP104" s="71">
        <v>0.9</v>
      </c>
      <c r="BQ104" s="77">
        <f t="shared" si="20"/>
        <v>5.49</v>
      </c>
      <c r="BR104" s="77" cm="1">
        <f t="array" ref="BR104">_xll.DCEPropSectI(BF104, BH104, BG104, BI104, BG104, BI104, "rx")/10</f>
        <v>11.847052463297633</v>
      </c>
      <c r="BS104" s="77" cm="1">
        <f t="array" ref="BS104">_xll.DCEPropSectI(BF104, BH104, BG104, BI104, BG104, BI104, "ry")/10</f>
        <v>5.3836052600564113</v>
      </c>
      <c r="BT104" s="5">
        <f t="shared" si="21"/>
        <v>46.340640568682481</v>
      </c>
      <c r="BU104" s="5">
        <f t="shared" si="22"/>
        <v>101.97627305131346</v>
      </c>
      <c r="BV104" s="5">
        <f t="shared" si="23"/>
        <v>101.97627305131346</v>
      </c>
      <c r="BW104" s="71">
        <f t="shared" si="24"/>
        <v>200</v>
      </c>
      <c r="BX104" s="78" cm="1">
        <f t="array" ref="BX104">IF(BM104&gt;0,1,_xll.DCETCVN5575FactorPhi7121(BV104*SQRT($K$17/206000),"b"))</f>
        <v>0.55590262168625593</v>
      </c>
      <c r="BY104" s="64">
        <f t="shared" si="25"/>
        <v>2.2960137243334101E-3</v>
      </c>
      <c r="BZ104" s="3" t="str">
        <f t="shared" si="26"/>
        <v>OK</v>
      </c>
    </row>
    <row r="105" spans="1:78">
      <c r="A105" s="76"/>
      <c r="B105" s="76"/>
      <c r="C105" s="125"/>
      <c r="D105" s="125"/>
      <c r="E105" s="71"/>
      <c r="F105" s="71"/>
      <c r="G105" s="71"/>
      <c r="H105" s="126"/>
      <c r="I105" s="125"/>
      <c r="J105" s="123"/>
      <c r="K105" s="12"/>
      <c r="L105" s="117"/>
      <c r="M105" s="12"/>
      <c r="N105" s="117"/>
      <c r="O105" s="117"/>
      <c r="P105" s="117"/>
      <c r="Q105" s="118"/>
      <c r="R105" s="118"/>
      <c r="S105" s="118"/>
      <c r="T105" s="12"/>
      <c r="U105" s="118"/>
      <c r="V105" s="118"/>
      <c r="W105" s="12"/>
      <c r="X105" s="119"/>
      <c r="Y105" s="120"/>
      <c r="Z105" s="12"/>
      <c r="BA105" s="70" t="s">
        <v>205</v>
      </c>
      <c r="BB105" s="71" t="s">
        <v>208</v>
      </c>
      <c r="BC105" s="71" t="s">
        <v>207</v>
      </c>
      <c r="BD105" s="71">
        <v>2.29</v>
      </c>
      <c r="BE105" s="71">
        <v>6.1</v>
      </c>
      <c r="BF105" s="71">
        <v>268</v>
      </c>
      <c r="BG105" s="71">
        <v>212</v>
      </c>
      <c r="BH105" s="71">
        <v>5</v>
      </c>
      <c r="BI105" s="71">
        <v>10</v>
      </c>
      <c r="BJ105" s="12" t="str" cm="1">
        <f t="array" ref="BJ105">_xll.Dce_Name_SectI(BF105, BF105, BG105, BH105, BI105, "x", "-", $AX$11)</f>
        <v>268x212x5x10</v>
      </c>
      <c r="BK105" s="77" cm="1">
        <f t="array" ref="BK105">_xll.DCEPropSectI(BF105, BH105, BG105, BI105, BG105, BI105, "A")/100</f>
        <v>54.8</v>
      </c>
      <c r="BL105" s="70" t="s">
        <v>217</v>
      </c>
      <c r="BM105" s="70">
        <v>-1.7904662561240332</v>
      </c>
      <c r="BN105" s="71">
        <v>0.9</v>
      </c>
      <c r="BO105" s="77">
        <f t="shared" si="19"/>
        <v>5.49</v>
      </c>
      <c r="BP105" s="71">
        <v>0.9</v>
      </c>
      <c r="BQ105" s="77">
        <f t="shared" si="20"/>
        <v>5.49</v>
      </c>
      <c r="BR105" s="77" cm="1">
        <f t="array" ref="BR105">_xll.DCEPropSectI(BF105, BH105, BG105, BI105, BG105, BI105, "rx")/10</f>
        <v>11.847052463297633</v>
      </c>
      <c r="BS105" s="77" cm="1">
        <f t="array" ref="BS105">_xll.DCEPropSectI(BF105, BH105, BG105, BI105, BG105, BI105, "ry")/10</f>
        <v>5.3836052600564113</v>
      </c>
      <c r="BT105" s="5">
        <f t="shared" si="21"/>
        <v>46.340640568682481</v>
      </c>
      <c r="BU105" s="5">
        <f t="shared" si="22"/>
        <v>101.97627305131346</v>
      </c>
      <c r="BV105" s="5">
        <f t="shared" si="23"/>
        <v>101.97627305131346</v>
      </c>
      <c r="BW105" s="71">
        <f t="shared" si="24"/>
        <v>200</v>
      </c>
      <c r="BX105" s="78" cm="1">
        <f t="array" ref="BX105">IF(BM105&gt;0,1,_xll.DCETCVN5575FactorPhi7121(BV105*SQRT($K$17/206000),"b"))</f>
        <v>0.55590262168625593</v>
      </c>
      <c r="BY105" s="64">
        <f t="shared" si="25"/>
        <v>2.7987722879683689E-3</v>
      </c>
      <c r="BZ105" s="3" t="str">
        <f t="shared" si="26"/>
        <v>OK</v>
      </c>
    </row>
    <row r="106" spans="1:78">
      <c r="A106" s="76"/>
      <c r="B106" s="76"/>
      <c r="C106" s="125"/>
      <c r="D106" s="125"/>
      <c r="E106" s="71"/>
      <c r="F106" s="71"/>
      <c r="G106" s="71"/>
      <c r="H106" s="126"/>
      <c r="I106" s="125"/>
      <c r="J106" s="123"/>
      <c r="K106" s="12"/>
      <c r="L106" s="117"/>
      <c r="M106" s="12"/>
      <c r="N106" s="117"/>
      <c r="O106" s="117"/>
      <c r="P106" s="117"/>
      <c r="Q106" s="118"/>
      <c r="R106" s="118"/>
      <c r="S106" s="118"/>
      <c r="T106" s="12"/>
      <c r="U106" s="118"/>
      <c r="V106" s="118"/>
      <c r="W106" s="12"/>
      <c r="X106" s="119"/>
      <c r="Y106" s="120"/>
      <c r="Z106" s="12"/>
      <c r="BA106" s="70" t="s">
        <v>205</v>
      </c>
      <c r="BB106" s="71" t="s">
        <v>208</v>
      </c>
      <c r="BC106" s="71" t="s">
        <v>207</v>
      </c>
      <c r="BD106" s="71">
        <v>3.05</v>
      </c>
      <c r="BE106" s="71">
        <v>6.1</v>
      </c>
      <c r="BF106" s="71">
        <v>268</v>
      </c>
      <c r="BG106" s="71">
        <v>212</v>
      </c>
      <c r="BH106" s="71">
        <v>5</v>
      </c>
      <c r="BI106" s="71">
        <v>10</v>
      </c>
      <c r="BJ106" s="12" t="str" cm="1">
        <f t="array" ref="BJ106">_xll.Dce_Name_SectI(BF106, BF106, BG106, BH106, BI106, "x", "-", $AX$11)</f>
        <v>268x212x5x10</v>
      </c>
      <c r="BK106" s="77" cm="1">
        <f t="array" ref="BK106">_xll.DCEPropSectI(BF106, BH106, BG106, BI106, BG106, BI106, "A")/100</f>
        <v>54.8</v>
      </c>
      <c r="BL106" s="70" t="s">
        <v>217</v>
      </c>
      <c r="BM106" s="70">
        <v>-2.1120973681067867</v>
      </c>
      <c r="BN106" s="71">
        <v>0.9</v>
      </c>
      <c r="BO106" s="77">
        <f t="shared" si="19"/>
        <v>5.49</v>
      </c>
      <c r="BP106" s="71">
        <v>0.9</v>
      </c>
      <c r="BQ106" s="77">
        <f t="shared" si="20"/>
        <v>5.49</v>
      </c>
      <c r="BR106" s="77" cm="1">
        <f t="array" ref="BR106">_xll.DCEPropSectI(BF106, BH106, BG106, BI106, BG106, BI106, "rx")/10</f>
        <v>11.847052463297633</v>
      </c>
      <c r="BS106" s="77" cm="1">
        <f t="array" ref="BS106">_xll.DCEPropSectI(BF106, BH106, BG106, BI106, BG106, BI106, "ry")/10</f>
        <v>5.3836052600564113</v>
      </c>
      <c r="BT106" s="5">
        <f t="shared" si="21"/>
        <v>46.340640568682481</v>
      </c>
      <c r="BU106" s="5">
        <f t="shared" si="22"/>
        <v>101.97627305131346</v>
      </c>
      <c r="BV106" s="5">
        <f t="shared" si="23"/>
        <v>101.97627305131346</v>
      </c>
      <c r="BW106" s="71">
        <f t="shared" si="24"/>
        <v>200</v>
      </c>
      <c r="BX106" s="78" cm="1">
        <f t="array" ref="BX106">IF(BM106&gt;0,1,_xll.DCETCVN5575FactorPhi7121(BV106*SQRT($K$17/206000),"b"))</f>
        <v>0.55590262168625593</v>
      </c>
      <c r="BY106" s="64">
        <f t="shared" si="25"/>
        <v>3.3015308516033282E-3</v>
      </c>
      <c r="BZ106" s="3" t="str">
        <f t="shared" si="26"/>
        <v>OK</v>
      </c>
    </row>
    <row r="107" spans="1:78">
      <c r="A107" s="76"/>
      <c r="B107" s="76"/>
      <c r="C107" s="125"/>
      <c r="D107" s="125"/>
      <c r="E107" s="71"/>
      <c r="F107" s="71"/>
      <c r="G107" s="71"/>
      <c r="H107" s="126"/>
      <c r="I107" s="125"/>
      <c r="J107" s="123"/>
      <c r="K107" s="12"/>
      <c r="L107" s="117"/>
      <c r="M107" s="12"/>
      <c r="N107" s="117"/>
      <c r="O107" s="117"/>
      <c r="P107" s="117"/>
      <c r="Q107" s="118"/>
      <c r="R107" s="118"/>
      <c r="S107" s="118"/>
      <c r="T107" s="12"/>
      <c r="U107" s="118"/>
      <c r="V107" s="118"/>
      <c r="W107" s="12"/>
      <c r="X107" s="119"/>
      <c r="Y107" s="120"/>
      <c r="Z107" s="12"/>
      <c r="BA107" s="70" t="s">
        <v>205</v>
      </c>
      <c r="BB107" s="71" t="s">
        <v>208</v>
      </c>
      <c r="BC107" s="71" t="s">
        <v>207</v>
      </c>
      <c r="BD107" s="71">
        <v>3.81</v>
      </c>
      <c r="BE107" s="71">
        <v>6.1</v>
      </c>
      <c r="BF107" s="71">
        <v>268</v>
      </c>
      <c r="BG107" s="71">
        <v>212</v>
      </c>
      <c r="BH107" s="71">
        <v>5</v>
      </c>
      <c r="BI107" s="71">
        <v>10</v>
      </c>
      <c r="BJ107" s="12" t="str" cm="1">
        <f t="array" ref="BJ107">_xll.Dce_Name_SectI(BF107, BF107, BG107, BH107, BI107, "x", "-", $AX$11)</f>
        <v>268x212x5x10</v>
      </c>
      <c r="BK107" s="77" cm="1">
        <f t="array" ref="BK107">_xll.DCEPropSectI(BF107, BH107, BG107, BI107, BG107, BI107, "A")/100</f>
        <v>54.8</v>
      </c>
      <c r="BL107" s="70" t="s">
        <v>217</v>
      </c>
      <c r="BM107" s="70">
        <v>-2.43372848008954</v>
      </c>
      <c r="BN107" s="71">
        <v>0.9</v>
      </c>
      <c r="BO107" s="77">
        <f t="shared" si="19"/>
        <v>5.49</v>
      </c>
      <c r="BP107" s="71">
        <v>0.9</v>
      </c>
      <c r="BQ107" s="77">
        <f t="shared" si="20"/>
        <v>5.49</v>
      </c>
      <c r="BR107" s="77" cm="1">
        <f t="array" ref="BR107">_xll.DCEPropSectI(BF107, BH107, BG107, BI107, BG107, BI107, "rx")/10</f>
        <v>11.847052463297633</v>
      </c>
      <c r="BS107" s="77" cm="1">
        <f t="array" ref="BS107">_xll.DCEPropSectI(BF107, BH107, BG107, BI107, BG107, BI107, "ry")/10</f>
        <v>5.3836052600564113</v>
      </c>
      <c r="BT107" s="5">
        <f t="shared" si="21"/>
        <v>46.340640568682481</v>
      </c>
      <c r="BU107" s="5">
        <f t="shared" si="22"/>
        <v>101.97627305131346</v>
      </c>
      <c r="BV107" s="5">
        <f t="shared" si="23"/>
        <v>101.97627305131346</v>
      </c>
      <c r="BW107" s="71">
        <f t="shared" si="24"/>
        <v>200</v>
      </c>
      <c r="BX107" s="78" cm="1">
        <f t="array" ref="BX107">IF(BM107&gt;0,1,_xll.DCETCVN5575FactorPhi7121(BV107*SQRT($K$17/206000),"b"))</f>
        <v>0.55590262168625593</v>
      </c>
      <c r="BY107" s="64">
        <f t="shared" si="25"/>
        <v>3.8042894152382867E-3</v>
      </c>
      <c r="BZ107" s="3" t="str">
        <f t="shared" si="26"/>
        <v>OK</v>
      </c>
    </row>
    <row r="108" spans="1:78">
      <c r="A108" s="76"/>
      <c r="B108" s="76"/>
      <c r="C108" s="125"/>
      <c r="D108" s="125"/>
      <c r="E108" s="71"/>
      <c r="F108" s="71"/>
      <c r="G108" s="71"/>
      <c r="H108" s="126"/>
      <c r="I108" s="125"/>
      <c r="J108" s="123"/>
      <c r="K108" s="12"/>
      <c r="L108" s="117"/>
      <c r="M108" s="12"/>
      <c r="N108" s="117"/>
      <c r="O108" s="117"/>
      <c r="P108" s="117"/>
      <c r="Q108" s="118"/>
      <c r="R108" s="118"/>
      <c r="S108" s="118"/>
      <c r="T108" s="12"/>
      <c r="U108" s="118"/>
      <c r="V108" s="118"/>
      <c r="W108" s="12"/>
      <c r="X108" s="119"/>
      <c r="Y108" s="120"/>
      <c r="Z108" s="12"/>
      <c r="BA108" s="70" t="s">
        <v>205</v>
      </c>
      <c r="BB108" s="71" t="s">
        <v>208</v>
      </c>
      <c r="BC108" s="71" t="s">
        <v>207</v>
      </c>
      <c r="BD108" s="71">
        <v>4.57</v>
      </c>
      <c r="BE108" s="71">
        <v>6.1</v>
      </c>
      <c r="BF108" s="71">
        <v>268</v>
      </c>
      <c r="BG108" s="71">
        <v>212</v>
      </c>
      <c r="BH108" s="71">
        <v>5</v>
      </c>
      <c r="BI108" s="71">
        <v>10</v>
      </c>
      <c r="BJ108" s="12" t="str" cm="1">
        <f t="array" ref="BJ108">_xll.Dce_Name_SectI(BF108, BF108, BG108, BH108, BI108, "x", "-", $AX$11)</f>
        <v>268x212x5x10</v>
      </c>
      <c r="BK108" s="77" cm="1">
        <f t="array" ref="BK108">_xll.DCEPropSectI(BF108, BH108, BG108, BI108, BG108, BI108, "A")/100</f>
        <v>54.8</v>
      </c>
      <c r="BL108" s="70" t="s">
        <v>217</v>
      </c>
      <c r="BM108" s="70">
        <v>-2.7553595920722933</v>
      </c>
      <c r="BN108" s="71">
        <v>0.9</v>
      </c>
      <c r="BO108" s="77">
        <f t="shared" si="19"/>
        <v>5.49</v>
      </c>
      <c r="BP108" s="71">
        <v>0.9</v>
      </c>
      <c r="BQ108" s="77">
        <f t="shared" si="20"/>
        <v>5.49</v>
      </c>
      <c r="BR108" s="77" cm="1">
        <f t="array" ref="BR108">_xll.DCEPropSectI(BF108, BH108, BG108, BI108, BG108, BI108, "rx")/10</f>
        <v>11.847052463297633</v>
      </c>
      <c r="BS108" s="77" cm="1">
        <f t="array" ref="BS108">_xll.DCEPropSectI(BF108, BH108, BG108, BI108, BG108, BI108, "ry")/10</f>
        <v>5.3836052600564113</v>
      </c>
      <c r="BT108" s="5">
        <f t="shared" si="21"/>
        <v>46.340640568682481</v>
      </c>
      <c r="BU108" s="5">
        <f t="shared" si="22"/>
        <v>101.97627305131346</v>
      </c>
      <c r="BV108" s="5">
        <f t="shared" si="23"/>
        <v>101.97627305131346</v>
      </c>
      <c r="BW108" s="71">
        <f t="shared" si="24"/>
        <v>200</v>
      </c>
      <c r="BX108" s="78" cm="1">
        <f t="array" ref="BX108">IF(BM108&gt;0,1,_xll.DCETCVN5575FactorPhi7121(BV108*SQRT($K$17/206000),"b"))</f>
        <v>0.55590262168625593</v>
      </c>
      <c r="BY108" s="64">
        <f t="shared" si="25"/>
        <v>4.3070479788732451E-3</v>
      </c>
      <c r="BZ108" s="3" t="str">
        <f t="shared" si="26"/>
        <v>OK</v>
      </c>
    </row>
    <row r="109" spans="1:78">
      <c r="A109" s="76"/>
      <c r="B109" s="76"/>
      <c r="C109" s="125"/>
      <c r="D109" s="125"/>
      <c r="E109" s="71"/>
      <c r="F109" s="71"/>
      <c r="G109" s="71"/>
      <c r="H109" s="126"/>
      <c r="I109" s="125"/>
      <c r="J109" s="123"/>
      <c r="K109" s="12"/>
      <c r="L109" s="117"/>
      <c r="M109" s="12"/>
      <c r="N109" s="117"/>
      <c r="O109" s="117"/>
      <c r="P109" s="117"/>
      <c r="Q109" s="118"/>
      <c r="R109" s="118"/>
      <c r="S109" s="118"/>
      <c r="T109" s="12"/>
      <c r="U109" s="118"/>
      <c r="V109" s="118"/>
      <c r="W109" s="12"/>
      <c r="X109" s="119"/>
      <c r="Y109" s="120"/>
      <c r="Z109" s="12"/>
      <c r="BA109" s="70" t="s">
        <v>205</v>
      </c>
      <c r="BB109" s="71" t="s">
        <v>208</v>
      </c>
      <c r="BC109" s="71" t="s">
        <v>207</v>
      </c>
      <c r="BD109" s="71">
        <v>5.34</v>
      </c>
      <c r="BE109" s="71">
        <v>6.1</v>
      </c>
      <c r="BF109" s="71">
        <v>268</v>
      </c>
      <c r="BG109" s="71">
        <v>212</v>
      </c>
      <c r="BH109" s="71">
        <v>5</v>
      </c>
      <c r="BI109" s="71">
        <v>10</v>
      </c>
      <c r="BJ109" s="12" t="str" cm="1">
        <f t="array" ref="BJ109">_xll.Dce_Name_SectI(BF109, BF109, BG109, BH109, BI109, "x", "-", $AX$11)</f>
        <v>268x212x5x10</v>
      </c>
      <c r="BK109" s="77" cm="1">
        <f t="array" ref="BK109">_xll.DCEPropSectI(BF109, BH109, BG109, BI109, BG109, BI109, "A")/100</f>
        <v>54.8</v>
      </c>
      <c r="BL109" s="70" t="s">
        <v>217</v>
      </c>
      <c r="BM109" s="70">
        <v>-3.0769907040550466</v>
      </c>
      <c r="BN109" s="71">
        <v>0.9</v>
      </c>
      <c r="BO109" s="77">
        <f t="shared" si="19"/>
        <v>5.49</v>
      </c>
      <c r="BP109" s="71">
        <v>0.9</v>
      </c>
      <c r="BQ109" s="77">
        <f t="shared" si="20"/>
        <v>5.49</v>
      </c>
      <c r="BR109" s="77" cm="1">
        <f t="array" ref="BR109">_xll.DCEPropSectI(BF109, BH109, BG109, BI109, BG109, BI109, "rx")/10</f>
        <v>11.847052463297633</v>
      </c>
      <c r="BS109" s="77" cm="1">
        <f t="array" ref="BS109">_xll.DCEPropSectI(BF109, BH109, BG109, BI109, BG109, BI109, "ry")/10</f>
        <v>5.3836052600564113</v>
      </c>
      <c r="BT109" s="5">
        <f t="shared" si="21"/>
        <v>46.340640568682481</v>
      </c>
      <c r="BU109" s="5">
        <f t="shared" si="22"/>
        <v>101.97627305131346</v>
      </c>
      <c r="BV109" s="5">
        <f t="shared" si="23"/>
        <v>101.97627305131346</v>
      </c>
      <c r="BW109" s="71">
        <f t="shared" si="24"/>
        <v>200</v>
      </c>
      <c r="BX109" s="78" cm="1">
        <f t="array" ref="BX109">IF(BM109&gt;0,1,_xll.DCETCVN5575FactorPhi7121(BV109*SQRT($K$17/206000),"b"))</f>
        <v>0.55590262168625593</v>
      </c>
      <c r="BY109" s="64">
        <f t="shared" si="25"/>
        <v>4.809806542508204E-3</v>
      </c>
      <c r="BZ109" s="3" t="str">
        <f t="shared" si="26"/>
        <v>OK</v>
      </c>
    </row>
    <row r="110" spans="1:78">
      <c r="A110" s="76"/>
      <c r="B110" s="76"/>
      <c r="C110" s="125"/>
      <c r="D110" s="125"/>
      <c r="E110" s="71"/>
      <c r="F110" s="71"/>
      <c r="G110" s="71"/>
      <c r="H110" s="126"/>
      <c r="I110" s="125"/>
      <c r="J110" s="123"/>
      <c r="K110" s="12"/>
      <c r="L110" s="117"/>
      <c r="M110" s="12"/>
      <c r="N110" s="117"/>
      <c r="O110" s="117"/>
      <c r="P110" s="117"/>
      <c r="Q110" s="118"/>
      <c r="R110" s="118"/>
      <c r="S110" s="118"/>
      <c r="T110" s="12"/>
      <c r="U110" s="118"/>
      <c r="V110" s="118"/>
      <c r="W110" s="12"/>
      <c r="X110" s="119"/>
      <c r="Y110" s="120"/>
      <c r="Z110" s="12"/>
      <c r="BA110" s="70" t="s">
        <v>205</v>
      </c>
      <c r="BB110" s="71" t="s">
        <v>208</v>
      </c>
      <c r="BC110" s="71" t="s">
        <v>207</v>
      </c>
      <c r="BD110" s="71">
        <v>6.1</v>
      </c>
      <c r="BE110" s="71">
        <v>6.1</v>
      </c>
      <c r="BF110" s="71">
        <v>268</v>
      </c>
      <c r="BG110" s="71">
        <v>212</v>
      </c>
      <c r="BH110" s="71">
        <v>5</v>
      </c>
      <c r="BI110" s="71">
        <v>10</v>
      </c>
      <c r="BJ110" s="12" t="str" cm="1">
        <f t="array" ref="BJ110">_xll.Dce_Name_SectI(BF110, BF110, BG110, BH110, BI110, "x", "-", $AX$11)</f>
        <v>268x212x5x10</v>
      </c>
      <c r="BK110" s="77" cm="1">
        <f t="array" ref="BK110">_xll.DCEPropSectI(BF110, BH110, BG110, BI110, BG110, BI110, "A")/100</f>
        <v>54.8</v>
      </c>
      <c r="BL110" s="70" t="s">
        <v>217</v>
      </c>
      <c r="BM110" s="70">
        <v>-3.3986218160378003</v>
      </c>
      <c r="BN110" s="71">
        <v>0.9</v>
      </c>
      <c r="BO110" s="77">
        <f t="shared" si="19"/>
        <v>5.49</v>
      </c>
      <c r="BP110" s="71">
        <v>0.9</v>
      </c>
      <c r="BQ110" s="77">
        <f t="shared" si="20"/>
        <v>5.49</v>
      </c>
      <c r="BR110" s="77" cm="1">
        <f t="array" ref="BR110">_xll.DCEPropSectI(BF110, BH110, BG110, BI110, BG110, BI110, "rx")/10</f>
        <v>11.847052463297633</v>
      </c>
      <c r="BS110" s="77" cm="1">
        <f t="array" ref="BS110">_xll.DCEPropSectI(BF110, BH110, BG110, BI110, BG110, BI110, "ry")/10</f>
        <v>5.3836052600564113</v>
      </c>
      <c r="BT110" s="5">
        <f t="shared" si="21"/>
        <v>46.340640568682481</v>
      </c>
      <c r="BU110" s="5">
        <f t="shared" si="22"/>
        <v>101.97627305131346</v>
      </c>
      <c r="BV110" s="5">
        <f t="shared" si="23"/>
        <v>101.97627305131346</v>
      </c>
      <c r="BW110" s="71">
        <f t="shared" si="24"/>
        <v>200</v>
      </c>
      <c r="BX110" s="78" cm="1">
        <f t="array" ref="BX110">IF(BM110&gt;0,1,_xll.DCETCVN5575FactorPhi7121(BV110*SQRT($K$17/206000),"b"))</f>
        <v>0.55590262168625593</v>
      </c>
      <c r="BY110" s="64">
        <f t="shared" si="25"/>
        <v>5.3125651061431637E-3</v>
      </c>
      <c r="BZ110" s="3" t="str">
        <f t="shared" si="26"/>
        <v>OK</v>
      </c>
    </row>
    <row r="111" spans="1:78">
      <c r="A111" s="76"/>
      <c r="B111" s="76"/>
      <c r="C111" s="125"/>
      <c r="D111" s="125"/>
      <c r="E111" s="71"/>
      <c r="F111" s="71"/>
      <c r="G111" s="71"/>
      <c r="H111" s="126"/>
      <c r="I111" s="125"/>
      <c r="J111" s="123"/>
      <c r="K111" s="12"/>
      <c r="L111" s="117"/>
      <c r="M111" s="12"/>
      <c r="N111" s="117"/>
      <c r="O111" s="117"/>
      <c r="P111" s="117"/>
      <c r="Q111" s="118"/>
      <c r="R111" s="118"/>
      <c r="S111" s="118"/>
      <c r="T111" s="12"/>
      <c r="U111" s="118"/>
      <c r="V111" s="118"/>
      <c r="W111" s="12"/>
      <c r="X111" s="119"/>
      <c r="Y111" s="120"/>
      <c r="Z111" s="12"/>
      <c r="BA111" s="70" t="s">
        <v>205</v>
      </c>
      <c r="BB111" s="71" t="s">
        <v>208</v>
      </c>
      <c r="BC111" s="71" t="s">
        <v>207</v>
      </c>
      <c r="BD111" s="71">
        <v>0</v>
      </c>
      <c r="BE111" s="71">
        <v>6.1</v>
      </c>
      <c r="BF111" s="71">
        <v>268</v>
      </c>
      <c r="BG111" s="71">
        <v>212</v>
      </c>
      <c r="BH111" s="71">
        <v>5</v>
      </c>
      <c r="BI111" s="71">
        <v>10</v>
      </c>
      <c r="BJ111" s="12" t="str" cm="1">
        <f t="array" ref="BJ111">_xll.Dce_Name_SectI(BF111, BF111, BG111, BH111, BI111, "x", "-", $AX$11)</f>
        <v>268x212x5x10</v>
      </c>
      <c r="BK111" s="77" cm="1">
        <f t="array" ref="BK111">_xll.DCEPropSectI(BF111, BH111, BG111, BI111, BG111, BI111, "A")/100</f>
        <v>54.8</v>
      </c>
      <c r="BL111" s="70" t="s">
        <v>218</v>
      </c>
      <c r="BM111" s="70">
        <v>-2.4251290241534207</v>
      </c>
      <c r="BN111" s="71">
        <v>0.9</v>
      </c>
      <c r="BO111" s="77">
        <f t="shared" si="19"/>
        <v>5.49</v>
      </c>
      <c r="BP111" s="71">
        <v>0.9</v>
      </c>
      <c r="BQ111" s="77">
        <f t="shared" si="20"/>
        <v>5.49</v>
      </c>
      <c r="BR111" s="77" cm="1">
        <f t="array" ref="BR111">_xll.DCEPropSectI(BF111, BH111, BG111, BI111, BG111, BI111, "rx")/10</f>
        <v>11.847052463297633</v>
      </c>
      <c r="BS111" s="77" cm="1">
        <f t="array" ref="BS111">_xll.DCEPropSectI(BF111, BH111, BG111, BI111, BG111, BI111, "ry")/10</f>
        <v>5.3836052600564113</v>
      </c>
      <c r="BT111" s="5">
        <f t="shared" si="21"/>
        <v>46.340640568682481</v>
      </c>
      <c r="BU111" s="5">
        <f t="shared" si="22"/>
        <v>101.97627305131346</v>
      </c>
      <c r="BV111" s="5">
        <f t="shared" si="23"/>
        <v>101.97627305131346</v>
      </c>
      <c r="BW111" s="71">
        <f t="shared" si="24"/>
        <v>200</v>
      </c>
      <c r="BX111" s="78" cm="1">
        <f t="array" ref="BX111">IF(BM111&gt;0,1,_xll.DCETCVN5575FactorPhi7121(BV111*SQRT($K$17/206000),"b"))</f>
        <v>0.55590262168625593</v>
      </c>
      <c r="BY111" s="64">
        <f t="shared" si="25"/>
        <v>3.7908471518706892E-3</v>
      </c>
      <c r="BZ111" s="3" t="str">
        <f t="shared" si="26"/>
        <v>OK</v>
      </c>
    </row>
    <row r="112" spans="1:78">
      <c r="A112" s="76"/>
      <c r="B112" s="76"/>
      <c r="C112" s="125"/>
      <c r="D112" s="125"/>
      <c r="E112" s="71"/>
      <c r="F112" s="71"/>
      <c r="G112" s="71"/>
      <c r="H112" s="126"/>
      <c r="I112" s="125"/>
      <c r="J112" s="123"/>
      <c r="K112" s="12"/>
      <c r="L112" s="117"/>
      <c r="M112" s="12"/>
      <c r="N112" s="117"/>
      <c r="O112" s="117"/>
      <c r="P112" s="117"/>
      <c r="Q112" s="118"/>
      <c r="R112" s="118"/>
      <c r="S112" s="118"/>
      <c r="T112" s="12"/>
      <c r="U112" s="118"/>
      <c r="V112" s="118"/>
      <c r="W112" s="12"/>
      <c r="X112" s="119"/>
      <c r="Y112" s="120"/>
      <c r="Z112" s="12"/>
      <c r="BA112" s="70" t="s">
        <v>205</v>
      </c>
      <c r="BB112" s="71" t="s">
        <v>208</v>
      </c>
      <c r="BC112" s="71" t="s">
        <v>207</v>
      </c>
      <c r="BD112" s="71">
        <v>0.76</v>
      </c>
      <c r="BE112" s="71">
        <v>6.1</v>
      </c>
      <c r="BF112" s="71">
        <v>268</v>
      </c>
      <c r="BG112" s="71">
        <v>212</v>
      </c>
      <c r="BH112" s="71">
        <v>5</v>
      </c>
      <c r="BI112" s="71">
        <v>10</v>
      </c>
      <c r="BJ112" s="12" t="str" cm="1">
        <f t="array" ref="BJ112">_xll.Dce_Name_SectI(BF112, BF112, BG112, BH112, BI112, "x", "-", $AX$11)</f>
        <v>268x212x5x10</v>
      </c>
      <c r="BK112" s="77" cm="1">
        <f t="array" ref="BK112">_xll.DCEPropSectI(BF112, BH112, BG112, BI112, BG112, BI112, "A")/100</f>
        <v>54.8</v>
      </c>
      <c r="BL112" s="70" t="s">
        <v>218</v>
      </c>
      <c r="BM112" s="70">
        <v>-2.746760136136174</v>
      </c>
      <c r="BN112" s="71">
        <v>0.9</v>
      </c>
      <c r="BO112" s="77">
        <f t="shared" si="19"/>
        <v>5.49</v>
      </c>
      <c r="BP112" s="71">
        <v>0.9</v>
      </c>
      <c r="BQ112" s="77">
        <f t="shared" si="20"/>
        <v>5.49</v>
      </c>
      <c r="BR112" s="77" cm="1">
        <f t="array" ref="BR112">_xll.DCEPropSectI(BF112, BH112, BG112, BI112, BG112, BI112, "rx")/10</f>
        <v>11.847052463297633</v>
      </c>
      <c r="BS112" s="77" cm="1">
        <f t="array" ref="BS112">_xll.DCEPropSectI(BF112, BH112, BG112, BI112, BG112, BI112, "ry")/10</f>
        <v>5.3836052600564113</v>
      </c>
      <c r="BT112" s="5">
        <f t="shared" si="21"/>
        <v>46.340640568682481</v>
      </c>
      <c r="BU112" s="5">
        <f t="shared" si="22"/>
        <v>101.97627305131346</v>
      </c>
      <c r="BV112" s="5">
        <f t="shared" si="23"/>
        <v>101.97627305131346</v>
      </c>
      <c r="BW112" s="71">
        <f t="shared" si="24"/>
        <v>200</v>
      </c>
      <c r="BX112" s="78" cm="1">
        <f t="array" ref="BX112">IF(BM112&gt;0,1,_xll.DCETCVN5575FactorPhi7121(BV112*SQRT($K$17/206000),"b"))</f>
        <v>0.55590262168625593</v>
      </c>
      <c r="BY112" s="64">
        <f t="shared" si="25"/>
        <v>4.2936057155056476E-3</v>
      </c>
      <c r="BZ112" s="3" t="str">
        <f t="shared" si="26"/>
        <v>OK</v>
      </c>
    </row>
    <row r="113" spans="1:78">
      <c r="A113" s="76"/>
      <c r="B113" s="76"/>
      <c r="C113" s="125"/>
      <c r="D113" s="125"/>
      <c r="E113" s="71"/>
      <c r="F113" s="71"/>
      <c r="G113" s="71"/>
      <c r="H113" s="126"/>
      <c r="I113" s="125"/>
      <c r="J113" s="123"/>
      <c r="K113" s="12"/>
      <c r="L113" s="117"/>
      <c r="M113" s="12"/>
      <c r="N113" s="117"/>
      <c r="O113" s="117"/>
      <c r="P113" s="117"/>
      <c r="Q113" s="118"/>
      <c r="R113" s="118"/>
      <c r="S113" s="118"/>
      <c r="T113" s="12"/>
      <c r="U113" s="118"/>
      <c r="V113" s="118"/>
      <c r="W113" s="12"/>
      <c r="X113" s="119"/>
      <c r="Y113" s="120"/>
      <c r="Z113" s="12"/>
      <c r="BA113" s="70" t="s">
        <v>205</v>
      </c>
      <c r="BB113" s="71" t="s">
        <v>208</v>
      </c>
      <c r="BC113" s="71" t="s">
        <v>207</v>
      </c>
      <c r="BD113" s="71">
        <v>1.52</v>
      </c>
      <c r="BE113" s="71">
        <v>6.1</v>
      </c>
      <c r="BF113" s="71">
        <v>268</v>
      </c>
      <c r="BG113" s="71">
        <v>212</v>
      </c>
      <c r="BH113" s="71">
        <v>5</v>
      </c>
      <c r="BI113" s="71">
        <v>10</v>
      </c>
      <c r="BJ113" s="12" t="str" cm="1">
        <f t="array" ref="BJ113">_xll.Dce_Name_SectI(BF113, BF113, BG113, BH113, BI113, "x", "-", $AX$11)</f>
        <v>268x212x5x10</v>
      </c>
      <c r="BK113" s="77" cm="1">
        <f t="array" ref="BK113">_xll.DCEPropSectI(BF113, BH113, BG113, BI113, BG113, BI113, "A")/100</f>
        <v>54.8</v>
      </c>
      <c r="BL113" s="70" t="s">
        <v>218</v>
      </c>
      <c r="BM113" s="70">
        <v>-3.0683912481189273</v>
      </c>
      <c r="BN113" s="71">
        <v>0.9</v>
      </c>
      <c r="BO113" s="77">
        <f t="shared" si="19"/>
        <v>5.49</v>
      </c>
      <c r="BP113" s="71">
        <v>0.9</v>
      </c>
      <c r="BQ113" s="77">
        <f t="shared" si="20"/>
        <v>5.49</v>
      </c>
      <c r="BR113" s="77" cm="1">
        <f t="array" ref="BR113">_xll.DCEPropSectI(BF113, BH113, BG113, BI113, BG113, BI113, "rx")/10</f>
        <v>11.847052463297633</v>
      </c>
      <c r="BS113" s="77" cm="1">
        <f t="array" ref="BS113">_xll.DCEPropSectI(BF113, BH113, BG113, BI113, BG113, BI113, "ry")/10</f>
        <v>5.3836052600564113</v>
      </c>
      <c r="BT113" s="5">
        <f t="shared" si="21"/>
        <v>46.340640568682481</v>
      </c>
      <c r="BU113" s="5">
        <f t="shared" si="22"/>
        <v>101.97627305131346</v>
      </c>
      <c r="BV113" s="5">
        <f t="shared" si="23"/>
        <v>101.97627305131346</v>
      </c>
      <c r="BW113" s="71">
        <f t="shared" si="24"/>
        <v>200</v>
      </c>
      <c r="BX113" s="78" cm="1">
        <f t="array" ref="BX113">IF(BM113&gt;0,1,_xll.DCETCVN5575FactorPhi7121(BV113*SQRT($K$17/206000),"b"))</f>
        <v>0.55590262168625593</v>
      </c>
      <c r="BY113" s="64">
        <f t="shared" si="25"/>
        <v>4.7963642791406065E-3</v>
      </c>
      <c r="BZ113" s="3" t="str">
        <f t="shared" si="26"/>
        <v>OK</v>
      </c>
    </row>
    <row r="114" spans="1:78">
      <c r="A114" s="76"/>
      <c r="B114" s="76"/>
      <c r="C114" s="125"/>
      <c r="D114" s="125"/>
      <c r="E114" s="71"/>
      <c r="F114" s="71"/>
      <c r="G114" s="71"/>
      <c r="H114" s="126"/>
      <c r="I114" s="125"/>
      <c r="J114" s="123"/>
      <c r="K114" s="12"/>
      <c r="L114" s="117"/>
      <c r="M114" s="12"/>
      <c r="N114" s="117"/>
      <c r="O114" s="117"/>
      <c r="P114" s="117"/>
      <c r="Q114" s="118"/>
      <c r="R114" s="118"/>
      <c r="S114" s="118"/>
      <c r="T114" s="12"/>
      <c r="U114" s="118"/>
      <c r="V114" s="118"/>
      <c r="W114" s="12"/>
      <c r="X114" s="119"/>
      <c r="Y114" s="120"/>
      <c r="Z114" s="12"/>
      <c r="BA114" s="70" t="s">
        <v>205</v>
      </c>
      <c r="BB114" s="71" t="s">
        <v>208</v>
      </c>
      <c r="BC114" s="71" t="s">
        <v>207</v>
      </c>
      <c r="BD114" s="71">
        <v>2.29</v>
      </c>
      <c r="BE114" s="71">
        <v>6.1</v>
      </c>
      <c r="BF114" s="71">
        <v>268</v>
      </c>
      <c r="BG114" s="71">
        <v>212</v>
      </c>
      <c r="BH114" s="71">
        <v>5</v>
      </c>
      <c r="BI114" s="71">
        <v>10</v>
      </c>
      <c r="BJ114" s="12" t="str" cm="1">
        <f t="array" ref="BJ114">_xll.Dce_Name_SectI(BF114, BF114, BG114, BH114, BI114, "x", "-", $AX$11)</f>
        <v>268x212x5x10</v>
      </c>
      <c r="BK114" s="77" cm="1">
        <f t="array" ref="BK114">_xll.DCEPropSectI(BF114, BH114, BG114, BI114, BG114, BI114, "A")/100</f>
        <v>54.8</v>
      </c>
      <c r="BL114" s="70" t="s">
        <v>218</v>
      </c>
      <c r="BM114" s="70">
        <v>-3.390022360101681</v>
      </c>
      <c r="BN114" s="71">
        <v>0.9</v>
      </c>
      <c r="BO114" s="77">
        <f t="shared" si="19"/>
        <v>5.49</v>
      </c>
      <c r="BP114" s="71">
        <v>0.9</v>
      </c>
      <c r="BQ114" s="77">
        <f t="shared" si="20"/>
        <v>5.49</v>
      </c>
      <c r="BR114" s="77" cm="1">
        <f t="array" ref="BR114">_xll.DCEPropSectI(BF114, BH114, BG114, BI114, BG114, BI114, "rx")/10</f>
        <v>11.847052463297633</v>
      </c>
      <c r="BS114" s="77" cm="1">
        <f t="array" ref="BS114">_xll.DCEPropSectI(BF114, BH114, BG114, BI114, BG114, BI114, "ry")/10</f>
        <v>5.3836052600564113</v>
      </c>
      <c r="BT114" s="5">
        <f t="shared" si="21"/>
        <v>46.340640568682481</v>
      </c>
      <c r="BU114" s="5">
        <f t="shared" si="22"/>
        <v>101.97627305131346</v>
      </c>
      <c r="BV114" s="5">
        <f t="shared" si="23"/>
        <v>101.97627305131346</v>
      </c>
      <c r="BW114" s="71">
        <f t="shared" si="24"/>
        <v>200</v>
      </c>
      <c r="BX114" s="78" cm="1">
        <f t="array" ref="BX114">IF(BM114&gt;0,1,_xll.DCETCVN5575FactorPhi7121(BV114*SQRT($K$17/206000),"b"))</f>
        <v>0.55590262168625593</v>
      </c>
      <c r="BY114" s="64">
        <f t="shared" si="25"/>
        <v>5.2991228427755662E-3</v>
      </c>
      <c r="BZ114" s="3" t="str">
        <f t="shared" si="26"/>
        <v>OK</v>
      </c>
    </row>
    <row r="115" spans="1:78">
      <c r="A115" s="76"/>
      <c r="B115" s="76"/>
      <c r="C115" s="125"/>
      <c r="D115" s="125"/>
      <c r="E115" s="71"/>
      <c r="F115" s="71"/>
      <c r="G115" s="71"/>
      <c r="H115" s="126"/>
      <c r="I115" s="125"/>
      <c r="J115" s="123"/>
      <c r="K115" s="12"/>
      <c r="L115" s="117"/>
      <c r="M115" s="12"/>
      <c r="N115" s="117"/>
      <c r="O115" s="117"/>
      <c r="P115" s="117"/>
      <c r="Q115" s="118"/>
      <c r="R115" s="118"/>
      <c r="S115" s="118"/>
      <c r="T115" s="12"/>
      <c r="U115" s="118"/>
      <c r="V115" s="118"/>
      <c r="W115" s="12"/>
      <c r="X115" s="119"/>
      <c r="Y115" s="120"/>
      <c r="Z115" s="12"/>
      <c r="BA115" s="70" t="s">
        <v>205</v>
      </c>
      <c r="BB115" s="71" t="s">
        <v>208</v>
      </c>
      <c r="BC115" s="71" t="s">
        <v>207</v>
      </c>
      <c r="BD115" s="71">
        <v>3.05</v>
      </c>
      <c r="BE115" s="71">
        <v>6.1</v>
      </c>
      <c r="BF115" s="71">
        <v>268</v>
      </c>
      <c r="BG115" s="71">
        <v>212</v>
      </c>
      <c r="BH115" s="71">
        <v>5</v>
      </c>
      <c r="BI115" s="71">
        <v>10</v>
      </c>
      <c r="BJ115" s="12" t="str" cm="1">
        <f t="array" ref="BJ115">_xll.Dce_Name_SectI(BF115, BF115, BG115, BH115, BI115, "x", "-", $AX$11)</f>
        <v>268x212x5x10</v>
      </c>
      <c r="BK115" s="77" cm="1">
        <f t="array" ref="BK115">_xll.DCEPropSectI(BF115, BH115, BG115, BI115, BG115, BI115, "A")/100</f>
        <v>54.8</v>
      </c>
      <c r="BL115" s="70" t="s">
        <v>218</v>
      </c>
      <c r="BM115" s="70">
        <v>-3.7116534720844343</v>
      </c>
      <c r="BN115" s="71">
        <v>0.9</v>
      </c>
      <c r="BO115" s="77">
        <f t="shared" si="19"/>
        <v>5.49</v>
      </c>
      <c r="BP115" s="71">
        <v>0.9</v>
      </c>
      <c r="BQ115" s="77">
        <f t="shared" si="20"/>
        <v>5.49</v>
      </c>
      <c r="BR115" s="77" cm="1">
        <f t="array" ref="BR115">_xll.DCEPropSectI(BF115, BH115, BG115, BI115, BG115, BI115, "rx")/10</f>
        <v>11.847052463297633</v>
      </c>
      <c r="BS115" s="77" cm="1">
        <f t="array" ref="BS115">_xll.DCEPropSectI(BF115, BH115, BG115, BI115, BG115, BI115, "ry")/10</f>
        <v>5.3836052600564113</v>
      </c>
      <c r="BT115" s="5">
        <f t="shared" si="21"/>
        <v>46.340640568682481</v>
      </c>
      <c r="BU115" s="5">
        <f t="shared" si="22"/>
        <v>101.97627305131346</v>
      </c>
      <c r="BV115" s="5">
        <f t="shared" si="23"/>
        <v>101.97627305131346</v>
      </c>
      <c r="BW115" s="71">
        <f t="shared" si="24"/>
        <v>200</v>
      </c>
      <c r="BX115" s="78" cm="1">
        <f t="array" ref="BX115">IF(BM115&gt;0,1,_xll.DCETCVN5575FactorPhi7121(BV115*SQRT($K$17/206000),"b"))</f>
        <v>0.55590262168625593</v>
      </c>
      <c r="BY115" s="64">
        <f t="shared" si="25"/>
        <v>5.8018814064105242E-3</v>
      </c>
      <c r="BZ115" s="3" t="str">
        <f t="shared" si="26"/>
        <v>OK</v>
      </c>
    </row>
    <row r="116" spans="1:78">
      <c r="A116" s="76"/>
      <c r="B116" s="76"/>
      <c r="C116" s="125"/>
      <c r="D116" s="125"/>
      <c r="E116" s="71"/>
      <c r="F116" s="71"/>
      <c r="G116" s="71"/>
      <c r="H116" s="126"/>
      <c r="I116" s="125"/>
      <c r="J116" s="123"/>
      <c r="K116" s="12"/>
      <c r="L116" s="117"/>
      <c r="M116" s="12"/>
      <c r="N116" s="117"/>
      <c r="O116" s="117"/>
      <c r="P116" s="117"/>
      <c r="Q116" s="118"/>
      <c r="R116" s="118"/>
      <c r="S116" s="118"/>
      <c r="T116" s="12"/>
      <c r="U116" s="118"/>
      <c r="V116" s="118"/>
      <c r="W116" s="12"/>
      <c r="X116" s="119"/>
      <c r="Y116" s="120"/>
      <c r="Z116" s="12"/>
      <c r="BA116" s="70" t="s">
        <v>205</v>
      </c>
      <c r="BB116" s="71" t="s">
        <v>208</v>
      </c>
      <c r="BC116" s="71" t="s">
        <v>207</v>
      </c>
      <c r="BD116" s="71">
        <v>3.81</v>
      </c>
      <c r="BE116" s="71">
        <v>6.1</v>
      </c>
      <c r="BF116" s="71">
        <v>268</v>
      </c>
      <c r="BG116" s="71">
        <v>212</v>
      </c>
      <c r="BH116" s="71">
        <v>5</v>
      </c>
      <c r="BI116" s="71">
        <v>10</v>
      </c>
      <c r="BJ116" s="12" t="str" cm="1">
        <f t="array" ref="BJ116">_xll.Dce_Name_SectI(BF116, BF116, BG116, BH116, BI116, "x", "-", $AX$11)</f>
        <v>268x212x5x10</v>
      </c>
      <c r="BK116" s="77" cm="1">
        <f t="array" ref="BK116">_xll.DCEPropSectI(BF116, BH116, BG116, BI116, BG116, BI116, "A")/100</f>
        <v>54.8</v>
      </c>
      <c r="BL116" s="70" t="s">
        <v>218</v>
      </c>
      <c r="BM116" s="70">
        <v>-4.0332845840671876</v>
      </c>
      <c r="BN116" s="71">
        <v>0.9</v>
      </c>
      <c r="BO116" s="77">
        <f t="shared" si="19"/>
        <v>5.49</v>
      </c>
      <c r="BP116" s="71">
        <v>0.9</v>
      </c>
      <c r="BQ116" s="77">
        <f t="shared" si="20"/>
        <v>5.49</v>
      </c>
      <c r="BR116" s="77" cm="1">
        <f t="array" ref="BR116">_xll.DCEPropSectI(BF116, BH116, BG116, BI116, BG116, BI116, "rx")/10</f>
        <v>11.847052463297633</v>
      </c>
      <c r="BS116" s="77" cm="1">
        <f t="array" ref="BS116">_xll.DCEPropSectI(BF116, BH116, BG116, BI116, BG116, BI116, "ry")/10</f>
        <v>5.3836052600564113</v>
      </c>
      <c r="BT116" s="5">
        <f t="shared" si="21"/>
        <v>46.340640568682481</v>
      </c>
      <c r="BU116" s="5">
        <f t="shared" si="22"/>
        <v>101.97627305131346</v>
      </c>
      <c r="BV116" s="5">
        <f t="shared" si="23"/>
        <v>101.97627305131346</v>
      </c>
      <c r="BW116" s="71">
        <f t="shared" si="24"/>
        <v>200</v>
      </c>
      <c r="BX116" s="78" cm="1">
        <f t="array" ref="BX116">IF(BM116&gt;0,1,_xll.DCETCVN5575FactorPhi7121(BV116*SQRT($K$17/206000),"b"))</f>
        <v>0.55590262168625593</v>
      </c>
      <c r="BY116" s="64">
        <f t="shared" si="25"/>
        <v>6.3046399700454831E-3</v>
      </c>
      <c r="BZ116" s="3" t="str">
        <f t="shared" si="26"/>
        <v>OK</v>
      </c>
    </row>
    <row r="117" spans="1:78">
      <c r="A117" s="76"/>
      <c r="B117" s="76"/>
      <c r="C117" s="125"/>
      <c r="D117" s="125"/>
      <c r="E117" s="71"/>
      <c r="F117" s="71"/>
      <c r="G117" s="71"/>
      <c r="H117" s="126"/>
      <c r="I117" s="125"/>
      <c r="J117" s="123"/>
      <c r="K117" s="12"/>
      <c r="L117" s="117"/>
      <c r="M117" s="12"/>
      <c r="N117" s="117"/>
      <c r="O117" s="117"/>
      <c r="P117" s="117"/>
      <c r="Q117" s="118"/>
      <c r="R117" s="118"/>
      <c r="S117" s="118"/>
      <c r="T117" s="12"/>
      <c r="U117" s="118"/>
      <c r="V117" s="118"/>
      <c r="W117" s="12"/>
      <c r="X117" s="119"/>
      <c r="Y117" s="120"/>
      <c r="Z117" s="12"/>
      <c r="BA117" s="70" t="s">
        <v>205</v>
      </c>
      <c r="BB117" s="71" t="s">
        <v>208</v>
      </c>
      <c r="BC117" s="71" t="s">
        <v>207</v>
      </c>
      <c r="BD117" s="71">
        <v>4.57</v>
      </c>
      <c r="BE117" s="71">
        <v>6.1</v>
      </c>
      <c r="BF117" s="71">
        <v>268</v>
      </c>
      <c r="BG117" s="71">
        <v>212</v>
      </c>
      <c r="BH117" s="71">
        <v>5</v>
      </c>
      <c r="BI117" s="71">
        <v>10</v>
      </c>
      <c r="BJ117" s="12" t="str" cm="1">
        <f t="array" ref="BJ117">_xll.Dce_Name_SectI(BF117, BF117, BG117, BH117, BI117, "x", "-", $AX$11)</f>
        <v>268x212x5x10</v>
      </c>
      <c r="BK117" s="77" cm="1">
        <f t="array" ref="BK117">_xll.DCEPropSectI(BF117, BH117, BG117, BI117, BG117, BI117, "A")/100</f>
        <v>54.8</v>
      </c>
      <c r="BL117" s="70" t="s">
        <v>218</v>
      </c>
      <c r="BM117" s="70">
        <v>-4.3549156960499413</v>
      </c>
      <c r="BN117" s="71">
        <v>0.9</v>
      </c>
      <c r="BO117" s="77">
        <f t="shared" si="19"/>
        <v>5.49</v>
      </c>
      <c r="BP117" s="71">
        <v>0.9</v>
      </c>
      <c r="BQ117" s="77">
        <f t="shared" si="20"/>
        <v>5.49</v>
      </c>
      <c r="BR117" s="77" cm="1">
        <f t="array" ref="BR117">_xll.DCEPropSectI(BF117, BH117, BG117, BI117, BG117, BI117, "rx")/10</f>
        <v>11.847052463297633</v>
      </c>
      <c r="BS117" s="77" cm="1">
        <f t="array" ref="BS117">_xll.DCEPropSectI(BF117, BH117, BG117, BI117, BG117, BI117, "ry")/10</f>
        <v>5.3836052600564113</v>
      </c>
      <c r="BT117" s="5">
        <f t="shared" si="21"/>
        <v>46.340640568682481</v>
      </c>
      <c r="BU117" s="5">
        <f t="shared" si="22"/>
        <v>101.97627305131346</v>
      </c>
      <c r="BV117" s="5">
        <f t="shared" si="23"/>
        <v>101.97627305131346</v>
      </c>
      <c r="BW117" s="71">
        <f t="shared" si="24"/>
        <v>200</v>
      </c>
      <c r="BX117" s="78" cm="1">
        <f t="array" ref="BX117">IF(BM117&gt;0,1,_xll.DCETCVN5575FactorPhi7121(BV117*SQRT($K$17/206000),"b"))</f>
        <v>0.55590262168625593</v>
      </c>
      <c r="BY117" s="64">
        <f t="shared" si="25"/>
        <v>6.8073985336804428E-3</v>
      </c>
      <c r="BZ117" s="3" t="str">
        <f t="shared" si="26"/>
        <v>OK</v>
      </c>
    </row>
    <row r="118" spans="1:78">
      <c r="A118" s="76"/>
      <c r="B118" s="76"/>
      <c r="C118" s="125"/>
      <c r="D118" s="125"/>
      <c r="E118" s="71"/>
      <c r="F118" s="71"/>
      <c r="G118" s="71"/>
      <c r="H118" s="126"/>
      <c r="I118" s="125"/>
      <c r="J118" s="123"/>
      <c r="K118" s="12"/>
      <c r="L118" s="117"/>
      <c r="M118" s="12"/>
      <c r="N118" s="117"/>
      <c r="O118" s="117"/>
      <c r="P118" s="117"/>
      <c r="Q118" s="118"/>
      <c r="R118" s="118"/>
      <c r="S118" s="118"/>
      <c r="T118" s="12"/>
      <c r="U118" s="118"/>
      <c r="V118" s="118"/>
      <c r="W118" s="12"/>
      <c r="X118" s="119"/>
      <c r="Y118" s="120"/>
      <c r="Z118" s="12"/>
      <c r="BA118" s="70" t="s">
        <v>205</v>
      </c>
      <c r="BB118" s="71" t="s">
        <v>208</v>
      </c>
      <c r="BC118" s="71" t="s">
        <v>207</v>
      </c>
      <c r="BD118" s="71">
        <v>5.34</v>
      </c>
      <c r="BE118" s="71">
        <v>6.1</v>
      </c>
      <c r="BF118" s="71">
        <v>268</v>
      </c>
      <c r="BG118" s="71">
        <v>212</v>
      </c>
      <c r="BH118" s="71">
        <v>5</v>
      </c>
      <c r="BI118" s="71">
        <v>10</v>
      </c>
      <c r="BJ118" s="12" t="str" cm="1">
        <f t="array" ref="BJ118">_xll.Dce_Name_SectI(BF118, BF118, BG118, BH118, BI118, "x", "-", $AX$11)</f>
        <v>268x212x5x10</v>
      </c>
      <c r="BK118" s="77" cm="1">
        <f t="array" ref="BK118">_xll.DCEPropSectI(BF118, BH118, BG118, BI118, BG118, BI118, "A")/100</f>
        <v>54.8</v>
      </c>
      <c r="BL118" s="70" t="s">
        <v>218</v>
      </c>
      <c r="BM118" s="70">
        <v>-4.6765468080326942</v>
      </c>
      <c r="BN118" s="71">
        <v>0.9</v>
      </c>
      <c r="BO118" s="77">
        <f t="shared" si="19"/>
        <v>5.49</v>
      </c>
      <c r="BP118" s="71">
        <v>0.9</v>
      </c>
      <c r="BQ118" s="77">
        <f t="shared" si="20"/>
        <v>5.49</v>
      </c>
      <c r="BR118" s="77" cm="1">
        <f t="array" ref="BR118">_xll.DCEPropSectI(BF118, BH118, BG118, BI118, BG118, BI118, "rx")/10</f>
        <v>11.847052463297633</v>
      </c>
      <c r="BS118" s="77" cm="1">
        <f t="array" ref="BS118">_xll.DCEPropSectI(BF118, BH118, BG118, BI118, BG118, BI118, "ry")/10</f>
        <v>5.3836052600564113</v>
      </c>
      <c r="BT118" s="5">
        <f t="shared" si="21"/>
        <v>46.340640568682481</v>
      </c>
      <c r="BU118" s="5">
        <f t="shared" si="22"/>
        <v>101.97627305131346</v>
      </c>
      <c r="BV118" s="5">
        <f t="shared" si="23"/>
        <v>101.97627305131346</v>
      </c>
      <c r="BW118" s="71">
        <f t="shared" si="24"/>
        <v>200</v>
      </c>
      <c r="BX118" s="78" cm="1">
        <f t="array" ref="BX118">IF(BM118&gt;0,1,_xll.DCETCVN5575FactorPhi7121(BV118*SQRT($K$17/206000),"b"))</f>
        <v>0.55590262168625593</v>
      </c>
      <c r="BY118" s="64">
        <f t="shared" si="25"/>
        <v>7.3101570973154017E-3</v>
      </c>
      <c r="BZ118" s="3" t="str">
        <f t="shared" si="26"/>
        <v>OK</v>
      </c>
    </row>
    <row r="119" spans="1:78">
      <c r="A119" s="76"/>
      <c r="B119" s="76"/>
      <c r="C119" s="125"/>
      <c r="D119" s="125"/>
      <c r="E119" s="71"/>
      <c r="F119" s="71"/>
      <c r="G119" s="71"/>
      <c r="H119" s="126"/>
      <c r="I119" s="125"/>
      <c r="J119" s="123"/>
      <c r="K119" s="12"/>
      <c r="L119" s="117"/>
      <c r="M119" s="12"/>
      <c r="N119" s="117"/>
      <c r="O119" s="117"/>
      <c r="P119" s="117"/>
      <c r="Q119" s="118"/>
      <c r="R119" s="118"/>
      <c r="S119" s="118"/>
      <c r="T119" s="12"/>
      <c r="U119" s="118"/>
      <c r="V119" s="118"/>
      <c r="W119" s="12"/>
      <c r="X119" s="119"/>
      <c r="Y119" s="120"/>
      <c r="Z119" s="12"/>
      <c r="BA119" s="70" t="s">
        <v>205</v>
      </c>
      <c r="BB119" s="71" t="s">
        <v>208</v>
      </c>
      <c r="BC119" s="71" t="s">
        <v>207</v>
      </c>
      <c r="BD119" s="71">
        <v>6.1</v>
      </c>
      <c r="BE119" s="71">
        <v>6.1</v>
      </c>
      <c r="BF119" s="71">
        <v>268</v>
      </c>
      <c r="BG119" s="71">
        <v>212</v>
      </c>
      <c r="BH119" s="71">
        <v>5</v>
      </c>
      <c r="BI119" s="71">
        <v>10</v>
      </c>
      <c r="BJ119" s="12" t="str" cm="1">
        <f t="array" ref="BJ119">_xll.Dce_Name_SectI(BF119, BF119, BG119, BH119, BI119, "x", "-", $AX$11)</f>
        <v>268x212x5x10</v>
      </c>
      <c r="BK119" s="77" cm="1">
        <f t="array" ref="BK119">_xll.DCEPropSectI(BF119, BH119, BG119, BI119, BG119, BI119, "A")/100</f>
        <v>54.8</v>
      </c>
      <c r="BL119" s="70" t="s">
        <v>218</v>
      </c>
      <c r="BM119" s="70">
        <v>-4.9981779200154479</v>
      </c>
      <c r="BN119" s="71">
        <v>0.9</v>
      </c>
      <c r="BO119" s="77">
        <f t="shared" si="19"/>
        <v>5.49</v>
      </c>
      <c r="BP119" s="71">
        <v>0.9</v>
      </c>
      <c r="BQ119" s="77">
        <f t="shared" si="20"/>
        <v>5.49</v>
      </c>
      <c r="BR119" s="77" cm="1">
        <f t="array" ref="BR119">_xll.DCEPropSectI(BF119, BH119, BG119, BI119, BG119, BI119, "rx")/10</f>
        <v>11.847052463297633</v>
      </c>
      <c r="BS119" s="77" cm="1">
        <f t="array" ref="BS119">_xll.DCEPropSectI(BF119, BH119, BG119, BI119, BG119, BI119, "ry")/10</f>
        <v>5.3836052600564113</v>
      </c>
      <c r="BT119" s="5">
        <f t="shared" si="21"/>
        <v>46.340640568682481</v>
      </c>
      <c r="BU119" s="5">
        <f t="shared" si="22"/>
        <v>101.97627305131346</v>
      </c>
      <c r="BV119" s="5">
        <f t="shared" si="23"/>
        <v>101.97627305131346</v>
      </c>
      <c r="BW119" s="71">
        <f t="shared" si="24"/>
        <v>200</v>
      </c>
      <c r="BX119" s="78" cm="1">
        <f t="array" ref="BX119">IF(BM119&gt;0,1,_xll.DCETCVN5575FactorPhi7121(BV119*SQRT($K$17/206000),"b"))</f>
        <v>0.55590262168625593</v>
      </c>
      <c r="BY119" s="64">
        <f t="shared" si="25"/>
        <v>7.8129156609503606E-3</v>
      </c>
      <c r="BZ119" s="3" t="str">
        <f t="shared" si="26"/>
        <v>OK</v>
      </c>
    </row>
    <row r="120" spans="1:78">
      <c r="A120" s="76"/>
      <c r="B120" s="76"/>
      <c r="C120" s="125"/>
      <c r="D120" s="125"/>
      <c r="E120" s="71"/>
      <c r="F120" s="71"/>
      <c r="G120" s="71"/>
      <c r="H120" s="126"/>
      <c r="I120" s="125"/>
      <c r="J120" s="123"/>
      <c r="K120" s="12"/>
      <c r="L120" s="117"/>
      <c r="M120" s="12"/>
      <c r="N120" s="117"/>
      <c r="O120" s="117"/>
      <c r="P120" s="117"/>
      <c r="Q120" s="118"/>
      <c r="R120" s="118"/>
      <c r="S120" s="118"/>
      <c r="T120" s="12"/>
      <c r="U120" s="118"/>
      <c r="V120" s="118"/>
      <c r="W120" s="12"/>
      <c r="X120" s="119"/>
      <c r="Y120" s="120"/>
      <c r="Z120" s="12"/>
      <c r="BA120" s="70" t="s">
        <v>205</v>
      </c>
      <c r="BB120" s="71" t="s">
        <v>208</v>
      </c>
      <c r="BC120" s="71" t="s">
        <v>207</v>
      </c>
      <c r="BD120" s="71">
        <v>0</v>
      </c>
      <c r="BE120" s="71">
        <v>6.1</v>
      </c>
      <c r="BF120" s="71">
        <v>268</v>
      </c>
      <c r="BG120" s="71">
        <v>212</v>
      </c>
      <c r="BH120" s="71">
        <v>5</v>
      </c>
      <c r="BI120" s="71">
        <v>10</v>
      </c>
      <c r="BJ120" s="12" t="str" cm="1">
        <f t="array" ref="BJ120">_xll.Dce_Name_SectI(BF120, BF120, BG120, BH120, BI120, "x", "-", $AX$11)</f>
        <v>268x212x5x10</v>
      </c>
      <c r="BK120" s="77" cm="1">
        <f t="array" ref="BK120">_xll.DCEPropSectI(BF120, BH120, BG120, BI120, BG120, BI120, "A")/100</f>
        <v>54.8</v>
      </c>
      <c r="BL120" s="70" t="s">
        <v>219</v>
      </c>
      <c r="BM120" s="70">
        <v>1.6035707195870401</v>
      </c>
      <c r="BN120" s="71">
        <v>0.9</v>
      </c>
      <c r="BO120" s="77">
        <f t="shared" si="19"/>
        <v>5.49</v>
      </c>
      <c r="BP120" s="71">
        <v>0.9</v>
      </c>
      <c r="BQ120" s="77">
        <f t="shared" si="20"/>
        <v>5.49</v>
      </c>
      <c r="BR120" s="77" cm="1">
        <f t="array" ref="BR120">_xll.DCEPropSectI(BF120, BH120, BG120, BI120, BG120, BI120, "rx")/10</f>
        <v>11.847052463297633</v>
      </c>
      <c r="BS120" s="77" cm="1">
        <f t="array" ref="BS120">_xll.DCEPropSectI(BF120, BH120, BG120, BI120, BG120, BI120, "ry")/10</f>
        <v>5.3836052600564113</v>
      </c>
      <c r="BT120" s="5">
        <f t="shared" si="21"/>
        <v>46.340640568682481</v>
      </c>
      <c r="BU120" s="5">
        <f t="shared" si="22"/>
        <v>101.97627305131346</v>
      </c>
      <c r="BV120" s="5">
        <f t="shared" si="23"/>
        <v>101.97627305131346</v>
      </c>
      <c r="BW120" s="71">
        <f t="shared" si="24"/>
        <v>400</v>
      </c>
      <c r="BX120" s="78" cm="1">
        <f t="array" ref="BX120">IF(BM120&gt;0,1,_xll.DCETCVN5575FactorPhi7121(BV120*SQRT($K$17/206000),"b"))</f>
        <v>1</v>
      </c>
      <c r="BY120" s="64">
        <f t="shared" si="25"/>
        <v>1.3934399718344113E-3</v>
      </c>
      <c r="BZ120" s="3" t="str">
        <f t="shared" si="26"/>
        <v>OK</v>
      </c>
    </row>
    <row r="121" spans="1:78">
      <c r="A121" s="76"/>
      <c r="B121" s="76"/>
      <c r="C121" s="125"/>
      <c r="D121" s="125"/>
      <c r="E121" s="71"/>
      <c r="F121" s="71"/>
      <c r="G121" s="71"/>
      <c r="H121" s="126"/>
      <c r="I121" s="125"/>
      <c r="J121" s="123"/>
      <c r="K121" s="12"/>
      <c r="L121" s="117"/>
      <c r="M121" s="12"/>
      <c r="N121" s="117"/>
      <c r="O121" s="117"/>
      <c r="P121" s="117"/>
      <c r="Q121" s="118"/>
      <c r="R121" s="118"/>
      <c r="S121" s="118"/>
      <c r="T121" s="12"/>
      <c r="U121" s="118"/>
      <c r="V121" s="118"/>
      <c r="W121" s="12"/>
      <c r="X121" s="119"/>
      <c r="Y121" s="120"/>
      <c r="Z121" s="12"/>
      <c r="BA121" s="70" t="s">
        <v>205</v>
      </c>
      <c r="BB121" s="71" t="s">
        <v>208</v>
      </c>
      <c r="BC121" s="71" t="s">
        <v>207</v>
      </c>
      <c r="BD121" s="71">
        <v>0.76</v>
      </c>
      <c r="BE121" s="71">
        <v>6.1</v>
      </c>
      <c r="BF121" s="71">
        <v>268</v>
      </c>
      <c r="BG121" s="71">
        <v>212</v>
      </c>
      <c r="BH121" s="71">
        <v>5</v>
      </c>
      <c r="BI121" s="71">
        <v>10</v>
      </c>
      <c r="BJ121" s="12" t="str" cm="1">
        <f t="array" ref="BJ121">_xll.Dce_Name_SectI(BF121, BF121, BG121, BH121, BI121, "x", "-", $AX$11)</f>
        <v>268x212x5x10</v>
      </c>
      <c r="BK121" s="77" cm="1">
        <f t="array" ref="BK121">_xll.DCEPropSectI(BF121, BH121, BG121, BI121, BG121, BI121, "A")/100</f>
        <v>54.8</v>
      </c>
      <c r="BL121" s="70" t="s">
        <v>219</v>
      </c>
      <c r="BM121" s="70">
        <v>1.2819396076042868</v>
      </c>
      <c r="BN121" s="71">
        <v>0.9</v>
      </c>
      <c r="BO121" s="77">
        <f t="shared" si="19"/>
        <v>5.49</v>
      </c>
      <c r="BP121" s="71">
        <v>0.9</v>
      </c>
      <c r="BQ121" s="77">
        <f t="shared" si="20"/>
        <v>5.49</v>
      </c>
      <c r="BR121" s="77" cm="1">
        <f t="array" ref="BR121">_xll.DCEPropSectI(BF121, BH121, BG121, BI121, BG121, BI121, "rx")/10</f>
        <v>11.847052463297633</v>
      </c>
      <c r="BS121" s="77" cm="1">
        <f t="array" ref="BS121">_xll.DCEPropSectI(BF121, BH121, BG121, BI121, BG121, BI121, "ry")/10</f>
        <v>5.3836052600564113</v>
      </c>
      <c r="BT121" s="5">
        <f t="shared" si="21"/>
        <v>46.340640568682481</v>
      </c>
      <c r="BU121" s="5">
        <f t="shared" si="22"/>
        <v>101.97627305131346</v>
      </c>
      <c r="BV121" s="5">
        <f t="shared" si="23"/>
        <v>101.97627305131346</v>
      </c>
      <c r="BW121" s="71">
        <f t="shared" si="24"/>
        <v>400</v>
      </c>
      <c r="BX121" s="78" cm="1">
        <f t="array" ref="BX121">IF(BM121&gt;0,1,_xll.DCETCVN5575FactorPhi7121(BV121*SQRT($K$17/206000),"b"))</f>
        <v>1</v>
      </c>
      <c r="BY121" s="64">
        <f t="shared" si="25"/>
        <v>1.1139551682345212E-3</v>
      </c>
      <c r="BZ121" s="3" t="str">
        <f t="shared" si="26"/>
        <v>OK</v>
      </c>
    </row>
    <row r="122" spans="1:78">
      <c r="A122" s="76"/>
      <c r="B122" s="76"/>
      <c r="C122" s="125"/>
      <c r="D122" s="125"/>
      <c r="E122" s="71"/>
      <c r="F122" s="71"/>
      <c r="G122" s="71"/>
      <c r="H122" s="126"/>
      <c r="I122" s="125"/>
      <c r="J122" s="123"/>
      <c r="K122" s="12"/>
      <c r="L122" s="117"/>
      <c r="M122" s="12"/>
      <c r="N122" s="117"/>
      <c r="O122" s="117"/>
      <c r="P122" s="117"/>
      <c r="Q122" s="118"/>
      <c r="R122" s="118"/>
      <c r="S122" s="118"/>
      <c r="T122" s="12"/>
      <c r="U122" s="118"/>
      <c r="V122" s="118"/>
      <c r="W122" s="12"/>
      <c r="X122" s="119"/>
      <c r="Y122" s="120"/>
      <c r="Z122" s="12"/>
      <c r="BA122" s="70" t="s">
        <v>205</v>
      </c>
      <c r="BB122" s="71" t="s">
        <v>208</v>
      </c>
      <c r="BC122" s="71" t="s">
        <v>207</v>
      </c>
      <c r="BD122" s="71">
        <v>1.52</v>
      </c>
      <c r="BE122" s="71">
        <v>6.1</v>
      </c>
      <c r="BF122" s="71">
        <v>268</v>
      </c>
      <c r="BG122" s="71">
        <v>212</v>
      </c>
      <c r="BH122" s="71">
        <v>5</v>
      </c>
      <c r="BI122" s="71">
        <v>10</v>
      </c>
      <c r="BJ122" s="12" t="str" cm="1">
        <f t="array" ref="BJ122">_xll.Dce_Name_SectI(BF122, BF122, BG122, BH122, BI122, "x", "-", $AX$11)</f>
        <v>268x212x5x10</v>
      </c>
      <c r="BK122" s="77" cm="1">
        <f t="array" ref="BK122">_xll.DCEPropSectI(BF122, BH122, BG122, BI122, BG122, BI122, "A")/100</f>
        <v>54.8</v>
      </c>
      <c r="BL122" s="70" t="s">
        <v>219</v>
      </c>
      <c r="BM122" s="70">
        <v>0.96030849562153331</v>
      </c>
      <c r="BN122" s="71">
        <v>0.9</v>
      </c>
      <c r="BO122" s="77">
        <f t="shared" si="19"/>
        <v>5.49</v>
      </c>
      <c r="BP122" s="71">
        <v>0.9</v>
      </c>
      <c r="BQ122" s="77">
        <f t="shared" si="20"/>
        <v>5.49</v>
      </c>
      <c r="BR122" s="77" cm="1">
        <f t="array" ref="BR122">_xll.DCEPropSectI(BF122, BH122, BG122, BI122, BG122, BI122, "rx")/10</f>
        <v>11.847052463297633</v>
      </c>
      <c r="BS122" s="77" cm="1">
        <f t="array" ref="BS122">_xll.DCEPropSectI(BF122, BH122, BG122, BI122, BG122, BI122, "ry")/10</f>
        <v>5.3836052600564113</v>
      </c>
      <c r="BT122" s="5">
        <f t="shared" si="21"/>
        <v>46.340640568682481</v>
      </c>
      <c r="BU122" s="5">
        <f t="shared" si="22"/>
        <v>101.97627305131346</v>
      </c>
      <c r="BV122" s="5">
        <f t="shared" si="23"/>
        <v>101.97627305131346</v>
      </c>
      <c r="BW122" s="71">
        <f t="shared" si="24"/>
        <v>400</v>
      </c>
      <c r="BX122" s="78" cm="1">
        <f t="array" ref="BX122">IF(BM122&gt;0,1,_xll.DCETCVN5575FactorPhi7121(BV122*SQRT($K$17/206000),"b"))</f>
        <v>1</v>
      </c>
      <c r="BY122" s="64">
        <f t="shared" si="25"/>
        <v>8.3447036463463111E-4</v>
      </c>
      <c r="BZ122" s="3" t="str">
        <f t="shared" si="26"/>
        <v>OK</v>
      </c>
    </row>
    <row r="123" spans="1:78">
      <c r="A123" s="76"/>
      <c r="B123" s="76"/>
      <c r="C123" s="125"/>
      <c r="D123" s="125"/>
      <c r="E123" s="71"/>
      <c r="F123" s="71"/>
      <c r="G123" s="71"/>
      <c r="H123" s="126"/>
      <c r="I123" s="125"/>
      <c r="J123" s="123"/>
      <c r="K123" s="12"/>
      <c r="L123" s="117"/>
      <c r="M123" s="12"/>
      <c r="N123" s="117"/>
      <c r="O123" s="117"/>
      <c r="P123" s="117"/>
      <c r="Q123" s="118"/>
      <c r="R123" s="118"/>
      <c r="S123" s="118"/>
      <c r="T123" s="12"/>
      <c r="U123" s="118"/>
      <c r="V123" s="118"/>
      <c r="W123" s="12"/>
      <c r="X123" s="119"/>
      <c r="Y123" s="120"/>
      <c r="Z123" s="12"/>
      <c r="BA123" s="70" t="s">
        <v>205</v>
      </c>
      <c r="BB123" s="71" t="s">
        <v>208</v>
      </c>
      <c r="BC123" s="71" t="s">
        <v>207</v>
      </c>
      <c r="BD123" s="71">
        <v>2.29</v>
      </c>
      <c r="BE123" s="71">
        <v>6.1</v>
      </c>
      <c r="BF123" s="71">
        <v>268</v>
      </c>
      <c r="BG123" s="71">
        <v>212</v>
      </c>
      <c r="BH123" s="71">
        <v>5</v>
      </c>
      <c r="BI123" s="71">
        <v>10</v>
      </c>
      <c r="BJ123" s="12" t="str" cm="1">
        <f t="array" ref="BJ123">_xll.Dce_Name_SectI(BF123, BF123, BG123, BH123, BI123, "x", "-", $AX$11)</f>
        <v>268x212x5x10</v>
      </c>
      <c r="BK123" s="77" cm="1">
        <f t="array" ref="BK123">_xll.DCEPropSectI(BF123, BH123, BG123, BI123, BG123, BI123, "A")/100</f>
        <v>54.8</v>
      </c>
      <c r="BL123" s="70" t="s">
        <v>219</v>
      </c>
      <c r="BM123" s="70">
        <v>0.63867738363878002</v>
      </c>
      <c r="BN123" s="71">
        <v>0.9</v>
      </c>
      <c r="BO123" s="77">
        <f t="shared" si="19"/>
        <v>5.49</v>
      </c>
      <c r="BP123" s="71">
        <v>0.9</v>
      </c>
      <c r="BQ123" s="77">
        <f t="shared" si="20"/>
        <v>5.49</v>
      </c>
      <c r="BR123" s="77" cm="1">
        <f t="array" ref="BR123">_xll.DCEPropSectI(BF123, BH123, BG123, BI123, BG123, BI123, "rx")/10</f>
        <v>11.847052463297633</v>
      </c>
      <c r="BS123" s="77" cm="1">
        <f t="array" ref="BS123">_xll.DCEPropSectI(BF123, BH123, BG123, BI123, BG123, BI123, "ry")/10</f>
        <v>5.3836052600564113</v>
      </c>
      <c r="BT123" s="5">
        <f t="shared" si="21"/>
        <v>46.340640568682481</v>
      </c>
      <c r="BU123" s="5">
        <f t="shared" si="22"/>
        <v>101.97627305131346</v>
      </c>
      <c r="BV123" s="5">
        <f t="shared" si="23"/>
        <v>101.97627305131346</v>
      </c>
      <c r="BW123" s="71">
        <f t="shared" si="24"/>
        <v>400</v>
      </c>
      <c r="BX123" s="78" cm="1">
        <f t="array" ref="BX123">IF(BM123&gt;0,1,_xll.DCETCVN5575FactorPhi7121(BV123*SQRT($K$17/206000),"b"))</f>
        <v>1</v>
      </c>
      <c r="BY123" s="64">
        <f t="shared" si="25"/>
        <v>5.5498556103474115E-4</v>
      </c>
      <c r="BZ123" s="3" t="str">
        <f t="shared" si="26"/>
        <v>OK</v>
      </c>
    </row>
    <row r="124" spans="1:78">
      <c r="A124" s="76"/>
      <c r="B124" s="76"/>
      <c r="C124" s="125"/>
      <c r="D124" s="125"/>
      <c r="E124" s="71"/>
      <c r="F124" s="71"/>
      <c r="G124" s="71"/>
      <c r="H124" s="126"/>
      <c r="I124" s="125"/>
      <c r="J124" s="123"/>
      <c r="K124" s="12"/>
      <c r="L124" s="117"/>
      <c r="M124" s="12"/>
      <c r="N124" s="117"/>
      <c r="O124" s="117"/>
      <c r="P124" s="117"/>
      <c r="Q124" s="118"/>
      <c r="R124" s="118"/>
      <c r="S124" s="118"/>
      <c r="T124" s="12"/>
      <c r="U124" s="118"/>
      <c r="V124" s="118"/>
      <c r="W124" s="12"/>
      <c r="X124" s="119"/>
      <c r="Y124" s="120"/>
      <c r="Z124" s="12"/>
      <c r="BA124" s="70" t="s">
        <v>205</v>
      </c>
      <c r="BB124" s="71" t="s">
        <v>208</v>
      </c>
      <c r="BC124" s="71" t="s">
        <v>207</v>
      </c>
      <c r="BD124" s="71">
        <v>3.05</v>
      </c>
      <c r="BE124" s="71">
        <v>6.1</v>
      </c>
      <c r="BF124" s="71">
        <v>268</v>
      </c>
      <c r="BG124" s="71">
        <v>212</v>
      </c>
      <c r="BH124" s="71">
        <v>5</v>
      </c>
      <c r="BI124" s="71">
        <v>10</v>
      </c>
      <c r="BJ124" s="12" t="str" cm="1">
        <f t="array" ref="BJ124">_xll.Dce_Name_SectI(BF124, BF124, BG124, BH124, BI124, "x", "-", $AX$11)</f>
        <v>268x212x5x10</v>
      </c>
      <c r="BK124" s="77" cm="1">
        <f t="array" ref="BK124">_xll.DCEPropSectI(BF124, BH124, BG124, BI124, BG124, BI124, "A")/100</f>
        <v>54.8</v>
      </c>
      <c r="BL124" s="70" t="s">
        <v>219</v>
      </c>
      <c r="BM124" s="70">
        <v>0.3170462716560265</v>
      </c>
      <c r="BN124" s="71">
        <v>0.9</v>
      </c>
      <c r="BO124" s="77">
        <f t="shared" si="19"/>
        <v>5.49</v>
      </c>
      <c r="BP124" s="71">
        <v>0.9</v>
      </c>
      <c r="BQ124" s="77">
        <f t="shared" si="20"/>
        <v>5.49</v>
      </c>
      <c r="BR124" s="77" cm="1">
        <f t="array" ref="BR124">_xll.DCEPropSectI(BF124, BH124, BG124, BI124, BG124, BI124, "rx")/10</f>
        <v>11.847052463297633</v>
      </c>
      <c r="BS124" s="77" cm="1">
        <f t="array" ref="BS124">_xll.DCEPropSectI(BF124, BH124, BG124, BI124, BG124, BI124, "ry")/10</f>
        <v>5.3836052600564113</v>
      </c>
      <c r="BT124" s="5">
        <f t="shared" si="21"/>
        <v>46.340640568682481</v>
      </c>
      <c r="BU124" s="5">
        <f t="shared" si="22"/>
        <v>101.97627305131346</v>
      </c>
      <c r="BV124" s="5">
        <f t="shared" si="23"/>
        <v>101.97627305131346</v>
      </c>
      <c r="BW124" s="71">
        <f t="shared" si="24"/>
        <v>400</v>
      </c>
      <c r="BX124" s="78" cm="1">
        <f t="array" ref="BX124">IF(BM124&gt;0,1,_xll.DCETCVN5575FactorPhi7121(BV124*SQRT($K$17/206000),"b"))</f>
        <v>1</v>
      </c>
      <c r="BY124" s="64">
        <f t="shared" si="25"/>
        <v>2.7550075743485103E-4</v>
      </c>
      <c r="BZ124" s="3" t="str">
        <f t="shared" si="26"/>
        <v>OK</v>
      </c>
    </row>
    <row r="125" spans="1:78">
      <c r="A125" s="76"/>
      <c r="B125" s="76"/>
      <c r="C125" s="125"/>
      <c r="D125" s="125"/>
      <c r="E125" s="71"/>
      <c r="F125" s="71"/>
      <c r="G125" s="71"/>
      <c r="H125" s="126"/>
      <c r="I125" s="125"/>
      <c r="J125" s="123"/>
      <c r="K125" s="12"/>
      <c r="L125" s="117"/>
      <c r="M125" s="12"/>
      <c r="N125" s="117"/>
      <c r="O125" s="117"/>
      <c r="P125" s="117"/>
      <c r="Q125" s="118"/>
      <c r="R125" s="118"/>
      <c r="S125" s="118"/>
      <c r="T125" s="12"/>
      <c r="U125" s="118"/>
      <c r="V125" s="118"/>
      <c r="W125" s="12"/>
      <c r="X125" s="119"/>
      <c r="Y125" s="120"/>
      <c r="Z125" s="12"/>
      <c r="BA125" s="70" t="s">
        <v>205</v>
      </c>
      <c r="BB125" s="71" t="s">
        <v>208</v>
      </c>
      <c r="BC125" s="71" t="s">
        <v>207</v>
      </c>
      <c r="BD125" s="71">
        <v>3.81</v>
      </c>
      <c r="BE125" s="71">
        <v>6.1</v>
      </c>
      <c r="BF125" s="71">
        <v>268</v>
      </c>
      <c r="BG125" s="71">
        <v>212</v>
      </c>
      <c r="BH125" s="71">
        <v>5</v>
      </c>
      <c r="BI125" s="71">
        <v>10</v>
      </c>
      <c r="BJ125" s="12" t="str" cm="1">
        <f t="array" ref="BJ125">_xll.Dce_Name_SectI(BF125, BF125, BG125, BH125, BI125, "x", "-", $AX$11)</f>
        <v>268x212x5x10</v>
      </c>
      <c r="BK125" s="77" cm="1">
        <f t="array" ref="BK125">_xll.DCEPropSectI(BF125, BH125, BG125, BI125, BG125, BI125, "A")/100</f>
        <v>54.8</v>
      </c>
      <c r="BL125" s="70" t="s">
        <v>219</v>
      </c>
      <c r="BM125" s="70">
        <v>-4.5848403267267912E-3</v>
      </c>
      <c r="BN125" s="71">
        <v>0.9</v>
      </c>
      <c r="BO125" s="77">
        <f t="shared" si="19"/>
        <v>5.49</v>
      </c>
      <c r="BP125" s="71">
        <v>0.9</v>
      </c>
      <c r="BQ125" s="77">
        <f t="shared" si="20"/>
        <v>5.49</v>
      </c>
      <c r="BR125" s="77" cm="1">
        <f t="array" ref="BR125">_xll.DCEPropSectI(BF125, BH125, BG125, BI125, BG125, BI125, "rx")/10</f>
        <v>11.847052463297633</v>
      </c>
      <c r="BS125" s="77" cm="1">
        <f t="array" ref="BS125">_xll.DCEPropSectI(BF125, BH125, BG125, BI125, BG125, BI125, "ry")/10</f>
        <v>5.3836052600564113</v>
      </c>
      <c r="BT125" s="5">
        <f t="shared" si="21"/>
        <v>46.340640568682481</v>
      </c>
      <c r="BU125" s="5">
        <f t="shared" si="22"/>
        <v>101.97627305131346</v>
      </c>
      <c r="BV125" s="5">
        <f t="shared" si="23"/>
        <v>101.97627305131346</v>
      </c>
      <c r="BW125" s="71">
        <f t="shared" si="24"/>
        <v>200</v>
      </c>
      <c r="BX125" s="78" cm="1">
        <f t="array" ref="BX125">IF(BM125&gt;0,1,_xll.DCETCVN5575FactorPhi7121(BV125*SQRT($K$17/206000),"b"))</f>
        <v>0.55590262168625593</v>
      </c>
      <c r="BY125" s="64">
        <f t="shared" si="25"/>
        <v>7.166805857029155E-6</v>
      </c>
      <c r="BZ125" s="3" t="str">
        <f t="shared" si="26"/>
        <v>OK</v>
      </c>
    </row>
    <row r="126" spans="1:78">
      <c r="A126" s="76"/>
      <c r="B126" s="76"/>
      <c r="C126" s="125"/>
      <c r="D126" s="125"/>
      <c r="E126" s="71"/>
      <c r="F126" s="71"/>
      <c r="G126" s="71"/>
      <c r="H126" s="126"/>
      <c r="I126" s="125"/>
      <c r="J126" s="123"/>
      <c r="K126" s="12"/>
      <c r="L126" s="117"/>
      <c r="M126" s="12"/>
      <c r="N126" s="117"/>
      <c r="O126" s="117"/>
      <c r="P126" s="117"/>
      <c r="Q126" s="118"/>
      <c r="R126" s="118"/>
      <c r="S126" s="118"/>
      <c r="T126" s="12"/>
      <c r="U126" s="118"/>
      <c r="V126" s="118"/>
      <c r="W126" s="12"/>
      <c r="X126" s="119"/>
      <c r="Y126" s="120"/>
      <c r="Z126" s="12"/>
      <c r="BA126" s="70" t="s">
        <v>205</v>
      </c>
      <c r="BB126" s="71" t="s">
        <v>208</v>
      </c>
      <c r="BC126" s="71" t="s">
        <v>207</v>
      </c>
      <c r="BD126" s="71">
        <v>4.57</v>
      </c>
      <c r="BE126" s="71">
        <v>6.1</v>
      </c>
      <c r="BF126" s="71">
        <v>268</v>
      </c>
      <c r="BG126" s="71">
        <v>212</v>
      </c>
      <c r="BH126" s="71">
        <v>5</v>
      </c>
      <c r="BI126" s="71">
        <v>10</v>
      </c>
      <c r="BJ126" s="12" t="str" cm="1">
        <f t="array" ref="BJ126">_xll.Dce_Name_SectI(BF126, BF126, BG126, BH126, BI126, "x", "-", $AX$11)</f>
        <v>268x212x5x10</v>
      </c>
      <c r="BK126" s="77" cm="1">
        <f t="array" ref="BK126">_xll.DCEPropSectI(BF126, BH126, BG126, BI126, BG126, BI126, "A")/100</f>
        <v>54.8</v>
      </c>
      <c r="BL126" s="70" t="s">
        <v>219</v>
      </c>
      <c r="BM126" s="70">
        <v>-0.32621595230948008</v>
      </c>
      <c r="BN126" s="71">
        <v>0.9</v>
      </c>
      <c r="BO126" s="77">
        <f t="shared" si="19"/>
        <v>5.49</v>
      </c>
      <c r="BP126" s="71">
        <v>0.9</v>
      </c>
      <c r="BQ126" s="77">
        <f t="shared" si="20"/>
        <v>5.49</v>
      </c>
      <c r="BR126" s="77" cm="1">
        <f t="array" ref="BR126">_xll.DCEPropSectI(BF126, BH126, BG126, BI126, BG126, BI126, "rx")/10</f>
        <v>11.847052463297633</v>
      </c>
      <c r="BS126" s="77" cm="1">
        <f t="array" ref="BS126">_xll.DCEPropSectI(BF126, BH126, BG126, BI126, BG126, BI126, "ry")/10</f>
        <v>5.3836052600564113</v>
      </c>
      <c r="BT126" s="5">
        <f t="shared" si="21"/>
        <v>46.340640568682481</v>
      </c>
      <c r="BU126" s="5">
        <f t="shared" si="22"/>
        <v>101.97627305131346</v>
      </c>
      <c r="BV126" s="5">
        <f t="shared" si="23"/>
        <v>101.97627305131346</v>
      </c>
      <c r="BW126" s="71">
        <f t="shared" si="24"/>
        <v>200</v>
      </c>
      <c r="BX126" s="78" cm="1">
        <f t="array" ref="BX126">IF(BM126&gt;0,1,_xll.DCETCVN5575FactorPhi7121(BV126*SQRT($K$17/206000),"b"))</f>
        <v>0.55590262168625593</v>
      </c>
      <c r="BY126" s="64">
        <f t="shared" si="25"/>
        <v>5.0992536949198794E-4</v>
      </c>
      <c r="BZ126" s="3" t="str">
        <f t="shared" si="26"/>
        <v>OK</v>
      </c>
    </row>
    <row r="127" spans="1:78">
      <c r="A127" s="76"/>
      <c r="B127" s="76"/>
      <c r="C127" s="125"/>
      <c r="D127" s="125"/>
      <c r="E127" s="71"/>
      <c r="F127" s="71"/>
      <c r="G127" s="71"/>
      <c r="H127" s="126"/>
      <c r="I127" s="125"/>
      <c r="J127" s="123"/>
      <c r="K127" s="12"/>
      <c r="L127" s="117"/>
      <c r="M127" s="12"/>
      <c r="N127" s="117"/>
      <c r="O127" s="117"/>
      <c r="P127" s="117"/>
      <c r="Q127" s="118"/>
      <c r="R127" s="118"/>
      <c r="S127" s="118"/>
      <c r="T127" s="12"/>
      <c r="U127" s="118"/>
      <c r="V127" s="118"/>
      <c r="W127" s="12"/>
      <c r="X127" s="119"/>
      <c r="Y127" s="120"/>
      <c r="Z127" s="12"/>
      <c r="BA127" s="70" t="s">
        <v>205</v>
      </c>
      <c r="BB127" s="71" t="s">
        <v>208</v>
      </c>
      <c r="BC127" s="71" t="s">
        <v>207</v>
      </c>
      <c r="BD127" s="71">
        <v>5.34</v>
      </c>
      <c r="BE127" s="71">
        <v>6.1</v>
      </c>
      <c r="BF127" s="71">
        <v>268</v>
      </c>
      <c r="BG127" s="71">
        <v>212</v>
      </c>
      <c r="BH127" s="71">
        <v>5</v>
      </c>
      <c r="BI127" s="71">
        <v>10</v>
      </c>
      <c r="BJ127" s="12" t="str" cm="1">
        <f t="array" ref="BJ127">_xll.Dce_Name_SectI(BF127, BF127, BG127, BH127, BI127, "x", "-", $AX$11)</f>
        <v>268x212x5x10</v>
      </c>
      <c r="BK127" s="77" cm="1">
        <f t="array" ref="BK127">_xll.DCEPropSectI(BF127, BH127, BG127, BI127, BG127, BI127, "A")/100</f>
        <v>54.8</v>
      </c>
      <c r="BL127" s="70" t="s">
        <v>219</v>
      </c>
      <c r="BM127" s="70">
        <v>-0.64784706429223338</v>
      </c>
      <c r="BN127" s="71">
        <v>0.9</v>
      </c>
      <c r="BO127" s="77">
        <f t="shared" si="19"/>
        <v>5.49</v>
      </c>
      <c r="BP127" s="71">
        <v>0.9</v>
      </c>
      <c r="BQ127" s="77">
        <f t="shared" si="20"/>
        <v>5.49</v>
      </c>
      <c r="BR127" s="77" cm="1">
        <f t="array" ref="BR127">_xll.DCEPropSectI(BF127, BH127, BG127, BI127, BG127, BI127, "rx")/10</f>
        <v>11.847052463297633</v>
      </c>
      <c r="BS127" s="77" cm="1">
        <f t="array" ref="BS127">_xll.DCEPropSectI(BF127, BH127, BG127, BI127, BG127, BI127, "ry")/10</f>
        <v>5.3836052600564113</v>
      </c>
      <c r="BT127" s="5">
        <f t="shared" si="21"/>
        <v>46.340640568682481</v>
      </c>
      <c r="BU127" s="5">
        <f t="shared" si="22"/>
        <v>101.97627305131346</v>
      </c>
      <c r="BV127" s="5">
        <f t="shared" si="23"/>
        <v>101.97627305131346</v>
      </c>
      <c r="BW127" s="71">
        <f t="shared" si="24"/>
        <v>200</v>
      </c>
      <c r="BX127" s="78" cm="1">
        <f t="array" ref="BX127">IF(BM127&gt;0,1,_xll.DCETCVN5575FactorPhi7121(BV127*SQRT($K$17/206000),"b"))</f>
        <v>0.55590262168625593</v>
      </c>
      <c r="BY127" s="64">
        <f t="shared" si="25"/>
        <v>1.0126839331269467E-3</v>
      </c>
      <c r="BZ127" s="3" t="str">
        <f t="shared" si="26"/>
        <v>OK</v>
      </c>
    </row>
    <row r="128" spans="1:78">
      <c r="A128" s="76"/>
      <c r="B128" s="76"/>
      <c r="C128" s="125"/>
      <c r="D128" s="125"/>
      <c r="E128" s="71"/>
      <c r="F128" s="71"/>
      <c r="G128" s="71"/>
      <c r="H128" s="126"/>
      <c r="I128" s="125"/>
      <c r="J128" s="123"/>
      <c r="K128" s="12"/>
      <c r="L128" s="117"/>
      <c r="M128" s="12"/>
      <c r="N128" s="117"/>
      <c r="O128" s="117"/>
      <c r="P128" s="117"/>
      <c r="Q128" s="118"/>
      <c r="R128" s="118"/>
      <c r="S128" s="118"/>
      <c r="T128" s="12"/>
      <c r="U128" s="118"/>
      <c r="V128" s="118"/>
      <c r="W128" s="12"/>
      <c r="X128" s="119"/>
      <c r="Y128" s="120"/>
      <c r="Z128" s="12"/>
      <c r="BA128" s="70" t="s">
        <v>205</v>
      </c>
      <c r="BB128" s="71" t="s">
        <v>208</v>
      </c>
      <c r="BC128" s="71" t="s">
        <v>207</v>
      </c>
      <c r="BD128" s="71">
        <v>6.1</v>
      </c>
      <c r="BE128" s="71">
        <v>6.1</v>
      </c>
      <c r="BF128" s="71">
        <v>268</v>
      </c>
      <c r="BG128" s="71">
        <v>212</v>
      </c>
      <c r="BH128" s="71">
        <v>5</v>
      </c>
      <c r="BI128" s="71">
        <v>10</v>
      </c>
      <c r="BJ128" s="12" t="str" cm="1">
        <f t="array" ref="BJ128">_xll.Dce_Name_SectI(BF128, BF128, BG128, BH128, BI128, "x", "-", $AX$11)</f>
        <v>268x212x5x10</v>
      </c>
      <c r="BK128" s="77" cm="1">
        <f t="array" ref="BK128">_xll.DCEPropSectI(BF128, BH128, BG128, BI128, BG128, BI128, "A")/100</f>
        <v>54.8</v>
      </c>
      <c r="BL128" s="70" t="s">
        <v>219</v>
      </c>
      <c r="BM128" s="70">
        <v>-0.96947817627498711</v>
      </c>
      <c r="BN128" s="71">
        <v>0.9</v>
      </c>
      <c r="BO128" s="77">
        <f t="shared" si="19"/>
        <v>5.49</v>
      </c>
      <c r="BP128" s="71">
        <v>0.9</v>
      </c>
      <c r="BQ128" s="77">
        <f t="shared" si="20"/>
        <v>5.49</v>
      </c>
      <c r="BR128" s="77" cm="1">
        <f t="array" ref="BR128">_xll.DCEPropSectI(BF128, BH128, BG128, BI128, BG128, BI128, "rx")/10</f>
        <v>11.847052463297633</v>
      </c>
      <c r="BS128" s="77" cm="1">
        <f t="array" ref="BS128">_xll.DCEPropSectI(BF128, BH128, BG128, BI128, BG128, BI128, "ry")/10</f>
        <v>5.3836052600564113</v>
      </c>
      <c r="BT128" s="5">
        <f t="shared" si="21"/>
        <v>46.340640568682481</v>
      </c>
      <c r="BU128" s="5">
        <f t="shared" si="22"/>
        <v>101.97627305131346</v>
      </c>
      <c r="BV128" s="5">
        <f t="shared" si="23"/>
        <v>101.97627305131346</v>
      </c>
      <c r="BW128" s="71">
        <f t="shared" si="24"/>
        <v>200</v>
      </c>
      <c r="BX128" s="78" cm="1">
        <f t="array" ref="BX128">IF(BM128&gt;0,1,_xll.DCETCVN5575FactorPhi7121(BV128*SQRT($K$17/206000),"b"))</f>
        <v>0.55590262168625593</v>
      </c>
      <c r="BY128" s="64">
        <f t="shared" si="25"/>
        <v>1.5154424967619062E-3</v>
      </c>
      <c r="BZ128" s="3" t="str">
        <f t="shared" si="26"/>
        <v>OK</v>
      </c>
    </row>
    <row r="129" spans="1:78">
      <c r="A129" s="76"/>
      <c r="B129" s="76"/>
      <c r="C129" s="125"/>
      <c r="D129" s="125"/>
      <c r="E129" s="71"/>
      <c r="F129" s="71"/>
      <c r="G129" s="71"/>
      <c r="H129" s="126"/>
      <c r="I129" s="125"/>
      <c r="J129" s="123"/>
      <c r="K129" s="12"/>
      <c r="L129" s="117"/>
      <c r="M129" s="12"/>
      <c r="N129" s="117"/>
      <c r="O129" s="117"/>
      <c r="P129" s="117"/>
      <c r="Q129" s="118"/>
      <c r="R129" s="118"/>
      <c r="S129" s="118"/>
      <c r="T129" s="12"/>
      <c r="U129" s="118"/>
      <c r="V129" s="118"/>
      <c r="W129" s="12"/>
      <c r="X129" s="119"/>
      <c r="Y129" s="120"/>
      <c r="Z129" s="12"/>
      <c r="BA129" s="70" t="s">
        <v>205</v>
      </c>
      <c r="BB129" s="71" t="s">
        <v>208</v>
      </c>
      <c r="BC129" s="71" t="s">
        <v>207</v>
      </c>
      <c r="BD129" s="71">
        <v>0</v>
      </c>
      <c r="BE129" s="71">
        <v>6.1</v>
      </c>
      <c r="BF129" s="71">
        <v>268</v>
      </c>
      <c r="BG129" s="71">
        <v>212</v>
      </c>
      <c r="BH129" s="71">
        <v>5</v>
      </c>
      <c r="BI129" s="71">
        <v>10</v>
      </c>
      <c r="BJ129" s="12" t="str" cm="1">
        <f t="array" ref="BJ129">_xll.Dce_Name_SectI(BF129, BF129, BG129, BH129, BI129, "x", "-", $AX$11)</f>
        <v>268x212x5x10</v>
      </c>
      <c r="BK129" s="77" cm="1">
        <f t="array" ref="BK129">_xll.DCEPropSectI(BF129, BH129, BG129, BI129, BG129, BI129, "A")/100</f>
        <v>54.8</v>
      </c>
      <c r="BL129" s="70" t="s">
        <v>220</v>
      </c>
      <c r="BM129" s="70">
        <v>-15.658397061832375</v>
      </c>
      <c r="BN129" s="71">
        <v>0.9</v>
      </c>
      <c r="BO129" s="77">
        <f t="shared" si="19"/>
        <v>5.49</v>
      </c>
      <c r="BP129" s="71">
        <v>0.9</v>
      </c>
      <c r="BQ129" s="77">
        <f t="shared" si="20"/>
        <v>5.49</v>
      </c>
      <c r="BR129" s="77" cm="1">
        <f t="array" ref="BR129">_xll.DCEPropSectI(BF129, BH129, BG129, BI129, BG129, BI129, "rx")/10</f>
        <v>11.847052463297633</v>
      </c>
      <c r="BS129" s="77" cm="1">
        <f t="array" ref="BS129">_xll.DCEPropSectI(BF129, BH129, BG129, BI129, BG129, BI129, "ry")/10</f>
        <v>5.3836052600564113</v>
      </c>
      <c r="BT129" s="5">
        <f t="shared" si="21"/>
        <v>46.340640568682481</v>
      </c>
      <c r="BU129" s="5">
        <f t="shared" si="22"/>
        <v>101.97627305131346</v>
      </c>
      <c r="BV129" s="5">
        <f t="shared" si="23"/>
        <v>101.97627305131346</v>
      </c>
      <c r="BW129" s="71">
        <f t="shared" si="24"/>
        <v>200</v>
      </c>
      <c r="BX129" s="78" cm="1">
        <f t="array" ref="BX129">IF(BM129&gt;0,1,_xll.DCETCVN5575FactorPhi7121(BV129*SQRT($K$17/206000),"b"))</f>
        <v>0.55590262168625593</v>
      </c>
      <c r="BY129" s="64">
        <f t="shared" si="25"/>
        <v>2.4476466741982478E-2</v>
      </c>
      <c r="BZ129" s="3" t="str">
        <f t="shared" si="26"/>
        <v>OK</v>
      </c>
    </row>
    <row r="130" spans="1:78">
      <c r="A130" s="76"/>
      <c r="B130" s="76"/>
      <c r="C130" s="125"/>
      <c r="D130" s="125"/>
      <c r="E130" s="71"/>
      <c r="F130" s="71"/>
      <c r="G130" s="71"/>
      <c r="H130" s="126"/>
      <c r="I130" s="125"/>
      <c r="J130" s="123"/>
      <c r="K130" s="12"/>
      <c r="L130" s="117"/>
      <c r="M130" s="12"/>
      <c r="N130" s="117"/>
      <c r="O130" s="117"/>
      <c r="P130" s="117"/>
      <c r="Q130" s="118"/>
      <c r="R130" s="118"/>
      <c r="S130" s="118"/>
      <c r="T130" s="12"/>
      <c r="U130" s="118"/>
      <c r="V130" s="118"/>
      <c r="W130" s="12"/>
      <c r="X130" s="119"/>
      <c r="Y130" s="120"/>
      <c r="Z130" s="12"/>
      <c r="BA130" s="70" t="s">
        <v>205</v>
      </c>
      <c r="BB130" s="71" t="s">
        <v>208</v>
      </c>
      <c r="BC130" s="71" t="s">
        <v>207</v>
      </c>
      <c r="BD130" s="71">
        <v>0.76</v>
      </c>
      <c r="BE130" s="71">
        <v>6.1</v>
      </c>
      <c r="BF130" s="71">
        <v>268</v>
      </c>
      <c r="BG130" s="71">
        <v>212</v>
      </c>
      <c r="BH130" s="71">
        <v>5</v>
      </c>
      <c r="BI130" s="71">
        <v>10</v>
      </c>
      <c r="BJ130" s="12" t="str" cm="1">
        <f t="array" ref="BJ130">_xll.Dce_Name_SectI(BF130, BF130, BG130, BH130, BI130, "x", "-", $AX$11)</f>
        <v>268x212x5x10</v>
      </c>
      <c r="BK130" s="77" cm="1">
        <f t="array" ref="BK130">_xll.DCEPropSectI(BF130, BH130, BG130, BI130, BG130, BI130, "A")/100</f>
        <v>54.8</v>
      </c>
      <c r="BL130" s="70" t="s">
        <v>220</v>
      </c>
      <c r="BM130" s="70">
        <v>-15.980028173815128</v>
      </c>
      <c r="BN130" s="71">
        <v>0.9</v>
      </c>
      <c r="BO130" s="77">
        <f t="shared" si="19"/>
        <v>5.49</v>
      </c>
      <c r="BP130" s="71">
        <v>0.9</v>
      </c>
      <c r="BQ130" s="77">
        <f t="shared" si="20"/>
        <v>5.49</v>
      </c>
      <c r="BR130" s="77" cm="1">
        <f t="array" ref="BR130">_xll.DCEPropSectI(BF130, BH130, BG130, BI130, BG130, BI130, "rx")/10</f>
        <v>11.847052463297633</v>
      </c>
      <c r="BS130" s="77" cm="1">
        <f t="array" ref="BS130">_xll.DCEPropSectI(BF130, BH130, BG130, BI130, BG130, BI130, "ry")/10</f>
        <v>5.3836052600564113</v>
      </c>
      <c r="BT130" s="5">
        <f t="shared" si="21"/>
        <v>46.340640568682481</v>
      </c>
      <c r="BU130" s="5">
        <f t="shared" si="22"/>
        <v>101.97627305131346</v>
      </c>
      <c r="BV130" s="5">
        <f t="shared" si="23"/>
        <v>101.97627305131346</v>
      </c>
      <c r="BW130" s="71">
        <f t="shared" si="24"/>
        <v>200</v>
      </c>
      <c r="BX130" s="78" cm="1">
        <f t="array" ref="BX130">IF(BM130&gt;0,1,_xll.DCETCVN5575FactorPhi7121(BV130*SQRT($K$17/206000),"b"))</f>
        <v>0.55590262168625593</v>
      </c>
      <c r="BY130" s="64">
        <f t="shared" si="25"/>
        <v>2.4979225305617438E-2</v>
      </c>
      <c r="BZ130" s="3" t="str">
        <f t="shared" si="26"/>
        <v>OK</v>
      </c>
    </row>
    <row r="131" spans="1:78">
      <c r="A131" s="76"/>
      <c r="B131" s="76"/>
      <c r="C131" s="125"/>
      <c r="D131" s="125"/>
      <c r="E131" s="71"/>
      <c r="F131" s="71"/>
      <c r="G131" s="71"/>
      <c r="H131" s="126"/>
      <c r="I131" s="125"/>
      <c r="J131" s="123"/>
      <c r="K131" s="12"/>
      <c r="L131" s="117"/>
      <c r="M131" s="12"/>
      <c r="N131" s="117"/>
      <c r="O131" s="117"/>
      <c r="P131" s="117"/>
      <c r="Q131" s="118"/>
      <c r="R131" s="118"/>
      <c r="S131" s="118"/>
      <c r="T131" s="12"/>
      <c r="U131" s="118"/>
      <c r="V131" s="118"/>
      <c r="W131" s="12"/>
      <c r="X131" s="119"/>
      <c r="Y131" s="120"/>
      <c r="Z131" s="12"/>
      <c r="BA131" s="70" t="s">
        <v>205</v>
      </c>
      <c r="BB131" s="71" t="s">
        <v>208</v>
      </c>
      <c r="BC131" s="71" t="s">
        <v>207</v>
      </c>
      <c r="BD131" s="71">
        <v>1.52</v>
      </c>
      <c r="BE131" s="71">
        <v>6.1</v>
      </c>
      <c r="BF131" s="71">
        <v>268</v>
      </c>
      <c r="BG131" s="71">
        <v>212</v>
      </c>
      <c r="BH131" s="71">
        <v>5</v>
      </c>
      <c r="BI131" s="71">
        <v>10</v>
      </c>
      <c r="BJ131" s="12" t="str" cm="1">
        <f t="array" ref="BJ131">_xll.Dce_Name_SectI(BF131, BF131, BG131, BH131, BI131, "x", "-", $AX$11)</f>
        <v>268x212x5x10</v>
      </c>
      <c r="BK131" s="77" cm="1">
        <f t="array" ref="BK131">_xll.DCEPropSectI(BF131, BH131, BG131, BI131, BG131, BI131, "A")/100</f>
        <v>54.8</v>
      </c>
      <c r="BL131" s="70" t="s">
        <v>220</v>
      </c>
      <c r="BM131" s="70">
        <v>-16.301659285797882</v>
      </c>
      <c r="BN131" s="71">
        <v>0.9</v>
      </c>
      <c r="BO131" s="77">
        <f t="shared" si="19"/>
        <v>5.49</v>
      </c>
      <c r="BP131" s="71">
        <v>0.9</v>
      </c>
      <c r="BQ131" s="77">
        <f t="shared" si="20"/>
        <v>5.49</v>
      </c>
      <c r="BR131" s="77" cm="1">
        <f t="array" ref="BR131">_xll.DCEPropSectI(BF131, BH131, BG131, BI131, BG131, BI131, "rx")/10</f>
        <v>11.847052463297633</v>
      </c>
      <c r="BS131" s="77" cm="1">
        <f t="array" ref="BS131">_xll.DCEPropSectI(BF131, BH131, BG131, BI131, BG131, BI131, "ry")/10</f>
        <v>5.3836052600564113</v>
      </c>
      <c r="BT131" s="5">
        <f t="shared" si="21"/>
        <v>46.340640568682481</v>
      </c>
      <c r="BU131" s="5">
        <f t="shared" si="22"/>
        <v>101.97627305131346</v>
      </c>
      <c r="BV131" s="5">
        <f t="shared" si="23"/>
        <v>101.97627305131346</v>
      </c>
      <c r="BW131" s="71">
        <f t="shared" si="24"/>
        <v>200</v>
      </c>
      <c r="BX131" s="78" cm="1">
        <f t="array" ref="BX131">IF(BM131&gt;0,1,_xll.DCETCVN5575FactorPhi7121(BV131*SQRT($K$17/206000),"b"))</f>
        <v>0.55590262168625593</v>
      </c>
      <c r="BY131" s="64">
        <f t="shared" si="25"/>
        <v>2.5481983869252399E-2</v>
      </c>
      <c r="BZ131" s="3" t="str">
        <f t="shared" si="26"/>
        <v>OK</v>
      </c>
    </row>
    <row r="132" spans="1:78">
      <c r="A132" s="76"/>
      <c r="B132" s="76"/>
      <c r="C132" s="125"/>
      <c r="D132" s="125"/>
      <c r="E132" s="71"/>
      <c r="F132" s="71"/>
      <c r="G132" s="71"/>
      <c r="H132" s="126"/>
      <c r="I132" s="125"/>
      <c r="J132" s="123"/>
      <c r="K132" s="12"/>
      <c r="L132" s="117"/>
      <c r="M132" s="12"/>
      <c r="N132" s="117"/>
      <c r="O132" s="117"/>
      <c r="P132" s="117"/>
      <c r="Q132" s="118"/>
      <c r="R132" s="118"/>
      <c r="S132" s="118"/>
      <c r="T132" s="12"/>
      <c r="U132" s="118"/>
      <c r="V132" s="118"/>
      <c r="W132" s="12"/>
      <c r="X132" s="119"/>
      <c r="Y132" s="120"/>
      <c r="Z132" s="12"/>
      <c r="BA132" s="70" t="s">
        <v>205</v>
      </c>
      <c r="BB132" s="71" t="s">
        <v>208</v>
      </c>
      <c r="BC132" s="71" t="s">
        <v>207</v>
      </c>
      <c r="BD132" s="71">
        <v>2.29</v>
      </c>
      <c r="BE132" s="71">
        <v>6.1</v>
      </c>
      <c r="BF132" s="71">
        <v>268</v>
      </c>
      <c r="BG132" s="71">
        <v>212</v>
      </c>
      <c r="BH132" s="71">
        <v>5</v>
      </c>
      <c r="BI132" s="71">
        <v>10</v>
      </c>
      <c r="BJ132" s="12" t="str" cm="1">
        <f t="array" ref="BJ132">_xll.Dce_Name_SectI(BF132, BF132, BG132, BH132, BI132, "x", "-", $AX$11)</f>
        <v>268x212x5x10</v>
      </c>
      <c r="BK132" s="77" cm="1">
        <f t="array" ref="BK132">_xll.DCEPropSectI(BF132, BH132, BG132, BI132, BG132, BI132, "A")/100</f>
        <v>54.8</v>
      </c>
      <c r="BL132" s="70" t="s">
        <v>220</v>
      </c>
      <c r="BM132" s="70">
        <v>-16.623290397780636</v>
      </c>
      <c r="BN132" s="71">
        <v>0.9</v>
      </c>
      <c r="BO132" s="77">
        <f t="shared" si="19"/>
        <v>5.49</v>
      </c>
      <c r="BP132" s="71">
        <v>0.9</v>
      </c>
      <c r="BQ132" s="77">
        <f t="shared" si="20"/>
        <v>5.49</v>
      </c>
      <c r="BR132" s="77" cm="1">
        <f t="array" ref="BR132">_xll.DCEPropSectI(BF132, BH132, BG132, BI132, BG132, BI132, "rx")/10</f>
        <v>11.847052463297633</v>
      </c>
      <c r="BS132" s="77" cm="1">
        <f t="array" ref="BS132">_xll.DCEPropSectI(BF132, BH132, BG132, BI132, BG132, BI132, "ry")/10</f>
        <v>5.3836052600564113</v>
      </c>
      <c r="BT132" s="5">
        <f t="shared" si="21"/>
        <v>46.340640568682481</v>
      </c>
      <c r="BU132" s="5">
        <f t="shared" si="22"/>
        <v>101.97627305131346</v>
      </c>
      <c r="BV132" s="5">
        <f t="shared" si="23"/>
        <v>101.97627305131346</v>
      </c>
      <c r="BW132" s="71">
        <f t="shared" si="24"/>
        <v>200</v>
      </c>
      <c r="BX132" s="78" cm="1">
        <f t="array" ref="BX132">IF(BM132&gt;0,1,_xll.DCETCVN5575FactorPhi7121(BV132*SQRT($K$17/206000),"b"))</f>
        <v>0.55590262168625593</v>
      </c>
      <c r="BY132" s="64">
        <f t="shared" si="25"/>
        <v>2.5984742432887356E-2</v>
      </c>
      <c r="BZ132" s="3" t="str">
        <f t="shared" si="26"/>
        <v>OK</v>
      </c>
    </row>
    <row r="133" spans="1:78">
      <c r="A133" s="76"/>
      <c r="B133" s="76"/>
      <c r="C133" s="125"/>
      <c r="D133" s="125"/>
      <c r="E133" s="71"/>
      <c r="F133" s="71"/>
      <c r="G133" s="71"/>
      <c r="H133" s="126"/>
      <c r="I133" s="125"/>
      <c r="J133" s="123"/>
      <c r="K133" s="12"/>
      <c r="L133" s="117"/>
      <c r="M133" s="12"/>
      <c r="N133" s="117"/>
      <c r="O133" s="117"/>
      <c r="P133" s="117"/>
      <c r="Q133" s="118"/>
      <c r="R133" s="118"/>
      <c r="S133" s="118"/>
      <c r="T133" s="12"/>
      <c r="U133" s="118"/>
      <c r="V133" s="118"/>
      <c r="W133" s="12"/>
      <c r="X133" s="119"/>
      <c r="Y133" s="120"/>
      <c r="Z133" s="12"/>
      <c r="BA133" s="70" t="s">
        <v>205</v>
      </c>
      <c r="BB133" s="71" t="s">
        <v>208</v>
      </c>
      <c r="BC133" s="71" t="s">
        <v>207</v>
      </c>
      <c r="BD133" s="71">
        <v>3.05</v>
      </c>
      <c r="BE133" s="71">
        <v>6.1</v>
      </c>
      <c r="BF133" s="71">
        <v>268</v>
      </c>
      <c r="BG133" s="71">
        <v>212</v>
      </c>
      <c r="BH133" s="71">
        <v>5</v>
      </c>
      <c r="BI133" s="71">
        <v>10</v>
      </c>
      <c r="BJ133" s="12" t="str" cm="1">
        <f t="array" ref="BJ133">_xll.Dce_Name_SectI(BF133, BF133, BG133, BH133, BI133, "x", "-", $AX$11)</f>
        <v>268x212x5x10</v>
      </c>
      <c r="BK133" s="77" cm="1">
        <f t="array" ref="BK133">_xll.DCEPropSectI(BF133, BH133, BG133, BI133, BG133, BI133, "A")/100</f>
        <v>54.8</v>
      </c>
      <c r="BL133" s="70" t="s">
        <v>220</v>
      </c>
      <c r="BM133" s="70">
        <v>-16.94492150976339</v>
      </c>
      <c r="BN133" s="71">
        <v>0.9</v>
      </c>
      <c r="BO133" s="77">
        <f t="shared" si="19"/>
        <v>5.49</v>
      </c>
      <c r="BP133" s="71">
        <v>0.9</v>
      </c>
      <c r="BQ133" s="77">
        <f t="shared" si="20"/>
        <v>5.49</v>
      </c>
      <c r="BR133" s="77" cm="1">
        <f t="array" ref="BR133">_xll.DCEPropSectI(BF133, BH133, BG133, BI133, BG133, BI133, "rx")/10</f>
        <v>11.847052463297633</v>
      </c>
      <c r="BS133" s="77" cm="1">
        <f t="array" ref="BS133">_xll.DCEPropSectI(BF133, BH133, BG133, BI133, BG133, BI133, "ry")/10</f>
        <v>5.3836052600564113</v>
      </c>
      <c r="BT133" s="5">
        <f t="shared" si="21"/>
        <v>46.340640568682481</v>
      </c>
      <c r="BU133" s="5">
        <f t="shared" si="22"/>
        <v>101.97627305131346</v>
      </c>
      <c r="BV133" s="5">
        <f t="shared" si="23"/>
        <v>101.97627305131346</v>
      </c>
      <c r="BW133" s="71">
        <f t="shared" si="24"/>
        <v>200</v>
      </c>
      <c r="BX133" s="78" cm="1">
        <f t="array" ref="BX133">IF(BM133&gt;0,1,_xll.DCETCVN5575FactorPhi7121(BV133*SQRT($K$17/206000),"b"))</f>
        <v>0.55590262168625593</v>
      </c>
      <c r="BY133" s="64">
        <f t="shared" si="25"/>
        <v>2.6487500996522313E-2</v>
      </c>
      <c r="BZ133" s="3" t="str">
        <f t="shared" si="26"/>
        <v>OK</v>
      </c>
    </row>
    <row r="134" spans="1:78">
      <c r="A134" s="76"/>
      <c r="B134" s="76"/>
      <c r="C134" s="125"/>
      <c r="D134" s="125"/>
      <c r="E134" s="71"/>
      <c r="F134" s="71"/>
      <c r="G134" s="71"/>
      <c r="H134" s="126"/>
      <c r="I134" s="125"/>
      <c r="J134" s="123"/>
      <c r="K134" s="12"/>
      <c r="L134" s="117"/>
      <c r="M134" s="12"/>
      <c r="N134" s="117"/>
      <c r="O134" s="117"/>
      <c r="P134" s="117"/>
      <c r="Q134" s="118"/>
      <c r="R134" s="118"/>
      <c r="S134" s="118"/>
      <c r="T134" s="12"/>
      <c r="U134" s="118"/>
      <c r="V134" s="118"/>
      <c r="W134" s="12"/>
      <c r="X134" s="119"/>
      <c r="Y134" s="120"/>
      <c r="Z134" s="12"/>
      <c r="BA134" s="70" t="s">
        <v>205</v>
      </c>
      <c r="BB134" s="71" t="s">
        <v>208</v>
      </c>
      <c r="BC134" s="71" t="s">
        <v>207</v>
      </c>
      <c r="BD134" s="71">
        <v>3.81</v>
      </c>
      <c r="BE134" s="71">
        <v>6.1</v>
      </c>
      <c r="BF134" s="71">
        <v>268</v>
      </c>
      <c r="BG134" s="71">
        <v>212</v>
      </c>
      <c r="BH134" s="71">
        <v>5</v>
      </c>
      <c r="BI134" s="71">
        <v>10</v>
      </c>
      <c r="BJ134" s="12" t="str" cm="1">
        <f t="array" ref="BJ134">_xll.Dce_Name_SectI(BF134, BF134, BG134, BH134, BI134, "x", "-", $AX$11)</f>
        <v>268x212x5x10</v>
      </c>
      <c r="BK134" s="77" cm="1">
        <f t="array" ref="BK134">_xll.DCEPropSectI(BF134, BH134, BG134, BI134, BG134, BI134, "A")/100</f>
        <v>54.8</v>
      </c>
      <c r="BL134" s="70" t="s">
        <v>220</v>
      </c>
      <c r="BM134" s="70">
        <v>-17.266552621746143</v>
      </c>
      <c r="BN134" s="71">
        <v>0.9</v>
      </c>
      <c r="BO134" s="77">
        <f t="shared" si="19"/>
        <v>5.49</v>
      </c>
      <c r="BP134" s="71">
        <v>0.9</v>
      </c>
      <c r="BQ134" s="77">
        <f t="shared" si="20"/>
        <v>5.49</v>
      </c>
      <c r="BR134" s="77" cm="1">
        <f t="array" ref="BR134">_xll.DCEPropSectI(BF134, BH134, BG134, BI134, BG134, BI134, "rx")/10</f>
        <v>11.847052463297633</v>
      </c>
      <c r="BS134" s="77" cm="1">
        <f t="array" ref="BS134">_xll.DCEPropSectI(BF134, BH134, BG134, BI134, BG134, BI134, "ry")/10</f>
        <v>5.3836052600564113</v>
      </c>
      <c r="BT134" s="5">
        <f t="shared" si="21"/>
        <v>46.340640568682481</v>
      </c>
      <c r="BU134" s="5">
        <f t="shared" si="22"/>
        <v>101.97627305131346</v>
      </c>
      <c r="BV134" s="5">
        <f t="shared" si="23"/>
        <v>101.97627305131346</v>
      </c>
      <c r="BW134" s="71">
        <f t="shared" si="24"/>
        <v>200</v>
      </c>
      <c r="BX134" s="78" cm="1">
        <f t="array" ref="BX134">IF(BM134&gt;0,1,_xll.DCETCVN5575FactorPhi7121(BV134*SQRT($K$17/206000),"b"))</f>
        <v>0.55590262168625593</v>
      </c>
      <c r="BY134" s="64">
        <f t="shared" si="25"/>
        <v>2.6990259560157274E-2</v>
      </c>
      <c r="BZ134" s="3" t="str">
        <f t="shared" si="26"/>
        <v>OK</v>
      </c>
    </row>
    <row r="135" spans="1:78">
      <c r="A135" s="76"/>
      <c r="B135" s="76"/>
      <c r="C135" s="125"/>
      <c r="D135" s="125"/>
      <c r="E135" s="71"/>
      <c r="F135" s="71"/>
      <c r="G135" s="71"/>
      <c r="H135" s="126"/>
      <c r="I135" s="125"/>
      <c r="J135" s="123"/>
      <c r="K135" s="12"/>
      <c r="L135" s="117"/>
      <c r="M135" s="12"/>
      <c r="N135" s="117"/>
      <c r="O135" s="117"/>
      <c r="P135" s="117"/>
      <c r="Q135" s="118"/>
      <c r="R135" s="118"/>
      <c r="S135" s="118"/>
      <c r="T135" s="12"/>
      <c r="U135" s="118"/>
      <c r="V135" s="118"/>
      <c r="W135" s="12"/>
      <c r="X135" s="119"/>
      <c r="Y135" s="120"/>
      <c r="Z135" s="12"/>
      <c r="BA135" s="70" t="s">
        <v>205</v>
      </c>
      <c r="BB135" s="71" t="s">
        <v>208</v>
      </c>
      <c r="BC135" s="71" t="s">
        <v>207</v>
      </c>
      <c r="BD135" s="71">
        <v>4.57</v>
      </c>
      <c r="BE135" s="71">
        <v>6.1</v>
      </c>
      <c r="BF135" s="71">
        <v>268</v>
      </c>
      <c r="BG135" s="71">
        <v>212</v>
      </c>
      <c r="BH135" s="71">
        <v>5</v>
      </c>
      <c r="BI135" s="71">
        <v>10</v>
      </c>
      <c r="BJ135" s="12" t="str" cm="1">
        <f t="array" ref="BJ135">_xll.Dce_Name_SectI(BF135, BF135, BG135, BH135, BI135, "x", "-", $AX$11)</f>
        <v>268x212x5x10</v>
      </c>
      <c r="BK135" s="77" cm="1">
        <f t="array" ref="BK135">_xll.DCEPropSectI(BF135, BH135, BG135, BI135, BG135, BI135, "A")/100</f>
        <v>54.8</v>
      </c>
      <c r="BL135" s="70" t="s">
        <v>220</v>
      </c>
      <c r="BM135" s="70">
        <v>-17.588183733728894</v>
      </c>
      <c r="BN135" s="71">
        <v>0.9</v>
      </c>
      <c r="BO135" s="77">
        <f t="shared" si="19"/>
        <v>5.49</v>
      </c>
      <c r="BP135" s="71">
        <v>0.9</v>
      </c>
      <c r="BQ135" s="77">
        <f t="shared" si="20"/>
        <v>5.49</v>
      </c>
      <c r="BR135" s="77" cm="1">
        <f t="array" ref="BR135">_xll.DCEPropSectI(BF135, BH135, BG135, BI135, BG135, BI135, "rx")/10</f>
        <v>11.847052463297633</v>
      </c>
      <c r="BS135" s="77" cm="1">
        <f t="array" ref="BS135">_xll.DCEPropSectI(BF135, BH135, BG135, BI135, BG135, BI135, "ry")/10</f>
        <v>5.3836052600564113</v>
      </c>
      <c r="BT135" s="5">
        <f t="shared" si="21"/>
        <v>46.340640568682481</v>
      </c>
      <c r="BU135" s="5">
        <f t="shared" si="22"/>
        <v>101.97627305131346</v>
      </c>
      <c r="BV135" s="5">
        <f t="shared" si="23"/>
        <v>101.97627305131346</v>
      </c>
      <c r="BW135" s="71">
        <f t="shared" si="24"/>
        <v>200</v>
      </c>
      <c r="BX135" s="78" cm="1">
        <f t="array" ref="BX135">IF(BM135&gt;0,1,_xll.DCETCVN5575FactorPhi7121(BV135*SQRT($K$17/206000),"b"))</f>
        <v>0.55590262168625593</v>
      </c>
      <c r="BY135" s="64">
        <f t="shared" si="25"/>
        <v>2.7493018123792227E-2</v>
      </c>
      <c r="BZ135" s="3" t="str">
        <f t="shared" si="26"/>
        <v>OK</v>
      </c>
    </row>
    <row r="136" spans="1:78">
      <c r="A136" s="76"/>
      <c r="B136" s="76"/>
      <c r="C136" s="125"/>
      <c r="D136" s="125"/>
      <c r="E136" s="71"/>
      <c r="F136" s="71"/>
      <c r="G136" s="71"/>
      <c r="H136" s="126"/>
      <c r="I136" s="125"/>
      <c r="J136" s="123"/>
      <c r="K136" s="12"/>
      <c r="L136" s="117"/>
      <c r="M136" s="12"/>
      <c r="N136" s="117"/>
      <c r="O136" s="117"/>
      <c r="P136" s="117"/>
      <c r="Q136" s="118"/>
      <c r="R136" s="118"/>
      <c r="S136" s="118"/>
      <c r="T136" s="12"/>
      <c r="U136" s="118"/>
      <c r="V136" s="118"/>
      <c r="W136" s="12"/>
      <c r="X136" s="119"/>
      <c r="Y136" s="120"/>
      <c r="Z136" s="12"/>
      <c r="BA136" s="70" t="s">
        <v>205</v>
      </c>
      <c r="BB136" s="71" t="s">
        <v>208</v>
      </c>
      <c r="BC136" s="71" t="s">
        <v>207</v>
      </c>
      <c r="BD136" s="71">
        <v>5.34</v>
      </c>
      <c r="BE136" s="71">
        <v>6.1</v>
      </c>
      <c r="BF136" s="71">
        <v>268</v>
      </c>
      <c r="BG136" s="71">
        <v>212</v>
      </c>
      <c r="BH136" s="71">
        <v>5</v>
      </c>
      <c r="BI136" s="71">
        <v>10</v>
      </c>
      <c r="BJ136" s="12" t="str" cm="1">
        <f t="array" ref="BJ136">_xll.Dce_Name_SectI(BF136, BF136, BG136, BH136, BI136, "x", "-", $AX$11)</f>
        <v>268x212x5x10</v>
      </c>
      <c r="BK136" s="77" cm="1">
        <f t="array" ref="BK136">_xll.DCEPropSectI(BF136, BH136, BG136, BI136, BG136, BI136, "A")/100</f>
        <v>54.8</v>
      </c>
      <c r="BL136" s="70" t="s">
        <v>220</v>
      </c>
      <c r="BM136" s="70">
        <v>-17.909814845711647</v>
      </c>
      <c r="BN136" s="71">
        <v>0.9</v>
      </c>
      <c r="BO136" s="77">
        <f t="shared" si="19"/>
        <v>5.49</v>
      </c>
      <c r="BP136" s="71">
        <v>0.9</v>
      </c>
      <c r="BQ136" s="77">
        <f t="shared" si="20"/>
        <v>5.49</v>
      </c>
      <c r="BR136" s="77" cm="1">
        <f t="array" ref="BR136">_xll.DCEPropSectI(BF136, BH136, BG136, BI136, BG136, BI136, "rx")/10</f>
        <v>11.847052463297633</v>
      </c>
      <c r="BS136" s="77" cm="1">
        <f t="array" ref="BS136">_xll.DCEPropSectI(BF136, BH136, BG136, BI136, BG136, BI136, "ry")/10</f>
        <v>5.3836052600564113</v>
      </c>
      <c r="BT136" s="5">
        <f t="shared" si="21"/>
        <v>46.340640568682481</v>
      </c>
      <c r="BU136" s="5">
        <f t="shared" si="22"/>
        <v>101.97627305131346</v>
      </c>
      <c r="BV136" s="5">
        <f t="shared" si="23"/>
        <v>101.97627305131346</v>
      </c>
      <c r="BW136" s="71">
        <f t="shared" si="24"/>
        <v>200</v>
      </c>
      <c r="BX136" s="78" cm="1">
        <f t="array" ref="BX136">IF(BM136&gt;0,1,_xll.DCETCVN5575FactorPhi7121(BV136*SQRT($K$17/206000),"b"))</f>
        <v>0.55590262168625593</v>
      </c>
      <c r="BY136" s="64">
        <f t="shared" si="25"/>
        <v>2.7995776687427188E-2</v>
      </c>
      <c r="BZ136" s="3" t="str">
        <f t="shared" si="26"/>
        <v>OK</v>
      </c>
    </row>
    <row r="137" spans="1:78">
      <c r="A137" s="76"/>
      <c r="B137" s="76"/>
      <c r="C137" s="125"/>
      <c r="D137" s="125"/>
      <c r="E137" s="71"/>
      <c r="F137" s="71"/>
      <c r="G137" s="71"/>
      <c r="H137" s="126"/>
      <c r="I137" s="125"/>
      <c r="J137" s="123"/>
      <c r="K137" s="12"/>
      <c r="L137" s="117"/>
      <c r="M137" s="12"/>
      <c r="N137" s="117"/>
      <c r="O137" s="117"/>
      <c r="P137" s="117"/>
      <c r="Q137" s="118"/>
      <c r="R137" s="118"/>
      <c r="S137" s="118"/>
      <c r="T137" s="12"/>
      <c r="U137" s="118"/>
      <c r="V137" s="118"/>
      <c r="W137" s="12"/>
      <c r="X137" s="119"/>
      <c r="Y137" s="120"/>
      <c r="Z137" s="12"/>
      <c r="BA137" s="70" t="s">
        <v>205</v>
      </c>
      <c r="BB137" s="71" t="s">
        <v>208</v>
      </c>
      <c r="BC137" s="71" t="s">
        <v>207</v>
      </c>
      <c r="BD137" s="71">
        <v>6.1</v>
      </c>
      <c r="BE137" s="71">
        <v>6.1</v>
      </c>
      <c r="BF137" s="71">
        <v>268</v>
      </c>
      <c r="BG137" s="71">
        <v>212</v>
      </c>
      <c r="BH137" s="71">
        <v>5</v>
      </c>
      <c r="BI137" s="71">
        <v>10</v>
      </c>
      <c r="BJ137" s="12" t="str" cm="1">
        <f t="array" ref="BJ137">_xll.Dce_Name_SectI(BF137, BF137, BG137, BH137, BI137, "x", "-", $AX$11)</f>
        <v>268x212x5x10</v>
      </c>
      <c r="BK137" s="77" cm="1">
        <f t="array" ref="BK137">_xll.DCEPropSectI(BF137, BH137, BG137, BI137, BG137, BI137, "A")/100</f>
        <v>54.8</v>
      </c>
      <c r="BL137" s="70" t="s">
        <v>220</v>
      </c>
      <c r="BM137" s="70">
        <v>-18.231445957694401</v>
      </c>
      <c r="BN137" s="71">
        <v>0.9</v>
      </c>
      <c r="BO137" s="77">
        <f t="shared" si="19"/>
        <v>5.49</v>
      </c>
      <c r="BP137" s="71">
        <v>0.9</v>
      </c>
      <c r="BQ137" s="77">
        <f t="shared" si="20"/>
        <v>5.49</v>
      </c>
      <c r="BR137" s="77" cm="1">
        <f t="array" ref="BR137">_xll.DCEPropSectI(BF137, BH137, BG137, BI137, BG137, BI137, "rx")/10</f>
        <v>11.847052463297633</v>
      </c>
      <c r="BS137" s="77" cm="1">
        <f t="array" ref="BS137">_xll.DCEPropSectI(BF137, BH137, BG137, BI137, BG137, BI137, "ry")/10</f>
        <v>5.3836052600564113</v>
      </c>
      <c r="BT137" s="5">
        <f t="shared" si="21"/>
        <v>46.340640568682481</v>
      </c>
      <c r="BU137" s="5">
        <f t="shared" si="22"/>
        <v>101.97627305131346</v>
      </c>
      <c r="BV137" s="5">
        <f t="shared" si="23"/>
        <v>101.97627305131346</v>
      </c>
      <c r="BW137" s="71">
        <f t="shared" si="24"/>
        <v>200</v>
      </c>
      <c r="BX137" s="78" cm="1">
        <f t="array" ref="BX137">IF(BM137&gt;0,1,_xll.DCETCVN5575FactorPhi7121(BV137*SQRT($K$17/206000),"b"))</f>
        <v>0.55590262168625593</v>
      </c>
      <c r="BY137" s="64">
        <f t="shared" si="25"/>
        <v>2.8498535251062149E-2</v>
      </c>
      <c r="BZ137" s="3" t="str">
        <f t="shared" si="26"/>
        <v>OK</v>
      </c>
    </row>
    <row r="138" spans="1:78">
      <c r="A138" s="76"/>
      <c r="B138" s="76"/>
      <c r="C138" s="125"/>
      <c r="D138" s="125"/>
      <c r="E138" s="71"/>
      <c r="F138" s="71"/>
      <c r="G138" s="71"/>
      <c r="H138" s="126"/>
      <c r="I138" s="125"/>
      <c r="J138" s="123"/>
      <c r="K138" s="12"/>
      <c r="L138" s="117"/>
      <c r="M138" s="12"/>
      <c r="N138" s="117"/>
      <c r="O138" s="117"/>
      <c r="P138" s="117"/>
      <c r="Q138" s="118"/>
      <c r="R138" s="118"/>
      <c r="S138" s="118"/>
      <c r="T138" s="12"/>
      <c r="U138" s="118"/>
      <c r="V138" s="118"/>
      <c r="W138" s="12"/>
      <c r="X138" s="119"/>
      <c r="Y138" s="120"/>
      <c r="Z138" s="12"/>
      <c r="BA138" s="70" t="s">
        <v>205</v>
      </c>
      <c r="BB138" s="71" t="s">
        <v>208</v>
      </c>
      <c r="BC138" s="71" t="s">
        <v>207</v>
      </c>
      <c r="BD138" s="71">
        <v>0</v>
      </c>
      <c r="BE138" s="71">
        <v>6.1</v>
      </c>
      <c r="BF138" s="71">
        <v>268</v>
      </c>
      <c r="BG138" s="71">
        <v>212</v>
      </c>
      <c r="BH138" s="71">
        <v>5</v>
      </c>
      <c r="BI138" s="71">
        <v>10</v>
      </c>
      <c r="BJ138" s="12" t="str" cm="1">
        <f t="array" ref="BJ138">_xll.Dce_Name_SectI(BF138, BF138, BG138, BH138, BI138, "x", "-", $AX$11)</f>
        <v>268x212x5x10</v>
      </c>
      <c r="BK138" s="77" cm="1">
        <f t="array" ref="BK138">_xll.DCEPropSectI(BF138, BH138, BG138, BI138, BG138, BI138, "A")/100</f>
        <v>54.8</v>
      </c>
      <c r="BL138" s="70" t="s">
        <v>221</v>
      </c>
      <c r="BM138" s="70">
        <v>-15.432559233287634</v>
      </c>
      <c r="BN138" s="71">
        <v>0.9</v>
      </c>
      <c r="BO138" s="77">
        <f t="shared" si="19"/>
        <v>5.49</v>
      </c>
      <c r="BP138" s="71">
        <v>0.9</v>
      </c>
      <c r="BQ138" s="77">
        <f t="shared" si="20"/>
        <v>5.49</v>
      </c>
      <c r="BR138" s="77" cm="1">
        <f t="array" ref="BR138">_xll.DCEPropSectI(BF138, BH138, BG138, BI138, BG138, BI138, "rx")/10</f>
        <v>11.847052463297633</v>
      </c>
      <c r="BS138" s="77" cm="1">
        <f t="array" ref="BS138">_xll.DCEPropSectI(BF138, BH138, BG138, BI138, BG138, BI138, "ry")/10</f>
        <v>5.3836052600564113</v>
      </c>
      <c r="BT138" s="5">
        <f t="shared" si="21"/>
        <v>46.340640568682481</v>
      </c>
      <c r="BU138" s="5">
        <f t="shared" si="22"/>
        <v>101.97627305131346</v>
      </c>
      <c r="BV138" s="5">
        <f t="shared" si="23"/>
        <v>101.97627305131346</v>
      </c>
      <c r="BW138" s="71">
        <f t="shared" si="24"/>
        <v>200</v>
      </c>
      <c r="BX138" s="78" cm="1">
        <f t="array" ref="BX138">IF(BM138&gt;0,1,_xll.DCETCVN5575FactorPhi7121(BV138*SQRT($K$17/206000),"b"))</f>
        <v>0.55590262168625593</v>
      </c>
      <c r="BY138" s="64">
        <f t="shared" si="25"/>
        <v>2.4123447714707279E-2</v>
      </c>
      <c r="BZ138" s="3" t="str">
        <f t="shared" si="26"/>
        <v>OK</v>
      </c>
    </row>
    <row r="139" spans="1:78">
      <c r="A139" s="76"/>
      <c r="B139" s="76"/>
      <c r="C139" s="125"/>
      <c r="D139" s="125"/>
      <c r="E139" s="71"/>
      <c r="F139" s="71"/>
      <c r="G139" s="71"/>
      <c r="H139" s="126"/>
      <c r="I139" s="125"/>
      <c r="J139" s="123"/>
      <c r="K139" s="12"/>
      <c r="L139" s="117"/>
      <c r="M139" s="12"/>
      <c r="N139" s="117"/>
      <c r="O139" s="117"/>
      <c r="P139" s="117"/>
      <c r="Q139" s="118"/>
      <c r="R139" s="118"/>
      <c r="S139" s="118"/>
      <c r="T139" s="12"/>
      <c r="U139" s="118"/>
      <c r="V139" s="118"/>
      <c r="W139" s="12"/>
      <c r="X139" s="119"/>
      <c r="Y139" s="120"/>
      <c r="Z139" s="12"/>
      <c r="BA139" s="70" t="s">
        <v>205</v>
      </c>
      <c r="BB139" s="71" t="s">
        <v>208</v>
      </c>
      <c r="BC139" s="71" t="s">
        <v>207</v>
      </c>
      <c r="BD139" s="71">
        <v>0.76</v>
      </c>
      <c r="BE139" s="71">
        <v>6.1</v>
      </c>
      <c r="BF139" s="71">
        <v>268</v>
      </c>
      <c r="BG139" s="71">
        <v>212</v>
      </c>
      <c r="BH139" s="71">
        <v>5</v>
      </c>
      <c r="BI139" s="71">
        <v>10</v>
      </c>
      <c r="BJ139" s="12" t="str" cm="1">
        <f t="array" ref="BJ139">_xll.Dce_Name_SectI(BF139, BF139, BG139, BH139, BI139, "x", "-", $AX$11)</f>
        <v>268x212x5x10</v>
      </c>
      <c r="BK139" s="77" cm="1">
        <f t="array" ref="BK139">_xll.DCEPropSectI(BF139, BH139, BG139, BI139, BG139, BI139, "A")/100</f>
        <v>54.8</v>
      </c>
      <c r="BL139" s="70" t="s">
        <v>221</v>
      </c>
      <c r="BM139" s="70">
        <v>-15.754190345270388</v>
      </c>
      <c r="BN139" s="71">
        <v>0.9</v>
      </c>
      <c r="BO139" s="77">
        <f t="shared" si="19"/>
        <v>5.49</v>
      </c>
      <c r="BP139" s="71">
        <v>0.9</v>
      </c>
      <c r="BQ139" s="77">
        <f t="shared" si="20"/>
        <v>5.49</v>
      </c>
      <c r="BR139" s="77" cm="1">
        <f t="array" ref="BR139">_xll.DCEPropSectI(BF139, BH139, BG139, BI139, BG139, BI139, "rx")/10</f>
        <v>11.847052463297633</v>
      </c>
      <c r="BS139" s="77" cm="1">
        <f t="array" ref="BS139">_xll.DCEPropSectI(BF139, BH139, BG139, BI139, BG139, BI139, "ry")/10</f>
        <v>5.3836052600564113</v>
      </c>
      <c r="BT139" s="5">
        <f t="shared" si="21"/>
        <v>46.340640568682481</v>
      </c>
      <c r="BU139" s="5">
        <f t="shared" si="22"/>
        <v>101.97627305131346</v>
      </c>
      <c r="BV139" s="5">
        <f t="shared" si="23"/>
        <v>101.97627305131346</v>
      </c>
      <c r="BW139" s="71">
        <f t="shared" si="24"/>
        <v>200</v>
      </c>
      <c r="BX139" s="78" cm="1">
        <f t="array" ref="BX139">IF(BM139&gt;0,1,_xll.DCETCVN5575FactorPhi7121(BV139*SQRT($K$17/206000),"b"))</f>
        <v>0.55590262168625593</v>
      </c>
      <c r="BY139" s="64">
        <f t="shared" si="25"/>
        <v>2.4626206278342239E-2</v>
      </c>
      <c r="BZ139" s="3" t="str">
        <f t="shared" si="26"/>
        <v>OK</v>
      </c>
    </row>
    <row r="140" spans="1:78">
      <c r="A140" s="76"/>
      <c r="B140" s="76"/>
      <c r="C140" s="125"/>
      <c r="D140" s="125"/>
      <c r="E140" s="71"/>
      <c r="F140" s="71"/>
      <c r="G140" s="71"/>
      <c r="H140" s="126"/>
      <c r="I140" s="125"/>
      <c r="J140" s="123"/>
      <c r="K140" s="12"/>
      <c r="L140" s="117"/>
      <c r="M140" s="12"/>
      <c r="N140" s="117"/>
      <c r="O140" s="117"/>
      <c r="P140" s="117"/>
      <c r="Q140" s="118"/>
      <c r="R140" s="118"/>
      <c r="S140" s="118"/>
      <c r="T140" s="12"/>
      <c r="U140" s="118"/>
      <c r="V140" s="118"/>
      <c r="W140" s="12"/>
      <c r="X140" s="119"/>
      <c r="Y140" s="120"/>
      <c r="Z140" s="12"/>
      <c r="BA140" s="70" t="s">
        <v>205</v>
      </c>
      <c r="BB140" s="71" t="s">
        <v>208</v>
      </c>
      <c r="BC140" s="71" t="s">
        <v>207</v>
      </c>
      <c r="BD140" s="71">
        <v>1.52</v>
      </c>
      <c r="BE140" s="71">
        <v>6.1</v>
      </c>
      <c r="BF140" s="71">
        <v>268</v>
      </c>
      <c r="BG140" s="71">
        <v>212</v>
      </c>
      <c r="BH140" s="71">
        <v>5</v>
      </c>
      <c r="BI140" s="71">
        <v>10</v>
      </c>
      <c r="BJ140" s="12" t="str" cm="1">
        <f t="array" ref="BJ140">_xll.Dce_Name_SectI(BF140, BF140, BG140, BH140, BI140, "x", "-", $AX$11)</f>
        <v>268x212x5x10</v>
      </c>
      <c r="BK140" s="77" cm="1">
        <f t="array" ref="BK140">_xll.DCEPropSectI(BF140, BH140, BG140, BI140, BG140, BI140, "A")/100</f>
        <v>54.8</v>
      </c>
      <c r="BL140" s="70" t="s">
        <v>221</v>
      </c>
      <c r="BM140" s="70">
        <v>-16.075821457253141</v>
      </c>
      <c r="BN140" s="71">
        <v>0.9</v>
      </c>
      <c r="BO140" s="77">
        <f t="shared" si="19"/>
        <v>5.49</v>
      </c>
      <c r="BP140" s="71">
        <v>0.9</v>
      </c>
      <c r="BQ140" s="77">
        <f t="shared" si="20"/>
        <v>5.49</v>
      </c>
      <c r="BR140" s="77" cm="1">
        <f t="array" ref="BR140">_xll.DCEPropSectI(BF140, BH140, BG140, BI140, BG140, BI140, "rx")/10</f>
        <v>11.847052463297633</v>
      </c>
      <c r="BS140" s="77" cm="1">
        <f t="array" ref="BS140">_xll.DCEPropSectI(BF140, BH140, BG140, BI140, BG140, BI140, "ry")/10</f>
        <v>5.3836052600564113</v>
      </c>
      <c r="BT140" s="5">
        <f t="shared" si="21"/>
        <v>46.340640568682481</v>
      </c>
      <c r="BU140" s="5">
        <f t="shared" si="22"/>
        <v>101.97627305131346</v>
      </c>
      <c r="BV140" s="5">
        <f t="shared" si="23"/>
        <v>101.97627305131346</v>
      </c>
      <c r="BW140" s="71">
        <f t="shared" si="24"/>
        <v>200</v>
      </c>
      <c r="BX140" s="78" cm="1">
        <f t="array" ref="BX140">IF(BM140&gt;0,1,_xll.DCETCVN5575FactorPhi7121(BV140*SQRT($K$17/206000),"b"))</f>
        <v>0.55590262168625593</v>
      </c>
      <c r="BY140" s="64">
        <f t="shared" si="25"/>
        <v>2.51289648419772E-2</v>
      </c>
      <c r="BZ140" s="3" t="str">
        <f t="shared" si="26"/>
        <v>OK</v>
      </c>
    </row>
    <row r="141" spans="1:78">
      <c r="A141" s="76"/>
      <c r="B141" s="76"/>
      <c r="C141" s="125"/>
      <c r="D141" s="125"/>
      <c r="E141" s="71"/>
      <c r="F141" s="71"/>
      <c r="G141" s="71"/>
      <c r="H141" s="126"/>
      <c r="I141" s="125"/>
      <c r="J141" s="123"/>
      <c r="K141" s="12"/>
      <c r="L141" s="117"/>
      <c r="M141" s="12"/>
      <c r="N141" s="117"/>
      <c r="O141" s="117"/>
      <c r="P141" s="117"/>
      <c r="Q141" s="118"/>
      <c r="R141" s="118"/>
      <c r="S141" s="118"/>
      <c r="T141" s="12"/>
      <c r="U141" s="118"/>
      <c r="V141" s="118"/>
      <c r="W141" s="12"/>
      <c r="X141" s="119"/>
      <c r="Y141" s="120"/>
      <c r="Z141" s="12"/>
      <c r="BA141" s="70" t="s">
        <v>205</v>
      </c>
      <c r="BB141" s="71" t="s">
        <v>208</v>
      </c>
      <c r="BC141" s="71" t="s">
        <v>207</v>
      </c>
      <c r="BD141" s="71">
        <v>2.29</v>
      </c>
      <c r="BE141" s="71">
        <v>6.1</v>
      </c>
      <c r="BF141" s="71">
        <v>268</v>
      </c>
      <c r="BG141" s="71">
        <v>212</v>
      </c>
      <c r="BH141" s="71">
        <v>5</v>
      </c>
      <c r="BI141" s="71">
        <v>10</v>
      </c>
      <c r="BJ141" s="12" t="str" cm="1">
        <f t="array" ref="BJ141">_xll.Dce_Name_SectI(BF141, BF141, BG141, BH141, BI141, "x", "-", $AX$11)</f>
        <v>268x212x5x10</v>
      </c>
      <c r="BK141" s="77" cm="1">
        <f t="array" ref="BK141">_xll.DCEPropSectI(BF141, BH141, BG141, BI141, BG141, BI141, "A")/100</f>
        <v>54.8</v>
      </c>
      <c r="BL141" s="70" t="s">
        <v>221</v>
      </c>
      <c r="BM141" s="70">
        <v>-16.397452569235895</v>
      </c>
      <c r="BN141" s="71">
        <v>0.9</v>
      </c>
      <c r="BO141" s="77">
        <f t="shared" ref="BO141:BO204" si="27">BN141*BE141</f>
        <v>5.49</v>
      </c>
      <c r="BP141" s="71">
        <v>0.9</v>
      </c>
      <c r="BQ141" s="77">
        <f t="shared" ref="BQ141:BQ204" si="28">BP141*BE141</f>
        <v>5.49</v>
      </c>
      <c r="BR141" s="77" cm="1">
        <f t="array" ref="BR141">_xll.DCEPropSectI(BF141, BH141, BG141, BI141, BG141, BI141, "rx")/10</f>
        <v>11.847052463297633</v>
      </c>
      <c r="BS141" s="77" cm="1">
        <f t="array" ref="BS141">_xll.DCEPropSectI(BF141, BH141, BG141, BI141, BG141, BI141, "ry")/10</f>
        <v>5.3836052600564113</v>
      </c>
      <c r="BT141" s="5">
        <f t="shared" ref="BT141:BT204" si="29">BO141*100/BR141</f>
        <v>46.340640568682481</v>
      </c>
      <c r="BU141" s="5">
        <f t="shared" ref="BU141:BU204" si="30">BQ141*100/BS141</f>
        <v>101.97627305131346</v>
      </c>
      <c r="BV141" s="5">
        <f t="shared" ref="BV141:BV204" si="31">MAX(BT141,BU141)</f>
        <v>101.97627305131346</v>
      </c>
      <c r="BW141" s="71">
        <f t="shared" ref="BW141:BW204" si="32">IF(BM141&lt;0,$AY$14,$AY$15)</f>
        <v>200</v>
      </c>
      <c r="BX141" s="78" cm="1">
        <f t="array" ref="BX141">IF(BM141&gt;0,1,_xll.DCETCVN5575FactorPhi7121(BV141*SQRT($K$17/206000),"b"))</f>
        <v>0.55590262168625593</v>
      </c>
      <c r="BY141" s="64">
        <f t="shared" ref="BY141:BY204" si="33">ABS(BM141)/(BX141*BK141*$K$17*$K$19)*10</f>
        <v>2.5631723405612157E-2</v>
      </c>
      <c r="BZ141" s="3" t="str">
        <f t="shared" ref="BZ141:BZ204" si="34">IF(AND(BV141&lt;=BW141,BY141&lt;=1),"OK","Check")</f>
        <v>OK</v>
      </c>
    </row>
    <row r="142" spans="1:78">
      <c r="A142" s="76"/>
      <c r="B142" s="76"/>
      <c r="C142" s="125"/>
      <c r="D142" s="125"/>
      <c r="E142" s="71"/>
      <c r="F142" s="71"/>
      <c r="G142" s="71"/>
      <c r="H142" s="126"/>
      <c r="I142" s="125"/>
      <c r="J142" s="123"/>
      <c r="K142" s="12"/>
      <c r="L142" s="117"/>
      <c r="M142" s="12"/>
      <c r="N142" s="117"/>
      <c r="O142" s="117"/>
      <c r="P142" s="117"/>
      <c r="Q142" s="118"/>
      <c r="R142" s="118"/>
      <c r="S142" s="118"/>
      <c r="T142" s="12"/>
      <c r="U142" s="118"/>
      <c r="V142" s="118"/>
      <c r="W142" s="12"/>
      <c r="X142" s="119"/>
      <c r="Y142" s="120"/>
      <c r="Z142" s="12"/>
      <c r="BA142" s="70" t="s">
        <v>205</v>
      </c>
      <c r="BB142" s="71" t="s">
        <v>208</v>
      </c>
      <c r="BC142" s="71" t="s">
        <v>207</v>
      </c>
      <c r="BD142" s="71">
        <v>3.05</v>
      </c>
      <c r="BE142" s="71">
        <v>6.1</v>
      </c>
      <c r="BF142" s="71">
        <v>268</v>
      </c>
      <c r="BG142" s="71">
        <v>212</v>
      </c>
      <c r="BH142" s="71">
        <v>5</v>
      </c>
      <c r="BI142" s="71">
        <v>10</v>
      </c>
      <c r="BJ142" s="12" t="str" cm="1">
        <f t="array" ref="BJ142">_xll.Dce_Name_SectI(BF142, BF142, BG142, BH142, BI142, "x", "-", $AX$11)</f>
        <v>268x212x5x10</v>
      </c>
      <c r="BK142" s="77" cm="1">
        <f t="array" ref="BK142">_xll.DCEPropSectI(BF142, BH142, BG142, BI142, BG142, BI142, "A")/100</f>
        <v>54.8</v>
      </c>
      <c r="BL142" s="70" t="s">
        <v>221</v>
      </c>
      <c r="BM142" s="70">
        <v>-16.719083681218649</v>
      </c>
      <c r="BN142" s="71">
        <v>0.9</v>
      </c>
      <c r="BO142" s="77">
        <f t="shared" si="27"/>
        <v>5.49</v>
      </c>
      <c r="BP142" s="71">
        <v>0.9</v>
      </c>
      <c r="BQ142" s="77">
        <f t="shared" si="28"/>
        <v>5.49</v>
      </c>
      <c r="BR142" s="77" cm="1">
        <f t="array" ref="BR142">_xll.DCEPropSectI(BF142, BH142, BG142, BI142, BG142, BI142, "rx")/10</f>
        <v>11.847052463297633</v>
      </c>
      <c r="BS142" s="77" cm="1">
        <f t="array" ref="BS142">_xll.DCEPropSectI(BF142, BH142, BG142, BI142, BG142, BI142, "ry")/10</f>
        <v>5.3836052600564113</v>
      </c>
      <c r="BT142" s="5">
        <f t="shared" si="29"/>
        <v>46.340640568682481</v>
      </c>
      <c r="BU142" s="5">
        <f t="shared" si="30"/>
        <v>101.97627305131346</v>
      </c>
      <c r="BV142" s="5">
        <f t="shared" si="31"/>
        <v>101.97627305131346</v>
      </c>
      <c r="BW142" s="71">
        <f t="shared" si="32"/>
        <v>200</v>
      </c>
      <c r="BX142" s="78" cm="1">
        <f t="array" ref="BX142">IF(BM142&gt;0,1,_xll.DCETCVN5575FactorPhi7121(BV142*SQRT($K$17/206000),"b"))</f>
        <v>0.55590262168625593</v>
      </c>
      <c r="BY142" s="64">
        <f t="shared" si="33"/>
        <v>2.6134481969247118E-2</v>
      </c>
      <c r="BZ142" s="3" t="str">
        <f t="shared" si="34"/>
        <v>OK</v>
      </c>
    </row>
    <row r="143" spans="1:78">
      <c r="A143" s="76"/>
      <c r="B143" s="76"/>
      <c r="C143" s="125"/>
      <c r="D143" s="125"/>
      <c r="E143" s="71"/>
      <c r="F143" s="71"/>
      <c r="G143" s="71"/>
      <c r="H143" s="126"/>
      <c r="I143" s="125"/>
      <c r="J143" s="123"/>
      <c r="K143" s="12"/>
      <c r="L143" s="117"/>
      <c r="M143" s="12"/>
      <c r="N143" s="117"/>
      <c r="O143" s="117"/>
      <c r="P143" s="117"/>
      <c r="Q143" s="118"/>
      <c r="R143" s="118"/>
      <c r="S143" s="118"/>
      <c r="T143" s="12"/>
      <c r="U143" s="118"/>
      <c r="V143" s="118"/>
      <c r="W143" s="12"/>
      <c r="X143" s="119"/>
      <c r="Y143" s="120"/>
      <c r="Z143" s="12"/>
      <c r="BA143" s="70" t="s">
        <v>205</v>
      </c>
      <c r="BB143" s="71" t="s">
        <v>208</v>
      </c>
      <c r="BC143" s="71" t="s">
        <v>207</v>
      </c>
      <c r="BD143" s="71">
        <v>3.81</v>
      </c>
      <c r="BE143" s="71">
        <v>6.1</v>
      </c>
      <c r="BF143" s="71">
        <v>268</v>
      </c>
      <c r="BG143" s="71">
        <v>212</v>
      </c>
      <c r="BH143" s="71">
        <v>5</v>
      </c>
      <c r="BI143" s="71">
        <v>10</v>
      </c>
      <c r="BJ143" s="12" t="str" cm="1">
        <f t="array" ref="BJ143">_xll.Dce_Name_SectI(BF143, BF143, BG143, BH143, BI143, "x", "-", $AX$11)</f>
        <v>268x212x5x10</v>
      </c>
      <c r="BK143" s="77" cm="1">
        <f t="array" ref="BK143">_xll.DCEPropSectI(BF143, BH143, BG143, BI143, BG143, BI143, "A")/100</f>
        <v>54.8</v>
      </c>
      <c r="BL143" s="70" t="s">
        <v>221</v>
      </c>
      <c r="BM143" s="70">
        <v>-17.040714793201403</v>
      </c>
      <c r="BN143" s="71">
        <v>0.9</v>
      </c>
      <c r="BO143" s="77">
        <f t="shared" si="27"/>
        <v>5.49</v>
      </c>
      <c r="BP143" s="71">
        <v>0.9</v>
      </c>
      <c r="BQ143" s="77">
        <f t="shared" si="28"/>
        <v>5.49</v>
      </c>
      <c r="BR143" s="77" cm="1">
        <f t="array" ref="BR143">_xll.DCEPropSectI(BF143, BH143, BG143, BI143, BG143, BI143, "rx")/10</f>
        <v>11.847052463297633</v>
      </c>
      <c r="BS143" s="77" cm="1">
        <f t="array" ref="BS143">_xll.DCEPropSectI(BF143, BH143, BG143, BI143, BG143, BI143, "ry")/10</f>
        <v>5.3836052600564113</v>
      </c>
      <c r="BT143" s="5">
        <f t="shared" si="29"/>
        <v>46.340640568682481</v>
      </c>
      <c r="BU143" s="5">
        <f t="shared" si="30"/>
        <v>101.97627305131346</v>
      </c>
      <c r="BV143" s="5">
        <f t="shared" si="31"/>
        <v>101.97627305131346</v>
      </c>
      <c r="BW143" s="71">
        <f t="shared" si="32"/>
        <v>200</v>
      </c>
      <c r="BX143" s="78" cm="1">
        <f t="array" ref="BX143">IF(BM143&gt;0,1,_xll.DCETCVN5575FactorPhi7121(BV143*SQRT($K$17/206000),"b"))</f>
        <v>0.55590262168625593</v>
      </c>
      <c r="BY143" s="64">
        <f t="shared" si="33"/>
        <v>2.6637240532882078E-2</v>
      </c>
      <c r="BZ143" s="3" t="str">
        <f t="shared" si="34"/>
        <v>OK</v>
      </c>
    </row>
    <row r="144" spans="1:78">
      <c r="A144" s="76"/>
      <c r="B144" s="76"/>
      <c r="C144" s="125"/>
      <c r="D144" s="125"/>
      <c r="E144" s="71"/>
      <c r="F144" s="71"/>
      <c r="G144" s="71"/>
      <c r="H144" s="126"/>
      <c r="I144" s="125"/>
      <c r="J144" s="123"/>
      <c r="K144" s="12"/>
      <c r="L144" s="117"/>
      <c r="M144" s="12"/>
      <c r="N144" s="117"/>
      <c r="O144" s="117"/>
      <c r="P144" s="117"/>
      <c r="Q144" s="118"/>
      <c r="R144" s="118"/>
      <c r="S144" s="118"/>
      <c r="T144" s="12"/>
      <c r="U144" s="118"/>
      <c r="V144" s="118"/>
      <c r="W144" s="12"/>
      <c r="X144" s="119"/>
      <c r="Y144" s="120"/>
      <c r="Z144" s="12"/>
      <c r="BA144" s="70" t="s">
        <v>205</v>
      </c>
      <c r="BB144" s="71" t="s">
        <v>208</v>
      </c>
      <c r="BC144" s="71" t="s">
        <v>207</v>
      </c>
      <c r="BD144" s="71">
        <v>4.57</v>
      </c>
      <c r="BE144" s="71">
        <v>6.1</v>
      </c>
      <c r="BF144" s="71">
        <v>268</v>
      </c>
      <c r="BG144" s="71">
        <v>212</v>
      </c>
      <c r="BH144" s="71">
        <v>5</v>
      </c>
      <c r="BI144" s="71">
        <v>10</v>
      </c>
      <c r="BJ144" s="12" t="str" cm="1">
        <f t="array" ref="BJ144">_xll.Dce_Name_SectI(BF144, BF144, BG144, BH144, BI144, "x", "-", $AX$11)</f>
        <v>268x212x5x10</v>
      </c>
      <c r="BK144" s="77" cm="1">
        <f t="array" ref="BK144">_xll.DCEPropSectI(BF144, BH144, BG144, BI144, BG144, BI144, "A")/100</f>
        <v>54.8</v>
      </c>
      <c r="BL144" s="70" t="s">
        <v>221</v>
      </c>
      <c r="BM144" s="70">
        <v>-17.362345905184153</v>
      </c>
      <c r="BN144" s="71">
        <v>0.9</v>
      </c>
      <c r="BO144" s="77">
        <f t="shared" si="27"/>
        <v>5.49</v>
      </c>
      <c r="BP144" s="71">
        <v>0.9</v>
      </c>
      <c r="BQ144" s="77">
        <f t="shared" si="28"/>
        <v>5.49</v>
      </c>
      <c r="BR144" s="77" cm="1">
        <f t="array" ref="BR144">_xll.DCEPropSectI(BF144, BH144, BG144, BI144, BG144, BI144, "rx")/10</f>
        <v>11.847052463297633</v>
      </c>
      <c r="BS144" s="77" cm="1">
        <f t="array" ref="BS144">_xll.DCEPropSectI(BF144, BH144, BG144, BI144, BG144, BI144, "ry")/10</f>
        <v>5.3836052600564113</v>
      </c>
      <c r="BT144" s="5">
        <f t="shared" si="29"/>
        <v>46.340640568682481</v>
      </c>
      <c r="BU144" s="5">
        <f t="shared" si="30"/>
        <v>101.97627305131346</v>
      </c>
      <c r="BV144" s="5">
        <f t="shared" si="31"/>
        <v>101.97627305131346</v>
      </c>
      <c r="BW144" s="71">
        <f t="shared" si="32"/>
        <v>200</v>
      </c>
      <c r="BX144" s="78" cm="1">
        <f t="array" ref="BX144">IF(BM144&gt;0,1,_xll.DCETCVN5575FactorPhi7121(BV144*SQRT($K$17/206000),"b"))</f>
        <v>0.55590262168625593</v>
      </c>
      <c r="BY144" s="64">
        <f t="shared" si="33"/>
        <v>2.7139999096517032E-2</v>
      </c>
      <c r="BZ144" s="3" t="str">
        <f t="shared" si="34"/>
        <v>OK</v>
      </c>
    </row>
    <row r="145" spans="1:78">
      <c r="A145" s="76"/>
      <c r="B145" s="76"/>
      <c r="C145" s="125"/>
      <c r="D145" s="125"/>
      <c r="E145" s="71"/>
      <c r="F145" s="71"/>
      <c r="G145" s="71"/>
      <c r="H145" s="126"/>
      <c r="I145" s="125"/>
      <c r="J145" s="123"/>
      <c r="K145" s="12"/>
      <c r="L145" s="117"/>
      <c r="M145" s="12"/>
      <c r="N145" s="117"/>
      <c r="O145" s="117"/>
      <c r="P145" s="117"/>
      <c r="Q145" s="118"/>
      <c r="R145" s="118"/>
      <c r="S145" s="118"/>
      <c r="T145" s="12"/>
      <c r="U145" s="118"/>
      <c r="V145" s="118"/>
      <c r="W145" s="12"/>
      <c r="X145" s="119"/>
      <c r="Y145" s="120"/>
      <c r="Z145" s="12"/>
      <c r="BA145" s="70" t="s">
        <v>205</v>
      </c>
      <c r="BB145" s="71" t="s">
        <v>208</v>
      </c>
      <c r="BC145" s="71" t="s">
        <v>207</v>
      </c>
      <c r="BD145" s="71">
        <v>5.34</v>
      </c>
      <c r="BE145" s="71">
        <v>6.1</v>
      </c>
      <c r="BF145" s="71">
        <v>268</v>
      </c>
      <c r="BG145" s="71">
        <v>212</v>
      </c>
      <c r="BH145" s="71">
        <v>5</v>
      </c>
      <c r="BI145" s="71">
        <v>10</v>
      </c>
      <c r="BJ145" s="12" t="str" cm="1">
        <f t="array" ref="BJ145">_xll.Dce_Name_SectI(BF145, BF145, BG145, BH145, BI145, "x", "-", $AX$11)</f>
        <v>268x212x5x10</v>
      </c>
      <c r="BK145" s="77" cm="1">
        <f t="array" ref="BK145">_xll.DCEPropSectI(BF145, BH145, BG145, BI145, BG145, BI145, "A")/100</f>
        <v>54.8</v>
      </c>
      <c r="BL145" s="70" t="s">
        <v>221</v>
      </c>
      <c r="BM145" s="70">
        <v>-17.683977017166907</v>
      </c>
      <c r="BN145" s="71">
        <v>0.9</v>
      </c>
      <c r="BO145" s="77">
        <f t="shared" si="27"/>
        <v>5.49</v>
      </c>
      <c r="BP145" s="71">
        <v>0.9</v>
      </c>
      <c r="BQ145" s="77">
        <f t="shared" si="28"/>
        <v>5.49</v>
      </c>
      <c r="BR145" s="77" cm="1">
        <f t="array" ref="BR145">_xll.DCEPropSectI(BF145, BH145, BG145, BI145, BG145, BI145, "rx")/10</f>
        <v>11.847052463297633</v>
      </c>
      <c r="BS145" s="77" cm="1">
        <f t="array" ref="BS145">_xll.DCEPropSectI(BF145, BH145, BG145, BI145, BG145, BI145, "ry")/10</f>
        <v>5.3836052600564113</v>
      </c>
      <c r="BT145" s="5">
        <f t="shared" si="29"/>
        <v>46.340640568682481</v>
      </c>
      <c r="BU145" s="5">
        <f t="shared" si="30"/>
        <v>101.97627305131346</v>
      </c>
      <c r="BV145" s="5">
        <f t="shared" si="31"/>
        <v>101.97627305131346</v>
      </c>
      <c r="BW145" s="71">
        <f t="shared" si="32"/>
        <v>200</v>
      </c>
      <c r="BX145" s="78" cm="1">
        <f t="array" ref="BX145">IF(BM145&gt;0,1,_xll.DCETCVN5575FactorPhi7121(BV145*SQRT($K$17/206000),"b"))</f>
        <v>0.55590262168625593</v>
      </c>
      <c r="BY145" s="64">
        <f t="shared" si="33"/>
        <v>2.7642757660151993E-2</v>
      </c>
      <c r="BZ145" s="3" t="str">
        <f t="shared" si="34"/>
        <v>OK</v>
      </c>
    </row>
    <row r="146" spans="1:78">
      <c r="A146" s="76"/>
      <c r="B146" s="76"/>
      <c r="C146" s="125"/>
      <c r="D146" s="125"/>
      <c r="E146" s="71"/>
      <c r="F146" s="71"/>
      <c r="G146" s="71"/>
      <c r="H146" s="126"/>
      <c r="I146" s="125"/>
      <c r="J146" s="123"/>
      <c r="K146" s="12"/>
      <c r="L146" s="117"/>
      <c r="M146" s="12"/>
      <c r="N146" s="117"/>
      <c r="O146" s="117"/>
      <c r="P146" s="117"/>
      <c r="Q146" s="118"/>
      <c r="R146" s="118"/>
      <c r="S146" s="118"/>
      <c r="T146" s="12"/>
      <c r="U146" s="118"/>
      <c r="V146" s="118"/>
      <c r="W146" s="12"/>
      <c r="X146" s="119"/>
      <c r="Y146" s="120"/>
      <c r="Z146" s="12"/>
      <c r="BA146" s="70" t="s">
        <v>205</v>
      </c>
      <c r="BB146" s="71" t="s">
        <v>208</v>
      </c>
      <c r="BC146" s="71" t="s">
        <v>207</v>
      </c>
      <c r="BD146" s="71">
        <v>6.1</v>
      </c>
      <c r="BE146" s="71">
        <v>6.1</v>
      </c>
      <c r="BF146" s="71">
        <v>268</v>
      </c>
      <c r="BG146" s="71">
        <v>212</v>
      </c>
      <c r="BH146" s="71">
        <v>5</v>
      </c>
      <c r="BI146" s="71">
        <v>10</v>
      </c>
      <c r="BJ146" s="12" t="str" cm="1">
        <f t="array" ref="BJ146">_xll.Dce_Name_SectI(BF146, BF146, BG146, BH146, BI146, "x", "-", $AX$11)</f>
        <v>268x212x5x10</v>
      </c>
      <c r="BK146" s="77" cm="1">
        <f t="array" ref="BK146">_xll.DCEPropSectI(BF146, BH146, BG146, BI146, BG146, BI146, "A")/100</f>
        <v>54.8</v>
      </c>
      <c r="BL146" s="70" t="s">
        <v>221</v>
      </c>
      <c r="BM146" s="70">
        <v>-18.00560812914966</v>
      </c>
      <c r="BN146" s="71">
        <v>0.9</v>
      </c>
      <c r="BO146" s="77">
        <f t="shared" si="27"/>
        <v>5.49</v>
      </c>
      <c r="BP146" s="71">
        <v>0.9</v>
      </c>
      <c r="BQ146" s="77">
        <f t="shared" si="28"/>
        <v>5.49</v>
      </c>
      <c r="BR146" s="77" cm="1">
        <f t="array" ref="BR146">_xll.DCEPropSectI(BF146, BH146, BG146, BI146, BG146, BI146, "rx")/10</f>
        <v>11.847052463297633</v>
      </c>
      <c r="BS146" s="77" cm="1">
        <f t="array" ref="BS146">_xll.DCEPropSectI(BF146, BH146, BG146, BI146, BG146, BI146, "ry")/10</f>
        <v>5.3836052600564113</v>
      </c>
      <c r="BT146" s="5">
        <f t="shared" si="29"/>
        <v>46.340640568682481</v>
      </c>
      <c r="BU146" s="5">
        <f t="shared" si="30"/>
        <v>101.97627305131346</v>
      </c>
      <c r="BV146" s="5">
        <f t="shared" si="31"/>
        <v>101.97627305131346</v>
      </c>
      <c r="BW146" s="71">
        <f t="shared" si="32"/>
        <v>200</v>
      </c>
      <c r="BX146" s="78" cm="1">
        <f t="array" ref="BX146">IF(BM146&gt;0,1,_xll.DCETCVN5575FactorPhi7121(BV146*SQRT($K$17/206000),"b"))</f>
        <v>0.55590262168625593</v>
      </c>
      <c r="BY146" s="64">
        <f t="shared" si="33"/>
        <v>2.814551622378695E-2</v>
      </c>
      <c r="BZ146" s="3" t="str">
        <f t="shared" si="34"/>
        <v>OK</v>
      </c>
    </row>
    <row r="147" spans="1:78">
      <c r="A147" s="76"/>
      <c r="B147" s="76"/>
      <c r="C147" s="125"/>
      <c r="D147" s="125"/>
      <c r="E147" s="71"/>
      <c r="F147" s="71"/>
      <c r="G147" s="71"/>
      <c r="H147" s="126"/>
      <c r="I147" s="125"/>
      <c r="J147" s="123"/>
      <c r="K147" s="12"/>
      <c r="L147" s="117"/>
      <c r="M147" s="12"/>
      <c r="N147" s="117"/>
      <c r="O147" s="117"/>
      <c r="P147" s="117"/>
      <c r="Q147" s="118"/>
      <c r="R147" s="118"/>
      <c r="S147" s="118"/>
      <c r="T147" s="12"/>
      <c r="U147" s="118"/>
      <c r="V147" s="118"/>
      <c r="W147" s="12"/>
      <c r="X147" s="119"/>
      <c r="Y147" s="120"/>
      <c r="Z147" s="12"/>
      <c r="BA147" s="70" t="s">
        <v>205</v>
      </c>
      <c r="BB147" s="71" t="s">
        <v>208</v>
      </c>
      <c r="BC147" s="71" t="s">
        <v>207</v>
      </c>
      <c r="BD147" s="71">
        <v>0</v>
      </c>
      <c r="BE147" s="71">
        <v>6.1</v>
      </c>
      <c r="BF147" s="71">
        <v>268</v>
      </c>
      <c r="BG147" s="71">
        <v>212</v>
      </c>
      <c r="BH147" s="71">
        <v>5</v>
      </c>
      <c r="BI147" s="71">
        <v>10</v>
      </c>
      <c r="BJ147" s="12" t="str" cm="1">
        <f t="array" ref="BJ147">_xll.Dce_Name_SectI(BF147, BF147, BG147, BH147, BI147, "x", "-", $AX$11)</f>
        <v>268x212x5x10</v>
      </c>
      <c r="BK147" s="77" cm="1">
        <f t="array" ref="BK147">_xll.DCEPropSectI(BF147, BH147, BG147, BI147, BG147, BI147, "A")/100</f>
        <v>54.8</v>
      </c>
      <c r="BL147" s="70" t="s">
        <v>222</v>
      </c>
      <c r="BM147" s="70">
        <v>-13.575167111093037</v>
      </c>
      <c r="BN147" s="71">
        <v>0.9</v>
      </c>
      <c r="BO147" s="77">
        <f t="shared" si="27"/>
        <v>5.49</v>
      </c>
      <c r="BP147" s="71">
        <v>0.9</v>
      </c>
      <c r="BQ147" s="77">
        <f t="shared" si="28"/>
        <v>5.49</v>
      </c>
      <c r="BR147" s="77" cm="1">
        <f t="array" ref="BR147">_xll.DCEPropSectI(BF147, BH147, BG147, BI147, BG147, BI147, "rx")/10</f>
        <v>11.847052463297633</v>
      </c>
      <c r="BS147" s="77" cm="1">
        <f t="array" ref="BS147">_xll.DCEPropSectI(BF147, BH147, BG147, BI147, BG147, BI147, "ry")/10</f>
        <v>5.3836052600564113</v>
      </c>
      <c r="BT147" s="5">
        <f t="shared" si="29"/>
        <v>46.340640568682481</v>
      </c>
      <c r="BU147" s="5">
        <f t="shared" si="30"/>
        <v>101.97627305131346</v>
      </c>
      <c r="BV147" s="5">
        <f t="shared" si="31"/>
        <v>101.97627305131346</v>
      </c>
      <c r="BW147" s="71">
        <f t="shared" si="32"/>
        <v>200</v>
      </c>
      <c r="BX147" s="78" cm="1">
        <f t="array" ref="BX147">IF(BM147&gt;0,1,_xll.DCETCVN5575FactorPhi7121(BV147*SQRT($K$17/206000),"b"))</f>
        <v>0.55590262168625593</v>
      </c>
      <c r="BY147" s="64">
        <f t="shared" si="33"/>
        <v>2.1220060073801703E-2</v>
      </c>
      <c r="BZ147" s="3" t="str">
        <f t="shared" si="34"/>
        <v>OK</v>
      </c>
    </row>
    <row r="148" spans="1:78">
      <c r="A148" s="76"/>
      <c r="B148" s="76"/>
      <c r="C148" s="125"/>
      <c r="D148" s="125"/>
      <c r="E148" s="71"/>
      <c r="F148" s="71"/>
      <c r="G148" s="71"/>
      <c r="H148" s="126"/>
      <c r="I148" s="125"/>
      <c r="J148" s="123"/>
      <c r="K148" s="12"/>
      <c r="L148" s="117"/>
      <c r="M148" s="12"/>
      <c r="N148" s="117"/>
      <c r="O148" s="117"/>
      <c r="P148" s="117"/>
      <c r="Q148" s="118"/>
      <c r="R148" s="118"/>
      <c r="S148" s="118"/>
      <c r="T148" s="12"/>
      <c r="U148" s="118"/>
      <c r="V148" s="118"/>
      <c r="W148" s="12"/>
      <c r="X148" s="119"/>
      <c r="Y148" s="120"/>
      <c r="Z148" s="12"/>
      <c r="BA148" s="70" t="s">
        <v>205</v>
      </c>
      <c r="BB148" s="71" t="s">
        <v>208</v>
      </c>
      <c r="BC148" s="71" t="s">
        <v>207</v>
      </c>
      <c r="BD148" s="71">
        <v>0.76</v>
      </c>
      <c r="BE148" s="71">
        <v>6.1</v>
      </c>
      <c r="BF148" s="71">
        <v>268</v>
      </c>
      <c r="BG148" s="71">
        <v>212</v>
      </c>
      <c r="BH148" s="71">
        <v>5</v>
      </c>
      <c r="BI148" s="71">
        <v>10</v>
      </c>
      <c r="BJ148" s="12" t="str" cm="1">
        <f t="array" ref="BJ148">_xll.Dce_Name_SectI(BF148, BF148, BG148, BH148, BI148, "x", "-", $AX$11)</f>
        <v>268x212x5x10</v>
      </c>
      <c r="BK148" s="77" cm="1">
        <f t="array" ref="BK148">_xll.DCEPropSectI(BF148, BH148, BG148, BI148, BG148, BI148, "A")/100</f>
        <v>54.8</v>
      </c>
      <c r="BL148" s="70" t="s">
        <v>222</v>
      </c>
      <c r="BM148" s="70">
        <v>-13.896798223075791</v>
      </c>
      <c r="BN148" s="71">
        <v>0.9</v>
      </c>
      <c r="BO148" s="77">
        <f t="shared" si="27"/>
        <v>5.49</v>
      </c>
      <c r="BP148" s="71">
        <v>0.9</v>
      </c>
      <c r="BQ148" s="77">
        <f t="shared" si="28"/>
        <v>5.49</v>
      </c>
      <c r="BR148" s="77" cm="1">
        <f t="array" ref="BR148">_xll.DCEPropSectI(BF148, BH148, BG148, BI148, BG148, BI148, "rx")/10</f>
        <v>11.847052463297633</v>
      </c>
      <c r="BS148" s="77" cm="1">
        <f t="array" ref="BS148">_xll.DCEPropSectI(BF148, BH148, BG148, BI148, BG148, BI148, "ry")/10</f>
        <v>5.3836052600564113</v>
      </c>
      <c r="BT148" s="5">
        <f t="shared" si="29"/>
        <v>46.340640568682481</v>
      </c>
      <c r="BU148" s="5">
        <f t="shared" si="30"/>
        <v>101.97627305131346</v>
      </c>
      <c r="BV148" s="5">
        <f t="shared" si="31"/>
        <v>101.97627305131346</v>
      </c>
      <c r="BW148" s="71">
        <f t="shared" si="32"/>
        <v>200</v>
      </c>
      <c r="BX148" s="78" cm="1">
        <f t="array" ref="BX148">IF(BM148&gt;0,1,_xll.DCETCVN5575FactorPhi7121(BV148*SQRT($K$17/206000),"b"))</f>
        <v>0.55590262168625593</v>
      </c>
      <c r="BY148" s="64">
        <f t="shared" si="33"/>
        <v>2.1722818637436664E-2</v>
      </c>
      <c r="BZ148" s="3" t="str">
        <f t="shared" si="34"/>
        <v>OK</v>
      </c>
    </row>
    <row r="149" spans="1:78">
      <c r="A149" s="76"/>
      <c r="B149" s="76"/>
      <c r="C149" s="125"/>
      <c r="D149" s="125"/>
      <c r="E149" s="71"/>
      <c r="F149" s="71"/>
      <c r="G149" s="71"/>
      <c r="H149" s="126"/>
      <c r="I149" s="125"/>
      <c r="J149" s="123"/>
      <c r="K149" s="12"/>
      <c r="L149" s="117"/>
      <c r="M149" s="12"/>
      <c r="N149" s="117"/>
      <c r="O149" s="117"/>
      <c r="P149" s="117"/>
      <c r="Q149" s="118"/>
      <c r="R149" s="118"/>
      <c r="S149" s="118"/>
      <c r="T149" s="12"/>
      <c r="U149" s="118"/>
      <c r="V149" s="118"/>
      <c r="W149" s="12"/>
      <c r="X149" s="119"/>
      <c r="Y149" s="120"/>
      <c r="Z149" s="12"/>
      <c r="BA149" s="70" t="s">
        <v>205</v>
      </c>
      <c r="BB149" s="71" t="s">
        <v>208</v>
      </c>
      <c r="BC149" s="71" t="s">
        <v>207</v>
      </c>
      <c r="BD149" s="71">
        <v>1.52</v>
      </c>
      <c r="BE149" s="71">
        <v>6.1</v>
      </c>
      <c r="BF149" s="71">
        <v>268</v>
      </c>
      <c r="BG149" s="71">
        <v>212</v>
      </c>
      <c r="BH149" s="71">
        <v>5</v>
      </c>
      <c r="BI149" s="71">
        <v>10</v>
      </c>
      <c r="BJ149" s="12" t="str" cm="1">
        <f t="array" ref="BJ149">_xll.Dce_Name_SectI(BF149, BF149, BG149, BH149, BI149, "x", "-", $AX$11)</f>
        <v>268x212x5x10</v>
      </c>
      <c r="BK149" s="77" cm="1">
        <f t="array" ref="BK149">_xll.DCEPropSectI(BF149, BH149, BG149, BI149, BG149, BI149, "A")/100</f>
        <v>54.8</v>
      </c>
      <c r="BL149" s="70" t="s">
        <v>222</v>
      </c>
      <c r="BM149" s="70">
        <v>-14.218429335058545</v>
      </c>
      <c r="BN149" s="71">
        <v>0.9</v>
      </c>
      <c r="BO149" s="77">
        <f t="shared" si="27"/>
        <v>5.49</v>
      </c>
      <c r="BP149" s="71">
        <v>0.9</v>
      </c>
      <c r="BQ149" s="77">
        <f t="shared" si="28"/>
        <v>5.49</v>
      </c>
      <c r="BR149" s="77" cm="1">
        <f t="array" ref="BR149">_xll.DCEPropSectI(BF149, BH149, BG149, BI149, BG149, BI149, "rx")/10</f>
        <v>11.847052463297633</v>
      </c>
      <c r="BS149" s="77" cm="1">
        <f t="array" ref="BS149">_xll.DCEPropSectI(BF149, BH149, BG149, BI149, BG149, BI149, "ry")/10</f>
        <v>5.3836052600564113</v>
      </c>
      <c r="BT149" s="5">
        <f t="shared" si="29"/>
        <v>46.340640568682481</v>
      </c>
      <c r="BU149" s="5">
        <f t="shared" si="30"/>
        <v>101.97627305131346</v>
      </c>
      <c r="BV149" s="5">
        <f t="shared" si="31"/>
        <v>101.97627305131346</v>
      </c>
      <c r="BW149" s="71">
        <f t="shared" si="32"/>
        <v>200</v>
      </c>
      <c r="BX149" s="78" cm="1">
        <f t="array" ref="BX149">IF(BM149&gt;0,1,_xll.DCETCVN5575FactorPhi7121(BV149*SQRT($K$17/206000),"b"))</f>
        <v>0.55590262168625593</v>
      </c>
      <c r="BY149" s="64">
        <f t="shared" si="33"/>
        <v>2.2225577201071621E-2</v>
      </c>
      <c r="BZ149" s="3" t="str">
        <f t="shared" si="34"/>
        <v>OK</v>
      </c>
    </row>
    <row r="150" spans="1:78">
      <c r="A150" s="76"/>
      <c r="B150" s="76"/>
      <c r="C150" s="125"/>
      <c r="D150" s="125"/>
      <c r="E150" s="71"/>
      <c r="F150" s="71"/>
      <c r="G150" s="71"/>
      <c r="H150" s="126"/>
      <c r="I150" s="125"/>
      <c r="J150" s="123"/>
      <c r="K150" s="12"/>
      <c r="L150" s="117"/>
      <c r="M150" s="12"/>
      <c r="N150" s="117"/>
      <c r="O150" s="117"/>
      <c r="P150" s="117"/>
      <c r="Q150" s="118"/>
      <c r="R150" s="118"/>
      <c r="S150" s="118"/>
      <c r="T150" s="12"/>
      <c r="U150" s="118"/>
      <c r="V150" s="118"/>
      <c r="W150" s="12"/>
      <c r="X150" s="119"/>
      <c r="Y150" s="120"/>
      <c r="Z150" s="12"/>
      <c r="BA150" s="70" t="s">
        <v>205</v>
      </c>
      <c r="BB150" s="71" t="s">
        <v>208</v>
      </c>
      <c r="BC150" s="71" t="s">
        <v>207</v>
      </c>
      <c r="BD150" s="71">
        <v>2.29</v>
      </c>
      <c r="BE150" s="71">
        <v>6.1</v>
      </c>
      <c r="BF150" s="71">
        <v>268</v>
      </c>
      <c r="BG150" s="71">
        <v>212</v>
      </c>
      <c r="BH150" s="71">
        <v>5</v>
      </c>
      <c r="BI150" s="71">
        <v>10</v>
      </c>
      <c r="BJ150" s="12" t="str" cm="1">
        <f t="array" ref="BJ150">_xll.Dce_Name_SectI(BF150, BF150, BG150, BH150, BI150, "x", "-", $AX$11)</f>
        <v>268x212x5x10</v>
      </c>
      <c r="BK150" s="77" cm="1">
        <f t="array" ref="BK150">_xll.DCEPropSectI(BF150, BH150, BG150, BI150, BG150, BI150, "A")/100</f>
        <v>54.8</v>
      </c>
      <c r="BL150" s="70" t="s">
        <v>222</v>
      </c>
      <c r="BM150" s="70">
        <v>-14.540060447041297</v>
      </c>
      <c r="BN150" s="71">
        <v>0.9</v>
      </c>
      <c r="BO150" s="77">
        <f t="shared" si="27"/>
        <v>5.49</v>
      </c>
      <c r="BP150" s="71">
        <v>0.9</v>
      </c>
      <c r="BQ150" s="77">
        <f t="shared" si="28"/>
        <v>5.49</v>
      </c>
      <c r="BR150" s="77" cm="1">
        <f t="array" ref="BR150">_xll.DCEPropSectI(BF150, BH150, BG150, BI150, BG150, BI150, "rx")/10</f>
        <v>11.847052463297633</v>
      </c>
      <c r="BS150" s="77" cm="1">
        <f t="array" ref="BS150">_xll.DCEPropSectI(BF150, BH150, BG150, BI150, BG150, BI150, "ry")/10</f>
        <v>5.3836052600564113</v>
      </c>
      <c r="BT150" s="5">
        <f t="shared" si="29"/>
        <v>46.340640568682481</v>
      </c>
      <c r="BU150" s="5">
        <f t="shared" si="30"/>
        <v>101.97627305131346</v>
      </c>
      <c r="BV150" s="5">
        <f t="shared" si="31"/>
        <v>101.97627305131346</v>
      </c>
      <c r="BW150" s="71">
        <f t="shared" si="32"/>
        <v>200</v>
      </c>
      <c r="BX150" s="78" cm="1">
        <f t="array" ref="BX150">IF(BM150&gt;0,1,_xll.DCETCVN5575FactorPhi7121(BV150*SQRT($K$17/206000),"b"))</f>
        <v>0.55590262168625593</v>
      </c>
      <c r="BY150" s="64">
        <f t="shared" si="33"/>
        <v>2.2728335764706578E-2</v>
      </c>
      <c r="BZ150" s="3" t="str">
        <f t="shared" si="34"/>
        <v>OK</v>
      </c>
    </row>
    <row r="151" spans="1:78">
      <c r="A151" s="76"/>
      <c r="B151" s="76"/>
      <c r="C151" s="125"/>
      <c r="D151" s="125"/>
      <c r="E151" s="71"/>
      <c r="F151" s="71"/>
      <c r="G151" s="71"/>
      <c r="H151" s="126"/>
      <c r="I151" s="125"/>
      <c r="J151" s="123"/>
      <c r="K151" s="12"/>
      <c r="L151" s="117"/>
      <c r="M151" s="12"/>
      <c r="N151" s="117"/>
      <c r="O151" s="117"/>
      <c r="P151" s="117"/>
      <c r="Q151" s="118"/>
      <c r="R151" s="118"/>
      <c r="S151" s="118"/>
      <c r="T151" s="12"/>
      <c r="U151" s="118"/>
      <c r="V151" s="118"/>
      <c r="W151" s="12"/>
      <c r="X151" s="119"/>
      <c r="Y151" s="120"/>
      <c r="Z151" s="12"/>
      <c r="BA151" s="70" t="s">
        <v>205</v>
      </c>
      <c r="BB151" s="71" t="s">
        <v>208</v>
      </c>
      <c r="BC151" s="71" t="s">
        <v>207</v>
      </c>
      <c r="BD151" s="71">
        <v>3.05</v>
      </c>
      <c r="BE151" s="71">
        <v>6.1</v>
      </c>
      <c r="BF151" s="71">
        <v>268</v>
      </c>
      <c r="BG151" s="71">
        <v>212</v>
      </c>
      <c r="BH151" s="71">
        <v>5</v>
      </c>
      <c r="BI151" s="71">
        <v>10</v>
      </c>
      <c r="BJ151" s="12" t="str" cm="1">
        <f t="array" ref="BJ151">_xll.Dce_Name_SectI(BF151, BF151, BG151, BH151, BI151, "x", "-", $AX$11)</f>
        <v>268x212x5x10</v>
      </c>
      <c r="BK151" s="77" cm="1">
        <f t="array" ref="BK151">_xll.DCEPropSectI(BF151, BH151, BG151, BI151, BG151, BI151, "A")/100</f>
        <v>54.8</v>
      </c>
      <c r="BL151" s="70" t="s">
        <v>222</v>
      </c>
      <c r="BM151" s="70">
        <v>-14.861691559024051</v>
      </c>
      <c r="BN151" s="71">
        <v>0.9</v>
      </c>
      <c r="BO151" s="77">
        <f t="shared" si="27"/>
        <v>5.49</v>
      </c>
      <c r="BP151" s="71">
        <v>0.9</v>
      </c>
      <c r="BQ151" s="77">
        <f t="shared" si="28"/>
        <v>5.49</v>
      </c>
      <c r="BR151" s="77" cm="1">
        <f t="array" ref="BR151">_xll.DCEPropSectI(BF151, BH151, BG151, BI151, BG151, BI151, "rx")/10</f>
        <v>11.847052463297633</v>
      </c>
      <c r="BS151" s="77" cm="1">
        <f t="array" ref="BS151">_xll.DCEPropSectI(BF151, BH151, BG151, BI151, BG151, BI151, "ry")/10</f>
        <v>5.3836052600564113</v>
      </c>
      <c r="BT151" s="5">
        <f t="shared" si="29"/>
        <v>46.340640568682481</v>
      </c>
      <c r="BU151" s="5">
        <f t="shared" si="30"/>
        <v>101.97627305131346</v>
      </c>
      <c r="BV151" s="5">
        <f t="shared" si="31"/>
        <v>101.97627305131346</v>
      </c>
      <c r="BW151" s="71">
        <f t="shared" si="32"/>
        <v>200</v>
      </c>
      <c r="BX151" s="78" cm="1">
        <f t="array" ref="BX151">IF(BM151&gt;0,1,_xll.DCETCVN5575FactorPhi7121(BV151*SQRT($K$17/206000),"b"))</f>
        <v>0.55590262168625593</v>
      </c>
      <c r="BY151" s="64">
        <f t="shared" si="33"/>
        <v>2.3231094328341539E-2</v>
      </c>
      <c r="BZ151" s="3" t="str">
        <f t="shared" si="34"/>
        <v>OK</v>
      </c>
    </row>
    <row r="152" spans="1:78">
      <c r="A152" s="76"/>
      <c r="B152" s="76"/>
      <c r="C152" s="125"/>
      <c r="D152" s="125"/>
      <c r="E152" s="71"/>
      <c r="F152" s="71"/>
      <c r="G152" s="71"/>
      <c r="H152" s="126"/>
      <c r="I152" s="125"/>
      <c r="J152" s="123"/>
      <c r="K152" s="12"/>
      <c r="L152" s="117"/>
      <c r="M152" s="12"/>
      <c r="N152" s="117"/>
      <c r="O152" s="117"/>
      <c r="P152" s="117"/>
      <c r="Q152" s="118"/>
      <c r="R152" s="118"/>
      <c r="S152" s="118"/>
      <c r="T152" s="12"/>
      <c r="U152" s="118"/>
      <c r="V152" s="118"/>
      <c r="W152" s="12"/>
      <c r="X152" s="119"/>
      <c r="Y152" s="120"/>
      <c r="Z152" s="12"/>
      <c r="BA152" s="70" t="s">
        <v>205</v>
      </c>
      <c r="BB152" s="71" t="s">
        <v>208</v>
      </c>
      <c r="BC152" s="71" t="s">
        <v>207</v>
      </c>
      <c r="BD152" s="71">
        <v>3.81</v>
      </c>
      <c r="BE152" s="71">
        <v>6.1</v>
      </c>
      <c r="BF152" s="71">
        <v>268</v>
      </c>
      <c r="BG152" s="71">
        <v>212</v>
      </c>
      <c r="BH152" s="71">
        <v>5</v>
      </c>
      <c r="BI152" s="71">
        <v>10</v>
      </c>
      <c r="BJ152" s="12" t="str" cm="1">
        <f t="array" ref="BJ152">_xll.Dce_Name_SectI(BF152, BF152, BG152, BH152, BI152, "x", "-", $AX$11)</f>
        <v>268x212x5x10</v>
      </c>
      <c r="BK152" s="77" cm="1">
        <f t="array" ref="BK152">_xll.DCEPropSectI(BF152, BH152, BG152, BI152, BG152, BI152, "A")/100</f>
        <v>54.8</v>
      </c>
      <c r="BL152" s="70" t="s">
        <v>222</v>
      </c>
      <c r="BM152" s="70">
        <v>-15.183322671006804</v>
      </c>
      <c r="BN152" s="71">
        <v>0.9</v>
      </c>
      <c r="BO152" s="77">
        <f t="shared" si="27"/>
        <v>5.49</v>
      </c>
      <c r="BP152" s="71">
        <v>0.9</v>
      </c>
      <c r="BQ152" s="77">
        <f t="shared" si="28"/>
        <v>5.49</v>
      </c>
      <c r="BR152" s="77" cm="1">
        <f t="array" ref="BR152">_xll.DCEPropSectI(BF152, BH152, BG152, BI152, BG152, BI152, "rx")/10</f>
        <v>11.847052463297633</v>
      </c>
      <c r="BS152" s="77" cm="1">
        <f t="array" ref="BS152">_xll.DCEPropSectI(BF152, BH152, BG152, BI152, BG152, BI152, "ry")/10</f>
        <v>5.3836052600564113</v>
      </c>
      <c r="BT152" s="5">
        <f t="shared" si="29"/>
        <v>46.340640568682481</v>
      </c>
      <c r="BU152" s="5">
        <f t="shared" si="30"/>
        <v>101.97627305131346</v>
      </c>
      <c r="BV152" s="5">
        <f t="shared" si="31"/>
        <v>101.97627305131346</v>
      </c>
      <c r="BW152" s="71">
        <f t="shared" si="32"/>
        <v>200</v>
      </c>
      <c r="BX152" s="78" cm="1">
        <f t="array" ref="BX152">IF(BM152&gt;0,1,_xll.DCETCVN5575FactorPhi7121(BV152*SQRT($K$17/206000),"b"))</f>
        <v>0.55590262168625593</v>
      </c>
      <c r="BY152" s="64">
        <f t="shared" si="33"/>
        <v>2.3733852891976499E-2</v>
      </c>
      <c r="BZ152" s="3" t="str">
        <f t="shared" si="34"/>
        <v>OK</v>
      </c>
    </row>
    <row r="153" spans="1:78">
      <c r="A153" s="76"/>
      <c r="B153" s="76"/>
      <c r="C153" s="125"/>
      <c r="D153" s="125"/>
      <c r="E153" s="71"/>
      <c r="F153" s="71"/>
      <c r="G153" s="71"/>
      <c r="H153" s="126"/>
      <c r="I153" s="125"/>
      <c r="J153" s="123"/>
      <c r="K153" s="12"/>
      <c r="L153" s="117"/>
      <c r="M153" s="12"/>
      <c r="N153" s="117"/>
      <c r="O153" s="117"/>
      <c r="P153" s="117"/>
      <c r="Q153" s="118"/>
      <c r="R153" s="118"/>
      <c r="S153" s="118"/>
      <c r="T153" s="12"/>
      <c r="U153" s="118"/>
      <c r="V153" s="118"/>
      <c r="W153" s="12"/>
      <c r="X153" s="119"/>
      <c r="Y153" s="120"/>
      <c r="Z153" s="12"/>
      <c r="BA153" s="70" t="s">
        <v>205</v>
      </c>
      <c r="BB153" s="71" t="s">
        <v>208</v>
      </c>
      <c r="BC153" s="71" t="s">
        <v>207</v>
      </c>
      <c r="BD153" s="71">
        <v>4.57</v>
      </c>
      <c r="BE153" s="71">
        <v>6.1</v>
      </c>
      <c r="BF153" s="71">
        <v>268</v>
      </c>
      <c r="BG153" s="71">
        <v>212</v>
      </c>
      <c r="BH153" s="71">
        <v>5</v>
      </c>
      <c r="BI153" s="71">
        <v>10</v>
      </c>
      <c r="BJ153" s="12" t="str" cm="1">
        <f t="array" ref="BJ153">_xll.Dce_Name_SectI(BF153, BF153, BG153, BH153, BI153, "x", "-", $AX$11)</f>
        <v>268x212x5x10</v>
      </c>
      <c r="BK153" s="77" cm="1">
        <f t="array" ref="BK153">_xll.DCEPropSectI(BF153, BH153, BG153, BI153, BG153, BI153, "A")/100</f>
        <v>54.8</v>
      </c>
      <c r="BL153" s="70" t="s">
        <v>222</v>
      </c>
      <c r="BM153" s="70">
        <v>-15.504953782989558</v>
      </c>
      <c r="BN153" s="71">
        <v>0.9</v>
      </c>
      <c r="BO153" s="77">
        <f t="shared" si="27"/>
        <v>5.49</v>
      </c>
      <c r="BP153" s="71">
        <v>0.9</v>
      </c>
      <c r="BQ153" s="77">
        <f t="shared" si="28"/>
        <v>5.49</v>
      </c>
      <c r="BR153" s="77" cm="1">
        <f t="array" ref="BR153">_xll.DCEPropSectI(BF153, BH153, BG153, BI153, BG153, BI153, "rx")/10</f>
        <v>11.847052463297633</v>
      </c>
      <c r="BS153" s="77" cm="1">
        <f t="array" ref="BS153">_xll.DCEPropSectI(BF153, BH153, BG153, BI153, BG153, BI153, "ry")/10</f>
        <v>5.3836052600564113</v>
      </c>
      <c r="BT153" s="5">
        <f t="shared" si="29"/>
        <v>46.340640568682481</v>
      </c>
      <c r="BU153" s="5">
        <f t="shared" si="30"/>
        <v>101.97627305131346</v>
      </c>
      <c r="BV153" s="5">
        <f t="shared" si="31"/>
        <v>101.97627305131346</v>
      </c>
      <c r="BW153" s="71">
        <f t="shared" si="32"/>
        <v>200</v>
      </c>
      <c r="BX153" s="78" cm="1">
        <f t="array" ref="BX153">IF(BM153&gt;0,1,_xll.DCETCVN5575FactorPhi7121(BV153*SQRT($K$17/206000),"b"))</f>
        <v>0.55590262168625593</v>
      </c>
      <c r="BY153" s="64">
        <f t="shared" si="33"/>
        <v>2.4236611455611456E-2</v>
      </c>
      <c r="BZ153" s="3" t="str">
        <f t="shared" si="34"/>
        <v>OK</v>
      </c>
    </row>
    <row r="154" spans="1:78">
      <c r="A154" s="76"/>
      <c r="B154" s="76"/>
      <c r="C154" s="125"/>
      <c r="D154" s="125"/>
      <c r="E154" s="71"/>
      <c r="F154" s="71"/>
      <c r="G154" s="71"/>
      <c r="H154" s="126"/>
      <c r="I154" s="125"/>
      <c r="J154" s="123"/>
      <c r="K154" s="12"/>
      <c r="L154" s="117"/>
      <c r="M154" s="12"/>
      <c r="N154" s="117"/>
      <c r="O154" s="117"/>
      <c r="P154" s="117"/>
      <c r="Q154" s="118"/>
      <c r="R154" s="118"/>
      <c r="S154" s="118"/>
      <c r="T154" s="12"/>
      <c r="U154" s="118"/>
      <c r="V154" s="118"/>
      <c r="W154" s="12"/>
      <c r="X154" s="119"/>
      <c r="Y154" s="120"/>
      <c r="Z154" s="12"/>
      <c r="BA154" s="70" t="s">
        <v>205</v>
      </c>
      <c r="BB154" s="71" t="s">
        <v>208</v>
      </c>
      <c r="BC154" s="71" t="s">
        <v>207</v>
      </c>
      <c r="BD154" s="71">
        <v>5.34</v>
      </c>
      <c r="BE154" s="71">
        <v>6.1</v>
      </c>
      <c r="BF154" s="71">
        <v>268</v>
      </c>
      <c r="BG154" s="71">
        <v>212</v>
      </c>
      <c r="BH154" s="71">
        <v>5</v>
      </c>
      <c r="BI154" s="71">
        <v>10</v>
      </c>
      <c r="BJ154" s="12" t="str" cm="1">
        <f t="array" ref="BJ154">_xll.Dce_Name_SectI(BF154, BF154, BG154, BH154, BI154, "x", "-", $AX$11)</f>
        <v>268x212x5x10</v>
      </c>
      <c r="BK154" s="77" cm="1">
        <f t="array" ref="BK154">_xll.DCEPropSectI(BF154, BH154, BG154, BI154, BG154, BI154, "A")/100</f>
        <v>54.8</v>
      </c>
      <c r="BL154" s="70" t="s">
        <v>222</v>
      </c>
      <c r="BM154" s="70">
        <v>-15.82658489497231</v>
      </c>
      <c r="BN154" s="71">
        <v>0.9</v>
      </c>
      <c r="BO154" s="77">
        <f t="shared" si="27"/>
        <v>5.49</v>
      </c>
      <c r="BP154" s="71">
        <v>0.9</v>
      </c>
      <c r="BQ154" s="77">
        <f t="shared" si="28"/>
        <v>5.49</v>
      </c>
      <c r="BR154" s="77" cm="1">
        <f t="array" ref="BR154">_xll.DCEPropSectI(BF154, BH154, BG154, BI154, BG154, BI154, "rx")/10</f>
        <v>11.847052463297633</v>
      </c>
      <c r="BS154" s="77" cm="1">
        <f t="array" ref="BS154">_xll.DCEPropSectI(BF154, BH154, BG154, BI154, BG154, BI154, "ry")/10</f>
        <v>5.3836052600564113</v>
      </c>
      <c r="BT154" s="5">
        <f t="shared" si="29"/>
        <v>46.340640568682481</v>
      </c>
      <c r="BU154" s="5">
        <f t="shared" si="30"/>
        <v>101.97627305131346</v>
      </c>
      <c r="BV154" s="5">
        <f t="shared" si="31"/>
        <v>101.97627305131346</v>
      </c>
      <c r="BW154" s="71">
        <f t="shared" si="32"/>
        <v>200</v>
      </c>
      <c r="BX154" s="78" cm="1">
        <f t="array" ref="BX154">IF(BM154&gt;0,1,_xll.DCETCVN5575FactorPhi7121(BV154*SQRT($K$17/206000),"b"))</f>
        <v>0.55590262168625593</v>
      </c>
      <c r="BY154" s="64">
        <f t="shared" si="33"/>
        <v>2.4739370019246414E-2</v>
      </c>
      <c r="BZ154" s="3" t="str">
        <f t="shared" si="34"/>
        <v>OK</v>
      </c>
    </row>
    <row r="155" spans="1:78">
      <c r="A155" s="76"/>
      <c r="B155" s="76"/>
      <c r="C155" s="125"/>
      <c r="D155" s="125"/>
      <c r="E155" s="71"/>
      <c r="F155" s="71"/>
      <c r="G155" s="71"/>
      <c r="H155" s="126"/>
      <c r="I155" s="125"/>
      <c r="J155" s="123"/>
      <c r="K155" s="12"/>
      <c r="L155" s="117"/>
      <c r="M155" s="12"/>
      <c r="N155" s="117"/>
      <c r="O155" s="117"/>
      <c r="P155" s="117"/>
      <c r="Q155" s="118"/>
      <c r="R155" s="118"/>
      <c r="S155" s="118"/>
      <c r="T155" s="12"/>
      <c r="U155" s="118"/>
      <c r="V155" s="118"/>
      <c r="W155" s="12"/>
      <c r="X155" s="119"/>
      <c r="Y155" s="120"/>
      <c r="Z155" s="12"/>
      <c r="BA155" s="70" t="s">
        <v>205</v>
      </c>
      <c r="BB155" s="71" t="s">
        <v>208</v>
      </c>
      <c r="BC155" s="71" t="s">
        <v>207</v>
      </c>
      <c r="BD155" s="71">
        <v>6.1</v>
      </c>
      <c r="BE155" s="71">
        <v>6.1</v>
      </c>
      <c r="BF155" s="71">
        <v>268</v>
      </c>
      <c r="BG155" s="71">
        <v>212</v>
      </c>
      <c r="BH155" s="71">
        <v>5</v>
      </c>
      <c r="BI155" s="71">
        <v>10</v>
      </c>
      <c r="BJ155" s="12" t="str" cm="1">
        <f t="array" ref="BJ155">_xll.Dce_Name_SectI(BF155, BF155, BG155, BH155, BI155, "x", "-", $AX$11)</f>
        <v>268x212x5x10</v>
      </c>
      <c r="BK155" s="77" cm="1">
        <f t="array" ref="BK155">_xll.DCEPropSectI(BF155, BH155, BG155, BI155, BG155, BI155, "A")/100</f>
        <v>54.8</v>
      </c>
      <c r="BL155" s="70" t="s">
        <v>222</v>
      </c>
      <c r="BM155" s="70">
        <v>-16.148216006955064</v>
      </c>
      <c r="BN155" s="71">
        <v>0.9</v>
      </c>
      <c r="BO155" s="77">
        <f t="shared" si="27"/>
        <v>5.49</v>
      </c>
      <c r="BP155" s="71">
        <v>0.9</v>
      </c>
      <c r="BQ155" s="77">
        <f t="shared" si="28"/>
        <v>5.49</v>
      </c>
      <c r="BR155" s="77" cm="1">
        <f t="array" ref="BR155">_xll.DCEPropSectI(BF155, BH155, BG155, BI155, BG155, BI155, "rx")/10</f>
        <v>11.847052463297633</v>
      </c>
      <c r="BS155" s="77" cm="1">
        <f t="array" ref="BS155">_xll.DCEPropSectI(BF155, BH155, BG155, BI155, BG155, BI155, "ry")/10</f>
        <v>5.3836052600564113</v>
      </c>
      <c r="BT155" s="5">
        <f t="shared" si="29"/>
        <v>46.340640568682481</v>
      </c>
      <c r="BU155" s="5">
        <f t="shared" si="30"/>
        <v>101.97627305131346</v>
      </c>
      <c r="BV155" s="5">
        <f t="shared" si="31"/>
        <v>101.97627305131346</v>
      </c>
      <c r="BW155" s="71">
        <f t="shared" si="32"/>
        <v>200</v>
      </c>
      <c r="BX155" s="78" cm="1">
        <f t="array" ref="BX155">IF(BM155&gt;0,1,_xll.DCETCVN5575FactorPhi7121(BV155*SQRT($K$17/206000),"b"))</f>
        <v>0.55590262168625593</v>
      </c>
      <c r="BY155" s="64">
        <f t="shared" si="33"/>
        <v>2.5242128582881371E-2</v>
      </c>
      <c r="BZ155" s="3" t="str">
        <f t="shared" si="34"/>
        <v>OK</v>
      </c>
    </row>
    <row r="156" spans="1:78">
      <c r="A156" s="76"/>
      <c r="B156" s="76"/>
      <c r="C156" s="125"/>
      <c r="D156" s="125"/>
      <c r="E156" s="71"/>
      <c r="F156" s="71"/>
      <c r="G156" s="71"/>
      <c r="H156" s="126"/>
      <c r="I156" s="125"/>
      <c r="J156" s="123"/>
      <c r="K156" s="12"/>
      <c r="L156" s="117"/>
      <c r="M156" s="12"/>
      <c r="N156" s="117"/>
      <c r="O156" s="117"/>
      <c r="P156" s="117"/>
      <c r="Q156" s="118"/>
      <c r="R156" s="118"/>
      <c r="S156" s="118"/>
      <c r="T156" s="12"/>
      <c r="U156" s="118"/>
      <c r="V156" s="118"/>
      <c r="W156" s="12"/>
      <c r="X156" s="119"/>
      <c r="Y156" s="120"/>
      <c r="Z156" s="12"/>
      <c r="BA156" s="70" t="s">
        <v>205</v>
      </c>
      <c r="BB156" s="71" t="s">
        <v>208</v>
      </c>
      <c r="BC156" s="71" t="s">
        <v>207</v>
      </c>
      <c r="BD156" s="71">
        <v>0</v>
      </c>
      <c r="BE156" s="71">
        <v>6.1</v>
      </c>
      <c r="BF156" s="71">
        <v>268</v>
      </c>
      <c r="BG156" s="71">
        <v>212</v>
      </c>
      <c r="BH156" s="71">
        <v>5</v>
      </c>
      <c r="BI156" s="71">
        <v>10</v>
      </c>
      <c r="BJ156" s="12" t="str" cm="1">
        <f t="array" ref="BJ156">_xll.Dce_Name_SectI(BF156, BF156, BG156, BH156, BI156, "x", "-", $AX$11)</f>
        <v>268x212x5x10</v>
      </c>
      <c r="BK156" s="77" cm="1">
        <f t="array" ref="BK156">_xll.DCEPropSectI(BF156, BH156, BG156, BI156, BG156, BI156, "A")/100</f>
        <v>54.8</v>
      </c>
      <c r="BL156" s="70" t="s">
        <v>223</v>
      </c>
      <c r="BM156" s="70">
        <v>-0.79261892808536605</v>
      </c>
      <c r="BN156" s="71">
        <v>0.9</v>
      </c>
      <c r="BO156" s="77">
        <f t="shared" si="27"/>
        <v>5.49</v>
      </c>
      <c r="BP156" s="71">
        <v>0.9</v>
      </c>
      <c r="BQ156" s="77">
        <f t="shared" si="28"/>
        <v>5.49</v>
      </c>
      <c r="BR156" s="77" cm="1">
        <f t="array" ref="BR156">_xll.DCEPropSectI(BF156, BH156, BG156, BI156, BG156, BI156, "rx")/10</f>
        <v>11.847052463297633</v>
      </c>
      <c r="BS156" s="77" cm="1">
        <f t="array" ref="BS156">_xll.DCEPropSectI(BF156, BH156, BG156, BI156, BG156, BI156, "ry")/10</f>
        <v>5.3836052600564113</v>
      </c>
      <c r="BT156" s="5">
        <f t="shared" si="29"/>
        <v>46.340640568682481</v>
      </c>
      <c r="BU156" s="5">
        <f t="shared" si="30"/>
        <v>101.97627305131346</v>
      </c>
      <c r="BV156" s="5">
        <f t="shared" si="31"/>
        <v>101.97627305131346</v>
      </c>
      <c r="BW156" s="71">
        <f t="shared" si="32"/>
        <v>200</v>
      </c>
      <c r="BX156" s="78" cm="1">
        <f t="array" ref="BX156">IF(BM156&gt;0,1,_xll.DCETCVN5575FactorPhi7121(BV156*SQRT($K$17/206000),"b"))</f>
        <v>0.55590262168625593</v>
      </c>
      <c r="BY156" s="64">
        <f t="shared" si="33"/>
        <v>1.2389844730426691E-3</v>
      </c>
      <c r="BZ156" s="3" t="str">
        <f t="shared" si="34"/>
        <v>OK</v>
      </c>
    </row>
    <row r="157" spans="1:78">
      <c r="A157" s="76"/>
      <c r="B157" s="76"/>
      <c r="C157" s="125"/>
      <c r="D157" s="125"/>
      <c r="E157" s="71"/>
      <c r="F157" s="71"/>
      <c r="G157" s="71"/>
      <c r="H157" s="126"/>
      <c r="I157" s="125"/>
      <c r="J157" s="123"/>
      <c r="K157" s="12"/>
      <c r="L157" s="117"/>
      <c r="M157" s="12"/>
      <c r="N157" s="117"/>
      <c r="O157" s="117"/>
      <c r="P157" s="117"/>
      <c r="Q157" s="118"/>
      <c r="R157" s="118"/>
      <c r="S157" s="118"/>
      <c r="T157" s="12"/>
      <c r="U157" s="118"/>
      <c r="V157" s="118"/>
      <c r="W157" s="12"/>
      <c r="X157" s="119"/>
      <c r="Y157" s="120"/>
      <c r="Z157" s="12"/>
      <c r="BA157" s="70" t="s">
        <v>205</v>
      </c>
      <c r="BB157" s="71" t="s">
        <v>208</v>
      </c>
      <c r="BC157" s="71" t="s">
        <v>207</v>
      </c>
      <c r="BD157" s="71">
        <v>0.76</v>
      </c>
      <c r="BE157" s="71">
        <v>6.1</v>
      </c>
      <c r="BF157" s="71">
        <v>268</v>
      </c>
      <c r="BG157" s="71">
        <v>212</v>
      </c>
      <c r="BH157" s="71">
        <v>5</v>
      </c>
      <c r="BI157" s="71">
        <v>10</v>
      </c>
      <c r="BJ157" s="12" t="str" cm="1">
        <f t="array" ref="BJ157">_xll.Dce_Name_SectI(BF157, BF157, BG157, BH157, BI157, "x", "-", $AX$11)</f>
        <v>268x212x5x10</v>
      </c>
      <c r="BK157" s="77" cm="1">
        <f t="array" ref="BK157">_xll.DCEPropSectI(BF157, BH157, BG157, BI157, BG157, BI157, "A")/100</f>
        <v>54.8</v>
      </c>
      <c r="BL157" s="70" t="s">
        <v>223</v>
      </c>
      <c r="BM157" s="70">
        <v>-1.1142500400681192</v>
      </c>
      <c r="BN157" s="71">
        <v>0.9</v>
      </c>
      <c r="BO157" s="77">
        <f t="shared" si="27"/>
        <v>5.49</v>
      </c>
      <c r="BP157" s="71">
        <v>0.9</v>
      </c>
      <c r="BQ157" s="77">
        <f t="shared" si="28"/>
        <v>5.49</v>
      </c>
      <c r="BR157" s="77" cm="1">
        <f t="array" ref="BR157">_xll.DCEPropSectI(BF157, BH157, BG157, BI157, BG157, BI157, "rx")/10</f>
        <v>11.847052463297633</v>
      </c>
      <c r="BS157" s="77" cm="1">
        <f t="array" ref="BS157">_xll.DCEPropSectI(BF157, BH157, BG157, BI157, BG157, BI157, "ry")/10</f>
        <v>5.3836052600564113</v>
      </c>
      <c r="BT157" s="5">
        <f t="shared" si="29"/>
        <v>46.340640568682481</v>
      </c>
      <c r="BU157" s="5">
        <f t="shared" si="30"/>
        <v>101.97627305131346</v>
      </c>
      <c r="BV157" s="5">
        <f t="shared" si="31"/>
        <v>101.97627305131346</v>
      </c>
      <c r="BW157" s="71">
        <f t="shared" si="32"/>
        <v>200</v>
      </c>
      <c r="BX157" s="78" cm="1">
        <f t="array" ref="BX157">IF(BM157&gt;0,1,_xll.DCETCVN5575FactorPhi7121(BV157*SQRT($K$17/206000),"b"))</f>
        <v>0.55590262168625593</v>
      </c>
      <c r="BY157" s="64">
        <f t="shared" si="33"/>
        <v>1.7417430366776275E-3</v>
      </c>
      <c r="BZ157" s="3" t="str">
        <f t="shared" si="34"/>
        <v>OK</v>
      </c>
    </row>
    <row r="158" spans="1:78">
      <c r="A158" s="76"/>
      <c r="B158" s="76"/>
      <c r="C158" s="125"/>
      <c r="D158" s="125"/>
      <c r="E158" s="71"/>
      <c r="F158" s="71"/>
      <c r="G158" s="71"/>
      <c r="H158" s="126"/>
      <c r="I158" s="125"/>
      <c r="J158" s="123"/>
      <c r="K158" s="12"/>
      <c r="L158" s="117"/>
      <c r="M158" s="12"/>
      <c r="N158" s="117"/>
      <c r="O158" s="117"/>
      <c r="P158" s="117"/>
      <c r="Q158" s="118"/>
      <c r="R158" s="118"/>
      <c r="S158" s="118"/>
      <c r="T158" s="12"/>
      <c r="U158" s="118"/>
      <c r="V158" s="118"/>
      <c r="W158" s="12"/>
      <c r="X158" s="119"/>
      <c r="Y158" s="120"/>
      <c r="Z158" s="12"/>
      <c r="BA158" s="70" t="s">
        <v>205</v>
      </c>
      <c r="BB158" s="71" t="s">
        <v>208</v>
      </c>
      <c r="BC158" s="71" t="s">
        <v>207</v>
      </c>
      <c r="BD158" s="71">
        <v>1.52</v>
      </c>
      <c r="BE158" s="71">
        <v>6.1</v>
      </c>
      <c r="BF158" s="71">
        <v>268</v>
      </c>
      <c r="BG158" s="71">
        <v>212</v>
      </c>
      <c r="BH158" s="71">
        <v>5</v>
      </c>
      <c r="BI158" s="71">
        <v>10</v>
      </c>
      <c r="BJ158" s="12" t="str" cm="1">
        <f t="array" ref="BJ158">_xll.Dce_Name_SectI(BF158, BF158, BG158, BH158, BI158, "x", "-", $AX$11)</f>
        <v>268x212x5x10</v>
      </c>
      <c r="BK158" s="77" cm="1">
        <f t="array" ref="BK158">_xll.DCEPropSectI(BF158, BH158, BG158, BI158, BG158, BI158, "A")/100</f>
        <v>54.8</v>
      </c>
      <c r="BL158" s="70" t="s">
        <v>223</v>
      </c>
      <c r="BM158" s="70">
        <v>-1.435881152050873</v>
      </c>
      <c r="BN158" s="71">
        <v>0.9</v>
      </c>
      <c r="BO158" s="77">
        <f t="shared" si="27"/>
        <v>5.49</v>
      </c>
      <c r="BP158" s="71">
        <v>0.9</v>
      </c>
      <c r="BQ158" s="77">
        <f t="shared" si="28"/>
        <v>5.49</v>
      </c>
      <c r="BR158" s="77" cm="1">
        <f t="array" ref="BR158">_xll.DCEPropSectI(BF158, BH158, BG158, BI158, BG158, BI158, "rx")/10</f>
        <v>11.847052463297633</v>
      </c>
      <c r="BS158" s="77" cm="1">
        <f t="array" ref="BS158">_xll.DCEPropSectI(BF158, BH158, BG158, BI158, BG158, BI158, "ry")/10</f>
        <v>5.3836052600564113</v>
      </c>
      <c r="BT158" s="5">
        <f t="shared" si="29"/>
        <v>46.340640568682481</v>
      </c>
      <c r="BU158" s="5">
        <f t="shared" si="30"/>
        <v>101.97627305131346</v>
      </c>
      <c r="BV158" s="5">
        <f t="shared" si="31"/>
        <v>101.97627305131346</v>
      </c>
      <c r="BW158" s="71">
        <f t="shared" si="32"/>
        <v>200</v>
      </c>
      <c r="BX158" s="78" cm="1">
        <f t="array" ref="BX158">IF(BM158&gt;0,1,_xll.DCETCVN5575FactorPhi7121(BV158*SQRT($K$17/206000),"b"))</f>
        <v>0.55590262168625593</v>
      </c>
      <c r="BY158" s="64">
        <f t="shared" si="33"/>
        <v>2.2445016003125873E-3</v>
      </c>
      <c r="BZ158" s="3" t="str">
        <f t="shared" si="34"/>
        <v>OK</v>
      </c>
    </row>
    <row r="159" spans="1:78">
      <c r="A159" s="76"/>
      <c r="B159" s="76"/>
      <c r="C159" s="125"/>
      <c r="D159" s="125"/>
      <c r="E159" s="71"/>
      <c r="F159" s="71"/>
      <c r="G159" s="71"/>
      <c r="H159" s="126"/>
      <c r="I159" s="125"/>
      <c r="J159" s="123"/>
      <c r="K159" s="12"/>
      <c r="L159" s="117"/>
      <c r="M159" s="12"/>
      <c r="N159" s="117"/>
      <c r="O159" s="117"/>
      <c r="P159" s="117"/>
      <c r="Q159" s="118"/>
      <c r="R159" s="118"/>
      <c r="S159" s="118"/>
      <c r="T159" s="12"/>
      <c r="U159" s="118"/>
      <c r="V159" s="118"/>
      <c r="W159" s="12"/>
      <c r="X159" s="119"/>
      <c r="Y159" s="120"/>
      <c r="Z159" s="12"/>
      <c r="BA159" s="70" t="s">
        <v>205</v>
      </c>
      <c r="BB159" s="71" t="s">
        <v>208</v>
      </c>
      <c r="BC159" s="71" t="s">
        <v>207</v>
      </c>
      <c r="BD159" s="71">
        <v>2.29</v>
      </c>
      <c r="BE159" s="71">
        <v>6.1</v>
      </c>
      <c r="BF159" s="71">
        <v>268</v>
      </c>
      <c r="BG159" s="71">
        <v>212</v>
      </c>
      <c r="BH159" s="71">
        <v>5</v>
      </c>
      <c r="BI159" s="71">
        <v>10</v>
      </c>
      <c r="BJ159" s="12" t="str" cm="1">
        <f t="array" ref="BJ159">_xll.Dce_Name_SectI(BF159, BF159, BG159, BH159, BI159, "x", "-", $AX$11)</f>
        <v>268x212x5x10</v>
      </c>
      <c r="BK159" s="77" cm="1">
        <f t="array" ref="BK159">_xll.DCEPropSectI(BF159, BH159, BG159, BI159, BG159, BI159, "A")/100</f>
        <v>54.8</v>
      </c>
      <c r="BL159" s="70" t="s">
        <v>223</v>
      </c>
      <c r="BM159" s="70">
        <v>-1.7575122640336263</v>
      </c>
      <c r="BN159" s="71">
        <v>0.9</v>
      </c>
      <c r="BO159" s="77">
        <f t="shared" si="27"/>
        <v>5.49</v>
      </c>
      <c r="BP159" s="71">
        <v>0.9</v>
      </c>
      <c r="BQ159" s="77">
        <f t="shared" si="28"/>
        <v>5.49</v>
      </c>
      <c r="BR159" s="77" cm="1">
        <f t="array" ref="BR159">_xll.DCEPropSectI(BF159, BH159, BG159, BI159, BG159, BI159, "rx")/10</f>
        <v>11.847052463297633</v>
      </c>
      <c r="BS159" s="77" cm="1">
        <f t="array" ref="BS159">_xll.DCEPropSectI(BF159, BH159, BG159, BI159, BG159, BI159, "ry")/10</f>
        <v>5.3836052600564113</v>
      </c>
      <c r="BT159" s="5">
        <f t="shared" si="29"/>
        <v>46.340640568682481</v>
      </c>
      <c r="BU159" s="5">
        <f t="shared" si="30"/>
        <v>101.97627305131346</v>
      </c>
      <c r="BV159" s="5">
        <f t="shared" si="31"/>
        <v>101.97627305131346</v>
      </c>
      <c r="BW159" s="71">
        <f t="shared" si="32"/>
        <v>200</v>
      </c>
      <c r="BX159" s="78" cm="1">
        <f t="array" ref="BX159">IF(BM159&gt;0,1,_xll.DCETCVN5575FactorPhi7121(BV159*SQRT($K$17/206000),"b"))</f>
        <v>0.55590262168625593</v>
      </c>
      <c r="BY159" s="64">
        <f t="shared" si="33"/>
        <v>2.7472601639475457E-3</v>
      </c>
      <c r="BZ159" s="3" t="str">
        <f t="shared" si="34"/>
        <v>OK</v>
      </c>
    </row>
    <row r="160" spans="1:78">
      <c r="A160" s="76"/>
      <c r="B160" s="76"/>
      <c r="C160" s="125"/>
      <c r="D160" s="125"/>
      <c r="E160" s="71"/>
      <c r="F160" s="71"/>
      <c r="G160" s="71"/>
      <c r="H160" s="126"/>
      <c r="I160" s="125"/>
      <c r="J160" s="123"/>
      <c r="K160" s="12"/>
      <c r="L160" s="117"/>
      <c r="M160" s="12"/>
      <c r="N160" s="117"/>
      <c r="O160" s="117"/>
      <c r="P160" s="117"/>
      <c r="Q160" s="118"/>
      <c r="R160" s="118"/>
      <c r="S160" s="118"/>
      <c r="T160" s="12"/>
      <c r="U160" s="118"/>
      <c r="V160" s="118"/>
      <c r="W160" s="12"/>
      <c r="X160" s="119"/>
      <c r="Y160" s="120"/>
      <c r="Z160" s="12"/>
      <c r="BA160" s="70" t="s">
        <v>205</v>
      </c>
      <c r="BB160" s="71" t="s">
        <v>208</v>
      </c>
      <c r="BC160" s="71" t="s">
        <v>207</v>
      </c>
      <c r="BD160" s="71">
        <v>3.05</v>
      </c>
      <c r="BE160" s="71">
        <v>6.1</v>
      </c>
      <c r="BF160" s="71">
        <v>268</v>
      </c>
      <c r="BG160" s="71">
        <v>212</v>
      </c>
      <c r="BH160" s="71">
        <v>5</v>
      </c>
      <c r="BI160" s="71">
        <v>10</v>
      </c>
      <c r="BJ160" s="12" t="str" cm="1">
        <f t="array" ref="BJ160">_xll.Dce_Name_SectI(BF160, BF160, BG160, BH160, BI160, "x", "-", $AX$11)</f>
        <v>268x212x5x10</v>
      </c>
      <c r="BK160" s="77" cm="1">
        <f t="array" ref="BK160">_xll.DCEPropSectI(BF160, BH160, BG160, BI160, BG160, BI160, "A")/100</f>
        <v>54.8</v>
      </c>
      <c r="BL160" s="70" t="s">
        <v>223</v>
      </c>
      <c r="BM160" s="70">
        <v>-2.0791433760163796</v>
      </c>
      <c r="BN160" s="71">
        <v>0.9</v>
      </c>
      <c r="BO160" s="77">
        <f t="shared" si="27"/>
        <v>5.49</v>
      </c>
      <c r="BP160" s="71">
        <v>0.9</v>
      </c>
      <c r="BQ160" s="77">
        <f t="shared" si="28"/>
        <v>5.49</v>
      </c>
      <c r="BR160" s="77" cm="1">
        <f t="array" ref="BR160">_xll.DCEPropSectI(BF160, BH160, BG160, BI160, BG160, BI160, "rx")/10</f>
        <v>11.847052463297633</v>
      </c>
      <c r="BS160" s="77" cm="1">
        <f t="array" ref="BS160">_xll.DCEPropSectI(BF160, BH160, BG160, BI160, BG160, BI160, "ry")/10</f>
        <v>5.3836052600564113</v>
      </c>
      <c r="BT160" s="5">
        <f t="shared" si="29"/>
        <v>46.340640568682481</v>
      </c>
      <c r="BU160" s="5">
        <f t="shared" si="30"/>
        <v>101.97627305131346</v>
      </c>
      <c r="BV160" s="5">
        <f t="shared" si="31"/>
        <v>101.97627305131346</v>
      </c>
      <c r="BW160" s="71">
        <f t="shared" si="32"/>
        <v>200</v>
      </c>
      <c r="BX160" s="78" cm="1">
        <f t="array" ref="BX160">IF(BM160&gt;0,1,_xll.DCETCVN5575FactorPhi7121(BV160*SQRT($K$17/206000),"b"))</f>
        <v>0.55590262168625593</v>
      </c>
      <c r="BY160" s="64">
        <f t="shared" si="33"/>
        <v>3.250018727582505E-3</v>
      </c>
      <c r="BZ160" s="3" t="str">
        <f t="shared" si="34"/>
        <v>OK</v>
      </c>
    </row>
    <row r="161" spans="1:78">
      <c r="A161" s="76"/>
      <c r="B161" s="76"/>
      <c r="C161" s="125"/>
      <c r="D161" s="125"/>
      <c r="E161" s="71"/>
      <c r="F161" s="71"/>
      <c r="G161" s="71"/>
      <c r="H161" s="126"/>
      <c r="I161" s="125"/>
      <c r="J161" s="123"/>
      <c r="K161" s="12"/>
      <c r="L161" s="117"/>
      <c r="M161" s="12"/>
      <c r="N161" s="117"/>
      <c r="O161" s="117"/>
      <c r="P161" s="117"/>
      <c r="Q161" s="118"/>
      <c r="R161" s="118"/>
      <c r="S161" s="118"/>
      <c r="T161" s="12"/>
      <c r="U161" s="118"/>
      <c r="V161" s="118"/>
      <c r="W161" s="12"/>
      <c r="X161" s="119"/>
      <c r="Y161" s="120"/>
      <c r="Z161" s="12"/>
      <c r="BA161" s="70" t="s">
        <v>205</v>
      </c>
      <c r="BB161" s="71" t="s">
        <v>208</v>
      </c>
      <c r="BC161" s="71" t="s">
        <v>207</v>
      </c>
      <c r="BD161" s="71">
        <v>3.81</v>
      </c>
      <c r="BE161" s="71">
        <v>6.1</v>
      </c>
      <c r="BF161" s="71">
        <v>268</v>
      </c>
      <c r="BG161" s="71">
        <v>212</v>
      </c>
      <c r="BH161" s="71">
        <v>5</v>
      </c>
      <c r="BI161" s="71">
        <v>10</v>
      </c>
      <c r="BJ161" s="12" t="str" cm="1">
        <f t="array" ref="BJ161">_xll.Dce_Name_SectI(BF161, BF161, BG161, BH161, BI161, "x", "-", $AX$11)</f>
        <v>268x212x5x10</v>
      </c>
      <c r="BK161" s="77" cm="1">
        <f t="array" ref="BK161">_xll.DCEPropSectI(BF161, BH161, BG161, BI161, BG161, BI161, "A")/100</f>
        <v>54.8</v>
      </c>
      <c r="BL161" s="70" t="s">
        <v>223</v>
      </c>
      <c r="BM161" s="70">
        <v>-2.4007744879991328</v>
      </c>
      <c r="BN161" s="71">
        <v>0.9</v>
      </c>
      <c r="BO161" s="77">
        <f t="shared" si="27"/>
        <v>5.49</v>
      </c>
      <c r="BP161" s="71">
        <v>0.9</v>
      </c>
      <c r="BQ161" s="77">
        <f t="shared" si="28"/>
        <v>5.49</v>
      </c>
      <c r="BR161" s="77" cm="1">
        <f t="array" ref="BR161">_xll.DCEPropSectI(BF161, BH161, BG161, BI161, BG161, BI161, "rx")/10</f>
        <v>11.847052463297633</v>
      </c>
      <c r="BS161" s="77" cm="1">
        <f t="array" ref="BS161">_xll.DCEPropSectI(BF161, BH161, BG161, BI161, BG161, BI161, "ry")/10</f>
        <v>5.3836052600564113</v>
      </c>
      <c r="BT161" s="5">
        <f t="shared" si="29"/>
        <v>46.340640568682481</v>
      </c>
      <c r="BU161" s="5">
        <f t="shared" si="30"/>
        <v>101.97627305131346</v>
      </c>
      <c r="BV161" s="5">
        <f t="shared" si="31"/>
        <v>101.97627305131346</v>
      </c>
      <c r="BW161" s="71">
        <f t="shared" si="32"/>
        <v>200</v>
      </c>
      <c r="BX161" s="78" cm="1">
        <f t="array" ref="BX161">IF(BM161&gt;0,1,_xll.DCETCVN5575FactorPhi7121(BV161*SQRT($K$17/206000),"b"))</f>
        <v>0.55590262168625593</v>
      </c>
      <c r="BY161" s="64">
        <f t="shared" si="33"/>
        <v>3.7527772912174634E-3</v>
      </c>
      <c r="BZ161" s="3" t="str">
        <f t="shared" si="34"/>
        <v>OK</v>
      </c>
    </row>
    <row r="162" spans="1:78">
      <c r="A162" s="76"/>
      <c r="B162" s="76"/>
      <c r="C162" s="125"/>
      <c r="D162" s="125"/>
      <c r="E162" s="71"/>
      <c r="F162" s="71"/>
      <c r="G162" s="71"/>
      <c r="H162" s="126"/>
      <c r="I162" s="125"/>
      <c r="J162" s="123"/>
      <c r="K162" s="12"/>
      <c r="L162" s="117"/>
      <c r="M162" s="12"/>
      <c r="N162" s="117"/>
      <c r="O162" s="117"/>
      <c r="P162" s="117"/>
      <c r="Q162" s="118"/>
      <c r="R162" s="118"/>
      <c r="S162" s="118"/>
      <c r="T162" s="12"/>
      <c r="U162" s="118"/>
      <c r="V162" s="118"/>
      <c r="W162" s="12"/>
      <c r="X162" s="119"/>
      <c r="Y162" s="120"/>
      <c r="Z162" s="12"/>
      <c r="BA162" s="70" t="s">
        <v>205</v>
      </c>
      <c r="BB162" s="71" t="s">
        <v>208</v>
      </c>
      <c r="BC162" s="71" t="s">
        <v>207</v>
      </c>
      <c r="BD162" s="71">
        <v>4.57</v>
      </c>
      <c r="BE162" s="71">
        <v>6.1</v>
      </c>
      <c r="BF162" s="71">
        <v>268</v>
      </c>
      <c r="BG162" s="71">
        <v>212</v>
      </c>
      <c r="BH162" s="71">
        <v>5</v>
      </c>
      <c r="BI162" s="71">
        <v>10</v>
      </c>
      <c r="BJ162" s="12" t="str" cm="1">
        <f t="array" ref="BJ162">_xll.Dce_Name_SectI(BF162, BF162, BG162, BH162, BI162, "x", "-", $AX$11)</f>
        <v>268x212x5x10</v>
      </c>
      <c r="BK162" s="77" cm="1">
        <f t="array" ref="BK162">_xll.DCEPropSectI(BF162, BH162, BG162, BI162, BG162, BI162, "A")/100</f>
        <v>54.8</v>
      </c>
      <c r="BL162" s="70" t="s">
        <v>223</v>
      </c>
      <c r="BM162" s="70">
        <v>-2.7224055999818861</v>
      </c>
      <c r="BN162" s="71">
        <v>0.9</v>
      </c>
      <c r="BO162" s="77">
        <f t="shared" si="27"/>
        <v>5.49</v>
      </c>
      <c r="BP162" s="71">
        <v>0.9</v>
      </c>
      <c r="BQ162" s="77">
        <f t="shared" si="28"/>
        <v>5.49</v>
      </c>
      <c r="BR162" s="77" cm="1">
        <f t="array" ref="BR162">_xll.DCEPropSectI(BF162, BH162, BG162, BI162, BG162, BI162, "rx")/10</f>
        <v>11.847052463297633</v>
      </c>
      <c r="BS162" s="77" cm="1">
        <f t="array" ref="BS162">_xll.DCEPropSectI(BF162, BH162, BG162, BI162, BG162, BI162, "ry")/10</f>
        <v>5.3836052600564113</v>
      </c>
      <c r="BT162" s="5">
        <f t="shared" si="29"/>
        <v>46.340640568682481</v>
      </c>
      <c r="BU162" s="5">
        <f t="shared" si="30"/>
        <v>101.97627305131346</v>
      </c>
      <c r="BV162" s="5">
        <f t="shared" si="31"/>
        <v>101.97627305131346</v>
      </c>
      <c r="BW162" s="71">
        <f t="shared" si="32"/>
        <v>200</v>
      </c>
      <c r="BX162" s="78" cm="1">
        <f t="array" ref="BX162">IF(BM162&gt;0,1,_xll.DCETCVN5575FactorPhi7121(BV162*SQRT($K$17/206000),"b"))</f>
        <v>0.55590262168625593</v>
      </c>
      <c r="BY162" s="64">
        <f t="shared" si="33"/>
        <v>4.2555358548524219E-3</v>
      </c>
      <c r="BZ162" s="3" t="str">
        <f t="shared" si="34"/>
        <v>OK</v>
      </c>
    </row>
    <row r="163" spans="1:78">
      <c r="A163" s="76"/>
      <c r="B163" s="76"/>
      <c r="C163" s="125"/>
      <c r="D163" s="125"/>
      <c r="E163" s="71"/>
      <c r="F163" s="71"/>
      <c r="G163" s="71"/>
      <c r="H163" s="126"/>
      <c r="I163" s="125"/>
      <c r="J163" s="123"/>
      <c r="K163" s="12"/>
      <c r="L163" s="117"/>
      <c r="M163" s="12"/>
      <c r="N163" s="117"/>
      <c r="O163" s="117"/>
      <c r="P163" s="117"/>
      <c r="Q163" s="118"/>
      <c r="R163" s="118"/>
      <c r="S163" s="118"/>
      <c r="T163" s="12"/>
      <c r="U163" s="118"/>
      <c r="V163" s="118"/>
      <c r="W163" s="12"/>
      <c r="X163" s="119"/>
      <c r="Y163" s="120"/>
      <c r="Z163" s="12"/>
      <c r="BA163" s="70" t="s">
        <v>205</v>
      </c>
      <c r="BB163" s="71" t="s">
        <v>208</v>
      </c>
      <c r="BC163" s="71" t="s">
        <v>207</v>
      </c>
      <c r="BD163" s="71">
        <v>5.34</v>
      </c>
      <c r="BE163" s="71">
        <v>6.1</v>
      </c>
      <c r="BF163" s="71">
        <v>268</v>
      </c>
      <c r="BG163" s="71">
        <v>212</v>
      </c>
      <c r="BH163" s="71">
        <v>5</v>
      </c>
      <c r="BI163" s="71">
        <v>10</v>
      </c>
      <c r="BJ163" s="12" t="str" cm="1">
        <f t="array" ref="BJ163">_xll.Dce_Name_SectI(BF163, BF163, BG163, BH163, BI163, "x", "-", $AX$11)</f>
        <v>268x212x5x10</v>
      </c>
      <c r="BK163" s="77" cm="1">
        <f t="array" ref="BK163">_xll.DCEPropSectI(BF163, BH163, BG163, BI163, BG163, BI163, "A")/100</f>
        <v>54.8</v>
      </c>
      <c r="BL163" s="70" t="s">
        <v>223</v>
      </c>
      <c r="BM163" s="70">
        <v>-3.0440367119646394</v>
      </c>
      <c r="BN163" s="71">
        <v>0.9</v>
      </c>
      <c r="BO163" s="77">
        <f t="shared" si="27"/>
        <v>5.49</v>
      </c>
      <c r="BP163" s="71">
        <v>0.9</v>
      </c>
      <c r="BQ163" s="77">
        <f t="shared" si="28"/>
        <v>5.49</v>
      </c>
      <c r="BR163" s="77" cm="1">
        <f t="array" ref="BR163">_xll.DCEPropSectI(BF163, BH163, BG163, BI163, BG163, BI163, "rx")/10</f>
        <v>11.847052463297633</v>
      </c>
      <c r="BS163" s="77" cm="1">
        <f t="array" ref="BS163">_xll.DCEPropSectI(BF163, BH163, BG163, BI163, BG163, BI163, "ry")/10</f>
        <v>5.3836052600564113</v>
      </c>
      <c r="BT163" s="5">
        <f t="shared" si="29"/>
        <v>46.340640568682481</v>
      </c>
      <c r="BU163" s="5">
        <f t="shared" si="30"/>
        <v>101.97627305131346</v>
      </c>
      <c r="BV163" s="5">
        <f t="shared" si="31"/>
        <v>101.97627305131346</v>
      </c>
      <c r="BW163" s="71">
        <f t="shared" si="32"/>
        <v>200</v>
      </c>
      <c r="BX163" s="78" cm="1">
        <f t="array" ref="BX163">IF(BM163&gt;0,1,_xll.DCETCVN5575FactorPhi7121(BV163*SQRT($K$17/206000),"b"))</f>
        <v>0.55590262168625593</v>
      </c>
      <c r="BY163" s="64">
        <f t="shared" si="33"/>
        <v>4.7582944184873808E-3</v>
      </c>
      <c r="BZ163" s="3" t="str">
        <f t="shared" si="34"/>
        <v>OK</v>
      </c>
    </row>
    <row r="164" spans="1:78">
      <c r="A164" s="76"/>
      <c r="B164" s="76"/>
      <c r="C164" s="125"/>
      <c r="D164" s="125"/>
      <c r="E164" s="71"/>
      <c r="F164" s="71"/>
      <c r="G164" s="71"/>
      <c r="H164" s="126"/>
      <c r="I164" s="125"/>
      <c r="J164" s="123"/>
      <c r="K164" s="12"/>
      <c r="L164" s="117"/>
      <c r="M164" s="12"/>
      <c r="N164" s="117"/>
      <c r="O164" s="117"/>
      <c r="P164" s="117"/>
      <c r="Q164" s="118"/>
      <c r="R164" s="118"/>
      <c r="S164" s="118"/>
      <c r="T164" s="12"/>
      <c r="U164" s="118"/>
      <c r="V164" s="118"/>
      <c r="W164" s="12"/>
      <c r="X164" s="119"/>
      <c r="Y164" s="120"/>
      <c r="Z164" s="12"/>
      <c r="BA164" s="70" t="s">
        <v>205</v>
      </c>
      <c r="BB164" s="71" t="s">
        <v>208</v>
      </c>
      <c r="BC164" s="71" t="s">
        <v>207</v>
      </c>
      <c r="BD164" s="71">
        <v>6.1</v>
      </c>
      <c r="BE164" s="71">
        <v>6.1</v>
      </c>
      <c r="BF164" s="71">
        <v>268</v>
      </c>
      <c r="BG164" s="71">
        <v>212</v>
      </c>
      <c r="BH164" s="71">
        <v>5</v>
      </c>
      <c r="BI164" s="71">
        <v>10</v>
      </c>
      <c r="BJ164" s="12" t="str" cm="1">
        <f t="array" ref="BJ164">_xll.Dce_Name_SectI(BF164, BF164, BG164, BH164, BI164, "x", "-", $AX$11)</f>
        <v>268x212x5x10</v>
      </c>
      <c r="BK164" s="77" cm="1">
        <f t="array" ref="BK164">_xll.DCEPropSectI(BF164, BH164, BG164, BI164, BG164, BI164, "A")/100</f>
        <v>54.8</v>
      </c>
      <c r="BL164" s="70" t="s">
        <v>223</v>
      </c>
      <c r="BM164" s="70">
        <v>-3.3656678239473932</v>
      </c>
      <c r="BN164" s="71">
        <v>0.9</v>
      </c>
      <c r="BO164" s="77">
        <f t="shared" si="27"/>
        <v>5.49</v>
      </c>
      <c r="BP164" s="71">
        <v>0.9</v>
      </c>
      <c r="BQ164" s="77">
        <f t="shared" si="28"/>
        <v>5.49</v>
      </c>
      <c r="BR164" s="77" cm="1">
        <f t="array" ref="BR164">_xll.DCEPropSectI(BF164, BH164, BG164, BI164, BG164, BI164, "rx")/10</f>
        <v>11.847052463297633</v>
      </c>
      <c r="BS164" s="77" cm="1">
        <f t="array" ref="BS164">_xll.DCEPropSectI(BF164, BH164, BG164, BI164, BG164, BI164, "ry")/10</f>
        <v>5.3836052600564113</v>
      </c>
      <c r="BT164" s="5">
        <f t="shared" si="29"/>
        <v>46.340640568682481</v>
      </c>
      <c r="BU164" s="5">
        <f t="shared" si="30"/>
        <v>101.97627305131346</v>
      </c>
      <c r="BV164" s="5">
        <f t="shared" si="31"/>
        <v>101.97627305131346</v>
      </c>
      <c r="BW164" s="71">
        <f t="shared" si="32"/>
        <v>200</v>
      </c>
      <c r="BX164" s="78" cm="1">
        <f t="array" ref="BX164">IF(BM164&gt;0,1,_xll.DCETCVN5575FactorPhi7121(BV164*SQRT($K$17/206000),"b"))</f>
        <v>0.55590262168625593</v>
      </c>
      <c r="BY164" s="64">
        <f t="shared" si="33"/>
        <v>5.2610529821223405E-3</v>
      </c>
      <c r="BZ164" s="3" t="str">
        <f t="shared" si="34"/>
        <v>OK</v>
      </c>
    </row>
    <row r="165" spans="1:78">
      <c r="A165" s="76"/>
      <c r="B165" s="76"/>
      <c r="C165" s="125"/>
      <c r="D165" s="125"/>
      <c r="E165" s="71"/>
      <c r="F165" s="71"/>
      <c r="G165" s="71"/>
      <c r="H165" s="126"/>
      <c r="I165" s="125"/>
      <c r="J165" s="123"/>
      <c r="K165" s="12"/>
      <c r="L165" s="117"/>
      <c r="M165" s="12"/>
      <c r="N165" s="117"/>
      <c r="O165" s="117"/>
      <c r="P165" s="117"/>
      <c r="Q165" s="118"/>
      <c r="R165" s="118"/>
      <c r="S165" s="118"/>
      <c r="T165" s="12"/>
      <c r="U165" s="118"/>
      <c r="V165" s="118"/>
      <c r="W165" s="12"/>
      <c r="X165" s="119"/>
      <c r="Y165" s="120"/>
      <c r="Z165" s="12"/>
      <c r="BA165" s="70" t="s">
        <v>205</v>
      </c>
      <c r="BB165" s="71" t="s">
        <v>208</v>
      </c>
      <c r="BC165" s="71" t="s">
        <v>207</v>
      </c>
      <c r="BD165" s="71">
        <v>0</v>
      </c>
      <c r="BE165" s="71">
        <v>6.1</v>
      </c>
      <c r="BF165" s="71">
        <v>268</v>
      </c>
      <c r="BG165" s="71">
        <v>212</v>
      </c>
      <c r="BH165" s="71">
        <v>5</v>
      </c>
      <c r="BI165" s="71">
        <v>10</v>
      </c>
      <c r="BJ165" s="12" t="str" cm="1">
        <f t="array" ref="BJ165">_xll.Dce_Name_SectI(BF165, BF165, BG165, BH165, BI165, "x", "-", $AX$11)</f>
        <v>268x212x5x10</v>
      </c>
      <c r="BK165" s="77" cm="1">
        <f t="array" ref="BK165">_xll.DCEPropSectI(BF165, BH165, BG165, BI165, BG165, BI165, "A")/100</f>
        <v>54.8</v>
      </c>
      <c r="BL165" s="70" t="s">
        <v>224</v>
      </c>
      <c r="BM165" s="70">
        <v>43.56703022348988</v>
      </c>
      <c r="BN165" s="71">
        <v>0.9</v>
      </c>
      <c r="BO165" s="77">
        <f t="shared" si="27"/>
        <v>5.49</v>
      </c>
      <c r="BP165" s="71">
        <v>0.9</v>
      </c>
      <c r="BQ165" s="77">
        <f t="shared" si="28"/>
        <v>5.49</v>
      </c>
      <c r="BR165" s="77" cm="1">
        <f t="array" ref="BR165">_xll.DCEPropSectI(BF165, BH165, BG165, BI165, BG165, BI165, "rx")/10</f>
        <v>11.847052463297633</v>
      </c>
      <c r="BS165" s="77" cm="1">
        <f t="array" ref="BS165">_xll.DCEPropSectI(BF165, BH165, BG165, BI165, BG165, BI165, "ry")/10</f>
        <v>5.3836052600564113</v>
      </c>
      <c r="BT165" s="5">
        <f t="shared" si="29"/>
        <v>46.340640568682481</v>
      </c>
      <c r="BU165" s="5">
        <f t="shared" si="30"/>
        <v>101.97627305131346</v>
      </c>
      <c r="BV165" s="5">
        <f t="shared" si="31"/>
        <v>101.97627305131346</v>
      </c>
      <c r="BW165" s="71">
        <f t="shared" si="32"/>
        <v>400</v>
      </c>
      <c r="BX165" s="78" cm="1">
        <f t="array" ref="BX165">IF(BM165&gt;0,1,_xll.DCETCVN5575FactorPhi7121(BV165*SQRT($K$17/206000),"b"))</f>
        <v>1</v>
      </c>
      <c r="BY165" s="64">
        <f t="shared" si="33"/>
        <v>3.7858038080891457E-2</v>
      </c>
      <c r="BZ165" s="3" t="str">
        <f t="shared" si="34"/>
        <v>OK</v>
      </c>
    </row>
    <row r="166" spans="1:78">
      <c r="A166" s="76"/>
      <c r="B166" s="76"/>
      <c r="C166" s="125"/>
      <c r="D166" s="125"/>
      <c r="E166" s="71"/>
      <c r="F166" s="71"/>
      <c r="G166" s="71"/>
      <c r="H166" s="126"/>
      <c r="I166" s="125"/>
      <c r="J166" s="123"/>
      <c r="K166" s="12"/>
      <c r="L166" s="117"/>
      <c r="M166" s="12"/>
      <c r="N166" s="117"/>
      <c r="O166" s="117"/>
      <c r="P166" s="117"/>
      <c r="Q166" s="118"/>
      <c r="R166" s="118"/>
      <c r="S166" s="118"/>
      <c r="T166" s="12"/>
      <c r="U166" s="118"/>
      <c r="V166" s="118"/>
      <c r="W166" s="12"/>
      <c r="X166" s="119"/>
      <c r="Y166" s="120"/>
      <c r="Z166" s="12"/>
      <c r="BA166" s="70" t="s">
        <v>205</v>
      </c>
      <c r="BB166" s="71" t="s">
        <v>208</v>
      </c>
      <c r="BC166" s="71" t="s">
        <v>207</v>
      </c>
      <c r="BD166" s="71">
        <v>0.76</v>
      </c>
      <c r="BE166" s="71">
        <v>6.1</v>
      </c>
      <c r="BF166" s="71">
        <v>268</v>
      </c>
      <c r="BG166" s="71">
        <v>212</v>
      </c>
      <c r="BH166" s="71">
        <v>5</v>
      </c>
      <c r="BI166" s="71">
        <v>10</v>
      </c>
      <c r="BJ166" s="12" t="str" cm="1">
        <f t="array" ref="BJ166">_xll.Dce_Name_SectI(BF166, BF166, BG166, BH166, BI166, "x", "-", $AX$11)</f>
        <v>268x212x5x10</v>
      </c>
      <c r="BK166" s="77" cm="1">
        <f t="array" ref="BK166">_xll.DCEPropSectI(BF166, BH166, BG166, BI166, BG166, BI166, "A")/100</f>
        <v>54.8</v>
      </c>
      <c r="BL166" s="70" t="s">
        <v>224</v>
      </c>
      <c r="BM166" s="70">
        <v>43.245399111507126</v>
      </c>
      <c r="BN166" s="71">
        <v>0.9</v>
      </c>
      <c r="BO166" s="77">
        <f t="shared" si="27"/>
        <v>5.49</v>
      </c>
      <c r="BP166" s="71">
        <v>0.9</v>
      </c>
      <c r="BQ166" s="77">
        <f t="shared" si="28"/>
        <v>5.49</v>
      </c>
      <c r="BR166" s="77" cm="1">
        <f t="array" ref="BR166">_xll.DCEPropSectI(BF166, BH166, BG166, BI166, BG166, BI166, "rx")/10</f>
        <v>11.847052463297633</v>
      </c>
      <c r="BS166" s="77" cm="1">
        <f t="array" ref="BS166">_xll.DCEPropSectI(BF166, BH166, BG166, BI166, BG166, BI166, "ry")/10</f>
        <v>5.3836052600564113</v>
      </c>
      <c r="BT166" s="5">
        <f t="shared" si="29"/>
        <v>46.340640568682481</v>
      </c>
      <c r="BU166" s="5">
        <f t="shared" si="30"/>
        <v>101.97627305131346</v>
      </c>
      <c r="BV166" s="5">
        <f t="shared" si="31"/>
        <v>101.97627305131346</v>
      </c>
      <c r="BW166" s="71">
        <f t="shared" si="32"/>
        <v>400</v>
      </c>
      <c r="BX166" s="78" cm="1">
        <f t="array" ref="BX166">IF(BM166&gt;0,1,_xll.DCETCVN5575FactorPhi7121(BV166*SQRT($K$17/206000),"b"))</f>
        <v>1</v>
      </c>
      <c r="BY166" s="64">
        <f t="shared" si="33"/>
        <v>3.7578553277291565E-2</v>
      </c>
      <c r="BZ166" s="3" t="str">
        <f t="shared" si="34"/>
        <v>OK</v>
      </c>
    </row>
    <row r="167" spans="1:78">
      <c r="A167" s="76"/>
      <c r="B167" s="76"/>
      <c r="C167" s="125"/>
      <c r="D167" s="125"/>
      <c r="E167" s="71"/>
      <c r="F167" s="71"/>
      <c r="G167" s="71"/>
      <c r="H167" s="126"/>
      <c r="I167" s="125"/>
      <c r="J167" s="123"/>
      <c r="K167" s="12"/>
      <c r="L167" s="117"/>
      <c r="M167" s="12"/>
      <c r="N167" s="117"/>
      <c r="O167" s="117"/>
      <c r="P167" s="117"/>
      <c r="Q167" s="118"/>
      <c r="R167" s="118"/>
      <c r="S167" s="118"/>
      <c r="T167" s="12"/>
      <c r="U167" s="118"/>
      <c r="V167" s="118"/>
      <c r="W167" s="12"/>
      <c r="X167" s="119"/>
      <c r="Y167" s="120"/>
      <c r="Z167" s="12"/>
      <c r="BA167" s="70" t="s">
        <v>205</v>
      </c>
      <c r="BB167" s="71" t="s">
        <v>208</v>
      </c>
      <c r="BC167" s="71" t="s">
        <v>207</v>
      </c>
      <c r="BD167" s="71">
        <v>1.52</v>
      </c>
      <c r="BE167" s="71">
        <v>6.1</v>
      </c>
      <c r="BF167" s="71">
        <v>268</v>
      </c>
      <c r="BG167" s="71">
        <v>212</v>
      </c>
      <c r="BH167" s="71">
        <v>5</v>
      </c>
      <c r="BI167" s="71">
        <v>10</v>
      </c>
      <c r="BJ167" s="12" t="str" cm="1">
        <f t="array" ref="BJ167">_xll.Dce_Name_SectI(BF167, BF167, BG167, BH167, BI167, "x", "-", $AX$11)</f>
        <v>268x212x5x10</v>
      </c>
      <c r="BK167" s="77" cm="1">
        <f t="array" ref="BK167">_xll.DCEPropSectI(BF167, BH167, BG167, BI167, BG167, BI167, "A")/100</f>
        <v>54.8</v>
      </c>
      <c r="BL167" s="70" t="s">
        <v>224</v>
      </c>
      <c r="BM167" s="70">
        <v>42.923767999524372</v>
      </c>
      <c r="BN167" s="71">
        <v>0.9</v>
      </c>
      <c r="BO167" s="77">
        <f t="shared" si="27"/>
        <v>5.49</v>
      </c>
      <c r="BP167" s="71">
        <v>0.9</v>
      </c>
      <c r="BQ167" s="77">
        <f t="shared" si="28"/>
        <v>5.49</v>
      </c>
      <c r="BR167" s="77" cm="1">
        <f t="array" ref="BR167">_xll.DCEPropSectI(BF167, BH167, BG167, BI167, BG167, BI167, "rx")/10</f>
        <v>11.847052463297633</v>
      </c>
      <c r="BS167" s="77" cm="1">
        <f t="array" ref="BS167">_xll.DCEPropSectI(BF167, BH167, BG167, BI167, BG167, BI167, "ry")/10</f>
        <v>5.3836052600564113</v>
      </c>
      <c r="BT167" s="5">
        <f t="shared" si="29"/>
        <v>46.340640568682481</v>
      </c>
      <c r="BU167" s="5">
        <f t="shared" si="30"/>
        <v>101.97627305131346</v>
      </c>
      <c r="BV167" s="5">
        <f t="shared" si="31"/>
        <v>101.97627305131346</v>
      </c>
      <c r="BW167" s="71">
        <f t="shared" si="32"/>
        <v>400</v>
      </c>
      <c r="BX167" s="78" cm="1">
        <f t="array" ref="BX167">IF(BM167&gt;0,1,_xll.DCETCVN5575FactorPhi7121(BV167*SQRT($K$17/206000),"b"))</f>
        <v>1</v>
      </c>
      <c r="BY167" s="64">
        <f t="shared" si="33"/>
        <v>3.7299068473691674E-2</v>
      </c>
      <c r="BZ167" s="3" t="str">
        <f t="shared" si="34"/>
        <v>OK</v>
      </c>
    </row>
    <row r="168" spans="1:78">
      <c r="A168" s="76"/>
      <c r="B168" s="76"/>
      <c r="C168" s="125"/>
      <c r="D168" s="125"/>
      <c r="E168" s="71"/>
      <c r="F168" s="71"/>
      <c r="G168" s="71"/>
      <c r="H168" s="126"/>
      <c r="I168" s="125"/>
      <c r="J168" s="123"/>
      <c r="K168" s="12"/>
      <c r="L168" s="117"/>
      <c r="M168" s="12"/>
      <c r="N168" s="117"/>
      <c r="O168" s="117"/>
      <c r="P168" s="117"/>
      <c r="Q168" s="118"/>
      <c r="R168" s="118"/>
      <c r="S168" s="118"/>
      <c r="T168" s="12"/>
      <c r="U168" s="118"/>
      <c r="V168" s="118"/>
      <c r="W168" s="12"/>
      <c r="X168" s="119"/>
      <c r="Y168" s="120"/>
      <c r="Z168" s="12"/>
      <c r="BA168" s="70" t="s">
        <v>205</v>
      </c>
      <c r="BB168" s="71" t="s">
        <v>208</v>
      </c>
      <c r="BC168" s="71" t="s">
        <v>207</v>
      </c>
      <c r="BD168" s="71">
        <v>2.29</v>
      </c>
      <c r="BE168" s="71">
        <v>6.1</v>
      </c>
      <c r="BF168" s="71">
        <v>268</v>
      </c>
      <c r="BG168" s="71">
        <v>212</v>
      </c>
      <c r="BH168" s="71">
        <v>5</v>
      </c>
      <c r="BI168" s="71">
        <v>10</v>
      </c>
      <c r="BJ168" s="12" t="str" cm="1">
        <f t="array" ref="BJ168">_xll.Dce_Name_SectI(BF168, BF168, BG168, BH168, BI168, "x", "-", $AX$11)</f>
        <v>268x212x5x10</v>
      </c>
      <c r="BK168" s="77" cm="1">
        <f t="array" ref="BK168">_xll.DCEPropSectI(BF168, BH168, BG168, BI168, BG168, BI168, "A")/100</f>
        <v>54.8</v>
      </c>
      <c r="BL168" s="70" t="s">
        <v>224</v>
      </c>
      <c r="BM168" s="70">
        <v>42.602136887541619</v>
      </c>
      <c r="BN168" s="71">
        <v>0.9</v>
      </c>
      <c r="BO168" s="77">
        <f t="shared" si="27"/>
        <v>5.49</v>
      </c>
      <c r="BP168" s="71">
        <v>0.9</v>
      </c>
      <c r="BQ168" s="77">
        <f t="shared" si="28"/>
        <v>5.49</v>
      </c>
      <c r="BR168" s="77" cm="1">
        <f t="array" ref="BR168">_xll.DCEPropSectI(BF168, BH168, BG168, BI168, BG168, BI168, "rx")/10</f>
        <v>11.847052463297633</v>
      </c>
      <c r="BS168" s="77" cm="1">
        <f t="array" ref="BS168">_xll.DCEPropSectI(BF168, BH168, BG168, BI168, BG168, BI168, "ry")/10</f>
        <v>5.3836052600564113</v>
      </c>
      <c r="BT168" s="5">
        <f t="shared" si="29"/>
        <v>46.340640568682481</v>
      </c>
      <c r="BU168" s="5">
        <f t="shared" si="30"/>
        <v>101.97627305131346</v>
      </c>
      <c r="BV168" s="5">
        <f t="shared" si="31"/>
        <v>101.97627305131346</v>
      </c>
      <c r="BW168" s="71">
        <f t="shared" si="32"/>
        <v>400</v>
      </c>
      <c r="BX168" s="78" cm="1">
        <f t="array" ref="BX168">IF(BM168&gt;0,1,_xll.DCETCVN5575FactorPhi7121(BV168*SQRT($K$17/206000),"b"))</f>
        <v>1</v>
      </c>
      <c r="BY168" s="64">
        <f t="shared" si="33"/>
        <v>3.7019583670091782E-2</v>
      </c>
      <c r="BZ168" s="3" t="str">
        <f t="shared" si="34"/>
        <v>OK</v>
      </c>
    </row>
    <row r="169" spans="1:78">
      <c r="A169" s="76"/>
      <c r="B169" s="76"/>
      <c r="C169" s="125"/>
      <c r="D169" s="125"/>
      <c r="E169" s="71"/>
      <c r="F169" s="71"/>
      <c r="G169" s="71"/>
      <c r="H169" s="126"/>
      <c r="I169" s="125"/>
      <c r="J169" s="123"/>
      <c r="K169" s="12"/>
      <c r="L169" s="117"/>
      <c r="M169" s="12"/>
      <c r="N169" s="117"/>
      <c r="O169" s="117"/>
      <c r="P169" s="117"/>
      <c r="Q169" s="118"/>
      <c r="R169" s="118"/>
      <c r="S169" s="118"/>
      <c r="T169" s="12"/>
      <c r="U169" s="118"/>
      <c r="V169" s="118"/>
      <c r="W169" s="12"/>
      <c r="X169" s="119"/>
      <c r="Y169" s="120"/>
      <c r="Z169" s="12"/>
      <c r="BA169" s="70" t="s">
        <v>205</v>
      </c>
      <c r="BB169" s="71" t="s">
        <v>208</v>
      </c>
      <c r="BC169" s="71" t="s">
        <v>207</v>
      </c>
      <c r="BD169" s="71">
        <v>3.05</v>
      </c>
      <c r="BE169" s="71">
        <v>6.1</v>
      </c>
      <c r="BF169" s="71">
        <v>268</v>
      </c>
      <c r="BG169" s="71">
        <v>212</v>
      </c>
      <c r="BH169" s="71">
        <v>5</v>
      </c>
      <c r="BI169" s="71">
        <v>10</v>
      </c>
      <c r="BJ169" s="12" t="str" cm="1">
        <f t="array" ref="BJ169">_xll.Dce_Name_SectI(BF169, BF169, BG169, BH169, BI169, "x", "-", $AX$11)</f>
        <v>268x212x5x10</v>
      </c>
      <c r="BK169" s="77" cm="1">
        <f t="array" ref="BK169">_xll.DCEPropSectI(BF169, BH169, BG169, BI169, BG169, BI169, "A")/100</f>
        <v>54.8</v>
      </c>
      <c r="BL169" s="70" t="s">
        <v>224</v>
      </c>
      <c r="BM169" s="70">
        <v>42.280505775558865</v>
      </c>
      <c r="BN169" s="71">
        <v>0.9</v>
      </c>
      <c r="BO169" s="77">
        <f t="shared" si="27"/>
        <v>5.49</v>
      </c>
      <c r="BP169" s="71">
        <v>0.9</v>
      </c>
      <c r="BQ169" s="77">
        <f t="shared" si="28"/>
        <v>5.49</v>
      </c>
      <c r="BR169" s="77" cm="1">
        <f t="array" ref="BR169">_xll.DCEPropSectI(BF169, BH169, BG169, BI169, BG169, BI169, "rx")/10</f>
        <v>11.847052463297633</v>
      </c>
      <c r="BS169" s="77" cm="1">
        <f t="array" ref="BS169">_xll.DCEPropSectI(BF169, BH169, BG169, BI169, BG169, BI169, "ry")/10</f>
        <v>5.3836052600564113</v>
      </c>
      <c r="BT169" s="5">
        <f t="shared" si="29"/>
        <v>46.340640568682481</v>
      </c>
      <c r="BU169" s="5">
        <f t="shared" si="30"/>
        <v>101.97627305131346</v>
      </c>
      <c r="BV169" s="5">
        <f t="shared" si="31"/>
        <v>101.97627305131346</v>
      </c>
      <c r="BW169" s="71">
        <f t="shared" si="32"/>
        <v>400</v>
      </c>
      <c r="BX169" s="78" cm="1">
        <f t="array" ref="BX169">IF(BM169&gt;0,1,_xll.DCETCVN5575FactorPhi7121(BV169*SQRT($K$17/206000),"b"))</f>
        <v>1</v>
      </c>
      <c r="BY169" s="64">
        <f t="shared" si="33"/>
        <v>3.6740098866491898E-2</v>
      </c>
      <c r="BZ169" s="3" t="str">
        <f t="shared" si="34"/>
        <v>OK</v>
      </c>
    </row>
    <row r="170" spans="1:78">
      <c r="A170" s="76"/>
      <c r="B170" s="76"/>
      <c r="C170" s="125"/>
      <c r="D170" s="125"/>
      <c r="E170" s="71"/>
      <c r="F170" s="71"/>
      <c r="G170" s="71"/>
      <c r="H170" s="126"/>
      <c r="I170" s="125"/>
      <c r="J170" s="123"/>
      <c r="K170" s="12"/>
      <c r="L170" s="117"/>
      <c r="M170" s="12"/>
      <c r="N170" s="117"/>
      <c r="O170" s="117"/>
      <c r="P170" s="117"/>
      <c r="Q170" s="118"/>
      <c r="R170" s="118"/>
      <c r="S170" s="118"/>
      <c r="T170" s="12"/>
      <c r="U170" s="118"/>
      <c r="V170" s="118"/>
      <c r="W170" s="12"/>
      <c r="X170" s="119"/>
      <c r="Y170" s="120"/>
      <c r="Z170" s="12"/>
      <c r="BA170" s="70" t="s">
        <v>205</v>
      </c>
      <c r="BB170" s="71" t="s">
        <v>208</v>
      </c>
      <c r="BC170" s="71" t="s">
        <v>207</v>
      </c>
      <c r="BD170" s="71">
        <v>3.81</v>
      </c>
      <c r="BE170" s="71">
        <v>6.1</v>
      </c>
      <c r="BF170" s="71">
        <v>268</v>
      </c>
      <c r="BG170" s="71">
        <v>212</v>
      </c>
      <c r="BH170" s="71">
        <v>5</v>
      </c>
      <c r="BI170" s="71">
        <v>10</v>
      </c>
      <c r="BJ170" s="12" t="str" cm="1">
        <f t="array" ref="BJ170">_xll.Dce_Name_SectI(BF170, BF170, BG170, BH170, BI170, "x", "-", $AX$11)</f>
        <v>268x212x5x10</v>
      </c>
      <c r="BK170" s="77" cm="1">
        <f t="array" ref="BK170">_xll.DCEPropSectI(BF170, BH170, BG170, BI170, BG170, BI170, "A")/100</f>
        <v>54.8</v>
      </c>
      <c r="BL170" s="70" t="s">
        <v>224</v>
      </c>
      <c r="BM170" s="70">
        <v>41.958874663576111</v>
      </c>
      <c r="BN170" s="71">
        <v>0.9</v>
      </c>
      <c r="BO170" s="77">
        <f t="shared" si="27"/>
        <v>5.49</v>
      </c>
      <c r="BP170" s="71">
        <v>0.9</v>
      </c>
      <c r="BQ170" s="77">
        <f t="shared" si="28"/>
        <v>5.49</v>
      </c>
      <c r="BR170" s="77" cm="1">
        <f t="array" ref="BR170">_xll.DCEPropSectI(BF170, BH170, BG170, BI170, BG170, BI170, "rx")/10</f>
        <v>11.847052463297633</v>
      </c>
      <c r="BS170" s="77" cm="1">
        <f t="array" ref="BS170">_xll.DCEPropSectI(BF170, BH170, BG170, BI170, BG170, BI170, "ry")/10</f>
        <v>5.3836052600564113</v>
      </c>
      <c r="BT170" s="5">
        <f t="shared" si="29"/>
        <v>46.340640568682481</v>
      </c>
      <c r="BU170" s="5">
        <f t="shared" si="30"/>
        <v>101.97627305131346</v>
      </c>
      <c r="BV170" s="5">
        <f t="shared" si="31"/>
        <v>101.97627305131346</v>
      </c>
      <c r="BW170" s="71">
        <f t="shared" si="32"/>
        <v>400</v>
      </c>
      <c r="BX170" s="78" cm="1">
        <f t="array" ref="BX170">IF(BM170&gt;0,1,_xll.DCETCVN5575FactorPhi7121(BV170*SQRT($K$17/206000),"b"))</f>
        <v>1</v>
      </c>
      <c r="BY170" s="64">
        <f t="shared" si="33"/>
        <v>3.6460614062892006E-2</v>
      </c>
      <c r="BZ170" s="3" t="str">
        <f t="shared" si="34"/>
        <v>OK</v>
      </c>
    </row>
    <row r="171" spans="1:78">
      <c r="A171" s="76"/>
      <c r="B171" s="76"/>
      <c r="C171" s="125"/>
      <c r="D171" s="125"/>
      <c r="E171" s="71"/>
      <c r="F171" s="71"/>
      <c r="G171" s="71"/>
      <c r="H171" s="126"/>
      <c r="I171" s="125"/>
      <c r="J171" s="123"/>
      <c r="K171" s="12"/>
      <c r="L171" s="117"/>
      <c r="M171" s="12"/>
      <c r="N171" s="117"/>
      <c r="O171" s="117"/>
      <c r="P171" s="117"/>
      <c r="Q171" s="118"/>
      <c r="R171" s="118"/>
      <c r="S171" s="118"/>
      <c r="T171" s="12"/>
      <c r="U171" s="118"/>
      <c r="V171" s="118"/>
      <c r="W171" s="12"/>
      <c r="X171" s="119"/>
      <c r="Y171" s="120"/>
      <c r="Z171" s="12"/>
      <c r="BA171" s="70" t="s">
        <v>205</v>
      </c>
      <c r="BB171" s="71" t="s">
        <v>208</v>
      </c>
      <c r="BC171" s="71" t="s">
        <v>207</v>
      </c>
      <c r="BD171" s="71">
        <v>4.57</v>
      </c>
      <c r="BE171" s="71">
        <v>6.1</v>
      </c>
      <c r="BF171" s="71">
        <v>268</v>
      </c>
      <c r="BG171" s="71">
        <v>212</v>
      </c>
      <c r="BH171" s="71">
        <v>5</v>
      </c>
      <c r="BI171" s="71">
        <v>10</v>
      </c>
      <c r="BJ171" s="12" t="str" cm="1">
        <f t="array" ref="BJ171">_xll.Dce_Name_SectI(BF171, BF171, BG171, BH171, BI171, "x", "-", $AX$11)</f>
        <v>268x212x5x10</v>
      </c>
      <c r="BK171" s="77" cm="1">
        <f t="array" ref="BK171">_xll.DCEPropSectI(BF171, BH171, BG171, BI171, BG171, BI171, "A")/100</f>
        <v>54.8</v>
      </c>
      <c r="BL171" s="70" t="s">
        <v>224</v>
      </c>
      <c r="BM171" s="70">
        <v>41.637243551593357</v>
      </c>
      <c r="BN171" s="71">
        <v>0.9</v>
      </c>
      <c r="BO171" s="77">
        <f t="shared" si="27"/>
        <v>5.49</v>
      </c>
      <c r="BP171" s="71">
        <v>0.9</v>
      </c>
      <c r="BQ171" s="77">
        <f t="shared" si="28"/>
        <v>5.49</v>
      </c>
      <c r="BR171" s="77" cm="1">
        <f t="array" ref="BR171">_xll.DCEPropSectI(BF171, BH171, BG171, BI171, BG171, BI171, "rx")/10</f>
        <v>11.847052463297633</v>
      </c>
      <c r="BS171" s="77" cm="1">
        <f t="array" ref="BS171">_xll.DCEPropSectI(BF171, BH171, BG171, BI171, BG171, BI171, "ry")/10</f>
        <v>5.3836052600564113</v>
      </c>
      <c r="BT171" s="5">
        <f t="shared" si="29"/>
        <v>46.340640568682481</v>
      </c>
      <c r="BU171" s="5">
        <f t="shared" si="30"/>
        <v>101.97627305131346</v>
      </c>
      <c r="BV171" s="5">
        <f t="shared" si="31"/>
        <v>101.97627305131346</v>
      </c>
      <c r="BW171" s="71">
        <f t="shared" si="32"/>
        <v>400</v>
      </c>
      <c r="BX171" s="78" cm="1">
        <f t="array" ref="BX171">IF(BM171&gt;0,1,_xll.DCETCVN5575FactorPhi7121(BV171*SQRT($K$17/206000),"b"))</f>
        <v>1</v>
      </c>
      <c r="BY171" s="64">
        <f t="shared" si="33"/>
        <v>3.6181129259292115E-2</v>
      </c>
      <c r="BZ171" s="3" t="str">
        <f t="shared" si="34"/>
        <v>OK</v>
      </c>
    </row>
    <row r="172" spans="1:78">
      <c r="A172" s="76"/>
      <c r="B172" s="76"/>
      <c r="C172" s="125"/>
      <c r="D172" s="125"/>
      <c r="E172" s="71"/>
      <c r="F172" s="71"/>
      <c r="G172" s="71"/>
      <c r="H172" s="126"/>
      <c r="I172" s="125"/>
      <c r="J172" s="123"/>
      <c r="K172" s="12"/>
      <c r="L172" s="117"/>
      <c r="M172" s="12"/>
      <c r="N172" s="117"/>
      <c r="O172" s="117"/>
      <c r="P172" s="117"/>
      <c r="Q172" s="118"/>
      <c r="R172" s="118"/>
      <c r="S172" s="118"/>
      <c r="T172" s="12"/>
      <c r="U172" s="118"/>
      <c r="V172" s="118"/>
      <c r="W172" s="12"/>
      <c r="X172" s="119"/>
      <c r="Y172" s="120"/>
      <c r="Z172" s="12"/>
      <c r="BA172" s="70" t="s">
        <v>205</v>
      </c>
      <c r="BB172" s="71" t="s">
        <v>208</v>
      </c>
      <c r="BC172" s="71" t="s">
        <v>207</v>
      </c>
      <c r="BD172" s="71">
        <v>5.34</v>
      </c>
      <c r="BE172" s="71">
        <v>6.1</v>
      </c>
      <c r="BF172" s="71">
        <v>268</v>
      </c>
      <c r="BG172" s="71">
        <v>212</v>
      </c>
      <c r="BH172" s="71">
        <v>5</v>
      </c>
      <c r="BI172" s="71">
        <v>10</v>
      </c>
      <c r="BJ172" s="12" t="str" cm="1">
        <f t="array" ref="BJ172">_xll.Dce_Name_SectI(BF172, BF172, BG172, BH172, BI172, "x", "-", $AX$11)</f>
        <v>268x212x5x10</v>
      </c>
      <c r="BK172" s="77" cm="1">
        <f t="array" ref="BK172">_xll.DCEPropSectI(BF172, BH172, BG172, BI172, BG172, BI172, "A")/100</f>
        <v>54.8</v>
      </c>
      <c r="BL172" s="70" t="s">
        <v>224</v>
      </c>
      <c r="BM172" s="70">
        <v>41.315612439610604</v>
      </c>
      <c r="BN172" s="71">
        <v>0.9</v>
      </c>
      <c r="BO172" s="77">
        <f t="shared" si="27"/>
        <v>5.49</v>
      </c>
      <c r="BP172" s="71">
        <v>0.9</v>
      </c>
      <c r="BQ172" s="77">
        <f t="shared" si="28"/>
        <v>5.49</v>
      </c>
      <c r="BR172" s="77" cm="1">
        <f t="array" ref="BR172">_xll.DCEPropSectI(BF172, BH172, BG172, BI172, BG172, BI172, "rx")/10</f>
        <v>11.847052463297633</v>
      </c>
      <c r="BS172" s="77" cm="1">
        <f t="array" ref="BS172">_xll.DCEPropSectI(BF172, BH172, BG172, BI172, BG172, BI172, "ry")/10</f>
        <v>5.3836052600564113</v>
      </c>
      <c r="BT172" s="5">
        <f t="shared" si="29"/>
        <v>46.340640568682481</v>
      </c>
      <c r="BU172" s="5">
        <f t="shared" si="30"/>
        <v>101.97627305131346</v>
      </c>
      <c r="BV172" s="5">
        <f t="shared" si="31"/>
        <v>101.97627305131346</v>
      </c>
      <c r="BW172" s="71">
        <f t="shared" si="32"/>
        <v>400</v>
      </c>
      <c r="BX172" s="78" cm="1">
        <f t="array" ref="BX172">IF(BM172&gt;0,1,_xll.DCETCVN5575FactorPhi7121(BV172*SQRT($K$17/206000),"b"))</f>
        <v>1</v>
      </c>
      <c r="BY172" s="64">
        <f t="shared" si="33"/>
        <v>3.5901644455692223E-2</v>
      </c>
      <c r="BZ172" s="3" t="str">
        <f t="shared" si="34"/>
        <v>OK</v>
      </c>
    </row>
    <row r="173" spans="1:78">
      <c r="A173" s="76"/>
      <c r="B173" s="76"/>
      <c r="C173" s="125"/>
      <c r="D173" s="125"/>
      <c r="E173" s="71"/>
      <c r="F173" s="71"/>
      <c r="G173" s="71"/>
      <c r="H173" s="126"/>
      <c r="I173" s="125"/>
      <c r="J173" s="123"/>
      <c r="K173" s="12"/>
      <c r="L173" s="117"/>
      <c r="M173" s="12"/>
      <c r="N173" s="117"/>
      <c r="O173" s="117"/>
      <c r="P173" s="117"/>
      <c r="Q173" s="118"/>
      <c r="R173" s="118"/>
      <c r="S173" s="118"/>
      <c r="T173" s="12"/>
      <c r="U173" s="118"/>
      <c r="V173" s="118"/>
      <c r="W173" s="12"/>
      <c r="X173" s="119"/>
      <c r="Y173" s="120"/>
      <c r="Z173" s="12"/>
      <c r="BA173" s="70" t="s">
        <v>205</v>
      </c>
      <c r="BB173" s="71" t="s">
        <v>208</v>
      </c>
      <c r="BC173" s="71" t="s">
        <v>207</v>
      </c>
      <c r="BD173" s="71">
        <v>6.1</v>
      </c>
      <c r="BE173" s="71">
        <v>6.1</v>
      </c>
      <c r="BF173" s="71">
        <v>268</v>
      </c>
      <c r="BG173" s="71">
        <v>212</v>
      </c>
      <c r="BH173" s="71">
        <v>5</v>
      </c>
      <c r="BI173" s="71">
        <v>10</v>
      </c>
      <c r="BJ173" s="12" t="str" cm="1">
        <f t="array" ref="BJ173">_xll.Dce_Name_SectI(BF173, BF173, BG173, BH173, BI173, "x", "-", $AX$11)</f>
        <v>268x212x5x10</v>
      </c>
      <c r="BK173" s="77" cm="1">
        <f t="array" ref="BK173">_xll.DCEPropSectI(BF173, BH173, BG173, BI173, BG173, BI173, "A")/100</f>
        <v>54.8</v>
      </c>
      <c r="BL173" s="70" t="s">
        <v>224</v>
      </c>
      <c r="BM173" s="70">
        <v>40.99398132762785</v>
      </c>
      <c r="BN173" s="71">
        <v>0.9</v>
      </c>
      <c r="BO173" s="77">
        <f t="shared" si="27"/>
        <v>5.49</v>
      </c>
      <c r="BP173" s="71">
        <v>0.9</v>
      </c>
      <c r="BQ173" s="77">
        <f t="shared" si="28"/>
        <v>5.49</v>
      </c>
      <c r="BR173" s="77" cm="1">
        <f t="array" ref="BR173">_xll.DCEPropSectI(BF173, BH173, BG173, BI173, BG173, BI173, "rx")/10</f>
        <v>11.847052463297633</v>
      </c>
      <c r="BS173" s="77" cm="1">
        <f t="array" ref="BS173">_xll.DCEPropSectI(BF173, BH173, BG173, BI173, BG173, BI173, "ry")/10</f>
        <v>5.3836052600564113</v>
      </c>
      <c r="BT173" s="5">
        <f t="shared" si="29"/>
        <v>46.340640568682481</v>
      </c>
      <c r="BU173" s="5">
        <f t="shared" si="30"/>
        <v>101.97627305131346</v>
      </c>
      <c r="BV173" s="5">
        <f t="shared" si="31"/>
        <v>101.97627305131346</v>
      </c>
      <c r="BW173" s="71">
        <f t="shared" si="32"/>
        <v>400</v>
      </c>
      <c r="BX173" s="78" cm="1">
        <f t="array" ref="BX173">IF(BM173&gt;0,1,_xll.DCETCVN5575FactorPhi7121(BV173*SQRT($K$17/206000),"b"))</f>
        <v>1</v>
      </c>
      <c r="BY173" s="64">
        <f t="shared" si="33"/>
        <v>3.5622159652092332E-2</v>
      </c>
      <c r="BZ173" s="3" t="str">
        <f t="shared" si="34"/>
        <v>OK</v>
      </c>
    </row>
    <row r="174" spans="1:78">
      <c r="A174" s="76"/>
      <c r="B174" s="76"/>
      <c r="C174" s="125"/>
      <c r="D174" s="125"/>
      <c r="E174" s="71"/>
      <c r="F174" s="71"/>
      <c r="G174" s="71"/>
      <c r="H174" s="126"/>
      <c r="I174" s="125"/>
      <c r="J174" s="123"/>
      <c r="K174" s="12"/>
      <c r="L174" s="117"/>
      <c r="M174" s="12"/>
      <c r="N174" s="117"/>
      <c r="O174" s="117"/>
      <c r="P174" s="117"/>
      <c r="Q174" s="118"/>
      <c r="R174" s="118"/>
      <c r="S174" s="118"/>
      <c r="T174" s="12"/>
      <c r="U174" s="118"/>
      <c r="V174" s="118"/>
      <c r="W174" s="12"/>
      <c r="X174" s="119"/>
      <c r="Y174" s="120"/>
      <c r="Z174" s="12"/>
      <c r="BA174" s="70" t="s">
        <v>205</v>
      </c>
      <c r="BB174" s="71" t="s">
        <v>208</v>
      </c>
      <c r="BC174" s="71" t="s">
        <v>207</v>
      </c>
      <c r="BD174" s="71">
        <v>0</v>
      </c>
      <c r="BE174" s="71">
        <v>6.1</v>
      </c>
      <c r="BF174" s="71">
        <v>268</v>
      </c>
      <c r="BG174" s="71">
        <v>212</v>
      </c>
      <c r="BH174" s="71">
        <v>5</v>
      </c>
      <c r="BI174" s="71">
        <v>10</v>
      </c>
      <c r="BJ174" s="12" t="str" cm="1">
        <f t="array" ref="BJ174">_xll.Dce_Name_SectI(BF174, BF174, BG174, BH174, BI174, "x", "-", $AX$11)</f>
        <v>268x212x5x10</v>
      </c>
      <c r="BK174" s="77" cm="1">
        <f t="array" ref="BK174">_xll.DCEPropSectI(BF174, BH174, BG174, BI174, BG174, BI174, "A")/100</f>
        <v>54.8</v>
      </c>
      <c r="BL174" s="70" t="s">
        <v>225</v>
      </c>
      <c r="BM174" s="70">
        <v>24.796285527922873</v>
      </c>
      <c r="BN174" s="71">
        <v>0.9</v>
      </c>
      <c r="BO174" s="77">
        <f t="shared" si="27"/>
        <v>5.49</v>
      </c>
      <c r="BP174" s="71">
        <v>0.9</v>
      </c>
      <c r="BQ174" s="77">
        <f t="shared" si="28"/>
        <v>5.49</v>
      </c>
      <c r="BR174" s="77" cm="1">
        <f t="array" ref="BR174">_xll.DCEPropSectI(BF174, BH174, BG174, BI174, BG174, BI174, "rx")/10</f>
        <v>11.847052463297633</v>
      </c>
      <c r="BS174" s="77" cm="1">
        <f t="array" ref="BS174">_xll.DCEPropSectI(BF174, BH174, BG174, BI174, BG174, BI174, "ry")/10</f>
        <v>5.3836052600564113</v>
      </c>
      <c r="BT174" s="5">
        <f t="shared" si="29"/>
        <v>46.340640568682481</v>
      </c>
      <c r="BU174" s="5">
        <f t="shared" si="30"/>
        <v>101.97627305131346</v>
      </c>
      <c r="BV174" s="5">
        <f t="shared" si="31"/>
        <v>101.97627305131346</v>
      </c>
      <c r="BW174" s="71">
        <f t="shared" si="32"/>
        <v>400</v>
      </c>
      <c r="BX174" s="78" cm="1">
        <f t="array" ref="BX174">IF(BM174&gt;0,1,_xll.DCETCVN5575FactorPhi7121(BV174*SQRT($K$17/206000),"b"))</f>
        <v>1</v>
      </c>
      <c r="BY174" s="64">
        <f t="shared" si="33"/>
        <v>2.1546998199446363E-2</v>
      </c>
      <c r="BZ174" s="3" t="str">
        <f t="shared" si="34"/>
        <v>OK</v>
      </c>
    </row>
    <row r="175" spans="1:78">
      <c r="A175" s="76"/>
      <c r="B175" s="76"/>
      <c r="C175" s="125"/>
      <c r="D175" s="125"/>
      <c r="E175" s="71"/>
      <c r="F175" s="71"/>
      <c r="G175" s="71"/>
      <c r="H175" s="126"/>
      <c r="I175" s="125"/>
      <c r="J175" s="123"/>
      <c r="K175" s="12"/>
      <c r="L175" s="117"/>
      <c r="M175" s="12"/>
      <c r="N175" s="117"/>
      <c r="O175" s="117"/>
      <c r="P175" s="117"/>
      <c r="Q175" s="118"/>
      <c r="R175" s="118"/>
      <c r="S175" s="118"/>
      <c r="T175" s="12"/>
      <c r="U175" s="118"/>
      <c r="V175" s="118"/>
      <c r="W175" s="12"/>
      <c r="X175" s="119"/>
      <c r="Y175" s="120"/>
      <c r="Z175" s="12"/>
      <c r="BA175" s="70" t="s">
        <v>205</v>
      </c>
      <c r="BB175" s="71" t="s">
        <v>208</v>
      </c>
      <c r="BC175" s="71" t="s">
        <v>207</v>
      </c>
      <c r="BD175" s="71">
        <v>0.76</v>
      </c>
      <c r="BE175" s="71">
        <v>6.1</v>
      </c>
      <c r="BF175" s="71">
        <v>268</v>
      </c>
      <c r="BG175" s="71">
        <v>212</v>
      </c>
      <c r="BH175" s="71">
        <v>5</v>
      </c>
      <c r="BI175" s="71">
        <v>10</v>
      </c>
      <c r="BJ175" s="12" t="str" cm="1">
        <f t="array" ref="BJ175">_xll.Dce_Name_SectI(BF175, BF175, BG175, BH175, BI175, "x", "-", $AX$11)</f>
        <v>268x212x5x10</v>
      </c>
      <c r="BK175" s="77" cm="1">
        <f t="array" ref="BK175">_xll.DCEPropSectI(BF175, BH175, BG175, BI175, BG175, BI175, "A")/100</f>
        <v>54.8</v>
      </c>
      <c r="BL175" s="70" t="s">
        <v>225</v>
      </c>
      <c r="BM175" s="70">
        <v>24.474654415940119</v>
      </c>
      <c r="BN175" s="71">
        <v>0.9</v>
      </c>
      <c r="BO175" s="77">
        <f t="shared" si="27"/>
        <v>5.49</v>
      </c>
      <c r="BP175" s="71">
        <v>0.9</v>
      </c>
      <c r="BQ175" s="77">
        <f t="shared" si="28"/>
        <v>5.49</v>
      </c>
      <c r="BR175" s="77" cm="1">
        <f t="array" ref="BR175">_xll.DCEPropSectI(BF175, BH175, BG175, BI175, BG175, BI175, "rx")/10</f>
        <v>11.847052463297633</v>
      </c>
      <c r="BS175" s="77" cm="1">
        <f t="array" ref="BS175">_xll.DCEPropSectI(BF175, BH175, BG175, BI175, BG175, BI175, "ry")/10</f>
        <v>5.3836052600564113</v>
      </c>
      <c r="BT175" s="5">
        <f t="shared" si="29"/>
        <v>46.340640568682481</v>
      </c>
      <c r="BU175" s="5">
        <f t="shared" si="30"/>
        <v>101.97627305131346</v>
      </c>
      <c r="BV175" s="5">
        <f t="shared" si="31"/>
        <v>101.97627305131346</v>
      </c>
      <c r="BW175" s="71">
        <f t="shared" si="32"/>
        <v>400</v>
      </c>
      <c r="BX175" s="78" cm="1">
        <f t="array" ref="BX175">IF(BM175&gt;0,1,_xll.DCETCVN5575FactorPhi7121(BV175*SQRT($K$17/206000),"b"))</f>
        <v>1</v>
      </c>
      <c r="BY175" s="64">
        <f t="shared" si="33"/>
        <v>2.1267513395846475E-2</v>
      </c>
      <c r="BZ175" s="3" t="str">
        <f t="shared" si="34"/>
        <v>OK</v>
      </c>
    </row>
    <row r="176" spans="1:78">
      <c r="A176" s="76"/>
      <c r="B176" s="76"/>
      <c r="C176" s="125"/>
      <c r="D176" s="125"/>
      <c r="E176" s="71"/>
      <c r="F176" s="71"/>
      <c r="G176" s="71"/>
      <c r="H176" s="126"/>
      <c r="I176" s="125"/>
      <c r="J176" s="123"/>
      <c r="K176" s="12"/>
      <c r="L176" s="117"/>
      <c r="M176" s="12"/>
      <c r="N176" s="117"/>
      <c r="O176" s="117"/>
      <c r="P176" s="117"/>
      <c r="Q176" s="118"/>
      <c r="R176" s="118"/>
      <c r="S176" s="118"/>
      <c r="T176" s="12"/>
      <c r="U176" s="118"/>
      <c r="V176" s="118"/>
      <c r="W176" s="12"/>
      <c r="X176" s="119"/>
      <c r="Y176" s="120"/>
      <c r="Z176" s="12"/>
      <c r="BA176" s="70" t="s">
        <v>205</v>
      </c>
      <c r="BB176" s="71" t="s">
        <v>208</v>
      </c>
      <c r="BC176" s="71" t="s">
        <v>207</v>
      </c>
      <c r="BD176" s="71">
        <v>1.52</v>
      </c>
      <c r="BE176" s="71">
        <v>6.1</v>
      </c>
      <c r="BF176" s="71">
        <v>268</v>
      </c>
      <c r="BG176" s="71">
        <v>212</v>
      </c>
      <c r="BH176" s="71">
        <v>5</v>
      </c>
      <c r="BI176" s="71">
        <v>10</v>
      </c>
      <c r="BJ176" s="12" t="str" cm="1">
        <f t="array" ref="BJ176">_xll.Dce_Name_SectI(BF176, BF176, BG176, BH176, BI176, "x", "-", $AX$11)</f>
        <v>268x212x5x10</v>
      </c>
      <c r="BK176" s="77" cm="1">
        <f t="array" ref="BK176">_xll.DCEPropSectI(BF176, BH176, BG176, BI176, BG176, BI176, "A")/100</f>
        <v>54.8</v>
      </c>
      <c r="BL176" s="70" t="s">
        <v>225</v>
      </c>
      <c r="BM176" s="70">
        <v>24.153023303957365</v>
      </c>
      <c r="BN176" s="71">
        <v>0.9</v>
      </c>
      <c r="BO176" s="77">
        <f t="shared" si="27"/>
        <v>5.49</v>
      </c>
      <c r="BP176" s="71">
        <v>0.9</v>
      </c>
      <c r="BQ176" s="77">
        <f t="shared" si="28"/>
        <v>5.49</v>
      </c>
      <c r="BR176" s="77" cm="1">
        <f t="array" ref="BR176">_xll.DCEPropSectI(BF176, BH176, BG176, BI176, BG176, BI176, "rx")/10</f>
        <v>11.847052463297633</v>
      </c>
      <c r="BS176" s="77" cm="1">
        <f t="array" ref="BS176">_xll.DCEPropSectI(BF176, BH176, BG176, BI176, BG176, BI176, "ry")/10</f>
        <v>5.3836052600564113</v>
      </c>
      <c r="BT176" s="5">
        <f t="shared" si="29"/>
        <v>46.340640568682481</v>
      </c>
      <c r="BU176" s="5">
        <f t="shared" si="30"/>
        <v>101.97627305131346</v>
      </c>
      <c r="BV176" s="5">
        <f t="shared" si="31"/>
        <v>101.97627305131346</v>
      </c>
      <c r="BW176" s="71">
        <f t="shared" si="32"/>
        <v>400</v>
      </c>
      <c r="BX176" s="78" cm="1">
        <f t="array" ref="BX176">IF(BM176&gt;0,1,_xll.DCETCVN5575FactorPhi7121(BV176*SQRT($K$17/206000),"b"))</f>
        <v>1</v>
      </c>
      <c r="BY176" s="64">
        <f t="shared" si="33"/>
        <v>2.0988028592246584E-2</v>
      </c>
      <c r="BZ176" s="3" t="str">
        <f t="shared" si="34"/>
        <v>OK</v>
      </c>
    </row>
    <row r="177" spans="1:78">
      <c r="A177" s="76"/>
      <c r="B177" s="76"/>
      <c r="C177" s="125"/>
      <c r="D177" s="125"/>
      <c r="E177" s="71"/>
      <c r="F177" s="71"/>
      <c r="G177" s="71"/>
      <c r="H177" s="126"/>
      <c r="I177" s="125"/>
      <c r="J177" s="123"/>
      <c r="K177" s="12"/>
      <c r="L177" s="117"/>
      <c r="M177" s="12"/>
      <c r="N177" s="117"/>
      <c r="O177" s="117"/>
      <c r="P177" s="117"/>
      <c r="Q177" s="118"/>
      <c r="R177" s="118"/>
      <c r="S177" s="118"/>
      <c r="T177" s="12"/>
      <c r="U177" s="118"/>
      <c r="V177" s="118"/>
      <c r="W177" s="12"/>
      <c r="X177" s="119"/>
      <c r="Y177" s="120"/>
      <c r="Z177" s="12"/>
      <c r="BA177" s="70" t="s">
        <v>205</v>
      </c>
      <c r="BB177" s="71" t="s">
        <v>208</v>
      </c>
      <c r="BC177" s="71" t="s">
        <v>207</v>
      </c>
      <c r="BD177" s="71">
        <v>2.29</v>
      </c>
      <c r="BE177" s="71">
        <v>6.1</v>
      </c>
      <c r="BF177" s="71">
        <v>268</v>
      </c>
      <c r="BG177" s="71">
        <v>212</v>
      </c>
      <c r="BH177" s="71">
        <v>5</v>
      </c>
      <c r="BI177" s="71">
        <v>10</v>
      </c>
      <c r="BJ177" s="12" t="str" cm="1">
        <f t="array" ref="BJ177">_xll.Dce_Name_SectI(BF177, BF177, BG177, BH177, BI177, "x", "-", $AX$11)</f>
        <v>268x212x5x10</v>
      </c>
      <c r="BK177" s="77" cm="1">
        <f t="array" ref="BK177">_xll.DCEPropSectI(BF177, BH177, BG177, BI177, BG177, BI177, "A")/100</f>
        <v>54.8</v>
      </c>
      <c r="BL177" s="70" t="s">
        <v>225</v>
      </c>
      <c r="BM177" s="70">
        <v>23.831392191974611</v>
      </c>
      <c r="BN177" s="71">
        <v>0.9</v>
      </c>
      <c r="BO177" s="77">
        <f t="shared" si="27"/>
        <v>5.49</v>
      </c>
      <c r="BP177" s="71">
        <v>0.9</v>
      </c>
      <c r="BQ177" s="77">
        <f t="shared" si="28"/>
        <v>5.49</v>
      </c>
      <c r="BR177" s="77" cm="1">
        <f t="array" ref="BR177">_xll.DCEPropSectI(BF177, BH177, BG177, BI177, BG177, BI177, "rx")/10</f>
        <v>11.847052463297633</v>
      </c>
      <c r="BS177" s="77" cm="1">
        <f t="array" ref="BS177">_xll.DCEPropSectI(BF177, BH177, BG177, BI177, BG177, BI177, "ry")/10</f>
        <v>5.3836052600564113</v>
      </c>
      <c r="BT177" s="5">
        <f t="shared" si="29"/>
        <v>46.340640568682481</v>
      </c>
      <c r="BU177" s="5">
        <f t="shared" si="30"/>
        <v>101.97627305131346</v>
      </c>
      <c r="BV177" s="5">
        <f t="shared" si="31"/>
        <v>101.97627305131346</v>
      </c>
      <c r="BW177" s="71">
        <f t="shared" si="32"/>
        <v>400</v>
      </c>
      <c r="BX177" s="78" cm="1">
        <f t="array" ref="BX177">IF(BM177&gt;0,1,_xll.DCETCVN5575FactorPhi7121(BV177*SQRT($K$17/206000),"b"))</f>
        <v>1</v>
      </c>
      <c r="BY177" s="64">
        <f t="shared" si="33"/>
        <v>2.0708543788646692E-2</v>
      </c>
      <c r="BZ177" s="3" t="str">
        <f t="shared" si="34"/>
        <v>OK</v>
      </c>
    </row>
    <row r="178" spans="1:78">
      <c r="A178" s="76"/>
      <c r="B178" s="76"/>
      <c r="C178" s="125"/>
      <c r="D178" s="125"/>
      <c r="E178" s="71"/>
      <c r="F178" s="71"/>
      <c r="G178" s="71"/>
      <c r="H178" s="126"/>
      <c r="I178" s="125"/>
      <c r="J178" s="123"/>
      <c r="K178" s="12"/>
      <c r="L178" s="117"/>
      <c r="M178" s="12"/>
      <c r="N178" s="117"/>
      <c r="O178" s="117"/>
      <c r="P178" s="117"/>
      <c r="Q178" s="118"/>
      <c r="R178" s="118"/>
      <c r="S178" s="118"/>
      <c r="T178" s="12"/>
      <c r="U178" s="118"/>
      <c r="V178" s="118"/>
      <c r="W178" s="12"/>
      <c r="X178" s="119"/>
      <c r="Y178" s="120"/>
      <c r="Z178" s="12"/>
      <c r="BA178" s="70" t="s">
        <v>205</v>
      </c>
      <c r="BB178" s="71" t="s">
        <v>208</v>
      </c>
      <c r="BC178" s="71" t="s">
        <v>207</v>
      </c>
      <c r="BD178" s="71">
        <v>3.05</v>
      </c>
      <c r="BE178" s="71">
        <v>6.1</v>
      </c>
      <c r="BF178" s="71">
        <v>268</v>
      </c>
      <c r="BG178" s="71">
        <v>212</v>
      </c>
      <c r="BH178" s="71">
        <v>5</v>
      </c>
      <c r="BI178" s="71">
        <v>10</v>
      </c>
      <c r="BJ178" s="12" t="str" cm="1">
        <f t="array" ref="BJ178">_xll.Dce_Name_SectI(BF178, BF178, BG178, BH178, BI178, "x", "-", $AX$11)</f>
        <v>268x212x5x10</v>
      </c>
      <c r="BK178" s="77" cm="1">
        <f t="array" ref="BK178">_xll.DCEPropSectI(BF178, BH178, BG178, BI178, BG178, BI178, "A")/100</f>
        <v>54.8</v>
      </c>
      <c r="BL178" s="70" t="s">
        <v>225</v>
      </c>
      <c r="BM178" s="70">
        <v>23.509761079991858</v>
      </c>
      <c r="BN178" s="71">
        <v>0.9</v>
      </c>
      <c r="BO178" s="77">
        <f t="shared" si="27"/>
        <v>5.49</v>
      </c>
      <c r="BP178" s="71">
        <v>0.9</v>
      </c>
      <c r="BQ178" s="77">
        <f t="shared" si="28"/>
        <v>5.49</v>
      </c>
      <c r="BR178" s="77" cm="1">
        <f t="array" ref="BR178">_xll.DCEPropSectI(BF178, BH178, BG178, BI178, BG178, BI178, "rx")/10</f>
        <v>11.847052463297633</v>
      </c>
      <c r="BS178" s="77" cm="1">
        <f t="array" ref="BS178">_xll.DCEPropSectI(BF178, BH178, BG178, BI178, BG178, BI178, "ry")/10</f>
        <v>5.3836052600564113</v>
      </c>
      <c r="BT178" s="5">
        <f t="shared" si="29"/>
        <v>46.340640568682481</v>
      </c>
      <c r="BU178" s="5">
        <f t="shared" si="30"/>
        <v>101.97627305131346</v>
      </c>
      <c r="BV178" s="5">
        <f t="shared" si="31"/>
        <v>101.97627305131346</v>
      </c>
      <c r="BW178" s="71">
        <f t="shared" si="32"/>
        <v>400</v>
      </c>
      <c r="BX178" s="78" cm="1">
        <f t="array" ref="BX178">IF(BM178&gt;0,1,_xll.DCETCVN5575FactorPhi7121(BV178*SQRT($K$17/206000),"b"))</f>
        <v>1</v>
      </c>
      <c r="BY178" s="64">
        <f t="shared" si="33"/>
        <v>2.0429058985046801E-2</v>
      </c>
      <c r="BZ178" s="3" t="str">
        <f t="shared" si="34"/>
        <v>OK</v>
      </c>
    </row>
    <row r="179" spans="1:78">
      <c r="A179" s="76"/>
      <c r="B179" s="76"/>
      <c r="C179" s="125"/>
      <c r="D179" s="125"/>
      <c r="E179" s="71"/>
      <c r="F179" s="71"/>
      <c r="G179" s="71"/>
      <c r="H179" s="126"/>
      <c r="I179" s="125"/>
      <c r="J179" s="123"/>
      <c r="K179" s="12"/>
      <c r="L179" s="117"/>
      <c r="M179" s="12"/>
      <c r="N179" s="117"/>
      <c r="O179" s="117"/>
      <c r="P179" s="117"/>
      <c r="Q179" s="118"/>
      <c r="R179" s="118"/>
      <c r="S179" s="118"/>
      <c r="T179" s="12"/>
      <c r="U179" s="118"/>
      <c r="V179" s="118"/>
      <c r="W179" s="12"/>
      <c r="X179" s="119"/>
      <c r="Y179" s="120"/>
      <c r="Z179" s="12"/>
      <c r="BA179" s="70" t="s">
        <v>205</v>
      </c>
      <c r="BB179" s="71" t="s">
        <v>208</v>
      </c>
      <c r="BC179" s="71" t="s">
        <v>207</v>
      </c>
      <c r="BD179" s="71">
        <v>3.81</v>
      </c>
      <c r="BE179" s="71">
        <v>6.1</v>
      </c>
      <c r="BF179" s="71">
        <v>268</v>
      </c>
      <c r="BG179" s="71">
        <v>212</v>
      </c>
      <c r="BH179" s="71">
        <v>5</v>
      </c>
      <c r="BI179" s="71">
        <v>10</v>
      </c>
      <c r="BJ179" s="12" t="str" cm="1">
        <f t="array" ref="BJ179">_xll.Dce_Name_SectI(BF179, BF179, BG179, BH179, BI179, "x", "-", $AX$11)</f>
        <v>268x212x5x10</v>
      </c>
      <c r="BK179" s="77" cm="1">
        <f t="array" ref="BK179">_xll.DCEPropSectI(BF179, BH179, BG179, BI179, BG179, BI179, "A")/100</f>
        <v>54.8</v>
      </c>
      <c r="BL179" s="70" t="s">
        <v>225</v>
      </c>
      <c r="BM179" s="70">
        <v>23.188129968009108</v>
      </c>
      <c r="BN179" s="71">
        <v>0.9</v>
      </c>
      <c r="BO179" s="77">
        <f t="shared" si="27"/>
        <v>5.49</v>
      </c>
      <c r="BP179" s="71">
        <v>0.9</v>
      </c>
      <c r="BQ179" s="77">
        <f t="shared" si="28"/>
        <v>5.49</v>
      </c>
      <c r="BR179" s="77" cm="1">
        <f t="array" ref="BR179">_xll.DCEPropSectI(BF179, BH179, BG179, BI179, BG179, BI179, "rx")/10</f>
        <v>11.847052463297633</v>
      </c>
      <c r="BS179" s="77" cm="1">
        <f t="array" ref="BS179">_xll.DCEPropSectI(BF179, BH179, BG179, BI179, BG179, BI179, "ry")/10</f>
        <v>5.3836052600564113</v>
      </c>
      <c r="BT179" s="5">
        <f t="shared" si="29"/>
        <v>46.340640568682481</v>
      </c>
      <c r="BU179" s="5">
        <f t="shared" si="30"/>
        <v>101.97627305131346</v>
      </c>
      <c r="BV179" s="5">
        <f t="shared" si="31"/>
        <v>101.97627305131346</v>
      </c>
      <c r="BW179" s="71">
        <f t="shared" si="32"/>
        <v>400</v>
      </c>
      <c r="BX179" s="78" cm="1">
        <f t="array" ref="BX179">IF(BM179&gt;0,1,_xll.DCETCVN5575FactorPhi7121(BV179*SQRT($K$17/206000),"b"))</f>
        <v>1</v>
      </c>
      <c r="BY179" s="64">
        <f t="shared" si="33"/>
        <v>2.0149574181446916E-2</v>
      </c>
      <c r="BZ179" s="3" t="str">
        <f t="shared" si="34"/>
        <v>OK</v>
      </c>
    </row>
    <row r="180" spans="1:78">
      <c r="A180" s="76"/>
      <c r="B180" s="76"/>
      <c r="C180" s="125"/>
      <c r="D180" s="125"/>
      <c r="E180" s="71"/>
      <c r="F180" s="71"/>
      <c r="G180" s="71"/>
      <c r="H180" s="126"/>
      <c r="I180" s="125"/>
      <c r="J180" s="123"/>
      <c r="K180" s="12"/>
      <c r="L180" s="117"/>
      <c r="M180" s="12"/>
      <c r="N180" s="117"/>
      <c r="O180" s="117"/>
      <c r="P180" s="117"/>
      <c r="Q180" s="118"/>
      <c r="R180" s="118"/>
      <c r="S180" s="118"/>
      <c r="T180" s="12"/>
      <c r="U180" s="118"/>
      <c r="V180" s="118"/>
      <c r="W180" s="12"/>
      <c r="X180" s="119"/>
      <c r="Y180" s="120"/>
      <c r="Z180" s="12"/>
      <c r="BA180" s="70" t="s">
        <v>205</v>
      </c>
      <c r="BB180" s="71" t="s">
        <v>208</v>
      </c>
      <c r="BC180" s="71" t="s">
        <v>207</v>
      </c>
      <c r="BD180" s="71">
        <v>4.57</v>
      </c>
      <c r="BE180" s="71">
        <v>6.1</v>
      </c>
      <c r="BF180" s="71">
        <v>268</v>
      </c>
      <c r="BG180" s="71">
        <v>212</v>
      </c>
      <c r="BH180" s="71">
        <v>5</v>
      </c>
      <c r="BI180" s="71">
        <v>10</v>
      </c>
      <c r="BJ180" s="12" t="str" cm="1">
        <f t="array" ref="BJ180">_xll.Dce_Name_SectI(BF180, BF180, BG180, BH180, BI180, "x", "-", $AX$11)</f>
        <v>268x212x5x10</v>
      </c>
      <c r="BK180" s="77" cm="1">
        <f t="array" ref="BK180">_xll.DCEPropSectI(BF180, BH180, BG180, BI180, BG180, BI180, "A")/100</f>
        <v>54.8</v>
      </c>
      <c r="BL180" s="70" t="s">
        <v>225</v>
      </c>
      <c r="BM180" s="70">
        <v>22.866498856026354</v>
      </c>
      <c r="BN180" s="71">
        <v>0.9</v>
      </c>
      <c r="BO180" s="77">
        <f t="shared" si="27"/>
        <v>5.49</v>
      </c>
      <c r="BP180" s="71">
        <v>0.9</v>
      </c>
      <c r="BQ180" s="77">
        <f t="shared" si="28"/>
        <v>5.49</v>
      </c>
      <c r="BR180" s="77" cm="1">
        <f t="array" ref="BR180">_xll.DCEPropSectI(BF180, BH180, BG180, BI180, BG180, BI180, "rx")/10</f>
        <v>11.847052463297633</v>
      </c>
      <c r="BS180" s="77" cm="1">
        <f t="array" ref="BS180">_xll.DCEPropSectI(BF180, BH180, BG180, BI180, BG180, BI180, "ry")/10</f>
        <v>5.3836052600564113</v>
      </c>
      <c r="BT180" s="5">
        <f t="shared" si="29"/>
        <v>46.340640568682481</v>
      </c>
      <c r="BU180" s="5">
        <f t="shared" si="30"/>
        <v>101.97627305131346</v>
      </c>
      <c r="BV180" s="5">
        <f t="shared" si="31"/>
        <v>101.97627305131346</v>
      </c>
      <c r="BW180" s="71">
        <f t="shared" si="32"/>
        <v>400</v>
      </c>
      <c r="BX180" s="78" cm="1">
        <f t="array" ref="BX180">IF(BM180&gt;0,1,_xll.DCETCVN5575FactorPhi7121(BV180*SQRT($K$17/206000),"b"))</f>
        <v>1</v>
      </c>
      <c r="BY180" s="64">
        <f t="shared" si="33"/>
        <v>1.9870089377847025E-2</v>
      </c>
      <c r="BZ180" s="3" t="str">
        <f t="shared" si="34"/>
        <v>OK</v>
      </c>
    </row>
    <row r="181" spans="1:78">
      <c r="A181" s="76"/>
      <c r="B181" s="76"/>
      <c r="C181" s="125"/>
      <c r="D181" s="125"/>
      <c r="E181" s="71"/>
      <c r="F181" s="71"/>
      <c r="G181" s="71"/>
      <c r="H181" s="126"/>
      <c r="I181" s="125"/>
      <c r="J181" s="123"/>
      <c r="K181" s="12"/>
      <c r="L181" s="117"/>
      <c r="M181" s="12"/>
      <c r="N181" s="117"/>
      <c r="O181" s="117"/>
      <c r="P181" s="117"/>
      <c r="Q181" s="118"/>
      <c r="R181" s="118"/>
      <c r="S181" s="118"/>
      <c r="T181" s="12"/>
      <c r="U181" s="118"/>
      <c r="V181" s="118"/>
      <c r="W181" s="12"/>
      <c r="X181" s="119"/>
      <c r="Y181" s="120"/>
      <c r="Z181" s="12"/>
      <c r="BA181" s="70" t="s">
        <v>205</v>
      </c>
      <c r="BB181" s="71" t="s">
        <v>208</v>
      </c>
      <c r="BC181" s="71" t="s">
        <v>207</v>
      </c>
      <c r="BD181" s="71">
        <v>5.34</v>
      </c>
      <c r="BE181" s="71">
        <v>6.1</v>
      </c>
      <c r="BF181" s="71">
        <v>268</v>
      </c>
      <c r="BG181" s="71">
        <v>212</v>
      </c>
      <c r="BH181" s="71">
        <v>5</v>
      </c>
      <c r="BI181" s="71">
        <v>10</v>
      </c>
      <c r="BJ181" s="12" t="str" cm="1">
        <f t="array" ref="BJ181">_xll.Dce_Name_SectI(BF181, BF181, BG181, BH181, BI181, "x", "-", $AX$11)</f>
        <v>268x212x5x10</v>
      </c>
      <c r="BK181" s="77" cm="1">
        <f t="array" ref="BK181">_xll.DCEPropSectI(BF181, BH181, BG181, BI181, BG181, BI181, "A")/100</f>
        <v>54.8</v>
      </c>
      <c r="BL181" s="70" t="s">
        <v>225</v>
      </c>
      <c r="BM181" s="70">
        <v>22.5448677440436</v>
      </c>
      <c r="BN181" s="71">
        <v>0.9</v>
      </c>
      <c r="BO181" s="77">
        <f t="shared" si="27"/>
        <v>5.49</v>
      </c>
      <c r="BP181" s="71">
        <v>0.9</v>
      </c>
      <c r="BQ181" s="77">
        <f t="shared" si="28"/>
        <v>5.49</v>
      </c>
      <c r="BR181" s="77" cm="1">
        <f t="array" ref="BR181">_xll.DCEPropSectI(BF181, BH181, BG181, BI181, BG181, BI181, "rx")/10</f>
        <v>11.847052463297633</v>
      </c>
      <c r="BS181" s="77" cm="1">
        <f t="array" ref="BS181">_xll.DCEPropSectI(BF181, BH181, BG181, BI181, BG181, BI181, "ry")/10</f>
        <v>5.3836052600564113</v>
      </c>
      <c r="BT181" s="5">
        <f t="shared" si="29"/>
        <v>46.340640568682481</v>
      </c>
      <c r="BU181" s="5">
        <f t="shared" si="30"/>
        <v>101.97627305131346</v>
      </c>
      <c r="BV181" s="5">
        <f t="shared" si="31"/>
        <v>101.97627305131346</v>
      </c>
      <c r="BW181" s="71">
        <f t="shared" si="32"/>
        <v>400</v>
      </c>
      <c r="BX181" s="78" cm="1">
        <f t="array" ref="BX181">IF(BM181&gt;0,1,_xll.DCETCVN5575FactorPhi7121(BV181*SQRT($K$17/206000),"b"))</f>
        <v>1</v>
      </c>
      <c r="BY181" s="64">
        <f t="shared" si="33"/>
        <v>1.9590604574247134E-2</v>
      </c>
      <c r="BZ181" s="3" t="str">
        <f t="shared" si="34"/>
        <v>OK</v>
      </c>
    </row>
    <row r="182" spans="1:78">
      <c r="A182" s="76"/>
      <c r="B182" s="76"/>
      <c r="C182" s="125"/>
      <c r="D182" s="125"/>
      <c r="E182" s="71"/>
      <c r="F182" s="71"/>
      <c r="G182" s="71"/>
      <c r="H182" s="126"/>
      <c r="I182" s="125"/>
      <c r="J182" s="123"/>
      <c r="K182" s="12"/>
      <c r="L182" s="117"/>
      <c r="M182" s="12"/>
      <c r="N182" s="117"/>
      <c r="O182" s="117"/>
      <c r="P182" s="117"/>
      <c r="Q182" s="118"/>
      <c r="R182" s="118"/>
      <c r="S182" s="118"/>
      <c r="T182" s="12"/>
      <c r="U182" s="118"/>
      <c r="V182" s="118"/>
      <c r="W182" s="12"/>
      <c r="X182" s="119"/>
      <c r="Y182" s="120"/>
      <c r="Z182" s="12"/>
      <c r="BA182" s="70" t="s">
        <v>205</v>
      </c>
      <c r="BB182" s="71" t="s">
        <v>208</v>
      </c>
      <c r="BC182" s="71" t="s">
        <v>207</v>
      </c>
      <c r="BD182" s="71">
        <v>6.1</v>
      </c>
      <c r="BE182" s="71">
        <v>6.1</v>
      </c>
      <c r="BF182" s="71">
        <v>268</v>
      </c>
      <c r="BG182" s="71">
        <v>212</v>
      </c>
      <c r="BH182" s="71">
        <v>5</v>
      </c>
      <c r="BI182" s="71">
        <v>10</v>
      </c>
      <c r="BJ182" s="12" t="str" cm="1">
        <f t="array" ref="BJ182">_xll.Dce_Name_SectI(BF182, BF182, BG182, BH182, BI182, "x", "-", $AX$11)</f>
        <v>268x212x5x10</v>
      </c>
      <c r="BK182" s="77" cm="1">
        <f t="array" ref="BK182">_xll.DCEPropSectI(BF182, BH182, BG182, BI182, BG182, BI182, "A")/100</f>
        <v>54.8</v>
      </c>
      <c r="BL182" s="70" t="s">
        <v>225</v>
      </c>
      <c r="BM182" s="70">
        <v>22.223236632060846</v>
      </c>
      <c r="BN182" s="71">
        <v>0.9</v>
      </c>
      <c r="BO182" s="77">
        <f t="shared" si="27"/>
        <v>5.49</v>
      </c>
      <c r="BP182" s="71">
        <v>0.9</v>
      </c>
      <c r="BQ182" s="77">
        <f t="shared" si="28"/>
        <v>5.49</v>
      </c>
      <c r="BR182" s="77" cm="1">
        <f t="array" ref="BR182">_xll.DCEPropSectI(BF182, BH182, BG182, BI182, BG182, BI182, "rx")/10</f>
        <v>11.847052463297633</v>
      </c>
      <c r="BS182" s="77" cm="1">
        <f t="array" ref="BS182">_xll.DCEPropSectI(BF182, BH182, BG182, BI182, BG182, BI182, "ry")/10</f>
        <v>5.3836052600564113</v>
      </c>
      <c r="BT182" s="5">
        <f t="shared" si="29"/>
        <v>46.340640568682481</v>
      </c>
      <c r="BU182" s="5">
        <f t="shared" si="30"/>
        <v>101.97627305131346</v>
      </c>
      <c r="BV182" s="5">
        <f t="shared" si="31"/>
        <v>101.97627305131346</v>
      </c>
      <c r="BW182" s="71">
        <f t="shared" si="32"/>
        <v>400</v>
      </c>
      <c r="BX182" s="78" cm="1">
        <f t="array" ref="BX182">IF(BM182&gt;0,1,_xll.DCETCVN5575FactorPhi7121(BV182*SQRT($K$17/206000),"b"))</f>
        <v>1</v>
      </c>
      <c r="BY182" s="64">
        <f t="shared" si="33"/>
        <v>1.9311119770647246E-2</v>
      </c>
      <c r="BZ182" s="3" t="str">
        <f t="shared" si="34"/>
        <v>OK</v>
      </c>
    </row>
    <row r="183" spans="1:78">
      <c r="A183" s="76"/>
      <c r="B183" s="76"/>
      <c r="C183" s="125"/>
      <c r="D183" s="125"/>
      <c r="E183" s="71"/>
      <c r="F183" s="71"/>
      <c r="G183" s="71"/>
      <c r="H183" s="126"/>
      <c r="I183" s="125"/>
      <c r="J183" s="123"/>
      <c r="K183" s="12"/>
      <c r="L183" s="117"/>
      <c r="M183" s="12"/>
      <c r="N183" s="117"/>
      <c r="O183" s="117"/>
      <c r="P183" s="117"/>
      <c r="Q183" s="118"/>
      <c r="R183" s="118"/>
      <c r="S183" s="118"/>
      <c r="T183" s="12"/>
      <c r="U183" s="118"/>
      <c r="V183" s="118"/>
      <c r="W183" s="12"/>
      <c r="X183" s="119"/>
      <c r="Y183" s="120"/>
      <c r="Z183" s="12"/>
      <c r="BA183" s="70" t="s">
        <v>205</v>
      </c>
      <c r="BB183" s="71" t="s">
        <v>208</v>
      </c>
      <c r="BC183" s="71" t="s">
        <v>207</v>
      </c>
      <c r="BD183" s="71">
        <v>0</v>
      </c>
      <c r="BE183" s="71">
        <v>6.1</v>
      </c>
      <c r="BF183" s="71">
        <v>268</v>
      </c>
      <c r="BG183" s="71">
        <v>212</v>
      </c>
      <c r="BH183" s="71">
        <v>5</v>
      </c>
      <c r="BI183" s="71">
        <v>10</v>
      </c>
      <c r="BJ183" s="12" t="str" cm="1">
        <f t="array" ref="BJ183">_xll.Dce_Name_SectI(BF183, BF183, BG183, BH183, BI183, "x", "-", $AX$11)</f>
        <v>268x212x5x10</v>
      </c>
      <c r="BK183" s="77" cm="1">
        <f t="array" ref="BK183">_xll.DCEPropSectI(BF183, BH183, BG183, BI183, BG183, BI183, "A")/100</f>
        <v>54.8</v>
      </c>
      <c r="BL183" s="70" t="s">
        <v>226</v>
      </c>
      <c r="BM183" s="70">
        <v>6.5098341038116354</v>
      </c>
      <c r="BN183" s="71">
        <v>0.9</v>
      </c>
      <c r="BO183" s="77">
        <f t="shared" si="27"/>
        <v>5.49</v>
      </c>
      <c r="BP183" s="71">
        <v>0.9</v>
      </c>
      <c r="BQ183" s="77">
        <f t="shared" si="28"/>
        <v>5.49</v>
      </c>
      <c r="BR183" s="77" cm="1">
        <f t="array" ref="BR183">_xll.DCEPropSectI(BF183, BH183, BG183, BI183, BG183, BI183, "rx")/10</f>
        <v>11.847052463297633</v>
      </c>
      <c r="BS183" s="77" cm="1">
        <f t="array" ref="BS183">_xll.DCEPropSectI(BF183, BH183, BG183, BI183, BG183, BI183, "ry")/10</f>
        <v>5.3836052600564113</v>
      </c>
      <c r="BT183" s="5">
        <f t="shared" si="29"/>
        <v>46.340640568682481</v>
      </c>
      <c r="BU183" s="5">
        <f t="shared" si="30"/>
        <v>101.97627305131346</v>
      </c>
      <c r="BV183" s="5">
        <f t="shared" si="31"/>
        <v>101.97627305131346</v>
      </c>
      <c r="BW183" s="71">
        <f t="shared" si="32"/>
        <v>400</v>
      </c>
      <c r="BX183" s="78" cm="1">
        <f t="array" ref="BX183">IF(BM183&gt;0,1,_xll.DCETCVN5575FactorPhi7121(BV183*SQRT($K$17/206000),"b"))</f>
        <v>1</v>
      </c>
      <c r="BY183" s="64">
        <f t="shared" si="33"/>
        <v>5.656790149297564E-3</v>
      </c>
      <c r="BZ183" s="3" t="str">
        <f t="shared" si="34"/>
        <v>OK</v>
      </c>
    </row>
    <row r="184" spans="1:78">
      <c r="A184" s="76"/>
      <c r="B184" s="76"/>
      <c r="C184" s="125"/>
      <c r="D184" s="125"/>
      <c r="E184" s="71"/>
      <c r="F184" s="71"/>
      <c r="G184" s="71"/>
      <c r="H184" s="126"/>
      <c r="I184" s="125"/>
      <c r="J184" s="123"/>
      <c r="K184" s="12"/>
      <c r="L184" s="117"/>
      <c r="M184" s="12"/>
      <c r="N184" s="117"/>
      <c r="O184" s="117"/>
      <c r="P184" s="117"/>
      <c r="Q184" s="118"/>
      <c r="R184" s="118"/>
      <c r="S184" s="118"/>
      <c r="T184" s="12"/>
      <c r="U184" s="118"/>
      <c r="V184" s="118"/>
      <c r="W184" s="12"/>
      <c r="X184" s="119"/>
      <c r="Y184" s="120"/>
      <c r="Z184" s="12"/>
      <c r="BA184" s="70" t="s">
        <v>205</v>
      </c>
      <c r="BB184" s="71" t="s">
        <v>208</v>
      </c>
      <c r="BC184" s="71" t="s">
        <v>207</v>
      </c>
      <c r="BD184" s="71">
        <v>0.76</v>
      </c>
      <c r="BE184" s="71">
        <v>6.1</v>
      </c>
      <c r="BF184" s="71">
        <v>268</v>
      </c>
      <c r="BG184" s="71">
        <v>212</v>
      </c>
      <c r="BH184" s="71">
        <v>5</v>
      </c>
      <c r="BI184" s="71">
        <v>10</v>
      </c>
      <c r="BJ184" s="12" t="str" cm="1">
        <f t="array" ref="BJ184">_xll.Dce_Name_SectI(BF184, BF184, BG184, BH184, BI184, "x", "-", $AX$11)</f>
        <v>268x212x5x10</v>
      </c>
      <c r="BK184" s="77" cm="1">
        <f t="array" ref="BK184">_xll.DCEPropSectI(BF184, BH184, BG184, BI184, BG184, BI184, "A")/100</f>
        <v>54.8</v>
      </c>
      <c r="BL184" s="70" t="s">
        <v>226</v>
      </c>
      <c r="BM184" s="70">
        <v>6.1882029918288826</v>
      </c>
      <c r="BN184" s="71">
        <v>0.9</v>
      </c>
      <c r="BO184" s="77">
        <f t="shared" si="27"/>
        <v>5.49</v>
      </c>
      <c r="BP184" s="71">
        <v>0.9</v>
      </c>
      <c r="BQ184" s="77">
        <f t="shared" si="28"/>
        <v>5.49</v>
      </c>
      <c r="BR184" s="77" cm="1">
        <f t="array" ref="BR184">_xll.DCEPropSectI(BF184, BH184, BG184, BI184, BG184, BI184, "rx")/10</f>
        <v>11.847052463297633</v>
      </c>
      <c r="BS184" s="77" cm="1">
        <f t="array" ref="BS184">_xll.DCEPropSectI(BF184, BH184, BG184, BI184, BG184, BI184, "ry")/10</f>
        <v>5.3836052600564113</v>
      </c>
      <c r="BT184" s="5">
        <f t="shared" si="29"/>
        <v>46.340640568682481</v>
      </c>
      <c r="BU184" s="5">
        <f t="shared" si="30"/>
        <v>101.97627305131346</v>
      </c>
      <c r="BV184" s="5">
        <f t="shared" si="31"/>
        <v>101.97627305131346</v>
      </c>
      <c r="BW184" s="71">
        <f t="shared" si="32"/>
        <v>400</v>
      </c>
      <c r="BX184" s="78" cm="1">
        <f t="array" ref="BX184">IF(BM184&gt;0,1,_xll.DCETCVN5575FactorPhi7121(BV184*SQRT($K$17/206000),"b"))</f>
        <v>1</v>
      </c>
      <c r="BY184" s="64">
        <f t="shared" si="33"/>
        <v>5.3773053456976742E-3</v>
      </c>
      <c r="BZ184" s="3" t="str">
        <f t="shared" si="34"/>
        <v>OK</v>
      </c>
    </row>
    <row r="185" spans="1:78">
      <c r="A185" s="76"/>
      <c r="B185" s="76"/>
      <c r="C185" s="125"/>
      <c r="D185" s="125"/>
      <c r="E185" s="71"/>
      <c r="F185" s="71"/>
      <c r="G185" s="71"/>
      <c r="H185" s="126"/>
      <c r="I185" s="125"/>
      <c r="J185" s="123"/>
      <c r="K185" s="12"/>
      <c r="L185" s="117"/>
      <c r="M185" s="12"/>
      <c r="N185" s="117"/>
      <c r="O185" s="117"/>
      <c r="P185" s="117"/>
      <c r="Q185" s="118"/>
      <c r="R185" s="118"/>
      <c r="S185" s="118"/>
      <c r="T185" s="12"/>
      <c r="U185" s="118"/>
      <c r="V185" s="118"/>
      <c r="W185" s="12"/>
      <c r="X185" s="119"/>
      <c r="Y185" s="120"/>
      <c r="Z185" s="12"/>
      <c r="BA185" s="70" t="s">
        <v>205</v>
      </c>
      <c r="BB185" s="71" t="s">
        <v>208</v>
      </c>
      <c r="BC185" s="71" t="s">
        <v>207</v>
      </c>
      <c r="BD185" s="71">
        <v>1.52</v>
      </c>
      <c r="BE185" s="71">
        <v>6.1</v>
      </c>
      <c r="BF185" s="71">
        <v>268</v>
      </c>
      <c r="BG185" s="71">
        <v>212</v>
      </c>
      <c r="BH185" s="71">
        <v>5</v>
      </c>
      <c r="BI185" s="71">
        <v>10</v>
      </c>
      <c r="BJ185" s="12" t="str" cm="1">
        <f t="array" ref="BJ185">_xll.Dce_Name_SectI(BF185, BF185, BG185, BH185, BI185, "x", "-", $AX$11)</f>
        <v>268x212x5x10</v>
      </c>
      <c r="BK185" s="77" cm="1">
        <f t="array" ref="BK185">_xll.DCEPropSectI(BF185, BH185, BG185, BI185, BG185, BI185, "A")/100</f>
        <v>54.8</v>
      </c>
      <c r="BL185" s="70" t="s">
        <v>226</v>
      </c>
      <c r="BM185" s="70">
        <v>5.8665718798461288</v>
      </c>
      <c r="BN185" s="71">
        <v>0.9</v>
      </c>
      <c r="BO185" s="77">
        <f t="shared" si="27"/>
        <v>5.49</v>
      </c>
      <c r="BP185" s="71">
        <v>0.9</v>
      </c>
      <c r="BQ185" s="77">
        <f t="shared" si="28"/>
        <v>5.49</v>
      </c>
      <c r="BR185" s="77" cm="1">
        <f t="array" ref="BR185">_xll.DCEPropSectI(BF185, BH185, BG185, BI185, BG185, BI185, "rx")/10</f>
        <v>11.847052463297633</v>
      </c>
      <c r="BS185" s="77" cm="1">
        <f t="array" ref="BS185">_xll.DCEPropSectI(BF185, BH185, BG185, BI185, BG185, BI185, "ry")/10</f>
        <v>5.3836052600564113</v>
      </c>
      <c r="BT185" s="5">
        <f t="shared" si="29"/>
        <v>46.340640568682481</v>
      </c>
      <c r="BU185" s="5">
        <f t="shared" si="30"/>
        <v>101.97627305131346</v>
      </c>
      <c r="BV185" s="5">
        <f t="shared" si="31"/>
        <v>101.97627305131346</v>
      </c>
      <c r="BW185" s="71">
        <f t="shared" si="32"/>
        <v>400</v>
      </c>
      <c r="BX185" s="78" cm="1">
        <f t="array" ref="BX185">IF(BM185&gt;0,1,_xll.DCETCVN5575FactorPhi7121(BV185*SQRT($K$17/206000),"b"))</f>
        <v>1</v>
      </c>
      <c r="BY185" s="64">
        <f t="shared" si="33"/>
        <v>5.0978205420977836E-3</v>
      </c>
      <c r="BZ185" s="3" t="str">
        <f t="shared" si="34"/>
        <v>OK</v>
      </c>
    </row>
    <row r="186" spans="1:78">
      <c r="A186" s="76"/>
      <c r="B186" s="76"/>
      <c r="C186" s="125"/>
      <c r="D186" s="125"/>
      <c r="E186" s="71"/>
      <c r="F186" s="71"/>
      <c r="G186" s="71"/>
      <c r="H186" s="126"/>
      <c r="I186" s="125"/>
      <c r="J186" s="123"/>
      <c r="K186" s="12"/>
      <c r="L186" s="117"/>
      <c r="M186" s="12"/>
      <c r="N186" s="117"/>
      <c r="O186" s="117"/>
      <c r="P186" s="117"/>
      <c r="Q186" s="118"/>
      <c r="R186" s="118"/>
      <c r="S186" s="118"/>
      <c r="T186" s="12"/>
      <c r="U186" s="118"/>
      <c r="V186" s="118"/>
      <c r="W186" s="12"/>
      <c r="X186" s="119"/>
      <c r="Y186" s="120"/>
      <c r="Z186" s="12"/>
      <c r="BA186" s="70" t="s">
        <v>205</v>
      </c>
      <c r="BB186" s="71" t="s">
        <v>208</v>
      </c>
      <c r="BC186" s="71" t="s">
        <v>207</v>
      </c>
      <c r="BD186" s="71">
        <v>2.29</v>
      </c>
      <c r="BE186" s="71">
        <v>6.1</v>
      </c>
      <c r="BF186" s="71">
        <v>268</v>
      </c>
      <c r="BG186" s="71">
        <v>212</v>
      </c>
      <c r="BH186" s="71">
        <v>5</v>
      </c>
      <c r="BI186" s="71">
        <v>10</v>
      </c>
      <c r="BJ186" s="12" t="str" cm="1">
        <f t="array" ref="BJ186">_xll.Dce_Name_SectI(BF186, BF186, BG186, BH186, BI186, "x", "-", $AX$11)</f>
        <v>268x212x5x10</v>
      </c>
      <c r="BK186" s="77" cm="1">
        <f t="array" ref="BK186">_xll.DCEPropSectI(BF186, BH186, BG186, BI186, BG186, BI186, "A")/100</f>
        <v>54.8</v>
      </c>
      <c r="BL186" s="70" t="s">
        <v>226</v>
      </c>
      <c r="BM186" s="70">
        <v>5.5449407678633751</v>
      </c>
      <c r="BN186" s="71">
        <v>0.9</v>
      </c>
      <c r="BO186" s="77">
        <f t="shared" si="27"/>
        <v>5.49</v>
      </c>
      <c r="BP186" s="71">
        <v>0.9</v>
      </c>
      <c r="BQ186" s="77">
        <f t="shared" si="28"/>
        <v>5.49</v>
      </c>
      <c r="BR186" s="77" cm="1">
        <f t="array" ref="BR186">_xll.DCEPropSectI(BF186, BH186, BG186, BI186, BG186, BI186, "rx")/10</f>
        <v>11.847052463297633</v>
      </c>
      <c r="BS186" s="77" cm="1">
        <f t="array" ref="BS186">_xll.DCEPropSectI(BF186, BH186, BG186, BI186, BG186, BI186, "ry")/10</f>
        <v>5.3836052600564113</v>
      </c>
      <c r="BT186" s="5">
        <f t="shared" si="29"/>
        <v>46.340640568682481</v>
      </c>
      <c r="BU186" s="5">
        <f t="shared" si="30"/>
        <v>101.97627305131346</v>
      </c>
      <c r="BV186" s="5">
        <f t="shared" si="31"/>
        <v>101.97627305131346</v>
      </c>
      <c r="BW186" s="71">
        <f t="shared" si="32"/>
        <v>400</v>
      </c>
      <c r="BX186" s="78" cm="1">
        <f t="array" ref="BX186">IF(BM186&gt;0,1,_xll.DCETCVN5575FactorPhi7121(BV186*SQRT($K$17/206000),"b"))</f>
        <v>1</v>
      </c>
      <c r="BY186" s="64">
        <f t="shared" si="33"/>
        <v>4.818335738497893E-3</v>
      </c>
      <c r="BZ186" s="3" t="str">
        <f t="shared" si="34"/>
        <v>OK</v>
      </c>
    </row>
    <row r="187" spans="1:78">
      <c r="A187" s="76"/>
      <c r="B187" s="76"/>
      <c r="C187" s="125"/>
      <c r="D187" s="125"/>
      <c r="E187" s="71"/>
      <c r="F187" s="71"/>
      <c r="G187" s="71"/>
      <c r="H187" s="126"/>
      <c r="I187" s="125"/>
      <c r="J187" s="123"/>
      <c r="K187" s="12"/>
      <c r="L187" s="117"/>
      <c r="M187" s="12"/>
      <c r="N187" s="117"/>
      <c r="O187" s="117"/>
      <c r="P187" s="117"/>
      <c r="Q187" s="118"/>
      <c r="R187" s="118"/>
      <c r="S187" s="118"/>
      <c r="T187" s="12"/>
      <c r="U187" s="118"/>
      <c r="V187" s="118"/>
      <c r="W187" s="12"/>
      <c r="X187" s="119"/>
      <c r="Y187" s="120"/>
      <c r="Z187" s="12"/>
      <c r="BA187" s="70" t="s">
        <v>205</v>
      </c>
      <c r="BB187" s="71" t="s">
        <v>208</v>
      </c>
      <c r="BC187" s="71" t="s">
        <v>207</v>
      </c>
      <c r="BD187" s="71">
        <v>3.05</v>
      </c>
      <c r="BE187" s="71">
        <v>6.1</v>
      </c>
      <c r="BF187" s="71">
        <v>268</v>
      </c>
      <c r="BG187" s="71">
        <v>212</v>
      </c>
      <c r="BH187" s="71">
        <v>5</v>
      </c>
      <c r="BI187" s="71">
        <v>10</v>
      </c>
      <c r="BJ187" s="12" t="str" cm="1">
        <f t="array" ref="BJ187">_xll.Dce_Name_SectI(BF187, BF187, BG187, BH187, BI187, "x", "-", $AX$11)</f>
        <v>268x212x5x10</v>
      </c>
      <c r="BK187" s="77" cm="1">
        <f t="array" ref="BK187">_xll.DCEPropSectI(BF187, BH187, BG187, BI187, BG187, BI187, "A")/100</f>
        <v>54.8</v>
      </c>
      <c r="BL187" s="70" t="s">
        <v>226</v>
      </c>
      <c r="BM187" s="70">
        <v>5.2233096558806213</v>
      </c>
      <c r="BN187" s="71">
        <v>0.9</v>
      </c>
      <c r="BO187" s="77">
        <f t="shared" si="27"/>
        <v>5.49</v>
      </c>
      <c r="BP187" s="71">
        <v>0.9</v>
      </c>
      <c r="BQ187" s="77">
        <f t="shared" si="28"/>
        <v>5.49</v>
      </c>
      <c r="BR187" s="77" cm="1">
        <f t="array" ref="BR187">_xll.DCEPropSectI(BF187, BH187, BG187, BI187, BG187, BI187, "rx")/10</f>
        <v>11.847052463297633</v>
      </c>
      <c r="BS187" s="77" cm="1">
        <f t="array" ref="BS187">_xll.DCEPropSectI(BF187, BH187, BG187, BI187, BG187, BI187, "ry")/10</f>
        <v>5.3836052600564113</v>
      </c>
      <c r="BT187" s="5">
        <f t="shared" si="29"/>
        <v>46.340640568682481</v>
      </c>
      <c r="BU187" s="5">
        <f t="shared" si="30"/>
        <v>101.97627305131346</v>
      </c>
      <c r="BV187" s="5">
        <f t="shared" si="31"/>
        <v>101.97627305131346</v>
      </c>
      <c r="BW187" s="71">
        <f t="shared" si="32"/>
        <v>400</v>
      </c>
      <c r="BX187" s="78" cm="1">
        <f t="array" ref="BX187">IF(BM187&gt;0,1,_xll.DCETCVN5575FactorPhi7121(BV187*SQRT($K$17/206000),"b"))</f>
        <v>1</v>
      </c>
      <c r="BY187" s="64">
        <f t="shared" si="33"/>
        <v>4.5388509348980033E-3</v>
      </c>
      <c r="BZ187" s="3" t="str">
        <f t="shared" si="34"/>
        <v>OK</v>
      </c>
    </row>
    <row r="188" spans="1:78">
      <c r="A188" s="76"/>
      <c r="B188" s="76"/>
      <c r="C188" s="125"/>
      <c r="D188" s="125"/>
      <c r="E188" s="71"/>
      <c r="F188" s="71"/>
      <c r="G188" s="71"/>
      <c r="H188" s="126"/>
      <c r="I188" s="125"/>
      <c r="J188" s="123"/>
      <c r="K188" s="12"/>
      <c r="L188" s="117"/>
      <c r="M188" s="12"/>
      <c r="N188" s="117"/>
      <c r="O188" s="117"/>
      <c r="P188" s="117"/>
      <c r="Q188" s="118"/>
      <c r="R188" s="118"/>
      <c r="S188" s="118"/>
      <c r="T188" s="12"/>
      <c r="U188" s="118"/>
      <c r="V188" s="118"/>
      <c r="W188" s="12"/>
      <c r="X188" s="119"/>
      <c r="Y188" s="120"/>
      <c r="Z188" s="12"/>
      <c r="BA188" s="70" t="s">
        <v>205</v>
      </c>
      <c r="BB188" s="71" t="s">
        <v>208</v>
      </c>
      <c r="BC188" s="71" t="s">
        <v>207</v>
      </c>
      <c r="BD188" s="71">
        <v>3.81</v>
      </c>
      <c r="BE188" s="71">
        <v>6.1</v>
      </c>
      <c r="BF188" s="71">
        <v>268</v>
      </c>
      <c r="BG188" s="71">
        <v>212</v>
      </c>
      <c r="BH188" s="71">
        <v>5</v>
      </c>
      <c r="BI188" s="71">
        <v>10</v>
      </c>
      <c r="BJ188" s="12" t="str" cm="1">
        <f t="array" ref="BJ188">_xll.Dce_Name_SectI(BF188, BF188, BG188, BH188, BI188, "x", "-", $AX$11)</f>
        <v>268x212x5x10</v>
      </c>
      <c r="BK188" s="77" cm="1">
        <f t="array" ref="BK188">_xll.DCEPropSectI(BF188, BH188, BG188, BI188, BG188, BI188, "A")/100</f>
        <v>54.8</v>
      </c>
      <c r="BL188" s="70" t="s">
        <v>226</v>
      </c>
      <c r="BM188" s="70">
        <v>4.9016785438978685</v>
      </c>
      <c r="BN188" s="71">
        <v>0.9</v>
      </c>
      <c r="BO188" s="77">
        <f t="shared" si="27"/>
        <v>5.49</v>
      </c>
      <c r="BP188" s="71">
        <v>0.9</v>
      </c>
      <c r="BQ188" s="77">
        <f t="shared" si="28"/>
        <v>5.49</v>
      </c>
      <c r="BR188" s="77" cm="1">
        <f t="array" ref="BR188">_xll.DCEPropSectI(BF188, BH188, BG188, BI188, BG188, BI188, "rx")/10</f>
        <v>11.847052463297633</v>
      </c>
      <c r="BS188" s="77" cm="1">
        <f t="array" ref="BS188">_xll.DCEPropSectI(BF188, BH188, BG188, BI188, BG188, BI188, "ry")/10</f>
        <v>5.3836052600564113</v>
      </c>
      <c r="BT188" s="5">
        <f t="shared" si="29"/>
        <v>46.340640568682481</v>
      </c>
      <c r="BU188" s="5">
        <f t="shared" si="30"/>
        <v>101.97627305131346</v>
      </c>
      <c r="BV188" s="5">
        <f t="shared" si="31"/>
        <v>101.97627305131346</v>
      </c>
      <c r="BW188" s="71">
        <f t="shared" si="32"/>
        <v>400</v>
      </c>
      <c r="BX188" s="78" cm="1">
        <f t="array" ref="BX188">IF(BM188&gt;0,1,_xll.DCETCVN5575FactorPhi7121(BV188*SQRT($K$17/206000),"b"))</f>
        <v>1</v>
      </c>
      <c r="BY188" s="64">
        <f t="shared" si="33"/>
        <v>4.2593661312981135E-3</v>
      </c>
      <c r="BZ188" s="3" t="str">
        <f t="shared" si="34"/>
        <v>OK</v>
      </c>
    </row>
    <row r="189" spans="1:78">
      <c r="A189" s="76"/>
      <c r="B189" s="76"/>
      <c r="C189" s="125"/>
      <c r="D189" s="125"/>
      <c r="E189" s="71"/>
      <c r="F189" s="71"/>
      <c r="G189" s="71"/>
      <c r="H189" s="126"/>
      <c r="I189" s="125"/>
      <c r="J189" s="123"/>
      <c r="K189" s="12"/>
      <c r="L189" s="117"/>
      <c r="M189" s="12"/>
      <c r="N189" s="117"/>
      <c r="O189" s="117"/>
      <c r="P189" s="117"/>
      <c r="Q189" s="118"/>
      <c r="R189" s="118"/>
      <c r="S189" s="118"/>
      <c r="T189" s="12"/>
      <c r="U189" s="118"/>
      <c r="V189" s="118"/>
      <c r="W189" s="12"/>
      <c r="X189" s="119"/>
      <c r="Y189" s="120"/>
      <c r="Z189" s="12"/>
      <c r="BA189" s="70" t="s">
        <v>205</v>
      </c>
      <c r="BB189" s="71" t="s">
        <v>208</v>
      </c>
      <c r="BC189" s="71" t="s">
        <v>207</v>
      </c>
      <c r="BD189" s="71">
        <v>4.57</v>
      </c>
      <c r="BE189" s="71">
        <v>6.1</v>
      </c>
      <c r="BF189" s="71">
        <v>268</v>
      </c>
      <c r="BG189" s="71">
        <v>212</v>
      </c>
      <c r="BH189" s="71">
        <v>5</v>
      </c>
      <c r="BI189" s="71">
        <v>10</v>
      </c>
      <c r="BJ189" s="12" t="str" cm="1">
        <f t="array" ref="BJ189">_xll.Dce_Name_SectI(BF189, BF189, BG189, BH189, BI189, "x", "-", $AX$11)</f>
        <v>268x212x5x10</v>
      </c>
      <c r="BK189" s="77" cm="1">
        <f t="array" ref="BK189">_xll.DCEPropSectI(BF189, BH189, BG189, BI189, BG189, BI189, "A")/100</f>
        <v>54.8</v>
      </c>
      <c r="BL189" s="70" t="s">
        <v>226</v>
      </c>
      <c r="BM189" s="70">
        <v>4.5800474319151157</v>
      </c>
      <c r="BN189" s="71">
        <v>0.9</v>
      </c>
      <c r="BO189" s="77">
        <f t="shared" si="27"/>
        <v>5.49</v>
      </c>
      <c r="BP189" s="71">
        <v>0.9</v>
      </c>
      <c r="BQ189" s="77">
        <f t="shared" si="28"/>
        <v>5.49</v>
      </c>
      <c r="BR189" s="77" cm="1">
        <f t="array" ref="BR189">_xll.DCEPropSectI(BF189, BH189, BG189, BI189, BG189, BI189, "rx")/10</f>
        <v>11.847052463297633</v>
      </c>
      <c r="BS189" s="77" cm="1">
        <f t="array" ref="BS189">_xll.DCEPropSectI(BF189, BH189, BG189, BI189, BG189, BI189, "ry")/10</f>
        <v>5.3836052600564113</v>
      </c>
      <c r="BT189" s="5">
        <f t="shared" si="29"/>
        <v>46.340640568682481</v>
      </c>
      <c r="BU189" s="5">
        <f t="shared" si="30"/>
        <v>101.97627305131346</v>
      </c>
      <c r="BV189" s="5">
        <f t="shared" si="31"/>
        <v>101.97627305131346</v>
      </c>
      <c r="BW189" s="71">
        <f t="shared" si="32"/>
        <v>400</v>
      </c>
      <c r="BX189" s="78" cm="1">
        <f t="array" ref="BX189">IF(BM189&gt;0,1,_xll.DCETCVN5575FactorPhi7121(BV189*SQRT($K$17/206000),"b"))</f>
        <v>1</v>
      </c>
      <c r="BY189" s="64">
        <f t="shared" si="33"/>
        <v>3.9798813276982238E-3</v>
      </c>
      <c r="BZ189" s="3" t="str">
        <f t="shared" si="34"/>
        <v>OK</v>
      </c>
    </row>
    <row r="190" spans="1:78">
      <c r="A190" s="76"/>
      <c r="B190" s="76"/>
      <c r="C190" s="125"/>
      <c r="D190" s="125"/>
      <c r="E190" s="71"/>
      <c r="F190" s="71"/>
      <c r="G190" s="71"/>
      <c r="H190" s="126"/>
      <c r="I190" s="125"/>
      <c r="J190" s="123"/>
      <c r="K190" s="12"/>
      <c r="L190" s="117"/>
      <c r="M190" s="12"/>
      <c r="N190" s="117"/>
      <c r="O190" s="117"/>
      <c r="P190" s="117"/>
      <c r="Q190" s="118"/>
      <c r="R190" s="118"/>
      <c r="S190" s="118"/>
      <c r="T190" s="12"/>
      <c r="U190" s="118"/>
      <c r="V190" s="118"/>
      <c r="W190" s="12"/>
      <c r="X190" s="119"/>
      <c r="Y190" s="120"/>
      <c r="Z190" s="12"/>
      <c r="BA190" s="70" t="s">
        <v>205</v>
      </c>
      <c r="BB190" s="71" t="s">
        <v>208</v>
      </c>
      <c r="BC190" s="71" t="s">
        <v>207</v>
      </c>
      <c r="BD190" s="71">
        <v>5.34</v>
      </c>
      <c r="BE190" s="71">
        <v>6.1</v>
      </c>
      <c r="BF190" s="71">
        <v>268</v>
      </c>
      <c r="BG190" s="71">
        <v>212</v>
      </c>
      <c r="BH190" s="71">
        <v>5</v>
      </c>
      <c r="BI190" s="71">
        <v>10</v>
      </c>
      <c r="BJ190" s="12" t="str" cm="1">
        <f t="array" ref="BJ190">_xll.Dce_Name_SectI(BF190, BF190, BG190, BH190, BI190, "x", "-", $AX$11)</f>
        <v>268x212x5x10</v>
      </c>
      <c r="BK190" s="77" cm="1">
        <f t="array" ref="BK190">_xll.DCEPropSectI(BF190, BH190, BG190, BI190, BG190, BI190, "A")/100</f>
        <v>54.8</v>
      </c>
      <c r="BL190" s="70" t="s">
        <v>226</v>
      </c>
      <c r="BM190" s="70">
        <v>4.2584163199323619</v>
      </c>
      <c r="BN190" s="71">
        <v>0.9</v>
      </c>
      <c r="BO190" s="77">
        <f t="shared" si="27"/>
        <v>5.49</v>
      </c>
      <c r="BP190" s="71">
        <v>0.9</v>
      </c>
      <c r="BQ190" s="77">
        <f t="shared" si="28"/>
        <v>5.49</v>
      </c>
      <c r="BR190" s="77" cm="1">
        <f t="array" ref="BR190">_xll.DCEPropSectI(BF190, BH190, BG190, BI190, BG190, BI190, "rx")/10</f>
        <v>11.847052463297633</v>
      </c>
      <c r="BS190" s="77" cm="1">
        <f t="array" ref="BS190">_xll.DCEPropSectI(BF190, BH190, BG190, BI190, BG190, BI190, "ry")/10</f>
        <v>5.3836052600564113</v>
      </c>
      <c r="BT190" s="5">
        <f t="shared" si="29"/>
        <v>46.340640568682481</v>
      </c>
      <c r="BU190" s="5">
        <f t="shared" si="30"/>
        <v>101.97627305131346</v>
      </c>
      <c r="BV190" s="5">
        <f t="shared" si="31"/>
        <v>101.97627305131346</v>
      </c>
      <c r="BW190" s="71">
        <f t="shared" si="32"/>
        <v>400</v>
      </c>
      <c r="BX190" s="78" cm="1">
        <f t="array" ref="BX190">IF(BM190&gt;0,1,_xll.DCETCVN5575FactorPhi7121(BV190*SQRT($K$17/206000),"b"))</f>
        <v>1</v>
      </c>
      <c r="BY190" s="64">
        <f t="shared" si="33"/>
        <v>3.7003965240983336E-3</v>
      </c>
      <c r="BZ190" s="3" t="str">
        <f t="shared" si="34"/>
        <v>OK</v>
      </c>
    </row>
    <row r="191" spans="1:78">
      <c r="A191" s="76"/>
      <c r="B191" s="76"/>
      <c r="C191" s="125"/>
      <c r="D191" s="125"/>
      <c r="E191" s="71"/>
      <c r="F191" s="71"/>
      <c r="G191" s="71"/>
      <c r="H191" s="126"/>
      <c r="I191" s="125"/>
      <c r="J191" s="123"/>
      <c r="K191" s="12"/>
      <c r="L191" s="117"/>
      <c r="M191" s="12"/>
      <c r="N191" s="117"/>
      <c r="O191" s="117"/>
      <c r="P191" s="117"/>
      <c r="Q191" s="118"/>
      <c r="R191" s="118"/>
      <c r="S191" s="118"/>
      <c r="T191" s="12"/>
      <c r="U191" s="118"/>
      <c r="V191" s="118"/>
      <c r="W191" s="12"/>
      <c r="X191" s="119"/>
      <c r="Y191" s="120"/>
      <c r="Z191" s="12"/>
      <c r="BA191" s="70" t="s">
        <v>205</v>
      </c>
      <c r="BB191" s="71" t="s">
        <v>208</v>
      </c>
      <c r="BC191" s="71" t="s">
        <v>207</v>
      </c>
      <c r="BD191" s="71">
        <v>6.1</v>
      </c>
      <c r="BE191" s="71">
        <v>6.1</v>
      </c>
      <c r="BF191" s="71">
        <v>268</v>
      </c>
      <c r="BG191" s="71">
        <v>212</v>
      </c>
      <c r="BH191" s="71">
        <v>5</v>
      </c>
      <c r="BI191" s="71">
        <v>10</v>
      </c>
      <c r="BJ191" s="12" t="str" cm="1">
        <f t="array" ref="BJ191">_xll.Dce_Name_SectI(BF191, BF191, BG191, BH191, BI191, "x", "-", $AX$11)</f>
        <v>268x212x5x10</v>
      </c>
      <c r="BK191" s="77" cm="1">
        <f t="array" ref="BK191">_xll.DCEPropSectI(BF191, BH191, BG191, BI191, BG191, BI191, "A")/100</f>
        <v>54.8</v>
      </c>
      <c r="BL191" s="70" t="s">
        <v>226</v>
      </c>
      <c r="BM191" s="70">
        <v>3.9367852079496082</v>
      </c>
      <c r="BN191" s="71">
        <v>0.9</v>
      </c>
      <c r="BO191" s="77">
        <f t="shared" si="27"/>
        <v>5.49</v>
      </c>
      <c r="BP191" s="71">
        <v>0.9</v>
      </c>
      <c r="BQ191" s="77">
        <f t="shared" si="28"/>
        <v>5.49</v>
      </c>
      <c r="BR191" s="77" cm="1">
        <f t="array" ref="BR191">_xll.DCEPropSectI(BF191, BH191, BG191, BI191, BG191, BI191, "rx")/10</f>
        <v>11.847052463297633</v>
      </c>
      <c r="BS191" s="77" cm="1">
        <f t="array" ref="BS191">_xll.DCEPropSectI(BF191, BH191, BG191, BI191, BG191, BI191, "ry")/10</f>
        <v>5.3836052600564113</v>
      </c>
      <c r="BT191" s="5">
        <f t="shared" si="29"/>
        <v>46.340640568682481</v>
      </c>
      <c r="BU191" s="5">
        <f t="shared" si="30"/>
        <v>101.97627305131346</v>
      </c>
      <c r="BV191" s="5">
        <f t="shared" si="31"/>
        <v>101.97627305131346</v>
      </c>
      <c r="BW191" s="71">
        <f t="shared" si="32"/>
        <v>400</v>
      </c>
      <c r="BX191" s="78" cm="1">
        <f t="array" ref="BX191">IF(BM191&gt;0,1,_xll.DCETCVN5575FactorPhi7121(BV191*SQRT($K$17/206000),"b"))</f>
        <v>1</v>
      </c>
      <c r="BY191" s="64">
        <f t="shared" si="33"/>
        <v>3.4209117204984435E-3</v>
      </c>
      <c r="BZ191" s="3" t="str">
        <f t="shared" si="34"/>
        <v>OK</v>
      </c>
    </row>
    <row r="192" spans="1:78">
      <c r="A192" s="76"/>
      <c r="B192" s="76"/>
      <c r="C192" s="125"/>
      <c r="D192" s="125"/>
      <c r="E192" s="71"/>
      <c r="F192" s="71"/>
      <c r="G192" s="71"/>
      <c r="H192" s="126"/>
      <c r="I192" s="125"/>
      <c r="J192" s="123"/>
      <c r="K192" s="12"/>
      <c r="L192" s="117"/>
      <c r="M192" s="12"/>
      <c r="N192" s="117"/>
      <c r="O192" s="117"/>
      <c r="P192" s="117"/>
      <c r="Q192" s="118"/>
      <c r="R192" s="118"/>
      <c r="S192" s="118"/>
      <c r="T192" s="12"/>
      <c r="U192" s="118"/>
      <c r="V192" s="118"/>
      <c r="W192" s="12"/>
      <c r="X192" s="119"/>
      <c r="Y192" s="120"/>
      <c r="Z192" s="12"/>
      <c r="BA192" s="70" t="s">
        <v>205</v>
      </c>
      <c r="BB192" s="71" t="s">
        <v>209</v>
      </c>
      <c r="BC192" s="71" t="s">
        <v>207</v>
      </c>
      <c r="BD192" s="71">
        <v>0</v>
      </c>
      <c r="BE192" s="71">
        <v>6.48</v>
      </c>
      <c r="BF192" s="71">
        <v>268</v>
      </c>
      <c r="BG192" s="71">
        <v>212</v>
      </c>
      <c r="BH192" s="71">
        <v>5</v>
      </c>
      <c r="BI192" s="71">
        <v>10</v>
      </c>
      <c r="BJ192" s="12" t="str" cm="1">
        <f t="array" ref="BJ192">_xll.Dce_Name_SectI(BF192, BF192, BG192, BH192, BI192, "x", "-", $AX$11)</f>
        <v>268x212x5x10</v>
      </c>
      <c r="BK192" s="77" cm="1">
        <f t="array" ref="BK192">_xll.DCEPropSectI(BF192, BH192, BG192, BI192, BG192, BI192, "A")/100</f>
        <v>54.8</v>
      </c>
      <c r="BL192" s="70" t="s">
        <v>217</v>
      </c>
      <c r="BM192" s="70">
        <v>-16.311817316500537</v>
      </c>
      <c r="BN192" s="71">
        <v>0.9</v>
      </c>
      <c r="BO192" s="77">
        <f t="shared" si="27"/>
        <v>5.8320000000000007</v>
      </c>
      <c r="BP192" s="71">
        <v>0.9</v>
      </c>
      <c r="BQ192" s="77">
        <f t="shared" si="28"/>
        <v>5.8320000000000007</v>
      </c>
      <c r="BR192" s="77" cm="1">
        <f t="array" ref="BR192">_xll.DCEPropSectI(BF192, BH192, BG192, BI192, BG192, BI192, "rx")/10</f>
        <v>11.847052463297633</v>
      </c>
      <c r="BS192" s="77" cm="1">
        <f t="array" ref="BS192">_xll.DCEPropSectI(BF192, BH192, BG192, BI192, BG192, BI192, "ry")/10</f>
        <v>5.3836052600564113</v>
      </c>
      <c r="BT192" s="5">
        <f t="shared" si="29"/>
        <v>49.227434571321723</v>
      </c>
      <c r="BU192" s="5">
        <f t="shared" si="30"/>
        <v>108.32889333975595</v>
      </c>
      <c r="BV192" s="5">
        <f t="shared" si="31"/>
        <v>108.32889333975595</v>
      </c>
      <c r="BW192" s="71">
        <f t="shared" si="32"/>
        <v>200</v>
      </c>
      <c r="BX192" s="78" cm="1">
        <f t="array" ref="BX192">IF(BM192&gt;0,1,_xll.DCETCVN5575FactorPhi7121(BV192*SQRT($K$17/206000),"b"))</f>
        <v>0.51518827926471056</v>
      </c>
      <c r="BY192" s="64">
        <f t="shared" si="33"/>
        <v>2.7512909627170928E-2</v>
      </c>
      <c r="BZ192" s="3" t="str">
        <f t="shared" si="34"/>
        <v>OK</v>
      </c>
    </row>
    <row r="193" spans="1:78">
      <c r="A193" s="76"/>
      <c r="B193" s="76"/>
      <c r="C193" s="125"/>
      <c r="D193" s="125"/>
      <c r="E193" s="71"/>
      <c r="F193" s="71"/>
      <c r="G193" s="71"/>
      <c r="H193" s="126"/>
      <c r="I193" s="125"/>
      <c r="J193" s="123"/>
      <c r="K193" s="12"/>
      <c r="L193" s="117"/>
      <c r="M193" s="12"/>
      <c r="N193" s="117"/>
      <c r="O193" s="117"/>
      <c r="P193" s="117"/>
      <c r="Q193" s="118"/>
      <c r="R193" s="118"/>
      <c r="S193" s="118"/>
      <c r="T193" s="12"/>
      <c r="U193" s="118"/>
      <c r="V193" s="118"/>
      <c r="W193" s="12"/>
      <c r="X193" s="119"/>
      <c r="Y193" s="120"/>
      <c r="Z193" s="12"/>
      <c r="BA193" s="70" t="s">
        <v>205</v>
      </c>
      <c r="BB193" s="71" t="s">
        <v>209</v>
      </c>
      <c r="BC193" s="71" t="s">
        <v>207</v>
      </c>
      <c r="BD193" s="71">
        <v>0.81</v>
      </c>
      <c r="BE193" s="71">
        <v>6.48</v>
      </c>
      <c r="BF193" s="71">
        <v>268</v>
      </c>
      <c r="BG193" s="71">
        <v>212</v>
      </c>
      <c r="BH193" s="71">
        <v>5</v>
      </c>
      <c r="BI193" s="71">
        <v>10</v>
      </c>
      <c r="BJ193" s="12" t="str" cm="1">
        <f t="array" ref="BJ193">_xll.Dce_Name_SectI(BF193, BF193, BG193, BH193, BI193, "x", "-", $AX$11)</f>
        <v>268x212x5x10</v>
      </c>
      <c r="BK193" s="77" cm="1">
        <f t="array" ref="BK193">_xll.DCEPropSectI(BF193, BH193, BG193, BI193, BG193, BI193, "A")/100</f>
        <v>54.8</v>
      </c>
      <c r="BL193" s="70" t="s">
        <v>217</v>
      </c>
      <c r="BM193" s="70">
        <v>-16.65322083290846</v>
      </c>
      <c r="BN193" s="71">
        <v>0.9</v>
      </c>
      <c r="BO193" s="77">
        <f t="shared" si="27"/>
        <v>5.8320000000000007</v>
      </c>
      <c r="BP193" s="71">
        <v>0.9</v>
      </c>
      <c r="BQ193" s="77">
        <f t="shared" si="28"/>
        <v>5.8320000000000007</v>
      </c>
      <c r="BR193" s="77" cm="1">
        <f t="array" ref="BR193">_xll.DCEPropSectI(BF193, BH193, BG193, BI193, BG193, BI193, "rx")/10</f>
        <v>11.847052463297633</v>
      </c>
      <c r="BS193" s="77" cm="1">
        <f t="array" ref="BS193">_xll.DCEPropSectI(BF193, BH193, BG193, BI193, BG193, BI193, "ry")/10</f>
        <v>5.3836052600564113</v>
      </c>
      <c r="BT193" s="5">
        <f t="shared" si="29"/>
        <v>49.227434571321723</v>
      </c>
      <c r="BU193" s="5">
        <f t="shared" si="30"/>
        <v>108.32889333975595</v>
      </c>
      <c r="BV193" s="5">
        <f t="shared" si="31"/>
        <v>108.32889333975595</v>
      </c>
      <c r="BW193" s="71">
        <f t="shared" si="32"/>
        <v>200</v>
      </c>
      <c r="BX193" s="78" cm="1">
        <f t="array" ref="BX193">IF(BM193&gt;0,1,_xll.DCETCVN5575FactorPhi7121(BV193*SQRT($K$17/206000),"b"))</f>
        <v>0.51518827926471056</v>
      </c>
      <c r="BY193" s="64">
        <f t="shared" si="33"/>
        <v>2.8088750069169246E-2</v>
      </c>
      <c r="BZ193" s="3" t="str">
        <f t="shared" si="34"/>
        <v>OK</v>
      </c>
    </row>
    <row r="194" spans="1:78">
      <c r="A194" s="76"/>
      <c r="B194" s="76"/>
      <c r="C194" s="125"/>
      <c r="D194" s="125"/>
      <c r="E194" s="71"/>
      <c r="F194" s="71"/>
      <c r="G194" s="71"/>
      <c r="H194" s="126"/>
      <c r="I194" s="125"/>
      <c r="J194" s="123"/>
      <c r="K194" s="12"/>
      <c r="L194" s="117"/>
      <c r="M194" s="12"/>
      <c r="N194" s="117"/>
      <c r="O194" s="117"/>
      <c r="P194" s="117"/>
      <c r="Q194" s="118"/>
      <c r="R194" s="118"/>
      <c r="S194" s="118"/>
      <c r="T194" s="12"/>
      <c r="U194" s="118"/>
      <c r="V194" s="118"/>
      <c r="W194" s="12"/>
      <c r="X194" s="119"/>
      <c r="Y194" s="120"/>
      <c r="Z194" s="12"/>
      <c r="BA194" s="70" t="s">
        <v>205</v>
      </c>
      <c r="BB194" s="71" t="s">
        <v>209</v>
      </c>
      <c r="BC194" s="71" t="s">
        <v>207</v>
      </c>
      <c r="BD194" s="71">
        <v>1.62</v>
      </c>
      <c r="BE194" s="71">
        <v>6.48</v>
      </c>
      <c r="BF194" s="71">
        <v>268</v>
      </c>
      <c r="BG194" s="71">
        <v>212</v>
      </c>
      <c r="BH194" s="71">
        <v>5</v>
      </c>
      <c r="BI194" s="71">
        <v>10</v>
      </c>
      <c r="BJ194" s="12" t="str" cm="1">
        <f t="array" ref="BJ194">_xll.Dce_Name_SectI(BF194, BF194, BG194, BH194, BI194, "x", "-", $AX$11)</f>
        <v>268x212x5x10</v>
      </c>
      <c r="BK194" s="77" cm="1">
        <f t="array" ref="BK194">_xll.DCEPropSectI(BF194, BH194, BG194, BI194, BG194, BI194, "A")/100</f>
        <v>54.8</v>
      </c>
      <c r="BL194" s="70" t="s">
        <v>217</v>
      </c>
      <c r="BM194" s="70">
        <v>-16.994624349316382</v>
      </c>
      <c r="BN194" s="71">
        <v>0.9</v>
      </c>
      <c r="BO194" s="77">
        <f t="shared" si="27"/>
        <v>5.8320000000000007</v>
      </c>
      <c r="BP194" s="71">
        <v>0.9</v>
      </c>
      <c r="BQ194" s="77">
        <f t="shared" si="28"/>
        <v>5.8320000000000007</v>
      </c>
      <c r="BR194" s="77" cm="1">
        <f t="array" ref="BR194">_xll.DCEPropSectI(BF194, BH194, BG194, BI194, BG194, BI194, "rx")/10</f>
        <v>11.847052463297633</v>
      </c>
      <c r="BS194" s="77" cm="1">
        <f t="array" ref="BS194">_xll.DCEPropSectI(BF194, BH194, BG194, BI194, BG194, BI194, "ry")/10</f>
        <v>5.3836052600564113</v>
      </c>
      <c r="BT194" s="5">
        <f t="shared" si="29"/>
        <v>49.227434571321723</v>
      </c>
      <c r="BU194" s="5">
        <f t="shared" si="30"/>
        <v>108.32889333975595</v>
      </c>
      <c r="BV194" s="5">
        <f t="shared" si="31"/>
        <v>108.32889333975595</v>
      </c>
      <c r="BW194" s="71">
        <f t="shared" si="32"/>
        <v>200</v>
      </c>
      <c r="BX194" s="78" cm="1">
        <f t="array" ref="BX194">IF(BM194&gt;0,1,_xll.DCETCVN5575FactorPhi7121(BV194*SQRT($K$17/206000),"b"))</f>
        <v>0.51518827926471056</v>
      </c>
      <c r="BY194" s="64">
        <f t="shared" si="33"/>
        <v>2.8664590511167567E-2</v>
      </c>
      <c r="BZ194" s="3" t="str">
        <f t="shared" si="34"/>
        <v>OK</v>
      </c>
    </row>
    <row r="195" spans="1:78">
      <c r="A195" s="76"/>
      <c r="B195" s="76"/>
      <c r="C195" s="125"/>
      <c r="D195" s="125"/>
      <c r="E195" s="71"/>
      <c r="F195" s="71"/>
      <c r="G195" s="71"/>
      <c r="H195" s="126"/>
      <c r="I195" s="125"/>
      <c r="J195" s="123"/>
      <c r="K195" s="12"/>
      <c r="L195" s="117"/>
      <c r="M195" s="12"/>
      <c r="N195" s="117"/>
      <c r="O195" s="117"/>
      <c r="P195" s="117"/>
      <c r="Q195" s="118"/>
      <c r="R195" s="118"/>
      <c r="S195" s="118"/>
      <c r="T195" s="12"/>
      <c r="U195" s="118"/>
      <c r="V195" s="118"/>
      <c r="W195" s="12"/>
      <c r="X195" s="119"/>
      <c r="Y195" s="120"/>
      <c r="Z195" s="12"/>
      <c r="BA195" s="70" t="s">
        <v>205</v>
      </c>
      <c r="BB195" s="71" t="s">
        <v>209</v>
      </c>
      <c r="BC195" s="71" t="s">
        <v>207</v>
      </c>
      <c r="BD195" s="71">
        <v>2.4300000000000002</v>
      </c>
      <c r="BE195" s="71">
        <v>6.48</v>
      </c>
      <c r="BF195" s="71">
        <v>268</v>
      </c>
      <c r="BG195" s="71">
        <v>212</v>
      </c>
      <c r="BH195" s="71">
        <v>5</v>
      </c>
      <c r="BI195" s="71">
        <v>10</v>
      </c>
      <c r="BJ195" s="12" t="str" cm="1">
        <f t="array" ref="BJ195">_xll.Dce_Name_SectI(BF195, BF195, BG195, BH195, BI195, "x", "-", $AX$11)</f>
        <v>268x212x5x10</v>
      </c>
      <c r="BK195" s="77" cm="1">
        <f t="array" ref="BK195">_xll.DCEPropSectI(BF195, BH195, BG195, BI195, BG195, BI195, "A")/100</f>
        <v>54.8</v>
      </c>
      <c r="BL195" s="70" t="s">
        <v>217</v>
      </c>
      <c r="BM195" s="70">
        <v>-17.336027865724304</v>
      </c>
      <c r="BN195" s="71">
        <v>0.9</v>
      </c>
      <c r="BO195" s="77">
        <f t="shared" si="27"/>
        <v>5.8320000000000007</v>
      </c>
      <c r="BP195" s="71">
        <v>0.9</v>
      </c>
      <c r="BQ195" s="77">
        <f t="shared" si="28"/>
        <v>5.8320000000000007</v>
      </c>
      <c r="BR195" s="77" cm="1">
        <f t="array" ref="BR195">_xll.DCEPropSectI(BF195, BH195, BG195, BI195, BG195, BI195, "rx")/10</f>
        <v>11.847052463297633</v>
      </c>
      <c r="BS195" s="77" cm="1">
        <f t="array" ref="BS195">_xll.DCEPropSectI(BF195, BH195, BG195, BI195, BG195, BI195, "ry")/10</f>
        <v>5.3836052600564113</v>
      </c>
      <c r="BT195" s="5">
        <f t="shared" si="29"/>
        <v>49.227434571321723</v>
      </c>
      <c r="BU195" s="5">
        <f t="shared" si="30"/>
        <v>108.32889333975595</v>
      </c>
      <c r="BV195" s="5">
        <f t="shared" si="31"/>
        <v>108.32889333975595</v>
      </c>
      <c r="BW195" s="71">
        <f t="shared" si="32"/>
        <v>200</v>
      </c>
      <c r="BX195" s="78" cm="1">
        <f t="array" ref="BX195">IF(BM195&gt;0,1,_xll.DCETCVN5575FactorPhi7121(BV195*SQRT($K$17/206000),"b"))</f>
        <v>0.51518827926471056</v>
      </c>
      <c r="BY195" s="64">
        <f t="shared" si="33"/>
        <v>2.9240430953165888E-2</v>
      </c>
      <c r="BZ195" s="3" t="str">
        <f t="shared" si="34"/>
        <v>OK</v>
      </c>
    </row>
    <row r="196" spans="1:78">
      <c r="A196" s="76"/>
      <c r="B196" s="76"/>
      <c r="C196" s="125"/>
      <c r="D196" s="125"/>
      <c r="E196" s="71"/>
      <c r="F196" s="71"/>
      <c r="G196" s="71"/>
      <c r="H196" s="126"/>
      <c r="I196" s="125"/>
      <c r="J196" s="123"/>
      <c r="K196" s="12"/>
      <c r="L196" s="117"/>
      <c r="M196" s="12"/>
      <c r="N196" s="117"/>
      <c r="O196" s="117"/>
      <c r="P196" s="117"/>
      <c r="Q196" s="118"/>
      <c r="R196" s="118"/>
      <c r="S196" s="118"/>
      <c r="T196" s="12"/>
      <c r="U196" s="118"/>
      <c r="V196" s="118"/>
      <c r="W196" s="12"/>
      <c r="X196" s="119"/>
      <c r="Y196" s="120"/>
      <c r="Z196" s="12"/>
      <c r="BA196" s="70" t="s">
        <v>205</v>
      </c>
      <c r="BB196" s="71" t="s">
        <v>209</v>
      </c>
      <c r="BC196" s="71" t="s">
        <v>207</v>
      </c>
      <c r="BD196" s="71">
        <v>3.24</v>
      </c>
      <c r="BE196" s="71">
        <v>6.48</v>
      </c>
      <c r="BF196" s="71">
        <v>268</v>
      </c>
      <c r="BG196" s="71">
        <v>212</v>
      </c>
      <c r="BH196" s="71">
        <v>5</v>
      </c>
      <c r="BI196" s="71">
        <v>10</v>
      </c>
      <c r="BJ196" s="12" t="str" cm="1">
        <f t="array" ref="BJ196">_xll.Dce_Name_SectI(BF196, BF196, BG196, BH196, BI196, "x", "-", $AX$11)</f>
        <v>268x212x5x10</v>
      </c>
      <c r="BK196" s="77" cm="1">
        <f t="array" ref="BK196">_xll.DCEPropSectI(BF196, BH196, BG196, BI196, BG196, BI196, "A")/100</f>
        <v>54.8</v>
      </c>
      <c r="BL196" s="70" t="s">
        <v>217</v>
      </c>
      <c r="BM196" s="70">
        <v>-17.677431382132227</v>
      </c>
      <c r="BN196" s="71">
        <v>0.9</v>
      </c>
      <c r="BO196" s="77">
        <f t="shared" si="27"/>
        <v>5.8320000000000007</v>
      </c>
      <c r="BP196" s="71">
        <v>0.9</v>
      </c>
      <c r="BQ196" s="77">
        <f t="shared" si="28"/>
        <v>5.8320000000000007</v>
      </c>
      <c r="BR196" s="77" cm="1">
        <f t="array" ref="BR196">_xll.DCEPropSectI(BF196, BH196, BG196, BI196, BG196, BI196, "rx")/10</f>
        <v>11.847052463297633</v>
      </c>
      <c r="BS196" s="77" cm="1">
        <f t="array" ref="BS196">_xll.DCEPropSectI(BF196, BH196, BG196, BI196, BG196, BI196, "ry")/10</f>
        <v>5.3836052600564113</v>
      </c>
      <c r="BT196" s="5">
        <f t="shared" si="29"/>
        <v>49.227434571321723</v>
      </c>
      <c r="BU196" s="5">
        <f t="shared" si="30"/>
        <v>108.32889333975595</v>
      </c>
      <c r="BV196" s="5">
        <f t="shared" si="31"/>
        <v>108.32889333975595</v>
      </c>
      <c r="BW196" s="71">
        <f t="shared" si="32"/>
        <v>200</v>
      </c>
      <c r="BX196" s="78" cm="1">
        <f t="array" ref="BX196">IF(BM196&gt;0,1,_xll.DCETCVN5575FactorPhi7121(BV196*SQRT($K$17/206000),"b"))</f>
        <v>0.51518827926471056</v>
      </c>
      <c r="BY196" s="64">
        <f t="shared" si="33"/>
        <v>2.9816271395164205E-2</v>
      </c>
      <c r="BZ196" s="3" t="str">
        <f t="shared" si="34"/>
        <v>OK</v>
      </c>
    </row>
    <row r="197" spans="1:78">
      <c r="A197" s="76"/>
      <c r="B197" s="76"/>
      <c r="C197" s="125"/>
      <c r="D197" s="125"/>
      <c r="E197" s="71"/>
      <c r="F197" s="71"/>
      <c r="G197" s="71"/>
      <c r="H197" s="126"/>
      <c r="I197" s="125"/>
      <c r="J197" s="123"/>
      <c r="K197" s="12"/>
      <c r="L197" s="117"/>
      <c r="M197" s="12"/>
      <c r="N197" s="117"/>
      <c r="O197" s="117"/>
      <c r="P197" s="117"/>
      <c r="Q197" s="118"/>
      <c r="R197" s="118"/>
      <c r="S197" s="118"/>
      <c r="T197" s="12"/>
      <c r="U197" s="118"/>
      <c r="V197" s="118"/>
      <c r="W197" s="12"/>
      <c r="X197" s="119"/>
      <c r="Y197" s="120"/>
      <c r="Z197" s="12"/>
      <c r="BA197" s="70" t="s">
        <v>205</v>
      </c>
      <c r="BB197" s="71" t="s">
        <v>209</v>
      </c>
      <c r="BC197" s="71" t="s">
        <v>207</v>
      </c>
      <c r="BD197" s="71">
        <v>4.05</v>
      </c>
      <c r="BE197" s="71">
        <v>6.48</v>
      </c>
      <c r="BF197" s="71">
        <v>268</v>
      </c>
      <c r="BG197" s="71">
        <v>212</v>
      </c>
      <c r="BH197" s="71">
        <v>5</v>
      </c>
      <c r="BI197" s="71">
        <v>10</v>
      </c>
      <c r="BJ197" s="12" t="str" cm="1">
        <f t="array" ref="BJ197">_xll.Dce_Name_SectI(BF197, BF197, BG197, BH197, BI197, "x", "-", $AX$11)</f>
        <v>268x212x5x10</v>
      </c>
      <c r="BK197" s="77" cm="1">
        <f t="array" ref="BK197">_xll.DCEPropSectI(BF197, BH197, BG197, BI197, BG197, BI197, "A")/100</f>
        <v>54.8</v>
      </c>
      <c r="BL197" s="70" t="s">
        <v>217</v>
      </c>
      <c r="BM197" s="70">
        <v>-18.018834898540153</v>
      </c>
      <c r="BN197" s="71">
        <v>0.9</v>
      </c>
      <c r="BO197" s="77">
        <f t="shared" si="27"/>
        <v>5.8320000000000007</v>
      </c>
      <c r="BP197" s="71">
        <v>0.9</v>
      </c>
      <c r="BQ197" s="77">
        <f t="shared" si="28"/>
        <v>5.8320000000000007</v>
      </c>
      <c r="BR197" s="77" cm="1">
        <f t="array" ref="BR197">_xll.DCEPropSectI(BF197, BH197, BG197, BI197, BG197, BI197, "rx")/10</f>
        <v>11.847052463297633</v>
      </c>
      <c r="BS197" s="77" cm="1">
        <f t="array" ref="BS197">_xll.DCEPropSectI(BF197, BH197, BG197, BI197, BG197, BI197, "ry")/10</f>
        <v>5.3836052600564113</v>
      </c>
      <c r="BT197" s="5">
        <f t="shared" si="29"/>
        <v>49.227434571321723</v>
      </c>
      <c r="BU197" s="5">
        <f t="shared" si="30"/>
        <v>108.32889333975595</v>
      </c>
      <c r="BV197" s="5">
        <f t="shared" si="31"/>
        <v>108.32889333975595</v>
      </c>
      <c r="BW197" s="71">
        <f t="shared" si="32"/>
        <v>200</v>
      </c>
      <c r="BX197" s="78" cm="1">
        <f t="array" ref="BX197">IF(BM197&gt;0,1,_xll.DCETCVN5575FactorPhi7121(BV197*SQRT($K$17/206000),"b"))</f>
        <v>0.51518827926471056</v>
      </c>
      <c r="BY197" s="64">
        <f t="shared" si="33"/>
        <v>3.0392111837162537E-2</v>
      </c>
      <c r="BZ197" s="3" t="str">
        <f t="shared" si="34"/>
        <v>OK</v>
      </c>
    </row>
    <row r="198" spans="1:78">
      <c r="A198" s="76"/>
      <c r="B198" s="76"/>
      <c r="C198" s="125"/>
      <c r="D198" s="125"/>
      <c r="E198" s="71"/>
      <c r="F198" s="71"/>
      <c r="G198" s="71"/>
      <c r="H198" s="126"/>
      <c r="I198" s="125"/>
      <c r="J198" s="123"/>
      <c r="K198" s="12"/>
      <c r="L198" s="117"/>
      <c r="M198" s="12"/>
      <c r="N198" s="117"/>
      <c r="O198" s="117"/>
      <c r="P198" s="117"/>
      <c r="Q198" s="118"/>
      <c r="R198" s="118"/>
      <c r="S198" s="118"/>
      <c r="T198" s="12"/>
      <c r="U198" s="118"/>
      <c r="V198" s="118"/>
      <c r="W198" s="12"/>
      <c r="X198" s="119"/>
      <c r="Y198" s="120"/>
      <c r="Z198" s="12"/>
      <c r="BA198" s="70" t="s">
        <v>205</v>
      </c>
      <c r="BB198" s="71" t="s">
        <v>209</v>
      </c>
      <c r="BC198" s="71" t="s">
        <v>207</v>
      </c>
      <c r="BD198" s="71">
        <v>4.8600000000000003</v>
      </c>
      <c r="BE198" s="71">
        <v>6.48</v>
      </c>
      <c r="BF198" s="71">
        <v>268</v>
      </c>
      <c r="BG198" s="71">
        <v>212</v>
      </c>
      <c r="BH198" s="71">
        <v>5</v>
      </c>
      <c r="BI198" s="71">
        <v>10</v>
      </c>
      <c r="BJ198" s="12" t="str" cm="1">
        <f t="array" ref="BJ198">_xll.Dce_Name_SectI(BF198, BF198, BG198, BH198, BI198, "x", "-", $AX$11)</f>
        <v>268x212x5x10</v>
      </c>
      <c r="BK198" s="77" cm="1">
        <f t="array" ref="BK198">_xll.DCEPropSectI(BF198, BH198, BG198, BI198, BG198, BI198, "A")/100</f>
        <v>54.8</v>
      </c>
      <c r="BL198" s="70" t="s">
        <v>217</v>
      </c>
      <c r="BM198" s="70">
        <v>-18.360238414948075</v>
      </c>
      <c r="BN198" s="71">
        <v>0.9</v>
      </c>
      <c r="BO198" s="77">
        <f t="shared" si="27"/>
        <v>5.8320000000000007</v>
      </c>
      <c r="BP198" s="71">
        <v>0.9</v>
      </c>
      <c r="BQ198" s="77">
        <f t="shared" si="28"/>
        <v>5.8320000000000007</v>
      </c>
      <c r="BR198" s="77" cm="1">
        <f t="array" ref="BR198">_xll.DCEPropSectI(BF198, BH198, BG198, BI198, BG198, BI198, "rx")/10</f>
        <v>11.847052463297633</v>
      </c>
      <c r="BS198" s="77" cm="1">
        <f t="array" ref="BS198">_xll.DCEPropSectI(BF198, BH198, BG198, BI198, BG198, BI198, "ry")/10</f>
        <v>5.3836052600564113</v>
      </c>
      <c r="BT198" s="5">
        <f t="shared" si="29"/>
        <v>49.227434571321723</v>
      </c>
      <c r="BU198" s="5">
        <f t="shared" si="30"/>
        <v>108.32889333975595</v>
      </c>
      <c r="BV198" s="5">
        <f t="shared" si="31"/>
        <v>108.32889333975595</v>
      </c>
      <c r="BW198" s="71">
        <f t="shared" si="32"/>
        <v>200</v>
      </c>
      <c r="BX198" s="78" cm="1">
        <f t="array" ref="BX198">IF(BM198&gt;0,1,_xll.DCETCVN5575FactorPhi7121(BV198*SQRT($K$17/206000),"b"))</f>
        <v>0.51518827926471056</v>
      </c>
      <c r="BY198" s="64">
        <f t="shared" si="33"/>
        <v>3.0967952279160854E-2</v>
      </c>
      <c r="BZ198" s="3" t="str">
        <f t="shared" si="34"/>
        <v>OK</v>
      </c>
    </row>
    <row r="199" spans="1:78">
      <c r="A199" s="76"/>
      <c r="B199" s="76"/>
      <c r="C199" s="125"/>
      <c r="D199" s="125"/>
      <c r="E199" s="71"/>
      <c r="F199" s="71"/>
      <c r="G199" s="71"/>
      <c r="H199" s="126"/>
      <c r="I199" s="125"/>
      <c r="J199" s="123"/>
      <c r="K199" s="12"/>
      <c r="L199" s="117"/>
      <c r="M199" s="12"/>
      <c r="N199" s="117"/>
      <c r="O199" s="117"/>
      <c r="P199" s="117"/>
      <c r="Q199" s="118"/>
      <c r="R199" s="118"/>
      <c r="S199" s="118"/>
      <c r="T199" s="12"/>
      <c r="U199" s="118"/>
      <c r="V199" s="118"/>
      <c r="W199" s="12"/>
      <c r="X199" s="119"/>
      <c r="Y199" s="120"/>
      <c r="Z199" s="12"/>
      <c r="BA199" s="70" t="s">
        <v>205</v>
      </c>
      <c r="BB199" s="71" t="s">
        <v>209</v>
      </c>
      <c r="BC199" s="71" t="s">
        <v>207</v>
      </c>
      <c r="BD199" s="71">
        <v>5.67</v>
      </c>
      <c r="BE199" s="71">
        <v>6.48</v>
      </c>
      <c r="BF199" s="71">
        <v>268</v>
      </c>
      <c r="BG199" s="71">
        <v>212</v>
      </c>
      <c r="BH199" s="71">
        <v>5</v>
      </c>
      <c r="BI199" s="71">
        <v>10</v>
      </c>
      <c r="BJ199" s="12" t="str" cm="1">
        <f t="array" ref="BJ199">_xll.Dce_Name_SectI(BF199, BF199, BG199, BH199, BI199, "x", "-", $AX$11)</f>
        <v>268x212x5x10</v>
      </c>
      <c r="BK199" s="77" cm="1">
        <f t="array" ref="BK199">_xll.DCEPropSectI(BF199, BH199, BG199, BI199, BG199, BI199, "A")/100</f>
        <v>54.8</v>
      </c>
      <c r="BL199" s="70" t="s">
        <v>217</v>
      </c>
      <c r="BM199" s="70">
        <v>-18.701641931355997</v>
      </c>
      <c r="BN199" s="71">
        <v>0.9</v>
      </c>
      <c r="BO199" s="77">
        <f t="shared" si="27"/>
        <v>5.8320000000000007</v>
      </c>
      <c r="BP199" s="71">
        <v>0.9</v>
      </c>
      <c r="BQ199" s="77">
        <f t="shared" si="28"/>
        <v>5.8320000000000007</v>
      </c>
      <c r="BR199" s="77" cm="1">
        <f t="array" ref="BR199">_xll.DCEPropSectI(BF199, BH199, BG199, BI199, BG199, BI199, "rx")/10</f>
        <v>11.847052463297633</v>
      </c>
      <c r="BS199" s="77" cm="1">
        <f t="array" ref="BS199">_xll.DCEPropSectI(BF199, BH199, BG199, BI199, BG199, BI199, "ry")/10</f>
        <v>5.3836052600564113</v>
      </c>
      <c r="BT199" s="5">
        <f t="shared" si="29"/>
        <v>49.227434571321723</v>
      </c>
      <c r="BU199" s="5">
        <f t="shared" si="30"/>
        <v>108.32889333975595</v>
      </c>
      <c r="BV199" s="5">
        <f t="shared" si="31"/>
        <v>108.32889333975595</v>
      </c>
      <c r="BW199" s="71">
        <f t="shared" si="32"/>
        <v>200</v>
      </c>
      <c r="BX199" s="78" cm="1">
        <f t="array" ref="BX199">IF(BM199&gt;0,1,_xll.DCETCVN5575FactorPhi7121(BV199*SQRT($K$17/206000),"b"))</f>
        <v>0.51518827926471056</v>
      </c>
      <c r="BY199" s="64">
        <f t="shared" si="33"/>
        <v>3.1543792721159175E-2</v>
      </c>
      <c r="BZ199" s="3" t="str">
        <f t="shared" si="34"/>
        <v>OK</v>
      </c>
    </row>
    <row r="200" spans="1:78">
      <c r="A200" s="76"/>
      <c r="B200" s="76"/>
      <c r="C200" s="125"/>
      <c r="D200" s="125"/>
      <c r="E200" s="71"/>
      <c r="F200" s="71"/>
      <c r="G200" s="71"/>
      <c r="H200" s="126"/>
      <c r="I200" s="125"/>
      <c r="J200" s="123"/>
      <c r="K200" s="12"/>
      <c r="L200" s="117"/>
      <c r="M200" s="12"/>
      <c r="N200" s="117"/>
      <c r="O200" s="117"/>
      <c r="P200" s="117"/>
      <c r="Q200" s="118"/>
      <c r="R200" s="118"/>
      <c r="S200" s="118"/>
      <c r="T200" s="12"/>
      <c r="U200" s="118"/>
      <c r="V200" s="118"/>
      <c r="W200" s="12"/>
      <c r="X200" s="119"/>
      <c r="Y200" s="120"/>
      <c r="Z200" s="12"/>
      <c r="BA200" s="70" t="s">
        <v>205</v>
      </c>
      <c r="BB200" s="71" t="s">
        <v>209</v>
      </c>
      <c r="BC200" s="71" t="s">
        <v>207</v>
      </c>
      <c r="BD200" s="71">
        <v>6.48</v>
      </c>
      <c r="BE200" s="71">
        <v>6.48</v>
      </c>
      <c r="BF200" s="71">
        <v>268</v>
      </c>
      <c r="BG200" s="71">
        <v>212</v>
      </c>
      <c r="BH200" s="71">
        <v>5</v>
      </c>
      <c r="BI200" s="71">
        <v>10</v>
      </c>
      <c r="BJ200" s="12" t="str" cm="1">
        <f t="array" ref="BJ200">_xll.Dce_Name_SectI(BF200, BF200, BG200, BH200, BI200, "x", "-", $AX$11)</f>
        <v>268x212x5x10</v>
      </c>
      <c r="BK200" s="77" cm="1">
        <f t="array" ref="BK200">_xll.DCEPropSectI(BF200, BH200, BG200, BI200, BG200, BI200, "A")/100</f>
        <v>54.8</v>
      </c>
      <c r="BL200" s="70" t="s">
        <v>217</v>
      </c>
      <c r="BM200" s="70">
        <v>-19.043045447763919</v>
      </c>
      <c r="BN200" s="71">
        <v>0.9</v>
      </c>
      <c r="BO200" s="77">
        <f t="shared" si="27"/>
        <v>5.8320000000000007</v>
      </c>
      <c r="BP200" s="71">
        <v>0.9</v>
      </c>
      <c r="BQ200" s="77">
        <f t="shared" si="28"/>
        <v>5.8320000000000007</v>
      </c>
      <c r="BR200" s="77" cm="1">
        <f t="array" ref="BR200">_xll.DCEPropSectI(BF200, BH200, BG200, BI200, BG200, BI200, "rx")/10</f>
        <v>11.847052463297633</v>
      </c>
      <c r="BS200" s="77" cm="1">
        <f t="array" ref="BS200">_xll.DCEPropSectI(BF200, BH200, BG200, BI200, BG200, BI200, "ry")/10</f>
        <v>5.3836052600564113</v>
      </c>
      <c r="BT200" s="5">
        <f t="shared" si="29"/>
        <v>49.227434571321723</v>
      </c>
      <c r="BU200" s="5">
        <f t="shared" si="30"/>
        <v>108.32889333975595</v>
      </c>
      <c r="BV200" s="5">
        <f t="shared" si="31"/>
        <v>108.32889333975595</v>
      </c>
      <c r="BW200" s="71">
        <f t="shared" si="32"/>
        <v>200</v>
      </c>
      <c r="BX200" s="78" cm="1">
        <f t="array" ref="BX200">IF(BM200&gt;0,1,_xll.DCETCVN5575FactorPhi7121(BV200*SQRT($K$17/206000),"b"))</f>
        <v>0.51518827926471056</v>
      </c>
      <c r="BY200" s="64">
        <f t="shared" si="33"/>
        <v>3.2119633163157496E-2</v>
      </c>
      <c r="BZ200" s="3" t="str">
        <f t="shared" si="34"/>
        <v>OK</v>
      </c>
    </row>
    <row r="201" spans="1:78">
      <c r="A201" s="76"/>
      <c r="B201" s="76"/>
      <c r="C201" s="125"/>
      <c r="D201" s="125"/>
      <c r="E201" s="71"/>
      <c r="F201" s="71"/>
      <c r="G201" s="71"/>
      <c r="H201" s="126"/>
      <c r="I201" s="125"/>
      <c r="J201" s="123"/>
      <c r="K201" s="12"/>
      <c r="L201" s="117"/>
      <c r="M201" s="12"/>
      <c r="N201" s="117"/>
      <c r="O201" s="117"/>
      <c r="P201" s="117"/>
      <c r="Q201" s="118"/>
      <c r="R201" s="118"/>
      <c r="S201" s="118"/>
      <c r="T201" s="12"/>
      <c r="U201" s="118"/>
      <c r="V201" s="118"/>
      <c r="W201" s="12"/>
      <c r="X201" s="119"/>
      <c r="Y201" s="120"/>
      <c r="Z201" s="12"/>
      <c r="BA201" s="70" t="s">
        <v>205</v>
      </c>
      <c r="BB201" s="71" t="s">
        <v>209</v>
      </c>
      <c r="BC201" s="71" t="s">
        <v>207</v>
      </c>
      <c r="BD201" s="71">
        <v>0</v>
      </c>
      <c r="BE201" s="71">
        <v>6.48</v>
      </c>
      <c r="BF201" s="71">
        <v>268</v>
      </c>
      <c r="BG201" s="71">
        <v>212</v>
      </c>
      <c r="BH201" s="71">
        <v>5</v>
      </c>
      <c r="BI201" s="71">
        <v>10</v>
      </c>
      <c r="BJ201" s="12" t="str" cm="1">
        <f t="array" ref="BJ201">_xll.Dce_Name_SectI(BF201, BF201, BG201, BH201, BI201, "x", "-", $AX$11)</f>
        <v>268x212x5x10</v>
      </c>
      <c r="BK201" s="77" cm="1">
        <f t="array" ref="BK201">_xll.DCEPropSectI(BF201, BH201, BG201, BI201, BG201, BI201, "A")/100</f>
        <v>54.8</v>
      </c>
      <c r="BL201" s="70" t="s">
        <v>218</v>
      </c>
      <c r="BM201" s="70">
        <v>-38.99317208606908</v>
      </c>
      <c r="BN201" s="71">
        <v>0.9</v>
      </c>
      <c r="BO201" s="77">
        <f t="shared" si="27"/>
        <v>5.8320000000000007</v>
      </c>
      <c r="BP201" s="71">
        <v>0.9</v>
      </c>
      <c r="BQ201" s="77">
        <f t="shared" si="28"/>
        <v>5.8320000000000007</v>
      </c>
      <c r="BR201" s="77" cm="1">
        <f t="array" ref="BR201">_xll.DCEPropSectI(BF201, BH201, BG201, BI201, BG201, BI201, "rx")/10</f>
        <v>11.847052463297633</v>
      </c>
      <c r="BS201" s="77" cm="1">
        <f t="array" ref="BS201">_xll.DCEPropSectI(BF201, BH201, BG201, BI201, BG201, BI201, "ry")/10</f>
        <v>5.3836052600564113</v>
      </c>
      <c r="BT201" s="5">
        <f t="shared" si="29"/>
        <v>49.227434571321723</v>
      </c>
      <c r="BU201" s="5">
        <f t="shared" si="30"/>
        <v>108.32889333975595</v>
      </c>
      <c r="BV201" s="5">
        <f t="shared" si="31"/>
        <v>108.32889333975595</v>
      </c>
      <c r="BW201" s="71">
        <f t="shared" si="32"/>
        <v>200</v>
      </c>
      <c r="BX201" s="78" cm="1">
        <f t="array" ref="BX201">IF(BM201&gt;0,1,_xll.DCETCVN5575FactorPhi7121(BV201*SQRT($K$17/206000),"b"))</f>
        <v>0.51518827926471056</v>
      </c>
      <c r="BY201" s="64">
        <f t="shared" si="33"/>
        <v>6.5769227233529334E-2</v>
      </c>
      <c r="BZ201" s="3" t="str">
        <f t="shared" si="34"/>
        <v>OK</v>
      </c>
    </row>
    <row r="202" spans="1:78">
      <c r="A202" s="76"/>
      <c r="B202" s="76"/>
      <c r="C202" s="125"/>
      <c r="D202" s="125"/>
      <c r="E202" s="71"/>
      <c r="F202" s="71"/>
      <c r="G202" s="71"/>
      <c r="H202" s="126"/>
      <c r="I202" s="125"/>
      <c r="J202" s="123"/>
      <c r="K202" s="12"/>
      <c r="L202" s="117"/>
      <c r="M202" s="12"/>
      <c r="N202" s="117"/>
      <c r="O202" s="117"/>
      <c r="P202" s="117"/>
      <c r="Q202" s="118"/>
      <c r="R202" s="118"/>
      <c r="S202" s="118"/>
      <c r="T202" s="12"/>
      <c r="U202" s="118"/>
      <c r="V202" s="118"/>
      <c r="W202" s="12"/>
      <c r="X202" s="119"/>
      <c r="Y202" s="120"/>
      <c r="Z202" s="12"/>
      <c r="BA202" s="70" t="s">
        <v>205</v>
      </c>
      <c r="BB202" s="71" t="s">
        <v>209</v>
      </c>
      <c r="BC202" s="71" t="s">
        <v>207</v>
      </c>
      <c r="BD202" s="71">
        <v>0.81</v>
      </c>
      <c r="BE202" s="71">
        <v>6.48</v>
      </c>
      <c r="BF202" s="71">
        <v>268</v>
      </c>
      <c r="BG202" s="71">
        <v>212</v>
      </c>
      <c r="BH202" s="71">
        <v>5</v>
      </c>
      <c r="BI202" s="71">
        <v>10</v>
      </c>
      <c r="BJ202" s="12" t="str" cm="1">
        <f t="array" ref="BJ202">_xll.Dce_Name_SectI(BF202, BF202, BG202, BH202, BI202, "x", "-", $AX$11)</f>
        <v>268x212x5x10</v>
      </c>
      <c r="BK202" s="77" cm="1">
        <f t="array" ref="BK202">_xll.DCEPropSectI(BF202, BH202, BG202, BI202, BG202, BI202, "A")/100</f>
        <v>54.8</v>
      </c>
      <c r="BL202" s="70" t="s">
        <v>218</v>
      </c>
      <c r="BM202" s="70">
        <v>-39.334575602477003</v>
      </c>
      <c r="BN202" s="71">
        <v>0.9</v>
      </c>
      <c r="BO202" s="77">
        <f t="shared" si="27"/>
        <v>5.8320000000000007</v>
      </c>
      <c r="BP202" s="71">
        <v>0.9</v>
      </c>
      <c r="BQ202" s="77">
        <f t="shared" si="28"/>
        <v>5.8320000000000007</v>
      </c>
      <c r="BR202" s="77" cm="1">
        <f t="array" ref="BR202">_xll.DCEPropSectI(BF202, BH202, BG202, BI202, BG202, BI202, "rx")/10</f>
        <v>11.847052463297633</v>
      </c>
      <c r="BS202" s="77" cm="1">
        <f t="array" ref="BS202">_xll.DCEPropSectI(BF202, BH202, BG202, BI202, BG202, BI202, "ry")/10</f>
        <v>5.3836052600564113</v>
      </c>
      <c r="BT202" s="5">
        <f t="shared" si="29"/>
        <v>49.227434571321723</v>
      </c>
      <c r="BU202" s="5">
        <f t="shared" si="30"/>
        <v>108.32889333975595</v>
      </c>
      <c r="BV202" s="5">
        <f t="shared" si="31"/>
        <v>108.32889333975595</v>
      </c>
      <c r="BW202" s="71">
        <f t="shared" si="32"/>
        <v>200</v>
      </c>
      <c r="BX202" s="78" cm="1">
        <f t="array" ref="BX202">IF(BM202&gt;0,1,_xll.DCETCVN5575FactorPhi7121(BV202*SQRT($K$17/206000),"b"))</f>
        <v>0.51518827926471056</v>
      </c>
      <c r="BY202" s="64">
        <f t="shared" si="33"/>
        <v>6.6345067675527655E-2</v>
      </c>
      <c r="BZ202" s="3" t="str">
        <f t="shared" si="34"/>
        <v>OK</v>
      </c>
    </row>
    <row r="203" spans="1:78">
      <c r="A203" s="76"/>
      <c r="B203" s="76"/>
      <c r="C203" s="125"/>
      <c r="D203" s="125"/>
      <c r="E203" s="71"/>
      <c r="F203" s="71"/>
      <c r="G203" s="71"/>
      <c r="H203" s="126"/>
      <c r="I203" s="125"/>
      <c r="J203" s="123"/>
      <c r="K203" s="12"/>
      <c r="L203" s="117"/>
      <c r="M203" s="12"/>
      <c r="N203" s="117"/>
      <c r="O203" s="117"/>
      <c r="P203" s="117"/>
      <c r="Q203" s="118"/>
      <c r="R203" s="118"/>
      <c r="S203" s="118"/>
      <c r="T203" s="12"/>
      <c r="U203" s="118"/>
      <c r="V203" s="118"/>
      <c r="W203" s="12"/>
      <c r="X203" s="119"/>
      <c r="Y203" s="120"/>
      <c r="Z203" s="12"/>
      <c r="BA203" s="70" t="s">
        <v>205</v>
      </c>
      <c r="BB203" s="71" t="s">
        <v>209</v>
      </c>
      <c r="BC203" s="71" t="s">
        <v>207</v>
      </c>
      <c r="BD203" s="71">
        <v>1.62</v>
      </c>
      <c r="BE203" s="71">
        <v>6.48</v>
      </c>
      <c r="BF203" s="71">
        <v>268</v>
      </c>
      <c r="BG203" s="71">
        <v>212</v>
      </c>
      <c r="BH203" s="71">
        <v>5</v>
      </c>
      <c r="BI203" s="71">
        <v>10</v>
      </c>
      <c r="BJ203" s="12" t="str" cm="1">
        <f t="array" ref="BJ203">_xll.Dce_Name_SectI(BF203, BF203, BG203, BH203, BI203, "x", "-", $AX$11)</f>
        <v>268x212x5x10</v>
      </c>
      <c r="BK203" s="77" cm="1">
        <f t="array" ref="BK203">_xll.DCEPropSectI(BF203, BH203, BG203, BI203, BG203, BI203, "A")/100</f>
        <v>54.8</v>
      </c>
      <c r="BL203" s="70" t="s">
        <v>218</v>
      </c>
      <c r="BM203" s="70">
        <v>-39.675979118884925</v>
      </c>
      <c r="BN203" s="71">
        <v>0.9</v>
      </c>
      <c r="BO203" s="77">
        <f t="shared" si="27"/>
        <v>5.8320000000000007</v>
      </c>
      <c r="BP203" s="71">
        <v>0.9</v>
      </c>
      <c r="BQ203" s="77">
        <f t="shared" si="28"/>
        <v>5.8320000000000007</v>
      </c>
      <c r="BR203" s="77" cm="1">
        <f t="array" ref="BR203">_xll.DCEPropSectI(BF203, BH203, BG203, BI203, BG203, BI203, "rx")/10</f>
        <v>11.847052463297633</v>
      </c>
      <c r="BS203" s="77" cm="1">
        <f t="array" ref="BS203">_xll.DCEPropSectI(BF203, BH203, BG203, BI203, BG203, BI203, "ry")/10</f>
        <v>5.3836052600564113</v>
      </c>
      <c r="BT203" s="5">
        <f t="shared" si="29"/>
        <v>49.227434571321723</v>
      </c>
      <c r="BU203" s="5">
        <f t="shared" si="30"/>
        <v>108.32889333975595</v>
      </c>
      <c r="BV203" s="5">
        <f t="shared" si="31"/>
        <v>108.32889333975595</v>
      </c>
      <c r="BW203" s="71">
        <f t="shared" si="32"/>
        <v>200</v>
      </c>
      <c r="BX203" s="78" cm="1">
        <f t="array" ref="BX203">IF(BM203&gt;0,1,_xll.DCETCVN5575FactorPhi7121(BV203*SQRT($K$17/206000),"b"))</f>
        <v>0.51518827926471056</v>
      </c>
      <c r="BY203" s="64">
        <f t="shared" si="33"/>
        <v>6.6920908117525976E-2</v>
      </c>
      <c r="BZ203" s="3" t="str">
        <f t="shared" si="34"/>
        <v>OK</v>
      </c>
    </row>
    <row r="204" spans="1:78">
      <c r="A204" s="76"/>
      <c r="B204" s="76"/>
      <c r="C204" s="125"/>
      <c r="D204" s="125"/>
      <c r="E204" s="71"/>
      <c r="F204" s="71"/>
      <c r="G204" s="71"/>
      <c r="H204" s="126"/>
      <c r="I204" s="125"/>
      <c r="J204" s="123"/>
      <c r="K204" s="12"/>
      <c r="L204" s="117"/>
      <c r="M204" s="12"/>
      <c r="N204" s="117"/>
      <c r="O204" s="117"/>
      <c r="P204" s="117"/>
      <c r="Q204" s="118"/>
      <c r="R204" s="118"/>
      <c r="S204" s="118"/>
      <c r="T204" s="12"/>
      <c r="U204" s="118"/>
      <c r="V204" s="118"/>
      <c r="W204" s="12"/>
      <c r="X204" s="119"/>
      <c r="Y204" s="120"/>
      <c r="Z204" s="12"/>
      <c r="BA204" s="70" t="s">
        <v>205</v>
      </c>
      <c r="BB204" s="71" t="s">
        <v>209</v>
      </c>
      <c r="BC204" s="71" t="s">
        <v>207</v>
      </c>
      <c r="BD204" s="71">
        <v>2.4300000000000002</v>
      </c>
      <c r="BE204" s="71">
        <v>6.48</v>
      </c>
      <c r="BF204" s="71">
        <v>268</v>
      </c>
      <c r="BG204" s="71">
        <v>212</v>
      </c>
      <c r="BH204" s="71">
        <v>5</v>
      </c>
      <c r="BI204" s="71">
        <v>10</v>
      </c>
      <c r="BJ204" s="12" t="str" cm="1">
        <f t="array" ref="BJ204">_xll.Dce_Name_SectI(BF204, BF204, BG204, BH204, BI204, "x", "-", $AX$11)</f>
        <v>268x212x5x10</v>
      </c>
      <c r="BK204" s="77" cm="1">
        <f t="array" ref="BK204">_xll.DCEPropSectI(BF204, BH204, BG204, BI204, BG204, BI204, "A")/100</f>
        <v>54.8</v>
      </c>
      <c r="BL204" s="70" t="s">
        <v>218</v>
      </c>
      <c r="BM204" s="70">
        <v>-40.017382635292847</v>
      </c>
      <c r="BN204" s="71">
        <v>0.9</v>
      </c>
      <c r="BO204" s="77">
        <f t="shared" si="27"/>
        <v>5.8320000000000007</v>
      </c>
      <c r="BP204" s="71">
        <v>0.9</v>
      </c>
      <c r="BQ204" s="77">
        <f t="shared" si="28"/>
        <v>5.8320000000000007</v>
      </c>
      <c r="BR204" s="77" cm="1">
        <f t="array" ref="BR204">_xll.DCEPropSectI(BF204, BH204, BG204, BI204, BG204, BI204, "rx")/10</f>
        <v>11.847052463297633</v>
      </c>
      <c r="BS204" s="77" cm="1">
        <f t="array" ref="BS204">_xll.DCEPropSectI(BF204, BH204, BG204, BI204, BG204, BI204, "ry")/10</f>
        <v>5.3836052600564113</v>
      </c>
      <c r="BT204" s="5">
        <f t="shared" si="29"/>
        <v>49.227434571321723</v>
      </c>
      <c r="BU204" s="5">
        <f t="shared" si="30"/>
        <v>108.32889333975595</v>
      </c>
      <c r="BV204" s="5">
        <f t="shared" si="31"/>
        <v>108.32889333975595</v>
      </c>
      <c r="BW204" s="71">
        <f t="shared" si="32"/>
        <v>200</v>
      </c>
      <c r="BX204" s="78" cm="1">
        <f t="array" ref="BX204">IF(BM204&gt;0,1,_xll.DCETCVN5575FactorPhi7121(BV204*SQRT($K$17/206000),"b"))</f>
        <v>0.51518827926471056</v>
      </c>
      <c r="BY204" s="64">
        <f t="shared" si="33"/>
        <v>6.7496748559524297E-2</v>
      </c>
      <c r="BZ204" s="3" t="str">
        <f t="shared" si="34"/>
        <v>OK</v>
      </c>
    </row>
    <row r="205" spans="1:78">
      <c r="A205" s="76"/>
      <c r="B205" s="76"/>
      <c r="C205" s="125"/>
      <c r="D205" s="125"/>
      <c r="E205" s="71"/>
      <c r="F205" s="71"/>
      <c r="G205" s="71"/>
      <c r="H205" s="126"/>
      <c r="I205" s="125"/>
      <c r="J205" s="123"/>
      <c r="K205" s="12"/>
      <c r="L205" s="117"/>
      <c r="M205" s="12"/>
      <c r="N205" s="117"/>
      <c r="O205" s="117"/>
      <c r="P205" s="117"/>
      <c r="Q205" s="118"/>
      <c r="R205" s="118"/>
      <c r="S205" s="118"/>
      <c r="T205" s="12"/>
      <c r="U205" s="118"/>
      <c r="V205" s="118"/>
      <c r="W205" s="12"/>
      <c r="X205" s="119"/>
      <c r="Y205" s="120"/>
      <c r="Z205" s="12"/>
      <c r="BA205" s="70" t="s">
        <v>205</v>
      </c>
      <c r="BB205" s="71" t="s">
        <v>209</v>
      </c>
      <c r="BC205" s="71" t="s">
        <v>207</v>
      </c>
      <c r="BD205" s="71">
        <v>3.24</v>
      </c>
      <c r="BE205" s="71">
        <v>6.48</v>
      </c>
      <c r="BF205" s="71">
        <v>268</v>
      </c>
      <c r="BG205" s="71">
        <v>212</v>
      </c>
      <c r="BH205" s="71">
        <v>5</v>
      </c>
      <c r="BI205" s="71">
        <v>10</v>
      </c>
      <c r="BJ205" s="12" t="str" cm="1">
        <f t="array" ref="BJ205">_xll.Dce_Name_SectI(BF205, BF205, BG205, BH205, BI205, "x", "-", $AX$11)</f>
        <v>268x212x5x10</v>
      </c>
      <c r="BK205" s="77" cm="1">
        <f t="array" ref="BK205">_xll.DCEPropSectI(BF205, BH205, BG205, BI205, BG205, BI205, "A")/100</f>
        <v>54.8</v>
      </c>
      <c r="BL205" s="70" t="s">
        <v>218</v>
      </c>
      <c r="BM205" s="70">
        <v>-40.35878615170077</v>
      </c>
      <c r="BN205" s="71">
        <v>0.9</v>
      </c>
      <c r="BO205" s="77">
        <f t="shared" ref="BO205:BO268" si="35">BN205*BE205</f>
        <v>5.8320000000000007</v>
      </c>
      <c r="BP205" s="71">
        <v>0.9</v>
      </c>
      <c r="BQ205" s="77">
        <f t="shared" ref="BQ205:BQ268" si="36">BP205*BE205</f>
        <v>5.8320000000000007</v>
      </c>
      <c r="BR205" s="77" cm="1">
        <f t="array" ref="BR205">_xll.DCEPropSectI(BF205, BH205, BG205, BI205, BG205, BI205, "rx")/10</f>
        <v>11.847052463297633</v>
      </c>
      <c r="BS205" s="77" cm="1">
        <f t="array" ref="BS205">_xll.DCEPropSectI(BF205, BH205, BG205, BI205, BG205, BI205, "ry")/10</f>
        <v>5.3836052600564113</v>
      </c>
      <c r="BT205" s="5">
        <f t="shared" ref="BT205:BT268" si="37">BO205*100/BR205</f>
        <v>49.227434571321723</v>
      </c>
      <c r="BU205" s="5">
        <f t="shared" ref="BU205:BU268" si="38">BQ205*100/BS205</f>
        <v>108.32889333975595</v>
      </c>
      <c r="BV205" s="5">
        <f t="shared" ref="BV205:BV268" si="39">MAX(BT205,BU205)</f>
        <v>108.32889333975595</v>
      </c>
      <c r="BW205" s="71">
        <f t="shared" ref="BW205:BW268" si="40">IF(BM205&lt;0,$AY$14,$AY$15)</f>
        <v>200</v>
      </c>
      <c r="BX205" s="78" cm="1">
        <f t="array" ref="BX205">IF(BM205&gt;0,1,_xll.DCETCVN5575FactorPhi7121(BV205*SQRT($K$17/206000),"b"))</f>
        <v>0.51518827926471056</v>
      </c>
      <c r="BY205" s="64">
        <f t="shared" ref="BY205:BY268" si="41">ABS(BM205)/(BX205*BK205*$K$17*$K$19)*10</f>
        <v>6.8072589001522618E-2</v>
      </c>
      <c r="BZ205" s="3" t="str">
        <f t="shared" ref="BZ205:BZ268" si="42">IF(AND(BV205&lt;=BW205,BY205&lt;=1),"OK","Check")</f>
        <v>OK</v>
      </c>
    </row>
    <row r="206" spans="1:78">
      <c r="A206" s="76"/>
      <c r="B206" s="76"/>
      <c r="C206" s="125"/>
      <c r="D206" s="125"/>
      <c r="E206" s="71"/>
      <c r="F206" s="71"/>
      <c r="G206" s="71"/>
      <c r="H206" s="126"/>
      <c r="I206" s="125"/>
      <c r="J206" s="123"/>
      <c r="K206" s="12"/>
      <c r="L206" s="117"/>
      <c r="M206" s="12"/>
      <c r="N206" s="117"/>
      <c r="O206" s="117"/>
      <c r="P206" s="117"/>
      <c r="Q206" s="118"/>
      <c r="R206" s="118"/>
      <c r="S206" s="118"/>
      <c r="T206" s="12"/>
      <c r="U206" s="118"/>
      <c r="V206" s="118"/>
      <c r="W206" s="12"/>
      <c r="X206" s="119"/>
      <c r="Y206" s="120"/>
      <c r="Z206" s="12"/>
      <c r="BA206" s="70" t="s">
        <v>205</v>
      </c>
      <c r="BB206" s="71" t="s">
        <v>209</v>
      </c>
      <c r="BC206" s="71" t="s">
        <v>207</v>
      </c>
      <c r="BD206" s="71">
        <v>4.05</v>
      </c>
      <c r="BE206" s="71">
        <v>6.48</v>
      </c>
      <c r="BF206" s="71">
        <v>268</v>
      </c>
      <c r="BG206" s="71">
        <v>212</v>
      </c>
      <c r="BH206" s="71">
        <v>5</v>
      </c>
      <c r="BI206" s="71">
        <v>10</v>
      </c>
      <c r="BJ206" s="12" t="str" cm="1">
        <f t="array" ref="BJ206">_xll.Dce_Name_SectI(BF206, BF206, BG206, BH206, BI206, "x", "-", $AX$11)</f>
        <v>268x212x5x10</v>
      </c>
      <c r="BK206" s="77" cm="1">
        <f t="array" ref="BK206">_xll.DCEPropSectI(BF206, BH206, BG206, BI206, BG206, BI206, "A")/100</f>
        <v>54.8</v>
      </c>
      <c r="BL206" s="70" t="s">
        <v>218</v>
      </c>
      <c r="BM206" s="70">
        <v>-40.700189668108692</v>
      </c>
      <c r="BN206" s="71">
        <v>0.9</v>
      </c>
      <c r="BO206" s="77">
        <f t="shared" si="35"/>
        <v>5.8320000000000007</v>
      </c>
      <c r="BP206" s="71">
        <v>0.9</v>
      </c>
      <c r="BQ206" s="77">
        <f t="shared" si="36"/>
        <v>5.8320000000000007</v>
      </c>
      <c r="BR206" s="77" cm="1">
        <f t="array" ref="BR206">_xll.DCEPropSectI(BF206, BH206, BG206, BI206, BG206, BI206, "rx")/10</f>
        <v>11.847052463297633</v>
      </c>
      <c r="BS206" s="77" cm="1">
        <f t="array" ref="BS206">_xll.DCEPropSectI(BF206, BH206, BG206, BI206, BG206, BI206, "ry")/10</f>
        <v>5.3836052600564113</v>
      </c>
      <c r="BT206" s="5">
        <f t="shared" si="37"/>
        <v>49.227434571321723</v>
      </c>
      <c r="BU206" s="5">
        <f t="shared" si="38"/>
        <v>108.32889333975595</v>
      </c>
      <c r="BV206" s="5">
        <f t="shared" si="39"/>
        <v>108.32889333975595</v>
      </c>
      <c r="BW206" s="71">
        <f t="shared" si="40"/>
        <v>200</v>
      </c>
      <c r="BX206" s="78" cm="1">
        <f t="array" ref="BX206">IF(BM206&gt;0,1,_xll.DCETCVN5575FactorPhi7121(BV206*SQRT($K$17/206000),"b"))</f>
        <v>0.51518827926471056</v>
      </c>
      <c r="BY206" s="64">
        <f t="shared" si="41"/>
        <v>6.8648429443520939E-2</v>
      </c>
      <c r="BZ206" s="3" t="str">
        <f t="shared" si="42"/>
        <v>OK</v>
      </c>
    </row>
    <row r="207" spans="1:78">
      <c r="A207" s="76"/>
      <c r="B207" s="76"/>
      <c r="C207" s="125"/>
      <c r="D207" s="125"/>
      <c r="E207" s="71"/>
      <c r="F207" s="71"/>
      <c r="G207" s="71"/>
      <c r="H207" s="126"/>
      <c r="I207" s="125"/>
      <c r="J207" s="123"/>
      <c r="K207" s="12"/>
      <c r="L207" s="117"/>
      <c r="M207" s="12"/>
      <c r="N207" s="117"/>
      <c r="O207" s="117"/>
      <c r="P207" s="117"/>
      <c r="Q207" s="118"/>
      <c r="R207" s="118"/>
      <c r="S207" s="118"/>
      <c r="T207" s="12"/>
      <c r="U207" s="118"/>
      <c r="V207" s="118"/>
      <c r="W207" s="12"/>
      <c r="X207" s="119"/>
      <c r="Y207" s="120"/>
      <c r="Z207" s="12"/>
      <c r="BA207" s="70" t="s">
        <v>205</v>
      </c>
      <c r="BB207" s="71" t="s">
        <v>209</v>
      </c>
      <c r="BC207" s="71" t="s">
        <v>207</v>
      </c>
      <c r="BD207" s="71">
        <v>4.8600000000000003</v>
      </c>
      <c r="BE207" s="71">
        <v>6.48</v>
      </c>
      <c r="BF207" s="71">
        <v>268</v>
      </c>
      <c r="BG207" s="71">
        <v>212</v>
      </c>
      <c r="BH207" s="71">
        <v>5</v>
      </c>
      <c r="BI207" s="71">
        <v>10</v>
      </c>
      <c r="BJ207" s="12" t="str" cm="1">
        <f t="array" ref="BJ207">_xll.Dce_Name_SectI(BF207, BF207, BG207, BH207, BI207, "x", "-", $AX$11)</f>
        <v>268x212x5x10</v>
      </c>
      <c r="BK207" s="77" cm="1">
        <f t="array" ref="BK207">_xll.DCEPropSectI(BF207, BH207, BG207, BI207, BG207, BI207, "A")/100</f>
        <v>54.8</v>
      </c>
      <c r="BL207" s="70" t="s">
        <v>218</v>
      </c>
      <c r="BM207" s="70">
        <v>-41.041593184516614</v>
      </c>
      <c r="BN207" s="71">
        <v>0.9</v>
      </c>
      <c r="BO207" s="77">
        <f t="shared" si="35"/>
        <v>5.8320000000000007</v>
      </c>
      <c r="BP207" s="71">
        <v>0.9</v>
      </c>
      <c r="BQ207" s="77">
        <f t="shared" si="36"/>
        <v>5.8320000000000007</v>
      </c>
      <c r="BR207" s="77" cm="1">
        <f t="array" ref="BR207">_xll.DCEPropSectI(BF207, BH207, BG207, BI207, BG207, BI207, "rx")/10</f>
        <v>11.847052463297633</v>
      </c>
      <c r="BS207" s="77" cm="1">
        <f t="array" ref="BS207">_xll.DCEPropSectI(BF207, BH207, BG207, BI207, BG207, BI207, "ry")/10</f>
        <v>5.3836052600564113</v>
      </c>
      <c r="BT207" s="5">
        <f t="shared" si="37"/>
        <v>49.227434571321723</v>
      </c>
      <c r="BU207" s="5">
        <f t="shared" si="38"/>
        <v>108.32889333975595</v>
      </c>
      <c r="BV207" s="5">
        <f t="shared" si="39"/>
        <v>108.32889333975595</v>
      </c>
      <c r="BW207" s="71">
        <f t="shared" si="40"/>
        <v>200</v>
      </c>
      <c r="BX207" s="78" cm="1">
        <f t="array" ref="BX207">IF(BM207&gt;0,1,_xll.DCETCVN5575FactorPhi7121(BV207*SQRT($K$17/206000),"b"))</f>
        <v>0.51518827926471056</v>
      </c>
      <c r="BY207" s="64">
        <f t="shared" si="41"/>
        <v>6.922426988551926E-2</v>
      </c>
      <c r="BZ207" s="3" t="str">
        <f t="shared" si="42"/>
        <v>OK</v>
      </c>
    </row>
    <row r="208" spans="1:78">
      <c r="A208" s="76"/>
      <c r="B208" s="76"/>
      <c r="C208" s="125"/>
      <c r="D208" s="125"/>
      <c r="E208" s="71"/>
      <c r="F208" s="71"/>
      <c r="G208" s="71"/>
      <c r="H208" s="126"/>
      <c r="I208" s="125"/>
      <c r="J208" s="123"/>
      <c r="K208" s="12"/>
      <c r="L208" s="117"/>
      <c r="M208" s="12"/>
      <c r="N208" s="117"/>
      <c r="O208" s="117"/>
      <c r="P208" s="117"/>
      <c r="Q208" s="118"/>
      <c r="R208" s="118"/>
      <c r="S208" s="118"/>
      <c r="T208" s="12"/>
      <c r="U208" s="118"/>
      <c r="V208" s="118"/>
      <c r="W208" s="12"/>
      <c r="X208" s="119"/>
      <c r="Y208" s="120"/>
      <c r="Z208" s="12"/>
      <c r="BA208" s="70" t="s">
        <v>205</v>
      </c>
      <c r="BB208" s="71" t="s">
        <v>209</v>
      </c>
      <c r="BC208" s="71" t="s">
        <v>207</v>
      </c>
      <c r="BD208" s="71">
        <v>5.67</v>
      </c>
      <c r="BE208" s="71">
        <v>6.48</v>
      </c>
      <c r="BF208" s="71">
        <v>268</v>
      </c>
      <c r="BG208" s="71">
        <v>212</v>
      </c>
      <c r="BH208" s="71">
        <v>5</v>
      </c>
      <c r="BI208" s="71">
        <v>10</v>
      </c>
      <c r="BJ208" s="12" t="str" cm="1">
        <f t="array" ref="BJ208">_xll.Dce_Name_SectI(BF208, BF208, BG208, BH208, BI208, "x", "-", $AX$11)</f>
        <v>268x212x5x10</v>
      </c>
      <c r="BK208" s="77" cm="1">
        <f t="array" ref="BK208">_xll.DCEPropSectI(BF208, BH208, BG208, BI208, BG208, BI208, "A")/100</f>
        <v>54.8</v>
      </c>
      <c r="BL208" s="70" t="s">
        <v>218</v>
      </c>
      <c r="BM208" s="70">
        <v>-41.382996700924537</v>
      </c>
      <c r="BN208" s="71">
        <v>0.9</v>
      </c>
      <c r="BO208" s="77">
        <f t="shared" si="35"/>
        <v>5.8320000000000007</v>
      </c>
      <c r="BP208" s="71">
        <v>0.9</v>
      </c>
      <c r="BQ208" s="77">
        <f t="shared" si="36"/>
        <v>5.8320000000000007</v>
      </c>
      <c r="BR208" s="77" cm="1">
        <f t="array" ref="BR208">_xll.DCEPropSectI(BF208, BH208, BG208, BI208, BG208, BI208, "rx")/10</f>
        <v>11.847052463297633</v>
      </c>
      <c r="BS208" s="77" cm="1">
        <f t="array" ref="BS208">_xll.DCEPropSectI(BF208, BH208, BG208, BI208, BG208, BI208, "ry")/10</f>
        <v>5.3836052600564113</v>
      </c>
      <c r="BT208" s="5">
        <f t="shared" si="37"/>
        <v>49.227434571321723</v>
      </c>
      <c r="BU208" s="5">
        <f t="shared" si="38"/>
        <v>108.32889333975595</v>
      </c>
      <c r="BV208" s="5">
        <f t="shared" si="39"/>
        <v>108.32889333975595</v>
      </c>
      <c r="BW208" s="71">
        <f t="shared" si="40"/>
        <v>200</v>
      </c>
      <c r="BX208" s="78" cm="1">
        <f t="array" ref="BX208">IF(BM208&gt;0,1,_xll.DCETCVN5575FactorPhi7121(BV208*SQRT($K$17/206000),"b"))</f>
        <v>0.51518827926471056</v>
      </c>
      <c r="BY208" s="64">
        <f t="shared" si="41"/>
        <v>6.9800110327517581E-2</v>
      </c>
      <c r="BZ208" s="3" t="str">
        <f t="shared" si="42"/>
        <v>OK</v>
      </c>
    </row>
    <row r="209" spans="1:78">
      <c r="A209" s="76"/>
      <c r="B209" s="76"/>
      <c r="C209" s="125"/>
      <c r="D209" s="125"/>
      <c r="E209" s="71"/>
      <c r="F209" s="71"/>
      <c r="G209" s="71"/>
      <c r="H209" s="126"/>
      <c r="I209" s="125"/>
      <c r="J209" s="123"/>
      <c r="K209" s="12"/>
      <c r="L209" s="117"/>
      <c r="M209" s="12"/>
      <c r="N209" s="117"/>
      <c r="O209" s="117"/>
      <c r="P209" s="117"/>
      <c r="Q209" s="118"/>
      <c r="R209" s="118"/>
      <c r="S209" s="118"/>
      <c r="T209" s="12"/>
      <c r="U209" s="118"/>
      <c r="V209" s="118"/>
      <c r="W209" s="12"/>
      <c r="X209" s="119"/>
      <c r="Y209" s="120"/>
      <c r="Z209" s="12"/>
      <c r="BA209" s="70" t="s">
        <v>205</v>
      </c>
      <c r="BB209" s="71" t="s">
        <v>209</v>
      </c>
      <c r="BC209" s="71" t="s">
        <v>207</v>
      </c>
      <c r="BD209" s="71">
        <v>6.48</v>
      </c>
      <c r="BE209" s="71">
        <v>6.48</v>
      </c>
      <c r="BF209" s="71">
        <v>268</v>
      </c>
      <c r="BG209" s="71">
        <v>212</v>
      </c>
      <c r="BH209" s="71">
        <v>5</v>
      </c>
      <c r="BI209" s="71">
        <v>10</v>
      </c>
      <c r="BJ209" s="12" t="str" cm="1">
        <f t="array" ref="BJ209">_xll.Dce_Name_SectI(BF209, BF209, BG209, BH209, BI209, "x", "-", $AX$11)</f>
        <v>268x212x5x10</v>
      </c>
      <c r="BK209" s="77" cm="1">
        <f t="array" ref="BK209">_xll.DCEPropSectI(BF209, BH209, BG209, BI209, BG209, BI209, "A")/100</f>
        <v>54.8</v>
      </c>
      <c r="BL209" s="70" t="s">
        <v>218</v>
      </c>
      <c r="BM209" s="70">
        <v>-41.724400217332459</v>
      </c>
      <c r="BN209" s="71">
        <v>0.9</v>
      </c>
      <c r="BO209" s="77">
        <f t="shared" si="35"/>
        <v>5.8320000000000007</v>
      </c>
      <c r="BP209" s="71">
        <v>0.9</v>
      </c>
      <c r="BQ209" s="77">
        <f t="shared" si="36"/>
        <v>5.8320000000000007</v>
      </c>
      <c r="BR209" s="77" cm="1">
        <f t="array" ref="BR209">_xll.DCEPropSectI(BF209, BH209, BG209, BI209, BG209, BI209, "rx")/10</f>
        <v>11.847052463297633</v>
      </c>
      <c r="BS209" s="77" cm="1">
        <f t="array" ref="BS209">_xll.DCEPropSectI(BF209, BH209, BG209, BI209, BG209, BI209, "ry")/10</f>
        <v>5.3836052600564113</v>
      </c>
      <c r="BT209" s="5">
        <f t="shared" si="37"/>
        <v>49.227434571321723</v>
      </c>
      <c r="BU209" s="5">
        <f t="shared" si="38"/>
        <v>108.32889333975595</v>
      </c>
      <c r="BV209" s="5">
        <f t="shared" si="39"/>
        <v>108.32889333975595</v>
      </c>
      <c r="BW209" s="71">
        <f t="shared" si="40"/>
        <v>200</v>
      </c>
      <c r="BX209" s="78" cm="1">
        <f t="array" ref="BX209">IF(BM209&gt;0,1,_xll.DCETCVN5575FactorPhi7121(BV209*SQRT($K$17/206000),"b"))</f>
        <v>0.51518827926471056</v>
      </c>
      <c r="BY209" s="64">
        <f t="shared" si="41"/>
        <v>7.0375950769515902E-2</v>
      </c>
      <c r="BZ209" s="3" t="str">
        <f t="shared" si="42"/>
        <v>OK</v>
      </c>
    </row>
    <row r="210" spans="1:78">
      <c r="A210" s="76"/>
      <c r="B210" s="76"/>
      <c r="C210" s="125"/>
      <c r="D210" s="125"/>
      <c r="E210" s="71"/>
      <c r="F210" s="71"/>
      <c r="G210" s="71"/>
      <c r="H210" s="126"/>
      <c r="I210" s="125"/>
      <c r="J210" s="123"/>
      <c r="K210" s="12"/>
      <c r="L210" s="117"/>
      <c r="M210" s="12"/>
      <c r="N210" s="117"/>
      <c r="O210" s="117"/>
      <c r="P210" s="117"/>
      <c r="Q210" s="118"/>
      <c r="R210" s="118"/>
      <c r="S210" s="118"/>
      <c r="T210" s="12"/>
      <c r="U210" s="118"/>
      <c r="V210" s="118"/>
      <c r="W210" s="12"/>
      <c r="X210" s="119"/>
      <c r="Y210" s="120"/>
      <c r="Z210" s="12"/>
      <c r="BA210" s="70" t="s">
        <v>205</v>
      </c>
      <c r="BB210" s="71" t="s">
        <v>209</v>
      </c>
      <c r="BC210" s="71" t="s">
        <v>207</v>
      </c>
      <c r="BD210" s="71">
        <v>0</v>
      </c>
      <c r="BE210" s="71">
        <v>6.48</v>
      </c>
      <c r="BF210" s="71">
        <v>268</v>
      </c>
      <c r="BG210" s="71">
        <v>212</v>
      </c>
      <c r="BH210" s="71">
        <v>5</v>
      </c>
      <c r="BI210" s="71">
        <v>10</v>
      </c>
      <c r="BJ210" s="12" t="str" cm="1">
        <f t="array" ref="BJ210">_xll.Dce_Name_SectI(BF210, BF210, BG210, BH210, BI210, "x", "-", $AX$11)</f>
        <v>268x212x5x10</v>
      </c>
      <c r="BK210" s="77" cm="1">
        <f t="array" ref="BK210">_xll.DCEPropSectI(BF210, BH210, BG210, BI210, BG210, BI210, "A")/100</f>
        <v>54.8</v>
      </c>
      <c r="BL210" s="70" t="s">
        <v>219</v>
      </c>
      <c r="BM210" s="70">
        <v>-17.742065702712068</v>
      </c>
      <c r="BN210" s="71">
        <v>0.9</v>
      </c>
      <c r="BO210" s="77">
        <f t="shared" si="35"/>
        <v>5.8320000000000007</v>
      </c>
      <c r="BP210" s="71">
        <v>0.9</v>
      </c>
      <c r="BQ210" s="77">
        <f t="shared" si="36"/>
        <v>5.8320000000000007</v>
      </c>
      <c r="BR210" s="77" cm="1">
        <f t="array" ref="BR210">_xll.DCEPropSectI(BF210, BH210, BG210, BI210, BG210, BI210, "rx")/10</f>
        <v>11.847052463297633</v>
      </c>
      <c r="BS210" s="77" cm="1">
        <f t="array" ref="BS210">_xll.DCEPropSectI(BF210, BH210, BG210, BI210, BG210, BI210, "ry")/10</f>
        <v>5.3836052600564113</v>
      </c>
      <c r="BT210" s="5">
        <f t="shared" si="37"/>
        <v>49.227434571321723</v>
      </c>
      <c r="BU210" s="5">
        <f t="shared" si="38"/>
        <v>108.32889333975595</v>
      </c>
      <c r="BV210" s="5">
        <f t="shared" si="39"/>
        <v>108.32889333975595</v>
      </c>
      <c r="BW210" s="71">
        <f t="shared" si="40"/>
        <v>200</v>
      </c>
      <c r="BX210" s="78" cm="1">
        <f t="array" ref="BX210">IF(BM210&gt;0,1,_xll.DCETCVN5575FactorPhi7121(BV210*SQRT($K$17/206000),"b"))</f>
        <v>0.51518827926471056</v>
      </c>
      <c r="BY210" s="64">
        <f t="shared" si="41"/>
        <v>2.9925289181865874E-2</v>
      </c>
      <c r="BZ210" s="3" t="str">
        <f t="shared" si="42"/>
        <v>OK</v>
      </c>
    </row>
    <row r="211" spans="1:78">
      <c r="A211" s="76"/>
      <c r="B211" s="76"/>
      <c r="C211" s="125"/>
      <c r="D211" s="125"/>
      <c r="E211" s="71"/>
      <c r="F211" s="71"/>
      <c r="G211" s="71"/>
      <c r="H211" s="126"/>
      <c r="I211" s="125"/>
      <c r="J211" s="123"/>
      <c r="K211" s="12"/>
      <c r="L211" s="117"/>
      <c r="M211" s="12"/>
      <c r="N211" s="117"/>
      <c r="O211" s="117"/>
      <c r="P211" s="117"/>
      <c r="Q211" s="118"/>
      <c r="R211" s="118"/>
      <c r="S211" s="118"/>
      <c r="T211" s="12"/>
      <c r="U211" s="118"/>
      <c r="V211" s="118"/>
      <c r="W211" s="12"/>
      <c r="X211" s="119"/>
      <c r="Y211" s="120"/>
      <c r="Z211" s="12"/>
      <c r="BA211" s="70" t="s">
        <v>205</v>
      </c>
      <c r="BB211" s="71" t="s">
        <v>209</v>
      </c>
      <c r="BC211" s="71" t="s">
        <v>207</v>
      </c>
      <c r="BD211" s="71">
        <v>0.81</v>
      </c>
      <c r="BE211" s="71">
        <v>6.48</v>
      </c>
      <c r="BF211" s="71">
        <v>268</v>
      </c>
      <c r="BG211" s="71">
        <v>212</v>
      </c>
      <c r="BH211" s="71">
        <v>5</v>
      </c>
      <c r="BI211" s="71">
        <v>10</v>
      </c>
      <c r="BJ211" s="12" t="str" cm="1">
        <f t="array" ref="BJ211">_xll.Dce_Name_SectI(BF211, BF211, BG211, BH211, BI211, "x", "-", $AX$11)</f>
        <v>268x212x5x10</v>
      </c>
      <c r="BK211" s="77" cm="1">
        <f t="array" ref="BK211">_xll.DCEPropSectI(BF211, BH211, BG211, BI211, BG211, BI211, "A")/100</f>
        <v>54.8</v>
      </c>
      <c r="BL211" s="70" t="s">
        <v>219</v>
      </c>
      <c r="BM211" s="70">
        <v>-18.083469219119991</v>
      </c>
      <c r="BN211" s="71">
        <v>0.9</v>
      </c>
      <c r="BO211" s="77">
        <f t="shared" si="35"/>
        <v>5.8320000000000007</v>
      </c>
      <c r="BP211" s="71">
        <v>0.9</v>
      </c>
      <c r="BQ211" s="77">
        <f t="shared" si="36"/>
        <v>5.8320000000000007</v>
      </c>
      <c r="BR211" s="77" cm="1">
        <f t="array" ref="BR211">_xll.DCEPropSectI(BF211, BH211, BG211, BI211, BG211, BI211, "rx")/10</f>
        <v>11.847052463297633</v>
      </c>
      <c r="BS211" s="77" cm="1">
        <f t="array" ref="BS211">_xll.DCEPropSectI(BF211, BH211, BG211, BI211, BG211, BI211, "ry")/10</f>
        <v>5.3836052600564113</v>
      </c>
      <c r="BT211" s="5">
        <f t="shared" si="37"/>
        <v>49.227434571321723</v>
      </c>
      <c r="BU211" s="5">
        <f t="shared" si="38"/>
        <v>108.32889333975595</v>
      </c>
      <c r="BV211" s="5">
        <f t="shared" si="39"/>
        <v>108.32889333975595</v>
      </c>
      <c r="BW211" s="71">
        <f t="shared" si="40"/>
        <v>200</v>
      </c>
      <c r="BX211" s="78" cm="1">
        <f t="array" ref="BX211">IF(BM211&gt;0,1,_xll.DCETCVN5575FactorPhi7121(BV211*SQRT($K$17/206000),"b"))</f>
        <v>0.51518827926471056</v>
      </c>
      <c r="BY211" s="64">
        <f t="shared" si="41"/>
        <v>3.0501129623864195E-2</v>
      </c>
      <c r="BZ211" s="3" t="str">
        <f t="shared" si="42"/>
        <v>OK</v>
      </c>
    </row>
    <row r="212" spans="1:78">
      <c r="A212" s="76"/>
      <c r="B212" s="76"/>
      <c r="C212" s="125"/>
      <c r="D212" s="125"/>
      <c r="E212" s="71"/>
      <c r="F212" s="71"/>
      <c r="G212" s="71"/>
      <c r="H212" s="126"/>
      <c r="I212" s="125"/>
      <c r="J212" s="123"/>
      <c r="K212" s="12"/>
      <c r="L212" s="117"/>
      <c r="M212" s="12"/>
      <c r="N212" s="117"/>
      <c r="O212" s="117"/>
      <c r="P212" s="117"/>
      <c r="Q212" s="118"/>
      <c r="R212" s="118"/>
      <c r="S212" s="118"/>
      <c r="T212" s="12"/>
      <c r="U212" s="118"/>
      <c r="V212" s="118"/>
      <c r="W212" s="12"/>
      <c r="X212" s="119"/>
      <c r="Y212" s="120"/>
      <c r="Z212" s="12"/>
      <c r="BA212" s="70" t="s">
        <v>205</v>
      </c>
      <c r="BB212" s="71" t="s">
        <v>209</v>
      </c>
      <c r="BC212" s="71" t="s">
        <v>207</v>
      </c>
      <c r="BD212" s="71">
        <v>1.62</v>
      </c>
      <c r="BE212" s="71">
        <v>6.48</v>
      </c>
      <c r="BF212" s="71">
        <v>268</v>
      </c>
      <c r="BG212" s="71">
        <v>212</v>
      </c>
      <c r="BH212" s="71">
        <v>5</v>
      </c>
      <c r="BI212" s="71">
        <v>10</v>
      </c>
      <c r="BJ212" s="12" t="str" cm="1">
        <f t="array" ref="BJ212">_xll.Dce_Name_SectI(BF212, BF212, BG212, BH212, BI212, "x", "-", $AX$11)</f>
        <v>268x212x5x10</v>
      </c>
      <c r="BK212" s="77" cm="1">
        <f t="array" ref="BK212">_xll.DCEPropSectI(BF212, BH212, BG212, BI212, BG212, BI212, "A")/100</f>
        <v>54.8</v>
      </c>
      <c r="BL212" s="70" t="s">
        <v>219</v>
      </c>
      <c r="BM212" s="70">
        <v>-18.424872735527913</v>
      </c>
      <c r="BN212" s="71">
        <v>0.9</v>
      </c>
      <c r="BO212" s="77">
        <f t="shared" si="35"/>
        <v>5.8320000000000007</v>
      </c>
      <c r="BP212" s="71">
        <v>0.9</v>
      </c>
      <c r="BQ212" s="77">
        <f t="shared" si="36"/>
        <v>5.8320000000000007</v>
      </c>
      <c r="BR212" s="77" cm="1">
        <f t="array" ref="BR212">_xll.DCEPropSectI(BF212, BH212, BG212, BI212, BG212, BI212, "rx")/10</f>
        <v>11.847052463297633</v>
      </c>
      <c r="BS212" s="77" cm="1">
        <f t="array" ref="BS212">_xll.DCEPropSectI(BF212, BH212, BG212, BI212, BG212, BI212, "ry")/10</f>
        <v>5.3836052600564113</v>
      </c>
      <c r="BT212" s="5">
        <f t="shared" si="37"/>
        <v>49.227434571321723</v>
      </c>
      <c r="BU212" s="5">
        <f t="shared" si="38"/>
        <v>108.32889333975595</v>
      </c>
      <c r="BV212" s="5">
        <f t="shared" si="39"/>
        <v>108.32889333975595</v>
      </c>
      <c r="BW212" s="71">
        <f t="shared" si="40"/>
        <v>200</v>
      </c>
      <c r="BX212" s="78" cm="1">
        <f t="array" ref="BX212">IF(BM212&gt;0,1,_xll.DCETCVN5575FactorPhi7121(BV212*SQRT($K$17/206000),"b"))</f>
        <v>0.51518827926471056</v>
      </c>
      <c r="BY212" s="64">
        <f t="shared" si="41"/>
        <v>3.1076970065862516E-2</v>
      </c>
      <c r="BZ212" s="3" t="str">
        <f t="shared" si="42"/>
        <v>OK</v>
      </c>
    </row>
    <row r="213" spans="1:78">
      <c r="A213" s="76"/>
      <c r="B213" s="76"/>
      <c r="C213" s="125"/>
      <c r="D213" s="125"/>
      <c r="E213" s="71"/>
      <c r="F213" s="71"/>
      <c r="G213" s="71"/>
      <c r="H213" s="126"/>
      <c r="I213" s="125"/>
      <c r="J213" s="123"/>
      <c r="K213" s="12"/>
      <c r="L213" s="117"/>
      <c r="M213" s="12"/>
      <c r="N213" s="117"/>
      <c r="O213" s="117"/>
      <c r="P213" s="117"/>
      <c r="Q213" s="118"/>
      <c r="R213" s="118"/>
      <c r="S213" s="118"/>
      <c r="T213" s="12"/>
      <c r="U213" s="118"/>
      <c r="V213" s="118"/>
      <c r="W213" s="12"/>
      <c r="X213" s="119"/>
      <c r="Y213" s="120"/>
      <c r="Z213" s="12"/>
      <c r="BA213" s="70" t="s">
        <v>205</v>
      </c>
      <c r="BB213" s="71" t="s">
        <v>209</v>
      </c>
      <c r="BC213" s="71" t="s">
        <v>207</v>
      </c>
      <c r="BD213" s="71">
        <v>2.4300000000000002</v>
      </c>
      <c r="BE213" s="71">
        <v>6.48</v>
      </c>
      <c r="BF213" s="71">
        <v>268</v>
      </c>
      <c r="BG213" s="71">
        <v>212</v>
      </c>
      <c r="BH213" s="71">
        <v>5</v>
      </c>
      <c r="BI213" s="71">
        <v>10</v>
      </c>
      <c r="BJ213" s="12" t="str" cm="1">
        <f t="array" ref="BJ213">_xll.Dce_Name_SectI(BF213, BF213, BG213, BH213, BI213, "x", "-", $AX$11)</f>
        <v>268x212x5x10</v>
      </c>
      <c r="BK213" s="77" cm="1">
        <f t="array" ref="BK213">_xll.DCEPropSectI(BF213, BH213, BG213, BI213, BG213, BI213, "A")/100</f>
        <v>54.8</v>
      </c>
      <c r="BL213" s="70" t="s">
        <v>219</v>
      </c>
      <c r="BM213" s="70">
        <v>-18.766276251935835</v>
      </c>
      <c r="BN213" s="71">
        <v>0.9</v>
      </c>
      <c r="BO213" s="77">
        <f t="shared" si="35"/>
        <v>5.8320000000000007</v>
      </c>
      <c r="BP213" s="71">
        <v>0.9</v>
      </c>
      <c r="BQ213" s="77">
        <f t="shared" si="36"/>
        <v>5.8320000000000007</v>
      </c>
      <c r="BR213" s="77" cm="1">
        <f t="array" ref="BR213">_xll.DCEPropSectI(BF213, BH213, BG213, BI213, BG213, BI213, "rx")/10</f>
        <v>11.847052463297633</v>
      </c>
      <c r="BS213" s="77" cm="1">
        <f t="array" ref="BS213">_xll.DCEPropSectI(BF213, BH213, BG213, BI213, BG213, BI213, "ry")/10</f>
        <v>5.3836052600564113</v>
      </c>
      <c r="BT213" s="5">
        <f t="shared" si="37"/>
        <v>49.227434571321723</v>
      </c>
      <c r="BU213" s="5">
        <f t="shared" si="38"/>
        <v>108.32889333975595</v>
      </c>
      <c r="BV213" s="5">
        <f t="shared" si="39"/>
        <v>108.32889333975595</v>
      </c>
      <c r="BW213" s="71">
        <f t="shared" si="40"/>
        <v>200</v>
      </c>
      <c r="BX213" s="78" cm="1">
        <f t="array" ref="BX213">IF(BM213&gt;0,1,_xll.DCETCVN5575FactorPhi7121(BV213*SQRT($K$17/206000),"b"))</f>
        <v>0.51518827926471056</v>
      </c>
      <c r="BY213" s="64">
        <f t="shared" si="41"/>
        <v>3.1652810507860833E-2</v>
      </c>
      <c r="BZ213" s="3" t="str">
        <f t="shared" si="42"/>
        <v>OK</v>
      </c>
    </row>
    <row r="214" spans="1:78">
      <c r="A214" s="76"/>
      <c r="B214" s="76"/>
      <c r="C214" s="125"/>
      <c r="D214" s="125"/>
      <c r="E214" s="71"/>
      <c r="F214" s="71"/>
      <c r="G214" s="71"/>
      <c r="H214" s="126"/>
      <c r="I214" s="125"/>
      <c r="J214" s="123"/>
      <c r="K214" s="12"/>
      <c r="L214" s="117"/>
      <c r="M214" s="12"/>
      <c r="N214" s="117"/>
      <c r="O214" s="117"/>
      <c r="P214" s="117"/>
      <c r="Q214" s="118"/>
      <c r="R214" s="118"/>
      <c r="S214" s="118"/>
      <c r="T214" s="12"/>
      <c r="U214" s="118"/>
      <c r="V214" s="118"/>
      <c r="W214" s="12"/>
      <c r="X214" s="119"/>
      <c r="Y214" s="120"/>
      <c r="Z214" s="12"/>
      <c r="BA214" s="70" t="s">
        <v>205</v>
      </c>
      <c r="BB214" s="71" t="s">
        <v>209</v>
      </c>
      <c r="BC214" s="71" t="s">
        <v>207</v>
      </c>
      <c r="BD214" s="71">
        <v>3.24</v>
      </c>
      <c r="BE214" s="71">
        <v>6.48</v>
      </c>
      <c r="BF214" s="71">
        <v>268</v>
      </c>
      <c r="BG214" s="71">
        <v>212</v>
      </c>
      <c r="BH214" s="71">
        <v>5</v>
      </c>
      <c r="BI214" s="71">
        <v>10</v>
      </c>
      <c r="BJ214" s="12" t="str" cm="1">
        <f t="array" ref="BJ214">_xll.Dce_Name_SectI(BF214, BF214, BG214, BH214, BI214, "x", "-", $AX$11)</f>
        <v>268x212x5x10</v>
      </c>
      <c r="BK214" s="77" cm="1">
        <f t="array" ref="BK214">_xll.DCEPropSectI(BF214, BH214, BG214, BI214, BG214, BI214, "A")/100</f>
        <v>54.8</v>
      </c>
      <c r="BL214" s="70" t="s">
        <v>219</v>
      </c>
      <c r="BM214" s="70">
        <v>-19.107679768343758</v>
      </c>
      <c r="BN214" s="71">
        <v>0.9</v>
      </c>
      <c r="BO214" s="77">
        <f t="shared" si="35"/>
        <v>5.8320000000000007</v>
      </c>
      <c r="BP214" s="71">
        <v>0.9</v>
      </c>
      <c r="BQ214" s="77">
        <f t="shared" si="36"/>
        <v>5.8320000000000007</v>
      </c>
      <c r="BR214" s="77" cm="1">
        <f t="array" ref="BR214">_xll.DCEPropSectI(BF214, BH214, BG214, BI214, BG214, BI214, "rx")/10</f>
        <v>11.847052463297633</v>
      </c>
      <c r="BS214" s="77" cm="1">
        <f t="array" ref="BS214">_xll.DCEPropSectI(BF214, BH214, BG214, BI214, BG214, BI214, "ry")/10</f>
        <v>5.3836052600564113</v>
      </c>
      <c r="BT214" s="5">
        <f t="shared" si="37"/>
        <v>49.227434571321723</v>
      </c>
      <c r="BU214" s="5">
        <f t="shared" si="38"/>
        <v>108.32889333975595</v>
      </c>
      <c r="BV214" s="5">
        <f t="shared" si="39"/>
        <v>108.32889333975595</v>
      </c>
      <c r="BW214" s="71">
        <f t="shared" si="40"/>
        <v>200</v>
      </c>
      <c r="BX214" s="78" cm="1">
        <f t="array" ref="BX214">IF(BM214&gt;0,1,_xll.DCETCVN5575FactorPhi7121(BV214*SQRT($K$17/206000),"b"))</f>
        <v>0.51518827926471056</v>
      </c>
      <c r="BY214" s="64">
        <f t="shared" si="41"/>
        <v>3.2228650949859154E-2</v>
      </c>
      <c r="BZ214" s="3" t="str">
        <f t="shared" si="42"/>
        <v>OK</v>
      </c>
    </row>
    <row r="215" spans="1:78">
      <c r="A215" s="76"/>
      <c r="B215" s="76"/>
      <c r="C215" s="125"/>
      <c r="D215" s="125"/>
      <c r="E215" s="71"/>
      <c r="F215" s="71"/>
      <c r="G215" s="71"/>
      <c r="H215" s="126"/>
      <c r="I215" s="125"/>
      <c r="J215" s="123"/>
      <c r="K215" s="12"/>
      <c r="L215" s="117"/>
      <c r="M215" s="12"/>
      <c r="N215" s="117"/>
      <c r="O215" s="117"/>
      <c r="P215" s="117"/>
      <c r="Q215" s="118"/>
      <c r="R215" s="118"/>
      <c r="S215" s="118"/>
      <c r="T215" s="12"/>
      <c r="U215" s="118"/>
      <c r="V215" s="118"/>
      <c r="W215" s="12"/>
      <c r="X215" s="119"/>
      <c r="Y215" s="120"/>
      <c r="Z215" s="12"/>
      <c r="BA215" s="70" t="s">
        <v>205</v>
      </c>
      <c r="BB215" s="71" t="s">
        <v>209</v>
      </c>
      <c r="BC215" s="71" t="s">
        <v>207</v>
      </c>
      <c r="BD215" s="71">
        <v>4.05</v>
      </c>
      <c r="BE215" s="71">
        <v>6.48</v>
      </c>
      <c r="BF215" s="71">
        <v>268</v>
      </c>
      <c r="BG215" s="71">
        <v>212</v>
      </c>
      <c r="BH215" s="71">
        <v>5</v>
      </c>
      <c r="BI215" s="71">
        <v>10</v>
      </c>
      <c r="BJ215" s="12" t="str" cm="1">
        <f t="array" ref="BJ215">_xll.Dce_Name_SectI(BF215, BF215, BG215, BH215, BI215, "x", "-", $AX$11)</f>
        <v>268x212x5x10</v>
      </c>
      <c r="BK215" s="77" cm="1">
        <f t="array" ref="BK215">_xll.DCEPropSectI(BF215, BH215, BG215, BI215, BG215, BI215, "A")/100</f>
        <v>54.8</v>
      </c>
      <c r="BL215" s="70" t="s">
        <v>219</v>
      </c>
      <c r="BM215" s="70">
        <v>-19.449083284751683</v>
      </c>
      <c r="BN215" s="71">
        <v>0.9</v>
      </c>
      <c r="BO215" s="77">
        <f t="shared" si="35"/>
        <v>5.8320000000000007</v>
      </c>
      <c r="BP215" s="71">
        <v>0.9</v>
      </c>
      <c r="BQ215" s="77">
        <f t="shared" si="36"/>
        <v>5.8320000000000007</v>
      </c>
      <c r="BR215" s="77" cm="1">
        <f t="array" ref="BR215">_xll.DCEPropSectI(BF215, BH215, BG215, BI215, BG215, BI215, "rx")/10</f>
        <v>11.847052463297633</v>
      </c>
      <c r="BS215" s="77" cm="1">
        <f t="array" ref="BS215">_xll.DCEPropSectI(BF215, BH215, BG215, BI215, BG215, BI215, "ry")/10</f>
        <v>5.3836052600564113</v>
      </c>
      <c r="BT215" s="5">
        <f t="shared" si="37"/>
        <v>49.227434571321723</v>
      </c>
      <c r="BU215" s="5">
        <f t="shared" si="38"/>
        <v>108.32889333975595</v>
      </c>
      <c r="BV215" s="5">
        <f t="shared" si="39"/>
        <v>108.32889333975595</v>
      </c>
      <c r="BW215" s="71">
        <f t="shared" si="40"/>
        <v>200</v>
      </c>
      <c r="BX215" s="78" cm="1">
        <f t="array" ref="BX215">IF(BM215&gt;0,1,_xll.DCETCVN5575FactorPhi7121(BV215*SQRT($K$17/206000),"b"))</f>
        <v>0.51518827926471056</v>
      </c>
      <c r="BY215" s="64">
        <f t="shared" si="41"/>
        <v>3.2804491391857482E-2</v>
      </c>
      <c r="BZ215" s="3" t="str">
        <f t="shared" si="42"/>
        <v>OK</v>
      </c>
    </row>
    <row r="216" spans="1:78">
      <c r="A216" s="76"/>
      <c r="B216" s="76"/>
      <c r="C216" s="125"/>
      <c r="D216" s="125"/>
      <c r="E216" s="71"/>
      <c r="F216" s="71"/>
      <c r="G216" s="71"/>
      <c r="H216" s="126"/>
      <c r="I216" s="125"/>
      <c r="J216" s="123"/>
      <c r="K216" s="12"/>
      <c r="L216" s="117"/>
      <c r="M216" s="12"/>
      <c r="N216" s="117"/>
      <c r="O216" s="117"/>
      <c r="P216" s="117"/>
      <c r="Q216" s="118"/>
      <c r="R216" s="118"/>
      <c r="S216" s="118"/>
      <c r="T216" s="12"/>
      <c r="U216" s="118"/>
      <c r="V216" s="118"/>
      <c r="W216" s="12"/>
      <c r="X216" s="119"/>
      <c r="Y216" s="120"/>
      <c r="Z216" s="12"/>
      <c r="BA216" s="70" t="s">
        <v>205</v>
      </c>
      <c r="BB216" s="71" t="s">
        <v>209</v>
      </c>
      <c r="BC216" s="71" t="s">
        <v>207</v>
      </c>
      <c r="BD216" s="71">
        <v>4.8600000000000003</v>
      </c>
      <c r="BE216" s="71">
        <v>6.48</v>
      </c>
      <c r="BF216" s="71">
        <v>268</v>
      </c>
      <c r="BG216" s="71">
        <v>212</v>
      </c>
      <c r="BH216" s="71">
        <v>5</v>
      </c>
      <c r="BI216" s="71">
        <v>10</v>
      </c>
      <c r="BJ216" s="12" t="str" cm="1">
        <f t="array" ref="BJ216">_xll.Dce_Name_SectI(BF216, BF216, BG216, BH216, BI216, "x", "-", $AX$11)</f>
        <v>268x212x5x10</v>
      </c>
      <c r="BK216" s="77" cm="1">
        <f t="array" ref="BK216">_xll.DCEPropSectI(BF216, BH216, BG216, BI216, BG216, BI216, "A")/100</f>
        <v>54.8</v>
      </c>
      <c r="BL216" s="70" t="s">
        <v>219</v>
      </c>
      <c r="BM216" s="70">
        <v>-19.790486801159606</v>
      </c>
      <c r="BN216" s="71">
        <v>0.9</v>
      </c>
      <c r="BO216" s="77">
        <f t="shared" si="35"/>
        <v>5.8320000000000007</v>
      </c>
      <c r="BP216" s="71">
        <v>0.9</v>
      </c>
      <c r="BQ216" s="77">
        <f t="shared" si="36"/>
        <v>5.8320000000000007</v>
      </c>
      <c r="BR216" s="77" cm="1">
        <f t="array" ref="BR216">_xll.DCEPropSectI(BF216, BH216, BG216, BI216, BG216, BI216, "rx")/10</f>
        <v>11.847052463297633</v>
      </c>
      <c r="BS216" s="77" cm="1">
        <f t="array" ref="BS216">_xll.DCEPropSectI(BF216, BH216, BG216, BI216, BG216, BI216, "ry")/10</f>
        <v>5.3836052600564113</v>
      </c>
      <c r="BT216" s="5">
        <f t="shared" si="37"/>
        <v>49.227434571321723</v>
      </c>
      <c r="BU216" s="5">
        <f t="shared" si="38"/>
        <v>108.32889333975595</v>
      </c>
      <c r="BV216" s="5">
        <f t="shared" si="39"/>
        <v>108.32889333975595</v>
      </c>
      <c r="BW216" s="71">
        <f t="shared" si="40"/>
        <v>200</v>
      </c>
      <c r="BX216" s="78" cm="1">
        <f t="array" ref="BX216">IF(BM216&gt;0,1,_xll.DCETCVN5575FactorPhi7121(BV216*SQRT($K$17/206000),"b"))</f>
        <v>0.51518827926471056</v>
      </c>
      <c r="BY216" s="64">
        <f t="shared" si="41"/>
        <v>3.3380331833855803E-2</v>
      </c>
      <c r="BZ216" s="3" t="str">
        <f t="shared" si="42"/>
        <v>OK</v>
      </c>
    </row>
    <row r="217" spans="1:78">
      <c r="A217" s="76"/>
      <c r="B217" s="76"/>
      <c r="C217" s="125"/>
      <c r="D217" s="125"/>
      <c r="E217" s="71"/>
      <c r="F217" s="71"/>
      <c r="G217" s="71"/>
      <c r="H217" s="126"/>
      <c r="I217" s="125"/>
      <c r="J217" s="123"/>
      <c r="K217" s="12"/>
      <c r="L217" s="117"/>
      <c r="M217" s="12"/>
      <c r="N217" s="117"/>
      <c r="O217" s="117"/>
      <c r="P217" s="117"/>
      <c r="Q217" s="118"/>
      <c r="R217" s="118"/>
      <c r="S217" s="118"/>
      <c r="T217" s="12"/>
      <c r="U217" s="118"/>
      <c r="V217" s="118"/>
      <c r="W217" s="12"/>
      <c r="X217" s="119"/>
      <c r="Y217" s="120"/>
      <c r="Z217" s="12"/>
      <c r="BA217" s="70" t="s">
        <v>205</v>
      </c>
      <c r="BB217" s="71" t="s">
        <v>209</v>
      </c>
      <c r="BC217" s="71" t="s">
        <v>207</v>
      </c>
      <c r="BD217" s="71">
        <v>5.67</v>
      </c>
      <c r="BE217" s="71">
        <v>6.48</v>
      </c>
      <c r="BF217" s="71">
        <v>268</v>
      </c>
      <c r="BG217" s="71">
        <v>212</v>
      </c>
      <c r="BH217" s="71">
        <v>5</v>
      </c>
      <c r="BI217" s="71">
        <v>10</v>
      </c>
      <c r="BJ217" s="12" t="str" cm="1">
        <f t="array" ref="BJ217">_xll.Dce_Name_SectI(BF217, BF217, BG217, BH217, BI217, "x", "-", $AX$11)</f>
        <v>268x212x5x10</v>
      </c>
      <c r="BK217" s="77" cm="1">
        <f t="array" ref="BK217">_xll.DCEPropSectI(BF217, BH217, BG217, BI217, BG217, BI217, "A")/100</f>
        <v>54.8</v>
      </c>
      <c r="BL217" s="70" t="s">
        <v>219</v>
      </c>
      <c r="BM217" s="70">
        <v>-20.131890317567528</v>
      </c>
      <c r="BN217" s="71">
        <v>0.9</v>
      </c>
      <c r="BO217" s="77">
        <f t="shared" si="35"/>
        <v>5.8320000000000007</v>
      </c>
      <c r="BP217" s="71">
        <v>0.9</v>
      </c>
      <c r="BQ217" s="77">
        <f t="shared" si="36"/>
        <v>5.8320000000000007</v>
      </c>
      <c r="BR217" s="77" cm="1">
        <f t="array" ref="BR217">_xll.DCEPropSectI(BF217, BH217, BG217, BI217, BG217, BI217, "rx")/10</f>
        <v>11.847052463297633</v>
      </c>
      <c r="BS217" s="77" cm="1">
        <f t="array" ref="BS217">_xll.DCEPropSectI(BF217, BH217, BG217, BI217, BG217, BI217, "ry")/10</f>
        <v>5.3836052600564113</v>
      </c>
      <c r="BT217" s="5">
        <f t="shared" si="37"/>
        <v>49.227434571321723</v>
      </c>
      <c r="BU217" s="5">
        <f t="shared" si="38"/>
        <v>108.32889333975595</v>
      </c>
      <c r="BV217" s="5">
        <f t="shared" si="39"/>
        <v>108.32889333975595</v>
      </c>
      <c r="BW217" s="71">
        <f t="shared" si="40"/>
        <v>200</v>
      </c>
      <c r="BX217" s="78" cm="1">
        <f t="array" ref="BX217">IF(BM217&gt;0,1,_xll.DCETCVN5575FactorPhi7121(BV217*SQRT($K$17/206000),"b"))</f>
        <v>0.51518827926471056</v>
      </c>
      <c r="BY217" s="64">
        <f t="shared" si="41"/>
        <v>3.3956172275854124E-2</v>
      </c>
      <c r="BZ217" s="3" t="str">
        <f t="shared" si="42"/>
        <v>OK</v>
      </c>
    </row>
    <row r="218" spans="1:78">
      <c r="A218" s="76"/>
      <c r="B218" s="76"/>
      <c r="C218" s="125"/>
      <c r="D218" s="125"/>
      <c r="E218" s="71"/>
      <c r="F218" s="71"/>
      <c r="G218" s="71"/>
      <c r="H218" s="126"/>
      <c r="I218" s="125"/>
      <c r="J218" s="123"/>
      <c r="K218" s="12"/>
      <c r="L218" s="117"/>
      <c r="M218" s="12"/>
      <c r="N218" s="117"/>
      <c r="O218" s="117"/>
      <c r="P218" s="117"/>
      <c r="Q218" s="118"/>
      <c r="R218" s="118"/>
      <c r="S218" s="118"/>
      <c r="T218" s="12"/>
      <c r="U218" s="118"/>
      <c r="V218" s="118"/>
      <c r="W218" s="12"/>
      <c r="X218" s="119"/>
      <c r="Y218" s="120"/>
      <c r="Z218" s="12"/>
      <c r="BA218" s="70" t="s">
        <v>205</v>
      </c>
      <c r="BB218" s="71" t="s">
        <v>209</v>
      </c>
      <c r="BC218" s="71" t="s">
        <v>207</v>
      </c>
      <c r="BD218" s="71">
        <v>6.48</v>
      </c>
      <c r="BE218" s="71">
        <v>6.48</v>
      </c>
      <c r="BF218" s="71">
        <v>268</v>
      </c>
      <c r="BG218" s="71">
        <v>212</v>
      </c>
      <c r="BH218" s="71">
        <v>5</v>
      </c>
      <c r="BI218" s="71">
        <v>10</v>
      </c>
      <c r="BJ218" s="12" t="str" cm="1">
        <f t="array" ref="BJ218">_xll.Dce_Name_SectI(BF218, BF218, BG218, BH218, BI218, "x", "-", $AX$11)</f>
        <v>268x212x5x10</v>
      </c>
      <c r="BK218" s="77" cm="1">
        <f t="array" ref="BK218">_xll.DCEPropSectI(BF218, BH218, BG218, BI218, BG218, BI218, "A")/100</f>
        <v>54.8</v>
      </c>
      <c r="BL218" s="70" t="s">
        <v>219</v>
      </c>
      <c r="BM218" s="70">
        <v>-20.47329383397545</v>
      </c>
      <c r="BN218" s="71">
        <v>0.9</v>
      </c>
      <c r="BO218" s="77">
        <f t="shared" si="35"/>
        <v>5.8320000000000007</v>
      </c>
      <c r="BP218" s="71">
        <v>0.9</v>
      </c>
      <c r="BQ218" s="77">
        <f t="shared" si="36"/>
        <v>5.8320000000000007</v>
      </c>
      <c r="BR218" s="77" cm="1">
        <f t="array" ref="BR218">_xll.DCEPropSectI(BF218, BH218, BG218, BI218, BG218, BI218, "rx")/10</f>
        <v>11.847052463297633</v>
      </c>
      <c r="BS218" s="77" cm="1">
        <f t="array" ref="BS218">_xll.DCEPropSectI(BF218, BH218, BG218, BI218, BG218, BI218, "ry")/10</f>
        <v>5.3836052600564113</v>
      </c>
      <c r="BT218" s="5">
        <f t="shared" si="37"/>
        <v>49.227434571321723</v>
      </c>
      <c r="BU218" s="5">
        <f t="shared" si="38"/>
        <v>108.32889333975595</v>
      </c>
      <c r="BV218" s="5">
        <f t="shared" si="39"/>
        <v>108.32889333975595</v>
      </c>
      <c r="BW218" s="71">
        <f t="shared" si="40"/>
        <v>200</v>
      </c>
      <c r="BX218" s="78" cm="1">
        <f t="array" ref="BX218">IF(BM218&gt;0,1,_xll.DCETCVN5575FactorPhi7121(BV218*SQRT($K$17/206000),"b"))</f>
        <v>0.51518827926471056</v>
      </c>
      <c r="BY218" s="64">
        <f t="shared" si="41"/>
        <v>3.4532012717852445E-2</v>
      </c>
      <c r="BZ218" s="3" t="str">
        <f t="shared" si="42"/>
        <v>OK</v>
      </c>
    </row>
    <row r="219" spans="1:78">
      <c r="A219" s="76"/>
      <c r="B219" s="76"/>
      <c r="C219" s="125"/>
      <c r="D219" s="125"/>
      <c r="E219" s="71"/>
      <c r="F219" s="71"/>
      <c r="G219" s="71"/>
      <c r="H219" s="126"/>
      <c r="I219" s="125"/>
      <c r="J219" s="123"/>
      <c r="K219" s="12"/>
      <c r="L219" s="117"/>
      <c r="M219" s="12"/>
      <c r="N219" s="117"/>
      <c r="O219" s="117"/>
      <c r="P219" s="117"/>
      <c r="Q219" s="118"/>
      <c r="R219" s="118"/>
      <c r="S219" s="118"/>
      <c r="T219" s="12"/>
      <c r="U219" s="118"/>
      <c r="V219" s="118"/>
      <c r="W219" s="12"/>
      <c r="X219" s="119"/>
      <c r="Y219" s="120"/>
      <c r="Z219" s="12"/>
      <c r="BA219" s="70" t="s">
        <v>205</v>
      </c>
      <c r="BB219" s="71" t="s">
        <v>209</v>
      </c>
      <c r="BC219" s="71" t="s">
        <v>207</v>
      </c>
      <c r="BD219" s="71">
        <v>0</v>
      </c>
      <c r="BE219" s="71">
        <v>6.48</v>
      </c>
      <c r="BF219" s="71">
        <v>268</v>
      </c>
      <c r="BG219" s="71">
        <v>212</v>
      </c>
      <c r="BH219" s="71">
        <v>5</v>
      </c>
      <c r="BI219" s="71">
        <v>10</v>
      </c>
      <c r="BJ219" s="12" t="str" cm="1">
        <f t="array" ref="BJ219">_xll.Dce_Name_SectI(BF219, BF219, BG219, BH219, BI219, "x", "-", $AX$11)</f>
        <v>268x212x5x10</v>
      </c>
      <c r="BK219" s="77" cm="1">
        <f t="array" ref="BK219">_xll.DCEPropSectI(BF219, BH219, BG219, BI219, BG219, BI219, "A")/100</f>
        <v>54.8</v>
      </c>
      <c r="BL219" s="70" t="s">
        <v>220</v>
      </c>
      <c r="BM219" s="70">
        <v>-37.290595184060635</v>
      </c>
      <c r="BN219" s="71">
        <v>0.9</v>
      </c>
      <c r="BO219" s="77">
        <f t="shared" si="35"/>
        <v>5.8320000000000007</v>
      </c>
      <c r="BP219" s="71">
        <v>0.9</v>
      </c>
      <c r="BQ219" s="77">
        <f t="shared" si="36"/>
        <v>5.8320000000000007</v>
      </c>
      <c r="BR219" s="77" cm="1">
        <f t="array" ref="BR219">_xll.DCEPropSectI(BF219, BH219, BG219, BI219, BG219, BI219, "rx")/10</f>
        <v>11.847052463297633</v>
      </c>
      <c r="BS219" s="77" cm="1">
        <f t="array" ref="BS219">_xll.DCEPropSectI(BF219, BH219, BG219, BI219, BG219, BI219, "ry")/10</f>
        <v>5.3836052600564113</v>
      </c>
      <c r="BT219" s="5">
        <f t="shared" si="37"/>
        <v>49.227434571321723</v>
      </c>
      <c r="BU219" s="5">
        <f t="shared" si="38"/>
        <v>108.32889333975595</v>
      </c>
      <c r="BV219" s="5">
        <f t="shared" si="39"/>
        <v>108.32889333975595</v>
      </c>
      <c r="BW219" s="71">
        <f t="shared" si="40"/>
        <v>200</v>
      </c>
      <c r="BX219" s="78" cm="1">
        <f t="array" ref="BX219">IF(BM219&gt;0,1,_xll.DCETCVN5575FactorPhi7121(BV219*SQRT($K$17/206000),"b"))</f>
        <v>0.51518827926471056</v>
      </c>
      <c r="BY219" s="64">
        <f t="shared" si="41"/>
        <v>6.2897515055212933E-2</v>
      </c>
      <c r="BZ219" s="3" t="str">
        <f t="shared" si="42"/>
        <v>OK</v>
      </c>
    </row>
    <row r="220" spans="1:78">
      <c r="A220" s="76"/>
      <c r="B220" s="76"/>
      <c r="C220" s="125"/>
      <c r="D220" s="125"/>
      <c r="E220" s="71"/>
      <c r="F220" s="71"/>
      <c r="G220" s="71"/>
      <c r="H220" s="126"/>
      <c r="I220" s="125"/>
      <c r="J220" s="123"/>
      <c r="K220" s="12"/>
      <c r="L220" s="117"/>
      <c r="M220" s="12"/>
      <c r="N220" s="117"/>
      <c r="O220" s="117"/>
      <c r="P220" s="117"/>
      <c r="Q220" s="118"/>
      <c r="R220" s="118"/>
      <c r="S220" s="118"/>
      <c r="T220" s="12"/>
      <c r="U220" s="118"/>
      <c r="V220" s="118"/>
      <c r="W220" s="12"/>
      <c r="X220" s="119"/>
      <c r="Y220" s="120"/>
      <c r="Z220" s="12"/>
      <c r="BA220" s="70" t="s">
        <v>205</v>
      </c>
      <c r="BB220" s="71" t="s">
        <v>209</v>
      </c>
      <c r="BC220" s="71" t="s">
        <v>207</v>
      </c>
      <c r="BD220" s="71">
        <v>0.81</v>
      </c>
      <c r="BE220" s="71">
        <v>6.48</v>
      </c>
      <c r="BF220" s="71">
        <v>268</v>
      </c>
      <c r="BG220" s="71">
        <v>212</v>
      </c>
      <c r="BH220" s="71">
        <v>5</v>
      </c>
      <c r="BI220" s="71">
        <v>10</v>
      </c>
      <c r="BJ220" s="12" t="str" cm="1">
        <f t="array" ref="BJ220">_xll.Dce_Name_SectI(BF220, BF220, BG220, BH220, BI220, "x", "-", $AX$11)</f>
        <v>268x212x5x10</v>
      </c>
      <c r="BK220" s="77" cm="1">
        <f t="array" ref="BK220">_xll.DCEPropSectI(BF220, BH220, BG220, BI220, BG220, BI220, "A")/100</f>
        <v>54.8</v>
      </c>
      <c r="BL220" s="70" t="s">
        <v>220</v>
      </c>
      <c r="BM220" s="70">
        <v>-37.631998700468557</v>
      </c>
      <c r="BN220" s="71">
        <v>0.9</v>
      </c>
      <c r="BO220" s="77">
        <f t="shared" si="35"/>
        <v>5.8320000000000007</v>
      </c>
      <c r="BP220" s="71">
        <v>0.9</v>
      </c>
      <c r="BQ220" s="77">
        <f t="shared" si="36"/>
        <v>5.8320000000000007</v>
      </c>
      <c r="BR220" s="77" cm="1">
        <f t="array" ref="BR220">_xll.DCEPropSectI(BF220, BH220, BG220, BI220, BG220, BI220, "rx")/10</f>
        <v>11.847052463297633</v>
      </c>
      <c r="BS220" s="77" cm="1">
        <f t="array" ref="BS220">_xll.DCEPropSectI(BF220, BH220, BG220, BI220, BG220, BI220, "ry")/10</f>
        <v>5.3836052600564113</v>
      </c>
      <c r="BT220" s="5">
        <f t="shared" si="37"/>
        <v>49.227434571321723</v>
      </c>
      <c r="BU220" s="5">
        <f t="shared" si="38"/>
        <v>108.32889333975595</v>
      </c>
      <c r="BV220" s="5">
        <f t="shared" si="39"/>
        <v>108.32889333975595</v>
      </c>
      <c r="BW220" s="71">
        <f t="shared" si="40"/>
        <v>200</v>
      </c>
      <c r="BX220" s="78" cm="1">
        <f t="array" ref="BX220">IF(BM220&gt;0,1,_xll.DCETCVN5575FactorPhi7121(BV220*SQRT($K$17/206000),"b"))</f>
        <v>0.51518827926471056</v>
      </c>
      <c r="BY220" s="64">
        <f t="shared" si="41"/>
        <v>6.3473355497211253E-2</v>
      </c>
      <c r="BZ220" s="3" t="str">
        <f t="shared" si="42"/>
        <v>OK</v>
      </c>
    </row>
    <row r="221" spans="1:78">
      <c r="A221" s="76"/>
      <c r="B221" s="76"/>
      <c r="C221" s="125"/>
      <c r="D221" s="125"/>
      <c r="E221" s="71"/>
      <c r="F221" s="71"/>
      <c r="G221" s="71"/>
      <c r="H221" s="126"/>
      <c r="I221" s="125"/>
      <c r="J221" s="123"/>
      <c r="K221" s="12"/>
      <c r="L221" s="117"/>
      <c r="M221" s="12"/>
      <c r="N221" s="117"/>
      <c r="O221" s="117"/>
      <c r="P221" s="117"/>
      <c r="Q221" s="118"/>
      <c r="R221" s="118"/>
      <c r="S221" s="118"/>
      <c r="T221" s="12"/>
      <c r="U221" s="118"/>
      <c r="V221" s="118"/>
      <c r="W221" s="12"/>
      <c r="X221" s="119"/>
      <c r="Y221" s="120"/>
      <c r="Z221" s="12"/>
      <c r="BA221" s="70" t="s">
        <v>205</v>
      </c>
      <c r="BB221" s="71" t="s">
        <v>209</v>
      </c>
      <c r="BC221" s="71" t="s">
        <v>207</v>
      </c>
      <c r="BD221" s="71">
        <v>1.62</v>
      </c>
      <c r="BE221" s="71">
        <v>6.48</v>
      </c>
      <c r="BF221" s="71">
        <v>268</v>
      </c>
      <c r="BG221" s="71">
        <v>212</v>
      </c>
      <c r="BH221" s="71">
        <v>5</v>
      </c>
      <c r="BI221" s="71">
        <v>10</v>
      </c>
      <c r="BJ221" s="12" t="str" cm="1">
        <f t="array" ref="BJ221">_xll.Dce_Name_SectI(BF221, BF221, BG221, BH221, BI221, "x", "-", $AX$11)</f>
        <v>268x212x5x10</v>
      </c>
      <c r="BK221" s="77" cm="1">
        <f t="array" ref="BK221">_xll.DCEPropSectI(BF221, BH221, BG221, BI221, BG221, BI221, "A")/100</f>
        <v>54.8</v>
      </c>
      <c r="BL221" s="70" t="s">
        <v>220</v>
      </c>
      <c r="BM221" s="70">
        <v>-37.97340221687648</v>
      </c>
      <c r="BN221" s="71">
        <v>0.9</v>
      </c>
      <c r="BO221" s="77">
        <f t="shared" si="35"/>
        <v>5.8320000000000007</v>
      </c>
      <c r="BP221" s="71">
        <v>0.9</v>
      </c>
      <c r="BQ221" s="77">
        <f t="shared" si="36"/>
        <v>5.8320000000000007</v>
      </c>
      <c r="BR221" s="77" cm="1">
        <f t="array" ref="BR221">_xll.DCEPropSectI(BF221, BH221, BG221, BI221, BG221, BI221, "rx")/10</f>
        <v>11.847052463297633</v>
      </c>
      <c r="BS221" s="77" cm="1">
        <f t="array" ref="BS221">_xll.DCEPropSectI(BF221, BH221, BG221, BI221, BG221, BI221, "ry")/10</f>
        <v>5.3836052600564113</v>
      </c>
      <c r="BT221" s="5">
        <f t="shared" si="37"/>
        <v>49.227434571321723</v>
      </c>
      <c r="BU221" s="5">
        <f t="shared" si="38"/>
        <v>108.32889333975595</v>
      </c>
      <c r="BV221" s="5">
        <f t="shared" si="39"/>
        <v>108.32889333975595</v>
      </c>
      <c r="BW221" s="71">
        <f t="shared" si="40"/>
        <v>200</v>
      </c>
      <c r="BX221" s="78" cm="1">
        <f t="array" ref="BX221">IF(BM221&gt;0,1,_xll.DCETCVN5575FactorPhi7121(BV221*SQRT($K$17/206000),"b"))</f>
        <v>0.51518827926471056</v>
      </c>
      <c r="BY221" s="64">
        <f t="shared" si="41"/>
        <v>6.4049195939209574E-2</v>
      </c>
      <c r="BZ221" s="3" t="str">
        <f t="shared" si="42"/>
        <v>OK</v>
      </c>
    </row>
    <row r="222" spans="1:78">
      <c r="A222" s="76"/>
      <c r="B222" s="76"/>
      <c r="C222" s="125"/>
      <c r="D222" s="125"/>
      <c r="E222" s="71"/>
      <c r="F222" s="71"/>
      <c r="G222" s="71"/>
      <c r="H222" s="126"/>
      <c r="I222" s="125"/>
      <c r="J222" s="123"/>
      <c r="K222" s="12"/>
      <c r="L222" s="117"/>
      <c r="M222" s="12"/>
      <c r="N222" s="117"/>
      <c r="O222" s="117"/>
      <c r="P222" s="117"/>
      <c r="Q222" s="118"/>
      <c r="R222" s="118"/>
      <c r="S222" s="118"/>
      <c r="T222" s="12"/>
      <c r="U222" s="118"/>
      <c r="V222" s="118"/>
      <c r="W222" s="12"/>
      <c r="X222" s="119"/>
      <c r="Y222" s="120"/>
      <c r="Z222" s="12"/>
      <c r="BA222" s="70" t="s">
        <v>205</v>
      </c>
      <c r="BB222" s="71" t="s">
        <v>209</v>
      </c>
      <c r="BC222" s="71" t="s">
        <v>207</v>
      </c>
      <c r="BD222" s="71">
        <v>2.4300000000000002</v>
      </c>
      <c r="BE222" s="71">
        <v>6.48</v>
      </c>
      <c r="BF222" s="71">
        <v>268</v>
      </c>
      <c r="BG222" s="71">
        <v>212</v>
      </c>
      <c r="BH222" s="71">
        <v>5</v>
      </c>
      <c r="BI222" s="71">
        <v>10</v>
      </c>
      <c r="BJ222" s="12" t="str" cm="1">
        <f t="array" ref="BJ222">_xll.Dce_Name_SectI(BF222, BF222, BG222, BH222, BI222, "x", "-", $AX$11)</f>
        <v>268x212x5x10</v>
      </c>
      <c r="BK222" s="77" cm="1">
        <f t="array" ref="BK222">_xll.DCEPropSectI(BF222, BH222, BG222, BI222, BG222, BI222, "A")/100</f>
        <v>54.8</v>
      </c>
      <c r="BL222" s="70" t="s">
        <v>220</v>
      </c>
      <c r="BM222" s="70">
        <v>-38.314805733284402</v>
      </c>
      <c r="BN222" s="71">
        <v>0.9</v>
      </c>
      <c r="BO222" s="77">
        <f t="shared" si="35"/>
        <v>5.8320000000000007</v>
      </c>
      <c r="BP222" s="71">
        <v>0.9</v>
      </c>
      <c r="BQ222" s="77">
        <f t="shared" si="36"/>
        <v>5.8320000000000007</v>
      </c>
      <c r="BR222" s="77" cm="1">
        <f t="array" ref="BR222">_xll.DCEPropSectI(BF222, BH222, BG222, BI222, BG222, BI222, "rx")/10</f>
        <v>11.847052463297633</v>
      </c>
      <c r="BS222" s="77" cm="1">
        <f t="array" ref="BS222">_xll.DCEPropSectI(BF222, BH222, BG222, BI222, BG222, BI222, "ry")/10</f>
        <v>5.3836052600564113</v>
      </c>
      <c r="BT222" s="5">
        <f t="shared" si="37"/>
        <v>49.227434571321723</v>
      </c>
      <c r="BU222" s="5">
        <f t="shared" si="38"/>
        <v>108.32889333975595</v>
      </c>
      <c r="BV222" s="5">
        <f t="shared" si="39"/>
        <v>108.32889333975595</v>
      </c>
      <c r="BW222" s="71">
        <f t="shared" si="40"/>
        <v>200</v>
      </c>
      <c r="BX222" s="78" cm="1">
        <f t="array" ref="BX222">IF(BM222&gt;0,1,_xll.DCETCVN5575FactorPhi7121(BV222*SQRT($K$17/206000),"b"))</f>
        <v>0.51518827926471056</v>
      </c>
      <c r="BY222" s="64">
        <f t="shared" si="41"/>
        <v>6.4625036381207895E-2</v>
      </c>
      <c r="BZ222" s="3" t="str">
        <f t="shared" si="42"/>
        <v>OK</v>
      </c>
    </row>
    <row r="223" spans="1:78">
      <c r="A223" s="76"/>
      <c r="B223" s="76"/>
      <c r="C223" s="125"/>
      <c r="D223" s="125"/>
      <c r="E223" s="71"/>
      <c r="F223" s="71"/>
      <c r="G223" s="71"/>
      <c r="H223" s="126"/>
      <c r="I223" s="125"/>
      <c r="J223" s="123"/>
      <c r="K223" s="12"/>
      <c r="L223" s="117"/>
      <c r="M223" s="12"/>
      <c r="N223" s="117"/>
      <c r="O223" s="117"/>
      <c r="P223" s="117"/>
      <c r="Q223" s="118"/>
      <c r="R223" s="118"/>
      <c r="S223" s="118"/>
      <c r="T223" s="12"/>
      <c r="U223" s="118"/>
      <c r="V223" s="118"/>
      <c r="W223" s="12"/>
      <c r="X223" s="119"/>
      <c r="Y223" s="120"/>
      <c r="Z223" s="12"/>
      <c r="BA223" s="70" t="s">
        <v>205</v>
      </c>
      <c r="BB223" s="71" t="s">
        <v>209</v>
      </c>
      <c r="BC223" s="71" t="s">
        <v>207</v>
      </c>
      <c r="BD223" s="71">
        <v>3.24</v>
      </c>
      <c r="BE223" s="71">
        <v>6.48</v>
      </c>
      <c r="BF223" s="71">
        <v>268</v>
      </c>
      <c r="BG223" s="71">
        <v>212</v>
      </c>
      <c r="BH223" s="71">
        <v>5</v>
      </c>
      <c r="BI223" s="71">
        <v>10</v>
      </c>
      <c r="BJ223" s="12" t="str" cm="1">
        <f t="array" ref="BJ223">_xll.Dce_Name_SectI(BF223, BF223, BG223, BH223, BI223, "x", "-", $AX$11)</f>
        <v>268x212x5x10</v>
      </c>
      <c r="BK223" s="77" cm="1">
        <f t="array" ref="BK223">_xll.DCEPropSectI(BF223, BH223, BG223, BI223, BG223, BI223, "A")/100</f>
        <v>54.8</v>
      </c>
      <c r="BL223" s="70" t="s">
        <v>220</v>
      </c>
      <c r="BM223" s="70">
        <v>-38.656209249692324</v>
      </c>
      <c r="BN223" s="71">
        <v>0.9</v>
      </c>
      <c r="BO223" s="77">
        <f t="shared" si="35"/>
        <v>5.8320000000000007</v>
      </c>
      <c r="BP223" s="71">
        <v>0.9</v>
      </c>
      <c r="BQ223" s="77">
        <f t="shared" si="36"/>
        <v>5.8320000000000007</v>
      </c>
      <c r="BR223" s="77" cm="1">
        <f t="array" ref="BR223">_xll.DCEPropSectI(BF223, BH223, BG223, BI223, BG223, BI223, "rx")/10</f>
        <v>11.847052463297633</v>
      </c>
      <c r="BS223" s="77" cm="1">
        <f t="array" ref="BS223">_xll.DCEPropSectI(BF223, BH223, BG223, BI223, BG223, BI223, "ry")/10</f>
        <v>5.3836052600564113</v>
      </c>
      <c r="BT223" s="5">
        <f t="shared" si="37"/>
        <v>49.227434571321723</v>
      </c>
      <c r="BU223" s="5">
        <f t="shared" si="38"/>
        <v>108.32889333975595</v>
      </c>
      <c r="BV223" s="5">
        <f t="shared" si="39"/>
        <v>108.32889333975595</v>
      </c>
      <c r="BW223" s="71">
        <f t="shared" si="40"/>
        <v>200</v>
      </c>
      <c r="BX223" s="78" cm="1">
        <f t="array" ref="BX223">IF(BM223&gt;0,1,_xll.DCETCVN5575FactorPhi7121(BV223*SQRT($K$17/206000),"b"))</f>
        <v>0.51518827926471056</v>
      </c>
      <c r="BY223" s="64">
        <f t="shared" si="41"/>
        <v>6.5200876823206216E-2</v>
      </c>
      <c r="BZ223" s="3" t="str">
        <f t="shared" si="42"/>
        <v>OK</v>
      </c>
    </row>
    <row r="224" spans="1:78">
      <c r="A224" s="76"/>
      <c r="B224" s="76"/>
      <c r="C224" s="125"/>
      <c r="D224" s="125"/>
      <c r="E224" s="71"/>
      <c r="F224" s="71"/>
      <c r="G224" s="71"/>
      <c r="H224" s="126"/>
      <c r="I224" s="125"/>
      <c r="J224" s="123"/>
      <c r="K224" s="12"/>
      <c r="L224" s="117"/>
      <c r="M224" s="12"/>
      <c r="N224" s="117"/>
      <c r="O224" s="117"/>
      <c r="P224" s="117"/>
      <c r="Q224" s="118"/>
      <c r="R224" s="118"/>
      <c r="S224" s="118"/>
      <c r="T224" s="12"/>
      <c r="U224" s="118"/>
      <c r="V224" s="118"/>
      <c r="W224" s="12"/>
      <c r="X224" s="119"/>
      <c r="Y224" s="120"/>
      <c r="Z224" s="12"/>
      <c r="BA224" s="70" t="s">
        <v>205</v>
      </c>
      <c r="BB224" s="71" t="s">
        <v>209</v>
      </c>
      <c r="BC224" s="71" t="s">
        <v>207</v>
      </c>
      <c r="BD224" s="71">
        <v>4.05</v>
      </c>
      <c r="BE224" s="71">
        <v>6.48</v>
      </c>
      <c r="BF224" s="71">
        <v>268</v>
      </c>
      <c r="BG224" s="71">
        <v>212</v>
      </c>
      <c r="BH224" s="71">
        <v>5</v>
      </c>
      <c r="BI224" s="71">
        <v>10</v>
      </c>
      <c r="BJ224" s="12" t="str" cm="1">
        <f t="array" ref="BJ224">_xll.Dce_Name_SectI(BF224, BF224, BG224, BH224, BI224, "x", "-", $AX$11)</f>
        <v>268x212x5x10</v>
      </c>
      <c r="BK224" s="77" cm="1">
        <f t="array" ref="BK224">_xll.DCEPropSectI(BF224, BH224, BG224, BI224, BG224, BI224, "A")/100</f>
        <v>54.8</v>
      </c>
      <c r="BL224" s="70" t="s">
        <v>220</v>
      </c>
      <c r="BM224" s="70">
        <v>-38.997612766100247</v>
      </c>
      <c r="BN224" s="71">
        <v>0.9</v>
      </c>
      <c r="BO224" s="77">
        <f t="shared" si="35"/>
        <v>5.8320000000000007</v>
      </c>
      <c r="BP224" s="71">
        <v>0.9</v>
      </c>
      <c r="BQ224" s="77">
        <f t="shared" si="36"/>
        <v>5.8320000000000007</v>
      </c>
      <c r="BR224" s="77" cm="1">
        <f t="array" ref="BR224">_xll.DCEPropSectI(BF224, BH224, BG224, BI224, BG224, BI224, "rx")/10</f>
        <v>11.847052463297633</v>
      </c>
      <c r="BS224" s="77" cm="1">
        <f t="array" ref="BS224">_xll.DCEPropSectI(BF224, BH224, BG224, BI224, BG224, BI224, "ry")/10</f>
        <v>5.3836052600564113</v>
      </c>
      <c r="BT224" s="5">
        <f t="shared" si="37"/>
        <v>49.227434571321723</v>
      </c>
      <c r="BU224" s="5">
        <f t="shared" si="38"/>
        <v>108.32889333975595</v>
      </c>
      <c r="BV224" s="5">
        <f t="shared" si="39"/>
        <v>108.32889333975595</v>
      </c>
      <c r="BW224" s="71">
        <f t="shared" si="40"/>
        <v>200</v>
      </c>
      <c r="BX224" s="78" cm="1">
        <f t="array" ref="BX224">IF(BM224&gt;0,1,_xll.DCETCVN5575FactorPhi7121(BV224*SQRT($K$17/206000),"b"))</f>
        <v>0.51518827926471056</v>
      </c>
      <c r="BY224" s="64">
        <f t="shared" si="41"/>
        <v>6.5776717265204537E-2</v>
      </c>
      <c r="BZ224" s="3" t="str">
        <f t="shared" si="42"/>
        <v>OK</v>
      </c>
    </row>
    <row r="225" spans="1:78">
      <c r="A225" s="76"/>
      <c r="B225" s="76"/>
      <c r="C225" s="125"/>
      <c r="D225" s="125"/>
      <c r="E225" s="71"/>
      <c r="F225" s="71"/>
      <c r="G225" s="71"/>
      <c r="H225" s="126"/>
      <c r="I225" s="125"/>
      <c r="J225" s="123"/>
      <c r="K225" s="12"/>
      <c r="L225" s="117"/>
      <c r="M225" s="12"/>
      <c r="N225" s="117"/>
      <c r="O225" s="117"/>
      <c r="P225" s="117"/>
      <c r="Q225" s="118"/>
      <c r="R225" s="118"/>
      <c r="S225" s="118"/>
      <c r="T225" s="12"/>
      <c r="U225" s="118"/>
      <c r="V225" s="118"/>
      <c r="W225" s="12"/>
      <c r="X225" s="119"/>
      <c r="Y225" s="120"/>
      <c r="Z225" s="12"/>
      <c r="BA225" s="70" t="s">
        <v>205</v>
      </c>
      <c r="BB225" s="71" t="s">
        <v>209</v>
      </c>
      <c r="BC225" s="71" t="s">
        <v>207</v>
      </c>
      <c r="BD225" s="71">
        <v>4.8600000000000003</v>
      </c>
      <c r="BE225" s="71">
        <v>6.48</v>
      </c>
      <c r="BF225" s="71">
        <v>268</v>
      </c>
      <c r="BG225" s="71">
        <v>212</v>
      </c>
      <c r="BH225" s="71">
        <v>5</v>
      </c>
      <c r="BI225" s="71">
        <v>10</v>
      </c>
      <c r="BJ225" s="12" t="str" cm="1">
        <f t="array" ref="BJ225">_xll.Dce_Name_SectI(BF225, BF225, BG225, BH225, BI225, "x", "-", $AX$11)</f>
        <v>268x212x5x10</v>
      </c>
      <c r="BK225" s="77" cm="1">
        <f t="array" ref="BK225">_xll.DCEPropSectI(BF225, BH225, BG225, BI225, BG225, BI225, "A")/100</f>
        <v>54.8</v>
      </c>
      <c r="BL225" s="70" t="s">
        <v>220</v>
      </c>
      <c r="BM225" s="70">
        <v>-39.339016282508169</v>
      </c>
      <c r="BN225" s="71">
        <v>0.9</v>
      </c>
      <c r="BO225" s="77">
        <f t="shared" si="35"/>
        <v>5.8320000000000007</v>
      </c>
      <c r="BP225" s="71">
        <v>0.9</v>
      </c>
      <c r="BQ225" s="77">
        <f t="shared" si="36"/>
        <v>5.8320000000000007</v>
      </c>
      <c r="BR225" s="77" cm="1">
        <f t="array" ref="BR225">_xll.DCEPropSectI(BF225, BH225, BG225, BI225, BG225, BI225, "rx")/10</f>
        <v>11.847052463297633</v>
      </c>
      <c r="BS225" s="77" cm="1">
        <f t="array" ref="BS225">_xll.DCEPropSectI(BF225, BH225, BG225, BI225, BG225, BI225, "ry")/10</f>
        <v>5.3836052600564113</v>
      </c>
      <c r="BT225" s="5">
        <f t="shared" si="37"/>
        <v>49.227434571321723</v>
      </c>
      <c r="BU225" s="5">
        <f t="shared" si="38"/>
        <v>108.32889333975595</v>
      </c>
      <c r="BV225" s="5">
        <f t="shared" si="39"/>
        <v>108.32889333975595</v>
      </c>
      <c r="BW225" s="71">
        <f t="shared" si="40"/>
        <v>200</v>
      </c>
      <c r="BX225" s="78" cm="1">
        <f t="array" ref="BX225">IF(BM225&gt;0,1,_xll.DCETCVN5575FactorPhi7121(BV225*SQRT($K$17/206000),"b"))</f>
        <v>0.51518827926471056</v>
      </c>
      <c r="BY225" s="64">
        <f t="shared" si="41"/>
        <v>6.6352557707202858E-2</v>
      </c>
      <c r="BZ225" s="3" t="str">
        <f t="shared" si="42"/>
        <v>OK</v>
      </c>
    </row>
    <row r="226" spans="1:78">
      <c r="A226" s="76"/>
      <c r="B226" s="76"/>
      <c r="C226" s="125"/>
      <c r="D226" s="125"/>
      <c r="E226" s="71"/>
      <c r="F226" s="71"/>
      <c r="G226" s="71"/>
      <c r="H226" s="126"/>
      <c r="I226" s="125"/>
      <c r="J226" s="123"/>
      <c r="K226" s="12"/>
      <c r="L226" s="117"/>
      <c r="M226" s="12"/>
      <c r="N226" s="117"/>
      <c r="O226" s="117"/>
      <c r="P226" s="117"/>
      <c r="Q226" s="118"/>
      <c r="R226" s="118"/>
      <c r="S226" s="118"/>
      <c r="T226" s="12"/>
      <c r="U226" s="118"/>
      <c r="V226" s="118"/>
      <c r="W226" s="12"/>
      <c r="X226" s="119"/>
      <c r="Y226" s="120"/>
      <c r="Z226" s="12"/>
      <c r="BA226" s="70" t="s">
        <v>205</v>
      </c>
      <c r="BB226" s="71" t="s">
        <v>209</v>
      </c>
      <c r="BC226" s="71" t="s">
        <v>207</v>
      </c>
      <c r="BD226" s="71">
        <v>5.67</v>
      </c>
      <c r="BE226" s="71">
        <v>6.48</v>
      </c>
      <c r="BF226" s="71">
        <v>268</v>
      </c>
      <c r="BG226" s="71">
        <v>212</v>
      </c>
      <c r="BH226" s="71">
        <v>5</v>
      </c>
      <c r="BI226" s="71">
        <v>10</v>
      </c>
      <c r="BJ226" s="12" t="str" cm="1">
        <f t="array" ref="BJ226">_xll.Dce_Name_SectI(BF226, BF226, BG226, BH226, BI226, "x", "-", $AX$11)</f>
        <v>268x212x5x10</v>
      </c>
      <c r="BK226" s="77" cm="1">
        <f t="array" ref="BK226">_xll.DCEPropSectI(BF226, BH226, BG226, BI226, BG226, BI226, "A")/100</f>
        <v>54.8</v>
      </c>
      <c r="BL226" s="70" t="s">
        <v>220</v>
      </c>
      <c r="BM226" s="70">
        <v>-39.680419798916091</v>
      </c>
      <c r="BN226" s="71">
        <v>0.9</v>
      </c>
      <c r="BO226" s="77">
        <f t="shared" si="35"/>
        <v>5.8320000000000007</v>
      </c>
      <c r="BP226" s="71">
        <v>0.9</v>
      </c>
      <c r="BQ226" s="77">
        <f t="shared" si="36"/>
        <v>5.8320000000000007</v>
      </c>
      <c r="BR226" s="77" cm="1">
        <f t="array" ref="BR226">_xll.DCEPropSectI(BF226, BH226, BG226, BI226, BG226, BI226, "rx")/10</f>
        <v>11.847052463297633</v>
      </c>
      <c r="BS226" s="77" cm="1">
        <f t="array" ref="BS226">_xll.DCEPropSectI(BF226, BH226, BG226, BI226, BG226, BI226, "ry")/10</f>
        <v>5.3836052600564113</v>
      </c>
      <c r="BT226" s="5">
        <f t="shared" si="37"/>
        <v>49.227434571321723</v>
      </c>
      <c r="BU226" s="5">
        <f t="shared" si="38"/>
        <v>108.32889333975595</v>
      </c>
      <c r="BV226" s="5">
        <f t="shared" si="39"/>
        <v>108.32889333975595</v>
      </c>
      <c r="BW226" s="71">
        <f t="shared" si="40"/>
        <v>200</v>
      </c>
      <c r="BX226" s="78" cm="1">
        <f t="array" ref="BX226">IF(BM226&gt;0,1,_xll.DCETCVN5575FactorPhi7121(BV226*SQRT($K$17/206000),"b"))</f>
        <v>0.51518827926471056</v>
      </c>
      <c r="BY226" s="64">
        <f t="shared" si="41"/>
        <v>6.6928398149201179E-2</v>
      </c>
      <c r="BZ226" s="3" t="str">
        <f t="shared" si="42"/>
        <v>OK</v>
      </c>
    </row>
    <row r="227" spans="1:78">
      <c r="A227" s="76"/>
      <c r="B227" s="76"/>
      <c r="C227" s="125"/>
      <c r="D227" s="125"/>
      <c r="E227" s="71"/>
      <c r="F227" s="71"/>
      <c r="G227" s="71"/>
      <c r="H227" s="126"/>
      <c r="I227" s="125"/>
      <c r="J227" s="123"/>
      <c r="K227" s="12"/>
      <c r="L227" s="117"/>
      <c r="M227" s="12"/>
      <c r="N227" s="117"/>
      <c r="O227" s="117"/>
      <c r="P227" s="117"/>
      <c r="Q227" s="118"/>
      <c r="R227" s="118"/>
      <c r="S227" s="118"/>
      <c r="T227" s="12"/>
      <c r="U227" s="118"/>
      <c r="V227" s="118"/>
      <c r="W227" s="12"/>
      <c r="X227" s="119"/>
      <c r="Y227" s="120"/>
      <c r="Z227" s="12"/>
      <c r="BA227" s="70" t="s">
        <v>205</v>
      </c>
      <c r="BB227" s="71" t="s">
        <v>209</v>
      </c>
      <c r="BC227" s="71" t="s">
        <v>207</v>
      </c>
      <c r="BD227" s="71">
        <v>6.48</v>
      </c>
      <c r="BE227" s="71">
        <v>6.48</v>
      </c>
      <c r="BF227" s="71">
        <v>268</v>
      </c>
      <c r="BG227" s="71">
        <v>212</v>
      </c>
      <c r="BH227" s="71">
        <v>5</v>
      </c>
      <c r="BI227" s="71">
        <v>10</v>
      </c>
      <c r="BJ227" s="12" t="str" cm="1">
        <f t="array" ref="BJ227">_xll.Dce_Name_SectI(BF227, BF227, BG227, BH227, BI227, "x", "-", $AX$11)</f>
        <v>268x212x5x10</v>
      </c>
      <c r="BK227" s="77" cm="1">
        <f t="array" ref="BK227">_xll.DCEPropSectI(BF227, BH227, BG227, BI227, BG227, BI227, "A")/100</f>
        <v>54.8</v>
      </c>
      <c r="BL227" s="70" t="s">
        <v>220</v>
      </c>
      <c r="BM227" s="70">
        <v>-40.021823315324013</v>
      </c>
      <c r="BN227" s="71">
        <v>0.9</v>
      </c>
      <c r="BO227" s="77">
        <f t="shared" si="35"/>
        <v>5.8320000000000007</v>
      </c>
      <c r="BP227" s="71">
        <v>0.9</v>
      </c>
      <c r="BQ227" s="77">
        <f t="shared" si="36"/>
        <v>5.8320000000000007</v>
      </c>
      <c r="BR227" s="77" cm="1">
        <f t="array" ref="BR227">_xll.DCEPropSectI(BF227, BH227, BG227, BI227, BG227, BI227, "rx")/10</f>
        <v>11.847052463297633</v>
      </c>
      <c r="BS227" s="77" cm="1">
        <f t="array" ref="BS227">_xll.DCEPropSectI(BF227, BH227, BG227, BI227, BG227, BI227, "ry")/10</f>
        <v>5.3836052600564113</v>
      </c>
      <c r="BT227" s="5">
        <f t="shared" si="37"/>
        <v>49.227434571321723</v>
      </c>
      <c r="BU227" s="5">
        <f t="shared" si="38"/>
        <v>108.32889333975595</v>
      </c>
      <c r="BV227" s="5">
        <f t="shared" si="39"/>
        <v>108.32889333975595</v>
      </c>
      <c r="BW227" s="71">
        <f t="shared" si="40"/>
        <v>200</v>
      </c>
      <c r="BX227" s="78" cm="1">
        <f t="array" ref="BX227">IF(BM227&gt;0,1,_xll.DCETCVN5575FactorPhi7121(BV227*SQRT($K$17/206000),"b"))</f>
        <v>0.51518827926471056</v>
      </c>
      <c r="BY227" s="64">
        <f t="shared" si="41"/>
        <v>6.75042385911995E-2</v>
      </c>
      <c r="BZ227" s="3" t="str">
        <f t="shared" si="42"/>
        <v>OK</v>
      </c>
    </row>
    <row r="228" spans="1:78">
      <c r="A228" s="76"/>
      <c r="B228" s="76"/>
      <c r="C228" s="125"/>
      <c r="D228" s="125"/>
      <c r="E228" s="71"/>
      <c r="F228" s="71"/>
      <c r="G228" s="71"/>
      <c r="H228" s="126"/>
      <c r="I228" s="125"/>
      <c r="J228" s="123"/>
      <c r="K228" s="12"/>
      <c r="L228" s="117"/>
      <c r="M228" s="12"/>
      <c r="N228" s="117"/>
      <c r="O228" s="117"/>
      <c r="P228" s="117"/>
      <c r="Q228" s="118"/>
      <c r="R228" s="118"/>
      <c r="S228" s="118"/>
      <c r="T228" s="12"/>
      <c r="U228" s="118"/>
      <c r="V228" s="118"/>
      <c r="W228" s="12"/>
      <c r="X228" s="119"/>
      <c r="Y228" s="120"/>
      <c r="Z228" s="12"/>
      <c r="BA228" s="70" t="s">
        <v>205</v>
      </c>
      <c r="BB228" s="71" t="s">
        <v>209</v>
      </c>
      <c r="BC228" s="71" t="s">
        <v>207</v>
      </c>
      <c r="BD228" s="71">
        <v>0</v>
      </c>
      <c r="BE228" s="71">
        <v>6.48</v>
      </c>
      <c r="BF228" s="71">
        <v>268</v>
      </c>
      <c r="BG228" s="71">
        <v>212</v>
      </c>
      <c r="BH228" s="71">
        <v>5</v>
      </c>
      <c r="BI228" s="71">
        <v>10</v>
      </c>
      <c r="BJ228" s="12" t="str" cm="1">
        <f t="array" ref="BJ228">_xll.Dce_Name_SectI(BF228, BF228, BG228, BH228, BI228, "x", "-", $AX$11)</f>
        <v>268x212x5x10</v>
      </c>
      <c r="BK228" s="77" cm="1">
        <f t="array" ref="BK228">_xll.DCEPropSectI(BF228, BH228, BG228, BI228, BG228, BI228, "A")/100</f>
        <v>54.8</v>
      </c>
      <c r="BL228" s="70" t="s">
        <v>221</v>
      </c>
      <c r="BM228" s="70">
        <v>-37.289303017312022</v>
      </c>
      <c r="BN228" s="71">
        <v>0.9</v>
      </c>
      <c r="BO228" s="77">
        <f t="shared" si="35"/>
        <v>5.8320000000000007</v>
      </c>
      <c r="BP228" s="71">
        <v>0.9</v>
      </c>
      <c r="BQ228" s="77">
        <f t="shared" si="36"/>
        <v>5.8320000000000007</v>
      </c>
      <c r="BR228" s="77" cm="1">
        <f t="array" ref="BR228">_xll.DCEPropSectI(BF228, BH228, BG228, BI228, BG228, BI228, "rx")/10</f>
        <v>11.847052463297633</v>
      </c>
      <c r="BS228" s="77" cm="1">
        <f t="array" ref="BS228">_xll.DCEPropSectI(BF228, BH228, BG228, BI228, BG228, BI228, "ry")/10</f>
        <v>5.3836052600564113</v>
      </c>
      <c r="BT228" s="5">
        <f t="shared" si="37"/>
        <v>49.227434571321723</v>
      </c>
      <c r="BU228" s="5">
        <f t="shared" si="38"/>
        <v>108.32889333975595</v>
      </c>
      <c r="BV228" s="5">
        <f t="shared" si="39"/>
        <v>108.32889333975595</v>
      </c>
      <c r="BW228" s="71">
        <f t="shared" si="40"/>
        <v>200</v>
      </c>
      <c r="BX228" s="78" cm="1">
        <f t="array" ref="BX228">IF(BM228&gt;0,1,_xll.DCETCVN5575FactorPhi7121(BV228*SQRT($K$17/206000),"b"))</f>
        <v>0.51518827926471056</v>
      </c>
      <c r="BY228" s="64">
        <f t="shared" si="41"/>
        <v>6.2895335575987046E-2</v>
      </c>
      <c r="BZ228" s="3" t="str">
        <f t="shared" si="42"/>
        <v>OK</v>
      </c>
    </row>
    <row r="229" spans="1:78">
      <c r="A229" s="76"/>
      <c r="B229" s="76"/>
      <c r="C229" s="125"/>
      <c r="D229" s="125"/>
      <c r="E229" s="71"/>
      <c r="F229" s="71"/>
      <c r="G229" s="71"/>
      <c r="H229" s="126"/>
      <c r="I229" s="125"/>
      <c r="J229" s="123"/>
      <c r="K229" s="12"/>
      <c r="L229" s="117"/>
      <c r="M229" s="12"/>
      <c r="N229" s="117"/>
      <c r="O229" s="117"/>
      <c r="P229" s="117"/>
      <c r="Q229" s="118"/>
      <c r="R229" s="118"/>
      <c r="S229" s="118"/>
      <c r="T229" s="12"/>
      <c r="U229" s="118"/>
      <c r="V229" s="118"/>
      <c r="W229" s="12"/>
      <c r="X229" s="119"/>
      <c r="Y229" s="120"/>
      <c r="Z229" s="12"/>
      <c r="BA229" s="70" t="s">
        <v>205</v>
      </c>
      <c r="BB229" s="71" t="s">
        <v>209</v>
      </c>
      <c r="BC229" s="71" t="s">
        <v>207</v>
      </c>
      <c r="BD229" s="71">
        <v>0.81</v>
      </c>
      <c r="BE229" s="71">
        <v>6.48</v>
      </c>
      <c r="BF229" s="71">
        <v>268</v>
      </c>
      <c r="BG229" s="71">
        <v>212</v>
      </c>
      <c r="BH229" s="71">
        <v>5</v>
      </c>
      <c r="BI229" s="71">
        <v>10</v>
      </c>
      <c r="BJ229" s="12" t="str" cm="1">
        <f t="array" ref="BJ229">_xll.Dce_Name_SectI(BF229, BF229, BG229, BH229, BI229, "x", "-", $AX$11)</f>
        <v>268x212x5x10</v>
      </c>
      <c r="BK229" s="77" cm="1">
        <f t="array" ref="BK229">_xll.DCEPropSectI(BF229, BH229, BG229, BI229, BG229, BI229, "A")/100</f>
        <v>54.8</v>
      </c>
      <c r="BL229" s="70" t="s">
        <v>221</v>
      </c>
      <c r="BM229" s="70">
        <v>-37.630706533719945</v>
      </c>
      <c r="BN229" s="71">
        <v>0.9</v>
      </c>
      <c r="BO229" s="77">
        <f t="shared" si="35"/>
        <v>5.8320000000000007</v>
      </c>
      <c r="BP229" s="71">
        <v>0.9</v>
      </c>
      <c r="BQ229" s="77">
        <f t="shared" si="36"/>
        <v>5.8320000000000007</v>
      </c>
      <c r="BR229" s="77" cm="1">
        <f t="array" ref="BR229">_xll.DCEPropSectI(BF229, BH229, BG229, BI229, BG229, BI229, "rx")/10</f>
        <v>11.847052463297633</v>
      </c>
      <c r="BS229" s="77" cm="1">
        <f t="array" ref="BS229">_xll.DCEPropSectI(BF229, BH229, BG229, BI229, BG229, BI229, "ry")/10</f>
        <v>5.3836052600564113</v>
      </c>
      <c r="BT229" s="5">
        <f t="shared" si="37"/>
        <v>49.227434571321723</v>
      </c>
      <c r="BU229" s="5">
        <f t="shared" si="38"/>
        <v>108.32889333975595</v>
      </c>
      <c r="BV229" s="5">
        <f t="shared" si="39"/>
        <v>108.32889333975595</v>
      </c>
      <c r="BW229" s="71">
        <f t="shared" si="40"/>
        <v>200</v>
      </c>
      <c r="BX229" s="78" cm="1">
        <f t="array" ref="BX229">IF(BM229&gt;0,1,_xll.DCETCVN5575FactorPhi7121(BV229*SQRT($K$17/206000),"b"))</f>
        <v>0.51518827926471056</v>
      </c>
      <c r="BY229" s="64">
        <f t="shared" si="41"/>
        <v>6.3471176017985367E-2</v>
      </c>
      <c r="BZ229" s="3" t="str">
        <f t="shared" si="42"/>
        <v>OK</v>
      </c>
    </row>
    <row r="230" spans="1:78">
      <c r="A230" s="76"/>
      <c r="B230" s="76"/>
      <c r="C230" s="125"/>
      <c r="D230" s="125"/>
      <c r="E230" s="71"/>
      <c r="F230" s="71"/>
      <c r="G230" s="71"/>
      <c r="H230" s="126"/>
      <c r="I230" s="125"/>
      <c r="J230" s="123"/>
      <c r="K230" s="12"/>
      <c r="L230" s="117"/>
      <c r="M230" s="12"/>
      <c r="N230" s="117"/>
      <c r="O230" s="117"/>
      <c r="P230" s="117"/>
      <c r="Q230" s="118"/>
      <c r="R230" s="118"/>
      <c r="S230" s="118"/>
      <c r="T230" s="12"/>
      <c r="U230" s="118"/>
      <c r="V230" s="118"/>
      <c r="W230" s="12"/>
      <c r="X230" s="119"/>
      <c r="Y230" s="120"/>
      <c r="Z230" s="12"/>
      <c r="BA230" s="70" t="s">
        <v>205</v>
      </c>
      <c r="BB230" s="71" t="s">
        <v>209</v>
      </c>
      <c r="BC230" s="71" t="s">
        <v>207</v>
      </c>
      <c r="BD230" s="71">
        <v>1.62</v>
      </c>
      <c r="BE230" s="71">
        <v>6.48</v>
      </c>
      <c r="BF230" s="71">
        <v>268</v>
      </c>
      <c r="BG230" s="71">
        <v>212</v>
      </c>
      <c r="BH230" s="71">
        <v>5</v>
      </c>
      <c r="BI230" s="71">
        <v>10</v>
      </c>
      <c r="BJ230" s="12" t="str" cm="1">
        <f t="array" ref="BJ230">_xll.Dce_Name_SectI(BF230, BF230, BG230, BH230, BI230, "x", "-", $AX$11)</f>
        <v>268x212x5x10</v>
      </c>
      <c r="BK230" s="77" cm="1">
        <f t="array" ref="BK230">_xll.DCEPropSectI(BF230, BH230, BG230, BI230, BG230, BI230, "A")/100</f>
        <v>54.8</v>
      </c>
      <c r="BL230" s="70" t="s">
        <v>221</v>
      </c>
      <c r="BM230" s="70">
        <v>-37.972110050127867</v>
      </c>
      <c r="BN230" s="71">
        <v>0.9</v>
      </c>
      <c r="BO230" s="77">
        <f t="shared" si="35"/>
        <v>5.8320000000000007</v>
      </c>
      <c r="BP230" s="71">
        <v>0.9</v>
      </c>
      <c r="BQ230" s="77">
        <f t="shared" si="36"/>
        <v>5.8320000000000007</v>
      </c>
      <c r="BR230" s="77" cm="1">
        <f t="array" ref="BR230">_xll.DCEPropSectI(BF230, BH230, BG230, BI230, BG230, BI230, "rx")/10</f>
        <v>11.847052463297633</v>
      </c>
      <c r="BS230" s="77" cm="1">
        <f t="array" ref="BS230">_xll.DCEPropSectI(BF230, BH230, BG230, BI230, BG230, BI230, "ry")/10</f>
        <v>5.3836052600564113</v>
      </c>
      <c r="BT230" s="5">
        <f t="shared" si="37"/>
        <v>49.227434571321723</v>
      </c>
      <c r="BU230" s="5">
        <f t="shared" si="38"/>
        <v>108.32889333975595</v>
      </c>
      <c r="BV230" s="5">
        <f t="shared" si="39"/>
        <v>108.32889333975595</v>
      </c>
      <c r="BW230" s="71">
        <f t="shared" si="40"/>
        <v>200</v>
      </c>
      <c r="BX230" s="78" cm="1">
        <f t="array" ref="BX230">IF(BM230&gt;0,1,_xll.DCETCVN5575FactorPhi7121(BV230*SQRT($K$17/206000),"b"))</f>
        <v>0.51518827926471056</v>
      </c>
      <c r="BY230" s="64">
        <f t="shared" si="41"/>
        <v>6.4047016459983674E-2</v>
      </c>
      <c r="BZ230" s="3" t="str">
        <f t="shared" si="42"/>
        <v>OK</v>
      </c>
    </row>
    <row r="231" spans="1:78">
      <c r="A231" s="76"/>
      <c r="B231" s="76"/>
      <c r="C231" s="125"/>
      <c r="D231" s="125"/>
      <c r="E231" s="71"/>
      <c r="F231" s="71"/>
      <c r="G231" s="71"/>
      <c r="H231" s="126"/>
      <c r="I231" s="125"/>
      <c r="J231" s="123"/>
      <c r="K231" s="12"/>
      <c r="L231" s="117"/>
      <c r="M231" s="12"/>
      <c r="N231" s="117"/>
      <c r="O231" s="117"/>
      <c r="P231" s="117"/>
      <c r="Q231" s="118"/>
      <c r="R231" s="118"/>
      <c r="S231" s="118"/>
      <c r="T231" s="12"/>
      <c r="U231" s="118"/>
      <c r="V231" s="118"/>
      <c r="W231" s="12"/>
      <c r="X231" s="119"/>
      <c r="Y231" s="120"/>
      <c r="Z231" s="12"/>
      <c r="BA231" s="70" t="s">
        <v>205</v>
      </c>
      <c r="BB231" s="71" t="s">
        <v>209</v>
      </c>
      <c r="BC231" s="71" t="s">
        <v>207</v>
      </c>
      <c r="BD231" s="71">
        <v>2.4300000000000002</v>
      </c>
      <c r="BE231" s="71">
        <v>6.48</v>
      </c>
      <c r="BF231" s="71">
        <v>268</v>
      </c>
      <c r="BG231" s="71">
        <v>212</v>
      </c>
      <c r="BH231" s="71">
        <v>5</v>
      </c>
      <c r="BI231" s="71">
        <v>10</v>
      </c>
      <c r="BJ231" s="12" t="str" cm="1">
        <f t="array" ref="BJ231">_xll.Dce_Name_SectI(BF231, BF231, BG231, BH231, BI231, "x", "-", $AX$11)</f>
        <v>268x212x5x10</v>
      </c>
      <c r="BK231" s="77" cm="1">
        <f t="array" ref="BK231">_xll.DCEPropSectI(BF231, BH231, BG231, BI231, BG231, BI231, "A")/100</f>
        <v>54.8</v>
      </c>
      <c r="BL231" s="70" t="s">
        <v>221</v>
      </c>
      <c r="BM231" s="70">
        <v>-38.313513566535789</v>
      </c>
      <c r="BN231" s="71">
        <v>0.9</v>
      </c>
      <c r="BO231" s="77">
        <f t="shared" si="35"/>
        <v>5.8320000000000007</v>
      </c>
      <c r="BP231" s="71">
        <v>0.9</v>
      </c>
      <c r="BQ231" s="77">
        <f t="shared" si="36"/>
        <v>5.8320000000000007</v>
      </c>
      <c r="BR231" s="77" cm="1">
        <f t="array" ref="BR231">_xll.DCEPropSectI(BF231, BH231, BG231, BI231, BG231, BI231, "rx")/10</f>
        <v>11.847052463297633</v>
      </c>
      <c r="BS231" s="77" cm="1">
        <f t="array" ref="BS231">_xll.DCEPropSectI(BF231, BH231, BG231, BI231, BG231, BI231, "ry")/10</f>
        <v>5.3836052600564113</v>
      </c>
      <c r="BT231" s="5">
        <f t="shared" si="37"/>
        <v>49.227434571321723</v>
      </c>
      <c r="BU231" s="5">
        <f t="shared" si="38"/>
        <v>108.32889333975595</v>
      </c>
      <c r="BV231" s="5">
        <f t="shared" si="39"/>
        <v>108.32889333975595</v>
      </c>
      <c r="BW231" s="71">
        <f t="shared" si="40"/>
        <v>200</v>
      </c>
      <c r="BX231" s="78" cm="1">
        <f t="array" ref="BX231">IF(BM231&gt;0,1,_xll.DCETCVN5575FactorPhi7121(BV231*SQRT($K$17/206000),"b"))</f>
        <v>0.51518827926471056</v>
      </c>
      <c r="BY231" s="64">
        <f t="shared" si="41"/>
        <v>6.4622856901982009E-2</v>
      </c>
      <c r="BZ231" s="3" t="str">
        <f t="shared" si="42"/>
        <v>OK</v>
      </c>
    </row>
    <row r="232" spans="1:78">
      <c r="A232" s="76"/>
      <c r="B232" s="76"/>
      <c r="C232" s="125"/>
      <c r="D232" s="125"/>
      <c r="E232" s="71"/>
      <c r="F232" s="71"/>
      <c r="G232" s="71"/>
      <c r="H232" s="126"/>
      <c r="I232" s="125"/>
      <c r="J232" s="123"/>
      <c r="K232" s="12"/>
      <c r="L232" s="117"/>
      <c r="M232" s="12"/>
      <c r="N232" s="117"/>
      <c r="O232" s="117"/>
      <c r="P232" s="117"/>
      <c r="Q232" s="118"/>
      <c r="R232" s="118"/>
      <c r="S232" s="118"/>
      <c r="T232" s="12"/>
      <c r="U232" s="118"/>
      <c r="V232" s="118"/>
      <c r="W232" s="12"/>
      <c r="X232" s="119"/>
      <c r="Y232" s="120"/>
      <c r="Z232" s="12"/>
      <c r="BA232" s="70" t="s">
        <v>205</v>
      </c>
      <c r="BB232" s="71" t="s">
        <v>209</v>
      </c>
      <c r="BC232" s="71" t="s">
        <v>207</v>
      </c>
      <c r="BD232" s="71">
        <v>3.24</v>
      </c>
      <c r="BE232" s="71">
        <v>6.48</v>
      </c>
      <c r="BF232" s="71">
        <v>268</v>
      </c>
      <c r="BG232" s="71">
        <v>212</v>
      </c>
      <c r="BH232" s="71">
        <v>5</v>
      </c>
      <c r="BI232" s="71">
        <v>10</v>
      </c>
      <c r="BJ232" s="12" t="str" cm="1">
        <f t="array" ref="BJ232">_xll.Dce_Name_SectI(BF232, BF232, BG232, BH232, BI232, "x", "-", $AX$11)</f>
        <v>268x212x5x10</v>
      </c>
      <c r="BK232" s="77" cm="1">
        <f t="array" ref="BK232">_xll.DCEPropSectI(BF232, BH232, BG232, BI232, BG232, BI232, "A")/100</f>
        <v>54.8</v>
      </c>
      <c r="BL232" s="70" t="s">
        <v>221</v>
      </c>
      <c r="BM232" s="70">
        <v>-38.654917082943712</v>
      </c>
      <c r="BN232" s="71">
        <v>0.9</v>
      </c>
      <c r="BO232" s="77">
        <f t="shared" si="35"/>
        <v>5.8320000000000007</v>
      </c>
      <c r="BP232" s="71">
        <v>0.9</v>
      </c>
      <c r="BQ232" s="77">
        <f t="shared" si="36"/>
        <v>5.8320000000000007</v>
      </c>
      <c r="BR232" s="77" cm="1">
        <f t="array" ref="BR232">_xll.DCEPropSectI(BF232, BH232, BG232, BI232, BG232, BI232, "rx")/10</f>
        <v>11.847052463297633</v>
      </c>
      <c r="BS232" s="77" cm="1">
        <f t="array" ref="BS232">_xll.DCEPropSectI(BF232, BH232, BG232, BI232, BG232, BI232, "ry")/10</f>
        <v>5.3836052600564113</v>
      </c>
      <c r="BT232" s="5">
        <f t="shared" si="37"/>
        <v>49.227434571321723</v>
      </c>
      <c r="BU232" s="5">
        <f t="shared" si="38"/>
        <v>108.32889333975595</v>
      </c>
      <c r="BV232" s="5">
        <f t="shared" si="39"/>
        <v>108.32889333975595</v>
      </c>
      <c r="BW232" s="71">
        <f t="shared" si="40"/>
        <v>200</v>
      </c>
      <c r="BX232" s="78" cm="1">
        <f t="array" ref="BX232">IF(BM232&gt;0,1,_xll.DCETCVN5575FactorPhi7121(BV232*SQRT($K$17/206000),"b"))</f>
        <v>0.51518827926471056</v>
      </c>
      <c r="BY232" s="64">
        <f t="shared" si="41"/>
        <v>6.519869734398033E-2</v>
      </c>
      <c r="BZ232" s="3" t="str">
        <f t="shared" si="42"/>
        <v>OK</v>
      </c>
    </row>
    <row r="233" spans="1:78">
      <c r="A233" s="76"/>
      <c r="B233" s="76"/>
      <c r="C233" s="125"/>
      <c r="D233" s="125"/>
      <c r="E233" s="71"/>
      <c r="F233" s="71"/>
      <c r="G233" s="71"/>
      <c r="H233" s="126"/>
      <c r="I233" s="125"/>
      <c r="J233" s="123"/>
      <c r="K233" s="12"/>
      <c r="L233" s="117"/>
      <c r="M233" s="12"/>
      <c r="N233" s="117"/>
      <c r="O233" s="117"/>
      <c r="P233" s="117"/>
      <c r="Q233" s="118"/>
      <c r="R233" s="118"/>
      <c r="S233" s="118"/>
      <c r="T233" s="12"/>
      <c r="U233" s="118"/>
      <c r="V233" s="118"/>
      <c r="W233" s="12"/>
      <c r="X233" s="119"/>
      <c r="Y233" s="120"/>
      <c r="Z233" s="12"/>
      <c r="BA233" s="70" t="s">
        <v>205</v>
      </c>
      <c r="BB233" s="71" t="s">
        <v>209</v>
      </c>
      <c r="BC233" s="71" t="s">
        <v>207</v>
      </c>
      <c r="BD233" s="71">
        <v>4.05</v>
      </c>
      <c r="BE233" s="71">
        <v>6.48</v>
      </c>
      <c r="BF233" s="71">
        <v>268</v>
      </c>
      <c r="BG233" s="71">
        <v>212</v>
      </c>
      <c r="BH233" s="71">
        <v>5</v>
      </c>
      <c r="BI233" s="71">
        <v>10</v>
      </c>
      <c r="BJ233" s="12" t="str" cm="1">
        <f t="array" ref="BJ233">_xll.Dce_Name_SectI(BF233, BF233, BG233, BH233, BI233, "x", "-", $AX$11)</f>
        <v>268x212x5x10</v>
      </c>
      <c r="BK233" s="77" cm="1">
        <f t="array" ref="BK233">_xll.DCEPropSectI(BF233, BH233, BG233, BI233, BG233, BI233, "A")/100</f>
        <v>54.8</v>
      </c>
      <c r="BL233" s="70" t="s">
        <v>221</v>
      </c>
      <c r="BM233" s="70">
        <v>-38.996320599351634</v>
      </c>
      <c r="BN233" s="71">
        <v>0.9</v>
      </c>
      <c r="BO233" s="77">
        <f t="shared" si="35"/>
        <v>5.8320000000000007</v>
      </c>
      <c r="BP233" s="71">
        <v>0.9</v>
      </c>
      <c r="BQ233" s="77">
        <f t="shared" si="36"/>
        <v>5.8320000000000007</v>
      </c>
      <c r="BR233" s="77" cm="1">
        <f t="array" ref="BR233">_xll.DCEPropSectI(BF233, BH233, BG233, BI233, BG233, BI233, "rx")/10</f>
        <v>11.847052463297633</v>
      </c>
      <c r="BS233" s="77" cm="1">
        <f t="array" ref="BS233">_xll.DCEPropSectI(BF233, BH233, BG233, BI233, BG233, BI233, "ry")/10</f>
        <v>5.3836052600564113</v>
      </c>
      <c r="BT233" s="5">
        <f t="shared" si="37"/>
        <v>49.227434571321723</v>
      </c>
      <c r="BU233" s="5">
        <f t="shared" si="38"/>
        <v>108.32889333975595</v>
      </c>
      <c r="BV233" s="5">
        <f t="shared" si="39"/>
        <v>108.32889333975595</v>
      </c>
      <c r="BW233" s="71">
        <f t="shared" si="40"/>
        <v>200</v>
      </c>
      <c r="BX233" s="78" cm="1">
        <f t="array" ref="BX233">IF(BM233&gt;0,1,_xll.DCETCVN5575FactorPhi7121(BV233*SQRT($K$17/206000),"b"))</f>
        <v>0.51518827926471056</v>
      </c>
      <c r="BY233" s="64">
        <f t="shared" si="41"/>
        <v>6.5774537785978651E-2</v>
      </c>
      <c r="BZ233" s="3" t="str">
        <f t="shared" si="42"/>
        <v>OK</v>
      </c>
    </row>
    <row r="234" spans="1:78">
      <c r="A234" s="76"/>
      <c r="B234" s="76"/>
      <c r="C234" s="125"/>
      <c r="D234" s="125"/>
      <c r="E234" s="71"/>
      <c r="F234" s="71"/>
      <c r="G234" s="71"/>
      <c r="H234" s="126"/>
      <c r="I234" s="125"/>
      <c r="J234" s="123"/>
      <c r="K234" s="12"/>
      <c r="L234" s="117"/>
      <c r="M234" s="12"/>
      <c r="N234" s="117"/>
      <c r="O234" s="117"/>
      <c r="P234" s="117"/>
      <c r="Q234" s="118"/>
      <c r="R234" s="118"/>
      <c r="S234" s="118"/>
      <c r="T234" s="12"/>
      <c r="U234" s="118"/>
      <c r="V234" s="118"/>
      <c r="W234" s="12"/>
      <c r="X234" s="119"/>
      <c r="Y234" s="120"/>
      <c r="Z234" s="12"/>
      <c r="BA234" s="70" t="s">
        <v>205</v>
      </c>
      <c r="BB234" s="71" t="s">
        <v>209</v>
      </c>
      <c r="BC234" s="71" t="s">
        <v>207</v>
      </c>
      <c r="BD234" s="71">
        <v>4.8600000000000003</v>
      </c>
      <c r="BE234" s="71">
        <v>6.48</v>
      </c>
      <c r="BF234" s="71">
        <v>268</v>
      </c>
      <c r="BG234" s="71">
        <v>212</v>
      </c>
      <c r="BH234" s="71">
        <v>5</v>
      </c>
      <c r="BI234" s="71">
        <v>10</v>
      </c>
      <c r="BJ234" s="12" t="str" cm="1">
        <f t="array" ref="BJ234">_xll.Dce_Name_SectI(BF234, BF234, BG234, BH234, BI234, "x", "-", $AX$11)</f>
        <v>268x212x5x10</v>
      </c>
      <c r="BK234" s="77" cm="1">
        <f t="array" ref="BK234">_xll.DCEPropSectI(BF234, BH234, BG234, BI234, BG234, BI234, "A")/100</f>
        <v>54.8</v>
      </c>
      <c r="BL234" s="70" t="s">
        <v>221</v>
      </c>
      <c r="BM234" s="70">
        <v>-39.337724115759556</v>
      </c>
      <c r="BN234" s="71">
        <v>0.9</v>
      </c>
      <c r="BO234" s="77">
        <f t="shared" si="35"/>
        <v>5.8320000000000007</v>
      </c>
      <c r="BP234" s="71">
        <v>0.9</v>
      </c>
      <c r="BQ234" s="77">
        <f t="shared" si="36"/>
        <v>5.8320000000000007</v>
      </c>
      <c r="BR234" s="77" cm="1">
        <f t="array" ref="BR234">_xll.DCEPropSectI(BF234, BH234, BG234, BI234, BG234, BI234, "rx")/10</f>
        <v>11.847052463297633</v>
      </c>
      <c r="BS234" s="77" cm="1">
        <f t="array" ref="BS234">_xll.DCEPropSectI(BF234, BH234, BG234, BI234, BG234, BI234, "ry")/10</f>
        <v>5.3836052600564113</v>
      </c>
      <c r="BT234" s="5">
        <f t="shared" si="37"/>
        <v>49.227434571321723</v>
      </c>
      <c r="BU234" s="5">
        <f t="shared" si="38"/>
        <v>108.32889333975595</v>
      </c>
      <c r="BV234" s="5">
        <f t="shared" si="39"/>
        <v>108.32889333975595</v>
      </c>
      <c r="BW234" s="71">
        <f t="shared" si="40"/>
        <v>200</v>
      </c>
      <c r="BX234" s="78" cm="1">
        <f t="array" ref="BX234">IF(BM234&gt;0,1,_xll.DCETCVN5575FactorPhi7121(BV234*SQRT($K$17/206000),"b"))</f>
        <v>0.51518827926471056</v>
      </c>
      <c r="BY234" s="64">
        <f t="shared" si="41"/>
        <v>6.6350378227976972E-2</v>
      </c>
      <c r="BZ234" s="3" t="str">
        <f t="shared" si="42"/>
        <v>OK</v>
      </c>
    </row>
    <row r="235" spans="1:78">
      <c r="A235" s="76"/>
      <c r="B235" s="76"/>
      <c r="C235" s="125"/>
      <c r="D235" s="125"/>
      <c r="E235" s="71"/>
      <c r="F235" s="71"/>
      <c r="G235" s="71"/>
      <c r="H235" s="126"/>
      <c r="I235" s="125"/>
      <c r="J235" s="123"/>
      <c r="K235" s="12"/>
      <c r="L235" s="117"/>
      <c r="M235" s="12"/>
      <c r="N235" s="117"/>
      <c r="O235" s="117"/>
      <c r="P235" s="117"/>
      <c r="Q235" s="118"/>
      <c r="R235" s="118"/>
      <c r="S235" s="118"/>
      <c r="T235" s="12"/>
      <c r="U235" s="118"/>
      <c r="V235" s="118"/>
      <c r="W235" s="12"/>
      <c r="X235" s="119"/>
      <c r="Y235" s="120"/>
      <c r="Z235" s="12"/>
      <c r="BA235" s="70" t="s">
        <v>205</v>
      </c>
      <c r="BB235" s="71" t="s">
        <v>209</v>
      </c>
      <c r="BC235" s="71" t="s">
        <v>207</v>
      </c>
      <c r="BD235" s="71">
        <v>5.67</v>
      </c>
      <c r="BE235" s="71">
        <v>6.48</v>
      </c>
      <c r="BF235" s="71">
        <v>268</v>
      </c>
      <c r="BG235" s="71">
        <v>212</v>
      </c>
      <c r="BH235" s="71">
        <v>5</v>
      </c>
      <c r="BI235" s="71">
        <v>10</v>
      </c>
      <c r="BJ235" s="12" t="str" cm="1">
        <f t="array" ref="BJ235">_xll.Dce_Name_SectI(BF235, BF235, BG235, BH235, BI235, "x", "-", $AX$11)</f>
        <v>268x212x5x10</v>
      </c>
      <c r="BK235" s="77" cm="1">
        <f t="array" ref="BK235">_xll.DCEPropSectI(BF235, BH235, BG235, BI235, BG235, BI235, "A")/100</f>
        <v>54.8</v>
      </c>
      <c r="BL235" s="70" t="s">
        <v>221</v>
      </c>
      <c r="BM235" s="70">
        <v>-39.679127632167479</v>
      </c>
      <c r="BN235" s="71">
        <v>0.9</v>
      </c>
      <c r="BO235" s="77">
        <f t="shared" si="35"/>
        <v>5.8320000000000007</v>
      </c>
      <c r="BP235" s="71">
        <v>0.9</v>
      </c>
      <c r="BQ235" s="77">
        <f t="shared" si="36"/>
        <v>5.8320000000000007</v>
      </c>
      <c r="BR235" s="77" cm="1">
        <f t="array" ref="BR235">_xll.DCEPropSectI(BF235, BH235, BG235, BI235, BG235, BI235, "rx")/10</f>
        <v>11.847052463297633</v>
      </c>
      <c r="BS235" s="77" cm="1">
        <f t="array" ref="BS235">_xll.DCEPropSectI(BF235, BH235, BG235, BI235, BG235, BI235, "ry")/10</f>
        <v>5.3836052600564113</v>
      </c>
      <c r="BT235" s="5">
        <f t="shared" si="37"/>
        <v>49.227434571321723</v>
      </c>
      <c r="BU235" s="5">
        <f t="shared" si="38"/>
        <v>108.32889333975595</v>
      </c>
      <c r="BV235" s="5">
        <f t="shared" si="39"/>
        <v>108.32889333975595</v>
      </c>
      <c r="BW235" s="71">
        <f t="shared" si="40"/>
        <v>200</v>
      </c>
      <c r="BX235" s="78" cm="1">
        <f t="array" ref="BX235">IF(BM235&gt;0,1,_xll.DCETCVN5575FactorPhi7121(BV235*SQRT($K$17/206000),"b"))</f>
        <v>0.51518827926471056</v>
      </c>
      <c r="BY235" s="64">
        <f t="shared" si="41"/>
        <v>6.6926218669975279E-2</v>
      </c>
      <c r="BZ235" s="3" t="str">
        <f t="shared" si="42"/>
        <v>OK</v>
      </c>
    </row>
    <row r="236" spans="1:78">
      <c r="A236" s="76"/>
      <c r="B236" s="76"/>
      <c r="C236" s="125"/>
      <c r="D236" s="125"/>
      <c r="E236" s="71"/>
      <c r="F236" s="71"/>
      <c r="G236" s="71"/>
      <c r="H236" s="126"/>
      <c r="I236" s="125"/>
      <c r="J236" s="123"/>
      <c r="K236" s="12"/>
      <c r="L236" s="117"/>
      <c r="M236" s="12"/>
      <c r="N236" s="117"/>
      <c r="O236" s="117"/>
      <c r="P236" s="117"/>
      <c r="Q236" s="118"/>
      <c r="R236" s="118"/>
      <c r="S236" s="118"/>
      <c r="T236" s="12"/>
      <c r="U236" s="118"/>
      <c r="V236" s="118"/>
      <c r="W236" s="12"/>
      <c r="X236" s="119"/>
      <c r="Y236" s="120"/>
      <c r="Z236" s="12"/>
      <c r="BA236" s="70" t="s">
        <v>205</v>
      </c>
      <c r="BB236" s="71" t="s">
        <v>209</v>
      </c>
      <c r="BC236" s="71" t="s">
        <v>207</v>
      </c>
      <c r="BD236" s="71">
        <v>6.48</v>
      </c>
      <c r="BE236" s="71">
        <v>6.48</v>
      </c>
      <c r="BF236" s="71">
        <v>268</v>
      </c>
      <c r="BG236" s="71">
        <v>212</v>
      </c>
      <c r="BH236" s="71">
        <v>5</v>
      </c>
      <c r="BI236" s="71">
        <v>10</v>
      </c>
      <c r="BJ236" s="12" t="str" cm="1">
        <f t="array" ref="BJ236">_xll.Dce_Name_SectI(BF236, BF236, BG236, BH236, BI236, "x", "-", $AX$11)</f>
        <v>268x212x5x10</v>
      </c>
      <c r="BK236" s="77" cm="1">
        <f t="array" ref="BK236">_xll.DCEPropSectI(BF236, BH236, BG236, BI236, BG236, BI236, "A")/100</f>
        <v>54.8</v>
      </c>
      <c r="BL236" s="70" t="s">
        <v>221</v>
      </c>
      <c r="BM236" s="70">
        <v>-40.020531148575401</v>
      </c>
      <c r="BN236" s="71">
        <v>0.9</v>
      </c>
      <c r="BO236" s="77">
        <f t="shared" si="35"/>
        <v>5.8320000000000007</v>
      </c>
      <c r="BP236" s="71">
        <v>0.9</v>
      </c>
      <c r="BQ236" s="77">
        <f t="shared" si="36"/>
        <v>5.8320000000000007</v>
      </c>
      <c r="BR236" s="77" cm="1">
        <f t="array" ref="BR236">_xll.DCEPropSectI(BF236, BH236, BG236, BI236, BG236, BI236, "rx")/10</f>
        <v>11.847052463297633</v>
      </c>
      <c r="BS236" s="77" cm="1">
        <f t="array" ref="BS236">_xll.DCEPropSectI(BF236, BH236, BG236, BI236, BG236, BI236, "ry")/10</f>
        <v>5.3836052600564113</v>
      </c>
      <c r="BT236" s="5">
        <f t="shared" si="37"/>
        <v>49.227434571321723</v>
      </c>
      <c r="BU236" s="5">
        <f t="shared" si="38"/>
        <v>108.32889333975595</v>
      </c>
      <c r="BV236" s="5">
        <f t="shared" si="39"/>
        <v>108.32889333975595</v>
      </c>
      <c r="BW236" s="71">
        <f t="shared" si="40"/>
        <v>200</v>
      </c>
      <c r="BX236" s="78" cm="1">
        <f t="array" ref="BX236">IF(BM236&gt;0,1,_xll.DCETCVN5575FactorPhi7121(BV236*SQRT($K$17/206000),"b"))</f>
        <v>0.51518827926471056</v>
      </c>
      <c r="BY236" s="64">
        <f t="shared" si="41"/>
        <v>6.7502059111973614E-2</v>
      </c>
      <c r="BZ236" s="3" t="str">
        <f t="shared" si="42"/>
        <v>OK</v>
      </c>
    </row>
    <row r="237" spans="1:78">
      <c r="A237" s="76"/>
      <c r="B237" s="76"/>
      <c r="C237" s="125"/>
      <c r="D237" s="125"/>
      <c r="E237" s="71"/>
      <c r="F237" s="71"/>
      <c r="G237" s="71"/>
      <c r="H237" s="126"/>
      <c r="I237" s="125"/>
      <c r="J237" s="123"/>
      <c r="K237" s="12"/>
      <c r="L237" s="117"/>
      <c r="M237" s="12"/>
      <c r="N237" s="117"/>
      <c r="O237" s="117"/>
      <c r="P237" s="117"/>
      <c r="Q237" s="118"/>
      <c r="R237" s="118"/>
      <c r="S237" s="118"/>
      <c r="T237" s="12"/>
      <c r="U237" s="118"/>
      <c r="V237" s="118"/>
      <c r="W237" s="12"/>
      <c r="X237" s="119"/>
      <c r="Y237" s="120"/>
      <c r="Z237" s="12"/>
      <c r="BA237" s="70" t="s">
        <v>205</v>
      </c>
      <c r="BB237" s="71" t="s">
        <v>209</v>
      </c>
      <c r="BC237" s="71" t="s">
        <v>207</v>
      </c>
      <c r="BD237" s="71">
        <v>0</v>
      </c>
      <c r="BE237" s="71">
        <v>6.48</v>
      </c>
      <c r="BF237" s="71">
        <v>268</v>
      </c>
      <c r="BG237" s="71">
        <v>212</v>
      </c>
      <c r="BH237" s="71">
        <v>5</v>
      </c>
      <c r="BI237" s="71">
        <v>10</v>
      </c>
      <c r="BJ237" s="12" t="str" cm="1">
        <f t="array" ref="BJ237">_xll.Dce_Name_SectI(BF237, BF237, BG237, BH237, BI237, "x", "-", $AX$11)</f>
        <v>268x212x5x10</v>
      </c>
      <c r="BK237" s="77" cm="1">
        <f t="array" ref="BK237">_xll.DCEPropSectI(BF237, BH237, BG237, BI237, BG237, BI237, "A")/100</f>
        <v>54.8</v>
      </c>
      <c r="BL237" s="70" t="s">
        <v>222</v>
      </c>
      <c r="BM237" s="70">
        <v>-38.732942286275602</v>
      </c>
      <c r="BN237" s="71">
        <v>0.9</v>
      </c>
      <c r="BO237" s="77">
        <f t="shared" si="35"/>
        <v>5.8320000000000007</v>
      </c>
      <c r="BP237" s="71">
        <v>0.9</v>
      </c>
      <c r="BQ237" s="77">
        <f t="shared" si="36"/>
        <v>5.8320000000000007</v>
      </c>
      <c r="BR237" s="77" cm="1">
        <f t="array" ref="BR237">_xll.DCEPropSectI(BF237, BH237, BG237, BI237, BG237, BI237, "rx")/10</f>
        <v>11.847052463297633</v>
      </c>
      <c r="BS237" s="77" cm="1">
        <f t="array" ref="BS237">_xll.DCEPropSectI(BF237, BH237, BG237, BI237, BG237, BI237, "ry")/10</f>
        <v>5.3836052600564113</v>
      </c>
      <c r="BT237" s="5">
        <f t="shared" si="37"/>
        <v>49.227434571321723</v>
      </c>
      <c r="BU237" s="5">
        <f t="shared" si="38"/>
        <v>108.32889333975595</v>
      </c>
      <c r="BV237" s="5">
        <f t="shared" si="39"/>
        <v>108.32889333975595</v>
      </c>
      <c r="BW237" s="71">
        <f t="shared" si="40"/>
        <v>200</v>
      </c>
      <c r="BX237" s="78" cm="1">
        <f t="array" ref="BX237">IF(BM237&gt;0,1,_xll.DCETCVN5575FactorPhi7121(BV237*SQRT($K$17/206000),"b"))</f>
        <v>0.51518827926471056</v>
      </c>
      <c r="BY237" s="64">
        <f t="shared" si="41"/>
        <v>6.533030134163792E-2</v>
      </c>
      <c r="BZ237" s="3" t="str">
        <f t="shared" si="42"/>
        <v>OK</v>
      </c>
    </row>
    <row r="238" spans="1:78">
      <c r="A238" s="76"/>
      <c r="B238" s="76"/>
      <c r="C238" s="125"/>
      <c r="D238" s="125"/>
      <c r="E238" s="71"/>
      <c r="F238" s="71"/>
      <c r="G238" s="71"/>
      <c r="H238" s="126"/>
      <c r="I238" s="125"/>
      <c r="J238" s="123"/>
      <c r="K238" s="12"/>
      <c r="L238" s="117"/>
      <c r="M238" s="12"/>
      <c r="N238" s="117"/>
      <c r="O238" s="117"/>
      <c r="P238" s="117"/>
      <c r="Q238" s="118"/>
      <c r="R238" s="118"/>
      <c r="S238" s="118"/>
      <c r="T238" s="12"/>
      <c r="U238" s="118"/>
      <c r="V238" s="118"/>
      <c r="W238" s="12"/>
      <c r="X238" s="119"/>
      <c r="Y238" s="120"/>
      <c r="Z238" s="12"/>
      <c r="BA238" s="70" t="s">
        <v>205</v>
      </c>
      <c r="BB238" s="71" t="s">
        <v>209</v>
      </c>
      <c r="BC238" s="71" t="s">
        <v>207</v>
      </c>
      <c r="BD238" s="71">
        <v>0.81</v>
      </c>
      <c r="BE238" s="71">
        <v>6.48</v>
      </c>
      <c r="BF238" s="71">
        <v>268</v>
      </c>
      <c r="BG238" s="71">
        <v>212</v>
      </c>
      <c r="BH238" s="71">
        <v>5</v>
      </c>
      <c r="BI238" s="71">
        <v>10</v>
      </c>
      <c r="BJ238" s="12" t="str" cm="1">
        <f t="array" ref="BJ238">_xll.Dce_Name_SectI(BF238, BF238, BG238, BH238, BI238, "x", "-", $AX$11)</f>
        <v>268x212x5x10</v>
      </c>
      <c r="BK238" s="77" cm="1">
        <f t="array" ref="BK238">_xll.DCEPropSectI(BF238, BH238, BG238, BI238, BG238, BI238, "A")/100</f>
        <v>54.8</v>
      </c>
      <c r="BL238" s="70" t="s">
        <v>222</v>
      </c>
      <c r="BM238" s="70">
        <v>-39.074345802683524</v>
      </c>
      <c r="BN238" s="71">
        <v>0.9</v>
      </c>
      <c r="BO238" s="77">
        <f t="shared" si="35"/>
        <v>5.8320000000000007</v>
      </c>
      <c r="BP238" s="71">
        <v>0.9</v>
      </c>
      <c r="BQ238" s="77">
        <f t="shared" si="36"/>
        <v>5.8320000000000007</v>
      </c>
      <c r="BR238" s="77" cm="1">
        <f t="array" ref="BR238">_xll.DCEPropSectI(BF238, BH238, BG238, BI238, BG238, BI238, "rx")/10</f>
        <v>11.847052463297633</v>
      </c>
      <c r="BS238" s="77" cm="1">
        <f t="array" ref="BS238">_xll.DCEPropSectI(BF238, BH238, BG238, BI238, BG238, BI238, "ry")/10</f>
        <v>5.3836052600564113</v>
      </c>
      <c r="BT238" s="5">
        <f t="shared" si="37"/>
        <v>49.227434571321723</v>
      </c>
      <c r="BU238" s="5">
        <f t="shared" si="38"/>
        <v>108.32889333975595</v>
      </c>
      <c r="BV238" s="5">
        <f t="shared" si="39"/>
        <v>108.32889333975595</v>
      </c>
      <c r="BW238" s="71">
        <f t="shared" si="40"/>
        <v>200</v>
      </c>
      <c r="BX238" s="78" cm="1">
        <f t="array" ref="BX238">IF(BM238&gt;0,1,_xll.DCETCVN5575FactorPhi7121(BV238*SQRT($K$17/206000),"b"))</f>
        <v>0.51518827926471056</v>
      </c>
      <c r="BY238" s="64">
        <f t="shared" si="41"/>
        <v>6.5906141783636255E-2</v>
      </c>
      <c r="BZ238" s="3" t="str">
        <f t="shared" si="42"/>
        <v>OK</v>
      </c>
    </row>
    <row r="239" spans="1:78">
      <c r="A239" s="76"/>
      <c r="B239" s="76"/>
      <c r="C239" s="125"/>
      <c r="D239" s="125"/>
      <c r="E239" s="71"/>
      <c r="F239" s="71"/>
      <c r="G239" s="71"/>
      <c r="H239" s="126"/>
      <c r="I239" s="125"/>
      <c r="J239" s="123"/>
      <c r="K239" s="12"/>
      <c r="L239" s="117"/>
      <c r="M239" s="12"/>
      <c r="N239" s="117"/>
      <c r="O239" s="117"/>
      <c r="P239" s="117"/>
      <c r="Q239" s="118"/>
      <c r="R239" s="118"/>
      <c r="S239" s="118"/>
      <c r="T239" s="12"/>
      <c r="U239" s="118"/>
      <c r="V239" s="118"/>
      <c r="W239" s="12"/>
      <c r="X239" s="119"/>
      <c r="Y239" s="120"/>
      <c r="Z239" s="12"/>
      <c r="BA239" s="70" t="s">
        <v>205</v>
      </c>
      <c r="BB239" s="71" t="s">
        <v>209</v>
      </c>
      <c r="BC239" s="71" t="s">
        <v>207</v>
      </c>
      <c r="BD239" s="71">
        <v>1.62</v>
      </c>
      <c r="BE239" s="71">
        <v>6.48</v>
      </c>
      <c r="BF239" s="71">
        <v>268</v>
      </c>
      <c r="BG239" s="71">
        <v>212</v>
      </c>
      <c r="BH239" s="71">
        <v>5</v>
      </c>
      <c r="BI239" s="71">
        <v>10</v>
      </c>
      <c r="BJ239" s="12" t="str" cm="1">
        <f t="array" ref="BJ239">_xll.Dce_Name_SectI(BF239, BF239, BG239, BH239, BI239, "x", "-", $AX$11)</f>
        <v>268x212x5x10</v>
      </c>
      <c r="BK239" s="77" cm="1">
        <f t="array" ref="BK239">_xll.DCEPropSectI(BF239, BH239, BG239, BI239, BG239, BI239, "A")/100</f>
        <v>54.8</v>
      </c>
      <c r="BL239" s="70" t="s">
        <v>222</v>
      </c>
      <c r="BM239" s="70">
        <v>-39.415749319091447</v>
      </c>
      <c r="BN239" s="71">
        <v>0.9</v>
      </c>
      <c r="BO239" s="77">
        <f t="shared" si="35"/>
        <v>5.8320000000000007</v>
      </c>
      <c r="BP239" s="71">
        <v>0.9</v>
      </c>
      <c r="BQ239" s="77">
        <f t="shared" si="36"/>
        <v>5.8320000000000007</v>
      </c>
      <c r="BR239" s="77" cm="1">
        <f t="array" ref="BR239">_xll.DCEPropSectI(BF239, BH239, BG239, BI239, BG239, BI239, "rx")/10</f>
        <v>11.847052463297633</v>
      </c>
      <c r="BS239" s="77" cm="1">
        <f t="array" ref="BS239">_xll.DCEPropSectI(BF239, BH239, BG239, BI239, BG239, BI239, "ry")/10</f>
        <v>5.3836052600564113</v>
      </c>
      <c r="BT239" s="5">
        <f t="shared" si="37"/>
        <v>49.227434571321723</v>
      </c>
      <c r="BU239" s="5">
        <f t="shared" si="38"/>
        <v>108.32889333975595</v>
      </c>
      <c r="BV239" s="5">
        <f t="shared" si="39"/>
        <v>108.32889333975595</v>
      </c>
      <c r="BW239" s="71">
        <f t="shared" si="40"/>
        <v>200</v>
      </c>
      <c r="BX239" s="78" cm="1">
        <f t="array" ref="BX239">IF(BM239&gt;0,1,_xll.DCETCVN5575FactorPhi7121(BV239*SQRT($K$17/206000),"b"))</f>
        <v>0.51518827926471056</v>
      </c>
      <c r="BY239" s="64">
        <f t="shared" si="41"/>
        <v>6.6481982225634562E-2</v>
      </c>
      <c r="BZ239" s="3" t="str">
        <f t="shared" si="42"/>
        <v>OK</v>
      </c>
    </row>
    <row r="240" spans="1:78">
      <c r="A240" s="76"/>
      <c r="B240" s="76"/>
      <c r="C240" s="125"/>
      <c r="D240" s="125"/>
      <c r="E240" s="71"/>
      <c r="F240" s="71"/>
      <c r="G240" s="71"/>
      <c r="H240" s="126"/>
      <c r="I240" s="125"/>
      <c r="J240" s="123"/>
      <c r="K240" s="12"/>
      <c r="L240" s="117"/>
      <c r="M240" s="12"/>
      <c r="N240" s="117"/>
      <c r="O240" s="117"/>
      <c r="P240" s="117"/>
      <c r="Q240" s="118"/>
      <c r="R240" s="118"/>
      <c r="S240" s="118"/>
      <c r="T240" s="12"/>
      <c r="U240" s="118"/>
      <c r="V240" s="118"/>
      <c r="W240" s="12"/>
      <c r="X240" s="119"/>
      <c r="Y240" s="120"/>
      <c r="Z240" s="12"/>
      <c r="BA240" s="70" t="s">
        <v>205</v>
      </c>
      <c r="BB240" s="71" t="s">
        <v>209</v>
      </c>
      <c r="BC240" s="71" t="s">
        <v>207</v>
      </c>
      <c r="BD240" s="71">
        <v>2.4300000000000002</v>
      </c>
      <c r="BE240" s="71">
        <v>6.48</v>
      </c>
      <c r="BF240" s="71">
        <v>268</v>
      </c>
      <c r="BG240" s="71">
        <v>212</v>
      </c>
      <c r="BH240" s="71">
        <v>5</v>
      </c>
      <c r="BI240" s="71">
        <v>10</v>
      </c>
      <c r="BJ240" s="12" t="str" cm="1">
        <f t="array" ref="BJ240">_xll.Dce_Name_SectI(BF240, BF240, BG240, BH240, BI240, "x", "-", $AX$11)</f>
        <v>268x212x5x10</v>
      </c>
      <c r="BK240" s="77" cm="1">
        <f t="array" ref="BK240">_xll.DCEPropSectI(BF240, BH240, BG240, BI240, BG240, BI240, "A")/100</f>
        <v>54.8</v>
      </c>
      <c r="BL240" s="70" t="s">
        <v>222</v>
      </c>
      <c r="BM240" s="70">
        <v>-39.757152835499369</v>
      </c>
      <c r="BN240" s="71">
        <v>0.9</v>
      </c>
      <c r="BO240" s="77">
        <f t="shared" si="35"/>
        <v>5.8320000000000007</v>
      </c>
      <c r="BP240" s="71">
        <v>0.9</v>
      </c>
      <c r="BQ240" s="77">
        <f t="shared" si="36"/>
        <v>5.8320000000000007</v>
      </c>
      <c r="BR240" s="77" cm="1">
        <f t="array" ref="BR240">_xll.DCEPropSectI(BF240, BH240, BG240, BI240, BG240, BI240, "rx")/10</f>
        <v>11.847052463297633</v>
      </c>
      <c r="BS240" s="77" cm="1">
        <f t="array" ref="BS240">_xll.DCEPropSectI(BF240, BH240, BG240, BI240, BG240, BI240, "ry")/10</f>
        <v>5.3836052600564113</v>
      </c>
      <c r="BT240" s="5">
        <f t="shared" si="37"/>
        <v>49.227434571321723</v>
      </c>
      <c r="BU240" s="5">
        <f t="shared" si="38"/>
        <v>108.32889333975595</v>
      </c>
      <c r="BV240" s="5">
        <f t="shared" si="39"/>
        <v>108.32889333975595</v>
      </c>
      <c r="BW240" s="71">
        <f t="shared" si="40"/>
        <v>200</v>
      </c>
      <c r="BX240" s="78" cm="1">
        <f t="array" ref="BX240">IF(BM240&gt;0,1,_xll.DCETCVN5575FactorPhi7121(BV240*SQRT($K$17/206000),"b"))</f>
        <v>0.51518827926471056</v>
      </c>
      <c r="BY240" s="64">
        <f t="shared" si="41"/>
        <v>6.7057822667632883E-2</v>
      </c>
      <c r="BZ240" s="3" t="str">
        <f t="shared" si="42"/>
        <v>OK</v>
      </c>
    </row>
    <row r="241" spans="1:78">
      <c r="A241" s="76"/>
      <c r="B241" s="76"/>
      <c r="C241" s="125"/>
      <c r="D241" s="125"/>
      <c r="E241" s="71"/>
      <c r="F241" s="71"/>
      <c r="G241" s="71"/>
      <c r="H241" s="126"/>
      <c r="I241" s="125"/>
      <c r="J241" s="123"/>
      <c r="K241" s="12"/>
      <c r="L241" s="117"/>
      <c r="M241" s="12"/>
      <c r="N241" s="117"/>
      <c r="O241" s="117"/>
      <c r="P241" s="117"/>
      <c r="Q241" s="118"/>
      <c r="R241" s="118"/>
      <c r="S241" s="118"/>
      <c r="T241" s="12"/>
      <c r="U241" s="118"/>
      <c r="V241" s="118"/>
      <c r="W241" s="12"/>
      <c r="X241" s="119"/>
      <c r="Y241" s="120"/>
      <c r="Z241" s="12"/>
      <c r="BA241" s="70" t="s">
        <v>205</v>
      </c>
      <c r="BB241" s="71" t="s">
        <v>209</v>
      </c>
      <c r="BC241" s="71" t="s">
        <v>207</v>
      </c>
      <c r="BD241" s="71">
        <v>3.24</v>
      </c>
      <c r="BE241" s="71">
        <v>6.48</v>
      </c>
      <c r="BF241" s="71">
        <v>268</v>
      </c>
      <c r="BG241" s="71">
        <v>212</v>
      </c>
      <c r="BH241" s="71">
        <v>5</v>
      </c>
      <c r="BI241" s="71">
        <v>10</v>
      </c>
      <c r="BJ241" s="12" t="str" cm="1">
        <f t="array" ref="BJ241">_xll.Dce_Name_SectI(BF241, BF241, BG241, BH241, BI241, "x", "-", $AX$11)</f>
        <v>268x212x5x10</v>
      </c>
      <c r="BK241" s="77" cm="1">
        <f t="array" ref="BK241">_xll.DCEPropSectI(BF241, BH241, BG241, BI241, BG241, BI241, "A")/100</f>
        <v>54.8</v>
      </c>
      <c r="BL241" s="70" t="s">
        <v>222</v>
      </c>
      <c r="BM241" s="70">
        <v>-40.098556351907291</v>
      </c>
      <c r="BN241" s="71">
        <v>0.9</v>
      </c>
      <c r="BO241" s="77">
        <f t="shared" si="35"/>
        <v>5.8320000000000007</v>
      </c>
      <c r="BP241" s="71">
        <v>0.9</v>
      </c>
      <c r="BQ241" s="77">
        <f t="shared" si="36"/>
        <v>5.8320000000000007</v>
      </c>
      <c r="BR241" s="77" cm="1">
        <f t="array" ref="BR241">_xll.DCEPropSectI(BF241, BH241, BG241, BI241, BG241, BI241, "rx")/10</f>
        <v>11.847052463297633</v>
      </c>
      <c r="BS241" s="77" cm="1">
        <f t="array" ref="BS241">_xll.DCEPropSectI(BF241, BH241, BG241, BI241, BG241, BI241, "ry")/10</f>
        <v>5.3836052600564113</v>
      </c>
      <c r="BT241" s="5">
        <f t="shared" si="37"/>
        <v>49.227434571321723</v>
      </c>
      <c r="BU241" s="5">
        <f t="shared" si="38"/>
        <v>108.32889333975595</v>
      </c>
      <c r="BV241" s="5">
        <f t="shared" si="39"/>
        <v>108.32889333975595</v>
      </c>
      <c r="BW241" s="71">
        <f t="shared" si="40"/>
        <v>200</v>
      </c>
      <c r="BX241" s="78" cm="1">
        <f t="array" ref="BX241">IF(BM241&gt;0,1,_xll.DCETCVN5575FactorPhi7121(BV241*SQRT($K$17/206000),"b"))</f>
        <v>0.51518827926471056</v>
      </c>
      <c r="BY241" s="64">
        <f t="shared" si="41"/>
        <v>6.7633663109631204E-2</v>
      </c>
      <c r="BZ241" s="3" t="str">
        <f t="shared" si="42"/>
        <v>OK</v>
      </c>
    </row>
    <row r="242" spans="1:78">
      <c r="A242" s="76"/>
      <c r="B242" s="76"/>
      <c r="C242" s="125"/>
      <c r="D242" s="125"/>
      <c r="E242" s="71"/>
      <c r="F242" s="71"/>
      <c r="G242" s="71"/>
      <c r="H242" s="126"/>
      <c r="I242" s="125"/>
      <c r="J242" s="123"/>
      <c r="K242" s="12"/>
      <c r="L242" s="117"/>
      <c r="M242" s="12"/>
      <c r="N242" s="117"/>
      <c r="O242" s="117"/>
      <c r="P242" s="117"/>
      <c r="Q242" s="118"/>
      <c r="R242" s="118"/>
      <c r="S242" s="118"/>
      <c r="T242" s="12"/>
      <c r="U242" s="118"/>
      <c r="V242" s="118"/>
      <c r="W242" s="12"/>
      <c r="X242" s="119"/>
      <c r="Y242" s="120"/>
      <c r="Z242" s="12"/>
      <c r="BA242" s="70" t="s">
        <v>205</v>
      </c>
      <c r="BB242" s="71" t="s">
        <v>209</v>
      </c>
      <c r="BC242" s="71" t="s">
        <v>207</v>
      </c>
      <c r="BD242" s="71">
        <v>4.05</v>
      </c>
      <c r="BE242" s="71">
        <v>6.48</v>
      </c>
      <c r="BF242" s="71">
        <v>268</v>
      </c>
      <c r="BG242" s="71">
        <v>212</v>
      </c>
      <c r="BH242" s="71">
        <v>5</v>
      </c>
      <c r="BI242" s="71">
        <v>10</v>
      </c>
      <c r="BJ242" s="12" t="str" cm="1">
        <f t="array" ref="BJ242">_xll.Dce_Name_SectI(BF242, BF242, BG242, BH242, BI242, "x", "-", $AX$11)</f>
        <v>268x212x5x10</v>
      </c>
      <c r="BK242" s="77" cm="1">
        <f t="array" ref="BK242">_xll.DCEPropSectI(BF242, BH242, BG242, BI242, BG242, BI242, "A")/100</f>
        <v>54.8</v>
      </c>
      <c r="BL242" s="70" t="s">
        <v>222</v>
      </c>
      <c r="BM242" s="70">
        <v>-40.439959868315213</v>
      </c>
      <c r="BN242" s="71">
        <v>0.9</v>
      </c>
      <c r="BO242" s="77">
        <f t="shared" si="35"/>
        <v>5.8320000000000007</v>
      </c>
      <c r="BP242" s="71">
        <v>0.9</v>
      </c>
      <c r="BQ242" s="77">
        <f t="shared" si="36"/>
        <v>5.8320000000000007</v>
      </c>
      <c r="BR242" s="77" cm="1">
        <f t="array" ref="BR242">_xll.DCEPropSectI(BF242, BH242, BG242, BI242, BG242, BI242, "rx")/10</f>
        <v>11.847052463297633</v>
      </c>
      <c r="BS242" s="77" cm="1">
        <f t="array" ref="BS242">_xll.DCEPropSectI(BF242, BH242, BG242, BI242, BG242, BI242, "ry")/10</f>
        <v>5.3836052600564113</v>
      </c>
      <c r="BT242" s="5">
        <f t="shared" si="37"/>
        <v>49.227434571321723</v>
      </c>
      <c r="BU242" s="5">
        <f t="shared" si="38"/>
        <v>108.32889333975595</v>
      </c>
      <c r="BV242" s="5">
        <f t="shared" si="39"/>
        <v>108.32889333975595</v>
      </c>
      <c r="BW242" s="71">
        <f t="shared" si="40"/>
        <v>200</v>
      </c>
      <c r="BX242" s="78" cm="1">
        <f t="array" ref="BX242">IF(BM242&gt;0,1,_xll.DCETCVN5575FactorPhi7121(BV242*SQRT($K$17/206000),"b"))</f>
        <v>0.51518827926471056</v>
      </c>
      <c r="BY242" s="64">
        <f t="shared" si="41"/>
        <v>6.8209503551629524E-2</v>
      </c>
      <c r="BZ242" s="3" t="str">
        <f t="shared" si="42"/>
        <v>OK</v>
      </c>
    </row>
    <row r="243" spans="1:78">
      <c r="A243" s="76"/>
      <c r="B243" s="76"/>
      <c r="C243" s="125"/>
      <c r="D243" s="125"/>
      <c r="E243" s="71"/>
      <c r="F243" s="71"/>
      <c r="G243" s="71"/>
      <c r="H243" s="126"/>
      <c r="I243" s="125"/>
      <c r="J243" s="123"/>
      <c r="K243" s="12"/>
      <c r="L243" s="117"/>
      <c r="M243" s="12"/>
      <c r="N243" s="117"/>
      <c r="O243" s="117"/>
      <c r="P243" s="117"/>
      <c r="Q243" s="118"/>
      <c r="R243" s="118"/>
      <c r="S243" s="118"/>
      <c r="T243" s="12"/>
      <c r="U243" s="118"/>
      <c r="V243" s="118"/>
      <c r="W243" s="12"/>
      <c r="X243" s="119"/>
      <c r="Y243" s="120"/>
      <c r="Z243" s="12"/>
      <c r="BA243" s="70" t="s">
        <v>205</v>
      </c>
      <c r="BB243" s="71" t="s">
        <v>209</v>
      </c>
      <c r="BC243" s="71" t="s">
        <v>207</v>
      </c>
      <c r="BD243" s="71">
        <v>4.8600000000000003</v>
      </c>
      <c r="BE243" s="71">
        <v>6.48</v>
      </c>
      <c r="BF243" s="71">
        <v>268</v>
      </c>
      <c r="BG243" s="71">
        <v>212</v>
      </c>
      <c r="BH243" s="71">
        <v>5</v>
      </c>
      <c r="BI243" s="71">
        <v>10</v>
      </c>
      <c r="BJ243" s="12" t="str" cm="1">
        <f t="array" ref="BJ243">_xll.Dce_Name_SectI(BF243, BF243, BG243, BH243, BI243, "x", "-", $AX$11)</f>
        <v>268x212x5x10</v>
      </c>
      <c r="BK243" s="77" cm="1">
        <f t="array" ref="BK243">_xll.DCEPropSectI(BF243, BH243, BG243, BI243, BG243, BI243, "A")/100</f>
        <v>54.8</v>
      </c>
      <c r="BL243" s="70" t="s">
        <v>222</v>
      </c>
      <c r="BM243" s="70">
        <v>-40.781363384723136</v>
      </c>
      <c r="BN243" s="71">
        <v>0.9</v>
      </c>
      <c r="BO243" s="77">
        <f t="shared" si="35"/>
        <v>5.8320000000000007</v>
      </c>
      <c r="BP243" s="71">
        <v>0.9</v>
      </c>
      <c r="BQ243" s="77">
        <f t="shared" si="36"/>
        <v>5.8320000000000007</v>
      </c>
      <c r="BR243" s="77" cm="1">
        <f t="array" ref="BR243">_xll.DCEPropSectI(BF243, BH243, BG243, BI243, BG243, BI243, "rx")/10</f>
        <v>11.847052463297633</v>
      </c>
      <c r="BS243" s="77" cm="1">
        <f t="array" ref="BS243">_xll.DCEPropSectI(BF243, BH243, BG243, BI243, BG243, BI243, "ry")/10</f>
        <v>5.3836052600564113</v>
      </c>
      <c r="BT243" s="5">
        <f t="shared" si="37"/>
        <v>49.227434571321723</v>
      </c>
      <c r="BU243" s="5">
        <f t="shared" si="38"/>
        <v>108.32889333975595</v>
      </c>
      <c r="BV243" s="5">
        <f t="shared" si="39"/>
        <v>108.32889333975595</v>
      </c>
      <c r="BW243" s="71">
        <f t="shared" si="40"/>
        <v>200</v>
      </c>
      <c r="BX243" s="78" cm="1">
        <f t="array" ref="BX243">IF(BM243&gt;0,1,_xll.DCETCVN5575FactorPhi7121(BV243*SQRT($K$17/206000),"b"))</f>
        <v>0.51518827926471056</v>
      </c>
      <c r="BY243" s="64">
        <f t="shared" si="41"/>
        <v>6.8785343993627859E-2</v>
      </c>
      <c r="BZ243" s="3" t="str">
        <f t="shared" si="42"/>
        <v>OK</v>
      </c>
    </row>
    <row r="244" spans="1:78">
      <c r="A244" s="76"/>
      <c r="B244" s="76"/>
      <c r="C244" s="125"/>
      <c r="D244" s="125"/>
      <c r="E244" s="71"/>
      <c r="F244" s="71"/>
      <c r="G244" s="71"/>
      <c r="H244" s="126"/>
      <c r="I244" s="125"/>
      <c r="J244" s="123"/>
      <c r="K244" s="12"/>
      <c r="L244" s="117"/>
      <c r="M244" s="12"/>
      <c r="N244" s="117"/>
      <c r="O244" s="117"/>
      <c r="P244" s="117"/>
      <c r="Q244" s="118"/>
      <c r="R244" s="118"/>
      <c r="S244" s="118"/>
      <c r="T244" s="12"/>
      <c r="U244" s="118"/>
      <c r="V244" s="118"/>
      <c r="W244" s="12"/>
      <c r="X244" s="119"/>
      <c r="Y244" s="120"/>
      <c r="Z244" s="12"/>
      <c r="BA244" s="70" t="s">
        <v>205</v>
      </c>
      <c r="BB244" s="71" t="s">
        <v>209</v>
      </c>
      <c r="BC244" s="71" t="s">
        <v>207</v>
      </c>
      <c r="BD244" s="71">
        <v>5.67</v>
      </c>
      <c r="BE244" s="71">
        <v>6.48</v>
      </c>
      <c r="BF244" s="71">
        <v>268</v>
      </c>
      <c r="BG244" s="71">
        <v>212</v>
      </c>
      <c r="BH244" s="71">
        <v>5</v>
      </c>
      <c r="BI244" s="71">
        <v>10</v>
      </c>
      <c r="BJ244" s="12" t="str" cm="1">
        <f t="array" ref="BJ244">_xll.Dce_Name_SectI(BF244, BF244, BG244, BH244, BI244, "x", "-", $AX$11)</f>
        <v>268x212x5x10</v>
      </c>
      <c r="BK244" s="77" cm="1">
        <f t="array" ref="BK244">_xll.DCEPropSectI(BF244, BH244, BG244, BI244, BG244, BI244, "A")/100</f>
        <v>54.8</v>
      </c>
      <c r="BL244" s="70" t="s">
        <v>222</v>
      </c>
      <c r="BM244" s="70">
        <v>-41.122766901131058</v>
      </c>
      <c r="BN244" s="71">
        <v>0.9</v>
      </c>
      <c r="BO244" s="77">
        <f t="shared" si="35"/>
        <v>5.8320000000000007</v>
      </c>
      <c r="BP244" s="71">
        <v>0.9</v>
      </c>
      <c r="BQ244" s="77">
        <f t="shared" si="36"/>
        <v>5.8320000000000007</v>
      </c>
      <c r="BR244" s="77" cm="1">
        <f t="array" ref="BR244">_xll.DCEPropSectI(BF244, BH244, BG244, BI244, BG244, BI244, "rx")/10</f>
        <v>11.847052463297633</v>
      </c>
      <c r="BS244" s="77" cm="1">
        <f t="array" ref="BS244">_xll.DCEPropSectI(BF244, BH244, BG244, BI244, BG244, BI244, "ry")/10</f>
        <v>5.3836052600564113</v>
      </c>
      <c r="BT244" s="5">
        <f t="shared" si="37"/>
        <v>49.227434571321723</v>
      </c>
      <c r="BU244" s="5">
        <f t="shared" si="38"/>
        <v>108.32889333975595</v>
      </c>
      <c r="BV244" s="5">
        <f t="shared" si="39"/>
        <v>108.32889333975595</v>
      </c>
      <c r="BW244" s="71">
        <f t="shared" si="40"/>
        <v>200</v>
      </c>
      <c r="BX244" s="78" cm="1">
        <f t="array" ref="BX244">IF(BM244&gt;0,1,_xll.DCETCVN5575FactorPhi7121(BV244*SQRT($K$17/206000),"b"))</f>
        <v>0.51518827926471056</v>
      </c>
      <c r="BY244" s="64">
        <f t="shared" si="41"/>
        <v>6.9361184435626166E-2</v>
      </c>
      <c r="BZ244" s="3" t="str">
        <f t="shared" si="42"/>
        <v>OK</v>
      </c>
    </row>
    <row r="245" spans="1:78">
      <c r="A245" s="76"/>
      <c r="B245" s="76"/>
      <c r="C245" s="125"/>
      <c r="D245" s="125"/>
      <c r="E245" s="71"/>
      <c r="F245" s="71"/>
      <c r="G245" s="71"/>
      <c r="H245" s="126"/>
      <c r="I245" s="125"/>
      <c r="J245" s="123"/>
      <c r="K245" s="12"/>
      <c r="L245" s="117"/>
      <c r="M245" s="12"/>
      <c r="N245" s="117"/>
      <c r="O245" s="117"/>
      <c r="P245" s="117"/>
      <c r="Q245" s="118"/>
      <c r="R245" s="118"/>
      <c r="S245" s="118"/>
      <c r="T245" s="12"/>
      <c r="U245" s="118"/>
      <c r="V245" s="118"/>
      <c r="W245" s="12"/>
      <c r="X245" s="119"/>
      <c r="Y245" s="120"/>
      <c r="Z245" s="12"/>
      <c r="BA245" s="70" t="s">
        <v>205</v>
      </c>
      <c r="BB245" s="71" t="s">
        <v>209</v>
      </c>
      <c r="BC245" s="71" t="s">
        <v>207</v>
      </c>
      <c r="BD245" s="71">
        <v>6.48</v>
      </c>
      <c r="BE245" s="71">
        <v>6.48</v>
      </c>
      <c r="BF245" s="71">
        <v>268</v>
      </c>
      <c r="BG245" s="71">
        <v>212</v>
      </c>
      <c r="BH245" s="71">
        <v>5</v>
      </c>
      <c r="BI245" s="71">
        <v>10</v>
      </c>
      <c r="BJ245" s="12" t="str" cm="1">
        <f t="array" ref="BJ245">_xll.Dce_Name_SectI(BF245, BF245, BG245, BH245, BI245, "x", "-", $AX$11)</f>
        <v>268x212x5x10</v>
      </c>
      <c r="BK245" s="77" cm="1">
        <f t="array" ref="BK245">_xll.DCEPropSectI(BF245, BH245, BG245, BI245, BG245, BI245, "A")/100</f>
        <v>54.8</v>
      </c>
      <c r="BL245" s="70" t="s">
        <v>222</v>
      </c>
      <c r="BM245" s="70">
        <v>-41.46417041753898</v>
      </c>
      <c r="BN245" s="71">
        <v>0.9</v>
      </c>
      <c r="BO245" s="77">
        <f t="shared" si="35"/>
        <v>5.8320000000000007</v>
      </c>
      <c r="BP245" s="71">
        <v>0.9</v>
      </c>
      <c r="BQ245" s="77">
        <f t="shared" si="36"/>
        <v>5.8320000000000007</v>
      </c>
      <c r="BR245" s="77" cm="1">
        <f t="array" ref="BR245">_xll.DCEPropSectI(BF245, BH245, BG245, BI245, BG245, BI245, "rx")/10</f>
        <v>11.847052463297633</v>
      </c>
      <c r="BS245" s="77" cm="1">
        <f t="array" ref="BS245">_xll.DCEPropSectI(BF245, BH245, BG245, BI245, BG245, BI245, "ry")/10</f>
        <v>5.3836052600564113</v>
      </c>
      <c r="BT245" s="5">
        <f t="shared" si="37"/>
        <v>49.227434571321723</v>
      </c>
      <c r="BU245" s="5">
        <f t="shared" si="38"/>
        <v>108.32889333975595</v>
      </c>
      <c r="BV245" s="5">
        <f t="shared" si="39"/>
        <v>108.32889333975595</v>
      </c>
      <c r="BW245" s="71">
        <f t="shared" si="40"/>
        <v>200</v>
      </c>
      <c r="BX245" s="78" cm="1">
        <f t="array" ref="BX245">IF(BM245&gt;0,1,_xll.DCETCVN5575FactorPhi7121(BV245*SQRT($K$17/206000),"b"))</f>
        <v>0.51518827926471056</v>
      </c>
      <c r="BY245" s="64">
        <f t="shared" si="41"/>
        <v>6.9937024877624487E-2</v>
      </c>
      <c r="BZ245" s="3" t="str">
        <f t="shared" si="42"/>
        <v>OK</v>
      </c>
    </row>
    <row r="246" spans="1:78">
      <c r="A246" s="76"/>
      <c r="B246" s="76"/>
      <c r="C246" s="125"/>
      <c r="D246" s="125"/>
      <c r="E246" s="71"/>
      <c r="F246" s="71"/>
      <c r="G246" s="71"/>
      <c r="H246" s="126"/>
      <c r="I246" s="125"/>
      <c r="J246" s="123"/>
      <c r="K246" s="12"/>
      <c r="L246" s="117"/>
      <c r="M246" s="12"/>
      <c r="N246" s="117"/>
      <c r="O246" s="117"/>
      <c r="P246" s="117"/>
      <c r="Q246" s="118"/>
      <c r="R246" s="118"/>
      <c r="S246" s="118"/>
      <c r="T246" s="12"/>
      <c r="U246" s="118"/>
      <c r="V246" s="118"/>
      <c r="W246" s="12"/>
      <c r="X246" s="119"/>
      <c r="Y246" s="120"/>
      <c r="Z246" s="12"/>
      <c r="BA246" s="70" t="s">
        <v>205</v>
      </c>
      <c r="BB246" s="71" t="s">
        <v>209</v>
      </c>
      <c r="BC246" s="71" t="s">
        <v>207</v>
      </c>
      <c r="BD246" s="71">
        <v>0</v>
      </c>
      <c r="BE246" s="71">
        <v>6.48</v>
      </c>
      <c r="BF246" s="71">
        <v>268</v>
      </c>
      <c r="BG246" s="71">
        <v>212</v>
      </c>
      <c r="BH246" s="71">
        <v>5</v>
      </c>
      <c r="BI246" s="71">
        <v>10</v>
      </c>
      <c r="BJ246" s="12" t="str" cm="1">
        <f t="array" ref="BJ246">_xll.Dce_Name_SectI(BF246, BF246, BG246, BH246, BI246, "x", "-", $AX$11)</f>
        <v>268x212x5x10</v>
      </c>
      <c r="BK246" s="77" cm="1">
        <f t="array" ref="BK246">_xll.DCEPropSectI(BF246, BH246, BG246, BI246, BG246, BI246, "A")/100</f>
        <v>54.8</v>
      </c>
      <c r="BL246" s="70" t="s">
        <v>223</v>
      </c>
      <c r="BM246" s="70">
        <v>-16.311948415593299</v>
      </c>
      <c r="BN246" s="71">
        <v>0.9</v>
      </c>
      <c r="BO246" s="77">
        <f t="shared" si="35"/>
        <v>5.8320000000000007</v>
      </c>
      <c r="BP246" s="71">
        <v>0.9</v>
      </c>
      <c r="BQ246" s="77">
        <f t="shared" si="36"/>
        <v>5.8320000000000007</v>
      </c>
      <c r="BR246" s="77" cm="1">
        <f t="array" ref="BR246">_xll.DCEPropSectI(BF246, BH246, BG246, BI246, BG246, BI246, "rx")/10</f>
        <v>11.847052463297633</v>
      </c>
      <c r="BS246" s="77" cm="1">
        <f t="array" ref="BS246">_xll.DCEPropSectI(BF246, BH246, BG246, BI246, BG246, BI246, "ry")/10</f>
        <v>5.3836052600564113</v>
      </c>
      <c r="BT246" s="5">
        <f t="shared" si="37"/>
        <v>49.227434571321723</v>
      </c>
      <c r="BU246" s="5">
        <f t="shared" si="38"/>
        <v>108.32889333975595</v>
      </c>
      <c r="BV246" s="5">
        <f t="shared" si="39"/>
        <v>108.32889333975595</v>
      </c>
      <c r="BW246" s="71">
        <f t="shared" si="40"/>
        <v>200</v>
      </c>
      <c r="BX246" s="78" cm="1">
        <f t="array" ref="BX246">IF(BM246&gt;0,1,_xll.DCETCVN5575FactorPhi7121(BV246*SQRT($K$17/206000),"b"))</f>
        <v>0.51518827926471056</v>
      </c>
      <c r="BY246" s="64">
        <f t="shared" si="41"/>
        <v>2.7513130750140939E-2</v>
      </c>
      <c r="BZ246" s="3" t="str">
        <f t="shared" si="42"/>
        <v>OK</v>
      </c>
    </row>
    <row r="247" spans="1:78">
      <c r="A247" s="76"/>
      <c r="B247" s="76"/>
      <c r="C247" s="125"/>
      <c r="D247" s="125"/>
      <c r="E247" s="71"/>
      <c r="F247" s="71"/>
      <c r="G247" s="71"/>
      <c r="H247" s="126"/>
      <c r="I247" s="125"/>
      <c r="J247" s="123"/>
      <c r="K247" s="12"/>
      <c r="L247" s="117"/>
      <c r="M247" s="12"/>
      <c r="N247" s="117"/>
      <c r="O247" s="117"/>
      <c r="P247" s="117"/>
      <c r="Q247" s="118"/>
      <c r="R247" s="118"/>
      <c r="S247" s="118"/>
      <c r="T247" s="12"/>
      <c r="U247" s="118"/>
      <c r="V247" s="118"/>
      <c r="W247" s="12"/>
      <c r="X247" s="119"/>
      <c r="Y247" s="120"/>
      <c r="Z247" s="12"/>
      <c r="BA247" s="70" t="s">
        <v>205</v>
      </c>
      <c r="BB247" s="71" t="s">
        <v>209</v>
      </c>
      <c r="BC247" s="71" t="s">
        <v>207</v>
      </c>
      <c r="BD247" s="71">
        <v>0.81</v>
      </c>
      <c r="BE247" s="71">
        <v>6.48</v>
      </c>
      <c r="BF247" s="71">
        <v>268</v>
      </c>
      <c r="BG247" s="71">
        <v>212</v>
      </c>
      <c r="BH247" s="71">
        <v>5</v>
      </c>
      <c r="BI247" s="71">
        <v>10</v>
      </c>
      <c r="BJ247" s="12" t="str" cm="1">
        <f t="array" ref="BJ247">_xll.Dce_Name_SectI(BF247, BF247, BG247, BH247, BI247, "x", "-", $AX$11)</f>
        <v>268x212x5x10</v>
      </c>
      <c r="BK247" s="77" cm="1">
        <f t="array" ref="BK247">_xll.DCEPropSectI(BF247, BH247, BG247, BI247, BG247, BI247, "A")/100</f>
        <v>54.8</v>
      </c>
      <c r="BL247" s="70" t="s">
        <v>223</v>
      </c>
      <c r="BM247" s="70">
        <v>-16.653351932001222</v>
      </c>
      <c r="BN247" s="71">
        <v>0.9</v>
      </c>
      <c r="BO247" s="77">
        <f t="shared" si="35"/>
        <v>5.8320000000000007</v>
      </c>
      <c r="BP247" s="71">
        <v>0.9</v>
      </c>
      <c r="BQ247" s="77">
        <f t="shared" si="36"/>
        <v>5.8320000000000007</v>
      </c>
      <c r="BR247" s="77" cm="1">
        <f t="array" ref="BR247">_xll.DCEPropSectI(BF247, BH247, BG247, BI247, BG247, BI247, "rx")/10</f>
        <v>11.847052463297633</v>
      </c>
      <c r="BS247" s="77" cm="1">
        <f t="array" ref="BS247">_xll.DCEPropSectI(BF247, BH247, BG247, BI247, BG247, BI247, "ry")/10</f>
        <v>5.3836052600564113</v>
      </c>
      <c r="BT247" s="5">
        <f t="shared" si="37"/>
        <v>49.227434571321723</v>
      </c>
      <c r="BU247" s="5">
        <f t="shared" si="38"/>
        <v>108.32889333975595</v>
      </c>
      <c r="BV247" s="5">
        <f t="shared" si="39"/>
        <v>108.32889333975595</v>
      </c>
      <c r="BW247" s="71">
        <f t="shared" si="40"/>
        <v>200</v>
      </c>
      <c r="BX247" s="78" cm="1">
        <f t="array" ref="BX247">IF(BM247&gt;0,1,_xll.DCETCVN5575FactorPhi7121(BV247*SQRT($K$17/206000),"b"))</f>
        <v>0.51518827926471056</v>
      </c>
      <c r="BY247" s="64">
        <f t="shared" si="41"/>
        <v>2.808897119213926E-2</v>
      </c>
      <c r="BZ247" s="3" t="str">
        <f t="shared" si="42"/>
        <v>OK</v>
      </c>
    </row>
    <row r="248" spans="1:78">
      <c r="A248" s="76"/>
      <c r="B248" s="76"/>
      <c r="C248" s="125"/>
      <c r="D248" s="125"/>
      <c r="E248" s="71"/>
      <c r="F248" s="71"/>
      <c r="G248" s="71"/>
      <c r="H248" s="126"/>
      <c r="I248" s="125"/>
      <c r="J248" s="123"/>
      <c r="K248" s="12"/>
      <c r="L248" s="117"/>
      <c r="M248" s="12"/>
      <c r="N248" s="117"/>
      <c r="O248" s="117"/>
      <c r="P248" s="117"/>
      <c r="Q248" s="118"/>
      <c r="R248" s="118"/>
      <c r="S248" s="118"/>
      <c r="T248" s="12"/>
      <c r="U248" s="118"/>
      <c r="V248" s="118"/>
      <c r="W248" s="12"/>
      <c r="X248" s="119"/>
      <c r="Y248" s="120"/>
      <c r="Z248" s="12"/>
      <c r="BA248" s="70" t="s">
        <v>205</v>
      </c>
      <c r="BB248" s="71" t="s">
        <v>209</v>
      </c>
      <c r="BC248" s="71" t="s">
        <v>207</v>
      </c>
      <c r="BD248" s="71">
        <v>1.62</v>
      </c>
      <c r="BE248" s="71">
        <v>6.48</v>
      </c>
      <c r="BF248" s="71">
        <v>268</v>
      </c>
      <c r="BG248" s="71">
        <v>212</v>
      </c>
      <c r="BH248" s="71">
        <v>5</v>
      </c>
      <c r="BI248" s="71">
        <v>10</v>
      </c>
      <c r="BJ248" s="12" t="str" cm="1">
        <f t="array" ref="BJ248">_xll.Dce_Name_SectI(BF248, BF248, BG248, BH248, BI248, "x", "-", $AX$11)</f>
        <v>268x212x5x10</v>
      </c>
      <c r="BK248" s="77" cm="1">
        <f t="array" ref="BK248">_xll.DCEPropSectI(BF248, BH248, BG248, BI248, BG248, BI248, "A")/100</f>
        <v>54.8</v>
      </c>
      <c r="BL248" s="70" t="s">
        <v>223</v>
      </c>
      <c r="BM248" s="70">
        <v>-16.994755448409144</v>
      </c>
      <c r="BN248" s="71">
        <v>0.9</v>
      </c>
      <c r="BO248" s="77">
        <f t="shared" si="35"/>
        <v>5.8320000000000007</v>
      </c>
      <c r="BP248" s="71">
        <v>0.9</v>
      </c>
      <c r="BQ248" s="77">
        <f t="shared" si="36"/>
        <v>5.8320000000000007</v>
      </c>
      <c r="BR248" s="77" cm="1">
        <f t="array" ref="BR248">_xll.DCEPropSectI(BF248, BH248, BG248, BI248, BG248, BI248, "rx")/10</f>
        <v>11.847052463297633</v>
      </c>
      <c r="BS248" s="77" cm="1">
        <f t="array" ref="BS248">_xll.DCEPropSectI(BF248, BH248, BG248, BI248, BG248, BI248, "ry")/10</f>
        <v>5.3836052600564113</v>
      </c>
      <c r="BT248" s="5">
        <f t="shared" si="37"/>
        <v>49.227434571321723</v>
      </c>
      <c r="BU248" s="5">
        <f t="shared" si="38"/>
        <v>108.32889333975595</v>
      </c>
      <c r="BV248" s="5">
        <f t="shared" si="39"/>
        <v>108.32889333975595</v>
      </c>
      <c r="BW248" s="71">
        <f t="shared" si="40"/>
        <v>200</v>
      </c>
      <c r="BX248" s="78" cm="1">
        <f t="array" ref="BX248">IF(BM248&gt;0,1,_xll.DCETCVN5575FactorPhi7121(BV248*SQRT($K$17/206000),"b"))</f>
        <v>0.51518827926471056</v>
      </c>
      <c r="BY248" s="64">
        <f t="shared" si="41"/>
        <v>2.8664811634137581E-2</v>
      </c>
      <c r="BZ248" s="3" t="str">
        <f t="shared" si="42"/>
        <v>OK</v>
      </c>
    </row>
    <row r="249" spans="1:78">
      <c r="A249" s="76"/>
      <c r="B249" s="76"/>
      <c r="C249" s="125"/>
      <c r="D249" s="125"/>
      <c r="E249" s="71"/>
      <c r="F249" s="71"/>
      <c r="G249" s="71"/>
      <c r="H249" s="126"/>
      <c r="I249" s="125"/>
      <c r="J249" s="123"/>
      <c r="K249" s="12"/>
      <c r="L249" s="117"/>
      <c r="M249" s="12"/>
      <c r="N249" s="117"/>
      <c r="O249" s="117"/>
      <c r="P249" s="117"/>
      <c r="Q249" s="118"/>
      <c r="R249" s="118"/>
      <c r="S249" s="118"/>
      <c r="T249" s="12"/>
      <c r="U249" s="118"/>
      <c r="V249" s="118"/>
      <c r="W249" s="12"/>
      <c r="X249" s="119"/>
      <c r="Y249" s="120"/>
      <c r="Z249" s="12"/>
      <c r="BA249" s="70" t="s">
        <v>205</v>
      </c>
      <c r="BB249" s="71" t="s">
        <v>209</v>
      </c>
      <c r="BC249" s="71" t="s">
        <v>207</v>
      </c>
      <c r="BD249" s="71">
        <v>2.4300000000000002</v>
      </c>
      <c r="BE249" s="71">
        <v>6.48</v>
      </c>
      <c r="BF249" s="71">
        <v>268</v>
      </c>
      <c r="BG249" s="71">
        <v>212</v>
      </c>
      <c r="BH249" s="71">
        <v>5</v>
      </c>
      <c r="BI249" s="71">
        <v>10</v>
      </c>
      <c r="BJ249" s="12" t="str" cm="1">
        <f t="array" ref="BJ249">_xll.Dce_Name_SectI(BF249, BF249, BG249, BH249, BI249, "x", "-", $AX$11)</f>
        <v>268x212x5x10</v>
      </c>
      <c r="BK249" s="77" cm="1">
        <f t="array" ref="BK249">_xll.DCEPropSectI(BF249, BH249, BG249, BI249, BG249, BI249, "A")/100</f>
        <v>54.8</v>
      </c>
      <c r="BL249" s="70" t="s">
        <v>223</v>
      </c>
      <c r="BM249" s="70">
        <v>-17.336158964817066</v>
      </c>
      <c r="BN249" s="71">
        <v>0.9</v>
      </c>
      <c r="BO249" s="77">
        <f t="shared" si="35"/>
        <v>5.8320000000000007</v>
      </c>
      <c r="BP249" s="71">
        <v>0.9</v>
      </c>
      <c r="BQ249" s="77">
        <f t="shared" si="36"/>
        <v>5.8320000000000007</v>
      </c>
      <c r="BR249" s="77" cm="1">
        <f t="array" ref="BR249">_xll.DCEPropSectI(BF249, BH249, BG249, BI249, BG249, BI249, "rx")/10</f>
        <v>11.847052463297633</v>
      </c>
      <c r="BS249" s="77" cm="1">
        <f t="array" ref="BS249">_xll.DCEPropSectI(BF249, BH249, BG249, BI249, BG249, BI249, "ry")/10</f>
        <v>5.3836052600564113</v>
      </c>
      <c r="BT249" s="5">
        <f t="shared" si="37"/>
        <v>49.227434571321723</v>
      </c>
      <c r="BU249" s="5">
        <f t="shared" si="38"/>
        <v>108.32889333975595</v>
      </c>
      <c r="BV249" s="5">
        <f t="shared" si="39"/>
        <v>108.32889333975595</v>
      </c>
      <c r="BW249" s="71">
        <f t="shared" si="40"/>
        <v>200</v>
      </c>
      <c r="BX249" s="78" cm="1">
        <f t="array" ref="BX249">IF(BM249&gt;0,1,_xll.DCETCVN5575FactorPhi7121(BV249*SQRT($K$17/206000),"b"))</f>
        <v>0.51518827926471056</v>
      </c>
      <c r="BY249" s="64">
        <f t="shared" si="41"/>
        <v>2.9240652076135902E-2</v>
      </c>
      <c r="BZ249" s="3" t="str">
        <f t="shared" si="42"/>
        <v>OK</v>
      </c>
    </row>
    <row r="250" spans="1:78">
      <c r="A250" s="76"/>
      <c r="B250" s="76"/>
      <c r="C250" s="125"/>
      <c r="D250" s="125"/>
      <c r="E250" s="71"/>
      <c r="F250" s="71"/>
      <c r="G250" s="71"/>
      <c r="H250" s="126"/>
      <c r="I250" s="125"/>
      <c r="J250" s="123"/>
      <c r="K250" s="12"/>
      <c r="L250" s="117"/>
      <c r="M250" s="12"/>
      <c r="N250" s="117"/>
      <c r="O250" s="117"/>
      <c r="P250" s="117"/>
      <c r="Q250" s="118"/>
      <c r="R250" s="118"/>
      <c r="S250" s="118"/>
      <c r="T250" s="12"/>
      <c r="U250" s="118"/>
      <c r="V250" s="118"/>
      <c r="W250" s="12"/>
      <c r="X250" s="119"/>
      <c r="Y250" s="120"/>
      <c r="Z250" s="12"/>
      <c r="BA250" s="70" t="s">
        <v>205</v>
      </c>
      <c r="BB250" s="71" t="s">
        <v>209</v>
      </c>
      <c r="BC250" s="71" t="s">
        <v>207</v>
      </c>
      <c r="BD250" s="71">
        <v>3.24</v>
      </c>
      <c r="BE250" s="71">
        <v>6.48</v>
      </c>
      <c r="BF250" s="71">
        <v>268</v>
      </c>
      <c r="BG250" s="71">
        <v>212</v>
      </c>
      <c r="BH250" s="71">
        <v>5</v>
      </c>
      <c r="BI250" s="71">
        <v>10</v>
      </c>
      <c r="BJ250" s="12" t="str" cm="1">
        <f t="array" ref="BJ250">_xll.Dce_Name_SectI(BF250, BF250, BG250, BH250, BI250, "x", "-", $AX$11)</f>
        <v>268x212x5x10</v>
      </c>
      <c r="BK250" s="77" cm="1">
        <f t="array" ref="BK250">_xll.DCEPropSectI(BF250, BH250, BG250, BI250, BG250, BI250, "A")/100</f>
        <v>54.8</v>
      </c>
      <c r="BL250" s="70" t="s">
        <v>223</v>
      </c>
      <c r="BM250" s="70">
        <v>-17.677562481224989</v>
      </c>
      <c r="BN250" s="71">
        <v>0.9</v>
      </c>
      <c r="BO250" s="77">
        <f t="shared" si="35"/>
        <v>5.8320000000000007</v>
      </c>
      <c r="BP250" s="71">
        <v>0.9</v>
      </c>
      <c r="BQ250" s="77">
        <f t="shared" si="36"/>
        <v>5.8320000000000007</v>
      </c>
      <c r="BR250" s="77" cm="1">
        <f t="array" ref="BR250">_xll.DCEPropSectI(BF250, BH250, BG250, BI250, BG250, BI250, "rx")/10</f>
        <v>11.847052463297633</v>
      </c>
      <c r="BS250" s="77" cm="1">
        <f t="array" ref="BS250">_xll.DCEPropSectI(BF250, BH250, BG250, BI250, BG250, BI250, "ry")/10</f>
        <v>5.3836052600564113</v>
      </c>
      <c r="BT250" s="5">
        <f t="shared" si="37"/>
        <v>49.227434571321723</v>
      </c>
      <c r="BU250" s="5">
        <f t="shared" si="38"/>
        <v>108.32889333975595</v>
      </c>
      <c r="BV250" s="5">
        <f t="shared" si="39"/>
        <v>108.32889333975595</v>
      </c>
      <c r="BW250" s="71">
        <f t="shared" si="40"/>
        <v>200</v>
      </c>
      <c r="BX250" s="78" cm="1">
        <f t="array" ref="BX250">IF(BM250&gt;0,1,_xll.DCETCVN5575FactorPhi7121(BV250*SQRT($K$17/206000),"b"))</f>
        <v>0.51518827926471056</v>
      </c>
      <c r="BY250" s="64">
        <f t="shared" si="41"/>
        <v>2.9816492518134223E-2</v>
      </c>
      <c r="BZ250" s="3" t="str">
        <f t="shared" si="42"/>
        <v>OK</v>
      </c>
    </row>
    <row r="251" spans="1:78">
      <c r="A251" s="76"/>
      <c r="B251" s="76"/>
      <c r="C251" s="125"/>
      <c r="D251" s="125"/>
      <c r="E251" s="71"/>
      <c r="F251" s="71"/>
      <c r="G251" s="71"/>
      <c r="H251" s="126"/>
      <c r="I251" s="125"/>
      <c r="J251" s="123"/>
      <c r="K251" s="12"/>
      <c r="L251" s="117"/>
      <c r="M251" s="12"/>
      <c r="N251" s="117"/>
      <c r="O251" s="117"/>
      <c r="P251" s="117"/>
      <c r="Q251" s="118"/>
      <c r="R251" s="118"/>
      <c r="S251" s="118"/>
      <c r="T251" s="12"/>
      <c r="U251" s="118"/>
      <c r="V251" s="118"/>
      <c r="W251" s="12"/>
      <c r="X251" s="119"/>
      <c r="Y251" s="120"/>
      <c r="Z251" s="12"/>
      <c r="BA251" s="70" t="s">
        <v>205</v>
      </c>
      <c r="BB251" s="71" t="s">
        <v>209</v>
      </c>
      <c r="BC251" s="71" t="s">
        <v>207</v>
      </c>
      <c r="BD251" s="71">
        <v>4.05</v>
      </c>
      <c r="BE251" s="71">
        <v>6.48</v>
      </c>
      <c r="BF251" s="71">
        <v>268</v>
      </c>
      <c r="BG251" s="71">
        <v>212</v>
      </c>
      <c r="BH251" s="71">
        <v>5</v>
      </c>
      <c r="BI251" s="71">
        <v>10</v>
      </c>
      <c r="BJ251" s="12" t="str" cm="1">
        <f t="array" ref="BJ251">_xll.Dce_Name_SectI(BF251, BF251, BG251, BH251, BI251, "x", "-", $AX$11)</f>
        <v>268x212x5x10</v>
      </c>
      <c r="BK251" s="77" cm="1">
        <f t="array" ref="BK251">_xll.DCEPropSectI(BF251, BH251, BG251, BI251, BG251, BI251, "A")/100</f>
        <v>54.8</v>
      </c>
      <c r="BL251" s="70" t="s">
        <v>223</v>
      </c>
      <c r="BM251" s="70">
        <v>-18.018965997632915</v>
      </c>
      <c r="BN251" s="71">
        <v>0.9</v>
      </c>
      <c r="BO251" s="77">
        <f t="shared" si="35"/>
        <v>5.8320000000000007</v>
      </c>
      <c r="BP251" s="71">
        <v>0.9</v>
      </c>
      <c r="BQ251" s="77">
        <f t="shared" si="36"/>
        <v>5.8320000000000007</v>
      </c>
      <c r="BR251" s="77" cm="1">
        <f t="array" ref="BR251">_xll.DCEPropSectI(BF251, BH251, BG251, BI251, BG251, BI251, "rx")/10</f>
        <v>11.847052463297633</v>
      </c>
      <c r="BS251" s="77" cm="1">
        <f t="array" ref="BS251">_xll.DCEPropSectI(BF251, BH251, BG251, BI251, BG251, BI251, "ry")/10</f>
        <v>5.3836052600564113</v>
      </c>
      <c r="BT251" s="5">
        <f t="shared" si="37"/>
        <v>49.227434571321723</v>
      </c>
      <c r="BU251" s="5">
        <f t="shared" si="38"/>
        <v>108.32889333975595</v>
      </c>
      <c r="BV251" s="5">
        <f t="shared" si="39"/>
        <v>108.32889333975595</v>
      </c>
      <c r="BW251" s="71">
        <f t="shared" si="40"/>
        <v>200</v>
      </c>
      <c r="BX251" s="78" cm="1">
        <f t="array" ref="BX251">IF(BM251&gt;0,1,_xll.DCETCVN5575FactorPhi7121(BV251*SQRT($K$17/206000),"b"))</f>
        <v>0.51518827926471056</v>
      </c>
      <c r="BY251" s="64">
        <f t="shared" si="41"/>
        <v>3.0392332960132547E-2</v>
      </c>
      <c r="BZ251" s="3" t="str">
        <f t="shared" si="42"/>
        <v>OK</v>
      </c>
    </row>
    <row r="252" spans="1:78">
      <c r="A252" s="76"/>
      <c r="B252" s="76"/>
      <c r="C252" s="125"/>
      <c r="D252" s="125"/>
      <c r="E252" s="71"/>
      <c r="F252" s="71"/>
      <c r="G252" s="71"/>
      <c r="H252" s="126"/>
      <c r="I252" s="125"/>
      <c r="J252" s="123"/>
      <c r="K252" s="12"/>
      <c r="L252" s="117"/>
      <c r="M252" s="12"/>
      <c r="N252" s="117"/>
      <c r="O252" s="117"/>
      <c r="P252" s="117"/>
      <c r="Q252" s="118"/>
      <c r="R252" s="118"/>
      <c r="S252" s="118"/>
      <c r="T252" s="12"/>
      <c r="U252" s="118"/>
      <c r="V252" s="118"/>
      <c r="W252" s="12"/>
      <c r="X252" s="119"/>
      <c r="Y252" s="120"/>
      <c r="Z252" s="12"/>
      <c r="BA252" s="70" t="s">
        <v>205</v>
      </c>
      <c r="BB252" s="71" t="s">
        <v>209</v>
      </c>
      <c r="BC252" s="71" t="s">
        <v>207</v>
      </c>
      <c r="BD252" s="71">
        <v>4.8600000000000003</v>
      </c>
      <c r="BE252" s="71">
        <v>6.48</v>
      </c>
      <c r="BF252" s="71">
        <v>268</v>
      </c>
      <c r="BG252" s="71">
        <v>212</v>
      </c>
      <c r="BH252" s="71">
        <v>5</v>
      </c>
      <c r="BI252" s="71">
        <v>10</v>
      </c>
      <c r="BJ252" s="12" t="str" cm="1">
        <f t="array" ref="BJ252">_xll.Dce_Name_SectI(BF252, BF252, BG252, BH252, BI252, "x", "-", $AX$11)</f>
        <v>268x212x5x10</v>
      </c>
      <c r="BK252" s="77" cm="1">
        <f t="array" ref="BK252">_xll.DCEPropSectI(BF252, BH252, BG252, BI252, BG252, BI252, "A")/100</f>
        <v>54.8</v>
      </c>
      <c r="BL252" s="70" t="s">
        <v>223</v>
      </c>
      <c r="BM252" s="70">
        <v>-18.360369514040837</v>
      </c>
      <c r="BN252" s="71">
        <v>0.9</v>
      </c>
      <c r="BO252" s="77">
        <f t="shared" si="35"/>
        <v>5.8320000000000007</v>
      </c>
      <c r="BP252" s="71">
        <v>0.9</v>
      </c>
      <c r="BQ252" s="77">
        <f t="shared" si="36"/>
        <v>5.8320000000000007</v>
      </c>
      <c r="BR252" s="77" cm="1">
        <f t="array" ref="BR252">_xll.DCEPropSectI(BF252, BH252, BG252, BI252, BG252, BI252, "rx")/10</f>
        <v>11.847052463297633</v>
      </c>
      <c r="BS252" s="77" cm="1">
        <f t="array" ref="BS252">_xll.DCEPropSectI(BF252, BH252, BG252, BI252, BG252, BI252, "ry")/10</f>
        <v>5.3836052600564113</v>
      </c>
      <c r="BT252" s="5">
        <f t="shared" si="37"/>
        <v>49.227434571321723</v>
      </c>
      <c r="BU252" s="5">
        <f t="shared" si="38"/>
        <v>108.32889333975595</v>
      </c>
      <c r="BV252" s="5">
        <f t="shared" si="39"/>
        <v>108.32889333975595</v>
      </c>
      <c r="BW252" s="71">
        <f t="shared" si="40"/>
        <v>200</v>
      </c>
      <c r="BX252" s="78" cm="1">
        <f t="array" ref="BX252">IF(BM252&gt;0,1,_xll.DCETCVN5575FactorPhi7121(BV252*SQRT($K$17/206000),"b"))</f>
        <v>0.51518827926471056</v>
      </c>
      <c r="BY252" s="64">
        <f t="shared" si="41"/>
        <v>3.0968173402130868E-2</v>
      </c>
      <c r="BZ252" s="3" t="str">
        <f t="shared" si="42"/>
        <v>OK</v>
      </c>
    </row>
    <row r="253" spans="1:78">
      <c r="A253" s="76"/>
      <c r="B253" s="76"/>
      <c r="C253" s="125"/>
      <c r="D253" s="125"/>
      <c r="E253" s="71"/>
      <c r="F253" s="71"/>
      <c r="G253" s="71"/>
      <c r="H253" s="126"/>
      <c r="I253" s="125"/>
      <c r="J253" s="123"/>
      <c r="K253" s="12"/>
      <c r="L253" s="117"/>
      <c r="M253" s="12"/>
      <c r="N253" s="117"/>
      <c r="O253" s="117"/>
      <c r="P253" s="117"/>
      <c r="Q253" s="118"/>
      <c r="R253" s="118"/>
      <c r="S253" s="118"/>
      <c r="T253" s="12"/>
      <c r="U253" s="118"/>
      <c r="V253" s="118"/>
      <c r="W253" s="12"/>
      <c r="X253" s="119"/>
      <c r="Y253" s="120"/>
      <c r="Z253" s="12"/>
      <c r="BA253" s="70" t="s">
        <v>205</v>
      </c>
      <c r="BB253" s="71" t="s">
        <v>209</v>
      </c>
      <c r="BC253" s="71" t="s">
        <v>207</v>
      </c>
      <c r="BD253" s="71">
        <v>5.67</v>
      </c>
      <c r="BE253" s="71">
        <v>6.48</v>
      </c>
      <c r="BF253" s="71">
        <v>268</v>
      </c>
      <c r="BG253" s="71">
        <v>212</v>
      </c>
      <c r="BH253" s="71">
        <v>5</v>
      </c>
      <c r="BI253" s="71">
        <v>10</v>
      </c>
      <c r="BJ253" s="12" t="str" cm="1">
        <f t="array" ref="BJ253">_xll.Dce_Name_SectI(BF253, BF253, BG253, BH253, BI253, "x", "-", $AX$11)</f>
        <v>268x212x5x10</v>
      </c>
      <c r="BK253" s="77" cm="1">
        <f t="array" ref="BK253">_xll.DCEPropSectI(BF253, BH253, BG253, BI253, BG253, BI253, "A")/100</f>
        <v>54.8</v>
      </c>
      <c r="BL253" s="70" t="s">
        <v>223</v>
      </c>
      <c r="BM253" s="70">
        <v>-18.701773030448759</v>
      </c>
      <c r="BN253" s="71">
        <v>0.9</v>
      </c>
      <c r="BO253" s="77">
        <f t="shared" si="35"/>
        <v>5.8320000000000007</v>
      </c>
      <c r="BP253" s="71">
        <v>0.9</v>
      </c>
      <c r="BQ253" s="77">
        <f t="shared" si="36"/>
        <v>5.8320000000000007</v>
      </c>
      <c r="BR253" s="77" cm="1">
        <f t="array" ref="BR253">_xll.DCEPropSectI(BF253, BH253, BG253, BI253, BG253, BI253, "rx")/10</f>
        <v>11.847052463297633</v>
      </c>
      <c r="BS253" s="77" cm="1">
        <f t="array" ref="BS253">_xll.DCEPropSectI(BF253, BH253, BG253, BI253, BG253, BI253, "ry")/10</f>
        <v>5.3836052600564113</v>
      </c>
      <c r="BT253" s="5">
        <f t="shared" si="37"/>
        <v>49.227434571321723</v>
      </c>
      <c r="BU253" s="5">
        <f t="shared" si="38"/>
        <v>108.32889333975595</v>
      </c>
      <c r="BV253" s="5">
        <f t="shared" si="39"/>
        <v>108.32889333975595</v>
      </c>
      <c r="BW253" s="71">
        <f t="shared" si="40"/>
        <v>200</v>
      </c>
      <c r="BX253" s="78" cm="1">
        <f t="array" ref="BX253">IF(BM253&gt;0,1,_xll.DCETCVN5575FactorPhi7121(BV253*SQRT($K$17/206000),"b"))</f>
        <v>0.51518827926471056</v>
      </c>
      <c r="BY253" s="64">
        <f t="shared" si="41"/>
        <v>3.1544013844129193E-2</v>
      </c>
      <c r="BZ253" s="3" t="str">
        <f t="shared" si="42"/>
        <v>OK</v>
      </c>
    </row>
    <row r="254" spans="1:78">
      <c r="A254" s="76"/>
      <c r="B254" s="76"/>
      <c r="C254" s="125"/>
      <c r="D254" s="125"/>
      <c r="E254" s="71"/>
      <c r="F254" s="71"/>
      <c r="G254" s="71"/>
      <c r="H254" s="126"/>
      <c r="I254" s="125"/>
      <c r="J254" s="123"/>
      <c r="K254" s="12"/>
      <c r="L254" s="117"/>
      <c r="M254" s="12"/>
      <c r="N254" s="117"/>
      <c r="O254" s="117"/>
      <c r="P254" s="117"/>
      <c r="Q254" s="118"/>
      <c r="R254" s="118"/>
      <c r="S254" s="118"/>
      <c r="T254" s="12"/>
      <c r="U254" s="118"/>
      <c r="V254" s="118"/>
      <c r="W254" s="12"/>
      <c r="X254" s="119"/>
      <c r="Y254" s="120"/>
      <c r="Z254" s="12"/>
      <c r="BA254" s="70" t="s">
        <v>205</v>
      </c>
      <c r="BB254" s="71" t="s">
        <v>209</v>
      </c>
      <c r="BC254" s="71" t="s">
        <v>207</v>
      </c>
      <c r="BD254" s="71">
        <v>6.48</v>
      </c>
      <c r="BE254" s="71">
        <v>6.48</v>
      </c>
      <c r="BF254" s="71">
        <v>268</v>
      </c>
      <c r="BG254" s="71">
        <v>212</v>
      </c>
      <c r="BH254" s="71">
        <v>5</v>
      </c>
      <c r="BI254" s="71">
        <v>10</v>
      </c>
      <c r="BJ254" s="12" t="str" cm="1">
        <f t="array" ref="BJ254">_xll.Dce_Name_SectI(BF254, BF254, BG254, BH254, BI254, "x", "-", $AX$11)</f>
        <v>268x212x5x10</v>
      </c>
      <c r="BK254" s="77" cm="1">
        <f t="array" ref="BK254">_xll.DCEPropSectI(BF254, BH254, BG254, BI254, BG254, BI254, "A")/100</f>
        <v>54.8</v>
      </c>
      <c r="BL254" s="70" t="s">
        <v>223</v>
      </c>
      <c r="BM254" s="70">
        <v>-19.043176546856682</v>
      </c>
      <c r="BN254" s="71">
        <v>0.9</v>
      </c>
      <c r="BO254" s="77">
        <f t="shared" si="35"/>
        <v>5.8320000000000007</v>
      </c>
      <c r="BP254" s="71">
        <v>0.9</v>
      </c>
      <c r="BQ254" s="77">
        <f t="shared" si="36"/>
        <v>5.8320000000000007</v>
      </c>
      <c r="BR254" s="77" cm="1">
        <f t="array" ref="BR254">_xll.DCEPropSectI(BF254, BH254, BG254, BI254, BG254, BI254, "rx")/10</f>
        <v>11.847052463297633</v>
      </c>
      <c r="BS254" s="77" cm="1">
        <f t="array" ref="BS254">_xll.DCEPropSectI(BF254, BH254, BG254, BI254, BG254, BI254, "ry")/10</f>
        <v>5.3836052600564113</v>
      </c>
      <c r="BT254" s="5">
        <f t="shared" si="37"/>
        <v>49.227434571321723</v>
      </c>
      <c r="BU254" s="5">
        <f t="shared" si="38"/>
        <v>108.32889333975595</v>
      </c>
      <c r="BV254" s="5">
        <f t="shared" si="39"/>
        <v>108.32889333975595</v>
      </c>
      <c r="BW254" s="71">
        <f t="shared" si="40"/>
        <v>200</v>
      </c>
      <c r="BX254" s="78" cm="1">
        <f t="array" ref="BX254">IF(BM254&gt;0,1,_xll.DCETCVN5575FactorPhi7121(BV254*SQRT($K$17/206000),"b"))</f>
        <v>0.51518827926471056</v>
      </c>
      <c r="BY254" s="64">
        <f t="shared" si="41"/>
        <v>3.2119854286127514E-2</v>
      </c>
      <c r="BZ254" s="3" t="str">
        <f t="shared" si="42"/>
        <v>OK</v>
      </c>
    </row>
    <row r="255" spans="1:78">
      <c r="A255" s="76"/>
      <c r="B255" s="76"/>
      <c r="C255" s="125"/>
      <c r="D255" s="125"/>
      <c r="E255" s="71"/>
      <c r="F255" s="71"/>
      <c r="G255" s="71"/>
      <c r="H255" s="126"/>
      <c r="I255" s="125"/>
      <c r="J255" s="123"/>
      <c r="K255" s="12"/>
      <c r="L255" s="117"/>
      <c r="M255" s="12"/>
      <c r="N255" s="117"/>
      <c r="O255" s="117"/>
      <c r="P255" s="117"/>
      <c r="Q255" s="118"/>
      <c r="R255" s="118"/>
      <c r="S255" s="118"/>
      <c r="T255" s="12"/>
      <c r="U255" s="118"/>
      <c r="V255" s="118"/>
      <c r="W255" s="12"/>
      <c r="X255" s="119"/>
      <c r="Y255" s="120"/>
      <c r="Z255" s="12"/>
      <c r="BA255" s="70" t="s">
        <v>205</v>
      </c>
      <c r="BB255" s="71" t="s">
        <v>209</v>
      </c>
      <c r="BC255" s="71" t="s">
        <v>207</v>
      </c>
      <c r="BD255" s="71">
        <v>0</v>
      </c>
      <c r="BE255" s="71">
        <v>6.48</v>
      </c>
      <c r="BF255" s="71">
        <v>268</v>
      </c>
      <c r="BG255" s="71">
        <v>212</v>
      </c>
      <c r="BH255" s="71">
        <v>5</v>
      </c>
      <c r="BI255" s="71">
        <v>10</v>
      </c>
      <c r="BJ255" s="12" t="str" cm="1">
        <f t="array" ref="BJ255">_xll.Dce_Name_SectI(BF255, BF255, BG255, BH255, BI255, "x", "-", $AX$11)</f>
        <v>268x212x5x10</v>
      </c>
      <c r="BK255" s="77" cm="1">
        <f t="array" ref="BK255">_xll.DCEPropSectI(BF255, BH255, BG255, BI255, BG255, BI255, "A")/100</f>
        <v>54.8</v>
      </c>
      <c r="BL255" s="70" t="s">
        <v>224</v>
      </c>
      <c r="BM255" s="70">
        <v>45.57310699003078</v>
      </c>
      <c r="BN255" s="71">
        <v>0.9</v>
      </c>
      <c r="BO255" s="77">
        <f t="shared" si="35"/>
        <v>5.8320000000000007</v>
      </c>
      <c r="BP255" s="71">
        <v>0.9</v>
      </c>
      <c r="BQ255" s="77">
        <f t="shared" si="36"/>
        <v>5.8320000000000007</v>
      </c>
      <c r="BR255" s="77" cm="1">
        <f t="array" ref="BR255">_xll.DCEPropSectI(BF255, BH255, BG255, BI255, BG255, BI255, "rx")/10</f>
        <v>11.847052463297633</v>
      </c>
      <c r="BS255" s="77" cm="1">
        <f t="array" ref="BS255">_xll.DCEPropSectI(BF255, BH255, BG255, BI255, BG255, BI255, "ry")/10</f>
        <v>5.3836052600564113</v>
      </c>
      <c r="BT255" s="5">
        <f t="shared" si="37"/>
        <v>49.227434571321723</v>
      </c>
      <c r="BU255" s="5">
        <f t="shared" si="38"/>
        <v>108.32889333975595</v>
      </c>
      <c r="BV255" s="5">
        <f t="shared" si="39"/>
        <v>108.32889333975595</v>
      </c>
      <c r="BW255" s="71">
        <f t="shared" si="40"/>
        <v>400</v>
      </c>
      <c r="BX255" s="78" cm="1">
        <f t="array" ref="BX255">IF(BM255&gt;0,1,_xll.DCETCVN5575FactorPhi7121(BV255*SQRT($K$17/206000),"b"))</f>
        <v>1</v>
      </c>
      <c r="BY255" s="64">
        <f t="shared" si="41"/>
        <v>3.960123999828883E-2</v>
      </c>
      <c r="BZ255" s="3" t="str">
        <f t="shared" si="42"/>
        <v>OK</v>
      </c>
    </row>
    <row r="256" spans="1:78">
      <c r="A256" s="76"/>
      <c r="B256" s="76"/>
      <c r="C256" s="125"/>
      <c r="D256" s="125"/>
      <c r="E256" s="71"/>
      <c r="F256" s="71"/>
      <c r="G256" s="71"/>
      <c r="H256" s="126"/>
      <c r="I256" s="125"/>
      <c r="J256" s="123"/>
      <c r="K256" s="12"/>
      <c r="L256" s="117"/>
      <c r="M256" s="12"/>
      <c r="N256" s="117"/>
      <c r="O256" s="117"/>
      <c r="P256" s="117"/>
      <c r="Q256" s="118"/>
      <c r="R256" s="118"/>
      <c r="S256" s="118"/>
      <c r="T256" s="12"/>
      <c r="U256" s="118"/>
      <c r="V256" s="118"/>
      <c r="W256" s="12"/>
      <c r="X256" s="119"/>
      <c r="Y256" s="120"/>
      <c r="Z256" s="12"/>
      <c r="BA256" s="70" t="s">
        <v>205</v>
      </c>
      <c r="BB256" s="71" t="s">
        <v>209</v>
      </c>
      <c r="BC256" s="71" t="s">
        <v>207</v>
      </c>
      <c r="BD256" s="71">
        <v>0.81</v>
      </c>
      <c r="BE256" s="71">
        <v>6.48</v>
      </c>
      <c r="BF256" s="71">
        <v>268</v>
      </c>
      <c r="BG256" s="71">
        <v>212</v>
      </c>
      <c r="BH256" s="71">
        <v>5</v>
      </c>
      <c r="BI256" s="71">
        <v>10</v>
      </c>
      <c r="BJ256" s="12" t="str" cm="1">
        <f t="array" ref="BJ256">_xll.Dce_Name_SectI(BF256, BF256, BG256, BH256, BI256, "x", "-", $AX$11)</f>
        <v>268x212x5x10</v>
      </c>
      <c r="BK256" s="77" cm="1">
        <f t="array" ref="BK256">_xll.DCEPropSectI(BF256, BH256, BG256, BI256, BG256, BI256, "A")/100</f>
        <v>54.8</v>
      </c>
      <c r="BL256" s="70" t="s">
        <v>224</v>
      </c>
      <c r="BM256" s="70">
        <v>45.231703473622858</v>
      </c>
      <c r="BN256" s="71">
        <v>0.9</v>
      </c>
      <c r="BO256" s="77">
        <f t="shared" si="35"/>
        <v>5.8320000000000007</v>
      </c>
      <c r="BP256" s="71">
        <v>0.9</v>
      </c>
      <c r="BQ256" s="77">
        <f t="shared" si="36"/>
        <v>5.8320000000000007</v>
      </c>
      <c r="BR256" s="77" cm="1">
        <f t="array" ref="BR256">_xll.DCEPropSectI(BF256, BH256, BG256, BI256, BG256, BI256, "rx")/10</f>
        <v>11.847052463297633</v>
      </c>
      <c r="BS256" s="77" cm="1">
        <f t="array" ref="BS256">_xll.DCEPropSectI(BF256, BH256, BG256, BI256, BG256, BI256, "ry")/10</f>
        <v>5.3836052600564113</v>
      </c>
      <c r="BT256" s="5">
        <f t="shared" si="37"/>
        <v>49.227434571321723</v>
      </c>
      <c r="BU256" s="5">
        <f t="shared" si="38"/>
        <v>108.32889333975595</v>
      </c>
      <c r="BV256" s="5">
        <f t="shared" si="39"/>
        <v>108.32889333975595</v>
      </c>
      <c r="BW256" s="71">
        <f t="shared" si="40"/>
        <v>400</v>
      </c>
      <c r="BX256" s="78" cm="1">
        <f t="array" ref="BX256">IF(BM256&gt;0,1,_xll.DCETCVN5575FactorPhi7121(BV256*SQRT($K$17/206000),"b"))</f>
        <v>1</v>
      </c>
      <c r="BY256" s="64">
        <f t="shared" si="41"/>
        <v>3.9304573751844686E-2</v>
      </c>
      <c r="BZ256" s="3" t="str">
        <f t="shared" si="42"/>
        <v>OK</v>
      </c>
    </row>
    <row r="257" spans="1:78">
      <c r="A257" s="76"/>
      <c r="B257" s="76"/>
      <c r="C257" s="125"/>
      <c r="D257" s="125"/>
      <c r="E257" s="71"/>
      <c r="F257" s="71"/>
      <c r="G257" s="71"/>
      <c r="H257" s="126"/>
      <c r="I257" s="125"/>
      <c r="J257" s="123"/>
      <c r="K257" s="12"/>
      <c r="L257" s="117"/>
      <c r="M257" s="12"/>
      <c r="N257" s="117"/>
      <c r="O257" s="117"/>
      <c r="P257" s="117"/>
      <c r="Q257" s="118"/>
      <c r="R257" s="118"/>
      <c r="S257" s="118"/>
      <c r="T257" s="12"/>
      <c r="U257" s="118"/>
      <c r="V257" s="118"/>
      <c r="W257" s="12"/>
      <c r="X257" s="119"/>
      <c r="Y257" s="120"/>
      <c r="Z257" s="12"/>
      <c r="BA257" s="70" t="s">
        <v>205</v>
      </c>
      <c r="BB257" s="71" t="s">
        <v>209</v>
      </c>
      <c r="BC257" s="71" t="s">
        <v>207</v>
      </c>
      <c r="BD257" s="71">
        <v>1.62</v>
      </c>
      <c r="BE257" s="71">
        <v>6.48</v>
      </c>
      <c r="BF257" s="71">
        <v>268</v>
      </c>
      <c r="BG257" s="71">
        <v>212</v>
      </c>
      <c r="BH257" s="71">
        <v>5</v>
      </c>
      <c r="BI257" s="71">
        <v>10</v>
      </c>
      <c r="BJ257" s="12" t="str" cm="1">
        <f t="array" ref="BJ257">_xll.Dce_Name_SectI(BF257, BF257, BG257, BH257, BI257, "x", "-", $AX$11)</f>
        <v>268x212x5x10</v>
      </c>
      <c r="BK257" s="77" cm="1">
        <f t="array" ref="BK257">_xll.DCEPropSectI(BF257, BH257, BG257, BI257, BG257, BI257, "A")/100</f>
        <v>54.8</v>
      </c>
      <c r="BL257" s="70" t="s">
        <v>224</v>
      </c>
      <c r="BM257" s="70">
        <v>44.890299957214935</v>
      </c>
      <c r="BN257" s="71">
        <v>0.9</v>
      </c>
      <c r="BO257" s="77">
        <f t="shared" si="35"/>
        <v>5.8320000000000007</v>
      </c>
      <c r="BP257" s="71">
        <v>0.9</v>
      </c>
      <c r="BQ257" s="77">
        <f t="shared" si="36"/>
        <v>5.8320000000000007</v>
      </c>
      <c r="BR257" s="77" cm="1">
        <f t="array" ref="BR257">_xll.DCEPropSectI(BF257, BH257, BG257, BI257, BG257, BI257, "rx")/10</f>
        <v>11.847052463297633</v>
      </c>
      <c r="BS257" s="77" cm="1">
        <f t="array" ref="BS257">_xll.DCEPropSectI(BF257, BH257, BG257, BI257, BG257, BI257, "ry")/10</f>
        <v>5.3836052600564113</v>
      </c>
      <c r="BT257" s="5">
        <f t="shared" si="37"/>
        <v>49.227434571321723</v>
      </c>
      <c r="BU257" s="5">
        <f t="shared" si="38"/>
        <v>108.32889333975595</v>
      </c>
      <c r="BV257" s="5">
        <f t="shared" si="39"/>
        <v>108.32889333975595</v>
      </c>
      <c r="BW257" s="71">
        <f t="shared" si="40"/>
        <v>400</v>
      </c>
      <c r="BX257" s="78" cm="1">
        <f t="array" ref="BX257">IF(BM257&gt;0,1,_xll.DCETCVN5575FactorPhi7121(BV257*SQRT($K$17/206000),"b"))</f>
        <v>1</v>
      </c>
      <c r="BY257" s="64">
        <f t="shared" si="41"/>
        <v>3.9007907505400542E-2</v>
      </c>
      <c r="BZ257" s="3" t="str">
        <f t="shared" si="42"/>
        <v>OK</v>
      </c>
    </row>
    <row r="258" spans="1:78">
      <c r="A258" s="76"/>
      <c r="B258" s="76"/>
      <c r="C258" s="125"/>
      <c r="D258" s="125"/>
      <c r="E258" s="71"/>
      <c r="F258" s="71"/>
      <c r="G258" s="71"/>
      <c r="H258" s="126"/>
      <c r="I258" s="125"/>
      <c r="J258" s="123"/>
      <c r="K258" s="12"/>
      <c r="L258" s="117"/>
      <c r="M258" s="12"/>
      <c r="N258" s="117"/>
      <c r="O258" s="117"/>
      <c r="P258" s="117"/>
      <c r="Q258" s="118"/>
      <c r="R258" s="118"/>
      <c r="S258" s="118"/>
      <c r="T258" s="12"/>
      <c r="U258" s="118"/>
      <c r="V258" s="118"/>
      <c r="W258" s="12"/>
      <c r="X258" s="119"/>
      <c r="Y258" s="120"/>
      <c r="Z258" s="12"/>
      <c r="BA258" s="70" t="s">
        <v>205</v>
      </c>
      <c r="BB258" s="71" t="s">
        <v>209</v>
      </c>
      <c r="BC258" s="71" t="s">
        <v>207</v>
      </c>
      <c r="BD258" s="71">
        <v>2.4300000000000002</v>
      </c>
      <c r="BE258" s="71">
        <v>6.48</v>
      </c>
      <c r="BF258" s="71">
        <v>268</v>
      </c>
      <c r="BG258" s="71">
        <v>212</v>
      </c>
      <c r="BH258" s="71">
        <v>5</v>
      </c>
      <c r="BI258" s="71">
        <v>10</v>
      </c>
      <c r="BJ258" s="12" t="str" cm="1">
        <f t="array" ref="BJ258">_xll.Dce_Name_SectI(BF258, BF258, BG258, BH258, BI258, "x", "-", $AX$11)</f>
        <v>268x212x5x10</v>
      </c>
      <c r="BK258" s="77" cm="1">
        <f t="array" ref="BK258">_xll.DCEPropSectI(BF258, BH258, BG258, BI258, BG258, BI258, "A")/100</f>
        <v>54.8</v>
      </c>
      <c r="BL258" s="70" t="s">
        <v>224</v>
      </c>
      <c r="BM258" s="70">
        <v>44.548896440807013</v>
      </c>
      <c r="BN258" s="71">
        <v>0.9</v>
      </c>
      <c r="BO258" s="77">
        <f t="shared" si="35"/>
        <v>5.8320000000000007</v>
      </c>
      <c r="BP258" s="71">
        <v>0.9</v>
      </c>
      <c r="BQ258" s="77">
        <f t="shared" si="36"/>
        <v>5.8320000000000007</v>
      </c>
      <c r="BR258" s="77" cm="1">
        <f t="array" ref="BR258">_xll.DCEPropSectI(BF258, BH258, BG258, BI258, BG258, BI258, "rx")/10</f>
        <v>11.847052463297633</v>
      </c>
      <c r="BS258" s="77" cm="1">
        <f t="array" ref="BS258">_xll.DCEPropSectI(BF258, BH258, BG258, BI258, BG258, BI258, "ry")/10</f>
        <v>5.3836052600564113</v>
      </c>
      <c r="BT258" s="5">
        <f t="shared" si="37"/>
        <v>49.227434571321723</v>
      </c>
      <c r="BU258" s="5">
        <f t="shared" si="38"/>
        <v>108.32889333975595</v>
      </c>
      <c r="BV258" s="5">
        <f t="shared" si="39"/>
        <v>108.32889333975595</v>
      </c>
      <c r="BW258" s="71">
        <f t="shared" si="40"/>
        <v>400</v>
      </c>
      <c r="BX258" s="78" cm="1">
        <f t="array" ref="BX258">IF(BM258&gt;0,1,_xll.DCETCVN5575FactorPhi7121(BV258*SQRT($K$17/206000),"b"))</f>
        <v>1</v>
      </c>
      <c r="BY258" s="64">
        <f t="shared" si="41"/>
        <v>3.8711241258956391E-2</v>
      </c>
      <c r="BZ258" s="3" t="str">
        <f t="shared" si="42"/>
        <v>OK</v>
      </c>
    </row>
    <row r="259" spans="1:78">
      <c r="A259" s="76"/>
      <c r="B259" s="76"/>
      <c r="C259" s="125"/>
      <c r="D259" s="125"/>
      <c r="E259" s="71"/>
      <c r="F259" s="71"/>
      <c r="G259" s="71"/>
      <c r="H259" s="126"/>
      <c r="I259" s="125"/>
      <c r="J259" s="123"/>
      <c r="K259" s="12"/>
      <c r="L259" s="117"/>
      <c r="M259" s="12"/>
      <c r="N259" s="117"/>
      <c r="O259" s="117"/>
      <c r="P259" s="117"/>
      <c r="Q259" s="118"/>
      <c r="R259" s="118"/>
      <c r="S259" s="118"/>
      <c r="T259" s="12"/>
      <c r="U259" s="118"/>
      <c r="V259" s="118"/>
      <c r="W259" s="12"/>
      <c r="X259" s="119"/>
      <c r="Y259" s="120"/>
      <c r="Z259" s="12"/>
      <c r="BA259" s="70" t="s">
        <v>205</v>
      </c>
      <c r="BB259" s="71" t="s">
        <v>209</v>
      </c>
      <c r="BC259" s="71" t="s">
        <v>207</v>
      </c>
      <c r="BD259" s="71">
        <v>3.24</v>
      </c>
      <c r="BE259" s="71">
        <v>6.48</v>
      </c>
      <c r="BF259" s="71">
        <v>268</v>
      </c>
      <c r="BG259" s="71">
        <v>212</v>
      </c>
      <c r="BH259" s="71">
        <v>5</v>
      </c>
      <c r="BI259" s="71">
        <v>10</v>
      </c>
      <c r="BJ259" s="12" t="str" cm="1">
        <f t="array" ref="BJ259">_xll.Dce_Name_SectI(BF259, BF259, BG259, BH259, BI259, "x", "-", $AX$11)</f>
        <v>268x212x5x10</v>
      </c>
      <c r="BK259" s="77" cm="1">
        <f t="array" ref="BK259">_xll.DCEPropSectI(BF259, BH259, BG259, BI259, BG259, BI259, "A")/100</f>
        <v>54.8</v>
      </c>
      <c r="BL259" s="70" t="s">
        <v>224</v>
      </c>
      <c r="BM259" s="70">
        <v>44.207492924399091</v>
      </c>
      <c r="BN259" s="71">
        <v>0.9</v>
      </c>
      <c r="BO259" s="77">
        <f t="shared" si="35"/>
        <v>5.8320000000000007</v>
      </c>
      <c r="BP259" s="71">
        <v>0.9</v>
      </c>
      <c r="BQ259" s="77">
        <f t="shared" si="36"/>
        <v>5.8320000000000007</v>
      </c>
      <c r="BR259" s="77" cm="1">
        <f t="array" ref="BR259">_xll.DCEPropSectI(BF259, BH259, BG259, BI259, BG259, BI259, "rx")/10</f>
        <v>11.847052463297633</v>
      </c>
      <c r="BS259" s="77" cm="1">
        <f t="array" ref="BS259">_xll.DCEPropSectI(BF259, BH259, BG259, BI259, BG259, BI259, "ry")/10</f>
        <v>5.3836052600564113</v>
      </c>
      <c r="BT259" s="5">
        <f t="shared" si="37"/>
        <v>49.227434571321723</v>
      </c>
      <c r="BU259" s="5">
        <f t="shared" si="38"/>
        <v>108.32889333975595</v>
      </c>
      <c r="BV259" s="5">
        <f t="shared" si="39"/>
        <v>108.32889333975595</v>
      </c>
      <c r="BW259" s="71">
        <f t="shared" si="40"/>
        <v>400</v>
      </c>
      <c r="BX259" s="78" cm="1">
        <f t="array" ref="BX259">IF(BM259&gt;0,1,_xll.DCETCVN5575FactorPhi7121(BV259*SQRT($K$17/206000),"b"))</f>
        <v>1</v>
      </c>
      <c r="BY259" s="64">
        <f t="shared" si="41"/>
        <v>3.8414575012512248E-2</v>
      </c>
      <c r="BZ259" s="3" t="str">
        <f t="shared" si="42"/>
        <v>OK</v>
      </c>
    </row>
    <row r="260" spans="1:78">
      <c r="A260" s="76"/>
      <c r="B260" s="76"/>
      <c r="C260" s="125"/>
      <c r="D260" s="125"/>
      <c r="E260" s="71"/>
      <c r="F260" s="71"/>
      <c r="G260" s="71"/>
      <c r="H260" s="126"/>
      <c r="I260" s="125"/>
      <c r="J260" s="123"/>
      <c r="K260" s="12"/>
      <c r="L260" s="117"/>
      <c r="M260" s="12"/>
      <c r="N260" s="117"/>
      <c r="O260" s="117"/>
      <c r="P260" s="117"/>
      <c r="Q260" s="118"/>
      <c r="R260" s="118"/>
      <c r="S260" s="118"/>
      <c r="T260" s="12"/>
      <c r="U260" s="118"/>
      <c r="V260" s="118"/>
      <c r="W260" s="12"/>
      <c r="X260" s="119"/>
      <c r="Y260" s="120"/>
      <c r="Z260" s="12"/>
      <c r="BA260" s="70" t="s">
        <v>205</v>
      </c>
      <c r="BB260" s="71" t="s">
        <v>209</v>
      </c>
      <c r="BC260" s="71" t="s">
        <v>207</v>
      </c>
      <c r="BD260" s="71">
        <v>4.05</v>
      </c>
      <c r="BE260" s="71">
        <v>6.48</v>
      </c>
      <c r="BF260" s="71">
        <v>268</v>
      </c>
      <c r="BG260" s="71">
        <v>212</v>
      </c>
      <c r="BH260" s="71">
        <v>5</v>
      </c>
      <c r="BI260" s="71">
        <v>10</v>
      </c>
      <c r="BJ260" s="12" t="str" cm="1">
        <f t="array" ref="BJ260">_xll.Dce_Name_SectI(BF260, BF260, BG260, BH260, BI260, "x", "-", $AX$11)</f>
        <v>268x212x5x10</v>
      </c>
      <c r="BK260" s="77" cm="1">
        <f t="array" ref="BK260">_xll.DCEPropSectI(BF260, BH260, BG260, BI260, BG260, BI260, "A")/100</f>
        <v>54.8</v>
      </c>
      <c r="BL260" s="70" t="s">
        <v>224</v>
      </c>
      <c r="BM260" s="70">
        <v>43.866089407991169</v>
      </c>
      <c r="BN260" s="71">
        <v>0.9</v>
      </c>
      <c r="BO260" s="77">
        <f t="shared" si="35"/>
        <v>5.8320000000000007</v>
      </c>
      <c r="BP260" s="71">
        <v>0.9</v>
      </c>
      <c r="BQ260" s="77">
        <f t="shared" si="36"/>
        <v>5.8320000000000007</v>
      </c>
      <c r="BR260" s="77" cm="1">
        <f t="array" ref="BR260">_xll.DCEPropSectI(BF260, BH260, BG260, BI260, BG260, BI260, "rx")/10</f>
        <v>11.847052463297633</v>
      </c>
      <c r="BS260" s="77" cm="1">
        <f t="array" ref="BS260">_xll.DCEPropSectI(BF260, BH260, BG260, BI260, BG260, BI260, "ry")/10</f>
        <v>5.3836052600564113</v>
      </c>
      <c r="BT260" s="5">
        <f t="shared" si="37"/>
        <v>49.227434571321723</v>
      </c>
      <c r="BU260" s="5">
        <f t="shared" si="38"/>
        <v>108.32889333975595</v>
      </c>
      <c r="BV260" s="5">
        <f t="shared" si="39"/>
        <v>108.32889333975595</v>
      </c>
      <c r="BW260" s="71">
        <f t="shared" si="40"/>
        <v>400</v>
      </c>
      <c r="BX260" s="78" cm="1">
        <f t="array" ref="BX260">IF(BM260&gt;0,1,_xll.DCETCVN5575FactorPhi7121(BV260*SQRT($K$17/206000),"b"))</f>
        <v>1</v>
      </c>
      <c r="BY260" s="64">
        <f t="shared" si="41"/>
        <v>3.8117908766068104E-2</v>
      </c>
      <c r="BZ260" s="3" t="str">
        <f t="shared" si="42"/>
        <v>OK</v>
      </c>
    </row>
    <row r="261" spans="1:78">
      <c r="A261" s="76"/>
      <c r="B261" s="76"/>
      <c r="C261" s="125"/>
      <c r="D261" s="125"/>
      <c r="E261" s="71"/>
      <c r="F261" s="71"/>
      <c r="G261" s="71"/>
      <c r="H261" s="126"/>
      <c r="I261" s="125"/>
      <c r="J261" s="123"/>
      <c r="K261" s="12"/>
      <c r="L261" s="117"/>
      <c r="M261" s="12"/>
      <c r="N261" s="117"/>
      <c r="O261" s="117"/>
      <c r="P261" s="117"/>
      <c r="Q261" s="118"/>
      <c r="R261" s="118"/>
      <c r="S261" s="118"/>
      <c r="T261" s="12"/>
      <c r="U261" s="118"/>
      <c r="V261" s="118"/>
      <c r="W261" s="12"/>
      <c r="X261" s="119"/>
      <c r="Y261" s="120"/>
      <c r="Z261" s="12"/>
      <c r="BA261" s="70" t="s">
        <v>205</v>
      </c>
      <c r="BB261" s="71" t="s">
        <v>209</v>
      </c>
      <c r="BC261" s="71" t="s">
        <v>207</v>
      </c>
      <c r="BD261" s="71">
        <v>4.8600000000000003</v>
      </c>
      <c r="BE261" s="71">
        <v>6.48</v>
      </c>
      <c r="BF261" s="71">
        <v>268</v>
      </c>
      <c r="BG261" s="71">
        <v>212</v>
      </c>
      <c r="BH261" s="71">
        <v>5</v>
      </c>
      <c r="BI261" s="71">
        <v>10</v>
      </c>
      <c r="BJ261" s="12" t="str" cm="1">
        <f t="array" ref="BJ261">_xll.Dce_Name_SectI(BF261, BF261, BG261, BH261, BI261, "x", "-", $AX$11)</f>
        <v>268x212x5x10</v>
      </c>
      <c r="BK261" s="77" cm="1">
        <f t="array" ref="BK261">_xll.DCEPropSectI(BF261, BH261, BG261, BI261, BG261, BI261, "A")/100</f>
        <v>54.8</v>
      </c>
      <c r="BL261" s="70" t="s">
        <v>224</v>
      </c>
      <c r="BM261" s="70">
        <v>43.524685891583246</v>
      </c>
      <c r="BN261" s="71">
        <v>0.9</v>
      </c>
      <c r="BO261" s="77">
        <f t="shared" si="35"/>
        <v>5.8320000000000007</v>
      </c>
      <c r="BP261" s="71">
        <v>0.9</v>
      </c>
      <c r="BQ261" s="77">
        <f t="shared" si="36"/>
        <v>5.8320000000000007</v>
      </c>
      <c r="BR261" s="77" cm="1">
        <f t="array" ref="BR261">_xll.DCEPropSectI(BF261, BH261, BG261, BI261, BG261, BI261, "rx")/10</f>
        <v>11.847052463297633</v>
      </c>
      <c r="BS261" s="77" cm="1">
        <f t="array" ref="BS261">_xll.DCEPropSectI(BF261, BH261, BG261, BI261, BG261, BI261, "ry")/10</f>
        <v>5.3836052600564113</v>
      </c>
      <c r="BT261" s="5">
        <f t="shared" si="37"/>
        <v>49.227434571321723</v>
      </c>
      <c r="BU261" s="5">
        <f t="shared" si="38"/>
        <v>108.32889333975595</v>
      </c>
      <c r="BV261" s="5">
        <f t="shared" si="39"/>
        <v>108.32889333975595</v>
      </c>
      <c r="BW261" s="71">
        <f t="shared" si="40"/>
        <v>400</v>
      </c>
      <c r="BX261" s="78" cm="1">
        <f t="array" ref="BX261">IF(BM261&gt;0,1,_xll.DCETCVN5575FactorPhi7121(BV261*SQRT($K$17/206000),"b"))</f>
        <v>1</v>
      </c>
      <c r="BY261" s="64">
        <f t="shared" si="41"/>
        <v>3.782124251962396E-2</v>
      </c>
      <c r="BZ261" s="3" t="str">
        <f t="shared" si="42"/>
        <v>OK</v>
      </c>
    </row>
    <row r="262" spans="1:78">
      <c r="A262" s="76"/>
      <c r="B262" s="76"/>
      <c r="C262" s="125"/>
      <c r="D262" s="125"/>
      <c r="E262" s="71"/>
      <c r="F262" s="71"/>
      <c r="G262" s="71"/>
      <c r="H262" s="126"/>
      <c r="I262" s="125"/>
      <c r="J262" s="123"/>
      <c r="K262" s="12"/>
      <c r="L262" s="117"/>
      <c r="M262" s="12"/>
      <c r="N262" s="117"/>
      <c r="O262" s="117"/>
      <c r="P262" s="117"/>
      <c r="Q262" s="118"/>
      <c r="R262" s="118"/>
      <c r="S262" s="118"/>
      <c r="T262" s="12"/>
      <c r="U262" s="118"/>
      <c r="V262" s="118"/>
      <c r="W262" s="12"/>
      <c r="X262" s="119"/>
      <c r="Y262" s="120"/>
      <c r="Z262" s="12"/>
      <c r="BA262" s="70" t="s">
        <v>205</v>
      </c>
      <c r="BB262" s="71" t="s">
        <v>209</v>
      </c>
      <c r="BC262" s="71" t="s">
        <v>207</v>
      </c>
      <c r="BD262" s="71">
        <v>5.67</v>
      </c>
      <c r="BE262" s="71">
        <v>6.48</v>
      </c>
      <c r="BF262" s="71">
        <v>268</v>
      </c>
      <c r="BG262" s="71">
        <v>212</v>
      </c>
      <c r="BH262" s="71">
        <v>5</v>
      </c>
      <c r="BI262" s="71">
        <v>10</v>
      </c>
      <c r="BJ262" s="12" t="str" cm="1">
        <f t="array" ref="BJ262">_xll.Dce_Name_SectI(BF262, BF262, BG262, BH262, BI262, "x", "-", $AX$11)</f>
        <v>268x212x5x10</v>
      </c>
      <c r="BK262" s="77" cm="1">
        <f t="array" ref="BK262">_xll.DCEPropSectI(BF262, BH262, BG262, BI262, BG262, BI262, "A")/100</f>
        <v>54.8</v>
      </c>
      <c r="BL262" s="70" t="s">
        <v>224</v>
      </c>
      <c r="BM262" s="70">
        <v>43.183282375175324</v>
      </c>
      <c r="BN262" s="71">
        <v>0.9</v>
      </c>
      <c r="BO262" s="77">
        <f t="shared" si="35"/>
        <v>5.8320000000000007</v>
      </c>
      <c r="BP262" s="71">
        <v>0.9</v>
      </c>
      <c r="BQ262" s="77">
        <f t="shared" si="36"/>
        <v>5.8320000000000007</v>
      </c>
      <c r="BR262" s="77" cm="1">
        <f t="array" ref="BR262">_xll.DCEPropSectI(BF262, BH262, BG262, BI262, BG262, BI262, "rx")/10</f>
        <v>11.847052463297633</v>
      </c>
      <c r="BS262" s="77" cm="1">
        <f t="array" ref="BS262">_xll.DCEPropSectI(BF262, BH262, BG262, BI262, BG262, BI262, "ry")/10</f>
        <v>5.3836052600564113</v>
      </c>
      <c r="BT262" s="5">
        <f t="shared" si="37"/>
        <v>49.227434571321723</v>
      </c>
      <c r="BU262" s="5">
        <f t="shared" si="38"/>
        <v>108.32889333975595</v>
      </c>
      <c r="BV262" s="5">
        <f t="shared" si="39"/>
        <v>108.32889333975595</v>
      </c>
      <c r="BW262" s="71">
        <f t="shared" si="40"/>
        <v>400</v>
      </c>
      <c r="BX262" s="78" cm="1">
        <f t="array" ref="BX262">IF(BM262&gt;0,1,_xll.DCETCVN5575FactorPhi7121(BV262*SQRT($K$17/206000),"b"))</f>
        <v>1</v>
      </c>
      <c r="BY262" s="64">
        <f t="shared" si="41"/>
        <v>3.7524576273179816E-2</v>
      </c>
      <c r="BZ262" s="3" t="str">
        <f t="shared" si="42"/>
        <v>OK</v>
      </c>
    </row>
    <row r="263" spans="1:78">
      <c r="A263" s="76"/>
      <c r="B263" s="76"/>
      <c r="C263" s="125"/>
      <c r="D263" s="125"/>
      <c r="E263" s="71"/>
      <c r="F263" s="71"/>
      <c r="G263" s="71"/>
      <c r="H263" s="126"/>
      <c r="I263" s="125"/>
      <c r="J263" s="123"/>
      <c r="K263" s="12"/>
      <c r="L263" s="117"/>
      <c r="M263" s="12"/>
      <c r="N263" s="117"/>
      <c r="O263" s="117"/>
      <c r="P263" s="117"/>
      <c r="Q263" s="118"/>
      <c r="R263" s="118"/>
      <c r="S263" s="118"/>
      <c r="T263" s="12"/>
      <c r="U263" s="118"/>
      <c r="V263" s="118"/>
      <c r="W263" s="12"/>
      <c r="X263" s="119"/>
      <c r="Y263" s="120"/>
      <c r="Z263" s="12"/>
      <c r="BA263" s="70" t="s">
        <v>205</v>
      </c>
      <c r="BB263" s="71" t="s">
        <v>209</v>
      </c>
      <c r="BC263" s="71" t="s">
        <v>207</v>
      </c>
      <c r="BD263" s="71">
        <v>6.48</v>
      </c>
      <c r="BE263" s="71">
        <v>6.48</v>
      </c>
      <c r="BF263" s="71">
        <v>268</v>
      </c>
      <c r="BG263" s="71">
        <v>212</v>
      </c>
      <c r="BH263" s="71">
        <v>5</v>
      </c>
      <c r="BI263" s="71">
        <v>10</v>
      </c>
      <c r="BJ263" s="12" t="str" cm="1">
        <f t="array" ref="BJ263">_xll.Dce_Name_SectI(BF263, BF263, BG263, BH263, BI263, "x", "-", $AX$11)</f>
        <v>268x212x5x10</v>
      </c>
      <c r="BK263" s="77" cm="1">
        <f t="array" ref="BK263">_xll.DCEPropSectI(BF263, BH263, BG263, BI263, BG263, BI263, "A")/100</f>
        <v>54.8</v>
      </c>
      <c r="BL263" s="70" t="s">
        <v>224</v>
      </c>
      <c r="BM263" s="70">
        <v>42.841878858767402</v>
      </c>
      <c r="BN263" s="71">
        <v>0.9</v>
      </c>
      <c r="BO263" s="77">
        <f t="shared" si="35"/>
        <v>5.8320000000000007</v>
      </c>
      <c r="BP263" s="71">
        <v>0.9</v>
      </c>
      <c r="BQ263" s="77">
        <f t="shared" si="36"/>
        <v>5.8320000000000007</v>
      </c>
      <c r="BR263" s="77" cm="1">
        <f t="array" ref="BR263">_xll.DCEPropSectI(BF263, BH263, BG263, BI263, BG263, BI263, "rx")/10</f>
        <v>11.847052463297633</v>
      </c>
      <c r="BS263" s="77" cm="1">
        <f t="array" ref="BS263">_xll.DCEPropSectI(BF263, BH263, BG263, BI263, BG263, BI263, "ry")/10</f>
        <v>5.3836052600564113</v>
      </c>
      <c r="BT263" s="5">
        <f t="shared" si="37"/>
        <v>49.227434571321723</v>
      </c>
      <c r="BU263" s="5">
        <f t="shared" si="38"/>
        <v>108.32889333975595</v>
      </c>
      <c r="BV263" s="5">
        <f t="shared" si="39"/>
        <v>108.32889333975595</v>
      </c>
      <c r="BW263" s="71">
        <f t="shared" si="40"/>
        <v>400</v>
      </c>
      <c r="BX263" s="78" cm="1">
        <f t="array" ref="BX263">IF(BM263&gt;0,1,_xll.DCETCVN5575FactorPhi7121(BV263*SQRT($K$17/206000),"b"))</f>
        <v>1</v>
      </c>
      <c r="BY263" s="64">
        <f t="shared" si="41"/>
        <v>3.7227910026735672E-2</v>
      </c>
      <c r="BZ263" s="3" t="str">
        <f t="shared" si="42"/>
        <v>OK</v>
      </c>
    </row>
    <row r="264" spans="1:78">
      <c r="A264" s="76"/>
      <c r="B264" s="76"/>
      <c r="C264" s="125"/>
      <c r="D264" s="125"/>
      <c r="E264" s="71"/>
      <c r="F264" s="71"/>
      <c r="G264" s="71"/>
      <c r="H264" s="126"/>
      <c r="I264" s="125"/>
      <c r="J264" s="123"/>
      <c r="K264" s="12"/>
      <c r="L264" s="117"/>
      <c r="M264" s="12"/>
      <c r="N264" s="117"/>
      <c r="O264" s="117"/>
      <c r="P264" s="117"/>
      <c r="Q264" s="118"/>
      <c r="R264" s="118"/>
      <c r="S264" s="118"/>
      <c r="T264" s="12"/>
      <c r="U264" s="118"/>
      <c r="V264" s="118"/>
      <c r="W264" s="12"/>
      <c r="X264" s="119"/>
      <c r="Y264" s="120"/>
      <c r="Z264" s="12"/>
      <c r="BA264" s="70" t="s">
        <v>205</v>
      </c>
      <c r="BB264" s="71" t="s">
        <v>209</v>
      </c>
      <c r="BC264" s="71" t="s">
        <v>207</v>
      </c>
      <c r="BD264" s="71">
        <v>0</v>
      </c>
      <c r="BE264" s="71">
        <v>6.48</v>
      </c>
      <c r="BF264" s="71">
        <v>268</v>
      </c>
      <c r="BG264" s="71">
        <v>212</v>
      </c>
      <c r="BH264" s="71">
        <v>5</v>
      </c>
      <c r="BI264" s="71">
        <v>10</v>
      </c>
      <c r="BJ264" s="12" t="str" cm="1">
        <f t="array" ref="BJ264">_xll.Dce_Name_SectI(BF264, BF264, BG264, BH264, BI264, "x", "-", $AX$11)</f>
        <v>268x212x5x10</v>
      </c>
      <c r="BK264" s="77" cm="1">
        <f t="array" ref="BK264">_xll.DCEPropSectI(BF264, BH264, BG264, BI264, BG264, BI264, "A")/100</f>
        <v>54.8</v>
      </c>
      <c r="BL264" s="70" t="s">
        <v>225</v>
      </c>
      <c r="BM264" s="70">
        <v>19.752556742777507</v>
      </c>
      <c r="BN264" s="71">
        <v>0.9</v>
      </c>
      <c r="BO264" s="77">
        <f t="shared" si="35"/>
        <v>5.8320000000000007</v>
      </c>
      <c r="BP264" s="71">
        <v>0.9</v>
      </c>
      <c r="BQ264" s="77">
        <f t="shared" si="36"/>
        <v>5.8320000000000007</v>
      </c>
      <c r="BR264" s="77" cm="1">
        <f t="array" ref="BR264">_xll.DCEPropSectI(BF264, BH264, BG264, BI264, BG264, BI264, "rx")/10</f>
        <v>11.847052463297633</v>
      </c>
      <c r="BS264" s="77" cm="1">
        <f t="array" ref="BS264">_xll.DCEPropSectI(BF264, BH264, BG264, BI264, BG264, BI264, "ry")/10</f>
        <v>5.3836052600564113</v>
      </c>
      <c r="BT264" s="5">
        <f t="shared" si="37"/>
        <v>49.227434571321723</v>
      </c>
      <c r="BU264" s="5">
        <f t="shared" si="38"/>
        <v>108.32889333975595</v>
      </c>
      <c r="BV264" s="5">
        <f t="shared" si="39"/>
        <v>108.32889333975595</v>
      </c>
      <c r="BW264" s="71">
        <f t="shared" si="40"/>
        <v>400</v>
      </c>
      <c r="BX264" s="78" cm="1">
        <f t="array" ref="BX264">IF(BM264&gt;0,1,_xll.DCETCVN5575FactorPhi7121(BV264*SQRT($K$17/206000),"b"))</f>
        <v>1</v>
      </c>
      <c r="BY264" s="64">
        <f t="shared" si="41"/>
        <v>1.7164195987815007E-2</v>
      </c>
      <c r="BZ264" s="3" t="str">
        <f t="shared" si="42"/>
        <v>OK</v>
      </c>
    </row>
    <row r="265" spans="1:78">
      <c r="A265" s="76"/>
      <c r="B265" s="76"/>
      <c r="C265" s="125"/>
      <c r="D265" s="125"/>
      <c r="E265" s="71"/>
      <c r="F265" s="71"/>
      <c r="G265" s="71"/>
      <c r="H265" s="126"/>
      <c r="I265" s="125"/>
      <c r="J265" s="123"/>
      <c r="K265" s="12"/>
      <c r="L265" s="117"/>
      <c r="M265" s="12"/>
      <c r="N265" s="117"/>
      <c r="O265" s="117"/>
      <c r="P265" s="117"/>
      <c r="Q265" s="118"/>
      <c r="R265" s="118"/>
      <c r="S265" s="118"/>
      <c r="T265" s="12"/>
      <c r="U265" s="118"/>
      <c r="V265" s="118"/>
      <c r="W265" s="12"/>
      <c r="X265" s="119"/>
      <c r="Y265" s="120"/>
      <c r="Z265" s="12"/>
      <c r="BA265" s="70" t="s">
        <v>205</v>
      </c>
      <c r="BB265" s="71" t="s">
        <v>209</v>
      </c>
      <c r="BC265" s="71" t="s">
        <v>207</v>
      </c>
      <c r="BD265" s="71">
        <v>0.81</v>
      </c>
      <c r="BE265" s="71">
        <v>6.48</v>
      </c>
      <c r="BF265" s="71">
        <v>268</v>
      </c>
      <c r="BG265" s="71">
        <v>212</v>
      </c>
      <c r="BH265" s="71">
        <v>5</v>
      </c>
      <c r="BI265" s="71">
        <v>10</v>
      </c>
      <c r="BJ265" s="12" t="str" cm="1">
        <f t="array" ref="BJ265">_xll.Dce_Name_SectI(BF265, BF265, BG265, BH265, BI265, "x", "-", $AX$11)</f>
        <v>268x212x5x10</v>
      </c>
      <c r="BK265" s="77" cm="1">
        <f t="array" ref="BK265">_xll.DCEPropSectI(BF265, BH265, BG265, BI265, BG265, BI265, "A")/100</f>
        <v>54.8</v>
      </c>
      <c r="BL265" s="70" t="s">
        <v>225</v>
      </c>
      <c r="BM265" s="70">
        <v>19.411153226369585</v>
      </c>
      <c r="BN265" s="71">
        <v>0.9</v>
      </c>
      <c r="BO265" s="77">
        <f t="shared" si="35"/>
        <v>5.8320000000000007</v>
      </c>
      <c r="BP265" s="71">
        <v>0.9</v>
      </c>
      <c r="BQ265" s="77">
        <f t="shared" si="36"/>
        <v>5.8320000000000007</v>
      </c>
      <c r="BR265" s="77" cm="1">
        <f t="array" ref="BR265">_xll.DCEPropSectI(BF265, BH265, BG265, BI265, BG265, BI265, "rx")/10</f>
        <v>11.847052463297633</v>
      </c>
      <c r="BS265" s="77" cm="1">
        <f t="array" ref="BS265">_xll.DCEPropSectI(BF265, BH265, BG265, BI265, BG265, BI265, "ry")/10</f>
        <v>5.3836052600564113</v>
      </c>
      <c r="BT265" s="5">
        <f t="shared" si="37"/>
        <v>49.227434571321723</v>
      </c>
      <c r="BU265" s="5">
        <f t="shared" si="38"/>
        <v>108.32889333975595</v>
      </c>
      <c r="BV265" s="5">
        <f t="shared" si="39"/>
        <v>108.32889333975595</v>
      </c>
      <c r="BW265" s="71">
        <f t="shared" si="40"/>
        <v>400</v>
      </c>
      <c r="BX265" s="78" cm="1">
        <f t="array" ref="BX265">IF(BM265&gt;0,1,_xll.DCETCVN5575FactorPhi7121(BV265*SQRT($K$17/206000),"b"))</f>
        <v>1</v>
      </c>
      <c r="BY265" s="64">
        <f t="shared" si="41"/>
        <v>1.6867529741370863E-2</v>
      </c>
      <c r="BZ265" s="3" t="str">
        <f t="shared" si="42"/>
        <v>OK</v>
      </c>
    </row>
    <row r="266" spans="1:78">
      <c r="A266" s="76"/>
      <c r="B266" s="76"/>
      <c r="C266" s="125"/>
      <c r="D266" s="125"/>
      <c r="E266" s="71"/>
      <c r="F266" s="71"/>
      <c r="G266" s="71"/>
      <c r="H266" s="126"/>
      <c r="I266" s="125"/>
      <c r="J266" s="123"/>
      <c r="K266" s="12"/>
      <c r="L266" s="117"/>
      <c r="M266" s="12"/>
      <c r="N266" s="117"/>
      <c r="O266" s="117"/>
      <c r="P266" s="117"/>
      <c r="Q266" s="118"/>
      <c r="R266" s="118"/>
      <c r="S266" s="118"/>
      <c r="T266" s="12"/>
      <c r="U266" s="118"/>
      <c r="V266" s="118"/>
      <c r="W266" s="12"/>
      <c r="X266" s="119"/>
      <c r="Y266" s="120"/>
      <c r="Z266" s="12"/>
      <c r="BA266" s="70" t="s">
        <v>205</v>
      </c>
      <c r="BB266" s="71" t="s">
        <v>209</v>
      </c>
      <c r="BC266" s="71" t="s">
        <v>207</v>
      </c>
      <c r="BD266" s="71">
        <v>1.62</v>
      </c>
      <c r="BE266" s="71">
        <v>6.48</v>
      </c>
      <c r="BF266" s="71">
        <v>268</v>
      </c>
      <c r="BG266" s="71">
        <v>212</v>
      </c>
      <c r="BH266" s="71">
        <v>5</v>
      </c>
      <c r="BI266" s="71">
        <v>10</v>
      </c>
      <c r="BJ266" s="12" t="str" cm="1">
        <f t="array" ref="BJ266">_xll.Dce_Name_SectI(BF266, BF266, BG266, BH266, BI266, "x", "-", $AX$11)</f>
        <v>268x212x5x10</v>
      </c>
      <c r="BK266" s="77" cm="1">
        <f t="array" ref="BK266">_xll.DCEPropSectI(BF266, BH266, BG266, BI266, BG266, BI266, "A")/100</f>
        <v>54.8</v>
      </c>
      <c r="BL266" s="70" t="s">
        <v>225</v>
      </c>
      <c r="BM266" s="70">
        <v>19.069749709961663</v>
      </c>
      <c r="BN266" s="71">
        <v>0.9</v>
      </c>
      <c r="BO266" s="77">
        <f t="shared" si="35"/>
        <v>5.8320000000000007</v>
      </c>
      <c r="BP266" s="71">
        <v>0.9</v>
      </c>
      <c r="BQ266" s="77">
        <f t="shared" si="36"/>
        <v>5.8320000000000007</v>
      </c>
      <c r="BR266" s="77" cm="1">
        <f t="array" ref="BR266">_xll.DCEPropSectI(BF266, BH266, BG266, BI266, BG266, BI266, "rx")/10</f>
        <v>11.847052463297633</v>
      </c>
      <c r="BS266" s="77" cm="1">
        <f t="array" ref="BS266">_xll.DCEPropSectI(BF266, BH266, BG266, BI266, BG266, BI266, "ry")/10</f>
        <v>5.3836052600564113</v>
      </c>
      <c r="BT266" s="5">
        <f t="shared" si="37"/>
        <v>49.227434571321723</v>
      </c>
      <c r="BU266" s="5">
        <f t="shared" si="38"/>
        <v>108.32889333975595</v>
      </c>
      <c r="BV266" s="5">
        <f t="shared" si="39"/>
        <v>108.32889333975595</v>
      </c>
      <c r="BW266" s="71">
        <f t="shared" si="40"/>
        <v>400</v>
      </c>
      <c r="BX266" s="78" cm="1">
        <f t="array" ref="BX266">IF(BM266&gt;0,1,_xll.DCETCVN5575FactorPhi7121(BV266*SQRT($K$17/206000),"b"))</f>
        <v>1</v>
      </c>
      <c r="BY266" s="64">
        <f t="shared" si="41"/>
        <v>1.6570863494926716E-2</v>
      </c>
      <c r="BZ266" s="3" t="str">
        <f t="shared" si="42"/>
        <v>OK</v>
      </c>
    </row>
    <row r="267" spans="1:78">
      <c r="A267" s="76"/>
      <c r="B267" s="76"/>
      <c r="C267" s="125"/>
      <c r="D267" s="125"/>
      <c r="E267" s="71"/>
      <c r="F267" s="71"/>
      <c r="G267" s="71"/>
      <c r="H267" s="126"/>
      <c r="I267" s="125"/>
      <c r="J267" s="123"/>
      <c r="K267" s="12"/>
      <c r="L267" s="117"/>
      <c r="M267" s="12"/>
      <c r="N267" s="117"/>
      <c r="O267" s="117"/>
      <c r="P267" s="117"/>
      <c r="Q267" s="118"/>
      <c r="R267" s="118"/>
      <c r="S267" s="118"/>
      <c r="T267" s="12"/>
      <c r="U267" s="118"/>
      <c r="V267" s="118"/>
      <c r="W267" s="12"/>
      <c r="X267" s="119"/>
      <c r="Y267" s="120"/>
      <c r="Z267" s="12"/>
      <c r="BA267" s="70" t="s">
        <v>205</v>
      </c>
      <c r="BB267" s="71" t="s">
        <v>209</v>
      </c>
      <c r="BC267" s="71" t="s">
        <v>207</v>
      </c>
      <c r="BD267" s="71">
        <v>2.4300000000000002</v>
      </c>
      <c r="BE267" s="71">
        <v>6.48</v>
      </c>
      <c r="BF267" s="71">
        <v>268</v>
      </c>
      <c r="BG267" s="71">
        <v>212</v>
      </c>
      <c r="BH267" s="71">
        <v>5</v>
      </c>
      <c r="BI267" s="71">
        <v>10</v>
      </c>
      <c r="BJ267" s="12" t="str" cm="1">
        <f t="array" ref="BJ267">_xll.Dce_Name_SectI(BF267, BF267, BG267, BH267, BI267, "x", "-", $AX$11)</f>
        <v>268x212x5x10</v>
      </c>
      <c r="BK267" s="77" cm="1">
        <f t="array" ref="BK267">_xll.DCEPropSectI(BF267, BH267, BG267, BI267, BG267, BI267, "A")/100</f>
        <v>54.8</v>
      </c>
      <c r="BL267" s="70" t="s">
        <v>225</v>
      </c>
      <c r="BM267" s="70">
        <v>18.72834619355374</v>
      </c>
      <c r="BN267" s="71">
        <v>0.9</v>
      </c>
      <c r="BO267" s="77">
        <f t="shared" si="35"/>
        <v>5.8320000000000007</v>
      </c>
      <c r="BP267" s="71">
        <v>0.9</v>
      </c>
      <c r="BQ267" s="77">
        <f t="shared" si="36"/>
        <v>5.8320000000000007</v>
      </c>
      <c r="BR267" s="77" cm="1">
        <f t="array" ref="BR267">_xll.DCEPropSectI(BF267, BH267, BG267, BI267, BG267, BI267, "rx")/10</f>
        <v>11.847052463297633</v>
      </c>
      <c r="BS267" s="77" cm="1">
        <f t="array" ref="BS267">_xll.DCEPropSectI(BF267, BH267, BG267, BI267, BG267, BI267, "ry")/10</f>
        <v>5.3836052600564113</v>
      </c>
      <c r="BT267" s="5">
        <f t="shared" si="37"/>
        <v>49.227434571321723</v>
      </c>
      <c r="BU267" s="5">
        <f t="shared" si="38"/>
        <v>108.32889333975595</v>
      </c>
      <c r="BV267" s="5">
        <f t="shared" si="39"/>
        <v>108.32889333975595</v>
      </c>
      <c r="BW267" s="71">
        <f t="shared" si="40"/>
        <v>400</v>
      </c>
      <c r="BX267" s="78" cm="1">
        <f t="array" ref="BX267">IF(BM267&gt;0,1,_xll.DCETCVN5575FactorPhi7121(BV267*SQRT($K$17/206000),"b"))</f>
        <v>1</v>
      </c>
      <c r="BY267" s="64">
        <f t="shared" si="41"/>
        <v>1.6274197248482572E-2</v>
      </c>
      <c r="BZ267" s="3" t="str">
        <f t="shared" si="42"/>
        <v>OK</v>
      </c>
    </row>
    <row r="268" spans="1:78">
      <c r="A268" s="76"/>
      <c r="B268" s="76"/>
      <c r="C268" s="125"/>
      <c r="D268" s="125"/>
      <c r="E268" s="71"/>
      <c r="F268" s="71"/>
      <c r="G268" s="71"/>
      <c r="H268" s="126"/>
      <c r="I268" s="125"/>
      <c r="J268" s="123"/>
      <c r="K268" s="12"/>
      <c r="L268" s="117"/>
      <c r="M268" s="12"/>
      <c r="N268" s="117"/>
      <c r="O268" s="117"/>
      <c r="P268" s="117"/>
      <c r="Q268" s="118"/>
      <c r="R268" s="118"/>
      <c r="S268" s="118"/>
      <c r="T268" s="12"/>
      <c r="U268" s="118"/>
      <c r="V268" s="118"/>
      <c r="W268" s="12"/>
      <c r="X268" s="119"/>
      <c r="Y268" s="120"/>
      <c r="Z268" s="12"/>
      <c r="BA268" s="70" t="s">
        <v>205</v>
      </c>
      <c r="BB268" s="71" t="s">
        <v>209</v>
      </c>
      <c r="BC268" s="71" t="s">
        <v>207</v>
      </c>
      <c r="BD268" s="71">
        <v>3.24</v>
      </c>
      <c r="BE268" s="71">
        <v>6.48</v>
      </c>
      <c r="BF268" s="71">
        <v>268</v>
      </c>
      <c r="BG268" s="71">
        <v>212</v>
      </c>
      <c r="BH268" s="71">
        <v>5</v>
      </c>
      <c r="BI268" s="71">
        <v>10</v>
      </c>
      <c r="BJ268" s="12" t="str" cm="1">
        <f t="array" ref="BJ268">_xll.Dce_Name_SectI(BF268, BF268, BG268, BH268, BI268, "x", "-", $AX$11)</f>
        <v>268x212x5x10</v>
      </c>
      <c r="BK268" s="77" cm="1">
        <f t="array" ref="BK268">_xll.DCEPropSectI(BF268, BH268, BG268, BI268, BG268, BI268, "A")/100</f>
        <v>54.8</v>
      </c>
      <c r="BL268" s="70" t="s">
        <v>225</v>
      </c>
      <c r="BM268" s="70">
        <v>18.386942677145818</v>
      </c>
      <c r="BN268" s="71">
        <v>0.9</v>
      </c>
      <c r="BO268" s="77">
        <f t="shared" si="35"/>
        <v>5.8320000000000007</v>
      </c>
      <c r="BP268" s="71">
        <v>0.9</v>
      </c>
      <c r="BQ268" s="77">
        <f t="shared" si="36"/>
        <v>5.8320000000000007</v>
      </c>
      <c r="BR268" s="77" cm="1">
        <f t="array" ref="BR268">_xll.DCEPropSectI(BF268, BH268, BG268, BI268, BG268, BI268, "rx")/10</f>
        <v>11.847052463297633</v>
      </c>
      <c r="BS268" s="77" cm="1">
        <f t="array" ref="BS268">_xll.DCEPropSectI(BF268, BH268, BG268, BI268, BG268, BI268, "ry")/10</f>
        <v>5.3836052600564113</v>
      </c>
      <c r="BT268" s="5">
        <f t="shared" si="37"/>
        <v>49.227434571321723</v>
      </c>
      <c r="BU268" s="5">
        <f t="shared" si="38"/>
        <v>108.32889333975595</v>
      </c>
      <c r="BV268" s="5">
        <f t="shared" si="39"/>
        <v>108.32889333975595</v>
      </c>
      <c r="BW268" s="71">
        <f t="shared" si="40"/>
        <v>400</v>
      </c>
      <c r="BX268" s="78" cm="1">
        <f t="array" ref="BX268">IF(BM268&gt;0,1,_xll.DCETCVN5575FactorPhi7121(BV268*SQRT($K$17/206000),"b"))</f>
        <v>1</v>
      </c>
      <c r="BY268" s="64">
        <f t="shared" si="41"/>
        <v>1.5977531002038425E-2</v>
      </c>
      <c r="BZ268" s="3" t="str">
        <f t="shared" si="42"/>
        <v>OK</v>
      </c>
    </row>
    <row r="269" spans="1:78">
      <c r="A269" s="76"/>
      <c r="B269" s="76"/>
      <c r="C269" s="125"/>
      <c r="D269" s="125"/>
      <c r="E269" s="71"/>
      <c r="F269" s="71"/>
      <c r="G269" s="71"/>
      <c r="H269" s="126"/>
      <c r="I269" s="125"/>
      <c r="J269" s="123"/>
      <c r="K269" s="12"/>
      <c r="L269" s="117"/>
      <c r="M269" s="12"/>
      <c r="N269" s="117"/>
      <c r="O269" s="117"/>
      <c r="P269" s="117"/>
      <c r="Q269" s="118"/>
      <c r="R269" s="118"/>
      <c r="S269" s="118"/>
      <c r="T269" s="12"/>
      <c r="U269" s="118"/>
      <c r="V269" s="118"/>
      <c r="W269" s="12"/>
      <c r="X269" s="119"/>
      <c r="Y269" s="120"/>
      <c r="Z269" s="12"/>
      <c r="BA269" s="70" t="s">
        <v>205</v>
      </c>
      <c r="BB269" s="71" t="s">
        <v>209</v>
      </c>
      <c r="BC269" s="71" t="s">
        <v>207</v>
      </c>
      <c r="BD269" s="71">
        <v>4.05</v>
      </c>
      <c r="BE269" s="71">
        <v>6.48</v>
      </c>
      <c r="BF269" s="71">
        <v>268</v>
      </c>
      <c r="BG269" s="71">
        <v>212</v>
      </c>
      <c r="BH269" s="71">
        <v>5</v>
      </c>
      <c r="BI269" s="71">
        <v>10</v>
      </c>
      <c r="BJ269" s="12" t="str" cm="1">
        <f t="array" ref="BJ269">_xll.Dce_Name_SectI(BF269, BF269, BG269, BH269, BI269, "x", "-", $AX$11)</f>
        <v>268x212x5x10</v>
      </c>
      <c r="BK269" s="77" cm="1">
        <f t="array" ref="BK269">_xll.DCEPropSectI(BF269, BH269, BG269, BI269, BG269, BI269, "A")/100</f>
        <v>54.8</v>
      </c>
      <c r="BL269" s="70" t="s">
        <v>225</v>
      </c>
      <c r="BM269" s="70">
        <v>18.045539160737892</v>
      </c>
      <c r="BN269" s="71">
        <v>0.9</v>
      </c>
      <c r="BO269" s="77">
        <f t="shared" ref="BO269:BO332" si="43">BN269*BE269</f>
        <v>5.8320000000000007</v>
      </c>
      <c r="BP269" s="71">
        <v>0.9</v>
      </c>
      <c r="BQ269" s="77">
        <f t="shared" ref="BQ269:BQ332" si="44">BP269*BE269</f>
        <v>5.8320000000000007</v>
      </c>
      <c r="BR269" s="77" cm="1">
        <f t="array" ref="BR269">_xll.DCEPropSectI(BF269, BH269, BG269, BI269, BG269, BI269, "rx")/10</f>
        <v>11.847052463297633</v>
      </c>
      <c r="BS269" s="77" cm="1">
        <f t="array" ref="BS269">_xll.DCEPropSectI(BF269, BH269, BG269, BI269, BG269, BI269, "ry")/10</f>
        <v>5.3836052600564113</v>
      </c>
      <c r="BT269" s="5">
        <f t="shared" ref="BT269:BT332" si="45">BO269*100/BR269</f>
        <v>49.227434571321723</v>
      </c>
      <c r="BU269" s="5">
        <f t="shared" ref="BU269:BU332" si="46">BQ269*100/BS269</f>
        <v>108.32889333975595</v>
      </c>
      <c r="BV269" s="5">
        <f t="shared" ref="BV269:BV332" si="47">MAX(BT269,BU269)</f>
        <v>108.32889333975595</v>
      </c>
      <c r="BW269" s="71">
        <f t="shared" ref="BW269:BW332" si="48">IF(BM269&lt;0,$AY$14,$AY$15)</f>
        <v>400</v>
      </c>
      <c r="BX269" s="78" cm="1">
        <f t="array" ref="BX269">IF(BM269&gt;0,1,_xll.DCETCVN5575FactorPhi7121(BV269*SQRT($K$17/206000),"b"))</f>
        <v>1</v>
      </c>
      <c r="BY269" s="64">
        <f t="shared" ref="BY269:BY332" si="49">ABS(BM269)/(BX269*BK269*$K$17*$K$19)*10</f>
        <v>1.5680864755594277E-2</v>
      </c>
      <c r="BZ269" s="3" t="str">
        <f t="shared" ref="BZ269:BZ332" si="50">IF(AND(BV269&lt;=BW269,BY269&lt;=1),"OK","Check")</f>
        <v>OK</v>
      </c>
    </row>
    <row r="270" spans="1:78">
      <c r="A270" s="76"/>
      <c r="B270" s="76"/>
      <c r="C270" s="125"/>
      <c r="D270" s="125"/>
      <c r="E270" s="71"/>
      <c r="F270" s="71"/>
      <c r="G270" s="71"/>
      <c r="H270" s="126"/>
      <c r="I270" s="125"/>
      <c r="J270" s="123"/>
      <c r="K270" s="12"/>
      <c r="L270" s="117"/>
      <c r="M270" s="12"/>
      <c r="N270" s="117"/>
      <c r="O270" s="117"/>
      <c r="P270" s="117"/>
      <c r="Q270" s="118"/>
      <c r="R270" s="118"/>
      <c r="S270" s="118"/>
      <c r="T270" s="12"/>
      <c r="U270" s="118"/>
      <c r="V270" s="118"/>
      <c r="W270" s="12"/>
      <c r="X270" s="119"/>
      <c r="Y270" s="120"/>
      <c r="Z270" s="12"/>
      <c r="BA270" s="70" t="s">
        <v>205</v>
      </c>
      <c r="BB270" s="71" t="s">
        <v>209</v>
      </c>
      <c r="BC270" s="71" t="s">
        <v>207</v>
      </c>
      <c r="BD270" s="71">
        <v>4.8600000000000003</v>
      </c>
      <c r="BE270" s="71">
        <v>6.48</v>
      </c>
      <c r="BF270" s="71">
        <v>268</v>
      </c>
      <c r="BG270" s="71">
        <v>212</v>
      </c>
      <c r="BH270" s="71">
        <v>5</v>
      </c>
      <c r="BI270" s="71">
        <v>10</v>
      </c>
      <c r="BJ270" s="12" t="str" cm="1">
        <f t="array" ref="BJ270">_xll.Dce_Name_SectI(BF270, BF270, BG270, BH270, BI270, "x", "-", $AX$11)</f>
        <v>268x212x5x10</v>
      </c>
      <c r="BK270" s="77" cm="1">
        <f t="array" ref="BK270">_xll.DCEPropSectI(BF270, BH270, BG270, BI270, BG270, BI270, "A")/100</f>
        <v>54.8</v>
      </c>
      <c r="BL270" s="70" t="s">
        <v>225</v>
      </c>
      <c r="BM270" s="70">
        <v>17.70413564432997</v>
      </c>
      <c r="BN270" s="71">
        <v>0.9</v>
      </c>
      <c r="BO270" s="77">
        <f t="shared" si="43"/>
        <v>5.8320000000000007</v>
      </c>
      <c r="BP270" s="71">
        <v>0.9</v>
      </c>
      <c r="BQ270" s="77">
        <f t="shared" si="44"/>
        <v>5.8320000000000007</v>
      </c>
      <c r="BR270" s="77" cm="1">
        <f t="array" ref="BR270">_xll.DCEPropSectI(BF270, BH270, BG270, BI270, BG270, BI270, "rx")/10</f>
        <v>11.847052463297633</v>
      </c>
      <c r="BS270" s="77" cm="1">
        <f t="array" ref="BS270">_xll.DCEPropSectI(BF270, BH270, BG270, BI270, BG270, BI270, "ry")/10</f>
        <v>5.3836052600564113</v>
      </c>
      <c r="BT270" s="5">
        <f t="shared" si="45"/>
        <v>49.227434571321723</v>
      </c>
      <c r="BU270" s="5">
        <f t="shared" si="46"/>
        <v>108.32889333975595</v>
      </c>
      <c r="BV270" s="5">
        <f t="shared" si="47"/>
        <v>108.32889333975595</v>
      </c>
      <c r="BW270" s="71">
        <f t="shared" si="48"/>
        <v>400</v>
      </c>
      <c r="BX270" s="78" cm="1">
        <f t="array" ref="BX270">IF(BM270&gt;0,1,_xll.DCETCVN5575FactorPhi7121(BV270*SQRT($K$17/206000),"b"))</f>
        <v>1</v>
      </c>
      <c r="BY270" s="64">
        <f t="shared" si="49"/>
        <v>1.5384198509150132E-2</v>
      </c>
      <c r="BZ270" s="3" t="str">
        <f t="shared" si="50"/>
        <v>OK</v>
      </c>
    </row>
    <row r="271" spans="1:78">
      <c r="A271" s="76"/>
      <c r="B271" s="76"/>
      <c r="C271" s="125"/>
      <c r="D271" s="125"/>
      <c r="E271" s="71"/>
      <c r="F271" s="71"/>
      <c r="G271" s="71"/>
      <c r="H271" s="126"/>
      <c r="I271" s="125"/>
      <c r="J271" s="123"/>
      <c r="K271" s="12"/>
      <c r="L271" s="117"/>
      <c r="M271" s="12"/>
      <c r="N271" s="117"/>
      <c r="O271" s="117"/>
      <c r="P271" s="117"/>
      <c r="Q271" s="118"/>
      <c r="R271" s="118"/>
      <c r="S271" s="118"/>
      <c r="T271" s="12"/>
      <c r="U271" s="118"/>
      <c r="V271" s="118"/>
      <c r="W271" s="12"/>
      <c r="X271" s="119"/>
      <c r="Y271" s="120"/>
      <c r="Z271" s="12"/>
      <c r="BA271" s="70" t="s">
        <v>205</v>
      </c>
      <c r="BB271" s="71" t="s">
        <v>209</v>
      </c>
      <c r="BC271" s="71" t="s">
        <v>207</v>
      </c>
      <c r="BD271" s="71">
        <v>5.67</v>
      </c>
      <c r="BE271" s="71">
        <v>6.48</v>
      </c>
      <c r="BF271" s="71">
        <v>268</v>
      </c>
      <c r="BG271" s="71">
        <v>212</v>
      </c>
      <c r="BH271" s="71">
        <v>5</v>
      </c>
      <c r="BI271" s="71">
        <v>10</v>
      </c>
      <c r="BJ271" s="12" t="str" cm="1">
        <f t="array" ref="BJ271">_xll.Dce_Name_SectI(BF271, BF271, BG271, BH271, BI271, "x", "-", $AX$11)</f>
        <v>268x212x5x10</v>
      </c>
      <c r="BK271" s="77" cm="1">
        <f t="array" ref="BK271">_xll.DCEPropSectI(BF271, BH271, BG271, BI271, BG271, BI271, "A")/100</f>
        <v>54.8</v>
      </c>
      <c r="BL271" s="70" t="s">
        <v>225</v>
      </c>
      <c r="BM271" s="70">
        <v>17.362732127922047</v>
      </c>
      <c r="BN271" s="71">
        <v>0.9</v>
      </c>
      <c r="BO271" s="77">
        <f t="shared" si="43"/>
        <v>5.8320000000000007</v>
      </c>
      <c r="BP271" s="71">
        <v>0.9</v>
      </c>
      <c r="BQ271" s="77">
        <f t="shared" si="44"/>
        <v>5.8320000000000007</v>
      </c>
      <c r="BR271" s="77" cm="1">
        <f t="array" ref="BR271">_xll.DCEPropSectI(BF271, BH271, BG271, BI271, BG271, BI271, "rx")/10</f>
        <v>11.847052463297633</v>
      </c>
      <c r="BS271" s="77" cm="1">
        <f t="array" ref="BS271">_xll.DCEPropSectI(BF271, BH271, BG271, BI271, BG271, BI271, "ry")/10</f>
        <v>5.3836052600564113</v>
      </c>
      <c r="BT271" s="5">
        <f t="shared" si="45"/>
        <v>49.227434571321723</v>
      </c>
      <c r="BU271" s="5">
        <f t="shared" si="46"/>
        <v>108.32889333975595</v>
      </c>
      <c r="BV271" s="5">
        <f t="shared" si="47"/>
        <v>108.32889333975595</v>
      </c>
      <c r="BW271" s="71">
        <f t="shared" si="48"/>
        <v>400</v>
      </c>
      <c r="BX271" s="78" cm="1">
        <f t="array" ref="BX271">IF(BM271&gt;0,1,_xll.DCETCVN5575FactorPhi7121(BV271*SQRT($K$17/206000),"b"))</f>
        <v>1</v>
      </c>
      <c r="BY271" s="64">
        <f t="shared" si="49"/>
        <v>1.5087532262705986E-2</v>
      </c>
      <c r="BZ271" s="3" t="str">
        <f t="shared" si="50"/>
        <v>OK</v>
      </c>
    </row>
    <row r="272" spans="1:78">
      <c r="A272" s="76"/>
      <c r="B272" s="76"/>
      <c r="C272" s="125"/>
      <c r="D272" s="125"/>
      <c r="E272" s="71"/>
      <c r="F272" s="71"/>
      <c r="G272" s="71"/>
      <c r="H272" s="126"/>
      <c r="I272" s="125"/>
      <c r="J272" s="123"/>
      <c r="K272" s="12"/>
      <c r="L272" s="117"/>
      <c r="M272" s="12"/>
      <c r="N272" s="117"/>
      <c r="O272" s="117"/>
      <c r="P272" s="117"/>
      <c r="Q272" s="118"/>
      <c r="R272" s="118"/>
      <c r="S272" s="118"/>
      <c r="T272" s="12"/>
      <c r="U272" s="118"/>
      <c r="V272" s="118"/>
      <c r="W272" s="12"/>
      <c r="X272" s="119"/>
      <c r="Y272" s="120"/>
      <c r="Z272" s="12"/>
      <c r="BA272" s="70" t="s">
        <v>205</v>
      </c>
      <c r="BB272" s="71" t="s">
        <v>209</v>
      </c>
      <c r="BC272" s="71" t="s">
        <v>207</v>
      </c>
      <c r="BD272" s="71">
        <v>6.48</v>
      </c>
      <c r="BE272" s="71">
        <v>6.48</v>
      </c>
      <c r="BF272" s="71">
        <v>268</v>
      </c>
      <c r="BG272" s="71">
        <v>212</v>
      </c>
      <c r="BH272" s="71">
        <v>5</v>
      </c>
      <c r="BI272" s="71">
        <v>10</v>
      </c>
      <c r="BJ272" s="12" t="str" cm="1">
        <f t="array" ref="BJ272">_xll.Dce_Name_SectI(BF272, BF272, BG272, BH272, BI272, "x", "-", $AX$11)</f>
        <v>268x212x5x10</v>
      </c>
      <c r="BK272" s="77" cm="1">
        <f t="array" ref="BK272">_xll.DCEPropSectI(BF272, BH272, BG272, BI272, BG272, BI272, "A")/100</f>
        <v>54.8</v>
      </c>
      <c r="BL272" s="70" t="s">
        <v>225</v>
      </c>
      <c r="BM272" s="70">
        <v>17.021328611514125</v>
      </c>
      <c r="BN272" s="71">
        <v>0.9</v>
      </c>
      <c r="BO272" s="77">
        <f t="shared" si="43"/>
        <v>5.8320000000000007</v>
      </c>
      <c r="BP272" s="71">
        <v>0.9</v>
      </c>
      <c r="BQ272" s="77">
        <f t="shared" si="44"/>
        <v>5.8320000000000007</v>
      </c>
      <c r="BR272" s="77" cm="1">
        <f t="array" ref="BR272">_xll.DCEPropSectI(BF272, BH272, BG272, BI272, BG272, BI272, "rx")/10</f>
        <v>11.847052463297633</v>
      </c>
      <c r="BS272" s="77" cm="1">
        <f t="array" ref="BS272">_xll.DCEPropSectI(BF272, BH272, BG272, BI272, BG272, BI272, "ry")/10</f>
        <v>5.3836052600564113</v>
      </c>
      <c r="BT272" s="5">
        <f t="shared" si="45"/>
        <v>49.227434571321723</v>
      </c>
      <c r="BU272" s="5">
        <f t="shared" si="46"/>
        <v>108.32889333975595</v>
      </c>
      <c r="BV272" s="5">
        <f t="shared" si="47"/>
        <v>108.32889333975595</v>
      </c>
      <c r="BW272" s="71">
        <f t="shared" si="48"/>
        <v>400</v>
      </c>
      <c r="BX272" s="78" cm="1">
        <f t="array" ref="BX272">IF(BM272&gt;0,1,_xll.DCETCVN5575FactorPhi7121(BV272*SQRT($K$17/206000),"b"))</f>
        <v>1</v>
      </c>
      <c r="BY272" s="64">
        <f t="shared" si="49"/>
        <v>1.4790866016261841E-2</v>
      </c>
      <c r="BZ272" s="3" t="str">
        <f t="shared" si="50"/>
        <v>OK</v>
      </c>
    </row>
    <row r="273" spans="1:78">
      <c r="A273" s="76"/>
      <c r="B273" s="76"/>
      <c r="C273" s="125"/>
      <c r="D273" s="125"/>
      <c r="E273" s="71"/>
      <c r="F273" s="71"/>
      <c r="G273" s="71"/>
      <c r="H273" s="126"/>
      <c r="I273" s="125"/>
      <c r="J273" s="123"/>
      <c r="K273" s="12"/>
      <c r="L273" s="117"/>
      <c r="M273" s="12"/>
      <c r="N273" s="117"/>
      <c r="O273" s="117"/>
      <c r="P273" s="117"/>
      <c r="Q273" s="118"/>
      <c r="R273" s="118"/>
      <c r="S273" s="118"/>
      <c r="T273" s="12"/>
      <c r="U273" s="118"/>
      <c r="V273" s="118"/>
      <c r="W273" s="12"/>
      <c r="X273" s="119"/>
      <c r="Y273" s="120"/>
      <c r="Z273" s="12"/>
      <c r="BA273" s="70" t="s">
        <v>205</v>
      </c>
      <c r="BB273" s="71" t="s">
        <v>209</v>
      </c>
      <c r="BC273" s="71" t="s">
        <v>207</v>
      </c>
      <c r="BD273" s="71">
        <v>0</v>
      </c>
      <c r="BE273" s="71">
        <v>6.48</v>
      </c>
      <c r="BF273" s="71">
        <v>268</v>
      </c>
      <c r="BG273" s="71">
        <v>212</v>
      </c>
      <c r="BH273" s="71">
        <v>5</v>
      </c>
      <c r="BI273" s="71">
        <v>10</v>
      </c>
      <c r="BJ273" s="12" t="str" cm="1">
        <f t="array" ref="BJ273">_xll.Dce_Name_SectI(BF273, BF273, BG273, BH273, BI273, "x", "-", $AX$11)</f>
        <v>268x212x5x10</v>
      </c>
      <c r="BK273" s="77" cm="1">
        <f t="array" ref="BK273">_xll.DCEPropSectI(BF273, BH273, BG273, BI273, BG273, BI273, "A")/100</f>
        <v>54.8</v>
      </c>
      <c r="BL273" s="70" t="s">
        <v>226</v>
      </c>
      <c r="BM273" s="70">
        <v>25.371216971942793</v>
      </c>
      <c r="BN273" s="71">
        <v>0.9</v>
      </c>
      <c r="BO273" s="77">
        <f t="shared" si="43"/>
        <v>5.8320000000000007</v>
      </c>
      <c r="BP273" s="71">
        <v>0.9</v>
      </c>
      <c r="BQ273" s="77">
        <f t="shared" si="44"/>
        <v>5.8320000000000007</v>
      </c>
      <c r="BR273" s="77" cm="1">
        <f t="array" ref="BR273">_xll.DCEPropSectI(BF273, BH273, BG273, BI273, BG273, BI273, "rx")/10</f>
        <v>11.847052463297633</v>
      </c>
      <c r="BS273" s="77" cm="1">
        <f t="array" ref="BS273">_xll.DCEPropSectI(BF273, BH273, BG273, BI273, BG273, BI273, "ry")/10</f>
        <v>5.3836052600564113</v>
      </c>
      <c r="BT273" s="5">
        <f t="shared" si="45"/>
        <v>49.227434571321723</v>
      </c>
      <c r="BU273" s="5">
        <f t="shared" si="46"/>
        <v>108.32889333975595</v>
      </c>
      <c r="BV273" s="5">
        <f t="shared" si="47"/>
        <v>108.32889333975595</v>
      </c>
      <c r="BW273" s="71">
        <f t="shared" si="48"/>
        <v>400</v>
      </c>
      <c r="BX273" s="78" cm="1">
        <f t="array" ref="BX273">IF(BM273&gt;0,1,_xll.DCETCVN5575FactorPhi7121(BV273*SQRT($K$17/206000),"b"))</f>
        <v>1</v>
      </c>
      <c r="BY273" s="64">
        <f t="shared" si="49"/>
        <v>2.2046591042703161E-2</v>
      </c>
      <c r="BZ273" s="3" t="str">
        <f t="shared" si="50"/>
        <v>OK</v>
      </c>
    </row>
    <row r="274" spans="1:78">
      <c r="A274" s="76"/>
      <c r="B274" s="76"/>
      <c r="C274" s="125"/>
      <c r="D274" s="125"/>
      <c r="E274" s="71"/>
      <c r="F274" s="71"/>
      <c r="G274" s="71"/>
      <c r="H274" s="126"/>
      <c r="I274" s="125"/>
      <c r="J274" s="123"/>
      <c r="K274" s="12"/>
      <c r="L274" s="117"/>
      <c r="M274" s="12"/>
      <c r="N274" s="117"/>
      <c r="O274" s="117"/>
      <c r="P274" s="117"/>
      <c r="Q274" s="118"/>
      <c r="R274" s="118"/>
      <c r="S274" s="118"/>
      <c r="T274" s="12"/>
      <c r="U274" s="118"/>
      <c r="V274" s="118"/>
      <c r="W274" s="12"/>
      <c r="X274" s="119"/>
      <c r="Y274" s="120"/>
      <c r="Z274" s="12"/>
      <c r="BA274" s="70" t="s">
        <v>205</v>
      </c>
      <c r="BB274" s="71" t="s">
        <v>209</v>
      </c>
      <c r="BC274" s="71" t="s">
        <v>207</v>
      </c>
      <c r="BD274" s="71">
        <v>0.81</v>
      </c>
      <c r="BE274" s="71">
        <v>6.48</v>
      </c>
      <c r="BF274" s="71">
        <v>268</v>
      </c>
      <c r="BG274" s="71">
        <v>212</v>
      </c>
      <c r="BH274" s="71">
        <v>5</v>
      </c>
      <c r="BI274" s="71">
        <v>10</v>
      </c>
      <c r="BJ274" s="12" t="str" cm="1">
        <f t="array" ref="BJ274">_xll.Dce_Name_SectI(BF274, BF274, BG274, BH274, BI274, "x", "-", $AX$11)</f>
        <v>268x212x5x10</v>
      </c>
      <c r="BK274" s="77" cm="1">
        <f t="array" ref="BK274">_xll.DCEPropSectI(BF274, BH274, BG274, BI274, BG274, BI274, "A")/100</f>
        <v>54.8</v>
      </c>
      <c r="BL274" s="70" t="s">
        <v>226</v>
      </c>
      <c r="BM274" s="70">
        <v>25.029813455534871</v>
      </c>
      <c r="BN274" s="71">
        <v>0.9</v>
      </c>
      <c r="BO274" s="77">
        <f t="shared" si="43"/>
        <v>5.8320000000000007</v>
      </c>
      <c r="BP274" s="71">
        <v>0.9</v>
      </c>
      <c r="BQ274" s="77">
        <f t="shared" si="44"/>
        <v>5.8320000000000007</v>
      </c>
      <c r="BR274" s="77" cm="1">
        <f t="array" ref="BR274">_xll.DCEPropSectI(BF274, BH274, BG274, BI274, BG274, BI274, "rx")/10</f>
        <v>11.847052463297633</v>
      </c>
      <c r="BS274" s="77" cm="1">
        <f t="array" ref="BS274">_xll.DCEPropSectI(BF274, BH274, BG274, BI274, BG274, BI274, "ry")/10</f>
        <v>5.3836052600564113</v>
      </c>
      <c r="BT274" s="5">
        <f t="shared" si="45"/>
        <v>49.227434571321723</v>
      </c>
      <c r="BU274" s="5">
        <f t="shared" si="46"/>
        <v>108.32889333975595</v>
      </c>
      <c r="BV274" s="5">
        <f t="shared" si="47"/>
        <v>108.32889333975595</v>
      </c>
      <c r="BW274" s="71">
        <f t="shared" si="48"/>
        <v>400</v>
      </c>
      <c r="BX274" s="78" cm="1">
        <f t="array" ref="BX274">IF(BM274&gt;0,1,_xll.DCETCVN5575FactorPhi7121(BV274*SQRT($K$17/206000),"b"))</f>
        <v>1</v>
      </c>
      <c r="BY274" s="64">
        <f t="shared" si="49"/>
        <v>2.1749924796259017E-2</v>
      </c>
      <c r="BZ274" s="3" t="str">
        <f t="shared" si="50"/>
        <v>OK</v>
      </c>
    </row>
    <row r="275" spans="1:78">
      <c r="A275" s="76"/>
      <c r="B275" s="76"/>
      <c r="C275" s="125"/>
      <c r="D275" s="125"/>
      <c r="E275" s="71"/>
      <c r="F275" s="71"/>
      <c r="G275" s="71"/>
      <c r="H275" s="126"/>
      <c r="I275" s="125"/>
      <c r="J275" s="123"/>
      <c r="K275" s="12"/>
      <c r="L275" s="117"/>
      <c r="M275" s="12"/>
      <c r="N275" s="117"/>
      <c r="O275" s="117"/>
      <c r="P275" s="117"/>
      <c r="Q275" s="118"/>
      <c r="R275" s="118"/>
      <c r="S275" s="118"/>
      <c r="T275" s="12"/>
      <c r="U275" s="118"/>
      <c r="V275" s="118"/>
      <c r="W275" s="12"/>
      <c r="X275" s="119"/>
      <c r="Y275" s="120"/>
      <c r="Z275" s="12"/>
      <c r="BA275" s="70" t="s">
        <v>205</v>
      </c>
      <c r="BB275" s="71" t="s">
        <v>209</v>
      </c>
      <c r="BC275" s="71" t="s">
        <v>207</v>
      </c>
      <c r="BD275" s="71">
        <v>1.62</v>
      </c>
      <c r="BE275" s="71">
        <v>6.48</v>
      </c>
      <c r="BF275" s="71">
        <v>268</v>
      </c>
      <c r="BG275" s="71">
        <v>212</v>
      </c>
      <c r="BH275" s="71">
        <v>5</v>
      </c>
      <c r="BI275" s="71">
        <v>10</v>
      </c>
      <c r="BJ275" s="12" t="str" cm="1">
        <f t="array" ref="BJ275">_xll.Dce_Name_SectI(BF275, BF275, BG275, BH275, BI275, "x", "-", $AX$11)</f>
        <v>268x212x5x10</v>
      </c>
      <c r="BK275" s="77" cm="1">
        <f t="array" ref="BK275">_xll.DCEPropSectI(BF275, BH275, BG275, BI275, BG275, BI275, "A")/100</f>
        <v>54.8</v>
      </c>
      <c r="BL275" s="70" t="s">
        <v>226</v>
      </c>
      <c r="BM275" s="70">
        <v>24.688409939126949</v>
      </c>
      <c r="BN275" s="71">
        <v>0.9</v>
      </c>
      <c r="BO275" s="77">
        <f t="shared" si="43"/>
        <v>5.8320000000000007</v>
      </c>
      <c r="BP275" s="71">
        <v>0.9</v>
      </c>
      <c r="BQ275" s="77">
        <f t="shared" si="44"/>
        <v>5.8320000000000007</v>
      </c>
      <c r="BR275" s="77" cm="1">
        <f t="array" ref="BR275">_xll.DCEPropSectI(BF275, BH275, BG275, BI275, BG275, BI275, "rx")/10</f>
        <v>11.847052463297633</v>
      </c>
      <c r="BS275" s="77" cm="1">
        <f t="array" ref="BS275">_xll.DCEPropSectI(BF275, BH275, BG275, BI275, BG275, BI275, "ry")/10</f>
        <v>5.3836052600564113</v>
      </c>
      <c r="BT275" s="5">
        <f t="shared" si="45"/>
        <v>49.227434571321723</v>
      </c>
      <c r="BU275" s="5">
        <f t="shared" si="46"/>
        <v>108.32889333975595</v>
      </c>
      <c r="BV275" s="5">
        <f t="shared" si="47"/>
        <v>108.32889333975595</v>
      </c>
      <c r="BW275" s="71">
        <f t="shared" si="48"/>
        <v>400</v>
      </c>
      <c r="BX275" s="78" cm="1">
        <f t="array" ref="BX275">IF(BM275&gt;0,1,_xll.DCETCVN5575FactorPhi7121(BV275*SQRT($K$17/206000),"b"))</f>
        <v>1</v>
      </c>
      <c r="BY275" s="64">
        <f t="shared" si="49"/>
        <v>2.145325854981487E-2</v>
      </c>
      <c r="BZ275" s="3" t="str">
        <f t="shared" si="50"/>
        <v>OK</v>
      </c>
    </row>
    <row r="276" spans="1:78">
      <c r="A276" s="76"/>
      <c r="B276" s="76"/>
      <c r="C276" s="125"/>
      <c r="D276" s="125"/>
      <c r="E276" s="71"/>
      <c r="F276" s="71"/>
      <c r="G276" s="71"/>
      <c r="H276" s="126"/>
      <c r="I276" s="125"/>
      <c r="J276" s="123"/>
      <c r="K276" s="12"/>
      <c r="L276" s="117"/>
      <c r="M276" s="12"/>
      <c r="N276" s="117"/>
      <c r="O276" s="117"/>
      <c r="P276" s="117"/>
      <c r="Q276" s="118"/>
      <c r="R276" s="118"/>
      <c r="S276" s="118"/>
      <c r="T276" s="12"/>
      <c r="U276" s="118"/>
      <c r="V276" s="118"/>
      <c r="W276" s="12"/>
      <c r="X276" s="119"/>
      <c r="Y276" s="120"/>
      <c r="Z276" s="12"/>
      <c r="BA276" s="70" t="s">
        <v>205</v>
      </c>
      <c r="BB276" s="71" t="s">
        <v>209</v>
      </c>
      <c r="BC276" s="71" t="s">
        <v>207</v>
      </c>
      <c r="BD276" s="71">
        <v>2.4300000000000002</v>
      </c>
      <c r="BE276" s="71">
        <v>6.48</v>
      </c>
      <c r="BF276" s="71">
        <v>268</v>
      </c>
      <c r="BG276" s="71">
        <v>212</v>
      </c>
      <c r="BH276" s="71">
        <v>5</v>
      </c>
      <c r="BI276" s="71">
        <v>10</v>
      </c>
      <c r="BJ276" s="12" t="str" cm="1">
        <f t="array" ref="BJ276">_xll.Dce_Name_SectI(BF276, BF276, BG276, BH276, BI276, "x", "-", $AX$11)</f>
        <v>268x212x5x10</v>
      </c>
      <c r="BK276" s="77" cm="1">
        <f t="array" ref="BK276">_xll.DCEPropSectI(BF276, BH276, BG276, BI276, BG276, BI276, "A")/100</f>
        <v>54.8</v>
      </c>
      <c r="BL276" s="70" t="s">
        <v>226</v>
      </c>
      <c r="BM276" s="70">
        <v>24.347006422719026</v>
      </c>
      <c r="BN276" s="71">
        <v>0.9</v>
      </c>
      <c r="BO276" s="77">
        <f t="shared" si="43"/>
        <v>5.8320000000000007</v>
      </c>
      <c r="BP276" s="71">
        <v>0.9</v>
      </c>
      <c r="BQ276" s="77">
        <f t="shared" si="44"/>
        <v>5.8320000000000007</v>
      </c>
      <c r="BR276" s="77" cm="1">
        <f t="array" ref="BR276">_xll.DCEPropSectI(BF276, BH276, BG276, BI276, BG276, BI276, "rx")/10</f>
        <v>11.847052463297633</v>
      </c>
      <c r="BS276" s="77" cm="1">
        <f t="array" ref="BS276">_xll.DCEPropSectI(BF276, BH276, BG276, BI276, BG276, BI276, "ry")/10</f>
        <v>5.3836052600564113</v>
      </c>
      <c r="BT276" s="5">
        <f t="shared" si="45"/>
        <v>49.227434571321723</v>
      </c>
      <c r="BU276" s="5">
        <f t="shared" si="46"/>
        <v>108.32889333975595</v>
      </c>
      <c r="BV276" s="5">
        <f t="shared" si="47"/>
        <v>108.32889333975595</v>
      </c>
      <c r="BW276" s="71">
        <f t="shared" si="48"/>
        <v>400</v>
      </c>
      <c r="BX276" s="78" cm="1">
        <f t="array" ref="BX276">IF(BM276&gt;0,1,_xll.DCETCVN5575FactorPhi7121(BV276*SQRT($K$17/206000),"b"))</f>
        <v>1</v>
      </c>
      <c r="BY276" s="64">
        <f t="shared" si="49"/>
        <v>2.1156592303370726E-2</v>
      </c>
      <c r="BZ276" s="3" t="str">
        <f t="shared" si="50"/>
        <v>OK</v>
      </c>
    </row>
    <row r="277" spans="1:78">
      <c r="A277" s="76"/>
      <c r="B277" s="76"/>
      <c r="C277" s="125"/>
      <c r="D277" s="125"/>
      <c r="E277" s="71"/>
      <c r="F277" s="71"/>
      <c r="G277" s="71"/>
      <c r="H277" s="126"/>
      <c r="I277" s="125"/>
      <c r="J277" s="123"/>
      <c r="K277" s="12"/>
      <c r="L277" s="117"/>
      <c r="M277" s="12"/>
      <c r="N277" s="117"/>
      <c r="O277" s="117"/>
      <c r="P277" s="117"/>
      <c r="Q277" s="118"/>
      <c r="R277" s="118"/>
      <c r="S277" s="118"/>
      <c r="T277" s="12"/>
      <c r="U277" s="118"/>
      <c r="V277" s="118"/>
      <c r="W277" s="12"/>
      <c r="X277" s="119"/>
      <c r="Y277" s="120"/>
      <c r="Z277" s="12"/>
      <c r="BA277" s="70" t="s">
        <v>205</v>
      </c>
      <c r="BB277" s="71" t="s">
        <v>209</v>
      </c>
      <c r="BC277" s="71" t="s">
        <v>207</v>
      </c>
      <c r="BD277" s="71">
        <v>3.24</v>
      </c>
      <c r="BE277" s="71">
        <v>6.48</v>
      </c>
      <c r="BF277" s="71">
        <v>268</v>
      </c>
      <c r="BG277" s="71">
        <v>212</v>
      </c>
      <c r="BH277" s="71">
        <v>5</v>
      </c>
      <c r="BI277" s="71">
        <v>10</v>
      </c>
      <c r="BJ277" s="12" t="str" cm="1">
        <f t="array" ref="BJ277">_xll.Dce_Name_SectI(BF277, BF277, BG277, BH277, BI277, "x", "-", $AX$11)</f>
        <v>268x212x5x10</v>
      </c>
      <c r="BK277" s="77" cm="1">
        <f t="array" ref="BK277">_xll.DCEPropSectI(BF277, BH277, BG277, BI277, BG277, BI277, "A")/100</f>
        <v>54.8</v>
      </c>
      <c r="BL277" s="70" t="s">
        <v>226</v>
      </c>
      <c r="BM277" s="70">
        <v>24.005602906311104</v>
      </c>
      <c r="BN277" s="71">
        <v>0.9</v>
      </c>
      <c r="BO277" s="77">
        <f t="shared" si="43"/>
        <v>5.8320000000000007</v>
      </c>
      <c r="BP277" s="71">
        <v>0.9</v>
      </c>
      <c r="BQ277" s="77">
        <f t="shared" si="44"/>
        <v>5.8320000000000007</v>
      </c>
      <c r="BR277" s="77" cm="1">
        <f t="array" ref="BR277">_xll.DCEPropSectI(BF277, BH277, BG277, BI277, BG277, BI277, "rx")/10</f>
        <v>11.847052463297633</v>
      </c>
      <c r="BS277" s="77" cm="1">
        <f t="array" ref="BS277">_xll.DCEPropSectI(BF277, BH277, BG277, BI277, BG277, BI277, "ry")/10</f>
        <v>5.3836052600564113</v>
      </c>
      <c r="BT277" s="5">
        <f t="shared" si="45"/>
        <v>49.227434571321723</v>
      </c>
      <c r="BU277" s="5">
        <f t="shared" si="46"/>
        <v>108.32889333975595</v>
      </c>
      <c r="BV277" s="5">
        <f t="shared" si="47"/>
        <v>108.32889333975595</v>
      </c>
      <c r="BW277" s="71">
        <f t="shared" si="48"/>
        <v>400</v>
      </c>
      <c r="BX277" s="78" cm="1">
        <f t="array" ref="BX277">IF(BM277&gt;0,1,_xll.DCETCVN5575FactorPhi7121(BV277*SQRT($K$17/206000),"b"))</f>
        <v>1</v>
      </c>
      <c r="BY277" s="64">
        <f t="shared" si="49"/>
        <v>2.0859926056926579E-2</v>
      </c>
      <c r="BZ277" s="3" t="str">
        <f t="shared" si="50"/>
        <v>OK</v>
      </c>
    </row>
    <row r="278" spans="1:78">
      <c r="A278" s="76"/>
      <c r="B278" s="76"/>
      <c r="C278" s="125"/>
      <c r="D278" s="125"/>
      <c r="E278" s="71"/>
      <c r="F278" s="71"/>
      <c r="G278" s="71"/>
      <c r="H278" s="126"/>
      <c r="I278" s="125"/>
      <c r="J278" s="123"/>
      <c r="K278" s="12"/>
      <c r="L278" s="117"/>
      <c r="M278" s="12"/>
      <c r="N278" s="117"/>
      <c r="O278" s="117"/>
      <c r="P278" s="117"/>
      <c r="Q278" s="118"/>
      <c r="R278" s="118"/>
      <c r="S278" s="118"/>
      <c r="T278" s="12"/>
      <c r="U278" s="118"/>
      <c r="V278" s="118"/>
      <c r="W278" s="12"/>
      <c r="X278" s="119"/>
      <c r="Y278" s="120"/>
      <c r="Z278" s="12"/>
      <c r="BA278" s="70" t="s">
        <v>205</v>
      </c>
      <c r="BB278" s="71" t="s">
        <v>209</v>
      </c>
      <c r="BC278" s="71" t="s">
        <v>207</v>
      </c>
      <c r="BD278" s="71">
        <v>4.05</v>
      </c>
      <c r="BE278" s="71">
        <v>6.48</v>
      </c>
      <c r="BF278" s="71">
        <v>268</v>
      </c>
      <c r="BG278" s="71">
        <v>212</v>
      </c>
      <c r="BH278" s="71">
        <v>5</v>
      </c>
      <c r="BI278" s="71">
        <v>10</v>
      </c>
      <c r="BJ278" s="12" t="str" cm="1">
        <f t="array" ref="BJ278">_xll.Dce_Name_SectI(BF278, BF278, BG278, BH278, BI278, "x", "-", $AX$11)</f>
        <v>268x212x5x10</v>
      </c>
      <c r="BK278" s="77" cm="1">
        <f t="array" ref="BK278">_xll.DCEPropSectI(BF278, BH278, BG278, BI278, BG278, BI278, "A")/100</f>
        <v>54.8</v>
      </c>
      <c r="BL278" s="70" t="s">
        <v>226</v>
      </c>
      <c r="BM278" s="70">
        <v>23.664199389903178</v>
      </c>
      <c r="BN278" s="71">
        <v>0.9</v>
      </c>
      <c r="BO278" s="77">
        <f t="shared" si="43"/>
        <v>5.8320000000000007</v>
      </c>
      <c r="BP278" s="71">
        <v>0.9</v>
      </c>
      <c r="BQ278" s="77">
        <f t="shared" si="44"/>
        <v>5.8320000000000007</v>
      </c>
      <c r="BR278" s="77" cm="1">
        <f t="array" ref="BR278">_xll.DCEPropSectI(BF278, BH278, BG278, BI278, BG278, BI278, "rx")/10</f>
        <v>11.847052463297633</v>
      </c>
      <c r="BS278" s="77" cm="1">
        <f t="array" ref="BS278">_xll.DCEPropSectI(BF278, BH278, BG278, BI278, BG278, BI278, "ry")/10</f>
        <v>5.3836052600564113</v>
      </c>
      <c r="BT278" s="5">
        <f t="shared" si="45"/>
        <v>49.227434571321723</v>
      </c>
      <c r="BU278" s="5">
        <f t="shared" si="46"/>
        <v>108.32889333975595</v>
      </c>
      <c r="BV278" s="5">
        <f t="shared" si="47"/>
        <v>108.32889333975595</v>
      </c>
      <c r="BW278" s="71">
        <f t="shared" si="48"/>
        <v>400</v>
      </c>
      <c r="BX278" s="78" cm="1">
        <f t="array" ref="BX278">IF(BM278&gt;0,1,_xll.DCETCVN5575FactorPhi7121(BV278*SQRT($K$17/206000),"b"))</f>
        <v>1</v>
      </c>
      <c r="BY278" s="64">
        <f t="shared" si="49"/>
        <v>2.0563259810482432E-2</v>
      </c>
      <c r="BZ278" s="3" t="str">
        <f t="shared" si="50"/>
        <v>OK</v>
      </c>
    </row>
    <row r="279" spans="1:78">
      <c r="A279" s="76"/>
      <c r="B279" s="76"/>
      <c r="C279" s="125"/>
      <c r="D279" s="125"/>
      <c r="E279" s="71"/>
      <c r="F279" s="71"/>
      <c r="G279" s="71"/>
      <c r="H279" s="126"/>
      <c r="I279" s="125"/>
      <c r="J279" s="123"/>
      <c r="K279" s="12"/>
      <c r="L279" s="117"/>
      <c r="M279" s="12"/>
      <c r="N279" s="117"/>
      <c r="O279" s="117"/>
      <c r="P279" s="117"/>
      <c r="Q279" s="118"/>
      <c r="R279" s="118"/>
      <c r="S279" s="118"/>
      <c r="T279" s="12"/>
      <c r="U279" s="118"/>
      <c r="V279" s="118"/>
      <c r="W279" s="12"/>
      <c r="X279" s="119"/>
      <c r="Y279" s="120"/>
      <c r="Z279" s="12"/>
      <c r="BA279" s="70" t="s">
        <v>205</v>
      </c>
      <c r="BB279" s="71" t="s">
        <v>209</v>
      </c>
      <c r="BC279" s="71" t="s">
        <v>207</v>
      </c>
      <c r="BD279" s="71">
        <v>4.8600000000000003</v>
      </c>
      <c r="BE279" s="71">
        <v>6.48</v>
      </c>
      <c r="BF279" s="71">
        <v>268</v>
      </c>
      <c r="BG279" s="71">
        <v>212</v>
      </c>
      <c r="BH279" s="71">
        <v>5</v>
      </c>
      <c r="BI279" s="71">
        <v>10</v>
      </c>
      <c r="BJ279" s="12" t="str" cm="1">
        <f t="array" ref="BJ279">_xll.Dce_Name_SectI(BF279, BF279, BG279, BH279, BI279, "x", "-", $AX$11)</f>
        <v>268x212x5x10</v>
      </c>
      <c r="BK279" s="77" cm="1">
        <f t="array" ref="BK279">_xll.DCEPropSectI(BF279, BH279, BG279, BI279, BG279, BI279, "A")/100</f>
        <v>54.8</v>
      </c>
      <c r="BL279" s="70" t="s">
        <v>226</v>
      </c>
      <c r="BM279" s="70">
        <v>23.322795873495256</v>
      </c>
      <c r="BN279" s="71">
        <v>0.9</v>
      </c>
      <c r="BO279" s="77">
        <f t="shared" si="43"/>
        <v>5.8320000000000007</v>
      </c>
      <c r="BP279" s="71">
        <v>0.9</v>
      </c>
      <c r="BQ279" s="77">
        <f t="shared" si="44"/>
        <v>5.8320000000000007</v>
      </c>
      <c r="BR279" s="77" cm="1">
        <f t="array" ref="BR279">_xll.DCEPropSectI(BF279, BH279, BG279, BI279, BG279, BI279, "rx")/10</f>
        <v>11.847052463297633</v>
      </c>
      <c r="BS279" s="77" cm="1">
        <f t="array" ref="BS279">_xll.DCEPropSectI(BF279, BH279, BG279, BI279, BG279, BI279, "ry")/10</f>
        <v>5.3836052600564113</v>
      </c>
      <c r="BT279" s="5">
        <f t="shared" si="45"/>
        <v>49.227434571321723</v>
      </c>
      <c r="BU279" s="5">
        <f t="shared" si="46"/>
        <v>108.32889333975595</v>
      </c>
      <c r="BV279" s="5">
        <f t="shared" si="47"/>
        <v>108.32889333975595</v>
      </c>
      <c r="BW279" s="71">
        <f t="shared" si="48"/>
        <v>400</v>
      </c>
      <c r="BX279" s="78" cm="1">
        <f t="array" ref="BX279">IF(BM279&gt;0,1,_xll.DCETCVN5575FactorPhi7121(BV279*SQRT($K$17/206000),"b"))</f>
        <v>1</v>
      </c>
      <c r="BY279" s="64">
        <f t="shared" si="49"/>
        <v>2.0266593564038284E-2</v>
      </c>
      <c r="BZ279" s="3" t="str">
        <f t="shared" si="50"/>
        <v>OK</v>
      </c>
    </row>
    <row r="280" spans="1:78">
      <c r="A280" s="76"/>
      <c r="B280" s="76"/>
      <c r="C280" s="125"/>
      <c r="D280" s="125"/>
      <c r="E280" s="71"/>
      <c r="F280" s="71"/>
      <c r="G280" s="71"/>
      <c r="H280" s="126"/>
      <c r="I280" s="125"/>
      <c r="J280" s="123"/>
      <c r="K280" s="12"/>
      <c r="L280" s="117"/>
      <c r="M280" s="12"/>
      <c r="N280" s="117"/>
      <c r="O280" s="117"/>
      <c r="P280" s="117"/>
      <c r="Q280" s="118"/>
      <c r="R280" s="118"/>
      <c r="S280" s="118"/>
      <c r="T280" s="12"/>
      <c r="U280" s="118"/>
      <c r="V280" s="118"/>
      <c r="W280" s="12"/>
      <c r="X280" s="119"/>
      <c r="Y280" s="120"/>
      <c r="Z280" s="12"/>
      <c r="BA280" s="70" t="s">
        <v>205</v>
      </c>
      <c r="BB280" s="71" t="s">
        <v>209</v>
      </c>
      <c r="BC280" s="71" t="s">
        <v>207</v>
      </c>
      <c r="BD280" s="71">
        <v>5.67</v>
      </c>
      <c r="BE280" s="71">
        <v>6.48</v>
      </c>
      <c r="BF280" s="71">
        <v>268</v>
      </c>
      <c r="BG280" s="71">
        <v>212</v>
      </c>
      <c r="BH280" s="71">
        <v>5</v>
      </c>
      <c r="BI280" s="71">
        <v>10</v>
      </c>
      <c r="BJ280" s="12" t="str" cm="1">
        <f t="array" ref="BJ280">_xll.Dce_Name_SectI(BF280, BF280, BG280, BH280, BI280, "x", "-", $AX$11)</f>
        <v>268x212x5x10</v>
      </c>
      <c r="BK280" s="77" cm="1">
        <f t="array" ref="BK280">_xll.DCEPropSectI(BF280, BH280, BG280, BI280, BG280, BI280, "A")/100</f>
        <v>54.8</v>
      </c>
      <c r="BL280" s="70" t="s">
        <v>226</v>
      </c>
      <c r="BM280" s="70">
        <v>22.981392357087334</v>
      </c>
      <c r="BN280" s="71">
        <v>0.9</v>
      </c>
      <c r="BO280" s="77">
        <f t="shared" si="43"/>
        <v>5.8320000000000007</v>
      </c>
      <c r="BP280" s="71">
        <v>0.9</v>
      </c>
      <c r="BQ280" s="77">
        <f t="shared" si="44"/>
        <v>5.8320000000000007</v>
      </c>
      <c r="BR280" s="77" cm="1">
        <f t="array" ref="BR280">_xll.DCEPropSectI(BF280, BH280, BG280, BI280, BG280, BI280, "rx")/10</f>
        <v>11.847052463297633</v>
      </c>
      <c r="BS280" s="77" cm="1">
        <f t="array" ref="BS280">_xll.DCEPropSectI(BF280, BH280, BG280, BI280, BG280, BI280, "ry")/10</f>
        <v>5.3836052600564113</v>
      </c>
      <c r="BT280" s="5">
        <f t="shared" si="45"/>
        <v>49.227434571321723</v>
      </c>
      <c r="BU280" s="5">
        <f t="shared" si="46"/>
        <v>108.32889333975595</v>
      </c>
      <c r="BV280" s="5">
        <f t="shared" si="47"/>
        <v>108.32889333975595</v>
      </c>
      <c r="BW280" s="71">
        <f t="shared" si="48"/>
        <v>400</v>
      </c>
      <c r="BX280" s="78" cm="1">
        <f t="array" ref="BX280">IF(BM280&gt;0,1,_xll.DCETCVN5575FactorPhi7121(BV280*SQRT($K$17/206000),"b"))</f>
        <v>1</v>
      </c>
      <c r="BY280" s="64">
        <f t="shared" si="49"/>
        <v>1.9969927317594137E-2</v>
      </c>
      <c r="BZ280" s="3" t="str">
        <f t="shared" si="50"/>
        <v>OK</v>
      </c>
    </row>
    <row r="281" spans="1:78">
      <c r="A281" s="76"/>
      <c r="B281" s="76"/>
      <c r="C281" s="125"/>
      <c r="D281" s="125"/>
      <c r="E281" s="71"/>
      <c r="F281" s="71"/>
      <c r="G281" s="71"/>
      <c r="H281" s="126"/>
      <c r="I281" s="125"/>
      <c r="J281" s="123"/>
      <c r="K281" s="12"/>
      <c r="L281" s="117"/>
      <c r="M281" s="12"/>
      <c r="N281" s="117"/>
      <c r="O281" s="117"/>
      <c r="P281" s="117"/>
      <c r="Q281" s="118"/>
      <c r="R281" s="118"/>
      <c r="S281" s="118"/>
      <c r="T281" s="12"/>
      <c r="U281" s="118"/>
      <c r="V281" s="118"/>
      <c r="W281" s="12"/>
      <c r="X281" s="119"/>
      <c r="Y281" s="120"/>
      <c r="Z281" s="12"/>
      <c r="BA281" s="70" t="s">
        <v>205</v>
      </c>
      <c r="BB281" s="71" t="s">
        <v>209</v>
      </c>
      <c r="BC281" s="71" t="s">
        <v>207</v>
      </c>
      <c r="BD281" s="71">
        <v>6.48</v>
      </c>
      <c r="BE281" s="71">
        <v>6.48</v>
      </c>
      <c r="BF281" s="71">
        <v>268</v>
      </c>
      <c r="BG281" s="71">
        <v>212</v>
      </c>
      <c r="BH281" s="71">
        <v>5</v>
      </c>
      <c r="BI281" s="71">
        <v>10</v>
      </c>
      <c r="BJ281" s="12" t="str" cm="1">
        <f t="array" ref="BJ281">_xll.Dce_Name_SectI(BF281, BF281, BG281, BH281, BI281, "x", "-", $AX$11)</f>
        <v>268x212x5x10</v>
      </c>
      <c r="BK281" s="77" cm="1">
        <f t="array" ref="BK281">_xll.DCEPropSectI(BF281, BH281, BG281, BI281, BG281, BI281, "A")/100</f>
        <v>54.8</v>
      </c>
      <c r="BL281" s="70" t="s">
        <v>226</v>
      </c>
      <c r="BM281" s="70">
        <v>22.639988840679411</v>
      </c>
      <c r="BN281" s="71">
        <v>0.9</v>
      </c>
      <c r="BO281" s="77">
        <f t="shared" si="43"/>
        <v>5.8320000000000007</v>
      </c>
      <c r="BP281" s="71">
        <v>0.9</v>
      </c>
      <c r="BQ281" s="77">
        <f t="shared" si="44"/>
        <v>5.8320000000000007</v>
      </c>
      <c r="BR281" s="77" cm="1">
        <f t="array" ref="BR281">_xll.DCEPropSectI(BF281, BH281, BG281, BI281, BG281, BI281, "rx")/10</f>
        <v>11.847052463297633</v>
      </c>
      <c r="BS281" s="77" cm="1">
        <f t="array" ref="BS281">_xll.DCEPropSectI(BF281, BH281, BG281, BI281, BG281, BI281, "ry")/10</f>
        <v>5.3836052600564113</v>
      </c>
      <c r="BT281" s="5">
        <f t="shared" si="45"/>
        <v>49.227434571321723</v>
      </c>
      <c r="BU281" s="5">
        <f t="shared" si="46"/>
        <v>108.32889333975595</v>
      </c>
      <c r="BV281" s="5">
        <f t="shared" si="47"/>
        <v>108.32889333975595</v>
      </c>
      <c r="BW281" s="71">
        <f t="shared" si="48"/>
        <v>400</v>
      </c>
      <c r="BX281" s="78" cm="1">
        <f t="array" ref="BX281">IF(BM281&gt;0,1,_xll.DCETCVN5575FactorPhi7121(BV281*SQRT($K$17/206000),"b"))</f>
        <v>1</v>
      </c>
      <c r="BY281" s="64">
        <f t="shared" si="49"/>
        <v>1.9673261071149997E-2</v>
      </c>
      <c r="BZ281" s="3" t="str">
        <f t="shared" si="50"/>
        <v>OK</v>
      </c>
    </row>
    <row r="282" spans="1:78">
      <c r="A282" s="76"/>
      <c r="B282" s="76"/>
      <c r="C282" s="125"/>
      <c r="D282" s="125"/>
      <c r="E282" s="71"/>
      <c r="F282" s="71"/>
      <c r="G282" s="71"/>
      <c r="H282" s="126"/>
      <c r="I282" s="125"/>
      <c r="J282" s="123"/>
      <c r="K282" s="12"/>
      <c r="L282" s="117"/>
      <c r="M282" s="12"/>
      <c r="N282" s="117"/>
      <c r="O282" s="117"/>
      <c r="P282" s="117"/>
      <c r="Q282" s="118"/>
      <c r="R282" s="118"/>
      <c r="S282" s="118"/>
      <c r="T282" s="12"/>
      <c r="U282" s="118"/>
      <c r="V282" s="118"/>
      <c r="W282" s="12"/>
      <c r="X282" s="119"/>
      <c r="Y282" s="120"/>
      <c r="Z282" s="12"/>
      <c r="BA282" s="70" t="s">
        <v>205</v>
      </c>
      <c r="BB282" s="71" t="s">
        <v>210</v>
      </c>
      <c r="BC282" s="71" t="s">
        <v>207</v>
      </c>
      <c r="BD282" s="71">
        <v>0</v>
      </c>
      <c r="BE282" s="71">
        <v>36</v>
      </c>
      <c r="BF282" s="71">
        <v>390</v>
      </c>
      <c r="BG282" s="71">
        <v>212</v>
      </c>
      <c r="BH282" s="71">
        <v>5</v>
      </c>
      <c r="BI282" s="71">
        <v>10</v>
      </c>
      <c r="BJ282" s="12" t="str" cm="1">
        <f t="array" ref="BJ282">_xll.Dce_Name_SectI(BF282, BF282, BG282, BH282, BI282, "x", "-", $AX$11)</f>
        <v>390x212x5x10</v>
      </c>
      <c r="BK282" s="77" cm="1">
        <f t="array" ref="BK282">_xll.DCEPropSectI(BF282, BH282, BG282, BI282, BG282, BI282, "A")/100</f>
        <v>60.9</v>
      </c>
      <c r="BL282" s="70" t="s">
        <v>217</v>
      </c>
      <c r="BM282" s="70">
        <v>-5.2021909300733569</v>
      </c>
      <c r="BN282" s="71">
        <v>0.9</v>
      </c>
      <c r="BO282" s="77">
        <f t="shared" si="43"/>
        <v>32.4</v>
      </c>
      <c r="BP282" s="71">
        <v>0.9</v>
      </c>
      <c r="BQ282" s="77">
        <f t="shared" si="44"/>
        <v>32.4</v>
      </c>
      <c r="BR282" s="77" cm="1">
        <f t="array" ref="BR282">_xll.DCEPropSectI(BF282, BH282, BG282, BI282, BG282, BI282, "rx")/10</f>
        <v>16.91131201300167</v>
      </c>
      <c r="BS282" s="77" cm="1">
        <f t="array" ref="BS282">_xll.DCEPropSectI(BF282, BH282, BG282, BI282, BG282, BI282, "ry")/10</f>
        <v>5.1070747638622018</v>
      </c>
      <c r="BT282" s="5">
        <f t="shared" si="45"/>
        <v>191.58773710218577</v>
      </c>
      <c r="BU282" s="5">
        <f t="shared" si="46"/>
        <v>634.41405301647956</v>
      </c>
      <c r="BV282" s="5">
        <f t="shared" si="47"/>
        <v>634.41405301647956</v>
      </c>
      <c r="BW282" s="71">
        <f t="shared" si="48"/>
        <v>200</v>
      </c>
      <c r="BX282" s="78" cm="1">
        <f t="array" ref="BX282">IF(BM282&gt;0,1,_xll.DCETCVN5575FactorPhi7121(BV282*SQRT($K$17/206000),"b"))</f>
        <v>1.6670876655456978E-2</v>
      </c>
      <c r="BY282" s="64">
        <f t="shared" si="49"/>
        <v>0.24400080656780071</v>
      </c>
      <c r="BZ282" s="3" t="str">
        <f t="shared" si="50"/>
        <v>Check</v>
      </c>
    </row>
    <row r="283" spans="1:78">
      <c r="A283" s="76"/>
      <c r="B283" s="76"/>
      <c r="C283" s="125"/>
      <c r="D283" s="125"/>
      <c r="E283" s="71"/>
      <c r="F283" s="71"/>
      <c r="G283" s="71"/>
      <c r="H283" s="126"/>
      <c r="I283" s="125"/>
      <c r="J283" s="123"/>
      <c r="K283" s="12"/>
      <c r="L283" s="117"/>
      <c r="M283" s="12"/>
      <c r="N283" s="117"/>
      <c r="O283" s="117"/>
      <c r="P283" s="117"/>
      <c r="Q283" s="118"/>
      <c r="R283" s="118"/>
      <c r="S283" s="118"/>
      <c r="T283" s="12"/>
      <c r="U283" s="118"/>
      <c r="V283" s="118"/>
      <c r="W283" s="12"/>
      <c r="X283" s="119"/>
      <c r="Y283" s="120"/>
      <c r="Z283" s="12"/>
      <c r="BA283" s="70" t="s">
        <v>205</v>
      </c>
      <c r="BB283" s="71" t="s">
        <v>210</v>
      </c>
      <c r="BC283" s="71" t="s">
        <v>207</v>
      </c>
      <c r="BD283" s="71">
        <v>0.3</v>
      </c>
      <c r="BE283" s="71">
        <v>36</v>
      </c>
      <c r="BF283" s="71">
        <v>390</v>
      </c>
      <c r="BG283" s="71">
        <v>212</v>
      </c>
      <c r="BH283" s="71">
        <v>5</v>
      </c>
      <c r="BI283" s="71">
        <v>10</v>
      </c>
      <c r="BJ283" s="12" t="str" cm="1">
        <f t="array" ref="BJ283">_xll.Dce_Name_SectI(BF283, BF283, BG283, BH283, BI283, "x", "-", $AX$11)</f>
        <v>390x212x5x10</v>
      </c>
      <c r="BK283" s="77" cm="1">
        <f t="array" ref="BK283">_xll.DCEPropSectI(BF283, BH283, BG283, BI283, BG283, BI283, "A")/100</f>
        <v>60.9</v>
      </c>
      <c r="BL283" s="70" t="s">
        <v>217</v>
      </c>
      <c r="BM283" s="70">
        <v>-5.2021909300733569</v>
      </c>
      <c r="BN283" s="71">
        <v>0.9</v>
      </c>
      <c r="BO283" s="77">
        <f t="shared" si="43"/>
        <v>32.4</v>
      </c>
      <c r="BP283" s="71">
        <v>0.9</v>
      </c>
      <c r="BQ283" s="77">
        <f t="shared" si="44"/>
        <v>32.4</v>
      </c>
      <c r="BR283" s="77" cm="1">
        <f t="array" ref="BR283">_xll.DCEPropSectI(BF283, BH283, BG283, BI283, BG283, BI283, "rx")/10</f>
        <v>16.91131201300167</v>
      </c>
      <c r="BS283" s="77" cm="1">
        <f t="array" ref="BS283">_xll.DCEPropSectI(BF283, BH283, BG283, BI283, BG283, BI283, "ry")/10</f>
        <v>5.1070747638622018</v>
      </c>
      <c r="BT283" s="5">
        <f t="shared" si="45"/>
        <v>191.58773710218577</v>
      </c>
      <c r="BU283" s="5">
        <f t="shared" si="46"/>
        <v>634.41405301647956</v>
      </c>
      <c r="BV283" s="5">
        <f t="shared" si="47"/>
        <v>634.41405301647956</v>
      </c>
      <c r="BW283" s="71">
        <f t="shared" si="48"/>
        <v>200</v>
      </c>
      <c r="BX283" s="78" cm="1">
        <f t="array" ref="BX283">IF(BM283&gt;0,1,_xll.DCETCVN5575FactorPhi7121(BV283*SQRT($K$17/206000),"b"))</f>
        <v>1.6670876655456978E-2</v>
      </c>
      <c r="BY283" s="64">
        <f t="shared" si="49"/>
        <v>0.24400080656780071</v>
      </c>
      <c r="BZ283" s="3" t="str">
        <f t="shared" si="50"/>
        <v>Check</v>
      </c>
    </row>
    <row r="284" spans="1:78">
      <c r="A284" s="76"/>
      <c r="B284" s="76"/>
      <c r="C284" s="125"/>
      <c r="D284" s="125"/>
      <c r="E284" s="71"/>
      <c r="F284" s="71"/>
      <c r="G284" s="71"/>
      <c r="H284" s="126"/>
      <c r="I284" s="125"/>
      <c r="J284" s="123"/>
      <c r="K284" s="12"/>
      <c r="L284" s="117"/>
      <c r="M284" s="12"/>
      <c r="N284" s="117"/>
      <c r="O284" s="117"/>
      <c r="P284" s="117"/>
      <c r="Q284" s="118"/>
      <c r="R284" s="118"/>
      <c r="S284" s="118"/>
      <c r="T284" s="12"/>
      <c r="U284" s="118"/>
      <c r="V284" s="118"/>
      <c r="W284" s="12"/>
      <c r="X284" s="119"/>
      <c r="Y284" s="120"/>
      <c r="Z284" s="12"/>
      <c r="BA284" s="70" t="s">
        <v>205</v>
      </c>
      <c r="BB284" s="71" t="s">
        <v>210</v>
      </c>
      <c r="BC284" s="71" t="s">
        <v>207</v>
      </c>
      <c r="BD284" s="71">
        <v>0.6</v>
      </c>
      <c r="BE284" s="71">
        <v>36</v>
      </c>
      <c r="BF284" s="71">
        <v>390</v>
      </c>
      <c r="BG284" s="71">
        <v>212</v>
      </c>
      <c r="BH284" s="71">
        <v>5</v>
      </c>
      <c r="BI284" s="71">
        <v>10</v>
      </c>
      <c r="BJ284" s="12" t="str" cm="1">
        <f t="array" ref="BJ284">_xll.Dce_Name_SectI(BF284, BF284, BG284, BH284, BI284, "x", "-", $AX$11)</f>
        <v>390x212x5x10</v>
      </c>
      <c r="BK284" s="77" cm="1">
        <f t="array" ref="BK284">_xll.DCEPropSectI(BF284, BH284, BG284, BI284, BG284, BI284, "A")/100</f>
        <v>60.9</v>
      </c>
      <c r="BL284" s="70" t="s">
        <v>217</v>
      </c>
      <c r="BM284" s="70">
        <v>-5.2021909300733569</v>
      </c>
      <c r="BN284" s="71">
        <v>0.9</v>
      </c>
      <c r="BO284" s="77">
        <f t="shared" si="43"/>
        <v>32.4</v>
      </c>
      <c r="BP284" s="71">
        <v>0.9</v>
      </c>
      <c r="BQ284" s="77">
        <f t="shared" si="44"/>
        <v>32.4</v>
      </c>
      <c r="BR284" s="77" cm="1">
        <f t="array" ref="BR284">_xll.DCEPropSectI(BF284, BH284, BG284, BI284, BG284, BI284, "rx")/10</f>
        <v>16.91131201300167</v>
      </c>
      <c r="BS284" s="77" cm="1">
        <f t="array" ref="BS284">_xll.DCEPropSectI(BF284, BH284, BG284, BI284, BG284, BI284, "ry")/10</f>
        <v>5.1070747638622018</v>
      </c>
      <c r="BT284" s="5">
        <f t="shared" si="45"/>
        <v>191.58773710218577</v>
      </c>
      <c r="BU284" s="5">
        <f t="shared" si="46"/>
        <v>634.41405301647956</v>
      </c>
      <c r="BV284" s="5">
        <f t="shared" si="47"/>
        <v>634.41405301647956</v>
      </c>
      <c r="BW284" s="71">
        <f t="shared" si="48"/>
        <v>200</v>
      </c>
      <c r="BX284" s="78" cm="1">
        <f t="array" ref="BX284">IF(BM284&gt;0,1,_xll.DCETCVN5575FactorPhi7121(BV284*SQRT($K$17/206000),"b"))</f>
        <v>1.6670876655456978E-2</v>
      </c>
      <c r="BY284" s="64">
        <f t="shared" si="49"/>
        <v>0.24400080656780071</v>
      </c>
      <c r="BZ284" s="3" t="str">
        <f t="shared" si="50"/>
        <v>Check</v>
      </c>
    </row>
    <row r="285" spans="1:78">
      <c r="A285" s="76"/>
      <c r="B285" s="76"/>
      <c r="C285" s="125"/>
      <c r="D285" s="125"/>
      <c r="E285" s="71"/>
      <c r="F285" s="71"/>
      <c r="G285" s="71"/>
      <c r="H285" s="126"/>
      <c r="I285" s="125"/>
      <c r="J285" s="123"/>
      <c r="K285" s="12"/>
      <c r="L285" s="117"/>
      <c r="M285" s="12"/>
      <c r="N285" s="117"/>
      <c r="O285" s="117"/>
      <c r="P285" s="117"/>
      <c r="Q285" s="118"/>
      <c r="R285" s="118"/>
      <c r="S285" s="118"/>
      <c r="T285" s="12"/>
      <c r="U285" s="118"/>
      <c r="V285" s="118"/>
      <c r="W285" s="12"/>
      <c r="X285" s="119"/>
      <c r="Y285" s="120"/>
      <c r="Z285" s="12"/>
      <c r="BA285" s="70" t="s">
        <v>205</v>
      </c>
      <c r="BB285" s="71" t="s">
        <v>210</v>
      </c>
      <c r="BC285" s="71" t="s">
        <v>207</v>
      </c>
      <c r="BD285" s="71">
        <v>0.6</v>
      </c>
      <c r="BE285" s="71">
        <v>36</v>
      </c>
      <c r="BF285" s="71">
        <v>390</v>
      </c>
      <c r="BG285" s="71">
        <v>212</v>
      </c>
      <c r="BH285" s="71">
        <v>5</v>
      </c>
      <c r="BI285" s="71">
        <v>10</v>
      </c>
      <c r="BJ285" s="12" t="str" cm="1">
        <f t="array" ref="BJ285">_xll.Dce_Name_SectI(BF285, BF285, BG285, BH285, BI285, "x", "-", $AX$11)</f>
        <v>390x212x5x10</v>
      </c>
      <c r="BK285" s="77" cm="1">
        <f t="array" ref="BK285">_xll.DCEPropSectI(BF285, BH285, BG285, BI285, BG285, BI285, "A")/100</f>
        <v>60.9</v>
      </c>
      <c r="BL285" s="70" t="s">
        <v>217</v>
      </c>
      <c r="BM285" s="70">
        <v>-8.7183285976079219</v>
      </c>
      <c r="BN285" s="71">
        <v>0.9</v>
      </c>
      <c r="BO285" s="77">
        <f t="shared" si="43"/>
        <v>32.4</v>
      </c>
      <c r="BP285" s="71">
        <v>0.9</v>
      </c>
      <c r="BQ285" s="77">
        <f t="shared" si="44"/>
        <v>32.4</v>
      </c>
      <c r="BR285" s="77" cm="1">
        <f t="array" ref="BR285">_xll.DCEPropSectI(BF285, BH285, BG285, BI285, BG285, BI285, "rx")/10</f>
        <v>16.91131201300167</v>
      </c>
      <c r="BS285" s="77" cm="1">
        <f t="array" ref="BS285">_xll.DCEPropSectI(BF285, BH285, BG285, BI285, BG285, BI285, "ry")/10</f>
        <v>5.1070747638622018</v>
      </c>
      <c r="BT285" s="5">
        <f t="shared" si="45"/>
        <v>191.58773710218577</v>
      </c>
      <c r="BU285" s="5">
        <f t="shared" si="46"/>
        <v>634.41405301647956</v>
      </c>
      <c r="BV285" s="5">
        <f t="shared" si="47"/>
        <v>634.41405301647956</v>
      </c>
      <c r="BW285" s="71">
        <f t="shared" si="48"/>
        <v>200</v>
      </c>
      <c r="BX285" s="78" cm="1">
        <f t="array" ref="BX285">IF(BM285&gt;0,1,_xll.DCETCVN5575FactorPhi7121(BV285*SQRT($K$17/206000),"b"))</f>
        <v>1.6670876655456978E-2</v>
      </c>
      <c r="BY285" s="64">
        <f t="shared" si="49"/>
        <v>0.40891986440594918</v>
      </c>
      <c r="BZ285" s="3" t="str">
        <f t="shared" si="50"/>
        <v>Check</v>
      </c>
    </row>
    <row r="286" spans="1:78">
      <c r="A286" s="76"/>
      <c r="B286" s="76"/>
      <c r="C286" s="125"/>
      <c r="D286" s="125"/>
      <c r="E286" s="71"/>
      <c r="F286" s="71"/>
      <c r="G286" s="71"/>
      <c r="H286" s="126"/>
      <c r="I286" s="125"/>
      <c r="J286" s="123"/>
      <c r="K286" s="12"/>
      <c r="L286" s="117"/>
      <c r="M286" s="12"/>
      <c r="N286" s="117"/>
      <c r="O286" s="117"/>
      <c r="P286" s="117"/>
      <c r="Q286" s="118"/>
      <c r="R286" s="118"/>
      <c r="S286" s="118"/>
      <c r="T286" s="12"/>
      <c r="U286" s="118"/>
      <c r="V286" s="118"/>
      <c r="W286" s="12"/>
      <c r="X286" s="119"/>
      <c r="Y286" s="120"/>
      <c r="Z286" s="12"/>
      <c r="BA286" s="70" t="s">
        <v>205</v>
      </c>
      <c r="BB286" s="71" t="s">
        <v>210</v>
      </c>
      <c r="BC286" s="71" t="s">
        <v>207</v>
      </c>
      <c r="BD286" s="71">
        <v>1.0900000000000001</v>
      </c>
      <c r="BE286" s="71">
        <v>36</v>
      </c>
      <c r="BF286" s="71">
        <v>390</v>
      </c>
      <c r="BG286" s="71">
        <v>212</v>
      </c>
      <c r="BH286" s="71">
        <v>5</v>
      </c>
      <c r="BI286" s="71">
        <v>10</v>
      </c>
      <c r="BJ286" s="12" t="str" cm="1">
        <f t="array" ref="BJ286">_xll.Dce_Name_SectI(BF286, BF286, BG286, BH286, BI286, "x", "-", $AX$11)</f>
        <v>390x212x5x10</v>
      </c>
      <c r="BK286" s="77" cm="1">
        <f t="array" ref="BK286">_xll.DCEPropSectI(BF286, BH286, BG286, BI286, BG286, BI286, "A")/100</f>
        <v>60.9</v>
      </c>
      <c r="BL286" s="70" t="s">
        <v>217</v>
      </c>
      <c r="BM286" s="70">
        <v>-8.7183285976079219</v>
      </c>
      <c r="BN286" s="71">
        <v>0.9</v>
      </c>
      <c r="BO286" s="77">
        <f t="shared" si="43"/>
        <v>32.4</v>
      </c>
      <c r="BP286" s="71">
        <v>0.9</v>
      </c>
      <c r="BQ286" s="77">
        <f t="shared" si="44"/>
        <v>32.4</v>
      </c>
      <c r="BR286" s="77" cm="1">
        <f t="array" ref="BR286">_xll.DCEPropSectI(BF286, BH286, BG286, BI286, BG286, BI286, "rx")/10</f>
        <v>16.91131201300167</v>
      </c>
      <c r="BS286" s="77" cm="1">
        <f t="array" ref="BS286">_xll.DCEPropSectI(BF286, BH286, BG286, BI286, BG286, BI286, "ry")/10</f>
        <v>5.1070747638622018</v>
      </c>
      <c r="BT286" s="5">
        <f t="shared" si="45"/>
        <v>191.58773710218577</v>
      </c>
      <c r="BU286" s="5">
        <f t="shared" si="46"/>
        <v>634.41405301647956</v>
      </c>
      <c r="BV286" s="5">
        <f t="shared" si="47"/>
        <v>634.41405301647956</v>
      </c>
      <c r="BW286" s="71">
        <f t="shared" si="48"/>
        <v>200</v>
      </c>
      <c r="BX286" s="78" cm="1">
        <f t="array" ref="BX286">IF(BM286&gt;0,1,_xll.DCETCVN5575FactorPhi7121(BV286*SQRT($K$17/206000),"b"))</f>
        <v>1.6670876655456978E-2</v>
      </c>
      <c r="BY286" s="64">
        <f t="shared" si="49"/>
        <v>0.40891986440594918</v>
      </c>
      <c r="BZ286" s="3" t="str">
        <f t="shared" si="50"/>
        <v>Check</v>
      </c>
    </row>
    <row r="287" spans="1:78">
      <c r="A287" s="76"/>
      <c r="B287" s="76"/>
      <c r="C287" s="125"/>
      <c r="D287" s="125"/>
      <c r="E287" s="71"/>
      <c r="F287" s="71"/>
      <c r="G287" s="71"/>
      <c r="H287" s="126"/>
      <c r="I287" s="125"/>
      <c r="J287" s="123"/>
      <c r="K287" s="12"/>
      <c r="L287" s="117"/>
      <c r="M287" s="12"/>
      <c r="N287" s="117"/>
      <c r="O287" s="117"/>
      <c r="P287" s="117"/>
      <c r="Q287" s="118"/>
      <c r="R287" s="118"/>
      <c r="S287" s="118"/>
      <c r="T287" s="12"/>
      <c r="U287" s="118"/>
      <c r="V287" s="118"/>
      <c r="W287" s="12"/>
      <c r="X287" s="119"/>
      <c r="Y287" s="120"/>
      <c r="Z287" s="12"/>
      <c r="BA287" s="70" t="s">
        <v>205</v>
      </c>
      <c r="BB287" s="71" t="s">
        <v>210</v>
      </c>
      <c r="BC287" s="71" t="s">
        <v>207</v>
      </c>
      <c r="BD287" s="71">
        <v>1.59</v>
      </c>
      <c r="BE287" s="71">
        <v>36</v>
      </c>
      <c r="BF287" s="71">
        <v>390</v>
      </c>
      <c r="BG287" s="71">
        <v>212</v>
      </c>
      <c r="BH287" s="71">
        <v>5</v>
      </c>
      <c r="BI287" s="71">
        <v>10</v>
      </c>
      <c r="BJ287" s="12" t="str" cm="1">
        <f t="array" ref="BJ287">_xll.Dce_Name_SectI(BF287, BF287, BG287, BH287, BI287, "x", "-", $AX$11)</f>
        <v>390x212x5x10</v>
      </c>
      <c r="BK287" s="77" cm="1">
        <f t="array" ref="BK287">_xll.DCEPropSectI(BF287, BH287, BG287, BI287, BG287, BI287, "A")/100</f>
        <v>60.9</v>
      </c>
      <c r="BL287" s="70" t="s">
        <v>217</v>
      </c>
      <c r="BM287" s="70">
        <v>-8.7183285976079219</v>
      </c>
      <c r="BN287" s="71">
        <v>0.9</v>
      </c>
      <c r="BO287" s="77">
        <f t="shared" si="43"/>
        <v>32.4</v>
      </c>
      <c r="BP287" s="71">
        <v>0.9</v>
      </c>
      <c r="BQ287" s="77">
        <f t="shared" si="44"/>
        <v>32.4</v>
      </c>
      <c r="BR287" s="77" cm="1">
        <f t="array" ref="BR287">_xll.DCEPropSectI(BF287, BH287, BG287, BI287, BG287, BI287, "rx")/10</f>
        <v>16.91131201300167</v>
      </c>
      <c r="BS287" s="77" cm="1">
        <f t="array" ref="BS287">_xll.DCEPropSectI(BF287, BH287, BG287, BI287, BG287, BI287, "ry")/10</f>
        <v>5.1070747638622018</v>
      </c>
      <c r="BT287" s="5">
        <f t="shared" si="45"/>
        <v>191.58773710218577</v>
      </c>
      <c r="BU287" s="5">
        <f t="shared" si="46"/>
        <v>634.41405301647956</v>
      </c>
      <c r="BV287" s="5">
        <f t="shared" si="47"/>
        <v>634.41405301647956</v>
      </c>
      <c r="BW287" s="71">
        <f t="shared" si="48"/>
        <v>200</v>
      </c>
      <c r="BX287" s="78" cm="1">
        <f t="array" ref="BX287">IF(BM287&gt;0,1,_xll.DCETCVN5575FactorPhi7121(BV287*SQRT($K$17/206000),"b"))</f>
        <v>1.6670876655456978E-2</v>
      </c>
      <c r="BY287" s="64">
        <f t="shared" si="49"/>
        <v>0.40891986440594918</v>
      </c>
      <c r="BZ287" s="3" t="str">
        <f t="shared" si="50"/>
        <v>Check</v>
      </c>
    </row>
    <row r="288" spans="1:78">
      <c r="A288" s="76"/>
      <c r="B288" s="76"/>
      <c r="C288" s="125"/>
      <c r="D288" s="125"/>
      <c r="E288" s="71"/>
      <c r="F288" s="71"/>
      <c r="G288" s="71"/>
      <c r="H288" s="126"/>
      <c r="I288" s="125"/>
      <c r="J288" s="123"/>
      <c r="K288" s="12"/>
      <c r="L288" s="117"/>
      <c r="M288" s="12"/>
      <c r="N288" s="117"/>
      <c r="O288" s="117"/>
      <c r="P288" s="117"/>
      <c r="Q288" s="118"/>
      <c r="R288" s="118"/>
      <c r="S288" s="118"/>
      <c r="T288" s="12"/>
      <c r="U288" s="118"/>
      <c r="V288" s="118"/>
      <c r="W288" s="12"/>
      <c r="X288" s="119"/>
      <c r="Y288" s="120"/>
      <c r="Z288" s="12"/>
      <c r="BA288" s="70" t="s">
        <v>205</v>
      </c>
      <c r="BB288" s="71" t="s">
        <v>210</v>
      </c>
      <c r="BC288" s="71" t="s">
        <v>207</v>
      </c>
      <c r="BD288" s="71">
        <v>2.08</v>
      </c>
      <c r="BE288" s="71">
        <v>36</v>
      </c>
      <c r="BF288" s="71">
        <v>390</v>
      </c>
      <c r="BG288" s="71">
        <v>212</v>
      </c>
      <c r="BH288" s="71">
        <v>5</v>
      </c>
      <c r="BI288" s="71">
        <v>10</v>
      </c>
      <c r="BJ288" s="12" t="str" cm="1">
        <f t="array" ref="BJ288">_xll.Dce_Name_SectI(BF288, BF288, BG288, BH288, BI288, "x", "-", $AX$11)</f>
        <v>390x212x5x10</v>
      </c>
      <c r="BK288" s="77" cm="1">
        <f t="array" ref="BK288">_xll.DCEPropSectI(BF288, BH288, BG288, BI288, BG288, BI288, "A")/100</f>
        <v>60.9</v>
      </c>
      <c r="BL288" s="70" t="s">
        <v>217</v>
      </c>
      <c r="BM288" s="70">
        <v>-8.7183285976079219</v>
      </c>
      <c r="BN288" s="71">
        <v>0.9</v>
      </c>
      <c r="BO288" s="77">
        <f t="shared" si="43"/>
        <v>32.4</v>
      </c>
      <c r="BP288" s="71">
        <v>0.9</v>
      </c>
      <c r="BQ288" s="77">
        <f t="shared" si="44"/>
        <v>32.4</v>
      </c>
      <c r="BR288" s="77" cm="1">
        <f t="array" ref="BR288">_xll.DCEPropSectI(BF288, BH288, BG288, BI288, BG288, BI288, "rx")/10</f>
        <v>16.91131201300167</v>
      </c>
      <c r="BS288" s="77" cm="1">
        <f t="array" ref="BS288">_xll.DCEPropSectI(BF288, BH288, BG288, BI288, BG288, BI288, "ry")/10</f>
        <v>5.1070747638622018</v>
      </c>
      <c r="BT288" s="5">
        <f t="shared" si="45"/>
        <v>191.58773710218577</v>
      </c>
      <c r="BU288" s="5">
        <f t="shared" si="46"/>
        <v>634.41405301647956</v>
      </c>
      <c r="BV288" s="5">
        <f t="shared" si="47"/>
        <v>634.41405301647956</v>
      </c>
      <c r="BW288" s="71">
        <f t="shared" si="48"/>
        <v>200</v>
      </c>
      <c r="BX288" s="78" cm="1">
        <f t="array" ref="BX288">IF(BM288&gt;0,1,_xll.DCETCVN5575FactorPhi7121(BV288*SQRT($K$17/206000),"b"))</f>
        <v>1.6670876655456978E-2</v>
      </c>
      <c r="BY288" s="64">
        <f t="shared" si="49"/>
        <v>0.40891986440594918</v>
      </c>
      <c r="BZ288" s="3" t="str">
        <f t="shared" si="50"/>
        <v>Check</v>
      </c>
    </row>
    <row r="289" spans="1:78">
      <c r="A289" s="76"/>
      <c r="B289" s="76"/>
      <c r="C289" s="125"/>
      <c r="D289" s="125"/>
      <c r="E289" s="71"/>
      <c r="F289" s="71"/>
      <c r="G289" s="71"/>
      <c r="H289" s="126"/>
      <c r="I289" s="125"/>
      <c r="J289" s="123"/>
      <c r="K289" s="12"/>
      <c r="L289" s="117"/>
      <c r="M289" s="12"/>
      <c r="N289" s="117"/>
      <c r="O289" s="117"/>
      <c r="P289" s="117"/>
      <c r="Q289" s="118"/>
      <c r="R289" s="118"/>
      <c r="S289" s="118"/>
      <c r="T289" s="12"/>
      <c r="U289" s="118"/>
      <c r="V289" s="118"/>
      <c r="W289" s="12"/>
      <c r="X289" s="119"/>
      <c r="Y289" s="120"/>
      <c r="Z289" s="12"/>
      <c r="BA289" s="70" t="s">
        <v>205</v>
      </c>
      <c r="BB289" s="71" t="s">
        <v>210</v>
      </c>
      <c r="BC289" s="71" t="s">
        <v>207</v>
      </c>
      <c r="BD289" s="71">
        <v>2.57</v>
      </c>
      <c r="BE289" s="71">
        <v>36</v>
      </c>
      <c r="BF289" s="71">
        <v>390</v>
      </c>
      <c r="BG289" s="71">
        <v>212</v>
      </c>
      <c r="BH289" s="71">
        <v>5</v>
      </c>
      <c r="BI289" s="71">
        <v>10</v>
      </c>
      <c r="BJ289" s="12" t="str" cm="1">
        <f t="array" ref="BJ289">_xll.Dce_Name_SectI(BF289, BF289, BG289, BH289, BI289, "x", "-", $AX$11)</f>
        <v>390x212x5x10</v>
      </c>
      <c r="BK289" s="77" cm="1">
        <f t="array" ref="BK289">_xll.DCEPropSectI(BF289, BH289, BG289, BI289, BG289, BI289, "A")/100</f>
        <v>60.9</v>
      </c>
      <c r="BL289" s="70" t="s">
        <v>217</v>
      </c>
      <c r="BM289" s="70">
        <v>-8.7183285976079219</v>
      </c>
      <c r="BN289" s="71">
        <v>0.9</v>
      </c>
      <c r="BO289" s="77">
        <f t="shared" si="43"/>
        <v>32.4</v>
      </c>
      <c r="BP289" s="71">
        <v>0.9</v>
      </c>
      <c r="BQ289" s="77">
        <f t="shared" si="44"/>
        <v>32.4</v>
      </c>
      <c r="BR289" s="77" cm="1">
        <f t="array" ref="BR289">_xll.DCEPropSectI(BF289, BH289, BG289, BI289, BG289, BI289, "rx")/10</f>
        <v>16.91131201300167</v>
      </c>
      <c r="BS289" s="77" cm="1">
        <f t="array" ref="BS289">_xll.DCEPropSectI(BF289, BH289, BG289, BI289, BG289, BI289, "ry")/10</f>
        <v>5.1070747638622018</v>
      </c>
      <c r="BT289" s="5">
        <f t="shared" si="45"/>
        <v>191.58773710218577</v>
      </c>
      <c r="BU289" s="5">
        <f t="shared" si="46"/>
        <v>634.41405301647956</v>
      </c>
      <c r="BV289" s="5">
        <f t="shared" si="47"/>
        <v>634.41405301647956</v>
      </c>
      <c r="BW289" s="71">
        <f t="shared" si="48"/>
        <v>200</v>
      </c>
      <c r="BX289" s="78" cm="1">
        <f t="array" ref="BX289">IF(BM289&gt;0,1,_xll.DCETCVN5575FactorPhi7121(BV289*SQRT($K$17/206000),"b"))</f>
        <v>1.6670876655456978E-2</v>
      </c>
      <c r="BY289" s="64">
        <f t="shared" si="49"/>
        <v>0.40891986440594918</v>
      </c>
      <c r="BZ289" s="3" t="str">
        <f t="shared" si="50"/>
        <v>Check</v>
      </c>
    </row>
    <row r="290" spans="1:78">
      <c r="A290" s="76"/>
      <c r="B290" s="76"/>
      <c r="C290" s="125"/>
      <c r="D290" s="125"/>
      <c r="E290" s="71"/>
      <c r="F290" s="71"/>
      <c r="G290" s="71"/>
      <c r="H290" s="126"/>
      <c r="I290" s="125"/>
      <c r="J290" s="123"/>
      <c r="K290" s="12"/>
      <c r="L290" s="117"/>
      <c r="M290" s="12"/>
      <c r="N290" s="117"/>
      <c r="O290" s="117"/>
      <c r="P290" s="117"/>
      <c r="Q290" s="118"/>
      <c r="R290" s="118"/>
      <c r="S290" s="118"/>
      <c r="T290" s="12"/>
      <c r="U290" s="118"/>
      <c r="V290" s="118"/>
      <c r="W290" s="12"/>
      <c r="X290" s="119"/>
      <c r="Y290" s="120"/>
      <c r="Z290" s="12"/>
      <c r="BA290" s="70" t="s">
        <v>205</v>
      </c>
      <c r="BB290" s="71" t="s">
        <v>210</v>
      </c>
      <c r="BC290" s="71" t="s">
        <v>207</v>
      </c>
      <c r="BD290" s="71">
        <v>3.06</v>
      </c>
      <c r="BE290" s="71">
        <v>36</v>
      </c>
      <c r="BF290" s="71">
        <v>390</v>
      </c>
      <c r="BG290" s="71">
        <v>212</v>
      </c>
      <c r="BH290" s="71">
        <v>5</v>
      </c>
      <c r="BI290" s="71">
        <v>10</v>
      </c>
      <c r="BJ290" s="12" t="str" cm="1">
        <f t="array" ref="BJ290">_xll.Dce_Name_SectI(BF290, BF290, BG290, BH290, BI290, "x", "-", $AX$11)</f>
        <v>390x212x5x10</v>
      </c>
      <c r="BK290" s="77" cm="1">
        <f t="array" ref="BK290">_xll.DCEPropSectI(BF290, BH290, BG290, BI290, BG290, BI290, "A")/100</f>
        <v>60.9</v>
      </c>
      <c r="BL290" s="70" t="s">
        <v>217</v>
      </c>
      <c r="BM290" s="70">
        <v>-8.7183285976079219</v>
      </c>
      <c r="BN290" s="71">
        <v>0.9</v>
      </c>
      <c r="BO290" s="77">
        <f t="shared" si="43"/>
        <v>32.4</v>
      </c>
      <c r="BP290" s="71">
        <v>0.9</v>
      </c>
      <c r="BQ290" s="77">
        <f t="shared" si="44"/>
        <v>32.4</v>
      </c>
      <c r="BR290" s="77" cm="1">
        <f t="array" ref="BR290">_xll.DCEPropSectI(BF290, BH290, BG290, BI290, BG290, BI290, "rx")/10</f>
        <v>16.91131201300167</v>
      </c>
      <c r="BS290" s="77" cm="1">
        <f t="array" ref="BS290">_xll.DCEPropSectI(BF290, BH290, BG290, BI290, BG290, BI290, "ry")/10</f>
        <v>5.1070747638622018</v>
      </c>
      <c r="BT290" s="5">
        <f t="shared" si="45"/>
        <v>191.58773710218577</v>
      </c>
      <c r="BU290" s="5">
        <f t="shared" si="46"/>
        <v>634.41405301647956</v>
      </c>
      <c r="BV290" s="5">
        <f t="shared" si="47"/>
        <v>634.41405301647956</v>
      </c>
      <c r="BW290" s="71">
        <f t="shared" si="48"/>
        <v>200</v>
      </c>
      <c r="BX290" s="78" cm="1">
        <f t="array" ref="BX290">IF(BM290&gt;0,1,_xll.DCETCVN5575FactorPhi7121(BV290*SQRT($K$17/206000),"b"))</f>
        <v>1.6670876655456978E-2</v>
      </c>
      <c r="BY290" s="64">
        <f t="shared" si="49"/>
        <v>0.40891986440594918</v>
      </c>
      <c r="BZ290" s="3" t="str">
        <f t="shared" si="50"/>
        <v>Check</v>
      </c>
    </row>
    <row r="291" spans="1:78">
      <c r="A291" s="76"/>
      <c r="B291" s="76"/>
      <c r="C291" s="125"/>
      <c r="D291" s="125"/>
      <c r="E291" s="71"/>
      <c r="F291" s="71"/>
      <c r="G291" s="71"/>
      <c r="H291" s="126"/>
      <c r="I291" s="125"/>
      <c r="J291" s="123"/>
      <c r="K291" s="12"/>
      <c r="L291" s="117"/>
      <c r="M291" s="12"/>
      <c r="N291" s="117"/>
      <c r="O291" s="117"/>
      <c r="P291" s="117"/>
      <c r="Q291" s="118"/>
      <c r="R291" s="118"/>
      <c r="S291" s="118"/>
      <c r="T291" s="12"/>
      <c r="U291" s="118"/>
      <c r="V291" s="118"/>
      <c r="W291" s="12"/>
      <c r="X291" s="119"/>
      <c r="Y291" s="120"/>
      <c r="Z291" s="12"/>
      <c r="BA291" s="70" t="s">
        <v>205</v>
      </c>
      <c r="BB291" s="71" t="s">
        <v>210</v>
      </c>
      <c r="BC291" s="71" t="s">
        <v>207</v>
      </c>
      <c r="BD291" s="71">
        <v>3.56</v>
      </c>
      <c r="BE291" s="71">
        <v>36</v>
      </c>
      <c r="BF291" s="71">
        <v>390</v>
      </c>
      <c r="BG291" s="71">
        <v>212</v>
      </c>
      <c r="BH291" s="71">
        <v>5</v>
      </c>
      <c r="BI291" s="71">
        <v>10</v>
      </c>
      <c r="BJ291" s="12" t="str" cm="1">
        <f t="array" ref="BJ291">_xll.Dce_Name_SectI(BF291, BF291, BG291, BH291, BI291, "x", "-", $AX$11)</f>
        <v>390x212x5x10</v>
      </c>
      <c r="BK291" s="77" cm="1">
        <f t="array" ref="BK291">_xll.DCEPropSectI(BF291, BH291, BG291, BI291, BG291, BI291, "A")/100</f>
        <v>60.9</v>
      </c>
      <c r="BL291" s="70" t="s">
        <v>217</v>
      </c>
      <c r="BM291" s="70">
        <v>-8.7183285976079219</v>
      </c>
      <c r="BN291" s="71">
        <v>0.9</v>
      </c>
      <c r="BO291" s="77">
        <f t="shared" si="43"/>
        <v>32.4</v>
      </c>
      <c r="BP291" s="71">
        <v>0.9</v>
      </c>
      <c r="BQ291" s="77">
        <f t="shared" si="44"/>
        <v>32.4</v>
      </c>
      <c r="BR291" s="77" cm="1">
        <f t="array" ref="BR291">_xll.DCEPropSectI(BF291, BH291, BG291, BI291, BG291, BI291, "rx")/10</f>
        <v>16.91131201300167</v>
      </c>
      <c r="BS291" s="77" cm="1">
        <f t="array" ref="BS291">_xll.DCEPropSectI(BF291, BH291, BG291, BI291, BG291, BI291, "ry")/10</f>
        <v>5.1070747638622018</v>
      </c>
      <c r="BT291" s="5">
        <f t="shared" si="45"/>
        <v>191.58773710218577</v>
      </c>
      <c r="BU291" s="5">
        <f t="shared" si="46"/>
        <v>634.41405301647956</v>
      </c>
      <c r="BV291" s="5">
        <f t="shared" si="47"/>
        <v>634.41405301647956</v>
      </c>
      <c r="BW291" s="71">
        <f t="shared" si="48"/>
        <v>200</v>
      </c>
      <c r="BX291" s="78" cm="1">
        <f t="array" ref="BX291">IF(BM291&gt;0,1,_xll.DCETCVN5575FactorPhi7121(BV291*SQRT($K$17/206000),"b"))</f>
        <v>1.6670876655456978E-2</v>
      </c>
      <c r="BY291" s="64">
        <f t="shared" si="49"/>
        <v>0.40891986440594918</v>
      </c>
      <c r="BZ291" s="3" t="str">
        <f t="shared" si="50"/>
        <v>Check</v>
      </c>
    </row>
    <row r="292" spans="1:78">
      <c r="A292" s="76"/>
      <c r="B292" s="76"/>
      <c r="C292" s="125"/>
      <c r="D292" s="125"/>
      <c r="E292" s="71"/>
      <c r="F292" s="71"/>
      <c r="G292" s="71"/>
      <c r="H292" s="126"/>
      <c r="I292" s="125"/>
      <c r="J292" s="123"/>
      <c r="K292" s="12"/>
      <c r="L292" s="117"/>
      <c r="M292" s="12"/>
      <c r="N292" s="117"/>
      <c r="O292" s="117"/>
      <c r="P292" s="117"/>
      <c r="Q292" s="118"/>
      <c r="R292" s="118"/>
      <c r="S292" s="118"/>
      <c r="T292" s="12"/>
      <c r="U292" s="118"/>
      <c r="V292" s="118"/>
      <c r="W292" s="12"/>
      <c r="X292" s="119"/>
      <c r="Y292" s="120"/>
      <c r="Z292" s="12"/>
      <c r="BA292" s="70" t="s">
        <v>205</v>
      </c>
      <c r="BB292" s="71" t="s">
        <v>210</v>
      </c>
      <c r="BC292" s="71" t="s">
        <v>207</v>
      </c>
      <c r="BD292" s="71">
        <v>4.05</v>
      </c>
      <c r="BE292" s="71">
        <v>36</v>
      </c>
      <c r="BF292" s="71">
        <v>390</v>
      </c>
      <c r="BG292" s="71">
        <v>212</v>
      </c>
      <c r="BH292" s="71">
        <v>5</v>
      </c>
      <c r="BI292" s="71">
        <v>10</v>
      </c>
      <c r="BJ292" s="12" t="str" cm="1">
        <f t="array" ref="BJ292">_xll.Dce_Name_SectI(BF292, BF292, BG292, BH292, BI292, "x", "-", $AX$11)</f>
        <v>390x212x5x10</v>
      </c>
      <c r="BK292" s="77" cm="1">
        <f t="array" ref="BK292">_xll.DCEPropSectI(BF292, BH292, BG292, BI292, BG292, BI292, "A")/100</f>
        <v>60.9</v>
      </c>
      <c r="BL292" s="70" t="s">
        <v>217</v>
      </c>
      <c r="BM292" s="70">
        <v>-8.7183285976079219</v>
      </c>
      <c r="BN292" s="71">
        <v>0.9</v>
      </c>
      <c r="BO292" s="77">
        <f t="shared" si="43"/>
        <v>32.4</v>
      </c>
      <c r="BP292" s="71">
        <v>0.9</v>
      </c>
      <c r="BQ292" s="77">
        <f t="shared" si="44"/>
        <v>32.4</v>
      </c>
      <c r="BR292" s="77" cm="1">
        <f t="array" ref="BR292">_xll.DCEPropSectI(BF292, BH292, BG292, BI292, BG292, BI292, "rx")/10</f>
        <v>16.91131201300167</v>
      </c>
      <c r="BS292" s="77" cm="1">
        <f t="array" ref="BS292">_xll.DCEPropSectI(BF292, BH292, BG292, BI292, BG292, BI292, "ry")/10</f>
        <v>5.1070747638622018</v>
      </c>
      <c r="BT292" s="5">
        <f t="shared" si="45"/>
        <v>191.58773710218577</v>
      </c>
      <c r="BU292" s="5">
        <f t="shared" si="46"/>
        <v>634.41405301647956</v>
      </c>
      <c r="BV292" s="5">
        <f t="shared" si="47"/>
        <v>634.41405301647956</v>
      </c>
      <c r="BW292" s="71">
        <f t="shared" si="48"/>
        <v>200</v>
      </c>
      <c r="BX292" s="78" cm="1">
        <f t="array" ref="BX292">IF(BM292&gt;0,1,_xll.DCETCVN5575FactorPhi7121(BV292*SQRT($K$17/206000),"b"))</f>
        <v>1.6670876655456978E-2</v>
      </c>
      <c r="BY292" s="64">
        <f t="shared" si="49"/>
        <v>0.40891986440594918</v>
      </c>
      <c r="BZ292" s="3" t="str">
        <f t="shared" si="50"/>
        <v>Check</v>
      </c>
    </row>
    <row r="293" spans="1:78">
      <c r="A293" s="76"/>
      <c r="B293" s="76"/>
      <c r="C293" s="125"/>
      <c r="D293" s="125"/>
      <c r="E293" s="71"/>
      <c r="F293" s="71"/>
      <c r="G293" s="71"/>
      <c r="H293" s="126"/>
      <c r="I293" s="125"/>
      <c r="J293" s="123"/>
      <c r="K293" s="12"/>
      <c r="L293" s="117"/>
      <c r="M293" s="12"/>
      <c r="N293" s="117"/>
      <c r="O293" s="117"/>
      <c r="P293" s="117"/>
      <c r="Q293" s="118"/>
      <c r="R293" s="118"/>
      <c r="S293" s="118"/>
      <c r="T293" s="12"/>
      <c r="U293" s="118"/>
      <c r="V293" s="118"/>
      <c r="W293" s="12"/>
      <c r="X293" s="119"/>
      <c r="Y293" s="120"/>
      <c r="Z293" s="12"/>
      <c r="BA293" s="70" t="s">
        <v>205</v>
      </c>
      <c r="BB293" s="71" t="s">
        <v>210</v>
      </c>
      <c r="BC293" s="71" t="s">
        <v>207</v>
      </c>
      <c r="BD293" s="71">
        <v>4.54</v>
      </c>
      <c r="BE293" s="71">
        <v>36</v>
      </c>
      <c r="BF293" s="71">
        <v>390</v>
      </c>
      <c r="BG293" s="71">
        <v>212</v>
      </c>
      <c r="BH293" s="71">
        <v>5</v>
      </c>
      <c r="BI293" s="71">
        <v>10</v>
      </c>
      <c r="BJ293" s="12" t="str" cm="1">
        <f t="array" ref="BJ293">_xll.Dce_Name_SectI(BF293, BF293, BG293, BH293, BI293, "x", "-", $AX$11)</f>
        <v>390x212x5x10</v>
      </c>
      <c r="BK293" s="77" cm="1">
        <f t="array" ref="BK293">_xll.DCEPropSectI(BF293, BH293, BG293, BI293, BG293, BI293, "A")/100</f>
        <v>60.9</v>
      </c>
      <c r="BL293" s="70" t="s">
        <v>217</v>
      </c>
      <c r="BM293" s="70">
        <v>-8.7183285976079219</v>
      </c>
      <c r="BN293" s="71">
        <v>0.9</v>
      </c>
      <c r="BO293" s="77">
        <f t="shared" si="43"/>
        <v>32.4</v>
      </c>
      <c r="BP293" s="71">
        <v>0.9</v>
      </c>
      <c r="BQ293" s="77">
        <f t="shared" si="44"/>
        <v>32.4</v>
      </c>
      <c r="BR293" s="77" cm="1">
        <f t="array" ref="BR293">_xll.DCEPropSectI(BF293, BH293, BG293, BI293, BG293, BI293, "rx")/10</f>
        <v>16.91131201300167</v>
      </c>
      <c r="BS293" s="77" cm="1">
        <f t="array" ref="BS293">_xll.DCEPropSectI(BF293, BH293, BG293, BI293, BG293, BI293, "ry")/10</f>
        <v>5.1070747638622018</v>
      </c>
      <c r="BT293" s="5">
        <f t="shared" si="45"/>
        <v>191.58773710218577</v>
      </c>
      <c r="BU293" s="5">
        <f t="shared" si="46"/>
        <v>634.41405301647956</v>
      </c>
      <c r="BV293" s="5">
        <f t="shared" si="47"/>
        <v>634.41405301647956</v>
      </c>
      <c r="BW293" s="71">
        <f t="shared" si="48"/>
        <v>200</v>
      </c>
      <c r="BX293" s="78" cm="1">
        <f t="array" ref="BX293">IF(BM293&gt;0,1,_xll.DCETCVN5575FactorPhi7121(BV293*SQRT($K$17/206000),"b"))</f>
        <v>1.6670876655456978E-2</v>
      </c>
      <c r="BY293" s="64">
        <f t="shared" si="49"/>
        <v>0.40891986440594918</v>
      </c>
      <c r="BZ293" s="3" t="str">
        <f t="shared" si="50"/>
        <v>Check</v>
      </c>
    </row>
    <row r="294" spans="1:78">
      <c r="A294" s="76"/>
      <c r="B294" s="76"/>
      <c r="C294" s="125"/>
      <c r="D294" s="125"/>
      <c r="E294" s="71"/>
      <c r="F294" s="71"/>
      <c r="G294" s="71"/>
      <c r="H294" s="126"/>
      <c r="I294" s="125"/>
      <c r="J294" s="123"/>
      <c r="K294" s="12"/>
      <c r="L294" s="117"/>
      <c r="M294" s="12"/>
      <c r="N294" s="117"/>
      <c r="O294" s="117"/>
      <c r="P294" s="117"/>
      <c r="Q294" s="118"/>
      <c r="R294" s="118"/>
      <c r="S294" s="118"/>
      <c r="T294" s="12"/>
      <c r="U294" s="118"/>
      <c r="V294" s="118"/>
      <c r="W294" s="12"/>
      <c r="X294" s="119"/>
      <c r="Y294" s="120"/>
      <c r="Z294" s="12"/>
      <c r="BA294" s="70" t="s">
        <v>205</v>
      </c>
      <c r="BB294" s="71" t="s">
        <v>210</v>
      </c>
      <c r="BC294" s="71" t="s">
        <v>207</v>
      </c>
      <c r="BD294" s="71">
        <v>5.04</v>
      </c>
      <c r="BE294" s="71">
        <v>36</v>
      </c>
      <c r="BF294" s="71">
        <v>390</v>
      </c>
      <c r="BG294" s="71">
        <v>212</v>
      </c>
      <c r="BH294" s="71">
        <v>5</v>
      </c>
      <c r="BI294" s="71">
        <v>10</v>
      </c>
      <c r="BJ294" s="12" t="str" cm="1">
        <f t="array" ref="BJ294">_xll.Dce_Name_SectI(BF294, BF294, BG294, BH294, BI294, "x", "-", $AX$11)</f>
        <v>390x212x5x10</v>
      </c>
      <c r="BK294" s="77" cm="1">
        <f t="array" ref="BK294">_xll.DCEPropSectI(BF294, BH294, BG294, BI294, BG294, BI294, "A")/100</f>
        <v>60.9</v>
      </c>
      <c r="BL294" s="70" t="s">
        <v>217</v>
      </c>
      <c r="BM294" s="70">
        <v>-8.7183285976079219</v>
      </c>
      <c r="BN294" s="71">
        <v>0.9</v>
      </c>
      <c r="BO294" s="77">
        <f t="shared" si="43"/>
        <v>32.4</v>
      </c>
      <c r="BP294" s="71">
        <v>0.9</v>
      </c>
      <c r="BQ294" s="77">
        <f t="shared" si="44"/>
        <v>32.4</v>
      </c>
      <c r="BR294" s="77" cm="1">
        <f t="array" ref="BR294">_xll.DCEPropSectI(BF294, BH294, BG294, BI294, BG294, BI294, "rx")/10</f>
        <v>16.91131201300167</v>
      </c>
      <c r="BS294" s="77" cm="1">
        <f t="array" ref="BS294">_xll.DCEPropSectI(BF294, BH294, BG294, BI294, BG294, BI294, "ry")/10</f>
        <v>5.1070747638622018</v>
      </c>
      <c r="BT294" s="5">
        <f t="shared" si="45"/>
        <v>191.58773710218577</v>
      </c>
      <c r="BU294" s="5">
        <f t="shared" si="46"/>
        <v>634.41405301647956</v>
      </c>
      <c r="BV294" s="5">
        <f t="shared" si="47"/>
        <v>634.41405301647956</v>
      </c>
      <c r="BW294" s="71">
        <f t="shared" si="48"/>
        <v>200</v>
      </c>
      <c r="BX294" s="78" cm="1">
        <f t="array" ref="BX294">IF(BM294&gt;0,1,_xll.DCETCVN5575FactorPhi7121(BV294*SQRT($K$17/206000),"b"))</f>
        <v>1.6670876655456978E-2</v>
      </c>
      <c r="BY294" s="64">
        <f t="shared" si="49"/>
        <v>0.40891986440594918</v>
      </c>
      <c r="BZ294" s="3" t="str">
        <f t="shared" si="50"/>
        <v>Check</v>
      </c>
    </row>
    <row r="295" spans="1:78">
      <c r="A295" s="76"/>
      <c r="B295" s="76"/>
      <c r="C295" s="125"/>
      <c r="D295" s="125"/>
      <c r="E295" s="71"/>
      <c r="F295" s="71"/>
      <c r="G295" s="71"/>
      <c r="H295" s="126"/>
      <c r="I295" s="125"/>
      <c r="J295" s="123"/>
      <c r="K295" s="12"/>
      <c r="L295" s="117"/>
      <c r="M295" s="12"/>
      <c r="N295" s="117"/>
      <c r="O295" s="117"/>
      <c r="P295" s="117"/>
      <c r="Q295" s="118"/>
      <c r="R295" s="118"/>
      <c r="S295" s="118"/>
      <c r="T295" s="12"/>
      <c r="U295" s="118"/>
      <c r="V295" s="118"/>
      <c r="W295" s="12"/>
      <c r="X295" s="119"/>
      <c r="Y295" s="120"/>
      <c r="Z295" s="12"/>
      <c r="BA295" s="70" t="s">
        <v>205</v>
      </c>
      <c r="BB295" s="71" t="s">
        <v>210</v>
      </c>
      <c r="BC295" s="71" t="s">
        <v>207</v>
      </c>
      <c r="BD295" s="71">
        <v>5.53</v>
      </c>
      <c r="BE295" s="71">
        <v>36</v>
      </c>
      <c r="BF295" s="71">
        <v>390</v>
      </c>
      <c r="BG295" s="71">
        <v>212</v>
      </c>
      <c r="BH295" s="71">
        <v>5</v>
      </c>
      <c r="BI295" s="71">
        <v>10</v>
      </c>
      <c r="BJ295" s="12" t="str" cm="1">
        <f t="array" ref="BJ295">_xll.Dce_Name_SectI(BF295, BF295, BG295, BH295, BI295, "x", "-", $AX$11)</f>
        <v>390x212x5x10</v>
      </c>
      <c r="BK295" s="77" cm="1">
        <f t="array" ref="BK295">_xll.DCEPropSectI(BF295, BH295, BG295, BI295, BG295, BI295, "A")/100</f>
        <v>60.9</v>
      </c>
      <c r="BL295" s="70" t="s">
        <v>217</v>
      </c>
      <c r="BM295" s="70">
        <v>-8.7183285976079219</v>
      </c>
      <c r="BN295" s="71">
        <v>0.9</v>
      </c>
      <c r="BO295" s="77">
        <f t="shared" si="43"/>
        <v>32.4</v>
      </c>
      <c r="BP295" s="71">
        <v>0.9</v>
      </c>
      <c r="BQ295" s="77">
        <f t="shared" si="44"/>
        <v>32.4</v>
      </c>
      <c r="BR295" s="77" cm="1">
        <f t="array" ref="BR295">_xll.DCEPropSectI(BF295, BH295, BG295, BI295, BG295, BI295, "rx")/10</f>
        <v>16.91131201300167</v>
      </c>
      <c r="BS295" s="77" cm="1">
        <f t="array" ref="BS295">_xll.DCEPropSectI(BF295, BH295, BG295, BI295, BG295, BI295, "ry")/10</f>
        <v>5.1070747638622018</v>
      </c>
      <c r="BT295" s="5">
        <f t="shared" si="45"/>
        <v>191.58773710218577</v>
      </c>
      <c r="BU295" s="5">
        <f t="shared" si="46"/>
        <v>634.41405301647956</v>
      </c>
      <c r="BV295" s="5">
        <f t="shared" si="47"/>
        <v>634.41405301647956</v>
      </c>
      <c r="BW295" s="71">
        <f t="shared" si="48"/>
        <v>200</v>
      </c>
      <c r="BX295" s="78" cm="1">
        <f t="array" ref="BX295">IF(BM295&gt;0,1,_xll.DCETCVN5575FactorPhi7121(BV295*SQRT($K$17/206000),"b"))</f>
        <v>1.6670876655456978E-2</v>
      </c>
      <c r="BY295" s="64">
        <f t="shared" si="49"/>
        <v>0.40891986440594918</v>
      </c>
      <c r="BZ295" s="3" t="str">
        <f t="shared" si="50"/>
        <v>Check</v>
      </c>
    </row>
    <row r="296" spans="1:78">
      <c r="A296" s="76"/>
      <c r="B296" s="76"/>
      <c r="C296" s="125"/>
      <c r="D296" s="125"/>
      <c r="E296" s="71"/>
      <c r="F296" s="71"/>
      <c r="G296" s="71"/>
      <c r="H296" s="126"/>
      <c r="I296" s="125"/>
      <c r="J296" s="123"/>
      <c r="K296" s="12"/>
      <c r="L296" s="117"/>
      <c r="M296" s="12"/>
      <c r="N296" s="117"/>
      <c r="O296" s="117"/>
      <c r="P296" s="117"/>
      <c r="Q296" s="118"/>
      <c r="R296" s="118"/>
      <c r="S296" s="118"/>
      <c r="T296" s="12"/>
      <c r="U296" s="118"/>
      <c r="V296" s="118"/>
      <c r="W296" s="12"/>
      <c r="X296" s="119"/>
      <c r="Y296" s="120"/>
      <c r="Z296" s="12"/>
      <c r="BA296" s="70" t="s">
        <v>205</v>
      </c>
      <c r="BB296" s="71" t="s">
        <v>210</v>
      </c>
      <c r="BC296" s="71" t="s">
        <v>207</v>
      </c>
      <c r="BD296" s="71">
        <v>6.02</v>
      </c>
      <c r="BE296" s="71">
        <v>36</v>
      </c>
      <c r="BF296" s="71">
        <v>390</v>
      </c>
      <c r="BG296" s="71">
        <v>212</v>
      </c>
      <c r="BH296" s="71">
        <v>5</v>
      </c>
      <c r="BI296" s="71">
        <v>10</v>
      </c>
      <c r="BJ296" s="12" t="str" cm="1">
        <f t="array" ref="BJ296">_xll.Dce_Name_SectI(BF296, BF296, BG296, BH296, BI296, "x", "-", $AX$11)</f>
        <v>390x212x5x10</v>
      </c>
      <c r="BK296" s="77" cm="1">
        <f t="array" ref="BK296">_xll.DCEPropSectI(BF296, BH296, BG296, BI296, BG296, BI296, "A")/100</f>
        <v>60.9</v>
      </c>
      <c r="BL296" s="70" t="s">
        <v>217</v>
      </c>
      <c r="BM296" s="70">
        <v>-8.7183285976079219</v>
      </c>
      <c r="BN296" s="71">
        <v>0.9</v>
      </c>
      <c r="BO296" s="77">
        <f t="shared" si="43"/>
        <v>32.4</v>
      </c>
      <c r="BP296" s="71">
        <v>0.9</v>
      </c>
      <c r="BQ296" s="77">
        <f t="shared" si="44"/>
        <v>32.4</v>
      </c>
      <c r="BR296" s="77" cm="1">
        <f t="array" ref="BR296">_xll.DCEPropSectI(BF296, BH296, BG296, BI296, BG296, BI296, "rx")/10</f>
        <v>16.91131201300167</v>
      </c>
      <c r="BS296" s="77" cm="1">
        <f t="array" ref="BS296">_xll.DCEPropSectI(BF296, BH296, BG296, BI296, BG296, BI296, "ry")/10</f>
        <v>5.1070747638622018</v>
      </c>
      <c r="BT296" s="5">
        <f t="shared" si="45"/>
        <v>191.58773710218577</v>
      </c>
      <c r="BU296" s="5">
        <f t="shared" si="46"/>
        <v>634.41405301647956</v>
      </c>
      <c r="BV296" s="5">
        <f t="shared" si="47"/>
        <v>634.41405301647956</v>
      </c>
      <c r="BW296" s="71">
        <f t="shared" si="48"/>
        <v>200</v>
      </c>
      <c r="BX296" s="78" cm="1">
        <f t="array" ref="BX296">IF(BM296&gt;0,1,_xll.DCETCVN5575FactorPhi7121(BV296*SQRT($K$17/206000),"b"))</f>
        <v>1.6670876655456978E-2</v>
      </c>
      <c r="BY296" s="64">
        <f t="shared" si="49"/>
        <v>0.40891986440594918</v>
      </c>
      <c r="BZ296" s="3" t="str">
        <f t="shared" si="50"/>
        <v>Check</v>
      </c>
    </row>
    <row r="297" spans="1:78">
      <c r="A297" s="76"/>
      <c r="B297" s="76"/>
      <c r="C297" s="125"/>
      <c r="D297" s="125"/>
      <c r="E297" s="71"/>
      <c r="F297" s="71"/>
      <c r="G297" s="71"/>
      <c r="H297" s="126"/>
      <c r="I297" s="125"/>
      <c r="J297" s="123"/>
      <c r="K297" s="12"/>
      <c r="L297" s="117"/>
      <c r="M297" s="12"/>
      <c r="N297" s="117"/>
      <c r="O297" s="117"/>
      <c r="P297" s="117"/>
      <c r="Q297" s="118"/>
      <c r="R297" s="118"/>
      <c r="S297" s="118"/>
      <c r="T297" s="12"/>
      <c r="U297" s="118"/>
      <c r="V297" s="118"/>
      <c r="W297" s="12"/>
      <c r="X297" s="119"/>
      <c r="Y297" s="120"/>
      <c r="Z297" s="12"/>
      <c r="BA297" s="70" t="s">
        <v>205</v>
      </c>
      <c r="BB297" s="71" t="s">
        <v>210</v>
      </c>
      <c r="BC297" s="71" t="s">
        <v>207</v>
      </c>
      <c r="BD297" s="71">
        <v>6.51</v>
      </c>
      <c r="BE297" s="71">
        <v>36</v>
      </c>
      <c r="BF297" s="71">
        <v>390</v>
      </c>
      <c r="BG297" s="71">
        <v>212</v>
      </c>
      <c r="BH297" s="71">
        <v>5</v>
      </c>
      <c r="BI297" s="71">
        <v>10</v>
      </c>
      <c r="BJ297" s="12" t="str" cm="1">
        <f t="array" ref="BJ297">_xll.Dce_Name_SectI(BF297, BF297, BG297, BH297, BI297, "x", "-", $AX$11)</f>
        <v>390x212x5x10</v>
      </c>
      <c r="BK297" s="77" cm="1">
        <f t="array" ref="BK297">_xll.DCEPropSectI(BF297, BH297, BG297, BI297, BG297, BI297, "A")/100</f>
        <v>60.9</v>
      </c>
      <c r="BL297" s="70" t="s">
        <v>217</v>
      </c>
      <c r="BM297" s="70">
        <v>-8.7183285976079219</v>
      </c>
      <c r="BN297" s="71">
        <v>0.9</v>
      </c>
      <c r="BO297" s="77">
        <f t="shared" si="43"/>
        <v>32.4</v>
      </c>
      <c r="BP297" s="71">
        <v>0.9</v>
      </c>
      <c r="BQ297" s="77">
        <f t="shared" si="44"/>
        <v>32.4</v>
      </c>
      <c r="BR297" s="77" cm="1">
        <f t="array" ref="BR297">_xll.DCEPropSectI(BF297, BH297, BG297, BI297, BG297, BI297, "rx")/10</f>
        <v>16.91131201300167</v>
      </c>
      <c r="BS297" s="77" cm="1">
        <f t="array" ref="BS297">_xll.DCEPropSectI(BF297, BH297, BG297, BI297, BG297, BI297, "ry")/10</f>
        <v>5.1070747638622018</v>
      </c>
      <c r="BT297" s="5">
        <f t="shared" si="45"/>
        <v>191.58773710218577</v>
      </c>
      <c r="BU297" s="5">
        <f t="shared" si="46"/>
        <v>634.41405301647956</v>
      </c>
      <c r="BV297" s="5">
        <f t="shared" si="47"/>
        <v>634.41405301647956</v>
      </c>
      <c r="BW297" s="71">
        <f t="shared" si="48"/>
        <v>200</v>
      </c>
      <c r="BX297" s="78" cm="1">
        <f t="array" ref="BX297">IF(BM297&gt;0,1,_xll.DCETCVN5575FactorPhi7121(BV297*SQRT($K$17/206000),"b"))</f>
        <v>1.6670876655456978E-2</v>
      </c>
      <c r="BY297" s="64">
        <f t="shared" si="49"/>
        <v>0.40891986440594918</v>
      </c>
      <c r="BZ297" s="3" t="str">
        <f t="shared" si="50"/>
        <v>Check</v>
      </c>
    </row>
    <row r="298" spans="1:78">
      <c r="A298" s="76"/>
      <c r="B298" s="76"/>
      <c r="C298" s="125"/>
      <c r="D298" s="125"/>
      <c r="E298" s="71"/>
      <c r="F298" s="71"/>
      <c r="G298" s="71"/>
      <c r="H298" s="126"/>
      <c r="I298" s="125"/>
      <c r="J298" s="123"/>
      <c r="K298" s="12"/>
      <c r="L298" s="117"/>
      <c r="M298" s="12"/>
      <c r="N298" s="117"/>
      <c r="O298" s="117"/>
      <c r="P298" s="117"/>
      <c r="Q298" s="118"/>
      <c r="R298" s="118"/>
      <c r="S298" s="118"/>
      <c r="T298" s="12"/>
      <c r="U298" s="118"/>
      <c r="V298" s="118"/>
      <c r="W298" s="12"/>
      <c r="X298" s="119"/>
      <c r="Y298" s="120"/>
      <c r="Z298" s="12"/>
      <c r="BA298" s="70" t="s">
        <v>205</v>
      </c>
      <c r="BB298" s="71" t="s">
        <v>210</v>
      </c>
      <c r="BC298" s="71" t="s">
        <v>207</v>
      </c>
      <c r="BD298" s="71">
        <v>7.01</v>
      </c>
      <c r="BE298" s="71">
        <v>36</v>
      </c>
      <c r="BF298" s="71">
        <v>390</v>
      </c>
      <c r="BG298" s="71">
        <v>212</v>
      </c>
      <c r="BH298" s="71">
        <v>5</v>
      </c>
      <c r="BI298" s="71">
        <v>10</v>
      </c>
      <c r="BJ298" s="12" t="str" cm="1">
        <f t="array" ref="BJ298">_xll.Dce_Name_SectI(BF298, BF298, BG298, BH298, BI298, "x", "-", $AX$11)</f>
        <v>390x212x5x10</v>
      </c>
      <c r="BK298" s="77" cm="1">
        <f t="array" ref="BK298">_xll.DCEPropSectI(BF298, BH298, BG298, BI298, BG298, BI298, "A")/100</f>
        <v>60.9</v>
      </c>
      <c r="BL298" s="70" t="s">
        <v>217</v>
      </c>
      <c r="BM298" s="70">
        <v>-8.7183285976079219</v>
      </c>
      <c r="BN298" s="71">
        <v>0.9</v>
      </c>
      <c r="BO298" s="77">
        <f t="shared" si="43"/>
        <v>32.4</v>
      </c>
      <c r="BP298" s="71">
        <v>0.9</v>
      </c>
      <c r="BQ298" s="77">
        <f t="shared" si="44"/>
        <v>32.4</v>
      </c>
      <c r="BR298" s="77" cm="1">
        <f t="array" ref="BR298">_xll.DCEPropSectI(BF298, BH298, BG298, BI298, BG298, BI298, "rx")/10</f>
        <v>16.91131201300167</v>
      </c>
      <c r="BS298" s="77" cm="1">
        <f t="array" ref="BS298">_xll.DCEPropSectI(BF298, BH298, BG298, BI298, BG298, BI298, "ry")/10</f>
        <v>5.1070747638622018</v>
      </c>
      <c r="BT298" s="5">
        <f t="shared" si="45"/>
        <v>191.58773710218577</v>
      </c>
      <c r="BU298" s="5">
        <f t="shared" si="46"/>
        <v>634.41405301647956</v>
      </c>
      <c r="BV298" s="5">
        <f t="shared" si="47"/>
        <v>634.41405301647956</v>
      </c>
      <c r="BW298" s="71">
        <f t="shared" si="48"/>
        <v>200</v>
      </c>
      <c r="BX298" s="78" cm="1">
        <f t="array" ref="BX298">IF(BM298&gt;0,1,_xll.DCETCVN5575FactorPhi7121(BV298*SQRT($K$17/206000),"b"))</f>
        <v>1.6670876655456978E-2</v>
      </c>
      <c r="BY298" s="64">
        <f t="shared" si="49"/>
        <v>0.40891986440594918</v>
      </c>
      <c r="BZ298" s="3" t="str">
        <f t="shared" si="50"/>
        <v>Check</v>
      </c>
    </row>
    <row r="299" spans="1:78">
      <c r="A299" s="76"/>
      <c r="B299" s="76"/>
      <c r="C299" s="125"/>
      <c r="D299" s="125"/>
      <c r="E299" s="71"/>
      <c r="F299" s="71"/>
      <c r="G299" s="71"/>
      <c r="H299" s="126"/>
      <c r="I299" s="125"/>
      <c r="J299" s="123"/>
      <c r="K299" s="12"/>
      <c r="L299" s="117"/>
      <c r="M299" s="12"/>
      <c r="N299" s="117"/>
      <c r="O299" s="117"/>
      <c r="P299" s="117"/>
      <c r="Q299" s="118"/>
      <c r="R299" s="118"/>
      <c r="S299" s="118"/>
      <c r="T299" s="12"/>
      <c r="U299" s="118"/>
      <c r="V299" s="118"/>
      <c r="W299" s="12"/>
      <c r="X299" s="119"/>
      <c r="Y299" s="120"/>
      <c r="Z299" s="12"/>
      <c r="BA299" s="70" t="s">
        <v>205</v>
      </c>
      <c r="BB299" s="71" t="s">
        <v>210</v>
      </c>
      <c r="BC299" s="71" t="s">
        <v>207</v>
      </c>
      <c r="BD299" s="71">
        <v>7.5</v>
      </c>
      <c r="BE299" s="71">
        <v>36</v>
      </c>
      <c r="BF299" s="71">
        <v>390</v>
      </c>
      <c r="BG299" s="71">
        <v>212</v>
      </c>
      <c r="BH299" s="71">
        <v>5</v>
      </c>
      <c r="BI299" s="71">
        <v>10</v>
      </c>
      <c r="BJ299" s="12" t="str" cm="1">
        <f t="array" ref="BJ299">_xll.Dce_Name_SectI(BF299, BF299, BG299, BH299, BI299, "x", "-", $AX$11)</f>
        <v>390x212x5x10</v>
      </c>
      <c r="BK299" s="77" cm="1">
        <f t="array" ref="BK299">_xll.DCEPropSectI(BF299, BH299, BG299, BI299, BG299, BI299, "A")/100</f>
        <v>60.9</v>
      </c>
      <c r="BL299" s="70" t="s">
        <v>217</v>
      </c>
      <c r="BM299" s="70">
        <v>-8.7183285976079219</v>
      </c>
      <c r="BN299" s="71">
        <v>0.9</v>
      </c>
      <c r="BO299" s="77">
        <f t="shared" si="43"/>
        <v>32.4</v>
      </c>
      <c r="BP299" s="71">
        <v>0.9</v>
      </c>
      <c r="BQ299" s="77">
        <f t="shared" si="44"/>
        <v>32.4</v>
      </c>
      <c r="BR299" s="77" cm="1">
        <f t="array" ref="BR299">_xll.DCEPropSectI(BF299, BH299, BG299, BI299, BG299, BI299, "rx")/10</f>
        <v>16.91131201300167</v>
      </c>
      <c r="BS299" s="77" cm="1">
        <f t="array" ref="BS299">_xll.DCEPropSectI(BF299, BH299, BG299, BI299, BG299, BI299, "ry")/10</f>
        <v>5.1070747638622018</v>
      </c>
      <c r="BT299" s="5">
        <f t="shared" si="45"/>
        <v>191.58773710218577</v>
      </c>
      <c r="BU299" s="5">
        <f t="shared" si="46"/>
        <v>634.41405301647956</v>
      </c>
      <c r="BV299" s="5">
        <f t="shared" si="47"/>
        <v>634.41405301647956</v>
      </c>
      <c r="BW299" s="71">
        <f t="shared" si="48"/>
        <v>200</v>
      </c>
      <c r="BX299" s="78" cm="1">
        <f t="array" ref="BX299">IF(BM299&gt;0,1,_xll.DCETCVN5575FactorPhi7121(BV299*SQRT($K$17/206000),"b"))</f>
        <v>1.6670876655456978E-2</v>
      </c>
      <c r="BY299" s="64">
        <f t="shared" si="49"/>
        <v>0.40891986440594918</v>
      </c>
      <c r="BZ299" s="3" t="str">
        <f t="shared" si="50"/>
        <v>Check</v>
      </c>
    </row>
    <row r="300" spans="1:78">
      <c r="A300" s="76"/>
      <c r="B300" s="76"/>
      <c r="C300" s="125"/>
      <c r="D300" s="125"/>
      <c r="E300" s="71"/>
      <c r="F300" s="71"/>
      <c r="G300" s="71"/>
      <c r="H300" s="126"/>
      <c r="I300" s="125"/>
      <c r="J300" s="123"/>
      <c r="K300" s="12"/>
      <c r="L300" s="117"/>
      <c r="M300" s="12"/>
      <c r="N300" s="117"/>
      <c r="O300" s="117"/>
      <c r="P300" s="117"/>
      <c r="Q300" s="118"/>
      <c r="R300" s="118"/>
      <c r="S300" s="118"/>
      <c r="T300" s="12"/>
      <c r="U300" s="118"/>
      <c r="V300" s="118"/>
      <c r="W300" s="12"/>
      <c r="X300" s="119"/>
      <c r="Y300" s="120"/>
      <c r="Z300" s="12"/>
      <c r="BA300" s="70" t="s">
        <v>205</v>
      </c>
      <c r="BB300" s="71" t="s">
        <v>210</v>
      </c>
      <c r="BC300" s="71" t="s">
        <v>207</v>
      </c>
      <c r="BD300" s="71">
        <v>7.5</v>
      </c>
      <c r="BE300" s="71">
        <v>36</v>
      </c>
      <c r="BF300" s="71">
        <v>390</v>
      </c>
      <c r="BG300" s="71">
        <v>212</v>
      </c>
      <c r="BH300" s="71">
        <v>5</v>
      </c>
      <c r="BI300" s="71">
        <v>10</v>
      </c>
      <c r="BJ300" s="12" t="str" cm="1">
        <f t="array" ref="BJ300">_xll.Dce_Name_SectI(BF300, BF300, BG300, BH300, BI300, "x", "-", $AX$11)</f>
        <v>390x212x5x10</v>
      </c>
      <c r="BK300" s="77" cm="1">
        <f t="array" ref="BK300">_xll.DCEPropSectI(BF300, BH300, BG300, BI300, BG300, BI300, "A")/100</f>
        <v>60.9</v>
      </c>
      <c r="BL300" s="70" t="s">
        <v>217</v>
      </c>
      <c r="BM300" s="70">
        <v>104.35406576947463</v>
      </c>
      <c r="BN300" s="71">
        <v>0.9</v>
      </c>
      <c r="BO300" s="77">
        <f t="shared" si="43"/>
        <v>32.4</v>
      </c>
      <c r="BP300" s="71">
        <v>0.9</v>
      </c>
      <c r="BQ300" s="77">
        <f t="shared" si="44"/>
        <v>32.4</v>
      </c>
      <c r="BR300" s="77" cm="1">
        <f t="array" ref="BR300">_xll.DCEPropSectI(BF300, BH300, BG300, BI300, BG300, BI300, "rx")/10</f>
        <v>16.91131201300167</v>
      </c>
      <c r="BS300" s="77" cm="1">
        <f t="array" ref="BS300">_xll.DCEPropSectI(BF300, BH300, BG300, BI300, BG300, BI300, "ry")/10</f>
        <v>5.1070747638622018</v>
      </c>
      <c r="BT300" s="5">
        <f t="shared" si="45"/>
        <v>191.58773710218577</v>
      </c>
      <c r="BU300" s="5">
        <f t="shared" si="46"/>
        <v>634.41405301647956</v>
      </c>
      <c r="BV300" s="5">
        <f t="shared" si="47"/>
        <v>634.41405301647956</v>
      </c>
      <c r="BW300" s="71">
        <f t="shared" si="48"/>
        <v>400</v>
      </c>
      <c r="BX300" s="78" cm="1">
        <f t="array" ref="BX300">IF(BM300&gt;0,1,_xll.DCETCVN5575FactorPhi7121(BV300*SQRT($K$17/206000),"b"))</f>
        <v>1</v>
      </c>
      <c r="BY300" s="64">
        <f t="shared" si="49"/>
        <v>8.1596736077468646E-2</v>
      </c>
      <c r="BZ300" s="3" t="str">
        <f t="shared" si="50"/>
        <v>Check</v>
      </c>
    </row>
    <row r="301" spans="1:78">
      <c r="A301" s="76"/>
      <c r="B301" s="76"/>
      <c r="C301" s="125"/>
      <c r="D301" s="125"/>
      <c r="E301" s="71"/>
      <c r="F301" s="71"/>
      <c r="G301" s="71"/>
      <c r="H301" s="126"/>
      <c r="I301" s="125"/>
      <c r="J301" s="123"/>
      <c r="K301" s="12"/>
      <c r="L301" s="117"/>
      <c r="M301" s="12"/>
      <c r="N301" s="117"/>
      <c r="O301" s="117"/>
      <c r="P301" s="117"/>
      <c r="Q301" s="118"/>
      <c r="R301" s="118"/>
      <c r="S301" s="118"/>
      <c r="T301" s="12"/>
      <c r="U301" s="118"/>
      <c r="V301" s="118"/>
      <c r="W301" s="12"/>
      <c r="X301" s="119"/>
      <c r="Y301" s="120"/>
      <c r="Z301" s="12"/>
      <c r="BA301" s="70" t="s">
        <v>205</v>
      </c>
      <c r="BB301" s="71" t="s">
        <v>210</v>
      </c>
      <c r="BC301" s="71" t="s">
        <v>207</v>
      </c>
      <c r="BD301" s="71">
        <v>8</v>
      </c>
      <c r="BE301" s="71">
        <v>36</v>
      </c>
      <c r="BF301" s="71">
        <v>390</v>
      </c>
      <c r="BG301" s="71">
        <v>212</v>
      </c>
      <c r="BH301" s="71">
        <v>5</v>
      </c>
      <c r="BI301" s="71">
        <v>10</v>
      </c>
      <c r="BJ301" s="12" t="str" cm="1">
        <f t="array" ref="BJ301">_xll.Dce_Name_SectI(BF301, BF301, BG301, BH301, BI301, "x", "-", $AX$11)</f>
        <v>390x212x5x10</v>
      </c>
      <c r="BK301" s="77" cm="1">
        <f t="array" ref="BK301">_xll.DCEPropSectI(BF301, BH301, BG301, BI301, BG301, BI301, "A")/100</f>
        <v>60.9</v>
      </c>
      <c r="BL301" s="70" t="s">
        <v>217</v>
      </c>
      <c r="BM301" s="70">
        <v>104.35406576947463</v>
      </c>
      <c r="BN301" s="71">
        <v>0.9</v>
      </c>
      <c r="BO301" s="77">
        <f t="shared" si="43"/>
        <v>32.4</v>
      </c>
      <c r="BP301" s="71">
        <v>0.9</v>
      </c>
      <c r="BQ301" s="77">
        <f t="shared" si="44"/>
        <v>32.4</v>
      </c>
      <c r="BR301" s="77" cm="1">
        <f t="array" ref="BR301">_xll.DCEPropSectI(BF301, BH301, BG301, BI301, BG301, BI301, "rx")/10</f>
        <v>16.91131201300167</v>
      </c>
      <c r="BS301" s="77" cm="1">
        <f t="array" ref="BS301">_xll.DCEPropSectI(BF301, BH301, BG301, BI301, BG301, BI301, "ry")/10</f>
        <v>5.1070747638622018</v>
      </c>
      <c r="BT301" s="5">
        <f t="shared" si="45"/>
        <v>191.58773710218577</v>
      </c>
      <c r="BU301" s="5">
        <f t="shared" si="46"/>
        <v>634.41405301647956</v>
      </c>
      <c r="BV301" s="5">
        <f t="shared" si="47"/>
        <v>634.41405301647956</v>
      </c>
      <c r="BW301" s="71">
        <f t="shared" si="48"/>
        <v>400</v>
      </c>
      <c r="BX301" s="78" cm="1">
        <f t="array" ref="BX301">IF(BM301&gt;0,1,_xll.DCETCVN5575FactorPhi7121(BV301*SQRT($K$17/206000),"b"))</f>
        <v>1</v>
      </c>
      <c r="BY301" s="64">
        <f t="shared" si="49"/>
        <v>8.1596736077468646E-2</v>
      </c>
      <c r="BZ301" s="3" t="str">
        <f t="shared" si="50"/>
        <v>Check</v>
      </c>
    </row>
    <row r="302" spans="1:78">
      <c r="A302" s="76"/>
      <c r="B302" s="76"/>
      <c r="C302" s="125"/>
      <c r="D302" s="125"/>
      <c r="E302" s="71"/>
      <c r="F302" s="71"/>
      <c r="G302" s="71"/>
      <c r="H302" s="126"/>
      <c r="I302" s="125"/>
      <c r="J302" s="123"/>
      <c r="K302" s="12"/>
      <c r="L302" s="117"/>
      <c r="M302" s="12"/>
      <c r="N302" s="117"/>
      <c r="O302" s="117"/>
      <c r="P302" s="117"/>
      <c r="Q302" s="118"/>
      <c r="R302" s="118"/>
      <c r="S302" s="118"/>
      <c r="T302" s="12"/>
      <c r="U302" s="118"/>
      <c r="V302" s="118"/>
      <c r="W302" s="12"/>
      <c r="X302" s="119"/>
      <c r="Y302" s="120"/>
      <c r="Z302" s="12"/>
      <c r="BA302" s="70" t="s">
        <v>205</v>
      </c>
      <c r="BB302" s="71" t="s">
        <v>210</v>
      </c>
      <c r="BC302" s="71" t="s">
        <v>207</v>
      </c>
      <c r="BD302" s="71">
        <v>8.5</v>
      </c>
      <c r="BE302" s="71">
        <v>36</v>
      </c>
      <c r="BF302" s="71">
        <v>390</v>
      </c>
      <c r="BG302" s="71">
        <v>212</v>
      </c>
      <c r="BH302" s="71">
        <v>5</v>
      </c>
      <c r="BI302" s="71">
        <v>10</v>
      </c>
      <c r="BJ302" s="12" t="str" cm="1">
        <f t="array" ref="BJ302">_xll.Dce_Name_SectI(BF302, BF302, BG302, BH302, BI302, "x", "-", $AX$11)</f>
        <v>390x212x5x10</v>
      </c>
      <c r="BK302" s="77" cm="1">
        <f t="array" ref="BK302">_xll.DCEPropSectI(BF302, BH302, BG302, BI302, BG302, BI302, "A")/100</f>
        <v>60.9</v>
      </c>
      <c r="BL302" s="70" t="s">
        <v>217</v>
      </c>
      <c r="BM302" s="70">
        <v>104.35406576947463</v>
      </c>
      <c r="BN302" s="71">
        <v>0.9</v>
      </c>
      <c r="BO302" s="77">
        <f t="shared" si="43"/>
        <v>32.4</v>
      </c>
      <c r="BP302" s="71">
        <v>0.9</v>
      </c>
      <c r="BQ302" s="77">
        <f t="shared" si="44"/>
        <v>32.4</v>
      </c>
      <c r="BR302" s="77" cm="1">
        <f t="array" ref="BR302">_xll.DCEPropSectI(BF302, BH302, BG302, BI302, BG302, BI302, "rx")/10</f>
        <v>16.91131201300167</v>
      </c>
      <c r="BS302" s="77" cm="1">
        <f t="array" ref="BS302">_xll.DCEPropSectI(BF302, BH302, BG302, BI302, BG302, BI302, "ry")/10</f>
        <v>5.1070747638622018</v>
      </c>
      <c r="BT302" s="5">
        <f t="shared" si="45"/>
        <v>191.58773710218577</v>
      </c>
      <c r="BU302" s="5">
        <f t="shared" si="46"/>
        <v>634.41405301647956</v>
      </c>
      <c r="BV302" s="5">
        <f t="shared" si="47"/>
        <v>634.41405301647956</v>
      </c>
      <c r="BW302" s="71">
        <f t="shared" si="48"/>
        <v>400</v>
      </c>
      <c r="BX302" s="78" cm="1">
        <f t="array" ref="BX302">IF(BM302&gt;0,1,_xll.DCETCVN5575FactorPhi7121(BV302*SQRT($K$17/206000),"b"))</f>
        <v>1</v>
      </c>
      <c r="BY302" s="64">
        <f t="shared" si="49"/>
        <v>8.1596736077468646E-2</v>
      </c>
      <c r="BZ302" s="3" t="str">
        <f t="shared" si="50"/>
        <v>Check</v>
      </c>
    </row>
    <row r="303" spans="1:78">
      <c r="A303" s="76"/>
      <c r="B303" s="76"/>
      <c r="C303" s="125"/>
      <c r="D303" s="125"/>
      <c r="E303" s="71"/>
      <c r="F303" s="71"/>
      <c r="G303" s="71"/>
      <c r="H303" s="126"/>
      <c r="I303" s="125"/>
      <c r="J303" s="123"/>
      <c r="K303" s="12"/>
      <c r="L303" s="117"/>
      <c r="M303" s="12"/>
      <c r="N303" s="117"/>
      <c r="O303" s="117"/>
      <c r="P303" s="117"/>
      <c r="Q303" s="118"/>
      <c r="R303" s="118"/>
      <c r="S303" s="118"/>
      <c r="T303" s="12"/>
      <c r="U303" s="118"/>
      <c r="V303" s="118"/>
      <c r="W303" s="12"/>
      <c r="X303" s="119"/>
      <c r="Y303" s="120"/>
      <c r="Z303" s="12"/>
      <c r="BA303" s="70" t="s">
        <v>205</v>
      </c>
      <c r="BB303" s="71" t="s">
        <v>210</v>
      </c>
      <c r="BC303" s="71" t="s">
        <v>207</v>
      </c>
      <c r="BD303" s="71">
        <v>9</v>
      </c>
      <c r="BE303" s="71">
        <v>36</v>
      </c>
      <c r="BF303" s="71">
        <v>390</v>
      </c>
      <c r="BG303" s="71">
        <v>212</v>
      </c>
      <c r="BH303" s="71">
        <v>5</v>
      </c>
      <c r="BI303" s="71">
        <v>10</v>
      </c>
      <c r="BJ303" s="12" t="str" cm="1">
        <f t="array" ref="BJ303">_xll.Dce_Name_SectI(BF303, BF303, BG303, BH303, BI303, "x", "-", $AX$11)</f>
        <v>390x212x5x10</v>
      </c>
      <c r="BK303" s="77" cm="1">
        <f t="array" ref="BK303">_xll.DCEPropSectI(BF303, BH303, BG303, BI303, BG303, BI303, "A")/100</f>
        <v>60.9</v>
      </c>
      <c r="BL303" s="70" t="s">
        <v>217</v>
      </c>
      <c r="BM303" s="70">
        <v>104.35406576947463</v>
      </c>
      <c r="BN303" s="71">
        <v>0.9</v>
      </c>
      <c r="BO303" s="77">
        <f t="shared" si="43"/>
        <v>32.4</v>
      </c>
      <c r="BP303" s="71">
        <v>0.9</v>
      </c>
      <c r="BQ303" s="77">
        <f t="shared" si="44"/>
        <v>32.4</v>
      </c>
      <c r="BR303" s="77" cm="1">
        <f t="array" ref="BR303">_xll.DCEPropSectI(BF303, BH303, BG303, BI303, BG303, BI303, "rx")/10</f>
        <v>16.91131201300167</v>
      </c>
      <c r="BS303" s="77" cm="1">
        <f t="array" ref="BS303">_xll.DCEPropSectI(BF303, BH303, BG303, BI303, BG303, BI303, "ry")/10</f>
        <v>5.1070747638622018</v>
      </c>
      <c r="BT303" s="5">
        <f t="shared" si="45"/>
        <v>191.58773710218577</v>
      </c>
      <c r="BU303" s="5">
        <f t="shared" si="46"/>
        <v>634.41405301647956</v>
      </c>
      <c r="BV303" s="5">
        <f t="shared" si="47"/>
        <v>634.41405301647956</v>
      </c>
      <c r="BW303" s="71">
        <f t="shared" si="48"/>
        <v>400</v>
      </c>
      <c r="BX303" s="78" cm="1">
        <f t="array" ref="BX303">IF(BM303&gt;0,1,_xll.DCETCVN5575FactorPhi7121(BV303*SQRT($K$17/206000),"b"))</f>
        <v>1</v>
      </c>
      <c r="BY303" s="64">
        <f t="shared" si="49"/>
        <v>8.1596736077468646E-2</v>
      </c>
      <c r="BZ303" s="3" t="str">
        <f t="shared" si="50"/>
        <v>Check</v>
      </c>
    </row>
    <row r="304" spans="1:78">
      <c r="A304" s="76"/>
      <c r="B304" s="76"/>
      <c r="C304" s="125"/>
      <c r="D304" s="125"/>
      <c r="E304" s="71"/>
      <c r="F304" s="71"/>
      <c r="G304" s="71"/>
      <c r="H304" s="126"/>
      <c r="I304" s="125"/>
      <c r="J304" s="123"/>
      <c r="K304" s="12"/>
      <c r="L304" s="117"/>
      <c r="M304" s="12"/>
      <c r="N304" s="117"/>
      <c r="O304" s="117"/>
      <c r="P304" s="117"/>
      <c r="Q304" s="118"/>
      <c r="R304" s="118"/>
      <c r="S304" s="118"/>
      <c r="T304" s="12"/>
      <c r="U304" s="118"/>
      <c r="V304" s="118"/>
      <c r="W304" s="12"/>
      <c r="X304" s="119"/>
      <c r="Y304" s="120"/>
      <c r="Z304" s="12"/>
      <c r="BA304" s="70" t="s">
        <v>205</v>
      </c>
      <c r="BB304" s="71" t="s">
        <v>210</v>
      </c>
      <c r="BC304" s="71" t="s">
        <v>207</v>
      </c>
      <c r="BD304" s="71">
        <v>9.5</v>
      </c>
      <c r="BE304" s="71">
        <v>36</v>
      </c>
      <c r="BF304" s="71">
        <v>390</v>
      </c>
      <c r="BG304" s="71">
        <v>212</v>
      </c>
      <c r="BH304" s="71">
        <v>5</v>
      </c>
      <c r="BI304" s="71">
        <v>10</v>
      </c>
      <c r="BJ304" s="12" t="str" cm="1">
        <f t="array" ref="BJ304">_xll.Dce_Name_SectI(BF304, BF304, BG304, BH304, BI304, "x", "-", $AX$11)</f>
        <v>390x212x5x10</v>
      </c>
      <c r="BK304" s="77" cm="1">
        <f t="array" ref="BK304">_xll.DCEPropSectI(BF304, BH304, BG304, BI304, BG304, BI304, "A")/100</f>
        <v>60.9</v>
      </c>
      <c r="BL304" s="70" t="s">
        <v>217</v>
      </c>
      <c r="BM304" s="70">
        <v>104.35406576947463</v>
      </c>
      <c r="BN304" s="71">
        <v>0.9</v>
      </c>
      <c r="BO304" s="77">
        <f t="shared" si="43"/>
        <v>32.4</v>
      </c>
      <c r="BP304" s="71">
        <v>0.9</v>
      </c>
      <c r="BQ304" s="77">
        <f t="shared" si="44"/>
        <v>32.4</v>
      </c>
      <c r="BR304" s="77" cm="1">
        <f t="array" ref="BR304">_xll.DCEPropSectI(BF304, BH304, BG304, BI304, BG304, BI304, "rx")/10</f>
        <v>16.91131201300167</v>
      </c>
      <c r="BS304" s="77" cm="1">
        <f t="array" ref="BS304">_xll.DCEPropSectI(BF304, BH304, BG304, BI304, BG304, BI304, "ry")/10</f>
        <v>5.1070747638622018</v>
      </c>
      <c r="BT304" s="5">
        <f t="shared" si="45"/>
        <v>191.58773710218577</v>
      </c>
      <c r="BU304" s="5">
        <f t="shared" si="46"/>
        <v>634.41405301647956</v>
      </c>
      <c r="BV304" s="5">
        <f t="shared" si="47"/>
        <v>634.41405301647956</v>
      </c>
      <c r="BW304" s="71">
        <f t="shared" si="48"/>
        <v>400</v>
      </c>
      <c r="BX304" s="78" cm="1">
        <f t="array" ref="BX304">IF(BM304&gt;0,1,_xll.DCETCVN5575FactorPhi7121(BV304*SQRT($K$17/206000),"b"))</f>
        <v>1</v>
      </c>
      <c r="BY304" s="64">
        <f t="shared" si="49"/>
        <v>8.1596736077468646E-2</v>
      </c>
      <c r="BZ304" s="3" t="str">
        <f t="shared" si="50"/>
        <v>Check</v>
      </c>
    </row>
    <row r="305" spans="1:78">
      <c r="A305" s="76"/>
      <c r="B305" s="76"/>
      <c r="C305" s="125"/>
      <c r="D305" s="125"/>
      <c r="E305" s="71"/>
      <c r="F305" s="71"/>
      <c r="G305" s="71"/>
      <c r="H305" s="126"/>
      <c r="I305" s="125"/>
      <c r="J305" s="123"/>
      <c r="K305" s="12"/>
      <c r="L305" s="117"/>
      <c r="M305" s="12"/>
      <c r="N305" s="117"/>
      <c r="O305" s="117"/>
      <c r="P305" s="117"/>
      <c r="Q305" s="118"/>
      <c r="R305" s="118"/>
      <c r="S305" s="118"/>
      <c r="T305" s="12"/>
      <c r="U305" s="118"/>
      <c r="V305" s="118"/>
      <c r="W305" s="12"/>
      <c r="X305" s="119"/>
      <c r="Y305" s="120"/>
      <c r="Z305" s="12"/>
      <c r="BA305" s="70" t="s">
        <v>205</v>
      </c>
      <c r="BB305" s="71" t="s">
        <v>210</v>
      </c>
      <c r="BC305" s="71" t="s">
        <v>207</v>
      </c>
      <c r="BD305" s="71">
        <v>10</v>
      </c>
      <c r="BE305" s="71">
        <v>36</v>
      </c>
      <c r="BF305" s="71">
        <v>390</v>
      </c>
      <c r="BG305" s="71">
        <v>212</v>
      </c>
      <c r="BH305" s="71">
        <v>5</v>
      </c>
      <c r="BI305" s="71">
        <v>10</v>
      </c>
      <c r="BJ305" s="12" t="str" cm="1">
        <f t="array" ref="BJ305">_xll.Dce_Name_SectI(BF305, BF305, BG305, BH305, BI305, "x", "-", $AX$11)</f>
        <v>390x212x5x10</v>
      </c>
      <c r="BK305" s="77" cm="1">
        <f t="array" ref="BK305">_xll.DCEPropSectI(BF305, BH305, BG305, BI305, BG305, BI305, "A")/100</f>
        <v>60.9</v>
      </c>
      <c r="BL305" s="70" t="s">
        <v>217</v>
      </c>
      <c r="BM305" s="70">
        <v>104.35406576947463</v>
      </c>
      <c r="BN305" s="71">
        <v>0.9</v>
      </c>
      <c r="BO305" s="77">
        <f t="shared" si="43"/>
        <v>32.4</v>
      </c>
      <c r="BP305" s="71">
        <v>0.9</v>
      </c>
      <c r="BQ305" s="77">
        <f t="shared" si="44"/>
        <v>32.4</v>
      </c>
      <c r="BR305" s="77" cm="1">
        <f t="array" ref="BR305">_xll.DCEPropSectI(BF305, BH305, BG305, BI305, BG305, BI305, "rx")/10</f>
        <v>16.91131201300167</v>
      </c>
      <c r="BS305" s="77" cm="1">
        <f t="array" ref="BS305">_xll.DCEPropSectI(BF305, BH305, BG305, BI305, BG305, BI305, "ry")/10</f>
        <v>5.1070747638622018</v>
      </c>
      <c r="BT305" s="5">
        <f t="shared" si="45"/>
        <v>191.58773710218577</v>
      </c>
      <c r="BU305" s="5">
        <f t="shared" si="46"/>
        <v>634.41405301647956</v>
      </c>
      <c r="BV305" s="5">
        <f t="shared" si="47"/>
        <v>634.41405301647956</v>
      </c>
      <c r="BW305" s="71">
        <f t="shared" si="48"/>
        <v>400</v>
      </c>
      <c r="BX305" s="78" cm="1">
        <f t="array" ref="BX305">IF(BM305&gt;0,1,_xll.DCETCVN5575FactorPhi7121(BV305*SQRT($K$17/206000),"b"))</f>
        <v>1</v>
      </c>
      <c r="BY305" s="64">
        <f t="shared" si="49"/>
        <v>8.1596736077468646E-2</v>
      </c>
      <c r="BZ305" s="3" t="str">
        <f t="shared" si="50"/>
        <v>Check</v>
      </c>
    </row>
    <row r="306" spans="1:78">
      <c r="A306" s="76"/>
      <c r="B306" s="76"/>
      <c r="C306" s="125"/>
      <c r="D306" s="125"/>
      <c r="E306" s="71"/>
      <c r="F306" s="71"/>
      <c r="G306" s="71"/>
      <c r="H306" s="126"/>
      <c r="I306" s="125"/>
      <c r="J306" s="123"/>
      <c r="K306" s="12"/>
      <c r="L306" s="117"/>
      <c r="M306" s="12"/>
      <c r="N306" s="117"/>
      <c r="O306" s="117"/>
      <c r="P306" s="117"/>
      <c r="Q306" s="118"/>
      <c r="R306" s="118"/>
      <c r="S306" s="118"/>
      <c r="T306" s="12"/>
      <c r="U306" s="118"/>
      <c r="V306" s="118"/>
      <c r="W306" s="12"/>
      <c r="X306" s="119"/>
      <c r="Y306" s="120"/>
      <c r="Z306" s="12"/>
      <c r="BA306" s="70" t="s">
        <v>205</v>
      </c>
      <c r="BB306" s="71" t="s">
        <v>210</v>
      </c>
      <c r="BC306" s="71" t="s">
        <v>207</v>
      </c>
      <c r="BD306" s="71">
        <v>10.5</v>
      </c>
      <c r="BE306" s="71">
        <v>36</v>
      </c>
      <c r="BF306" s="71">
        <v>390</v>
      </c>
      <c r="BG306" s="71">
        <v>212</v>
      </c>
      <c r="BH306" s="71">
        <v>5</v>
      </c>
      <c r="BI306" s="71">
        <v>10</v>
      </c>
      <c r="BJ306" s="12" t="str" cm="1">
        <f t="array" ref="BJ306">_xll.Dce_Name_SectI(BF306, BF306, BG306, BH306, BI306, "x", "-", $AX$11)</f>
        <v>390x212x5x10</v>
      </c>
      <c r="BK306" s="77" cm="1">
        <f t="array" ref="BK306">_xll.DCEPropSectI(BF306, BH306, BG306, BI306, BG306, BI306, "A")/100</f>
        <v>60.9</v>
      </c>
      <c r="BL306" s="70" t="s">
        <v>217</v>
      </c>
      <c r="BM306" s="70">
        <v>104.35406576947463</v>
      </c>
      <c r="BN306" s="71">
        <v>0.9</v>
      </c>
      <c r="BO306" s="77">
        <f t="shared" si="43"/>
        <v>32.4</v>
      </c>
      <c r="BP306" s="71">
        <v>0.9</v>
      </c>
      <c r="BQ306" s="77">
        <f t="shared" si="44"/>
        <v>32.4</v>
      </c>
      <c r="BR306" s="77" cm="1">
        <f t="array" ref="BR306">_xll.DCEPropSectI(BF306, BH306, BG306, BI306, BG306, BI306, "rx")/10</f>
        <v>16.91131201300167</v>
      </c>
      <c r="BS306" s="77" cm="1">
        <f t="array" ref="BS306">_xll.DCEPropSectI(BF306, BH306, BG306, BI306, BG306, BI306, "ry")/10</f>
        <v>5.1070747638622018</v>
      </c>
      <c r="BT306" s="5">
        <f t="shared" si="45"/>
        <v>191.58773710218577</v>
      </c>
      <c r="BU306" s="5">
        <f t="shared" si="46"/>
        <v>634.41405301647956</v>
      </c>
      <c r="BV306" s="5">
        <f t="shared" si="47"/>
        <v>634.41405301647956</v>
      </c>
      <c r="BW306" s="71">
        <f t="shared" si="48"/>
        <v>400</v>
      </c>
      <c r="BX306" s="78" cm="1">
        <f t="array" ref="BX306">IF(BM306&gt;0,1,_xll.DCETCVN5575FactorPhi7121(BV306*SQRT($K$17/206000),"b"))</f>
        <v>1</v>
      </c>
      <c r="BY306" s="64">
        <f t="shared" si="49"/>
        <v>8.1596736077468646E-2</v>
      </c>
      <c r="BZ306" s="3" t="str">
        <f t="shared" si="50"/>
        <v>Check</v>
      </c>
    </row>
    <row r="307" spans="1:78">
      <c r="A307" s="76"/>
      <c r="B307" s="76"/>
      <c r="C307" s="125"/>
      <c r="D307" s="125"/>
      <c r="E307" s="71"/>
      <c r="F307" s="71"/>
      <c r="G307" s="71"/>
      <c r="H307" s="126"/>
      <c r="I307" s="125"/>
      <c r="J307" s="123"/>
      <c r="K307" s="12"/>
      <c r="L307" s="117"/>
      <c r="M307" s="12"/>
      <c r="N307" s="117"/>
      <c r="O307" s="117"/>
      <c r="P307" s="117"/>
      <c r="Q307" s="118"/>
      <c r="R307" s="118"/>
      <c r="S307" s="118"/>
      <c r="T307" s="12"/>
      <c r="U307" s="118"/>
      <c r="V307" s="118"/>
      <c r="W307" s="12"/>
      <c r="X307" s="119"/>
      <c r="Y307" s="120"/>
      <c r="Z307" s="12"/>
      <c r="BA307" s="70" t="s">
        <v>205</v>
      </c>
      <c r="BB307" s="71" t="s">
        <v>210</v>
      </c>
      <c r="BC307" s="71" t="s">
        <v>207</v>
      </c>
      <c r="BD307" s="71">
        <v>11</v>
      </c>
      <c r="BE307" s="71">
        <v>36</v>
      </c>
      <c r="BF307" s="71">
        <v>390</v>
      </c>
      <c r="BG307" s="71">
        <v>212</v>
      </c>
      <c r="BH307" s="71">
        <v>5</v>
      </c>
      <c r="BI307" s="71">
        <v>10</v>
      </c>
      <c r="BJ307" s="12" t="str" cm="1">
        <f t="array" ref="BJ307">_xll.Dce_Name_SectI(BF307, BF307, BG307, BH307, BI307, "x", "-", $AX$11)</f>
        <v>390x212x5x10</v>
      </c>
      <c r="BK307" s="77" cm="1">
        <f t="array" ref="BK307">_xll.DCEPropSectI(BF307, BH307, BG307, BI307, BG307, BI307, "A")/100</f>
        <v>60.9</v>
      </c>
      <c r="BL307" s="70" t="s">
        <v>217</v>
      </c>
      <c r="BM307" s="70">
        <v>104.35406576947463</v>
      </c>
      <c r="BN307" s="71">
        <v>0.9</v>
      </c>
      <c r="BO307" s="77">
        <f t="shared" si="43"/>
        <v>32.4</v>
      </c>
      <c r="BP307" s="71">
        <v>0.9</v>
      </c>
      <c r="BQ307" s="77">
        <f t="shared" si="44"/>
        <v>32.4</v>
      </c>
      <c r="BR307" s="77" cm="1">
        <f t="array" ref="BR307">_xll.DCEPropSectI(BF307, BH307, BG307, BI307, BG307, BI307, "rx")/10</f>
        <v>16.91131201300167</v>
      </c>
      <c r="BS307" s="77" cm="1">
        <f t="array" ref="BS307">_xll.DCEPropSectI(BF307, BH307, BG307, BI307, BG307, BI307, "ry")/10</f>
        <v>5.1070747638622018</v>
      </c>
      <c r="BT307" s="5">
        <f t="shared" si="45"/>
        <v>191.58773710218577</v>
      </c>
      <c r="BU307" s="5">
        <f t="shared" si="46"/>
        <v>634.41405301647956</v>
      </c>
      <c r="BV307" s="5">
        <f t="shared" si="47"/>
        <v>634.41405301647956</v>
      </c>
      <c r="BW307" s="71">
        <f t="shared" si="48"/>
        <v>400</v>
      </c>
      <c r="BX307" s="78" cm="1">
        <f t="array" ref="BX307">IF(BM307&gt;0,1,_xll.DCETCVN5575FactorPhi7121(BV307*SQRT($K$17/206000),"b"))</f>
        <v>1</v>
      </c>
      <c r="BY307" s="64">
        <f t="shared" si="49"/>
        <v>8.1596736077468646E-2</v>
      </c>
      <c r="BZ307" s="3" t="str">
        <f t="shared" si="50"/>
        <v>Check</v>
      </c>
    </row>
    <row r="308" spans="1:78">
      <c r="A308" s="76"/>
      <c r="B308" s="76"/>
      <c r="C308" s="125"/>
      <c r="D308" s="125"/>
      <c r="E308" s="71"/>
      <c r="F308" s="71"/>
      <c r="G308" s="71"/>
      <c r="H308" s="126"/>
      <c r="I308" s="125"/>
      <c r="J308" s="123"/>
      <c r="K308" s="12"/>
      <c r="L308" s="117"/>
      <c r="M308" s="12"/>
      <c r="N308" s="117"/>
      <c r="O308" s="117"/>
      <c r="P308" s="117"/>
      <c r="Q308" s="118"/>
      <c r="R308" s="118"/>
      <c r="S308" s="118"/>
      <c r="T308" s="12"/>
      <c r="U308" s="118"/>
      <c r="V308" s="118"/>
      <c r="W308" s="12"/>
      <c r="X308" s="119"/>
      <c r="Y308" s="120"/>
      <c r="Z308" s="12"/>
      <c r="BA308" s="70" t="s">
        <v>205</v>
      </c>
      <c r="BB308" s="71" t="s">
        <v>210</v>
      </c>
      <c r="BC308" s="71" t="s">
        <v>207</v>
      </c>
      <c r="BD308" s="71">
        <v>11.5</v>
      </c>
      <c r="BE308" s="71">
        <v>36</v>
      </c>
      <c r="BF308" s="71">
        <v>390</v>
      </c>
      <c r="BG308" s="71">
        <v>212</v>
      </c>
      <c r="BH308" s="71">
        <v>5</v>
      </c>
      <c r="BI308" s="71">
        <v>10</v>
      </c>
      <c r="BJ308" s="12" t="str" cm="1">
        <f t="array" ref="BJ308">_xll.Dce_Name_SectI(BF308, BF308, BG308, BH308, BI308, "x", "-", $AX$11)</f>
        <v>390x212x5x10</v>
      </c>
      <c r="BK308" s="77" cm="1">
        <f t="array" ref="BK308">_xll.DCEPropSectI(BF308, BH308, BG308, BI308, BG308, BI308, "A")/100</f>
        <v>60.9</v>
      </c>
      <c r="BL308" s="70" t="s">
        <v>217</v>
      </c>
      <c r="BM308" s="70">
        <v>104.35406576947463</v>
      </c>
      <c r="BN308" s="71">
        <v>0.9</v>
      </c>
      <c r="BO308" s="77">
        <f t="shared" si="43"/>
        <v>32.4</v>
      </c>
      <c r="BP308" s="71">
        <v>0.9</v>
      </c>
      <c r="BQ308" s="77">
        <f t="shared" si="44"/>
        <v>32.4</v>
      </c>
      <c r="BR308" s="77" cm="1">
        <f t="array" ref="BR308">_xll.DCEPropSectI(BF308, BH308, BG308, BI308, BG308, BI308, "rx")/10</f>
        <v>16.91131201300167</v>
      </c>
      <c r="BS308" s="77" cm="1">
        <f t="array" ref="BS308">_xll.DCEPropSectI(BF308, BH308, BG308, BI308, BG308, BI308, "ry")/10</f>
        <v>5.1070747638622018</v>
      </c>
      <c r="BT308" s="5">
        <f t="shared" si="45"/>
        <v>191.58773710218577</v>
      </c>
      <c r="BU308" s="5">
        <f t="shared" si="46"/>
        <v>634.41405301647956</v>
      </c>
      <c r="BV308" s="5">
        <f t="shared" si="47"/>
        <v>634.41405301647956</v>
      </c>
      <c r="BW308" s="71">
        <f t="shared" si="48"/>
        <v>400</v>
      </c>
      <c r="BX308" s="78" cm="1">
        <f t="array" ref="BX308">IF(BM308&gt;0,1,_xll.DCETCVN5575FactorPhi7121(BV308*SQRT($K$17/206000),"b"))</f>
        <v>1</v>
      </c>
      <c r="BY308" s="64">
        <f t="shared" si="49"/>
        <v>8.1596736077468646E-2</v>
      </c>
      <c r="BZ308" s="3" t="str">
        <f t="shared" si="50"/>
        <v>Check</v>
      </c>
    </row>
    <row r="309" spans="1:78">
      <c r="A309" s="76"/>
      <c r="B309" s="76"/>
      <c r="C309" s="125"/>
      <c r="D309" s="125"/>
      <c r="E309" s="71"/>
      <c r="F309" s="71"/>
      <c r="G309" s="71"/>
      <c r="H309" s="126"/>
      <c r="I309" s="125"/>
      <c r="J309" s="123"/>
      <c r="K309" s="12"/>
      <c r="L309" s="117"/>
      <c r="M309" s="12"/>
      <c r="N309" s="117"/>
      <c r="O309" s="117"/>
      <c r="P309" s="117"/>
      <c r="Q309" s="118"/>
      <c r="R309" s="118"/>
      <c r="S309" s="118"/>
      <c r="T309" s="12"/>
      <c r="U309" s="118"/>
      <c r="V309" s="118"/>
      <c r="W309" s="12"/>
      <c r="X309" s="119"/>
      <c r="Y309" s="120"/>
      <c r="Z309" s="12"/>
      <c r="BA309" s="70" t="s">
        <v>205</v>
      </c>
      <c r="BB309" s="71" t="s">
        <v>210</v>
      </c>
      <c r="BC309" s="71" t="s">
        <v>207</v>
      </c>
      <c r="BD309" s="71">
        <v>12</v>
      </c>
      <c r="BE309" s="71">
        <v>36</v>
      </c>
      <c r="BF309" s="71">
        <v>390</v>
      </c>
      <c r="BG309" s="71">
        <v>212</v>
      </c>
      <c r="BH309" s="71">
        <v>5</v>
      </c>
      <c r="BI309" s="71">
        <v>10</v>
      </c>
      <c r="BJ309" s="12" t="str" cm="1">
        <f t="array" ref="BJ309">_xll.Dce_Name_SectI(BF309, BF309, BG309, BH309, BI309, "x", "-", $AX$11)</f>
        <v>390x212x5x10</v>
      </c>
      <c r="BK309" s="77" cm="1">
        <f t="array" ref="BK309">_xll.DCEPropSectI(BF309, BH309, BG309, BI309, BG309, BI309, "A")/100</f>
        <v>60.9</v>
      </c>
      <c r="BL309" s="70" t="s">
        <v>217</v>
      </c>
      <c r="BM309" s="70">
        <v>104.35406576947463</v>
      </c>
      <c r="BN309" s="71">
        <v>0.9</v>
      </c>
      <c r="BO309" s="77">
        <f t="shared" si="43"/>
        <v>32.4</v>
      </c>
      <c r="BP309" s="71">
        <v>0.9</v>
      </c>
      <c r="BQ309" s="77">
        <f t="shared" si="44"/>
        <v>32.4</v>
      </c>
      <c r="BR309" s="77" cm="1">
        <f t="array" ref="BR309">_xll.DCEPropSectI(BF309, BH309, BG309, BI309, BG309, BI309, "rx")/10</f>
        <v>16.91131201300167</v>
      </c>
      <c r="BS309" s="77" cm="1">
        <f t="array" ref="BS309">_xll.DCEPropSectI(BF309, BH309, BG309, BI309, BG309, BI309, "ry")/10</f>
        <v>5.1070747638622018</v>
      </c>
      <c r="BT309" s="5">
        <f t="shared" si="45"/>
        <v>191.58773710218577</v>
      </c>
      <c r="BU309" s="5">
        <f t="shared" si="46"/>
        <v>634.41405301647956</v>
      </c>
      <c r="BV309" s="5">
        <f t="shared" si="47"/>
        <v>634.41405301647956</v>
      </c>
      <c r="BW309" s="71">
        <f t="shared" si="48"/>
        <v>400</v>
      </c>
      <c r="BX309" s="78" cm="1">
        <f t="array" ref="BX309">IF(BM309&gt;0,1,_xll.DCETCVN5575FactorPhi7121(BV309*SQRT($K$17/206000),"b"))</f>
        <v>1</v>
      </c>
      <c r="BY309" s="64">
        <f t="shared" si="49"/>
        <v>8.1596736077468646E-2</v>
      </c>
      <c r="BZ309" s="3" t="str">
        <f t="shared" si="50"/>
        <v>Check</v>
      </c>
    </row>
    <row r="310" spans="1:78">
      <c r="A310" s="76"/>
      <c r="B310" s="76"/>
      <c r="C310" s="125"/>
      <c r="D310" s="125"/>
      <c r="E310" s="71"/>
      <c r="F310" s="71"/>
      <c r="G310" s="71"/>
      <c r="H310" s="126"/>
      <c r="I310" s="125"/>
      <c r="J310" s="123"/>
      <c r="K310" s="12"/>
      <c r="L310" s="117"/>
      <c r="M310" s="12"/>
      <c r="N310" s="117"/>
      <c r="O310" s="117"/>
      <c r="P310" s="117"/>
      <c r="Q310" s="118"/>
      <c r="R310" s="118"/>
      <c r="S310" s="118"/>
      <c r="T310" s="12"/>
      <c r="U310" s="118"/>
      <c r="V310" s="118"/>
      <c r="W310" s="12"/>
      <c r="X310" s="119"/>
      <c r="Y310" s="120"/>
      <c r="Z310" s="12"/>
      <c r="BA310" s="70" t="s">
        <v>205</v>
      </c>
      <c r="BB310" s="71" t="s">
        <v>210</v>
      </c>
      <c r="BC310" s="71" t="s">
        <v>207</v>
      </c>
      <c r="BD310" s="71">
        <v>12.5</v>
      </c>
      <c r="BE310" s="71">
        <v>36</v>
      </c>
      <c r="BF310" s="71">
        <v>390</v>
      </c>
      <c r="BG310" s="71">
        <v>212</v>
      </c>
      <c r="BH310" s="71">
        <v>5</v>
      </c>
      <c r="BI310" s="71">
        <v>10</v>
      </c>
      <c r="BJ310" s="12" t="str" cm="1">
        <f t="array" ref="BJ310">_xll.Dce_Name_SectI(BF310, BF310, BG310, BH310, BI310, "x", "-", $AX$11)</f>
        <v>390x212x5x10</v>
      </c>
      <c r="BK310" s="77" cm="1">
        <f t="array" ref="BK310">_xll.DCEPropSectI(BF310, BH310, BG310, BI310, BG310, BI310, "A")/100</f>
        <v>60.9</v>
      </c>
      <c r="BL310" s="70" t="s">
        <v>217</v>
      </c>
      <c r="BM310" s="70">
        <v>104.35406576947463</v>
      </c>
      <c r="BN310" s="71">
        <v>0.9</v>
      </c>
      <c r="BO310" s="77">
        <f t="shared" si="43"/>
        <v>32.4</v>
      </c>
      <c r="BP310" s="71">
        <v>0.9</v>
      </c>
      <c r="BQ310" s="77">
        <f t="shared" si="44"/>
        <v>32.4</v>
      </c>
      <c r="BR310" s="77" cm="1">
        <f t="array" ref="BR310">_xll.DCEPropSectI(BF310, BH310, BG310, BI310, BG310, BI310, "rx")/10</f>
        <v>16.91131201300167</v>
      </c>
      <c r="BS310" s="77" cm="1">
        <f t="array" ref="BS310">_xll.DCEPropSectI(BF310, BH310, BG310, BI310, BG310, BI310, "ry")/10</f>
        <v>5.1070747638622018</v>
      </c>
      <c r="BT310" s="5">
        <f t="shared" si="45"/>
        <v>191.58773710218577</v>
      </c>
      <c r="BU310" s="5">
        <f t="shared" si="46"/>
        <v>634.41405301647956</v>
      </c>
      <c r="BV310" s="5">
        <f t="shared" si="47"/>
        <v>634.41405301647956</v>
      </c>
      <c r="BW310" s="71">
        <f t="shared" si="48"/>
        <v>400</v>
      </c>
      <c r="BX310" s="78" cm="1">
        <f t="array" ref="BX310">IF(BM310&gt;0,1,_xll.DCETCVN5575FactorPhi7121(BV310*SQRT($K$17/206000),"b"))</f>
        <v>1</v>
      </c>
      <c r="BY310" s="64">
        <f t="shared" si="49"/>
        <v>8.1596736077468646E-2</v>
      </c>
      <c r="BZ310" s="3" t="str">
        <f t="shared" si="50"/>
        <v>Check</v>
      </c>
    </row>
    <row r="311" spans="1:78">
      <c r="A311" s="76"/>
      <c r="B311" s="76"/>
      <c r="C311" s="125"/>
      <c r="D311" s="125"/>
      <c r="E311" s="71"/>
      <c r="F311" s="71"/>
      <c r="G311" s="71"/>
      <c r="H311" s="126"/>
      <c r="I311" s="125"/>
      <c r="J311" s="123"/>
      <c r="K311" s="12"/>
      <c r="L311" s="117"/>
      <c r="M311" s="12"/>
      <c r="N311" s="117"/>
      <c r="O311" s="117"/>
      <c r="P311" s="117"/>
      <c r="Q311" s="118"/>
      <c r="R311" s="118"/>
      <c r="S311" s="118"/>
      <c r="T311" s="12"/>
      <c r="U311" s="118"/>
      <c r="V311" s="118"/>
      <c r="W311" s="12"/>
      <c r="X311" s="119"/>
      <c r="Y311" s="120"/>
      <c r="Z311" s="12"/>
      <c r="BA311" s="70" t="s">
        <v>205</v>
      </c>
      <c r="BB311" s="71" t="s">
        <v>210</v>
      </c>
      <c r="BC311" s="71" t="s">
        <v>207</v>
      </c>
      <c r="BD311" s="71">
        <v>13</v>
      </c>
      <c r="BE311" s="71">
        <v>36</v>
      </c>
      <c r="BF311" s="71">
        <v>390</v>
      </c>
      <c r="BG311" s="71">
        <v>212</v>
      </c>
      <c r="BH311" s="71">
        <v>5</v>
      </c>
      <c r="BI311" s="71">
        <v>10</v>
      </c>
      <c r="BJ311" s="12" t="str" cm="1">
        <f t="array" ref="BJ311">_xll.Dce_Name_SectI(BF311, BF311, BG311, BH311, BI311, "x", "-", $AX$11)</f>
        <v>390x212x5x10</v>
      </c>
      <c r="BK311" s="77" cm="1">
        <f t="array" ref="BK311">_xll.DCEPropSectI(BF311, BH311, BG311, BI311, BG311, BI311, "A")/100</f>
        <v>60.9</v>
      </c>
      <c r="BL311" s="70" t="s">
        <v>217</v>
      </c>
      <c r="BM311" s="70">
        <v>104.35406576947463</v>
      </c>
      <c r="BN311" s="71">
        <v>0.9</v>
      </c>
      <c r="BO311" s="77">
        <f t="shared" si="43"/>
        <v>32.4</v>
      </c>
      <c r="BP311" s="71">
        <v>0.9</v>
      </c>
      <c r="BQ311" s="77">
        <f t="shared" si="44"/>
        <v>32.4</v>
      </c>
      <c r="BR311" s="77" cm="1">
        <f t="array" ref="BR311">_xll.DCEPropSectI(BF311, BH311, BG311, BI311, BG311, BI311, "rx")/10</f>
        <v>16.91131201300167</v>
      </c>
      <c r="BS311" s="77" cm="1">
        <f t="array" ref="BS311">_xll.DCEPropSectI(BF311, BH311, BG311, BI311, BG311, BI311, "ry")/10</f>
        <v>5.1070747638622018</v>
      </c>
      <c r="BT311" s="5">
        <f t="shared" si="45"/>
        <v>191.58773710218577</v>
      </c>
      <c r="BU311" s="5">
        <f t="shared" si="46"/>
        <v>634.41405301647956</v>
      </c>
      <c r="BV311" s="5">
        <f t="shared" si="47"/>
        <v>634.41405301647956</v>
      </c>
      <c r="BW311" s="71">
        <f t="shared" si="48"/>
        <v>400</v>
      </c>
      <c r="BX311" s="78" cm="1">
        <f t="array" ref="BX311">IF(BM311&gt;0,1,_xll.DCETCVN5575FactorPhi7121(BV311*SQRT($K$17/206000),"b"))</f>
        <v>1</v>
      </c>
      <c r="BY311" s="64">
        <f t="shared" si="49"/>
        <v>8.1596736077468646E-2</v>
      </c>
      <c r="BZ311" s="3" t="str">
        <f t="shared" si="50"/>
        <v>Check</v>
      </c>
    </row>
    <row r="312" spans="1:78">
      <c r="A312" s="76"/>
      <c r="B312" s="76"/>
      <c r="C312" s="125"/>
      <c r="D312" s="125"/>
      <c r="E312" s="71"/>
      <c r="F312" s="71"/>
      <c r="G312" s="71"/>
      <c r="H312" s="126"/>
      <c r="I312" s="125"/>
      <c r="J312" s="123"/>
      <c r="K312" s="12"/>
      <c r="L312" s="117"/>
      <c r="M312" s="12"/>
      <c r="N312" s="117"/>
      <c r="O312" s="117"/>
      <c r="P312" s="117"/>
      <c r="Q312" s="118"/>
      <c r="R312" s="118"/>
      <c r="S312" s="118"/>
      <c r="T312" s="12"/>
      <c r="U312" s="118"/>
      <c r="V312" s="118"/>
      <c r="W312" s="12"/>
      <c r="X312" s="119"/>
      <c r="Y312" s="120"/>
      <c r="Z312" s="12"/>
      <c r="BA312" s="70" t="s">
        <v>205</v>
      </c>
      <c r="BB312" s="71" t="s">
        <v>210</v>
      </c>
      <c r="BC312" s="71" t="s">
        <v>207</v>
      </c>
      <c r="BD312" s="71">
        <v>13.5</v>
      </c>
      <c r="BE312" s="71">
        <v>36</v>
      </c>
      <c r="BF312" s="71">
        <v>390</v>
      </c>
      <c r="BG312" s="71">
        <v>212</v>
      </c>
      <c r="BH312" s="71">
        <v>5</v>
      </c>
      <c r="BI312" s="71">
        <v>10</v>
      </c>
      <c r="BJ312" s="12" t="str" cm="1">
        <f t="array" ref="BJ312">_xll.Dce_Name_SectI(BF312, BF312, BG312, BH312, BI312, "x", "-", $AX$11)</f>
        <v>390x212x5x10</v>
      </c>
      <c r="BK312" s="77" cm="1">
        <f t="array" ref="BK312">_xll.DCEPropSectI(BF312, BH312, BG312, BI312, BG312, BI312, "A")/100</f>
        <v>60.9</v>
      </c>
      <c r="BL312" s="70" t="s">
        <v>217</v>
      </c>
      <c r="BM312" s="70">
        <v>104.35406576947463</v>
      </c>
      <c r="BN312" s="71">
        <v>0.9</v>
      </c>
      <c r="BO312" s="77">
        <f t="shared" si="43"/>
        <v>32.4</v>
      </c>
      <c r="BP312" s="71">
        <v>0.9</v>
      </c>
      <c r="BQ312" s="77">
        <f t="shared" si="44"/>
        <v>32.4</v>
      </c>
      <c r="BR312" s="77" cm="1">
        <f t="array" ref="BR312">_xll.DCEPropSectI(BF312, BH312, BG312, BI312, BG312, BI312, "rx")/10</f>
        <v>16.91131201300167</v>
      </c>
      <c r="BS312" s="77" cm="1">
        <f t="array" ref="BS312">_xll.DCEPropSectI(BF312, BH312, BG312, BI312, BG312, BI312, "ry")/10</f>
        <v>5.1070747638622018</v>
      </c>
      <c r="BT312" s="5">
        <f t="shared" si="45"/>
        <v>191.58773710218577</v>
      </c>
      <c r="BU312" s="5">
        <f t="shared" si="46"/>
        <v>634.41405301647956</v>
      </c>
      <c r="BV312" s="5">
        <f t="shared" si="47"/>
        <v>634.41405301647956</v>
      </c>
      <c r="BW312" s="71">
        <f t="shared" si="48"/>
        <v>400</v>
      </c>
      <c r="BX312" s="78" cm="1">
        <f t="array" ref="BX312">IF(BM312&gt;0,1,_xll.DCETCVN5575FactorPhi7121(BV312*SQRT($K$17/206000),"b"))</f>
        <v>1</v>
      </c>
      <c r="BY312" s="64">
        <f t="shared" si="49"/>
        <v>8.1596736077468646E-2</v>
      </c>
      <c r="BZ312" s="3" t="str">
        <f t="shared" si="50"/>
        <v>Check</v>
      </c>
    </row>
    <row r="313" spans="1:78">
      <c r="A313" s="76"/>
      <c r="B313" s="76"/>
      <c r="C313" s="125"/>
      <c r="D313" s="125"/>
      <c r="E313" s="71"/>
      <c r="F313" s="71"/>
      <c r="G313" s="71"/>
      <c r="H313" s="126"/>
      <c r="I313" s="125"/>
      <c r="J313" s="123"/>
      <c r="K313" s="12"/>
      <c r="L313" s="117"/>
      <c r="M313" s="12"/>
      <c r="N313" s="117"/>
      <c r="O313" s="117"/>
      <c r="P313" s="117"/>
      <c r="Q313" s="118"/>
      <c r="R313" s="118"/>
      <c r="S313" s="118"/>
      <c r="T313" s="12"/>
      <c r="U313" s="118"/>
      <c r="V313" s="118"/>
      <c r="W313" s="12"/>
      <c r="X313" s="119"/>
      <c r="Y313" s="120"/>
      <c r="Z313" s="12"/>
      <c r="BA313" s="70" t="s">
        <v>205</v>
      </c>
      <c r="BB313" s="71" t="s">
        <v>210</v>
      </c>
      <c r="BC313" s="71" t="s">
        <v>207</v>
      </c>
      <c r="BD313" s="71">
        <v>14</v>
      </c>
      <c r="BE313" s="71">
        <v>36</v>
      </c>
      <c r="BF313" s="71">
        <v>390</v>
      </c>
      <c r="BG313" s="71">
        <v>212</v>
      </c>
      <c r="BH313" s="71">
        <v>5</v>
      </c>
      <c r="BI313" s="71">
        <v>10</v>
      </c>
      <c r="BJ313" s="12" t="str" cm="1">
        <f t="array" ref="BJ313">_xll.Dce_Name_SectI(BF313, BF313, BG313, BH313, BI313, "x", "-", $AX$11)</f>
        <v>390x212x5x10</v>
      </c>
      <c r="BK313" s="77" cm="1">
        <f t="array" ref="BK313">_xll.DCEPropSectI(BF313, BH313, BG313, BI313, BG313, BI313, "A")/100</f>
        <v>60.9</v>
      </c>
      <c r="BL313" s="70" t="s">
        <v>217</v>
      </c>
      <c r="BM313" s="70">
        <v>104.35406576947463</v>
      </c>
      <c r="BN313" s="71">
        <v>0.9</v>
      </c>
      <c r="BO313" s="77">
        <f t="shared" si="43"/>
        <v>32.4</v>
      </c>
      <c r="BP313" s="71">
        <v>0.9</v>
      </c>
      <c r="BQ313" s="77">
        <f t="shared" si="44"/>
        <v>32.4</v>
      </c>
      <c r="BR313" s="77" cm="1">
        <f t="array" ref="BR313">_xll.DCEPropSectI(BF313, BH313, BG313, BI313, BG313, BI313, "rx")/10</f>
        <v>16.91131201300167</v>
      </c>
      <c r="BS313" s="77" cm="1">
        <f t="array" ref="BS313">_xll.DCEPropSectI(BF313, BH313, BG313, BI313, BG313, BI313, "ry")/10</f>
        <v>5.1070747638622018</v>
      </c>
      <c r="BT313" s="5">
        <f t="shared" si="45"/>
        <v>191.58773710218577</v>
      </c>
      <c r="BU313" s="5">
        <f t="shared" si="46"/>
        <v>634.41405301647956</v>
      </c>
      <c r="BV313" s="5">
        <f t="shared" si="47"/>
        <v>634.41405301647956</v>
      </c>
      <c r="BW313" s="71">
        <f t="shared" si="48"/>
        <v>400</v>
      </c>
      <c r="BX313" s="78" cm="1">
        <f t="array" ref="BX313">IF(BM313&gt;0,1,_xll.DCETCVN5575FactorPhi7121(BV313*SQRT($K$17/206000),"b"))</f>
        <v>1</v>
      </c>
      <c r="BY313" s="64">
        <f t="shared" si="49"/>
        <v>8.1596736077468646E-2</v>
      </c>
      <c r="BZ313" s="3" t="str">
        <f t="shared" si="50"/>
        <v>Check</v>
      </c>
    </row>
    <row r="314" spans="1:78">
      <c r="A314" s="76"/>
      <c r="B314" s="76"/>
      <c r="C314" s="125"/>
      <c r="D314" s="125"/>
      <c r="E314" s="71"/>
      <c r="F314" s="71"/>
      <c r="G314" s="71"/>
      <c r="H314" s="126"/>
      <c r="I314" s="125"/>
      <c r="J314" s="123"/>
      <c r="K314" s="12"/>
      <c r="L314" s="117"/>
      <c r="M314" s="12"/>
      <c r="N314" s="117"/>
      <c r="O314" s="117"/>
      <c r="P314" s="117"/>
      <c r="Q314" s="118"/>
      <c r="R314" s="118"/>
      <c r="S314" s="118"/>
      <c r="T314" s="12"/>
      <c r="U314" s="118"/>
      <c r="V314" s="118"/>
      <c r="W314" s="12"/>
      <c r="X314" s="119"/>
      <c r="Y314" s="120"/>
      <c r="Z314" s="12"/>
      <c r="BA314" s="70" t="s">
        <v>205</v>
      </c>
      <c r="BB314" s="71" t="s">
        <v>210</v>
      </c>
      <c r="BC314" s="71" t="s">
        <v>207</v>
      </c>
      <c r="BD314" s="71">
        <v>14.5</v>
      </c>
      <c r="BE314" s="71">
        <v>36</v>
      </c>
      <c r="BF314" s="71">
        <v>390</v>
      </c>
      <c r="BG314" s="71">
        <v>212</v>
      </c>
      <c r="BH314" s="71">
        <v>5</v>
      </c>
      <c r="BI314" s="71">
        <v>10</v>
      </c>
      <c r="BJ314" s="12" t="str" cm="1">
        <f t="array" ref="BJ314">_xll.Dce_Name_SectI(BF314, BF314, BG314, BH314, BI314, "x", "-", $AX$11)</f>
        <v>390x212x5x10</v>
      </c>
      <c r="BK314" s="77" cm="1">
        <f t="array" ref="BK314">_xll.DCEPropSectI(BF314, BH314, BG314, BI314, BG314, BI314, "A")/100</f>
        <v>60.9</v>
      </c>
      <c r="BL314" s="70" t="s">
        <v>217</v>
      </c>
      <c r="BM314" s="70">
        <v>104.35406576947463</v>
      </c>
      <c r="BN314" s="71">
        <v>0.9</v>
      </c>
      <c r="BO314" s="77">
        <f t="shared" si="43"/>
        <v>32.4</v>
      </c>
      <c r="BP314" s="71">
        <v>0.9</v>
      </c>
      <c r="BQ314" s="77">
        <f t="shared" si="44"/>
        <v>32.4</v>
      </c>
      <c r="BR314" s="77" cm="1">
        <f t="array" ref="BR314">_xll.DCEPropSectI(BF314, BH314, BG314, BI314, BG314, BI314, "rx")/10</f>
        <v>16.91131201300167</v>
      </c>
      <c r="BS314" s="77" cm="1">
        <f t="array" ref="BS314">_xll.DCEPropSectI(BF314, BH314, BG314, BI314, BG314, BI314, "ry")/10</f>
        <v>5.1070747638622018</v>
      </c>
      <c r="BT314" s="5">
        <f t="shared" si="45"/>
        <v>191.58773710218577</v>
      </c>
      <c r="BU314" s="5">
        <f t="shared" si="46"/>
        <v>634.41405301647956</v>
      </c>
      <c r="BV314" s="5">
        <f t="shared" si="47"/>
        <v>634.41405301647956</v>
      </c>
      <c r="BW314" s="71">
        <f t="shared" si="48"/>
        <v>400</v>
      </c>
      <c r="BX314" s="78" cm="1">
        <f t="array" ref="BX314">IF(BM314&gt;0,1,_xll.DCETCVN5575FactorPhi7121(BV314*SQRT($K$17/206000),"b"))</f>
        <v>1</v>
      </c>
      <c r="BY314" s="64">
        <f t="shared" si="49"/>
        <v>8.1596736077468646E-2</v>
      </c>
      <c r="BZ314" s="3" t="str">
        <f t="shared" si="50"/>
        <v>Check</v>
      </c>
    </row>
    <row r="315" spans="1:78">
      <c r="A315" s="76"/>
      <c r="B315" s="76"/>
      <c r="C315" s="125"/>
      <c r="D315" s="125"/>
      <c r="E315" s="71"/>
      <c r="F315" s="71"/>
      <c r="G315" s="71"/>
      <c r="H315" s="126"/>
      <c r="I315" s="125"/>
      <c r="J315" s="123"/>
      <c r="K315" s="12"/>
      <c r="L315" s="117"/>
      <c r="M315" s="12"/>
      <c r="N315" s="117"/>
      <c r="O315" s="117"/>
      <c r="P315" s="117"/>
      <c r="Q315" s="118"/>
      <c r="R315" s="118"/>
      <c r="S315" s="118"/>
      <c r="T315" s="12"/>
      <c r="U315" s="118"/>
      <c r="V315" s="118"/>
      <c r="W315" s="12"/>
      <c r="X315" s="119"/>
      <c r="Y315" s="120"/>
      <c r="Z315" s="12"/>
      <c r="BA315" s="70" t="s">
        <v>205</v>
      </c>
      <c r="BB315" s="71" t="s">
        <v>210</v>
      </c>
      <c r="BC315" s="71" t="s">
        <v>207</v>
      </c>
      <c r="BD315" s="71">
        <v>15</v>
      </c>
      <c r="BE315" s="71">
        <v>36</v>
      </c>
      <c r="BF315" s="71">
        <v>390</v>
      </c>
      <c r="BG315" s="71">
        <v>212</v>
      </c>
      <c r="BH315" s="71">
        <v>5</v>
      </c>
      <c r="BI315" s="71">
        <v>10</v>
      </c>
      <c r="BJ315" s="12" t="str" cm="1">
        <f t="array" ref="BJ315">_xll.Dce_Name_SectI(BF315, BF315, BG315, BH315, BI315, "x", "-", $AX$11)</f>
        <v>390x212x5x10</v>
      </c>
      <c r="BK315" s="77" cm="1">
        <f t="array" ref="BK315">_xll.DCEPropSectI(BF315, BH315, BG315, BI315, BG315, BI315, "A")/100</f>
        <v>60.9</v>
      </c>
      <c r="BL315" s="70" t="s">
        <v>217</v>
      </c>
      <c r="BM315" s="70">
        <v>104.35406576947463</v>
      </c>
      <c r="BN315" s="71">
        <v>0.9</v>
      </c>
      <c r="BO315" s="77">
        <f t="shared" si="43"/>
        <v>32.4</v>
      </c>
      <c r="BP315" s="71">
        <v>0.9</v>
      </c>
      <c r="BQ315" s="77">
        <f t="shared" si="44"/>
        <v>32.4</v>
      </c>
      <c r="BR315" s="77" cm="1">
        <f t="array" ref="BR315">_xll.DCEPropSectI(BF315, BH315, BG315, BI315, BG315, BI315, "rx")/10</f>
        <v>16.91131201300167</v>
      </c>
      <c r="BS315" s="77" cm="1">
        <f t="array" ref="BS315">_xll.DCEPropSectI(BF315, BH315, BG315, BI315, BG315, BI315, "ry")/10</f>
        <v>5.1070747638622018</v>
      </c>
      <c r="BT315" s="5">
        <f t="shared" si="45"/>
        <v>191.58773710218577</v>
      </c>
      <c r="BU315" s="5">
        <f t="shared" si="46"/>
        <v>634.41405301647956</v>
      </c>
      <c r="BV315" s="5">
        <f t="shared" si="47"/>
        <v>634.41405301647956</v>
      </c>
      <c r="BW315" s="71">
        <f t="shared" si="48"/>
        <v>400</v>
      </c>
      <c r="BX315" s="78" cm="1">
        <f t="array" ref="BX315">IF(BM315&gt;0,1,_xll.DCETCVN5575FactorPhi7121(BV315*SQRT($K$17/206000),"b"))</f>
        <v>1</v>
      </c>
      <c r="BY315" s="64">
        <f t="shared" si="49"/>
        <v>8.1596736077468646E-2</v>
      </c>
      <c r="BZ315" s="3" t="str">
        <f t="shared" si="50"/>
        <v>Check</v>
      </c>
    </row>
    <row r="316" spans="1:78">
      <c r="A316" s="76"/>
      <c r="B316" s="76"/>
      <c r="C316" s="125"/>
      <c r="D316" s="125"/>
      <c r="E316" s="71"/>
      <c r="F316" s="71"/>
      <c r="G316" s="71"/>
      <c r="H316" s="126"/>
      <c r="I316" s="125"/>
      <c r="J316" s="123"/>
      <c r="K316" s="12"/>
      <c r="L316" s="117"/>
      <c r="M316" s="12"/>
      <c r="N316" s="117"/>
      <c r="O316" s="117"/>
      <c r="P316" s="117"/>
      <c r="Q316" s="118"/>
      <c r="R316" s="118"/>
      <c r="S316" s="118"/>
      <c r="T316" s="12"/>
      <c r="U316" s="118"/>
      <c r="V316" s="118"/>
      <c r="W316" s="12"/>
      <c r="X316" s="119"/>
      <c r="Y316" s="120"/>
      <c r="Z316" s="12"/>
      <c r="BA316" s="70" t="s">
        <v>205</v>
      </c>
      <c r="BB316" s="71" t="s">
        <v>210</v>
      </c>
      <c r="BC316" s="71" t="s">
        <v>207</v>
      </c>
      <c r="BD316" s="71">
        <v>15</v>
      </c>
      <c r="BE316" s="71">
        <v>36</v>
      </c>
      <c r="BF316" s="71">
        <v>390</v>
      </c>
      <c r="BG316" s="71">
        <v>212</v>
      </c>
      <c r="BH316" s="71">
        <v>5</v>
      </c>
      <c r="BI316" s="71">
        <v>10</v>
      </c>
      <c r="BJ316" s="12" t="str" cm="1">
        <f t="array" ref="BJ316">_xll.Dce_Name_SectI(BF316, BF316, BG316, BH316, BI316, "x", "-", $AX$11)</f>
        <v>390x212x5x10</v>
      </c>
      <c r="BK316" s="77" cm="1">
        <f t="array" ref="BK316">_xll.DCEPropSectI(BF316, BH316, BG316, BI316, BG316, BI316, "A")/100</f>
        <v>60.9</v>
      </c>
      <c r="BL316" s="70" t="s">
        <v>217</v>
      </c>
      <c r="BM316" s="70">
        <v>145.29129304101716</v>
      </c>
      <c r="BN316" s="71">
        <v>0.9</v>
      </c>
      <c r="BO316" s="77">
        <f t="shared" si="43"/>
        <v>32.4</v>
      </c>
      <c r="BP316" s="71">
        <v>0.9</v>
      </c>
      <c r="BQ316" s="77">
        <f t="shared" si="44"/>
        <v>32.4</v>
      </c>
      <c r="BR316" s="77" cm="1">
        <f t="array" ref="BR316">_xll.DCEPropSectI(BF316, BH316, BG316, BI316, BG316, BI316, "rx")/10</f>
        <v>16.91131201300167</v>
      </c>
      <c r="BS316" s="77" cm="1">
        <f t="array" ref="BS316">_xll.DCEPropSectI(BF316, BH316, BG316, BI316, BG316, BI316, "ry")/10</f>
        <v>5.1070747638622018</v>
      </c>
      <c r="BT316" s="5">
        <f t="shared" si="45"/>
        <v>191.58773710218577</v>
      </c>
      <c r="BU316" s="5">
        <f t="shared" si="46"/>
        <v>634.41405301647956</v>
      </c>
      <c r="BV316" s="5">
        <f t="shared" si="47"/>
        <v>634.41405301647956</v>
      </c>
      <c r="BW316" s="71">
        <f t="shared" si="48"/>
        <v>400</v>
      </c>
      <c r="BX316" s="78" cm="1">
        <f t="array" ref="BX316">IF(BM316&gt;0,1,_xll.DCETCVN5575FactorPhi7121(BV316*SQRT($K$17/206000),"b"))</f>
        <v>1</v>
      </c>
      <c r="BY316" s="64">
        <f t="shared" si="49"/>
        <v>0.11360645323404267</v>
      </c>
      <c r="BZ316" s="3" t="str">
        <f t="shared" si="50"/>
        <v>Check</v>
      </c>
    </row>
    <row r="317" spans="1:78">
      <c r="A317" s="76"/>
      <c r="B317" s="76"/>
      <c r="C317" s="125"/>
      <c r="D317" s="125"/>
      <c r="E317" s="71"/>
      <c r="F317" s="71"/>
      <c r="G317" s="71"/>
      <c r="H317" s="126"/>
      <c r="I317" s="125"/>
      <c r="J317" s="123"/>
      <c r="K317" s="12"/>
      <c r="L317" s="117"/>
      <c r="M317" s="12"/>
      <c r="N317" s="117"/>
      <c r="O317" s="117"/>
      <c r="P317" s="117"/>
      <c r="Q317" s="118"/>
      <c r="R317" s="118"/>
      <c r="S317" s="118"/>
      <c r="T317" s="12"/>
      <c r="U317" s="118"/>
      <c r="V317" s="118"/>
      <c r="W317" s="12"/>
      <c r="X317" s="119"/>
      <c r="Y317" s="120"/>
      <c r="Z317" s="12"/>
      <c r="BA317" s="70" t="s">
        <v>205</v>
      </c>
      <c r="BB317" s="71" t="s">
        <v>210</v>
      </c>
      <c r="BC317" s="71" t="s">
        <v>207</v>
      </c>
      <c r="BD317" s="71">
        <v>15.5</v>
      </c>
      <c r="BE317" s="71">
        <v>36</v>
      </c>
      <c r="BF317" s="71">
        <v>390</v>
      </c>
      <c r="BG317" s="71">
        <v>212</v>
      </c>
      <c r="BH317" s="71">
        <v>5</v>
      </c>
      <c r="BI317" s="71">
        <v>10</v>
      </c>
      <c r="BJ317" s="12" t="str" cm="1">
        <f t="array" ref="BJ317">_xll.Dce_Name_SectI(BF317, BF317, BG317, BH317, BI317, "x", "-", $AX$11)</f>
        <v>390x212x5x10</v>
      </c>
      <c r="BK317" s="77" cm="1">
        <f t="array" ref="BK317">_xll.DCEPropSectI(BF317, BH317, BG317, BI317, BG317, BI317, "A")/100</f>
        <v>60.9</v>
      </c>
      <c r="BL317" s="70" t="s">
        <v>217</v>
      </c>
      <c r="BM317" s="70">
        <v>145.29129304101716</v>
      </c>
      <c r="BN317" s="71">
        <v>0.9</v>
      </c>
      <c r="BO317" s="77">
        <f t="shared" si="43"/>
        <v>32.4</v>
      </c>
      <c r="BP317" s="71">
        <v>0.9</v>
      </c>
      <c r="BQ317" s="77">
        <f t="shared" si="44"/>
        <v>32.4</v>
      </c>
      <c r="BR317" s="77" cm="1">
        <f t="array" ref="BR317">_xll.DCEPropSectI(BF317, BH317, BG317, BI317, BG317, BI317, "rx")/10</f>
        <v>16.91131201300167</v>
      </c>
      <c r="BS317" s="77" cm="1">
        <f t="array" ref="BS317">_xll.DCEPropSectI(BF317, BH317, BG317, BI317, BG317, BI317, "ry")/10</f>
        <v>5.1070747638622018</v>
      </c>
      <c r="BT317" s="5">
        <f t="shared" si="45"/>
        <v>191.58773710218577</v>
      </c>
      <c r="BU317" s="5">
        <f t="shared" si="46"/>
        <v>634.41405301647956</v>
      </c>
      <c r="BV317" s="5">
        <f t="shared" si="47"/>
        <v>634.41405301647956</v>
      </c>
      <c r="BW317" s="71">
        <f t="shared" si="48"/>
        <v>400</v>
      </c>
      <c r="BX317" s="78" cm="1">
        <f t="array" ref="BX317">IF(BM317&gt;0,1,_xll.DCETCVN5575FactorPhi7121(BV317*SQRT($K$17/206000),"b"))</f>
        <v>1</v>
      </c>
      <c r="BY317" s="64">
        <f t="shared" si="49"/>
        <v>0.11360645323404267</v>
      </c>
      <c r="BZ317" s="3" t="str">
        <f t="shared" si="50"/>
        <v>Check</v>
      </c>
    </row>
    <row r="318" spans="1:78">
      <c r="A318" s="76"/>
      <c r="B318" s="76"/>
      <c r="C318" s="125"/>
      <c r="D318" s="125"/>
      <c r="E318" s="71"/>
      <c r="F318" s="71"/>
      <c r="G318" s="71"/>
      <c r="H318" s="126"/>
      <c r="I318" s="125"/>
      <c r="J318" s="123"/>
      <c r="K318" s="12"/>
      <c r="L318" s="117"/>
      <c r="M318" s="12"/>
      <c r="N318" s="117"/>
      <c r="O318" s="117"/>
      <c r="P318" s="117"/>
      <c r="Q318" s="118"/>
      <c r="R318" s="118"/>
      <c r="S318" s="118"/>
      <c r="T318" s="12"/>
      <c r="U318" s="118"/>
      <c r="V318" s="118"/>
      <c r="W318" s="12"/>
      <c r="X318" s="119"/>
      <c r="Y318" s="120"/>
      <c r="Z318" s="12"/>
      <c r="BA318" s="70" t="s">
        <v>205</v>
      </c>
      <c r="BB318" s="71" t="s">
        <v>210</v>
      </c>
      <c r="BC318" s="71" t="s">
        <v>207</v>
      </c>
      <c r="BD318" s="71">
        <v>16</v>
      </c>
      <c r="BE318" s="71">
        <v>36</v>
      </c>
      <c r="BF318" s="71">
        <v>390</v>
      </c>
      <c r="BG318" s="71">
        <v>212</v>
      </c>
      <c r="BH318" s="71">
        <v>5</v>
      </c>
      <c r="BI318" s="71">
        <v>10</v>
      </c>
      <c r="BJ318" s="12" t="str" cm="1">
        <f t="array" ref="BJ318">_xll.Dce_Name_SectI(BF318, BF318, BG318, BH318, BI318, "x", "-", $AX$11)</f>
        <v>390x212x5x10</v>
      </c>
      <c r="BK318" s="77" cm="1">
        <f t="array" ref="BK318">_xll.DCEPropSectI(BF318, BH318, BG318, BI318, BG318, BI318, "A")/100</f>
        <v>60.9</v>
      </c>
      <c r="BL318" s="70" t="s">
        <v>217</v>
      </c>
      <c r="BM318" s="70">
        <v>145.29129304101716</v>
      </c>
      <c r="BN318" s="71">
        <v>0.9</v>
      </c>
      <c r="BO318" s="77">
        <f t="shared" si="43"/>
        <v>32.4</v>
      </c>
      <c r="BP318" s="71">
        <v>0.9</v>
      </c>
      <c r="BQ318" s="77">
        <f t="shared" si="44"/>
        <v>32.4</v>
      </c>
      <c r="BR318" s="77" cm="1">
        <f t="array" ref="BR318">_xll.DCEPropSectI(BF318, BH318, BG318, BI318, BG318, BI318, "rx")/10</f>
        <v>16.91131201300167</v>
      </c>
      <c r="BS318" s="77" cm="1">
        <f t="array" ref="BS318">_xll.DCEPropSectI(BF318, BH318, BG318, BI318, BG318, BI318, "ry")/10</f>
        <v>5.1070747638622018</v>
      </c>
      <c r="BT318" s="5">
        <f t="shared" si="45"/>
        <v>191.58773710218577</v>
      </c>
      <c r="BU318" s="5">
        <f t="shared" si="46"/>
        <v>634.41405301647956</v>
      </c>
      <c r="BV318" s="5">
        <f t="shared" si="47"/>
        <v>634.41405301647956</v>
      </c>
      <c r="BW318" s="71">
        <f t="shared" si="48"/>
        <v>400</v>
      </c>
      <c r="BX318" s="78" cm="1">
        <f t="array" ref="BX318">IF(BM318&gt;0,1,_xll.DCETCVN5575FactorPhi7121(BV318*SQRT($K$17/206000),"b"))</f>
        <v>1</v>
      </c>
      <c r="BY318" s="64">
        <f t="shared" si="49"/>
        <v>0.11360645323404267</v>
      </c>
      <c r="BZ318" s="3" t="str">
        <f t="shared" si="50"/>
        <v>Check</v>
      </c>
    </row>
    <row r="319" spans="1:78">
      <c r="A319" s="76"/>
      <c r="B319" s="76"/>
      <c r="C319" s="125"/>
      <c r="D319" s="125"/>
      <c r="E319" s="71"/>
      <c r="F319" s="71"/>
      <c r="G319" s="71"/>
      <c r="H319" s="126"/>
      <c r="I319" s="125"/>
      <c r="J319" s="123"/>
      <c r="K319" s="12"/>
      <c r="L319" s="117"/>
      <c r="M319" s="12"/>
      <c r="N319" s="117"/>
      <c r="O319" s="117"/>
      <c r="P319" s="117"/>
      <c r="Q319" s="118"/>
      <c r="R319" s="118"/>
      <c r="S319" s="118"/>
      <c r="T319" s="12"/>
      <c r="U319" s="118"/>
      <c r="V319" s="118"/>
      <c r="W319" s="12"/>
      <c r="X319" s="119"/>
      <c r="Y319" s="120"/>
      <c r="Z319" s="12"/>
      <c r="BA319" s="70" t="s">
        <v>205</v>
      </c>
      <c r="BB319" s="71" t="s">
        <v>210</v>
      </c>
      <c r="BC319" s="71" t="s">
        <v>207</v>
      </c>
      <c r="BD319" s="71">
        <v>16.5</v>
      </c>
      <c r="BE319" s="71">
        <v>36</v>
      </c>
      <c r="BF319" s="71">
        <v>390</v>
      </c>
      <c r="BG319" s="71">
        <v>212</v>
      </c>
      <c r="BH319" s="71">
        <v>5</v>
      </c>
      <c r="BI319" s="71">
        <v>10</v>
      </c>
      <c r="BJ319" s="12" t="str" cm="1">
        <f t="array" ref="BJ319">_xll.Dce_Name_SectI(BF319, BF319, BG319, BH319, BI319, "x", "-", $AX$11)</f>
        <v>390x212x5x10</v>
      </c>
      <c r="BK319" s="77" cm="1">
        <f t="array" ref="BK319">_xll.DCEPropSectI(BF319, BH319, BG319, BI319, BG319, BI319, "A")/100</f>
        <v>60.9</v>
      </c>
      <c r="BL319" s="70" t="s">
        <v>217</v>
      </c>
      <c r="BM319" s="70">
        <v>145.29129304101716</v>
      </c>
      <c r="BN319" s="71">
        <v>0.9</v>
      </c>
      <c r="BO319" s="77">
        <f t="shared" si="43"/>
        <v>32.4</v>
      </c>
      <c r="BP319" s="71">
        <v>0.9</v>
      </c>
      <c r="BQ319" s="77">
        <f t="shared" si="44"/>
        <v>32.4</v>
      </c>
      <c r="BR319" s="77" cm="1">
        <f t="array" ref="BR319">_xll.DCEPropSectI(BF319, BH319, BG319, BI319, BG319, BI319, "rx")/10</f>
        <v>16.91131201300167</v>
      </c>
      <c r="BS319" s="77" cm="1">
        <f t="array" ref="BS319">_xll.DCEPropSectI(BF319, BH319, BG319, BI319, BG319, BI319, "ry")/10</f>
        <v>5.1070747638622018</v>
      </c>
      <c r="BT319" s="5">
        <f t="shared" si="45"/>
        <v>191.58773710218577</v>
      </c>
      <c r="BU319" s="5">
        <f t="shared" si="46"/>
        <v>634.41405301647956</v>
      </c>
      <c r="BV319" s="5">
        <f t="shared" si="47"/>
        <v>634.41405301647956</v>
      </c>
      <c r="BW319" s="71">
        <f t="shared" si="48"/>
        <v>400</v>
      </c>
      <c r="BX319" s="78" cm="1">
        <f t="array" ref="BX319">IF(BM319&gt;0,1,_xll.DCETCVN5575FactorPhi7121(BV319*SQRT($K$17/206000),"b"))</f>
        <v>1</v>
      </c>
      <c r="BY319" s="64">
        <f t="shared" si="49"/>
        <v>0.11360645323404267</v>
      </c>
      <c r="BZ319" s="3" t="str">
        <f t="shared" si="50"/>
        <v>Check</v>
      </c>
    </row>
    <row r="320" spans="1:78">
      <c r="A320" s="76"/>
      <c r="B320" s="76"/>
      <c r="C320" s="125"/>
      <c r="D320" s="125"/>
      <c r="E320" s="71"/>
      <c r="F320" s="71"/>
      <c r="G320" s="71"/>
      <c r="H320" s="126"/>
      <c r="I320" s="125"/>
      <c r="J320" s="123"/>
      <c r="K320" s="12"/>
      <c r="L320" s="117"/>
      <c r="M320" s="12"/>
      <c r="N320" s="117"/>
      <c r="O320" s="117"/>
      <c r="P320" s="117"/>
      <c r="Q320" s="118"/>
      <c r="R320" s="118"/>
      <c r="S320" s="118"/>
      <c r="T320" s="12"/>
      <c r="U320" s="118"/>
      <c r="V320" s="118"/>
      <c r="W320" s="12"/>
      <c r="X320" s="119"/>
      <c r="Y320" s="120"/>
      <c r="Z320" s="12"/>
      <c r="BA320" s="70" t="s">
        <v>205</v>
      </c>
      <c r="BB320" s="71" t="s">
        <v>210</v>
      </c>
      <c r="BC320" s="71" t="s">
        <v>207</v>
      </c>
      <c r="BD320" s="71">
        <v>17</v>
      </c>
      <c r="BE320" s="71">
        <v>36</v>
      </c>
      <c r="BF320" s="71">
        <v>390</v>
      </c>
      <c r="BG320" s="71">
        <v>212</v>
      </c>
      <c r="BH320" s="71">
        <v>5</v>
      </c>
      <c r="BI320" s="71">
        <v>10</v>
      </c>
      <c r="BJ320" s="12" t="str" cm="1">
        <f t="array" ref="BJ320">_xll.Dce_Name_SectI(BF320, BF320, BG320, BH320, BI320, "x", "-", $AX$11)</f>
        <v>390x212x5x10</v>
      </c>
      <c r="BK320" s="77" cm="1">
        <f t="array" ref="BK320">_xll.DCEPropSectI(BF320, BH320, BG320, BI320, BG320, BI320, "A")/100</f>
        <v>60.9</v>
      </c>
      <c r="BL320" s="70" t="s">
        <v>217</v>
      </c>
      <c r="BM320" s="70">
        <v>145.29129304101716</v>
      </c>
      <c r="BN320" s="71">
        <v>0.9</v>
      </c>
      <c r="BO320" s="77">
        <f t="shared" si="43"/>
        <v>32.4</v>
      </c>
      <c r="BP320" s="71">
        <v>0.9</v>
      </c>
      <c r="BQ320" s="77">
        <f t="shared" si="44"/>
        <v>32.4</v>
      </c>
      <c r="BR320" s="77" cm="1">
        <f t="array" ref="BR320">_xll.DCEPropSectI(BF320, BH320, BG320, BI320, BG320, BI320, "rx")/10</f>
        <v>16.91131201300167</v>
      </c>
      <c r="BS320" s="77" cm="1">
        <f t="array" ref="BS320">_xll.DCEPropSectI(BF320, BH320, BG320, BI320, BG320, BI320, "ry")/10</f>
        <v>5.1070747638622018</v>
      </c>
      <c r="BT320" s="5">
        <f t="shared" si="45"/>
        <v>191.58773710218577</v>
      </c>
      <c r="BU320" s="5">
        <f t="shared" si="46"/>
        <v>634.41405301647956</v>
      </c>
      <c r="BV320" s="5">
        <f t="shared" si="47"/>
        <v>634.41405301647956</v>
      </c>
      <c r="BW320" s="71">
        <f t="shared" si="48"/>
        <v>400</v>
      </c>
      <c r="BX320" s="78" cm="1">
        <f t="array" ref="BX320">IF(BM320&gt;0,1,_xll.DCETCVN5575FactorPhi7121(BV320*SQRT($K$17/206000),"b"))</f>
        <v>1</v>
      </c>
      <c r="BY320" s="64">
        <f t="shared" si="49"/>
        <v>0.11360645323404267</v>
      </c>
      <c r="BZ320" s="3" t="str">
        <f t="shared" si="50"/>
        <v>Check</v>
      </c>
    </row>
    <row r="321" spans="1:78">
      <c r="A321" s="76"/>
      <c r="B321" s="76"/>
      <c r="C321" s="125"/>
      <c r="D321" s="125"/>
      <c r="E321" s="71"/>
      <c r="F321" s="71"/>
      <c r="G321" s="71"/>
      <c r="H321" s="126"/>
      <c r="I321" s="125"/>
      <c r="J321" s="123"/>
      <c r="K321" s="12"/>
      <c r="L321" s="117"/>
      <c r="M321" s="12"/>
      <c r="N321" s="117"/>
      <c r="O321" s="117"/>
      <c r="P321" s="117"/>
      <c r="Q321" s="118"/>
      <c r="R321" s="118"/>
      <c r="S321" s="118"/>
      <c r="T321" s="12"/>
      <c r="U321" s="118"/>
      <c r="V321" s="118"/>
      <c r="W321" s="12"/>
      <c r="X321" s="119"/>
      <c r="Y321" s="120"/>
      <c r="Z321" s="12"/>
      <c r="BA321" s="70" t="s">
        <v>205</v>
      </c>
      <c r="BB321" s="71" t="s">
        <v>210</v>
      </c>
      <c r="BC321" s="71" t="s">
        <v>207</v>
      </c>
      <c r="BD321" s="71">
        <v>17.5</v>
      </c>
      <c r="BE321" s="71">
        <v>36</v>
      </c>
      <c r="BF321" s="71">
        <v>390</v>
      </c>
      <c r="BG321" s="71">
        <v>212</v>
      </c>
      <c r="BH321" s="71">
        <v>5</v>
      </c>
      <c r="BI321" s="71">
        <v>10</v>
      </c>
      <c r="BJ321" s="12" t="str" cm="1">
        <f t="array" ref="BJ321">_xll.Dce_Name_SectI(BF321, BF321, BG321, BH321, BI321, "x", "-", $AX$11)</f>
        <v>390x212x5x10</v>
      </c>
      <c r="BK321" s="77" cm="1">
        <f t="array" ref="BK321">_xll.DCEPropSectI(BF321, BH321, BG321, BI321, BG321, BI321, "A")/100</f>
        <v>60.9</v>
      </c>
      <c r="BL321" s="70" t="s">
        <v>217</v>
      </c>
      <c r="BM321" s="70">
        <v>145.29129304101716</v>
      </c>
      <c r="BN321" s="71">
        <v>0.9</v>
      </c>
      <c r="BO321" s="77">
        <f t="shared" si="43"/>
        <v>32.4</v>
      </c>
      <c r="BP321" s="71">
        <v>0.9</v>
      </c>
      <c r="BQ321" s="77">
        <f t="shared" si="44"/>
        <v>32.4</v>
      </c>
      <c r="BR321" s="77" cm="1">
        <f t="array" ref="BR321">_xll.DCEPropSectI(BF321, BH321, BG321, BI321, BG321, BI321, "rx")/10</f>
        <v>16.91131201300167</v>
      </c>
      <c r="BS321" s="77" cm="1">
        <f t="array" ref="BS321">_xll.DCEPropSectI(BF321, BH321, BG321, BI321, BG321, BI321, "ry")/10</f>
        <v>5.1070747638622018</v>
      </c>
      <c r="BT321" s="5">
        <f t="shared" si="45"/>
        <v>191.58773710218577</v>
      </c>
      <c r="BU321" s="5">
        <f t="shared" si="46"/>
        <v>634.41405301647956</v>
      </c>
      <c r="BV321" s="5">
        <f t="shared" si="47"/>
        <v>634.41405301647956</v>
      </c>
      <c r="BW321" s="71">
        <f t="shared" si="48"/>
        <v>400</v>
      </c>
      <c r="BX321" s="78" cm="1">
        <f t="array" ref="BX321">IF(BM321&gt;0,1,_xll.DCETCVN5575FactorPhi7121(BV321*SQRT($K$17/206000),"b"))</f>
        <v>1</v>
      </c>
      <c r="BY321" s="64">
        <f t="shared" si="49"/>
        <v>0.11360645323404267</v>
      </c>
      <c r="BZ321" s="3" t="str">
        <f t="shared" si="50"/>
        <v>Check</v>
      </c>
    </row>
    <row r="322" spans="1:78">
      <c r="A322" s="76"/>
      <c r="B322" s="76"/>
      <c r="C322" s="125"/>
      <c r="D322" s="125"/>
      <c r="E322" s="71"/>
      <c r="F322" s="71"/>
      <c r="G322" s="71"/>
      <c r="H322" s="126"/>
      <c r="I322" s="125"/>
      <c r="J322" s="123"/>
      <c r="K322" s="12"/>
      <c r="L322" s="117"/>
      <c r="M322" s="12"/>
      <c r="N322" s="117"/>
      <c r="O322" s="117"/>
      <c r="P322" s="117"/>
      <c r="Q322" s="118"/>
      <c r="R322" s="118"/>
      <c r="S322" s="118"/>
      <c r="T322" s="12"/>
      <c r="U322" s="118"/>
      <c r="V322" s="118"/>
      <c r="W322" s="12"/>
      <c r="X322" s="119"/>
      <c r="Y322" s="120"/>
      <c r="Z322" s="12"/>
      <c r="BA322" s="70" t="s">
        <v>205</v>
      </c>
      <c r="BB322" s="71" t="s">
        <v>210</v>
      </c>
      <c r="BC322" s="71" t="s">
        <v>207</v>
      </c>
      <c r="BD322" s="71">
        <v>18</v>
      </c>
      <c r="BE322" s="71">
        <v>36</v>
      </c>
      <c r="BF322" s="71">
        <v>390</v>
      </c>
      <c r="BG322" s="71">
        <v>212</v>
      </c>
      <c r="BH322" s="71">
        <v>5</v>
      </c>
      <c r="BI322" s="71">
        <v>10</v>
      </c>
      <c r="BJ322" s="12" t="str" cm="1">
        <f t="array" ref="BJ322">_xll.Dce_Name_SectI(BF322, BF322, BG322, BH322, BI322, "x", "-", $AX$11)</f>
        <v>390x212x5x10</v>
      </c>
      <c r="BK322" s="77" cm="1">
        <f t="array" ref="BK322">_xll.DCEPropSectI(BF322, BH322, BG322, BI322, BG322, BI322, "A")/100</f>
        <v>60.9</v>
      </c>
      <c r="BL322" s="70" t="s">
        <v>217</v>
      </c>
      <c r="BM322" s="70">
        <v>145.29129304101716</v>
      </c>
      <c r="BN322" s="71">
        <v>0.9</v>
      </c>
      <c r="BO322" s="77">
        <f t="shared" si="43"/>
        <v>32.4</v>
      </c>
      <c r="BP322" s="71">
        <v>0.9</v>
      </c>
      <c r="BQ322" s="77">
        <f t="shared" si="44"/>
        <v>32.4</v>
      </c>
      <c r="BR322" s="77" cm="1">
        <f t="array" ref="BR322">_xll.DCEPropSectI(BF322, BH322, BG322, BI322, BG322, BI322, "rx")/10</f>
        <v>16.91131201300167</v>
      </c>
      <c r="BS322" s="77" cm="1">
        <f t="array" ref="BS322">_xll.DCEPropSectI(BF322, BH322, BG322, BI322, BG322, BI322, "ry")/10</f>
        <v>5.1070747638622018</v>
      </c>
      <c r="BT322" s="5">
        <f t="shared" si="45"/>
        <v>191.58773710218577</v>
      </c>
      <c r="BU322" s="5">
        <f t="shared" si="46"/>
        <v>634.41405301647956</v>
      </c>
      <c r="BV322" s="5">
        <f t="shared" si="47"/>
        <v>634.41405301647956</v>
      </c>
      <c r="BW322" s="71">
        <f t="shared" si="48"/>
        <v>400</v>
      </c>
      <c r="BX322" s="78" cm="1">
        <f t="array" ref="BX322">IF(BM322&gt;0,1,_xll.DCETCVN5575FactorPhi7121(BV322*SQRT($K$17/206000),"b"))</f>
        <v>1</v>
      </c>
      <c r="BY322" s="64">
        <f t="shared" si="49"/>
        <v>0.11360645323404267</v>
      </c>
      <c r="BZ322" s="3" t="str">
        <f t="shared" si="50"/>
        <v>Check</v>
      </c>
    </row>
    <row r="323" spans="1:78">
      <c r="A323" s="76"/>
      <c r="B323" s="76"/>
      <c r="C323" s="125"/>
      <c r="D323" s="125"/>
      <c r="E323" s="71"/>
      <c r="F323" s="71"/>
      <c r="G323" s="71"/>
      <c r="H323" s="126"/>
      <c r="I323" s="125"/>
      <c r="J323" s="123"/>
      <c r="K323" s="12"/>
      <c r="L323" s="117"/>
      <c r="M323" s="12"/>
      <c r="N323" s="117"/>
      <c r="O323" s="117"/>
      <c r="P323" s="117"/>
      <c r="Q323" s="118"/>
      <c r="R323" s="118"/>
      <c r="S323" s="118"/>
      <c r="T323" s="12"/>
      <c r="U323" s="118"/>
      <c r="V323" s="118"/>
      <c r="W323" s="12"/>
      <c r="X323" s="119"/>
      <c r="Y323" s="120"/>
      <c r="Z323" s="12"/>
      <c r="BA323" s="70" t="s">
        <v>205</v>
      </c>
      <c r="BB323" s="71" t="s">
        <v>210</v>
      </c>
      <c r="BC323" s="71" t="s">
        <v>207</v>
      </c>
      <c r="BD323" s="71">
        <v>18.5</v>
      </c>
      <c r="BE323" s="71">
        <v>36</v>
      </c>
      <c r="BF323" s="71">
        <v>390</v>
      </c>
      <c r="BG323" s="71">
        <v>212</v>
      </c>
      <c r="BH323" s="71">
        <v>5</v>
      </c>
      <c r="BI323" s="71">
        <v>10</v>
      </c>
      <c r="BJ323" s="12" t="str" cm="1">
        <f t="array" ref="BJ323">_xll.Dce_Name_SectI(BF323, BF323, BG323, BH323, BI323, "x", "-", $AX$11)</f>
        <v>390x212x5x10</v>
      </c>
      <c r="BK323" s="77" cm="1">
        <f t="array" ref="BK323">_xll.DCEPropSectI(BF323, BH323, BG323, BI323, BG323, BI323, "A")/100</f>
        <v>60.9</v>
      </c>
      <c r="BL323" s="70" t="s">
        <v>217</v>
      </c>
      <c r="BM323" s="70">
        <v>145.29129304101716</v>
      </c>
      <c r="BN323" s="71">
        <v>0.9</v>
      </c>
      <c r="BO323" s="77">
        <f t="shared" si="43"/>
        <v>32.4</v>
      </c>
      <c r="BP323" s="71">
        <v>0.9</v>
      </c>
      <c r="BQ323" s="77">
        <f t="shared" si="44"/>
        <v>32.4</v>
      </c>
      <c r="BR323" s="77" cm="1">
        <f t="array" ref="BR323">_xll.DCEPropSectI(BF323, BH323, BG323, BI323, BG323, BI323, "rx")/10</f>
        <v>16.91131201300167</v>
      </c>
      <c r="BS323" s="77" cm="1">
        <f t="array" ref="BS323">_xll.DCEPropSectI(BF323, BH323, BG323, BI323, BG323, BI323, "ry")/10</f>
        <v>5.1070747638622018</v>
      </c>
      <c r="BT323" s="5">
        <f t="shared" si="45"/>
        <v>191.58773710218577</v>
      </c>
      <c r="BU323" s="5">
        <f t="shared" si="46"/>
        <v>634.41405301647956</v>
      </c>
      <c r="BV323" s="5">
        <f t="shared" si="47"/>
        <v>634.41405301647956</v>
      </c>
      <c r="BW323" s="71">
        <f t="shared" si="48"/>
        <v>400</v>
      </c>
      <c r="BX323" s="78" cm="1">
        <f t="array" ref="BX323">IF(BM323&gt;0,1,_xll.DCETCVN5575FactorPhi7121(BV323*SQRT($K$17/206000),"b"))</f>
        <v>1</v>
      </c>
      <c r="BY323" s="64">
        <f t="shared" si="49"/>
        <v>0.11360645323404267</v>
      </c>
      <c r="BZ323" s="3" t="str">
        <f t="shared" si="50"/>
        <v>Check</v>
      </c>
    </row>
    <row r="324" spans="1:78">
      <c r="A324" s="76"/>
      <c r="B324" s="76"/>
      <c r="C324" s="125"/>
      <c r="D324" s="125"/>
      <c r="E324" s="71"/>
      <c r="F324" s="71"/>
      <c r="G324" s="71"/>
      <c r="H324" s="126"/>
      <c r="I324" s="125"/>
      <c r="J324" s="123"/>
      <c r="K324" s="12"/>
      <c r="L324" s="117"/>
      <c r="M324" s="12"/>
      <c r="N324" s="117"/>
      <c r="O324" s="117"/>
      <c r="P324" s="117"/>
      <c r="Q324" s="118"/>
      <c r="R324" s="118"/>
      <c r="S324" s="118"/>
      <c r="T324" s="12"/>
      <c r="U324" s="118"/>
      <c r="V324" s="118"/>
      <c r="W324" s="12"/>
      <c r="X324" s="119"/>
      <c r="Y324" s="120"/>
      <c r="Z324" s="12"/>
      <c r="BA324" s="70" t="s">
        <v>205</v>
      </c>
      <c r="BB324" s="71" t="s">
        <v>210</v>
      </c>
      <c r="BC324" s="71" t="s">
        <v>207</v>
      </c>
      <c r="BD324" s="71">
        <v>19</v>
      </c>
      <c r="BE324" s="71">
        <v>36</v>
      </c>
      <c r="BF324" s="71">
        <v>390</v>
      </c>
      <c r="BG324" s="71">
        <v>212</v>
      </c>
      <c r="BH324" s="71">
        <v>5</v>
      </c>
      <c r="BI324" s="71">
        <v>10</v>
      </c>
      <c r="BJ324" s="12" t="str" cm="1">
        <f t="array" ref="BJ324">_xll.Dce_Name_SectI(BF324, BF324, BG324, BH324, BI324, "x", "-", $AX$11)</f>
        <v>390x212x5x10</v>
      </c>
      <c r="BK324" s="77" cm="1">
        <f t="array" ref="BK324">_xll.DCEPropSectI(BF324, BH324, BG324, BI324, BG324, BI324, "A")/100</f>
        <v>60.9</v>
      </c>
      <c r="BL324" s="70" t="s">
        <v>217</v>
      </c>
      <c r="BM324" s="70">
        <v>145.29129304101716</v>
      </c>
      <c r="BN324" s="71">
        <v>0.9</v>
      </c>
      <c r="BO324" s="77">
        <f t="shared" si="43"/>
        <v>32.4</v>
      </c>
      <c r="BP324" s="71">
        <v>0.9</v>
      </c>
      <c r="BQ324" s="77">
        <f t="shared" si="44"/>
        <v>32.4</v>
      </c>
      <c r="BR324" s="77" cm="1">
        <f t="array" ref="BR324">_xll.DCEPropSectI(BF324, BH324, BG324, BI324, BG324, BI324, "rx")/10</f>
        <v>16.91131201300167</v>
      </c>
      <c r="BS324" s="77" cm="1">
        <f t="array" ref="BS324">_xll.DCEPropSectI(BF324, BH324, BG324, BI324, BG324, BI324, "ry")/10</f>
        <v>5.1070747638622018</v>
      </c>
      <c r="BT324" s="5">
        <f t="shared" si="45"/>
        <v>191.58773710218577</v>
      </c>
      <c r="BU324" s="5">
        <f t="shared" si="46"/>
        <v>634.41405301647956</v>
      </c>
      <c r="BV324" s="5">
        <f t="shared" si="47"/>
        <v>634.41405301647956</v>
      </c>
      <c r="BW324" s="71">
        <f t="shared" si="48"/>
        <v>400</v>
      </c>
      <c r="BX324" s="78" cm="1">
        <f t="array" ref="BX324">IF(BM324&gt;0,1,_xll.DCETCVN5575FactorPhi7121(BV324*SQRT($K$17/206000),"b"))</f>
        <v>1</v>
      </c>
      <c r="BY324" s="64">
        <f t="shared" si="49"/>
        <v>0.11360645323404267</v>
      </c>
      <c r="BZ324" s="3" t="str">
        <f t="shared" si="50"/>
        <v>Check</v>
      </c>
    </row>
    <row r="325" spans="1:78">
      <c r="A325" s="76"/>
      <c r="B325" s="76"/>
      <c r="C325" s="125"/>
      <c r="D325" s="125"/>
      <c r="E325" s="71"/>
      <c r="F325" s="71"/>
      <c r="G325" s="71"/>
      <c r="H325" s="126"/>
      <c r="I325" s="125"/>
      <c r="J325" s="123"/>
      <c r="K325" s="12"/>
      <c r="L325" s="117"/>
      <c r="M325" s="12"/>
      <c r="N325" s="117"/>
      <c r="O325" s="117"/>
      <c r="P325" s="117"/>
      <c r="Q325" s="118"/>
      <c r="R325" s="118"/>
      <c r="S325" s="118"/>
      <c r="T325" s="12"/>
      <c r="U325" s="118"/>
      <c r="V325" s="118"/>
      <c r="W325" s="12"/>
      <c r="X325" s="119"/>
      <c r="Y325" s="120"/>
      <c r="Z325" s="12"/>
      <c r="BA325" s="70" t="s">
        <v>205</v>
      </c>
      <c r="BB325" s="71" t="s">
        <v>210</v>
      </c>
      <c r="BC325" s="71" t="s">
        <v>207</v>
      </c>
      <c r="BD325" s="71">
        <v>19.5</v>
      </c>
      <c r="BE325" s="71">
        <v>36</v>
      </c>
      <c r="BF325" s="71">
        <v>390</v>
      </c>
      <c r="BG325" s="71">
        <v>212</v>
      </c>
      <c r="BH325" s="71">
        <v>5</v>
      </c>
      <c r="BI325" s="71">
        <v>10</v>
      </c>
      <c r="BJ325" s="12" t="str" cm="1">
        <f t="array" ref="BJ325">_xll.Dce_Name_SectI(BF325, BF325, BG325, BH325, BI325, "x", "-", $AX$11)</f>
        <v>390x212x5x10</v>
      </c>
      <c r="BK325" s="77" cm="1">
        <f t="array" ref="BK325">_xll.DCEPropSectI(BF325, BH325, BG325, BI325, BG325, BI325, "A")/100</f>
        <v>60.9</v>
      </c>
      <c r="BL325" s="70" t="s">
        <v>217</v>
      </c>
      <c r="BM325" s="70">
        <v>145.29129304101716</v>
      </c>
      <c r="BN325" s="71">
        <v>0.9</v>
      </c>
      <c r="BO325" s="77">
        <f t="shared" si="43"/>
        <v>32.4</v>
      </c>
      <c r="BP325" s="71">
        <v>0.9</v>
      </c>
      <c r="BQ325" s="77">
        <f t="shared" si="44"/>
        <v>32.4</v>
      </c>
      <c r="BR325" s="77" cm="1">
        <f t="array" ref="BR325">_xll.DCEPropSectI(BF325, BH325, BG325, BI325, BG325, BI325, "rx")/10</f>
        <v>16.91131201300167</v>
      </c>
      <c r="BS325" s="77" cm="1">
        <f t="array" ref="BS325">_xll.DCEPropSectI(BF325, BH325, BG325, BI325, BG325, BI325, "ry")/10</f>
        <v>5.1070747638622018</v>
      </c>
      <c r="BT325" s="5">
        <f t="shared" si="45"/>
        <v>191.58773710218577</v>
      </c>
      <c r="BU325" s="5">
        <f t="shared" si="46"/>
        <v>634.41405301647956</v>
      </c>
      <c r="BV325" s="5">
        <f t="shared" si="47"/>
        <v>634.41405301647956</v>
      </c>
      <c r="BW325" s="71">
        <f t="shared" si="48"/>
        <v>400</v>
      </c>
      <c r="BX325" s="78" cm="1">
        <f t="array" ref="BX325">IF(BM325&gt;0,1,_xll.DCETCVN5575FactorPhi7121(BV325*SQRT($K$17/206000),"b"))</f>
        <v>1</v>
      </c>
      <c r="BY325" s="64">
        <f t="shared" si="49"/>
        <v>0.11360645323404267</v>
      </c>
      <c r="BZ325" s="3" t="str">
        <f t="shared" si="50"/>
        <v>Check</v>
      </c>
    </row>
    <row r="326" spans="1:78">
      <c r="A326" s="76"/>
      <c r="B326" s="76"/>
      <c r="C326" s="125"/>
      <c r="D326" s="125"/>
      <c r="E326" s="71"/>
      <c r="F326" s="71"/>
      <c r="G326" s="71"/>
      <c r="H326" s="126"/>
      <c r="I326" s="125"/>
      <c r="J326" s="123"/>
      <c r="K326" s="12"/>
      <c r="L326" s="117"/>
      <c r="M326" s="12"/>
      <c r="N326" s="117"/>
      <c r="O326" s="117"/>
      <c r="P326" s="117"/>
      <c r="Q326" s="118"/>
      <c r="R326" s="118"/>
      <c r="S326" s="118"/>
      <c r="T326" s="12"/>
      <c r="U326" s="118"/>
      <c r="V326" s="118"/>
      <c r="W326" s="12"/>
      <c r="X326" s="119"/>
      <c r="Y326" s="120"/>
      <c r="Z326" s="12"/>
      <c r="BA326" s="70" t="s">
        <v>205</v>
      </c>
      <c r="BB326" s="71" t="s">
        <v>210</v>
      </c>
      <c r="BC326" s="71" t="s">
        <v>207</v>
      </c>
      <c r="BD326" s="71">
        <v>20</v>
      </c>
      <c r="BE326" s="71">
        <v>36</v>
      </c>
      <c r="BF326" s="71">
        <v>390</v>
      </c>
      <c r="BG326" s="71">
        <v>212</v>
      </c>
      <c r="BH326" s="71">
        <v>5</v>
      </c>
      <c r="BI326" s="71">
        <v>10</v>
      </c>
      <c r="BJ326" s="12" t="str" cm="1">
        <f t="array" ref="BJ326">_xll.Dce_Name_SectI(BF326, BF326, BG326, BH326, BI326, "x", "-", $AX$11)</f>
        <v>390x212x5x10</v>
      </c>
      <c r="BK326" s="77" cm="1">
        <f t="array" ref="BK326">_xll.DCEPropSectI(BF326, BH326, BG326, BI326, BG326, BI326, "A")/100</f>
        <v>60.9</v>
      </c>
      <c r="BL326" s="70" t="s">
        <v>217</v>
      </c>
      <c r="BM326" s="70">
        <v>145.29129304101716</v>
      </c>
      <c r="BN326" s="71">
        <v>0.9</v>
      </c>
      <c r="BO326" s="77">
        <f t="shared" si="43"/>
        <v>32.4</v>
      </c>
      <c r="BP326" s="71">
        <v>0.9</v>
      </c>
      <c r="BQ326" s="77">
        <f t="shared" si="44"/>
        <v>32.4</v>
      </c>
      <c r="BR326" s="77" cm="1">
        <f t="array" ref="BR326">_xll.DCEPropSectI(BF326, BH326, BG326, BI326, BG326, BI326, "rx")/10</f>
        <v>16.91131201300167</v>
      </c>
      <c r="BS326" s="77" cm="1">
        <f t="array" ref="BS326">_xll.DCEPropSectI(BF326, BH326, BG326, BI326, BG326, BI326, "ry")/10</f>
        <v>5.1070747638622018</v>
      </c>
      <c r="BT326" s="5">
        <f t="shared" si="45"/>
        <v>191.58773710218577</v>
      </c>
      <c r="BU326" s="5">
        <f t="shared" si="46"/>
        <v>634.41405301647956</v>
      </c>
      <c r="BV326" s="5">
        <f t="shared" si="47"/>
        <v>634.41405301647956</v>
      </c>
      <c r="BW326" s="71">
        <f t="shared" si="48"/>
        <v>400</v>
      </c>
      <c r="BX326" s="78" cm="1">
        <f t="array" ref="BX326">IF(BM326&gt;0,1,_xll.DCETCVN5575FactorPhi7121(BV326*SQRT($K$17/206000),"b"))</f>
        <v>1</v>
      </c>
      <c r="BY326" s="64">
        <f t="shared" si="49"/>
        <v>0.11360645323404267</v>
      </c>
      <c r="BZ326" s="3" t="str">
        <f t="shared" si="50"/>
        <v>Check</v>
      </c>
    </row>
    <row r="327" spans="1:78">
      <c r="A327" s="76"/>
      <c r="B327" s="76"/>
      <c r="C327" s="125"/>
      <c r="D327" s="125"/>
      <c r="E327" s="71"/>
      <c r="F327" s="71"/>
      <c r="G327" s="71"/>
      <c r="H327" s="126"/>
      <c r="I327" s="125"/>
      <c r="J327" s="123"/>
      <c r="K327" s="12"/>
      <c r="L327" s="117"/>
      <c r="M327" s="12"/>
      <c r="N327" s="117"/>
      <c r="O327" s="117"/>
      <c r="P327" s="117"/>
      <c r="Q327" s="118"/>
      <c r="R327" s="118"/>
      <c r="S327" s="118"/>
      <c r="T327" s="12"/>
      <c r="U327" s="118"/>
      <c r="V327" s="118"/>
      <c r="W327" s="12"/>
      <c r="X327" s="119"/>
      <c r="Y327" s="120"/>
      <c r="Z327" s="12"/>
      <c r="BA327" s="70" t="s">
        <v>205</v>
      </c>
      <c r="BB327" s="71" t="s">
        <v>210</v>
      </c>
      <c r="BC327" s="71" t="s">
        <v>207</v>
      </c>
      <c r="BD327" s="71">
        <v>20.5</v>
      </c>
      <c r="BE327" s="71">
        <v>36</v>
      </c>
      <c r="BF327" s="71">
        <v>390</v>
      </c>
      <c r="BG327" s="71">
        <v>212</v>
      </c>
      <c r="BH327" s="71">
        <v>5</v>
      </c>
      <c r="BI327" s="71">
        <v>10</v>
      </c>
      <c r="BJ327" s="12" t="str" cm="1">
        <f t="array" ref="BJ327">_xll.Dce_Name_SectI(BF327, BF327, BG327, BH327, BI327, "x", "-", $AX$11)</f>
        <v>390x212x5x10</v>
      </c>
      <c r="BK327" s="77" cm="1">
        <f t="array" ref="BK327">_xll.DCEPropSectI(BF327, BH327, BG327, BI327, BG327, BI327, "A")/100</f>
        <v>60.9</v>
      </c>
      <c r="BL327" s="70" t="s">
        <v>217</v>
      </c>
      <c r="BM327" s="70">
        <v>145.29129304101716</v>
      </c>
      <c r="BN327" s="71">
        <v>0.9</v>
      </c>
      <c r="BO327" s="77">
        <f t="shared" si="43"/>
        <v>32.4</v>
      </c>
      <c r="BP327" s="71">
        <v>0.9</v>
      </c>
      <c r="BQ327" s="77">
        <f t="shared" si="44"/>
        <v>32.4</v>
      </c>
      <c r="BR327" s="77" cm="1">
        <f t="array" ref="BR327">_xll.DCEPropSectI(BF327, BH327, BG327, BI327, BG327, BI327, "rx")/10</f>
        <v>16.91131201300167</v>
      </c>
      <c r="BS327" s="77" cm="1">
        <f t="array" ref="BS327">_xll.DCEPropSectI(BF327, BH327, BG327, BI327, BG327, BI327, "ry")/10</f>
        <v>5.1070747638622018</v>
      </c>
      <c r="BT327" s="5">
        <f t="shared" si="45"/>
        <v>191.58773710218577</v>
      </c>
      <c r="BU327" s="5">
        <f t="shared" si="46"/>
        <v>634.41405301647956</v>
      </c>
      <c r="BV327" s="5">
        <f t="shared" si="47"/>
        <v>634.41405301647956</v>
      </c>
      <c r="BW327" s="71">
        <f t="shared" si="48"/>
        <v>400</v>
      </c>
      <c r="BX327" s="78" cm="1">
        <f t="array" ref="BX327">IF(BM327&gt;0,1,_xll.DCETCVN5575FactorPhi7121(BV327*SQRT($K$17/206000),"b"))</f>
        <v>1</v>
      </c>
      <c r="BY327" s="64">
        <f t="shared" si="49"/>
        <v>0.11360645323404267</v>
      </c>
      <c r="BZ327" s="3" t="str">
        <f t="shared" si="50"/>
        <v>Check</v>
      </c>
    </row>
    <row r="328" spans="1:78">
      <c r="A328" s="76"/>
      <c r="B328" s="76"/>
      <c r="C328" s="125"/>
      <c r="D328" s="125"/>
      <c r="E328" s="71"/>
      <c r="F328" s="71"/>
      <c r="G328" s="71"/>
      <c r="H328" s="126"/>
      <c r="I328" s="125"/>
      <c r="J328" s="123"/>
      <c r="K328" s="12"/>
      <c r="L328" s="117"/>
      <c r="M328" s="12"/>
      <c r="N328" s="117"/>
      <c r="O328" s="117"/>
      <c r="P328" s="117"/>
      <c r="Q328" s="118"/>
      <c r="R328" s="118"/>
      <c r="S328" s="118"/>
      <c r="T328" s="12"/>
      <c r="U328" s="118"/>
      <c r="V328" s="118"/>
      <c r="W328" s="12"/>
      <c r="X328" s="119"/>
      <c r="Y328" s="120"/>
      <c r="Z328" s="12"/>
      <c r="BA328" s="70" t="s">
        <v>205</v>
      </c>
      <c r="BB328" s="71" t="s">
        <v>210</v>
      </c>
      <c r="BC328" s="71" t="s">
        <v>207</v>
      </c>
      <c r="BD328" s="71">
        <v>21</v>
      </c>
      <c r="BE328" s="71">
        <v>36</v>
      </c>
      <c r="BF328" s="71">
        <v>390</v>
      </c>
      <c r="BG328" s="71">
        <v>212</v>
      </c>
      <c r="BH328" s="71">
        <v>5</v>
      </c>
      <c r="BI328" s="71">
        <v>10</v>
      </c>
      <c r="BJ328" s="12" t="str" cm="1">
        <f t="array" ref="BJ328">_xll.Dce_Name_SectI(BF328, BF328, BG328, BH328, BI328, "x", "-", $AX$11)</f>
        <v>390x212x5x10</v>
      </c>
      <c r="BK328" s="77" cm="1">
        <f t="array" ref="BK328">_xll.DCEPropSectI(BF328, BH328, BG328, BI328, BG328, BI328, "A")/100</f>
        <v>60.9</v>
      </c>
      <c r="BL328" s="70" t="s">
        <v>217</v>
      </c>
      <c r="BM328" s="70">
        <v>145.29129304101716</v>
      </c>
      <c r="BN328" s="71">
        <v>0.9</v>
      </c>
      <c r="BO328" s="77">
        <f t="shared" si="43"/>
        <v>32.4</v>
      </c>
      <c r="BP328" s="71">
        <v>0.9</v>
      </c>
      <c r="BQ328" s="77">
        <f t="shared" si="44"/>
        <v>32.4</v>
      </c>
      <c r="BR328" s="77" cm="1">
        <f t="array" ref="BR328">_xll.DCEPropSectI(BF328, BH328, BG328, BI328, BG328, BI328, "rx")/10</f>
        <v>16.91131201300167</v>
      </c>
      <c r="BS328" s="77" cm="1">
        <f t="array" ref="BS328">_xll.DCEPropSectI(BF328, BH328, BG328, BI328, BG328, BI328, "ry")/10</f>
        <v>5.1070747638622018</v>
      </c>
      <c r="BT328" s="5">
        <f t="shared" si="45"/>
        <v>191.58773710218577</v>
      </c>
      <c r="BU328" s="5">
        <f t="shared" si="46"/>
        <v>634.41405301647956</v>
      </c>
      <c r="BV328" s="5">
        <f t="shared" si="47"/>
        <v>634.41405301647956</v>
      </c>
      <c r="BW328" s="71">
        <f t="shared" si="48"/>
        <v>400</v>
      </c>
      <c r="BX328" s="78" cm="1">
        <f t="array" ref="BX328">IF(BM328&gt;0,1,_xll.DCETCVN5575FactorPhi7121(BV328*SQRT($K$17/206000),"b"))</f>
        <v>1</v>
      </c>
      <c r="BY328" s="64">
        <f t="shared" si="49"/>
        <v>0.11360645323404267</v>
      </c>
      <c r="BZ328" s="3" t="str">
        <f t="shared" si="50"/>
        <v>Check</v>
      </c>
    </row>
    <row r="329" spans="1:78">
      <c r="A329" s="76"/>
      <c r="B329" s="76"/>
      <c r="C329" s="125"/>
      <c r="D329" s="125"/>
      <c r="E329" s="71"/>
      <c r="F329" s="71"/>
      <c r="G329" s="71"/>
      <c r="H329" s="126"/>
      <c r="I329" s="125"/>
      <c r="J329" s="123"/>
      <c r="K329" s="12"/>
      <c r="L329" s="117"/>
      <c r="M329" s="12"/>
      <c r="N329" s="117"/>
      <c r="O329" s="117"/>
      <c r="P329" s="117"/>
      <c r="Q329" s="118"/>
      <c r="R329" s="118"/>
      <c r="S329" s="118"/>
      <c r="T329" s="12"/>
      <c r="U329" s="118"/>
      <c r="V329" s="118"/>
      <c r="W329" s="12"/>
      <c r="X329" s="119"/>
      <c r="Y329" s="120"/>
      <c r="Z329" s="12"/>
      <c r="BA329" s="70" t="s">
        <v>205</v>
      </c>
      <c r="BB329" s="71" t="s">
        <v>210</v>
      </c>
      <c r="BC329" s="71" t="s">
        <v>207</v>
      </c>
      <c r="BD329" s="71">
        <v>21.5</v>
      </c>
      <c r="BE329" s="71">
        <v>36</v>
      </c>
      <c r="BF329" s="71">
        <v>390</v>
      </c>
      <c r="BG329" s="71">
        <v>212</v>
      </c>
      <c r="BH329" s="71">
        <v>5</v>
      </c>
      <c r="BI329" s="71">
        <v>10</v>
      </c>
      <c r="BJ329" s="12" t="str" cm="1">
        <f t="array" ref="BJ329">_xll.Dce_Name_SectI(BF329, BF329, BG329, BH329, BI329, "x", "-", $AX$11)</f>
        <v>390x212x5x10</v>
      </c>
      <c r="BK329" s="77" cm="1">
        <f t="array" ref="BK329">_xll.DCEPropSectI(BF329, BH329, BG329, BI329, BG329, BI329, "A")/100</f>
        <v>60.9</v>
      </c>
      <c r="BL329" s="70" t="s">
        <v>217</v>
      </c>
      <c r="BM329" s="70">
        <v>145.29129304101716</v>
      </c>
      <c r="BN329" s="71">
        <v>0.9</v>
      </c>
      <c r="BO329" s="77">
        <f t="shared" si="43"/>
        <v>32.4</v>
      </c>
      <c r="BP329" s="71">
        <v>0.9</v>
      </c>
      <c r="BQ329" s="77">
        <f t="shared" si="44"/>
        <v>32.4</v>
      </c>
      <c r="BR329" s="77" cm="1">
        <f t="array" ref="BR329">_xll.DCEPropSectI(BF329, BH329, BG329, BI329, BG329, BI329, "rx")/10</f>
        <v>16.91131201300167</v>
      </c>
      <c r="BS329" s="77" cm="1">
        <f t="array" ref="BS329">_xll.DCEPropSectI(BF329, BH329, BG329, BI329, BG329, BI329, "ry")/10</f>
        <v>5.1070747638622018</v>
      </c>
      <c r="BT329" s="5">
        <f t="shared" si="45"/>
        <v>191.58773710218577</v>
      </c>
      <c r="BU329" s="5">
        <f t="shared" si="46"/>
        <v>634.41405301647956</v>
      </c>
      <c r="BV329" s="5">
        <f t="shared" si="47"/>
        <v>634.41405301647956</v>
      </c>
      <c r="BW329" s="71">
        <f t="shared" si="48"/>
        <v>400</v>
      </c>
      <c r="BX329" s="78" cm="1">
        <f t="array" ref="BX329">IF(BM329&gt;0,1,_xll.DCETCVN5575FactorPhi7121(BV329*SQRT($K$17/206000),"b"))</f>
        <v>1</v>
      </c>
      <c r="BY329" s="64">
        <f t="shared" si="49"/>
        <v>0.11360645323404267</v>
      </c>
      <c r="BZ329" s="3" t="str">
        <f t="shared" si="50"/>
        <v>Check</v>
      </c>
    </row>
    <row r="330" spans="1:78">
      <c r="A330" s="76"/>
      <c r="B330" s="76"/>
      <c r="C330" s="125"/>
      <c r="D330" s="125"/>
      <c r="E330" s="71"/>
      <c r="F330" s="71"/>
      <c r="G330" s="71"/>
      <c r="H330" s="126"/>
      <c r="I330" s="125"/>
      <c r="J330" s="123"/>
      <c r="K330" s="12"/>
      <c r="L330" s="117"/>
      <c r="M330" s="12"/>
      <c r="N330" s="117"/>
      <c r="O330" s="117"/>
      <c r="P330" s="117"/>
      <c r="Q330" s="118"/>
      <c r="R330" s="118"/>
      <c r="S330" s="118"/>
      <c r="T330" s="12"/>
      <c r="U330" s="118"/>
      <c r="V330" s="118"/>
      <c r="W330" s="12"/>
      <c r="X330" s="119"/>
      <c r="Y330" s="120"/>
      <c r="Z330" s="12"/>
      <c r="BA330" s="70" t="s">
        <v>205</v>
      </c>
      <c r="BB330" s="71" t="s">
        <v>210</v>
      </c>
      <c r="BC330" s="71" t="s">
        <v>207</v>
      </c>
      <c r="BD330" s="71">
        <v>22</v>
      </c>
      <c r="BE330" s="71">
        <v>36</v>
      </c>
      <c r="BF330" s="71">
        <v>390</v>
      </c>
      <c r="BG330" s="71">
        <v>212</v>
      </c>
      <c r="BH330" s="71">
        <v>5</v>
      </c>
      <c r="BI330" s="71">
        <v>10</v>
      </c>
      <c r="BJ330" s="12" t="str" cm="1">
        <f t="array" ref="BJ330">_xll.Dce_Name_SectI(BF330, BF330, BG330, BH330, BI330, "x", "-", $AX$11)</f>
        <v>390x212x5x10</v>
      </c>
      <c r="BK330" s="77" cm="1">
        <f t="array" ref="BK330">_xll.DCEPropSectI(BF330, BH330, BG330, BI330, BG330, BI330, "A")/100</f>
        <v>60.9</v>
      </c>
      <c r="BL330" s="70" t="s">
        <v>217</v>
      </c>
      <c r="BM330" s="70">
        <v>145.29129304101716</v>
      </c>
      <c r="BN330" s="71">
        <v>0.9</v>
      </c>
      <c r="BO330" s="77">
        <f t="shared" si="43"/>
        <v>32.4</v>
      </c>
      <c r="BP330" s="71">
        <v>0.9</v>
      </c>
      <c r="BQ330" s="77">
        <f t="shared" si="44"/>
        <v>32.4</v>
      </c>
      <c r="BR330" s="77" cm="1">
        <f t="array" ref="BR330">_xll.DCEPropSectI(BF330, BH330, BG330, BI330, BG330, BI330, "rx")/10</f>
        <v>16.91131201300167</v>
      </c>
      <c r="BS330" s="77" cm="1">
        <f t="array" ref="BS330">_xll.DCEPropSectI(BF330, BH330, BG330, BI330, BG330, BI330, "ry")/10</f>
        <v>5.1070747638622018</v>
      </c>
      <c r="BT330" s="5">
        <f t="shared" si="45"/>
        <v>191.58773710218577</v>
      </c>
      <c r="BU330" s="5">
        <f t="shared" si="46"/>
        <v>634.41405301647956</v>
      </c>
      <c r="BV330" s="5">
        <f t="shared" si="47"/>
        <v>634.41405301647956</v>
      </c>
      <c r="BW330" s="71">
        <f t="shared" si="48"/>
        <v>400</v>
      </c>
      <c r="BX330" s="78" cm="1">
        <f t="array" ref="BX330">IF(BM330&gt;0,1,_xll.DCETCVN5575FactorPhi7121(BV330*SQRT($K$17/206000),"b"))</f>
        <v>1</v>
      </c>
      <c r="BY330" s="64">
        <f t="shared" si="49"/>
        <v>0.11360645323404267</v>
      </c>
      <c r="BZ330" s="3" t="str">
        <f t="shared" si="50"/>
        <v>Check</v>
      </c>
    </row>
    <row r="331" spans="1:78">
      <c r="A331" s="76"/>
      <c r="B331" s="76"/>
      <c r="C331" s="125"/>
      <c r="D331" s="125"/>
      <c r="E331" s="71"/>
      <c r="F331" s="71"/>
      <c r="G331" s="71"/>
      <c r="H331" s="126"/>
      <c r="I331" s="125"/>
      <c r="J331" s="123"/>
      <c r="K331" s="12"/>
      <c r="L331" s="117"/>
      <c r="M331" s="12"/>
      <c r="N331" s="117"/>
      <c r="O331" s="117"/>
      <c r="P331" s="117"/>
      <c r="Q331" s="118"/>
      <c r="R331" s="118"/>
      <c r="S331" s="118"/>
      <c r="T331" s="12"/>
      <c r="U331" s="118"/>
      <c r="V331" s="118"/>
      <c r="W331" s="12"/>
      <c r="X331" s="119"/>
      <c r="Y331" s="120"/>
      <c r="Z331" s="12"/>
      <c r="BA331" s="70" t="s">
        <v>205</v>
      </c>
      <c r="BB331" s="71" t="s">
        <v>210</v>
      </c>
      <c r="BC331" s="71" t="s">
        <v>207</v>
      </c>
      <c r="BD331" s="71">
        <v>22.5</v>
      </c>
      <c r="BE331" s="71">
        <v>36</v>
      </c>
      <c r="BF331" s="71">
        <v>390</v>
      </c>
      <c r="BG331" s="71">
        <v>212</v>
      </c>
      <c r="BH331" s="71">
        <v>5</v>
      </c>
      <c r="BI331" s="71">
        <v>10</v>
      </c>
      <c r="BJ331" s="12" t="str" cm="1">
        <f t="array" ref="BJ331">_xll.Dce_Name_SectI(BF331, BF331, BG331, BH331, BI331, "x", "-", $AX$11)</f>
        <v>390x212x5x10</v>
      </c>
      <c r="BK331" s="77" cm="1">
        <f t="array" ref="BK331">_xll.DCEPropSectI(BF331, BH331, BG331, BI331, BG331, BI331, "A")/100</f>
        <v>60.9</v>
      </c>
      <c r="BL331" s="70" t="s">
        <v>217</v>
      </c>
      <c r="BM331" s="70">
        <v>145.29129304101716</v>
      </c>
      <c r="BN331" s="71">
        <v>0.9</v>
      </c>
      <c r="BO331" s="77">
        <f t="shared" si="43"/>
        <v>32.4</v>
      </c>
      <c r="BP331" s="71">
        <v>0.9</v>
      </c>
      <c r="BQ331" s="77">
        <f t="shared" si="44"/>
        <v>32.4</v>
      </c>
      <c r="BR331" s="77" cm="1">
        <f t="array" ref="BR331">_xll.DCEPropSectI(BF331, BH331, BG331, BI331, BG331, BI331, "rx")/10</f>
        <v>16.91131201300167</v>
      </c>
      <c r="BS331" s="77" cm="1">
        <f t="array" ref="BS331">_xll.DCEPropSectI(BF331, BH331, BG331, BI331, BG331, BI331, "ry")/10</f>
        <v>5.1070747638622018</v>
      </c>
      <c r="BT331" s="5">
        <f t="shared" si="45"/>
        <v>191.58773710218577</v>
      </c>
      <c r="BU331" s="5">
        <f t="shared" si="46"/>
        <v>634.41405301647956</v>
      </c>
      <c r="BV331" s="5">
        <f t="shared" si="47"/>
        <v>634.41405301647956</v>
      </c>
      <c r="BW331" s="71">
        <f t="shared" si="48"/>
        <v>400</v>
      </c>
      <c r="BX331" s="78" cm="1">
        <f t="array" ref="BX331">IF(BM331&gt;0,1,_xll.DCETCVN5575FactorPhi7121(BV331*SQRT($K$17/206000),"b"))</f>
        <v>1</v>
      </c>
      <c r="BY331" s="64">
        <f t="shared" si="49"/>
        <v>0.11360645323404267</v>
      </c>
      <c r="BZ331" s="3" t="str">
        <f t="shared" si="50"/>
        <v>Check</v>
      </c>
    </row>
    <row r="332" spans="1:78">
      <c r="A332" s="76"/>
      <c r="B332" s="76"/>
      <c r="C332" s="125"/>
      <c r="D332" s="125"/>
      <c r="E332" s="71"/>
      <c r="F332" s="71"/>
      <c r="G332" s="71"/>
      <c r="H332" s="126"/>
      <c r="I332" s="125"/>
      <c r="J332" s="123"/>
      <c r="K332" s="12"/>
      <c r="L332" s="117"/>
      <c r="M332" s="12"/>
      <c r="N332" s="117"/>
      <c r="O332" s="117"/>
      <c r="P332" s="117"/>
      <c r="Q332" s="118"/>
      <c r="R332" s="118"/>
      <c r="S332" s="118"/>
      <c r="T332" s="12"/>
      <c r="U332" s="118"/>
      <c r="V332" s="118"/>
      <c r="W332" s="12"/>
      <c r="X332" s="119"/>
      <c r="Y332" s="120"/>
      <c r="Z332" s="12"/>
      <c r="BA332" s="70" t="s">
        <v>205</v>
      </c>
      <c r="BB332" s="71" t="s">
        <v>210</v>
      </c>
      <c r="BC332" s="71" t="s">
        <v>207</v>
      </c>
      <c r="BD332" s="71">
        <v>22.5</v>
      </c>
      <c r="BE332" s="71">
        <v>36</v>
      </c>
      <c r="BF332" s="71">
        <v>390</v>
      </c>
      <c r="BG332" s="71">
        <v>212</v>
      </c>
      <c r="BH332" s="71">
        <v>5</v>
      </c>
      <c r="BI332" s="71">
        <v>10</v>
      </c>
      <c r="BJ332" s="12" t="str" cm="1">
        <f t="array" ref="BJ332">_xll.Dce_Name_SectI(BF332, BF332, BG332, BH332, BI332, "x", "-", $AX$11)</f>
        <v>390x212x5x10</v>
      </c>
      <c r="BK332" s="77" cm="1">
        <f t="array" ref="BK332">_xll.DCEPropSectI(BF332, BH332, BG332, BI332, BG332, BI332, "A")/100</f>
        <v>60.9</v>
      </c>
      <c r="BL332" s="70" t="s">
        <v>217</v>
      </c>
      <c r="BM332" s="70">
        <v>57.920235383121124</v>
      </c>
      <c r="BN332" s="71">
        <v>0.9</v>
      </c>
      <c r="BO332" s="77">
        <f t="shared" si="43"/>
        <v>32.4</v>
      </c>
      <c r="BP332" s="71">
        <v>0.9</v>
      </c>
      <c r="BQ332" s="77">
        <f t="shared" si="44"/>
        <v>32.4</v>
      </c>
      <c r="BR332" s="77" cm="1">
        <f t="array" ref="BR332">_xll.DCEPropSectI(BF332, BH332, BG332, BI332, BG332, BI332, "rx")/10</f>
        <v>16.91131201300167</v>
      </c>
      <c r="BS332" s="77" cm="1">
        <f t="array" ref="BS332">_xll.DCEPropSectI(BF332, BH332, BG332, BI332, BG332, BI332, "ry")/10</f>
        <v>5.1070747638622018</v>
      </c>
      <c r="BT332" s="5">
        <f t="shared" si="45"/>
        <v>191.58773710218577</v>
      </c>
      <c r="BU332" s="5">
        <f t="shared" si="46"/>
        <v>634.41405301647956</v>
      </c>
      <c r="BV332" s="5">
        <f t="shared" si="47"/>
        <v>634.41405301647956</v>
      </c>
      <c r="BW332" s="71">
        <f t="shared" si="48"/>
        <v>400</v>
      </c>
      <c r="BX332" s="78" cm="1">
        <f t="array" ref="BX332">IF(BM332&gt;0,1,_xll.DCETCVN5575FactorPhi7121(BV332*SQRT($K$17/206000),"b"))</f>
        <v>1</v>
      </c>
      <c r="BY332" s="64">
        <f t="shared" si="49"/>
        <v>4.5289104216999873E-2</v>
      </c>
      <c r="BZ332" s="3" t="str">
        <f t="shared" si="50"/>
        <v>Check</v>
      </c>
    </row>
    <row r="333" spans="1:78">
      <c r="A333" s="76"/>
      <c r="B333" s="76"/>
      <c r="C333" s="125"/>
      <c r="D333" s="125"/>
      <c r="E333" s="71"/>
      <c r="F333" s="71"/>
      <c r="G333" s="71"/>
      <c r="H333" s="126"/>
      <c r="I333" s="125"/>
      <c r="J333" s="123"/>
      <c r="K333" s="12"/>
      <c r="L333" s="117"/>
      <c r="M333" s="12"/>
      <c r="N333" s="117"/>
      <c r="O333" s="117"/>
      <c r="P333" s="117"/>
      <c r="Q333" s="118"/>
      <c r="R333" s="118"/>
      <c r="S333" s="118"/>
      <c r="T333" s="12"/>
      <c r="U333" s="118"/>
      <c r="V333" s="118"/>
      <c r="W333" s="12"/>
      <c r="X333" s="119"/>
      <c r="Y333" s="120"/>
      <c r="Z333" s="12"/>
      <c r="BA333" s="70" t="s">
        <v>205</v>
      </c>
      <c r="BB333" s="71" t="s">
        <v>210</v>
      </c>
      <c r="BC333" s="71" t="s">
        <v>207</v>
      </c>
      <c r="BD333" s="71">
        <v>23</v>
      </c>
      <c r="BE333" s="71">
        <v>36</v>
      </c>
      <c r="BF333" s="71">
        <v>390</v>
      </c>
      <c r="BG333" s="71">
        <v>212</v>
      </c>
      <c r="BH333" s="71">
        <v>5</v>
      </c>
      <c r="BI333" s="71">
        <v>10</v>
      </c>
      <c r="BJ333" s="12" t="str" cm="1">
        <f t="array" ref="BJ333">_xll.Dce_Name_SectI(BF333, BF333, BG333, BH333, BI333, "x", "-", $AX$11)</f>
        <v>390x212x5x10</v>
      </c>
      <c r="BK333" s="77" cm="1">
        <f t="array" ref="BK333">_xll.DCEPropSectI(BF333, BH333, BG333, BI333, BG333, BI333, "A")/100</f>
        <v>60.9</v>
      </c>
      <c r="BL333" s="70" t="s">
        <v>217</v>
      </c>
      <c r="BM333" s="70">
        <v>57.920235383121124</v>
      </c>
      <c r="BN333" s="71">
        <v>0.9</v>
      </c>
      <c r="BO333" s="77">
        <f t="shared" ref="BO333:BO396" si="51">BN333*BE333</f>
        <v>32.4</v>
      </c>
      <c r="BP333" s="71">
        <v>0.9</v>
      </c>
      <c r="BQ333" s="77">
        <f t="shared" ref="BQ333:BQ396" si="52">BP333*BE333</f>
        <v>32.4</v>
      </c>
      <c r="BR333" s="77" cm="1">
        <f t="array" ref="BR333">_xll.DCEPropSectI(BF333, BH333, BG333, BI333, BG333, BI333, "rx")/10</f>
        <v>16.91131201300167</v>
      </c>
      <c r="BS333" s="77" cm="1">
        <f t="array" ref="BS333">_xll.DCEPropSectI(BF333, BH333, BG333, BI333, BG333, BI333, "ry")/10</f>
        <v>5.1070747638622018</v>
      </c>
      <c r="BT333" s="5">
        <f t="shared" ref="BT333:BT396" si="53">BO333*100/BR333</f>
        <v>191.58773710218577</v>
      </c>
      <c r="BU333" s="5">
        <f t="shared" ref="BU333:BU396" si="54">BQ333*100/BS333</f>
        <v>634.41405301647956</v>
      </c>
      <c r="BV333" s="5">
        <f t="shared" ref="BV333:BV396" si="55">MAX(BT333,BU333)</f>
        <v>634.41405301647956</v>
      </c>
      <c r="BW333" s="71">
        <f t="shared" ref="BW333:BW396" si="56">IF(BM333&lt;0,$AY$14,$AY$15)</f>
        <v>400</v>
      </c>
      <c r="BX333" s="78" cm="1">
        <f t="array" ref="BX333">IF(BM333&gt;0,1,_xll.DCETCVN5575FactorPhi7121(BV333*SQRT($K$17/206000),"b"))</f>
        <v>1</v>
      </c>
      <c r="BY333" s="64">
        <f t="shared" ref="BY333:BY396" si="57">ABS(BM333)/(BX333*BK333*$K$17*$K$19)*10</f>
        <v>4.5289104216999873E-2</v>
      </c>
      <c r="BZ333" s="3" t="str">
        <f t="shared" ref="BZ333:BZ396" si="58">IF(AND(BV333&lt;=BW333,BY333&lt;=1),"OK","Check")</f>
        <v>Check</v>
      </c>
    </row>
    <row r="334" spans="1:78">
      <c r="A334" s="76"/>
      <c r="B334" s="76"/>
      <c r="C334" s="125"/>
      <c r="D334" s="125"/>
      <c r="E334" s="71"/>
      <c r="F334" s="71"/>
      <c r="G334" s="71"/>
      <c r="H334" s="126"/>
      <c r="I334" s="125"/>
      <c r="J334" s="123"/>
      <c r="K334" s="12"/>
      <c r="L334" s="117"/>
      <c r="M334" s="12"/>
      <c r="N334" s="117"/>
      <c r="O334" s="117"/>
      <c r="P334" s="117"/>
      <c r="Q334" s="118"/>
      <c r="R334" s="118"/>
      <c r="S334" s="118"/>
      <c r="T334" s="12"/>
      <c r="U334" s="118"/>
      <c r="V334" s="118"/>
      <c r="W334" s="12"/>
      <c r="X334" s="119"/>
      <c r="Y334" s="120"/>
      <c r="Z334" s="12"/>
      <c r="BA334" s="70" t="s">
        <v>205</v>
      </c>
      <c r="BB334" s="71" t="s">
        <v>210</v>
      </c>
      <c r="BC334" s="71" t="s">
        <v>207</v>
      </c>
      <c r="BD334" s="71">
        <v>23.5</v>
      </c>
      <c r="BE334" s="71">
        <v>36</v>
      </c>
      <c r="BF334" s="71">
        <v>390</v>
      </c>
      <c r="BG334" s="71">
        <v>212</v>
      </c>
      <c r="BH334" s="71">
        <v>5</v>
      </c>
      <c r="BI334" s="71">
        <v>10</v>
      </c>
      <c r="BJ334" s="12" t="str" cm="1">
        <f t="array" ref="BJ334">_xll.Dce_Name_SectI(BF334, BF334, BG334, BH334, BI334, "x", "-", $AX$11)</f>
        <v>390x212x5x10</v>
      </c>
      <c r="BK334" s="77" cm="1">
        <f t="array" ref="BK334">_xll.DCEPropSectI(BF334, BH334, BG334, BI334, BG334, BI334, "A")/100</f>
        <v>60.9</v>
      </c>
      <c r="BL334" s="70" t="s">
        <v>217</v>
      </c>
      <c r="BM334" s="70">
        <v>57.920235383121124</v>
      </c>
      <c r="BN334" s="71">
        <v>0.9</v>
      </c>
      <c r="BO334" s="77">
        <f t="shared" si="51"/>
        <v>32.4</v>
      </c>
      <c r="BP334" s="71">
        <v>0.9</v>
      </c>
      <c r="BQ334" s="77">
        <f t="shared" si="52"/>
        <v>32.4</v>
      </c>
      <c r="BR334" s="77" cm="1">
        <f t="array" ref="BR334">_xll.DCEPropSectI(BF334, BH334, BG334, BI334, BG334, BI334, "rx")/10</f>
        <v>16.91131201300167</v>
      </c>
      <c r="BS334" s="77" cm="1">
        <f t="array" ref="BS334">_xll.DCEPropSectI(BF334, BH334, BG334, BI334, BG334, BI334, "ry")/10</f>
        <v>5.1070747638622018</v>
      </c>
      <c r="BT334" s="5">
        <f t="shared" si="53"/>
        <v>191.58773710218577</v>
      </c>
      <c r="BU334" s="5">
        <f t="shared" si="54"/>
        <v>634.41405301647956</v>
      </c>
      <c r="BV334" s="5">
        <f t="shared" si="55"/>
        <v>634.41405301647956</v>
      </c>
      <c r="BW334" s="71">
        <f t="shared" si="56"/>
        <v>400</v>
      </c>
      <c r="BX334" s="78" cm="1">
        <f t="array" ref="BX334">IF(BM334&gt;0,1,_xll.DCETCVN5575FactorPhi7121(BV334*SQRT($K$17/206000),"b"))</f>
        <v>1</v>
      </c>
      <c r="BY334" s="64">
        <f t="shared" si="57"/>
        <v>4.5289104216999873E-2</v>
      </c>
      <c r="BZ334" s="3" t="str">
        <f t="shared" si="58"/>
        <v>Check</v>
      </c>
    </row>
    <row r="335" spans="1:78">
      <c r="A335" s="76"/>
      <c r="B335" s="76"/>
      <c r="C335" s="125"/>
      <c r="D335" s="125"/>
      <c r="E335" s="71"/>
      <c r="F335" s="71"/>
      <c r="G335" s="71"/>
      <c r="H335" s="126"/>
      <c r="I335" s="125"/>
      <c r="J335" s="123"/>
      <c r="K335" s="12"/>
      <c r="L335" s="117"/>
      <c r="M335" s="12"/>
      <c r="N335" s="117"/>
      <c r="O335" s="117"/>
      <c r="P335" s="117"/>
      <c r="Q335" s="118"/>
      <c r="R335" s="118"/>
      <c r="S335" s="118"/>
      <c r="T335" s="12"/>
      <c r="U335" s="118"/>
      <c r="V335" s="118"/>
      <c r="W335" s="12"/>
      <c r="X335" s="119"/>
      <c r="Y335" s="120"/>
      <c r="Z335" s="12"/>
      <c r="BA335" s="70" t="s">
        <v>205</v>
      </c>
      <c r="BB335" s="71" t="s">
        <v>210</v>
      </c>
      <c r="BC335" s="71" t="s">
        <v>207</v>
      </c>
      <c r="BD335" s="71">
        <v>24</v>
      </c>
      <c r="BE335" s="71">
        <v>36</v>
      </c>
      <c r="BF335" s="71">
        <v>390</v>
      </c>
      <c r="BG335" s="71">
        <v>212</v>
      </c>
      <c r="BH335" s="71">
        <v>5</v>
      </c>
      <c r="BI335" s="71">
        <v>10</v>
      </c>
      <c r="BJ335" s="12" t="str" cm="1">
        <f t="array" ref="BJ335">_xll.Dce_Name_SectI(BF335, BF335, BG335, BH335, BI335, "x", "-", $AX$11)</f>
        <v>390x212x5x10</v>
      </c>
      <c r="BK335" s="77" cm="1">
        <f t="array" ref="BK335">_xll.DCEPropSectI(BF335, BH335, BG335, BI335, BG335, BI335, "A")/100</f>
        <v>60.9</v>
      </c>
      <c r="BL335" s="70" t="s">
        <v>217</v>
      </c>
      <c r="BM335" s="70">
        <v>57.920235383121124</v>
      </c>
      <c r="BN335" s="71">
        <v>0.9</v>
      </c>
      <c r="BO335" s="77">
        <f t="shared" si="51"/>
        <v>32.4</v>
      </c>
      <c r="BP335" s="71">
        <v>0.9</v>
      </c>
      <c r="BQ335" s="77">
        <f t="shared" si="52"/>
        <v>32.4</v>
      </c>
      <c r="BR335" s="77" cm="1">
        <f t="array" ref="BR335">_xll.DCEPropSectI(BF335, BH335, BG335, BI335, BG335, BI335, "rx")/10</f>
        <v>16.91131201300167</v>
      </c>
      <c r="BS335" s="77" cm="1">
        <f t="array" ref="BS335">_xll.DCEPropSectI(BF335, BH335, BG335, BI335, BG335, BI335, "ry")/10</f>
        <v>5.1070747638622018</v>
      </c>
      <c r="BT335" s="5">
        <f t="shared" si="53"/>
        <v>191.58773710218577</v>
      </c>
      <c r="BU335" s="5">
        <f t="shared" si="54"/>
        <v>634.41405301647956</v>
      </c>
      <c r="BV335" s="5">
        <f t="shared" si="55"/>
        <v>634.41405301647956</v>
      </c>
      <c r="BW335" s="71">
        <f t="shared" si="56"/>
        <v>400</v>
      </c>
      <c r="BX335" s="78" cm="1">
        <f t="array" ref="BX335">IF(BM335&gt;0,1,_xll.DCETCVN5575FactorPhi7121(BV335*SQRT($K$17/206000),"b"))</f>
        <v>1</v>
      </c>
      <c r="BY335" s="64">
        <f t="shared" si="57"/>
        <v>4.5289104216999873E-2</v>
      </c>
      <c r="BZ335" s="3" t="str">
        <f t="shared" si="58"/>
        <v>Check</v>
      </c>
    </row>
    <row r="336" spans="1:78">
      <c r="A336" s="76"/>
      <c r="B336" s="76"/>
      <c r="C336" s="125"/>
      <c r="D336" s="125"/>
      <c r="E336" s="71"/>
      <c r="F336" s="71"/>
      <c r="G336" s="71"/>
      <c r="H336" s="126"/>
      <c r="I336" s="125"/>
      <c r="J336" s="123"/>
      <c r="K336" s="12"/>
      <c r="L336" s="117"/>
      <c r="M336" s="12"/>
      <c r="N336" s="117"/>
      <c r="O336" s="117"/>
      <c r="P336" s="117"/>
      <c r="Q336" s="118"/>
      <c r="R336" s="118"/>
      <c r="S336" s="118"/>
      <c r="T336" s="12"/>
      <c r="U336" s="118"/>
      <c r="V336" s="118"/>
      <c r="W336" s="12"/>
      <c r="X336" s="119"/>
      <c r="Y336" s="120"/>
      <c r="Z336" s="12"/>
      <c r="BA336" s="70" t="s">
        <v>205</v>
      </c>
      <c r="BB336" s="71" t="s">
        <v>210</v>
      </c>
      <c r="BC336" s="71" t="s">
        <v>207</v>
      </c>
      <c r="BD336" s="71">
        <v>24.5</v>
      </c>
      <c r="BE336" s="71">
        <v>36</v>
      </c>
      <c r="BF336" s="71">
        <v>390</v>
      </c>
      <c r="BG336" s="71">
        <v>212</v>
      </c>
      <c r="BH336" s="71">
        <v>5</v>
      </c>
      <c r="BI336" s="71">
        <v>10</v>
      </c>
      <c r="BJ336" s="12" t="str" cm="1">
        <f t="array" ref="BJ336">_xll.Dce_Name_SectI(BF336, BF336, BG336, BH336, BI336, "x", "-", $AX$11)</f>
        <v>390x212x5x10</v>
      </c>
      <c r="BK336" s="77" cm="1">
        <f t="array" ref="BK336">_xll.DCEPropSectI(BF336, BH336, BG336, BI336, BG336, BI336, "A")/100</f>
        <v>60.9</v>
      </c>
      <c r="BL336" s="70" t="s">
        <v>217</v>
      </c>
      <c r="BM336" s="70">
        <v>57.920235383121124</v>
      </c>
      <c r="BN336" s="71">
        <v>0.9</v>
      </c>
      <c r="BO336" s="77">
        <f t="shared" si="51"/>
        <v>32.4</v>
      </c>
      <c r="BP336" s="71">
        <v>0.9</v>
      </c>
      <c r="BQ336" s="77">
        <f t="shared" si="52"/>
        <v>32.4</v>
      </c>
      <c r="BR336" s="77" cm="1">
        <f t="array" ref="BR336">_xll.DCEPropSectI(BF336, BH336, BG336, BI336, BG336, BI336, "rx")/10</f>
        <v>16.91131201300167</v>
      </c>
      <c r="BS336" s="77" cm="1">
        <f t="array" ref="BS336">_xll.DCEPropSectI(BF336, BH336, BG336, BI336, BG336, BI336, "ry")/10</f>
        <v>5.1070747638622018</v>
      </c>
      <c r="BT336" s="5">
        <f t="shared" si="53"/>
        <v>191.58773710218577</v>
      </c>
      <c r="BU336" s="5">
        <f t="shared" si="54"/>
        <v>634.41405301647956</v>
      </c>
      <c r="BV336" s="5">
        <f t="shared" si="55"/>
        <v>634.41405301647956</v>
      </c>
      <c r="BW336" s="71">
        <f t="shared" si="56"/>
        <v>400</v>
      </c>
      <c r="BX336" s="78" cm="1">
        <f t="array" ref="BX336">IF(BM336&gt;0,1,_xll.DCETCVN5575FactorPhi7121(BV336*SQRT($K$17/206000),"b"))</f>
        <v>1</v>
      </c>
      <c r="BY336" s="64">
        <f t="shared" si="57"/>
        <v>4.5289104216999873E-2</v>
      </c>
      <c r="BZ336" s="3" t="str">
        <f t="shared" si="58"/>
        <v>Check</v>
      </c>
    </row>
    <row r="337" spans="1:78">
      <c r="A337" s="76"/>
      <c r="B337" s="76"/>
      <c r="C337" s="125"/>
      <c r="D337" s="125"/>
      <c r="E337" s="71"/>
      <c r="F337" s="71"/>
      <c r="G337" s="71"/>
      <c r="H337" s="126"/>
      <c r="I337" s="125"/>
      <c r="J337" s="123"/>
      <c r="K337" s="12"/>
      <c r="L337" s="117"/>
      <c r="M337" s="12"/>
      <c r="N337" s="117"/>
      <c r="O337" s="117"/>
      <c r="P337" s="117"/>
      <c r="Q337" s="118"/>
      <c r="R337" s="118"/>
      <c r="S337" s="118"/>
      <c r="T337" s="12"/>
      <c r="U337" s="118"/>
      <c r="V337" s="118"/>
      <c r="W337" s="12"/>
      <c r="X337" s="119"/>
      <c r="Y337" s="120"/>
      <c r="Z337" s="12"/>
      <c r="BA337" s="70" t="s">
        <v>205</v>
      </c>
      <c r="BB337" s="71" t="s">
        <v>210</v>
      </c>
      <c r="BC337" s="71" t="s">
        <v>207</v>
      </c>
      <c r="BD337" s="71">
        <v>25</v>
      </c>
      <c r="BE337" s="71">
        <v>36</v>
      </c>
      <c r="BF337" s="71">
        <v>390</v>
      </c>
      <c r="BG337" s="71">
        <v>212</v>
      </c>
      <c r="BH337" s="71">
        <v>5</v>
      </c>
      <c r="BI337" s="71">
        <v>10</v>
      </c>
      <c r="BJ337" s="12" t="str" cm="1">
        <f t="array" ref="BJ337">_xll.Dce_Name_SectI(BF337, BF337, BG337, BH337, BI337, "x", "-", $AX$11)</f>
        <v>390x212x5x10</v>
      </c>
      <c r="BK337" s="77" cm="1">
        <f t="array" ref="BK337">_xll.DCEPropSectI(BF337, BH337, BG337, BI337, BG337, BI337, "A")/100</f>
        <v>60.9</v>
      </c>
      <c r="BL337" s="70" t="s">
        <v>217</v>
      </c>
      <c r="BM337" s="70">
        <v>57.920235383121124</v>
      </c>
      <c r="BN337" s="71">
        <v>0.9</v>
      </c>
      <c r="BO337" s="77">
        <f t="shared" si="51"/>
        <v>32.4</v>
      </c>
      <c r="BP337" s="71">
        <v>0.9</v>
      </c>
      <c r="BQ337" s="77">
        <f t="shared" si="52"/>
        <v>32.4</v>
      </c>
      <c r="BR337" s="77" cm="1">
        <f t="array" ref="BR337">_xll.DCEPropSectI(BF337, BH337, BG337, BI337, BG337, BI337, "rx")/10</f>
        <v>16.91131201300167</v>
      </c>
      <c r="BS337" s="77" cm="1">
        <f t="array" ref="BS337">_xll.DCEPropSectI(BF337, BH337, BG337, BI337, BG337, BI337, "ry")/10</f>
        <v>5.1070747638622018</v>
      </c>
      <c r="BT337" s="5">
        <f t="shared" si="53"/>
        <v>191.58773710218577</v>
      </c>
      <c r="BU337" s="5">
        <f t="shared" si="54"/>
        <v>634.41405301647956</v>
      </c>
      <c r="BV337" s="5">
        <f t="shared" si="55"/>
        <v>634.41405301647956</v>
      </c>
      <c r="BW337" s="71">
        <f t="shared" si="56"/>
        <v>400</v>
      </c>
      <c r="BX337" s="78" cm="1">
        <f t="array" ref="BX337">IF(BM337&gt;0,1,_xll.DCETCVN5575FactorPhi7121(BV337*SQRT($K$17/206000),"b"))</f>
        <v>1</v>
      </c>
      <c r="BY337" s="64">
        <f t="shared" si="57"/>
        <v>4.5289104216999873E-2</v>
      </c>
      <c r="BZ337" s="3" t="str">
        <f t="shared" si="58"/>
        <v>Check</v>
      </c>
    </row>
    <row r="338" spans="1:78">
      <c r="A338" s="76"/>
      <c r="B338" s="76"/>
      <c r="C338" s="125"/>
      <c r="D338" s="125"/>
      <c r="E338" s="71"/>
      <c r="F338" s="71"/>
      <c r="G338" s="71"/>
      <c r="H338" s="126"/>
      <c r="I338" s="125"/>
      <c r="J338" s="123"/>
      <c r="K338" s="12"/>
      <c r="L338" s="117"/>
      <c r="M338" s="12"/>
      <c r="N338" s="117"/>
      <c r="O338" s="117"/>
      <c r="P338" s="117"/>
      <c r="Q338" s="118"/>
      <c r="R338" s="118"/>
      <c r="S338" s="118"/>
      <c r="T338" s="12"/>
      <c r="U338" s="118"/>
      <c r="V338" s="118"/>
      <c r="W338" s="12"/>
      <c r="X338" s="119"/>
      <c r="Y338" s="120"/>
      <c r="Z338" s="12"/>
      <c r="BA338" s="70" t="s">
        <v>205</v>
      </c>
      <c r="BB338" s="71" t="s">
        <v>210</v>
      </c>
      <c r="BC338" s="71" t="s">
        <v>207</v>
      </c>
      <c r="BD338" s="71">
        <v>25.5</v>
      </c>
      <c r="BE338" s="71">
        <v>36</v>
      </c>
      <c r="BF338" s="71">
        <v>390</v>
      </c>
      <c r="BG338" s="71">
        <v>212</v>
      </c>
      <c r="BH338" s="71">
        <v>5</v>
      </c>
      <c r="BI338" s="71">
        <v>10</v>
      </c>
      <c r="BJ338" s="12" t="str" cm="1">
        <f t="array" ref="BJ338">_xll.Dce_Name_SectI(BF338, BF338, BG338, BH338, BI338, "x", "-", $AX$11)</f>
        <v>390x212x5x10</v>
      </c>
      <c r="BK338" s="77" cm="1">
        <f t="array" ref="BK338">_xll.DCEPropSectI(BF338, BH338, BG338, BI338, BG338, BI338, "A")/100</f>
        <v>60.9</v>
      </c>
      <c r="BL338" s="70" t="s">
        <v>217</v>
      </c>
      <c r="BM338" s="70">
        <v>57.920235383121124</v>
      </c>
      <c r="BN338" s="71">
        <v>0.9</v>
      </c>
      <c r="BO338" s="77">
        <f t="shared" si="51"/>
        <v>32.4</v>
      </c>
      <c r="BP338" s="71">
        <v>0.9</v>
      </c>
      <c r="BQ338" s="77">
        <f t="shared" si="52"/>
        <v>32.4</v>
      </c>
      <c r="BR338" s="77" cm="1">
        <f t="array" ref="BR338">_xll.DCEPropSectI(BF338, BH338, BG338, BI338, BG338, BI338, "rx")/10</f>
        <v>16.91131201300167</v>
      </c>
      <c r="BS338" s="77" cm="1">
        <f t="array" ref="BS338">_xll.DCEPropSectI(BF338, BH338, BG338, BI338, BG338, BI338, "ry")/10</f>
        <v>5.1070747638622018</v>
      </c>
      <c r="BT338" s="5">
        <f t="shared" si="53"/>
        <v>191.58773710218577</v>
      </c>
      <c r="BU338" s="5">
        <f t="shared" si="54"/>
        <v>634.41405301647956</v>
      </c>
      <c r="BV338" s="5">
        <f t="shared" si="55"/>
        <v>634.41405301647956</v>
      </c>
      <c r="BW338" s="71">
        <f t="shared" si="56"/>
        <v>400</v>
      </c>
      <c r="BX338" s="78" cm="1">
        <f t="array" ref="BX338">IF(BM338&gt;0,1,_xll.DCETCVN5575FactorPhi7121(BV338*SQRT($K$17/206000),"b"))</f>
        <v>1</v>
      </c>
      <c r="BY338" s="64">
        <f t="shared" si="57"/>
        <v>4.5289104216999873E-2</v>
      </c>
      <c r="BZ338" s="3" t="str">
        <f t="shared" si="58"/>
        <v>Check</v>
      </c>
    </row>
    <row r="339" spans="1:78">
      <c r="A339" s="76"/>
      <c r="B339" s="76"/>
      <c r="C339" s="125"/>
      <c r="D339" s="125"/>
      <c r="E339" s="71"/>
      <c r="F339" s="71"/>
      <c r="G339" s="71"/>
      <c r="H339" s="126"/>
      <c r="I339" s="125"/>
      <c r="J339" s="123"/>
      <c r="K339" s="12"/>
      <c r="L339" s="117"/>
      <c r="M339" s="12"/>
      <c r="N339" s="117"/>
      <c r="O339" s="117"/>
      <c r="P339" s="117"/>
      <c r="Q339" s="118"/>
      <c r="R339" s="118"/>
      <c r="S339" s="118"/>
      <c r="T339" s="12"/>
      <c r="U339" s="118"/>
      <c r="V339" s="118"/>
      <c r="W339" s="12"/>
      <c r="X339" s="119"/>
      <c r="Y339" s="120"/>
      <c r="Z339" s="12"/>
      <c r="BA339" s="70" t="s">
        <v>205</v>
      </c>
      <c r="BB339" s="71" t="s">
        <v>210</v>
      </c>
      <c r="BC339" s="71" t="s">
        <v>207</v>
      </c>
      <c r="BD339" s="71">
        <v>26</v>
      </c>
      <c r="BE339" s="71">
        <v>36</v>
      </c>
      <c r="BF339" s="71">
        <v>390</v>
      </c>
      <c r="BG339" s="71">
        <v>212</v>
      </c>
      <c r="BH339" s="71">
        <v>5</v>
      </c>
      <c r="BI339" s="71">
        <v>10</v>
      </c>
      <c r="BJ339" s="12" t="str" cm="1">
        <f t="array" ref="BJ339">_xll.Dce_Name_SectI(BF339, BF339, BG339, BH339, BI339, "x", "-", $AX$11)</f>
        <v>390x212x5x10</v>
      </c>
      <c r="BK339" s="77" cm="1">
        <f t="array" ref="BK339">_xll.DCEPropSectI(BF339, BH339, BG339, BI339, BG339, BI339, "A")/100</f>
        <v>60.9</v>
      </c>
      <c r="BL339" s="70" t="s">
        <v>217</v>
      </c>
      <c r="BM339" s="70">
        <v>57.920235383121124</v>
      </c>
      <c r="BN339" s="71">
        <v>0.9</v>
      </c>
      <c r="BO339" s="77">
        <f t="shared" si="51"/>
        <v>32.4</v>
      </c>
      <c r="BP339" s="71">
        <v>0.9</v>
      </c>
      <c r="BQ339" s="77">
        <f t="shared" si="52"/>
        <v>32.4</v>
      </c>
      <c r="BR339" s="77" cm="1">
        <f t="array" ref="BR339">_xll.DCEPropSectI(BF339, BH339, BG339, BI339, BG339, BI339, "rx")/10</f>
        <v>16.91131201300167</v>
      </c>
      <c r="BS339" s="77" cm="1">
        <f t="array" ref="BS339">_xll.DCEPropSectI(BF339, BH339, BG339, BI339, BG339, BI339, "ry")/10</f>
        <v>5.1070747638622018</v>
      </c>
      <c r="BT339" s="5">
        <f t="shared" si="53"/>
        <v>191.58773710218577</v>
      </c>
      <c r="BU339" s="5">
        <f t="shared" si="54"/>
        <v>634.41405301647956</v>
      </c>
      <c r="BV339" s="5">
        <f t="shared" si="55"/>
        <v>634.41405301647956</v>
      </c>
      <c r="BW339" s="71">
        <f t="shared" si="56"/>
        <v>400</v>
      </c>
      <c r="BX339" s="78" cm="1">
        <f t="array" ref="BX339">IF(BM339&gt;0,1,_xll.DCETCVN5575FactorPhi7121(BV339*SQRT($K$17/206000),"b"))</f>
        <v>1</v>
      </c>
      <c r="BY339" s="64">
        <f t="shared" si="57"/>
        <v>4.5289104216999873E-2</v>
      </c>
      <c r="BZ339" s="3" t="str">
        <f t="shared" si="58"/>
        <v>Check</v>
      </c>
    </row>
    <row r="340" spans="1:78">
      <c r="A340" s="76"/>
      <c r="B340" s="76"/>
      <c r="C340" s="125"/>
      <c r="D340" s="125"/>
      <c r="E340" s="71"/>
      <c r="F340" s="71"/>
      <c r="G340" s="71"/>
      <c r="H340" s="126"/>
      <c r="I340" s="125"/>
      <c r="J340" s="123"/>
      <c r="K340" s="12"/>
      <c r="L340" s="117"/>
      <c r="M340" s="12"/>
      <c r="N340" s="117"/>
      <c r="O340" s="117"/>
      <c r="P340" s="117"/>
      <c r="Q340" s="118"/>
      <c r="R340" s="118"/>
      <c r="S340" s="118"/>
      <c r="T340" s="12"/>
      <c r="U340" s="118"/>
      <c r="V340" s="118"/>
      <c r="W340" s="12"/>
      <c r="X340" s="119"/>
      <c r="Y340" s="120"/>
      <c r="Z340" s="12"/>
      <c r="BA340" s="70" t="s">
        <v>205</v>
      </c>
      <c r="BB340" s="71" t="s">
        <v>210</v>
      </c>
      <c r="BC340" s="71" t="s">
        <v>207</v>
      </c>
      <c r="BD340" s="71">
        <v>26.5</v>
      </c>
      <c r="BE340" s="71">
        <v>36</v>
      </c>
      <c r="BF340" s="71">
        <v>390</v>
      </c>
      <c r="BG340" s="71">
        <v>212</v>
      </c>
      <c r="BH340" s="71">
        <v>5</v>
      </c>
      <c r="BI340" s="71">
        <v>10</v>
      </c>
      <c r="BJ340" s="12" t="str" cm="1">
        <f t="array" ref="BJ340">_xll.Dce_Name_SectI(BF340, BF340, BG340, BH340, BI340, "x", "-", $AX$11)</f>
        <v>390x212x5x10</v>
      </c>
      <c r="BK340" s="77" cm="1">
        <f t="array" ref="BK340">_xll.DCEPropSectI(BF340, BH340, BG340, BI340, BG340, BI340, "A")/100</f>
        <v>60.9</v>
      </c>
      <c r="BL340" s="70" t="s">
        <v>217</v>
      </c>
      <c r="BM340" s="70">
        <v>57.920235383121124</v>
      </c>
      <c r="BN340" s="71">
        <v>0.9</v>
      </c>
      <c r="BO340" s="77">
        <f t="shared" si="51"/>
        <v>32.4</v>
      </c>
      <c r="BP340" s="71">
        <v>0.9</v>
      </c>
      <c r="BQ340" s="77">
        <f t="shared" si="52"/>
        <v>32.4</v>
      </c>
      <c r="BR340" s="77" cm="1">
        <f t="array" ref="BR340">_xll.DCEPropSectI(BF340, BH340, BG340, BI340, BG340, BI340, "rx")/10</f>
        <v>16.91131201300167</v>
      </c>
      <c r="BS340" s="77" cm="1">
        <f t="array" ref="BS340">_xll.DCEPropSectI(BF340, BH340, BG340, BI340, BG340, BI340, "ry")/10</f>
        <v>5.1070747638622018</v>
      </c>
      <c r="BT340" s="5">
        <f t="shared" si="53"/>
        <v>191.58773710218577</v>
      </c>
      <c r="BU340" s="5">
        <f t="shared" si="54"/>
        <v>634.41405301647956</v>
      </c>
      <c r="BV340" s="5">
        <f t="shared" si="55"/>
        <v>634.41405301647956</v>
      </c>
      <c r="BW340" s="71">
        <f t="shared" si="56"/>
        <v>400</v>
      </c>
      <c r="BX340" s="78" cm="1">
        <f t="array" ref="BX340">IF(BM340&gt;0,1,_xll.DCETCVN5575FactorPhi7121(BV340*SQRT($K$17/206000),"b"))</f>
        <v>1</v>
      </c>
      <c r="BY340" s="64">
        <f t="shared" si="57"/>
        <v>4.5289104216999873E-2</v>
      </c>
      <c r="BZ340" s="3" t="str">
        <f t="shared" si="58"/>
        <v>Check</v>
      </c>
    </row>
    <row r="341" spans="1:78">
      <c r="A341" s="76"/>
      <c r="B341" s="76"/>
      <c r="C341" s="125"/>
      <c r="D341" s="125"/>
      <c r="E341" s="71"/>
      <c r="F341" s="71"/>
      <c r="G341" s="71"/>
      <c r="H341" s="126"/>
      <c r="I341" s="125"/>
      <c r="J341" s="123"/>
      <c r="K341" s="12"/>
      <c r="L341" s="117"/>
      <c r="M341" s="12"/>
      <c r="N341" s="117"/>
      <c r="O341" s="117"/>
      <c r="P341" s="117"/>
      <c r="Q341" s="118"/>
      <c r="R341" s="118"/>
      <c r="S341" s="118"/>
      <c r="T341" s="12"/>
      <c r="U341" s="118"/>
      <c r="V341" s="118"/>
      <c r="W341" s="12"/>
      <c r="X341" s="119"/>
      <c r="Y341" s="120"/>
      <c r="Z341" s="12"/>
      <c r="BA341" s="70" t="s">
        <v>205</v>
      </c>
      <c r="BB341" s="71" t="s">
        <v>210</v>
      </c>
      <c r="BC341" s="71" t="s">
        <v>207</v>
      </c>
      <c r="BD341" s="71">
        <v>27</v>
      </c>
      <c r="BE341" s="71">
        <v>36</v>
      </c>
      <c r="BF341" s="71">
        <v>390</v>
      </c>
      <c r="BG341" s="71">
        <v>212</v>
      </c>
      <c r="BH341" s="71">
        <v>5</v>
      </c>
      <c r="BI341" s="71">
        <v>10</v>
      </c>
      <c r="BJ341" s="12" t="str" cm="1">
        <f t="array" ref="BJ341">_xll.Dce_Name_SectI(BF341, BF341, BG341, BH341, BI341, "x", "-", $AX$11)</f>
        <v>390x212x5x10</v>
      </c>
      <c r="BK341" s="77" cm="1">
        <f t="array" ref="BK341">_xll.DCEPropSectI(BF341, BH341, BG341, BI341, BG341, BI341, "A")/100</f>
        <v>60.9</v>
      </c>
      <c r="BL341" s="70" t="s">
        <v>217</v>
      </c>
      <c r="BM341" s="70">
        <v>57.920235383121124</v>
      </c>
      <c r="BN341" s="71">
        <v>0.9</v>
      </c>
      <c r="BO341" s="77">
        <f t="shared" si="51"/>
        <v>32.4</v>
      </c>
      <c r="BP341" s="71">
        <v>0.9</v>
      </c>
      <c r="BQ341" s="77">
        <f t="shared" si="52"/>
        <v>32.4</v>
      </c>
      <c r="BR341" s="77" cm="1">
        <f t="array" ref="BR341">_xll.DCEPropSectI(BF341, BH341, BG341, BI341, BG341, BI341, "rx")/10</f>
        <v>16.91131201300167</v>
      </c>
      <c r="BS341" s="77" cm="1">
        <f t="array" ref="BS341">_xll.DCEPropSectI(BF341, BH341, BG341, BI341, BG341, BI341, "ry")/10</f>
        <v>5.1070747638622018</v>
      </c>
      <c r="BT341" s="5">
        <f t="shared" si="53"/>
        <v>191.58773710218577</v>
      </c>
      <c r="BU341" s="5">
        <f t="shared" si="54"/>
        <v>634.41405301647956</v>
      </c>
      <c r="BV341" s="5">
        <f t="shared" si="55"/>
        <v>634.41405301647956</v>
      </c>
      <c r="BW341" s="71">
        <f t="shared" si="56"/>
        <v>400</v>
      </c>
      <c r="BX341" s="78" cm="1">
        <f t="array" ref="BX341">IF(BM341&gt;0,1,_xll.DCETCVN5575FactorPhi7121(BV341*SQRT($K$17/206000),"b"))</f>
        <v>1</v>
      </c>
      <c r="BY341" s="64">
        <f t="shared" si="57"/>
        <v>4.5289104216999873E-2</v>
      </c>
      <c r="BZ341" s="3" t="str">
        <f t="shared" si="58"/>
        <v>Check</v>
      </c>
    </row>
    <row r="342" spans="1:78">
      <c r="A342" s="76"/>
      <c r="B342" s="76"/>
      <c r="C342" s="125"/>
      <c r="D342" s="125"/>
      <c r="E342" s="71"/>
      <c r="F342" s="71"/>
      <c r="G342" s="71"/>
      <c r="H342" s="126"/>
      <c r="I342" s="125"/>
      <c r="J342" s="123"/>
      <c r="K342" s="12"/>
      <c r="L342" s="117"/>
      <c r="M342" s="12"/>
      <c r="N342" s="117"/>
      <c r="O342" s="117"/>
      <c r="P342" s="117"/>
      <c r="Q342" s="118"/>
      <c r="R342" s="118"/>
      <c r="S342" s="118"/>
      <c r="T342" s="12"/>
      <c r="U342" s="118"/>
      <c r="V342" s="118"/>
      <c r="W342" s="12"/>
      <c r="X342" s="119"/>
      <c r="Y342" s="120"/>
      <c r="Z342" s="12"/>
      <c r="BA342" s="70" t="s">
        <v>205</v>
      </c>
      <c r="BB342" s="71" t="s">
        <v>210</v>
      </c>
      <c r="BC342" s="71" t="s">
        <v>207</v>
      </c>
      <c r="BD342" s="71">
        <v>27.5</v>
      </c>
      <c r="BE342" s="71">
        <v>36</v>
      </c>
      <c r="BF342" s="71">
        <v>390</v>
      </c>
      <c r="BG342" s="71">
        <v>212</v>
      </c>
      <c r="BH342" s="71">
        <v>5</v>
      </c>
      <c r="BI342" s="71">
        <v>10</v>
      </c>
      <c r="BJ342" s="12" t="str" cm="1">
        <f t="array" ref="BJ342">_xll.Dce_Name_SectI(BF342, BF342, BG342, BH342, BI342, "x", "-", $AX$11)</f>
        <v>390x212x5x10</v>
      </c>
      <c r="BK342" s="77" cm="1">
        <f t="array" ref="BK342">_xll.DCEPropSectI(BF342, BH342, BG342, BI342, BG342, BI342, "A")/100</f>
        <v>60.9</v>
      </c>
      <c r="BL342" s="70" t="s">
        <v>217</v>
      </c>
      <c r="BM342" s="70">
        <v>57.920235383121124</v>
      </c>
      <c r="BN342" s="71">
        <v>0.9</v>
      </c>
      <c r="BO342" s="77">
        <f t="shared" si="51"/>
        <v>32.4</v>
      </c>
      <c r="BP342" s="71">
        <v>0.9</v>
      </c>
      <c r="BQ342" s="77">
        <f t="shared" si="52"/>
        <v>32.4</v>
      </c>
      <c r="BR342" s="77" cm="1">
        <f t="array" ref="BR342">_xll.DCEPropSectI(BF342, BH342, BG342, BI342, BG342, BI342, "rx")/10</f>
        <v>16.91131201300167</v>
      </c>
      <c r="BS342" s="77" cm="1">
        <f t="array" ref="BS342">_xll.DCEPropSectI(BF342, BH342, BG342, BI342, BG342, BI342, "ry")/10</f>
        <v>5.1070747638622018</v>
      </c>
      <c r="BT342" s="5">
        <f t="shared" si="53"/>
        <v>191.58773710218577</v>
      </c>
      <c r="BU342" s="5">
        <f t="shared" si="54"/>
        <v>634.41405301647956</v>
      </c>
      <c r="BV342" s="5">
        <f t="shared" si="55"/>
        <v>634.41405301647956</v>
      </c>
      <c r="BW342" s="71">
        <f t="shared" si="56"/>
        <v>400</v>
      </c>
      <c r="BX342" s="78" cm="1">
        <f t="array" ref="BX342">IF(BM342&gt;0,1,_xll.DCETCVN5575FactorPhi7121(BV342*SQRT($K$17/206000),"b"))</f>
        <v>1</v>
      </c>
      <c r="BY342" s="64">
        <f t="shared" si="57"/>
        <v>4.5289104216999873E-2</v>
      </c>
      <c r="BZ342" s="3" t="str">
        <f t="shared" si="58"/>
        <v>Check</v>
      </c>
    </row>
    <row r="343" spans="1:78">
      <c r="A343" s="76"/>
      <c r="B343" s="76"/>
      <c r="C343" s="125"/>
      <c r="D343" s="125"/>
      <c r="E343" s="71"/>
      <c r="F343" s="71"/>
      <c r="G343" s="71"/>
      <c r="H343" s="126"/>
      <c r="I343" s="125"/>
      <c r="J343" s="123"/>
      <c r="K343" s="12"/>
      <c r="L343" s="117"/>
      <c r="M343" s="12"/>
      <c r="N343" s="117"/>
      <c r="O343" s="117"/>
      <c r="P343" s="117"/>
      <c r="Q343" s="118"/>
      <c r="R343" s="118"/>
      <c r="S343" s="118"/>
      <c r="T343" s="12"/>
      <c r="U343" s="118"/>
      <c r="V343" s="118"/>
      <c r="W343" s="12"/>
      <c r="X343" s="119"/>
      <c r="Y343" s="120"/>
      <c r="Z343" s="12"/>
      <c r="BA343" s="70" t="s">
        <v>205</v>
      </c>
      <c r="BB343" s="71" t="s">
        <v>210</v>
      </c>
      <c r="BC343" s="71" t="s">
        <v>207</v>
      </c>
      <c r="BD343" s="71">
        <v>28</v>
      </c>
      <c r="BE343" s="71">
        <v>36</v>
      </c>
      <c r="BF343" s="71">
        <v>390</v>
      </c>
      <c r="BG343" s="71">
        <v>212</v>
      </c>
      <c r="BH343" s="71">
        <v>5</v>
      </c>
      <c r="BI343" s="71">
        <v>10</v>
      </c>
      <c r="BJ343" s="12" t="str" cm="1">
        <f t="array" ref="BJ343">_xll.Dce_Name_SectI(BF343, BF343, BG343, BH343, BI343, "x", "-", $AX$11)</f>
        <v>390x212x5x10</v>
      </c>
      <c r="BK343" s="77" cm="1">
        <f t="array" ref="BK343">_xll.DCEPropSectI(BF343, BH343, BG343, BI343, BG343, BI343, "A")/100</f>
        <v>60.9</v>
      </c>
      <c r="BL343" s="70" t="s">
        <v>217</v>
      </c>
      <c r="BM343" s="70">
        <v>57.920235383121124</v>
      </c>
      <c r="BN343" s="71">
        <v>0.9</v>
      </c>
      <c r="BO343" s="77">
        <f t="shared" si="51"/>
        <v>32.4</v>
      </c>
      <c r="BP343" s="71">
        <v>0.9</v>
      </c>
      <c r="BQ343" s="77">
        <f t="shared" si="52"/>
        <v>32.4</v>
      </c>
      <c r="BR343" s="77" cm="1">
        <f t="array" ref="BR343">_xll.DCEPropSectI(BF343, BH343, BG343, BI343, BG343, BI343, "rx")/10</f>
        <v>16.91131201300167</v>
      </c>
      <c r="BS343" s="77" cm="1">
        <f t="array" ref="BS343">_xll.DCEPropSectI(BF343, BH343, BG343, BI343, BG343, BI343, "ry")/10</f>
        <v>5.1070747638622018</v>
      </c>
      <c r="BT343" s="5">
        <f t="shared" si="53"/>
        <v>191.58773710218577</v>
      </c>
      <c r="BU343" s="5">
        <f t="shared" si="54"/>
        <v>634.41405301647956</v>
      </c>
      <c r="BV343" s="5">
        <f t="shared" si="55"/>
        <v>634.41405301647956</v>
      </c>
      <c r="BW343" s="71">
        <f t="shared" si="56"/>
        <v>400</v>
      </c>
      <c r="BX343" s="78" cm="1">
        <f t="array" ref="BX343">IF(BM343&gt;0,1,_xll.DCETCVN5575FactorPhi7121(BV343*SQRT($K$17/206000),"b"))</f>
        <v>1</v>
      </c>
      <c r="BY343" s="64">
        <f t="shared" si="57"/>
        <v>4.5289104216999873E-2</v>
      </c>
      <c r="BZ343" s="3" t="str">
        <f t="shared" si="58"/>
        <v>Check</v>
      </c>
    </row>
    <row r="344" spans="1:78">
      <c r="A344" s="76"/>
      <c r="B344" s="76"/>
      <c r="C344" s="125"/>
      <c r="D344" s="125"/>
      <c r="E344" s="71"/>
      <c r="F344" s="71"/>
      <c r="G344" s="71"/>
      <c r="H344" s="126"/>
      <c r="I344" s="125"/>
      <c r="J344" s="123"/>
      <c r="K344" s="12"/>
      <c r="L344" s="117"/>
      <c r="M344" s="12"/>
      <c r="N344" s="117"/>
      <c r="O344" s="117"/>
      <c r="P344" s="117"/>
      <c r="Q344" s="118"/>
      <c r="R344" s="118"/>
      <c r="S344" s="118"/>
      <c r="T344" s="12"/>
      <c r="U344" s="118"/>
      <c r="V344" s="118"/>
      <c r="W344" s="12"/>
      <c r="X344" s="119"/>
      <c r="Y344" s="120"/>
      <c r="Z344" s="12"/>
      <c r="BA344" s="70" t="s">
        <v>205</v>
      </c>
      <c r="BB344" s="71" t="s">
        <v>210</v>
      </c>
      <c r="BC344" s="71" t="s">
        <v>207</v>
      </c>
      <c r="BD344" s="71">
        <v>28.5</v>
      </c>
      <c r="BE344" s="71">
        <v>36</v>
      </c>
      <c r="BF344" s="71">
        <v>390</v>
      </c>
      <c r="BG344" s="71">
        <v>212</v>
      </c>
      <c r="BH344" s="71">
        <v>5</v>
      </c>
      <c r="BI344" s="71">
        <v>10</v>
      </c>
      <c r="BJ344" s="12" t="str" cm="1">
        <f t="array" ref="BJ344">_xll.Dce_Name_SectI(BF344, BF344, BG344, BH344, BI344, "x", "-", $AX$11)</f>
        <v>390x212x5x10</v>
      </c>
      <c r="BK344" s="77" cm="1">
        <f t="array" ref="BK344">_xll.DCEPropSectI(BF344, BH344, BG344, BI344, BG344, BI344, "A")/100</f>
        <v>60.9</v>
      </c>
      <c r="BL344" s="70" t="s">
        <v>217</v>
      </c>
      <c r="BM344" s="70">
        <v>57.920235383121124</v>
      </c>
      <c r="BN344" s="71">
        <v>0.9</v>
      </c>
      <c r="BO344" s="77">
        <f t="shared" si="51"/>
        <v>32.4</v>
      </c>
      <c r="BP344" s="71">
        <v>0.9</v>
      </c>
      <c r="BQ344" s="77">
        <f t="shared" si="52"/>
        <v>32.4</v>
      </c>
      <c r="BR344" s="77" cm="1">
        <f t="array" ref="BR344">_xll.DCEPropSectI(BF344, BH344, BG344, BI344, BG344, BI344, "rx")/10</f>
        <v>16.91131201300167</v>
      </c>
      <c r="BS344" s="77" cm="1">
        <f t="array" ref="BS344">_xll.DCEPropSectI(BF344, BH344, BG344, BI344, BG344, BI344, "ry")/10</f>
        <v>5.1070747638622018</v>
      </c>
      <c r="BT344" s="5">
        <f t="shared" si="53"/>
        <v>191.58773710218577</v>
      </c>
      <c r="BU344" s="5">
        <f t="shared" si="54"/>
        <v>634.41405301647956</v>
      </c>
      <c r="BV344" s="5">
        <f t="shared" si="55"/>
        <v>634.41405301647956</v>
      </c>
      <c r="BW344" s="71">
        <f t="shared" si="56"/>
        <v>400</v>
      </c>
      <c r="BX344" s="78" cm="1">
        <f t="array" ref="BX344">IF(BM344&gt;0,1,_xll.DCETCVN5575FactorPhi7121(BV344*SQRT($K$17/206000),"b"))</f>
        <v>1</v>
      </c>
      <c r="BY344" s="64">
        <f t="shared" si="57"/>
        <v>4.5289104216999873E-2</v>
      </c>
      <c r="BZ344" s="3" t="str">
        <f t="shared" si="58"/>
        <v>Check</v>
      </c>
    </row>
    <row r="345" spans="1:78">
      <c r="A345" s="76"/>
      <c r="B345" s="76"/>
      <c r="C345" s="125"/>
      <c r="D345" s="125"/>
      <c r="E345" s="71"/>
      <c r="F345" s="71"/>
      <c r="G345" s="71"/>
      <c r="H345" s="126"/>
      <c r="I345" s="125"/>
      <c r="J345" s="123"/>
      <c r="K345" s="12"/>
      <c r="L345" s="117"/>
      <c r="M345" s="12"/>
      <c r="N345" s="117"/>
      <c r="O345" s="117"/>
      <c r="P345" s="117"/>
      <c r="Q345" s="118"/>
      <c r="R345" s="118"/>
      <c r="S345" s="118"/>
      <c r="T345" s="12"/>
      <c r="U345" s="118"/>
      <c r="V345" s="118"/>
      <c r="W345" s="12"/>
      <c r="X345" s="119"/>
      <c r="Y345" s="120"/>
      <c r="Z345" s="12"/>
      <c r="BA345" s="70" t="s">
        <v>205</v>
      </c>
      <c r="BB345" s="71" t="s">
        <v>210</v>
      </c>
      <c r="BC345" s="71" t="s">
        <v>207</v>
      </c>
      <c r="BD345" s="71">
        <v>29</v>
      </c>
      <c r="BE345" s="71">
        <v>36</v>
      </c>
      <c r="BF345" s="71">
        <v>390</v>
      </c>
      <c r="BG345" s="71">
        <v>212</v>
      </c>
      <c r="BH345" s="71">
        <v>5</v>
      </c>
      <c r="BI345" s="71">
        <v>10</v>
      </c>
      <c r="BJ345" s="12" t="str" cm="1">
        <f t="array" ref="BJ345">_xll.Dce_Name_SectI(BF345, BF345, BG345, BH345, BI345, "x", "-", $AX$11)</f>
        <v>390x212x5x10</v>
      </c>
      <c r="BK345" s="77" cm="1">
        <f t="array" ref="BK345">_xll.DCEPropSectI(BF345, BH345, BG345, BI345, BG345, BI345, "A")/100</f>
        <v>60.9</v>
      </c>
      <c r="BL345" s="70" t="s">
        <v>217</v>
      </c>
      <c r="BM345" s="70">
        <v>57.920235383121124</v>
      </c>
      <c r="BN345" s="71">
        <v>0.9</v>
      </c>
      <c r="BO345" s="77">
        <f t="shared" si="51"/>
        <v>32.4</v>
      </c>
      <c r="BP345" s="71">
        <v>0.9</v>
      </c>
      <c r="BQ345" s="77">
        <f t="shared" si="52"/>
        <v>32.4</v>
      </c>
      <c r="BR345" s="77" cm="1">
        <f t="array" ref="BR345">_xll.DCEPropSectI(BF345, BH345, BG345, BI345, BG345, BI345, "rx")/10</f>
        <v>16.91131201300167</v>
      </c>
      <c r="BS345" s="77" cm="1">
        <f t="array" ref="BS345">_xll.DCEPropSectI(BF345, BH345, BG345, BI345, BG345, BI345, "ry")/10</f>
        <v>5.1070747638622018</v>
      </c>
      <c r="BT345" s="5">
        <f t="shared" si="53"/>
        <v>191.58773710218577</v>
      </c>
      <c r="BU345" s="5">
        <f t="shared" si="54"/>
        <v>634.41405301647956</v>
      </c>
      <c r="BV345" s="5">
        <f t="shared" si="55"/>
        <v>634.41405301647956</v>
      </c>
      <c r="BW345" s="71">
        <f t="shared" si="56"/>
        <v>400</v>
      </c>
      <c r="BX345" s="78" cm="1">
        <f t="array" ref="BX345">IF(BM345&gt;0,1,_xll.DCETCVN5575FactorPhi7121(BV345*SQRT($K$17/206000),"b"))</f>
        <v>1</v>
      </c>
      <c r="BY345" s="64">
        <f t="shared" si="57"/>
        <v>4.5289104216999873E-2</v>
      </c>
      <c r="BZ345" s="3" t="str">
        <f t="shared" si="58"/>
        <v>Check</v>
      </c>
    </row>
    <row r="346" spans="1:78">
      <c r="A346" s="76"/>
      <c r="B346" s="76"/>
      <c r="C346" s="125"/>
      <c r="D346" s="125"/>
      <c r="E346" s="71"/>
      <c r="F346" s="71"/>
      <c r="G346" s="71"/>
      <c r="H346" s="126"/>
      <c r="I346" s="125"/>
      <c r="J346" s="123"/>
      <c r="K346" s="12"/>
      <c r="L346" s="117"/>
      <c r="M346" s="12"/>
      <c r="N346" s="117"/>
      <c r="O346" s="117"/>
      <c r="P346" s="117"/>
      <c r="Q346" s="118"/>
      <c r="R346" s="118"/>
      <c r="S346" s="118"/>
      <c r="T346" s="12"/>
      <c r="U346" s="118"/>
      <c r="V346" s="118"/>
      <c r="W346" s="12"/>
      <c r="X346" s="119"/>
      <c r="Y346" s="120"/>
      <c r="Z346" s="12"/>
      <c r="BA346" s="70" t="s">
        <v>205</v>
      </c>
      <c r="BB346" s="71" t="s">
        <v>210</v>
      </c>
      <c r="BC346" s="71" t="s">
        <v>207</v>
      </c>
      <c r="BD346" s="71">
        <v>29.5</v>
      </c>
      <c r="BE346" s="71">
        <v>36</v>
      </c>
      <c r="BF346" s="71">
        <v>390</v>
      </c>
      <c r="BG346" s="71">
        <v>212</v>
      </c>
      <c r="BH346" s="71">
        <v>5</v>
      </c>
      <c r="BI346" s="71">
        <v>10</v>
      </c>
      <c r="BJ346" s="12" t="str" cm="1">
        <f t="array" ref="BJ346">_xll.Dce_Name_SectI(BF346, BF346, BG346, BH346, BI346, "x", "-", $AX$11)</f>
        <v>390x212x5x10</v>
      </c>
      <c r="BK346" s="77" cm="1">
        <f t="array" ref="BK346">_xll.DCEPropSectI(BF346, BH346, BG346, BI346, BG346, BI346, "A")/100</f>
        <v>60.9</v>
      </c>
      <c r="BL346" s="70" t="s">
        <v>217</v>
      </c>
      <c r="BM346" s="70">
        <v>57.920235383121124</v>
      </c>
      <c r="BN346" s="71">
        <v>0.9</v>
      </c>
      <c r="BO346" s="77">
        <f t="shared" si="51"/>
        <v>32.4</v>
      </c>
      <c r="BP346" s="71">
        <v>0.9</v>
      </c>
      <c r="BQ346" s="77">
        <f t="shared" si="52"/>
        <v>32.4</v>
      </c>
      <c r="BR346" s="77" cm="1">
        <f t="array" ref="BR346">_xll.DCEPropSectI(BF346, BH346, BG346, BI346, BG346, BI346, "rx")/10</f>
        <v>16.91131201300167</v>
      </c>
      <c r="BS346" s="77" cm="1">
        <f t="array" ref="BS346">_xll.DCEPropSectI(BF346, BH346, BG346, BI346, BG346, BI346, "ry")/10</f>
        <v>5.1070747638622018</v>
      </c>
      <c r="BT346" s="5">
        <f t="shared" si="53"/>
        <v>191.58773710218577</v>
      </c>
      <c r="BU346" s="5">
        <f t="shared" si="54"/>
        <v>634.41405301647956</v>
      </c>
      <c r="BV346" s="5">
        <f t="shared" si="55"/>
        <v>634.41405301647956</v>
      </c>
      <c r="BW346" s="71">
        <f t="shared" si="56"/>
        <v>400</v>
      </c>
      <c r="BX346" s="78" cm="1">
        <f t="array" ref="BX346">IF(BM346&gt;0,1,_xll.DCETCVN5575FactorPhi7121(BV346*SQRT($K$17/206000),"b"))</f>
        <v>1</v>
      </c>
      <c r="BY346" s="64">
        <f t="shared" si="57"/>
        <v>4.5289104216999873E-2</v>
      </c>
      <c r="BZ346" s="3" t="str">
        <f t="shared" si="58"/>
        <v>Check</v>
      </c>
    </row>
    <row r="347" spans="1:78">
      <c r="A347" s="76"/>
      <c r="B347" s="76"/>
      <c r="C347" s="125"/>
      <c r="D347" s="125"/>
      <c r="E347" s="71"/>
      <c r="F347" s="71"/>
      <c r="G347" s="71"/>
      <c r="H347" s="126"/>
      <c r="I347" s="125"/>
      <c r="J347" s="123"/>
      <c r="K347" s="12"/>
      <c r="L347" s="117"/>
      <c r="M347" s="12"/>
      <c r="N347" s="117"/>
      <c r="O347" s="117"/>
      <c r="P347" s="117"/>
      <c r="Q347" s="118"/>
      <c r="R347" s="118"/>
      <c r="S347" s="118"/>
      <c r="T347" s="12"/>
      <c r="U347" s="118"/>
      <c r="V347" s="118"/>
      <c r="W347" s="12"/>
      <c r="X347" s="119"/>
      <c r="Y347" s="120"/>
      <c r="Z347" s="12"/>
      <c r="BA347" s="70" t="s">
        <v>205</v>
      </c>
      <c r="BB347" s="71" t="s">
        <v>210</v>
      </c>
      <c r="BC347" s="71" t="s">
        <v>207</v>
      </c>
      <c r="BD347" s="71">
        <v>30</v>
      </c>
      <c r="BE347" s="71">
        <v>36</v>
      </c>
      <c r="BF347" s="71">
        <v>390</v>
      </c>
      <c r="BG347" s="71">
        <v>212</v>
      </c>
      <c r="BH347" s="71">
        <v>5</v>
      </c>
      <c r="BI347" s="71">
        <v>10</v>
      </c>
      <c r="BJ347" s="12" t="str" cm="1">
        <f t="array" ref="BJ347">_xll.Dce_Name_SectI(BF347, BF347, BG347, BH347, BI347, "x", "-", $AX$11)</f>
        <v>390x212x5x10</v>
      </c>
      <c r="BK347" s="77" cm="1">
        <f t="array" ref="BK347">_xll.DCEPropSectI(BF347, BH347, BG347, BI347, BG347, BI347, "A")/100</f>
        <v>60.9</v>
      </c>
      <c r="BL347" s="70" t="s">
        <v>217</v>
      </c>
      <c r="BM347" s="70">
        <v>57.920235383121124</v>
      </c>
      <c r="BN347" s="71">
        <v>0.9</v>
      </c>
      <c r="BO347" s="77">
        <f t="shared" si="51"/>
        <v>32.4</v>
      </c>
      <c r="BP347" s="71">
        <v>0.9</v>
      </c>
      <c r="BQ347" s="77">
        <f t="shared" si="52"/>
        <v>32.4</v>
      </c>
      <c r="BR347" s="77" cm="1">
        <f t="array" ref="BR347">_xll.DCEPropSectI(BF347, BH347, BG347, BI347, BG347, BI347, "rx")/10</f>
        <v>16.91131201300167</v>
      </c>
      <c r="BS347" s="77" cm="1">
        <f t="array" ref="BS347">_xll.DCEPropSectI(BF347, BH347, BG347, BI347, BG347, BI347, "ry")/10</f>
        <v>5.1070747638622018</v>
      </c>
      <c r="BT347" s="5">
        <f t="shared" si="53"/>
        <v>191.58773710218577</v>
      </c>
      <c r="BU347" s="5">
        <f t="shared" si="54"/>
        <v>634.41405301647956</v>
      </c>
      <c r="BV347" s="5">
        <f t="shared" si="55"/>
        <v>634.41405301647956</v>
      </c>
      <c r="BW347" s="71">
        <f t="shared" si="56"/>
        <v>400</v>
      </c>
      <c r="BX347" s="78" cm="1">
        <f t="array" ref="BX347">IF(BM347&gt;0,1,_xll.DCETCVN5575FactorPhi7121(BV347*SQRT($K$17/206000),"b"))</f>
        <v>1</v>
      </c>
      <c r="BY347" s="64">
        <f t="shared" si="57"/>
        <v>4.5289104216999873E-2</v>
      </c>
      <c r="BZ347" s="3" t="str">
        <f t="shared" si="58"/>
        <v>Check</v>
      </c>
    </row>
    <row r="348" spans="1:78">
      <c r="A348" s="76"/>
      <c r="B348" s="76"/>
      <c r="C348" s="125"/>
      <c r="D348" s="125"/>
      <c r="E348" s="71"/>
      <c r="F348" s="71"/>
      <c r="G348" s="71"/>
      <c r="H348" s="126"/>
      <c r="I348" s="125"/>
      <c r="J348" s="123"/>
      <c r="K348" s="12"/>
      <c r="L348" s="117"/>
      <c r="M348" s="12"/>
      <c r="N348" s="117"/>
      <c r="O348" s="117"/>
      <c r="P348" s="117"/>
      <c r="Q348" s="118"/>
      <c r="R348" s="118"/>
      <c r="S348" s="118"/>
      <c r="T348" s="12"/>
      <c r="U348" s="118"/>
      <c r="V348" s="118"/>
      <c r="W348" s="12"/>
      <c r="X348" s="119"/>
      <c r="Y348" s="120"/>
      <c r="Z348" s="12"/>
      <c r="BA348" s="70" t="s">
        <v>205</v>
      </c>
      <c r="BB348" s="71" t="s">
        <v>210</v>
      </c>
      <c r="BC348" s="71" t="s">
        <v>207</v>
      </c>
      <c r="BD348" s="71">
        <v>30</v>
      </c>
      <c r="BE348" s="71">
        <v>36</v>
      </c>
      <c r="BF348" s="71">
        <v>390</v>
      </c>
      <c r="BG348" s="71">
        <v>212</v>
      </c>
      <c r="BH348" s="71">
        <v>5</v>
      </c>
      <c r="BI348" s="71">
        <v>10</v>
      </c>
      <c r="BJ348" s="12" t="str" cm="1">
        <f t="array" ref="BJ348">_xll.Dce_Name_SectI(BF348, BF348, BG348, BH348, BI348, "x", "-", $AX$11)</f>
        <v>390x212x5x10</v>
      </c>
      <c r="BK348" s="77" cm="1">
        <f t="array" ref="BK348">_xll.DCEPropSectI(BF348, BH348, BG348, BI348, BG348, BI348, "A")/100</f>
        <v>60.9</v>
      </c>
      <c r="BL348" s="70" t="s">
        <v>217</v>
      </c>
      <c r="BM348" s="70">
        <v>-14.660157487875722</v>
      </c>
      <c r="BN348" s="71">
        <v>0.9</v>
      </c>
      <c r="BO348" s="77">
        <f t="shared" si="51"/>
        <v>32.4</v>
      </c>
      <c r="BP348" s="71">
        <v>0.9</v>
      </c>
      <c r="BQ348" s="77">
        <f t="shared" si="52"/>
        <v>32.4</v>
      </c>
      <c r="BR348" s="77" cm="1">
        <f t="array" ref="BR348">_xll.DCEPropSectI(BF348, BH348, BG348, BI348, BG348, BI348, "rx")/10</f>
        <v>16.91131201300167</v>
      </c>
      <c r="BS348" s="77" cm="1">
        <f t="array" ref="BS348">_xll.DCEPropSectI(BF348, BH348, BG348, BI348, BG348, BI348, "ry")/10</f>
        <v>5.1070747638622018</v>
      </c>
      <c r="BT348" s="5">
        <f t="shared" si="53"/>
        <v>191.58773710218577</v>
      </c>
      <c r="BU348" s="5">
        <f t="shared" si="54"/>
        <v>634.41405301647956</v>
      </c>
      <c r="BV348" s="5">
        <f t="shared" si="55"/>
        <v>634.41405301647956</v>
      </c>
      <c r="BW348" s="71">
        <f t="shared" si="56"/>
        <v>200</v>
      </c>
      <c r="BX348" s="78" cm="1">
        <f t="array" ref="BX348">IF(BM348&gt;0,1,_xll.DCETCVN5575FactorPhi7121(BV348*SQRT($K$17/206000),"b"))</f>
        <v>1.6670876655456978E-2</v>
      </c>
      <c r="BY348" s="64">
        <f t="shared" si="57"/>
        <v>0.68761225789961888</v>
      </c>
      <c r="BZ348" s="3" t="str">
        <f t="shared" si="58"/>
        <v>Check</v>
      </c>
    </row>
    <row r="349" spans="1:78">
      <c r="A349" s="76"/>
      <c r="B349" s="76"/>
      <c r="C349" s="125"/>
      <c r="D349" s="125"/>
      <c r="E349" s="71"/>
      <c r="F349" s="71"/>
      <c r="G349" s="71"/>
      <c r="H349" s="126"/>
      <c r="I349" s="125"/>
      <c r="J349" s="123"/>
      <c r="K349" s="12"/>
      <c r="L349" s="117"/>
      <c r="M349" s="12"/>
      <c r="N349" s="117"/>
      <c r="O349" s="117"/>
      <c r="P349" s="117"/>
      <c r="Q349" s="118"/>
      <c r="R349" s="118"/>
      <c r="S349" s="118"/>
      <c r="T349" s="12"/>
      <c r="U349" s="118"/>
      <c r="V349" s="118"/>
      <c r="W349" s="12"/>
      <c r="X349" s="119"/>
      <c r="Y349" s="120"/>
      <c r="Z349" s="12"/>
      <c r="BA349" s="70" t="s">
        <v>205</v>
      </c>
      <c r="BB349" s="71" t="s">
        <v>210</v>
      </c>
      <c r="BC349" s="71" t="s">
        <v>207</v>
      </c>
      <c r="BD349" s="71">
        <v>30.5</v>
      </c>
      <c r="BE349" s="71">
        <v>36</v>
      </c>
      <c r="BF349" s="71">
        <v>390</v>
      </c>
      <c r="BG349" s="71">
        <v>212</v>
      </c>
      <c r="BH349" s="71">
        <v>5</v>
      </c>
      <c r="BI349" s="71">
        <v>10</v>
      </c>
      <c r="BJ349" s="12" t="str" cm="1">
        <f t="array" ref="BJ349">_xll.Dce_Name_SectI(BF349, BF349, BG349, BH349, BI349, "x", "-", $AX$11)</f>
        <v>390x212x5x10</v>
      </c>
      <c r="BK349" s="77" cm="1">
        <f t="array" ref="BK349">_xll.DCEPropSectI(BF349, BH349, BG349, BI349, BG349, BI349, "A")/100</f>
        <v>60.9</v>
      </c>
      <c r="BL349" s="70" t="s">
        <v>217</v>
      </c>
      <c r="BM349" s="70">
        <v>-14.660157487875722</v>
      </c>
      <c r="BN349" s="71">
        <v>0.9</v>
      </c>
      <c r="BO349" s="77">
        <f t="shared" si="51"/>
        <v>32.4</v>
      </c>
      <c r="BP349" s="71">
        <v>0.9</v>
      </c>
      <c r="BQ349" s="77">
        <f t="shared" si="52"/>
        <v>32.4</v>
      </c>
      <c r="BR349" s="77" cm="1">
        <f t="array" ref="BR349">_xll.DCEPropSectI(BF349, BH349, BG349, BI349, BG349, BI349, "rx")/10</f>
        <v>16.91131201300167</v>
      </c>
      <c r="BS349" s="77" cm="1">
        <f t="array" ref="BS349">_xll.DCEPropSectI(BF349, BH349, BG349, BI349, BG349, BI349, "ry")/10</f>
        <v>5.1070747638622018</v>
      </c>
      <c r="BT349" s="5">
        <f t="shared" si="53"/>
        <v>191.58773710218577</v>
      </c>
      <c r="BU349" s="5">
        <f t="shared" si="54"/>
        <v>634.41405301647956</v>
      </c>
      <c r="BV349" s="5">
        <f t="shared" si="55"/>
        <v>634.41405301647956</v>
      </c>
      <c r="BW349" s="71">
        <f t="shared" si="56"/>
        <v>200</v>
      </c>
      <c r="BX349" s="78" cm="1">
        <f t="array" ref="BX349">IF(BM349&gt;0,1,_xll.DCETCVN5575FactorPhi7121(BV349*SQRT($K$17/206000),"b"))</f>
        <v>1.6670876655456978E-2</v>
      </c>
      <c r="BY349" s="64">
        <f t="shared" si="57"/>
        <v>0.68761225789961888</v>
      </c>
      <c r="BZ349" s="3" t="str">
        <f t="shared" si="58"/>
        <v>Check</v>
      </c>
    </row>
    <row r="350" spans="1:78">
      <c r="A350" s="76"/>
      <c r="B350" s="76"/>
      <c r="C350" s="125"/>
      <c r="D350" s="125"/>
      <c r="E350" s="71"/>
      <c r="F350" s="71"/>
      <c r="G350" s="71"/>
      <c r="H350" s="126"/>
      <c r="I350" s="125"/>
      <c r="J350" s="123"/>
      <c r="K350" s="12"/>
      <c r="L350" s="117"/>
      <c r="M350" s="12"/>
      <c r="N350" s="117"/>
      <c r="O350" s="117"/>
      <c r="P350" s="117"/>
      <c r="Q350" s="118"/>
      <c r="R350" s="118"/>
      <c r="S350" s="118"/>
      <c r="T350" s="12"/>
      <c r="U350" s="118"/>
      <c r="V350" s="118"/>
      <c r="W350" s="12"/>
      <c r="X350" s="119"/>
      <c r="Y350" s="120"/>
      <c r="Z350" s="12"/>
      <c r="BA350" s="70" t="s">
        <v>205</v>
      </c>
      <c r="BB350" s="71" t="s">
        <v>210</v>
      </c>
      <c r="BC350" s="71" t="s">
        <v>207</v>
      </c>
      <c r="BD350" s="71">
        <v>31</v>
      </c>
      <c r="BE350" s="71">
        <v>36</v>
      </c>
      <c r="BF350" s="71">
        <v>390</v>
      </c>
      <c r="BG350" s="71">
        <v>212</v>
      </c>
      <c r="BH350" s="71">
        <v>5</v>
      </c>
      <c r="BI350" s="71">
        <v>10</v>
      </c>
      <c r="BJ350" s="12" t="str" cm="1">
        <f t="array" ref="BJ350">_xll.Dce_Name_SectI(BF350, BF350, BG350, BH350, BI350, "x", "-", $AX$11)</f>
        <v>390x212x5x10</v>
      </c>
      <c r="BK350" s="77" cm="1">
        <f t="array" ref="BK350">_xll.DCEPropSectI(BF350, BH350, BG350, BI350, BG350, BI350, "A")/100</f>
        <v>60.9</v>
      </c>
      <c r="BL350" s="70" t="s">
        <v>217</v>
      </c>
      <c r="BM350" s="70">
        <v>-14.660157487875722</v>
      </c>
      <c r="BN350" s="71">
        <v>0.9</v>
      </c>
      <c r="BO350" s="77">
        <f t="shared" si="51"/>
        <v>32.4</v>
      </c>
      <c r="BP350" s="71">
        <v>0.9</v>
      </c>
      <c r="BQ350" s="77">
        <f t="shared" si="52"/>
        <v>32.4</v>
      </c>
      <c r="BR350" s="77" cm="1">
        <f t="array" ref="BR350">_xll.DCEPropSectI(BF350, BH350, BG350, BI350, BG350, BI350, "rx")/10</f>
        <v>16.91131201300167</v>
      </c>
      <c r="BS350" s="77" cm="1">
        <f t="array" ref="BS350">_xll.DCEPropSectI(BF350, BH350, BG350, BI350, BG350, BI350, "ry")/10</f>
        <v>5.1070747638622018</v>
      </c>
      <c r="BT350" s="5">
        <f t="shared" si="53"/>
        <v>191.58773710218577</v>
      </c>
      <c r="BU350" s="5">
        <f t="shared" si="54"/>
        <v>634.41405301647956</v>
      </c>
      <c r="BV350" s="5">
        <f t="shared" si="55"/>
        <v>634.41405301647956</v>
      </c>
      <c r="BW350" s="71">
        <f t="shared" si="56"/>
        <v>200</v>
      </c>
      <c r="BX350" s="78" cm="1">
        <f t="array" ref="BX350">IF(BM350&gt;0,1,_xll.DCETCVN5575FactorPhi7121(BV350*SQRT($K$17/206000),"b"))</f>
        <v>1.6670876655456978E-2</v>
      </c>
      <c r="BY350" s="64">
        <f t="shared" si="57"/>
        <v>0.68761225789961888</v>
      </c>
      <c r="BZ350" s="3" t="str">
        <f t="shared" si="58"/>
        <v>Check</v>
      </c>
    </row>
    <row r="351" spans="1:78">
      <c r="A351" s="76"/>
      <c r="B351" s="76"/>
      <c r="C351" s="125"/>
      <c r="D351" s="125"/>
      <c r="E351" s="71"/>
      <c r="F351" s="71"/>
      <c r="G351" s="71"/>
      <c r="H351" s="126"/>
      <c r="I351" s="125"/>
      <c r="J351" s="123"/>
      <c r="K351" s="12"/>
      <c r="L351" s="117"/>
      <c r="M351" s="12"/>
      <c r="N351" s="117"/>
      <c r="O351" s="117"/>
      <c r="P351" s="117"/>
      <c r="Q351" s="118"/>
      <c r="R351" s="118"/>
      <c r="S351" s="118"/>
      <c r="T351" s="12"/>
      <c r="U351" s="118"/>
      <c r="V351" s="118"/>
      <c r="W351" s="12"/>
      <c r="X351" s="119"/>
      <c r="Y351" s="120"/>
      <c r="Z351" s="12"/>
      <c r="BA351" s="70" t="s">
        <v>205</v>
      </c>
      <c r="BB351" s="71" t="s">
        <v>210</v>
      </c>
      <c r="BC351" s="71" t="s">
        <v>207</v>
      </c>
      <c r="BD351" s="71">
        <v>31.5</v>
      </c>
      <c r="BE351" s="71">
        <v>36</v>
      </c>
      <c r="BF351" s="71">
        <v>390</v>
      </c>
      <c r="BG351" s="71">
        <v>212</v>
      </c>
      <c r="BH351" s="71">
        <v>5</v>
      </c>
      <c r="BI351" s="71">
        <v>10</v>
      </c>
      <c r="BJ351" s="12" t="str" cm="1">
        <f t="array" ref="BJ351">_xll.Dce_Name_SectI(BF351, BF351, BG351, BH351, BI351, "x", "-", $AX$11)</f>
        <v>390x212x5x10</v>
      </c>
      <c r="BK351" s="77" cm="1">
        <f t="array" ref="BK351">_xll.DCEPropSectI(BF351, BH351, BG351, BI351, BG351, BI351, "A")/100</f>
        <v>60.9</v>
      </c>
      <c r="BL351" s="70" t="s">
        <v>217</v>
      </c>
      <c r="BM351" s="70">
        <v>-14.660157487875722</v>
      </c>
      <c r="BN351" s="71">
        <v>0.9</v>
      </c>
      <c r="BO351" s="77">
        <f t="shared" si="51"/>
        <v>32.4</v>
      </c>
      <c r="BP351" s="71">
        <v>0.9</v>
      </c>
      <c r="BQ351" s="77">
        <f t="shared" si="52"/>
        <v>32.4</v>
      </c>
      <c r="BR351" s="77" cm="1">
        <f t="array" ref="BR351">_xll.DCEPropSectI(BF351, BH351, BG351, BI351, BG351, BI351, "rx")/10</f>
        <v>16.91131201300167</v>
      </c>
      <c r="BS351" s="77" cm="1">
        <f t="array" ref="BS351">_xll.DCEPropSectI(BF351, BH351, BG351, BI351, BG351, BI351, "ry")/10</f>
        <v>5.1070747638622018</v>
      </c>
      <c r="BT351" s="5">
        <f t="shared" si="53"/>
        <v>191.58773710218577</v>
      </c>
      <c r="BU351" s="5">
        <f t="shared" si="54"/>
        <v>634.41405301647956</v>
      </c>
      <c r="BV351" s="5">
        <f t="shared" si="55"/>
        <v>634.41405301647956</v>
      </c>
      <c r="BW351" s="71">
        <f t="shared" si="56"/>
        <v>200</v>
      </c>
      <c r="BX351" s="78" cm="1">
        <f t="array" ref="BX351">IF(BM351&gt;0,1,_xll.DCETCVN5575FactorPhi7121(BV351*SQRT($K$17/206000),"b"))</f>
        <v>1.6670876655456978E-2</v>
      </c>
      <c r="BY351" s="64">
        <f t="shared" si="57"/>
        <v>0.68761225789961888</v>
      </c>
      <c r="BZ351" s="3" t="str">
        <f t="shared" si="58"/>
        <v>Check</v>
      </c>
    </row>
    <row r="352" spans="1:78">
      <c r="A352" s="76"/>
      <c r="B352" s="76"/>
      <c r="C352" s="125"/>
      <c r="D352" s="125"/>
      <c r="E352" s="71"/>
      <c r="F352" s="71"/>
      <c r="G352" s="71"/>
      <c r="H352" s="126"/>
      <c r="I352" s="125"/>
      <c r="J352" s="123"/>
      <c r="K352" s="12"/>
      <c r="L352" s="117"/>
      <c r="M352" s="12"/>
      <c r="N352" s="117"/>
      <c r="O352" s="117"/>
      <c r="P352" s="117"/>
      <c r="Q352" s="118"/>
      <c r="R352" s="118"/>
      <c r="S352" s="118"/>
      <c r="T352" s="12"/>
      <c r="U352" s="118"/>
      <c r="V352" s="118"/>
      <c r="W352" s="12"/>
      <c r="X352" s="119"/>
      <c r="Y352" s="120"/>
      <c r="Z352" s="12"/>
      <c r="BA352" s="70" t="s">
        <v>205</v>
      </c>
      <c r="BB352" s="71" t="s">
        <v>210</v>
      </c>
      <c r="BC352" s="71" t="s">
        <v>207</v>
      </c>
      <c r="BD352" s="71">
        <v>32</v>
      </c>
      <c r="BE352" s="71">
        <v>36</v>
      </c>
      <c r="BF352" s="71">
        <v>390</v>
      </c>
      <c r="BG352" s="71">
        <v>212</v>
      </c>
      <c r="BH352" s="71">
        <v>5</v>
      </c>
      <c r="BI352" s="71">
        <v>10</v>
      </c>
      <c r="BJ352" s="12" t="str" cm="1">
        <f t="array" ref="BJ352">_xll.Dce_Name_SectI(BF352, BF352, BG352, BH352, BI352, "x", "-", $AX$11)</f>
        <v>390x212x5x10</v>
      </c>
      <c r="BK352" s="77" cm="1">
        <f t="array" ref="BK352">_xll.DCEPropSectI(BF352, BH352, BG352, BI352, BG352, BI352, "A")/100</f>
        <v>60.9</v>
      </c>
      <c r="BL352" s="70" t="s">
        <v>217</v>
      </c>
      <c r="BM352" s="70">
        <v>-14.660157487875722</v>
      </c>
      <c r="BN352" s="71">
        <v>0.9</v>
      </c>
      <c r="BO352" s="77">
        <f t="shared" si="51"/>
        <v>32.4</v>
      </c>
      <c r="BP352" s="71">
        <v>0.9</v>
      </c>
      <c r="BQ352" s="77">
        <f t="shared" si="52"/>
        <v>32.4</v>
      </c>
      <c r="BR352" s="77" cm="1">
        <f t="array" ref="BR352">_xll.DCEPropSectI(BF352, BH352, BG352, BI352, BG352, BI352, "rx")/10</f>
        <v>16.91131201300167</v>
      </c>
      <c r="BS352" s="77" cm="1">
        <f t="array" ref="BS352">_xll.DCEPropSectI(BF352, BH352, BG352, BI352, BG352, BI352, "ry")/10</f>
        <v>5.1070747638622018</v>
      </c>
      <c r="BT352" s="5">
        <f t="shared" si="53"/>
        <v>191.58773710218577</v>
      </c>
      <c r="BU352" s="5">
        <f t="shared" si="54"/>
        <v>634.41405301647956</v>
      </c>
      <c r="BV352" s="5">
        <f t="shared" si="55"/>
        <v>634.41405301647956</v>
      </c>
      <c r="BW352" s="71">
        <f t="shared" si="56"/>
        <v>200</v>
      </c>
      <c r="BX352" s="78" cm="1">
        <f t="array" ref="BX352">IF(BM352&gt;0,1,_xll.DCETCVN5575FactorPhi7121(BV352*SQRT($K$17/206000),"b"))</f>
        <v>1.6670876655456978E-2</v>
      </c>
      <c r="BY352" s="64">
        <f t="shared" si="57"/>
        <v>0.68761225789961888</v>
      </c>
      <c r="BZ352" s="3" t="str">
        <f t="shared" si="58"/>
        <v>Check</v>
      </c>
    </row>
    <row r="353" spans="1:78">
      <c r="A353" s="76"/>
      <c r="B353" s="76"/>
      <c r="C353" s="125"/>
      <c r="D353" s="125"/>
      <c r="E353" s="71"/>
      <c r="F353" s="71"/>
      <c r="G353" s="71"/>
      <c r="H353" s="126"/>
      <c r="I353" s="125"/>
      <c r="J353" s="123"/>
      <c r="K353" s="12"/>
      <c r="L353" s="117"/>
      <c r="M353" s="12"/>
      <c r="N353" s="117"/>
      <c r="O353" s="117"/>
      <c r="P353" s="117"/>
      <c r="Q353" s="118"/>
      <c r="R353" s="118"/>
      <c r="S353" s="118"/>
      <c r="T353" s="12"/>
      <c r="U353" s="118"/>
      <c r="V353" s="118"/>
      <c r="W353" s="12"/>
      <c r="X353" s="119"/>
      <c r="Y353" s="120"/>
      <c r="Z353" s="12"/>
      <c r="BA353" s="70" t="s">
        <v>205</v>
      </c>
      <c r="BB353" s="71" t="s">
        <v>210</v>
      </c>
      <c r="BC353" s="71" t="s">
        <v>207</v>
      </c>
      <c r="BD353" s="71">
        <v>32.5</v>
      </c>
      <c r="BE353" s="71">
        <v>36</v>
      </c>
      <c r="BF353" s="71">
        <v>390</v>
      </c>
      <c r="BG353" s="71">
        <v>212</v>
      </c>
      <c r="BH353" s="71">
        <v>5</v>
      </c>
      <c r="BI353" s="71">
        <v>10</v>
      </c>
      <c r="BJ353" s="12" t="str" cm="1">
        <f t="array" ref="BJ353">_xll.Dce_Name_SectI(BF353, BF353, BG353, BH353, BI353, "x", "-", $AX$11)</f>
        <v>390x212x5x10</v>
      </c>
      <c r="BK353" s="77" cm="1">
        <f t="array" ref="BK353">_xll.DCEPropSectI(BF353, BH353, BG353, BI353, BG353, BI353, "A")/100</f>
        <v>60.9</v>
      </c>
      <c r="BL353" s="70" t="s">
        <v>217</v>
      </c>
      <c r="BM353" s="70">
        <v>-14.660157487875722</v>
      </c>
      <c r="BN353" s="71">
        <v>0.9</v>
      </c>
      <c r="BO353" s="77">
        <f t="shared" si="51"/>
        <v>32.4</v>
      </c>
      <c r="BP353" s="71">
        <v>0.9</v>
      </c>
      <c r="BQ353" s="77">
        <f t="shared" si="52"/>
        <v>32.4</v>
      </c>
      <c r="BR353" s="77" cm="1">
        <f t="array" ref="BR353">_xll.DCEPropSectI(BF353, BH353, BG353, BI353, BG353, BI353, "rx")/10</f>
        <v>16.91131201300167</v>
      </c>
      <c r="BS353" s="77" cm="1">
        <f t="array" ref="BS353">_xll.DCEPropSectI(BF353, BH353, BG353, BI353, BG353, BI353, "ry")/10</f>
        <v>5.1070747638622018</v>
      </c>
      <c r="BT353" s="5">
        <f t="shared" si="53"/>
        <v>191.58773710218577</v>
      </c>
      <c r="BU353" s="5">
        <f t="shared" si="54"/>
        <v>634.41405301647956</v>
      </c>
      <c r="BV353" s="5">
        <f t="shared" si="55"/>
        <v>634.41405301647956</v>
      </c>
      <c r="BW353" s="71">
        <f t="shared" si="56"/>
        <v>200</v>
      </c>
      <c r="BX353" s="78" cm="1">
        <f t="array" ref="BX353">IF(BM353&gt;0,1,_xll.DCETCVN5575FactorPhi7121(BV353*SQRT($K$17/206000),"b"))</f>
        <v>1.6670876655456978E-2</v>
      </c>
      <c r="BY353" s="64">
        <f t="shared" si="57"/>
        <v>0.68761225789961888</v>
      </c>
      <c r="BZ353" s="3" t="str">
        <f t="shared" si="58"/>
        <v>Check</v>
      </c>
    </row>
    <row r="354" spans="1:78">
      <c r="A354" s="76"/>
      <c r="B354" s="76"/>
      <c r="C354" s="125"/>
      <c r="D354" s="125"/>
      <c r="E354" s="71"/>
      <c r="F354" s="71"/>
      <c r="G354" s="71"/>
      <c r="H354" s="126"/>
      <c r="I354" s="125"/>
      <c r="J354" s="123"/>
      <c r="K354" s="12"/>
      <c r="L354" s="117"/>
      <c r="M354" s="12"/>
      <c r="N354" s="117"/>
      <c r="O354" s="117"/>
      <c r="P354" s="117"/>
      <c r="Q354" s="118"/>
      <c r="R354" s="118"/>
      <c r="S354" s="118"/>
      <c r="T354" s="12"/>
      <c r="U354" s="118"/>
      <c r="V354" s="118"/>
      <c r="W354" s="12"/>
      <c r="X354" s="119"/>
      <c r="Y354" s="120"/>
      <c r="Z354" s="12"/>
      <c r="BA354" s="70" t="s">
        <v>205</v>
      </c>
      <c r="BB354" s="71" t="s">
        <v>210</v>
      </c>
      <c r="BC354" s="71" t="s">
        <v>207</v>
      </c>
      <c r="BD354" s="71">
        <v>33</v>
      </c>
      <c r="BE354" s="71">
        <v>36</v>
      </c>
      <c r="BF354" s="71">
        <v>390</v>
      </c>
      <c r="BG354" s="71">
        <v>212</v>
      </c>
      <c r="BH354" s="71">
        <v>5</v>
      </c>
      <c r="BI354" s="71">
        <v>10</v>
      </c>
      <c r="BJ354" s="12" t="str" cm="1">
        <f t="array" ref="BJ354">_xll.Dce_Name_SectI(BF354, BF354, BG354, BH354, BI354, "x", "-", $AX$11)</f>
        <v>390x212x5x10</v>
      </c>
      <c r="BK354" s="77" cm="1">
        <f t="array" ref="BK354">_xll.DCEPropSectI(BF354, BH354, BG354, BI354, BG354, BI354, "A")/100</f>
        <v>60.9</v>
      </c>
      <c r="BL354" s="70" t="s">
        <v>217</v>
      </c>
      <c r="BM354" s="70">
        <v>-14.660157487875722</v>
      </c>
      <c r="BN354" s="71">
        <v>0.9</v>
      </c>
      <c r="BO354" s="77">
        <f t="shared" si="51"/>
        <v>32.4</v>
      </c>
      <c r="BP354" s="71">
        <v>0.9</v>
      </c>
      <c r="BQ354" s="77">
        <f t="shared" si="52"/>
        <v>32.4</v>
      </c>
      <c r="BR354" s="77" cm="1">
        <f t="array" ref="BR354">_xll.DCEPropSectI(BF354, BH354, BG354, BI354, BG354, BI354, "rx")/10</f>
        <v>16.91131201300167</v>
      </c>
      <c r="BS354" s="77" cm="1">
        <f t="array" ref="BS354">_xll.DCEPropSectI(BF354, BH354, BG354, BI354, BG354, BI354, "ry")/10</f>
        <v>5.1070747638622018</v>
      </c>
      <c r="BT354" s="5">
        <f t="shared" si="53"/>
        <v>191.58773710218577</v>
      </c>
      <c r="BU354" s="5">
        <f t="shared" si="54"/>
        <v>634.41405301647956</v>
      </c>
      <c r="BV354" s="5">
        <f t="shared" si="55"/>
        <v>634.41405301647956</v>
      </c>
      <c r="BW354" s="71">
        <f t="shared" si="56"/>
        <v>200</v>
      </c>
      <c r="BX354" s="78" cm="1">
        <f t="array" ref="BX354">IF(BM354&gt;0,1,_xll.DCETCVN5575FactorPhi7121(BV354*SQRT($K$17/206000),"b"))</f>
        <v>1.6670876655456978E-2</v>
      </c>
      <c r="BY354" s="64">
        <f t="shared" si="57"/>
        <v>0.68761225789961888</v>
      </c>
      <c r="BZ354" s="3" t="str">
        <f t="shared" si="58"/>
        <v>Check</v>
      </c>
    </row>
    <row r="355" spans="1:78">
      <c r="A355" s="76"/>
      <c r="B355" s="76"/>
      <c r="C355" s="125"/>
      <c r="D355" s="125"/>
      <c r="E355" s="71"/>
      <c r="F355" s="71"/>
      <c r="G355" s="71"/>
      <c r="H355" s="126"/>
      <c r="I355" s="125"/>
      <c r="J355" s="123"/>
      <c r="K355" s="12"/>
      <c r="L355" s="117"/>
      <c r="M355" s="12"/>
      <c r="N355" s="117"/>
      <c r="O355" s="117"/>
      <c r="P355" s="117"/>
      <c r="Q355" s="118"/>
      <c r="R355" s="118"/>
      <c r="S355" s="118"/>
      <c r="T355" s="12"/>
      <c r="U355" s="118"/>
      <c r="V355" s="118"/>
      <c r="W355" s="12"/>
      <c r="X355" s="119"/>
      <c r="Y355" s="120"/>
      <c r="Z355" s="12"/>
      <c r="BA355" s="70" t="s">
        <v>205</v>
      </c>
      <c r="BB355" s="71" t="s">
        <v>210</v>
      </c>
      <c r="BC355" s="71" t="s">
        <v>207</v>
      </c>
      <c r="BD355" s="71">
        <v>33.5</v>
      </c>
      <c r="BE355" s="71">
        <v>36</v>
      </c>
      <c r="BF355" s="71">
        <v>390</v>
      </c>
      <c r="BG355" s="71">
        <v>212</v>
      </c>
      <c r="BH355" s="71">
        <v>5</v>
      </c>
      <c r="BI355" s="71">
        <v>10</v>
      </c>
      <c r="BJ355" s="12" t="str" cm="1">
        <f t="array" ref="BJ355">_xll.Dce_Name_SectI(BF355, BF355, BG355, BH355, BI355, "x", "-", $AX$11)</f>
        <v>390x212x5x10</v>
      </c>
      <c r="BK355" s="77" cm="1">
        <f t="array" ref="BK355">_xll.DCEPropSectI(BF355, BH355, BG355, BI355, BG355, BI355, "A")/100</f>
        <v>60.9</v>
      </c>
      <c r="BL355" s="70" t="s">
        <v>217</v>
      </c>
      <c r="BM355" s="70">
        <v>-14.660157487875722</v>
      </c>
      <c r="BN355" s="71">
        <v>0.9</v>
      </c>
      <c r="BO355" s="77">
        <f t="shared" si="51"/>
        <v>32.4</v>
      </c>
      <c r="BP355" s="71">
        <v>0.9</v>
      </c>
      <c r="BQ355" s="77">
        <f t="shared" si="52"/>
        <v>32.4</v>
      </c>
      <c r="BR355" s="77" cm="1">
        <f t="array" ref="BR355">_xll.DCEPropSectI(BF355, BH355, BG355, BI355, BG355, BI355, "rx")/10</f>
        <v>16.91131201300167</v>
      </c>
      <c r="BS355" s="77" cm="1">
        <f t="array" ref="BS355">_xll.DCEPropSectI(BF355, BH355, BG355, BI355, BG355, BI355, "ry")/10</f>
        <v>5.1070747638622018</v>
      </c>
      <c r="BT355" s="5">
        <f t="shared" si="53"/>
        <v>191.58773710218577</v>
      </c>
      <c r="BU355" s="5">
        <f t="shared" si="54"/>
        <v>634.41405301647956</v>
      </c>
      <c r="BV355" s="5">
        <f t="shared" si="55"/>
        <v>634.41405301647956</v>
      </c>
      <c r="BW355" s="71">
        <f t="shared" si="56"/>
        <v>200</v>
      </c>
      <c r="BX355" s="78" cm="1">
        <f t="array" ref="BX355">IF(BM355&gt;0,1,_xll.DCETCVN5575FactorPhi7121(BV355*SQRT($K$17/206000),"b"))</f>
        <v>1.6670876655456978E-2</v>
      </c>
      <c r="BY355" s="64">
        <f t="shared" si="57"/>
        <v>0.68761225789961888</v>
      </c>
      <c r="BZ355" s="3" t="str">
        <f t="shared" si="58"/>
        <v>Check</v>
      </c>
    </row>
    <row r="356" spans="1:78">
      <c r="A356" s="76"/>
      <c r="B356" s="76"/>
      <c r="C356" s="125"/>
      <c r="D356" s="125"/>
      <c r="E356" s="71"/>
      <c r="F356" s="71"/>
      <c r="G356" s="71"/>
      <c r="H356" s="126"/>
      <c r="I356" s="125"/>
      <c r="J356" s="123"/>
      <c r="K356" s="12"/>
      <c r="L356" s="117"/>
      <c r="M356" s="12"/>
      <c r="N356" s="117"/>
      <c r="O356" s="117"/>
      <c r="P356" s="117"/>
      <c r="Q356" s="118"/>
      <c r="R356" s="118"/>
      <c r="S356" s="118"/>
      <c r="T356" s="12"/>
      <c r="U356" s="118"/>
      <c r="V356" s="118"/>
      <c r="W356" s="12"/>
      <c r="X356" s="119"/>
      <c r="Y356" s="120"/>
      <c r="Z356" s="12"/>
      <c r="BA356" s="70" t="s">
        <v>205</v>
      </c>
      <c r="BB356" s="71" t="s">
        <v>210</v>
      </c>
      <c r="BC356" s="71" t="s">
        <v>207</v>
      </c>
      <c r="BD356" s="71">
        <v>34</v>
      </c>
      <c r="BE356" s="71">
        <v>36</v>
      </c>
      <c r="BF356" s="71">
        <v>390</v>
      </c>
      <c r="BG356" s="71">
        <v>212</v>
      </c>
      <c r="BH356" s="71">
        <v>5</v>
      </c>
      <c r="BI356" s="71">
        <v>10</v>
      </c>
      <c r="BJ356" s="12" t="str" cm="1">
        <f t="array" ref="BJ356">_xll.Dce_Name_SectI(BF356, BF356, BG356, BH356, BI356, "x", "-", $AX$11)</f>
        <v>390x212x5x10</v>
      </c>
      <c r="BK356" s="77" cm="1">
        <f t="array" ref="BK356">_xll.DCEPropSectI(BF356, BH356, BG356, BI356, BG356, BI356, "A")/100</f>
        <v>60.9</v>
      </c>
      <c r="BL356" s="70" t="s">
        <v>217</v>
      </c>
      <c r="BM356" s="70">
        <v>-14.660157487875722</v>
      </c>
      <c r="BN356" s="71">
        <v>0.9</v>
      </c>
      <c r="BO356" s="77">
        <f t="shared" si="51"/>
        <v>32.4</v>
      </c>
      <c r="BP356" s="71">
        <v>0.9</v>
      </c>
      <c r="BQ356" s="77">
        <f t="shared" si="52"/>
        <v>32.4</v>
      </c>
      <c r="BR356" s="77" cm="1">
        <f t="array" ref="BR356">_xll.DCEPropSectI(BF356, BH356, BG356, BI356, BG356, BI356, "rx")/10</f>
        <v>16.91131201300167</v>
      </c>
      <c r="BS356" s="77" cm="1">
        <f t="array" ref="BS356">_xll.DCEPropSectI(BF356, BH356, BG356, BI356, BG356, BI356, "ry")/10</f>
        <v>5.1070747638622018</v>
      </c>
      <c r="BT356" s="5">
        <f t="shared" si="53"/>
        <v>191.58773710218577</v>
      </c>
      <c r="BU356" s="5">
        <f t="shared" si="54"/>
        <v>634.41405301647956</v>
      </c>
      <c r="BV356" s="5">
        <f t="shared" si="55"/>
        <v>634.41405301647956</v>
      </c>
      <c r="BW356" s="71">
        <f t="shared" si="56"/>
        <v>200</v>
      </c>
      <c r="BX356" s="78" cm="1">
        <f t="array" ref="BX356">IF(BM356&gt;0,1,_xll.DCETCVN5575FactorPhi7121(BV356*SQRT($K$17/206000),"b"))</f>
        <v>1.6670876655456978E-2</v>
      </c>
      <c r="BY356" s="64">
        <f t="shared" si="57"/>
        <v>0.68761225789961888</v>
      </c>
      <c r="BZ356" s="3" t="str">
        <f t="shared" si="58"/>
        <v>Check</v>
      </c>
    </row>
    <row r="357" spans="1:78">
      <c r="A357" s="76"/>
      <c r="B357" s="76"/>
      <c r="C357" s="125"/>
      <c r="D357" s="125"/>
      <c r="E357" s="71"/>
      <c r="F357" s="71"/>
      <c r="G357" s="71"/>
      <c r="H357" s="126"/>
      <c r="I357" s="125"/>
      <c r="J357" s="123"/>
      <c r="K357" s="12"/>
      <c r="L357" s="117"/>
      <c r="M357" s="12"/>
      <c r="N357" s="117"/>
      <c r="O357" s="117"/>
      <c r="P357" s="117"/>
      <c r="Q357" s="118"/>
      <c r="R357" s="118"/>
      <c r="S357" s="118"/>
      <c r="T357" s="12"/>
      <c r="U357" s="118"/>
      <c r="V357" s="118"/>
      <c r="W357" s="12"/>
      <c r="X357" s="119"/>
      <c r="Y357" s="120"/>
      <c r="Z357" s="12"/>
      <c r="BA357" s="70" t="s">
        <v>205</v>
      </c>
      <c r="BB357" s="71" t="s">
        <v>210</v>
      </c>
      <c r="BC357" s="71" t="s">
        <v>207</v>
      </c>
      <c r="BD357" s="71">
        <v>34.5</v>
      </c>
      <c r="BE357" s="71">
        <v>36</v>
      </c>
      <c r="BF357" s="71">
        <v>390</v>
      </c>
      <c r="BG357" s="71">
        <v>212</v>
      </c>
      <c r="BH357" s="71">
        <v>5</v>
      </c>
      <c r="BI357" s="71">
        <v>10</v>
      </c>
      <c r="BJ357" s="12" t="str" cm="1">
        <f t="array" ref="BJ357">_xll.Dce_Name_SectI(BF357, BF357, BG357, BH357, BI357, "x", "-", $AX$11)</f>
        <v>390x212x5x10</v>
      </c>
      <c r="BK357" s="77" cm="1">
        <f t="array" ref="BK357">_xll.DCEPropSectI(BF357, BH357, BG357, BI357, BG357, BI357, "A")/100</f>
        <v>60.9</v>
      </c>
      <c r="BL357" s="70" t="s">
        <v>217</v>
      </c>
      <c r="BM357" s="70">
        <v>-14.660157487875722</v>
      </c>
      <c r="BN357" s="71">
        <v>0.9</v>
      </c>
      <c r="BO357" s="77">
        <f t="shared" si="51"/>
        <v>32.4</v>
      </c>
      <c r="BP357" s="71">
        <v>0.9</v>
      </c>
      <c r="BQ357" s="77">
        <f t="shared" si="52"/>
        <v>32.4</v>
      </c>
      <c r="BR357" s="77" cm="1">
        <f t="array" ref="BR357">_xll.DCEPropSectI(BF357, BH357, BG357, BI357, BG357, BI357, "rx")/10</f>
        <v>16.91131201300167</v>
      </c>
      <c r="BS357" s="77" cm="1">
        <f t="array" ref="BS357">_xll.DCEPropSectI(BF357, BH357, BG357, BI357, BG357, BI357, "ry")/10</f>
        <v>5.1070747638622018</v>
      </c>
      <c r="BT357" s="5">
        <f t="shared" si="53"/>
        <v>191.58773710218577</v>
      </c>
      <c r="BU357" s="5">
        <f t="shared" si="54"/>
        <v>634.41405301647956</v>
      </c>
      <c r="BV357" s="5">
        <f t="shared" si="55"/>
        <v>634.41405301647956</v>
      </c>
      <c r="BW357" s="71">
        <f t="shared" si="56"/>
        <v>200</v>
      </c>
      <c r="BX357" s="78" cm="1">
        <f t="array" ref="BX357">IF(BM357&gt;0,1,_xll.DCETCVN5575FactorPhi7121(BV357*SQRT($K$17/206000),"b"))</f>
        <v>1.6670876655456978E-2</v>
      </c>
      <c r="BY357" s="64">
        <f t="shared" si="57"/>
        <v>0.68761225789961888</v>
      </c>
      <c r="BZ357" s="3" t="str">
        <f t="shared" si="58"/>
        <v>Check</v>
      </c>
    </row>
    <row r="358" spans="1:78">
      <c r="A358" s="76"/>
      <c r="B358" s="76"/>
      <c r="C358" s="125"/>
      <c r="D358" s="125"/>
      <c r="E358" s="71"/>
      <c r="F358" s="71"/>
      <c r="G358" s="71"/>
      <c r="H358" s="126"/>
      <c r="I358" s="125"/>
      <c r="J358" s="123"/>
      <c r="K358" s="12"/>
      <c r="L358" s="117"/>
      <c r="M358" s="12"/>
      <c r="N358" s="117"/>
      <c r="O358" s="117"/>
      <c r="P358" s="117"/>
      <c r="Q358" s="118"/>
      <c r="R358" s="118"/>
      <c r="S358" s="118"/>
      <c r="T358" s="12"/>
      <c r="U358" s="118"/>
      <c r="V358" s="118"/>
      <c r="W358" s="12"/>
      <c r="X358" s="119"/>
      <c r="Y358" s="120"/>
      <c r="Z358" s="12"/>
      <c r="BA358" s="70" t="s">
        <v>205</v>
      </c>
      <c r="BB358" s="71" t="s">
        <v>210</v>
      </c>
      <c r="BC358" s="71" t="s">
        <v>207</v>
      </c>
      <c r="BD358" s="71">
        <v>35</v>
      </c>
      <c r="BE358" s="71">
        <v>36</v>
      </c>
      <c r="BF358" s="71">
        <v>390</v>
      </c>
      <c r="BG358" s="71">
        <v>212</v>
      </c>
      <c r="BH358" s="71">
        <v>5</v>
      </c>
      <c r="BI358" s="71">
        <v>10</v>
      </c>
      <c r="BJ358" s="12" t="str" cm="1">
        <f t="array" ref="BJ358">_xll.Dce_Name_SectI(BF358, BF358, BG358, BH358, BI358, "x", "-", $AX$11)</f>
        <v>390x212x5x10</v>
      </c>
      <c r="BK358" s="77" cm="1">
        <f t="array" ref="BK358">_xll.DCEPropSectI(BF358, BH358, BG358, BI358, BG358, BI358, "A")/100</f>
        <v>60.9</v>
      </c>
      <c r="BL358" s="70" t="s">
        <v>217</v>
      </c>
      <c r="BM358" s="70">
        <v>-14.660157487875722</v>
      </c>
      <c r="BN358" s="71">
        <v>0.9</v>
      </c>
      <c r="BO358" s="77">
        <f t="shared" si="51"/>
        <v>32.4</v>
      </c>
      <c r="BP358" s="71">
        <v>0.9</v>
      </c>
      <c r="BQ358" s="77">
        <f t="shared" si="52"/>
        <v>32.4</v>
      </c>
      <c r="BR358" s="77" cm="1">
        <f t="array" ref="BR358">_xll.DCEPropSectI(BF358, BH358, BG358, BI358, BG358, BI358, "rx")/10</f>
        <v>16.91131201300167</v>
      </c>
      <c r="BS358" s="77" cm="1">
        <f t="array" ref="BS358">_xll.DCEPropSectI(BF358, BH358, BG358, BI358, BG358, BI358, "ry")/10</f>
        <v>5.1070747638622018</v>
      </c>
      <c r="BT358" s="5">
        <f t="shared" si="53"/>
        <v>191.58773710218577</v>
      </c>
      <c r="BU358" s="5">
        <f t="shared" si="54"/>
        <v>634.41405301647956</v>
      </c>
      <c r="BV358" s="5">
        <f t="shared" si="55"/>
        <v>634.41405301647956</v>
      </c>
      <c r="BW358" s="71">
        <f t="shared" si="56"/>
        <v>200</v>
      </c>
      <c r="BX358" s="78" cm="1">
        <f t="array" ref="BX358">IF(BM358&gt;0,1,_xll.DCETCVN5575FactorPhi7121(BV358*SQRT($K$17/206000),"b"))</f>
        <v>1.6670876655456978E-2</v>
      </c>
      <c r="BY358" s="64">
        <f t="shared" si="57"/>
        <v>0.68761225789961888</v>
      </c>
      <c r="BZ358" s="3" t="str">
        <f t="shared" si="58"/>
        <v>Check</v>
      </c>
    </row>
    <row r="359" spans="1:78">
      <c r="A359" s="76"/>
      <c r="B359" s="76"/>
      <c r="C359" s="125"/>
      <c r="D359" s="125"/>
      <c r="E359" s="71"/>
      <c r="F359" s="71"/>
      <c r="G359" s="71"/>
      <c r="H359" s="126"/>
      <c r="I359" s="125"/>
      <c r="J359" s="123"/>
      <c r="K359" s="12"/>
      <c r="L359" s="117"/>
      <c r="M359" s="12"/>
      <c r="N359" s="117"/>
      <c r="O359" s="117"/>
      <c r="P359" s="117"/>
      <c r="Q359" s="118"/>
      <c r="R359" s="118"/>
      <c r="S359" s="118"/>
      <c r="T359" s="12"/>
      <c r="U359" s="118"/>
      <c r="V359" s="118"/>
      <c r="W359" s="12"/>
      <c r="X359" s="119"/>
      <c r="Y359" s="120"/>
      <c r="Z359" s="12"/>
      <c r="BA359" s="70" t="s">
        <v>205</v>
      </c>
      <c r="BB359" s="71" t="s">
        <v>210</v>
      </c>
      <c r="BC359" s="71" t="s">
        <v>207</v>
      </c>
      <c r="BD359" s="71">
        <v>35.5</v>
      </c>
      <c r="BE359" s="71">
        <v>36</v>
      </c>
      <c r="BF359" s="71">
        <v>390</v>
      </c>
      <c r="BG359" s="71">
        <v>212</v>
      </c>
      <c r="BH359" s="71">
        <v>5</v>
      </c>
      <c r="BI359" s="71">
        <v>10</v>
      </c>
      <c r="BJ359" s="12" t="str" cm="1">
        <f t="array" ref="BJ359">_xll.Dce_Name_SectI(BF359, BF359, BG359, BH359, BI359, "x", "-", $AX$11)</f>
        <v>390x212x5x10</v>
      </c>
      <c r="BK359" s="77" cm="1">
        <f t="array" ref="BK359">_xll.DCEPropSectI(BF359, BH359, BG359, BI359, BG359, BI359, "A")/100</f>
        <v>60.9</v>
      </c>
      <c r="BL359" s="70" t="s">
        <v>217</v>
      </c>
      <c r="BM359" s="70">
        <v>-14.660157487875722</v>
      </c>
      <c r="BN359" s="71">
        <v>0.9</v>
      </c>
      <c r="BO359" s="77">
        <f t="shared" si="51"/>
        <v>32.4</v>
      </c>
      <c r="BP359" s="71">
        <v>0.9</v>
      </c>
      <c r="BQ359" s="77">
        <f t="shared" si="52"/>
        <v>32.4</v>
      </c>
      <c r="BR359" s="77" cm="1">
        <f t="array" ref="BR359">_xll.DCEPropSectI(BF359, BH359, BG359, BI359, BG359, BI359, "rx")/10</f>
        <v>16.91131201300167</v>
      </c>
      <c r="BS359" s="77" cm="1">
        <f t="array" ref="BS359">_xll.DCEPropSectI(BF359, BH359, BG359, BI359, BG359, BI359, "ry")/10</f>
        <v>5.1070747638622018</v>
      </c>
      <c r="BT359" s="5">
        <f t="shared" si="53"/>
        <v>191.58773710218577</v>
      </c>
      <c r="BU359" s="5">
        <f t="shared" si="54"/>
        <v>634.41405301647956</v>
      </c>
      <c r="BV359" s="5">
        <f t="shared" si="55"/>
        <v>634.41405301647956</v>
      </c>
      <c r="BW359" s="71">
        <f t="shared" si="56"/>
        <v>200</v>
      </c>
      <c r="BX359" s="78" cm="1">
        <f t="array" ref="BX359">IF(BM359&gt;0,1,_xll.DCETCVN5575FactorPhi7121(BV359*SQRT($K$17/206000),"b"))</f>
        <v>1.6670876655456978E-2</v>
      </c>
      <c r="BY359" s="64">
        <f t="shared" si="57"/>
        <v>0.68761225789961888</v>
      </c>
      <c r="BZ359" s="3" t="str">
        <f t="shared" si="58"/>
        <v>Check</v>
      </c>
    </row>
    <row r="360" spans="1:78">
      <c r="A360" s="76"/>
      <c r="B360" s="76"/>
      <c r="C360" s="125"/>
      <c r="D360" s="125"/>
      <c r="E360" s="71"/>
      <c r="F360" s="71"/>
      <c r="G360" s="71"/>
      <c r="H360" s="126"/>
      <c r="I360" s="125"/>
      <c r="J360" s="123"/>
      <c r="K360" s="12"/>
      <c r="L360" s="117"/>
      <c r="M360" s="12"/>
      <c r="N360" s="117"/>
      <c r="O360" s="117"/>
      <c r="P360" s="117"/>
      <c r="Q360" s="118"/>
      <c r="R360" s="118"/>
      <c r="S360" s="118"/>
      <c r="T360" s="12"/>
      <c r="U360" s="118"/>
      <c r="V360" s="118"/>
      <c r="W360" s="12"/>
      <c r="X360" s="119"/>
      <c r="Y360" s="120"/>
      <c r="Z360" s="12"/>
      <c r="BA360" s="70" t="s">
        <v>205</v>
      </c>
      <c r="BB360" s="71" t="s">
        <v>210</v>
      </c>
      <c r="BC360" s="71" t="s">
        <v>207</v>
      </c>
      <c r="BD360" s="71">
        <v>36</v>
      </c>
      <c r="BE360" s="71">
        <v>36</v>
      </c>
      <c r="BF360" s="71">
        <v>390</v>
      </c>
      <c r="BG360" s="71">
        <v>212</v>
      </c>
      <c r="BH360" s="71">
        <v>5</v>
      </c>
      <c r="BI360" s="71">
        <v>10</v>
      </c>
      <c r="BJ360" s="12" t="str" cm="1">
        <f t="array" ref="BJ360">_xll.Dce_Name_SectI(BF360, BF360, BG360, BH360, BI360, "x", "-", $AX$11)</f>
        <v>390x212x5x10</v>
      </c>
      <c r="BK360" s="77" cm="1">
        <f t="array" ref="BK360">_xll.DCEPropSectI(BF360, BH360, BG360, BI360, BG360, BI360, "A")/100</f>
        <v>60.9</v>
      </c>
      <c r="BL360" s="70" t="s">
        <v>217</v>
      </c>
      <c r="BM360" s="70">
        <v>-14.660157487875722</v>
      </c>
      <c r="BN360" s="71">
        <v>0.9</v>
      </c>
      <c r="BO360" s="77">
        <f t="shared" si="51"/>
        <v>32.4</v>
      </c>
      <c r="BP360" s="71">
        <v>0.9</v>
      </c>
      <c r="BQ360" s="77">
        <f t="shared" si="52"/>
        <v>32.4</v>
      </c>
      <c r="BR360" s="77" cm="1">
        <f t="array" ref="BR360">_xll.DCEPropSectI(BF360, BH360, BG360, BI360, BG360, BI360, "rx")/10</f>
        <v>16.91131201300167</v>
      </c>
      <c r="BS360" s="77" cm="1">
        <f t="array" ref="BS360">_xll.DCEPropSectI(BF360, BH360, BG360, BI360, BG360, BI360, "ry")/10</f>
        <v>5.1070747638622018</v>
      </c>
      <c r="BT360" s="5">
        <f t="shared" si="53"/>
        <v>191.58773710218577</v>
      </c>
      <c r="BU360" s="5">
        <f t="shared" si="54"/>
        <v>634.41405301647956</v>
      </c>
      <c r="BV360" s="5">
        <f t="shared" si="55"/>
        <v>634.41405301647956</v>
      </c>
      <c r="BW360" s="71">
        <f t="shared" si="56"/>
        <v>200</v>
      </c>
      <c r="BX360" s="78" cm="1">
        <f t="array" ref="BX360">IF(BM360&gt;0,1,_xll.DCETCVN5575FactorPhi7121(BV360*SQRT($K$17/206000),"b"))</f>
        <v>1.6670876655456978E-2</v>
      </c>
      <c r="BY360" s="64">
        <f t="shared" si="57"/>
        <v>0.68761225789961888</v>
      </c>
      <c r="BZ360" s="3" t="str">
        <f t="shared" si="58"/>
        <v>Check</v>
      </c>
    </row>
    <row r="361" spans="1:78">
      <c r="A361" s="76"/>
      <c r="B361" s="76"/>
      <c r="C361" s="125"/>
      <c r="D361" s="125"/>
      <c r="E361" s="71"/>
      <c r="F361" s="71"/>
      <c r="G361" s="71"/>
      <c r="H361" s="126"/>
      <c r="I361" s="125"/>
      <c r="J361" s="123"/>
      <c r="K361" s="12"/>
      <c r="L361" s="117"/>
      <c r="M361" s="12"/>
      <c r="N361" s="117"/>
      <c r="O361" s="117"/>
      <c r="P361" s="117"/>
      <c r="Q361" s="118"/>
      <c r="R361" s="118"/>
      <c r="S361" s="118"/>
      <c r="T361" s="12"/>
      <c r="U361" s="118"/>
      <c r="V361" s="118"/>
      <c r="W361" s="12"/>
      <c r="X361" s="119"/>
      <c r="Y361" s="120"/>
      <c r="Z361" s="12"/>
      <c r="BA361" s="70" t="s">
        <v>205</v>
      </c>
      <c r="BB361" s="71" t="s">
        <v>210</v>
      </c>
      <c r="BC361" s="71" t="s">
        <v>207</v>
      </c>
      <c r="BD361" s="71">
        <v>0</v>
      </c>
      <c r="BE361" s="71">
        <v>36</v>
      </c>
      <c r="BF361" s="71">
        <v>390</v>
      </c>
      <c r="BG361" s="71">
        <v>212</v>
      </c>
      <c r="BH361" s="71">
        <v>5</v>
      </c>
      <c r="BI361" s="71">
        <v>10</v>
      </c>
      <c r="BJ361" s="12" t="str" cm="1">
        <f t="array" ref="BJ361">_xll.Dce_Name_SectI(BF361, BF361, BG361, BH361, BI361, "x", "-", $AX$11)</f>
        <v>390x212x5x10</v>
      </c>
      <c r="BK361" s="77" cm="1">
        <f t="array" ref="BK361">_xll.DCEPropSectI(BF361, BH361, BG361, BI361, BG361, BI361, "A")/100</f>
        <v>60.9</v>
      </c>
      <c r="BL361" s="70" t="s">
        <v>218</v>
      </c>
      <c r="BM361" s="70">
        <v>-10.112367935126713</v>
      </c>
      <c r="BN361" s="71">
        <v>0.9</v>
      </c>
      <c r="BO361" s="77">
        <f t="shared" si="51"/>
        <v>32.4</v>
      </c>
      <c r="BP361" s="71">
        <v>0.9</v>
      </c>
      <c r="BQ361" s="77">
        <f t="shared" si="52"/>
        <v>32.4</v>
      </c>
      <c r="BR361" s="77" cm="1">
        <f t="array" ref="BR361">_xll.DCEPropSectI(BF361, BH361, BG361, BI361, BG361, BI361, "rx")/10</f>
        <v>16.91131201300167</v>
      </c>
      <c r="BS361" s="77" cm="1">
        <f t="array" ref="BS361">_xll.DCEPropSectI(BF361, BH361, BG361, BI361, BG361, BI361, "ry")/10</f>
        <v>5.1070747638622018</v>
      </c>
      <c r="BT361" s="5">
        <f t="shared" si="53"/>
        <v>191.58773710218577</v>
      </c>
      <c r="BU361" s="5">
        <f t="shared" si="54"/>
        <v>634.41405301647956</v>
      </c>
      <c r="BV361" s="5">
        <f t="shared" si="55"/>
        <v>634.41405301647956</v>
      </c>
      <c r="BW361" s="71">
        <f t="shared" si="56"/>
        <v>200</v>
      </c>
      <c r="BX361" s="78" cm="1">
        <f t="array" ref="BX361">IF(BM361&gt;0,1,_xll.DCETCVN5575FactorPhi7121(BV361*SQRT($K$17/206000),"b"))</f>
        <v>1.6670876655456978E-2</v>
      </c>
      <c r="BY361" s="64">
        <f t="shared" si="57"/>
        <v>0.47430514674448709</v>
      </c>
      <c r="BZ361" s="3" t="str">
        <f t="shared" si="58"/>
        <v>Check</v>
      </c>
    </row>
    <row r="362" spans="1:78">
      <c r="A362" s="76"/>
      <c r="B362" s="76"/>
      <c r="C362" s="125"/>
      <c r="D362" s="125"/>
      <c r="E362" s="71"/>
      <c r="F362" s="71"/>
      <c r="G362" s="71"/>
      <c r="H362" s="126"/>
      <c r="I362" s="125"/>
      <c r="J362" s="123"/>
      <c r="K362" s="12"/>
      <c r="L362" s="117"/>
      <c r="M362" s="12"/>
      <c r="N362" s="117"/>
      <c r="O362" s="117"/>
      <c r="P362" s="117"/>
      <c r="Q362" s="118"/>
      <c r="R362" s="118"/>
      <c r="S362" s="118"/>
      <c r="T362" s="12"/>
      <c r="U362" s="118"/>
      <c r="V362" s="118"/>
      <c r="W362" s="12"/>
      <c r="X362" s="119"/>
      <c r="Y362" s="120"/>
      <c r="Z362" s="12"/>
      <c r="BA362" s="70" t="s">
        <v>205</v>
      </c>
      <c r="BB362" s="71" t="s">
        <v>210</v>
      </c>
      <c r="BC362" s="71" t="s">
        <v>207</v>
      </c>
      <c r="BD362" s="71">
        <v>0.3</v>
      </c>
      <c r="BE362" s="71">
        <v>36</v>
      </c>
      <c r="BF362" s="71">
        <v>390</v>
      </c>
      <c r="BG362" s="71">
        <v>212</v>
      </c>
      <c r="BH362" s="71">
        <v>5</v>
      </c>
      <c r="BI362" s="71">
        <v>10</v>
      </c>
      <c r="BJ362" s="12" t="str" cm="1">
        <f t="array" ref="BJ362">_xll.Dce_Name_SectI(BF362, BF362, BG362, BH362, BI362, "x", "-", $AX$11)</f>
        <v>390x212x5x10</v>
      </c>
      <c r="BK362" s="77" cm="1">
        <f t="array" ref="BK362">_xll.DCEPropSectI(BF362, BH362, BG362, BI362, BG362, BI362, "A")/100</f>
        <v>60.9</v>
      </c>
      <c r="BL362" s="70" t="s">
        <v>218</v>
      </c>
      <c r="BM362" s="70">
        <v>-10.112367935126713</v>
      </c>
      <c r="BN362" s="71">
        <v>0.9</v>
      </c>
      <c r="BO362" s="77">
        <f t="shared" si="51"/>
        <v>32.4</v>
      </c>
      <c r="BP362" s="71">
        <v>0.9</v>
      </c>
      <c r="BQ362" s="77">
        <f t="shared" si="52"/>
        <v>32.4</v>
      </c>
      <c r="BR362" s="77" cm="1">
        <f t="array" ref="BR362">_xll.DCEPropSectI(BF362, BH362, BG362, BI362, BG362, BI362, "rx")/10</f>
        <v>16.91131201300167</v>
      </c>
      <c r="BS362" s="77" cm="1">
        <f t="array" ref="BS362">_xll.DCEPropSectI(BF362, BH362, BG362, BI362, BG362, BI362, "ry")/10</f>
        <v>5.1070747638622018</v>
      </c>
      <c r="BT362" s="5">
        <f t="shared" si="53"/>
        <v>191.58773710218577</v>
      </c>
      <c r="BU362" s="5">
        <f t="shared" si="54"/>
        <v>634.41405301647956</v>
      </c>
      <c r="BV362" s="5">
        <f t="shared" si="55"/>
        <v>634.41405301647956</v>
      </c>
      <c r="BW362" s="71">
        <f t="shared" si="56"/>
        <v>200</v>
      </c>
      <c r="BX362" s="78" cm="1">
        <f t="array" ref="BX362">IF(BM362&gt;0,1,_xll.DCETCVN5575FactorPhi7121(BV362*SQRT($K$17/206000),"b"))</f>
        <v>1.6670876655456978E-2</v>
      </c>
      <c r="BY362" s="64">
        <f t="shared" si="57"/>
        <v>0.47430514674448709</v>
      </c>
      <c r="BZ362" s="3" t="str">
        <f t="shared" si="58"/>
        <v>Check</v>
      </c>
    </row>
    <row r="363" spans="1:78">
      <c r="A363" s="76"/>
      <c r="B363" s="76"/>
      <c r="C363" s="125"/>
      <c r="D363" s="125"/>
      <c r="E363" s="71"/>
      <c r="F363" s="71"/>
      <c r="G363" s="71"/>
      <c r="H363" s="126"/>
      <c r="I363" s="125"/>
      <c r="J363" s="123"/>
      <c r="K363" s="12"/>
      <c r="L363" s="117"/>
      <c r="M363" s="12"/>
      <c r="N363" s="117"/>
      <c r="O363" s="117"/>
      <c r="P363" s="117"/>
      <c r="Q363" s="118"/>
      <c r="R363" s="118"/>
      <c r="S363" s="118"/>
      <c r="T363" s="12"/>
      <c r="U363" s="118"/>
      <c r="V363" s="118"/>
      <c r="W363" s="12"/>
      <c r="X363" s="119"/>
      <c r="Y363" s="120"/>
      <c r="Z363" s="12"/>
      <c r="BA363" s="70" t="s">
        <v>205</v>
      </c>
      <c r="BB363" s="71" t="s">
        <v>210</v>
      </c>
      <c r="BC363" s="71" t="s">
        <v>207</v>
      </c>
      <c r="BD363" s="71">
        <v>0.6</v>
      </c>
      <c r="BE363" s="71">
        <v>36</v>
      </c>
      <c r="BF363" s="71">
        <v>390</v>
      </c>
      <c r="BG363" s="71">
        <v>212</v>
      </c>
      <c r="BH363" s="71">
        <v>5</v>
      </c>
      <c r="BI363" s="71">
        <v>10</v>
      </c>
      <c r="BJ363" s="12" t="str" cm="1">
        <f t="array" ref="BJ363">_xll.Dce_Name_SectI(BF363, BF363, BG363, BH363, BI363, "x", "-", $AX$11)</f>
        <v>390x212x5x10</v>
      </c>
      <c r="BK363" s="77" cm="1">
        <f t="array" ref="BK363">_xll.DCEPropSectI(BF363, BH363, BG363, BI363, BG363, BI363, "A")/100</f>
        <v>60.9</v>
      </c>
      <c r="BL363" s="70" t="s">
        <v>218</v>
      </c>
      <c r="BM363" s="70">
        <v>-10.112367935126713</v>
      </c>
      <c r="BN363" s="71">
        <v>0.9</v>
      </c>
      <c r="BO363" s="77">
        <f t="shared" si="51"/>
        <v>32.4</v>
      </c>
      <c r="BP363" s="71">
        <v>0.9</v>
      </c>
      <c r="BQ363" s="77">
        <f t="shared" si="52"/>
        <v>32.4</v>
      </c>
      <c r="BR363" s="77" cm="1">
        <f t="array" ref="BR363">_xll.DCEPropSectI(BF363, BH363, BG363, BI363, BG363, BI363, "rx")/10</f>
        <v>16.91131201300167</v>
      </c>
      <c r="BS363" s="77" cm="1">
        <f t="array" ref="BS363">_xll.DCEPropSectI(BF363, BH363, BG363, BI363, BG363, BI363, "ry")/10</f>
        <v>5.1070747638622018</v>
      </c>
      <c r="BT363" s="5">
        <f t="shared" si="53"/>
        <v>191.58773710218577</v>
      </c>
      <c r="BU363" s="5">
        <f t="shared" si="54"/>
        <v>634.41405301647956</v>
      </c>
      <c r="BV363" s="5">
        <f t="shared" si="55"/>
        <v>634.41405301647956</v>
      </c>
      <c r="BW363" s="71">
        <f t="shared" si="56"/>
        <v>200</v>
      </c>
      <c r="BX363" s="78" cm="1">
        <f t="array" ref="BX363">IF(BM363&gt;0,1,_xll.DCETCVN5575FactorPhi7121(BV363*SQRT($K$17/206000),"b"))</f>
        <v>1.6670876655456978E-2</v>
      </c>
      <c r="BY363" s="64">
        <f t="shared" si="57"/>
        <v>0.47430514674448709</v>
      </c>
      <c r="BZ363" s="3" t="str">
        <f t="shared" si="58"/>
        <v>Check</v>
      </c>
    </row>
    <row r="364" spans="1:78">
      <c r="A364" s="76"/>
      <c r="B364" s="76"/>
      <c r="C364" s="125"/>
      <c r="D364" s="125"/>
      <c r="E364" s="71"/>
      <c r="F364" s="71"/>
      <c r="G364" s="71"/>
      <c r="H364" s="126"/>
      <c r="I364" s="125"/>
      <c r="J364" s="123"/>
      <c r="K364" s="12"/>
      <c r="L364" s="117"/>
      <c r="M364" s="12"/>
      <c r="N364" s="117"/>
      <c r="O364" s="117"/>
      <c r="P364" s="117"/>
      <c r="Q364" s="118"/>
      <c r="R364" s="118"/>
      <c r="S364" s="118"/>
      <c r="T364" s="12"/>
      <c r="U364" s="118"/>
      <c r="V364" s="118"/>
      <c r="W364" s="12"/>
      <c r="X364" s="119"/>
      <c r="Y364" s="120"/>
      <c r="Z364" s="12"/>
      <c r="BA364" s="70" t="s">
        <v>205</v>
      </c>
      <c r="BB364" s="71" t="s">
        <v>210</v>
      </c>
      <c r="BC364" s="71" t="s">
        <v>207</v>
      </c>
      <c r="BD364" s="71">
        <v>0.6</v>
      </c>
      <c r="BE364" s="71">
        <v>36</v>
      </c>
      <c r="BF364" s="71">
        <v>390</v>
      </c>
      <c r="BG364" s="71">
        <v>212</v>
      </c>
      <c r="BH364" s="71">
        <v>5</v>
      </c>
      <c r="BI364" s="71">
        <v>10</v>
      </c>
      <c r="BJ364" s="12" t="str" cm="1">
        <f t="array" ref="BJ364">_xll.Dce_Name_SectI(BF364, BF364, BG364, BH364, BI364, "x", "-", $AX$11)</f>
        <v>390x212x5x10</v>
      </c>
      <c r="BK364" s="77" cm="1">
        <f t="array" ref="BK364">_xll.DCEPropSectI(BF364, BH364, BG364, BI364, BG364, BI364, "A")/100</f>
        <v>60.9</v>
      </c>
      <c r="BL364" s="70" t="s">
        <v>218</v>
      </c>
      <c r="BM364" s="70">
        <v>-17.773345258782655</v>
      </c>
      <c r="BN364" s="71">
        <v>0.9</v>
      </c>
      <c r="BO364" s="77">
        <f t="shared" si="51"/>
        <v>32.4</v>
      </c>
      <c r="BP364" s="71">
        <v>0.9</v>
      </c>
      <c r="BQ364" s="77">
        <f t="shared" si="52"/>
        <v>32.4</v>
      </c>
      <c r="BR364" s="77" cm="1">
        <f t="array" ref="BR364">_xll.DCEPropSectI(BF364, BH364, BG364, BI364, BG364, BI364, "rx")/10</f>
        <v>16.91131201300167</v>
      </c>
      <c r="BS364" s="77" cm="1">
        <f t="array" ref="BS364">_xll.DCEPropSectI(BF364, BH364, BG364, BI364, BG364, BI364, "ry")/10</f>
        <v>5.1070747638622018</v>
      </c>
      <c r="BT364" s="5">
        <f t="shared" si="53"/>
        <v>191.58773710218577</v>
      </c>
      <c r="BU364" s="5">
        <f t="shared" si="54"/>
        <v>634.41405301647956</v>
      </c>
      <c r="BV364" s="5">
        <f t="shared" si="55"/>
        <v>634.41405301647956</v>
      </c>
      <c r="BW364" s="71">
        <f t="shared" si="56"/>
        <v>200</v>
      </c>
      <c r="BX364" s="78" cm="1">
        <f t="array" ref="BX364">IF(BM364&gt;0,1,_xll.DCETCVN5575FactorPhi7121(BV364*SQRT($K$17/206000),"b"))</f>
        <v>1.6670876655456978E-2</v>
      </c>
      <c r="BY364" s="64">
        <f t="shared" si="57"/>
        <v>0.83363156732308008</v>
      </c>
      <c r="BZ364" s="3" t="str">
        <f t="shared" si="58"/>
        <v>Check</v>
      </c>
    </row>
    <row r="365" spans="1:78">
      <c r="A365" s="76"/>
      <c r="B365" s="76"/>
      <c r="C365" s="125"/>
      <c r="D365" s="125"/>
      <c r="E365" s="71"/>
      <c r="F365" s="71"/>
      <c r="G365" s="71"/>
      <c r="H365" s="126"/>
      <c r="I365" s="125"/>
      <c r="J365" s="123"/>
      <c r="K365" s="12"/>
      <c r="L365" s="117"/>
      <c r="M365" s="12"/>
      <c r="N365" s="117"/>
      <c r="O365" s="117"/>
      <c r="P365" s="117"/>
      <c r="Q365" s="118"/>
      <c r="R365" s="118"/>
      <c r="S365" s="118"/>
      <c r="T365" s="12"/>
      <c r="U365" s="118"/>
      <c r="V365" s="118"/>
      <c r="W365" s="12"/>
      <c r="X365" s="119"/>
      <c r="Y365" s="120"/>
      <c r="Z365" s="12"/>
      <c r="BA365" s="70" t="s">
        <v>205</v>
      </c>
      <c r="BB365" s="71" t="s">
        <v>210</v>
      </c>
      <c r="BC365" s="71" t="s">
        <v>207</v>
      </c>
      <c r="BD365" s="71">
        <v>1.0900000000000001</v>
      </c>
      <c r="BE365" s="71">
        <v>36</v>
      </c>
      <c r="BF365" s="71">
        <v>390</v>
      </c>
      <c r="BG365" s="71">
        <v>212</v>
      </c>
      <c r="BH365" s="71">
        <v>5</v>
      </c>
      <c r="BI365" s="71">
        <v>10</v>
      </c>
      <c r="BJ365" s="12" t="str" cm="1">
        <f t="array" ref="BJ365">_xll.Dce_Name_SectI(BF365, BF365, BG365, BH365, BI365, "x", "-", $AX$11)</f>
        <v>390x212x5x10</v>
      </c>
      <c r="BK365" s="77" cm="1">
        <f t="array" ref="BK365">_xll.DCEPropSectI(BF365, BH365, BG365, BI365, BG365, BI365, "A")/100</f>
        <v>60.9</v>
      </c>
      <c r="BL365" s="70" t="s">
        <v>218</v>
      </c>
      <c r="BM365" s="70">
        <v>-17.773345258782655</v>
      </c>
      <c r="BN365" s="71">
        <v>0.9</v>
      </c>
      <c r="BO365" s="77">
        <f t="shared" si="51"/>
        <v>32.4</v>
      </c>
      <c r="BP365" s="71">
        <v>0.9</v>
      </c>
      <c r="BQ365" s="77">
        <f t="shared" si="52"/>
        <v>32.4</v>
      </c>
      <c r="BR365" s="77" cm="1">
        <f t="array" ref="BR365">_xll.DCEPropSectI(BF365, BH365, BG365, BI365, BG365, BI365, "rx")/10</f>
        <v>16.91131201300167</v>
      </c>
      <c r="BS365" s="77" cm="1">
        <f t="array" ref="BS365">_xll.DCEPropSectI(BF365, BH365, BG365, BI365, BG365, BI365, "ry")/10</f>
        <v>5.1070747638622018</v>
      </c>
      <c r="BT365" s="5">
        <f t="shared" si="53"/>
        <v>191.58773710218577</v>
      </c>
      <c r="BU365" s="5">
        <f t="shared" si="54"/>
        <v>634.41405301647956</v>
      </c>
      <c r="BV365" s="5">
        <f t="shared" si="55"/>
        <v>634.41405301647956</v>
      </c>
      <c r="BW365" s="71">
        <f t="shared" si="56"/>
        <v>200</v>
      </c>
      <c r="BX365" s="78" cm="1">
        <f t="array" ref="BX365">IF(BM365&gt;0,1,_xll.DCETCVN5575FactorPhi7121(BV365*SQRT($K$17/206000),"b"))</f>
        <v>1.6670876655456978E-2</v>
      </c>
      <c r="BY365" s="64">
        <f t="shared" si="57"/>
        <v>0.83363156732308008</v>
      </c>
      <c r="BZ365" s="3" t="str">
        <f t="shared" si="58"/>
        <v>Check</v>
      </c>
    </row>
    <row r="366" spans="1:78">
      <c r="A366" s="76"/>
      <c r="B366" s="76"/>
      <c r="C366" s="125"/>
      <c r="D366" s="125"/>
      <c r="E366" s="71"/>
      <c r="F366" s="71"/>
      <c r="G366" s="71"/>
      <c r="H366" s="126"/>
      <c r="I366" s="125"/>
      <c r="J366" s="123"/>
      <c r="K366" s="12"/>
      <c r="L366" s="117"/>
      <c r="M366" s="12"/>
      <c r="N366" s="117"/>
      <c r="O366" s="117"/>
      <c r="P366" s="117"/>
      <c r="Q366" s="118"/>
      <c r="R366" s="118"/>
      <c r="S366" s="118"/>
      <c r="T366" s="12"/>
      <c r="U366" s="118"/>
      <c r="V366" s="118"/>
      <c r="W366" s="12"/>
      <c r="X366" s="119"/>
      <c r="Y366" s="120"/>
      <c r="Z366" s="12"/>
      <c r="BA366" s="70" t="s">
        <v>205</v>
      </c>
      <c r="BB366" s="71" t="s">
        <v>210</v>
      </c>
      <c r="BC366" s="71" t="s">
        <v>207</v>
      </c>
      <c r="BD366" s="71">
        <v>1.59</v>
      </c>
      <c r="BE366" s="71">
        <v>36</v>
      </c>
      <c r="BF366" s="71">
        <v>390</v>
      </c>
      <c r="BG366" s="71">
        <v>212</v>
      </c>
      <c r="BH366" s="71">
        <v>5</v>
      </c>
      <c r="BI366" s="71">
        <v>10</v>
      </c>
      <c r="BJ366" s="12" t="str" cm="1">
        <f t="array" ref="BJ366">_xll.Dce_Name_SectI(BF366, BF366, BG366, BH366, BI366, "x", "-", $AX$11)</f>
        <v>390x212x5x10</v>
      </c>
      <c r="BK366" s="77" cm="1">
        <f t="array" ref="BK366">_xll.DCEPropSectI(BF366, BH366, BG366, BI366, BG366, BI366, "A")/100</f>
        <v>60.9</v>
      </c>
      <c r="BL366" s="70" t="s">
        <v>218</v>
      </c>
      <c r="BM366" s="70">
        <v>-17.773345258782655</v>
      </c>
      <c r="BN366" s="71">
        <v>0.9</v>
      </c>
      <c r="BO366" s="77">
        <f t="shared" si="51"/>
        <v>32.4</v>
      </c>
      <c r="BP366" s="71">
        <v>0.9</v>
      </c>
      <c r="BQ366" s="77">
        <f t="shared" si="52"/>
        <v>32.4</v>
      </c>
      <c r="BR366" s="77" cm="1">
        <f t="array" ref="BR366">_xll.DCEPropSectI(BF366, BH366, BG366, BI366, BG366, BI366, "rx")/10</f>
        <v>16.91131201300167</v>
      </c>
      <c r="BS366" s="77" cm="1">
        <f t="array" ref="BS366">_xll.DCEPropSectI(BF366, BH366, BG366, BI366, BG366, BI366, "ry")/10</f>
        <v>5.1070747638622018</v>
      </c>
      <c r="BT366" s="5">
        <f t="shared" si="53"/>
        <v>191.58773710218577</v>
      </c>
      <c r="BU366" s="5">
        <f t="shared" si="54"/>
        <v>634.41405301647956</v>
      </c>
      <c r="BV366" s="5">
        <f t="shared" si="55"/>
        <v>634.41405301647956</v>
      </c>
      <c r="BW366" s="71">
        <f t="shared" si="56"/>
        <v>200</v>
      </c>
      <c r="BX366" s="78" cm="1">
        <f t="array" ref="BX366">IF(BM366&gt;0,1,_xll.DCETCVN5575FactorPhi7121(BV366*SQRT($K$17/206000),"b"))</f>
        <v>1.6670876655456978E-2</v>
      </c>
      <c r="BY366" s="64">
        <f t="shared" si="57"/>
        <v>0.83363156732308008</v>
      </c>
      <c r="BZ366" s="3" t="str">
        <f t="shared" si="58"/>
        <v>Check</v>
      </c>
    </row>
    <row r="367" spans="1:78">
      <c r="A367" s="76"/>
      <c r="B367" s="76"/>
      <c r="C367" s="125"/>
      <c r="D367" s="125"/>
      <c r="E367" s="71"/>
      <c r="F367" s="71"/>
      <c r="G367" s="71"/>
      <c r="H367" s="126"/>
      <c r="I367" s="125"/>
      <c r="J367" s="123"/>
      <c r="K367" s="12"/>
      <c r="L367" s="117"/>
      <c r="M367" s="12"/>
      <c r="N367" s="117"/>
      <c r="O367" s="117"/>
      <c r="P367" s="117"/>
      <c r="Q367" s="118"/>
      <c r="R367" s="118"/>
      <c r="S367" s="118"/>
      <c r="T367" s="12"/>
      <c r="U367" s="118"/>
      <c r="V367" s="118"/>
      <c r="W367" s="12"/>
      <c r="X367" s="119"/>
      <c r="Y367" s="120"/>
      <c r="Z367" s="12"/>
      <c r="BA367" s="70" t="s">
        <v>205</v>
      </c>
      <c r="BB367" s="71" t="s">
        <v>210</v>
      </c>
      <c r="BC367" s="71" t="s">
        <v>207</v>
      </c>
      <c r="BD367" s="71">
        <v>2.08</v>
      </c>
      <c r="BE367" s="71">
        <v>36</v>
      </c>
      <c r="BF367" s="71">
        <v>390</v>
      </c>
      <c r="BG367" s="71">
        <v>212</v>
      </c>
      <c r="BH367" s="71">
        <v>5</v>
      </c>
      <c r="BI367" s="71">
        <v>10</v>
      </c>
      <c r="BJ367" s="12" t="str" cm="1">
        <f t="array" ref="BJ367">_xll.Dce_Name_SectI(BF367, BF367, BG367, BH367, BI367, "x", "-", $AX$11)</f>
        <v>390x212x5x10</v>
      </c>
      <c r="BK367" s="77" cm="1">
        <f t="array" ref="BK367">_xll.DCEPropSectI(BF367, BH367, BG367, BI367, BG367, BI367, "A")/100</f>
        <v>60.9</v>
      </c>
      <c r="BL367" s="70" t="s">
        <v>218</v>
      </c>
      <c r="BM367" s="70">
        <v>-17.773345258782655</v>
      </c>
      <c r="BN367" s="71">
        <v>0.9</v>
      </c>
      <c r="BO367" s="77">
        <f t="shared" si="51"/>
        <v>32.4</v>
      </c>
      <c r="BP367" s="71">
        <v>0.9</v>
      </c>
      <c r="BQ367" s="77">
        <f t="shared" si="52"/>
        <v>32.4</v>
      </c>
      <c r="BR367" s="77" cm="1">
        <f t="array" ref="BR367">_xll.DCEPropSectI(BF367, BH367, BG367, BI367, BG367, BI367, "rx")/10</f>
        <v>16.91131201300167</v>
      </c>
      <c r="BS367" s="77" cm="1">
        <f t="array" ref="BS367">_xll.DCEPropSectI(BF367, BH367, BG367, BI367, BG367, BI367, "ry")/10</f>
        <v>5.1070747638622018</v>
      </c>
      <c r="BT367" s="5">
        <f t="shared" si="53"/>
        <v>191.58773710218577</v>
      </c>
      <c r="BU367" s="5">
        <f t="shared" si="54"/>
        <v>634.41405301647956</v>
      </c>
      <c r="BV367" s="5">
        <f t="shared" si="55"/>
        <v>634.41405301647956</v>
      </c>
      <c r="BW367" s="71">
        <f t="shared" si="56"/>
        <v>200</v>
      </c>
      <c r="BX367" s="78" cm="1">
        <f t="array" ref="BX367">IF(BM367&gt;0,1,_xll.DCETCVN5575FactorPhi7121(BV367*SQRT($K$17/206000),"b"))</f>
        <v>1.6670876655456978E-2</v>
      </c>
      <c r="BY367" s="64">
        <f t="shared" si="57"/>
        <v>0.83363156732308008</v>
      </c>
      <c r="BZ367" s="3" t="str">
        <f t="shared" si="58"/>
        <v>Check</v>
      </c>
    </row>
    <row r="368" spans="1:78">
      <c r="A368" s="76"/>
      <c r="B368" s="76"/>
      <c r="C368" s="125"/>
      <c r="D368" s="125"/>
      <c r="E368" s="71"/>
      <c r="F368" s="71"/>
      <c r="G368" s="71"/>
      <c r="H368" s="126"/>
      <c r="I368" s="125"/>
      <c r="J368" s="123"/>
      <c r="K368" s="12"/>
      <c r="L368" s="117"/>
      <c r="M368" s="12"/>
      <c r="N368" s="117"/>
      <c r="O368" s="117"/>
      <c r="P368" s="117"/>
      <c r="Q368" s="118"/>
      <c r="R368" s="118"/>
      <c r="S368" s="118"/>
      <c r="T368" s="12"/>
      <c r="U368" s="118"/>
      <c r="V368" s="118"/>
      <c r="W368" s="12"/>
      <c r="X368" s="119"/>
      <c r="Y368" s="120"/>
      <c r="Z368" s="12"/>
      <c r="BA368" s="70" t="s">
        <v>205</v>
      </c>
      <c r="BB368" s="71" t="s">
        <v>210</v>
      </c>
      <c r="BC368" s="71" t="s">
        <v>207</v>
      </c>
      <c r="BD368" s="71">
        <v>2.57</v>
      </c>
      <c r="BE368" s="71">
        <v>36</v>
      </c>
      <c r="BF368" s="71">
        <v>390</v>
      </c>
      <c r="BG368" s="71">
        <v>212</v>
      </c>
      <c r="BH368" s="71">
        <v>5</v>
      </c>
      <c r="BI368" s="71">
        <v>10</v>
      </c>
      <c r="BJ368" s="12" t="str" cm="1">
        <f t="array" ref="BJ368">_xll.Dce_Name_SectI(BF368, BF368, BG368, BH368, BI368, "x", "-", $AX$11)</f>
        <v>390x212x5x10</v>
      </c>
      <c r="BK368" s="77" cm="1">
        <f t="array" ref="BK368">_xll.DCEPropSectI(BF368, BH368, BG368, BI368, BG368, BI368, "A")/100</f>
        <v>60.9</v>
      </c>
      <c r="BL368" s="70" t="s">
        <v>218</v>
      </c>
      <c r="BM368" s="70">
        <v>-17.773345258782655</v>
      </c>
      <c r="BN368" s="71">
        <v>0.9</v>
      </c>
      <c r="BO368" s="77">
        <f t="shared" si="51"/>
        <v>32.4</v>
      </c>
      <c r="BP368" s="71">
        <v>0.9</v>
      </c>
      <c r="BQ368" s="77">
        <f t="shared" si="52"/>
        <v>32.4</v>
      </c>
      <c r="BR368" s="77" cm="1">
        <f t="array" ref="BR368">_xll.DCEPropSectI(BF368, BH368, BG368, BI368, BG368, BI368, "rx")/10</f>
        <v>16.91131201300167</v>
      </c>
      <c r="BS368" s="77" cm="1">
        <f t="array" ref="BS368">_xll.DCEPropSectI(BF368, BH368, BG368, BI368, BG368, BI368, "ry")/10</f>
        <v>5.1070747638622018</v>
      </c>
      <c r="BT368" s="5">
        <f t="shared" si="53"/>
        <v>191.58773710218577</v>
      </c>
      <c r="BU368" s="5">
        <f t="shared" si="54"/>
        <v>634.41405301647956</v>
      </c>
      <c r="BV368" s="5">
        <f t="shared" si="55"/>
        <v>634.41405301647956</v>
      </c>
      <c r="BW368" s="71">
        <f t="shared" si="56"/>
        <v>200</v>
      </c>
      <c r="BX368" s="78" cm="1">
        <f t="array" ref="BX368">IF(BM368&gt;0,1,_xll.DCETCVN5575FactorPhi7121(BV368*SQRT($K$17/206000),"b"))</f>
        <v>1.6670876655456978E-2</v>
      </c>
      <c r="BY368" s="64">
        <f t="shared" si="57"/>
        <v>0.83363156732308008</v>
      </c>
      <c r="BZ368" s="3" t="str">
        <f t="shared" si="58"/>
        <v>Check</v>
      </c>
    </row>
    <row r="369" spans="1:78">
      <c r="A369" s="76"/>
      <c r="B369" s="76"/>
      <c r="C369" s="125"/>
      <c r="D369" s="125"/>
      <c r="E369" s="71"/>
      <c r="F369" s="71"/>
      <c r="G369" s="71"/>
      <c r="H369" s="126"/>
      <c r="I369" s="125"/>
      <c r="J369" s="123"/>
      <c r="K369" s="12"/>
      <c r="L369" s="117"/>
      <c r="M369" s="12"/>
      <c r="N369" s="117"/>
      <c r="O369" s="117"/>
      <c r="P369" s="117"/>
      <c r="Q369" s="118"/>
      <c r="R369" s="118"/>
      <c r="S369" s="118"/>
      <c r="T369" s="12"/>
      <c r="U369" s="118"/>
      <c r="V369" s="118"/>
      <c r="W369" s="12"/>
      <c r="X369" s="119"/>
      <c r="Y369" s="120"/>
      <c r="Z369" s="12"/>
      <c r="BA369" s="70" t="s">
        <v>205</v>
      </c>
      <c r="BB369" s="71" t="s">
        <v>210</v>
      </c>
      <c r="BC369" s="71" t="s">
        <v>207</v>
      </c>
      <c r="BD369" s="71">
        <v>3.06</v>
      </c>
      <c r="BE369" s="71">
        <v>36</v>
      </c>
      <c r="BF369" s="71">
        <v>390</v>
      </c>
      <c r="BG369" s="71">
        <v>212</v>
      </c>
      <c r="BH369" s="71">
        <v>5</v>
      </c>
      <c r="BI369" s="71">
        <v>10</v>
      </c>
      <c r="BJ369" s="12" t="str" cm="1">
        <f t="array" ref="BJ369">_xll.Dce_Name_SectI(BF369, BF369, BG369, BH369, BI369, "x", "-", $AX$11)</f>
        <v>390x212x5x10</v>
      </c>
      <c r="BK369" s="77" cm="1">
        <f t="array" ref="BK369">_xll.DCEPropSectI(BF369, BH369, BG369, BI369, BG369, BI369, "A")/100</f>
        <v>60.9</v>
      </c>
      <c r="BL369" s="70" t="s">
        <v>218</v>
      </c>
      <c r="BM369" s="70">
        <v>-17.773345258782655</v>
      </c>
      <c r="BN369" s="71">
        <v>0.9</v>
      </c>
      <c r="BO369" s="77">
        <f t="shared" si="51"/>
        <v>32.4</v>
      </c>
      <c r="BP369" s="71">
        <v>0.9</v>
      </c>
      <c r="BQ369" s="77">
        <f t="shared" si="52"/>
        <v>32.4</v>
      </c>
      <c r="BR369" s="77" cm="1">
        <f t="array" ref="BR369">_xll.DCEPropSectI(BF369, BH369, BG369, BI369, BG369, BI369, "rx")/10</f>
        <v>16.91131201300167</v>
      </c>
      <c r="BS369" s="77" cm="1">
        <f t="array" ref="BS369">_xll.DCEPropSectI(BF369, BH369, BG369, BI369, BG369, BI369, "ry")/10</f>
        <v>5.1070747638622018</v>
      </c>
      <c r="BT369" s="5">
        <f t="shared" si="53"/>
        <v>191.58773710218577</v>
      </c>
      <c r="BU369" s="5">
        <f t="shared" si="54"/>
        <v>634.41405301647956</v>
      </c>
      <c r="BV369" s="5">
        <f t="shared" si="55"/>
        <v>634.41405301647956</v>
      </c>
      <c r="BW369" s="71">
        <f t="shared" si="56"/>
        <v>200</v>
      </c>
      <c r="BX369" s="78" cm="1">
        <f t="array" ref="BX369">IF(BM369&gt;0,1,_xll.DCETCVN5575FactorPhi7121(BV369*SQRT($K$17/206000),"b"))</f>
        <v>1.6670876655456978E-2</v>
      </c>
      <c r="BY369" s="64">
        <f t="shared" si="57"/>
        <v>0.83363156732308008</v>
      </c>
      <c r="BZ369" s="3" t="str">
        <f t="shared" si="58"/>
        <v>Check</v>
      </c>
    </row>
    <row r="370" spans="1:78">
      <c r="A370" s="76"/>
      <c r="B370" s="76"/>
      <c r="C370" s="125"/>
      <c r="D370" s="125"/>
      <c r="E370" s="71"/>
      <c r="F370" s="71"/>
      <c r="G370" s="71"/>
      <c r="H370" s="126"/>
      <c r="I370" s="125"/>
      <c r="J370" s="123"/>
      <c r="K370" s="12"/>
      <c r="L370" s="117"/>
      <c r="M370" s="12"/>
      <c r="N370" s="117"/>
      <c r="O370" s="117"/>
      <c r="P370" s="117"/>
      <c r="Q370" s="118"/>
      <c r="R370" s="118"/>
      <c r="S370" s="118"/>
      <c r="T370" s="12"/>
      <c r="U370" s="118"/>
      <c r="V370" s="118"/>
      <c r="W370" s="12"/>
      <c r="X370" s="119"/>
      <c r="Y370" s="120"/>
      <c r="Z370" s="12"/>
      <c r="BA370" s="70" t="s">
        <v>205</v>
      </c>
      <c r="BB370" s="71" t="s">
        <v>210</v>
      </c>
      <c r="BC370" s="71" t="s">
        <v>207</v>
      </c>
      <c r="BD370" s="71">
        <v>3.56</v>
      </c>
      <c r="BE370" s="71">
        <v>36</v>
      </c>
      <c r="BF370" s="71">
        <v>390</v>
      </c>
      <c r="BG370" s="71">
        <v>212</v>
      </c>
      <c r="BH370" s="71">
        <v>5</v>
      </c>
      <c r="BI370" s="71">
        <v>10</v>
      </c>
      <c r="BJ370" s="12" t="str" cm="1">
        <f t="array" ref="BJ370">_xll.Dce_Name_SectI(BF370, BF370, BG370, BH370, BI370, "x", "-", $AX$11)</f>
        <v>390x212x5x10</v>
      </c>
      <c r="BK370" s="77" cm="1">
        <f t="array" ref="BK370">_xll.DCEPropSectI(BF370, BH370, BG370, BI370, BG370, BI370, "A")/100</f>
        <v>60.9</v>
      </c>
      <c r="BL370" s="70" t="s">
        <v>218</v>
      </c>
      <c r="BM370" s="70">
        <v>-17.773345258782655</v>
      </c>
      <c r="BN370" s="71">
        <v>0.9</v>
      </c>
      <c r="BO370" s="77">
        <f t="shared" si="51"/>
        <v>32.4</v>
      </c>
      <c r="BP370" s="71">
        <v>0.9</v>
      </c>
      <c r="BQ370" s="77">
        <f t="shared" si="52"/>
        <v>32.4</v>
      </c>
      <c r="BR370" s="77" cm="1">
        <f t="array" ref="BR370">_xll.DCEPropSectI(BF370, BH370, BG370, BI370, BG370, BI370, "rx")/10</f>
        <v>16.91131201300167</v>
      </c>
      <c r="BS370" s="77" cm="1">
        <f t="array" ref="BS370">_xll.DCEPropSectI(BF370, BH370, BG370, BI370, BG370, BI370, "ry")/10</f>
        <v>5.1070747638622018</v>
      </c>
      <c r="BT370" s="5">
        <f t="shared" si="53"/>
        <v>191.58773710218577</v>
      </c>
      <c r="BU370" s="5">
        <f t="shared" si="54"/>
        <v>634.41405301647956</v>
      </c>
      <c r="BV370" s="5">
        <f t="shared" si="55"/>
        <v>634.41405301647956</v>
      </c>
      <c r="BW370" s="71">
        <f t="shared" si="56"/>
        <v>200</v>
      </c>
      <c r="BX370" s="78" cm="1">
        <f t="array" ref="BX370">IF(BM370&gt;0,1,_xll.DCETCVN5575FactorPhi7121(BV370*SQRT($K$17/206000),"b"))</f>
        <v>1.6670876655456978E-2</v>
      </c>
      <c r="BY370" s="64">
        <f t="shared" si="57"/>
        <v>0.83363156732308008</v>
      </c>
      <c r="BZ370" s="3" t="str">
        <f t="shared" si="58"/>
        <v>Check</v>
      </c>
    </row>
    <row r="371" spans="1:78">
      <c r="A371" s="76"/>
      <c r="B371" s="76"/>
      <c r="C371" s="125"/>
      <c r="D371" s="125"/>
      <c r="E371" s="71"/>
      <c r="F371" s="71"/>
      <c r="G371" s="71"/>
      <c r="H371" s="126"/>
      <c r="I371" s="125"/>
      <c r="J371" s="123"/>
      <c r="K371" s="12"/>
      <c r="L371" s="117"/>
      <c r="M371" s="12"/>
      <c r="N371" s="117"/>
      <c r="O371" s="117"/>
      <c r="P371" s="117"/>
      <c r="Q371" s="118"/>
      <c r="R371" s="118"/>
      <c r="S371" s="118"/>
      <c r="T371" s="12"/>
      <c r="U371" s="118"/>
      <c r="V371" s="118"/>
      <c r="W371" s="12"/>
      <c r="X371" s="119"/>
      <c r="Y371" s="120"/>
      <c r="Z371" s="12"/>
      <c r="BA371" s="70" t="s">
        <v>205</v>
      </c>
      <c r="BB371" s="71" t="s">
        <v>210</v>
      </c>
      <c r="BC371" s="71" t="s">
        <v>207</v>
      </c>
      <c r="BD371" s="71">
        <v>4.05</v>
      </c>
      <c r="BE371" s="71">
        <v>36</v>
      </c>
      <c r="BF371" s="71">
        <v>390</v>
      </c>
      <c r="BG371" s="71">
        <v>212</v>
      </c>
      <c r="BH371" s="71">
        <v>5</v>
      </c>
      <c r="BI371" s="71">
        <v>10</v>
      </c>
      <c r="BJ371" s="12" t="str" cm="1">
        <f t="array" ref="BJ371">_xll.Dce_Name_SectI(BF371, BF371, BG371, BH371, BI371, "x", "-", $AX$11)</f>
        <v>390x212x5x10</v>
      </c>
      <c r="BK371" s="77" cm="1">
        <f t="array" ref="BK371">_xll.DCEPropSectI(BF371, BH371, BG371, BI371, BG371, BI371, "A")/100</f>
        <v>60.9</v>
      </c>
      <c r="BL371" s="70" t="s">
        <v>218</v>
      </c>
      <c r="BM371" s="70">
        <v>-17.773345258782655</v>
      </c>
      <c r="BN371" s="71">
        <v>0.9</v>
      </c>
      <c r="BO371" s="77">
        <f t="shared" si="51"/>
        <v>32.4</v>
      </c>
      <c r="BP371" s="71">
        <v>0.9</v>
      </c>
      <c r="BQ371" s="77">
        <f t="shared" si="52"/>
        <v>32.4</v>
      </c>
      <c r="BR371" s="77" cm="1">
        <f t="array" ref="BR371">_xll.DCEPropSectI(BF371, BH371, BG371, BI371, BG371, BI371, "rx")/10</f>
        <v>16.91131201300167</v>
      </c>
      <c r="BS371" s="77" cm="1">
        <f t="array" ref="BS371">_xll.DCEPropSectI(BF371, BH371, BG371, BI371, BG371, BI371, "ry")/10</f>
        <v>5.1070747638622018</v>
      </c>
      <c r="BT371" s="5">
        <f t="shared" si="53"/>
        <v>191.58773710218577</v>
      </c>
      <c r="BU371" s="5">
        <f t="shared" si="54"/>
        <v>634.41405301647956</v>
      </c>
      <c r="BV371" s="5">
        <f t="shared" si="55"/>
        <v>634.41405301647956</v>
      </c>
      <c r="BW371" s="71">
        <f t="shared" si="56"/>
        <v>200</v>
      </c>
      <c r="BX371" s="78" cm="1">
        <f t="array" ref="BX371">IF(BM371&gt;0,1,_xll.DCETCVN5575FactorPhi7121(BV371*SQRT($K$17/206000),"b"))</f>
        <v>1.6670876655456978E-2</v>
      </c>
      <c r="BY371" s="64">
        <f t="shared" si="57"/>
        <v>0.83363156732308008</v>
      </c>
      <c r="BZ371" s="3" t="str">
        <f t="shared" si="58"/>
        <v>Check</v>
      </c>
    </row>
    <row r="372" spans="1:78">
      <c r="A372" s="76"/>
      <c r="B372" s="76"/>
      <c r="C372" s="125"/>
      <c r="D372" s="125"/>
      <c r="E372" s="71"/>
      <c r="F372" s="71"/>
      <c r="G372" s="71"/>
      <c r="H372" s="126"/>
      <c r="I372" s="125"/>
      <c r="J372" s="123"/>
      <c r="K372" s="12"/>
      <c r="L372" s="117"/>
      <c r="M372" s="12"/>
      <c r="N372" s="117"/>
      <c r="O372" s="117"/>
      <c r="P372" s="117"/>
      <c r="Q372" s="118"/>
      <c r="R372" s="118"/>
      <c r="S372" s="118"/>
      <c r="T372" s="12"/>
      <c r="U372" s="118"/>
      <c r="V372" s="118"/>
      <c r="W372" s="12"/>
      <c r="X372" s="119"/>
      <c r="Y372" s="120"/>
      <c r="Z372" s="12"/>
      <c r="BA372" s="70" t="s">
        <v>205</v>
      </c>
      <c r="BB372" s="71" t="s">
        <v>210</v>
      </c>
      <c r="BC372" s="71" t="s">
        <v>207</v>
      </c>
      <c r="BD372" s="71">
        <v>4.54</v>
      </c>
      <c r="BE372" s="71">
        <v>36</v>
      </c>
      <c r="BF372" s="71">
        <v>390</v>
      </c>
      <c r="BG372" s="71">
        <v>212</v>
      </c>
      <c r="BH372" s="71">
        <v>5</v>
      </c>
      <c r="BI372" s="71">
        <v>10</v>
      </c>
      <c r="BJ372" s="12" t="str" cm="1">
        <f t="array" ref="BJ372">_xll.Dce_Name_SectI(BF372, BF372, BG372, BH372, BI372, "x", "-", $AX$11)</f>
        <v>390x212x5x10</v>
      </c>
      <c r="BK372" s="77" cm="1">
        <f t="array" ref="BK372">_xll.DCEPropSectI(BF372, BH372, BG372, BI372, BG372, BI372, "A")/100</f>
        <v>60.9</v>
      </c>
      <c r="BL372" s="70" t="s">
        <v>218</v>
      </c>
      <c r="BM372" s="70">
        <v>-17.773345258782655</v>
      </c>
      <c r="BN372" s="71">
        <v>0.9</v>
      </c>
      <c r="BO372" s="77">
        <f t="shared" si="51"/>
        <v>32.4</v>
      </c>
      <c r="BP372" s="71">
        <v>0.9</v>
      </c>
      <c r="BQ372" s="77">
        <f t="shared" si="52"/>
        <v>32.4</v>
      </c>
      <c r="BR372" s="77" cm="1">
        <f t="array" ref="BR372">_xll.DCEPropSectI(BF372, BH372, BG372, BI372, BG372, BI372, "rx")/10</f>
        <v>16.91131201300167</v>
      </c>
      <c r="BS372" s="77" cm="1">
        <f t="array" ref="BS372">_xll.DCEPropSectI(BF372, BH372, BG372, BI372, BG372, BI372, "ry")/10</f>
        <v>5.1070747638622018</v>
      </c>
      <c r="BT372" s="5">
        <f t="shared" si="53"/>
        <v>191.58773710218577</v>
      </c>
      <c r="BU372" s="5">
        <f t="shared" si="54"/>
        <v>634.41405301647956</v>
      </c>
      <c r="BV372" s="5">
        <f t="shared" si="55"/>
        <v>634.41405301647956</v>
      </c>
      <c r="BW372" s="71">
        <f t="shared" si="56"/>
        <v>200</v>
      </c>
      <c r="BX372" s="78" cm="1">
        <f t="array" ref="BX372">IF(BM372&gt;0,1,_xll.DCETCVN5575FactorPhi7121(BV372*SQRT($K$17/206000),"b"))</f>
        <v>1.6670876655456978E-2</v>
      </c>
      <c r="BY372" s="64">
        <f t="shared" si="57"/>
        <v>0.83363156732308008</v>
      </c>
      <c r="BZ372" s="3" t="str">
        <f t="shared" si="58"/>
        <v>Check</v>
      </c>
    </row>
    <row r="373" spans="1:78">
      <c r="A373" s="76"/>
      <c r="B373" s="76"/>
      <c r="C373" s="125"/>
      <c r="D373" s="125"/>
      <c r="E373" s="71"/>
      <c r="F373" s="71"/>
      <c r="G373" s="71"/>
      <c r="H373" s="126"/>
      <c r="I373" s="125"/>
      <c r="J373" s="123"/>
      <c r="K373" s="12"/>
      <c r="L373" s="117"/>
      <c r="M373" s="12"/>
      <c r="N373" s="117"/>
      <c r="O373" s="117"/>
      <c r="P373" s="117"/>
      <c r="Q373" s="118"/>
      <c r="R373" s="118"/>
      <c r="S373" s="118"/>
      <c r="T373" s="12"/>
      <c r="U373" s="118"/>
      <c r="V373" s="118"/>
      <c r="W373" s="12"/>
      <c r="X373" s="119"/>
      <c r="Y373" s="120"/>
      <c r="Z373" s="12"/>
      <c r="BA373" s="70" t="s">
        <v>205</v>
      </c>
      <c r="BB373" s="71" t="s">
        <v>210</v>
      </c>
      <c r="BC373" s="71" t="s">
        <v>207</v>
      </c>
      <c r="BD373" s="71">
        <v>5.04</v>
      </c>
      <c r="BE373" s="71">
        <v>36</v>
      </c>
      <c r="BF373" s="71">
        <v>390</v>
      </c>
      <c r="BG373" s="71">
        <v>212</v>
      </c>
      <c r="BH373" s="71">
        <v>5</v>
      </c>
      <c r="BI373" s="71">
        <v>10</v>
      </c>
      <c r="BJ373" s="12" t="str" cm="1">
        <f t="array" ref="BJ373">_xll.Dce_Name_SectI(BF373, BF373, BG373, BH373, BI373, "x", "-", $AX$11)</f>
        <v>390x212x5x10</v>
      </c>
      <c r="BK373" s="77" cm="1">
        <f t="array" ref="BK373">_xll.DCEPropSectI(BF373, BH373, BG373, BI373, BG373, BI373, "A")/100</f>
        <v>60.9</v>
      </c>
      <c r="BL373" s="70" t="s">
        <v>218</v>
      </c>
      <c r="BM373" s="70">
        <v>-17.773345258782655</v>
      </c>
      <c r="BN373" s="71">
        <v>0.9</v>
      </c>
      <c r="BO373" s="77">
        <f t="shared" si="51"/>
        <v>32.4</v>
      </c>
      <c r="BP373" s="71">
        <v>0.9</v>
      </c>
      <c r="BQ373" s="77">
        <f t="shared" si="52"/>
        <v>32.4</v>
      </c>
      <c r="BR373" s="77" cm="1">
        <f t="array" ref="BR373">_xll.DCEPropSectI(BF373, BH373, BG373, BI373, BG373, BI373, "rx")/10</f>
        <v>16.91131201300167</v>
      </c>
      <c r="BS373" s="77" cm="1">
        <f t="array" ref="BS373">_xll.DCEPropSectI(BF373, BH373, BG373, BI373, BG373, BI373, "ry")/10</f>
        <v>5.1070747638622018</v>
      </c>
      <c r="BT373" s="5">
        <f t="shared" si="53"/>
        <v>191.58773710218577</v>
      </c>
      <c r="BU373" s="5">
        <f t="shared" si="54"/>
        <v>634.41405301647956</v>
      </c>
      <c r="BV373" s="5">
        <f t="shared" si="55"/>
        <v>634.41405301647956</v>
      </c>
      <c r="BW373" s="71">
        <f t="shared" si="56"/>
        <v>200</v>
      </c>
      <c r="BX373" s="78" cm="1">
        <f t="array" ref="BX373">IF(BM373&gt;0,1,_xll.DCETCVN5575FactorPhi7121(BV373*SQRT($K$17/206000),"b"))</f>
        <v>1.6670876655456978E-2</v>
      </c>
      <c r="BY373" s="64">
        <f t="shared" si="57"/>
        <v>0.83363156732308008</v>
      </c>
      <c r="BZ373" s="3" t="str">
        <f t="shared" si="58"/>
        <v>Check</v>
      </c>
    </row>
    <row r="374" spans="1:78">
      <c r="A374" s="76"/>
      <c r="B374" s="76"/>
      <c r="C374" s="125"/>
      <c r="D374" s="125"/>
      <c r="E374" s="71"/>
      <c r="F374" s="71"/>
      <c r="G374" s="71"/>
      <c r="H374" s="126"/>
      <c r="I374" s="125"/>
      <c r="J374" s="123"/>
      <c r="K374" s="12"/>
      <c r="L374" s="117"/>
      <c r="M374" s="12"/>
      <c r="N374" s="117"/>
      <c r="O374" s="117"/>
      <c r="P374" s="117"/>
      <c r="Q374" s="118"/>
      <c r="R374" s="118"/>
      <c r="S374" s="118"/>
      <c r="T374" s="12"/>
      <c r="U374" s="118"/>
      <c r="V374" s="118"/>
      <c r="W374" s="12"/>
      <c r="X374" s="119"/>
      <c r="Y374" s="120"/>
      <c r="Z374" s="12"/>
      <c r="BA374" s="70" t="s">
        <v>205</v>
      </c>
      <c r="BB374" s="71" t="s">
        <v>210</v>
      </c>
      <c r="BC374" s="71" t="s">
        <v>207</v>
      </c>
      <c r="BD374" s="71">
        <v>5.53</v>
      </c>
      <c r="BE374" s="71">
        <v>36</v>
      </c>
      <c r="BF374" s="71">
        <v>390</v>
      </c>
      <c r="BG374" s="71">
        <v>212</v>
      </c>
      <c r="BH374" s="71">
        <v>5</v>
      </c>
      <c r="BI374" s="71">
        <v>10</v>
      </c>
      <c r="BJ374" s="12" t="str" cm="1">
        <f t="array" ref="BJ374">_xll.Dce_Name_SectI(BF374, BF374, BG374, BH374, BI374, "x", "-", $AX$11)</f>
        <v>390x212x5x10</v>
      </c>
      <c r="BK374" s="77" cm="1">
        <f t="array" ref="BK374">_xll.DCEPropSectI(BF374, BH374, BG374, BI374, BG374, BI374, "A")/100</f>
        <v>60.9</v>
      </c>
      <c r="BL374" s="70" t="s">
        <v>218</v>
      </c>
      <c r="BM374" s="70">
        <v>-17.773345258782655</v>
      </c>
      <c r="BN374" s="71">
        <v>0.9</v>
      </c>
      <c r="BO374" s="77">
        <f t="shared" si="51"/>
        <v>32.4</v>
      </c>
      <c r="BP374" s="71">
        <v>0.9</v>
      </c>
      <c r="BQ374" s="77">
        <f t="shared" si="52"/>
        <v>32.4</v>
      </c>
      <c r="BR374" s="77" cm="1">
        <f t="array" ref="BR374">_xll.DCEPropSectI(BF374, BH374, BG374, BI374, BG374, BI374, "rx")/10</f>
        <v>16.91131201300167</v>
      </c>
      <c r="BS374" s="77" cm="1">
        <f t="array" ref="BS374">_xll.DCEPropSectI(BF374, BH374, BG374, BI374, BG374, BI374, "ry")/10</f>
        <v>5.1070747638622018</v>
      </c>
      <c r="BT374" s="5">
        <f t="shared" si="53"/>
        <v>191.58773710218577</v>
      </c>
      <c r="BU374" s="5">
        <f t="shared" si="54"/>
        <v>634.41405301647956</v>
      </c>
      <c r="BV374" s="5">
        <f t="shared" si="55"/>
        <v>634.41405301647956</v>
      </c>
      <c r="BW374" s="71">
        <f t="shared" si="56"/>
        <v>200</v>
      </c>
      <c r="BX374" s="78" cm="1">
        <f t="array" ref="BX374">IF(BM374&gt;0,1,_xll.DCETCVN5575FactorPhi7121(BV374*SQRT($K$17/206000),"b"))</f>
        <v>1.6670876655456978E-2</v>
      </c>
      <c r="BY374" s="64">
        <f t="shared" si="57"/>
        <v>0.83363156732308008</v>
      </c>
      <c r="BZ374" s="3" t="str">
        <f t="shared" si="58"/>
        <v>Check</v>
      </c>
    </row>
    <row r="375" spans="1:78">
      <c r="A375" s="76"/>
      <c r="B375" s="76"/>
      <c r="C375" s="125"/>
      <c r="D375" s="125"/>
      <c r="E375" s="71"/>
      <c r="F375" s="71"/>
      <c r="G375" s="71"/>
      <c r="H375" s="126"/>
      <c r="I375" s="125"/>
      <c r="J375" s="123"/>
      <c r="K375" s="12"/>
      <c r="L375" s="117"/>
      <c r="M375" s="12"/>
      <c r="N375" s="117"/>
      <c r="O375" s="117"/>
      <c r="P375" s="117"/>
      <c r="Q375" s="118"/>
      <c r="R375" s="118"/>
      <c r="S375" s="118"/>
      <c r="T375" s="12"/>
      <c r="U375" s="118"/>
      <c r="V375" s="118"/>
      <c r="W375" s="12"/>
      <c r="X375" s="119"/>
      <c r="Y375" s="120"/>
      <c r="Z375" s="12"/>
      <c r="BA375" s="70" t="s">
        <v>205</v>
      </c>
      <c r="BB375" s="71" t="s">
        <v>210</v>
      </c>
      <c r="BC375" s="71" t="s">
        <v>207</v>
      </c>
      <c r="BD375" s="71">
        <v>6.02</v>
      </c>
      <c r="BE375" s="71">
        <v>36</v>
      </c>
      <c r="BF375" s="71">
        <v>390</v>
      </c>
      <c r="BG375" s="71">
        <v>212</v>
      </c>
      <c r="BH375" s="71">
        <v>5</v>
      </c>
      <c r="BI375" s="71">
        <v>10</v>
      </c>
      <c r="BJ375" s="12" t="str" cm="1">
        <f t="array" ref="BJ375">_xll.Dce_Name_SectI(BF375, BF375, BG375, BH375, BI375, "x", "-", $AX$11)</f>
        <v>390x212x5x10</v>
      </c>
      <c r="BK375" s="77" cm="1">
        <f t="array" ref="BK375">_xll.DCEPropSectI(BF375, BH375, BG375, BI375, BG375, BI375, "A")/100</f>
        <v>60.9</v>
      </c>
      <c r="BL375" s="70" t="s">
        <v>218</v>
      </c>
      <c r="BM375" s="70">
        <v>-17.773345258782655</v>
      </c>
      <c r="BN375" s="71">
        <v>0.9</v>
      </c>
      <c r="BO375" s="77">
        <f t="shared" si="51"/>
        <v>32.4</v>
      </c>
      <c r="BP375" s="71">
        <v>0.9</v>
      </c>
      <c r="BQ375" s="77">
        <f t="shared" si="52"/>
        <v>32.4</v>
      </c>
      <c r="BR375" s="77" cm="1">
        <f t="array" ref="BR375">_xll.DCEPropSectI(BF375, BH375, BG375, BI375, BG375, BI375, "rx")/10</f>
        <v>16.91131201300167</v>
      </c>
      <c r="BS375" s="77" cm="1">
        <f t="array" ref="BS375">_xll.DCEPropSectI(BF375, BH375, BG375, BI375, BG375, BI375, "ry")/10</f>
        <v>5.1070747638622018</v>
      </c>
      <c r="BT375" s="5">
        <f t="shared" si="53"/>
        <v>191.58773710218577</v>
      </c>
      <c r="BU375" s="5">
        <f t="shared" si="54"/>
        <v>634.41405301647956</v>
      </c>
      <c r="BV375" s="5">
        <f t="shared" si="55"/>
        <v>634.41405301647956</v>
      </c>
      <c r="BW375" s="71">
        <f t="shared" si="56"/>
        <v>200</v>
      </c>
      <c r="BX375" s="78" cm="1">
        <f t="array" ref="BX375">IF(BM375&gt;0,1,_xll.DCETCVN5575FactorPhi7121(BV375*SQRT($K$17/206000),"b"))</f>
        <v>1.6670876655456978E-2</v>
      </c>
      <c r="BY375" s="64">
        <f t="shared" si="57"/>
        <v>0.83363156732308008</v>
      </c>
      <c r="BZ375" s="3" t="str">
        <f t="shared" si="58"/>
        <v>Check</v>
      </c>
    </row>
    <row r="376" spans="1:78">
      <c r="A376" s="76"/>
      <c r="B376" s="76"/>
      <c r="C376" s="125"/>
      <c r="D376" s="125"/>
      <c r="E376" s="71"/>
      <c r="F376" s="71"/>
      <c r="G376" s="71"/>
      <c r="H376" s="126"/>
      <c r="I376" s="125"/>
      <c r="J376" s="123"/>
      <c r="K376" s="12"/>
      <c r="L376" s="117"/>
      <c r="M376" s="12"/>
      <c r="N376" s="117"/>
      <c r="O376" s="117"/>
      <c r="P376" s="117"/>
      <c r="Q376" s="118"/>
      <c r="R376" s="118"/>
      <c r="S376" s="118"/>
      <c r="T376" s="12"/>
      <c r="U376" s="118"/>
      <c r="V376" s="118"/>
      <c r="W376" s="12"/>
      <c r="X376" s="119"/>
      <c r="Y376" s="120"/>
      <c r="Z376" s="12"/>
      <c r="BA376" s="70" t="s">
        <v>205</v>
      </c>
      <c r="BB376" s="71" t="s">
        <v>210</v>
      </c>
      <c r="BC376" s="71" t="s">
        <v>207</v>
      </c>
      <c r="BD376" s="71">
        <v>6.51</v>
      </c>
      <c r="BE376" s="71">
        <v>36</v>
      </c>
      <c r="BF376" s="71">
        <v>390</v>
      </c>
      <c r="BG376" s="71">
        <v>212</v>
      </c>
      <c r="BH376" s="71">
        <v>5</v>
      </c>
      <c r="BI376" s="71">
        <v>10</v>
      </c>
      <c r="BJ376" s="12" t="str" cm="1">
        <f t="array" ref="BJ376">_xll.Dce_Name_SectI(BF376, BF376, BG376, BH376, BI376, "x", "-", $AX$11)</f>
        <v>390x212x5x10</v>
      </c>
      <c r="BK376" s="77" cm="1">
        <f t="array" ref="BK376">_xll.DCEPropSectI(BF376, BH376, BG376, BI376, BG376, BI376, "A")/100</f>
        <v>60.9</v>
      </c>
      <c r="BL376" s="70" t="s">
        <v>218</v>
      </c>
      <c r="BM376" s="70">
        <v>-17.773345258782655</v>
      </c>
      <c r="BN376" s="71">
        <v>0.9</v>
      </c>
      <c r="BO376" s="77">
        <f t="shared" si="51"/>
        <v>32.4</v>
      </c>
      <c r="BP376" s="71">
        <v>0.9</v>
      </c>
      <c r="BQ376" s="77">
        <f t="shared" si="52"/>
        <v>32.4</v>
      </c>
      <c r="BR376" s="77" cm="1">
        <f t="array" ref="BR376">_xll.DCEPropSectI(BF376, BH376, BG376, BI376, BG376, BI376, "rx")/10</f>
        <v>16.91131201300167</v>
      </c>
      <c r="BS376" s="77" cm="1">
        <f t="array" ref="BS376">_xll.DCEPropSectI(BF376, BH376, BG376, BI376, BG376, BI376, "ry")/10</f>
        <v>5.1070747638622018</v>
      </c>
      <c r="BT376" s="5">
        <f t="shared" si="53"/>
        <v>191.58773710218577</v>
      </c>
      <c r="BU376" s="5">
        <f t="shared" si="54"/>
        <v>634.41405301647956</v>
      </c>
      <c r="BV376" s="5">
        <f t="shared" si="55"/>
        <v>634.41405301647956</v>
      </c>
      <c r="BW376" s="71">
        <f t="shared" si="56"/>
        <v>200</v>
      </c>
      <c r="BX376" s="78" cm="1">
        <f t="array" ref="BX376">IF(BM376&gt;0,1,_xll.DCETCVN5575FactorPhi7121(BV376*SQRT($K$17/206000),"b"))</f>
        <v>1.6670876655456978E-2</v>
      </c>
      <c r="BY376" s="64">
        <f t="shared" si="57"/>
        <v>0.83363156732308008</v>
      </c>
      <c r="BZ376" s="3" t="str">
        <f t="shared" si="58"/>
        <v>Check</v>
      </c>
    </row>
    <row r="377" spans="1:78">
      <c r="A377" s="76"/>
      <c r="B377" s="76"/>
      <c r="C377" s="125"/>
      <c r="D377" s="125"/>
      <c r="E377" s="71"/>
      <c r="F377" s="71"/>
      <c r="G377" s="71"/>
      <c r="H377" s="126"/>
      <c r="I377" s="125"/>
      <c r="J377" s="123"/>
      <c r="K377" s="12"/>
      <c r="L377" s="117"/>
      <c r="M377" s="12"/>
      <c r="N377" s="117"/>
      <c r="O377" s="117"/>
      <c r="P377" s="117"/>
      <c r="Q377" s="118"/>
      <c r="R377" s="118"/>
      <c r="S377" s="118"/>
      <c r="T377" s="12"/>
      <c r="U377" s="118"/>
      <c r="V377" s="118"/>
      <c r="W377" s="12"/>
      <c r="X377" s="119"/>
      <c r="Y377" s="120"/>
      <c r="Z377" s="12"/>
      <c r="BA377" s="70" t="s">
        <v>205</v>
      </c>
      <c r="BB377" s="71" t="s">
        <v>210</v>
      </c>
      <c r="BC377" s="71" t="s">
        <v>207</v>
      </c>
      <c r="BD377" s="71">
        <v>7.01</v>
      </c>
      <c r="BE377" s="71">
        <v>36</v>
      </c>
      <c r="BF377" s="71">
        <v>390</v>
      </c>
      <c r="BG377" s="71">
        <v>212</v>
      </c>
      <c r="BH377" s="71">
        <v>5</v>
      </c>
      <c r="BI377" s="71">
        <v>10</v>
      </c>
      <c r="BJ377" s="12" t="str" cm="1">
        <f t="array" ref="BJ377">_xll.Dce_Name_SectI(BF377, BF377, BG377, BH377, BI377, "x", "-", $AX$11)</f>
        <v>390x212x5x10</v>
      </c>
      <c r="BK377" s="77" cm="1">
        <f t="array" ref="BK377">_xll.DCEPropSectI(BF377, BH377, BG377, BI377, BG377, BI377, "A")/100</f>
        <v>60.9</v>
      </c>
      <c r="BL377" s="70" t="s">
        <v>218</v>
      </c>
      <c r="BM377" s="70">
        <v>-17.773345258782655</v>
      </c>
      <c r="BN377" s="71">
        <v>0.9</v>
      </c>
      <c r="BO377" s="77">
        <f t="shared" si="51"/>
        <v>32.4</v>
      </c>
      <c r="BP377" s="71">
        <v>0.9</v>
      </c>
      <c r="BQ377" s="77">
        <f t="shared" si="52"/>
        <v>32.4</v>
      </c>
      <c r="BR377" s="77" cm="1">
        <f t="array" ref="BR377">_xll.DCEPropSectI(BF377, BH377, BG377, BI377, BG377, BI377, "rx")/10</f>
        <v>16.91131201300167</v>
      </c>
      <c r="BS377" s="77" cm="1">
        <f t="array" ref="BS377">_xll.DCEPropSectI(BF377, BH377, BG377, BI377, BG377, BI377, "ry")/10</f>
        <v>5.1070747638622018</v>
      </c>
      <c r="BT377" s="5">
        <f t="shared" si="53"/>
        <v>191.58773710218577</v>
      </c>
      <c r="BU377" s="5">
        <f t="shared" si="54"/>
        <v>634.41405301647956</v>
      </c>
      <c r="BV377" s="5">
        <f t="shared" si="55"/>
        <v>634.41405301647956</v>
      </c>
      <c r="BW377" s="71">
        <f t="shared" si="56"/>
        <v>200</v>
      </c>
      <c r="BX377" s="78" cm="1">
        <f t="array" ref="BX377">IF(BM377&gt;0,1,_xll.DCETCVN5575FactorPhi7121(BV377*SQRT($K$17/206000),"b"))</f>
        <v>1.6670876655456978E-2</v>
      </c>
      <c r="BY377" s="64">
        <f t="shared" si="57"/>
        <v>0.83363156732308008</v>
      </c>
      <c r="BZ377" s="3" t="str">
        <f t="shared" si="58"/>
        <v>Check</v>
      </c>
    </row>
    <row r="378" spans="1:78">
      <c r="A378" s="76"/>
      <c r="B378" s="76"/>
      <c r="C378" s="125"/>
      <c r="D378" s="125"/>
      <c r="E378" s="71"/>
      <c r="F378" s="71"/>
      <c r="G378" s="71"/>
      <c r="H378" s="126"/>
      <c r="I378" s="125"/>
      <c r="J378" s="123"/>
      <c r="K378" s="12"/>
      <c r="L378" s="117"/>
      <c r="M378" s="12"/>
      <c r="N378" s="117"/>
      <c r="O378" s="117"/>
      <c r="P378" s="117"/>
      <c r="Q378" s="118"/>
      <c r="R378" s="118"/>
      <c r="S378" s="118"/>
      <c r="T378" s="12"/>
      <c r="U378" s="118"/>
      <c r="V378" s="118"/>
      <c r="W378" s="12"/>
      <c r="X378" s="119"/>
      <c r="Y378" s="120"/>
      <c r="Z378" s="12"/>
      <c r="BA378" s="70" t="s">
        <v>205</v>
      </c>
      <c r="BB378" s="71" t="s">
        <v>210</v>
      </c>
      <c r="BC378" s="71" t="s">
        <v>207</v>
      </c>
      <c r="BD378" s="71">
        <v>7.5</v>
      </c>
      <c r="BE378" s="71">
        <v>36</v>
      </c>
      <c r="BF378" s="71">
        <v>390</v>
      </c>
      <c r="BG378" s="71">
        <v>212</v>
      </c>
      <c r="BH378" s="71">
        <v>5</v>
      </c>
      <c r="BI378" s="71">
        <v>10</v>
      </c>
      <c r="BJ378" s="12" t="str" cm="1">
        <f t="array" ref="BJ378">_xll.Dce_Name_SectI(BF378, BF378, BG378, BH378, BI378, "x", "-", $AX$11)</f>
        <v>390x212x5x10</v>
      </c>
      <c r="BK378" s="77" cm="1">
        <f t="array" ref="BK378">_xll.DCEPropSectI(BF378, BH378, BG378, BI378, BG378, BI378, "A")/100</f>
        <v>60.9</v>
      </c>
      <c r="BL378" s="70" t="s">
        <v>218</v>
      </c>
      <c r="BM378" s="70">
        <v>-17.773345258782655</v>
      </c>
      <c r="BN378" s="71">
        <v>0.9</v>
      </c>
      <c r="BO378" s="77">
        <f t="shared" si="51"/>
        <v>32.4</v>
      </c>
      <c r="BP378" s="71">
        <v>0.9</v>
      </c>
      <c r="BQ378" s="77">
        <f t="shared" si="52"/>
        <v>32.4</v>
      </c>
      <c r="BR378" s="77" cm="1">
        <f t="array" ref="BR378">_xll.DCEPropSectI(BF378, BH378, BG378, BI378, BG378, BI378, "rx")/10</f>
        <v>16.91131201300167</v>
      </c>
      <c r="BS378" s="77" cm="1">
        <f t="array" ref="BS378">_xll.DCEPropSectI(BF378, BH378, BG378, BI378, BG378, BI378, "ry")/10</f>
        <v>5.1070747638622018</v>
      </c>
      <c r="BT378" s="5">
        <f t="shared" si="53"/>
        <v>191.58773710218577</v>
      </c>
      <c r="BU378" s="5">
        <f t="shared" si="54"/>
        <v>634.41405301647956</v>
      </c>
      <c r="BV378" s="5">
        <f t="shared" si="55"/>
        <v>634.41405301647956</v>
      </c>
      <c r="BW378" s="71">
        <f t="shared" si="56"/>
        <v>200</v>
      </c>
      <c r="BX378" s="78" cm="1">
        <f t="array" ref="BX378">IF(BM378&gt;0,1,_xll.DCETCVN5575FactorPhi7121(BV378*SQRT($K$17/206000),"b"))</f>
        <v>1.6670876655456978E-2</v>
      </c>
      <c r="BY378" s="64">
        <f t="shared" si="57"/>
        <v>0.83363156732308008</v>
      </c>
      <c r="BZ378" s="3" t="str">
        <f t="shared" si="58"/>
        <v>Check</v>
      </c>
    </row>
    <row r="379" spans="1:78">
      <c r="A379" s="76"/>
      <c r="B379" s="76"/>
      <c r="C379" s="125"/>
      <c r="D379" s="125"/>
      <c r="E379" s="71"/>
      <c r="F379" s="71"/>
      <c r="G379" s="71"/>
      <c r="H379" s="126"/>
      <c r="I379" s="125"/>
      <c r="J379" s="123"/>
      <c r="K379" s="12"/>
      <c r="L379" s="117"/>
      <c r="M379" s="12"/>
      <c r="N379" s="117"/>
      <c r="O379" s="117"/>
      <c r="P379" s="117"/>
      <c r="Q379" s="118"/>
      <c r="R379" s="118"/>
      <c r="S379" s="118"/>
      <c r="T379" s="12"/>
      <c r="U379" s="118"/>
      <c r="V379" s="118"/>
      <c r="W379" s="12"/>
      <c r="X379" s="119"/>
      <c r="Y379" s="120"/>
      <c r="Z379" s="12"/>
      <c r="BA379" s="70" t="s">
        <v>205</v>
      </c>
      <c r="BB379" s="71" t="s">
        <v>210</v>
      </c>
      <c r="BC379" s="71" t="s">
        <v>207</v>
      </c>
      <c r="BD379" s="71">
        <v>7.5</v>
      </c>
      <c r="BE379" s="71">
        <v>36</v>
      </c>
      <c r="BF379" s="71">
        <v>390</v>
      </c>
      <c r="BG379" s="71">
        <v>212</v>
      </c>
      <c r="BH379" s="71">
        <v>5</v>
      </c>
      <c r="BI379" s="71">
        <v>10</v>
      </c>
      <c r="BJ379" s="12" t="str" cm="1">
        <f t="array" ref="BJ379">_xll.Dce_Name_SectI(BF379, BF379, BG379, BH379, BI379, "x", "-", $AX$11)</f>
        <v>390x212x5x10</v>
      </c>
      <c r="BK379" s="77" cm="1">
        <f t="array" ref="BK379">_xll.DCEPropSectI(BF379, BH379, BG379, BI379, BG379, BI379, "A")/100</f>
        <v>60.9</v>
      </c>
      <c r="BL379" s="70" t="s">
        <v>218</v>
      </c>
      <c r="BM379" s="70">
        <v>233.91347431050471</v>
      </c>
      <c r="BN379" s="71">
        <v>0.9</v>
      </c>
      <c r="BO379" s="77">
        <f t="shared" si="51"/>
        <v>32.4</v>
      </c>
      <c r="BP379" s="71">
        <v>0.9</v>
      </c>
      <c r="BQ379" s="77">
        <f t="shared" si="52"/>
        <v>32.4</v>
      </c>
      <c r="BR379" s="77" cm="1">
        <f t="array" ref="BR379">_xll.DCEPropSectI(BF379, BH379, BG379, BI379, BG379, BI379, "rx")/10</f>
        <v>16.91131201300167</v>
      </c>
      <c r="BS379" s="77" cm="1">
        <f t="array" ref="BS379">_xll.DCEPropSectI(BF379, BH379, BG379, BI379, BG379, BI379, "ry")/10</f>
        <v>5.1070747638622018</v>
      </c>
      <c r="BT379" s="5">
        <f t="shared" si="53"/>
        <v>191.58773710218577</v>
      </c>
      <c r="BU379" s="5">
        <f t="shared" si="54"/>
        <v>634.41405301647956</v>
      </c>
      <c r="BV379" s="5">
        <f t="shared" si="55"/>
        <v>634.41405301647956</v>
      </c>
      <c r="BW379" s="71">
        <f t="shared" si="56"/>
        <v>400</v>
      </c>
      <c r="BX379" s="78" cm="1">
        <f t="array" ref="BX379">IF(BM379&gt;0,1,_xll.DCETCVN5575FactorPhi7121(BV379*SQRT($K$17/206000),"b"))</f>
        <v>1</v>
      </c>
      <c r="BY379" s="64">
        <f t="shared" si="57"/>
        <v>0.18290208328290308</v>
      </c>
      <c r="BZ379" s="3" t="str">
        <f t="shared" si="58"/>
        <v>Check</v>
      </c>
    </row>
    <row r="380" spans="1:78">
      <c r="A380" s="76"/>
      <c r="B380" s="76"/>
      <c r="C380" s="125"/>
      <c r="D380" s="125"/>
      <c r="E380" s="71"/>
      <c r="F380" s="71"/>
      <c r="G380" s="71"/>
      <c r="H380" s="126"/>
      <c r="I380" s="125"/>
      <c r="J380" s="123"/>
      <c r="K380" s="12"/>
      <c r="L380" s="117"/>
      <c r="M380" s="12"/>
      <c r="N380" s="117"/>
      <c r="O380" s="117"/>
      <c r="P380" s="117"/>
      <c r="Q380" s="118"/>
      <c r="R380" s="118"/>
      <c r="S380" s="118"/>
      <c r="T380" s="12"/>
      <c r="U380" s="118"/>
      <c r="V380" s="118"/>
      <c r="W380" s="12"/>
      <c r="X380" s="119"/>
      <c r="Y380" s="120"/>
      <c r="Z380" s="12"/>
      <c r="BA380" s="70" t="s">
        <v>205</v>
      </c>
      <c r="BB380" s="71" t="s">
        <v>210</v>
      </c>
      <c r="BC380" s="71" t="s">
        <v>207</v>
      </c>
      <c r="BD380" s="71">
        <v>8</v>
      </c>
      <c r="BE380" s="71">
        <v>36</v>
      </c>
      <c r="BF380" s="71">
        <v>390</v>
      </c>
      <c r="BG380" s="71">
        <v>212</v>
      </c>
      <c r="BH380" s="71">
        <v>5</v>
      </c>
      <c r="BI380" s="71">
        <v>10</v>
      </c>
      <c r="BJ380" s="12" t="str" cm="1">
        <f t="array" ref="BJ380">_xll.Dce_Name_SectI(BF380, BF380, BG380, BH380, BI380, "x", "-", $AX$11)</f>
        <v>390x212x5x10</v>
      </c>
      <c r="BK380" s="77" cm="1">
        <f t="array" ref="BK380">_xll.DCEPropSectI(BF380, BH380, BG380, BI380, BG380, BI380, "A")/100</f>
        <v>60.9</v>
      </c>
      <c r="BL380" s="70" t="s">
        <v>218</v>
      </c>
      <c r="BM380" s="70">
        <v>233.91347431050471</v>
      </c>
      <c r="BN380" s="71">
        <v>0.9</v>
      </c>
      <c r="BO380" s="77">
        <f t="shared" si="51"/>
        <v>32.4</v>
      </c>
      <c r="BP380" s="71">
        <v>0.9</v>
      </c>
      <c r="BQ380" s="77">
        <f t="shared" si="52"/>
        <v>32.4</v>
      </c>
      <c r="BR380" s="77" cm="1">
        <f t="array" ref="BR380">_xll.DCEPropSectI(BF380, BH380, BG380, BI380, BG380, BI380, "rx")/10</f>
        <v>16.91131201300167</v>
      </c>
      <c r="BS380" s="77" cm="1">
        <f t="array" ref="BS380">_xll.DCEPropSectI(BF380, BH380, BG380, BI380, BG380, BI380, "ry")/10</f>
        <v>5.1070747638622018</v>
      </c>
      <c r="BT380" s="5">
        <f t="shared" si="53"/>
        <v>191.58773710218577</v>
      </c>
      <c r="BU380" s="5">
        <f t="shared" si="54"/>
        <v>634.41405301647956</v>
      </c>
      <c r="BV380" s="5">
        <f t="shared" si="55"/>
        <v>634.41405301647956</v>
      </c>
      <c r="BW380" s="71">
        <f t="shared" si="56"/>
        <v>400</v>
      </c>
      <c r="BX380" s="78" cm="1">
        <f t="array" ref="BX380">IF(BM380&gt;0,1,_xll.DCETCVN5575FactorPhi7121(BV380*SQRT($K$17/206000),"b"))</f>
        <v>1</v>
      </c>
      <c r="BY380" s="64">
        <f t="shared" si="57"/>
        <v>0.18290208328290308</v>
      </c>
      <c r="BZ380" s="3" t="str">
        <f t="shared" si="58"/>
        <v>Check</v>
      </c>
    </row>
    <row r="381" spans="1:78">
      <c r="A381" s="76"/>
      <c r="B381" s="76"/>
      <c r="C381" s="125"/>
      <c r="D381" s="125"/>
      <c r="E381" s="71"/>
      <c r="F381" s="71"/>
      <c r="G381" s="71"/>
      <c r="H381" s="126"/>
      <c r="I381" s="125"/>
      <c r="J381" s="123"/>
      <c r="K381" s="12"/>
      <c r="L381" s="117"/>
      <c r="M381" s="12"/>
      <c r="N381" s="117"/>
      <c r="O381" s="117"/>
      <c r="P381" s="117"/>
      <c r="Q381" s="118"/>
      <c r="R381" s="118"/>
      <c r="S381" s="118"/>
      <c r="T381" s="12"/>
      <c r="U381" s="118"/>
      <c r="V381" s="118"/>
      <c r="W381" s="12"/>
      <c r="X381" s="119"/>
      <c r="Y381" s="120"/>
      <c r="Z381" s="12"/>
      <c r="BA381" s="70" t="s">
        <v>205</v>
      </c>
      <c r="BB381" s="71" t="s">
        <v>210</v>
      </c>
      <c r="BC381" s="71" t="s">
        <v>207</v>
      </c>
      <c r="BD381" s="71">
        <v>8.5</v>
      </c>
      <c r="BE381" s="71">
        <v>36</v>
      </c>
      <c r="BF381" s="71">
        <v>390</v>
      </c>
      <c r="BG381" s="71">
        <v>212</v>
      </c>
      <c r="BH381" s="71">
        <v>5</v>
      </c>
      <c r="BI381" s="71">
        <v>10</v>
      </c>
      <c r="BJ381" s="12" t="str" cm="1">
        <f t="array" ref="BJ381">_xll.Dce_Name_SectI(BF381, BF381, BG381, BH381, BI381, "x", "-", $AX$11)</f>
        <v>390x212x5x10</v>
      </c>
      <c r="BK381" s="77" cm="1">
        <f t="array" ref="BK381">_xll.DCEPropSectI(BF381, BH381, BG381, BI381, BG381, BI381, "A")/100</f>
        <v>60.9</v>
      </c>
      <c r="BL381" s="70" t="s">
        <v>218</v>
      </c>
      <c r="BM381" s="70">
        <v>233.91347431050471</v>
      </c>
      <c r="BN381" s="71">
        <v>0.9</v>
      </c>
      <c r="BO381" s="77">
        <f t="shared" si="51"/>
        <v>32.4</v>
      </c>
      <c r="BP381" s="71">
        <v>0.9</v>
      </c>
      <c r="BQ381" s="77">
        <f t="shared" si="52"/>
        <v>32.4</v>
      </c>
      <c r="BR381" s="77" cm="1">
        <f t="array" ref="BR381">_xll.DCEPropSectI(BF381, BH381, BG381, BI381, BG381, BI381, "rx")/10</f>
        <v>16.91131201300167</v>
      </c>
      <c r="BS381" s="77" cm="1">
        <f t="array" ref="BS381">_xll.DCEPropSectI(BF381, BH381, BG381, BI381, BG381, BI381, "ry")/10</f>
        <v>5.1070747638622018</v>
      </c>
      <c r="BT381" s="5">
        <f t="shared" si="53"/>
        <v>191.58773710218577</v>
      </c>
      <c r="BU381" s="5">
        <f t="shared" si="54"/>
        <v>634.41405301647956</v>
      </c>
      <c r="BV381" s="5">
        <f t="shared" si="55"/>
        <v>634.41405301647956</v>
      </c>
      <c r="BW381" s="71">
        <f t="shared" si="56"/>
        <v>400</v>
      </c>
      <c r="BX381" s="78" cm="1">
        <f t="array" ref="BX381">IF(BM381&gt;0,1,_xll.DCETCVN5575FactorPhi7121(BV381*SQRT($K$17/206000),"b"))</f>
        <v>1</v>
      </c>
      <c r="BY381" s="64">
        <f t="shared" si="57"/>
        <v>0.18290208328290308</v>
      </c>
      <c r="BZ381" s="3" t="str">
        <f t="shared" si="58"/>
        <v>Check</v>
      </c>
    </row>
    <row r="382" spans="1:78">
      <c r="A382" s="76"/>
      <c r="B382" s="76"/>
      <c r="C382" s="125"/>
      <c r="D382" s="125"/>
      <c r="E382" s="71"/>
      <c r="F382" s="71"/>
      <c r="G382" s="71"/>
      <c r="H382" s="126"/>
      <c r="I382" s="125"/>
      <c r="J382" s="123"/>
      <c r="K382" s="12"/>
      <c r="L382" s="117"/>
      <c r="M382" s="12"/>
      <c r="N382" s="117"/>
      <c r="O382" s="117"/>
      <c r="P382" s="117"/>
      <c r="Q382" s="118"/>
      <c r="R382" s="118"/>
      <c r="S382" s="118"/>
      <c r="T382" s="12"/>
      <c r="U382" s="118"/>
      <c r="V382" s="118"/>
      <c r="W382" s="12"/>
      <c r="X382" s="119"/>
      <c r="Y382" s="120"/>
      <c r="Z382" s="12"/>
      <c r="BA382" s="70" t="s">
        <v>205</v>
      </c>
      <c r="BB382" s="71" t="s">
        <v>210</v>
      </c>
      <c r="BC382" s="71" t="s">
        <v>207</v>
      </c>
      <c r="BD382" s="71">
        <v>9</v>
      </c>
      <c r="BE382" s="71">
        <v>36</v>
      </c>
      <c r="BF382" s="71">
        <v>390</v>
      </c>
      <c r="BG382" s="71">
        <v>212</v>
      </c>
      <c r="BH382" s="71">
        <v>5</v>
      </c>
      <c r="BI382" s="71">
        <v>10</v>
      </c>
      <c r="BJ382" s="12" t="str" cm="1">
        <f t="array" ref="BJ382">_xll.Dce_Name_SectI(BF382, BF382, BG382, BH382, BI382, "x", "-", $AX$11)</f>
        <v>390x212x5x10</v>
      </c>
      <c r="BK382" s="77" cm="1">
        <f t="array" ref="BK382">_xll.DCEPropSectI(BF382, BH382, BG382, BI382, BG382, BI382, "A")/100</f>
        <v>60.9</v>
      </c>
      <c r="BL382" s="70" t="s">
        <v>218</v>
      </c>
      <c r="BM382" s="70">
        <v>233.91347431050471</v>
      </c>
      <c r="BN382" s="71">
        <v>0.9</v>
      </c>
      <c r="BO382" s="77">
        <f t="shared" si="51"/>
        <v>32.4</v>
      </c>
      <c r="BP382" s="71">
        <v>0.9</v>
      </c>
      <c r="BQ382" s="77">
        <f t="shared" si="52"/>
        <v>32.4</v>
      </c>
      <c r="BR382" s="77" cm="1">
        <f t="array" ref="BR382">_xll.DCEPropSectI(BF382, BH382, BG382, BI382, BG382, BI382, "rx")/10</f>
        <v>16.91131201300167</v>
      </c>
      <c r="BS382" s="77" cm="1">
        <f t="array" ref="BS382">_xll.DCEPropSectI(BF382, BH382, BG382, BI382, BG382, BI382, "ry")/10</f>
        <v>5.1070747638622018</v>
      </c>
      <c r="BT382" s="5">
        <f t="shared" si="53"/>
        <v>191.58773710218577</v>
      </c>
      <c r="BU382" s="5">
        <f t="shared" si="54"/>
        <v>634.41405301647956</v>
      </c>
      <c r="BV382" s="5">
        <f t="shared" si="55"/>
        <v>634.41405301647956</v>
      </c>
      <c r="BW382" s="71">
        <f t="shared" si="56"/>
        <v>400</v>
      </c>
      <c r="BX382" s="78" cm="1">
        <f t="array" ref="BX382">IF(BM382&gt;0,1,_xll.DCETCVN5575FactorPhi7121(BV382*SQRT($K$17/206000),"b"))</f>
        <v>1</v>
      </c>
      <c r="BY382" s="64">
        <f t="shared" si="57"/>
        <v>0.18290208328290308</v>
      </c>
      <c r="BZ382" s="3" t="str">
        <f t="shared" si="58"/>
        <v>Check</v>
      </c>
    </row>
    <row r="383" spans="1:78">
      <c r="A383" s="76"/>
      <c r="B383" s="76"/>
      <c r="C383" s="125"/>
      <c r="D383" s="125"/>
      <c r="E383" s="71"/>
      <c r="F383" s="71"/>
      <c r="G383" s="71"/>
      <c r="H383" s="126"/>
      <c r="I383" s="125"/>
      <c r="J383" s="123"/>
      <c r="K383" s="12"/>
      <c r="L383" s="117"/>
      <c r="M383" s="12"/>
      <c r="N383" s="117"/>
      <c r="O383" s="117"/>
      <c r="P383" s="117"/>
      <c r="Q383" s="118"/>
      <c r="R383" s="118"/>
      <c r="S383" s="118"/>
      <c r="T383" s="12"/>
      <c r="U383" s="118"/>
      <c r="V383" s="118"/>
      <c r="W383" s="12"/>
      <c r="X383" s="119"/>
      <c r="Y383" s="120"/>
      <c r="Z383" s="12"/>
      <c r="BA383" s="70" t="s">
        <v>205</v>
      </c>
      <c r="BB383" s="71" t="s">
        <v>210</v>
      </c>
      <c r="BC383" s="71" t="s">
        <v>207</v>
      </c>
      <c r="BD383" s="71">
        <v>9.5</v>
      </c>
      <c r="BE383" s="71">
        <v>36</v>
      </c>
      <c r="BF383" s="71">
        <v>390</v>
      </c>
      <c r="BG383" s="71">
        <v>212</v>
      </c>
      <c r="BH383" s="71">
        <v>5</v>
      </c>
      <c r="BI383" s="71">
        <v>10</v>
      </c>
      <c r="BJ383" s="12" t="str" cm="1">
        <f t="array" ref="BJ383">_xll.Dce_Name_SectI(BF383, BF383, BG383, BH383, BI383, "x", "-", $AX$11)</f>
        <v>390x212x5x10</v>
      </c>
      <c r="BK383" s="77" cm="1">
        <f t="array" ref="BK383">_xll.DCEPropSectI(BF383, BH383, BG383, BI383, BG383, BI383, "A")/100</f>
        <v>60.9</v>
      </c>
      <c r="BL383" s="70" t="s">
        <v>218</v>
      </c>
      <c r="BM383" s="70">
        <v>233.91347431050471</v>
      </c>
      <c r="BN383" s="71">
        <v>0.9</v>
      </c>
      <c r="BO383" s="77">
        <f t="shared" si="51"/>
        <v>32.4</v>
      </c>
      <c r="BP383" s="71">
        <v>0.9</v>
      </c>
      <c r="BQ383" s="77">
        <f t="shared" si="52"/>
        <v>32.4</v>
      </c>
      <c r="BR383" s="77" cm="1">
        <f t="array" ref="BR383">_xll.DCEPropSectI(BF383, BH383, BG383, BI383, BG383, BI383, "rx")/10</f>
        <v>16.91131201300167</v>
      </c>
      <c r="BS383" s="77" cm="1">
        <f t="array" ref="BS383">_xll.DCEPropSectI(BF383, BH383, BG383, BI383, BG383, BI383, "ry")/10</f>
        <v>5.1070747638622018</v>
      </c>
      <c r="BT383" s="5">
        <f t="shared" si="53"/>
        <v>191.58773710218577</v>
      </c>
      <c r="BU383" s="5">
        <f t="shared" si="54"/>
        <v>634.41405301647956</v>
      </c>
      <c r="BV383" s="5">
        <f t="shared" si="55"/>
        <v>634.41405301647956</v>
      </c>
      <c r="BW383" s="71">
        <f t="shared" si="56"/>
        <v>400</v>
      </c>
      <c r="BX383" s="78" cm="1">
        <f t="array" ref="BX383">IF(BM383&gt;0,1,_xll.DCETCVN5575FactorPhi7121(BV383*SQRT($K$17/206000),"b"))</f>
        <v>1</v>
      </c>
      <c r="BY383" s="64">
        <f t="shared" si="57"/>
        <v>0.18290208328290308</v>
      </c>
      <c r="BZ383" s="3" t="str">
        <f t="shared" si="58"/>
        <v>Check</v>
      </c>
    </row>
    <row r="384" spans="1:78">
      <c r="A384" s="76"/>
      <c r="B384" s="76"/>
      <c r="C384" s="125"/>
      <c r="D384" s="125"/>
      <c r="E384" s="71"/>
      <c r="F384" s="71"/>
      <c r="G384" s="71"/>
      <c r="H384" s="126"/>
      <c r="I384" s="125"/>
      <c r="J384" s="123"/>
      <c r="K384" s="12"/>
      <c r="L384" s="117"/>
      <c r="M384" s="12"/>
      <c r="N384" s="117"/>
      <c r="O384" s="117"/>
      <c r="P384" s="117"/>
      <c r="Q384" s="118"/>
      <c r="R384" s="118"/>
      <c r="S384" s="118"/>
      <c r="T384" s="12"/>
      <c r="U384" s="118"/>
      <c r="V384" s="118"/>
      <c r="W384" s="12"/>
      <c r="X384" s="119"/>
      <c r="Y384" s="120"/>
      <c r="Z384" s="12"/>
      <c r="BA384" s="70" t="s">
        <v>205</v>
      </c>
      <c r="BB384" s="71" t="s">
        <v>210</v>
      </c>
      <c r="BC384" s="71" t="s">
        <v>207</v>
      </c>
      <c r="BD384" s="71">
        <v>10</v>
      </c>
      <c r="BE384" s="71">
        <v>36</v>
      </c>
      <c r="BF384" s="71">
        <v>390</v>
      </c>
      <c r="BG384" s="71">
        <v>212</v>
      </c>
      <c r="BH384" s="71">
        <v>5</v>
      </c>
      <c r="BI384" s="71">
        <v>10</v>
      </c>
      <c r="BJ384" s="12" t="str" cm="1">
        <f t="array" ref="BJ384">_xll.Dce_Name_SectI(BF384, BF384, BG384, BH384, BI384, "x", "-", $AX$11)</f>
        <v>390x212x5x10</v>
      </c>
      <c r="BK384" s="77" cm="1">
        <f t="array" ref="BK384">_xll.DCEPropSectI(BF384, BH384, BG384, BI384, BG384, BI384, "A")/100</f>
        <v>60.9</v>
      </c>
      <c r="BL384" s="70" t="s">
        <v>218</v>
      </c>
      <c r="BM384" s="70">
        <v>233.91347431050471</v>
      </c>
      <c r="BN384" s="71">
        <v>0.9</v>
      </c>
      <c r="BO384" s="77">
        <f t="shared" si="51"/>
        <v>32.4</v>
      </c>
      <c r="BP384" s="71">
        <v>0.9</v>
      </c>
      <c r="BQ384" s="77">
        <f t="shared" si="52"/>
        <v>32.4</v>
      </c>
      <c r="BR384" s="77" cm="1">
        <f t="array" ref="BR384">_xll.DCEPropSectI(BF384, BH384, BG384, BI384, BG384, BI384, "rx")/10</f>
        <v>16.91131201300167</v>
      </c>
      <c r="BS384" s="77" cm="1">
        <f t="array" ref="BS384">_xll.DCEPropSectI(BF384, BH384, BG384, BI384, BG384, BI384, "ry")/10</f>
        <v>5.1070747638622018</v>
      </c>
      <c r="BT384" s="5">
        <f t="shared" si="53"/>
        <v>191.58773710218577</v>
      </c>
      <c r="BU384" s="5">
        <f t="shared" si="54"/>
        <v>634.41405301647956</v>
      </c>
      <c r="BV384" s="5">
        <f t="shared" si="55"/>
        <v>634.41405301647956</v>
      </c>
      <c r="BW384" s="71">
        <f t="shared" si="56"/>
        <v>400</v>
      </c>
      <c r="BX384" s="78" cm="1">
        <f t="array" ref="BX384">IF(BM384&gt;0,1,_xll.DCETCVN5575FactorPhi7121(BV384*SQRT($K$17/206000),"b"))</f>
        <v>1</v>
      </c>
      <c r="BY384" s="64">
        <f t="shared" si="57"/>
        <v>0.18290208328290308</v>
      </c>
      <c r="BZ384" s="3" t="str">
        <f t="shared" si="58"/>
        <v>Check</v>
      </c>
    </row>
    <row r="385" spans="1:78">
      <c r="A385" s="76"/>
      <c r="B385" s="76"/>
      <c r="C385" s="125"/>
      <c r="D385" s="125"/>
      <c r="E385" s="71"/>
      <c r="F385" s="71"/>
      <c r="G385" s="71"/>
      <c r="H385" s="126"/>
      <c r="I385" s="125"/>
      <c r="J385" s="123"/>
      <c r="K385" s="12"/>
      <c r="L385" s="117"/>
      <c r="M385" s="12"/>
      <c r="N385" s="117"/>
      <c r="O385" s="117"/>
      <c r="P385" s="117"/>
      <c r="Q385" s="118"/>
      <c r="R385" s="118"/>
      <c r="S385" s="118"/>
      <c r="T385" s="12"/>
      <c r="U385" s="118"/>
      <c r="V385" s="118"/>
      <c r="W385" s="12"/>
      <c r="X385" s="119"/>
      <c r="Y385" s="120"/>
      <c r="Z385" s="12"/>
      <c r="BA385" s="70" t="s">
        <v>205</v>
      </c>
      <c r="BB385" s="71" t="s">
        <v>210</v>
      </c>
      <c r="BC385" s="71" t="s">
        <v>207</v>
      </c>
      <c r="BD385" s="71">
        <v>10.5</v>
      </c>
      <c r="BE385" s="71">
        <v>36</v>
      </c>
      <c r="BF385" s="71">
        <v>390</v>
      </c>
      <c r="BG385" s="71">
        <v>212</v>
      </c>
      <c r="BH385" s="71">
        <v>5</v>
      </c>
      <c r="BI385" s="71">
        <v>10</v>
      </c>
      <c r="BJ385" s="12" t="str" cm="1">
        <f t="array" ref="BJ385">_xll.Dce_Name_SectI(BF385, BF385, BG385, BH385, BI385, "x", "-", $AX$11)</f>
        <v>390x212x5x10</v>
      </c>
      <c r="BK385" s="77" cm="1">
        <f t="array" ref="BK385">_xll.DCEPropSectI(BF385, BH385, BG385, BI385, BG385, BI385, "A")/100</f>
        <v>60.9</v>
      </c>
      <c r="BL385" s="70" t="s">
        <v>218</v>
      </c>
      <c r="BM385" s="70">
        <v>233.91347431050471</v>
      </c>
      <c r="BN385" s="71">
        <v>0.9</v>
      </c>
      <c r="BO385" s="77">
        <f t="shared" si="51"/>
        <v>32.4</v>
      </c>
      <c r="BP385" s="71">
        <v>0.9</v>
      </c>
      <c r="BQ385" s="77">
        <f t="shared" si="52"/>
        <v>32.4</v>
      </c>
      <c r="BR385" s="77" cm="1">
        <f t="array" ref="BR385">_xll.DCEPropSectI(BF385, BH385, BG385, BI385, BG385, BI385, "rx")/10</f>
        <v>16.91131201300167</v>
      </c>
      <c r="BS385" s="77" cm="1">
        <f t="array" ref="BS385">_xll.DCEPropSectI(BF385, BH385, BG385, BI385, BG385, BI385, "ry")/10</f>
        <v>5.1070747638622018</v>
      </c>
      <c r="BT385" s="5">
        <f t="shared" si="53"/>
        <v>191.58773710218577</v>
      </c>
      <c r="BU385" s="5">
        <f t="shared" si="54"/>
        <v>634.41405301647956</v>
      </c>
      <c r="BV385" s="5">
        <f t="shared" si="55"/>
        <v>634.41405301647956</v>
      </c>
      <c r="BW385" s="71">
        <f t="shared" si="56"/>
        <v>400</v>
      </c>
      <c r="BX385" s="78" cm="1">
        <f t="array" ref="BX385">IF(BM385&gt;0,1,_xll.DCETCVN5575FactorPhi7121(BV385*SQRT($K$17/206000),"b"))</f>
        <v>1</v>
      </c>
      <c r="BY385" s="64">
        <f t="shared" si="57"/>
        <v>0.18290208328290308</v>
      </c>
      <c r="BZ385" s="3" t="str">
        <f t="shared" si="58"/>
        <v>Check</v>
      </c>
    </row>
    <row r="386" spans="1:78">
      <c r="A386" s="76"/>
      <c r="B386" s="76"/>
      <c r="C386" s="125"/>
      <c r="D386" s="125"/>
      <c r="E386" s="71"/>
      <c r="F386" s="71"/>
      <c r="G386" s="71"/>
      <c r="H386" s="126"/>
      <c r="I386" s="125"/>
      <c r="J386" s="123"/>
      <c r="K386" s="12"/>
      <c r="L386" s="117"/>
      <c r="M386" s="12"/>
      <c r="N386" s="117"/>
      <c r="O386" s="117"/>
      <c r="P386" s="117"/>
      <c r="Q386" s="118"/>
      <c r="R386" s="118"/>
      <c r="S386" s="118"/>
      <c r="T386" s="12"/>
      <c r="U386" s="118"/>
      <c r="V386" s="118"/>
      <c r="W386" s="12"/>
      <c r="X386" s="119"/>
      <c r="Y386" s="120"/>
      <c r="Z386" s="12"/>
      <c r="BA386" s="70" t="s">
        <v>205</v>
      </c>
      <c r="BB386" s="71" t="s">
        <v>210</v>
      </c>
      <c r="BC386" s="71" t="s">
        <v>207</v>
      </c>
      <c r="BD386" s="71">
        <v>11</v>
      </c>
      <c r="BE386" s="71">
        <v>36</v>
      </c>
      <c r="BF386" s="71">
        <v>390</v>
      </c>
      <c r="BG386" s="71">
        <v>212</v>
      </c>
      <c r="BH386" s="71">
        <v>5</v>
      </c>
      <c r="BI386" s="71">
        <v>10</v>
      </c>
      <c r="BJ386" s="12" t="str" cm="1">
        <f t="array" ref="BJ386">_xll.Dce_Name_SectI(BF386, BF386, BG386, BH386, BI386, "x", "-", $AX$11)</f>
        <v>390x212x5x10</v>
      </c>
      <c r="BK386" s="77" cm="1">
        <f t="array" ref="BK386">_xll.DCEPropSectI(BF386, BH386, BG386, BI386, BG386, BI386, "A")/100</f>
        <v>60.9</v>
      </c>
      <c r="BL386" s="70" t="s">
        <v>218</v>
      </c>
      <c r="BM386" s="70">
        <v>233.91347431050471</v>
      </c>
      <c r="BN386" s="71">
        <v>0.9</v>
      </c>
      <c r="BO386" s="77">
        <f t="shared" si="51"/>
        <v>32.4</v>
      </c>
      <c r="BP386" s="71">
        <v>0.9</v>
      </c>
      <c r="BQ386" s="77">
        <f t="shared" si="52"/>
        <v>32.4</v>
      </c>
      <c r="BR386" s="77" cm="1">
        <f t="array" ref="BR386">_xll.DCEPropSectI(BF386, BH386, BG386, BI386, BG386, BI386, "rx")/10</f>
        <v>16.91131201300167</v>
      </c>
      <c r="BS386" s="77" cm="1">
        <f t="array" ref="BS386">_xll.DCEPropSectI(BF386, BH386, BG386, BI386, BG386, BI386, "ry")/10</f>
        <v>5.1070747638622018</v>
      </c>
      <c r="BT386" s="5">
        <f t="shared" si="53"/>
        <v>191.58773710218577</v>
      </c>
      <c r="BU386" s="5">
        <f t="shared" si="54"/>
        <v>634.41405301647956</v>
      </c>
      <c r="BV386" s="5">
        <f t="shared" si="55"/>
        <v>634.41405301647956</v>
      </c>
      <c r="BW386" s="71">
        <f t="shared" si="56"/>
        <v>400</v>
      </c>
      <c r="BX386" s="78" cm="1">
        <f t="array" ref="BX386">IF(BM386&gt;0,1,_xll.DCETCVN5575FactorPhi7121(BV386*SQRT($K$17/206000),"b"))</f>
        <v>1</v>
      </c>
      <c r="BY386" s="64">
        <f t="shared" si="57"/>
        <v>0.18290208328290308</v>
      </c>
      <c r="BZ386" s="3" t="str">
        <f t="shared" si="58"/>
        <v>Check</v>
      </c>
    </row>
    <row r="387" spans="1:78">
      <c r="A387" s="76"/>
      <c r="B387" s="76"/>
      <c r="C387" s="125"/>
      <c r="D387" s="125"/>
      <c r="E387" s="71"/>
      <c r="F387" s="71"/>
      <c r="G387" s="71"/>
      <c r="H387" s="126"/>
      <c r="I387" s="125"/>
      <c r="J387" s="123"/>
      <c r="K387" s="12"/>
      <c r="L387" s="117"/>
      <c r="M387" s="12"/>
      <c r="N387" s="117"/>
      <c r="O387" s="117"/>
      <c r="P387" s="117"/>
      <c r="Q387" s="118"/>
      <c r="R387" s="118"/>
      <c r="S387" s="118"/>
      <c r="T387" s="12"/>
      <c r="U387" s="118"/>
      <c r="V387" s="118"/>
      <c r="W387" s="12"/>
      <c r="X387" s="119"/>
      <c r="Y387" s="120"/>
      <c r="Z387" s="12"/>
      <c r="BA387" s="70" t="s">
        <v>205</v>
      </c>
      <c r="BB387" s="71" t="s">
        <v>210</v>
      </c>
      <c r="BC387" s="71" t="s">
        <v>207</v>
      </c>
      <c r="BD387" s="71">
        <v>11.5</v>
      </c>
      <c r="BE387" s="71">
        <v>36</v>
      </c>
      <c r="BF387" s="71">
        <v>390</v>
      </c>
      <c r="BG387" s="71">
        <v>212</v>
      </c>
      <c r="BH387" s="71">
        <v>5</v>
      </c>
      <c r="BI387" s="71">
        <v>10</v>
      </c>
      <c r="BJ387" s="12" t="str" cm="1">
        <f t="array" ref="BJ387">_xll.Dce_Name_SectI(BF387, BF387, BG387, BH387, BI387, "x", "-", $AX$11)</f>
        <v>390x212x5x10</v>
      </c>
      <c r="BK387" s="77" cm="1">
        <f t="array" ref="BK387">_xll.DCEPropSectI(BF387, BH387, BG387, BI387, BG387, BI387, "A")/100</f>
        <v>60.9</v>
      </c>
      <c r="BL387" s="70" t="s">
        <v>218</v>
      </c>
      <c r="BM387" s="70">
        <v>233.91347431050471</v>
      </c>
      <c r="BN387" s="71">
        <v>0.9</v>
      </c>
      <c r="BO387" s="77">
        <f t="shared" si="51"/>
        <v>32.4</v>
      </c>
      <c r="BP387" s="71">
        <v>0.9</v>
      </c>
      <c r="BQ387" s="77">
        <f t="shared" si="52"/>
        <v>32.4</v>
      </c>
      <c r="BR387" s="77" cm="1">
        <f t="array" ref="BR387">_xll.DCEPropSectI(BF387, BH387, BG387, BI387, BG387, BI387, "rx")/10</f>
        <v>16.91131201300167</v>
      </c>
      <c r="BS387" s="77" cm="1">
        <f t="array" ref="BS387">_xll.DCEPropSectI(BF387, BH387, BG387, BI387, BG387, BI387, "ry")/10</f>
        <v>5.1070747638622018</v>
      </c>
      <c r="BT387" s="5">
        <f t="shared" si="53"/>
        <v>191.58773710218577</v>
      </c>
      <c r="BU387" s="5">
        <f t="shared" si="54"/>
        <v>634.41405301647956</v>
      </c>
      <c r="BV387" s="5">
        <f t="shared" si="55"/>
        <v>634.41405301647956</v>
      </c>
      <c r="BW387" s="71">
        <f t="shared" si="56"/>
        <v>400</v>
      </c>
      <c r="BX387" s="78" cm="1">
        <f t="array" ref="BX387">IF(BM387&gt;0,1,_xll.DCETCVN5575FactorPhi7121(BV387*SQRT($K$17/206000),"b"))</f>
        <v>1</v>
      </c>
      <c r="BY387" s="64">
        <f t="shared" si="57"/>
        <v>0.18290208328290308</v>
      </c>
      <c r="BZ387" s="3" t="str">
        <f t="shared" si="58"/>
        <v>Check</v>
      </c>
    </row>
    <row r="388" spans="1:78">
      <c r="A388" s="76"/>
      <c r="B388" s="76"/>
      <c r="C388" s="125"/>
      <c r="D388" s="125"/>
      <c r="E388" s="71"/>
      <c r="F388" s="71"/>
      <c r="G388" s="71"/>
      <c r="H388" s="126"/>
      <c r="I388" s="125"/>
      <c r="J388" s="123"/>
      <c r="K388" s="12"/>
      <c r="L388" s="117"/>
      <c r="M388" s="12"/>
      <c r="N388" s="117"/>
      <c r="O388" s="117"/>
      <c r="P388" s="117"/>
      <c r="Q388" s="118"/>
      <c r="R388" s="118"/>
      <c r="S388" s="118"/>
      <c r="T388" s="12"/>
      <c r="U388" s="118"/>
      <c r="V388" s="118"/>
      <c r="W388" s="12"/>
      <c r="X388" s="119"/>
      <c r="Y388" s="120"/>
      <c r="Z388" s="12"/>
      <c r="BA388" s="70" t="s">
        <v>205</v>
      </c>
      <c r="BB388" s="71" t="s">
        <v>210</v>
      </c>
      <c r="BC388" s="71" t="s">
        <v>207</v>
      </c>
      <c r="BD388" s="71">
        <v>12</v>
      </c>
      <c r="BE388" s="71">
        <v>36</v>
      </c>
      <c r="BF388" s="71">
        <v>390</v>
      </c>
      <c r="BG388" s="71">
        <v>212</v>
      </c>
      <c r="BH388" s="71">
        <v>5</v>
      </c>
      <c r="BI388" s="71">
        <v>10</v>
      </c>
      <c r="BJ388" s="12" t="str" cm="1">
        <f t="array" ref="BJ388">_xll.Dce_Name_SectI(BF388, BF388, BG388, BH388, BI388, "x", "-", $AX$11)</f>
        <v>390x212x5x10</v>
      </c>
      <c r="BK388" s="77" cm="1">
        <f t="array" ref="BK388">_xll.DCEPropSectI(BF388, BH388, BG388, BI388, BG388, BI388, "A")/100</f>
        <v>60.9</v>
      </c>
      <c r="BL388" s="70" t="s">
        <v>218</v>
      </c>
      <c r="BM388" s="70">
        <v>233.91347431050471</v>
      </c>
      <c r="BN388" s="71">
        <v>0.9</v>
      </c>
      <c r="BO388" s="77">
        <f t="shared" si="51"/>
        <v>32.4</v>
      </c>
      <c r="BP388" s="71">
        <v>0.9</v>
      </c>
      <c r="BQ388" s="77">
        <f t="shared" si="52"/>
        <v>32.4</v>
      </c>
      <c r="BR388" s="77" cm="1">
        <f t="array" ref="BR388">_xll.DCEPropSectI(BF388, BH388, BG388, BI388, BG388, BI388, "rx")/10</f>
        <v>16.91131201300167</v>
      </c>
      <c r="BS388" s="77" cm="1">
        <f t="array" ref="BS388">_xll.DCEPropSectI(BF388, BH388, BG388, BI388, BG388, BI388, "ry")/10</f>
        <v>5.1070747638622018</v>
      </c>
      <c r="BT388" s="5">
        <f t="shared" si="53"/>
        <v>191.58773710218577</v>
      </c>
      <c r="BU388" s="5">
        <f t="shared" si="54"/>
        <v>634.41405301647956</v>
      </c>
      <c r="BV388" s="5">
        <f t="shared" si="55"/>
        <v>634.41405301647956</v>
      </c>
      <c r="BW388" s="71">
        <f t="shared" si="56"/>
        <v>400</v>
      </c>
      <c r="BX388" s="78" cm="1">
        <f t="array" ref="BX388">IF(BM388&gt;0,1,_xll.DCETCVN5575FactorPhi7121(BV388*SQRT($K$17/206000),"b"))</f>
        <v>1</v>
      </c>
      <c r="BY388" s="64">
        <f t="shared" si="57"/>
        <v>0.18290208328290308</v>
      </c>
      <c r="BZ388" s="3" t="str">
        <f t="shared" si="58"/>
        <v>Check</v>
      </c>
    </row>
    <row r="389" spans="1:78">
      <c r="A389" s="76"/>
      <c r="B389" s="76"/>
      <c r="C389" s="125"/>
      <c r="D389" s="125"/>
      <c r="E389" s="71"/>
      <c r="F389" s="71"/>
      <c r="G389" s="71"/>
      <c r="H389" s="126"/>
      <c r="I389" s="125"/>
      <c r="J389" s="123"/>
      <c r="K389" s="12"/>
      <c r="L389" s="117"/>
      <c r="M389" s="12"/>
      <c r="N389" s="117"/>
      <c r="O389" s="117"/>
      <c r="P389" s="117"/>
      <c r="Q389" s="118"/>
      <c r="R389" s="118"/>
      <c r="S389" s="118"/>
      <c r="T389" s="12"/>
      <c r="U389" s="118"/>
      <c r="V389" s="118"/>
      <c r="W389" s="12"/>
      <c r="X389" s="119"/>
      <c r="Y389" s="120"/>
      <c r="Z389" s="12"/>
      <c r="BA389" s="70" t="s">
        <v>205</v>
      </c>
      <c r="BB389" s="71" t="s">
        <v>210</v>
      </c>
      <c r="BC389" s="71" t="s">
        <v>207</v>
      </c>
      <c r="BD389" s="71">
        <v>12.5</v>
      </c>
      <c r="BE389" s="71">
        <v>36</v>
      </c>
      <c r="BF389" s="71">
        <v>390</v>
      </c>
      <c r="BG389" s="71">
        <v>212</v>
      </c>
      <c r="BH389" s="71">
        <v>5</v>
      </c>
      <c r="BI389" s="71">
        <v>10</v>
      </c>
      <c r="BJ389" s="12" t="str" cm="1">
        <f t="array" ref="BJ389">_xll.Dce_Name_SectI(BF389, BF389, BG389, BH389, BI389, "x", "-", $AX$11)</f>
        <v>390x212x5x10</v>
      </c>
      <c r="BK389" s="77" cm="1">
        <f t="array" ref="BK389">_xll.DCEPropSectI(BF389, BH389, BG389, BI389, BG389, BI389, "A")/100</f>
        <v>60.9</v>
      </c>
      <c r="BL389" s="70" t="s">
        <v>218</v>
      </c>
      <c r="BM389" s="70">
        <v>233.91347431050471</v>
      </c>
      <c r="BN389" s="71">
        <v>0.9</v>
      </c>
      <c r="BO389" s="77">
        <f t="shared" si="51"/>
        <v>32.4</v>
      </c>
      <c r="BP389" s="71">
        <v>0.9</v>
      </c>
      <c r="BQ389" s="77">
        <f t="shared" si="52"/>
        <v>32.4</v>
      </c>
      <c r="BR389" s="77" cm="1">
        <f t="array" ref="BR389">_xll.DCEPropSectI(BF389, BH389, BG389, BI389, BG389, BI389, "rx")/10</f>
        <v>16.91131201300167</v>
      </c>
      <c r="BS389" s="77" cm="1">
        <f t="array" ref="BS389">_xll.DCEPropSectI(BF389, BH389, BG389, BI389, BG389, BI389, "ry")/10</f>
        <v>5.1070747638622018</v>
      </c>
      <c r="BT389" s="5">
        <f t="shared" si="53"/>
        <v>191.58773710218577</v>
      </c>
      <c r="BU389" s="5">
        <f t="shared" si="54"/>
        <v>634.41405301647956</v>
      </c>
      <c r="BV389" s="5">
        <f t="shared" si="55"/>
        <v>634.41405301647956</v>
      </c>
      <c r="BW389" s="71">
        <f t="shared" si="56"/>
        <v>400</v>
      </c>
      <c r="BX389" s="78" cm="1">
        <f t="array" ref="BX389">IF(BM389&gt;0,1,_xll.DCETCVN5575FactorPhi7121(BV389*SQRT($K$17/206000),"b"))</f>
        <v>1</v>
      </c>
      <c r="BY389" s="64">
        <f t="shared" si="57"/>
        <v>0.18290208328290308</v>
      </c>
      <c r="BZ389" s="3" t="str">
        <f t="shared" si="58"/>
        <v>Check</v>
      </c>
    </row>
    <row r="390" spans="1:78">
      <c r="A390" s="76"/>
      <c r="B390" s="76"/>
      <c r="C390" s="125"/>
      <c r="D390" s="125"/>
      <c r="E390" s="71"/>
      <c r="F390" s="71"/>
      <c r="G390" s="71"/>
      <c r="H390" s="126"/>
      <c r="I390" s="125"/>
      <c r="J390" s="123"/>
      <c r="K390" s="12"/>
      <c r="L390" s="117"/>
      <c r="M390" s="12"/>
      <c r="N390" s="117"/>
      <c r="O390" s="117"/>
      <c r="P390" s="117"/>
      <c r="Q390" s="118"/>
      <c r="R390" s="118"/>
      <c r="S390" s="118"/>
      <c r="T390" s="12"/>
      <c r="U390" s="118"/>
      <c r="V390" s="118"/>
      <c r="W390" s="12"/>
      <c r="X390" s="119"/>
      <c r="Y390" s="120"/>
      <c r="Z390" s="12"/>
      <c r="BA390" s="70" t="s">
        <v>205</v>
      </c>
      <c r="BB390" s="71" t="s">
        <v>210</v>
      </c>
      <c r="BC390" s="71" t="s">
        <v>207</v>
      </c>
      <c r="BD390" s="71">
        <v>13</v>
      </c>
      <c r="BE390" s="71">
        <v>36</v>
      </c>
      <c r="BF390" s="71">
        <v>390</v>
      </c>
      <c r="BG390" s="71">
        <v>212</v>
      </c>
      <c r="BH390" s="71">
        <v>5</v>
      </c>
      <c r="BI390" s="71">
        <v>10</v>
      </c>
      <c r="BJ390" s="12" t="str" cm="1">
        <f t="array" ref="BJ390">_xll.Dce_Name_SectI(BF390, BF390, BG390, BH390, BI390, "x", "-", $AX$11)</f>
        <v>390x212x5x10</v>
      </c>
      <c r="BK390" s="77" cm="1">
        <f t="array" ref="BK390">_xll.DCEPropSectI(BF390, BH390, BG390, BI390, BG390, BI390, "A")/100</f>
        <v>60.9</v>
      </c>
      <c r="BL390" s="70" t="s">
        <v>218</v>
      </c>
      <c r="BM390" s="70">
        <v>233.91347431050471</v>
      </c>
      <c r="BN390" s="71">
        <v>0.9</v>
      </c>
      <c r="BO390" s="77">
        <f t="shared" si="51"/>
        <v>32.4</v>
      </c>
      <c r="BP390" s="71">
        <v>0.9</v>
      </c>
      <c r="BQ390" s="77">
        <f t="shared" si="52"/>
        <v>32.4</v>
      </c>
      <c r="BR390" s="77" cm="1">
        <f t="array" ref="BR390">_xll.DCEPropSectI(BF390, BH390, BG390, BI390, BG390, BI390, "rx")/10</f>
        <v>16.91131201300167</v>
      </c>
      <c r="BS390" s="77" cm="1">
        <f t="array" ref="BS390">_xll.DCEPropSectI(BF390, BH390, BG390, BI390, BG390, BI390, "ry")/10</f>
        <v>5.1070747638622018</v>
      </c>
      <c r="BT390" s="5">
        <f t="shared" si="53"/>
        <v>191.58773710218577</v>
      </c>
      <c r="BU390" s="5">
        <f t="shared" si="54"/>
        <v>634.41405301647956</v>
      </c>
      <c r="BV390" s="5">
        <f t="shared" si="55"/>
        <v>634.41405301647956</v>
      </c>
      <c r="BW390" s="71">
        <f t="shared" si="56"/>
        <v>400</v>
      </c>
      <c r="BX390" s="78" cm="1">
        <f t="array" ref="BX390">IF(BM390&gt;0,1,_xll.DCETCVN5575FactorPhi7121(BV390*SQRT($K$17/206000),"b"))</f>
        <v>1</v>
      </c>
      <c r="BY390" s="64">
        <f t="shared" si="57"/>
        <v>0.18290208328290308</v>
      </c>
      <c r="BZ390" s="3" t="str">
        <f t="shared" si="58"/>
        <v>Check</v>
      </c>
    </row>
    <row r="391" spans="1:78">
      <c r="A391" s="76"/>
      <c r="B391" s="76"/>
      <c r="C391" s="125"/>
      <c r="D391" s="125"/>
      <c r="E391" s="71"/>
      <c r="F391" s="71"/>
      <c r="G391" s="71"/>
      <c r="H391" s="126"/>
      <c r="I391" s="125"/>
      <c r="J391" s="123"/>
      <c r="K391" s="12"/>
      <c r="L391" s="117"/>
      <c r="M391" s="12"/>
      <c r="N391" s="117"/>
      <c r="O391" s="117"/>
      <c r="P391" s="117"/>
      <c r="Q391" s="118"/>
      <c r="R391" s="118"/>
      <c r="S391" s="118"/>
      <c r="T391" s="12"/>
      <c r="U391" s="118"/>
      <c r="V391" s="118"/>
      <c r="W391" s="12"/>
      <c r="X391" s="119"/>
      <c r="Y391" s="120"/>
      <c r="Z391" s="12"/>
      <c r="BA391" s="70" t="s">
        <v>205</v>
      </c>
      <c r="BB391" s="71" t="s">
        <v>210</v>
      </c>
      <c r="BC391" s="71" t="s">
        <v>207</v>
      </c>
      <c r="BD391" s="71">
        <v>13.5</v>
      </c>
      <c r="BE391" s="71">
        <v>36</v>
      </c>
      <c r="BF391" s="71">
        <v>390</v>
      </c>
      <c r="BG391" s="71">
        <v>212</v>
      </c>
      <c r="BH391" s="71">
        <v>5</v>
      </c>
      <c r="BI391" s="71">
        <v>10</v>
      </c>
      <c r="BJ391" s="12" t="str" cm="1">
        <f t="array" ref="BJ391">_xll.Dce_Name_SectI(BF391, BF391, BG391, BH391, BI391, "x", "-", $AX$11)</f>
        <v>390x212x5x10</v>
      </c>
      <c r="BK391" s="77" cm="1">
        <f t="array" ref="BK391">_xll.DCEPropSectI(BF391, BH391, BG391, BI391, BG391, BI391, "A")/100</f>
        <v>60.9</v>
      </c>
      <c r="BL391" s="70" t="s">
        <v>218</v>
      </c>
      <c r="BM391" s="70">
        <v>233.91347431050471</v>
      </c>
      <c r="BN391" s="71">
        <v>0.9</v>
      </c>
      <c r="BO391" s="77">
        <f t="shared" si="51"/>
        <v>32.4</v>
      </c>
      <c r="BP391" s="71">
        <v>0.9</v>
      </c>
      <c r="BQ391" s="77">
        <f t="shared" si="52"/>
        <v>32.4</v>
      </c>
      <c r="BR391" s="77" cm="1">
        <f t="array" ref="BR391">_xll.DCEPropSectI(BF391, BH391, BG391, BI391, BG391, BI391, "rx")/10</f>
        <v>16.91131201300167</v>
      </c>
      <c r="BS391" s="77" cm="1">
        <f t="array" ref="BS391">_xll.DCEPropSectI(BF391, BH391, BG391, BI391, BG391, BI391, "ry")/10</f>
        <v>5.1070747638622018</v>
      </c>
      <c r="BT391" s="5">
        <f t="shared" si="53"/>
        <v>191.58773710218577</v>
      </c>
      <c r="BU391" s="5">
        <f t="shared" si="54"/>
        <v>634.41405301647956</v>
      </c>
      <c r="BV391" s="5">
        <f t="shared" si="55"/>
        <v>634.41405301647956</v>
      </c>
      <c r="BW391" s="71">
        <f t="shared" si="56"/>
        <v>400</v>
      </c>
      <c r="BX391" s="78" cm="1">
        <f t="array" ref="BX391">IF(BM391&gt;0,1,_xll.DCETCVN5575FactorPhi7121(BV391*SQRT($K$17/206000),"b"))</f>
        <v>1</v>
      </c>
      <c r="BY391" s="64">
        <f t="shared" si="57"/>
        <v>0.18290208328290308</v>
      </c>
      <c r="BZ391" s="3" t="str">
        <f t="shared" si="58"/>
        <v>Check</v>
      </c>
    </row>
    <row r="392" spans="1:78">
      <c r="A392" s="76"/>
      <c r="B392" s="76"/>
      <c r="C392" s="125"/>
      <c r="D392" s="125"/>
      <c r="E392" s="71"/>
      <c r="F392" s="71"/>
      <c r="G392" s="71"/>
      <c r="H392" s="126"/>
      <c r="I392" s="125"/>
      <c r="J392" s="123"/>
      <c r="K392" s="12"/>
      <c r="L392" s="117"/>
      <c r="M392" s="12"/>
      <c r="N392" s="117"/>
      <c r="O392" s="117"/>
      <c r="P392" s="117"/>
      <c r="Q392" s="118"/>
      <c r="R392" s="118"/>
      <c r="S392" s="118"/>
      <c r="T392" s="12"/>
      <c r="U392" s="118"/>
      <c r="V392" s="118"/>
      <c r="W392" s="12"/>
      <c r="X392" s="119"/>
      <c r="Y392" s="120"/>
      <c r="Z392" s="12"/>
      <c r="BA392" s="70" t="s">
        <v>205</v>
      </c>
      <c r="BB392" s="71" t="s">
        <v>210</v>
      </c>
      <c r="BC392" s="71" t="s">
        <v>207</v>
      </c>
      <c r="BD392" s="71">
        <v>14</v>
      </c>
      <c r="BE392" s="71">
        <v>36</v>
      </c>
      <c r="BF392" s="71">
        <v>390</v>
      </c>
      <c r="BG392" s="71">
        <v>212</v>
      </c>
      <c r="BH392" s="71">
        <v>5</v>
      </c>
      <c r="BI392" s="71">
        <v>10</v>
      </c>
      <c r="BJ392" s="12" t="str" cm="1">
        <f t="array" ref="BJ392">_xll.Dce_Name_SectI(BF392, BF392, BG392, BH392, BI392, "x", "-", $AX$11)</f>
        <v>390x212x5x10</v>
      </c>
      <c r="BK392" s="77" cm="1">
        <f t="array" ref="BK392">_xll.DCEPropSectI(BF392, BH392, BG392, BI392, BG392, BI392, "A")/100</f>
        <v>60.9</v>
      </c>
      <c r="BL392" s="70" t="s">
        <v>218</v>
      </c>
      <c r="BM392" s="70">
        <v>233.91347431050471</v>
      </c>
      <c r="BN392" s="71">
        <v>0.9</v>
      </c>
      <c r="BO392" s="77">
        <f t="shared" si="51"/>
        <v>32.4</v>
      </c>
      <c r="BP392" s="71">
        <v>0.9</v>
      </c>
      <c r="BQ392" s="77">
        <f t="shared" si="52"/>
        <v>32.4</v>
      </c>
      <c r="BR392" s="77" cm="1">
        <f t="array" ref="BR392">_xll.DCEPropSectI(BF392, BH392, BG392, BI392, BG392, BI392, "rx")/10</f>
        <v>16.91131201300167</v>
      </c>
      <c r="BS392" s="77" cm="1">
        <f t="array" ref="BS392">_xll.DCEPropSectI(BF392, BH392, BG392, BI392, BG392, BI392, "ry")/10</f>
        <v>5.1070747638622018</v>
      </c>
      <c r="BT392" s="5">
        <f t="shared" si="53"/>
        <v>191.58773710218577</v>
      </c>
      <c r="BU392" s="5">
        <f t="shared" si="54"/>
        <v>634.41405301647956</v>
      </c>
      <c r="BV392" s="5">
        <f t="shared" si="55"/>
        <v>634.41405301647956</v>
      </c>
      <c r="BW392" s="71">
        <f t="shared" si="56"/>
        <v>400</v>
      </c>
      <c r="BX392" s="78" cm="1">
        <f t="array" ref="BX392">IF(BM392&gt;0,1,_xll.DCETCVN5575FactorPhi7121(BV392*SQRT($K$17/206000),"b"))</f>
        <v>1</v>
      </c>
      <c r="BY392" s="64">
        <f t="shared" si="57"/>
        <v>0.18290208328290308</v>
      </c>
      <c r="BZ392" s="3" t="str">
        <f t="shared" si="58"/>
        <v>Check</v>
      </c>
    </row>
    <row r="393" spans="1:78">
      <c r="A393" s="76"/>
      <c r="B393" s="76"/>
      <c r="C393" s="125"/>
      <c r="D393" s="125"/>
      <c r="E393" s="71"/>
      <c r="F393" s="71"/>
      <c r="G393" s="71"/>
      <c r="H393" s="126"/>
      <c r="I393" s="125"/>
      <c r="J393" s="123"/>
      <c r="K393" s="12"/>
      <c r="L393" s="117"/>
      <c r="M393" s="12"/>
      <c r="N393" s="117"/>
      <c r="O393" s="117"/>
      <c r="P393" s="117"/>
      <c r="Q393" s="118"/>
      <c r="R393" s="118"/>
      <c r="S393" s="118"/>
      <c r="T393" s="12"/>
      <c r="U393" s="118"/>
      <c r="V393" s="118"/>
      <c r="W393" s="12"/>
      <c r="X393" s="119"/>
      <c r="Y393" s="120"/>
      <c r="Z393" s="12"/>
      <c r="BA393" s="70" t="s">
        <v>205</v>
      </c>
      <c r="BB393" s="71" t="s">
        <v>210</v>
      </c>
      <c r="BC393" s="71" t="s">
        <v>207</v>
      </c>
      <c r="BD393" s="71">
        <v>14.5</v>
      </c>
      <c r="BE393" s="71">
        <v>36</v>
      </c>
      <c r="BF393" s="71">
        <v>390</v>
      </c>
      <c r="BG393" s="71">
        <v>212</v>
      </c>
      <c r="BH393" s="71">
        <v>5</v>
      </c>
      <c r="BI393" s="71">
        <v>10</v>
      </c>
      <c r="BJ393" s="12" t="str" cm="1">
        <f t="array" ref="BJ393">_xll.Dce_Name_SectI(BF393, BF393, BG393, BH393, BI393, "x", "-", $AX$11)</f>
        <v>390x212x5x10</v>
      </c>
      <c r="BK393" s="77" cm="1">
        <f t="array" ref="BK393">_xll.DCEPropSectI(BF393, BH393, BG393, BI393, BG393, BI393, "A")/100</f>
        <v>60.9</v>
      </c>
      <c r="BL393" s="70" t="s">
        <v>218</v>
      </c>
      <c r="BM393" s="70">
        <v>233.91347431050471</v>
      </c>
      <c r="BN393" s="71">
        <v>0.9</v>
      </c>
      <c r="BO393" s="77">
        <f t="shared" si="51"/>
        <v>32.4</v>
      </c>
      <c r="BP393" s="71">
        <v>0.9</v>
      </c>
      <c r="BQ393" s="77">
        <f t="shared" si="52"/>
        <v>32.4</v>
      </c>
      <c r="BR393" s="77" cm="1">
        <f t="array" ref="BR393">_xll.DCEPropSectI(BF393, BH393, BG393, BI393, BG393, BI393, "rx")/10</f>
        <v>16.91131201300167</v>
      </c>
      <c r="BS393" s="77" cm="1">
        <f t="array" ref="BS393">_xll.DCEPropSectI(BF393, BH393, BG393, BI393, BG393, BI393, "ry")/10</f>
        <v>5.1070747638622018</v>
      </c>
      <c r="BT393" s="5">
        <f t="shared" si="53"/>
        <v>191.58773710218577</v>
      </c>
      <c r="BU393" s="5">
        <f t="shared" si="54"/>
        <v>634.41405301647956</v>
      </c>
      <c r="BV393" s="5">
        <f t="shared" si="55"/>
        <v>634.41405301647956</v>
      </c>
      <c r="BW393" s="71">
        <f t="shared" si="56"/>
        <v>400</v>
      </c>
      <c r="BX393" s="78" cm="1">
        <f t="array" ref="BX393">IF(BM393&gt;0,1,_xll.DCETCVN5575FactorPhi7121(BV393*SQRT($K$17/206000),"b"))</f>
        <v>1</v>
      </c>
      <c r="BY393" s="64">
        <f t="shared" si="57"/>
        <v>0.18290208328290308</v>
      </c>
      <c r="BZ393" s="3" t="str">
        <f t="shared" si="58"/>
        <v>Check</v>
      </c>
    </row>
    <row r="394" spans="1:78">
      <c r="A394" s="76"/>
      <c r="B394" s="76"/>
      <c r="C394" s="125"/>
      <c r="D394" s="125"/>
      <c r="E394" s="71"/>
      <c r="F394" s="71"/>
      <c r="G394" s="71"/>
      <c r="H394" s="126"/>
      <c r="I394" s="125"/>
      <c r="J394" s="123"/>
      <c r="K394" s="12"/>
      <c r="L394" s="117"/>
      <c r="M394" s="12"/>
      <c r="N394" s="117"/>
      <c r="O394" s="117"/>
      <c r="P394" s="117"/>
      <c r="Q394" s="118"/>
      <c r="R394" s="118"/>
      <c r="S394" s="118"/>
      <c r="T394" s="12"/>
      <c r="U394" s="118"/>
      <c r="V394" s="118"/>
      <c r="W394" s="12"/>
      <c r="X394" s="119"/>
      <c r="Y394" s="120"/>
      <c r="Z394" s="12"/>
      <c r="BA394" s="70" t="s">
        <v>205</v>
      </c>
      <c r="BB394" s="71" t="s">
        <v>210</v>
      </c>
      <c r="BC394" s="71" t="s">
        <v>207</v>
      </c>
      <c r="BD394" s="71">
        <v>15</v>
      </c>
      <c r="BE394" s="71">
        <v>36</v>
      </c>
      <c r="BF394" s="71">
        <v>390</v>
      </c>
      <c r="BG394" s="71">
        <v>212</v>
      </c>
      <c r="BH394" s="71">
        <v>5</v>
      </c>
      <c r="BI394" s="71">
        <v>10</v>
      </c>
      <c r="BJ394" s="12" t="str" cm="1">
        <f t="array" ref="BJ394">_xll.Dce_Name_SectI(BF394, BF394, BG394, BH394, BI394, "x", "-", $AX$11)</f>
        <v>390x212x5x10</v>
      </c>
      <c r="BK394" s="77" cm="1">
        <f t="array" ref="BK394">_xll.DCEPropSectI(BF394, BH394, BG394, BI394, BG394, BI394, "A")/100</f>
        <v>60.9</v>
      </c>
      <c r="BL394" s="70" t="s">
        <v>218</v>
      </c>
      <c r="BM394" s="70">
        <v>233.91347431050471</v>
      </c>
      <c r="BN394" s="71">
        <v>0.9</v>
      </c>
      <c r="BO394" s="77">
        <f t="shared" si="51"/>
        <v>32.4</v>
      </c>
      <c r="BP394" s="71">
        <v>0.9</v>
      </c>
      <c r="BQ394" s="77">
        <f t="shared" si="52"/>
        <v>32.4</v>
      </c>
      <c r="BR394" s="77" cm="1">
        <f t="array" ref="BR394">_xll.DCEPropSectI(BF394, BH394, BG394, BI394, BG394, BI394, "rx")/10</f>
        <v>16.91131201300167</v>
      </c>
      <c r="BS394" s="77" cm="1">
        <f t="array" ref="BS394">_xll.DCEPropSectI(BF394, BH394, BG394, BI394, BG394, BI394, "ry")/10</f>
        <v>5.1070747638622018</v>
      </c>
      <c r="BT394" s="5">
        <f t="shared" si="53"/>
        <v>191.58773710218577</v>
      </c>
      <c r="BU394" s="5">
        <f t="shared" si="54"/>
        <v>634.41405301647956</v>
      </c>
      <c r="BV394" s="5">
        <f t="shared" si="55"/>
        <v>634.41405301647956</v>
      </c>
      <c r="BW394" s="71">
        <f t="shared" si="56"/>
        <v>400</v>
      </c>
      <c r="BX394" s="78" cm="1">
        <f t="array" ref="BX394">IF(BM394&gt;0,1,_xll.DCETCVN5575FactorPhi7121(BV394*SQRT($K$17/206000),"b"))</f>
        <v>1</v>
      </c>
      <c r="BY394" s="64">
        <f t="shared" si="57"/>
        <v>0.18290208328290308</v>
      </c>
      <c r="BZ394" s="3" t="str">
        <f t="shared" si="58"/>
        <v>Check</v>
      </c>
    </row>
    <row r="395" spans="1:78">
      <c r="A395" s="76"/>
      <c r="B395" s="76"/>
      <c r="C395" s="125"/>
      <c r="D395" s="125"/>
      <c r="E395" s="71"/>
      <c r="F395" s="71"/>
      <c r="G395" s="71"/>
      <c r="H395" s="126"/>
      <c r="I395" s="125"/>
      <c r="J395" s="123"/>
      <c r="K395" s="12"/>
      <c r="L395" s="117"/>
      <c r="M395" s="12"/>
      <c r="N395" s="117"/>
      <c r="O395" s="117"/>
      <c r="P395" s="117"/>
      <c r="Q395" s="118"/>
      <c r="R395" s="118"/>
      <c r="S395" s="118"/>
      <c r="T395" s="12"/>
      <c r="U395" s="118"/>
      <c r="V395" s="118"/>
      <c r="W395" s="12"/>
      <c r="X395" s="119"/>
      <c r="Y395" s="120"/>
      <c r="Z395" s="12"/>
      <c r="BA395" s="70" t="s">
        <v>205</v>
      </c>
      <c r="BB395" s="71" t="s">
        <v>210</v>
      </c>
      <c r="BC395" s="71" t="s">
        <v>207</v>
      </c>
      <c r="BD395" s="71">
        <v>15</v>
      </c>
      <c r="BE395" s="71">
        <v>36</v>
      </c>
      <c r="BF395" s="71">
        <v>390</v>
      </c>
      <c r="BG395" s="71">
        <v>212</v>
      </c>
      <c r="BH395" s="71">
        <v>5</v>
      </c>
      <c r="BI395" s="71">
        <v>10</v>
      </c>
      <c r="BJ395" s="12" t="str" cm="1">
        <f t="array" ref="BJ395">_xll.Dce_Name_SectI(BF395, BF395, BG395, BH395, BI395, "x", "-", $AX$11)</f>
        <v>390x212x5x10</v>
      </c>
      <c r="BK395" s="77" cm="1">
        <f t="array" ref="BK395">_xll.DCEPropSectI(BF395, BH395, BG395, BI395, BG395, BI395, "A")/100</f>
        <v>60.9</v>
      </c>
      <c r="BL395" s="70" t="s">
        <v>218</v>
      </c>
      <c r="BM395" s="70">
        <v>325.91840699307289</v>
      </c>
      <c r="BN395" s="71">
        <v>0.9</v>
      </c>
      <c r="BO395" s="77">
        <f t="shared" si="51"/>
        <v>32.4</v>
      </c>
      <c r="BP395" s="71">
        <v>0.9</v>
      </c>
      <c r="BQ395" s="77">
        <f t="shared" si="52"/>
        <v>32.4</v>
      </c>
      <c r="BR395" s="77" cm="1">
        <f t="array" ref="BR395">_xll.DCEPropSectI(BF395, BH395, BG395, BI395, BG395, BI395, "rx")/10</f>
        <v>16.91131201300167</v>
      </c>
      <c r="BS395" s="77" cm="1">
        <f t="array" ref="BS395">_xll.DCEPropSectI(BF395, BH395, BG395, BI395, BG395, BI395, "ry")/10</f>
        <v>5.1070747638622018</v>
      </c>
      <c r="BT395" s="5">
        <f t="shared" si="53"/>
        <v>191.58773710218577</v>
      </c>
      <c r="BU395" s="5">
        <f t="shared" si="54"/>
        <v>634.41405301647956</v>
      </c>
      <c r="BV395" s="5">
        <f t="shared" si="55"/>
        <v>634.41405301647956</v>
      </c>
      <c r="BW395" s="71">
        <f t="shared" si="56"/>
        <v>400</v>
      </c>
      <c r="BX395" s="78" cm="1">
        <f t="array" ref="BX395">IF(BM395&gt;0,1,_xll.DCETCVN5575FactorPhi7121(BV395*SQRT($K$17/206000),"b"))</f>
        <v>1</v>
      </c>
      <c r="BY395" s="64">
        <f t="shared" si="57"/>
        <v>0.25484276096103914</v>
      </c>
      <c r="BZ395" s="3" t="str">
        <f t="shared" si="58"/>
        <v>Check</v>
      </c>
    </row>
    <row r="396" spans="1:78">
      <c r="A396" s="76"/>
      <c r="B396" s="76"/>
      <c r="C396" s="125"/>
      <c r="D396" s="125"/>
      <c r="E396" s="71"/>
      <c r="F396" s="71"/>
      <c r="G396" s="71"/>
      <c r="H396" s="126"/>
      <c r="I396" s="125"/>
      <c r="J396" s="123"/>
      <c r="K396" s="12"/>
      <c r="L396" s="117"/>
      <c r="M396" s="12"/>
      <c r="N396" s="117"/>
      <c r="O396" s="117"/>
      <c r="P396" s="117"/>
      <c r="Q396" s="118"/>
      <c r="R396" s="118"/>
      <c r="S396" s="118"/>
      <c r="T396" s="12"/>
      <c r="U396" s="118"/>
      <c r="V396" s="118"/>
      <c r="W396" s="12"/>
      <c r="X396" s="119"/>
      <c r="Y396" s="120"/>
      <c r="Z396" s="12"/>
      <c r="BA396" s="70" t="s">
        <v>205</v>
      </c>
      <c r="BB396" s="71" t="s">
        <v>210</v>
      </c>
      <c r="BC396" s="71" t="s">
        <v>207</v>
      </c>
      <c r="BD396" s="71">
        <v>15.5</v>
      </c>
      <c r="BE396" s="71">
        <v>36</v>
      </c>
      <c r="BF396" s="71">
        <v>390</v>
      </c>
      <c r="BG396" s="71">
        <v>212</v>
      </c>
      <c r="BH396" s="71">
        <v>5</v>
      </c>
      <c r="BI396" s="71">
        <v>10</v>
      </c>
      <c r="BJ396" s="12" t="str" cm="1">
        <f t="array" ref="BJ396">_xll.Dce_Name_SectI(BF396, BF396, BG396, BH396, BI396, "x", "-", $AX$11)</f>
        <v>390x212x5x10</v>
      </c>
      <c r="BK396" s="77" cm="1">
        <f t="array" ref="BK396">_xll.DCEPropSectI(BF396, BH396, BG396, BI396, BG396, BI396, "A")/100</f>
        <v>60.9</v>
      </c>
      <c r="BL396" s="70" t="s">
        <v>218</v>
      </c>
      <c r="BM396" s="70">
        <v>325.91840699307289</v>
      </c>
      <c r="BN396" s="71">
        <v>0.9</v>
      </c>
      <c r="BO396" s="77">
        <f t="shared" si="51"/>
        <v>32.4</v>
      </c>
      <c r="BP396" s="71">
        <v>0.9</v>
      </c>
      <c r="BQ396" s="77">
        <f t="shared" si="52"/>
        <v>32.4</v>
      </c>
      <c r="BR396" s="77" cm="1">
        <f t="array" ref="BR396">_xll.DCEPropSectI(BF396, BH396, BG396, BI396, BG396, BI396, "rx")/10</f>
        <v>16.91131201300167</v>
      </c>
      <c r="BS396" s="77" cm="1">
        <f t="array" ref="BS396">_xll.DCEPropSectI(BF396, BH396, BG396, BI396, BG396, BI396, "ry")/10</f>
        <v>5.1070747638622018</v>
      </c>
      <c r="BT396" s="5">
        <f t="shared" si="53"/>
        <v>191.58773710218577</v>
      </c>
      <c r="BU396" s="5">
        <f t="shared" si="54"/>
        <v>634.41405301647956</v>
      </c>
      <c r="BV396" s="5">
        <f t="shared" si="55"/>
        <v>634.41405301647956</v>
      </c>
      <c r="BW396" s="71">
        <f t="shared" si="56"/>
        <v>400</v>
      </c>
      <c r="BX396" s="78" cm="1">
        <f t="array" ref="BX396">IF(BM396&gt;0,1,_xll.DCETCVN5575FactorPhi7121(BV396*SQRT($K$17/206000),"b"))</f>
        <v>1</v>
      </c>
      <c r="BY396" s="64">
        <f t="shared" si="57"/>
        <v>0.25484276096103914</v>
      </c>
      <c r="BZ396" s="3" t="str">
        <f t="shared" si="58"/>
        <v>Check</v>
      </c>
    </row>
    <row r="397" spans="1:78">
      <c r="A397" s="76"/>
      <c r="B397" s="76"/>
      <c r="C397" s="125"/>
      <c r="D397" s="125"/>
      <c r="E397" s="71"/>
      <c r="F397" s="71"/>
      <c r="G397" s="71"/>
      <c r="H397" s="126"/>
      <c r="I397" s="125"/>
      <c r="J397" s="123"/>
      <c r="K397" s="12"/>
      <c r="L397" s="117"/>
      <c r="M397" s="12"/>
      <c r="N397" s="117"/>
      <c r="O397" s="117"/>
      <c r="P397" s="117"/>
      <c r="Q397" s="118"/>
      <c r="R397" s="118"/>
      <c r="S397" s="118"/>
      <c r="T397" s="12"/>
      <c r="U397" s="118"/>
      <c r="V397" s="118"/>
      <c r="W397" s="12"/>
      <c r="X397" s="119"/>
      <c r="Y397" s="120"/>
      <c r="Z397" s="12"/>
      <c r="BA397" s="70" t="s">
        <v>205</v>
      </c>
      <c r="BB397" s="71" t="s">
        <v>210</v>
      </c>
      <c r="BC397" s="71" t="s">
        <v>207</v>
      </c>
      <c r="BD397" s="71">
        <v>16</v>
      </c>
      <c r="BE397" s="71">
        <v>36</v>
      </c>
      <c r="BF397" s="71">
        <v>390</v>
      </c>
      <c r="BG397" s="71">
        <v>212</v>
      </c>
      <c r="BH397" s="71">
        <v>5</v>
      </c>
      <c r="BI397" s="71">
        <v>10</v>
      </c>
      <c r="BJ397" s="12" t="str" cm="1">
        <f t="array" ref="BJ397">_xll.Dce_Name_SectI(BF397, BF397, BG397, BH397, BI397, "x", "-", $AX$11)</f>
        <v>390x212x5x10</v>
      </c>
      <c r="BK397" s="77" cm="1">
        <f t="array" ref="BK397">_xll.DCEPropSectI(BF397, BH397, BG397, BI397, BG397, BI397, "A")/100</f>
        <v>60.9</v>
      </c>
      <c r="BL397" s="70" t="s">
        <v>218</v>
      </c>
      <c r="BM397" s="70">
        <v>325.91840699307289</v>
      </c>
      <c r="BN397" s="71">
        <v>0.9</v>
      </c>
      <c r="BO397" s="77">
        <f t="shared" ref="BO397:BO460" si="59">BN397*BE397</f>
        <v>32.4</v>
      </c>
      <c r="BP397" s="71">
        <v>0.9</v>
      </c>
      <c r="BQ397" s="77">
        <f t="shared" ref="BQ397:BQ460" si="60">BP397*BE397</f>
        <v>32.4</v>
      </c>
      <c r="BR397" s="77" cm="1">
        <f t="array" ref="BR397">_xll.DCEPropSectI(BF397, BH397, BG397, BI397, BG397, BI397, "rx")/10</f>
        <v>16.91131201300167</v>
      </c>
      <c r="BS397" s="77" cm="1">
        <f t="array" ref="BS397">_xll.DCEPropSectI(BF397, BH397, BG397, BI397, BG397, BI397, "ry")/10</f>
        <v>5.1070747638622018</v>
      </c>
      <c r="BT397" s="5">
        <f t="shared" ref="BT397:BT460" si="61">BO397*100/BR397</f>
        <v>191.58773710218577</v>
      </c>
      <c r="BU397" s="5">
        <f t="shared" ref="BU397:BU460" si="62">BQ397*100/BS397</f>
        <v>634.41405301647956</v>
      </c>
      <c r="BV397" s="5">
        <f t="shared" ref="BV397:BV460" si="63">MAX(BT397,BU397)</f>
        <v>634.41405301647956</v>
      </c>
      <c r="BW397" s="71">
        <f t="shared" ref="BW397:BW460" si="64">IF(BM397&lt;0,$AY$14,$AY$15)</f>
        <v>400</v>
      </c>
      <c r="BX397" s="78" cm="1">
        <f t="array" ref="BX397">IF(BM397&gt;0,1,_xll.DCETCVN5575FactorPhi7121(BV397*SQRT($K$17/206000),"b"))</f>
        <v>1</v>
      </c>
      <c r="BY397" s="64">
        <f t="shared" ref="BY397:BY460" si="65">ABS(BM397)/(BX397*BK397*$K$17*$K$19)*10</f>
        <v>0.25484276096103914</v>
      </c>
      <c r="BZ397" s="3" t="str">
        <f t="shared" ref="BZ397:BZ460" si="66">IF(AND(BV397&lt;=BW397,BY397&lt;=1),"OK","Check")</f>
        <v>Check</v>
      </c>
    </row>
    <row r="398" spans="1:78">
      <c r="A398" s="76"/>
      <c r="B398" s="76"/>
      <c r="C398" s="125"/>
      <c r="D398" s="125"/>
      <c r="E398" s="71"/>
      <c r="F398" s="71"/>
      <c r="G398" s="71"/>
      <c r="H398" s="126"/>
      <c r="I398" s="125"/>
      <c r="J398" s="123"/>
      <c r="K398" s="12"/>
      <c r="L398" s="117"/>
      <c r="M398" s="12"/>
      <c r="N398" s="117"/>
      <c r="O398" s="117"/>
      <c r="P398" s="117"/>
      <c r="Q398" s="118"/>
      <c r="R398" s="118"/>
      <c r="S398" s="118"/>
      <c r="T398" s="12"/>
      <c r="U398" s="118"/>
      <c r="V398" s="118"/>
      <c r="W398" s="12"/>
      <c r="X398" s="119"/>
      <c r="Y398" s="120"/>
      <c r="Z398" s="12"/>
      <c r="BA398" s="70" t="s">
        <v>205</v>
      </c>
      <c r="BB398" s="71" t="s">
        <v>210</v>
      </c>
      <c r="BC398" s="71" t="s">
        <v>207</v>
      </c>
      <c r="BD398" s="71">
        <v>16.5</v>
      </c>
      <c r="BE398" s="71">
        <v>36</v>
      </c>
      <c r="BF398" s="71">
        <v>390</v>
      </c>
      <c r="BG398" s="71">
        <v>212</v>
      </c>
      <c r="BH398" s="71">
        <v>5</v>
      </c>
      <c r="BI398" s="71">
        <v>10</v>
      </c>
      <c r="BJ398" s="12" t="str" cm="1">
        <f t="array" ref="BJ398">_xll.Dce_Name_SectI(BF398, BF398, BG398, BH398, BI398, "x", "-", $AX$11)</f>
        <v>390x212x5x10</v>
      </c>
      <c r="BK398" s="77" cm="1">
        <f t="array" ref="BK398">_xll.DCEPropSectI(BF398, BH398, BG398, BI398, BG398, BI398, "A")/100</f>
        <v>60.9</v>
      </c>
      <c r="BL398" s="70" t="s">
        <v>218</v>
      </c>
      <c r="BM398" s="70">
        <v>325.91840699307289</v>
      </c>
      <c r="BN398" s="71">
        <v>0.9</v>
      </c>
      <c r="BO398" s="77">
        <f t="shared" si="59"/>
        <v>32.4</v>
      </c>
      <c r="BP398" s="71">
        <v>0.9</v>
      </c>
      <c r="BQ398" s="77">
        <f t="shared" si="60"/>
        <v>32.4</v>
      </c>
      <c r="BR398" s="77" cm="1">
        <f t="array" ref="BR398">_xll.DCEPropSectI(BF398, BH398, BG398, BI398, BG398, BI398, "rx")/10</f>
        <v>16.91131201300167</v>
      </c>
      <c r="BS398" s="77" cm="1">
        <f t="array" ref="BS398">_xll.DCEPropSectI(BF398, BH398, BG398, BI398, BG398, BI398, "ry")/10</f>
        <v>5.1070747638622018</v>
      </c>
      <c r="BT398" s="5">
        <f t="shared" si="61"/>
        <v>191.58773710218577</v>
      </c>
      <c r="BU398" s="5">
        <f t="shared" si="62"/>
        <v>634.41405301647956</v>
      </c>
      <c r="BV398" s="5">
        <f t="shared" si="63"/>
        <v>634.41405301647956</v>
      </c>
      <c r="BW398" s="71">
        <f t="shared" si="64"/>
        <v>400</v>
      </c>
      <c r="BX398" s="78" cm="1">
        <f t="array" ref="BX398">IF(BM398&gt;0,1,_xll.DCETCVN5575FactorPhi7121(BV398*SQRT($K$17/206000),"b"))</f>
        <v>1</v>
      </c>
      <c r="BY398" s="64">
        <f t="shared" si="65"/>
        <v>0.25484276096103914</v>
      </c>
      <c r="BZ398" s="3" t="str">
        <f t="shared" si="66"/>
        <v>Check</v>
      </c>
    </row>
    <row r="399" spans="1:78">
      <c r="A399" s="76"/>
      <c r="B399" s="76"/>
      <c r="C399" s="125"/>
      <c r="D399" s="125"/>
      <c r="E399" s="71"/>
      <c r="F399" s="71"/>
      <c r="G399" s="71"/>
      <c r="H399" s="126"/>
      <c r="I399" s="125"/>
      <c r="J399" s="123"/>
      <c r="K399" s="12"/>
      <c r="L399" s="117"/>
      <c r="M399" s="12"/>
      <c r="N399" s="117"/>
      <c r="O399" s="117"/>
      <c r="P399" s="117"/>
      <c r="Q399" s="118"/>
      <c r="R399" s="118"/>
      <c r="S399" s="118"/>
      <c r="T399" s="12"/>
      <c r="U399" s="118"/>
      <c r="V399" s="118"/>
      <c r="W399" s="12"/>
      <c r="X399" s="119"/>
      <c r="Y399" s="120"/>
      <c r="Z399" s="12"/>
      <c r="BA399" s="70" t="s">
        <v>205</v>
      </c>
      <c r="BB399" s="71" t="s">
        <v>210</v>
      </c>
      <c r="BC399" s="71" t="s">
        <v>207</v>
      </c>
      <c r="BD399" s="71">
        <v>17</v>
      </c>
      <c r="BE399" s="71">
        <v>36</v>
      </c>
      <c r="BF399" s="71">
        <v>390</v>
      </c>
      <c r="BG399" s="71">
        <v>212</v>
      </c>
      <c r="BH399" s="71">
        <v>5</v>
      </c>
      <c r="BI399" s="71">
        <v>10</v>
      </c>
      <c r="BJ399" s="12" t="str" cm="1">
        <f t="array" ref="BJ399">_xll.Dce_Name_SectI(BF399, BF399, BG399, BH399, BI399, "x", "-", $AX$11)</f>
        <v>390x212x5x10</v>
      </c>
      <c r="BK399" s="77" cm="1">
        <f t="array" ref="BK399">_xll.DCEPropSectI(BF399, BH399, BG399, BI399, BG399, BI399, "A")/100</f>
        <v>60.9</v>
      </c>
      <c r="BL399" s="70" t="s">
        <v>218</v>
      </c>
      <c r="BM399" s="70">
        <v>325.91840699307289</v>
      </c>
      <c r="BN399" s="71">
        <v>0.9</v>
      </c>
      <c r="BO399" s="77">
        <f t="shared" si="59"/>
        <v>32.4</v>
      </c>
      <c r="BP399" s="71">
        <v>0.9</v>
      </c>
      <c r="BQ399" s="77">
        <f t="shared" si="60"/>
        <v>32.4</v>
      </c>
      <c r="BR399" s="77" cm="1">
        <f t="array" ref="BR399">_xll.DCEPropSectI(BF399, BH399, BG399, BI399, BG399, BI399, "rx")/10</f>
        <v>16.91131201300167</v>
      </c>
      <c r="BS399" s="77" cm="1">
        <f t="array" ref="BS399">_xll.DCEPropSectI(BF399, BH399, BG399, BI399, BG399, BI399, "ry")/10</f>
        <v>5.1070747638622018</v>
      </c>
      <c r="BT399" s="5">
        <f t="shared" si="61"/>
        <v>191.58773710218577</v>
      </c>
      <c r="BU399" s="5">
        <f t="shared" si="62"/>
        <v>634.41405301647956</v>
      </c>
      <c r="BV399" s="5">
        <f t="shared" si="63"/>
        <v>634.41405301647956</v>
      </c>
      <c r="BW399" s="71">
        <f t="shared" si="64"/>
        <v>400</v>
      </c>
      <c r="BX399" s="78" cm="1">
        <f t="array" ref="BX399">IF(BM399&gt;0,1,_xll.DCETCVN5575FactorPhi7121(BV399*SQRT($K$17/206000),"b"))</f>
        <v>1</v>
      </c>
      <c r="BY399" s="64">
        <f t="shared" si="65"/>
        <v>0.25484276096103914</v>
      </c>
      <c r="BZ399" s="3" t="str">
        <f t="shared" si="66"/>
        <v>Check</v>
      </c>
    </row>
    <row r="400" spans="1:78">
      <c r="A400" s="76"/>
      <c r="B400" s="76"/>
      <c r="C400" s="125"/>
      <c r="D400" s="125"/>
      <c r="E400" s="71"/>
      <c r="F400" s="71"/>
      <c r="G400" s="71"/>
      <c r="H400" s="126"/>
      <c r="I400" s="125"/>
      <c r="J400" s="123"/>
      <c r="K400" s="12"/>
      <c r="L400" s="117"/>
      <c r="M400" s="12"/>
      <c r="N400" s="117"/>
      <c r="O400" s="117"/>
      <c r="P400" s="117"/>
      <c r="Q400" s="118"/>
      <c r="R400" s="118"/>
      <c r="S400" s="118"/>
      <c r="T400" s="12"/>
      <c r="U400" s="118"/>
      <c r="V400" s="118"/>
      <c r="W400" s="12"/>
      <c r="X400" s="119"/>
      <c r="Y400" s="120"/>
      <c r="Z400" s="12"/>
      <c r="BA400" s="70" t="s">
        <v>205</v>
      </c>
      <c r="BB400" s="71" t="s">
        <v>210</v>
      </c>
      <c r="BC400" s="71" t="s">
        <v>207</v>
      </c>
      <c r="BD400" s="71">
        <v>17.5</v>
      </c>
      <c r="BE400" s="71">
        <v>36</v>
      </c>
      <c r="BF400" s="71">
        <v>390</v>
      </c>
      <c r="BG400" s="71">
        <v>212</v>
      </c>
      <c r="BH400" s="71">
        <v>5</v>
      </c>
      <c r="BI400" s="71">
        <v>10</v>
      </c>
      <c r="BJ400" s="12" t="str" cm="1">
        <f t="array" ref="BJ400">_xll.Dce_Name_SectI(BF400, BF400, BG400, BH400, BI400, "x", "-", $AX$11)</f>
        <v>390x212x5x10</v>
      </c>
      <c r="BK400" s="77" cm="1">
        <f t="array" ref="BK400">_xll.DCEPropSectI(BF400, BH400, BG400, BI400, BG400, BI400, "A")/100</f>
        <v>60.9</v>
      </c>
      <c r="BL400" s="70" t="s">
        <v>218</v>
      </c>
      <c r="BM400" s="70">
        <v>325.91840699307289</v>
      </c>
      <c r="BN400" s="71">
        <v>0.9</v>
      </c>
      <c r="BO400" s="77">
        <f t="shared" si="59"/>
        <v>32.4</v>
      </c>
      <c r="BP400" s="71">
        <v>0.9</v>
      </c>
      <c r="BQ400" s="77">
        <f t="shared" si="60"/>
        <v>32.4</v>
      </c>
      <c r="BR400" s="77" cm="1">
        <f t="array" ref="BR400">_xll.DCEPropSectI(BF400, BH400, BG400, BI400, BG400, BI400, "rx")/10</f>
        <v>16.91131201300167</v>
      </c>
      <c r="BS400" s="77" cm="1">
        <f t="array" ref="BS400">_xll.DCEPropSectI(BF400, BH400, BG400, BI400, BG400, BI400, "ry")/10</f>
        <v>5.1070747638622018</v>
      </c>
      <c r="BT400" s="5">
        <f t="shared" si="61"/>
        <v>191.58773710218577</v>
      </c>
      <c r="BU400" s="5">
        <f t="shared" si="62"/>
        <v>634.41405301647956</v>
      </c>
      <c r="BV400" s="5">
        <f t="shared" si="63"/>
        <v>634.41405301647956</v>
      </c>
      <c r="BW400" s="71">
        <f t="shared" si="64"/>
        <v>400</v>
      </c>
      <c r="BX400" s="78" cm="1">
        <f t="array" ref="BX400">IF(BM400&gt;0,1,_xll.DCETCVN5575FactorPhi7121(BV400*SQRT($K$17/206000),"b"))</f>
        <v>1</v>
      </c>
      <c r="BY400" s="64">
        <f t="shared" si="65"/>
        <v>0.25484276096103914</v>
      </c>
      <c r="BZ400" s="3" t="str">
        <f t="shared" si="66"/>
        <v>Check</v>
      </c>
    </row>
    <row r="401" spans="1:78">
      <c r="A401" s="76"/>
      <c r="B401" s="76"/>
      <c r="C401" s="125"/>
      <c r="D401" s="125"/>
      <c r="E401" s="71"/>
      <c r="F401" s="71"/>
      <c r="G401" s="71"/>
      <c r="H401" s="126"/>
      <c r="I401" s="125"/>
      <c r="J401" s="123"/>
      <c r="K401" s="12"/>
      <c r="L401" s="117"/>
      <c r="M401" s="12"/>
      <c r="N401" s="117"/>
      <c r="O401" s="117"/>
      <c r="P401" s="117"/>
      <c r="Q401" s="118"/>
      <c r="R401" s="118"/>
      <c r="S401" s="118"/>
      <c r="T401" s="12"/>
      <c r="U401" s="118"/>
      <c r="V401" s="118"/>
      <c r="W401" s="12"/>
      <c r="X401" s="119"/>
      <c r="Y401" s="120"/>
      <c r="Z401" s="12"/>
      <c r="BA401" s="70" t="s">
        <v>205</v>
      </c>
      <c r="BB401" s="71" t="s">
        <v>210</v>
      </c>
      <c r="BC401" s="71" t="s">
        <v>207</v>
      </c>
      <c r="BD401" s="71">
        <v>18</v>
      </c>
      <c r="BE401" s="71">
        <v>36</v>
      </c>
      <c r="BF401" s="71">
        <v>390</v>
      </c>
      <c r="BG401" s="71">
        <v>212</v>
      </c>
      <c r="BH401" s="71">
        <v>5</v>
      </c>
      <c r="BI401" s="71">
        <v>10</v>
      </c>
      <c r="BJ401" s="12" t="str" cm="1">
        <f t="array" ref="BJ401">_xll.Dce_Name_SectI(BF401, BF401, BG401, BH401, BI401, "x", "-", $AX$11)</f>
        <v>390x212x5x10</v>
      </c>
      <c r="BK401" s="77" cm="1">
        <f t="array" ref="BK401">_xll.DCEPropSectI(BF401, BH401, BG401, BI401, BG401, BI401, "A")/100</f>
        <v>60.9</v>
      </c>
      <c r="BL401" s="70" t="s">
        <v>218</v>
      </c>
      <c r="BM401" s="70">
        <v>325.91840699307289</v>
      </c>
      <c r="BN401" s="71">
        <v>0.9</v>
      </c>
      <c r="BO401" s="77">
        <f t="shared" si="59"/>
        <v>32.4</v>
      </c>
      <c r="BP401" s="71">
        <v>0.9</v>
      </c>
      <c r="BQ401" s="77">
        <f t="shared" si="60"/>
        <v>32.4</v>
      </c>
      <c r="BR401" s="77" cm="1">
        <f t="array" ref="BR401">_xll.DCEPropSectI(BF401, BH401, BG401, BI401, BG401, BI401, "rx")/10</f>
        <v>16.91131201300167</v>
      </c>
      <c r="BS401" s="77" cm="1">
        <f t="array" ref="BS401">_xll.DCEPropSectI(BF401, BH401, BG401, BI401, BG401, BI401, "ry")/10</f>
        <v>5.1070747638622018</v>
      </c>
      <c r="BT401" s="5">
        <f t="shared" si="61"/>
        <v>191.58773710218577</v>
      </c>
      <c r="BU401" s="5">
        <f t="shared" si="62"/>
        <v>634.41405301647956</v>
      </c>
      <c r="BV401" s="5">
        <f t="shared" si="63"/>
        <v>634.41405301647956</v>
      </c>
      <c r="BW401" s="71">
        <f t="shared" si="64"/>
        <v>400</v>
      </c>
      <c r="BX401" s="78" cm="1">
        <f t="array" ref="BX401">IF(BM401&gt;0,1,_xll.DCETCVN5575FactorPhi7121(BV401*SQRT($K$17/206000),"b"))</f>
        <v>1</v>
      </c>
      <c r="BY401" s="64">
        <f t="shared" si="65"/>
        <v>0.25484276096103914</v>
      </c>
      <c r="BZ401" s="3" t="str">
        <f t="shared" si="66"/>
        <v>Check</v>
      </c>
    </row>
    <row r="402" spans="1:78">
      <c r="A402" s="76"/>
      <c r="B402" s="76"/>
      <c r="C402" s="125"/>
      <c r="D402" s="125"/>
      <c r="E402" s="71"/>
      <c r="F402" s="71"/>
      <c r="G402" s="71"/>
      <c r="H402" s="126"/>
      <c r="I402" s="125"/>
      <c r="J402" s="123"/>
      <c r="K402" s="12"/>
      <c r="L402" s="117"/>
      <c r="M402" s="12"/>
      <c r="N402" s="117"/>
      <c r="O402" s="117"/>
      <c r="P402" s="117"/>
      <c r="Q402" s="118"/>
      <c r="R402" s="118"/>
      <c r="S402" s="118"/>
      <c r="T402" s="12"/>
      <c r="U402" s="118"/>
      <c r="V402" s="118"/>
      <c r="W402" s="12"/>
      <c r="X402" s="119"/>
      <c r="Y402" s="120"/>
      <c r="Z402" s="12"/>
      <c r="BA402" s="70" t="s">
        <v>205</v>
      </c>
      <c r="BB402" s="71" t="s">
        <v>210</v>
      </c>
      <c r="BC402" s="71" t="s">
        <v>207</v>
      </c>
      <c r="BD402" s="71">
        <v>18.5</v>
      </c>
      <c r="BE402" s="71">
        <v>36</v>
      </c>
      <c r="BF402" s="71">
        <v>390</v>
      </c>
      <c r="BG402" s="71">
        <v>212</v>
      </c>
      <c r="BH402" s="71">
        <v>5</v>
      </c>
      <c r="BI402" s="71">
        <v>10</v>
      </c>
      <c r="BJ402" s="12" t="str" cm="1">
        <f t="array" ref="BJ402">_xll.Dce_Name_SectI(BF402, BF402, BG402, BH402, BI402, "x", "-", $AX$11)</f>
        <v>390x212x5x10</v>
      </c>
      <c r="BK402" s="77" cm="1">
        <f t="array" ref="BK402">_xll.DCEPropSectI(BF402, BH402, BG402, BI402, BG402, BI402, "A")/100</f>
        <v>60.9</v>
      </c>
      <c r="BL402" s="70" t="s">
        <v>218</v>
      </c>
      <c r="BM402" s="70">
        <v>325.91840699307289</v>
      </c>
      <c r="BN402" s="71">
        <v>0.9</v>
      </c>
      <c r="BO402" s="77">
        <f t="shared" si="59"/>
        <v>32.4</v>
      </c>
      <c r="BP402" s="71">
        <v>0.9</v>
      </c>
      <c r="BQ402" s="77">
        <f t="shared" si="60"/>
        <v>32.4</v>
      </c>
      <c r="BR402" s="77" cm="1">
        <f t="array" ref="BR402">_xll.DCEPropSectI(BF402, BH402, BG402, BI402, BG402, BI402, "rx")/10</f>
        <v>16.91131201300167</v>
      </c>
      <c r="BS402" s="77" cm="1">
        <f t="array" ref="BS402">_xll.DCEPropSectI(BF402, BH402, BG402, BI402, BG402, BI402, "ry")/10</f>
        <v>5.1070747638622018</v>
      </c>
      <c r="BT402" s="5">
        <f t="shared" si="61"/>
        <v>191.58773710218577</v>
      </c>
      <c r="BU402" s="5">
        <f t="shared" si="62"/>
        <v>634.41405301647956</v>
      </c>
      <c r="BV402" s="5">
        <f t="shared" si="63"/>
        <v>634.41405301647956</v>
      </c>
      <c r="BW402" s="71">
        <f t="shared" si="64"/>
        <v>400</v>
      </c>
      <c r="BX402" s="78" cm="1">
        <f t="array" ref="BX402">IF(BM402&gt;0,1,_xll.DCETCVN5575FactorPhi7121(BV402*SQRT($K$17/206000),"b"))</f>
        <v>1</v>
      </c>
      <c r="BY402" s="64">
        <f t="shared" si="65"/>
        <v>0.25484276096103914</v>
      </c>
      <c r="BZ402" s="3" t="str">
        <f t="shared" si="66"/>
        <v>Check</v>
      </c>
    </row>
    <row r="403" spans="1:78">
      <c r="A403" s="76"/>
      <c r="B403" s="76"/>
      <c r="C403" s="125"/>
      <c r="D403" s="125"/>
      <c r="E403" s="71"/>
      <c r="F403" s="71"/>
      <c r="G403" s="71"/>
      <c r="H403" s="126"/>
      <c r="I403" s="125"/>
      <c r="J403" s="123"/>
      <c r="K403" s="12"/>
      <c r="L403" s="117"/>
      <c r="M403" s="12"/>
      <c r="N403" s="117"/>
      <c r="O403" s="117"/>
      <c r="P403" s="117"/>
      <c r="Q403" s="118"/>
      <c r="R403" s="118"/>
      <c r="S403" s="118"/>
      <c r="T403" s="12"/>
      <c r="U403" s="118"/>
      <c r="V403" s="118"/>
      <c r="W403" s="12"/>
      <c r="X403" s="119"/>
      <c r="Y403" s="120"/>
      <c r="Z403" s="12"/>
      <c r="BA403" s="70" t="s">
        <v>205</v>
      </c>
      <c r="BB403" s="71" t="s">
        <v>210</v>
      </c>
      <c r="BC403" s="71" t="s">
        <v>207</v>
      </c>
      <c r="BD403" s="71">
        <v>19</v>
      </c>
      <c r="BE403" s="71">
        <v>36</v>
      </c>
      <c r="BF403" s="71">
        <v>390</v>
      </c>
      <c r="BG403" s="71">
        <v>212</v>
      </c>
      <c r="BH403" s="71">
        <v>5</v>
      </c>
      <c r="BI403" s="71">
        <v>10</v>
      </c>
      <c r="BJ403" s="12" t="str" cm="1">
        <f t="array" ref="BJ403">_xll.Dce_Name_SectI(BF403, BF403, BG403, BH403, BI403, "x", "-", $AX$11)</f>
        <v>390x212x5x10</v>
      </c>
      <c r="BK403" s="77" cm="1">
        <f t="array" ref="BK403">_xll.DCEPropSectI(BF403, BH403, BG403, BI403, BG403, BI403, "A")/100</f>
        <v>60.9</v>
      </c>
      <c r="BL403" s="70" t="s">
        <v>218</v>
      </c>
      <c r="BM403" s="70">
        <v>325.91840699307289</v>
      </c>
      <c r="BN403" s="71">
        <v>0.9</v>
      </c>
      <c r="BO403" s="77">
        <f t="shared" si="59"/>
        <v>32.4</v>
      </c>
      <c r="BP403" s="71">
        <v>0.9</v>
      </c>
      <c r="BQ403" s="77">
        <f t="shared" si="60"/>
        <v>32.4</v>
      </c>
      <c r="BR403" s="77" cm="1">
        <f t="array" ref="BR403">_xll.DCEPropSectI(BF403, BH403, BG403, BI403, BG403, BI403, "rx")/10</f>
        <v>16.91131201300167</v>
      </c>
      <c r="BS403" s="77" cm="1">
        <f t="array" ref="BS403">_xll.DCEPropSectI(BF403, BH403, BG403, BI403, BG403, BI403, "ry")/10</f>
        <v>5.1070747638622018</v>
      </c>
      <c r="BT403" s="5">
        <f t="shared" si="61"/>
        <v>191.58773710218577</v>
      </c>
      <c r="BU403" s="5">
        <f t="shared" si="62"/>
        <v>634.41405301647956</v>
      </c>
      <c r="BV403" s="5">
        <f t="shared" si="63"/>
        <v>634.41405301647956</v>
      </c>
      <c r="BW403" s="71">
        <f t="shared" si="64"/>
        <v>400</v>
      </c>
      <c r="BX403" s="78" cm="1">
        <f t="array" ref="BX403">IF(BM403&gt;0,1,_xll.DCETCVN5575FactorPhi7121(BV403*SQRT($K$17/206000),"b"))</f>
        <v>1</v>
      </c>
      <c r="BY403" s="64">
        <f t="shared" si="65"/>
        <v>0.25484276096103914</v>
      </c>
      <c r="BZ403" s="3" t="str">
        <f t="shared" si="66"/>
        <v>Check</v>
      </c>
    </row>
    <row r="404" spans="1:78">
      <c r="A404" s="76"/>
      <c r="B404" s="76"/>
      <c r="C404" s="125"/>
      <c r="D404" s="125"/>
      <c r="E404" s="71"/>
      <c r="F404" s="71"/>
      <c r="G404" s="71"/>
      <c r="H404" s="126"/>
      <c r="I404" s="125"/>
      <c r="J404" s="123"/>
      <c r="K404" s="12"/>
      <c r="L404" s="117"/>
      <c r="M404" s="12"/>
      <c r="N404" s="117"/>
      <c r="O404" s="117"/>
      <c r="P404" s="117"/>
      <c r="Q404" s="118"/>
      <c r="R404" s="118"/>
      <c r="S404" s="118"/>
      <c r="T404" s="12"/>
      <c r="U404" s="118"/>
      <c r="V404" s="118"/>
      <c r="W404" s="12"/>
      <c r="X404" s="119"/>
      <c r="Y404" s="120"/>
      <c r="Z404" s="12"/>
      <c r="BA404" s="70" t="s">
        <v>205</v>
      </c>
      <c r="BB404" s="71" t="s">
        <v>210</v>
      </c>
      <c r="BC404" s="71" t="s">
        <v>207</v>
      </c>
      <c r="BD404" s="71">
        <v>19.5</v>
      </c>
      <c r="BE404" s="71">
        <v>36</v>
      </c>
      <c r="BF404" s="71">
        <v>390</v>
      </c>
      <c r="BG404" s="71">
        <v>212</v>
      </c>
      <c r="BH404" s="71">
        <v>5</v>
      </c>
      <c r="BI404" s="71">
        <v>10</v>
      </c>
      <c r="BJ404" s="12" t="str" cm="1">
        <f t="array" ref="BJ404">_xll.Dce_Name_SectI(BF404, BF404, BG404, BH404, BI404, "x", "-", $AX$11)</f>
        <v>390x212x5x10</v>
      </c>
      <c r="BK404" s="77" cm="1">
        <f t="array" ref="BK404">_xll.DCEPropSectI(BF404, BH404, BG404, BI404, BG404, BI404, "A")/100</f>
        <v>60.9</v>
      </c>
      <c r="BL404" s="70" t="s">
        <v>218</v>
      </c>
      <c r="BM404" s="70">
        <v>325.91840699307289</v>
      </c>
      <c r="BN404" s="71">
        <v>0.9</v>
      </c>
      <c r="BO404" s="77">
        <f t="shared" si="59"/>
        <v>32.4</v>
      </c>
      <c r="BP404" s="71">
        <v>0.9</v>
      </c>
      <c r="BQ404" s="77">
        <f t="shared" si="60"/>
        <v>32.4</v>
      </c>
      <c r="BR404" s="77" cm="1">
        <f t="array" ref="BR404">_xll.DCEPropSectI(BF404, BH404, BG404, BI404, BG404, BI404, "rx")/10</f>
        <v>16.91131201300167</v>
      </c>
      <c r="BS404" s="77" cm="1">
        <f t="array" ref="BS404">_xll.DCEPropSectI(BF404, BH404, BG404, BI404, BG404, BI404, "ry")/10</f>
        <v>5.1070747638622018</v>
      </c>
      <c r="BT404" s="5">
        <f t="shared" si="61"/>
        <v>191.58773710218577</v>
      </c>
      <c r="BU404" s="5">
        <f t="shared" si="62"/>
        <v>634.41405301647956</v>
      </c>
      <c r="BV404" s="5">
        <f t="shared" si="63"/>
        <v>634.41405301647956</v>
      </c>
      <c r="BW404" s="71">
        <f t="shared" si="64"/>
        <v>400</v>
      </c>
      <c r="BX404" s="78" cm="1">
        <f t="array" ref="BX404">IF(BM404&gt;0,1,_xll.DCETCVN5575FactorPhi7121(BV404*SQRT($K$17/206000),"b"))</f>
        <v>1</v>
      </c>
      <c r="BY404" s="64">
        <f t="shared" si="65"/>
        <v>0.25484276096103914</v>
      </c>
      <c r="BZ404" s="3" t="str">
        <f t="shared" si="66"/>
        <v>Check</v>
      </c>
    </row>
    <row r="405" spans="1:78">
      <c r="A405" s="76"/>
      <c r="B405" s="76"/>
      <c r="C405" s="125"/>
      <c r="D405" s="125"/>
      <c r="E405" s="71"/>
      <c r="F405" s="71"/>
      <c r="G405" s="71"/>
      <c r="H405" s="126"/>
      <c r="I405" s="125"/>
      <c r="J405" s="123"/>
      <c r="K405" s="12"/>
      <c r="L405" s="117"/>
      <c r="M405" s="12"/>
      <c r="N405" s="117"/>
      <c r="O405" s="117"/>
      <c r="P405" s="117"/>
      <c r="Q405" s="118"/>
      <c r="R405" s="118"/>
      <c r="S405" s="118"/>
      <c r="T405" s="12"/>
      <c r="U405" s="118"/>
      <c r="V405" s="118"/>
      <c r="W405" s="12"/>
      <c r="X405" s="119"/>
      <c r="Y405" s="120"/>
      <c r="Z405" s="12"/>
      <c r="BA405" s="70" t="s">
        <v>205</v>
      </c>
      <c r="BB405" s="71" t="s">
        <v>210</v>
      </c>
      <c r="BC405" s="71" t="s">
        <v>207</v>
      </c>
      <c r="BD405" s="71">
        <v>20</v>
      </c>
      <c r="BE405" s="71">
        <v>36</v>
      </c>
      <c r="BF405" s="71">
        <v>390</v>
      </c>
      <c r="BG405" s="71">
        <v>212</v>
      </c>
      <c r="BH405" s="71">
        <v>5</v>
      </c>
      <c r="BI405" s="71">
        <v>10</v>
      </c>
      <c r="BJ405" s="12" t="str" cm="1">
        <f t="array" ref="BJ405">_xll.Dce_Name_SectI(BF405, BF405, BG405, BH405, BI405, "x", "-", $AX$11)</f>
        <v>390x212x5x10</v>
      </c>
      <c r="BK405" s="77" cm="1">
        <f t="array" ref="BK405">_xll.DCEPropSectI(BF405, BH405, BG405, BI405, BG405, BI405, "A")/100</f>
        <v>60.9</v>
      </c>
      <c r="BL405" s="70" t="s">
        <v>218</v>
      </c>
      <c r="BM405" s="70">
        <v>325.91840699307289</v>
      </c>
      <c r="BN405" s="71">
        <v>0.9</v>
      </c>
      <c r="BO405" s="77">
        <f t="shared" si="59"/>
        <v>32.4</v>
      </c>
      <c r="BP405" s="71">
        <v>0.9</v>
      </c>
      <c r="BQ405" s="77">
        <f t="shared" si="60"/>
        <v>32.4</v>
      </c>
      <c r="BR405" s="77" cm="1">
        <f t="array" ref="BR405">_xll.DCEPropSectI(BF405, BH405, BG405, BI405, BG405, BI405, "rx")/10</f>
        <v>16.91131201300167</v>
      </c>
      <c r="BS405" s="77" cm="1">
        <f t="array" ref="BS405">_xll.DCEPropSectI(BF405, BH405, BG405, BI405, BG405, BI405, "ry")/10</f>
        <v>5.1070747638622018</v>
      </c>
      <c r="BT405" s="5">
        <f t="shared" si="61"/>
        <v>191.58773710218577</v>
      </c>
      <c r="BU405" s="5">
        <f t="shared" si="62"/>
        <v>634.41405301647956</v>
      </c>
      <c r="BV405" s="5">
        <f t="shared" si="63"/>
        <v>634.41405301647956</v>
      </c>
      <c r="BW405" s="71">
        <f t="shared" si="64"/>
        <v>400</v>
      </c>
      <c r="BX405" s="78" cm="1">
        <f t="array" ref="BX405">IF(BM405&gt;0,1,_xll.DCETCVN5575FactorPhi7121(BV405*SQRT($K$17/206000),"b"))</f>
        <v>1</v>
      </c>
      <c r="BY405" s="64">
        <f t="shared" si="65"/>
        <v>0.25484276096103914</v>
      </c>
      <c r="BZ405" s="3" t="str">
        <f t="shared" si="66"/>
        <v>Check</v>
      </c>
    </row>
    <row r="406" spans="1:78">
      <c r="A406" s="76"/>
      <c r="B406" s="76"/>
      <c r="C406" s="125"/>
      <c r="D406" s="125"/>
      <c r="E406" s="71"/>
      <c r="F406" s="71"/>
      <c r="G406" s="71"/>
      <c r="H406" s="126"/>
      <c r="I406" s="125"/>
      <c r="J406" s="123"/>
      <c r="K406" s="12"/>
      <c r="L406" s="117"/>
      <c r="M406" s="12"/>
      <c r="N406" s="117"/>
      <c r="O406" s="117"/>
      <c r="P406" s="117"/>
      <c r="Q406" s="118"/>
      <c r="R406" s="118"/>
      <c r="S406" s="118"/>
      <c r="T406" s="12"/>
      <c r="U406" s="118"/>
      <c r="V406" s="118"/>
      <c r="W406" s="12"/>
      <c r="X406" s="119"/>
      <c r="Y406" s="120"/>
      <c r="Z406" s="12"/>
      <c r="BA406" s="70" t="s">
        <v>205</v>
      </c>
      <c r="BB406" s="71" t="s">
        <v>210</v>
      </c>
      <c r="BC406" s="71" t="s">
        <v>207</v>
      </c>
      <c r="BD406" s="71">
        <v>20.5</v>
      </c>
      <c r="BE406" s="71">
        <v>36</v>
      </c>
      <c r="BF406" s="71">
        <v>390</v>
      </c>
      <c r="BG406" s="71">
        <v>212</v>
      </c>
      <c r="BH406" s="71">
        <v>5</v>
      </c>
      <c r="BI406" s="71">
        <v>10</v>
      </c>
      <c r="BJ406" s="12" t="str" cm="1">
        <f t="array" ref="BJ406">_xll.Dce_Name_SectI(BF406, BF406, BG406, BH406, BI406, "x", "-", $AX$11)</f>
        <v>390x212x5x10</v>
      </c>
      <c r="BK406" s="77" cm="1">
        <f t="array" ref="BK406">_xll.DCEPropSectI(BF406, BH406, BG406, BI406, BG406, BI406, "A")/100</f>
        <v>60.9</v>
      </c>
      <c r="BL406" s="70" t="s">
        <v>218</v>
      </c>
      <c r="BM406" s="70">
        <v>325.91840699307289</v>
      </c>
      <c r="BN406" s="71">
        <v>0.9</v>
      </c>
      <c r="BO406" s="77">
        <f t="shared" si="59"/>
        <v>32.4</v>
      </c>
      <c r="BP406" s="71">
        <v>0.9</v>
      </c>
      <c r="BQ406" s="77">
        <f t="shared" si="60"/>
        <v>32.4</v>
      </c>
      <c r="BR406" s="77" cm="1">
        <f t="array" ref="BR406">_xll.DCEPropSectI(BF406, BH406, BG406, BI406, BG406, BI406, "rx")/10</f>
        <v>16.91131201300167</v>
      </c>
      <c r="BS406" s="77" cm="1">
        <f t="array" ref="BS406">_xll.DCEPropSectI(BF406, BH406, BG406, BI406, BG406, BI406, "ry")/10</f>
        <v>5.1070747638622018</v>
      </c>
      <c r="BT406" s="5">
        <f t="shared" si="61"/>
        <v>191.58773710218577</v>
      </c>
      <c r="BU406" s="5">
        <f t="shared" si="62"/>
        <v>634.41405301647956</v>
      </c>
      <c r="BV406" s="5">
        <f t="shared" si="63"/>
        <v>634.41405301647956</v>
      </c>
      <c r="BW406" s="71">
        <f t="shared" si="64"/>
        <v>400</v>
      </c>
      <c r="BX406" s="78" cm="1">
        <f t="array" ref="BX406">IF(BM406&gt;0,1,_xll.DCETCVN5575FactorPhi7121(BV406*SQRT($K$17/206000),"b"))</f>
        <v>1</v>
      </c>
      <c r="BY406" s="64">
        <f t="shared" si="65"/>
        <v>0.25484276096103914</v>
      </c>
      <c r="BZ406" s="3" t="str">
        <f t="shared" si="66"/>
        <v>Check</v>
      </c>
    </row>
    <row r="407" spans="1:78">
      <c r="A407" s="76"/>
      <c r="B407" s="76"/>
      <c r="C407" s="125"/>
      <c r="D407" s="125"/>
      <c r="E407" s="71"/>
      <c r="F407" s="71"/>
      <c r="G407" s="71"/>
      <c r="H407" s="126"/>
      <c r="I407" s="125"/>
      <c r="J407" s="123"/>
      <c r="K407" s="12"/>
      <c r="L407" s="117"/>
      <c r="M407" s="12"/>
      <c r="N407" s="117"/>
      <c r="O407" s="117"/>
      <c r="P407" s="117"/>
      <c r="Q407" s="118"/>
      <c r="R407" s="118"/>
      <c r="S407" s="118"/>
      <c r="T407" s="12"/>
      <c r="U407" s="118"/>
      <c r="V407" s="118"/>
      <c r="W407" s="12"/>
      <c r="X407" s="119"/>
      <c r="Y407" s="120"/>
      <c r="Z407" s="12"/>
      <c r="BA407" s="70" t="s">
        <v>205</v>
      </c>
      <c r="BB407" s="71" t="s">
        <v>210</v>
      </c>
      <c r="BC407" s="71" t="s">
        <v>207</v>
      </c>
      <c r="BD407" s="71">
        <v>21</v>
      </c>
      <c r="BE407" s="71">
        <v>36</v>
      </c>
      <c r="BF407" s="71">
        <v>390</v>
      </c>
      <c r="BG407" s="71">
        <v>212</v>
      </c>
      <c r="BH407" s="71">
        <v>5</v>
      </c>
      <c r="BI407" s="71">
        <v>10</v>
      </c>
      <c r="BJ407" s="12" t="str" cm="1">
        <f t="array" ref="BJ407">_xll.Dce_Name_SectI(BF407, BF407, BG407, BH407, BI407, "x", "-", $AX$11)</f>
        <v>390x212x5x10</v>
      </c>
      <c r="BK407" s="77" cm="1">
        <f t="array" ref="BK407">_xll.DCEPropSectI(BF407, BH407, BG407, BI407, BG407, BI407, "A")/100</f>
        <v>60.9</v>
      </c>
      <c r="BL407" s="70" t="s">
        <v>218</v>
      </c>
      <c r="BM407" s="70">
        <v>325.91840699307289</v>
      </c>
      <c r="BN407" s="71">
        <v>0.9</v>
      </c>
      <c r="BO407" s="77">
        <f t="shared" si="59"/>
        <v>32.4</v>
      </c>
      <c r="BP407" s="71">
        <v>0.9</v>
      </c>
      <c r="BQ407" s="77">
        <f t="shared" si="60"/>
        <v>32.4</v>
      </c>
      <c r="BR407" s="77" cm="1">
        <f t="array" ref="BR407">_xll.DCEPropSectI(BF407, BH407, BG407, BI407, BG407, BI407, "rx")/10</f>
        <v>16.91131201300167</v>
      </c>
      <c r="BS407" s="77" cm="1">
        <f t="array" ref="BS407">_xll.DCEPropSectI(BF407, BH407, BG407, BI407, BG407, BI407, "ry")/10</f>
        <v>5.1070747638622018</v>
      </c>
      <c r="BT407" s="5">
        <f t="shared" si="61"/>
        <v>191.58773710218577</v>
      </c>
      <c r="BU407" s="5">
        <f t="shared" si="62"/>
        <v>634.41405301647956</v>
      </c>
      <c r="BV407" s="5">
        <f t="shared" si="63"/>
        <v>634.41405301647956</v>
      </c>
      <c r="BW407" s="71">
        <f t="shared" si="64"/>
        <v>400</v>
      </c>
      <c r="BX407" s="78" cm="1">
        <f t="array" ref="BX407">IF(BM407&gt;0,1,_xll.DCETCVN5575FactorPhi7121(BV407*SQRT($K$17/206000),"b"))</f>
        <v>1</v>
      </c>
      <c r="BY407" s="64">
        <f t="shared" si="65"/>
        <v>0.25484276096103914</v>
      </c>
      <c r="BZ407" s="3" t="str">
        <f t="shared" si="66"/>
        <v>Check</v>
      </c>
    </row>
    <row r="408" spans="1:78">
      <c r="A408" s="76"/>
      <c r="B408" s="76"/>
      <c r="C408" s="125"/>
      <c r="D408" s="125"/>
      <c r="E408" s="71"/>
      <c r="F408" s="71"/>
      <c r="G408" s="71"/>
      <c r="H408" s="126"/>
      <c r="I408" s="125"/>
      <c r="J408" s="123"/>
      <c r="K408" s="12"/>
      <c r="L408" s="117"/>
      <c r="M408" s="12"/>
      <c r="N408" s="117"/>
      <c r="O408" s="117"/>
      <c r="P408" s="117"/>
      <c r="Q408" s="118"/>
      <c r="R408" s="118"/>
      <c r="S408" s="118"/>
      <c r="T408" s="12"/>
      <c r="U408" s="118"/>
      <c r="V408" s="118"/>
      <c r="W408" s="12"/>
      <c r="X408" s="119"/>
      <c r="Y408" s="120"/>
      <c r="Z408" s="12"/>
      <c r="BA408" s="70" t="s">
        <v>205</v>
      </c>
      <c r="BB408" s="71" t="s">
        <v>210</v>
      </c>
      <c r="BC408" s="71" t="s">
        <v>207</v>
      </c>
      <c r="BD408" s="71">
        <v>21.5</v>
      </c>
      <c r="BE408" s="71">
        <v>36</v>
      </c>
      <c r="BF408" s="71">
        <v>390</v>
      </c>
      <c r="BG408" s="71">
        <v>212</v>
      </c>
      <c r="BH408" s="71">
        <v>5</v>
      </c>
      <c r="BI408" s="71">
        <v>10</v>
      </c>
      <c r="BJ408" s="12" t="str" cm="1">
        <f t="array" ref="BJ408">_xll.Dce_Name_SectI(BF408, BF408, BG408, BH408, BI408, "x", "-", $AX$11)</f>
        <v>390x212x5x10</v>
      </c>
      <c r="BK408" s="77" cm="1">
        <f t="array" ref="BK408">_xll.DCEPropSectI(BF408, BH408, BG408, BI408, BG408, BI408, "A")/100</f>
        <v>60.9</v>
      </c>
      <c r="BL408" s="70" t="s">
        <v>218</v>
      </c>
      <c r="BM408" s="70">
        <v>325.91840699307289</v>
      </c>
      <c r="BN408" s="71">
        <v>0.9</v>
      </c>
      <c r="BO408" s="77">
        <f t="shared" si="59"/>
        <v>32.4</v>
      </c>
      <c r="BP408" s="71">
        <v>0.9</v>
      </c>
      <c r="BQ408" s="77">
        <f t="shared" si="60"/>
        <v>32.4</v>
      </c>
      <c r="BR408" s="77" cm="1">
        <f t="array" ref="BR408">_xll.DCEPropSectI(BF408, BH408, BG408, BI408, BG408, BI408, "rx")/10</f>
        <v>16.91131201300167</v>
      </c>
      <c r="BS408" s="77" cm="1">
        <f t="array" ref="BS408">_xll.DCEPropSectI(BF408, BH408, BG408, BI408, BG408, BI408, "ry")/10</f>
        <v>5.1070747638622018</v>
      </c>
      <c r="BT408" s="5">
        <f t="shared" si="61"/>
        <v>191.58773710218577</v>
      </c>
      <c r="BU408" s="5">
        <f t="shared" si="62"/>
        <v>634.41405301647956</v>
      </c>
      <c r="BV408" s="5">
        <f t="shared" si="63"/>
        <v>634.41405301647956</v>
      </c>
      <c r="BW408" s="71">
        <f t="shared" si="64"/>
        <v>400</v>
      </c>
      <c r="BX408" s="78" cm="1">
        <f t="array" ref="BX408">IF(BM408&gt;0,1,_xll.DCETCVN5575FactorPhi7121(BV408*SQRT($K$17/206000),"b"))</f>
        <v>1</v>
      </c>
      <c r="BY408" s="64">
        <f t="shared" si="65"/>
        <v>0.25484276096103914</v>
      </c>
      <c r="BZ408" s="3" t="str">
        <f t="shared" si="66"/>
        <v>Check</v>
      </c>
    </row>
    <row r="409" spans="1:78">
      <c r="A409" s="76"/>
      <c r="B409" s="76"/>
      <c r="C409" s="125"/>
      <c r="D409" s="125"/>
      <c r="E409" s="71"/>
      <c r="F409" s="71"/>
      <c r="G409" s="71"/>
      <c r="H409" s="126"/>
      <c r="I409" s="125"/>
      <c r="J409" s="123"/>
      <c r="K409" s="12"/>
      <c r="L409" s="117"/>
      <c r="M409" s="12"/>
      <c r="N409" s="117"/>
      <c r="O409" s="117"/>
      <c r="P409" s="117"/>
      <c r="Q409" s="118"/>
      <c r="R409" s="118"/>
      <c r="S409" s="118"/>
      <c r="T409" s="12"/>
      <c r="U409" s="118"/>
      <c r="V409" s="118"/>
      <c r="W409" s="12"/>
      <c r="X409" s="119"/>
      <c r="Y409" s="120"/>
      <c r="Z409" s="12"/>
      <c r="BA409" s="70" t="s">
        <v>205</v>
      </c>
      <c r="BB409" s="71" t="s">
        <v>210</v>
      </c>
      <c r="BC409" s="71" t="s">
        <v>207</v>
      </c>
      <c r="BD409" s="71">
        <v>22</v>
      </c>
      <c r="BE409" s="71">
        <v>36</v>
      </c>
      <c r="BF409" s="71">
        <v>390</v>
      </c>
      <c r="BG409" s="71">
        <v>212</v>
      </c>
      <c r="BH409" s="71">
        <v>5</v>
      </c>
      <c r="BI409" s="71">
        <v>10</v>
      </c>
      <c r="BJ409" s="12" t="str" cm="1">
        <f t="array" ref="BJ409">_xll.Dce_Name_SectI(BF409, BF409, BG409, BH409, BI409, "x", "-", $AX$11)</f>
        <v>390x212x5x10</v>
      </c>
      <c r="BK409" s="77" cm="1">
        <f t="array" ref="BK409">_xll.DCEPropSectI(BF409, BH409, BG409, BI409, BG409, BI409, "A")/100</f>
        <v>60.9</v>
      </c>
      <c r="BL409" s="70" t="s">
        <v>218</v>
      </c>
      <c r="BM409" s="70">
        <v>325.91840699307289</v>
      </c>
      <c r="BN409" s="71">
        <v>0.9</v>
      </c>
      <c r="BO409" s="77">
        <f t="shared" si="59"/>
        <v>32.4</v>
      </c>
      <c r="BP409" s="71">
        <v>0.9</v>
      </c>
      <c r="BQ409" s="77">
        <f t="shared" si="60"/>
        <v>32.4</v>
      </c>
      <c r="BR409" s="77" cm="1">
        <f t="array" ref="BR409">_xll.DCEPropSectI(BF409, BH409, BG409, BI409, BG409, BI409, "rx")/10</f>
        <v>16.91131201300167</v>
      </c>
      <c r="BS409" s="77" cm="1">
        <f t="array" ref="BS409">_xll.DCEPropSectI(BF409, BH409, BG409, BI409, BG409, BI409, "ry")/10</f>
        <v>5.1070747638622018</v>
      </c>
      <c r="BT409" s="5">
        <f t="shared" si="61"/>
        <v>191.58773710218577</v>
      </c>
      <c r="BU409" s="5">
        <f t="shared" si="62"/>
        <v>634.41405301647956</v>
      </c>
      <c r="BV409" s="5">
        <f t="shared" si="63"/>
        <v>634.41405301647956</v>
      </c>
      <c r="BW409" s="71">
        <f t="shared" si="64"/>
        <v>400</v>
      </c>
      <c r="BX409" s="78" cm="1">
        <f t="array" ref="BX409">IF(BM409&gt;0,1,_xll.DCETCVN5575FactorPhi7121(BV409*SQRT($K$17/206000),"b"))</f>
        <v>1</v>
      </c>
      <c r="BY409" s="64">
        <f t="shared" si="65"/>
        <v>0.25484276096103914</v>
      </c>
      <c r="BZ409" s="3" t="str">
        <f t="shared" si="66"/>
        <v>Check</v>
      </c>
    </row>
    <row r="410" spans="1:78">
      <c r="A410" s="76"/>
      <c r="B410" s="76"/>
      <c r="C410" s="125"/>
      <c r="D410" s="125"/>
      <c r="E410" s="71"/>
      <c r="F410" s="71"/>
      <c r="G410" s="71"/>
      <c r="H410" s="126"/>
      <c r="I410" s="125"/>
      <c r="J410" s="123"/>
      <c r="K410" s="12"/>
      <c r="L410" s="117"/>
      <c r="M410" s="12"/>
      <c r="N410" s="117"/>
      <c r="O410" s="117"/>
      <c r="P410" s="117"/>
      <c r="Q410" s="118"/>
      <c r="R410" s="118"/>
      <c r="S410" s="118"/>
      <c r="T410" s="12"/>
      <c r="U410" s="118"/>
      <c r="V410" s="118"/>
      <c r="W410" s="12"/>
      <c r="X410" s="119"/>
      <c r="Y410" s="120"/>
      <c r="Z410" s="12"/>
      <c r="BA410" s="70" t="s">
        <v>205</v>
      </c>
      <c r="BB410" s="71" t="s">
        <v>210</v>
      </c>
      <c r="BC410" s="71" t="s">
        <v>207</v>
      </c>
      <c r="BD410" s="71">
        <v>22.5</v>
      </c>
      <c r="BE410" s="71">
        <v>36</v>
      </c>
      <c r="BF410" s="71">
        <v>390</v>
      </c>
      <c r="BG410" s="71">
        <v>212</v>
      </c>
      <c r="BH410" s="71">
        <v>5</v>
      </c>
      <c r="BI410" s="71">
        <v>10</v>
      </c>
      <c r="BJ410" s="12" t="str" cm="1">
        <f t="array" ref="BJ410">_xll.Dce_Name_SectI(BF410, BF410, BG410, BH410, BI410, "x", "-", $AX$11)</f>
        <v>390x212x5x10</v>
      </c>
      <c r="BK410" s="77" cm="1">
        <f t="array" ref="BK410">_xll.DCEPropSectI(BF410, BH410, BG410, BI410, BG410, BI410, "A")/100</f>
        <v>60.9</v>
      </c>
      <c r="BL410" s="70" t="s">
        <v>218</v>
      </c>
      <c r="BM410" s="70">
        <v>325.91840699307289</v>
      </c>
      <c r="BN410" s="71">
        <v>0.9</v>
      </c>
      <c r="BO410" s="77">
        <f t="shared" si="59"/>
        <v>32.4</v>
      </c>
      <c r="BP410" s="71">
        <v>0.9</v>
      </c>
      <c r="BQ410" s="77">
        <f t="shared" si="60"/>
        <v>32.4</v>
      </c>
      <c r="BR410" s="77" cm="1">
        <f t="array" ref="BR410">_xll.DCEPropSectI(BF410, BH410, BG410, BI410, BG410, BI410, "rx")/10</f>
        <v>16.91131201300167</v>
      </c>
      <c r="BS410" s="77" cm="1">
        <f t="array" ref="BS410">_xll.DCEPropSectI(BF410, BH410, BG410, BI410, BG410, BI410, "ry")/10</f>
        <v>5.1070747638622018</v>
      </c>
      <c r="BT410" s="5">
        <f t="shared" si="61"/>
        <v>191.58773710218577</v>
      </c>
      <c r="BU410" s="5">
        <f t="shared" si="62"/>
        <v>634.41405301647956</v>
      </c>
      <c r="BV410" s="5">
        <f t="shared" si="63"/>
        <v>634.41405301647956</v>
      </c>
      <c r="BW410" s="71">
        <f t="shared" si="64"/>
        <v>400</v>
      </c>
      <c r="BX410" s="78" cm="1">
        <f t="array" ref="BX410">IF(BM410&gt;0,1,_xll.DCETCVN5575FactorPhi7121(BV410*SQRT($K$17/206000),"b"))</f>
        <v>1</v>
      </c>
      <c r="BY410" s="64">
        <f t="shared" si="65"/>
        <v>0.25484276096103914</v>
      </c>
      <c r="BZ410" s="3" t="str">
        <f t="shared" si="66"/>
        <v>Check</v>
      </c>
    </row>
    <row r="411" spans="1:78">
      <c r="A411" s="76"/>
      <c r="B411" s="76"/>
      <c r="C411" s="125"/>
      <c r="D411" s="125"/>
      <c r="E411" s="71"/>
      <c r="F411" s="71"/>
      <c r="G411" s="71"/>
      <c r="H411" s="126"/>
      <c r="I411" s="125"/>
      <c r="J411" s="123"/>
      <c r="K411" s="12"/>
      <c r="L411" s="117"/>
      <c r="M411" s="12"/>
      <c r="N411" s="117"/>
      <c r="O411" s="117"/>
      <c r="P411" s="117"/>
      <c r="Q411" s="118"/>
      <c r="R411" s="118"/>
      <c r="S411" s="118"/>
      <c r="T411" s="12"/>
      <c r="U411" s="118"/>
      <c r="V411" s="118"/>
      <c r="W411" s="12"/>
      <c r="X411" s="119"/>
      <c r="Y411" s="120"/>
      <c r="Z411" s="12"/>
      <c r="BA411" s="70" t="s">
        <v>205</v>
      </c>
      <c r="BB411" s="71" t="s">
        <v>210</v>
      </c>
      <c r="BC411" s="71" t="s">
        <v>207</v>
      </c>
      <c r="BD411" s="71">
        <v>22.5</v>
      </c>
      <c r="BE411" s="71">
        <v>36</v>
      </c>
      <c r="BF411" s="71">
        <v>390</v>
      </c>
      <c r="BG411" s="71">
        <v>212</v>
      </c>
      <c r="BH411" s="71">
        <v>5</v>
      </c>
      <c r="BI411" s="71">
        <v>10</v>
      </c>
      <c r="BJ411" s="12" t="str" cm="1">
        <f t="array" ref="BJ411">_xll.Dce_Name_SectI(BF411, BF411, BG411, BH411, BI411, "x", "-", $AX$11)</f>
        <v>390x212x5x10</v>
      </c>
      <c r="BK411" s="77" cm="1">
        <f t="array" ref="BK411">_xll.DCEPropSectI(BF411, BH411, BG411, BI411, BG411, BI411, "A")/100</f>
        <v>60.9</v>
      </c>
      <c r="BL411" s="70" t="s">
        <v>218</v>
      </c>
      <c r="BM411" s="70">
        <v>132.57996617399533</v>
      </c>
      <c r="BN411" s="71">
        <v>0.9</v>
      </c>
      <c r="BO411" s="77">
        <f t="shared" si="59"/>
        <v>32.4</v>
      </c>
      <c r="BP411" s="71">
        <v>0.9</v>
      </c>
      <c r="BQ411" s="77">
        <f t="shared" si="60"/>
        <v>32.4</v>
      </c>
      <c r="BR411" s="77" cm="1">
        <f t="array" ref="BR411">_xll.DCEPropSectI(BF411, BH411, BG411, BI411, BG411, BI411, "rx")/10</f>
        <v>16.91131201300167</v>
      </c>
      <c r="BS411" s="77" cm="1">
        <f t="array" ref="BS411">_xll.DCEPropSectI(BF411, BH411, BG411, BI411, BG411, BI411, "ry")/10</f>
        <v>5.1070747638622018</v>
      </c>
      <c r="BT411" s="5">
        <f t="shared" si="61"/>
        <v>191.58773710218577</v>
      </c>
      <c r="BU411" s="5">
        <f t="shared" si="62"/>
        <v>634.41405301647956</v>
      </c>
      <c r="BV411" s="5">
        <f t="shared" si="63"/>
        <v>634.41405301647956</v>
      </c>
      <c r="BW411" s="71">
        <f t="shared" si="64"/>
        <v>400</v>
      </c>
      <c r="BX411" s="78" cm="1">
        <f t="array" ref="BX411">IF(BM411&gt;0,1,_xll.DCETCVN5575FactorPhi7121(BV411*SQRT($K$17/206000),"b"))</f>
        <v>1</v>
      </c>
      <c r="BY411" s="64">
        <f t="shared" si="65"/>
        <v>0.10366718756274561</v>
      </c>
      <c r="BZ411" s="3" t="str">
        <f t="shared" si="66"/>
        <v>Check</v>
      </c>
    </row>
    <row r="412" spans="1:78">
      <c r="A412" s="76"/>
      <c r="B412" s="76"/>
      <c r="C412" s="125"/>
      <c r="D412" s="125"/>
      <c r="E412" s="71"/>
      <c r="F412" s="71"/>
      <c r="G412" s="71"/>
      <c r="H412" s="126"/>
      <c r="I412" s="125"/>
      <c r="J412" s="123"/>
      <c r="K412" s="12"/>
      <c r="L412" s="117"/>
      <c r="M412" s="12"/>
      <c r="N412" s="117"/>
      <c r="O412" s="117"/>
      <c r="P412" s="117"/>
      <c r="Q412" s="118"/>
      <c r="R412" s="118"/>
      <c r="S412" s="118"/>
      <c r="T412" s="12"/>
      <c r="U412" s="118"/>
      <c r="V412" s="118"/>
      <c r="W412" s="12"/>
      <c r="X412" s="119"/>
      <c r="Y412" s="120"/>
      <c r="Z412" s="12"/>
      <c r="BA412" s="70" t="s">
        <v>205</v>
      </c>
      <c r="BB412" s="71" t="s">
        <v>210</v>
      </c>
      <c r="BC412" s="71" t="s">
        <v>207</v>
      </c>
      <c r="BD412" s="71">
        <v>23</v>
      </c>
      <c r="BE412" s="71">
        <v>36</v>
      </c>
      <c r="BF412" s="71">
        <v>390</v>
      </c>
      <c r="BG412" s="71">
        <v>212</v>
      </c>
      <c r="BH412" s="71">
        <v>5</v>
      </c>
      <c r="BI412" s="71">
        <v>10</v>
      </c>
      <c r="BJ412" s="12" t="str" cm="1">
        <f t="array" ref="BJ412">_xll.Dce_Name_SectI(BF412, BF412, BG412, BH412, BI412, "x", "-", $AX$11)</f>
        <v>390x212x5x10</v>
      </c>
      <c r="BK412" s="77" cm="1">
        <f t="array" ref="BK412">_xll.DCEPropSectI(BF412, BH412, BG412, BI412, BG412, BI412, "A")/100</f>
        <v>60.9</v>
      </c>
      <c r="BL412" s="70" t="s">
        <v>218</v>
      </c>
      <c r="BM412" s="70">
        <v>132.57996617399533</v>
      </c>
      <c r="BN412" s="71">
        <v>0.9</v>
      </c>
      <c r="BO412" s="77">
        <f t="shared" si="59"/>
        <v>32.4</v>
      </c>
      <c r="BP412" s="71">
        <v>0.9</v>
      </c>
      <c r="BQ412" s="77">
        <f t="shared" si="60"/>
        <v>32.4</v>
      </c>
      <c r="BR412" s="77" cm="1">
        <f t="array" ref="BR412">_xll.DCEPropSectI(BF412, BH412, BG412, BI412, BG412, BI412, "rx")/10</f>
        <v>16.91131201300167</v>
      </c>
      <c r="BS412" s="77" cm="1">
        <f t="array" ref="BS412">_xll.DCEPropSectI(BF412, BH412, BG412, BI412, BG412, BI412, "ry")/10</f>
        <v>5.1070747638622018</v>
      </c>
      <c r="BT412" s="5">
        <f t="shared" si="61"/>
        <v>191.58773710218577</v>
      </c>
      <c r="BU412" s="5">
        <f t="shared" si="62"/>
        <v>634.41405301647956</v>
      </c>
      <c r="BV412" s="5">
        <f t="shared" si="63"/>
        <v>634.41405301647956</v>
      </c>
      <c r="BW412" s="71">
        <f t="shared" si="64"/>
        <v>400</v>
      </c>
      <c r="BX412" s="78" cm="1">
        <f t="array" ref="BX412">IF(BM412&gt;0,1,_xll.DCETCVN5575FactorPhi7121(BV412*SQRT($K$17/206000),"b"))</f>
        <v>1</v>
      </c>
      <c r="BY412" s="64">
        <f t="shared" si="65"/>
        <v>0.10366718756274561</v>
      </c>
      <c r="BZ412" s="3" t="str">
        <f t="shared" si="66"/>
        <v>Check</v>
      </c>
    </row>
    <row r="413" spans="1:78">
      <c r="A413" s="76"/>
      <c r="B413" s="76"/>
      <c r="C413" s="125"/>
      <c r="D413" s="125"/>
      <c r="E413" s="71"/>
      <c r="F413" s="71"/>
      <c r="G413" s="71"/>
      <c r="H413" s="126"/>
      <c r="I413" s="125"/>
      <c r="J413" s="123"/>
      <c r="K413" s="12"/>
      <c r="L413" s="117"/>
      <c r="M413" s="12"/>
      <c r="N413" s="117"/>
      <c r="O413" s="117"/>
      <c r="P413" s="117"/>
      <c r="Q413" s="118"/>
      <c r="R413" s="118"/>
      <c r="S413" s="118"/>
      <c r="T413" s="12"/>
      <c r="U413" s="118"/>
      <c r="V413" s="118"/>
      <c r="W413" s="12"/>
      <c r="X413" s="119"/>
      <c r="Y413" s="120"/>
      <c r="Z413" s="12"/>
      <c r="BA413" s="70" t="s">
        <v>205</v>
      </c>
      <c r="BB413" s="71" t="s">
        <v>210</v>
      </c>
      <c r="BC413" s="71" t="s">
        <v>207</v>
      </c>
      <c r="BD413" s="71">
        <v>23.5</v>
      </c>
      <c r="BE413" s="71">
        <v>36</v>
      </c>
      <c r="BF413" s="71">
        <v>390</v>
      </c>
      <c r="BG413" s="71">
        <v>212</v>
      </c>
      <c r="BH413" s="71">
        <v>5</v>
      </c>
      <c r="BI413" s="71">
        <v>10</v>
      </c>
      <c r="BJ413" s="12" t="str" cm="1">
        <f t="array" ref="BJ413">_xll.Dce_Name_SectI(BF413, BF413, BG413, BH413, BI413, "x", "-", $AX$11)</f>
        <v>390x212x5x10</v>
      </c>
      <c r="BK413" s="77" cm="1">
        <f t="array" ref="BK413">_xll.DCEPropSectI(BF413, BH413, BG413, BI413, BG413, BI413, "A")/100</f>
        <v>60.9</v>
      </c>
      <c r="BL413" s="70" t="s">
        <v>218</v>
      </c>
      <c r="BM413" s="70">
        <v>132.57996617399533</v>
      </c>
      <c r="BN413" s="71">
        <v>0.9</v>
      </c>
      <c r="BO413" s="77">
        <f t="shared" si="59"/>
        <v>32.4</v>
      </c>
      <c r="BP413" s="71">
        <v>0.9</v>
      </c>
      <c r="BQ413" s="77">
        <f t="shared" si="60"/>
        <v>32.4</v>
      </c>
      <c r="BR413" s="77" cm="1">
        <f t="array" ref="BR413">_xll.DCEPropSectI(BF413, BH413, BG413, BI413, BG413, BI413, "rx")/10</f>
        <v>16.91131201300167</v>
      </c>
      <c r="BS413" s="77" cm="1">
        <f t="array" ref="BS413">_xll.DCEPropSectI(BF413, BH413, BG413, BI413, BG413, BI413, "ry")/10</f>
        <v>5.1070747638622018</v>
      </c>
      <c r="BT413" s="5">
        <f t="shared" si="61"/>
        <v>191.58773710218577</v>
      </c>
      <c r="BU413" s="5">
        <f t="shared" si="62"/>
        <v>634.41405301647956</v>
      </c>
      <c r="BV413" s="5">
        <f t="shared" si="63"/>
        <v>634.41405301647956</v>
      </c>
      <c r="BW413" s="71">
        <f t="shared" si="64"/>
        <v>400</v>
      </c>
      <c r="BX413" s="78" cm="1">
        <f t="array" ref="BX413">IF(BM413&gt;0,1,_xll.DCETCVN5575FactorPhi7121(BV413*SQRT($K$17/206000),"b"))</f>
        <v>1</v>
      </c>
      <c r="BY413" s="64">
        <f t="shared" si="65"/>
        <v>0.10366718756274561</v>
      </c>
      <c r="BZ413" s="3" t="str">
        <f t="shared" si="66"/>
        <v>Check</v>
      </c>
    </row>
    <row r="414" spans="1:78">
      <c r="A414" s="76"/>
      <c r="B414" s="76"/>
      <c r="C414" s="125"/>
      <c r="D414" s="125"/>
      <c r="E414" s="71"/>
      <c r="F414" s="71"/>
      <c r="G414" s="71"/>
      <c r="H414" s="126"/>
      <c r="I414" s="125"/>
      <c r="J414" s="123"/>
      <c r="K414" s="12"/>
      <c r="L414" s="117"/>
      <c r="M414" s="12"/>
      <c r="N414" s="117"/>
      <c r="O414" s="117"/>
      <c r="P414" s="117"/>
      <c r="Q414" s="118"/>
      <c r="R414" s="118"/>
      <c r="S414" s="118"/>
      <c r="T414" s="12"/>
      <c r="U414" s="118"/>
      <c r="V414" s="118"/>
      <c r="W414" s="12"/>
      <c r="X414" s="119"/>
      <c r="Y414" s="120"/>
      <c r="Z414" s="12"/>
      <c r="BA414" s="70" t="s">
        <v>205</v>
      </c>
      <c r="BB414" s="71" t="s">
        <v>210</v>
      </c>
      <c r="BC414" s="71" t="s">
        <v>207</v>
      </c>
      <c r="BD414" s="71">
        <v>24</v>
      </c>
      <c r="BE414" s="71">
        <v>36</v>
      </c>
      <c r="BF414" s="71">
        <v>390</v>
      </c>
      <c r="BG414" s="71">
        <v>212</v>
      </c>
      <c r="BH414" s="71">
        <v>5</v>
      </c>
      <c r="BI414" s="71">
        <v>10</v>
      </c>
      <c r="BJ414" s="12" t="str" cm="1">
        <f t="array" ref="BJ414">_xll.Dce_Name_SectI(BF414, BF414, BG414, BH414, BI414, "x", "-", $AX$11)</f>
        <v>390x212x5x10</v>
      </c>
      <c r="BK414" s="77" cm="1">
        <f t="array" ref="BK414">_xll.DCEPropSectI(BF414, BH414, BG414, BI414, BG414, BI414, "A")/100</f>
        <v>60.9</v>
      </c>
      <c r="BL414" s="70" t="s">
        <v>218</v>
      </c>
      <c r="BM414" s="70">
        <v>132.57996617399533</v>
      </c>
      <c r="BN414" s="71">
        <v>0.9</v>
      </c>
      <c r="BO414" s="77">
        <f t="shared" si="59"/>
        <v>32.4</v>
      </c>
      <c r="BP414" s="71">
        <v>0.9</v>
      </c>
      <c r="BQ414" s="77">
        <f t="shared" si="60"/>
        <v>32.4</v>
      </c>
      <c r="BR414" s="77" cm="1">
        <f t="array" ref="BR414">_xll.DCEPropSectI(BF414, BH414, BG414, BI414, BG414, BI414, "rx")/10</f>
        <v>16.91131201300167</v>
      </c>
      <c r="BS414" s="77" cm="1">
        <f t="array" ref="BS414">_xll.DCEPropSectI(BF414, BH414, BG414, BI414, BG414, BI414, "ry")/10</f>
        <v>5.1070747638622018</v>
      </c>
      <c r="BT414" s="5">
        <f t="shared" si="61"/>
        <v>191.58773710218577</v>
      </c>
      <c r="BU414" s="5">
        <f t="shared" si="62"/>
        <v>634.41405301647956</v>
      </c>
      <c r="BV414" s="5">
        <f t="shared" si="63"/>
        <v>634.41405301647956</v>
      </c>
      <c r="BW414" s="71">
        <f t="shared" si="64"/>
        <v>400</v>
      </c>
      <c r="BX414" s="78" cm="1">
        <f t="array" ref="BX414">IF(BM414&gt;0,1,_xll.DCETCVN5575FactorPhi7121(BV414*SQRT($K$17/206000),"b"))</f>
        <v>1</v>
      </c>
      <c r="BY414" s="64">
        <f t="shared" si="65"/>
        <v>0.10366718756274561</v>
      </c>
      <c r="BZ414" s="3" t="str">
        <f t="shared" si="66"/>
        <v>Check</v>
      </c>
    </row>
    <row r="415" spans="1:78">
      <c r="A415" s="76"/>
      <c r="B415" s="76"/>
      <c r="C415" s="125"/>
      <c r="D415" s="125"/>
      <c r="E415" s="71"/>
      <c r="F415" s="71"/>
      <c r="G415" s="71"/>
      <c r="H415" s="126"/>
      <c r="I415" s="125"/>
      <c r="J415" s="123"/>
      <c r="K415" s="12"/>
      <c r="L415" s="117"/>
      <c r="M415" s="12"/>
      <c r="N415" s="117"/>
      <c r="O415" s="117"/>
      <c r="P415" s="117"/>
      <c r="Q415" s="118"/>
      <c r="R415" s="118"/>
      <c r="S415" s="118"/>
      <c r="T415" s="12"/>
      <c r="U415" s="118"/>
      <c r="V415" s="118"/>
      <c r="W415" s="12"/>
      <c r="X415" s="119"/>
      <c r="Y415" s="120"/>
      <c r="Z415" s="12"/>
      <c r="BA415" s="70" t="s">
        <v>205</v>
      </c>
      <c r="BB415" s="71" t="s">
        <v>210</v>
      </c>
      <c r="BC415" s="71" t="s">
        <v>207</v>
      </c>
      <c r="BD415" s="71">
        <v>24.5</v>
      </c>
      <c r="BE415" s="71">
        <v>36</v>
      </c>
      <c r="BF415" s="71">
        <v>390</v>
      </c>
      <c r="BG415" s="71">
        <v>212</v>
      </c>
      <c r="BH415" s="71">
        <v>5</v>
      </c>
      <c r="BI415" s="71">
        <v>10</v>
      </c>
      <c r="BJ415" s="12" t="str" cm="1">
        <f t="array" ref="BJ415">_xll.Dce_Name_SectI(BF415, BF415, BG415, BH415, BI415, "x", "-", $AX$11)</f>
        <v>390x212x5x10</v>
      </c>
      <c r="BK415" s="77" cm="1">
        <f t="array" ref="BK415">_xll.DCEPropSectI(BF415, BH415, BG415, BI415, BG415, BI415, "A")/100</f>
        <v>60.9</v>
      </c>
      <c r="BL415" s="70" t="s">
        <v>218</v>
      </c>
      <c r="BM415" s="70">
        <v>132.57996617399533</v>
      </c>
      <c r="BN415" s="71">
        <v>0.9</v>
      </c>
      <c r="BO415" s="77">
        <f t="shared" si="59"/>
        <v>32.4</v>
      </c>
      <c r="BP415" s="71">
        <v>0.9</v>
      </c>
      <c r="BQ415" s="77">
        <f t="shared" si="60"/>
        <v>32.4</v>
      </c>
      <c r="BR415" s="77" cm="1">
        <f t="array" ref="BR415">_xll.DCEPropSectI(BF415, BH415, BG415, BI415, BG415, BI415, "rx")/10</f>
        <v>16.91131201300167</v>
      </c>
      <c r="BS415" s="77" cm="1">
        <f t="array" ref="BS415">_xll.DCEPropSectI(BF415, BH415, BG415, BI415, BG415, BI415, "ry")/10</f>
        <v>5.1070747638622018</v>
      </c>
      <c r="BT415" s="5">
        <f t="shared" si="61"/>
        <v>191.58773710218577</v>
      </c>
      <c r="BU415" s="5">
        <f t="shared" si="62"/>
        <v>634.41405301647956</v>
      </c>
      <c r="BV415" s="5">
        <f t="shared" si="63"/>
        <v>634.41405301647956</v>
      </c>
      <c r="BW415" s="71">
        <f t="shared" si="64"/>
        <v>400</v>
      </c>
      <c r="BX415" s="78" cm="1">
        <f t="array" ref="BX415">IF(BM415&gt;0,1,_xll.DCETCVN5575FactorPhi7121(BV415*SQRT($K$17/206000),"b"))</f>
        <v>1</v>
      </c>
      <c r="BY415" s="64">
        <f t="shared" si="65"/>
        <v>0.10366718756274561</v>
      </c>
      <c r="BZ415" s="3" t="str">
        <f t="shared" si="66"/>
        <v>Check</v>
      </c>
    </row>
    <row r="416" spans="1:78">
      <c r="A416" s="76"/>
      <c r="B416" s="76"/>
      <c r="C416" s="125"/>
      <c r="D416" s="125"/>
      <c r="E416" s="71"/>
      <c r="F416" s="71"/>
      <c r="G416" s="71"/>
      <c r="H416" s="126"/>
      <c r="I416" s="125"/>
      <c r="J416" s="123"/>
      <c r="K416" s="12"/>
      <c r="L416" s="117"/>
      <c r="M416" s="12"/>
      <c r="N416" s="117"/>
      <c r="O416" s="117"/>
      <c r="P416" s="117"/>
      <c r="Q416" s="118"/>
      <c r="R416" s="118"/>
      <c r="S416" s="118"/>
      <c r="T416" s="12"/>
      <c r="U416" s="118"/>
      <c r="V416" s="118"/>
      <c r="W416" s="12"/>
      <c r="X416" s="119"/>
      <c r="Y416" s="120"/>
      <c r="Z416" s="12"/>
      <c r="BA416" s="70" t="s">
        <v>205</v>
      </c>
      <c r="BB416" s="71" t="s">
        <v>210</v>
      </c>
      <c r="BC416" s="71" t="s">
        <v>207</v>
      </c>
      <c r="BD416" s="71">
        <v>25</v>
      </c>
      <c r="BE416" s="71">
        <v>36</v>
      </c>
      <c r="BF416" s="71">
        <v>390</v>
      </c>
      <c r="BG416" s="71">
        <v>212</v>
      </c>
      <c r="BH416" s="71">
        <v>5</v>
      </c>
      <c r="BI416" s="71">
        <v>10</v>
      </c>
      <c r="BJ416" s="12" t="str" cm="1">
        <f t="array" ref="BJ416">_xll.Dce_Name_SectI(BF416, BF416, BG416, BH416, BI416, "x", "-", $AX$11)</f>
        <v>390x212x5x10</v>
      </c>
      <c r="BK416" s="77" cm="1">
        <f t="array" ref="BK416">_xll.DCEPropSectI(BF416, BH416, BG416, BI416, BG416, BI416, "A")/100</f>
        <v>60.9</v>
      </c>
      <c r="BL416" s="70" t="s">
        <v>218</v>
      </c>
      <c r="BM416" s="70">
        <v>132.57996617399533</v>
      </c>
      <c r="BN416" s="71">
        <v>0.9</v>
      </c>
      <c r="BO416" s="77">
        <f t="shared" si="59"/>
        <v>32.4</v>
      </c>
      <c r="BP416" s="71">
        <v>0.9</v>
      </c>
      <c r="BQ416" s="77">
        <f t="shared" si="60"/>
        <v>32.4</v>
      </c>
      <c r="BR416" s="77" cm="1">
        <f t="array" ref="BR416">_xll.DCEPropSectI(BF416, BH416, BG416, BI416, BG416, BI416, "rx")/10</f>
        <v>16.91131201300167</v>
      </c>
      <c r="BS416" s="77" cm="1">
        <f t="array" ref="BS416">_xll.DCEPropSectI(BF416, BH416, BG416, BI416, BG416, BI416, "ry")/10</f>
        <v>5.1070747638622018</v>
      </c>
      <c r="BT416" s="5">
        <f t="shared" si="61"/>
        <v>191.58773710218577</v>
      </c>
      <c r="BU416" s="5">
        <f t="shared" si="62"/>
        <v>634.41405301647956</v>
      </c>
      <c r="BV416" s="5">
        <f t="shared" si="63"/>
        <v>634.41405301647956</v>
      </c>
      <c r="BW416" s="71">
        <f t="shared" si="64"/>
        <v>400</v>
      </c>
      <c r="BX416" s="78" cm="1">
        <f t="array" ref="BX416">IF(BM416&gt;0,1,_xll.DCETCVN5575FactorPhi7121(BV416*SQRT($K$17/206000),"b"))</f>
        <v>1</v>
      </c>
      <c r="BY416" s="64">
        <f t="shared" si="65"/>
        <v>0.10366718756274561</v>
      </c>
      <c r="BZ416" s="3" t="str">
        <f t="shared" si="66"/>
        <v>Check</v>
      </c>
    </row>
    <row r="417" spans="1:78">
      <c r="A417" s="76"/>
      <c r="B417" s="76"/>
      <c r="C417" s="125"/>
      <c r="D417" s="125"/>
      <c r="E417" s="71"/>
      <c r="F417" s="71"/>
      <c r="G417" s="71"/>
      <c r="H417" s="126"/>
      <c r="I417" s="125"/>
      <c r="J417" s="123"/>
      <c r="K417" s="12"/>
      <c r="L417" s="117"/>
      <c r="M417" s="12"/>
      <c r="N417" s="117"/>
      <c r="O417" s="117"/>
      <c r="P417" s="117"/>
      <c r="Q417" s="118"/>
      <c r="R417" s="118"/>
      <c r="S417" s="118"/>
      <c r="T417" s="12"/>
      <c r="U417" s="118"/>
      <c r="V417" s="118"/>
      <c r="W417" s="12"/>
      <c r="X417" s="119"/>
      <c r="Y417" s="120"/>
      <c r="Z417" s="12"/>
      <c r="BA417" s="70" t="s">
        <v>205</v>
      </c>
      <c r="BB417" s="71" t="s">
        <v>210</v>
      </c>
      <c r="BC417" s="71" t="s">
        <v>207</v>
      </c>
      <c r="BD417" s="71">
        <v>25.5</v>
      </c>
      <c r="BE417" s="71">
        <v>36</v>
      </c>
      <c r="BF417" s="71">
        <v>390</v>
      </c>
      <c r="BG417" s="71">
        <v>212</v>
      </c>
      <c r="BH417" s="71">
        <v>5</v>
      </c>
      <c r="BI417" s="71">
        <v>10</v>
      </c>
      <c r="BJ417" s="12" t="str" cm="1">
        <f t="array" ref="BJ417">_xll.Dce_Name_SectI(BF417, BF417, BG417, BH417, BI417, "x", "-", $AX$11)</f>
        <v>390x212x5x10</v>
      </c>
      <c r="BK417" s="77" cm="1">
        <f t="array" ref="BK417">_xll.DCEPropSectI(BF417, BH417, BG417, BI417, BG417, BI417, "A")/100</f>
        <v>60.9</v>
      </c>
      <c r="BL417" s="70" t="s">
        <v>218</v>
      </c>
      <c r="BM417" s="70">
        <v>132.57996617399533</v>
      </c>
      <c r="BN417" s="71">
        <v>0.9</v>
      </c>
      <c r="BO417" s="77">
        <f t="shared" si="59"/>
        <v>32.4</v>
      </c>
      <c r="BP417" s="71">
        <v>0.9</v>
      </c>
      <c r="BQ417" s="77">
        <f t="shared" si="60"/>
        <v>32.4</v>
      </c>
      <c r="BR417" s="77" cm="1">
        <f t="array" ref="BR417">_xll.DCEPropSectI(BF417, BH417, BG417, BI417, BG417, BI417, "rx")/10</f>
        <v>16.91131201300167</v>
      </c>
      <c r="BS417" s="77" cm="1">
        <f t="array" ref="BS417">_xll.DCEPropSectI(BF417, BH417, BG417, BI417, BG417, BI417, "ry")/10</f>
        <v>5.1070747638622018</v>
      </c>
      <c r="BT417" s="5">
        <f t="shared" si="61"/>
        <v>191.58773710218577</v>
      </c>
      <c r="BU417" s="5">
        <f t="shared" si="62"/>
        <v>634.41405301647956</v>
      </c>
      <c r="BV417" s="5">
        <f t="shared" si="63"/>
        <v>634.41405301647956</v>
      </c>
      <c r="BW417" s="71">
        <f t="shared" si="64"/>
        <v>400</v>
      </c>
      <c r="BX417" s="78" cm="1">
        <f t="array" ref="BX417">IF(BM417&gt;0,1,_xll.DCETCVN5575FactorPhi7121(BV417*SQRT($K$17/206000),"b"))</f>
        <v>1</v>
      </c>
      <c r="BY417" s="64">
        <f t="shared" si="65"/>
        <v>0.10366718756274561</v>
      </c>
      <c r="BZ417" s="3" t="str">
        <f t="shared" si="66"/>
        <v>Check</v>
      </c>
    </row>
    <row r="418" spans="1:78">
      <c r="A418" s="76"/>
      <c r="B418" s="76"/>
      <c r="C418" s="125"/>
      <c r="D418" s="125"/>
      <c r="E418" s="71"/>
      <c r="F418" s="71"/>
      <c r="G418" s="71"/>
      <c r="H418" s="126"/>
      <c r="I418" s="125"/>
      <c r="J418" s="123"/>
      <c r="K418" s="12"/>
      <c r="L418" s="117"/>
      <c r="M418" s="12"/>
      <c r="N418" s="117"/>
      <c r="O418" s="117"/>
      <c r="P418" s="117"/>
      <c r="Q418" s="118"/>
      <c r="R418" s="118"/>
      <c r="S418" s="118"/>
      <c r="T418" s="12"/>
      <c r="U418" s="118"/>
      <c r="V418" s="118"/>
      <c r="W418" s="12"/>
      <c r="X418" s="119"/>
      <c r="Y418" s="120"/>
      <c r="Z418" s="12"/>
      <c r="BA418" s="70" t="s">
        <v>205</v>
      </c>
      <c r="BB418" s="71" t="s">
        <v>210</v>
      </c>
      <c r="BC418" s="71" t="s">
        <v>207</v>
      </c>
      <c r="BD418" s="71">
        <v>26</v>
      </c>
      <c r="BE418" s="71">
        <v>36</v>
      </c>
      <c r="BF418" s="71">
        <v>390</v>
      </c>
      <c r="BG418" s="71">
        <v>212</v>
      </c>
      <c r="BH418" s="71">
        <v>5</v>
      </c>
      <c r="BI418" s="71">
        <v>10</v>
      </c>
      <c r="BJ418" s="12" t="str" cm="1">
        <f t="array" ref="BJ418">_xll.Dce_Name_SectI(BF418, BF418, BG418, BH418, BI418, "x", "-", $AX$11)</f>
        <v>390x212x5x10</v>
      </c>
      <c r="BK418" s="77" cm="1">
        <f t="array" ref="BK418">_xll.DCEPropSectI(BF418, BH418, BG418, BI418, BG418, BI418, "A")/100</f>
        <v>60.9</v>
      </c>
      <c r="BL418" s="70" t="s">
        <v>218</v>
      </c>
      <c r="BM418" s="70">
        <v>132.57996617399533</v>
      </c>
      <c r="BN418" s="71">
        <v>0.9</v>
      </c>
      <c r="BO418" s="77">
        <f t="shared" si="59"/>
        <v>32.4</v>
      </c>
      <c r="BP418" s="71">
        <v>0.9</v>
      </c>
      <c r="BQ418" s="77">
        <f t="shared" si="60"/>
        <v>32.4</v>
      </c>
      <c r="BR418" s="77" cm="1">
        <f t="array" ref="BR418">_xll.DCEPropSectI(BF418, BH418, BG418, BI418, BG418, BI418, "rx")/10</f>
        <v>16.91131201300167</v>
      </c>
      <c r="BS418" s="77" cm="1">
        <f t="array" ref="BS418">_xll.DCEPropSectI(BF418, BH418, BG418, BI418, BG418, BI418, "ry")/10</f>
        <v>5.1070747638622018</v>
      </c>
      <c r="BT418" s="5">
        <f t="shared" si="61"/>
        <v>191.58773710218577</v>
      </c>
      <c r="BU418" s="5">
        <f t="shared" si="62"/>
        <v>634.41405301647956</v>
      </c>
      <c r="BV418" s="5">
        <f t="shared" si="63"/>
        <v>634.41405301647956</v>
      </c>
      <c r="BW418" s="71">
        <f t="shared" si="64"/>
        <v>400</v>
      </c>
      <c r="BX418" s="78" cm="1">
        <f t="array" ref="BX418">IF(BM418&gt;0,1,_xll.DCETCVN5575FactorPhi7121(BV418*SQRT($K$17/206000),"b"))</f>
        <v>1</v>
      </c>
      <c r="BY418" s="64">
        <f t="shared" si="65"/>
        <v>0.10366718756274561</v>
      </c>
      <c r="BZ418" s="3" t="str">
        <f t="shared" si="66"/>
        <v>Check</v>
      </c>
    </row>
    <row r="419" spans="1:78">
      <c r="A419" s="76"/>
      <c r="B419" s="76"/>
      <c r="C419" s="125"/>
      <c r="D419" s="125"/>
      <c r="E419" s="71"/>
      <c r="F419" s="71"/>
      <c r="G419" s="71"/>
      <c r="H419" s="126"/>
      <c r="I419" s="125"/>
      <c r="J419" s="123"/>
      <c r="K419" s="12"/>
      <c r="L419" s="117"/>
      <c r="M419" s="12"/>
      <c r="N419" s="117"/>
      <c r="O419" s="117"/>
      <c r="P419" s="117"/>
      <c r="Q419" s="118"/>
      <c r="R419" s="118"/>
      <c r="S419" s="118"/>
      <c r="T419" s="12"/>
      <c r="U419" s="118"/>
      <c r="V419" s="118"/>
      <c r="W419" s="12"/>
      <c r="X419" s="119"/>
      <c r="Y419" s="120"/>
      <c r="Z419" s="12"/>
      <c r="BA419" s="70" t="s">
        <v>205</v>
      </c>
      <c r="BB419" s="71" t="s">
        <v>210</v>
      </c>
      <c r="BC419" s="71" t="s">
        <v>207</v>
      </c>
      <c r="BD419" s="71">
        <v>26.5</v>
      </c>
      <c r="BE419" s="71">
        <v>36</v>
      </c>
      <c r="BF419" s="71">
        <v>390</v>
      </c>
      <c r="BG419" s="71">
        <v>212</v>
      </c>
      <c r="BH419" s="71">
        <v>5</v>
      </c>
      <c r="BI419" s="71">
        <v>10</v>
      </c>
      <c r="BJ419" s="12" t="str" cm="1">
        <f t="array" ref="BJ419">_xll.Dce_Name_SectI(BF419, BF419, BG419, BH419, BI419, "x", "-", $AX$11)</f>
        <v>390x212x5x10</v>
      </c>
      <c r="BK419" s="77" cm="1">
        <f t="array" ref="BK419">_xll.DCEPropSectI(BF419, BH419, BG419, BI419, BG419, BI419, "A")/100</f>
        <v>60.9</v>
      </c>
      <c r="BL419" s="70" t="s">
        <v>218</v>
      </c>
      <c r="BM419" s="70">
        <v>132.57996617399533</v>
      </c>
      <c r="BN419" s="71">
        <v>0.9</v>
      </c>
      <c r="BO419" s="77">
        <f t="shared" si="59"/>
        <v>32.4</v>
      </c>
      <c r="BP419" s="71">
        <v>0.9</v>
      </c>
      <c r="BQ419" s="77">
        <f t="shared" si="60"/>
        <v>32.4</v>
      </c>
      <c r="BR419" s="77" cm="1">
        <f t="array" ref="BR419">_xll.DCEPropSectI(BF419, BH419, BG419, BI419, BG419, BI419, "rx")/10</f>
        <v>16.91131201300167</v>
      </c>
      <c r="BS419" s="77" cm="1">
        <f t="array" ref="BS419">_xll.DCEPropSectI(BF419, BH419, BG419, BI419, BG419, BI419, "ry")/10</f>
        <v>5.1070747638622018</v>
      </c>
      <c r="BT419" s="5">
        <f t="shared" si="61"/>
        <v>191.58773710218577</v>
      </c>
      <c r="BU419" s="5">
        <f t="shared" si="62"/>
        <v>634.41405301647956</v>
      </c>
      <c r="BV419" s="5">
        <f t="shared" si="63"/>
        <v>634.41405301647956</v>
      </c>
      <c r="BW419" s="71">
        <f t="shared" si="64"/>
        <v>400</v>
      </c>
      <c r="BX419" s="78" cm="1">
        <f t="array" ref="BX419">IF(BM419&gt;0,1,_xll.DCETCVN5575FactorPhi7121(BV419*SQRT($K$17/206000),"b"))</f>
        <v>1</v>
      </c>
      <c r="BY419" s="64">
        <f t="shared" si="65"/>
        <v>0.10366718756274561</v>
      </c>
      <c r="BZ419" s="3" t="str">
        <f t="shared" si="66"/>
        <v>Check</v>
      </c>
    </row>
    <row r="420" spans="1:78">
      <c r="A420" s="76"/>
      <c r="B420" s="76"/>
      <c r="C420" s="125"/>
      <c r="D420" s="125"/>
      <c r="E420" s="71"/>
      <c r="F420" s="71"/>
      <c r="G420" s="71"/>
      <c r="H420" s="126"/>
      <c r="I420" s="125"/>
      <c r="J420" s="123"/>
      <c r="K420" s="12"/>
      <c r="L420" s="117"/>
      <c r="M420" s="12"/>
      <c r="N420" s="117"/>
      <c r="O420" s="117"/>
      <c r="P420" s="117"/>
      <c r="Q420" s="118"/>
      <c r="R420" s="118"/>
      <c r="S420" s="118"/>
      <c r="T420" s="12"/>
      <c r="U420" s="118"/>
      <c r="V420" s="118"/>
      <c r="W420" s="12"/>
      <c r="X420" s="119"/>
      <c r="Y420" s="120"/>
      <c r="Z420" s="12"/>
      <c r="BA420" s="70" t="s">
        <v>205</v>
      </c>
      <c r="BB420" s="71" t="s">
        <v>210</v>
      </c>
      <c r="BC420" s="71" t="s">
        <v>207</v>
      </c>
      <c r="BD420" s="71">
        <v>27</v>
      </c>
      <c r="BE420" s="71">
        <v>36</v>
      </c>
      <c r="BF420" s="71">
        <v>390</v>
      </c>
      <c r="BG420" s="71">
        <v>212</v>
      </c>
      <c r="BH420" s="71">
        <v>5</v>
      </c>
      <c r="BI420" s="71">
        <v>10</v>
      </c>
      <c r="BJ420" s="12" t="str" cm="1">
        <f t="array" ref="BJ420">_xll.Dce_Name_SectI(BF420, BF420, BG420, BH420, BI420, "x", "-", $AX$11)</f>
        <v>390x212x5x10</v>
      </c>
      <c r="BK420" s="77" cm="1">
        <f t="array" ref="BK420">_xll.DCEPropSectI(BF420, BH420, BG420, BI420, BG420, BI420, "A")/100</f>
        <v>60.9</v>
      </c>
      <c r="BL420" s="70" t="s">
        <v>218</v>
      </c>
      <c r="BM420" s="70">
        <v>132.57996617399533</v>
      </c>
      <c r="BN420" s="71">
        <v>0.9</v>
      </c>
      <c r="BO420" s="77">
        <f t="shared" si="59"/>
        <v>32.4</v>
      </c>
      <c r="BP420" s="71">
        <v>0.9</v>
      </c>
      <c r="BQ420" s="77">
        <f t="shared" si="60"/>
        <v>32.4</v>
      </c>
      <c r="BR420" s="77" cm="1">
        <f t="array" ref="BR420">_xll.DCEPropSectI(BF420, BH420, BG420, BI420, BG420, BI420, "rx")/10</f>
        <v>16.91131201300167</v>
      </c>
      <c r="BS420" s="77" cm="1">
        <f t="array" ref="BS420">_xll.DCEPropSectI(BF420, BH420, BG420, BI420, BG420, BI420, "ry")/10</f>
        <v>5.1070747638622018</v>
      </c>
      <c r="BT420" s="5">
        <f t="shared" si="61"/>
        <v>191.58773710218577</v>
      </c>
      <c r="BU420" s="5">
        <f t="shared" si="62"/>
        <v>634.41405301647956</v>
      </c>
      <c r="BV420" s="5">
        <f t="shared" si="63"/>
        <v>634.41405301647956</v>
      </c>
      <c r="BW420" s="71">
        <f t="shared" si="64"/>
        <v>400</v>
      </c>
      <c r="BX420" s="78" cm="1">
        <f t="array" ref="BX420">IF(BM420&gt;0,1,_xll.DCETCVN5575FactorPhi7121(BV420*SQRT($K$17/206000),"b"))</f>
        <v>1</v>
      </c>
      <c r="BY420" s="64">
        <f t="shared" si="65"/>
        <v>0.10366718756274561</v>
      </c>
      <c r="BZ420" s="3" t="str">
        <f t="shared" si="66"/>
        <v>Check</v>
      </c>
    </row>
    <row r="421" spans="1:78">
      <c r="A421" s="76"/>
      <c r="B421" s="76"/>
      <c r="C421" s="125"/>
      <c r="D421" s="125"/>
      <c r="E421" s="71"/>
      <c r="F421" s="71"/>
      <c r="G421" s="71"/>
      <c r="H421" s="126"/>
      <c r="I421" s="125"/>
      <c r="J421" s="123"/>
      <c r="K421" s="12"/>
      <c r="L421" s="117"/>
      <c r="M421" s="12"/>
      <c r="N421" s="117"/>
      <c r="O421" s="117"/>
      <c r="P421" s="117"/>
      <c r="Q421" s="118"/>
      <c r="R421" s="118"/>
      <c r="S421" s="118"/>
      <c r="T421" s="12"/>
      <c r="U421" s="118"/>
      <c r="V421" s="118"/>
      <c r="W421" s="12"/>
      <c r="X421" s="119"/>
      <c r="Y421" s="120"/>
      <c r="Z421" s="12"/>
      <c r="BA421" s="70" t="s">
        <v>205</v>
      </c>
      <c r="BB421" s="71" t="s">
        <v>210</v>
      </c>
      <c r="BC421" s="71" t="s">
        <v>207</v>
      </c>
      <c r="BD421" s="71">
        <v>27.5</v>
      </c>
      <c r="BE421" s="71">
        <v>36</v>
      </c>
      <c r="BF421" s="71">
        <v>390</v>
      </c>
      <c r="BG421" s="71">
        <v>212</v>
      </c>
      <c r="BH421" s="71">
        <v>5</v>
      </c>
      <c r="BI421" s="71">
        <v>10</v>
      </c>
      <c r="BJ421" s="12" t="str" cm="1">
        <f t="array" ref="BJ421">_xll.Dce_Name_SectI(BF421, BF421, BG421, BH421, BI421, "x", "-", $AX$11)</f>
        <v>390x212x5x10</v>
      </c>
      <c r="BK421" s="77" cm="1">
        <f t="array" ref="BK421">_xll.DCEPropSectI(BF421, BH421, BG421, BI421, BG421, BI421, "A")/100</f>
        <v>60.9</v>
      </c>
      <c r="BL421" s="70" t="s">
        <v>218</v>
      </c>
      <c r="BM421" s="70">
        <v>132.57996617399533</v>
      </c>
      <c r="BN421" s="71">
        <v>0.9</v>
      </c>
      <c r="BO421" s="77">
        <f t="shared" si="59"/>
        <v>32.4</v>
      </c>
      <c r="BP421" s="71">
        <v>0.9</v>
      </c>
      <c r="BQ421" s="77">
        <f t="shared" si="60"/>
        <v>32.4</v>
      </c>
      <c r="BR421" s="77" cm="1">
        <f t="array" ref="BR421">_xll.DCEPropSectI(BF421, BH421, BG421, BI421, BG421, BI421, "rx")/10</f>
        <v>16.91131201300167</v>
      </c>
      <c r="BS421" s="77" cm="1">
        <f t="array" ref="BS421">_xll.DCEPropSectI(BF421, BH421, BG421, BI421, BG421, BI421, "ry")/10</f>
        <v>5.1070747638622018</v>
      </c>
      <c r="BT421" s="5">
        <f t="shared" si="61"/>
        <v>191.58773710218577</v>
      </c>
      <c r="BU421" s="5">
        <f t="shared" si="62"/>
        <v>634.41405301647956</v>
      </c>
      <c r="BV421" s="5">
        <f t="shared" si="63"/>
        <v>634.41405301647956</v>
      </c>
      <c r="BW421" s="71">
        <f t="shared" si="64"/>
        <v>400</v>
      </c>
      <c r="BX421" s="78" cm="1">
        <f t="array" ref="BX421">IF(BM421&gt;0,1,_xll.DCETCVN5575FactorPhi7121(BV421*SQRT($K$17/206000),"b"))</f>
        <v>1</v>
      </c>
      <c r="BY421" s="64">
        <f t="shared" si="65"/>
        <v>0.10366718756274561</v>
      </c>
      <c r="BZ421" s="3" t="str">
        <f t="shared" si="66"/>
        <v>Check</v>
      </c>
    </row>
    <row r="422" spans="1:78">
      <c r="A422" s="76"/>
      <c r="B422" s="76"/>
      <c r="C422" s="125"/>
      <c r="D422" s="125"/>
      <c r="E422" s="71"/>
      <c r="F422" s="71"/>
      <c r="G422" s="71"/>
      <c r="H422" s="126"/>
      <c r="I422" s="125"/>
      <c r="J422" s="123"/>
      <c r="K422" s="12"/>
      <c r="L422" s="117"/>
      <c r="M422" s="12"/>
      <c r="N422" s="117"/>
      <c r="O422" s="117"/>
      <c r="P422" s="117"/>
      <c r="Q422" s="118"/>
      <c r="R422" s="118"/>
      <c r="S422" s="118"/>
      <c r="T422" s="12"/>
      <c r="U422" s="118"/>
      <c r="V422" s="118"/>
      <c r="W422" s="12"/>
      <c r="X422" s="119"/>
      <c r="Y422" s="120"/>
      <c r="Z422" s="12"/>
      <c r="BA422" s="70" t="s">
        <v>205</v>
      </c>
      <c r="BB422" s="71" t="s">
        <v>210</v>
      </c>
      <c r="BC422" s="71" t="s">
        <v>207</v>
      </c>
      <c r="BD422" s="71">
        <v>28</v>
      </c>
      <c r="BE422" s="71">
        <v>36</v>
      </c>
      <c r="BF422" s="71">
        <v>390</v>
      </c>
      <c r="BG422" s="71">
        <v>212</v>
      </c>
      <c r="BH422" s="71">
        <v>5</v>
      </c>
      <c r="BI422" s="71">
        <v>10</v>
      </c>
      <c r="BJ422" s="12" t="str" cm="1">
        <f t="array" ref="BJ422">_xll.Dce_Name_SectI(BF422, BF422, BG422, BH422, BI422, "x", "-", $AX$11)</f>
        <v>390x212x5x10</v>
      </c>
      <c r="BK422" s="77" cm="1">
        <f t="array" ref="BK422">_xll.DCEPropSectI(BF422, BH422, BG422, BI422, BG422, BI422, "A")/100</f>
        <v>60.9</v>
      </c>
      <c r="BL422" s="70" t="s">
        <v>218</v>
      </c>
      <c r="BM422" s="70">
        <v>132.57996617399533</v>
      </c>
      <c r="BN422" s="71">
        <v>0.9</v>
      </c>
      <c r="BO422" s="77">
        <f t="shared" si="59"/>
        <v>32.4</v>
      </c>
      <c r="BP422" s="71">
        <v>0.9</v>
      </c>
      <c r="BQ422" s="77">
        <f t="shared" si="60"/>
        <v>32.4</v>
      </c>
      <c r="BR422" s="77" cm="1">
        <f t="array" ref="BR422">_xll.DCEPropSectI(BF422, BH422, BG422, BI422, BG422, BI422, "rx")/10</f>
        <v>16.91131201300167</v>
      </c>
      <c r="BS422" s="77" cm="1">
        <f t="array" ref="BS422">_xll.DCEPropSectI(BF422, BH422, BG422, BI422, BG422, BI422, "ry")/10</f>
        <v>5.1070747638622018</v>
      </c>
      <c r="BT422" s="5">
        <f t="shared" si="61"/>
        <v>191.58773710218577</v>
      </c>
      <c r="BU422" s="5">
        <f t="shared" si="62"/>
        <v>634.41405301647956</v>
      </c>
      <c r="BV422" s="5">
        <f t="shared" si="63"/>
        <v>634.41405301647956</v>
      </c>
      <c r="BW422" s="71">
        <f t="shared" si="64"/>
        <v>400</v>
      </c>
      <c r="BX422" s="78" cm="1">
        <f t="array" ref="BX422">IF(BM422&gt;0,1,_xll.DCETCVN5575FactorPhi7121(BV422*SQRT($K$17/206000),"b"))</f>
        <v>1</v>
      </c>
      <c r="BY422" s="64">
        <f t="shared" si="65"/>
        <v>0.10366718756274561</v>
      </c>
      <c r="BZ422" s="3" t="str">
        <f t="shared" si="66"/>
        <v>Check</v>
      </c>
    </row>
    <row r="423" spans="1:78">
      <c r="A423" s="76"/>
      <c r="B423" s="76"/>
      <c r="C423" s="125"/>
      <c r="D423" s="125"/>
      <c r="E423" s="71"/>
      <c r="F423" s="71"/>
      <c r="G423" s="71"/>
      <c r="H423" s="126"/>
      <c r="I423" s="125"/>
      <c r="J423" s="123"/>
      <c r="K423" s="12"/>
      <c r="L423" s="117"/>
      <c r="M423" s="12"/>
      <c r="N423" s="117"/>
      <c r="O423" s="117"/>
      <c r="P423" s="117"/>
      <c r="Q423" s="118"/>
      <c r="R423" s="118"/>
      <c r="S423" s="118"/>
      <c r="T423" s="12"/>
      <c r="U423" s="118"/>
      <c r="V423" s="118"/>
      <c r="W423" s="12"/>
      <c r="X423" s="119"/>
      <c r="Y423" s="120"/>
      <c r="Z423" s="12"/>
      <c r="BA423" s="70" t="s">
        <v>205</v>
      </c>
      <c r="BB423" s="71" t="s">
        <v>210</v>
      </c>
      <c r="BC423" s="71" t="s">
        <v>207</v>
      </c>
      <c r="BD423" s="71">
        <v>28.5</v>
      </c>
      <c r="BE423" s="71">
        <v>36</v>
      </c>
      <c r="BF423" s="71">
        <v>390</v>
      </c>
      <c r="BG423" s="71">
        <v>212</v>
      </c>
      <c r="BH423" s="71">
        <v>5</v>
      </c>
      <c r="BI423" s="71">
        <v>10</v>
      </c>
      <c r="BJ423" s="12" t="str" cm="1">
        <f t="array" ref="BJ423">_xll.Dce_Name_SectI(BF423, BF423, BG423, BH423, BI423, "x", "-", $AX$11)</f>
        <v>390x212x5x10</v>
      </c>
      <c r="BK423" s="77" cm="1">
        <f t="array" ref="BK423">_xll.DCEPropSectI(BF423, BH423, BG423, BI423, BG423, BI423, "A")/100</f>
        <v>60.9</v>
      </c>
      <c r="BL423" s="70" t="s">
        <v>218</v>
      </c>
      <c r="BM423" s="70">
        <v>132.57996617399533</v>
      </c>
      <c r="BN423" s="71">
        <v>0.9</v>
      </c>
      <c r="BO423" s="77">
        <f t="shared" si="59"/>
        <v>32.4</v>
      </c>
      <c r="BP423" s="71">
        <v>0.9</v>
      </c>
      <c r="BQ423" s="77">
        <f t="shared" si="60"/>
        <v>32.4</v>
      </c>
      <c r="BR423" s="77" cm="1">
        <f t="array" ref="BR423">_xll.DCEPropSectI(BF423, BH423, BG423, BI423, BG423, BI423, "rx")/10</f>
        <v>16.91131201300167</v>
      </c>
      <c r="BS423" s="77" cm="1">
        <f t="array" ref="BS423">_xll.DCEPropSectI(BF423, BH423, BG423, BI423, BG423, BI423, "ry")/10</f>
        <v>5.1070747638622018</v>
      </c>
      <c r="BT423" s="5">
        <f t="shared" si="61"/>
        <v>191.58773710218577</v>
      </c>
      <c r="BU423" s="5">
        <f t="shared" si="62"/>
        <v>634.41405301647956</v>
      </c>
      <c r="BV423" s="5">
        <f t="shared" si="63"/>
        <v>634.41405301647956</v>
      </c>
      <c r="BW423" s="71">
        <f t="shared" si="64"/>
        <v>400</v>
      </c>
      <c r="BX423" s="78" cm="1">
        <f t="array" ref="BX423">IF(BM423&gt;0,1,_xll.DCETCVN5575FactorPhi7121(BV423*SQRT($K$17/206000),"b"))</f>
        <v>1</v>
      </c>
      <c r="BY423" s="64">
        <f t="shared" si="65"/>
        <v>0.10366718756274561</v>
      </c>
      <c r="BZ423" s="3" t="str">
        <f t="shared" si="66"/>
        <v>Check</v>
      </c>
    </row>
    <row r="424" spans="1:78">
      <c r="A424" s="76"/>
      <c r="B424" s="76"/>
      <c r="C424" s="125"/>
      <c r="D424" s="125"/>
      <c r="E424" s="71"/>
      <c r="F424" s="71"/>
      <c r="G424" s="71"/>
      <c r="H424" s="126"/>
      <c r="I424" s="125"/>
      <c r="J424" s="123"/>
      <c r="K424" s="12"/>
      <c r="L424" s="117"/>
      <c r="M424" s="12"/>
      <c r="N424" s="117"/>
      <c r="O424" s="117"/>
      <c r="P424" s="117"/>
      <c r="Q424" s="118"/>
      <c r="R424" s="118"/>
      <c r="S424" s="118"/>
      <c r="T424" s="12"/>
      <c r="U424" s="118"/>
      <c r="V424" s="118"/>
      <c r="W424" s="12"/>
      <c r="X424" s="119"/>
      <c r="Y424" s="120"/>
      <c r="Z424" s="12"/>
      <c r="BA424" s="70" t="s">
        <v>205</v>
      </c>
      <c r="BB424" s="71" t="s">
        <v>210</v>
      </c>
      <c r="BC424" s="71" t="s">
        <v>207</v>
      </c>
      <c r="BD424" s="71">
        <v>29</v>
      </c>
      <c r="BE424" s="71">
        <v>36</v>
      </c>
      <c r="BF424" s="71">
        <v>390</v>
      </c>
      <c r="BG424" s="71">
        <v>212</v>
      </c>
      <c r="BH424" s="71">
        <v>5</v>
      </c>
      <c r="BI424" s="71">
        <v>10</v>
      </c>
      <c r="BJ424" s="12" t="str" cm="1">
        <f t="array" ref="BJ424">_xll.Dce_Name_SectI(BF424, BF424, BG424, BH424, BI424, "x", "-", $AX$11)</f>
        <v>390x212x5x10</v>
      </c>
      <c r="BK424" s="77" cm="1">
        <f t="array" ref="BK424">_xll.DCEPropSectI(BF424, BH424, BG424, BI424, BG424, BI424, "A")/100</f>
        <v>60.9</v>
      </c>
      <c r="BL424" s="70" t="s">
        <v>218</v>
      </c>
      <c r="BM424" s="70">
        <v>132.57996617399533</v>
      </c>
      <c r="BN424" s="71">
        <v>0.9</v>
      </c>
      <c r="BO424" s="77">
        <f t="shared" si="59"/>
        <v>32.4</v>
      </c>
      <c r="BP424" s="71">
        <v>0.9</v>
      </c>
      <c r="BQ424" s="77">
        <f t="shared" si="60"/>
        <v>32.4</v>
      </c>
      <c r="BR424" s="77" cm="1">
        <f t="array" ref="BR424">_xll.DCEPropSectI(BF424, BH424, BG424, BI424, BG424, BI424, "rx")/10</f>
        <v>16.91131201300167</v>
      </c>
      <c r="BS424" s="77" cm="1">
        <f t="array" ref="BS424">_xll.DCEPropSectI(BF424, BH424, BG424, BI424, BG424, BI424, "ry")/10</f>
        <v>5.1070747638622018</v>
      </c>
      <c r="BT424" s="5">
        <f t="shared" si="61"/>
        <v>191.58773710218577</v>
      </c>
      <c r="BU424" s="5">
        <f t="shared" si="62"/>
        <v>634.41405301647956</v>
      </c>
      <c r="BV424" s="5">
        <f t="shared" si="63"/>
        <v>634.41405301647956</v>
      </c>
      <c r="BW424" s="71">
        <f t="shared" si="64"/>
        <v>400</v>
      </c>
      <c r="BX424" s="78" cm="1">
        <f t="array" ref="BX424">IF(BM424&gt;0,1,_xll.DCETCVN5575FactorPhi7121(BV424*SQRT($K$17/206000),"b"))</f>
        <v>1</v>
      </c>
      <c r="BY424" s="64">
        <f t="shared" si="65"/>
        <v>0.10366718756274561</v>
      </c>
      <c r="BZ424" s="3" t="str">
        <f t="shared" si="66"/>
        <v>Check</v>
      </c>
    </row>
    <row r="425" spans="1:78">
      <c r="A425" s="76"/>
      <c r="B425" s="76"/>
      <c r="C425" s="125"/>
      <c r="D425" s="125"/>
      <c r="E425" s="71"/>
      <c r="F425" s="71"/>
      <c r="G425" s="71"/>
      <c r="H425" s="126"/>
      <c r="I425" s="125"/>
      <c r="J425" s="123"/>
      <c r="K425" s="12"/>
      <c r="L425" s="117"/>
      <c r="M425" s="12"/>
      <c r="N425" s="117"/>
      <c r="O425" s="117"/>
      <c r="P425" s="117"/>
      <c r="Q425" s="118"/>
      <c r="R425" s="118"/>
      <c r="S425" s="118"/>
      <c r="T425" s="12"/>
      <c r="U425" s="118"/>
      <c r="V425" s="118"/>
      <c r="W425" s="12"/>
      <c r="X425" s="119"/>
      <c r="Y425" s="120"/>
      <c r="Z425" s="12"/>
      <c r="BA425" s="70" t="s">
        <v>205</v>
      </c>
      <c r="BB425" s="71" t="s">
        <v>210</v>
      </c>
      <c r="BC425" s="71" t="s">
        <v>207</v>
      </c>
      <c r="BD425" s="71">
        <v>29.5</v>
      </c>
      <c r="BE425" s="71">
        <v>36</v>
      </c>
      <c r="BF425" s="71">
        <v>390</v>
      </c>
      <c r="BG425" s="71">
        <v>212</v>
      </c>
      <c r="BH425" s="71">
        <v>5</v>
      </c>
      <c r="BI425" s="71">
        <v>10</v>
      </c>
      <c r="BJ425" s="12" t="str" cm="1">
        <f t="array" ref="BJ425">_xll.Dce_Name_SectI(BF425, BF425, BG425, BH425, BI425, "x", "-", $AX$11)</f>
        <v>390x212x5x10</v>
      </c>
      <c r="BK425" s="77" cm="1">
        <f t="array" ref="BK425">_xll.DCEPropSectI(BF425, BH425, BG425, BI425, BG425, BI425, "A")/100</f>
        <v>60.9</v>
      </c>
      <c r="BL425" s="70" t="s">
        <v>218</v>
      </c>
      <c r="BM425" s="70">
        <v>132.57996617399533</v>
      </c>
      <c r="BN425" s="71">
        <v>0.9</v>
      </c>
      <c r="BO425" s="77">
        <f t="shared" si="59"/>
        <v>32.4</v>
      </c>
      <c r="BP425" s="71">
        <v>0.9</v>
      </c>
      <c r="BQ425" s="77">
        <f t="shared" si="60"/>
        <v>32.4</v>
      </c>
      <c r="BR425" s="77" cm="1">
        <f t="array" ref="BR425">_xll.DCEPropSectI(BF425, BH425, BG425, BI425, BG425, BI425, "rx")/10</f>
        <v>16.91131201300167</v>
      </c>
      <c r="BS425" s="77" cm="1">
        <f t="array" ref="BS425">_xll.DCEPropSectI(BF425, BH425, BG425, BI425, BG425, BI425, "ry")/10</f>
        <v>5.1070747638622018</v>
      </c>
      <c r="BT425" s="5">
        <f t="shared" si="61"/>
        <v>191.58773710218577</v>
      </c>
      <c r="BU425" s="5">
        <f t="shared" si="62"/>
        <v>634.41405301647956</v>
      </c>
      <c r="BV425" s="5">
        <f t="shared" si="63"/>
        <v>634.41405301647956</v>
      </c>
      <c r="BW425" s="71">
        <f t="shared" si="64"/>
        <v>400</v>
      </c>
      <c r="BX425" s="78" cm="1">
        <f t="array" ref="BX425">IF(BM425&gt;0,1,_xll.DCETCVN5575FactorPhi7121(BV425*SQRT($K$17/206000),"b"))</f>
        <v>1</v>
      </c>
      <c r="BY425" s="64">
        <f t="shared" si="65"/>
        <v>0.10366718756274561</v>
      </c>
      <c r="BZ425" s="3" t="str">
        <f t="shared" si="66"/>
        <v>Check</v>
      </c>
    </row>
    <row r="426" spans="1:78">
      <c r="A426" s="76"/>
      <c r="B426" s="76"/>
      <c r="C426" s="125"/>
      <c r="D426" s="125"/>
      <c r="E426" s="71"/>
      <c r="F426" s="71"/>
      <c r="G426" s="71"/>
      <c r="H426" s="126"/>
      <c r="I426" s="125"/>
      <c r="J426" s="123"/>
      <c r="K426" s="12"/>
      <c r="L426" s="117"/>
      <c r="M426" s="12"/>
      <c r="N426" s="117"/>
      <c r="O426" s="117"/>
      <c r="P426" s="117"/>
      <c r="Q426" s="118"/>
      <c r="R426" s="118"/>
      <c r="S426" s="118"/>
      <c r="T426" s="12"/>
      <c r="U426" s="118"/>
      <c r="V426" s="118"/>
      <c r="W426" s="12"/>
      <c r="X426" s="119"/>
      <c r="Y426" s="120"/>
      <c r="Z426" s="12"/>
      <c r="BA426" s="70" t="s">
        <v>205</v>
      </c>
      <c r="BB426" s="71" t="s">
        <v>210</v>
      </c>
      <c r="BC426" s="71" t="s">
        <v>207</v>
      </c>
      <c r="BD426" s="71">
        <v>30</v>
      </c>
      <c r="BE426" s="71">
        <v>36</v>
      </c>
      <c r="BF426" s="71">
        <v>390</v>
      </c>
      <c r="BG426" s="71">
        <v>212</v>
      </c>
      <c r="BH426" s="71">
        <v>5</v>
      </c>
      <c r="BI426" s="71">
        <v>10</v>
      </c>
      <c r="BJ426" s="12" t="str" cm="1">
        <f t="array" ref="BJ426">_xll.Dce_Name_SectI(BF426, BF426, BG426, BH426, BI426, "x", "-", $AX$11)</f>
        <v>390x212x5x10</v>
      </c>
      <c r="BK426" s="77" cm="1">
        <f t="array" ref="BK426">_xll.DCEPropSectI(BF426, BH426, BG426, BI426, BG426, BI426, "A")/100</f>
        <v>60.9</v>
      </c>
      <c r="BL426" s="70" t="s">
        <v>218</v>
      </c>
      <c r="BM426" s="70">
        <v>132.57996617399533</v>
      </c>
      <c r="BN426" s="71">
        <v>0.9</v>
      </c>
      <c r="BO426" s="77">
        <f t="shared" si="59"/>
        <v>32.4</v>
      </c>
      <c r="BP426" s="71">
        <v>0.9</v>
      </c>
      <c r="BQ426" s="77">
        <f t="shared" si="60"/>
        <v>32.4</v>
      </c>
      <c r="BR426" s="77" cm="1">
        <f t="array" ref="BR426">_xll.DCEPropSectI(BF426, BH426, BG426, BI426, BG426, BI426, "rx")/10</f>
        <v>16.91131201300167</v>
      </c>
      <c r="BS426" s="77" cm="1">
        <f t="array" ref="BS426">_xll.DCEPropSectI(BF426, BH426, BG426, BI426, BG426, BI426, "ry")/10</f>
        <v>5.1070747638622018</v>
      </c>
      <c r="BT426" s="5">
        <f t="shared" si="61"/>
        <v>191.58773710218577</v>
      </c>
      <c r="BU426" s="5">
        <f t="shared" si="62"/>
        <v>634.41405301647956</v>
      </c>
      <c r="BV426" s="5">
        <f t="shared" si="63"/>
        <v>634.41405301647956</v>
      </c>
      <c r="BW426" s="71">
        <f t="shared" si="64"/>
        <v>400</v>
      </c>
      <c r="BX426" s="78" cm="1">
        <f t="array" ref="BX426">IF(BM426&gt;0,1,_xll.DCETCVN5575FactorPhi7121(BV426*SQRT($K$17/206000),"b"))</f>
        <v>1</v>
      </c>
      <c r="BY426" s="64">
        <f t="shared" si="65"/>
        <v>0.10366718756274561</v>
      </c>
      <c r="BZ426" s="3" t="str">
        <f t="shared" si="66"/>
        <v>Check</v>
      </c>
    </row>
    <row r="427" spans="1:78">
      <c r="A427" s="76"/>
      <c r="B427" s="76"/>
      <c r="C427" s="125"/>
      <c r="D427" s="125"/>
      <c r="E427" s="71"/>
      <c r="F427" s="71"/>
      <c r="G427" s="71"/>
      <c r="H427" s="126"/>
      <c r="I427" s="125"/>
      <c r="J427" s="123"/>
      <c r="K427" s="12"/>
      <c r="L427" s="117"/>
      <c r="M427" s="12"/>
      <c r="N427" s="117"/>
      <c r="O427" s="117"/>
      <c r="P427" s="117"/>
      <c r="Q427" s="118"/>
      <c r="R427" s="118"/>
      <c r="S427" s="118"/>
      <c r="T427" s="12"/>
      <c r="U427" s="118"/>
      <c r="V427" s="118"/>
      <c r="W427" s="12"/>
      <c r="X427" s="119"/>
      <c r="Y427" s="120"/>
      <c r="Z427" s="12"/>
      <c r="BA427" s="70" t="s">
        <v>205</v>
      </c>
      <c r="BB427" s="71" t="s">
        <v>210</v>
      </c>
      <c r="BC427" s="71" t="s">
        <v>207</v>
      </c>
      <c r="BD427" s="71">
        <v>30</v>
      </c>
      <c r="BE427" s="71">
        <v>36</v>
      </c>
      <c r="BF427" s="71">
        <v>390</v>
      </c>
      <c r="BG427" s="71">
        <v>212</v>
      </c>
      <c r="BH427" s="71">
        <v>5</v>
      </c>
      <c r="BI427" s="71">
        <v>10</v>
      </c>
      <c r="BJ427" s="12" t="str" cm="1">
        <f t="array" ref="BJ427">_xll.Dce_Name_SectI(BF427, BF427, BG427, BH427, BI427, "x", "-", $AX$11)</f>
        <v>390x212x5x10</v>
      </c>
      <c r="BK427" s="77" cm="1">
        <f t="array" ref="BK427">_xll.DCEPropSectI(BF427, BH427, BG427, BI427, BG427, BI427, "A")/100</f>
        <v>60.9</v>
      </c>
      <c r="BL427" s="70" t="s">
        <v>218</v>
      </c>
      <c r="BM427" s="70">
        <v>-30.291610502483366</v>
      </c>
      <c r="BN427" s="71">
        <v>0.9</v>
      </c>
      <c r="BO427" s="77">
        <f t="shared" si="59"/>
        <v>32.4</v>
      </c>
      <c r="BP427" s="71">
        <v>0.9</v>
      </c>
      <c r="BQ427" s="77">
        <f t="shared" si="60"/>
        <v>32.4</v>
      </c>
      <c r="BR427" s="77" cm="1">
        <f t="array" ref="BR427">_xll.DCEPropSectI(BF427, BH427, BG427, BI427, BG427, BI427, "rx")/10</f>
        <v>16.91131201300167</v>
      </c>
      <c r="BS427" s="77" cm="1">
        <f t="array" ref="BS427">_xll.DCEPropSectI(BF427, BH427, BG427, BI427, BG427, BI427, "ry")/10</f>
        <v>5.1070747638622018</v>
      </c>
      <c r="BT427" s="5">
        <f t="shared" si="61"/>
        <v>191.58773710218577</v>
      </c>
      <c r="BU427" s="5">
        <f t="shared" si="62"/>
        <v>634.41405301647956</v>
      </c>
      <c r="BV427" s="5">
        <f t="shared" si="63"/>
        <v>634.41405301647956</v>
      </c>
      <c r="BW427" s="71">
        <f t="shared" si="64"/>
        <v>200</v>
      </c>
      <c r="BX427" s="78" cm="1">
        <f t="array" ref="BX427">IF(BM427&gt;0,1,_xll.DCETCVN5575FactorPhi7121(BV427*SQRT($K$17/206000),"b"))</f>
        <v>1.6670876655456978E-2</v>
      </c>
      <c r="BY427" s="64">
        <f t="shared" si="65"/>
        <v>1.4207816464628262</v>
      </c>
      <c r="BZ427" s="3" t="str">
        <f t="shared" si="66"/>
        <v>Check</v>
      </c>
    </row>
    <row r="428" spans="1:78">
      <c r="A428" s="76"/>
      <c r="B428" s="76"/>
      <c r="C428" s="125"/>
      <c r="D428" s="125"/>
      <c r="E428" s="71"/>
      <c r="F428" s="71"/>
      <c r="G428" s="71"/>
      <c r="H428" s="126"/>
      <c r="I428" s="125"/>
      <c r="J428" s="123"/>
      <c r="K428" s="12"/>
      <c r="L428" s="117"/>
      <c r="M428" s="12"/>
      <c r="N428" s="117"/>
      <c r="O428" s="117"/>
      <c r="P428" s="117"/>
      <c r="Q428" s="118"/>
      <c r="R428" s="118"/>
      <c r="S428" s="118"/>
      <c r="T428" s="12"/>
      <c r="U428" s="118"/>
      <c r="V428" s="118"/>
      <c r="W428" s="12"/>
      <c r="X428" s="119"/>
      <c r="Y428" s="120"/>
      <c r="Z428" s="12"/>
      <c r="BA428" s="70" t="s">
        <v>205</v>
      </c>
      <c r="BB428" s="71" t="s">
        <v>210</v>
      </c>
      <c r="BC428" s="71" t="s">
        <v>207</v>
      </c>
      <c r="BD428" s="71">
        <v>30.5</v>
      </c>
      <c r="BE428" s="71">
        <v>36</v>
      </c>
      <c r="BF428" s="71">
        <v>390</v>
      </c>
      <c r="BG428" s="71">
        <v>212</v>
      </c>
      <c r="BH428" s="71">
        <v>5</v>
      </c>
      <c r="BI428" s="71">
        <v>10</v>
      </c>
      <c r="BJ428" s="12" t="str" cm="1">
        <f t="array" ref="BJ428">_xll.Dce_Name_SectI(BF428, BF428, BG428, BH428, BI428, "x", "-", $AX$11)</f>
        <v>390x212x5x10</v>
      </c>
      <c r="BK428" s="77" cm="1">
        <f t="array" ref="BK428">_xll.DCEPropSectI(BF428, BH428, BG428, BI428, BG428, BI428, "A")/100</f>
        <v>60.9</v>
      </c>
      <c r="BL428" s="70" t="s">
        <v>218</v>
      </c>
      <c r="BM428" s="70">
        <v>-30.291610502483366</v>
      </c>
      <c r="BN428" s="71">
        <v>0.9</v>
      </c>
      <c r="BO428" s="77">
        <f t="shared" si="59"/>
        <v>32.4</v>
      </c>
      <c r="BP428" s="71">
        <v>0.9</v>
      </c>
      <c r="BQ428" s="77">
        <f t="shared" si="60"/>
        <v>32.4</v>
      </c>
      <c r="BR428" s="77" cm="1">
        <f t="array" ref="BR428">_xll.DCEPropSectI(BF428, BH428, BG428, BI428, BG428, BI428, "rx")/10</f>
        <v>16.91131201300167</v>
      </c>
      <c r="BS428" s="77" cm="1">
        <f t="array" ref="BS428">_xll.DCEPropSectI(BF428, BH428, BG428, BI428, BG428, BI428, "ry")/10</f>
        <v>5.1070747638622018</v>
      </c>
      <c r="BT428" s="5">
        <f t="shared" si="61"/>
        <v>191.58773710218577</v>
      </c>
      <c r="BU428" s="5">
        <f t="shared" si="62"/>
        <v>634.41405301647956</v>
      </c>
      <c r="BV428" s="5">
        <f t="shared" si="63"/>
        <v>634.41405301647956</v>
      </c>
      <c r="BW428" s="71">
        <f t="shared" si="64"/>
        <v>200</v>
      </c>
      <c r="BX428" s="78" cm="1">
        <f t="array" ref="BX428">IF(BM428&gt;0,1,_xll.DCETCVN5575FactorPhi7121(BV428*SQRT($K$17/206000),"b"))</f>
        <v>1.6670876655456978E-2</v>
      </c>
      <c r="BY428" s="64">
        <f t="shared" si="65"/>
        <v>1.4207816464628262</v>
      </c>
      <c r="BZ428" s="3" t="str">
        <f t="shared" si="66"/>
        <v>Check</v>
      </c>
    </row>
    <row r="429" spans="1:78">
      <c r="A429" s="76"/>
      <c r="B429" s="76"/>
      <c r="C429" s="125"/>
      <c r="D429" s="125"/>
      <c r="E429" s="71"/>
      <c r="F429" s="71"/>
      <c r="G429" s="71"/>
      <c r="H429" s="126"/>
      <c r="I429" s="125"/>
      <c r="J429" s="123"/>
      <c r="K429" s="12"/>
      <c r="L429" s="117"/>
      <c r="M429" s="12"/>
      <c r="N429" s="117"/>
      <c r="O429" s="117"/>
      <c r="P429" s="117"/>
      <c r="Q429" s="118"/>
      <c r="R429" s="118"/>
      <c r="S429" s="118"/>
      <c r="T429" s="12"/>
      <c r="U429" s="118"/>
      <c r="V429" s="118"/>
      <c r="W429" s="12"/>
      <c r="X429" s="119"/>
      <c r="Y429" s="120"/>
      <c r="Z429" s="12"/>
      <c r="BA429" s="70" t="s">
        <v>205</v>
      </c>
      <c r="BB429" s="71" t="s">
        <v>210</v>
      </c>
      <c r="BC429" s="71" t="s">
        <v>207</v>
      </c>
      <c r="BD429" s="71">
        <v>31</v>
      </c>
      <c r="BE429" s="71">
        <v>36</v>
      </c>
      <c r="BF429" s="71">
        <v>390</v>
      </c>
      <c r="BG429" s="71">
        <v>212</v>
      </c>
      <c r="BH429" s="71">
        <v>5</v>
      </c>
      <c r="BI429" s="71">
        <v>10</v>
      </c>
      <c r="BJ429" s="12" t="str" cm="1">
        <f t="array" ref="BJ429">_xll.Dce_Name_SectI(BF429, BF429, BG429, BH429, BI429, "x", "-", $AX$11)</f>
        <v>390x212x5x10</v>
      </c>
      <c r="BK429" s="77" cm="1">
        <f t="array" ref="BK429">_xll.DCEPropSectI(BF429, BH429, BG429, BI429, BG429, BI429, "A")/100</f>
        <v>60.9</v>
      </c>
      <c r="BL429" s="70" t="s">
        <v>218</v>
      </c>
      <c r="BM429" s="70">
        <v>-30.291610502483366</v>
      </c>
      <c r="BN429" s="71">
        <v>0.9</v>
      </c>
      <c r="BO429" s="77">
        <f t="shared" si="59"/>
        <v>32.4</v>
      </c>
      <c r="BP429" s="71">
        <v>0.9</v>
      </c>
      <c r="BQ429" s="77">
        <f t="shared" si="60"/>
        <v>32.4</v>
      </c>
      <c r="BR429" s="77" cm="1">
        <f t="array" ref="BR429">_xll.DCEPropSectI(BF429, BH429, BG429, BI429, BG429, BI429, "rx")/10</f>
        <v>16.91131201300167</v>
      </c>
      <c r="BS429" s="77" cm="1">
        <f t="array" ref="BS429">_xll.DCEPropSectI(BF429, BH429, BG429, BI429, BG429, BI429, "ry")/10</f>
        <v>5.1070747638622018</v>
      </c>
      <c r="BT429" s="5">
        <f t="shared" si="61"/>
        <v>191.58773710218577</v>
      </c>
      <c r="BU429" s="5">
        <f t="shared" si="62"/>
        <v>634.41405301647956</v>
      </c>
      <c r="BV429" s="5">
        <f t="shared" si="63"/>
        <v>634.41405301647956</v>
      </c>
      <c r="BW429" s="71">
        <f t="shared" si="64"/>
        <v>200</v>
      </c>
      <c r="BX429" s="78" cm="1">
        <f t="array" ref="BX429">IF(BM429&gt;0,1,_xll.DCETCVN5575FactorPhi7121(BV429*SQRT($K$17/206000),"b"))</f>
        <v>1.6670876655456978E-2</v>
      </c>
      <c r="BY429" s="64">
        <f t="shared" si="65"/>
        <v>1.4207816464628262</v>
      </c>
      <c r="BZ429" s="3" t="str">
        <f t="shared" si="66"/>
        <v>Check</v>
      </c>
    </row>
    <row r="430" spans="1:78">
      <c r="A430" s="76"/>
      <c r="B430" s="76"/>
      <c r="C430" s="125"/>
      <c r="D430" s="125"/>
      <c r="E430" s="71"/>
      <c r="F430" s="71"/>
      <c r="G430" s="71"/>
      <c r="H430" s="126"/>
      <c r="I430" s="125"/>
      <c r="J430" s="123"/>
      <c r="K430" s="12"/>
      <c r="L430" s="117"/>
      <c r="M430" s="12"/>
      <c r="N430" s="117"/>
      <c r="O430" s="117"/>
      <c r="P430" s="117"/>
      <c r="Q430" s="118"/>
      <c r="R430" s="118"/>
      <c r="S430" s="118"/>
      <c r="T430" s="12"/>
      <c r="U430" s="118"/>
      <c r="V430" s="118"/>
      <c r="W430" s="12"/>
      <c r="X430" s="119"/>
      <c r="Y430" s="120"/>
      <c r="Z430" s="12"/>
      <c r="BA430" s="70" t="s">
        <v>205</v>
      </c>
      <c r="BB430" s="71" t="s">
        <v>210</v>
      </c>
      <c r="BC430" s="71" t="s">
        <v>207</v>
      </c>
      <c r="BD430" s="71">
        <v>31.5</v>
      </c>
      <c r="BE430" s="71">
        <v>36</v>
      </c>
      <c r="BF430" s="71">
        <v>390</v>
      </c>
      <c r="BG430" s="71">
        <v>212</v>
      </c>
      <c r="BH430" s="71">
        <v>5</v>
      </c>
      <c r="BI430" s="71">
        <v>10</v>
      </c>
      <c r="BJ430" s="12" t="str" cm="1">
        <f t="array" ref="BJ430">_xll.Dce_Name_SectI(BF430, BF430, BG430, BH430, BI430, "x", "-", $AX$11)</f>
        <v>390x212x5x10</v>
      </c>
      <c r="BK430" s="77" cm="1">
        <f t="array" ref="BK430">_xll.DCEPropSectI(BF430, BH430, BG430, BI430, BG430, BI430, "A")/100</f>
        <v>60.9</v>
      </c>
      <c r="BL430" s="70" t="s">
        <v>218</v>
      </c>
      <c r="BM430" s="70">
        <v>-30.291610502483366</v>
      </c>
      <c r="BN430" s="71">
        <v>0.9</v>
      </c>
      <c r="BO430" s="77">
        <f t="shared" si="59"/>
        <v>32.4</v>
      </c>
      <c r="BP430" s="71">
        <v>0.9</v>
      </c>
      <c r="BQ430" s="77">
        <f t="shared" si="60"/>
        <v>32.4</v>
      </c>
      <c r="BR430" s="77" cm="1">
        <f t="array" ref="BR430">_xll.DCEPropSectI(BF430, BH430, BG430, BI430, BG430, BI430, "rx")/10</f>
        <v>16.91131201300167</v>
      </c>
      <c r="BS430" s="77" cm="1">
        <f t="array" ref="BS430">_xll.DCEPropSectI(BF430, BH430, BG430, BI430, BG430, BI430, "ry")/10</f>
        <v>5.1070747638622018</v>
      </c>
      <c r="BT430" s="5">
        <f t="shared" si="61"/>
        <v>191.58773710218577</v>
      </c>
      <c r="BU430" s="5">
        <f t="shared" si="62"/>
        <v>634.41405301647956</v>
      </c>
      <c r="BV430" s="5">
        <f t="shared" si="63"/>
        <v>634.41405301647956</v>
      </c>
      <c r="BW430" s="71">
        <f t="shared" si="64"/>
        <v>200</v>
      </c>
      <c r="BX430" s="78" cm="1">
        <f t="array" ref="BX430">IF(BM430&gt;0,1,_xll.DCETCVN5575FactorPhi7121(BV430*SQRT($K$17/206000),"b"))</f>
        <v>1.6670876655456978E-2</v>
      </c>
      <c r="BY430" s="64">
        <f t="shared" si="65"/>
        <v>1.4207816464628262</v>
      </c>
      <c r="BZ430" s="3" t="str">
        <f t="shared" si="66"/>
        <v>Check</v>
      </c>
    </row>
    <row r="431" spans="1:78">
      <c r="A431" s="76"/>
      <c r="B431" s="76"/>
      <c r="C431" s="125"/>
      <c r="D431" s="125"/>
      <c r="E431" s="71"/>
      <c r="F431" s="71"/>
      <c r="G431" s="71"/>
      <c r="H431" s="126"/>
      <c r="I431" s="125"/>
      <c r="J431" s="123"/>
      <c r="K431" s="12"/>
      <c r="L431" s="117"/>
      <c r="M431" s="12"/>
      <c r="N431" s="117"/>
      <c r="O431" s="117"/>
      <c r="P431" s="117"/>
      <c r="Q431" s="118"/>
      <c r="R431" s="118"/>
      <c r="S431" s="118"/>
      <c r="T431" s="12"/>
      <c r="U431" s="118"/>
      <c r="V431" s="118"/>
      <c r="W431" s="12"/>
      <c r="X431" s="119"/>
      <c r="Y431" s="120"/>
      <c r="Z431" s="12"/>
      <c r="BA431" s="70" t="s">
        <v>205</v>
      </c>
      <c r="BB431" s="71" t="s">
        <v>210</v>
      </c>
      <c r="BC431" s="71" t="s">
        <v>207</v>
      </c>
      <c r="BD431" s="71">
        <v>32</v>
      </c>
      <c r="BE431" s="71">
        <v>36</v>
      </c>
      <c r="BF431" s="71">
        <v>390</v>
      </c>
      <c r="BG431" s="71">
        <v>212</v>
      </c>
      <c r="BH431" s="71">
        <v>5</v>
      </c>
      <c r="BI431" s="71">
        <v>10</v>
      </c>
      <c r="BJ431" s="12" t="str" cm="1">
        <f t="array" ref="BJ431">_xll.Dce_Name_SectI(BF431, BF431, BG431, BH431, BI431, "x", "-", $AX$11)</f>
        <v>390x212x5x10</v>
      </c>
      <c r="BK431" s="77" cm="1">
        <f t="array" ref="BK431">_xll.DCEPropSectI(BF431, BH431, BG431, BI431, BG431, BI431, "A")/100</f>
        <v>60.9</v>
      </c>
      <c r="BL431" s="70" t="s">
        <v>218</v>
      </c>
      <c r="BM431" s="70">
        <v>-30.291610502483366</v>
      </c>
      <c r="BN431" s="71">
        <v>0.9</v>
      </c>
      <c r="BO431" s="77">
        <f t="shared" si="59"/>
        <v>32.4</v>
      </c>
      <c r="BP431" s="71">
        <v>0.9</v>
      </c>
      <c r="BQ431" s="77">
        <f t="shared" si="60"/>
        <v>32.4</v>
      </c>
      <c r="BR431" s="77" cm="1">
        <f t="array" ref="BR431">_xll.DCEPropSectI(BF431, BH431, BG431, BI431, BG431, BI431, "rx")/10</f>
        <v>16.91131201300167</v>
      </c>
      <c r="BS431" s="77" cm="1">
        <f t="array" ref="BS431">_xll.DCEPropSectI(BF431, BH431, BG431, BI431, BG431, BI431, "ry")/10</f>
        <v>5.1070747638622018</v>
      </c>
      <c r="BT431" s="5">
        <f t="shared" si="61"/>
        <v>191.58773710218577</v>
      </c>
      <c r="BU431" s="5">
        <f t="shared" si="62"/>
        <v>634.41405301647956</v>
      </c>
      <c r="BV431" s="5">
        <f t="shared" si="63"/>
        <v>634.41405301647956</v>
      </c>
      <c r="BW431" s="71">
        <f t="shared" si="64"/>
        <v>200</v>
      </c>
      <c r="BX431" s="78" cm="1">
        <f t="array" ref="BX431">IF(BM431&gt;0,1,_xll.DCETCVN5575FactorPhi7121(BV431*SQRT($K$17/206000),"b"))</f>
        <v>1.6670876655456978E-2</v>
      </c>
      <c r="BY431" s="64">
        <f t="shared" si="65"/>
        <v>1.4207816464628262</v>
      </c>
      <c r="BZ431" s="3" t="str">
        <f t="shared" si="66"/>
        <v>Check</v>
      </c>
    </row>
    <row r="432" spans="1:78">
      <c r="A432" s="76"/>
      <c r="B432" s="76"/>
      <c r="C432" s="125"/>
      <c r="D432" s="125"/>
      <c r="E432" s="71"/>
      <c r="F432" s="71"/>
      <c r="G432" s="71"/>
      <c r="H432" s="126"/>
      <c r="I432" s="125"/>
      <c r="J432" s="123"/>
      <c r="K432" s="12"/>
      <c r="L432" s="117"/>
      <c r="M432" s="12"/>
      <c r="N432" s="117"/>
      <c r="O432" s="117"/>
      <c r="P432" s="117"/>
      <c r="Q432" s="118"/>
      <c r="R432" s="118"/>
      <c r="S432" s="118"/>
      <c r="T432" s="12"/>
      <c r="U432" s="118"/>
      <c r="V432" s="118"/>
      <c r="W432" s="12"/>
      <c r="X432" s="119"/>
      <c r="Y432" s="120"/>
      <c r="Z432" s="12"/>
      <c r="BA432" s="70" t="s">
        <v>205</v>
      </c>
      <c r="BB432" s="71" t="s">
        <v>210</v>
      </c>
      <c r="BC432" s="71" t="s">
        <v>207</v>
      </c>
      <c r="BD432" s="71">
        <v>32.5</v>
      </c>
      <c r="BE432" s="71">
        <v>36</v>
      </c>
      <c r="BF432" s="71">
        <v>390</v>
      </c>
      <c r="BG432" s="71">
        <v>212</v>
      </c>
      <c r="BH432" s="71">
        <v>5</v>
      </c>
      <c r="BI432" s="71">
        <v>10</v>
      </c>
      <c r="BJ432" s="12" t="str" cm="1">
        <f t="array" ref="BJ432">_xll.Dce_Name_SectI(BF432, BF432, BG432, BH432, BI432, "x", "-", $AX$11)</f>
        <v>390x212x5x10</v>
      </c>
      <c r="BK432" s="77" cm="1">
        <f t="array" ref="BK432">_xll.DCEPropSectI(BF432, BH432, BG432, BI432, BG432, BI432, "A")/100</f>
        <v>60.9</v>
      </c>
      <c r="BL432" s="70" t="s">
        <v>218</v>
      </c>
      <c r="BM432" s="70">
        <v>-30.291610502483366</v>
      </c>
      <c r="BN432" s="71">
        <v>0.9</v>
      </c>
      <c r="BO432" s="77">
        <f t="shared" si="59"/>
        <v>32.4</v>
      </c>
      <c r="BP432" s="71">
        <v>0.9</v>
      </c>
      <c r="BQ432" s="77">
        <f t="shared" si="60"/>
        <v>32.4</v>
      </c>
      <c r="BR432" s="77" cm="1">
        <f t="array" ref="BR432">_xll.DCEPropSectI(BF432, BH432, BG432, BI432, BG432, BI432, "rx")/10</f>
        <v>16.91131201300167</v>
      </c>
      <c r="BS432" s="77" cm="1">
        <f t="array" ref="BS432">_xll.DCEPropSectI(BF432, BH432, BG432, BI432, BG432, BI432, "ry")/10</f>
        <v>5.1070747638622018</v>
      </c>
      <c r="BT432" s="5">
        <f t="shared" si="61"/>
        <v>191.58773710218577</v>
      </c>
      <c r="BU432" s="5">
        <f t="shared" si="62"/>
        <v>634.41405301647956</v>
      </c>
      <c r="BV432" s="5">
        <f t="shared" si="63"/>
        <v>634.41405301647956</v>
      </c>
      <c r="BW432" s="71">
        <f t="shared" si="64"/>
        <v>200</v>
      </c>
      <c r="BX432" s="78" cm="1">
        <f t="array" ref="BX432">IF(BM432&gt;0,1,_xll.DCETCVN5575FactorPhi7121(BV432*SQRT($K$17/206000),"b"))</f>
        <v>1.6670876655456978E-2</v>
      </c>
      <c r="BY432" s="64">
        <f t="shared" si="65"/>
        <v>1.4207816464628262</v>
      </c>
      <c r="BZ432" s="3" t="str">
        <f t="shared" si="66"/>
        <v>Check</v>
      </c>
    </row>
    <row r="433" spans="1:78">
      <c r="A433" s="76"/>
      <c r="B433" s="76"/>
      <c r="C433" s="125"/>
      <c r="D433" s="125"/>
      <c r="E433" s="71"/>
      <c r="F433" s="71"/>
      <c r="G433" s="71"/>
      <c r="H433" s="126"/>
      <c r="I433" s="125"/>
      <c r="J433" s="123"/>
      <c r="K433" s="12"/>
      <c r="L433" s="117"/>
      <c r="M433" s="12"/>
      <c r="N433" s="117"/>
      <c r="O433" s="117"/>
      <c r="P433" s="117"/>
      <c r="Q433" s="118"/>
      <c r="R433" s="118"/>
      <c r="S433" s="118"/>
      <c r="T433" s="12"/>
      <c r="U433" s="118"/>
      <c r="V433" s="118"/>
      <c r="W433" s="12"/>
      <c r="X433" s="119"/>
      <c r="Y433" s="120"/>
      <c r="Z433" s="12"/>
      <c r="BA433" s="70" t="s">
        <v>205</v>
      </c>
      <c r="BB433" s="71" t="s">
        <v>210</v>
      </c>
      <c r="BC433" s="71" t="s">
        <v>207</v>
      </c>
      <c r="BD433" s="71">
        <v>33</v>
      </c>
      <c r="BE433" s="71">
        <v>36</v>
      </c>
      <c r="BF433" s="71">
        <v>390</v>
      </c>
      <c r="BG433" s="71">
        <v>212</v>
      </c>
      <c r="BH433" s="71">
        <v>5</v>
      </c>
      <c r="BI433" s="71">
        <v>10</v>
      </c>
      <c r="BJ433" s="12" t="str" cm="1">
        <f t="array" ref="BJ433">_xll.Dce_Name_SectI(BF433, BF433, BG433, BH433, BI433, "x", "-", $AX$11)</f>
        <v>390x212x5x10</v>
      </c>
      <c r="BK433" s="77" cm="1">
        <f t="array" ref="BK433">_xll.DCEPropSectI(BF433, BH433, BG433, BI433, BG433, BI433, "A")/100</f>
        <v>60.9</v>
      </c>
      <c r="BL433" s="70" t="s">
        <v>218</v>
      </c>
      <c r="BM433" s="70">
        <v>-30.291610502483366</v>
      </c>
      <c r="BN433" s="71">
        <v>0.9</v>
      </c>
      <c r="BO433" s="77">
        <f t="shared" si="59"/>
        <v>32.4</v>
      </c>
      <c r="BP433" s="71">
        <v>0.9</v>
      </c>
      <c r="BQ433" s="77">
        <f t="shared" si="60"/>
        <v>32.4</v>
      </c>
      <c r="BR433" s="77" cm="1">
        <f t="array" ref="BR433">_xll.DCEPropSectI(BF433, BH433, BG433, BI433, BG433, BI433, "rx")/10</f>
        <v>16.91131201300167</v>
      </c>
      <c r="BS433" s="77" cm="1">
        <f t="array" ref="BS433">_xll.DCEPropSectI(BF433, BH433, BG433, BI433, BG433, BI433, "ry")/10</f>
        <v>5.1070747638622018</v>
      </c>
      <c r="BT433" s="5">
        <f t="shared" si="61"/>
        <v>191.58773710218577</v>
      </c>
      <c r="BU433" s="5">
        <f t="shared" si="62"/>
        <v>634.41405301647956</v>
      </c>
      <c r="BV433" s="5">
        <f t="shared" si="63"/>
        <v>634.41405301647956</v>
      </c>
      <c r="BW433" s="71">
        <f t="shared" si="64"/>
        <v>200</v>
      </c>
      <c r="BX433" s="78" cm="1">
        <f t="array" ref="BX433">IF(BM433&gt;0,1,_xll.DCETCVN5575FactorPhi7121(BV433*SQRT($K$17/206000),"b"))</f>
        <v>1.6670876655456978E-2</v>
      </c>
      <c r="BY433" s="64">
        <f t="shared" si="65"/>
        <v>1.4207816464628262</v>
      </c>
      <c r="BZ433" s="3" t="str">
        <f t="shared" si="66"/>
        <v>Check</v>
      </c>
    </row>
    <row r="434" spans="1:78">
      <c r="A434" s="76"/>
      <c r="B434" s="76"/>
      <c r="C434" s="125"/>
      <c r="D434" s="125"/>
      <c r="E434" s="71"/>
      <c r="F434" s="71"/>
      <c r="G434" s="71"/>
      <c r="H434" s="126"/>
      <c r="I434" s="125"/>
      <c r="J434" s="123"/>
      <c r="K434" s="12"/>
      <c r="L434" s="117"/>
      <c r="M434" s="12"/>
      <c r="N434" s="117"/>
      <c r="O434" s="117"/>
      <c r="P434" s="117"/>
      <c r="Q434" s="118"/>
      <c r="R434" s="118"/>
      <c r="S434" s="118"/>
      <c r="T434" s="12"/>
      <c r="U434" s="118"/>
      <c r="V434" s="118"/>
      <c r="W434" s="12"/>
      <c r="X434" s="119"/>
      <c r="Y434" s="120"/>
      <c r="Z434" s="12"/>
      <c r="BA434" s="70" t="s">
        <v>205</v>
      </c>
      <c r="BB434" s="71" t="s">
        <v>210</v>
      </c>
      <c r="BC434" s="71" t="s">
        <v>207</v>
      </c>
      <c r="BD434" s="71">
        <v>33.5</v>
      </c>
      <c r="BE434" s="71">
        <v>36</v>
      </c>
      <c r="BF434" s="71">
        <v>390</v>
      </c>
      <c r="BG434" s="71">
        <v>212</v>
      </c>
      <c r="BH434" s="71">
        <v>5</v>
      </c>
      <c r="BI434" s="71">
        <v>10</v>
      </c>
      <c r="BJ434" s="12" t="str" cm="1">
        <f t="array" ref="BJ434">_xll.Dce_Name_SectI(BF434, BF434, BG434, BH434, BI434, "x", "-", $AX$11)</f>
        <v>390x212x5x10</v>
      </c>
      <c r="BK434" s="77" cm="1">
        <f t="array" ref="BK434">_xll.DCEPropSectI(BF434, BH434, BG434, BI434, BG434, BI434, "A")/100</f>
        <v>60.9</v>
      </c>
      <c r="BL434" s="70" t="s">
        <v>218</v>
      </c>
      <c r="BM434" s="70">
        <v>-30.291610502483366</v>
      </c>
      <c r="BN434" s="71">
        <v>0.9</v>
      </c>
      <c r="BO434" s="77">
        <f t="shared" si="59"/>
        <v>32.4</v>
      </c>
      <c r="BP434" s="71">
        <v>0.9</v>
      </c>
      <c r="BQ434" s="77">
        <f t="shared" si="60"/>
        <v>32.4</v>
      </c>
      <c r="BR434" s="77" cm="1">
        <f t="array" ref="BR434">_xll.DCEPropSectI(BF434, BH434, BG434, BI434, BG434, BI434, "rx")/10</f>
        <v>16.91131201300167</v>
      </c>
      <c r="BS434" s="77" cm="1">
        <f t="array" ref="BS434">_xll.DCEPropSectI(BF434, BH434, BG434, BI434, BG434, BI434, "ry")/10</f>
        <v>5.1070747638622018</v>
      </c>
      <c r="BT434" s="5">
        <f t="shared" si="61"/>
        <v>191.58773710218577</v>
      </c>
      <c r="BU434" s="5">
        <f t="shared" si="62"/>
        <v>634.41405301647956</v>
      </c>
      <c r="BV434" s="5">
        <f t="shared" si="63"/>
        <v>634.41405301647956</v>
      </c>
      <c r="BW434" s="71">
        <f t="shared" si="64"/>
        <v>200</v>
      </c>
      <c r="BX434" s="78" cm="1">
        <f t="array" ref="BX434">IF(BM434&gt;0,1,_xll.DCETCVN5575FactorPhi7121(BV434*SQRT($K$17/206000),"b"))</f>
        <v>1.6670876655456978E-2</v>
      </c>
      <c r="BY434" s="64">
        <f t="shared" si="65"/>
        <v>1.4207816464628262</v>
      </c>
      <c r="BZ434" s="3" t="str">
        <f t="shared" si="66"/>
        <v>Check</v>
      </c>
    </row>
    <row r="435" spans="1:78">
      <c r="A435" s="76"/>
      <c r="B435" s="76"/>
      <c r="C435" s="125"/>
      <c r="D435" s="125"/>
      <c r="E435" s="71"/>
      <c r="F435" s="71"/>
      <c r="G435" s="71"/>
      <c r="H435" s="126"/>
      <c r="I435" s="125"/>
      <c r="J435" s="123"/>
      <c r="K435" s="12"/>
      <c r="L435" s="117"/>
      <c r="M435" s="12"/>
      <c r="N435" s="117"/>
      <c r="O435" s="117"/>
      <c r="P435" s="117"/>
      <c r="Q435" s="118"/>
      <c r="R435" s="118"/>
      <c r="S435" s="118"/>
      <c r="T435" s="12"/>
      <c r="U435" s="118"/>
      <c r="V435" s="118"/>
      <c r="W435" s="12"/>
      <c r="X435" s="119"/>
      <c r="Y435" s="120"/>
      <c r="Z435" s="12"/>
      <c r="BA435" s="70" t="s">
        <v>205</v>
      </c>
      <c r="BB435" s="71" t="s">
        <v>210</v>
      </c>
      <c r="BC435" s="71" t="s">
        <v>207</v>
      </c>
      <c r="BD435" s="71">
        <v>34</v>
      </c>
      <c r="BE435" s="71">
        <v>36</v>
      </c>
      <c r="BF435" s="71">
        <v>390</v>
      </c>
      <c r="BG435" s="71">
        <v>212</v>
      </c>
      <c r="BH435" s="71">
        <v>5</v>
      </c>
      <c r="BI435" s="71">
        <v>10</v>
      </c>
      <c r="BJ435" s="12" t="str" cm="1">
        <f t="array" ref="BJ435">_xll.Dce_Name_SectI(BF435, BF435, BG435, BH435, BI435, "x", "-", $AX$11)</f>
        <v>390x212x5x10</v>
      </c>
      <c r="BK435" s="77" cm="1">
        <f t="array" ref="BK435">_xll.DCEPropSectI(BF435, BH435, BG435, BI435, BG435, BI435, "A")/100</f>
        <v>60.9</v>
      </c>
      <c r="BL435" s="70" t="s">
        <v>218</v>
      </c>
      <c r="BM435" s="70">
        <v>-30.291610502483366</v>
      </c>
      <c r="BN435" s="71">
        <v>0.9</v>
      </c>
      <c r="BO435" s="77">
        <f t="shared" si="59"/>
        <v>32.4</v>
      </c>
      <c r="BP435" s="71">
        <v>0.9</v>
      </c>
      <c r="BQ435" s="77">
        <f t="shared" si="60"/>
        <v>32.4</v>
      </c>
      <c r="BR435" s="77" cm="1">
        <f t="array" ref="BR435">_xll.DCEPropSectI(BF435, BH435, BG435, BI435, BG435, BI435, "rx")/10</f>
        <v>16.91131201300167</v>
      </c>
      <c r="BS435" s="77" cm="1">
        <f t="array" ref="BS435">_xll.DCEPropSectI(BF435, BH435, BG435, BI435, BG435, BI435, "ry")/10</f>
        <v>5.1070747638622018</v>
      </c>
      <c r="BT435" s="5">
        <f t="shared" si="61"/>
        <v>191.58773710218577</v>
      </c>
      <c r="BU435" s="5">
        <f t="shared" si="62"/>
        <v>634.41405301647956</v>
      </c>
      <c r="BV435" s="5">
        <f t="shared" si="63"/>
        <v>634.41405301647956</v>
      </c>
      <c r="BW435" s="71">
        <f t="shared" si="64"/>
        <v>200</v>
      </c>
      <c r="BX435" s="78" cm="1">
        <f t="array" ref="BX435">IF(BM435&gt;0,1,_xll.DCETCVN5575FactorPhi7121(BV435*SQRT($K$17/206000),"b"))</f>
        <v>1.6670876655456978E-2</v>
      </c>
      <c r="BY435" s="64">
        <f t="shared" si="65"/>
        <v>1.4207816464628262</v>
      </c>
      <c r="BZ435" s="3" t="str">
        <f t="shared" si="66"/>
        <v>Check</v>
      </c>
    </row>
    <row r="436" spans="1:78">
      <c r="A436" s="76"/>
      <c r="B436" s="76"/>
      <c r="C436" s="125"/>
      <c r="D436" s="125"/>
      <c r="E436" s="71"/>
      <c r="F436" s="71"/>
      <c r="G436" s="71"/>
      <c r="H436" s="126"/>
      <c r="I436" s="125"/>
      <c r="J436" s="123"/>
      <c r="K436" s="12"/>
      <c r="L436" s="117"/>
      <c r="M436" s="12"/>
      <c r="N436" s="117"/>
      <c r="O436" s="117"/>
      <c r="P436" s="117"/>
      <c r="Q436" s="118"/>
      <c r="R436" s="118"/>
      <c r="S436" s="118"/>
      <c r="T436" s="12"/>
      <c r="U436" s="118"/>
      <c r="V436" s="118"/>
      <c r="W436" s="12"/>
      <c r="X436" s="119"/>
      <c r="Y436" s="120"/>
      <c r="Z436" s="12"/>
      <c r="BA436" s="70" t="s">
        <v>205</v>
      </c>
      <c r="BB436" s="71" t="s">
        <v>210</v>
      </c>
      <c r="BC436" s="71" t="s">
        <v>207</v>
      </c>
      <c r="BD436" s="71">
        <v>34.5</v>
      </c>
      <c r="BE436" s="71">
        <v>36</v>
      </c>
      <c r="BF436" s="71">
        <v>390</v>
      </c>
      <c r="BG436" s="71">
        <v>212</v>
      </c>
      <c r="BH436" s="71">
        <v>5</v>
      </c>
      <c r="BI436" s="71">
        <v>10</v>
      </c>
      <c r="BJ436" s="12" t="str" cm="1">
        <f t="array" ref="BJ436">_xll.Dce_Name_SectI(BF436, BF436, BG436, BH436, BI436, "x", "-", $AX$11)</f>
        <v>390x212x5x10</v>
      </c>
      <c r="BK436" s="77" cm="1">
        <f t="array" ref="BK436">_xll.DCEPropSectI(BF436, BH436, BG436, BI436, BG436, BI436, "A")/100</f>
        <v>60.9</v>
      </c>
      <c r="BL436" s="70" t="s">
        <v>218</v>
      </c>
      <c r="BM436" s="70">
        <v>-30.291610502483366</v>
      </c>
      <c r="BN436" s="71">
        <v>0.9</v>
      </c>
      <c r="BO436" s="77">
        <f t="shared" si="59"/>
        <v>32.4</v>
      </c>
      <c r="BP436" s="71">
        <v>0.9</v>
      </c>
      <c r="BQ436" s="77">
        <f t="shared" si="60"/>
        <v>32.4</v>
      </c>
      <c r="BR436" s="77" cm="1">
        <f t="array" ref="BR436">_xll.DCEPropSectI(BF436, BH436, BG436, BI436, BG436, BI436, "rx")/10</f>
        <v>16.91131201300167</v>
      </c>
      <c r="BS436" s="77" cm="1">
        <f t="array" ref="BS436">_xll.DCEPropSectI(BF436, BH436, BG436, BI436, BG436, BI436, "ry")/10</f>
        <v>5.1070747638622018</v>
      </c>
      <c r="BT436" s="5">
        <f t="shared" si="61"/>
        <v>191.58773710218577</v>
      </c>
      <c r="BU436" s="5">
        <f t="shared" si="62"/>
        <v>634.41405301647956</v>
      </c>
      <c r="BV436" s="5">
        <f t="shared" si="63"/>
        <v>634.41405301647956</v>
      </c>
      <c r="BW436" s="71">
        <f t="shared" si="64"/>
        <v>200</v>
      </c>
      <c r="BX436" s="78" cm="1">
        <f t="array" ref="BX436">IF(BM436&gt;0,1,_xll.DCETCVN5575FactorPhi7121(BV436*SQRT($K$17/206000),"b"))</f>
        <v>1.6670876655456978E-2</v>
      </c>
      <c r="BY436" s="64">
        <f t="shared" si="65"/>
        <v>1.4207816464628262</v>
      </c>
      <c r="BZ436" s="3" t="str">
        <f t="shared" si="66"/>
        <v>Check</v>
      </c>
    </row>
    <row r="437" spans="1:78">
      <c r="A437" s="76"/>
      <c r="B437" s="76"/>
      <c r="C437" s="125"/>
      <c r="D437" s="125"/>
      <c r="E437" s="71"/>
      <c r="F437" s="71"/>
      <c r="G437" s="71"/>
      <c r="H437" s="126"/>
      <c r="I437" s="125"/>
      <c r="J437" s="123"/>
      <c r="K437" s="12"/>
      <c r="L437" s="117"/>
      <c r="M437" s="12"/>
      <c r="N437" s="117"/>
      <c r="O437" s="117"/>
      <c r="P437" s="117"/>
      <c r="Q437" s="118"/>
      <c r="R437" s="118"/>
      <c r="S437" s="118"/>
      <c r="T437" s="12"/>
      <c r="U437" s="118"/>
      <c r="V437" s="118"/>
      <c r="W437" s="12"/>
      <c r="X437" s="119"/>
      <c r="Y437" s="120"/>
      <c r="Z437" s="12"/>
      <c r="BA437" s="70" t="s">
        <v>205</v>
      </c>
      <c r="BB437" s="71" t="s">
        <v>210</v>
      </c>
      <c r="BC437" s="71" t="s">
        <v>207</v>
      </c>
      <c r="BD437" s="71">
        <v>35</v>
      </c>
      <c r="BE437" s="71">
        <v>36</v>
      </c>
      <c r="BF437" s="71">
        <v>390</v>
      </c>
      <c r="BG437" s="71">
        <v>212</v>
      </c>
      <c r="BH437" s="71">
        <v>5</v>
      </c>
      <c r="BI437" s="71">
        <v>10</v>
      </c>
      <c r="BJ437" s="12" t="str" cm="1">
        <f t="array" ref="BJ437">_xll.Dce_Name_SectI(BF437, BF437, BG437, BH437, BI437, "x", "-", $AX$11)</f>
        <v>390x212x5x10</v>
      </c>
      <c r="BK437" s="77" cm="1">
        <f t="array" ref="BK437">_xll.DCEPropSectI(BF437, BH437, BG437, BI437, BG437, BI437, "A")/100</f>
        <v>60.9</v>
      </c>
      <c r="BL437" s="70" t="s">
        <v>218</v>
      </c>
      <c r="BM437" s="70">
        <v>-30.291610502483366</v>
      </c>
      <c r="BN437" s="71">
        <v>0.9</v>
      </c>
      <c r="BO437" s="77">
        <f t="shared" si="59"/>
        <v>32.4</v>
      </c>
      <c r="BP437" s="71">
        <v>0.9</v>
      </c>
      <c r="BQ437" s="77">
        <f t="shared" si="60"/>
        <v>32.4</v>
      </c>
      <c r="BR437" s="77" cm="1">
        <f t="array" ref="BR437">_xll.DCEPropSectI(BF437, BH437, BG437, BI437, BG437, BI437, "rx")/10</f>
        <v>16.91131201300167</v>
      </c>
      <c r="BS437" s="77" cm="1">
        <f t="array" ref="BS437">_xll.DCEPropSectI(BF437, BH437, BG437, BI437, BG437, BI437, "ry")/10</f>
        <v>5.1070747638622018</v>
      </c>
      <c r="BT437" s="5">
        <f t="shared" si="61"/>
        <v>191.58773710218577</v>
      </c>
      <c r="BU437" s="5">
        <f t="shared" si="62"/>
        <v>634.41405301647956</v>
      </c>
      <c r="BV437" s="5">
        <f t="shared" si="63"/>
        <v>634.41405301647956</v>
      </c>
      <c r="BW437" s="71">
        <f t="shared" si="64"/>
        <v>200</v>
      </c>
      <c r="BX437" s="78" cm="1">
        <f t="array" ref="BX437">IF(BM437&gt;0,1,_xll.DCETCVN5575FactorPhi7121(BV437*SQRT($K$17/206000),"b"))</f>
        <v>1.6670876655456978E-2</v>
      </c>
      <c r="BY437" s="64">
        <f t="shared" si="65"/>
        <v>1.4207816464628262</v>
      </c>
      <c r="BZ437" s="3" t="str">
        <f t="shared" si="66"/>
        <v>Check</v>
      </c>
    </row>
    <row r="438" spans="1:78">
      <c r="A438" s="76"/>
      <c r="B438" s="76"/>
      <c r="C438" s="125"/>
      <c r="D438" s="125"/>
      <c r="E438" s="71"/>
      <c r="F438" s="71"/>
      <c r="G438" s="71"/>
      <c r="H438" s="126"/>
      <c r="I438" s="125"/>
      <c r="J438" s="123"/>
      <c r="K438" s="12"/>
      <c r="L438" s="117"/>
      <c r="M438" s="12"/>
      <c r="N438" s="117"/>
      <c r="O438" s="117"/>
      <c r="P438" s="117"/>
      <c r="Q438" s="118"/>
      <c r="R438" s="118"/>
      <c r="S438" s="118"/>
      <c r="T438" s="12"/>
      <c r="U438" s="118"/>
      <c r="V438" s="118"/>
      <c r="W438" s="12"/>
      <c r="X438" s="119"/>
      <c r="Y438" s="120"/>
      <c r="Z438" s="12"/>
      <c r="BA438" s="70" t="s">
        <v>205</v>
      </c>
      <c r="BB438" s="71" t="s">
        <v>210</v>
      </c>
      <c r="BC438" s="71" t="s">
        <v>207</v>
      </c>
      <c r="BD438" s="71">
        <v>35.5</v>
      </c>
      <c r="BE438" s="71">
        <v>36</v>
      </c>
      <c r="BF438" s="71">
        <v>390</v>
      </c>
      <c r="BG438" s="71">
        <v>212</v>
      </c>
      <c r="BH438" s="71">
        <v>5</v>
      </c>
      <c r="BI438" s="71">
        <v>10</v>
      </c>
      <c r="BJ438" s="12" t="str" cm="1">
        <f t="array" ref="BJ438">_xll.Dce_Name_SectI(BF438, BF438, BG438, BH438, BI438, "x", "-", $AX$11)</f>
        <v>390x212x5x10</v>
      </c>
      <c r="BK438" s="77" cm="1">
        <f t="array" ref="BK438">_xll.DCEPropSectI(BF438, BH438, BG438, BI438, BG438, BI438, "A")/100</f>
        <v>60.9</v>
      </c>
      <c r="BL438" s="70" t="s">
        <v>218</v>
      </c>
      <c r="BM438" s="70">
        <v>-30.291610502483366</v>
      </c>
      <c r="BN438" s="71">
        <v>0.9</v>
      </c>
      <c r="BO438" s="77">
        <f t="shared" si="59"/>
        <v>32.4</v>
      </c>
      <c r="BP438" s="71">
        <v>0.9</v>
      </c>
      <c r="BQ438" s="77">
        <f t="shared" si="60"/>
        <v>32.4</v>
      </c>
      <c r="BR438" s="77" cm="1">
        <f t="array" ref="BR438">_xll.DCEPropSectI(BF438, BH438, BG438, BI438, BG438, BI438, "rx")/10</f>
        <v>16.91131201300167</v>
      </c>
      <c r="BS438" s="77" cm="1">
        <f t="array" ref="BS438">_xll.DCEPropSectI(BF438, BH438, BG438, BI438, BG438, BI438, "ry")/10</f>
        <v>5.1070747638622018</v>
      </c>
      <c r="BT438" s="5">
        <f t="shared" si="61"/>
        <v>191.58773710218577</v>
      </c>
      <c r="BU438" s="5">
        <f t="shared" si="62"/>
        <v>634.41405301647956</v>
      </c>
      <c r="BV438" s="5">
        <f t="shared" si="63"/>
        <v>634.41405301647956</v>
      </c>
      <c r="BW438" s="71">
        <f t="shared" si="64"/>
        <v>200</v>
      </c>
      <c r="BX438" s="78" cm="1">
        <f t="array" ref="BX438">IF(BM438&gt;0,1,_xll.DCETCVN5575FactorPhi7121(BV438*SQRT($K$17/206000),"b"))</f>
        <v>1.6670876655456978E-2</v>
      </c>
      <c r="BY438" s="64">
        <f t="shared" si="65"/>
        <v>1.4207816464628262</v>
      </c>
      <c r="BZ438" s="3" t="str">
        <f t="shared" si="66"/>
        <v>Check</v>
      </c>
    </row>
    <row r="439" spans="1:78">
      <c r="A439" s="76"/>
      <c r="B439" s="76"/>
      <c r="C439" s="125"/>
      <c r="D439" s="125"/>
      <c r="E439" s="71"/>
      <c r="F439" s="71"/>
      <c r="G439" s="71"/>
      <c r="H439" s="126"/>
      <c r="I439" s="125"/>
      <c r="J439" s="123"/>
      <c r="K439" s="12"/>
      <c r="L439" s="117"/>
      <c r="M439" s="12"/>
      <c r="N439" s="117"/>
      <c r="O439" s="117"/>
      <c r="P439" s="117"/>
      <c r="Q439" s="118"/>
      <c r="R439" s="118"/>
      <c r="S439" s="118"/>
      <c r="T439" s="12"/>
      <c r="U439" s="118"/>
      <c r="V439" s="118"/>
      <c r="W439" s="12"/>
      <c r="X439" s="119"/>
      <c r="Y439" s="120"/>
      <c r="Z439" s="12"/>
      <c r="BA439" s="70" t="s">
        <v>205</v>
      </c>
      <c r="BB439" s="71" t="s">
        <v>210</v>
      </c>
      <c r="BC439" s="71" t="s">
        <v>207</v>
      </c>
      <c r="BD439" s="71">
        <v>36</v>
      </c>
      <c r="BE439" s="71">
        <v>36</v>
      </c>
      <c r="BF439" s="71">
        <v>390</v>
      </c>
      <c r="BG439" s="71">
        <v>212</v>
      </c>
      <c r="BH439" s="71">
        <v>5</v>
      </c>
      <c r="BI439" s="71">
        <v>10</v>
      </c>
      <c r="BJ439" s="12" t="str" cm="1">
        <f t="array" ref="BJ439">_xll.Dce_Name_SectI(BF439, BF439, BG439, BH439, BI439, "x", "-", $AX$11)</f>
        <v>390x212x5x10</v>
      </c>
      <c r="BK439" s="77" cm="1">
        <f t="array" ref="BK439">_xll.DCEPropSectI(BF439, BH439, BG439, BI439, BG439, BI439, "A")/100</f>
        <v>60.9</v>
      </c>
      <c r="BL439" s="70" t="s">
        <v>218</v>
      </c>
      <c r="BM439" s="70">
        <v>-30.291610502483366</v>
      </c>
      <c r="BN439" s="71">
        <v>0.9</v>
      </c>
      <c r="BO439" s="77">
        <f t="shared" si="59"/>
        <v>32.4</v>
      </c>
      <c r="BP439" s="71">
        <v>0.9</v>
      </c>
      <c r="BQ439" s="77">
        <f t="shared" si="60"/>
        <v>32.4</v>
      </c>
      <c r="BR439" s="77" cm="1">
        <f t="array" ref="BR439">_xll.DCEPropSectI(BF439, BH439, BG439, BI439, BG439, BI439, "rx")/10</f>
        <v>16.91131201300167</v>
      </c>
      <c r="BS439" s="77" cm="1">
        <f t="array" ref="BS439">_xll.DCEPropSectI(BF439, BH439, BG439, BI439, BG439, BI439, "ry")/10</f>
        <v>5.1070747638622018</v>
      </c>
      <c r="BT439" s="5">
        <f t="shared" si="61"/>
        <v>191.58773710218577</v>
      </c>
      <c r="BU439" s="5">
        <f t="shared" si="62"/>
        <v>634.41405301647956</v>
      </c>
      <c r="BV439" s="5">
        <f t="shared" si="63"/>
        <v>634.41405301647956</v>
      </c>
      <c r="BW439" s="71">
        <f t="shared" si="64"/>
        <v>200</v>
      </c>
      <c r="BX439" s="78" cm="1">
        <f t="array" ref="BX439">IF(BM439&gt;0,1,_xll.DCETCVN5575FactorPhi7121(BV439*SQRT($K$17/206000),"b"))</f>
        <v>1.6670876655456978E-2</v>
      </c>
      <c r="BY439" s="64">
        <f t="shared" si="65"/>
        <v>1.4207816464628262</v>
      </c>
      <c r="BZ439" s="3" t="str">
        <f t="shared" si="66"/>
        <v>Check</v>
      </c>
    </row>
    <row r="440" spans="1:78">
      <c r="A440" s="76"/>
      <c r="B440" s="76"/>
      <c r="C440" s="125"/>
      <c r="D440" s="125"/>
      <c r="E440" s="71"/>
      <c r="F440" s="71"/>
      <c r="G440" s="71"/>
      <c r="H440" s="126"/>
      <c r="I440" s="125"/>
      <c r="J440" s="123"/>
      <c r="K440" s="12"/>
      <c r="L440" s="117"/>
      <c r="M440" s="12"/>
      <c r="N440" s="117"/>
      <c r="O440" s="117"/>
      <c r="P440" s="117"/>
      <c r="Q440" s="118"/>
      <c r="R440" s="118"/>
      <c r="S440" s="118"/>
      <c r="T440" s="12"/>
      <c r="U440" s="118"/>
      <c r="V440" s="118"/>
      <c r="W440" s="12"/>
      <c r="X440" s="119"/>
      <c r="Y440" s="120"/>
      <c r="Z440" s="12"/>
      <c r="BA440" s="70" t="s">
        <v>205</v>
      </c>
      <c r="BB440" s="71" t="s">
        <v>210</v>
      </c>
      <c r="BC440" s="71" t="s">
        <v>207</v>
      </c>
      <c r="BD440" s="71">
        <v>0</v>
      </c>
      <c r="BE440" s="71">
        <v>36</v>
      </c>
      <c r="BF440" s="71">
        <v>390</v>
      </c>
      <c r="BG440" s="71">
        <v>212</v>
      </c>
      <c r="BH440" s="71">
        <v>5</v>
      </c>
      <c r="BI440" s="71">
        <v>10</v>
      </c>
      <c r="BJ440" s="12" t="str" cm="1">
        <f t="array" ref="BJ440">_xll.Dce_Name_SectI(BF440, BF440, BG440, BH440, BI440, "x", "-", $AX$11)</f>
        <v>390x212x5x10</v>
      </c>
      <c r="BK440" s="77" cm="1">
        <f t="array" ref="BK440">_xll.DCEPropSectI(BF440, BH440, BG440, BI440, BG440, BI440, "A")/100</f>
        <v>60.9</v>
      </c>
      <c r="BL440" s="70" t="s">
        <v>219</v>
      </c>
      <c r="BM440" s="70">
        <v>-9.2020217062863594</v>
      </c>
      <c r="BN440" s="71">
        <v>0.9</v>
      </c>
      <c r="BO440" s="77">
        <f t="shared" si="59"/>
        <v>32.4</v>
      </c>
      <c r="BP440" s="71">
        <v>0.9</v>
      </c>
      <c r="BQ440" s="77">
        <f t="shared" si="60"/>
        <v>32.4</v>
      </c>
      <c r="BR440" s="77" cm="1">
        <f t="array" ref="BR440">_xll.DCEPropSectI(BF440, BH440, BG440, BI440, BG440, BI440, "rx")/10</f>
        <v>16.91131201300167</v>
      </c>
      <c r="BS440" s="77" cm="1">
        <f t="array" ref="BS440">_xll.DCEPropSectI(BF440, BH440, BG440, BI440, BG440, BI440, "ry")/10</f>
        <v>5.1070747638622018</v>
      </c>
      <c r="BT440" s="5">
        <f t="shared" si="61"/>
        <v>191.58773710218577</v>
      </c>
      <c r="BU440" s="5">
        <f t="shared" si="62"/>
        <v>634.41405301647956</v>
      </c>
      <c r="BV440" s="5">
        <f t="shared" si="63"/>
        <v>634.41405301647956</v>
      </c>
      <c r="BW440" s="71">
        <f t="shared" si="64"/>
        <v>200</v>
      </c>
      <c r="BX440" s="78" cm="1">
        <f t="array" ref="BX440">IF(BM440&gt;0,1,_xll.DCETCVN5575FactorPhi7121(BV440*SQRT($K$17/206000),"b"))</f>
        <v>1.6670876655456978E-2</v>
      </c>
      <c r="BY440" s="64">
        <f t="shared" si="65"/>
        <v>0.43160674965011714</v>
      </c>
      <c r="BZ440" s="3" t="str">
        <f t="shared" si="66"/>
        <v>Check</v>
      </c>
    </row>
    <row r="441" spans="1:78">
      <c r="A441" s="76"/>
      <c r="B441" s="76"/>
      <c r="C441" s="125"/>
      <c r="D441" s="125"/>
      <c r="E441" s="71"/>
      <c r="F441" s="71"/>
      <c r="G441" s="71"/>
      <c r="H441" s="126"/>
      <c r="I441" s="125"/>
      <c r="J441" s="123"/>
      <c r="K441" s="12"/>
      <c r="L441" s="117"/>
      <c r="M441" s="12"/>
      <c r="N441" s="117"/>
      <c r="O441" s="117"/>
      <c r="P441" s="117"/>
      <c r="Q441" s="118"/>
      <c r="R441" s="118"/>
      <c r="S441" s="118"/>
      <c r="T441" s="12"/>
      <c r="U441" s="118"/>
      <c r="V441" s="118"/>
      <c r="W441" s="12"/>
      <c r="X441" s="119"/>
      <c r="Y441" s="120"/>
      <c r="Z441" s="12"/>
      <c r="BA441" s="70" t="s">
        <v>205</v>
      </c>
      <c r="BB441" s="71" t="s">
        <v>210</v>
      </c>
      <c r="BC441" s="71" t="s">
        <v>207</v>
      </c>
      <c r="BD441" s="71">
        <v>0.3</v>
      </c>
      <c r="BE441" s="71">
        <v>36</v>
      </c>
      <c r="BF441" s="71">
        <v>390</v>
      </c>
      <c r="BG441" s="71">
        <v>212</v>
      </c>
      <c r="BH441" s="71">
        <v>5</v>
      </c>
      <c r="BI441" s="71">
        <v>10</v>
      </c>
      <c r="BJ441" s="12" t="str" cm="1">
        <f t="array" ref="BJ441">_xll.Dce_Name_SectI(BF441, BF441, BG441, BH441, BI441, "x", "-", $AX$11)</f>
        <v>390x212x5x10</v>
      </c>
      <c r="BK441" s="77" cm="1">
        <f t="array" ref="BK441">_xll.DCEPropSectI(BF441, BH441, BG441, BI441, BG441, BI441, "A")/100</f>
        <v>60.9</v>
      </c>
      <c r="BL441" s="70" t="s">
        <v>219</v>
      </c>
      <c r="BM441" s="70">
        <v>-9.2020217062863594</v>
      </c>
      <c r="BN441" s="71">
        <v>0.9</v>
      </c>
      <c r="BO441" s="77">
        <f t="shared" si="59"/>
        <v>32.4</v>
      </c>
      <c r="BP441" s="71">
        <v>0.9</v>
      </c>
      <c r="BQ441" s="77">
        <f t="shared" si="60"/>
        <v>32.4</v>
      </c>
      <c r="BR441" s="77" cm="1">
        <f t="array" ref="BR441">_xll.DCEPropSectI(BF441, BH441, BG441, BI441, BG441, BI441, "rx")/10</f>
        <v>16.91131201300167</v>
      </c>
      <c r="BS441" s="77" cm="1">
        <f t="array" ref="BS441">_xll.DCEPropSectI(BF441, BH441, BG441, BI441, BG441, BI441, "ry")/10</f>
        <v>5.1070747638622018</v>
      </c>
      <c r="BT441" s="5">
        <f t="shared" si="61"/>
        <v>191.58773710218577</v>
      </c>
      <c r="BU441" s="5">
        <f t="shared" si="62"/>
        <v>634.41405301647956</v>
      </c>
      <c r="BV441" s="5">
        <f t="shared" si="63"/>
        <v>634.41405301647956</v>
      </c>
      <c r="BW441" s="71">
        <f t="shared" si="64"/>
        <v>200</v>
      </c>
      <c r="BX441" s="78" cm="1">
        <f t="array" ref="BX441">IF(BM441&gt;0,1,_xll.DCETCVN5575FactorPhi7121(BV441*SQRT($K$17/206000),"b"))</f>
        <v>1.6670876655456978E-2</v>
      </c>
      <c r="BY441" s="64">
        <f t="shared" si="65"/>
        <v>0.43160674965011714</v>
      </c>
      <c r="BZ441" s="3" t="str">
        <f t="shared" si="66"/>
        <v>Check</v>
      </c>
    </row>
    <row r="442" spans="1:78">
      <c r="A442" s="76"/>
      <c r="B442" s="76"/>
      <c r="C442" s="125"/>
      <c r="D442" s="125"/>
      <c r="E442" s="71"/>
      <c r="F442" s="71"/>
      <c r="G442" s="71"/>
      <c r="H442" s="126"/>
      <c r="I442" s="125"/>
      <c r="J442" s="123"/>
      <c r="K442" s="12"/>
      <c r="L442" s="117"/>
      <c r="M442" s="12"/>
      <c r="N442" s="117"/>
      <c r="O442" s="117"/>
      <c r="P442" s="117"/>
      <c r="Q442" s="118"/>
      <c r="R442" s="118"/>
      <c r="S442" s="118"/>
      <c r="T442" s="12"/>
      <c r="U442" s="118"/>
      <c r="V442" s="118"/>
      <c r="W442" s="12"/>
      <c r="X442" s="119"/>
      <c r="Y442" s="120"/>
      <c r="Z442" s="12"/>
      <c r="BA442" s="70" t="s">
        <v>205</v>
      </c>
      <c r="BB442" s="71" t="s">
        <v>210</v>
      </c>
      <c r="BC442" s="71" t="s">
        <v>207</v>
      </c>
      <c r="BD442" s="71">
        <v>0.6</v>
      </c>
      <c r="BE442" s="71">
        <v>36</v>
      </c>
      <c r="BF442" s="71">
        <v>390</v>
      </c>
      <c r="BG442" s="71">
        <v>212</v>
      </c>
      <c r="BH442" s="71">
        <v>5</v>
      </c>
      <c r="BI442" s="71">
        <v>10</v>
      </c>
      <c r="BJ442" s="12" t="str" cm="1">
        <f t="array" ref="BJ442">_xll.Dce_Name_SectI(BF442, BF442, BG442, BH442, BI442, "x", "-", $AX$11)</f>
        <v>390x212x5x10</v>
      </c>
      <c r="BK442" s="77" cm="1">
        <f t="array" ref="BK442">_xll.DCEPropSectI(BF442, BH442, BG442, BI442, BG442, BI442, "A")/100</f>
        <v>60.9</v>
      </c>
      <c r="BL442" s="70" t="s">
        <v>219</v>
      </c>
      <c r="BM442" s="70">
        <v>-9.2020217062863594</v>
      </c>
      <c r="BN442" s="71">
        <v>0.9</v>
      </c>
      <c r="BO442" s="77">
        <f t="shared" si="59"/>
        <v>32.4</v>
      </c>
      <c r="BP442" s="71">
        <v>0.9</v>
      </c>
      <c r="BQ442" s="77">
        <f t="shared" si="60"/>
        <v>32.4</v>
      </c>
      <c r="BR442" s="77" cm="1">
        <f t="array" ref="BR442">_xll.DCEPropSectI(BF442, BH442, BG442, BI442, BG442, BI442, "rx")/10</f>
        <v>16.91131201300167</v>
      </c>
      <c r="BS442" s="77" cm="1">
        <f t="array" ref="BS442">_xll.DCEPropSectI(BF442, BH442, BG442, BI442, BG442, BI442, "ry")/10</f>
        <v>5.1070747638622018</v>
      </c>
      <c r="BT442" s="5">
        <f t="shared" si="61"/>
        <v>191.58773710218577</v>
      </c>
      <c r="BU442" s="5">
        <f t="shared" si="62"/>
        <v>634.41405301647956</v>
      </c>
      <c r="BV442" s="5">
        <f t="shared" si="63"/>
        <v>634.41405301647956</v>
      </c>
      <c r="BW442" s="71">
        <f t="shared" si="64"/>
        <v>200</v>
      </c>
      <c r="BX442" s="78" cm="1">
        <f t="array" ref="BX442">IF(BM442&gt;0,1,_xll.DCETCVN5575FactorPhi7121(BV442*SQRT($K$17/206000),"b"))</f>
        <v>1.6670876655456978E-2</v>
      </c>
      <c r="BY442" s="64">
        <f t="shared" si="65"/>
        <v>0.43160674965011714</v>
      </c>
      <c r="BZ442" s="3" t="str">
        <f t="shared" si="66"/>
        <v>Check</v>
      </c>
    </row>
    <row r="443" spans="1:78">
      <c r="A443" s="76"/>
      <c r="B443" s="76"/>
      <c r="C443" s="125"/>
      <c r="D443" s="125"/>
      <c r="E443" s="71"/>
      <c r="F443" s="71"/>
      <c r="G443" s="71"/>
      <c r="H443" s="126"/>
      <c r="I443" s="125"/>
      <c r="J443" s="123"/>
      <c r="K443" s="12"/>
      <c r="L443" s="117"/>
      <c r="M443" s="12"/>
      <c r="N443" s="117"/>
      <c r="O443" s="117"/>
      <c r="P443" s="117"/>
      <c r="Q443" s="118"/>
      <c r="R443" s="118"/>
      <c r="S443" s="118"/>
      <c r="T443" s="12"/>
      <c r="U443" s="118"/>
      <c r="V443" s="118"/>
      <c r="W443" s="12"/>
      <c r="X443" s="119"/>
      <c r="Y443" s="120"/>
      <c r="Z443" s="12"/>
      <c r="BA443" s="70" t="s">
        <v>205</v>
      </c>
      <c r="BB443" s="71" t="s">
        <v>210</v>
      </c>
      <c r="BC443" s="71" t="s">
        <v>207</v>
      </c>
      <c r="BD443" s="71">
        <v>0.6</v>
      </c>
      <c r="BE443" s="71">
        <v>36</v>
      </c>
      <c r="BF443" s="71">
        <v>390</v>
      </c>
      <c r="BG443" s="71">
        <v>212</v>
      </c>
      <c r="BH443" s="71">
        <v>5</v>
      </c>
      <c r="BI443" s="71">
        <v>10</v>
      </c>
      <c r="BJ443" s="12" t="str" cm="1">
        <f t="array" ref="BJ443">_xll.Dce_Name_SectI(BF443, BF443, BG443, BH443, BI443, "x", "-", $AX$11)</f>
        <v>390x212x5x10</v>
      </c>
      <c r="BK443" s="77" cm="1">
        <f t="array" ref="BK443">_xll.DCEPropSectI(BF443, BH443, BG443, BI443, BG443, BI443, "A")/100</f>
        <v>60.9</v>
      </c>
      <c r="BL443" s="70" t="s">
        <v>219</v>
      </c>
      <c r="BM443" s="70">
        <v>-14.532196156495274</v>
      </c>
      <c r="BN443" s="71">
        <v>0.9</v>
      </c>
      <c r="BO443" s="77">
        <f t="shared" si="59"/>
        <v>32.4</v>
      </c>
      <c r="BP443" s="71">
        <v>0.9</v>
      </c>
      <c r="BQ443" s="77">
        <f t="shared" si="60"/>
        <v>32.4</v>
      </c>
      <c r="BR443" s="77" cm="1">
        <f t="array" ref="BR443">_xll.DCEPropSectI(BF443, BH443, BG443, BI443, BG443, BI443, "rx")/10</f>
        <v>16.91131201300167</v>
      </c>
      <c r="BS443" s="77" cm="1">
        <f t="array" ref="BS443">_xll.DCEPropSectI(BF443, BH443, BG443, BI443, BG443, BI443, "ry")/10</f>
        <v>5.1070747638622018</v>
      </c>
      <c r="BT443" s="5">
        <f t="shared" si="61"/>
        <v>191.58773710218577</v>
      </c>
      <c r="BU443" s="5">
        <f t="shared" si="62"/>
        <v>634.41405301647956</v>
      </c>
      <c r="BV443" s="5">
        <f t="shared" si="63"/>
        <v>634.41405301647956</v>
      </c>
      <c r="BW443" s="71">
        <f t="shared" si="64"/>
        <v>200</v>
      </c>
      <c r="BX443" s="78" cm="1">
        <f t="array" ref="BX443">IF(BM443&gt;0,1,_xll.DCETCVN5575FactorPhi7121(BV443*SQRT($K$17/206000),"b"))</f>
        <v>1.6670876655456978E-2</v>
      </c>
      <c r="BY443" s="64">
        <f t="shared" si="65"/>
        <v>0.68161042742357392</v>
      </c>
      <c r="BZ443" s="3" t="str">
        <f t="shared" si="66"/>
        <v>Check</v>
      </c>
    </row>
    <row r="444" spans="1:78">
      <c r="A444" s="76"/>
      <c r="B444" s="76"/>
      <c r="C444" s="125"/>
      <c r="D444" s="125"/>
      <c r="E444" s="71"/>
      <c r="F444" s="71"/>
      <c r="G444" s="71"/>
      <c r="H444" s="126"/>
      <c r="I444" s="125"/>
      <c r="J444" s="123"/>
      <c r="K444" s="12"/>
      <c r="L444" s="117"/>
      <c r="M444" s="12"/>
      <c r="N444" s="117"/>
      <c r="O444" s="117"/>
      <c r="P444" s="117"/>
      <c r="Q444" s="118"/>
      <c r="R444" s="118"/>
      <c r="S444" s="118"/>
      <c r="T444" s="12"/>
      <c r="U444" s="118"/>
      <c r="V444" s="118"/>
      <c r="W444" s="12"/>
      <c r="X444" s="119"/>
      <c r="Y444" s="120"/>
      <c r="Z444" s="12"/>
      <c r="BA444" s="70" t="s">
        <v>205</v>
      </c>
      <c r="BB444" s="71" t="s">
        <v>210</v>
      </c>
      <c r="BC444" s="71" t="s">
        <v>207</v>
      </c>
      <c r="BD444" s="71">
        <v>1.0900000000000001</v>
      </c>
      <c r="BE444" s="71">
        <v>36</v>
      </c>
      <c r="BF444" s="71">
        <v>390</v>
      </c>
      <c r="BG444" s="71">
        <v>212</v>
      </c>
      <c r="BH444" s="71">
        <v>5</v>
      </c>
      <c r="BI444" s="71">
        <v>10</v>
      </c>
      <c r="BJ444" s="12" t="str" cm="1">
        <f t="array" ref="BJ444">_xll.Dce_Name_SectI(BF444, BF444, BG444, BH444, BI444, "x", "-", $AX$11)</f>
        <v>390x212x5x10</v>
      </c>
      <c r="BK444" s="77" cm="1">
        <f t="array" ref="BK444">_xll.DCEPropSectI(BF444, BH444, BG444, BI444, BG444, BI444, "A")/100</f>
        <v>60.9</v>
      </c>
      <c r="BL444" s="70" t="s">
        <v>219</v>
      </c>
      <c r="BM444" s="70">
        <v>-14.532196156495274</v>
      </c>
      <c r="BN444" s="71">
        <v>0.9</v>
      </c>
      <c r="BO444" s="77">
        <f t="shared" si="59"/>
        <v>32.4</v>
      </c>
      <c r="BP444" s="71">
        <v>0.9</v>
      </c>
      <c r="BQ444" s="77">
        <f t="shared" si="60"/>
        <v>32.4</v>
      </c>
      <c r="BR444" s="77" cm="1">
        <f t="array" ref="BR444">_xll.DCEPropSectI(BF444, BH444, BG444, BI444, BG444, BI444, "rx")/10</f>
        <v>16.91131201300167</v>
      </c>
      <c r="BS444" s="77" cm="1">
        <f t="array" ref="BS444">_xll.DCEPropSectI(BF444, BH444, BG444, BI444, BG444, BI444, "ry")/10</f>
        <v>5.1070747638622018</v>
      </c>
      <c r="BT444" s="5">
        <f t="shared" si="61"/>
        <v>191.58773710218577</v>
      </c>
      <c r="BU444" s="5">
        <f t="shared" si="62"/>
        <v>634.41405301647956</v>
      </c>
      <c r="BV444" s="5">
        <f t="shared" si="63"/>
        <v>634.41405301647956</v>
      </c>
      <c r="BW444" s="71">
        <f t="shared" si="64"/>
        <v>200</v>
      </c>
      <c r="BX444" s="78" cm="1">
        <f t="array" ref="BX444">IF(BM444&gt;0,1,_xll.DCETCVN5575FactorPhi7121(BV444*SQRT($K$17/206000),"b"))</f>
        <v>1.6670876655456978E-2</v>
      </c>
      <c r="BY444" s="64">
        <f t="shared" si="65"/>
        <v>0.68161042742357392</v>
      </c>
      <c r="BZ444" s="3" t="str">
        <f t="shared" si="66"/>
        <v>Check</v>
      </c>
    </row>
    <row r="445" spans="1:78">
      <c r="A445" s="76"/>
      <c r="B445" s="76"/>
      <c r="C445" s="125"/>
      <c r="D445" s="125"/>
      <c r="E445" s="71"/>
      <c r="F445" s="71"/>
      <c r="G445" s="71"/>
      <c r="H445" s="126"/>
      <c r="I445" s="125"/>
      <c r="J445" s="123"/>
      <c r="K445" s="12"/>
      <c r="L445" s="117"/>
      <c r="M445" s="12"/>
      <c r="N445" s="117"/>
      <c r="O445" s="117"/>
      <c r="P445" s="117"/>
      <c r="Q445" s="118"/>
      <c r="R445" s="118"/>
      <c r="S445" s="118"/>
      <c r="T445" s="12"/>
      <c r="U445" s="118"/>
      <c r="V445" s="118"/>
      <c r="W445" s="12"/>
      <c r="X445" s="119"/>
      <c r="Y445" s="120"/>
      <c r="Z445" s="12"/>
      <c r="BA445" s="70" t="s">
        <v>205</v>
      </c>
      <c r="BB445" s="71" t="s">
        <v>210</v>
      </c>
      <c r="BC445" s="71" t="s">
        <v>207</v>
      </c>
      <c r="BD445" s="71">
        <v>1.59</v>
      </c>
      <c r="BE445" s="71">
        <v>36</v>
      </c>
      <c r="BF445" s="71">
        <v>390</v>
      </c>
      <c r="BG445" s="71">
        <v>212</v>
      </c>
      <c r="BH445" s="71">
        <v>5</v>
      </c>
      <c r="BI445" s="71">
        <v>10</v>
      </c>
      <c r="BJ445" s="12" t="str" cm="1">
        <f t="array" ref="BJ445">_xll.Dce_Name_SectI(BF445, BF445, BG445, BH445, BI445, "x", "-", $AX$11)</f>
        <v>390x212x5x10</v>
      </c>
      <c r="BK445" s="77" cm="1">
        <f t="array" ref="BK445">_xll.DCEPropSectI(BF445, BH445, BG445, BI445, BG445, BI445, "A")/100</f>
        <v>60.9</v>
      </c>
      <c r="BL445" s="70" t="s">
        <v>219</v>
      </c>
      <c r="BM445" s="70">
        <v>-14.532196156495274</v>
      </c>
      <c r="BN445" s="71">
        <v>0.9</v>
      </c>
      <c r="BO445" s="77">
        <f t="shared" si="59"/>
        <v>32.4</v>
      </c>
      <c r="BP445" s="71">
        <v>0.9</v>
      </c>
      <c r="BQ445" s="77">
        <f t="shared" si="60"/>
        <v>32.4</v>
      </c>
      <c r="BR445" s="77" cm="1">
        <f t="array" ref="BR445">_xll.DCEPropSectI(BF445, BH445, BG445, BI445, BG445, BI445, "rx")/10</f>
        <v>16.91131201300167</v>
      </c>
      <c r="BS445" s="77" cm="1">
        <f t="array" ref="BS445">_xll.DCEPropSectI(BF445, BH445, BG445, BI445, BG445, BI445, "ry")/10</f>
        <v>5.1070747638622018</v>
      </c>
      <c r="BT445" s="5">
        <f t="shared" si="61"/>
        <v>191.58773710218577</v>
      </c>
      <c r="BU445" s="5">
        <f t="shared" si="62"/>
        <v>634.41405301647956</v>
      </c>
      <c r="BV445" s="5">
        <f t="shared" si="63"/>
        <v>634.41405301647956</v>
      </c>
      <c r="BW445" s="71">
        <f t="shared" si="64"/>
        <v>200</v>
      </c>
      <c r="BX445" s="78" cm="1">
        <f t="array" ref="BX445">IF(BM445&gt;0,1,_xll.DCETCVN5575FactorPhi7121(BV445*SQRT($K$17/206000),"b"))</f>
        <v>1.6670876655456978E-2</v>
      </c>
      <c r="BY445" s="64">
        <f t="shared" si="65"/>
        <v>0.68161042742357392</v>
      </c>
      <c r="BZ445" s="3" t="str">
        <f t="shared" si="66"/>
        <v>Check</v>
      </c>
    </row>
    <row r="446" spans="1:78">
      <c r="A446" s="76"/>
      <c r="B446" s="76"/>
      <c r="C446" s="125"/>
      <c r="D446" s="125"/>
      <c r="E446" s="71"/>
      <c r="F446" s="71"/>
      <c r="G446" s="71"/>
      <c r="H446" s="126"/>
      <c r="I446" s="125"/>
      <c r="J446" s="123"/>
      <c r="K446" s="12"/>
      <c r="L446" s="117"/>
      <c r="M446" s="12"/>
      <c r="N446" s="117"/>
      <c r="O446" s="117"/>
      <c r="P446" s="117"/>
      <c r="Q446" s="118"/>
      <c r="R446" s="118"/>
      <c r="S446" s="118"/>
      <c r="T446" s="12"/>
      <c r="U446" s="118"/>
      <c r="V446" s="118"/>
      <c r="W446" s="12"/>
      <c r="X446" s="119"/>
      <c r="Y446" s="120"/>
      <c r="Z446" s="12"/>
      <c r="BA446" s="70" t="s">
        <v>205</v>
      </c>
      <c r="BB446" s="71" t="s">
        <v>210</v>
      </c>
      <c r="BC446" s="71" t="s">
        <v>207</v>
      </c>
      <c r="BD446" s="71">
        <v>2.08</v>
      </c>
      <c r="BE446" s="71">
        <v>36</v>
      </c>
      <c r="BF446" s="71">
        <v>390</v>
      </c>
      <c r="BG446" s="71">
        <v>212</v>
      </c>
      <c r="BH446" s="71">
        <v>5</v>
      </c>
      <c r="BI446" s="71">
        <v>10</v>
      </c>
      <c r="BJ446" s="12" t="str" cm="1">
        <f t="array" ref="BJ446">_xll.Dce_Name_SectI(BF446, BF446, BG446, BH446, BI446, "x", "-", $AX$11)</f>
        <v>390x212x5x10</v>
      </c>
      <c r="BK446" s="77" cm="1">
        <f t="array" ref="BK446">_xll.DCEPropSectI(BF446, BH446, BG446, BI446, BG446, BI446, "A")/100</f>
        <v>60.9</v>
      </c>
      <c r="BL446" s="70" t="s">
        <v>219</v>
      </c>
      <c r="BM446" s="70">
        <v>-14.532196156495274</v>
      </c>
      <c r="BN446" s="71">
        <v>0.9</v>
      </c>
      <c r="BO446" s="77">
        <f t="shared" si="59"/>
        <v>32.4</v>
      </c>
      <c r="BP446" s="71">
        <v>0.9</v>
      </c>
      <c r="BQ446" s="77">
        <f t="shared" si="60"/>
        <v>32.4</v>
      </c>
      <c r="BR446" s="77" cm="1">
        <f t="array" ref="BR446">_xll.DCEPropSectI(BF446, BH446, BG446, BI446, BG446, BI446, "rx")/10</f>
        <v>16.91131201300167</v>
      </c>
      <c r="BS446" s="77" cm="1">
        <f t="array" ref="BS446">_xll.DCEPropSectI(BF446, BH446, BG446, BI446, BG446, BI446, "ry")/10</f>
        <v>5.1070747638622018</v>
      </c>
      <c r="BT446" s="5">
        <f t="shared" si="61"/>
        <v>191.58773710218577</v>
      </c>
      <c r="BU446" s="5">
        <f t="shared" si="62"/>
        <v>634.41405301647956</v>
      </c>
      <c r="BV446" s="5">
        <f t="shared" si="63"/>
        <v>634.41405301647956</v>
      </c>
      <c r="BW446" s="71">
        <f t="shared" si="64"/>
        <v>200</v>
      </c>
      <c r="BX446" s="78" cm="1">
        <f t="array" ref="BX446">IF(BM446&gt;0,1,_xll.DCETCVN5575FactorPhi7121(BV446*SQRT($K$17/206000),"b"))</f>
        <v>1.6670876655456978E-2</v>
      </c>
      <c r="BY446" s="64">
        <f t="shared" si="65"/>
        <v>0.68161042742357392</v>
      </c>
      <c r="BZ446" s="3" t="str">
        <f t="shared" si="66"/>
        <v>Check</v>
      </c>
    </row>
    <row r="447" spans="1:78">
      <c r="A447" s="76"/>
      <c r="B447" s="76"/>
      <c r="C447" s="125"/>
      <c r="D447" s="125"/>
      <c r="E447" s="71"/>
      <c r="F447" s="71"/>
      <c r="G447" s="71"/>
      <c r="H447" s="126"/>
      <c r="I447" s="125"/>
      <c r="J447" s="123"/>
      <c r="K447" s="12"/>
      <c r="L447" s="117"/>
      <c r="M447" s="12"/>
      <c r="N447" s="117"/>
      <c r="O447" s="117"/>
      <c r="P447" s="117"/>
      <c r="Q447" s="118"/>
      <c r="R447" s="118"/>
      <c r="S447" s="118"/>
      <c r="T447" s="12"/>
      <c r="U447" s="118"/>
      <c r="V447" s="118"/>
      <c r="W447" s="12"/>
      <c r="X447" s="119"/>
      <c r="Y447" s="120"/>
      <c r="Z447" s="12"/>
      <c r="BA447" s="70" t="s">
        <v>205</v>
      </c>
      <c r="BB447" s="71" t="s">
        <v>210</v>
      </c>
      <c r="BC447" s="71" t="s">
        <v>207</v>
      </c>
      <c r="BD447" s="71">
        <v>2.57</v>
      </c>
      <c r="BE447" s="71">
        <v>36</v>
      </c>
      <c r="BF447" s="71">
        <v>390</v>
      </c>
      <c r="BG447" s="71">
        <v>212</v>
      </c>
      <c r="BH447" s="71">
        <v>5</v>
      </c>
      <c r="BI447" s="71">
        <v>10</v>
      </c>
      <c r="BJ447" s="12" t="str" cm="1">
        <f t="array" ref="BJ447">_xll.Dce_Name_SectI(BF447, BF447, BG447, BH447, BI447, "x", "-", $AX$11)</f>
        <v>390x212x5x10</v>
      </c>
      <c r="BK447" s="77" cm="1">
        <f t="array" ref="BK447">_xll.DCEPropSectI(BF447, BH447, BG447, BI447, BG447, BI447, "A")/100</f>
        <v>60.9</v>
      </c>
      <c r="BL447" s="70" t="s">
        <v>219</v>
      </c>
      <c r="BM447" s="70">
        <v>-14.532196156495274</v>
      </c>
      <c r="BN447" s="71">
        <v>0.9</v>
      </c>
      <c r="BO447" s="77">
        <f t="shared" si="59"/>
        <v>32.4</v>
      </c>
      <c r="BP447" s="71">
        <v>0.9</v>
      </c>
      <c r="BQ447" s="77">
        <f t="shared" si="60"/>
        <v>32.4</v>
      </c>
      <c r="BR447" s="77" cm="1">
        <f t="array" ref="BR447">_xll.DCEPropSectI(BF447, BH447, BG447, BI447, BG447, BI447, "rx")/10</f>
        <v>16.91131201300167</v>
      </c>
      <c r="BS447" s="77" cm="1">
        <f t="array" ref="BS447">_xll.DCEPropSectI(BF447, BH447, BG447, BI447, BG447, BI447, "ry")/10</f>
        <v>5.1070747638622018</v>
      </c>
      <c r="BT447" s="5">
        <f t="shared" si="61"/>
        <v>191.58773710218577</v>
      </c>
      <c r="BU447" s="5">
        <f t="shared" si="62"/>
        <v>634.41405301647956</v>
      </c>
      <c r="BV447" s="5">
        <f t="shared" si="63"/>
        <v>634.41405301647956</v>
      </c>
      <c r="BW447" s="71">
        <f t="shared" si="64"/>
        <v>200</v>
      </c>
      <c r="BX447" s="78" cm="1">
        <f t="array" ref="BX447">IF(BM447&gt;0,1,_xll.DCETCVN5575FactorPhi7121(BV447*SQRT($K$17/206000),"b"))</f>
        <v>1.6670876655456978E-2</v>
      </c>
      <c r="BY447" s="64">
        <f t="shared" si="65"/>
        <v>0.68161042742357392</v>
      </c>
      <c r="BZ447" s="3" t="str">
        <f t="shared" si="66"/>
        <v>Check</v>
      </c>
    </row>
    <row r="448" spans="1:78">
      <c r="A448" s="76"/>
      <c r="B448" s="76"/>
      <c r="C448" s="125"/>
      <c r="D448" s="125"/>
      <c r="E448" s="71"/>
      <c r="F448" s="71"/>
      <c r="G448" s="71"/>
      <c r="H448" s="126"/>
      <c r="I448" s="125"/>
      <c r="J448" s="123"/>
      <c r="K448" s="12"/>
      <c r="L448" s="117"/>
      <c r="M448" s="12"/>
      <c r="N448" s="117"/>
      <c r="O448" s="117"/>
      <c r="P448" s="117"/>
      <c r="Q448" s="118"/>
      <c r="R448" s="118"/>
      <c r="S448" s="118"/>
      <c r="T448" s="12"/>
      <c r="U448" s="118"/>
      <c r="V448" s="118"/>
      <c r="W448" s="12"/>
      <c r="X448" s="119"/>
      <c r="Y448" s="120"/>
      <c r="Z448" s="12"/>
      <c r="BA448" s="70" t="s">
        <v>205</v>
      </c>
      <c r="BB448" s="71" t="s">
        <v>210</v>
      </c>
      <c r="BC448" s="71" t="s">
        <v>207</v>
      </c>
      <c r="BD448" s="71">
        <v>3.06</v>
      </c>
      <c r="BE448" s="71">
        <v>36</v>
      </c>
      <c r="BF448" s="71">
        <v>390</v>
      </c>
      <c r="BG448" s="71">
        <v>212</v>
      </c>
      <c r="BH448" s="71">
        <v>5</v>
      </c>
      <c r="BI448" s="71">
        <v>10</v>
      </c>
      <c r="BJ448" s="12" t="str" cm="1">
        <f t="array" ref="BJ448">_xll.Dce_Name_SectI(BF448, BF448, BG448, BH448, BI448, "x", "-", $AX$11)</f>
        <v>390x212x5x10</v>
      </c>
      <c r="BK448" s="77" cm="1">
        <f t="array" ref="BK448">_xll.DCEPropSectI(BF448, BH448, BG448, BI448, BG448, BI448, "A")/100</f>
        <v>60.9</v>
      </c>
      <c r="BL448" s="70" t="s">
        <v>219</v>
      </c>
      <c r="BM448" s="70">
        <v>-14.532196156495274</v>
      </c>
      <c r="BN448" s="71">
        <v>0.9</v>
      </c>
      <c r="BO448" s="77">
        <f t="shared" si="59"/>
        <v>32.4</v>
      </c>
      <c r="BP448" s="71">
        <v>0.9</v>
      </c>
      <c r="BQ448" s="77">
        <f t="shared" si="60"/>
        <v>32.4</v>
      </c>
      <c r="BR448" s="77" cm="1">
        <f t="array" ref="BR448">_xll.DCEPropSectI(BF448, BH448, BG448, BI448, BG448, BI448, "rx")/10</f>
        <v>16.91131201300167</v>
      </c>
      <c r="BS448" s="77" cm="1">
        <f t="array" ref="BS448">_xll.DCEPropSectI(BF448, BH448, BG448, BI448, BG448, BI448, "ry")/10</f>
        <v>5.1070747638622018</v>
      </c>
      <c r="BT448" s="5">
        <f t="shared" si="61"/>
        <v>191.58773710218577</v>
      </c>
      <c r="BU448" s="5">
        <f t="shared" si="62"/>
        <v>634.41405301647956</v>
      </c>
      <c r="BV448" s="5">
        <f t="shared" si="63"/>
        <v>634.41405301647956</v>
      </c>
      <c r="BW448" s="71">
        <f t="shared" si="64"/>
        <v>200</v>
      </c>
      <c r="BX448" s="78" cm="1">
        <f t="array" ref="BX448">IF(BM448&gt;0,1,_xll.DCETCVN5575FactorPhi7121(BV448*SQRT($K$17/206000),"b"))</f>
        <v>1.6670876655456978E-2</v>
      </c>
      <c r="BY448" s="64">
        <f t="shared" si="65"/>
        <v>0.68161042742357392</v>
      </c>
      <c r="BZ448" s="3" t="str">
        <f t="shared" si="66"/>
        <v>Check</v>
      </c>
    </row>
    <row r="449" spans="1:78">
      <c r="A449" s="76"/>
      <c r="B449" s="76"/>
      <c r="C449" s="125"/>
      <c r="D449" s="125"/>
      <c r="E449" s="71"/>
      <c r="F449" s="71"/>
      <c r="G449" s="71"/>
      <c r="H449" s="126"/>
      <c r="I449" s="125"/>
      <c r="J449" s="123"/>
      <c r="K449" s="12"/>
      <c r="L449" s="117"/>
      <c r="M449" s="12"/>
      <c r="N449" s="117"/>
      <c r="O449" s="117"/>
      <c r="P449" s="117"/>
      <c r="Q449" s="118"/>
      <c r="R449" s="118"/>
      <c r="S449" s="118"/>
      <c r="T449" s="12"/>
      <c r="U449" s="118"/>
      <c r="V449" s="118"/>
      <c r="W449" s="12"/>
      <c r="X449" s="119"/>
      <c r="Y449" s="120"/>
      <c r="Z449" s="12"/>
      <c r="BA449" s="70" t="s">
        <v>205</v>
      </c>
      <c r="BB449" s="71" t="s">
        <v>210</v>
      </c>
      <c r="BC449" s="71" t="s">
        <v>207</v>
      </c>
      <c r="BD449" s="71">
        <v>3.56</v>
      </c>
      <c r="BE449" s="71">
        <v>36</v>
      </c>
      <c r="BF449" s="71">
        <v>390</v>
      </c>
      <c r="BG449" s="71">
        <v>212</v>
      </c>
      <c r="BH449" s="71">
        <v>5</v>
      </c>
      <c r="BI449" s="71">
        <v>10</v>
      </c>
      <c r="BJ449" s="12" t="str" cm="1">
        <f t="array" ref="BJ449">_xll.Dce_Name_SectI(BF449, BF449, BG449, BH449, BI449, "x", "-", $AX$11)</f>
        <v>390x212x5x10</v>
      </c>
      <c r="BK449" s="77" cm="1">
        <f t="array" ref="BK449">_xll.DCEPropSectI(BF449, BH449, BG449, BI449, BG449, BI449, "A")/100</f>
        <v>60.9</v>
      </c>
      <c r="BL449" s="70" t="s">
        <v>219</v>
      </c>
      <c r="BM449" s="70">
        <v>-14.532196156495274</v>
      </c>
      <c r="BN449" s="71">
        <v>0.9</v>
      </c>
      <c r="BO449" s="77">
        <f t="shared" si="59"/>
        <v>32.4</v>
      </c>
      <c r="BP449" s="71">
        <v>0.9</v>
      </c>
      <c r="BQ449" s="77">
        <f t="shared" si="60"/>
        <v>32.4</v>
      </c>
      <c r="BR449" s="77" cm="1">
        <f t="array" ref="BR449">_xll.DCEPropSectI(BF449, BH449, BG449, BI449, BG449, BI449, "rx")/10</f>
        <v>16.91131201300167</v>
      </c>
      <c r="BS449" s="77" cm="1">
        <f t="array" ref="BS449">_xll.DCEPropSectI(BF449, BH449, BG449, BI449, BG449, BI449, "ry")/10</f>
        <v>5.1070747638622018</v>
      </c>
      <c r="BT449" s="5">
        <f t="shared" si="61"/>
        <v>191.58773710218577</v>
      </c>
      <c r="BU449" s="5">
        <f t="shared" si="62"/>
        <v>634.41405301647956</v>
      </c>
      <c r="BV449" s="5">
        <f t="shared" si="63"/>
        <v>634.41405301647956</v>
      </c>
      <c r="BW449" s="71">
        <f t="shared" si="64"/>
        <v>200</v>
      </c>
      <c r="BX449" s="78" cm="1">
        <f t="array" ref="BX449">IF(BM449&gt;0,1,_xll.DCETCVN5575FactorPhi7121(BV449*SQRT($K$17/206000),"b"))</f>
        <v>1.6670876655456978E-2</v>
      </c>
      <c r="BY449" s="64">
        <f t="shared" si="65"/>
        <v>0.68161042742357392</v>
      </c>
      <c r="BZ449" s="3" t="str">
        <f t="shared" si="66"/>
        <v>Check</v>
      </c>
    </row>
    <row r="450" spans="1:78">
      <c r="A450" s="76"/>
      <c r="B450" s="76"/>
      <c r="C450" s="125"/>
      <c r="D450" s="125"/>
      <c r="E450" s="71"/>
      <c r="F450" s="71"/>
      <c r="G450" s="71"/>
      <c r="H450" s="126"/>
      <c r="I450" s="125"/>
      <c r="J450" s="123"/>
      <c r="K450" s="12"/>
      <c r="L450" s="117"/>
      <c r="M450" s="12"/>
      <c r="N450" s="117"/>
      <c r="O450" s="117"/>
      <c r="P450" s="117"/>
      <c r="Q450" s="118"/>
      <c r="R450" s="118"/>
      <c r="S450" s="118"/>
      <c r="T450" s="12"/>
      <c r="U450" s="118"/>
      <c r="V450" s="118"/>
      <c r="W450" s="12"/>
      <c r="X450" s="119"/>
      <c r="Y450" s="120"/>
      <c r="Z450" s="12"/>
      <c r="BA450" s="70" t="s">
        <v>205</v>
      </c>
      <c r="BB450" s="71" t="s">
        <v>210</v>
      </c>
      <c r="BC450" s="71" t="s">
        <v>207</v>
      </c>
      <c r="BD450" s="71">
        <v>4.05</v>
      </c>
      <c r="BE450" s="71">
        <v>36</v>
      </c>
      <c r="BF450" s="71">
        <v>390</v>
      </c>
      <c r="BG450" s="71">
        <v>212</v>
      </c>
      <c r="BH450" s="71">
        <v>5</v>
      </c>
      <c r="BI450" s="71">
        <v>10</v>
      </c>
      <c r="BJ450" s="12" t="str" cm="1">
        <f t="array" ref="BJ450">_xll.Dce_Name_SectI(BF450, BF450, BG450, BH450, BI450, "x", "-", $AX$11)</f>
        <v>390x212x5x10</v>
      </c>
      <c r="BK450" s="77" cm="1">
        <f t="array" ref="BK450">_xll.DCEPropSectI(BF450, BH450, BG450, BI450, BG450, BI450, "A")/100</f>
        <v>60.9</v>
      </c>
      <c r="BL450" s="70" t="s">
        <v>219</v>
      </c>
      <c r="BM450" s="70">
        <v>-14.532196156495274</v>
      </c>
      <c r="BN450" s="71">
        <v>0.9</v>
      </c>
      <c r="BO450" s="77">
        <f t="shared" si="59"/>
        <v>32.4</v>
      </c>
      <c r="BP450" s="71">
        <v>0.9</v>
      </c>
      <c r="BQ450" s="77">
        <f t="shared" si="60"/>
        <v>32.4</v>
      </c>
      <c r="BR450" s="77" cm="1">
        <f t="array" ref="BR450">_xll.DCEPropSectI(BF450, BH450, BG450, BI450, BG450, BI450, "rx")/10</f>
        <v>16.91131201300167</v>
      </c>
      <c r="BS450" s="77" cm="1">
        <f t="array" ref="BS450">_xll.DCEPropSectI(BF450, BH450, BG450, BI450, BG450, BI450, "ry")/10</f>
        <v>5.1070747638622018</v>
      </c>
      <c r="BT450" s="5">
        <f t="shared" si="61"/>
        <v>191.58773710218577</v>
      </c>
      <c r="BU450" s="5">
        <f t="shared" si="62"/>
        <v>634.41405301647956</v>
      </c>
      <c r="BV450" s="5">
        <f t="shared" si="63"/>
        <v>634.41405301647956</v>
      </c>
      <c r="BW450" s="71">
        <f t="shared" si="64"/>
        <v>200</v>
      </c>
      <c r="BX450" s="78" cm="1">
        <f t="array" ref="BX450">IF(BM450&gt;0,1,_xll.DCETCVN5575FactorPhi7121(BV450*SQRT($K$17/206000),"b"))</f>
        <v>1.6670876655456978E-2</v>
      </c>
      <c r="BY450" s="64">
        <f t="shared" si="65"/>
        <v>0.68161042742357392</v>
      </c>
      <c r="BZ450" s="3" t="str">
        <f t="shared" si="66"/>
        <v>Check</v>
      </c>
    </row>
    <row r="451" spans="1:78">
      <c r="A451" s="76"/>
      <c r="B451" s="76"/>
      <c r="C451" s="125"/>
      <c r="D451" s="125"/>
      <c r="E451" s="71"/>
      <c r="F451" s="71"/>
      <c r="G451" s="71"/>
      <c r="H451" s="126"/>
      <c r="I451" s="125"/>
      <c r="J451" s="123"/>
      <c r="K451" s="12"/>
      <c r="L451" s="117"/>
      <c r="M451" s="12"/>
      <c r="N451" s="117"/>
      <c r="O451" s="117"/>
      <c r="P451" s="117"/>
      <c r="Q451" s="118"/>
      <c r="R451" s="118"/>
      <c r="S451" s="118"/>
      <c r="T451" s="12"/>
      <c r="U451" s="118"/>
      <c r="V451" s="118"/>
      <c r="W451" s="12"/>
      <c r="X451" s="119"/>
      <c r="Y451" s="120"/>
      <c r="Z451" s="12"/>
      <c r="BA451" s="70" t="s">
        <v>205</v>
      </c>
      <c r="BB451" s="71" t="s">
        <v>210</v>
      </c>
      <c r="BC451" s="71" t="s">
        <v>207</v>
      </c>
      <c r="BD451" s="71">
        <v>4.54</v>
      </c>
      <c r="BE451" s="71">
        <v>36</v>
      </c>
      <c r="BF451" s="71">
        <v>390</v>
      </c>
      <c r="BG451" s="71">
        <v>212</v>
      </c>
      <c r="BH451" s="71">
        <v>5</v>
      </c>
      <c r="BI451" s="71">
        <v>10</v>
      </c>
      <c r="BJ451" s="12" t="str" cm="1">
        <f t="array" ref="BJ451">_xll.Dce_Name_SectI(BF451, BF451, BG451, BH451, BI451, "x", "-", $AX$11)</f>
        <v>390x212x5x10</v>
      </c>
      <c r="BK451" s="77" cm="1">
        <f t="array" ref="BK451">_xll.DCEPropSectI(BF451, BH451, BG451, BI451, BG451, BI451, "A")/100</f>
        <v>60.9</v>
      </c>
      <c r="BL451" s="70" t="s">
        <v>219</v>
      </c>
      <c r="BM451" s="70">
        <v>-14.532196156495274</v>
      </c>
      <c r="BN451" s="71">
        <v>0.9</v>
      </c>
      <c r="BO451" s="77">
        <f t="shared" si="59"/>
        <v>32.4</v>
      </c>
      <c r="BP451" s="71">
        <v>0.9</v>
      </c>
      <c r="BQ451" s="77">
        <f t="shared" si="60"/>
        <v>32.4</v>
      </c>
      <c r="BR451" s="77" cm="1">
        <f t="array" ref="BR451">_xll.DCEPropSectI(BF451, BH451, BG451, BI451, BG451, BI451, "rx")/10</f>
        <v>16.91131201300167</v>
      </c>
      <c r="BS451" s="77" cm="1">
        <f t="array" ref="BS451">_xll.DCEPropSectI(BF451, BH451, BG451, BI451, BG451, BI451, "ry")/10</f>
        <v>5.1070747638622018</v>
      </c>
      <c r="BT451" s="5">
        <f t="shared" si="61"/>
        <v>191.58773710218577</v>
      </c>
      <c r="BU451" s="5">
        <f t="shared" si="62"/>
        <v>634.41405301647956</v>
      </c>
      <c r="BV451" s="5">
        <f t="shared" si="63"/>
        <v>634.41405301647956</v>
      </c>
      <c r="BW451" s="71">
        <f t="shared" si="64"/>
        <v>200</v>
      </c>
      <c r="BX451" s="78" cm="1">
        <f t="array" ref="BX451">IF(BM451&gt;0,1,_xll.DCETCVN5575FactorPhi7121(BV451*SQRT($K$17/206000),"b"))</f>
        <v>1.6670876655456978E-2</v>
      </c>
      <c r="BY451" s="64">
        <f t="shared" si="65"/>
        <v>0.68161042742357392</v>
      </c>
      <c r="BZ451" s="3" t="str">
        <f t="shared" si="66"/>
        <v>Check</v>
      </c>
    </row>
    <row r="452" spans="1:78">
      <c r="A452" s="76"/>
      <c r="B452" s="76"/>
      <c r="C452" s="125"/>
      <c r="D452" s="125"/>
      <c r="E452" s="71"/>
      <c r="F452" s="71"/>
      <c r="G452" s="71"/>
      <c r="H452" s="126"/>
      <c r="I452" s="125"/>
      <c r="J452" s="123"/>
      <c r="K452" s="12"/>
      <c r="L452" s="117"/>
      <c r="M452" s="12"/>
      <c r="N452" s="117"/>
      <c r="O452" s="117"/>
      <c r="P452" s="117"/>
      <c r="Q452" s="118"/>
      <c r="R452" s="118"/>
      <c r="S452" s="118"/>
      <c r="T452" s="12"/>
      <c r="U452" s="118"/>
      <c r="V452" s="118"/>
      <c r="W452" s="12"/>
      <c r="X452" s="119"/>
      <c r="Y452" s="120"/>
      <c r="Z452" s="12"/>
      <c r="BA452" s="70" t="s">
        <v>205</v>
      </c>
      <c r="BB452" s="71" t="s">
        <v>210</v>
      </c>
      <c r="BC452" s="71" t="s">
        <v>207</v>
      </c>
      <c r="BD452" s="71">
        <v>5.04</v>
      </c>
      <c r="BE452" s="71">
        <v>36</v>
      </c>
      <c r="BF452" s="71">
        <v>390</v>
      </c>
      <c r="BG452" s="71">
        <v>212</v>
      </c>
      <c r="BH452" s="71">
        <v>5</v>
      </c>
      <c r="BI452" s="71">
        <v>10</v>
      </c>
      <c r="BJ452" s="12" t="str" cm="1">
        <f t="array" ref="BJ452">_xll.Dce_Name_SectI(BF452, BF452, BG452, BH452, BI452, "x", "-", $AX$11)</f>
        <v>390x212x5x10</v>
      </c>
      <c r="BK452" s="77" cm="1">
        <f t="array" ref="BK452">_xll.DCEPropSectI(BF452, BH452, BG452, BI452, BG452, BI452, "A")/100</f>
        <v>60.9</v>
      </c>
      <c r="BL452" s="70" t="s">
        <v>219</v>
      </c>
      <c r="BM452" s="70">
        <v>-14.532196156495274</v>
      </c>
      <c r="BN452" s="71">
        <v>0.9</v>
      </c>
      <c r="BO452" s="77">
        <f t="shared" si="59"/>
        <v>32.4</v>
      </c>
      <c r="BP452" s="71">
        <v>0.9</v>
      </c>
      <c r="BQ452" s="77">
        <f t="shared" si="60"/>
        <v>32.4</v>
      </c>
      <c r="BR452" s="77" cm="1">
        <f t="array" ref="BR452">_xll.DCEPropSectI(BF452, BH452, BG452, BI452, BG452, BI452, "rx")/10</f>
        <v>16.91131201300167</v>
      </c>
      <c r="BS452" s="77" cm="1">
        <f t="array" ref="BS452">_xll.DCEPropSectI(BF452, BH452, BG452, BI452, BG452, BI452, "ry")/10</f>
        <v>5.1070747638622018</v>
      </c>
      <c r="BT452" s="5">
        <f t="shared" si="61"/>
        <v>191.58773710218577</v>
      </c>
      <c r="BU452" s="5">
        <f t="shared" si="62"/>
        <v>634.41405301647956</v>
      </c>
      <c r="BV452" s="5">
        <f t="shared" si="63"/>
        <v>634.41405301647956</v>
      </c>
      <c r="BW452" s="71">
        <f t="shared" si="64"/>
        <v>200</v>
      </c>
      <c r="BX452" s="78" cm="1">
        <f t="array" ref="BX452">IF(BM452&gt;0,1,_xll.DCETCVN5575FactorPhi7121(BV452*SQRT($K$17/206000),"b"))</f>
        <v>1.6670876655456978E-2</v>
      </c>
      <c r="BY452" s="64">
        <f t="shared" si="65"/>
        <v>0.68161042742357392</v>
      </c>
      <c r="BZ452" s="3" t="str">
        <f t="shared" si="66"/>
        <v>Check</v>
      </c>
    </row>
    <row r="453" spans="1:78">
      <c r="A453" s="76"/>
      <c r="B453" s="76"/>
      <c r="C453" s="125"/>
      <c r="D453" s="125"/>
      <c r="E453" s="71"/>
      <c r="F453" s="71"/>
      <c r="G453" s="71"/>
      <c r="H453" s="126"/>
      <c r="I453" s="125"/>
      <c r="J453" s="123"/>
      <c r="K453" s="12"/>
      <c r="L453" s="117"/>
      <c r="M453" s="12"/>
      <c r="N453" s="117"/>
      <c r="O453" s="117"/>
      <c r="P453" s="117"/>
      <c r="Q453" s="118"/>
      <c r="R453" s="118"/>
      <c r="S453" s="118"/>
      <c r="T453" s="12"/>
      <c r="U453" s="118"/>
      <c r="V453" s="118"/>
      <c r="W453" s="12"/>
      <c r="X453" s="119"/>
      <c r="Y453" s="120"/>
      <c r="Z453" s="12"/>
      <c r="BA453" s="70" t="s">
        <v>205</v>
      </c>
      <c r="BB453" s="71" t="s">
        <v>210</v>
      </c>
      <c r="BC453" s="71" t="s">
        <v>207</v>
      </c>
      <c r="BD453" s="71">
        <v>5.53</v>
      </c>
      <c r="BE453" s="71">
        <v>36</v>
      </c>
      <c r="BF453" s="71">
        <v>390</v>
      </c>
      <c r="BG453" s="71">
        <v>212</v>
      </c>
      <c r="BH453" s="71">
        <v>5</v>
      </c>
      <c r="BI453" s="71">
        <v>10</v>
      </c>
      <c r="BJ453" s="12" t="str" cm="1">
        <f t="array" ref="BJ453">_xll.Dce_Name_SectI(BF453, BF453, BG453, BH453, BI453, "x", "-", $AX$11)</f>
        <v>390x212x5x10</v>
      </c>
      <c r="BK453" s="77" cm="1">
        <f t="array" ref="BK453">_xll.DCEPropSectI(BF453, BH453, BG453, BI453, BG453, BI453, "A")/100</f>
        <v>60.9</v>
      </c>
      <c r="BL453" s="70" t="s">
        <v>219</v>
      </c>
      <c r="BM453" s="70">
        <v>-14.532196156495274</v>
      </c>
      <c r="BN453" s="71">
        <v>0.9</v>
      </c>
      <c r="BO453" s="77">
        <f t="shared" si="59"/>
        <v>32.4</v>
      </c>
      <c r="BP453" s="71">
        <v>0.9</v>
      </c>
      <c r="BQ453" s="77">
        <f t="shared" si="60"/>
        <v>32.4</v>
      </c>
      <c r="BR453" s="77" cm="1">
        <f t="array" ref="BR453">_xll.DCEPropSectI(BF453, BH453, BG453, BI453, BG453, BI453, "rx")/10</f>
        <v>16.91131201300167</v>
      </c>
      <c r="BS453" s="77" cm="1">
        <f t="array" ref="BS453">_xll.DCEPropSectI(BF453, BH453, BG453, BI453, BG453, BI453, "ry")/10</f>
        <v>5.1070747638622018</v>
      </c>
      <c r="BT453" s="5">
        <f t="shared" si="61"/>
        <v>191.58773710218577</v>
      </c>
      <c r="BU453" s="5">
        <f t="shared" si="62"/>
        <v>634.41405301647956</v>
      </c>
      <c r="BV453" s="5">
        <f t="shared" si="63"/>
        <v>634.41405301647956</v>
      </c>
      <c r="BW453" s="71">
        <f t="shared" si="64"/>
        <v>200</v>
      </c>
      <c r="BX453" s="78" cm="1">
        <f t="array" ref="BX453">IF(BM453&gt;0,1,_xll.DCETCVN5575FactorPhi7121(BV453*SQRT($K$17/206000),"b"))</f>
        <v>1.6670876655456978E-2</v>
      </c>
      <c r="BY453" s="64">
        <f t="shared" si="65"/>
        <v>0.68161042742357392</v>
      </c>
      <c r="BZ453" s="3" t="str">
        <f t="shared" si="66"/>
        <v>Check</v>
      </c>
    </row>
    <row r="454" spans="1:78">
      <c r="A454" s="76"/>
      <c r="B454" s="76"/>
      <c r="C454" s="125"/>
      <c r="D454" s="125"/>
      <c r="E454" s="71"/>
      <c r="F454" s="71"/>
      <c r="G454" s="71"/>
      <c r="H454" s="126"/>
      <c r="I454" s="125"/>
      <c r="J454" s="123"/>
      <c r="K454" s="12"/>
      <c r="L454" s="117"/>
      <c r="M454" s="12"/>
      <c r="N454" s="117"/>
      <c r="O454" s="117"/>
      <c r="P454" s="117"/>
      <c r="Q454" s="118"/>
      <c r="R454" s="118"/>
      <c r="S454" s="118"/>
      <c r="T454" s="12"/>
      <c r="U454" s="118"/>
      <c r="V454" s="118"/>
      <c r="W454" s="12"/>
      <c r="X454" s="119"/>
      <c r="Y454" s="120"/>
      <c r="Z454" s="12"/>
      <c r="BA454" s="70" t="s">
        <v>205</v>
      </c>
      <c r="BB454" s="71" t="s">
        <v>210</v>
      </c>
      <c r="BC454" s="71" t="s">
        <v>207</v>
      </c>
      <c r="BD454" s="71">
        <v>6.02</v>
      </c>
      <c r="BE454" s="71">
        <v>36</v>
      </c>
      <c r="BF454" s="71">
        <v>390</v>
      </c>
      <c r="BG454" s="71">
        <v>212</v>
      </c>
      <c r="BH454" s="71">
        <v>5</v>
      </c>
      <c r="BI454" s="71">
        <v>10</v>
      </c>
      <c r="BJ454" s="12" t="str" cm="1">
        <f t="array" ref="BJ454">_xll.Dce_Name_SectI(BF454, BF454, BG454, BH454, BI454, "x", "-", $AX$11)</f>
        <v>390x212x5x10</v>
      </c>
      <c r="BK454" s="77" cm="1">
        <f t="array" ref="BK454">_xll.DCEPropSectI(BF454, BH454, BG454, BI454, BG454, BI454, "A")/100</f>
        <v>60.9</v>
      </c>
      <c r="BL454" s="70" t="s">
        <v>219</v>
      </c>
      <c r="BM454" s="70">
        <v>-14.532196156495274</v>
      </c>
      <c r="BN454" s="71">
        <v>0.9</v>
      </c>
      <c r="BO454" s="77">
        <f t="shared" si="59"/>
        <v>32.4</v>
      </c>
      <c r="BP454" s="71">
        <v>0.9</v>
      </c>
      <c r="BQ454" s="77">
        <f t="shared" si="60"/>
        <v>32.4</v>
      </c>
      <c r="BR454" s="77" cm="1">
        <f t="array" ref="BR454">_xll.DCEPropSectI(BF454, BH454, BG454, BI454, BG454, BI454, "rx")/10</f>
        <v>16.91131201300167</v>
      </c>
      <c r="BS454" s="77" cm="1">
        <f t="array" ref="BS454">_xll.DCEPropSectI(BF454, BH454, BG454, BI454, BG454, BI454, "ry")/10</f>
        <v>5.1070747638622018</v>
      </c>
      <c r="BT454" s="5">
        <f t="shared" si="61"/>
        <v>191.58773710218577</v>
      </c>
      <c r="BU454" s="5">
        <f t="shared" si="62"/>
        <v>634.41405301647956</v>
      </c>
      <c r="BV454" s="5">
        <f t="shared" si="63"/>
        <v>634.41405301647956</v>
      </c>
      <c r="BW454" s="71">
        <f t="shared" si="64"/>
        <v>200</v>
      </c>
      <c r="BX454" s="78" cm="1">
        <f t="array" ref="BX454">IF(BM454&gt;0,1,_xll.DCETCVN5575FactorPhi7121(BV454*SQRT($K$17/206000),"b"))</f>
        <v>1.6670876655456978E-2</v>
      </c>
      <c r="BY454" s="64">
        <f t="shared" si="65"/>
        <v>0.68161042742357392</v>
      </c>
      <c r="BZ454" s="3" t="str">
        <f t="shared" si="66"/>
        <v>Check</v>
      </c>
    </row>
    <row r="455" spans="1:78">
      <c r="A455" s="76"/>
      <c r="B455" s="76"/>
      <c r="C455" s="125"/>
      <c r="D455" s="125"/>
      <c r="E455" s="71"/>
      <c r="F455" s="71"/>
      <c r="G455" s="71"/>
      <c r="H455" s="126"/>
      <c r="I455" s="125"/>
      <c r="J455" s="123"/>
      <c r="K455" s="12"/>
      <c r="L455" s="117"/>
      <c r="M455" s="12"/>
      <c r="N455" s="117"/>
      <c r="O455" s="117"/>
      <c r="P455" s="117"/>
      <c r="Q455" s="118"/>
      <c r="R455" s="118"/>
      <c r="S455" s="118"/>
      <c r="T455" s="12"/>
      <c r="U455" s="118"/>
      <c r="V455" s="118"/>
      <c r="W455" s="12"/>
      <c r="X455" s="119"/>
      <c r="Y455" s="120"/>
      <c r="Z455" s="12"/>
      <c r="BA455" s="70" t="s">
        <v>205</v>
      </c>
      <c r="BB455" s="71" t="s">
        <v>210</v>
      </c>
      <c r="BC455" s="71" t="s">
        <v>207</v>
      </c>
      <c r="BD455" s="71">
        <v>6.51</v>
      </c>
      <c r="BE455" s="71">
        <v>36</v>
      </c>
      <c r="BF455" s="71">
        <v>390</v>
      </c>
      <c r="BG455" s="71">
        <v>212</v>
      </c>
      <c r="BH455" s="71">
        <v>5</v>
      </c>
      <c r="BI455" s="71">
        <v>10</v>
      </c>
      <c r="BJ455" s="12" t="str" cm="1">
        <f t="array" ref="BJ455">_xll.Dce_Name_SectI(BF455, BF455, BG455, BH455, BI455, "x", "-", $AX$11)</f>
        <v>390x212x5x10</v>
      </c>
      <c r="BK455" s="77" cm="1">
        <f t="array" ref="BK455">_xll.DCEPropSectI(BF455, BH455, BG455, BI455, BG455, BI455, "A")/100</f>
        <v>60.9</v>
      </c>
      <c r="BL455" s="70" t="s">
        <v>219</v>
      </c>
      <c r="BM455" s="70">
        <v>-14.532196156495274</v>
      </c>
      <c r="BN455" s="71">
        <v>0.9</v>
      </c>
      <c r="BO455" s="77">
        <f t="shared" si="59"/>
        <v>32.4</v>
      </c>
      <c r="BP455" s="71">
        <v>0.9</v>
      </c>
      <c r="BQ455" s="77">
        <f t="shared" si="60"/>
        <v>32.4</v>
      </c>
      <c r="BR455" s="77" cm="1">
        <f t="array" ref="BR455">_xll.DCEPropSectI(BF455, BH455, BG455, BI455, BG455, BI455, "rx")/10</f>
        <v>16.91131201300167</v>
      </c>
      <c r="BS455" s="77" cm="1">
        <f t="array" ref="BS455">_xll.DCEPropSectI(BF455, BH455, BG455, BI455, BG455, BI455, "ry")/10</f>
        <v>5.1070747638622018</v>
      </c>
      <c r="BT455" s="5">
        <f t="shared" si="61"/>
        <v>191.58773710218577</v>
      </c>
      <c r="BU455" s="5">
        <f t="shared" si="62"/>
        <v>634.41405301647956</v>
      </c>
      <c r="BV455" s="5">
        <f t="shared" si="63"/>
        <v>634.41405301647956</v>
      </c>
      <c r="BW455" s="71">
        <f t="shared" si="64"/>
        <v>200</v>
      </c>
      <c r="BX455" s="78" cm="1">
        <f t="array" ref="BX455">IF(BM455&gt;0,1,_xll.DCETCVN5575FactorPhi7121(BV455*SQRT($K$17/206000),"b"))</f>
        <v>1.6670876655456978E-2</v>
      </c>
      <c r="BY455" s="64">
        <f t="shared" si="65"/>
        <v>0.68161042742357392</v>
      </c>
      <c r="BZ455" s="3" t="str">
        <f t="shared" si="66"/>
        <v>Check</v>
      </c>
    </row>
    <row r="456" spans="1:78">
      <c r="A456" s="76"/>
      <c r="B456" s="76"/>
      <c r="C456" s="125"/>
      <c r="D456" s="125"/>
      <c r="E456" s="71"/>
      <c r="F456" s="71"/>
      <c r="G456" s="71"/>
      <c r="H456" s="126"/>
      <c r="I456" s="125"/>
      <c r="J456" s="123"/>
      <c r="K456" s="12"/>
      <c r="L456" s="117"/>
      <c r="M456" s="12"/>
      <c r="N456" s="117"/>
      <c r="O456" s="117"/>
      <c r="P456" s="117"/>
      <c r="Q456" s="118"/>
      <c r="R456" s="118"/>
      <c r="S456" s="118"/>
      <c r="T456" s="12"/>
      <c r="U456" s="118"/>
      <c r="V456" s="118"/>
      <c r="W456" s="12"/>
      <c r="X456" s="119"/>
      <c r="Y456" s="120"/>
      <c r="Z456" s="12"/>
      <c r="BA456" s="70" t="s">
        <v>205</v>
      </c>
      <c r="BB456" s="71" t="s">
        <v>210</v>
      </c>
      <c r="BC456" s="71" t="s">
        <v>207</v>
      </c>
      <c r="BD456" s="71">
        <v>7.01</v>
      </c>
      <c r="BE456" s="71">
        <v>36</v>
      </c>
      <c r="BF456" s="71">
        <v>390</v>
      </c>
      <c r="BG456" s="71">
        <v>212</v>
      </c>
      <c r="BH456" s="71">
        <v>5</v>
      </c>
      <c r="BI456" s="71">
        <v>10</v>
      </c>
      <c r="BJ456" s="12" t="str" cm="1">
        <f t="array" ref="BJ456">_xll.Dce_Name_SectI(BF456, BF456, BG456, BH456, BI456, "x", "-", $AX$11)</f>
        <v>390x212x5x10</v>
      </c>
      <c r="BK456" s="77" cm="1">
        <f t="array" ref="BK456">_xll.DCEPropSectI(BF456, BH456, BG456, BI456, BG456, BI456, "A")/100</f>
        <v>60.9</v>
      </c>
      <c r="BL456" s="70" t="s">
        <v>219</v>
      </c>
      <c r="BM456" s="70">
        <v>-14.532196156495274</v>
      </c>
      <c r="BN456" s="71">
        <v>0.9</v>
      </c>
      <c r="BO456" s="77">
        <f t="shared" si="59"/>
        <v>32.4</v>
      </c>
      <c r="BP456" s="71">
        <v>0.9</v>
      </c>
      <c r="BQ456" s="77">
        <f t="shared" si="60"/>
        <v>32.4</v>
      </c>
      <c r="BR456" s="77" cm="1">
        <f t="array" ref="BR456">_xll.DCEPropSectI(BF456, BH456, BG456, BI456, BG456, BI456, "rx")/10</f>
        <v>16.91131201300167</v>
      </c>
      <c r="BS456" s="77" cm="1">
        <f t="array" ref="BS456">_xll.DCEPropSectI(BF456, BH456, BG456, BI456, BG456, BI456, "ry")/10</f>
        <v>5.1070747638622018</v>
      </c>
      <c r="BT456" s="5">
        <f t="shared" si="61"/>
        <v>191.58773710218577</v>
      </c>
      <c r="BU456" s="5">
        <f t="shared" si="62"/>
        <v>634.41405301647956</v>
      </c>
      <c r="BV456" s="5">
        <f t="shared" si="63"/>
        <v>634.41405301647956</v>
      </c>
      <c r="BW456" s="71">
        <f t="shared" si="64"/>
        <v>200</v>
      </c>
      <c r="BX456" s="78" cm="1">
        <f t="array" ref="BX456">IF(BM456&gt;0,1,_xll.DCETCVN5575FactorPhi7121(BV456*SQRT($K$17/206000),"b"))</f>
        <v>1.6670876655456978E-2</v>
      </c>
      <c r="BY456" s="64">
        <f t="shared" si="65"/>
        <v>0.68161042742357392</v>
      </c>
      <c r="BZ456" s="3" t="str">
        <f t="shared" si="66"/>
        <v>Check</v>
      </c>
    </row>
    <row r="457" spans="1:78">
      <c r="A457" s="76"/>
      <c r="B457" s="76"/>
      <c r="C457" s="125"/>
      <c r="D457" s="125"/>
      <c r="E457" s="71"/>
      <c r="F457" s="71"/>
      <c r="G457" s="71"/>
      <c r="H457" s="126"/>
      <c r="I457" s="125"/>
      <c r="J457" s="123"/>
      <c r="K457" s="12"/>
      <c r="L457" s="117"/>
      <c r="M457" s="12"/>
      <c r="N457" s="117"/>
      <c r="O457" s="117"/>
      <c r="P457" s="117"/>
      <c r="Q457" s="118"/>
      <c r="R457" s="118"/>
      <c r="S457" s="118"/>
      <c r="T457" s="12"/>
      <c r="U457" s="118"/>
      <c r="V457" s="118"/>
      <c r="W457" s="12"/>
      <c r="X457" s="119"/>
      <c r="Y457" s="120"/>
      <c r="Z457" s="12"/>
      <c r="BA457" s="70" t="s">
        <v>205</v>
      </c>
      <c r="BB457" s="71" t="s">
        <v>210</v>
      </c>
      <c r="BC457" s="71" t="s">
        <v>207</v>
      </c>
      <c r="BD457" s="71">
        <v>7.5</v>
      </c>
      <c r="BE457" s="71">
        <v>36</v>
      </c>
      <c r="BF457" s="71">
        <v>390</v>
      </c>
      <c r="BG457" s="71">
        <v>212</v>
      </c>
      <c r="BH457" s="71">
        <v>5</v>
      </c>
      <c r="BI457" s="71">
        <v>10</v>
      </c>
      <c r="BJ457" s="12" t="str" cm="1">
        <f t="array" ref="BJ457">_xll.Dce_Name_SectI(BF457, BF457, BG457, BH457, BI457, "x", "-", $AX$11)</f>
        <v>390x212x5x10</v>
      </c>
      <c r="BK457" s="77" cm="1">
        <f t="array" ref="BK457">_xll.DCEPropSectI(BF457, BH457, BG457, BI457, BG457, BI457, "A")/100</f>
        <v>60.9</v>
      </c>
      <c r="BL457" s="70" t="s">
        <v>219</v>
      </c>
      <c r="BM457" s="70">
        <v>-14.532196156495274</v>
      </c>
      <c r="BN457" s="71">
        <v>0.9</v>
      </c>
      <c r="BO457" s="77">
        <f t="shared" si="59"/>
        <v>32.4</v>
      </c>
      <c r="BP457" s="71">
        <v>0.9</v>
      </c>
      <c r="BQ457" s="77">
        <f t="shared" si="60"/>
        <v>32.4</v>
      </c>
      <c r="BR457" s="77" cm="1">
        <f t="array" ref="BR457">_xll.DCEPropSectI(BF457, BH457, BG457, BI457, BG457, BI457, "rx")/10</f>
        <v>16.91131201300167</v>
      </c>
      <c r="BS457" s="77" cm="1">
        <f t="array" ref="BS457">_xll.DCEPropSectI(BF457, BH457, BG457, BI457, BG457, BI457, "ry")/10</f>
        <v>5.1070747638622018</v>
      </c>
      <c r="BT457" s="5">
        <f t="shared" si="61"/>
        <v>191.58773710218577</v>
      </c>
      <c r="BU457" s="5">
        <f t="shared" si="62"/>
        <v>634.41405301647956</v>
      </c>
      <c r="BV457" s="5">
        <f t="shared" si="63"/>
        <v>634.41405301647956</v>
      </c>
      <c r="BW457" s="71">
        <f t="shared" si="64"/>
        <v>200</v>
      </c>
      <c r="BX457" s="78" cm="1">
        <f t="array" ref="BX457">IF(BM457&gt;0,1,_xll.DCETCVN5575FactorPhi7121(BV457*SQRT($K$17/206000),"b"))</f>
        <v>1.6670876655456978E-2</v>
      </c>
      <c r="BY457" s="64">
        <f t="shared" si="65"/>
        <v>0.68161042742357392</v>
      </c>
      <c r="BZ457" s="3" t="str">
        <f t="shared" si="66"/>
        <v>Check</v>
      </c>
    </row>
    <row r="458" spans="1:78">
      <c r="A458" s="76"/>
      <c r="B458" s="76"/>
      <c r="C458" s="125"/>
      <c r="D458" s="125"/>
      <c r="E458" s="71"/>
      <c r="F458" s="71"/>
      <c r="G458" s="71"/>
      <c r="H458" s="126"/>
      <c r="I458" s="125"/>
      <c r="J458" s="123"/>
      <c r="K458" s="12"/>
      <c r="L458" s="117"/>
      <c r="M458" s="12"/>
      <c r="N458" s="117"/>
      <c r="O458" s="117"/>
      <c r="P458" s="117"/>
      <c r="Q458" s="118"/>
      <c r="R458" s="118"/>
      <c r="S458" s="118"/>
      <c r="T458" s="12"/>
      <c r="U458" s="118"/>
      <c r="V458" s="118"/>
      <c r="W458" s="12"/>
      <c r="X458" s="119"/>
      <c r="Y458" s="120"/>
      <c r="Z458" s="12"/>
      <c r="BA458" s="70" t="s">
        <v>205</v>
      </c>
      <c r="BB458" s="71" t="s">
        <v>210</v>
      </c>
      <c r="BC458" s="71" t="s">
        <v>207</v>
      </c>
      <c r="BD458" s="71">
        <v>7.5</v>
      </c>
      <c r="BE458" s="71">
        <v>36</v>
      </c>
      <c r="BF458" s="71">
        <v>390</v>
      </c>
      <c r="BG458" s="71">
        <v>212</v>
      </c>
      <c r="BH458" s="71">
        <v>5</v>
      </c>
      <c r="BI458" s="71">
        <v>10</v>
      </c>
      <c r="BJ458" s="12" t="str" cm="1">
        <f t="array" ref="BJ458">_xll.Dce_Name_SectI(BF458, BF458, BG458, BH458, BI458, "x", "-", $AX$11)</f>
        <v>390x212x5x10</v>
      </c>
      <c r="BK458" s="77" cm="1">
        <f t="array" ref="BK458">_xll.DCEPropSectI(BF458, BH458, BG458, BI458, BG458, BI458, "A")/100</f>
        <v>60.9</v>
      </c>
      <c r="BL458" s="70" t="s">
        <v>219</v>
      </c>
      <c r="BM458" s="70">
        <v>95.11610470898043</v>
      </c>
      <c r="BN458" s="71">
        <v>0.9</v>
      </c>
      <c r="BO458" s="77">
        <f t="shared" si="59"/>
        <v>32.4</v>
      </c>
      <c r="BP458" s="71">
        <v>0.9</v>
      </c>
      <c r="BQ458" s="77">
        <f t="shared" si="60"/>
        <v>32.4</v>
      </c>
      <c r="BR458" s="77" cm="1">
        <f t="array" ref="BR458">_xll.DCEPropSectI(BF458, BH458, BG458, BI458, BG458, BI458, "rx")/10</f>
        <v>16.91131201300167</v>
      </c>
      <c r="BS458" s="77" cm="1">
        <f t="array" ref="BS458">_xll.DCEPropSectI(BF458, BH458, BG458, BI458, BG458, BI458, "ry")/10</f>
        <v>5.1070747638622018</v>
      </c>
      <c r="BT458" s="5">
        <f t="shared" si="61"/>
        <v>191.58773710218577</v>
      </c>
      <c r="BU458" s="5">
        <f t="shared" si="62"/>
        <v>634.41405301647956</v>
      </c>
      <c r="BV458" s="5">
        <f t="shared" si="63"/>
        <v>634.41405301647956</v>
      </c>
      <c r="BW458" s="71">
        <f t="shared" si="64"/>
        <v>400</v>
      </c>
      <c r="BX458" s="78" cm="1">
        <f t="array" ref="BX458">IF(BM458&gt;0,1,_xll.DCETCVN5575FactorPhi7121(BV458*SQRT($K$17/206000),"b"))</f>
        <v>1</v>
      </c>
      <c r="BY458" s="64">
        <f t="shared" si="65"/>
        <v>7.4373371419954995E-2</v>
      </c>
      <c r="BZ458" s="3" t="str">
        <f t="shared" si="66"/>
        <v>Check</v>
      </c>
    </row>
    <row r="459" spans="1:78">
      <c r="A459" s="76"/>
      <c r="B459" s="76"/>
      <c r="C459" s="125"/>
      <c r="D459" s="125"/>
      <c r="E459" s="71"/>
      <c r="F459" s="71"/>
      <c r="G459" s="71"/>
      <c r="H459" s="126"/>
      <c r="I459" s="125"/>
      <c r="J459" s="123"/>
      <c r="K459" s="12"/>
      <c r="L459" s="117"/>
      <c r="M459" s="12"/>
      <c r="N459" s="117"/>
      <c r="O459" s="117"/>
      <c r="P459" s="117"/>
      <c r="Q459" s="118"/>
      <c r="R459" s="118"/>
      <c r="S459" s="118"/>
      <c r="T459" s="12"/>
      <c r="U459" s="118"/>
      <c r="V459" s="118"/>
      <c r="W459" s="12"/>
      <c r="X459" s="119"/>
      <c r="Y459" s="120"/>
      <c r="Z459" s="12"/>
      <c r="BA459" s="70" t="s">
        <v>205</v>
      </c>
      <c r="BB459" s="71" t="s">
        <v>210</v>
      </c>
      <c r="BC459" s="71" t="s">
        <v>207</v>
      </c>
      <c r="BD459" s="71">
        <v>8</v>
      </c>
      <c r="BE459" s="71">
        <v>36</v>
      </c>
      <c r="BF459" s="71">
        <v>390</v>
      </c>
      <c r="BG459" s="71">
        <v>212</v>
      </c>
      <c r="BH459" s="71">
        <v>5</v>
      </c>
      <c r="BI459" s="71">
        <v>10</v>
      </c>
      <c r="BJ459" s="12" t="str" cm="1">
        <f t="array" ref="BJ459">_xll.Dce_Name_SectI(BF459, BF459, BG459, BH459, BI459, "x", "-", $AX$11)</f>
        <v>390x212x5x10</v>
      </c>
      <c r="BK459" s="77" cm="1">
        <f t="array" ref="BK459">_xll.DCEPropSectI(BF459, BH459, BG459, BI459, BG459, BI459, "A")/100</f>
        <v>60.9</v>
      </c>
      <c r="BL459" s="70" t="s">
        <v>219</v>
      </c>
      <c r="BM459" s="70">
        <v>95.11610470898043</v>
      </c>
      <c r="BN459" s="71">
        <v>0.9</v>
      </c>
      <c r="BO459" s="77">
        <f t="shared" si="59"/>
        <v>32.4</v>
      </c>
      <c r="BP459" s="71">
        <v>0.9</v>
      </c>
      <c r="BQ459" s="77">
        <f t="shared" si="60"/>
        <v>32.4</v>
      </c>
      <c r="BR459" s="77" cm="1">
        <f t="array" ref="BR459">_xll.DCEPropSectI(BF459, BH459, BG459, BI459, BG459, BI459, "rx")/10</f>
        <v>16.91131201300167</v>
      </c>
      <c r="BS459" s="77" cm="1">
        <f t="array" ref="BS459">_xll.DCEPropSectI(BF459, BH459, BG459, BI459, BG459, BI459, "ry")/10</f>
        <v>5.1070747638622018</v>
      </c>
      <c r="BT459" s="5">
        <f t="shared" si="61"/>
        <v>191.58773710218577</v>
      </c>
      <c r="BU459" s="5">
        <f t="shared" si="62"/>
        <v>634.41405301647956</v>
      </c>
      <c r="BV459" s="5">
        <f t="shared" si="63"/>
        <v>634.41405301647956</v>
      </c>
      <c r="BW459" s="71">
        <f t="shared" si="64"/>
        <v>400</v>
      </c>
      <c r="BX459" s="78" cm="1">
        <f t="array" ref="BX459">IF(BM459&gt;0,1,_xll.DCETCVN5575FactorPhi7121(BV459*SQRT($K$17/206000),"b"))</f>
        <v>1</v>
      </c>
      <c r="BY459" s="64">
        <f t="shared" si="65"/>
        <v>7.4373371419954995E-2</v>
      </c>
      <c r="BZ459" s="3" t="str">
        <f t="shared" si="66"/>
        <v>Check</v>
      </c>
    </row>
    <row r="460" spans="1:78">
      <c r="A460" s="76"/>
      <c r="B460" s="76"/>
      <c r="C460" s="125"/>
      <c r="D460" s="125"/>
      <c r="E460" s="71"/>
      <c r="F460" s="71"/>
      <c r="G460" s="71"/>
      <c r="H460" s="126"/>
      <c r="I460" s="125"/>
      <c r="J460" s="123"/>
      <c r="K460" s="12"/>
      <c r="L460" s="117"/>
      <c r="M460" s="12"/>
      <c r="N460" s="117"/>
      <c r="O460" s="117"/>
      <c r="P460" s="117"/>
      <c r="Q460" s="118"/>
      <c r="R460" s="118"/>
      <c r="S460" s="118"/>
      <c r="T460" s="12"/>
      <c r="U460" s="118"/>
      <c r="V460" s="118"/>
      <c r="W460" s="12"/>
      <c r="X460" s="119"/>
      <c r="Y460" s="120"/>
      <c r="Z460" s="12"/>
      <c r="BA460" s="70" t="s">
        <v>205</v>
      </c>
      <c r="BB460" s="71" t="s">
        <v>210</v>
      </c>
      <c r="BC460" s="71" t="s">
        <v>207</v>
      </c>
      <c r="BD460" s="71">
        <v>8.5</v>
      </c>
      <c r="BE460" s="71">
        <v>36</v>
      </c>
      <c r="BF460" s="71">
        <v>390</v>
      </c>
      <c r="BG460" s="71">
        <v>212</v>
      </c>
      <c r="BH460" s="71">
        <v>5</v>
      </c>
      <c r="BI460" s="71">
        <v>10</v>
      </c>
      <c r="BJ460" s="12" t="str" cm="1">
        <f t="array" ref="BJ460">_xll.Dce_Name_SectI(BF460, BF460, BG460, BH460, BI460, "x", "-", $AX$11)</f>
        <v>390x212x5x10</v>
      </c>
      <c r="BK460" s="77" cm="1">
        <f t="array" ref="BK460">_xll.DCEPropSectI(BF460, BH460, BG460, BI460, BG460, BI460, "A")/100</f>
        <v>60.9</v>
      </c>
      <c r="BL460" s="70" t="s">
        <v>219</v>
      </c>
      <c r="BM460" s="70">
        <v>95.11610470898043</v>
      </c>
      <c r="BN460" s="71">
        <v>0.9</v>
      </c>
      <c r="BO460" s="77">
        <f t="shared" si="59"/>
        <v>32.4</v>
      </c>
      <c r="BP460" s="71">
        <v>0.9</v>
      </c>
      <c r="BQ460" s="77">
        <f t="shared" si="60"/>
        <v>32.4</v>
      </c>
      <c r="BR460" s="77" cm="1">
        <f t="array" ref="BR460">_xll.DCEPropSectI(BF460, BH460, BG460, BI460, BG460, BI460, "rx")/10</f>
        <v>16.91131201300167</v>
      </c>
      <c r="BS460" s="77" cm="1">
        <f t="array" ref="BS460">_xll.DCEPropSectI(BF460, BH460, BG460, BI460, BG460, BI460, "ry")/10</f>
        <v>5.1070747638622018</v>
      </c>
      <c r="BT460" s="5">
        <f t="shared" si="61"/>
        <v>191.58773710218577</v>
      </c>
      <c r="BU460" s="5">
        <f t="shared" si="62"/>
        <v>634.41405301647956</v>
      </c>
      <c r="BV460" s="5">
        <f t="shared" si="63"/>
        <v>634.41405301647956</v>
      </c>
      <c r="BW460" s="71">
        <f t="shared" si="64"/>
        <v>400</v>
      </c>
      <c r="BX460" s="78" cm="1">
        <f t="array" ref="BX460">IF(BM460&gt;0,1,_xll.DCETCVN5575FactorPhi7121(BV460*SQRT($K$17/206000),"b"))</f>
        <v>1</v>
      </c>
      <c r="BY460" s="64">
        <f t="shared" si="65"/>
        <v>7.4373371419954995E-2</v>
      </c>
      <c r="BZ460" s="3" t="str">
        <f t="shared" si="66"/>
        <v>Check</v>
      </c>
    </row>
    <row r="461" spans="1:78">
      <c r="A461" s="76"/>
      <c r="B461" s="76"/>
      <c r="C461" s="125"/>
      <c r="D461" s="125"/>
      <c r="E461" s="71"/>
      <c r="F461" s="71"/>
      <c r="G461" s="71"/>
      <c r="H461" s="126"/>
      <c r="I461" s="125"/>
      <c r="J461" s="123"/>
      <c r="K461" s="12"/>
      <c r="L461" s="117"/>
      <c r="M461" s="12"/>
      <c r="N461" s="117"/>
      <c r="O461" s="117"/>
      <c r="P461" s="117"/>
      <c r="Q461" s="118"/>
      <c r="R461" s="118"/>
      <c r="S461" s="118"/>
      <c r="T461" s="12"/>
      <c r="U461" s="118"/>
      <c r="V461" s="118"/>
      <c r="W461" s="12"/>
      <c r="X461" s="119"/>
      <c r="Y461" s="120"/>
      <c r="Z461" s="12"/>
      <c r="BA461" s="70" t="s">
        <v>205</v>
      </c>
      <c r="BB461" s="71" t="s">
        <v>210</v>
      </c>
      <c r="BC461" s="71" t="s">
        <v>207</v>
      </c>
      <c r="BD461" s="71">
        <v>9</v>
      </c>
      <c r="BE461" s="71">
        <v>36</v>
      </c>
      <c r="BF461" s="71">
        <v>390</v>
      </c>
      <c r="BG461" s="71">
        <v>212</v>
      </c>
      <c r="BH461" s="71">
        <v>5</v>
      </c>
      <c r="BI461" s="71">
        <v>10</v>
      </c>
      <c r="BJ461" s="12" t="str" cm="1">
        <f t="array" ref="BJ461">_xll.Dce_Name_SectI(BF461, BF461, BG461, BH461, BI461, "x", "-", $AX$11)</f>
        <v>390x212x5x10</v>
      </c>
      <c r="BK461" s="77" cm="1">
        <f t="array" ref="BK461">_xll.DCEPropSectI(BF461, BH461, BG461, BI461, BG461, BI461, "A")/100</f>
        <v>60.9</v>
      </c>
      <c r="BL461" s="70" t="s">
        <v>219</v>
      </c>
      <c r="BM461" s="70">
        <v>95.11610470898043</v>
      </c>
      <c r="BN461" s="71">
        <v>0.9</v>
      </c>
      <c r="BO461" s="77">
        <f t="shared" ref="BO461:BO524" si="67">BN461*BE461</f>
        <v>32.4</v>
      </c>
      <c r="BP461" s="71">
        <v>0.9</v>
      </c>
      <c r="BQ461" s="77">
        <f t="shared" ref="BQ461:BQ524" si="68">BP461*BE461</f>
        <v>32.4</v>
      </c>
      <c r="BR461" s="77" cm="1">
        <f t="array" ref="BR461">_xll.DCEPropSectI(BF461, BH461, BG461, BI461, BG461, BI461, "rx")/10</f>
        <v>16.91131201300167</v>
      </c>
      <c r="BS461" s="77" cm="1">
        <f t="array" ref="BS461">_xll.DCEPropSectI(BF461, BH461, BG461, BI461, BG461, BI461, "ry")/10</f>
        <v>5.1070747638622018</v>
      </c>
      <c r="BT461" s="5">
        <f t="shared" ref="BT461:BT524" si="69">BO461*100/BR461</f>
        <v>191.58773710218577</v>
      </c>
      <c r="BU461" s="5">
        <f t="shared" ref="BU461:BU524" si="70">BQ461*100/BS461</f>
        <v>634.41405301647956</v>
      </c>
      <c r="BV461" s="5">
        <f t="shared" ref="BV461:BV524" si="71">MAX(BT461,BU461)</f>
        <v>634.41405301647956</v>
      </c>
      <c r="BW461" s="71">
        <f t="shared" ref="BW461:BW524" si="72">IF(BM461&lt;0,$AY$14,$AY$15)</f>
        <v>400</v>
      </c>
      <c r="BX461" s="78" cm="1">
        <f t="array" ref="BX461">IF(BM461&gt;0,1,_xll.DCETCVN5575FactorPhi7121(BV461*SQRT($K$17/206000),"b"))</f>
        <v>1</v>
      </c>
      <c r="BY461" s="64">
        <f t="shared" ref="BY461:BY524" si="73">ABS(BM461)/(BX461*BK461*$K$17*$K$19)*10</f>
        <v>7.4373371419954995E-2</v>
      </c>
      <c r="BZ461" s="3" t="str">
        <f t="shared" ref="BZ461:BZ524" si="74">IF(AND(BV461&lt;=BW461,BY461&lt;=1),"OK","Check")</f>
        <v>Check</v>
      </c>
    </row>
    <row r="462" spans="1:78">
      <c r="A462" s="76"/>
      <c r="B462" s="76"/>
      <c r="C462" s="125"/>
      <c r="D462" s="125"/>
      <c r="E462" s="71"/>
      <c r="F462" s="71"/>
      <c r="G462" s="71"/>
      <c r="H462" s="126"/>
      <c r="I462" s="125"/>
      <c r="J462" s="123"/>
      <c r="K462" s="12"/>
      <c r="L462" s="117"/>
      <c r="M462" s="12"/>
      <c r="N462" s="117"/>
      <c r="O462" s="117"/>
      <c r="P462" s="117"/>
      <c r="Q462" s="118"/>
      <c r="R462" s="118"/>
      <c r="S462" s="118"/>
      <c r="T462" s="12"/>
      <c r="U462" s="118"/>
      <c r="V462" s="118"/>
      <c r="W462" s="12"/>
      <c r="X462" s="119"/>
      <c r="Y462" s="120"/>
      <c r="Z462" s="12"/>
      <c r="BA462" s="70" t="s">
        <v>205</v>
      </c>
      <c r="BB462" s="71" t="s">
        <v>210</v>
      </c>
      <c r="BC462" s="71" t="s">
        <v>207</v>
      </c>
      <c r="BD462" s="71">
        <v>9.5</v>
      </c>
      <c r="BE462" s="71">
        <v>36</v>
      </c>
      <c r="BF462" s="71">
        <v>390</v>
      </c>
      <c r="BG462" s="71">
        <v>212</v>
      </c>
      <c r="BH462" s="71">
        <v>5</v>
      </c>
      <c r="BI462" s="71">
        <v>10</v>
      </c>
      <c r="BJ462" s="12" t="str" cm="1">
        <f t="array" ref="BJ462">_xll.Dce_Name_SectI(BF462, BF462, BG462, BH462, BI462, "x", "-", $AX$11)</f>
        <v>390x212x5x10</v>
      </c>
      <c r="BK462" s="77" cm="1">
        <f t="array" ref="BK462">_xll.DCEPropSectI(BF462, BH462, BG462, BI462, BG462, BI462, "A")/100</f>
        <v>60.9</v>
      </c>
      <c r="BL462" s="70" t="s">
        <v>219</v>
      </c>
      <c r="BM462" s="70">
        <v>95.11610470898043</v>
      </c>
      <c r="BN462" s="71">
        <v>0.9</v>
      </c>
      <c r="BO462" s="77">
        <f t="shared" si="67"/>
        <v>32.4</v>
      </c>
      <c r="BP462" s="71">
        <v>0.9</v>
      </c>
      <c r="BQ462" s="77">
        <f t="shared" si="68"/>
        <v>32.4</v>
      </c>
      <c r="BR462" s="77" cm="1">
        <f t="array" ref="BR462">_xll.DCEPropSectI(BF462, BH462, BG462, BI462, BG462, BI462, "rx")/10</f>
        <v>16.91131201300167</v>
      </c>
      <c r="BS462" s="77" cm="1">
        <f t="array" ref="BS462">_xll.DCEPropSectI(BF462, BH462, BG462, BI462, BG462, BI462, "ry")/10</f>
        <v>5.1070747638622018</v>
      </c>
      <c r="BT462" s="5">
        <f t="shared" si="69"/>
        <v>191.58773710218577</v>
      </c>
      <c r="BU462" s="5">
        <f t="shared" si="70"/>
        <v>634.41405301647956</v>
      </c>
      <c r="BV462" s="5">
        <f t="shared" si="71"/>
        <v>634.41405301647956</v>
      </c>
      <c r="BW462" s="71">
        <f t="shared" si="72"/>
        <v>400</v>
      </c>
      <c r="BX462" s="78" cm="1">
        <f t="array" ref="BX462">IF(BM462&gt;0,1,_xll.DCETCVN5575FactorPhi7121(BV462*SQRT($K$17/206000),"b"))</f>
        <v>1</v>
      </c>
      <c r="BY462" s="64">
        <f t="shared" si="73"/>
        <v>7.4373371419954995E-2</v>
      </c>
      <c r="BZ462" s="3" t="str">
        <f t="shared" si="74"/>
        <v>Check</v>
      </c>
    </row>
    <row r="463" spans="1:78">
      <c r="A463" s="76"/>
      <c r="B463" s="76"/>
      <c r="C463" s="125"/>
      <c r="D463" s="125"/>
      <c r="E463" s="71"/>
      <c r="F463" s="71"/>
      <c r="G463" s="71"/>
      <c r="H463" s="126"/>
      <c r="I463" s="125"/>
      <c r="J463" s="123"/>
      <c r="K463" s="12"/>
      <c r="L463" s="117"/>
      <c r="M463" s="12"/>
      <c r="N463" s="117"/>
      <c r="O463" s="117"/>
      <c r="P463" s="117"/>
      <c r="Q463" s="118"/>
      <c r="R463" s="118"/>
      <c r="S463" s="118"/>
      <c r="T463" s="12"/>
      <c r="U463" s="118"/>
      <c r="V463" s="118"/>
      <c r="W463" s="12"/>
      <c r="X463" s="119"/>
      <c r="Y463" s="120"/>
      <c r="Z463" s="12"/>
      <c r="BA463" s="70" t="s">
        <v>205</v>
      </c>
      <c r="BB463" s="71" t="s">
        <v>210</v>
      </c>
      <c r="BC463" s="71" t="s">
        <v>207</v>
      </c>
      <c r="BD463" s="71">
        <v>10</v>
      </c>
      <c r="BE463" s="71">
        <v>36</v>
      </c>
      <c r="BF463" s="71">
        <v>390</v>
      </c>
      <c r="BG463" s="71">
        <v>212</v>
      </c>
      <c r="BH463" s="71">
        <v>5</v>
      </c>
      <c r="BI463" s="71">
        <v>10</v>
      </c>
      <c r="BJ463" s="12" t="str" cm="1">
        <f t="array" ref="BJ463">_xll.Dce_Name_SectI(BF463, BF463, BG463, BH463, BI463, "x", "-", $AX$11)</f>
        <v>390x212x5x10</v>
      </c>
      <c r="BK463" s="77" cm="1">
        <f t="array" ref="BK463">_xll.DCEPropSectI(BF463, BH463, BG463, BI463, BG463, BI463, "A")/100</f>
        <v>60.9</v>
      </c>
      <c r="BL463" s="70" t="s">
        <v>219</v>
      </c>
      <c r="BM463" s="70">
        <v>95.11610470898043</v>
      </c>
      <c r="BN463" s="71">
        <v>0.9</v>
      </c>
      <c r="BO463" s="77">
        <f t="shared" si="67"/>
        <v>32.4</v>
      </c>
      <c r="BP463" s="71">
        <v>0.9</v>
      </c>
      <c r="BQ463" s="77">
        <f t="shared" si="68"/>
        <v>32.4</v>
      </c>
      <c r="BR463" s="77" cm="1">
        <f t="array" ref="BR463">_xll.DCEPropSectI(BF463, BH463, BG463, BI463, BG463, BI463, "rx")/10</f>
        <v>16.91131201300167</v>
      </c>
      <c r="BS463" s="77" cm="1">
        <f t="array" ref="BS463">_xll.DCEPropSectI(BF463, BH463, BG463, BI463, BG463, BI463, "ry")/10</f>
        <v>5.1070747638622018</v>
      </c>
      <c r="BT463" s="5">
        <f t="shared" si="69"/>
        <v>191.58773710218577</v>
      </c>
      <c r="BU463" s="5">
        <f t="shared" si="70"/>
        <v>634.41405301647956</v>
      </c>
      <c r="BV463" s="5">
        <f t="shared" si="71"/>
        <v>634.41405301647956</v>
      </c>
      <c r="BW463" s="71">
        <f t="shared" si="72"/>
        <v>400</v>
      </c>
      <c r="BX463" s="78" cm="1">
        <f t="array" ref="BX463">IF(BM463&gt;0,1,_xll.DCETCVN5575FactorPhi7121(BV463*SQRT($K$17/206000),"b"))</f>
        <v>1</v>
      </c>
      <c r="BY463" s="64">
        <f t="shared" si="73"/>
        <v>7.4373371419954995E-2</v>
      </c>
      <c r="BZ463" s="3" t="str">
        <f t="shared" si="74"/>
        <v>Check</v>
      </c>
    </row>
    <row r="464" spans="1:78">
      <c r="A464" s="76"/>
      <c r="B464" s="76"/>
      <c r="C464" s="125"/>
      <c r="D464" s="125"/>
      <c r="E464" s="71"/>
      <c r="F464" s="71"/>
      <c r="G464" s="71"/>
      <c r="H464" s="126"/>
      <c r="I464" s="125"/>
      <c r="J464" s="123"/>
      <c r="K464" s="12"/>
      <c r="L464" s="117"/>
      <c r="M464" s="12"/>
      <c r="N464" s="117"/>
      <c r="O464" s="117"/>
      <c r="P464" s="117"/>
      <c r="Q464" s="118"/>
      <c r="R464" s="118"/>
      <c r="S464" s="118"/>
      <c r="T464" s="12"/>
      <c r="U464" s="118"/>
      <c r="V464" s="118"/>
      <c r="W464" s="12"/>
      <c r="X464" s="119"/>
      <c r="Y464" s="120"/>
      <c r="Z464" s="12"/>
      <c r="BA464" s="70" t="s">
        <v>205</v>
      </c>
      <c r="BB464" s="71" t="s">
        <v>210</v>
      </c>
      <c r="BC464" s="71" t="s">
        <v>207</v>
      </c>
      <c r="BD464" s="71">
        <v>10.5</v>
      </c>
      <c r="BE464" s="71">
        <v>36</v>
      </c>
      <c r="BF464" s="71">
        <v>390</v>
      </c>
      <c r="BG464" s="71">
        <v>212</v>
      </c>
      <c r="BH464" s="71">
        <v>5</v>
      </c>
      <c r="BI464" s="71">
        <v>10</v>
      </c>
      <c r="BJ464" s="12" t="str" cm="1">
        <f t="array" ref="BJ464">_xll.Dce_Name_SectI(BF464, BF464, BG464, BH464, BI464, "x", "-", $AX$11)</f>
        <v>390x212x5x10</v>
      </c>
      <c r="BK464" s="77" cm="1">
        <f t="array" ref="BK464">_xll.DCEPropSectI(BF464, BH464, BG464, BI464, BG464, BI464, "A")/100</f>
        <v>60.9</v>
      </c>
      <c r="BL464" s="70" t="s">
        <v>219</v>
      </c>
      <c r="BM464" s="70">
        <v>95.11610470898043</v>
      </c>
      <c r="BN464" s="71">
        <v>0.9</v>
      </c>
      <c r="BO464" s="77">
        <f t="shared" si="67"/>
        <v>32.4</v>
      </c>
      <c r="BP464" s="71">
        <v>0.9</v>
      </c>
      <c r="BQ464" s="77">
        <f t="shared" si="68"/>
        <v>32.4</v>
      </c>
      <c r="BR464" s="77" cm="1">
        <f t="array" ref="BR464">_xll.DCEPropSectI(BF464, BH464, BG464, BI464, BG464, BI464, "rx")/10</f>
        <v>16.91131201300167</v>
      </c>
      <c r="BS464" s="77" cm="1">
        <f t="array" ref="BS464">_xll.DCEPropSectI(BF464, BH464, BG464, BI464, BG464, BI464, "ry")/10</f>
        <v>5.1070747638622018</v>
      </c>
      <c r="BT464" s="5">
        <f t="shared" si="69"/>
        <v>191.58773710218577</v>
      </c>
      <c r="BU464" s="5">
        <f t="shared" si="70"/>
        <v>634.41405301647956</v>
      </c>
      <c r="BV464" s="5">
        <f t="shared" si="71"/>
        <v>634.41405301647956</v>
      </c>
      <c r="BW464" s="71">
        <f t="shared" si="72"/>
        <v>400</v>
      </c>
      <c r="BX464" s="78" cm="1">
        <f t="array" ref="BX464">IF(BM464&gt;0,1,_xll.DCETCVN5575FactorPhi7121(BV464*SQRT($K$17/206000),"b"))</f>
        <v>1</v>
      </c>
      <c r="BY464" s="64">
        <f t="shared" si="73"/>
        <v>7.4373371419954995E-2</v>
      </c>
      <c r="BZ464" s="3" t="str">
        <f t="shared" si="74"/>
        <v>Check</v>
      </c>
    </row>
    <row r="465" spans="1:78">
      <c r="A465" s="76"/>
      <c r="B465" s="76"/>
      <c r="C465" s="125"/>
      <c r="D465" s="125"/>
      <c r="E465" s="71"/>
      <c r="F465" s="71"/>
      <c r="G465" s="71"/>
      <c r="H465" s="126"/>
      <c r="I465" s="125"/>
      <c r="J465" s="123"/>
      <c r="K465" s="12"/>
      <c r="L465" s="117"/>
      <c r="M465" s="12"/>
      <c r="N465" s="117"/>
      <c r="O465" s="117"/>
      <c r="P465" s="117"/>
      <c r="Q465" s="118"/>
      <c r="R465" s="118"/>
      <c r="S465" s="118"/>
      <c r="T465" s="12"/>
      <c r="U465" s="118"/>
      <c r="V465" s="118"/>
      <c r="W465" s="12"/>
      <c r="X465" s="119"/>
      <c r="Y465" s="120"/>
      <c r="Z465" s="12"/>
      <c r="BA465" s="70" t="s">
        <v>205</v>
      </c>
      <c r="BB465" s="71" t="s">
        <v>210</v>
      </c>
      <c r="BC465" s="71" t="s">
        <v>207</v>
      </c>
      <c r="BD465" s="71">
        <v>11</v>
      </c>
      <c r="BE465" s="71">
        <v>36</v>
      </c>
      <c r="BF465" s="71">
        <v>390</v>
      </c>
      <c r="BG465" s="71">
        <v>212</v>
      </c>
      <c r="BH465" s="71">
        <v>5</v>
      </c>
      <c r="BI465" s="71">
        <v>10</v>
      </c>
      <c r="BJ465" s="12" t="str" cm="1">
        <f t="array" ref="BJ465">_xll.Dce_Name_SectI(BF465, BF465, BG465, BH465, BI465, "x", "-", $AX$11)</f>
        <v>390x212x5x10</v>
      </c>
      <c r="BK465" s="77" cm="1">
        <f t="array" ref="BK465">_xll.DCEPropSectI(BF465, BH465, BG465, BI465, BG465, BI465, "A")/100</f>
        <v>60.9</v>
      </c>
      <c r="BL465" s="70" t="s">
        <v>219</v>
      </c>
      <c r="BM465" s="70">
        <v>95.11610470898043</v>
      </c>
      <c r="BN465" s="71">
        <v>0.9</v>
      </c>
      <c r="BO465" s="77">
        <f t="shared" si="67"/>
        <v>32.4</v>
      </c>
      <c r="BP465" s="71">
        <v>0.9</v>
      </c>
      <c r="BQ465" s="77">
        <f t="shared" si="68"/>
        <v>32.4</v>
      </c>
      <c r="BR465" s="77" cm="1">
        <f t="array" ref="BR465">_xll.DCEPropSectI(BF465, BH465, BG465, BI465, BG465, BI465, "rx")/10</f>
        <v>16.91131201300167</v>
      </c>
      <c r="BS465" s="77" cm="1">
        <f t="array" ref="BS465">_xll.DCEPropSectI(BF465, BH465, BG465, BI465, BG465, BI465, "ry")/10</f>
        <v>5.1070747638622018</v>
      </c>
      <c r="BT465" s="5">
        <f t="shared" si="69"/>
        <v>191.58773710218577</v>
      </c>
      <c r="BU465" s="5">
        <f t="shared" si="70"/>
        <v>634.41405301647956</v>
      </c>
      <c r="BV465" s="5">
        <f t="shared" si="71"/>
        <v>634.41405301647956</v>
      </c>
      <c r="BW465" s="71">
        <f t="shared" si="72"/>
        <v>400</v>
      </c>
      <c r="BX465" s="78" cm="1">
        <f t="array" ref="BX465">IF(BM465&gt;0,1,_xll.DCETCVN5575FactorPhi7121(BV465*SQRT($K$17/206000),"b"))</f>
        <v>1</v>
      </c>
      <c r="BY465" s="64">
        <f t="shared" si="73"/>
        <v>7.4373371419954995E-2</v>
      </c>
      <c r="BZ465" s="3" t="str">
        <f t="shared" si="74"/>
        <v>Check</v>
      </c>
    </row>
    <row r="466" spans="1:78">
      <c r="A466" s="76"/>
      <c r="B466" s="76"/>
      <c r="C466" s="125"/>
      <c r="D466" s="125"/>
      <c r="E466" s="71"/>
      <c r="F466" s="71"/>
      <c r="G466" s="71"/>
      <c r="H466" s="126"/>
      <c r="I466" s="125"/>
      <c r="J466" s="123"/>
      <c r="K466" s="12"/>
      <c r="L466" s="117"/>
      <c r="M466" s="12"/>
      <c r="N466" s="117"/>
      <c r="O466" s="117"/>
      <c r="P466" s="117"/>
      <c r="Q466" s="118"/>
      <c r="R466" s="118"/>
      <c r="S466" s="118"/>
      <c r="T466" s="12"/>
      <c r="U466" s="118"/>
      <c r="V466" s="118"/>
      <c r="W466" s="12"/>
      <c r="X466" s="119"/>
      <c r="Y466" s="120"/>
      <c r="Z466" s="12"/>
      <c r="BA466" s="70" t="s">
        <v>205</v>
      </c>
      <c r="BB466" s="71" t="s">
        <v>210</v>
      </c>
      <c r="BC466" s="71" t="s">
        <v>207</v>
      </c>
      <c r="BD466" s="71">
        <v>11.5</v>
      </c>
      <c r="BE466" s="71">
        <v>36</v>
      </c>
      <c r="BF466" s="71">
        <v>390</v>
      </c>
      <c r="BG466" s="71">
        <v>212</v>
      </c>
      <c r="BH466" s="71">
        <v>5</v>
      </c>
      <c r="BI466" s="71">
        <v>10</v>
      </c>
      <c r="BJ466" s="12" t="str" cm="1">
        <f t="array" ref="BJ466">_xll.Dce_Name_SectI(BF466, BF466, BG466, BH466, BI466, "x", "-", $AX$11)</f>
        <v>390x212x5x10</v>
      </c>
      <c r="BK466" s="77" cm="1">
        <f t="array" ref="BK466">_xll.DCEPropSectI(BF466, BH466, BG466, BI466, BG466, BI466, "A")/100</f>
        <v>60.9</v>
      </c>
      <c r="BL466" s="70" t="s">
        <v>219</v>
      </c>
      <c r="BM466" s="70">
        <v>95.11610470898043</v>
      </c>
      <c r="BN466" s="71">
        <v>0.9</v>
      </c>
      <c r="BO466" s="77">
        <f t="shared" si="67"/>
        <v>32.4</v>
      </c>
      <c r="BP466" s="71">
        <v>0.9</v>
      </c>
      <c r="BQ466" s="77">
        <f t="shared" si="68"/>
        <v>32.4</v>
      </c>
      <c r="BR466" s="77" cm="1">
        <f t="array" ref="BR466">_xll.DCEPropSectI(BF466, BH466, BG466, BI466, BG466, BI466, "rx")/10</f>
        <v>16.91131201300167</v>
      </c>
      <c r="BS466" s="77" cm="1">
        <f t="array" ref="BS466">_xll.DCEPropSectI(BF466, BH466, BG466, BI466, BG466, BI466, "ry")/10</f>
        <v>5.1070747638622018</v>
      </c>
      <c r="BT466" s="5">
        <f t="shared" si="69"/>
        <v>191.58773710218577</v>
      </c>
      <c r="BU466" s="5">
        <f t="shared" si="70"/>
        <v>634.41405301647956</v>
      </c>
      <c r="BV466" s="5">
        <f t="shared" si="71"/>
        <v>634.41405301647956</v>
      </c>
      <c r="BW466" s="71">
        <f t="shared" si="72"/>
        <v>400</v>
      </c>
      <c r="BX466" s="78" cm="1">
        <f t="array" ref="BX466">IF(BM466&gt;0,1,_xll.DCETCVN5575FactorPhi7121(BV466*SQRT($K$17/206000),"b"))</f>
        <v>1</v>
      </c>
      <c r="BY466" s="64">
        <f t="shared" si="73"/>
        <v>7.4373371419954995E-2</v>
      </c>
      <c r="BZ466" s="3" t="str">
        <f t="shared" si="74"/>
        <v>Check</v>
      </c>
    </row>
    <row r="467" spans="1:78">
      <c r="A467" s="76"/>
      <c r="B467" s="76"/>
      <c r="C467" s="125"/>
      <c r="D467" s="125"/>
      <c r="E467" s="71"/>
      <c r="F467" s="71"/>
      <c r="G467" s="71"/>
      <c r="H467" s="126"/>
      <c r="I467" s="125"/>
      <c r="J467" s="123"/>
      <c r="K467" s="12"/>
      <c r="L467" s="117"/>
      <c r="M467" s="12"/>
      <c r="N467" s="117"/>
      <c r="O467" s="117"/>
      <c r="P467" s="117"/>
      <c r="Q467" s="118"/>
      <c r="R467" s="118"/>
      <c r="S467" s="118"/>
      <c r="T467" s="12"/>
      <c r="U467" s="118"/>
      <c r="V467" s="118"/>
      <c r="W467" s="12"/>
      <c r="X467" s="119"/>
      <c r="Y467" s="120"/>
      <c r="Z467" s="12"/>
      <c r="BA467" s="70" t="s">
        <v>205</v>
      </c>
      <c r="BB467" s="71" t="s">
        <v>210</v>
      </c>
      <c r="BC467" s="71" t="s">
        <v>207</v>
      </c>
      <c r="BD467" s="71">
        <v>12</v>
      </c>
      <c r="BE467" s="71">
        <v>36</v>
      </c>
      <c r="BF467" s="71">
        <v>390</v>
      </c>
      <c r="BG467" s="71">
        <v>212</v>
      </c>
      <c r="BH467" s="71">
        <v>5</v>
      </c>
      <c r="BI467" s="71">
        <v>10</v>
      </c>
      <c r="BJ467" s="12" t="str" cm="1">
        <f t="array" ref="BJ467">_xll.Dce_Name_SectI(BF467, BF467, BG467, BH467, BI467, "x", "-", $AX$11)</f>
        <v>390x212x5x10</v>
      </c>
      <c r="BK467" s="77" cm="1">
        <f t="array" ref="BK467">_xll.DCEPropSectI(BF467, BH467, BG467, BI467, BG467, BI467, "A")/100</f>
        <v>60.9</v>
      </c>
      <c r="BL467" s="70" t="s">
        <v>219</v>
      </c>
      <c r="BM467" s="70">
        <v>95.11610470898043</v>
      </c>
      <c r="BN467" s="71">
        <v>0.9</v>
      </c>
      <c r="BO467" s="77">
        <f t="shared" si="67"/>
        <v>32.4</v>
      </c>
      <c r="BP467" s="71">
        <v>0.9</v>
      </c>
      <c r="BQ467" s="77">
        <f t="shared" si="68"/>
        <v>32.4</v>
      </c>
      <c r="BR467" s="77" cm="1">
        <f t="array" ref="BR467">_xll.DCEPropSectI(BF467, BH467, BG467, BI467, BG467, BI467, "rx")/10</f>
        <v>16.91131201300167</v>
      </c>
      <c r="BS467" s="77" cm="1">
        <f t="array" ref="BS467">_xll.DCEPropSectI(BF467, BH467, BG467, BI467, BG467, BI467, "ry")/10</f>
        <v>5.1070747638622018</v>
      </c>
      <c r="BT467" s="5">
        <f t="shared" si="69"/>
        <v>191.58773710218577</v>
      </c>
      <c r="BU467" s="5">
        <f t="shared" si="70"/>
        <v>634.41405301647956</v>
      </c>
      <c r="BV467" s="5">
        <f t="shared" si="71"/>
        <v>634.41405301647956</v>
      </c>
      <c r="BW467" s="71">
        <f t="shared" si="72"/>
        <v>400</v>
      </c>
      <c r="BX467" s="78" cm="1">
        <f t="array" ref="BX467">IF(BM467&gt;0,1,_xll.DCETCVN5575FactorPhi7121(BV467*SQRT($K$17/206000),"b"))</f>
        <v>1</v>
      </c>
      <c r="BY467" s="64">
        <f t="shared" si="73"/>
        <v>7.4373371419954995E-2</v>
      </c>
      <c r="BZ467" s="3" t="str">
        <f t="shared" si="74"/>
        <v>Check</v>
      </c>
    </row>
    <row r="468" spans="1:78">
      <c r="A468" s="76"/>
      <c r="B468" s="76"/>
      <c r="C468" s="125"/>
      <c r="D468" s="125"/>
      <c r="E468" s="71"/>
      <c r="F468" s="71"/>
      <c r="G468" s="71"/>
      <c r="H468" s="126"/>
      <c r="I468" s="125"/>
      <c r="J468" s="123"/>
      <c r="K468" s="12"/>
      <c r="L468" s="117"/>
      <c r="M468" s="12"/>
      <c r="N468" s="117"/>
      <c r="O468" s="117"/>
      <c r="P468" s="117"/>
      <c r="Q468" s="118"/>
      <c r="R468" s="118"/>
      <c r="S468" s="118"/>
      <c r="T468" s="12"/>
      <c r="U468" s="118"/>
      <c r="V468" s="118"/>
      <c r="W468" s="12"/>
      <c r="X468" s="119"/>
      <c r="Y468" s="120"/>
      <c r="Z468" s="12"/>
      <c r="BA468" s="70" t="s">
        <v>205</v>
      </c>
      <c r="BB468" s="71" t="s">
        <v>210</v>
      </c>
      <c r="BC468" s="71" t="s">
        <v>207</v>
      </c>
      <c r="BD468" s="71">
        <v>12.5</v>
      </c>
      <c r="BE468" s="71">
        <v>36</v>
      </c>
      <c r="BF468" s="71">
        <v>390</v>
      </c>
      <c r="BG468" s="71">
        <v>212</v>
      </c>
      <c r="BH468" s="71">
        <v>5</v>
      </c>
      <c r="BI468" s="71">
        <v>10</v>
      </c>
      <c r="BJ468" s="12" t="str" cm="1">
        <f t="array" ref="BJ468">_xll.Dce_Name_SectI(BF468, BF468, BG468, BH468, BI468, "x", "-", $AX$11)</f>
        <v>390x212x5x10</v>
      </c>
      <c r="BK468" s="77" cm="1">
        <f t="array" ref="BK468">_xll.DCEPropSectI(BF468, BH468, BG468, BI468, BG468, BI468, "A")/100</f>
        <v>60.9</v>
      </c>
      <c r="BL468" s="70" t="s">
        <v>219</v>
      </c>
      <c r="BM468" s="70">
        <v>95.11610470898043</v>
      </c>
      <c r="BN468" s="71">
        <v>0.9</v>
      </c>
      <c r="BO468" s="77">
        <f t="shared" si="67"/>
        <v>32.4</v>
      </c>
      <c r="BP468" s="71">
        <v>0.9</v>
      </c>
      <c r="BQ468" s="77">
        <f t="shared" si="68"/>
        <v>32.4</v>
      </c>
      <c r="BR468" s="77" cm="1">
        <f t="array" ref="BR468">_xll.DCEPropSectI(BF468, BH468, BG468, BI468, BG468, BI468, "rx")/10</f>
        <v>16.91131201300167</v>
      </c>
      <c r="BS468" s="77" cm="1">
        <f t="array" ref="BS468">_xll.DCEPropSectI(BF468, BH468, BG468, BI468, BG468, BI468, "ry")/10</f>
        <v>5.1070747638622018</v>
      </c>
      <c r="BT468" s="5">
        <f t="shared" si="69"/>
        <v>191.58773710218577</v>
      </c>
      <c r="BU468" s="5">
        <f t="shared" si="70"/>
        <v>634.41405301647956</v>
      </c>
      <c r="BV468" s="5">
        <f t="shared" si="71"/>
        <v>634.41405301647956</v>
      </c>
      <c r="BW468" s="71">
        <f t="shared" si="72"/>
        <v>400</v>
      </c>
      <c r="BX468" s="78" cm="1">
        <f t="array" ref="BX468">IF(BM468&gt;0,1,_xll.DCETCVN5575FactorPhi7121(BV468*SQRT($K$17/206000),"b"))</f>
        <v>1</v>
      </c>
      <c r="BY468" s="64">
        <f t="shared" si="73"/>
        <v>7.4373371419954995E-2</v>
      </c>
      <c r="BZ468" s="3" t="str">
        <f t="shared" si="74"/>
        <v>Check</v>
      </c>
    </row>
    <row r="469" spans="1:78">
      <c r="A469" s="76"/>
      <c r="B469" s="76"/>
      <c r="C469" s="125"/>
      <c r="D469" s="125"/>
      <c r="E469" s="71"/>
      <c r="F469" s="71"/>
      <c r="G469" s="71"/>
      <c r="H469" s="126"/>
      <c r="I469" s="125"/>
      <c r="J469" s="123"/>
      <c r="K469" s="12"/>
      <c r="L469" s="117"/>
      <c r="M469" s="12"/>
      <c r="N469" s="117"/>
      <c r="O469" s="117"/>
      <c r="P469" s="117"/>
      <c r="Q469" s="118"/>
      <c r="R469" s="118"/>
      <c r="S469" s="118"/>
      <c r="T469" s="12"/>
      <c r="U469" s="118"/>
      <c r="V469" s="118"/>
      <c r="W469" s="12"/>
      <c r="X469" s="119"/>
      <c r="Y469" s="120"/>
      <c r="Z469" s="12"/>
      <c r="BA469" s="70" t="s">
        <v>205</v>
      </c>
      <c r="BB469" s="71" t="s">
        <v>210</v>
      </c>
      <c r="BC469" s="71" t="s">
        <v>207</v>
      </c>
      <c r="BD469" s="71">
        <v>13</v>
      </c>
      <c r="BE469" s="71">
        <v>36</v>
      </c>
      <c r="BF469" s="71">
        <v>390</v>
      </c>
      <c r="BG469" s="71">
        <v>212</v>
      </c>
      <c r="BH469" s="71">
        <v>5</v>
      </c>
      <c r="BI469" s="71">
        <v>10</v>
      </c>
      <c r="BJ469" s="12" t="str" cm="1">
        <f t="array" ref="BJ469">_xll.Dce_Name_SectI(BF469, BF469, BG469, BH469, BI469, "x", "-", $AX$11)</f>
        <v>390x212x5x10</v>
      </c>
      <c r="BK469" s="77" cm="1">
        <f t="array" ref="BK469">_xll.DCEPropSectI(BF469, BH469, BG469, BI469, BG469, BI469, "A")/100</f>
        <v>60.9</v>
      </c>
      <c r="BL469" s="70" t="s">
        <v>219</v>
      </c>
      <c r="BM469" s="70">
        <v>95.11610470898043</v>
      </c>
      <c r="BN469" s="71">
        <v>0.9</v>
      </c>
      <c r="BO469" s="77">
        <f t="shared" si="67"/>
        <v>32.4</v>
      </c>
      <c r="BP469" s="71">
        <v>0.9</v>
      </c>
      <c r="BQ469" s="77">
        <f t="shared" si="68"/>
        <v>32.4</v>
      </c>
      <c r="BR469" s="77" cm="1">
        <f t="array" ref="BR469">_xll.DCEPropSectI(BF469, BH469, BG469, BI469, BG469, BI469, "rx")/10</f>
        <v>16.91131201300167</v>
      </c>
      <c r="BS469" s="77" cm="1">
        <f t="array" ref="BS469">_xll.DCEPropSectI(BF469, BH469, BG469, BI469, BG469, BI469, "ry")/10</f>
        <v>5.1070747638622018</v>
      </c>
      <c r="BT469" s="5">
        <f t="shared" si="69"/>
        <v>191.58773710218577</v>
      </c>
      <c r="BU469" s="5">
        <f t="shared" si="70"/>
        <v>634.41405301647956</v>
      </c>
      <c r="BV469" s="5">
        <f t="shared" si="71"/>
        <v>634.41405301647956</v>
      </c>
      <c r="BW469" s="71">
        <f t="shared" si="72"/>
        <v>400</v>
      </c>
      <c r="BX469" s="78" cm="1">
        <f t="array" ref="BX469">IF(BM469&gt;0,1,_xll.DCETCVN5575FactorPhi7121(BV469*SQRT($K$17/206000),"b"))</f>
        <v>1</v>
      </c>
      <c r="BY469" s="64">
        <f t="shared" si="73"/>
        <v>7.4373371419954995E-2</v>
      </c>
      <c r="BZ469" s="3" t="str">
        <f t="shared" si="74"/>
        <v>Check</v>
      </c>
    </row>
    <row r="470" spans="1:78">
      <c r="A470" s="76"/>
      <c r="B470" s="76"/>
      <c r="C470" s="125"/>
      <c r="D470" s="125"/>
      <c r="E470" s="71"/>
      <c r="F470" s="71"/>
      <c r="G470" s="71"/>
      <c r="H470" s="126"/>
      <c r="I470" s="125"/>
      <c r="J470" s="123"/>
      <c r="K470" s="12"/>
      <c r="L470" s="117"/>
      <c r="M470" s="12"/>
      <c r="N470" s="117"/>
      <c r="O470" s="117"/>
      <c r="P470" s="117"/>
      <c r="Q470" s="118"/>
      <c r="R470" s="118"/>
      <c r="S470" s="118"/>
      <c r="T470" s="12"/>
      <c r="U470" s="118"/>
      <c r="V470" s="118"/>
      <c r="W470" s="12"/>
      <c r="X470" s="119"/>
      <c r="Y470" s="120"/>
      <c r="Z470" s="12"/>
      <c r="BA470" s="70" t="s">
        <v>205</v>
      </c>
      <c r="BB470" s="71" t="s">
        <v>210</v>
      </c>
      <c r="BC470" s="71" t="s">
        <v>207</v>
      </c>
      <c r="BD470" s="71">
        <v>13.5</v>
      </c>
      <c r="BE470" s="71">
        <v>36</v>
      </c>
      <c r="BF470" s="71">
        <v>390</v>
      </c>
      <c r="BG470" s="71">
        <v>212</v>
      </c>
      <c r="BH470" s="71">
        <v>5</v>
      </c>
      <c r="BI470" s="71">
        <v>10</v>
      </c>
      <c r="BJ470" s="12" t="str" cm="1">
        <f t="array" ref="BJ470">_xll.Dce_Name_SectI(BF470, BF470, BG470, BH470, BI470, "x", "-", $AX$11)</f>
        <v>390x212x5x10</v>
      </c>
      <c r="BK470" s="77" cm="1">
        <f t="array" ref="BK470">_xll.DCEPropSectI(BF470, BH470, BG470, BI470, BG470, BI470, "A")/100</f>
        <v>60.9</v>
      </c>
      <c r="BL470" s="70" t="s">
        <v>219</v>
      </c>
      <c r="BM470" s="70">
        <v>95.11610470898043</v>
      </c>
      <c r="BN470" s="71">
        <v>0.9</v>
      </c>
      <c r="BO470" s="77">
        <f t="shared" si="67"/>
        <v>32.4</v>
      </c>
      <c r="BP470" s="71">
        <v>0.9</v>
      </c>
      <c r="BQ470" s="77">
        <f t="shared" si="68"/>
        <v>32.4</v>
      </c>
      <c r="BR470" s="77" cm="1">
        <f t="array" ref="BR470">_xll.DCEPropSectI(BF470, BH470, BG470, BI470, BG470, BI470, "rx")/10</f>
        <v>16.91131201300167</v>
      </c>
      <c r="BS470" s="77" cm="1">
        <f t="array" ref="BS470">_xll.DCEPropSectI(BF470, BH470, BG470, BI470, BG470, BI470, "ry")/10</f>
        <v>5.1070747638622018</v>
      </c>
      <c r="BT470" s="5">
        <f t="shared" si="69"/>
        <v>191.58773710218577</v>
      </c>
      <c r="BU470" s="5">
        <f t="shared" si="70"/>
        <v>634.41405301647956</v>
      </c>
      <c r="BV470" s="5">
        <f t="shared" si="71"/>
        <v>634.41405301647956</v>
      </c>
      <c r="BW470" s="71">
        <f t="shared" si="72"/>
        <v>400</v>
      </c>
      <c r="BX470" s="78" cm="1">
        <f t="array" ref="BX470">IF(BM470&gt;0,1,_xll.DCETCVN5575FactorPhi7121(BV470*SQRT($K$17/206000),"b"))</f>
        <v>1</v>
      </c>
      <c r="BY470" s="64">
        <f t="shared" si="73"/>
        <v>7.4373371419954995E-2</v>
      </c>
      <c r="BZ470" s="3" t="str">
        <f t="shared" si="74"/>
        <v>Check</v>
      </c>
    </row>
    <row r="471" spans="1:78">
      <c r="A471" s="76"/>
      <c r="B471" s="76"/>
      <c r="C471" s="125"/>
      <c r="D471" s="125"/>
      <c r="E471" s="71"/>
      <c r="F471" s="71"/>
      <c r="G471" s="71"/>
      <c r="H471" s="126"/>
      <c r="I471" s="125"/>
      <c r="J471" s="123"/>
      <c r="K471" s="12"/>
      <c r="L471" s="117"/>
      <c r="M471" s="12"/>
      <c r="N471" s="117"/>
      <c r="O471" s="117"/>
      <c r="P471" s="117"/>
      <c r="Q471" s="118"/>
      <c r="R471" s="118"/>
      <c r="S471" s="118"/>
      <c r="T471" s="12"/>
      <c r="U471" s="118"/>
      <c r="V471" s="118"/>
      <c r="W471" s="12"/>
      <c r="X471" s="119"/>
      <c r="Y471" s="120"/>
      <c r="Z471" s="12"/>
      <c r="BA471" s="70" t="s">
        <v>205</v>
      </c>
      <c r="BB471" s="71" t="s">
        <v>210</v>
      </c>
      <c r="BC471" s="71" t="s">
        <v>207</v>
      </c>
      <c r="BD471" s="71">
        <v>14</v>
      </c>
      <c r="BE471" s="71">
        <v>36</v>
      </c>
      <c r="BF471" s="71">
        <v>390</v>
      </c>
      <c r="BG471" s="71">
        <v>212</v>
      </c>
      <c r="BH471" s="71">
        <v>5</v>
      </c>
      <c r="BI471" s="71">
        <v>10</v>
      </c>
      <c r="BJ471" s="12" t="str" cm="1">
        <f t="array" ref="BJ471">_xll.Dce_Name_SectI(BF471, BF471, BG471, BH471, BI471, "x", "-", $AX$11)</f>
        <v>390x212x5x10</v>
      </c>
      <c r="BK471" s="77" cm="1">
        <f t="array" ref="BK471">_xll.DCEPropSectI(BF471, BH471, BG471, BI471, BG471, BI471, "A")/100</f>
        <v>60.9</v>
      </c>
      <c r="BL471" s="70" t="s">
        <v>219</v>
      </c>
      <c r="BM471" s="70">
        <v>95.11610470898043</v>
      </c>
      <c r="BN471" s="71">
        <v>0.9</v>
      </c>
      <c r="BO471" s="77">
        <f t="shared" si="67"/>
        <v>32.4</v>
      </c>
      <c r="BP471" s="71">
        <v>0.9</v>
      </c>
      <c r="BQ471" s="77">
        <f t="shared" si="68"/>
        <v>32.4</v>
      </c>
      <c r="BR471" s="77" cm="1">
        <f t="array" ref="BR471">_xll.DCEPropSectI(BF471, BH471, BG471, BI471, BG471, BI471, "rx")/10</f>
        <v>16.91131201300167</v>
      </c>
      <c r="BS471" s="77" cm="1">
        <f t="array" ref="BS471">_xll.DCEPropSectI(BF471, BH471, BG471, BI471, BG471, BI471, "ry")/10</f>
        <v>5.1070747638622018</v>
      </c>
      <c r="BT471" s="5">
        <f t="shared" si="69"/>
        <v>191.58773710218577</v>
      </c>
      <c r="BU471" s="5">
        <f t="shared" si="70"/>
        <v>634.41405301647956</v>
      </c>
      <c r="BV471" s="5">
        <f t="shared" si="71"/>
        <v>634.41405301647956</v>
      </c>
      <c r="BW471" s="71">
        <f t="shared" si="72"/>
        <v>400</v>
      </c>
      <c r="BX471" s="78" cm="1">
        <f t="array" ref="BX471">IF(BM471&gt;0,1,_xll.DCETCVN5575FactorPhi7121(BV471*SQRT($K$17/206000),"b"))</f>
        <v>1</v>
      </c>
      <c r="BY471" s="64">
        <f t="shared" si="73"/>
        <v>7.4373371419954995E-2</v>
      </c>
      <c r="BZ471" s="3" t="str">
        <f t="shared" si="74"/>
        <v>Check</v>
      </c>
    </row>
    <row r="472" spans="1:78">
      <c r="A472" s="76"/>
      <c r="B472" s="76"/>
      <c r="C472" s="125"/>
      <c r="D472" s="125"/>
      <c r="E472" s="71"/>
      <c r="F472" s="71"/>
      <c r="G472" s="71"/>
      <c r="H472" s="126"/>
      <c r="I472" s="125"/>
      <c r="J472" s="123"/>
      <c r="K472" s="12"/>
      <c r="L472" s="117"/>
      <c r="M472" s="12"/>
      <c r="N472" s="117"/>
      <c r="O472" s="117"/>
      <c r="P472" s="117"/>
      <c r="Q472" s="118"/>
      <c r="R472" s="118"/>
      <c r="S472" s="118"/>
      <c r="T472" s="12"/>
      <c r="U472" s="118"/>
      <c r="V472" s="118"/>
      <c r="W472" s="12"/>
      <c r="X472" s="119"/>
      <c r="Y472" s="120"/>
      <c r="Z472" s="12"/>
      <c r="BA472" s="70" t="s">
        <v>205</v>
      </c>
      <c r="BB472" s="71" t="s">
        <v>210</v>
      </c>
      <c r="BC472" s="71" t="s">
        <v>207</v>
      </c>
      <c r="BD472" s="71">
        <v>14.5</v>
      </c>
      <c r="BE472" s="71">
        <v>36</v>
      </c>
      <c r="BF472" s="71">
        <v>390</v>
      </c>
      <c r="BG472" s="71">
        <v>212</v>
      </c>
      <c r="BH472" s="71">
        <v>5</v>
      </c>
      <c r="BI472" s="71">
        <v>10</v>
      </c>
      <c r="BJ472" s="12" t="str" cm="1">
        <f t="array" ref="BJ472">_xll.Dce_Name_SectI(BF472, BF472, BG472, BH472, BI472, "x", "-", $AX$11)</f>
        <v>390x212x5x10</v>
      </c>
      <c r="BK472" s="77" cm="1">
        <f t="array" ref="BK472">_xll.DCEPropSectI(BF472, BH472, BG472, BI472, BG472, BI472, "A")/100</f>
        <v>60.9</v>
      </c>
      <c r="BL472" s="70" t="s">
        <v>219</v>
      </c>
      <c r="BM472" s="70">
        <v>95.11610470898043</v>
      </c>
      <c r="BN472" s="71">
        <v>0.9</v>
      </c>
      <c r="BO472" s="77">
        <f t="shared" si="67"/>
        <v>32.4</v>
      </c>
      <c r="BP472" s="71">
        <v>0.9</v>
      </c>
      <c r="BQ472" s="77">
        <f t="shared" si="68"/>
        <v>32.4</v>
      </c>
      <c r="BR472" s="77" cm="1">
        <f t="array" ref="BR472">_xll.DCEPropSectI(BF472, BH472, BG472, BI472, BG472, BI472, "rx")/10</f>
        <v>16.91131201300167</v>
      </c>
      <c r="BS472" s="77" cm="1">
        <f t="array" ref="BS472">_xll.DCEPropSectI(BF472, BH472, BG472, BI472, BG472, BI472, "ry")/10</f>
        <v>5.1070747638622018</v>
      </c>
      <c r="BT472" s="5">
        <f t="shared" si="69"/>
        <v>191.58773710218577</v>
      </c>
      <c r="BU472" s="5">
        <f t="shared" si="70"/>
        <v>634.41405301647956</v>
      </c>
      <c r="BV472" s="5">
        <f t="shared" si="71"/>
        <v>634.41405301647956</v>
      </c>
      <c r="BW472" s="71">
        <f t="shared" si="72"/>
        <v>400</v>
      </c>
      <c r="BX472" s="78" cm="1">
        <f t="array" ref="BX472">IF(BM472&gt;0,1,_xll.DCETCVN5575FactorPhi7121(BV472*SQRT($K$17/206000),"b"))</f>
        <v>1</v>
      </c>
      <c r="BY472" s="64">
        <f t="shared" si="73"/>
        <v>7.4373371419954995E-2</v>
      </c>
      <c r="BZ472" s="3" t="str">
        <f t="shared" si="74"/>
        <v>Check</v>
      </c>
    </row>
    <row r="473" spans="1:78">
      <c r="A473" s="76"/>
      <c r="B473" s="76"/>
      <c r="C473" s="125"/>
      <c r="D473" s="125"/>
      <c r="E473" s="71"/>
      <c r="F473" s="71"/>
      <c r="G473" s="71"/>
      <c r="H473" s="126"/>
      <c r="I473" s="125"/>
      <c r="J473" s="123"/>
      <c r="K473" s="12"/>
      <c r="L473" s="117"/>
      <c r="M473" s="12"/>
      <c r="N473" s="117"/>
      <c r="O473" s="117"/>
      <c r="P473" s="117"/>
      <c r="Q473" s="118"/>
      <c r="R473" s="118"/>
      <c r="S473" s="118"/>
      <c r="T473" s="12"/>
      <c r="U473" s="118"/>
      <c r="V473" s="118"/>
      <c r="W473" s="12"/>
      <c r="X473" s="119"/>
      <c r="Y473" s="120"/>
      <c r="Z473" s="12"/>
      <c r="BA473" s="70" t="s">
        <v>205</v>
      </c>
      <c r="BB473" s="71" t="s">
        <v>210</v>
      </c>
      <c r="BC473" s="71" t="s">
        <v>207</v>
      </c>
      <c r="BD473" s="71">
        <v>15</v>
      </c>
      <c r="BE473" s="71">
        <v>36</v>
      </c>
      <c r="BF473" s="71">
        <v>390</v>
      </c>
      <c r="BG473" s="71">
        <v>212</v>
      </c>
      <c r="BH473" s="71">
        <v>5</v>
      </c>
      <c r="BI473" s="71">
        <v>10</v>
      </c>
      <c r="BJ473" s="12" t="str" cm="1">
        <f t="array" ref="BJ473">_xll.Dce_Name_SectI(BF473, BF473, BG473, BH473, BI473, "x", "-", $AX$11)</f>
        <v>390x212x5x10</v>
      </c>
      <c r="BK473" s="77" cm="1">
        <f t="array" ref="BK473">_xll.DCEPropSectI(BF473, BH473, BG473, BI473, BG473, BI473, "A")/100</f>
        <v>60.9</v>
      </c>
      <c r="BL473" s="70" t="s">
        <v>219</v>
      </c>
      <c r="BM473" s="70">
        <v>95.11610470898043</v>
      </c>
      <c r="BN473" s="71">
        <v>0.9</v>
      </c>
      <c r="BO473" s="77">
        <f t="shared" si="67"/>
        <v>32.4</v>
      </c>
      <c r="BP473" s="71">
        <v>0.9</v>
      </c>
      <c r="BQ473" s="77">
        <f t="shared" si="68"/>
        <v>32.4</v>
      </c>
      <c r="BR473" s="77" cm="1">
        <f t="array" ref="BR473">_xll.DCEPropSectI(BF473, BH473, BG473, BI473, BG473, BI473, "rx")/10</f>
        <v>16.91131201300167</v>
      </c>
      <c r="BS473" s="77" cm="1">
        <f t="array" ref="BS473">_xll.DCEPropSectI(BF473, BH473, BG473, BI473, BG473, BI473, "ry")/10</f>
        <v>5.1070747638622018</v>
      </c>
      <c r="BT473" s="5">
        <f t="shared" si="69"/>
        <v>191.58773710218577</v>
      </c>
      <c r="BU473" s="5">
        <f t="shared" si="70"/>
        <v>634.41405301647956</v>
      </c>
      <c r="BV473" s="5">
        <f t="shared" si="71"/>
        <v>634.41405301647956</v>
      </c>
      <c r="BW473" s="71">
        <f t="shared" si="72"/>
        <v>400</v>
      </c>
      <c r="BX473" s="78" cm="1">
        <f t="array" ref="BX473">IF(BM473&gt;0,1,_xll.DCETCVN5575FactorPhi7121(BV473*SQRT($K$17/206000),"b"))</f>
        <v>1</v>
      </c>
      <c r="BY473" s="64">
        <f t="shared" si="73"/>
        <v>7.4373371419954995E-2</v>
      </c>
      <c r="BZ473" s="3" t="str">
        <f t="shared" si="74"/>
        <v>Check</v>
      </c>
    </row>
    <row r="474" spans="1:78">
      <c r="A474" s="76"/>
      <c r="B474" s="76"/>
      <c r="C474" s="125"/>
      <c r="D474" s="125"/>
      <c r="E474" s="71"/>
      <c r="F474" s="71"/>
      <c r="G474" s="71"/>
      <c r="H474" s="126"/>
      <c r="I474" s="125"/>
      <c r="J474" s="123"/>
      <c r="K474" s="12"/>
      <c r="L474" s="117"/>
      <c r="M474" s="12"/>
      <c r="N474" s="117"/>
      <c r="O474" s="117"/>
      <c r="P474" s="117"/>
      <c r="Q474" s="118"/>
      <c r="R474" s="118"/>
      <c r="S474" s="118"/>
      <c r="T474" s="12"/>
      <c r="U474" s="118"/>
      <c r="V474" s="118"/>
      <c r="W474" s="12"/>
      <c r="X474" s="119"/>
      <c r="Y474" s="120"/>
      <c r="Z474" s="12"/>
      <c r="BA474" s="70" t="s">
        <v>205</v>
      </c>
      <c r="BB474" s="71" t="s">
        <v>210</v>
      </c>
      <c r="BC474" s="71" t="s">
        <v>207</v>
      </c>
      <c r="BD474" s="71">
        <v>15</v>
      </c>
      <c r="BE474" s="71">
        <v>36</v>
      </c>
      <c r="BF474" s="71">
        <v>390</v>
      </c>
      <c r="BG474" s="71">
        <v>212</v>
      </c>
      <c r="BH474" s="71">
        <v>5</v>
      </c>
      <c r="BI474" s="71">
        <v>10</v>
      </c>
      <c r="BJ474" s="12" t="str" cm="1">
        <f t="array" ref="BJ474">_xll.Dce_Name_SectI(BF474, BF474, BG474, BH474, BI474, "x", "-", $AX$11)</f>
        <v>390x212x5x10</v>
      </c>
      <c r="BK474" s="77" cm="1">
        <f t="array" ref="BK474">_xll.DCEPropSectI(BF474, BH474, BG474, BI474, BG474, BI474, "A")/100</f>
        <v>60.9</v>
      </c>
      <c r="BL474" s="70" t="s">
        <v>219</v>
      </c>
      <c r="BM474" s="70">
        <v>132.999761119928</v>
      </c>
      <c r="BN474" s="71">
        <v>0.9</v>
      </c>
      <c r="BO474" s="77">
        <f t="shared" si="67"/>
        <v>32.4</v>
      </c>
      <c r="BP474" s="71">
        <v>0.9</v>
      </c>
      <c r="BQ474" s="77">
        <f t="shared" si="68"/>
        <v>32.4</v>
      </c>
      <c r="BR474" s="77" cm="1">
        <f t="array" ref="BR474">_xll.DCEPropSectI(BF474, BH474, BG474, BI474, BG474, BI474, "rx")/10</f>
        <v>16.91131201300167</v>
      </c>
      <c r="BS474" s="77" cm="1">
        <f t="array" ref="BS474">_xll.DCEPropSectI(BF474, BH474, BG474, BI474, BG474, BI474, "ry")/10</f>
        <v>5.1070747638622018</v>
      </c>
      <c r="BT474" s="5">
        <f t="shared" si="69"/>
        <v>191.58773710218577</v>
      </c>
      <c r="BU474" s="5">
        <f t="shared" si="70"/>
        <v>634.41405301647956</v>
      </c>
      <c r="BV474" s="5">
        <f t="shared" si="71"/>
        <v>634.41405301647956</v>
      </c>
      <c r="BW474" s="71">
        <f t="shared" si="72"/>
        <v>400</v>
      </c>
      <c r="BX474" s="78" cm="1">
        <f t="array" ref="BX474">IF(BM474&gt;0,1,_xll.DCETCVN5575FactorPhi7121(BV474*SQRT($K$17/206000),"b"))</f>
        <v>1</v>
      </c>
      <c r="BY474" s="64">
        <f t="shared" si="73"/>
        <v>0.10399543445142545</v>
      </c>
      <c r="BZ474" s="3" t="str">
        <f t="shared" si="74"/>
        <v>Check</v>
      </c>
    </row>
    <row r="475" spans="1:78">
      <c r="A475" s="76"/>
      <c r="B475" s="76"/>
      <c r="C475" s="125"/>
      <c r="D475" s="125"/>
      <c r="E475" s="71"/>
      <c r="F475" s="71"/>
      <c r="G475" s="71"/>
      <c r="H475" s="126"/>
      <c r="I475" s="125"/>
      <c r="J475" s="123"/>
      <c r="K475" s="12"/>
      <c r="L475" s="117"/>
      <c r="M475" s="12"/>
      <c r="N475" s="117"/>
      <c r="O475" s="117"/>
      <c r="P475" s="117"/>
      <c r="Q475" s="118"/>
      <c r="R475" s="118"/>
      <c r="S475" s="118"/>
      <c r="T475" s="12"/>
      <c r="U475" s="118"/>
      <c r="V475" s="118"/>
      <c r="W475" s="12"/>
      <c r="X475" s="119"/>
      <c r="Y475" s="120"/>
      <c r="Z475" s="12"/>
      <c r="BA475" s="70" t="s">
        <v>205</v>
      </c>
      <c r="BB475" s="71" t="s">
        <v>210</v>
      </c>
      <c r="BC475" s="71" t="s">
        <v>207</v>
      </c>
      <c r="BD475" s="71">
        <v>15.5</v>
      </c>
      <c r="BE475" s="71">
        <v>36</v>
      </c>
      <c r="BF475" s="71">
        <v>390</v>
      </c>
      <c r="BG475" s="71">
        <v>212</v>
      </c>
      <c r="BH475" s="71">
        <v>5</v>
      </c>
      <c r="BI475" s="71">
        <v>10</v>
      </c>
      <c r="BJ475" s="12" t="str" cm="1">
        <f t="array" ref="BJ475">_xll.Dce_Name_SectI(BF475, BF475, BG475, BH475, BI475, "x", "-", $AX$11)</f>
        <v>390x212x5x10</v>
      </c>
      <c r="BK475" s="77" cm="1">
        <f t="array" ref="BK475">_xll.DCEPropSectI(BF475, BH475, BG475, BI475, BG475, BI475, "A")/100</f>
        <v>60.9</v>
      </c>
      <c r="BL475" s="70" t="s">
        <v>219</v>
      </c>
      <c r="BM475" s="70">
        <v>132.999761119928</v>
      </c>
      <c r="BN475" s="71">
        <v>0.9</v>
      </c>
      <c r="BO475" s="77">
        <f t="shared" si="67"/>
        <v>32.4</v>
      </c>
      <c r="BP475" s="71">
        <v>0.9</v>
      </c>
      <c r="BQ475" s="77">
        <f t="shared" si="68"/>
        <v>32.4</v>
      </c>
      <c r="BR475" s="77" cm="1">
        <f t="array" ref="BR475">_xll.DCEPropSectI(BF475, BH475, BG475, BI475, BG475, BI475, "rx")/10</f>
        <v>16.91131201300167</v>
      </c>
      <c r="BS475" s="77" cm="1">
        <f t="array" ref="BS475">_xll.DCEPropSectI(BF475, BH475, BG475, BI475, BG475, BI475, "ry")/10</f>
        <v>5.1070747638622018</v>
      </c>
      <c r="BT475" s="5">
        <f t="shared" si="69"/>
        <v>191.58773710218577</v>
      </c>
      <c r="BU475" s="5">
        <f t="shared" si="70"/>
        <v>634.41405301647956</v>
      </c>
      <c r="BV475" s="5">
        <f t="shared" si="71"/>
        <v>634.41405301647956</v>
      </c>
      <c r="BW475" s="71">
        <f t="shared" si="72"/>
        <v>400</v>
      </c>
      <c r="BX475" s="78" cm="1">
        <f t="array" ref="BX475">IF(BM475&gt;0,1,_xll.DCETCVN5575FactorPhi7121(BV475*SQRT($K$17/206000),"b"))</f>
        <v>1</v>
      </c>
      <c r="BY475" s="64">
        <f t="shared" si="73"/>
        <v>0.10399543445142545</v>
      </c>
      <c r="BZ475" s="3" t="str">
        <f t="shared" si="74"/>
        <v>Check</v>
      </c>
    </row>
    <row r="476" spans="1:78">
      <c r="A476" s="76"/>
      <c r="B476" s="76"/>
      <c r="C476" s="125"/>
      <c r="D476" s="125"/>
      <c r="E476" s="71"/>
      <c r="F476" s="71"/>
      <c r="G476" s="71"/>
      <c r="H476" s="126"/>
      <c r="I476" s="125"/>
      <c r="J476" s="123"/>
      <c r="K476" s="12"/>
      <c r="L476" s="117"/>
      <c r="M476" s="12"/>
      <c r="N476" s="117"/>
      <c r="O476" s="117"/>
      <c r="P476" s="117"/>
      <c r="Q476" s="118"/>
      <c r="R476" s="118"/>
      <c r="S476" s="118"/>
      <c r="T476" s="12"/>
      <c r="U476" s="118"/>
      <c r="V476" s="118"/>
      <c r="W476" s="12"/>
      <c r="X476" s="119"/>
      <c r="Y476" s="120"/>
      <c r="Z476" s="12"/>
      <c r="BA476" s="70" t="s">
        <v>205</v>
      </c>
      <c r="BB476" s="71" t="s">
        <v>210</v>
      </c>
      <c r="BC476" s="71" t="s">
        <v>207</v>
      </c>
      <c r="BD476" s="71">
        <v>16</v>
      </c>
      <c r="BE476" s="71">
        <v>36</v>
      </c>
      <c r="BF476" s="71">
        <v>390</v>
      </c>
      <c r="BG476" s="71">
        <v>212</v>
      </c>
      <c r="BH476" s="71">
        <v>5</v>
      </c>
      <c r="BI476" s="71">
        <v>10</v>
      </c>
      <c r="BJ476" s="12" t="str" cm="1">
        <f t="array" ref="BJ476">_xll.Dce_Name_SectI(BF476, BF476, BG476, BH476, BI476, "x", "-", $AX$11)</f>
        <v>390x212x5x10</v>
      </c>
      <c r="BK476" s="77" cm="1">
        <f t="array" ref="BK476">_xll.DCEPropSectI(BF476, BH476, BG476, BI476, BG476, BI476, "A")/100</f>
        <v>60.9</v>
      </c>
      <c r="BL476" s="70" t="s">
        <v>219</v>
      </c>
      <c r="BM476" s="70">
        <v>132.999761119928</v>
      </c>
      <c r="BN476" s="71">
        <v>0.9</v>
      </c>
      <c r="BO476" s="77">
        <f t="shared" si="67"/>
        <v>32.4</v>
      </c>
      <c r="BP476" s="71">
        <v>0.9</v>
      </c>
      <c r="BQ476" s="77">
        <f t="shared" si="68"/>
        <v>32.4</v>
      </c>
      <c r="BR476" s="77" cm="1">
        <f t="array" ref="BR476">_xll.DCEPropSectI(BF476, BH476, BG476, BI476, BG476, BI476, "rx")/10</f>
        <v>16.91131201300167</v>
      </c>
      <c r="BS476" s="77" cm="1">
        <f t="array" ref="BS476">_xll.DCEPropSectI(BF476, BH476, BG476, BI476, BG476, BI476, "ry")/10</f>
        <v>5.1070747638622018</v>
      </c>
      <c r="BT476" s="5">
        <f t="shared" si="69"/>
        <v>191.58773710218577</v>
      </c>
      <c r="BU476" s="5">
        <f t="shared" si="70"/>
        <v>634.41405301647956</v>
      </c>
      <c r="BV476" s="5">
        <f t="shared" si="71"/>
        <v>634.41405301647956</v>
      </c>
      <c r="BW476" s="71">
        <f t="shared" si="72"/>
        <v>400</v>
      </c>
      <c r="BX476" s="78" cm="1">
        <f t="array" ref="BX476">IF(BM476&gt;0,1,_xll.DCETCVN5575FactorPhi7121(BV476*SQRT($K$17/206000),"b"))</f>
        <v>1</v>
      </c>
      <c r="BY476" s="64">
        <f t="shared" si="73"/>
        <v>0.10399543445142545</v>
      </c>
      <c r="BZ476" s="3" t="str">
        <f t="shared" si="74"/>
        <v>Check</v>
      </c>
    </row>
    <row r="477" spans="1:78">
      <c r="A477" s="76"/>
      <c r="B477" s="76"/>
      <c r="C477" s="125"/>
      <c r="D477" s="125"/>
      <c r="E477" s="71"/>
      <c r="F477" s="71"/>
      <c r="G477" s="71"/>
      <c r="H477" s="126"/>
      <c r="I477" s="125"/>
      <c r="J477" s="123"/>
      <c r="K477" s="12"/>
      <c r="L477" s="117"/>
      <c r="M477" s="12"/>
      <c r="N477" s="117"/>
      <c r="O477" s="117"/>
      <c r="P477" s="117"/>
      <c r="Q477" s="118"/>
      <c r="R477" s="118"/>
      <c r="S477" s="118"/>
      <c r="T477" s="12"/>
      <c r="U477" s="118"/>
      <c r="V477" s="118"/>
      <c r="W477" s="12"/>
      <c r="X477" s="119"/>
      <c r="Y477" s="120"/>
      <c r="Z477" s="12"/>
      <c r="BA477" s="70" t="s">
        <v>205</v>
      </c>
      <c r="BB477" s="71" t="s">
        <v>210</v>
      </c>
      <c r="BC477" s="71" t="s">
        <v>207</v>
      </c>
      <c r="BD477" s="71">
        <v>16.5</v>
      </c>
      <c r="BE477" s="71">
        <v>36</v>
      </c>
      <c r="BF477" s="71">
        <v>390</v>
      </c>
      <c r="BG477" s="71">
        <v>212</v>
      </c>
      <c r="BH477" s="71">
        <v>5</v>
      </c>
      <c r="BI477" s="71">
        <v>10</v>
      </c>
      <c r="BJ477" s="12" t="str" cm="1">
        <f t="array" ref="BJ477">_xll.Dce_Name_SectI(BF477, BF477, BG477, BH477, BI477, "x", "-", $AX$11)</f>
        <v>390x212x5x10</v>
      </c>
      <c r="BK477" s="77" cm="1">
        <f t="array" ref="BK477">_xll.DCEPropSectI(BF477, BH477, BG477, BI477, BG477, BI477, "A")/100</f>
        <v>60.9</v>
      </c>
      <c r="BL477" s="70" t="s">
        <v>219</v>
      </c>
      <c r="BM477" s="70">
        <v>132.999761119928</v>
      </c>
      <c r="BN477" s="71">
        <v>0.9</v>
      </c>
      <c r="BO477" s="77">
        <f t="shared" si="67"/>
        <v>32.4</v>
      </c>
      <c r="BP477" s="71">
        <v>0.9</v>
      </c>
      <c r="BQ477" s="77">
        <f t="shared" si="68"/>
        <v>32.4</v>
      </c>
      <c r="BR477" s="77" cm="1">
        <f t="array" ref="BR477">_xll.DCEPropSectI(BF477, BH477, BG477, BI477, BG477, BI477, "rx")/10</f>
        <v>16.91131201300167</v>
      </c>
      <c r="BS477" s="77" cm="1">
        <f t="array" ref="BS477">_xll.DCEPropSectI(BF477, BH477, BG477, BI477, BG477, BI477, "ry")/10</f>
        <v>5.1070747638622018</v>
      </c>
      <c r="BT477" s="5">
        <f t="shared" si="69"/>
        <v>191.58773710218577</v>
      </c>
      <c r="BU477" s="5">
        <f t="shared" si="70"/>
        <v>634.41405301647956</v>
      </c>
      <c r="BV477" s="5">
        <f t="shared" si="71"/>
        <v>634.41405301647956</v>
      </c>
      <c r="BW477" s="71">
        <f t="shared" si="72"/>
        <v>400</v>
      </c>
      <c r="BX477" s="78" cm="1">
        <f t="array" ref="BX477">IF(BM477&gt;0,1,_xll.DCETCVN5575FactorPhi7121(BV477*SQRT($K$17/206000),"b"))</f>
        <v>1</v>
      </c>
      <c r="BY477" s="64">
        <f t="shared" si="73"/>
        <v>0.10399543445142545</v>
      </c>
      <c r="BZ477" s="3" t="str">
        <f t="shared" si="74"/>
        <v>Check</v>
      </c>
    </row>
    <row r="478" spans="1:78">
      <c r="A478" s="76"/>
      <c r="B478" s="76"/>
      <c r="C478" s="125"/>
      <c r="D478" s="125"/>
      <c r="E478" s="71"/>
      <c r="F478" s="71"/>
      <c r="G478" s="71"/>
      <c r="H478" s="126"/>
      <c r="I478" s="125"/>
      <c r="J478" s="123"/>
      <c r="K478" s="12"/>
      <c r="L478" s="117"/>
      <c r="M478" s="12"/>
      <c r="N478" s="117"/>
      <c r="O478" s="117"/>
      <c r="P478" s="117"/>
      <c r="Q478" s="118"/>
      <c r="R478" s="118"/>
      <c r="S478" s="118"/>
      <c r="T478" s="12"/>
      <c r="U478" s="118"/>
      <c r="V478" s="118"/>
      <c r="W478" s="12"/>
      <c r="X478" s="119"/>
      <c r="Y478" s="120"/>
      <c r="Z478" s="12"/>
      <c r="BA478" s="70" t="s">
        <v>205</v>
      </c>
      <c r="BB478" s="71" t="s">
        <v>210</v>
      </c>
      <c r="BC478" s="71" t="s">
        <v>207</v>
      </c>
      <c r="BD478" s="71">
        <v>17</v>
      </c>
      <c r="BE478" s="71">
        <v>36</v>
      </c>
      <c r="BF478" s="71">
        <v>390</v>
      </c>
      <c r="BG478" s="71">
        <v>212</v>
      </c>
      <c r="BH478" s="71">
        <v>5</v>
      </c>
      <c r="BI478" s="71">
        <v>10</v>
      </c>
      <c r="BJ478" s="12" t="str" cm="1">
        <f t="array" ref="BJ478">_xll.Dce_Name_SectI(BF478, BF478, BG478, BH478, BI478, "x", "-", $AX$11)</f>
        <v>390x212x5x10</v>
      </c>
      <c r="BK478" s="77" cm="1">
        <f t="array" ref="BK478">_xll.DCEPropSectI(BF478, BH478, BG478, BI478, BG478, BI478, "A")/100</f>
        <v>60.9</v>
      </c>
      <c r="BL478" s="70" t="s">
        <v>219</v>
      </c>
      <c r="BM478" s="70">
        <v>132.999761119928</v>
      </c>
      <c r="BN478" s="71">
        <v>0.9</v>
      </c>
      <c r="BO478" s="77">
        <f t="shared" si="67"/>
        <v>32.4</v>
      </c>
      <c r="BP478" s="71">
        <v>0.9</v>
      </c>
      <c r="BQ478" s="77">
        <f t="shared" si="68"/>
        <v>32.4</v>
      </c>
      <c r="BR478" s="77" cm="1">
        <f t="array" ref="BR478">_xll.DCEPropSectI(BF478, BH478, BG478, BI478, BG478, BI478, "rx")/10</f>
        <v>16.91131201300167</v>
      </c>
      <c r="BS478" s="77" cm="1">
        <f t="array" ref="BS478">_xll.DCEPropSectI(BF478, BH478, BG478, BI478, BG478, BI478, "ry")/10</f>
        <v>5.1070747638622018</v>
      </c>
      <c r="BT478" s="5">
        <f t="shared" si="69"/>
        <v>191.58773710218577</v>
      </c>
      <c r="BU478" s="5">
        <f t="shared" si="70"/>
        <v>634.41405301647956</v>
      </c>
      <c r="BV478" s="5">
        <f t="shared" si="71"/>
        <v>634.41405301647956</v>
      </c>
      <c r="BW478" s="71">
        <f t="shared" si="72"/>
        <v>400</v>
      </c>
      <c r="BX478" s="78" cm="1">
        <f t="array" ref="BX478">IF(BM478&gt;0,1,_xll.DCETCVN5575FactorPhi7121(BV478*SQRT($K$17/206000),"b"))</f>
        <v>1</v>
      </c>
      <c r="BY478" s="64">
        <f t="shared" si="73"/>
        <v>0.10399543445142545</v>
      </c>
      <c r="BZ478" s="3" t="str">
        <f t="shared" si="74"/>
        <v>Check</v>
      </c>
    </row>
    <row r="479" spans="1:78">
      <c r="A479" s="76"/>
      <c r="B479" s="76"/>
      <c r="C479" s="125"/>
      <c r="D479" s="125"/>
      <c r="E479" s="71"/>
      <c r="F479" s="71"/>
      <c r="G479" s="71"/>
      <c r="H479" s="126"/>
      <c r="I479" s="125"/>
      <c r="J479" s="123"/>
      <c r="K479" s="12"/>
      <c r="L479" s="117"/>
      <c r="M479" s="12"/>
      <c r="N479" s="117"/>
      <c r="O479" s="117"/>
      <c r="P479" s="117"/>
      <c r="Q479" s="118"/>
      <c r="R479" s="118"/>
      <c r="S479" s="118"/>
      <c r="T479" s="12"/>
      <c r="U479" s="118"/>
      <c r="V479" s="118"/>
      <c r="W479" s="12"/>
      <c r="X479" s="119"/>
      <c r="Y479" s="120"/>
      <c r="Z479" s="12"/>
      <c r="BA479" s="70" t="s">
        <v>205</v>
      </c>
      <c r="BB479" s="71" t="s">
        <v>210</v>
      </c>
      <c r="BC479" s="71" t="s">
        <v>207</v>
      </c>
      <c r="BD479" s="71">
        <v>17.5</v>
      </c>
      <c r="BE479" s="71">
        <v>36</v>
      </c>
      <c r="BF479" s="71">
        <v>390</v>
      </c>
      <c r="BG479" s="71">
        <v>212</v>
      </c>
      <c r="BH479" s="71">
        <v>5</v>
      </c>
      <c r="BI479" s="71">
        <v>10</v>
      </c>
      <c r="BJ479" s="12" t="str" cm="1">
        <f t="array" ref="BJ479">_xll.Dce_Name_SectI(BF479, BF479, BG479, BH479, BI479, "x", "-", $AX$11)</f>
        <v>390x212x5x10</v>
      </c>
      <c r="BK479" s="77" cm="1">
        <f t="array" ref="BK479">_xll.DCEPropSectI(BF479, BH479, BG479, BI479, BG479, BI479, "A")/100</f>
        <v>60.9</v>
      </c>
      <c r="BL479" s="70" t="s">
        <v>219</v>
      </c>
      <c r="BM479" s="70">
        <v>132.999761119928</v>
      </c>
      <c r="BN479" s="71">
        <v>0.9</v>
      </c>
      <c r="BO479" s="77">
        <f t="shared" si="67"/>
        <v>32.4</v>
      </c>
      <c r="BP479" s="71">
        <v>0.9</v>
      </c>
      <c r="BQ479" s="77">
        <f t="shared" si="68"/>
        <v>32.4</v>
      </c>
      <c r="BR479" s="77" cm="1">
        <f t="array" ref="BR479">_xll.DCEPropSectI(BF479, BH479, BG479, BI479, BG479, BI479, "rx")/10</f>
        <v>16.91131201300167</v>
      </c>
      <c r="BS479" s="77" cm="1">
        <f t="array" ref="BS479">_xll.DCEPropSectI(BF479, BH479, BG479, BI479, BG479, BI479, "ry")/10</f>
        <v>5.1070747638622018</v>
      </c>
      <c r="BT479" s="5">
        <f t="shared" si="69"/>
        <v>191.58773710218577</v>
      </c>
      <c r="BU479" s="5">
        <f t="shared" si="70"/>
        <v>634.41405301647956</v>
      </c>
      <c r="BV479" s="5">
        <f t="shared" si="71"/>
        <v>634.41405301647956</v>
      </c>
      <c r="BW479" s="71">
        <f t="shared" si="72"/>
        <v>400</v>
      </c>
      <c r="BX479" s="78" cm="1">
        <f t="array" ref="BX479">IF(BM479&gt;0,1,_xll.DCETCVN5575FactorPhi7121(BV479*SQRT($K$17/206000),"b"))</f>
        <v>1</v>
      </c>
      <c r="BY479" s="64">
        <f t="shared" si="73"/>
        <v>0.10399543445142545</v>
      </c>
      <c r="BZ479" s="3" t="str">
        <f t="shared" si="74"/>
        <v>Check</v>
      </c>
    </row>
    <row r="480" spans="1:78">
      <c r="A480" s="76"/>
      <c r="B480" s="76"/>
      <c r="C480" s="125"/>
      <c r="D480" s="125"/>
      <c r="E480" s="71"/>
      <c r="F480" s="71"/>
      <c r="G480" s="71"/>
      <c r="H480" s="126"/>
      <c r="I480" s="125"/>
      <c r="J480" s="123"/>
      <c r="K480" s="12"/>
      <c r="L480" s="117"/>
      <c r="M480" s="12"/>
      <c r="N480" s="117"/>
      <c r="O480" s="117"/>
      <c r="P480" s="117"/>
      <c r="Q480" s="118"/>
      <c r="R480" s="118"/>
      <c r="S480" s="118"/>
      <c r="T480" s="12"/>
      <c r="U480" s="118"/>
      <c r="V480" s="118"/>
      <c r="W480" s="12"/>
      <c r="X480" s="119"/>
      <c r="Y480" s="120"/>
      <c r="Z480" s="12"/>
      <c r="BA480" s="70" t="s">
        <v>205</v>
      </c>
      <c r="BB480" s="71" t="s">
        <v>210</v>
      </c>
      <c r="BC480" s="71" t="s">
        <v>207</v>
      </c>
      <c r="BD480" s="71">
        <v>18</v>
      </c>
      <c r="BE480" s="71">
        <v>36</v>
      </c>
      <c r="BF480" s="71">
        <v>390</v>
      </c>
      <c r="BG480" s="71">
        <v>212</v>
      </c>
      <c r="BH480" s="71">
        <v>5</v>
      </c>
      <c r="BI480" s="71">
        <v>10</v>
      </c>
      <c r="BJ480" s="12" t="str" cm="1">
        <f t="array" ref="BJ480">_xll.Dce_Name_SectI(BF480, BF480, BG480, BH480, BI480, "x", "-", $AX$11)</f>
        <v>390x212x5x10</v>
      </c>
      <c r="BK480" s="77" cm="1">
        <f t="array" ref="BK480">_xll.DCEPropSectI(BF480, BH480, BG480, BI480, BG480, BI480, "A")/100</f>
        <v>60.9</v>
      </c>
      <c r="BL480" s="70" t="s">
        <v>219</v>
      </c>
      <c r="BM480" s="70">
        <v>132.999761119928</v>
      </c>
      <c r="BN480" s="71">
        <v>0.9</v>
      </c>
      <c r="BO480" s="77">
        <f t="shared" si="67"/>
        <v>32.4</v>
      </c>
      <c r="BP480" s="71">
        <v>0.9</v>
      </c>
      <c r="BQ480" s="77">
        <f t="shared" si="68"/>
        <v>32.4</v>
      </c>
      <c r="BR480" s="77" cm="1">
        <f t="array" ref="BR480">_xll.DCEPropSectI(BF480, BH480, BG480, BI480, BG480, BI480, "rx")/10</f>
        <v>16.91131201300167</v>
      </c>
      <c r="BS480" s="77" cm="1">
        <f t="array" ref="BS480">_xll.DCEPropSectI(BF480, BH480, BG480, BI480, BG480, BI480, "ry")/10</f>
        <v>5.1070747638622018</v>
      </c>
      <c r="BT480" s="5">
        <f t="shared" si="69"/>
        <v>191.58773710218577</v>
      </c>
      <c r="BU480" s="5">
        <f t="shared" si="70"/>
        <v>634.41405301647956</v>
      </c>
      <c r="BV480" s="5">
        <f t="shared" si="71"/>
        <v>634.41405301647956</v>
      </c>
      <c r="BW480" s="71">
        <f t="shared" si="72"/>
        <v>400</v>
      </c>
      <c r="BX480" s="78" cm="1">
        <f t="array" ref="BX480">IF(BM480&gt;0,1,_xll.DCETCVN5575FactorPhi7121(BV480*SQRT($K$17/206000),"b"))</f>
        <v>1</v>
      </c>
      <c r="BY480" s="64">
        <f t="shared" si="73"/>
        <v>0.10399543445142545</v>
      </c>
      <c r="BZ480" s="3" t="str">
        <f t="shared" si="74"/>
        <v>Check</v>
      </c>
    </row>
    <row r="481" spans="1:78">
      <c r="A481" s="76"/>
      <c r="B481" s="76"/>
      <c r="C481" s="125"/>
      <c r="D481" s="125"/>
      <c r="E481" s="71"/>
      <c r="F481" s="71"/>
      <c r="G481" s="71"/>
      <c r="H481" s="126"/>
      <c r="I481" s="125"/>
      <c r="J481" s="123"/>
      <c r="K481" s="12"/>
      <c r="L481" s="117"/>
      <c r="M481" s="12"/>
      <c r="N481" s="117"/>
      <c r="O481" s="117"/>
      <c r="P481" s="117"/>
      <c r="Q481" s="118"/>
      <c r="R481" s="118"/>
      <c r="S481" s="118"/>
      <c r="T481" s="12"/>
      <c r="U481" s="118"/>
      <c r="V481" s="118"/>
      <c r="W481" s="12"/>
      <c r="X481" s="119"/>
      <c r="Y481" s="120"/>
      <c r="Z481" s="12"/>
      <c r="BA481" s="70" t="s">
        <v>205</v>
      </c>
      <c r="BB481" s="71" t="s">
        <v>210</v>
      </c>
      <c r="BC481" s="71" t="s">
        <v>207</v>
      </c>
      <c r="BD481" s="71">
        <v>18.5</v>
      </c>
      <c r="BE481" s="71">
        <v>36</v>
      </c>
      <c r="BF481" s="71">
        <v>390</v>
      </c>
      <c r="BG481" s="71">
        <v>212</v>
      </c>
      <c r="BH481" s="71">
        <v>5</v>
      </c>
      <c r="BI481" s="71">
        <v>10</v>
      </c>
      <c r="BJ481" s="12" t="str" cm="1">
        <f t="array" ref="BJ481">_xll.Dce_Name_SectI(BF481, BF481, BG481, BH481, BI481, "x", "-", $AX$11)</f>
        <v>390x212x5x10</v>
      </c>
      <c r="BK481" s="77" cm="1">
        <f t="array" ref="BK481">_xll.DCEPropSectI(BF481, BH481, BG481, BI481, BG481, BI481, "A")/100</f>
        <v>60.9</v>
      </c>
      <c r="BL481" s="70" t="s">
        <v>219</v>
      </c>
      <c r="BM481" s="70">
        <v>132.999761119928</v>
      </c>
      <c r="BN481" s="71">
        <v>0.9</v>
      </c>
      <c r="BO481" s="77">
        <f t="shared" si="67"/>
        <v>32.4</v>
      </c>
      <c r="BP481" s="71">
        <v>0.9</v>
      </c>
      <c r="BQ481" s="77">
        <f t="shared" si="68"/>
        <v>32.4</v>
      </c>
      <c r="BR481" s="77" cm="1">
        <f t="array" ref="BR481">_xll.DCEPropSectI(BF481, BH481, BG481, BI481, BG481, BI481, "rx")/10</f>
        <v>16.91131201300167</v>
      </c>
      <c r="BS481" s="77" cm="1">
        <f t="array" ref="BS481">_xll.DCEPropSectI(BF481, BH481, BG481, BI481, BG481, BI481, "ry")/10</f>
        <v>5.1070747638622018</v>
      </c>
      <c r="BT481" s="5">
        <f t="shared" si="69"/>
        <v>191.58773710218577</v>
      </c>
      <c r="BU481" s="5">
        <f t="shared" si="70"/>
        <v>634.41405301647956</v>
      </c>
      <c r="BV481" s="5">
        <f t="shared" si="71"/>
        <v>634.41405301647956</v>
      </c>
      <c r="BW481" s="71">
        <f t="shared" si="72"/>
        <v>400</v>
      </c>
      <c r="BX481" s="78" cm="1">
        <f t="array" ref="BX481">IF(BM481&gt;0,1,_xll.DCETCVN5575FactorPhi7121(BV481*SQRT($K$17/206000),"b"))</f>
        <v>1</v>
      </c>
      <c r="BY481" s="64">
        <f t="shared" si="73"/>
        <v>0.10399543445142545</v>
      </c>
      <c r="BZ481" s="3" t="str">
        <f t="shared" si="74"/>
        <v>Check</v>
      </c>
    </row>
    <row r="482" spans="1:78">
      <c r="A482" s="76"/>
      <c r="B482" s="76"/>
      <c r="C482" s="125"/>
      <c r="D482" s="125"/>
      <c r="E482" s="71"/>
      <c r="F482" s="71"/>
      <c r="G482" s="71"/>
      <c r="H482" s="126"/>
      <c r="I482" s="125"/>
      <c r="J482" s="123"/>
      <c r="K482" s="12"/>
      <c r="L482" s="117"/>
      <c r="M482" s="12"/>
      <c r="N482" s="117"/>
      <c r="O482" s="117"/>
      <c r="P482" s="117"/>
      <c r="Q482" s="118"/>
      <c r="R482" s="118"/>
      <c r="S482" s="118"/>
      <c r="T482" s="12"/>
      <c r="U482" s="118"/>
      <c r="V482" s="118"/>
      <c r="W482" s="12"/>
      <c r="X482" s="119"/>
      <c r="Y482" s="120"/>
      <c r="Z482" s="12"/>
      <c r="BA482" s="70" t="s">
        <v>205</v>
      </c>
      <c r="BB482" s="71" t="s">
        <v>210</v>
      </c>
      <c r="BC482" s="71" t="s">
        <v>207</v>
      </c>
      <c r="BD482" s="71">
        <v>19</v>
      </c>
      <c r="BE482" s="71">
        <v>36</v>
      </c>
      <c r="BF482" s="71">
        <v>390</v>
      </c>
      <c r="BG482" s="71">
        <v>212</v>
      </c>
      <c r="BH482" s="71">
        <v>5</v>
      </c>
      <c r="BI482" s="71">
        <v>10</v>
      </c>
      <c r="BJ482" s="12" t="str" cm="1">
        <f t="array" ref="BJ482">_xll.Dce_Name_SectI(BF482, BF482, BG482, BH482, BI482, "x", "-", $AX$11)</f>
        <v>390x212x5x10</v>
      </c>
      <c r="BK482" s="77" cm="1">
        <f t="array" ref="BK482">_xll.DCEPropSectI(BF482, BH482, BG482, BI482, BG482, BI482, "A")/100</f>
        <v>60.9</v>
      </c>
      <c r="BL482" s="70" t="s">
        <v>219</v>
      </c>
      <c r="BM482" s="70">
        <v>132.999761119928</v>
      </c>
      <c r="BN482" s="71">
        <v>0.9</v>
      </c>
      <c r="BO482" s="77">
        <f t="shared" si="67"/>
        <v>32.4</v>
      </c>
      <c r="BP482" s="71">
        <v>0.9</v>
      </c>
      <c r="BQ482" s="77">
        <f t="shared" si="68"/>
        <v>32.4</v>
      </c>
      <c r="BR482" s="77" cm="1">
        <f t="array" ref="BR482">_xll.DCEPropSectI(BF482, BH482, BG482, BI482, BG482, BI482, "rx")/10</f>
        <v>16.91131201300167</v>
      </c>
      <c r="BS482" s="77" cm="1">
        <f t="array" ref="BS482">_xll.DCEPropSectI(BF482, BH482, BG482, BI482, BG482, BI482, "ry")/10</f>
        <v>5.1070747638622018</v>
      </c>
      <c r="BT482" s="5">
        <f t="shared" si="69"/>
        <v>191.58773710218577</v>
      </c>
      <c r="BU482" s="5">
        <f t="shared" si="70"/>
        <v>634.41405301647956</v>
      </c>
      <c r="BV482" s="5">
        <f t="shared" si="71"/>
        <v>634.41405301647956</v>
      </c>
      <c r="BW482" s="71">
        <f t="shared" si="72"/>
        <v>400</v>
      </c>
      <c r="BX482" s="78" cm="1">
        <f t="array" ref="BX482">IF(BM482&gt;0,1,_xll.DCETCVN5575FactorPhi7121(BV482*SQRT($K$17/206000),"b"))</f>
        <v>1</v>
      </c>
      <c r="BY482" s="64">
        <f t="shared" si="73"/>
        <v>0.10399543445142545</v>
      </c>
      <c r="BZ482" s="3" t="str">
        <f t="shared" si="74"/>
        <v>Check</v>
      </c>
    </row>
    <row r="483" spans="1:78">
      <c r="A483" s="76"/>
      <c r="B483" s="76"/>
      <c r="C483" s="125"/>
      <c r="D483" s="125"/>
      <c r="E483" s="71"/>
      <c r="F483" s="71"/>
      <c r="G483" s="71"/>
      <c r="H483" s="126"/>
      <c r="I483" s="125"/>
      <c r="J483" s="123"/>
      <c r="K483" s="12"/>
      <c r="L483" s="117"/>
      <c r="M483" s="12"/>
      <c r="N483" s="117"/>
      <c r="O483" s="117"/>
      <c r="P483" s="117"/>
      <c r="Q483" s="118"/>
      <c r="R483" s="118"/>
      <c r="S483" s="118"/>
      <c r="T483" s="12"/>
      <c r="U483" s="118"/>
      <c r="V483" s="118"/>
      <c r="W483" s="12"/>
      <c r="X483" s="119"/>
      <c r="Y483" s="120"/>
      <c r="Z483" s="12"/>
      <c r="BA483" s="70" t="s">
        <v>205</v>
      </c>
      <c r="BB483" s="71" t="s">
        <v>210</v>
      </c>
      <c r="BC483" s="71" t="s">
        <v>207</v>
      </c>
      <c r="BD483" s="71">
        <v>19.5</v>
      </c>
      <c r="BE483" s="71">
        <v>36</v>
      </c>
      <c r="BF483" s="71">
        <v>390</v>
      </c>
      <c r="BG483" s="71">
        <v>212</v>
      </c>
      <c r="BH483" s="71">
        <v>5</v>
      </c>
      <c r="BI483" s="71">
        <v>10</v>
      </c>
      <c r="BJ483" s="12" t="str" cm="1">
        <f t="array" ref="BJ483">_xll.Dce_Name_SectI(BF483, BF483, BG483, BH483, BI483, "x", "-", $AX$11)</f>
        <v>390x212x5x10</v>
      </c>
      <c r="BK483" s="77" cm="1">
        <f t="array" ref="BK483">_xll.DCEPropSectI(BF483, BH483, BG483, BI483, BG483, BI483, "A")/100</f>
        <v>60.9</v>
      </c>
      <c r="BL483" s="70" t="s">
        <v>219</v>
      </c>
      <c r="BM483" s="70">
        <v>132.999761119928</v>
      </c>
      <c r="BN483" s="71">
        <v>0.9</v>
      </c>
      <c r="BO483" s="77">
        <f t="shared" si="67"/>
        <v>32.4</v>
      </c>
      <c r="BP483" s="71">
        <v>0.9</v>
      </c>
      <c r="BQ483" s="77">
        <f t="shared" si="68"/>
        <v>32.4</v>
      </c>
      <c r="BR483" s="77" cm="1">
        <f t="array" ref="BR483">_xll.DCEPropSectI(BF483, BH483, BG483, BI483, BG483, BI483, "rx")/10</f>
        <v>16.91131201300167</v>
      </c>
      <c r="BS483" s="77" cm="1">
        <f t="array" ref="BS483">_xll.DCEPropSectI(BF483, BH483, BG483, BI483, BG483, BI483, "ry")/10</f>
        <v>5.1070747638622018</v>
      </c>
      <c r="BT483" s="5">
        <f t="shared" si="69"/>
        <v>191.58773710218577</v>
      </c>
      <c r="BU483" s="5">
        <f t="shared" si="70"/>
        <v>634.41405301647956</v>
      </c>
      <c r="BV483" s="5">
        <f t="shared" si="71"/>
        <v>634.41405301647956</v>
      </c>
      <c r="BW483" s="71">
        <f t="shared" si="72"/>
        <v>400</v>
      </c>
      <c r="BX483" s="78" cm="1">
        <f t="array" ref="BX483">IF(BM483&gt;0,1,_xll.DCETCVN5575FactorPhi7121(BV483*SQRT($K$17/206000),"b"))</f>
        <v>1</v>
      </c>
      <c r="BY483" s="64">
        <f t="shared" si="73"/>
        <v>0.10399543445142545</v>
      </c>
      <c r="BZ483" s="3" t="str">
        <f t="shared" si="74"/>
        <v>Check</v>
      </c>
    </row>
    <row r="484" spans="1:78">
      <c r="A484" s="76"/>
      <c r="B484" s="76"/>
      <c r="C484" s="125"/>
      <c r="D484" s="125"/>
      <c r="E484" s="71"/>
      <c r="F484" s="71"/>
      <c r="G484" s="71"/>
      <c r="H484" s="126"/>
      <c r="I484" s="125"/>
      <c r="J484" s="123"/>
      <c r="K484" s="12"/>
      <c r="L484" s="117"/>
      <c r="M484" s="12"/>
      <c r="N484" s="117"/>
      <c r="O484" s="117"/>
      <c r="P484" s="117"/>
      <c r="Q484" s="118"/>
      <c r="R484" s="118"/>
      <c r="S484" s="118"/>
      <c r="T484" s="12"/>
      <c r="U484" s="118"/>
      <c r="V484" s="118"/>
      <c r="W484" s="12"/>
      <c r="X484" s="119"/>
      <c r="Y484" s="120"/>
      <c r="Z484" s="12"/>
      <c r="BA484" s="70" t="s">
        <v>205</v>
      </c>
      <c r="BB484" s="71" t="s">
        <v>210</v>
      </c>
      <c r="BC484" s="71" t="s">
        <v>207</v>
      </c>
      <c r="BD484" s="71">
        <v>20</v>
      </c>
      <c r="BE484" s="71">
        <v>36</v>
      </c>
      <c r="BF484" s="71">
        <v>390</v>
      </c>
      <c r="BG484" s="71">
        <v>212</v>
      </c>
      <c r="BH484" s="71">
        <v>5</v>
      </c>
      <c r="BI484" s="71">
        <v>10</v>
      </c>
      <c r="BJ484" s="12" t="str" cm="1">
        <f t="array" ref="BJ484">_xll.Dce_Name_SectI(BF484, BF484, BG484, BH484, BI484, "x", "-", $AX$11)</f>
        <v>390x212x5x10</v>
      </c>
      <c r="BK484" s="77" cm="1">
        <f t="array" ref="BK484">_xll.DCEPropSectI(BF484, BH484, BG484, BI484, BG484, BI484, "A")/100</f>
        <v>60.9</v>
      </c>
      <c r="BL484" s="70" t="s">
        <v>219</v>
      </c>
      <c r="BM484" s="70">
        <v>132.999761119928</v>
      </c>
      <c r="BN484" s="71">
        <v>0.9</v>
      </c>
      <c r="BO484" s="77">
        <f t="shared" si="67"/>
        <v>32.4</v>
      </c>
      <c r="BP484" s="71">
        <v>0.9</v>
      </c>
      <c r="BQ484" s="77">
        <f t="shared" si="68"/>
        <v>32.4</v>
      </c>
      <c r="BR484" s="77" cm="1">
        <f t="array" ref="BR484">_xll.DCEPropSectI(BF484, BH484, BG484, BI484, BG484, BI484, "rx")/10</f>
        <v>16.91131201300167</v>
      </c>
      <c r="BS484" s="77" cm="1">
        <f t="array" ref="BS484">_xll.DCEPropSectI(BF484, BH484, BG484, BI484, BG484, BI484, "ry")/10</f>
        <v>5.1070747638622018</v>
      </c>
      <c r="BT484" s="5">
        <f t="shared" si="69"/>
        <v>191.58773710218577</v>
      </c>
      <c r="BU484" s="5">
        <f t="shared" si="70"/>
        <v>634.41405301647956</v>
      </c>
      <c r="BV484" s="5">
        <f t="shared" si="71"/>
        <v>634.41405301647956</v>
      </c>
      <c r="BW484" s="71">
        <f t="shared" si="72"/>
        <v>400</v>
      </c>
      <c r="BX484" s="78" cm="1">
        <f t="array" ref="BX484">IF(BM484&gt;0,1,_xll.DCETCVN5575FactorPhi7121(BV484*SQRT($K$17/206000),"b"))</f>
        <v>1</v>
      </c>
      <c r="BY484" s="64">
        <f t="shared" si="73"/>
        <v>0.10399543445142545</v>
      </c>
      <c r="BZ484" s="3" t="str">
        <f t="shared" si="74"/>
        <v>Check</v>
      </c>
    </row>
    <row r="485" spans="1:78">
      <c r="A485" s="76"/>
      <c r="B485" s="76"/>
      <c r="C485" s="125"/>
      <c r="D485" s="125"/>
      <c r="E485" s="71"/>
      <c r="F485" s="71"/>
      <c r="G485" s="71"/>
      <c r="H485" s="126"/>
      <c r="I485" s="125"/>
      <c r="J485" s="123"/>
      <c r="K485" s="12"/>
      <c r="L485" s="117"/>
      <c r="M485" s="12"/>
      <c r="N485" s="117"/>
      <c r="O485" s="117"/>
      <c r="P485" s="117"/>
      <c r="Q485" s="118"/>
      <c r="R485" s="118"/>
      <c r="S485" s="118"/>
      <c r="T485" s="12"/>
      <c r="U485" s="118"/>
      <c r="V485" s="118"/>
      <c r="W485" s="12"/>
      <c r="X485" s="119"/>
      <c r="Y485" s="120"/>
      <c r="Z485" s="12"/>
      <c r="BA485" s="70" t="s">
        <v>205</v>
      </c>
      <c r="BB485" s="71" t="s">
        <v>210</v>
      </c>
      <c r="BC485" s="71" t="s">
        <v>207</v>
      </c>
      <c r="BD485" s="71">
        <v>20.5</v>
      </c>
      <c r="BE485" s="71">
        <v>36</v>
      </c>
      <c r="BF485" s="71">
        <v>390</v>
      </c>
      <c r="BG485" s="71">
        <v>212</v>
      </c>
      <c r="BH485" s="71">
        <v>5</v>
      </c>
      <c r="BI485" s="71">
        <v>10</v>
      </c>
      <c r="BJ485" s="12" t="str" cm="1">
        <f t="array" ref="BJ485">_xll.Dce_Name_SectI(BF485, BF485, BG485, BH485, BI485, "x", "-", $AX$11)</f>
        <v>390x212x5x10</v>
      </c>
      <c r="BK485" s="77" cm="1">
        <f t="array" ref="BK485">_xll.DCEPropSectI(BF485, BH485, BG485, BI485, BG485, BI485, "A")/100</f>
        <v>60.9</v>
      </c>
      <c r="BL485" s="70" t="s">
        <v>219</v>
      </c>
      <c r="BM485" s="70">
        <v>132.999761119928</v>
      </c>
      <c r="BN485" s="71">
        <v>0.9</v>
      </c>
      <c r="BO485" s="77">
        <f t="shared" si="67"/>
        <v>32.4</v>
      </c>
      <c r="BP485" s="71">
        <v>0.9</v>
      </c>
      <c r="BQ485" s="77">
        <f t="shared" si="68"/>
        <v>32.4</v>
      </c>
      <c r="BR485" s="77" cm="1">
        <f t="array" ref="BR485">_xll.DCEPropSectI(BF485, BH485, BG485, BI485, BG485, BI485, "rx")/10</f>
        <v>16.91131201300167</v>
      </c>
      <c r="BS485" s="77" cm="1">
        <f t="array" ref="BS485">_xll.DCEPropSectI(BF485, BH485, BG485, BI485, BG485, BI485, "ry")/10</f>
        <v>5.1070747638622018</v>
      </c>
      <c r="BT485" s="5">
        <f t="shared" si="69"/>
        <v>191.58773710218577</v>
      </c>
      <c r="BU485" s="5">
        <f t="shared" si="70"/>
        <v>634.41405301647956</v>
      </c>
      <c r="BV485" s="5">
        <f t="shared" si="71"/>
        <v>634.41405301647956</v>
      </c>
      <c r="BW485" s="71">
        <f t="shared" si="72"/>
        <v>400</v>
      </c>
      <c r="BX485" s="78" cm="1">
        <f t="array" ref="BX485">IF(BM485&gt;0,1,_xll.DCETCVN5575FactorPhi7121(BV485*SQRT($K$17/206000),"b"))</f>
        <v>1</v>
      </c>
      <c r="BY485" s="64">
        <f t="shared" si="73"/>
        <v>0.10399543445142545</v>
      </c>
      <c r="BZ485" s="3" t="str">
        <f t="shared" si="74"/>
        <v>Check</v>
      </c>
    </row>
    <row r="486" spans="1:78">
      <c r="A486" s="76"/>
      <c r="B486" s="76"/>
      <c r="C486" s="125"/>
      <c r="D486" s="125"/>
      <c r="E486" s="71"/>
      <c r="F486" s="71"/>
      <c r="G486" s="71"/>
      <c r="H486" s="126"/>
      <c r="I486" s="125"/>
      <c r="J486" s="123"/>
      <c r="K486" s="12"/>
      <c r="L486" s="117"/>
      <c r="M486" s="12"/>
      <c r="N486" s="117"/>
      <c r="O486" s="117"/>
      <c r="P486" s="117"/>
      <c r="Q486" s="118"/>
      <c r="R486" s="118"/>
      <c r="S486" s="118"/>
      <c r="T486" s="12"/>
      <c r="U486" s="118"/>
      <c r="V486" s="118"/>
      <c r="W486" s="12"/>
      <c r="X486" s="119"/>
      <c r="Y486" s="120"/>
      <c r="Z486" s="12"/>
      <c r="BA486" s="70" t="s">
        <v>205</v>
      </c>
      <c r="BB486" s="71" t="s">
        <v>210</v>
      </c>
      <c r="BC486" s="71" t="s">
        <v>207</v>
      </c>
      <c r="BD486" s="71">
        <v>21</v>
      </c>
      <c r="BE486" s="71">
        <v>36</v>
      </c>
      <c r="BF486" s="71">
        <v>390</v>
      </c>
      <c r="BG486" s="71">
        <v>212</v>
      </c>
      <c r="BH486" s="71">
        <v>5</v>
      </c>
      <c r="BI486" s="71">
        <v>10</v>
      </c>
      <c r="BJ486" s="12" t="str" cm="1">
        <f t="array" ref="BJ486">_xll.Dce_Name_SectI(BF486, BF486, BG486, BH486, BI486, "x", "-", $AX$11)</f>
        <v>390x212x5x10</v>
      </c>
      <c r="BK486" s="77" cm="1">
        <f t="array" ref="BK486">_xll.DCEPropSectI(BF486, BH486, BG486, BI486, BG486, BI486, "A")/100</f>
        <v>60.9</v>
      </c>
      <c r="BL486" s="70" t="s">
        <v>219</v>
      </c>
      <c r="BM486" s="70">
        <v>132.999761119928</v>
      </c>
      <c r="BN486" s="71">
        <v>0.9</v>
      </c>
      <c r="BO486" s="77">
        <f t="shared" si="67"/>
        <v>32.4</v>
      </c>
      <c r="BP486" s="71">
        <v>0.9</v>
      </c>
      <c r="BQ486" s="77">
        <f t="shared" si="68"/>
        <v>32.4</v>
      </c>
      <c r="BR486" s="77" cm="1">
        <f t="array" ref="BR486">_xll.DCEPropSectI(BF486, BH486, BG486, BI486, BG486, BI486, "rx")/10</f>
        <v>16.91131201300167</v>
      </c>
      <c r="BS486" s="77" cm="1">
        <f t="array" ref="BS486">_xll.DCEPropSectI(BF486, BH486, BG486, BI486, BG486, BI486, "ry")/10</f>
        <v>5.1070747638622018</v>
      </c>
      <c r="BT486" s="5">
        <f t="shared" si="69"/>
        <v>191.58773710218577</v>
      </c>
      <c r="BU486" s="5">
        <f t="shared" si="70"/>
        <v>634.41405301647956</v>
      </c>
      <c r="BV486" s="5">
        <f t="shared" si="71"/>
        <v>634.41405301647956</v>
      </c>
      <c r="BW486" s="71">
        <f t="shared" si="72"/>
        <v>400</v>
      </c>
      <c r="BX486" s="78" cm="1">
        <f t="array" ref="BX486">IF(BM486&gt;0,1,_xll.DCETCVN5575FactorPhi7121(BV486*SQRT($K$17/206000),"b"))</f>
        <v>1</v>
      </c>
      <c r="BY486" s="64">
        <f t="shared" si="73"/>
        <v>0.10399543445142545</v>
      </c>
      <c r="BZ486" s="3" t="str">
        <f t="shared" si="74"/>
        <v>Check</v>
      </c>
    </row>
    <row r="487" spans="1:78">
      <c r="A487" s="76"/>
      <c r="B487" s="76"/>
      <c r="C487" s="125"/>
      <c r="D487" s="125"/>
      <c r="E487" s="71"/>
      <c r="F487" s="71"/>
      <c r="G487" s="71"/>
      <c r="H487" s="126"/>
      <c r="I487" s="125"/>
      <c r="J487" s="123"/>
      <c r="K487" s="12"/>
      <c r="L487" s="117"/>
      <c r="M487" s="12"/>
      <c r="N487" s="117"/>
      <c r="O487" s="117"/>
      <c r="P487" s="117"/>
      <c r="Q487" s="118"/>
      <c r="R487" s="118"/>
      <c r="S487" s="118"/>
      <c r="T487" s="12"/>
      <c r="U487" s="118"/>
      <c r="V487" s="118"/>
      <c r="W487" s="12"/>
      <c r="X487" s="119"/>
      <c r="Y487" s="120"/>
      <c r="Z487" s="12"/>
      <c r="BA487" s="70" t="s">
        <v>205</v>
      </c>
      <c r="BB487" s="71" t="s">
        <v>210</v>
      </c>
      <c r="BC487" s="71" t="s">
        <v>207</v>
      </c>
      <c r="BD487" s="71">
        <v>21.5</v>
      </c>
      <c r="BE487" s="71">
        <v>36</v>
      </c>
      <c r="BF487" s="71">
        <v>390</v>
      </c>
      <c r="BG487" s="71">
        <v>212</v>
      </c>
      <c r="BH487" s="71">
        <v>5</v>
      </c>
      <c r="BI487" s="71">
        <v>10</v>
      </c>
      <c r="BJ487" s="12" t="str" cm="1">
        <f t="array" ref="BJ487">_xll.Dce_Name_SectI(BF487, BF487, BG487, BH487, BI487, "x", "-", $AX$11)</f>
        <v>390x212x5x10</v>
      </c>
      <c r="BK487" s="77" cm="1">
        <f t="array" ref="BK487">_xll.DCEPropSectI(BF487, BH487, BG487, BI487, BG487, BI487, "A")/100</f>
        <v>60.9</v>
      </c>
      <c r="BL487" s="70" t="s">
        <v>219</v>
      </c>
      <c r="BM487" s="70">
        <v>132.999761119928</v>
      </c>
      <c r="BN487" s="71">
        <v>0.9</v>
      </c>
      <c r="BO487" s="77">
        <f t="shared" si="67"/>
        <v>32.4</v>
      </c>
      <c r="BP487" s="71">
        <v>0.9</v>
      </c>
      <c r="BQ487" s="77">
        <f t="shared" si="68"/>
        <v>32.4</v>
      </c>
      <c r="BR487" s="77" cm="1">
        <f t="array" ref="BR487">_xll.DCEPropSectI(BF487, BH487, BG487, BI487, BG487, BI487, "rx")/10</f>
        <v>16.91131201300167</v>
      </c>
      <c r="BS487" s="77" cm="1">
        <f t="array" ref="BS487">_xll.DCEPropSectI(BF487, BH487, BG487, BI487, BG487, BI487, "ry")/10</f>
        <v>5.1070747638622018</v>
      </c>
      <c r="BT487" s="5">
        <f t="shared" si="69"/>
        <v>191.58773710218577</v>
      </c>
      <c r="BU487" s="5">
        <f t="shared" si="70"/>
        <v>634.41405301647956</v>
      </c>
      <c r="BV487" s="5">
        <f t="shared" si="71"/>
        <v>634.41405301647956</v>
      </c>
      <c r="BW487" s="71">
        <f t="shared" si="72"/>
        <v>400</v>
      </c>
      <c r="BX487" s="78" cm="1">
        <f t="array" ref="BX487">IF(BM487&gt;0,1,_xll.DCETCVN5575FactorPhi7121(BV487*SQRT($K$17/206000),"b"))</f>
        <v>1</v>
      </c>
      <c r="BY487" s="64">
        <f t="shared" si="73"/>
        <v>0.10399543445142545</v>
      </c>
      <c r="BZ487" s="3" t="str">
        <f t="shared" si="74"/>
        <v>Check</v>
      </c>
    </row>
    <row r="488" spans="1:78">
      <c r="A488" s="76"/>
      <c r="B488" s="76"/>
      <c r="C488" s="125"/>
      <c r="D488" s="125"/>
      <c r="E488" s="71"/>
      <c r="F488" s="71"/>
      <c r="G488" s="71"/>
      <c r="H488" s="126"/>
      <c r="I488" s="125"/>
      <c r="J488" s="123"/>
      <c r="K488" s="12"/>
      <c r="L488" s="117"/>
      <c r="M488" s="12"/>
      <c r="N488" s="117"/>
      <c r="O488" s="117"/>
      <c r="P488" s="117"/>
      <c r="Q488" s="118"/>
      <c r="R488" s="118"/>
      <c r="S488" s="118"/>
      <c r="T488" s="12"/>
      <c r="U488" s="118"/>
      <c r="V488" s="118"/>
      <c r="W488" s="12"/>
      <c r="X488" s="119"/>
      <c r="Y488" s="120"/>
      <c r="Z488" s="12"/>
      <c r="BA488" s="70" t="s">
        <v>205</v>
      </c>
      <c r="BB488" s="71" t="s">
        <v>210</v>
      </c>
      <c r="BC488" s="71" t="s">
        <v>207</v>
      </c>
      <c r="BD488" s="71">
        <v>22</v>
      </c>
      <c r="BE488" s="71">
        <v>36</v>
      </c>
      <c r="BF488" s="71">
        <v>390</v>
      </c>
      <c r="BG488" s="71">
        <v>212</v>
      </c>
      <c r="BH488" s="71">
        <v>5</v>
      </c>
      <c r="BI488" s="71">
        <v>10</v>
      </c>
      <c r="BJ488" s="12" t="str" cm="1">
        <f t="array" ref="BJ488">_xll.Dce_Name_SectI(BF488, BF488, BG488, BH488, BI488, "x", "-", $AX$11)</f>
        <v>390x212x5x10</v>
      </c>
      <c r="BK488" s="77" cm="1">
        <f t="array" ref="BK488">_xll.DCEPropSectI(BF488, BH488, BG488, BI488, BG488, BI488, "A")/100</f>
        <v>60.9</v>
      </c>
      <c r="BL488" s="70" t="s">
        <v>219</v>
      </c>
      <c r="BM488" s="70">
        <v>132.999761119928</v>
      </c>
      <c r="BN488" s="71">
        <v>0.9</v>
      </c>
      <c r="BO488" s="77">
        <f t="shared" si="67"/>
        <v>32.4</v>
      </c>
      <c r="BP488" s="71">
        <v>0.9</v>
      </c>
      <c r="BQ488" s="77">
        <f t="shared" si="68"/>
        <v>32.4</v>
      </c>
      <c r="BR488" s="77" cm="1">
        <f t="array" ref="BR488">_xll.DCEPropSectI(BF488, BH488, BG488, BI488, BG488, BI488, "rx")/10</f>
        <v>16.91131201300167</v>
      </c>
      <c r="BS488" s="77" cm="1">
        <f t="array" ref="BS488">_xll.DCEPropSectI(BF488, BH488, BG488, BI488, BG488, BI488, "ry")/10</f>
        <v>5.1070747638622018</v>
      </c>
      <c r="BT488" s="5">
        <f t="shared" si="69"/>
        <v>191.58773710218577</v>
      </c>
      <c r="BU488" s="5">
        <f t="shared" si="70"/>
        <v>634.41405301647956</v>
      </c>
      <c r="BV488" s="5">
        <f t="shared" si="71"/>
        <v>634.41405301647956</v>
      </c>
      <c r="BW488" s="71">
        <f t="shared" si="72"/>
        <v>400</v>
      </c>
      <c r="BX488" s="78" cm="1">
        <f t="array" ref="BX488">IF(BM488&gt;0,1,_xll.DCETCVN5575FactorPhi7121(BV488*SQRT($K$17/206000),"b"))</f>
        <v>1</v>
      </c>
      <c r="BY488" s="64">
        <f t="shared" si="73"/>
        <v>0.10399543445142545</v>
      </c>
      <c r="BZ488" s="3" t="str">
        <f t="shared" si="74"/>
        <v>Check</v>
      </c>
    </row>
    <row r="489" spans="1:78">
      <c r="A489" s="76"/>
      <c r="B489" s="76"/>
      <c r="C489" s="125"/>
      <c r="D489" s="125"/>
      <c r="E489" s="71"/>
      <c r="F489" s="71"/>
      <c r="G489" s="71"/>
      <c r="H489" s="126"/>
      <c r="I489" s="125"/>
      <c r="J489" s="123"/>
      <c r="K489" s="12"/>
      <c r="L489" s="117"/>
      <c r="M489" s="12"/>
      <c r="N489" s="117"/>
      <c r="O489" s="117"/>
      <c r="P489" s="117"/>
      <c r="Q489" s="118"/>
      <c r="R489" s="118"/>
      <c r="S489" s="118"/>
      <c r="T489" s="12"/>
      <c r="U489" s="118"/>
      <c r="V489" s="118"/>
      <c r="W489" s="12"/>
      <c r="X489" s="119"/>
      <c r="Y489" s="120"/>
      <c r="Z489" s="12"/>
      <c r="BA489" s="70" t="s">
        <v>205</v>
      </c>
      <c r="BB489" s="71" t="s">
        <v>210</v>
      </c>
      <c r="BC489" s="71" t="s">
        <v>207</v>
      </c>
      <c r="BD489" s="71">
        <v>22.5</v>
      </c>
      <c r="BE489" s="71">
        <v>36</v>
      </c>
      <c r="BF489" s="71">
        <v>390</v>
      </c>
      <c r="BG489" s="71">
        <v>212</v>
      </c>
      <c r="BH489" s="71">
        <v>5</v>
      </c>
      <c r="BI489" s="71">
        <v>10</v>
      </c>
      <c r="BJ489" s="12" t="str" cm="1">
        <f t="array" ref="BJ489">_xll.Dce_Name_SectI(BF489, BF489, BG489, BH489, BI489, "x", "-", $AX$11)</f>
        <v>390x212x5x10</v>
      </c>
      <c r="BK489" s="77" cm="1">
        <f t="array" ref="BK489">_xll.DCEPropSectI(BF489, BH489, BG489, BI489, BG489, BI489, "A")/100</f>
        <v>60.9</v>
      </c>
      <c r="BL489" s="70" t="s">
        <v>219</v>
      </c>
      <c r="BM489" s="70">
        <v>132.999761119928</v>
      </c>
      <c r="BN489" s="71">
        <v>0.9</v>
      </c>
      <c r="BO489" s="77">
        <f t="shared" si="67"/>
        <v>32.4</v>
      </c>
      <c r="BP489" s="71">
        <v>0.9</v>
      </c>
      <c r="BQ489" s="77">
        <f t="shared" si="68"/>
        <v>32.4</v>
      </c>
      <c r="BR489" s="77" cm="1">
        <f t="array" ref="BR489">_xll.DCEPropSectI(BF489, BH489, BG489, BI489, BG489, BI489, "rx")/10</f>
        <v>16.91131201300167</v>
      </c>
      <c r="BS489" s="77" cm="1">
        <f t="array" ref="BS489">_xll.DCEPropSectI(BF489, BH489, BG489, BI489, BG489, BI489, "ry")/10</f>
        <v>5.1070747638622018</v>
      </c>
      <c r="BT489" s="5">
        <f t="shared" si="69"/>
        <v>191.58773710218577</v>
      </c>
      <c r="BU489" s="5">
        <f t="shared" si="70"/>
        <v>634.41405301647956</v>
      </c>
      <c r="BV489" s="5">
        <f t="shared" si="71"/>
        <v>634.41405301647956</v>
      </c>
      <c r="BW489" s="71">
        <f t="shared" si="72"/>
        <v>400</v>
      </c>
      <c r="BX489" s="78" cm="1">
        <f t="array" ref="BX489">IF(BM489&gt;0,1,_xll.DCETCVN5575FactorPhi7121(BV489*SQRT($K$17/206000),"b"))</f>
        <v>1</v>
      </c>
      <c r="BY489" s="64">
        <f t="shared" si="73"/>
        <v>0.10399543445142545</v>
      </c>
      <c r="BZ489" s="3" t="str">
        <f t="shared" si="74"/>
        <v>Check</v>
      </c>
    </row>
    <row r="490" spans="1:78">
      <c r="A490" s="76"/>
      <c r="B490" s="76"/>
      <c r="C490" s="125"/>
      <c r="D490" s="125"/>
      <c r="E490" s="71"/>
      <c r="F490" s="71"/>
      <c r="G490" s="71"/>
      <c r="H490" s="126"/>
      <c r="I490" s="125"/>
      <c r="J490" s="123"/>
      <c r="K490" s="12"/>
      <c r="L490" s="117"/>
      <c r="M490" s="12"/>
      <c r="N490" s="117"/>
      <c r="O490" s="117"/>
      <c r="P490" s="117"/>
      <c r="Q490" s="118"/>
      <c r="R490" s="118"/>
      <c r="S490" s="118"/>
      <c r="T490" s="12"/>
      <c r="U490" s="118"/>
      <c r="V490" s="118"/>
      <c r="W490" s="12"/>
      <c r="X490" s="119"/>
      <c r="Y490" s="120"/>
      <c r="Z490" s="12"/>
      <c r="BA490" s="70" t="s">
        <v>205</v>
      </c>
      <c r="BB490" s="71" t="s">
        <v>210</v>
      </c>
      <c r="BC490" s="71" t="s">
        <v>207</v>
      </c>
      <c r="BD490" s="71">
        <v>22.5</v>
      </c>
      <c r="BE490" s="71">
        <v>36</v>
      </c>
      <c r="BF490" s="71">
        <v>390</v>
      </c>
      <c r="BG490" s="71">
        <v>212</v>
      </c>
      <c r="BH490" s="71">
        <v>5</v>
      </c>
      <c r="BI490" s="71">
        <v>10</v>
      </c>
      <c r="BJ490" s="12" t="str" cm="1">
        <f t="array" ref="BJ490">_xll.Dce_Name_SectI(BF490, BF490, BG490, BH490, BI490, "x", "-", $AX$11)</f>
        <v>390x212x5x10</v>
      </c>
      <c r="BK490" s="77" cm="1">
        <f t="array" ref="BK490">_xll.DCEPropSectI(BF490, BH490, BG490, BI490, BG490, BI490, "A")/100</f>
        <v>60.9</v>
      </c>
      <c r="BL490" s="70" t="s">
        <v>219</v>
      </c>
      <c r="BM490" s="70">
        <v>39.663599870702129</v>
      </c>
      <c r="BN490" s="71">
        <v>0.9</v>
      </c>
      <c r="BO490" s="77">
        <f t="shared" si="67"/>
        <v>32.4</v>
      </c>
      <c r="BP490" s="71">
        <v>0.9</v>
      </c>
      <c r="BQ490" s="77">
        <f t="shared" si="68"/>
        <v>32.4</v>
      </c>
      <c r="BR490" s="77" cm="1">
        <f t="array" ref="BR490">_xll.DCEPropSectI(BF490, BH490, BG490, BI490, BG490, BI490, "rx")/10</f>
        <v>16.91131201300167</v>
      </c>
      <c r="BS490" s="77" cm="1">
        <f t="array" ref="BS490">_xll.DCEPropSectI(BF490, BH490, BG490, BI490, BG490, BI490, "ry")/10</f>
        <v>5.1070747638622018</v>
      </c>
      <c r="BT490" s="5">
        <f t="shared" si="69"/>
        <v>191.58773710218577</v>
      </c>
      <c r="BU490" s="5">
        <f t="shared" si="70"/>
        <v>634.41405301647956</v>
      </c>
      <c r="BV490" s="5">
        <f t="shared" si="71"/>
        <v>634.41405301647956</v>
      </c>
      <c r="BW490" s="71">
        <f t="shared" si="72"/>
        <v>400</v>
      </c>
      <c r="BX490" s="78" cm="1">
        <f t="array" ref="BX490">IF(BM490&gt;0,1,_xll.DCETCVN5575FactorPhi7121(BV490*SQRT($K$17/206000),"b"))</f>
        <v>1</v>
      </c>
      <c r="BY490" s="64">
        <f t="shared" si="73"/>
        <v>3.1013839917665289E-2</v>
      </c>
      <c r="BZ490" s="3" t="str">
        <f t="shared" si="74"/>
        <v>Check</v>
      </c>
    </row>
    <row r="491" spans="1:78">
      <c r="A491" s="76"/>
      <c r="B491" s="76"/>
      <c r="C491" s="125"/>
      <c r="D491" s="125"/>
      <c r="E491" s="71"/>
      <c r="F491" s="71"/>
      <c r="G491" s="71"/>
      <c r="H491" s="126"/>
      <c r="I491" s="125"/>
      <c r="J491" s="123"/>
      <c r="K491" s="12"/>
      <c r="L491" s="117"/>
      <c r="M491" s="12"/>
      <c r="N491" s="117"/>
      <c r="O491" s="117"/>
      <c r="P491" s="117"/>
      <c r="Q491" s="118"/>
      <c r="R491" s="118"/>
      <c r="S491" s="118"/>
      <c r="T491" s="12"/>
      <c r="U491" s="118"/>
      <c r="V491" s="118"/>
      <c r="W491" s="12"/>
      <c r="X491" s="119"/>
      <c r="Y491" s="120"/>
      <c r="Z491" s="12"/>
      <c r="BA491" s="70" t="s">
        <v>205</v>
      </c>
      <c r="BB491" s="71" t="s">
        <v>210</v>
      </c>
      <c r="BC491" s="71" t="s">
        <v>207</v>
      </c>
      <c r="BD491" s="71">
        <v>23</v>
      </c>
      <c r="BE491" s="71">
        <v>36</v>
      </c>
      <c r="BF491" s="71">
        <v>390</v>
      </c>
      <c r="BG491" s="71">
        <v>212</v>
      </c>
      <c r="BH491" s="71">
        <v>5</v>
      </c>
      <c r="BI491" s="71">
        <v>10</v>
      </c>
      <c r="BJ491" s="12" t="str" cm="1">
        <f t="array" ref="BJ491">_xll.Dce_Name_SectI(BF491, BF491, BG491, BH491, BI491, "x", "-", $AX$11)</f>
        <v>390x212x5x10</v>
      </c>
      <c r="BK491" s="77" cm="1">
        <f t="array" ref="BK491">_xll.DCEPropSectI(BF491, BH491, BG491, BI491, BG491, BI491, "A")/100</f>
        <v>60.9</v>
      </c>
      <c r="BL491" s="70" t="s">
        <v>219</v>
      </c>
      <c r="BM491" s="70">
        <v>39.663599870702129</v>
      </c>
      <c r="BN491" s="71">
        <v>0.9</v>
      </c>
      <c r="BO491" s="77">
        <f t="shared" si="67"/>
        <v>32.4</v>
      </c>
      <c r="BP491" s="71">
        <v>0.9</v>
      </c>
      <c r="BQ491" s="77">
        <f t="shared" si="68"/>
        <v>32.4</v>
      </c>
      <c r="BR491" s="77" cm="1">
        <f t="array" ref="BR491">_xll.DCEPropSectI(BF491, BH491, BG491, BI491, BG491, BI491, "rx")/10</f>
        <v>16.91131201300167</v>
      </c>
      <c r="BS491" s="77" cm="1">
        <f t="array" ref="BS491">_xll.DCEPropSectI(BF491, BH491, BG491, BI491, BG491, BI491, "ry")/10</f>
        <v>5.1070747638622018</v>
      </c>
      <c r="BT491" s="5">
        <f t="shared" si="69"/>
        <v>191.58773710218577</v>
      </c>
      <c r="BU491" s="5">
        <f t="shared" si="70"/>
        <v>634.41405301647956</v>
      </c>
      <c r="BV491" s="5">
        <f t="shared" si="71"/>
        <v>634.41405301647956</v>
      </c>
      <c r="BW491" s="71">
        <f t="shared" si="72"/>
        <v>400</v>
      </c>
      <c r="BX491" s="78" cm="1">
        <f t="array" ref="BX491">IF(BM491&gt;0,1,_xll.DCETCVN5575FactorPhi7121(BV491*SQRT($K$17/206000),"b"))</f>
        <v>1</v>
      </c>
      <c r="BY491" s="64">
        <f t="shared" si="73"/>
        <v>3.1013839917665289E-2</v>
      </c>
      <c r="BZ491" s="3" t="str">
        <f t="shared" si="74"/>
        <v>Check</v>
      </c>
    </row>
    <row r="492" spans="1:78">
      <c r="A492" s="76"/>
      <c r="B492" s="76"/>
      <c r="C492" s="125"/>
      <c r="D492" s="125"/>
      <c r="E492" s="71"/>
      <c r="F492" s="71"/>
      <c r="G492" s="71"/>
      <c r="H492" s="126"/>
      <c r="I492" s="125"/>
      <c r="J492" s="123"/>
      <c r="K492" s="12"/>
      <c r="L492" s="117"/>
      <c r="M492" s="12"/>
      <c r="N492" s="117"/>
      <c r="O492" s="117"/>
      <c r="P492" s="117"/>
      <c r="Q492" s="118"/>
      <c r="R492" s="118"/>
      <c r="S492" s="118"/>
      <c r="T492" s="12"/>
      <c r="U492" s="118"/>
      <c r="V492" s="118"/>
      <c r="W492" s="12"/>
      <c r="X492" s="119"/>
      <c r="Y492" s="120"/>
      <c r="Z492" s="12"/>
      <c r="BA492" s="70" t="s">
        <v>205</v>
      </c>
      <c r="BB492" s="71" t="s">
        <v>210</v>
      </c>
      <c r="BC492" s="71" t="s">
        <v>207</v>
      </c>
      <c r="BD492" s="71">
        <v>23.5</v>
      </c>
      <c r="BE492" s="71">
        <v>36</v>
      </c>
      <c r="BF492" s="71">
        <v>390</v>
      </c>
      <c r="BG492" s="71">
        <v>212</v>
      </c>
      <c r="BH492" s="71">
        <v>5</v>
      </c>
      <c r="BI492" s="71">
        <v>10</v>
      </c>
      <c r="BJ492" s="12" t="str" cm="1">
        <f t="array" ref="BJ492">_xll.Dce_Name_SectI(BF492, BF492, BG492, BH492, BI492, "x", "-", $AX$11)</f>
        <v>390x212x5x10</v>
      </c>
      <c r="BK492" s="77" cm="1">
        <f t="array" ref="BK492">_xll.DCEPropSectI(BF492, BH492, BG492, BI492, BG492, BI492, "A")/100</f>
        <v>60.9</v>
      </c>
      <c r="BL492" s="70" t="s">
        <v>219</v>
      </c>
      <c r="BM492" s="70">
        <v>39.663599870702129</v>
      </c>
      <c r="BN492" s="71">
        <v>0.9</v>
      </c>
      <c r="BO492" s="77">
        <f t="shared" si="67"/>
        <v>32.4</v>
      </c>
      <c r="BP492" s="71">
        <v>0.9</v>
      </c>
      <c r="BQ492" s="77">
        <f t="shared" si="68"/>
        <v>32.4</v>
      </c>
      <c r="BR492" s="77" cm="1">
        <f t="array" ref="BR492">_xll.DCEPropSectI(BF492, BH492, BG492, BI492, BG492, BI492, "rx")/10</f>
        <v>16.91131201300167</v>
      </c>
      <c r="BS492" s="77" cm="1">
        <f t="array" ref="BS492">_xll.DCEPropSectI(BF492, BH492, BG492, BI492, BG492, BI492, "ry")/10</f>
        <v>5.1070747638622018</v>
      </c>
      <c r="BT492" s="5">
        <f t="shared" si="69"/>
        <v>191.58773710218577</v>
      </c>
      <c r="BU492" s="5">
        <f t="shared" si="70"/>
        <v>634.41405301647956</v>
      </c>
      <c r="BV492" s="5">
        <f t="shared" si="71"/>
        <v>634.41405301647956</v>
      </c>
      <c r="BW492" s="71">
        <f t="shared" si="72"/>
        <v>400</v>
      </c>
      <c r="BX492" s="78" cm="1">
        <f t="array" ref="BX492">IF(BM492&gt;0,1,_xll.DCETCVN5575FactorPhi7121(BV492*SQRT($K$17/206000),"b"))</f>
        <v>1</v>
      </c>
      <c r="BY492" s="64">
        <f t="shared" si="73"/>
        <v>3.1013839917665289E-2</v>
      </c>
      <c r="BZ492" s="3" t="str">
        <f t="shared" si="74"/>
        <v>Check</v>
      </c>
    </row>
    <row r="493" spans="1:78">
      <c r="A493" s="76"/>
      <c r="B493" s="76"/>
      <c r="C493" s="125"/>
      <c r="D493" s="125"/>
      <c r="E493" s="71"/>
      <c r="F493" s="71"/>
      <c r="G493" s="71"/>
      <c r="H493" s="126"/>
      <c r="I493" s="125"/>
      <c r="J493" s="123"/>
      <c r="K493" s="12"/>
      <c r="L493" s="117"/>
      <c r="M493" s="12"/>
      <c r="N493" s="117"/>
      <c r="O493" s="117"/>
      <c r="P493" s="117"/>
      <c r="Q493" s="118"/>
      <c r="R493" s="118"/>
      <c r="S493" s="118"/>
      <c r="T493" s="12"/>
      <c r="U493" s="118"/>
      <c r="V493" s="118"/>
      <c r="W493" s="12"/>
      <c r="X493" s="119"/>
      <c r="Y493" s="120"/>
      <c r="Z493" s="12"/>
      <c r="BA493" s="70" t="s">
        <v>205</v>
      </c>
      <c r="BB493" s="71" t="s">
        <v>210</v>
      </c>
      <c r="BC493" s="71" t="s">
        <v>207</v>
      </c>
      <c r="BD493" s="71">
        <v>24</v>
      </c>
      <c r="BE493" s="71">
        <v>36</v>
      </c>
      <c r="BF493" s="71">
        <v>390</v>
      </c>
      <c r="BG493" s="71">
        <v>212</v>
      </c>
      <c r="BH493" s="71">
        <v>5</v>
      </c>
      <c r="BI493" s="71">
        <v>10</v>
      </c>
      <c r="BJ493" s="12" t="str" cm="1">
        <f t="array" ref="BJ493">_xll.Dce_Name_SectI(BF493, BF493, BG493, BH493, BI493, "x", "-", $AX$11)</f>
        <v>390x212x5x10</v>
      </c>
      <c r="BK493" s="77" cm="1">
        <f t="array" ref="BK493">_xll.DCEPropSectI(BF493, BH493, BG493, BI493, BG493, BI493, "A")/100</f>
        <v>60.9</v>
      </c>
      <c r="BL493" s="70" t="s">
        <v>219</v>
      </c>
      <c r="BM493" s="70">
        <v>39.663599870702129</v>
      </c>
      <c r="BN493" s="71">
        <v>0.9</v>
      </c>
      <c r="BO493" s="77">
        <f t="shared" si="67"/>
        <v>32.4</v>
      </c>
      <c r="BP493" s="71">
        <v>0.9</v>
      </c>
      <c r="BQ493" s="77">
        <f t="shared" si="68"/>
        <v>32.4</v>
      </c>
      <c r="BR493" s="77" cm="1">
        <f t="array" ref="BR493">_xll.DCEPropSectI(BF493, BH493, BG493, BI493, BG493, BI493, "rx")/10</f>
        <v>16.91131201300167</v>
      </c>
      <c r="BS493" s="77" cm="1">
        <f t="array" ref="BS493">_xll.DCEPropSectI(BF493, BH493, BG493, BI493, BG493, BI493, "ry")/10</f>
        <v>5.1070747638622018</v>
      </c>
      <c r="BT493" s="5">
        <f t="shared" si="69"/>
        <v>191.58773710218577</v>
      </c>
      <c r="BU493" s="5">
        <f t="shared" si="70"/>
        <v>634.41405301647956</v>
      </c>
      <c r="BV493" s="5">
        <f t="shared" si="71"/>
        <v>634.41405301647956</v>
      </c>
      <c r="BW493" s="71">
        <f t="shared" si="72"/>
        <v>400</v>
      </c>
      <c r="BX493" s="78" cm="1">
        <f t="array" ref="BX493">IF(BM493&gt;0,1,_xll.DCETCVN5575FactorPhi7121(BV493*SQRT($K$17/206000),"b"))</f>
        <v>1</v>
      </c>
      <c r="BY493" s="64">
        <f t="shared" si="73"/>
        <v>3.1013839917665289E-2</v>
      </c>
      <c r="BZ493" s="3" t="str">
        <f t="shared" si="74"/>
        <v>Check</v>
      </c>
    </row>
    <row r="494" spans="1:78">
      <c r="A494" s="76"/>
      <c r="B494" s="76"/>
      <c r="C494" s="125"/>
      <c r="D494" s="125"/>
      <c r="E494" s="71"/>
      <c r="F494" s="71"/>
      <c r="G494" s="71"/>
      <c r="H494" s="126"/>
      <c r="I494" s="125"/>
      <c r="J494" s="123"/>
      <c r="K494" s="12"/>
      <c r="L494" s="117"/>
      <c r="M494" s="12"/>
      <c r="N494" s="117"/>
      <c r="O494" s="117"/>
      <c r="P494" s="117"/>
      <c r="Q494" s="118"/>
      <c r="R494" s="118"/>
      <c r="S494" s="118"/>
      <c r="T494" s="12"/>
      <c r="U494" s="118"/>
      <c r="V494" s="118"/>
      <c r="W494" s="12"/>
      <c r="X494" s="119"/>
      <c r="Y494" s="120"/>
      <c r="Z494" s="12"/>
      <c r="BA494" s="70" t="s">
        <v>205</v>
      </c>
      <c r="BB494" s="71" t="s">
        <v>210</v>
      </c>
      <c r="BC494" s="71" t="s">
        <v>207</v>
      </c>
      <c r="BD494" s="71">
        <v>24.5</v>
      </c>
      <c r="BE494" s="71">
        <v>36</v>
      </c>
      <c r="BF494" s="71">
        <v>390</v>
      </c>
      <c r="BG494" s="71">
        <v>212</v>
      </c>
      <c r="BH494" s="71">
        <v>5</v>
      </c>
      <c r="BI494" s="71">
        <v>10</v>
      </c>
      <c r="BJ494" s="12" t="str" cm="1">
        <f t="array" ref="BJ494">_xll.Dce_Name_SectI(BF494, BF494, BG494, BH494, BI494, "x", "-", $AX$11)</f>
        <v>390x212x5x10</v>
      </c>
      <c r="BK494" s="77" cm="1">
        <f t="array" ref="BK494">_xll.DCEPropSectI(BF494, BH494, BG494, BI494, BG494, BI494, "A")/100</f>
        <v>60.9</v>
      </c>
      <c r="BL494" s="70" t="s">
        <v>219</v>
      </c>
      <c r="BM494" s="70">
        <v>39.663599870702129</v>
      </c>
      <c r="BN494" s="71">
        <v>0.9</v>
      </c>
      <c r="BO494" s="77">
        <f t="shared" si="67"/>
        <v>32.4</v>
      </c>
      <c r="BP494" s="71">
        <v>0.9</v>
      </c>
      <c r="BQ494" s="77">
        <f t="shared" si="68"/>
        <v>32.4</v>
      </c>
      <c r="BR494" s="77" cm="1">
        <f t="array" ref="BR494">_xll.DCEPropSectI(BF494, BH494, BG494, BI494, BG494, BI494, "rx")/10</f>
        <v>16.91131201300167</v>
      </c>
      <c r="BS494" s="77" cm="1">
        <f t="array" ref="BS494">_xll.DCEPropSectI(BF494, BH494, BG494, BI494, BG494, BI494, "ry")/10</f>
        <v>5.1070747638622018</v>
      </c>
      <c r="BT494" s="5">
        <f t="shared" si="69"/>
        <v>191.58773710218577</v>
      </c>
      <c r="BU494" s="5">
        <f t="shared" si="70"/>
        <v>634.41405301647956</v>
      </c>
      <c r="BV494" s="5">
        <f t="shared" si="71"/>
        <v>634.41405301647956</v>
      </c>
      <c r="BW494" s="71">
        <f t="shared" si="72"/>
        <v>400</v>
      </c>
      <c r="BX494" s="78" cm="1">
        <f t="array" ref="BX494">IF(BM494&gt;0,1,_xll.DCETCVN5575FactorPhi7121(BV494*SQRT($K$17/206000),"b"))</f>
        <v>1</v>
      </c>
      <c r="BY494" s="64">
        <f t="shared" si="73"/>
        <v>3.1013839917665289E-2</v>
      </c>
      <c r="BZ494" s="3" t="str">
        <f t="shared" si="74"/>
        <v>Check</v>
      </c>
    </row>
    <row r="495" spans="1:78">
      <c r="A495" s="76"/>
      <c r="B495" s="76"/>
      <c r="C495" s="125"/>
      <c r="D495" s="125"/>
      <c r="E495" s="71"/>
      <c r="F495" s="71"/>
      <c r="G495" s="71"/>
      <c r="H495" s="126"/>
      <c r="I495" s="125"/>
      <c r="J495" s="123"/>
      <c r="K495" s="12"/>
      <c r="L495" s="117"/>
      <c r="M495" s="12"/>
      <c r="N495" s="117"/>
      <c r="O495" s="117"/>
      <c r="P495" s="117"/>
      <c r="Q495" s="118"/>
      <c r="R495" s="118"/>
      <c r="S495" s="118"/>
      <c r="T495" s="12"/>
      <c r="U495" s="118"/>
      <c r="V495" s="118"/>
      <c r="W495" s="12"/>
      <c r="X495" s="119"/>
      <c r="Y495" s="120"/>
      <c r="Z495" s="12"/>
      <c r="BA495" s="70" t="s">
        <v>205</v>
      </c>
      <c r="BB495" s="71" t="s">
        <v>210</v>
      </c>
      <c r="BC495" s="71" t="s">
        <v>207</v>
      </c>
      <c r="BD495" s="71">
        <v>25</v>
      </c>
      <c r="BE495" s="71">
        <v>36</v>
      </c>
      <c r="BF495" s="71">
        <v>390</v>
      </c>
      <c r="BG495" s="71">
        <v>212</v>
      </c>
      <c r="BH495" s="71">
        <v>5</v>
      </c>
      <c r="BI495" s="71">
        <v>10</v>
      </c>
      <c r="BJ495" s="12" t="str" cm="1">
        <f t="array" ref="BJ495">_xll.Dce_Name_SectI(BF495, BF495, BG495, BH495, BI495, "x", "-", $AX$11)</f>
        <v>390x212x5x10</v>
      </c>
      <c r="BK495" s="77" cm="1">
        <f t="array" ref="BK495">_xll.DCEPropSectI(BF495, BH495, BG495, BI495, BG495, BI495, "A")/100</f>
        <v>60.9</v>
      </c>
      <c r="BL495" s="70" t="s">
        <v>219</v>
      </c>
      <c r="BM495" s="70">
        <v>39.663599870702129</v>
      </c>
      <c r="BN495" s="71">
        <v>0.9</v>
      </c>
      <c r="BO495" s="77">
        <f t="shared" si="67"/>
        <v>32.4</v>
      </c>
      <c r="BP495" s="71">
        <v>0.9</v>
      </c>
      <c r="BQ495" s="77">
        <f t="shared" si="68"/>
        <v>32.4</v>
      </c>
      <c r="BR495" s="77" cm="1">
        <f t="array" ref="BR495">_xll.DCEPropSectI(BF495, BH495, BG495, BI495, BG495, BI495, "rx")/10</f>
        <v>16.91131201300167</v>
      </c>
      <c r="BS495" s="77" cm="1">
        <f t="array" ref="BS495">_xll.DCEPropSectI(BF495, BH495, BG495, BI495, BG495, BI495, "ry")/10</f>
        <v>5.1070747638622018</v>
      </c>
      <c r="BT495" s="5">
        <f t="shared" si="69"/>
        <v>191.58773710218577</v>
      </c>
      <c r="BU495" s="5">
        <f t="shared" si="70"/>
        <v>634.41405301647956</v>
      </c>
      <c r="BV495" s="5">
        <f t="shared" si="71"/>
        <v>634.41405301647956</v>
      </c>
      <c r="BW495" s="71">
        <f t="shared" si="72"/>
        <v>400</v>
      </c>
      <c r="BX495" s="78" cm="1">
        <f t="array" ref="BX495">IF(BM495&gt;0,1,_xll.DCETCVN5575FactorPhi7121(BV495*SQRT($K$17/206000),"b"))</f>
        <v>1</v>
      </c>
      <c r="BY495" s="64">
        <f t="shared" si="73"/>
        <v>3.1013839917665289E-2</v>
      </c>
      <c r="BZ495" s="3" t="str">
        <f t="shared" si="74"/>
        <v>Check</v>
      </c>
    </row>
    <row r="496" spans="1:78">
      <c r="A496" s="76"/>
      <c r="B496" s="76"/>
      <c r="C496" s="125"/>
      <c r="D496" s="125"/>
      <c r="E496" s="71"/>
      <c r="F496" s="71"/>
      <c r="G496" s="71"/>
      <c r="H496" s="126"/>
      <c r="I496" s="125"/>
      <c r="J496" s="123"/>
      <c r="K496" s="12"/>
      <c r="L496" s="117"/>
      <c r="M496" s="12"/>
      <c r="N496" s="117"/>
      <c r="O496" s="117"/>
      <c r="P496" s="117"/>
      <c r="Q496" s="118"/>
      <c r="R496" s="118"/>
      <c r="S496" s="118"/>
      <c r="T496" s="12"/>
      <c r="U496" s="118"/>
      <c r="V496" s="118"/>
      <c r="W496" s="12"/>
      <c r="X496" s="119"/>
      <c r="Y496" s="120"/>
      <c r="Z496" s="12"/>
      <c r="BA496" s="70" t="s">
        <v>205</v>
      </c>
      <c r="BB496" s="71" t="s">
        <v>210</v>
      </c>
      <c r="BC496" s="71" t="s">
        <v>207</v>
      </c>
      <c r="BD496" s="71">
        <v>25.5</v>
      </c>
      <c r="BE496" s="71">
        <v>36</v>
      </c>
      <c r="BF496" s="71">
        <v>390</v>
      </c>
      <c r="BG496" s="71">
        <v>212</v>
      </c>
      <c r="BH496" s="71">
        <v>5</v>
      </c>
      <c r="BI496" s="71">
        <v>10</v>
      </c>
      <c r="BJ496" s="12" t="str" cm="1">
        <f t="array" ref="BJ496">_xll.Dce_Name_SectI(BF496, BF496, BG496, BH496, BI496, "x", "-", $AX$11)</f>
        <v>390x212x5x10</v>
      </c>
      <c r="BK496" s="77" cm="1">
        <f t="array" ref="BK496">_xll.DCEPropSectI(BF496, BH496, BG496, BI496, BG496, BI496, "A")/100</f>
        <v>60.9</v>
      </c>
      <c r="BL496" s="70" t="s">
        <v>219</v>
      </c>
      <c r="BM496" s="70">
        <v>39.663599870702129</v>
      </c>
      <c r="BN496" s="71">
        <v>0.9</v>
      </c>
      <c r="BO496" s="77">
        <f t="shared" si="67"/>
        <v>32.4</v>
      </c>
      <c r="BP496" s="71">
        <v>0.9</v>
      </c>
      <c r="BQ496" s="77">
        <f t="shared" si="68"/>
        <v>32.4</v>
      </c>
      <c r="BR496" s="77" cm="1">
        <f t="array" ref="BR496">_xll.DCEPropSectI(BF496, BH496, BG496, BI496, BG496, BI496, "rx")/10</f>
        <v>16.91131201300167</v>
      </c>
      <c r="BS496" s="77" cm="1">
        <f t="array" ref="BS496">_xll.DCEPropSectI(BF496, BH496, BG496, BI496, BG496, BI496, "ry")/10</f>
        <v>5.1070747638622018</v>
      </c>
      <c r="BT496" s="5">
        <f t="shared" si="69"/>
        <v>191.58773710218577</v>
      </c>
      <c r="BU496" s="5">
        <f t="shared" si="70"/>
        <v>634.41405301647956</v>
      </c>
      <c r="BV496" s="5">
        <f t="shared" si="71"/>
        <v>634.41405301647956</v>
      </c>
      <c r="BW496" s="71">
        <f t="shared" si="72"/>
        <v>400</v>
      </c>
      <c r="BX496" s="78" cm="1">
        <f t="array" ref="BX496">IF(BM496&gt;0,1,_xll.DCETCVN5575FactorPhi7121(BV496*SQRT($K$17/206000),"b"))</f>
        <v>1</v>
      </c>
      <c r="BY496" s="64">
        <f t="shared" si="73"/>
        <v>3.1013839917665289E-2</v>
      </c>
      <c r="BZ496" s="3" t="str">
        <f t="shared" si="74"/>
        <v>Check</v>
      </c>
    </row>
    <row r="497" spans="1:78">
      <c r="A497" s="76"/>
      <c r="B497" s="76"/>
      <c r="C497" s="125"/>
      <c r="D497" s="125"/>
      <c r="E497" s="71"/>
      <c r="F497" s="71"/>
      <c r="G497" s="71"/>
      <c r="H497" s="126"/>
      <c r="I497" s="125"/>
      <c r="J497" s="123"/>
      <c r="K497" s="12"/>
      <c r="L497" s="117"/>
      <c r="M497" s="12"/>
      <c r="N497" s="117"/>
      <c r="O497" s="117"/>
      <c r="P497" s="117"/>
      <c r="Q497" s="118"/>
      <c r="R497" s="118"/>
      <c r="S497" s="118"/>
      <c r="T497" s="12"/>
      <c r="U497" s="118"/>
      <c r="V497" s="118"/>
      <c r="W497" s="12"/>
      <c r="X497" s="119"/>
      <c r="Y497" s="120"/>
      <c r="Z497" s="12"/>
      <c r="BA497" s="70" t="s">
        <v>205</v>
      </c>
      <c r="BB497" s="71" t="s">
        <v>210</v>
      </c>
      <c r="BC497" s="71" t="s">
        <v>207</v>
      </c>
      <c r="BD497" s="71">
        <v>26</v>
      </c>
      <c r="BE497" s="71">
        <v>36</v>
      </c>
      <c r="BF497" s="71">
        <v>390</v>
      </c>
      <c r="BG497" s="71">
        <v>212</v>
      </c>
      <c r="BH497" s="71">
        <v>5</v>
      </c>
      <c r="BI497" s="71">
        <v>10</v>
      </c>
      <c r="BJ497" s="12" t="str" cm="1">
        <f t="array" ref="BJ497">_xll.Dce_Name_SectI(BF497, BF497, BG497, BH497, BI497, "x", "-", $AX$11)</f>
        <v>390x212x5x10</v>
      </c>
      <c r="BK497" s="77" cm="1">
        <f t="array" ref="BK497">_xll.DCEPropSectI(BF497, BH497, BG497, BI497, BG497, BI497, "A")/100</f>
        <v>60.9</v>
      </c>
      <c r="BL497" s="70" t="s">
        <v>219</v>
      </c>
      <c r="BM497" s="70">
        <v>39.663599870702129</v>
      </c>
      <c r="BN497" s="71">
        <v>0.9</v>
      </c>
      <c r="BO497" s="77">
        <f t="shared" si="67"/>
        <v>32.4</v>
      </c>
      <c r="BP497" s="71">
        <v>0.9</v>
      </c>
      <c r="BQ497" s="77">
        <f t="shared" si="68"/>
        <v>32.4</v>
      </c>
      <c r="BR497" s="77" cm="1">
        <f t="array" ref="BR497">_xll.DCEPropSectI(BF497, BH497, BG497, BI497, BG497, BI497, "rx")/10</f>
        <v>16.91131201300167</v>
      </c>
      <c r="BS497" s="77" cm="1">
        <f t="array" ref="BS497">_xll.DCEPropSectI(BF497, BH497, BG497, BI497, BG497, BI497, "ry")/10</f>
        <v>5.1070747638622018</v>
      </c>
      <c r="BT497" s="5">
        <f t="shared" si="69"/>
        <v>191.58773710218577</v>
      </c>
      <c r="BU497" s="5">
        <f t="shared" si="70"/>
        <v>634.41405301647956</v>
      </c>
      <c r="BV497" s="5">
        <f t="shared" si="71"/>
        <v>634.41405301647956</v>
      </c>
      <c r="BW497" s="71">
        <f t="shared" si="72"/>
        <v>400</v>
      </c>
      <c r="BX497" s="78" cm="1">
        <f t="array" ref="BX497">IF(BM497&gt;0,1,_xll.DCETCVN5575FactorPhi7121(BV497*SQRT($K$17/206000),"b"))</f>
        <v>1</v>
      </c>
      <c r="BY497" s="64">
        <f t="shared" si="73"/>
        <v>3.1013839917665289E-2</v>
      </c>
      <c r="BZ497" s="3" t="str">
        <f t="shared" si="74"/>
        <v>Check</v>
      </c>
    </row>
    <row r="498" spans="1:78">
      <c r="A498" s="76"/>
      <c r="B498" s="76"/>
      <c r="C498" s="125"/>
      <c r="D498" s="125"/>
      <c r="E498" s="71"/>
      <c r="F498" s="71"/>
      <c r="G498" s="71"/>
      <c r="H498" s="126"/>
      <c r="I498" s="125"/>
      <c r="J498" s="123"/>
      <c r="K498" s="12"/>
      <c r="L498" s="117"/>
      <c r="M498" s="12"/>
      <c r="N498" s="117"/>
      <c r="O498" s="117"/>
      <c r="P498" s="117"/>
      <c r="Q498" s="118"/>
      <c r="R498" s="118"/>
      <c r="S498" s="118"/>
      <c r="T498" s="12"/>
      <c r="U498" s="118"/>
      <c r="V498" s="118"/>
      <c r="W498" s="12"/>
      <c r="X498" s="119"/>
      <c r="Y498" s="120"/>
      <c r="Z498" s="12"/>
      <c r="BA498" s="70" t="s">
        <v>205</v>
      </c>
      <c r="BB498" s="71" t="s">
        <v>210</v>
      </c>
      <c r="BC498" s="71" t="s">
        <v>207</v>
      </c>
      <c r="BD498" s="71">
        <v>26.5</v>
      </c>
      <c r="BE498" s="71">
        <v>36</v>
      </c>
      <c r="BF498" s="71">
        <v>390</v>
      </c>
      <c r="BG498" s="71">
        <v>212</v>
      </c>
      <c r="BH498" s="71">
        <v>5</v>
      </c>
      <c r="BI498" s="71">
        <v>10</v>
      </c>
      <c r="BJ498" s="12" t="str" cm="1">
        <f t="array" ref="BJ498">_xll.Dce_Name_SectI(BF498, BF498, BG498, BH498, BI498, "x", "-", $AX$11)</f>
        <v>390x212x5x10</v>
      </c>
      <c r="BK498" s="77" cm="1">
        <f t="array" ref="BK498">_xll.DCEPropSectI(BF498, BH498, BG498, BI498, BG498, BI498, "A")/100</f>
        <v>60.9</v>
      </c>
      <c r="BL498" s="70" t="s">
        <v>219</v>
      </c>
      <c r="BM498" s="70">
        <v>39.663599870702129</v>
      </c>
      <c r="BN498" s="71">
        <v>0.9</v>
      </c>
      <c r="BO498" s="77">
        <f t="shared" si="67"/>
        <v>32.4</v>
      </c>
      <c r="BP498" s="71">
        <v>0.9</v>
      </c>
      <c r="BQ498" s="77">
        <f t="shared" si="68"/>
        <v>32.4</v>
      </c>
      <c r="BR498" s="77" cm="1">
        <f t="array" ref="BR498">_xll.DCEPropSectI(BF498, BH498, BG498, BI498, BG498, BI498, "rx")/10</f>
        <v>16.91131201300167</v>
      </c>
      <c r="BS498" s="77" cm="1">
        <f t="array" ref="BS498">_xll.DCEPropSectI(BF498, BH498, BG498, BI498, BG498, BI498, "ry")/10</f>
        <v>5.1070747638622018</v>
      </c>
      <c r="BT498" s="5">
        <f t="shared" si="69"/>
        <v>191.58773710218577</v>
      </c>
      <c r="BU498" s="5">
        <f t="shared" si="70"/>
        <v>634.41405301647956</v>
      </c>
      <c r="BV498" s="5">
        <f t="shared" si="71"/>
        <v>634.41405301647956</v>
      </c>
      <c r="BW498" s="71">
        <f t="shared" si="72"/>
        <v>400</v>
      </c>
      <c r="BX498" s="78" cm="1">
        <f t="array" ref="BX498">IF(BM498&gt;0,1,_xll.DCETCVN5575FactorPhi7121(BV498*SQRT($K$17/206000),"b"))</f>
        <v>1</v>
      </c>
      <c r="BY498" s="64">
        <f t="shared" si="73"/>
        <v>3.1013839917665289E-2</v>
      </c>
      <c r="BZ498" s="3" t="str">
        <f t="shared" si="74"/>
        <v>Check</v>
      </c>
    </row>
    <row r="499" spans="1:78">
      <c r="A499" s="76"/>
      <c r="B499" s="76"/>
      <c r="C499" s="125"/>
      <c r="D499" s="125"/>
      <c r="E499" s="71"/>
      <c r="F499" s="71"/>
      <c r="G499" s="71"/>
      <c r="H499" s="126"/>
      <c r="I499" s="125"/>
      <c r="J499" s="123"/>
      <c r="K499" s="12"/>
      <c r="L499" s="117"/>
      <c r="M499" s="12"/>
      <c r="N499" s="117"/>
      <c r="O499" s="117"/>
      <c r="P499" s="117"/>
      <c r="Q499" s="118"/>
      <c r="R499" s="118"/>
      <c r="S499" s="118"/>
      <c r="T499" s="12"/>
      <c r="U499" s="118"/>
      <c r="V499" s="118"/>
      <c r="W499" s="12"/>
      <c r="X499" s="119"/>
      <c r="Y499" s="120"/>
      <c r="Z499" s="12"/>
      <c r="BA499" s="70" t="s">
        <v>205</v>
      </c>
      <c r="BB499" s="71" t="s">
        <v>210</v>
      </c>
      <c r="BC499" s="71" t="s">
        <v>207</v>
      </c>
      <c r="BD499" s="71">
        <v>27</v>
      </c>
      <c r="BE499" s="71">
        <v>36</v>
      </c>
      <c r="BF499" s="71">
        <v>390</v>
      </c>
      <c r="BG499" s="71">
        <v>212</v>
      </c>
      <c r="BH499" s="71">
        <v>5</v>
      </c>
      <c r="BI499" s="71">
        <v>10</v>
      </c>
      <c r="BJ499" s="12" t="str" cm="1">
        <f t="array" ref="BJ499">_xll.Dce_Name_SectI(BF499, BF499, BG499, BH499, BI499, "x", "-", $AX$11)</f>
        <v>390x212x5x10</v>
      </c>
      <c r="BK499" s="77" cm="1">
        <f t="array" ref="BK499">_xll.DCEPropSectI(BF499, BH499, BG499, BI499, BG499, BI499, "A")/100</f>
        <v>60.9</v>
      </c>
      <c r="BL499" s="70" t="s">
        <v>219</v>
      </c>
      <c r="BM499" s="70">
        <v>39.663599870702129</v>
      </c>
      <c r="BN499" s="71">
        <v>0.9</v>
      </c>
      <c r="BO499" s="77">
        <f t="shared" si="67"/>
        <v>32.4</v>
      </c>
      <c r="BP499" s="71">
        <v>0.9</v>
      </c>
      <c r="BQ499" s="77">
        <f t="shared" si="68"/>
        <v>32.4</v>
      </c>
      <c r="BR499" s="77" cm="1">
        <f t="array" ref="BR499">_xll.DCEPropSectI(BF499, BH499, BG499, BI499, BG499, BI499, "rx")/10</f>
        <v>16.91131201300167</v>
      </c>
      <c r="BS499" s="77" cm="1">
        <f t="array" ref="BS499">_xll.DCEPropSectI(BF499, BH499, BG499, BI499, BG499, BI499, "ry")/10</f>
        <v>5.1070747638622018</v>
      </c>
      <c r="BT499" s="5">
        <f t="shared" si="69"/>
        <v>191.58773710218577</v>
      </c>
      <c r="BU499" s="5">
        <f t="shared" si="70"/>
        <v>634.41405301647956</v>
      </c>
      <c r="BV499" s="5">
        <f t="shared" si="71"/>
        <v>634.41405301647956</v>
      </c>
      <c r="BW499" s="71">
        <f t="shared" si="72"/>
        <v>400</v>
      </c>
      <c r="BX499" s="78" cm="1">
        <f t="array" ref="BX499">IF(BM499&gt;0,1,_xll.DCETCVN5575FactorPhi7121(BV499*SQRT($K$17/206000),"b"))</f>
        <v>1</v>
      </c>
      <c r="BY499" s="64">
        <f t="shared" si="73"/>
        <v>3.1013839917665289E-2</v>
      </c>
      <c r="BZ499" s="3" t="str">
        <f t="shared" si="74"/>
        <v>Check</v>
      </c>
    </row>
    <row r="500" spans="1:78">
      <c r="A500" s="76"/>
      <c r="B500" s="76"/>
      <c r="C500" s="125"/>
      <c r="D500" s="125"/>
      <c r="E500" s="71"/>
      <c r="F500" s="71"/>
      <c r="G500" s="71"/>
      <c r="H500" s="126"/>
      <c r="I500" s="125"/>
      <c r="J500" s="123"/>
      <c r="K500" s="12"/>
      <c r="L500" s="117"/>
      <c r="M500" s="12"/>
      <c r="N500" s="117"/>
      <c r="O500" s="117"/>
      <c r="P500" s="117"/>
      <c r="Q500" s="118"/>
      <c r="R500" s="118"/>
      <c r="S500" s="118"/>
      <c r="T500" s="12"/>
      <c r="U500" s="118"/>
      <c r="V500" s="118"/>
      <c r="W500" s="12"/>
      <c r="X500" s="119"/>
      <c r="Y500" s="120"/>
      <c r="Z500" s="12"/>
      <c r="BA500" s="70" t="s">
        <v>205</v>
      </c>
      <c r="BB500" s="71" t="s">
        <v>210</v>
      </c>
      <c r="BC500" s="71" t="s">
        <v>207</v>
      </c>
      <c r="BD500" s="71">
        <v>27.5</v>
      </c>
      <c r="BE500" s="71">
        <v>36</v>
      </c>
      <c r="BF500" s="71">
        <v>390</v>
      </c>
      <c r="BG500" s="71">
        <v>212</v>
      </c>
      <c r="BH500" s="71">
        <v>5</v>
      </c>
      <c r="BI500" s="71">
        <v>10</v>
      </c>
      <c r="BJ500" s="12" t="str" cm="1">
        <f t="array" ref="BJ500">_xll.Dce_Name_SectI(BF500, BF500, BG500, BH500, BI500, "x", "-", $AX$11)</f>
        <v>390x212x5x10</v>
      </c>
      <c r="BK500" s="77" cm="1">
        <f t="array" ref="BK500">_xll.DCEPropSectI(BF500, BH500, BG500, BI500, BG500, BI500, "A")/100</f>
        <v>60.9</v>
      </c>
      <c r="BL500" s="70" t="s">
        <v>219</v>
      </c>
      <c r="BM500" s="70">
        <v>39.663599870702129</v>
      </c>
      <c r="BN500" s="71">
        <v>0.9</v>
      </c>
      <c r="BO500" s="77">
        <f t="shared" si="67"/>
        <v>32.4</v>
      </c>
      <c r="BP500" s="71">
        <v>0.9</v>
      </c>
      <c r="BQ500" s="77">
        <f t="shared" si="68"/>
        <v>32.4</v>
      </c>
      <c r="BR500" s="77" cm="1">
        <f t="array" ref="BR500">_xll.DCEPropSectI(BF500, BH500, BG500, BI500, BG500, BI500, "rx")/10</f>
        <v>16.91131201300167</v>
      </c>
      <c r="BS500" s="77" cm="1">
        <f t="array" ref="BS500">_xll.DCEPropSectI(BF500, BH500, BG500, BI500, BG500, BI500, "ry")/10</f>
        <v>5.1070747638622018</v>
      </c>
      <c r="BT500" s="5">
        <f t="shared" si="69"/>
        <v>191.58773710218577</v>
      </c>
      <c r="BU500" s="5">
        <f t="shared" si="70"/>
        <v>634.41405301647956</v>
      </c>
      <c r="BV500" s="5">
        <f t="shared" si="71"/>
        <v>634.41405301647956</v>
      </c>
      <c r="BW500" s="71">
        <f t="shared" si="72"/>
        <v>400</v>
      </c>
      <c r="BX500" s="78" cm="1">
        <f t="array" ref="BX500">IF(BM500&gt;0,1,_xll.DCETCVN5575FactorPhi7121(BV500*SQRT($K$17/206000),"b"))</f>
        <v>1</v>
      </c>
      <c r="BY500" s="64">
        <f t="shared" si="73"/>
        <v>3.1013839917665289E-2</v>
      </c>
      <c r="BZ500" s="3" t="str">
        <f t="shared" si="74"/>
        <v>Check</v>
      </c>
    </row>
    <row r="501" spans="1:78">
      <c r="A501" s="76"/>
      <c r="B501" s="76"/>
      <c r="C501" s="125"/>
      <c r="D501" s="125"/>
      <c r="E501" s="71"/>
      <c r="F501" s="71"/>
      <c r="G501" s="71"/>
      <c r="H501" s="126"/>
      <c r="I501" s="125"/>
      <c r="J501" s="123"/>
      <c r="K501" s="12"/>
      <c r="L501" s="117"/>
      <c r="M501" s="12"/>
      <c r="N501" s="117"/>
      <c r="O501" s="117"/>
      <c r="P501" s="117"/>
      <c r="Q501" s="118"/>
      <c r="R501" s="118"/>
      <c r="S501" s="118"/>
      <c r="T501" s="12"/>
      <c r="U501" s="118"/>
      <c r="V501" s="118"/>
      <c r="W501" s="12"/>
      <c r="X501" s="119"/>
      <c r="Y501" s="120"/>
      <c r="Z501" s="12"/>
      <c r="BA501" s="70" t="s">
        <v>205</v>
      </c>
      <c r="BB501" s="71" t="s">
        <v>210</v>
      </c>
      <c r="BC501" s="71" t="s">
        <v>207</v>
      </c>
      <c r="BD501" s="71">
        <v>28</v>
      </c>
      <c r="BE501" s="71">
        <v>36</v>
      </c>
      <c r="BF501" s="71">
        <v>390</v>
      </c>
      <c r="BG501" s="71">
        <v>212</v>
      </c>
      <c r="BH501" s="71">
        <v>5</v>
      </c>
      <c r="BI501" s="71">
        <v>10</v>
      </c>
      <c r="BJ501" s="12" t="str" cm="1">
        <f t="array" ref="BJ501">_xll.Dce_Name_SectI(BF501, BF501, BG501, BH501, BI501, "x", "-", $AX$11)</f>
        <v>390x212x5x10</v>
      </c>
      <c r="BK501" s="77" cm="1">
        <f t="array" ref="BK501">_xll.DCEPropSectI(BF501, BH501, BG501, BI501, BG501, BI501, "A")/100</f>
        <v>60.9</v>
      </c>
      <c r="BL501" s="70" t="s">
        <v>219</v>
      </c>
      <c r="BM501" s="70">
        <v>39.663599870702129</v>
      </c>
      <c r="BN501" s="71">
        <v>0.9</v>
      </c>
      <c r="BO501" s="77">
        <f t="shared" si="67"/>
        <v>32.4</v>
      </c>
      <c r="BP501" s="71">
        <v>0.9</v>
      </c>
      <c r="BQ501" s="77">
        <f t="shared" si="68"/>
        <v>32.4</v>
      </c>
      <c r="BR501" s="77" cm="1">
        <f t="array" ref="BR501">_xll.DCEPropSectI(BF501, BH501, BG501, BI501, BG501, BI501, "rx")/10</f>
        <v>16.91131201300167</v>
      </c>
      <c r="BS501" s="77" cm="1">
        <f t="array" ref="BS501">_xll.DCEPropSectI(BF501, BH501, BG501, BI501, BG501, BI501, "ry")/10</f>
        <v>5.1070747638622018</v>
      </c>
      <c r="BT501" s="5">
        <f t="shared" si="69"/>
        <v>191.58773710218577</v>
      </c>
      <c r="BU501" s="5">
        <f t="shared" si="70"/>
        <v>634.41405301647956</v>
      </c>
      <c r="BV501" s="5">
        <f t="shared" si="71"/>
        <v>634.41405301647956</v>
      </c>
      <c r="BW501" s="71">
        <f t="shared" si="72"/>
        <v>400</v>
      </c>
      <c r="BX501" s="78" cm="1">
        <f t="array" ref="BX501">IF(BM501&gt;0,1,_xll.DCETCVN5575FactorPhi7121(BV501*SQRT($K$17/206000),"b"))</f>
        <v>1</v>
      </c>
      <c r="BY501" s="64">
        <f t="shared" si="73"/>
        <v>3.1013839917665289E-2</v>
      </c>
      <c r="BZ501" s="3" t="str">
        <f t="shared" si="74"/>
        <v>Check</v>
      </c>
    </row>
    <row r="502" spans="1:78">
      <c r="A502" s="76"/>
      <c r="B502" s="76"/>
      <c r="C502" s="125"/>
      <c r="D502" s="125"/>
      <c r="E502" s="71"/>
      <c r="F502" s="71"/>
      <c r="G502" s="71"/>
      <c r="H502" s="126"/>
      <c r="I502" s="125"/>
      <c r="J502" s="123"/>
      <c r="K502" s="12"/>
      <c r="L502" s="117"/>
      <c r="M502" s="12"/>
      <c r="N502" s="117"/>
      <c r="O502" s="117"/>
      <c r="P502" s="117"/>
      <c r="Q502" s="118"/>
      <c r="R502" s="118"/>
      <c r="S502" s="118"/>
      <c r="T502" s="12"/>
      <c r="U502" s="118"/>
      <c r="V502" s="118"/>
      <c r="W502" s="12"/>
      <c r="X502" s="119"/>
      <c r="Y502" s="120"/>
      <c r="Z502" s="12"/>
      <c r="BA502" s="70" t="s">
        <v>205</v>
      </c>
      <c r="BB502" s="71" t="s">
        <v>210</v>
      </c>
      <c r="BC502" s="71" t="s">
        <v>207</v>
      </c>
      <c r="BD502" s="71">
        <v>28.5</v>
      </c>
      <c r="BE502" s="71">
        <v>36</v>
      </c>
      <c r="BF502" s="71">
        <v>390</v>
      </c>
      <c r="BG502" s="71">
        <v>212</v>
      </c>
      <c r="BH502" s="71">
        <v>5</v>
      </c>
      <c r="BI502" s="71">
        <v>10</v>
      </c>
      <c r="BJ502" s="12" t="str" cm="1">
        <f t="array" ref="BJ502">_xll.Dce_Name_SectI(BF502, BF502, BG502, BH502, BI502, "x", "-", $AX$11)</f>
        <v>390x212x5x10</v>
      </c>
      <c r="BK502" s="77" cm="1">
        <f t="array" ref="BK502">_xll.DCEPropSectI(BF502, BH502, BG502, BI502, BG502, BI502, "A")/100</f>
        <v>60.9</v>
      </c>
      <c r="BL502" s="70" t="s">
        <v>219</v>
      </c>
      <c r="BM502" s="70">
        <v>39.663599870702129</v>
      </c>
      <c r="BN502" s="71">
        <v>0.9</v>
      </c>
      <c r="BO502" s="77">
        <f t="shared" si="67"/>
        <v>32.4</v>
      </c>
      <c r="BP502" s="71">
        <v>0.9</v>
      </c>
      <c r="BQ502" s="77">
        <f t="shared" si="68"/>
        <v>32.4</v>
      </c>
      <c r="BR502" s="77" cm="1">
        <f t="array" ref="BR502">_xll.DCEPropSectI(BF502, BH502, BG502, BI502, BG502, BI502, "rx")/10</f>
        <v>16.91131201300167</v>
      </c>
      <c r="BS502" s="77" cm="1">
        <f t="array" ref="BS502">_xll.DCEPropSectI(BF502, BH502, BG502, BI502, BG502, BI502, "ry")/10</f>
        <v>5.1070747638622018</v>
      </c>
      <c r="BT502" s="5">
        <f t="shared" si="69"/>
        <v>191.58773710218577</v>
      </c>
      <c r="BU502" s="5">
        <f t="shared" si="70"/>
        <v>634.41405301647956</v>
      </c>
      <c r="BV502" s="5">
        <f t="shared" si="71"/>
        <v>634.41405301647956</v>
      </c>
      <c r="BW502" s="71">
        <f t="shared" si="72"/>
        <v>400</v>
      </c>
      <c r="BX502" s="78" cm="1">
        <f t="array" ref="BX502">IF(BM502&gt;0,1,_xll.DCETCVN5575FactorPhi7121(BV502*SQRT($K$17/206000),"b"))</f>
        <v>1</v>
      </c>
      <c r="BY502" s="64">
        <f t="shared" si="73"/>
        <v>3.1013839917665289E-2</v>
      </c>
      <c r="BZ502" s="3" t="str">
        <f t="shared" si="74"/>
        <v>Check</v>
      </c>
    </row>
    <row r="503" spans="1:78">
      <c r="A503" s="76"/>
      <c r="B503" s="76"/>
      <c r="C503" s="125"/>
      <c r="D503" s="125"/>
      <c r="E503" s="71"/>
      <c r="F503" s="71"/>
      <c r="G503" s="71"/>
      <c r="H503" s="126"/>
      <c r="I503" s="125"/>
      <c r="J503" s="123"/>
      <c r="K503" s="12"/>
      <c r="L503" s="117"/>
      <c r="M503" s="12"/>
      <c r="N503" s="117"/>
      <c r="O503" s="117"/>
      <c r="P503" s="117"/>
      <c r="Q503" s="118"/>
      <c r="R503" s="118"/>
      <c r="S503" s="118"/>
      <c r="T503" s="12"/>
      <c r="U503" s="118"/>
      <c r="V503" s="118"/>
      <c r="W503" s="12"/>
      <c r="X503" s="119"/>
      <c r="Y503" s="120"/>
      <c r="Z503" s="12"/>
      <c r="BA503" s="70" t="s">
        <v>205</v>
      </c>
      <c r="BB503" s="71" t="s">
        <v>210</v>
      </c>
      <c r="BC503" s="71" t="s">
        <v>207</v>
      </c>
      <c r="BD503" s="71">
        <v>29</v>
      </c>
      <c r="BE503" s="71">
        <v>36</v>
      </c>
      <c r="BF503" s="71">
        <v>390</v>
      </c>
      <c r="BG503" s="71">
        <v>212</v>
      </c>
      <c r="BH503" s="71">
        <v>5</v>
      </c>
      <c r="BI503" s="71">
        <v>10</v>
      </c>
      <c r="BJ503" s="12" t="str" cm="1">
        <f t="array" ref="BJ503">_xll.Dce_Name_SectI(BF503, BF503, BG503, BH503, BI503, "x", "-", $AX$11)</f>
        <v>390x212x5x10</v>
      </c>
      <c r="BK503" s="77" cm="1">
        <f t="array" ref="BK503">_xll.DCEPropSectI(BF503, BH503, BG503, BI503, BG503, BI503, "A")/100</f>
        <v>60.9</v>
      </c>
      <c r="BL503" s="70" t="s">
        <v>219</v>
      </c>
      <c r="BM503" s="70">
        <v>39.663599870702129</v>
      </c>
      <c r="BN503" s="71">
        <v>0.9</v>
      </c>
      <c r="BO503" s="77">
        <f t="shared" si="67"/>
        <v>32.4</v>
      </c>
      <c r="BP503" s="71">
        <v>0.9</v>
      </c>
      <c r="BQ503" s="77">
        <f t="shared" si="68"/>
        <v>32.4</v>
      </c>
      <c r="BR503" s="77" cm="1">
        <f t="array" ref="BR503">_xll.DCEPropSectI(BF503, BH503, BG503, BI503, BG503, BI503, "rx")/10</f>
        <v>16.91131201300167</v>
      </c>
      <c r="BS503" s="77" cm="1">
        <f t="array" ref="BS503">_xll.DCEPropSectI(BF503, BH503, BG503, BI503, BG503, BI503, "ry")/10</f>
        <v>5.1070747638622018</v>
      </c>
      <c r="BT503" s="5">
        <f t="shared" si="69"/>
        <v>191.58773710218577</v>
      </c>
      <c r="BU503" s="5">
        <f t="shared" si="70"/>
        <v>634.41405301647956</v>
      </c>
      <c r="BV503" s="5">
        <f t="shared" si="71"/>
        <v>634.41405301647956</v>
      </c>
      <c r="BW503" s="71">
        <f t="shared" si="72"/>
        <v>400</v>
      </c>
      <c r="BX503" s="78" cm="1">
        <f t="array" ref="BX503">IF(BM503&gt;0,1,_xll.DCETCVN5575FactorPhi7121(BV503*SQRT($K$17/206000),"b"))</f>
        <v>1</v>
      </c>
      <c r="BY503" s="64">
        <f t="shared" si="73"/>
        <v>3.1013839917665289E-2</v>
      </c>
      <c r="BZ503" s="3" t="str">
        <f t="shared" si="74"/>
        <v>Check</v>
      </c>
    </row>
    <row r="504" spans="1:78">
      <c r="A504" s="76"/>
      <c r="B504" s="76"/>
      <c r="C504" s="125"/>
      <c r="D504" s="125"/>
      <c r="E504" s="71"/>
      <c r="F504" s="71"/>
      <c r="G504" s="71"/>
      <c r="H504" s="126"/>
      <c r="I504" s="125"/>
      <c r="J504" s="123"/>
      <c r="K504" s="12"/>
      <c r="L504" s="117"/>
      <c r="M504" s="12"/>
      <c r="N504" s="117"/>
      <c r="O504" s="117"/>
      <c r="P504" s="117"/>
      <c r="Q504" s="118"/>
      <c r="R504" s="118"/>
      <c r="S504" s="118"/>
      <c r="T504" s="12"/>
      <c r="U504" s="118"/>
      <c r="V504" s="118"/>
      <c r="W504" s="12"/>
      <c r="X504" s="119"/>
      <c r="Y504" s="120"/>
      <c r="Z504" s="12"/>
      <c r="BA504" s="70" t="s">
        <v>205</v>
      </c>
      <c r="BB504" s="71" t="s">
        <v>210</v>
      </c>
      <c r="BC504" s="71" t="s">
        <v>207</v>
      </c>
      <c r="BD504" s="71">
        <v>29.5</v>
      </c>
      <c r="BE504" s="71">
        <v>36</v>
      </c>
      <c r="BF504" s="71">
        <v>390</v>
      </c>
      <c r="BG504" s="71">
        <v>212</v>
      </c>
      <c r="BH504" s="71">
        <v>5</v>
      </c>
      <c r="BI504" s="71">
        <v>10</v>
      </c>
      <c r="BJ504" s="12" t="str" cm="1">
        <f t="array" ref="BJ504">_xll.Dce_Name_SectI(BF504, BF504, BG504, BH504, BI504, "x", "-", $AX$11)</f>
        <v>390x212x5x10</v>
      </c>
      <c r="BK504" s="77" cm="1">
        <f t="array" ref="BK504">_xll.DCEPropSectI(BF504, BH504, BG504, BI504, BG504, BI504, "A")/100</f>
        <v>60.9</v>
      </c>
      <c r="BL504" s="70" t="s">
        <v>219</v>
      </c>
      <c r="BM504" s="70">
        <v>39.663599870702129</v>
      </c>
      <c r="BN504" s="71">
        <v>0.9</v>
      </c>
      <c r="BO504" s="77">
        <f t="shared" si="67"/>
        <v>32.4</v>
      </c>
      <c r="BP504" s="71">
        <v>0.9</v>
      </c>
      <c r="BQ504" s="77">
        <f t="shared" si="68"/>
        <v>32.4</v>
      </c>
      <c r="BR504" s="77" cm="1">
        <f t="array" ref="BR504">_xll.DCEPropSectI(BF504, BH504, BG504, BI504, BG504, BI504, "rx")/10</f>
        <v>16.91131201300167</v>
      </c>
      <c r="BS504" s="77" cm="1">
        <f t="array" ref="BS504">_xll.DCEPropSectI(BF504, BH504, BG504, BI504, BG504, BI504, "ry")/10</f>
        <v>5.1070747638622018</v>
      </c>
      <c r="BT504" s="5">
        <f t="shared" si="69"/>
        <v>191.58773710218577</v>
      </c>
      <c r="BU504" s="5">
        <f t="shared" si="70"/>
        <v>634.41405301647956</v>
      </c>
      <c r="BV504" s="5">
        <f t="shared" si="71"/>
        <v>634.41405301647956</v>
      </c>
      <c r="BW504" s="71">
        <f t="shared" si="72"/>
        <v>400</v>
      </c>
      <c r="BX504" s="78" cm="1">
        <f t="array" ref="BX504">IF(BM504&gt;0,1,_xll.DCETCVN5575FactorPhi7121(BV504*SQRT($K$17/206000),"b"))</f>
        <v>1</v>
      </c>
      <c r="BY504" s="64">
        <f t="shared" si="73"/>
        <v>3.1013839917665289E-2</v>
      </c>
      <c r="BZ504" s="3" t="str">
        <f t="shared" si="74"/>
        <v>Check</v>
      </c>
    </row>
    <row r="505" spans="1:78">
      <c r="A505" s="76"/>
      <c r="B505" s="76"/>
      <c r="C505" s="125"/>
      <c r="D505" s="125"/>
      <c r="E505" s="71"/>
      <c r="F505" s="71"/>
      <c r="G505" s="71"/>
      <c r="H505" s="126"/>
      <c r="I505" s="125"/>
      <c r="J505" s="123"/>
      <c r="K505" s="12"/>
      <c r="L505" s="117"/>
      <c r="M505" s="12"/>
      <c r="N505" s="117"/>
      <c r="O505" s="117"/>
      <c r="P505" s="117"/>
      <c r="Q505" s="118"/>
      <c r="R505" s="118"/>
      <c r="S505" s="118"/>
      <c r="T505" s="12"/>
      <c r="U505" s="118"/>
      <c r="V505" s="118"/>
      <c r="W505" s="12"/>
      <c r="X505" s="119"/>
      <c r="Y505" s="120"/>
      <c r="Z505" s="12"/>
      <c r="BA505" s="70" t="s">
        <v>205</v>
      </c>
      <c r="BB505" s="71" t="s">
        <v>210</v>
      </c>
      <c r="BC505" s="71" t="s">
        <v>207</v>
      </c>
      <c r="BD505" s="71">
        <v>30</v>
      </c>
      <c r="BE505" s="71">
        <v>36</v>
      </c>
      <c r="BF505" s="71">
        <v>390</v>
      </c>
      <c r="BG505" s="71">
        <v>212</v>
      </c>
      <c r="BH505" s="71">
        <v>5</v>
      </c>
      <c r="BI505" s="71">
        <v>10</v>
      </c>
      <c r="BJ505" s="12" t="str" cm="1">
        <f t="array" ref="BJ505">_xll.Dce_Name_SectI(BF505, BF505, BG505, BH505, BI505, "x", "-", $AX$11)</f>
        <v>390x212x5x10</v>
      </c>
      <c r="BK505" s="77" cm="1">
        <f t="array" ref="BK505">_xll.DCEPropSectI(BF505, BH505, BG505, BI505, BG505, BI505, "A")/100</f>
        <v>60.9</v>
      </c>
      <c r="BL505" s="70" t="s">
        <v>219</v>
      </c>
      <c r="BM505" s="70">
        <v>39.663599870702129</v>
      </c>
      <c r="BN505" s="71">
        <v>0.9</v>
      </c>
      <c r="BO505" s="77">
        <f t="shared" si="67"/>
        <v>32.4</v>
      </c>
      <c r="BP505" s="71">
        <v>0.9</v>
      </c>
      <c r="BQ505" s="77">
        <f t="shared" si="68"/>
        <v>32.4</v>
      </c>
      <c r="BR505" s="77" cm="1">
        <f t="array" ref="BR505">_xll.DCEPropSectI(BF505, BH505, BG505, BI505, BG505, BI505, "rx")/10</f>
        <v>16.91131201300167</v>
      </c>
      <c r="BS505" s="77" cm="1">
        <f t="array" ref="BS505">_xll.DCEPropSectI(BF505, BH505, BG505, BI505, BG505, BI505, "ry")/10</f>
        <v>5.1070747638622018</v>
      </c>
      <c r="BT505" s="5">
        <f t="shared" si="69"/>
        <v>191.58773710218577</v>
      </c>
      <c r="BU505" s="5">
        <f t="shared" si="70"/>
        <v>634.41405301647956</v>
      </c>
      <c r="BV505" s="5">
        <f t="shared" si="71"/>
        <v>634.41405301647956</v>
      </c>
      <c r="BW505" s="71">
        <f t="shared" si="72"/>
        <v>400</v>
      </c>
      <c r="BX505" s="78" cm="1">
        <f t="array" ref="BX505">IF(BM505&gt;0,1,_xll.DCETCVN5575FactorPhi7121(BV505*SQRT($K$17/206000),"b"))</f>
        <v>1</v>
      </c>
      <c r="BY505" s="64">
        <f t="shared" si="73"/>
        <v>3.1013839917665289E-2</v>
      </c>
      <c r="BZ505" s="3" t="str">
        <f t="shared" si="74"/>
        <v>Check</v>
      </c>
    </row>
    <row r="506" spans="1:78">
      <c r="A506" s="76"/>
      <c r="B506" s="76"/>
      <c r="C506" s="125"/>
      <c r="D506" s="125"/>
      <c r="E506" s="71"/>
      <c r="F506" s="71"/>
      <c r="G506" s="71"/>
      <c r="H506" s="126"/>
      <c r="I506" s="125"/>
      <c r="J506" s="123"/>
      <c r="K506" s="12"/>
      <c r="L506" s="117"/>
      <c r="M506" s="12"/>
      <c r="N506" s="117"/>
      <c r="O506" s="117"/>
      <c r="P506" s="117"/>
      <c r="Q506" s="118"/>
      <c r="R506" s="118"/>
      <c r="S506" s="118"/>
      <c r="T506" s="12"/>
      <c r="U506" s="118"/>
      <c r="V506" s="118"/>
      <c r="W506" s="12"/>
      <c r="X506" s="119"/>
      <c r="Y506" s="120"/>
      <c r="Z506" s="12"/>
      <c r="BA506" s="70" t="s">
        <v>205</v>
      </c>
      <c r="BB506" s="71" t="s">
        <v>210</v>
      </c>
      <c r="BC506" s="71" t="s">
        <v>207</v>
      </c>
      <c r="BD506" s="71">
        <v>30</v>
      </c>
      <c r="BE506" s="71">
        <v>36</v>
      </c>
      <c r="BF506" s="71">
        <v>390</v>
      </c>
      <c r="BG506" s="71">
        <v>212</v>
      </c>
      <c r="BH506" s="71">
        <v>5</v>
      </c>
      <c r="BI506" s="71">
        <v>10</v>
      </c>
      <c r="BJ506" s="12" t="str" cm="1">
        <f t="array" ref="BJ506">_xll.Dce_Name_SectI(BF506, BF506, BG506, BH506, BI506, "x", "-", $AX$11)</f>
        <v>390x212x5x10</v>
      </c>
      <c r="BK506" s="77" cm="1">
        <f t="array" ref="BK506">_xll.DCEPropSectI(BF506, BH506, BG506, BI506, BG506, BI506, "A")/100</f>
        <v>60.9</v>
      </c>
      <c r="BL506" s="70" t="s">
        <v>219</v>
      </c>
      <c r="BM506" s="70">
        <v>-23.37755248240552</v>
      </c>
      <c r="BN506" s="71">
        <v>0.9</v>
      </c>
      <c r="BO506" s="77">
        <f t="shared" si="67"/>
        <v>32.4</v>
      </c>
      <c r="BP506" s="71">
        <v>0.9</v>
      </c>
      <c r="BQ506" s="77">
        <f t="shared" si="68"/>
        <v>32.4</v>
      </c>
      <c r="BR506" s="77" cm="1">
        <f t="array" ref="BR506">_xll.DCEPropSectI(BF506, BH506, BG506, BI506, BG506, BI506, "rx")/10</f>
        <v>16.91131201300167</v>
      </c>
      <c r="BS506" s="77" cm="1">
        <f t="array" ref="BS506">_xll.DCEPropSectI(BF506, BH506, BG506, BI506, BG506, BI506, "ry")/10</f>
        <v>5.1070747638622018</v>
      </c>
      <c r="BT506" s="5">
        <f t="shared" si="69"/>
        <v>191.58773710218577</v>
      </c>
      <c r="BU506" s="5">
        <f t="shared" si="70"/>
        <v>634.41405301647956</v>
      </c>
      <c r="BV506" s="5">
        <f t="shared" si="71"/>
        <v>634.41405301647956</v>
      </c>
      <c r="BW506" s="71">
        <f t="shared" si="72"/>
        <v>200</v>
      </c>
      <c r="BX506" s="78" cm="1">
        <f t="array" ref="BX506">IF(BM506&gt;0,1,_xll.DCETCVN5575FactorPhi7121(BV506*SQRT($K$17/206000),"b"))</f>
        <v>1.6670876655456978E-2</v>
      </c>
      <c r="BY506" s="64">
        <f t="shared" si="73"/>
        <v>1.0964883330815396</v>
      </c>
      <c r="BZ506" s="3" t="str">
        <f t="shared" si="74"/>
        <v>Check</v>
      </c>
    </row>
    <row r="507" spans="1:78">
      <c r="A507" s="76"/>
      <c r="B507" s="76"/>
      <c r="C507" s="125"/>
      <c r="D507" s="125"/>
      <c r="E507" s="71"/>
      <c r="F507" s="71"/>
      <c r="G507" s="71"/>
      <c r="H507" s="126"/>
      <c r="I507" s="125"/>
      <c r="J507" s="123"/>
      <c r="K507" s="12"/>
      <c r="L507" s="117"/>
      <c r="M507" s="12"/>
      <c r="N507" s="117"/>
      <c r="O507" s="117"/>
      <c r="P507" s="117"/>
      <c r="Q507" s="118"/>
      <c r="R507" s="118"/>
      <c r="S507" s="118"/>
      <c r="T507" s="12"/>
      <c r="U507" s="118"/>
      <c r="V507" s="118"/>
      <c r="W507" s="12"/>
      <c r="X507" s="119"/>
      <c r="Y507" s="120"/>
      <c r="Z507" s="12"/>
      <c r="BA507" s="70" t="s">
        <v>205</v>
      </c>
      <c r="BB507" s="71" t="s">
        <v>210</v>
      </c>
      <c r="BC507" s="71" t="s">
        <v>207</v>
      </c>
      <c r="BD507" s="71">
        <v>30.5</v>
      </c>
      <c r="BE507" s="71">
        <v>36</v>
      </c>
      <c r="BF507" s="71">
        <v>390</v>
      </c>
      <c r="BG507" s="71">
        <v>212</v>
      </c>
      <c r="BH507" s="71">
        <v>5</v>
      </c>
      <c r="BI507" s="71">
        <v>10</v>
      </c>
      <c r="BJ507" s="12" t="str" cm="1">
        <f t="array" ref="BJ507">_xll.Dce_Name_SectI(BF507, BF507, BG507, BH507, BI507, "x", "-", $AX$11)</f>
        <v>390x212x5x10</v>
      </c>
      <c r="BK507" s="77" cm="1">
        <f t="array" ref="BK507">_xll.DCEPropSectI(BF507, BH507, BG507, BI507, BG507, BI507, "A")/100</f>
        <v>60.9</v>
      </c>
      <c r="BL507" s="70" t="s">
        <v>219</v>
      </c>
      <c r="BM507" s="70">
        <v>-23.37755248240552</v>
      </c>
      <c r="BN507" s="71">
        <v>0.9</v>
      </c>
      <c r="BO507" s="77">
        <f t="shared" si="67"/>
        <v>32.4</v>
      </c>
      <c r="BP507" s="71">
        <v>0.9</v>
      </c>
      <c r="BQ507" s="77">
        <f t="shared" si="68"/>
        <v>32.4</v>
      </c>
      <c r="BR507" s="77" cm="1">
        <f t="array" ref="BR507">_xll.DCEPropSectI(BF507, BH507, BG507, BI507, BG507, BI507, "rx")/10</f>
        <v>16.91131201300167</v>
      </c>
      <c r="BS507" s="77" cm="1">
        <f t="array" ref="BS507">_xll.DCEPropSectI(BF507, BH507, BG507, BI507, BG507, BI507, "ry")/10</f>
        <v>5.1070747638622018</v>
      </c>
      <c r="BT507" s="5">
        <f t="shared" si="69"/>
        <v>191.58773710218577</v>
      </c>
      <c r="BU507" s="5">
        <f t="shared" si="70"/>
        <v>634.41405301647956</v>
      </c>
      <c r="BV507" s="5">
        <f t="shared" si="71"/>
        <v>634.41405301647956</v>
      </c>
      <c r="BW507" s="71">
        <f t="shared" si="72"/>
        <v>200</v>
      </c>
      <c r="BX507" s="78" cm="1">
        <f t="array" ref="BX507">IF(BM507&gt;0,1,_xll.DCETCVN5575FactorPhi7121(BV507*SQRT($K$17/206000),"b"))</f>
        <v>1.6670876655456978E-2</v>
      </c>
      <c r="BY507" s="64">
        <f t="shared" si="73"/>
        <v>1.0964883330815396</v>
      </c>
      <c r="BZ507" s="3" t="str">
        <f t="shared" si="74"/>
        <v>Check</v>
      </c>
    </row>
    <row r="508" spans="1:78">
      <c r="A508" s="76"/>
      <c r="B508" s="76"/>
      <c r="C508" s="125"/>
      <c r="D508" s="125"/>
      <c r="E508" s="71"/>
      <c r="F508" s="71"/>
      <c r="G508" s="71"/>
      <c r="H508" s="126"/>
      <c r="I508" s="125"/>
      <c r="J508" s="123"/>
      <c r="K508" s="12"/>
      <c r="L508" s="117"/>
      <c r="M508" s="12"/>
      <c r="N508" s="117"/>
      <c r="O508" s="117"/>
      <c r="P508" s="117"/>
      <c r="Q508" s="118"/>
      <c r="R508" s="118"/>
      <c r="S508" s="118"/>
      <c r="T508" s="12"/>
      <c r="U508" s="118"/>
      <c r="V508" s="118"/>
      <c r="W508" s="12"/>
      <c r="X508" s="119"/>
      <c r="Y508" s="120"/>
      <c r="Z508" s="12"/>
      <c r="BA508" s="70" t="s">
        <v>205</v>
      </c>
      <c r="BB508" s="71" t="s">
        <v>210</v>
      </c>
      <c r="BC508" s="71" t="s">
        <v>207</v>
      </c>
      <c r="BD508" s="71">
        <v>31</v>
      </c>
      <c r="BE508" s="71">
        <v>36</v>
      </c>
      <c r="BF508" s="71">
        <v>390</v>
      </c>
      <c r="BG508" s="71">
        <v>212</v>
      </c>
      <c r="BH508" s="71">
        <v>5</v>
      </c>
      <c r="BI508" s="71">
        <v>10</v>
      </c>
      <c r="BJ508" s="12" t="str" cm="1">
        <f t="array" ref="BJ508">_xll.Dce_Name_SectI(BF508, BF508, BG508, BH508, BI508, "x", "-", $AX$11)</f>
        <v>390x212x5x10</v>
      </c>
      <c r="BK508" s="77" cm="1">
        <f t="array" ref="BK508">_xll.DCEPropSectI(BF508, BH508, BG508, BI508, BG508, BI508, "A")/100</f>
        <v>60.9</v>
      </c>
      <c r="BL508" s="70" t="s">
        <v>219</v>
      </c>
      <c r="BM508" s="70">
        <v>-23.37755248240552</v>
      </c>
      <c r="BN508" s="71">
        <v>0.9</v>
      </c>
      <c r="BO508" s="77">
        <f t="shared" si="67"/>
        <v>32.4</v>
      </c>
      <c r="BP508" s="71">
        <v>0.9</v>
      </c>
      <c r="BQ508" s="77">
        <f t="shared" si="68"/>
        <v>32.4</v>
      </c>
      <c r="BR508" s="77" cm="1">
        <f t="array" ref="BR508">_xll.DCEPropSectI(BF508, BH508, BG508, BI508, BG508, BI508, "rx")/10</f>
        <v>16.91131201300167</v>
      </c>
      <c r="BS508" s="77" cm="1">
        <f t="array" ref="BS508">_xll.DCEPropSectI(BF508, BH508, BG508, BI508, BG508, BI508, "ry")/10</f>
        <v>5.1070747638622018</v>
      </c>
      <c r="BT508" s="5">
        <f t="shared" si="69"/>
        <v>191.58773710218577</v>
      </c>
      <c r="BU508" s="5">
        <f t="shared" si="70"/>
        <v>634.41405301647956</v>
      </c>
      <c r="BV508" s="5">
        <f t="shared" si="71"/>
        <v>634.41405301647956</v>
      </c>
      <c r="BW508" s="71">
        <f t="shared" si="72"/>
        <v>200</v>
      </c>
      <c r="BX508" s="78" cm="1">
        <f t="array" ref="BX508">IF(BM508&gt;0,1,_xll.DCETCVN5575FactorPhi7121(BV508*SQRT($K$17/206000),"b"))</f>
        <v>1.6670876655456978E-2</v>
      </c>
      <c r="BY508" s="64">
        <f t="shared" si="73"/>
        <v>1.0964883330815396</v>
      </c>
      <c r="BZ508" s="3" t="str">
        <f t="shared" si="74"/>
        <v>Check</v>
      </c>
    </row>
    <row r="509" spans="1:78">
      <c r="A509" s="76"/>
      <c r="B509" s="76"/>
      <c r="C509" s="125"/>
      <c r="D509" s="125"/>
      <c r="E509" s="71"/>
      <c r="F509" s="71"/>
      <c r="G509" s="71"/>
      <c r="H509" s="126"/>
      <c r="I509" s="125"/>
      <c r="J509" s="123"/>
      <c r="K509" s="12"/>
      <c r="L509" s="117"/>
      <c r="M509" s="12"/>
      <c r="N509" s="117"/>
      <c r="O509" s="117"/>
      <c r="P509" s="117"/>
      <c r="Q509" s="118"/>
      <c r="R509" s="118"/>
      <c r="S509" s="118"/>
      <c r="T509" s="12"/>
      <c r="U509" s="118"/>
      <c r="V509" s="118"/>
      <c r="W509" s="12"/>
      <c r="X509" s="119"/>
      <c r="Y509" s="120"/>
      <c r="Z509" s="12"/>
      <c r="BA509" s="70" t="s">
        <v>205</v>
      </c>
      <c r="BB509" s="71" t="s">
        <v>210</v>
      </c>
      <c r="BC509" s="71" t="s">
        <v>207</v>
      </c>
      <c r="BD509" s="71">
        <v>31.5</v>
      </c>
      <c r="BE509" s="71">
        <v>36</v>
      </c>
      <c r="BF509" s="71">
        <v>390</v>
      </c>
      <c r="BG509" s="71">
        <v>212</v>
      </c>
      <c r="BH509" s="71">
        <v>5</v>
      </c>
      <c r="BI509" s="71">
        <v>10</v>
      </c>
      <c r="BJ509" s="12" t="str" cm="1">
        <f t="array" ref="BJ509">_xll.Dce_Name_SectI(BF509, BF509, BG509, BH509, BI509, "x", "-", $AX$11)</f>
        <v>390x212x5x10</v>
      </c>
      <c r="BK509" s="77" cm="1">
        <f t="array" ref="BK509">_xll.DCEPropSectI(BF509, BH509, BG509, BI509, BG509, BI509, "A")/100</f>
        <v>60.9</v>
      </c>
      <c r="BL509" s="70" t="s">
        <v>219</v>
      </c>
      <c r="BM509" s="70">
        <v>-23.37755248240552</v>
      </c>
      <c r="BN509" s="71">
        <v>0.9</v>
      </c>
      <c r="BO509" s="77">
        <f t="shared" si="67"/>
        <v>32.4</v>
      </c>
      <c r="BP509" s="71">
        <v>0.9</v>
      </c>
      <c r="BQ509" s="77">
        <f t="shared" si="68"/>
        <v>32.4</v>
      </c>
      <c r="BR509" s="77" cm="1">
        <f t="array" ref="BR509">_xll.DCEPropSectI(BF509, BH509, BG509, BI509, BG509, BI509, "rx")/10</f>
        <v>16.91131201300167</v>
      </c>
      <c r="BS509" s="77" cm="1">
        <f t="array" ref="BS509">_xll.DCEPropSectI(BF509, BH509, BG509, BI509, BG509, BI509, "ry")/10</f>
        <v>5.1070747638622018</v>
      </c>
      <c r="BT509" s="5">
        <f t="shared" si="69"/>
        <v>191.58773710218577</v>
      </c>
      <c r="BU509" s="5">
        <f t="shared" si="70"/>
        <v>634.41405301647956</v>
      </c>
      <c r="BV509" s="5">
        <f t="shared" si="71"/>
        <v>634.41405301647956</v>
      </c>
      <c r="BW509" s="71">
        <f t="shared" si="72"/>
        <v>200</v>
      </c>
      <c r="BX509" s="78" cm="1">
        <f t="array" ref="BX509">IF(BM509&gt;0,1,_xll.DCETCVN5575FactorPhi7121(BV509*SQRT($K$17/206000),"b"))</f>
        <v>1.6670876655456978E-2</v>
      </c>
      <c r="BY509" s="64">
        <f t="shared" si="73"/>
        <v>1.0964883330815396</v>
      </c>
      <c r="BZ509" s="3" t="str">
        <f t="shared" si="74"/>
        <v>Check</v>
      </c>
    </row>
    <row r="510" spans="1:78">
      <c r="A510" s="76"/>
      <c r="B510" s="76"/>
      <c r="C510" s="125"/>
      <c r="D510" s="125"/>
      <c r="E510" s="71"/>
      <c r="F510" s="71"/>
      <c r="G510" s="71"/>
      <c r="H510" s="126"/>
      <c r="I510" s="125"/>
      <c r="J510" s="123"/>
      <c r="K510" s="12"/>
      <c r="L510" s="117"/>
      <c r="M510" s="12"/>
      <c r="N510" s="117"/>
      <c r="O510" s="117"/>
      <c r="P510" s="117"/>
      <c r="Q510" s="118"/>
      <c r="R510" s="118"/>
      <c r="S510" s="118"/>
      <c r="T510" s="12"/>
      <c r="U510" s="118"/>
      <c r="V510" s="118"/>
      <c r="W510" s="12"/>
      <c r="X510" s="119"/>
      <c r="Y510" s="120"/>
      <c r="Z510" s="12"/>
      <c r="BA510" s="70" t="s">
        <v>205</v>
      </c>
      <c r="BB510" s="71" t="s">
        <v>210</v>
      </c>
      <c r="BC510" s="71" t="s">
        <v>207</v>
      </c>
      <c r="BD510" s="71">
        <v>32</v>
      </c>
      <c r="BE510" s="71">
        <v>36</v>
      </c>
      <c r="BF510" s="71">
        <v>390</v>
      </c>
      <c r="BG510" s="71">
        <v>212</v>
      </c>
      <c r="BH510" s="71">
        <v>5</v>
      </c>
      <c r="BI510" s="71">
        <v>10</v>
      </c>
      <c r="BJ510" s="12" t="str" cm="1">
        <f t="array" ref="BJ510">_xll.Dce_Name_SectI(BF510, BF510, BG510, BH510, BI510, "x", "-", $AX$11)</f>
        <v>390x212x5x10</v>
      </c>
      <c r="BK510" s="77" cm="1">
        <f t="array" ref="BK510">_xll.DCEPropSectI(BF510, BH510, BG510, BI510, BG510, BI510, "A")/100</f>
        <v>60.9</v>
      </c>
      <c r="BL510" s="70" t="s">
        <v>219</v>
      </c>
      <c r="BM510" s="70">
        <v>-23.37755248240552</v>
      </c>
      <c r="BN510" s="71">
        <v>0.9</v>
      </c>
      <c r="BO510" s="77">
        <f t="shared" si="67"/>
        <v>32.4</v>
      </c>
      <c r="BP510" s="71">
        <v>0.9</v>
      </c>
      <c r="BQ510" s="77">
        <f t="shared" si="68"/>
        <v>32.4</v>
      </c>
      <c r="BR510" s="77" cm="1">
        <f t="array" ref="BR510">_xll.DCEPropSectI(BF510, BH510, BG510, BI510, BG510, BI510, "rx")/10</f>
        <v>16.91131201300167</v>
      </c>
      <c r="BS510" s="77" cm="1">
        <f t="array" ref="BS510">_xll.DCEPropSectI(BF510, BH510, BG510, BI510, BG510, BI510, "ry")/10</f>
        <v>5.1070747638622018</v>
      </c>
      <c r="BT510" s="5">
        <f t="shared" si="69"/>
        <v>191.58773710218577</v>
      </c>
      <c r="BU510" s="5">
        <f t="shared" si="70"/>
        <v>634.41405301647956</v>
      </c>
      <c r="BV510" s="5">
        <f t="shared" si="71"/>
        <v>634.41405301647956</v>
      </c>
      <c r="BW510" s="71">
        <f t="shared" si="72"/>
        <v>200</v>
      </c>
      <c r="BX510" s="78" cm="1">
        <f t="array" ref="BX510">IF(BM510&gt;0,1,_xll.DCETCVN5575FactorPhi7121(BV510*SQRT($K$17/206000),"b"))</f>
        <v>1.6670876655456978E-2</v>
      </c>
      <c r="BY510" s="64">
        <f t="shared" si="73"/>
        <v>1.0964883330815396</v>
      </c>
      <c r="BZ510" s="3" t="str">
        <f t="shared" si="74"/>
        <v>Check</v>
      </c>
    </row>
    <row r="511" spans="1:78">
      <c r="A511" s="76"/>
      <c r="B511" s="76"/>
      <c r="C511" s="125"/>
      <c r="D511" s="125"/>
      <c r="E511" s="71"/>
      <c r="F511" s="71"/>
      <c r="G511" s="71"/>
      <c r="H511" s="126"/>
      <c r="I511" s="125"/>
      <c r="J511" s="123"/>
      <c r="K511" s="12"/>
      <c r="L511" s="117"/>
      <c r="M511" s="12"/>
      <c r="N511" s="117"/>
      <c r="O511" s="117"/>
      <c r="P511" s="117"/>
      <c r="Q511" s="118"/>
      <c r="R511" s="118"/>
      <c r="S511" s="118"/>
      <c r="T511" s="12"/>
      <c r="U511" s="118"/>
      <c r="V511" s="118"/>
      <c r="W511" s="12"/>
      <c r="X511" s="119"/>
      <c r="Y511" s="120"/>
      <c r="Z511" s="12"/>
      <c r="BA511" s="70" t="s">
        <v>205</v>
      </c>
      <c r="BB511" s="71" t="s">
        <v>210</v>
      </c>
      <c r="BC511" s="71" t="s">
        <v>207</v>
      </c>
      <c r="BD511" s="71">
        <v>32.5</v>
      </c>
      <c r="BE511" s="71">
        <v>36</v>
      </c>
      <c r="BF511" s="71">
        <v>390</v>
      </c>
      <c r="BG511" s="71">
        <v>212</v>
      </c>
      <c r="BH511" s="71">
        <v>5</v>
      </c>
      <c r="BI511" s="71">
        <v>10</v>
      </c>
      <c r="BJ511" s="12" t="str" cm="1">
        <f t="array" ref="BJ511">_xll.Dce_Name_SectI(BF511, BF511, BG511, BH511, BI511, "x", "-", $AX$11)</f>
        <v>390x212x5x10</v>
      </c>
      <c r="BK511" s="77" cm="1">
        <f t="array" ref="BK511">_xll.DCEPropSectI(BF511, BH511, BG511, BI511, BG511, BI511, "A")/100</f>
        <v>60.9</v>
      </c>
      <c r="BL511" s="70" t="s">
        <v>219</v>
      </c>
      <c r="BM511" s="70">
        <v>-23.37755248240552</v>
      </c>
      <c r="BN511" s="71">
        <v>0.9</v>
      </c>
      <c r="BO511" s="77">
        <f t="shared" si="67"/>
        <v>32.4</v>
      </c>
      <c r="BP511" s="71">
        <v>0.9</v>
      </c>
      <c r="BQ511" s="77">
        <f t="shared" si="68"/>
        <v>32.4</v>
      </c>
      <c r="BR511" s="77" cm="1">
        <f t="array" ref="BR511">_xll.DCEPropSectI(BF511, BH511, BG511, BI511, BG511, BI511, "rx")/10</f>
        <v>16.91131201300167</v>
      </c>
      <c r="BS511" s="77" cm="1">
        <f t="array" ref="BS511">_xll.DCEPropSectI(BF511, BH511, BG511, BI511, BG511, BI511, "ry")/10</f>
        <v>5.1070747638622018</v>
      </c>
      <c r="BT511" s="5">
        <f t="shared" si="69"/>
        <v>191.58773710218577</v>
      </c>
      <c r="BU511" s="5">
        <f t="shared" si="70"/>
        <v>634.41405301647956</v>
      </c>
      <c r="BV511" s="5">
        <f t="shared" si="71"/>
        <v>634.41405301647956</v>
      </c>
      <c r="BW511" s="71">
        <f t="shared" si="72"/>
        <v>200</v>
      </c>
      <c r="BX511" s="78" cm="1">
        <f t="array" ref="BX511">IF(BM511&gt;0,1,_xll.DCETCVN5575FactorPhi7121(BV511*SQRT($K$17/206000),"b"))</f>
        <v>1.6670876655456978E-2</v>
      </c>
      <c r="BY511" s="64">
        <f t="shared" si="73"/>
        <v>1.0964883330815396</v>
      </c>
      <c r="BZ511" s="3" t="str">
        <f t="shared" si="74"/>
        <v>Check</v>
      </c>
    </row>
    <row r="512" spans="1:78">
      <c r="A512" s="76"/>
      <c r="B512" s="76"/>
      <c r="C512" s="125"/>
      <c r="D512" s="125"/>
      <c r="E512" s="71"/>
      <c r="F512" s="71"/>
      <c r="G512" s="71"/>
      <c r="H512" s="126"/>
      <c r="I512" s="125"/>
      <c r="J512" s="123"/>
      <c r="K512" s="12"/>
      <c r="L512" s="117"/>
      <c r="M512" s="12"/>
      <c r="N512" s="117"/>
      <c r="O512" s="117"/>
      <c r="P512" s="117"/>
      <c r="Q512" s="118"/>
      <c r="R512" s="118"/>
      <c r="S512" s="118"/>
      <c r="T512" s="12"/>
      <c r="U512" s="118"/>
      <c r="V512" s="118"/>
      <c r="W512" s="12"/>
      <c r="X512" s="119"/>
      <c r="Y512" s="120"/>
      <c r="Z512" s="12"/>
      <c r="BA512" s="70" t="s">
        <v>205</v>
      </c>
      <c r="BB512" s="71" t="s">
        <v>210</v>
      </c>
      <c r="BC512" s="71" t="s">
        <v>207</v>
      </c>
      <c r="BD512" s="71">
        <v>33</v>
      </c>
      <c r="BE512" s="71">
        <v>36</v>
      </c>
      <c r="BF512" s="71">
        <v>390</v>
      </c>
      <c r="BG512" s="71">
        <v>212</v>
      </c>
      <c r="BH512" s="71">
        <v>5</v>
      </c>
      <c r="BI512" s="71">
        <v>10</v>
      </c>
      <c r="BJ512" s="12" t="str" cm="1">
        <f t="array" ref="BJ512">_xll.Dce_Name_SectI(BF512, BF512, BG512, BH512, BI512, "x", "-", $AX$11)</f>
        <v>390x212x5x10</v>
      </c>
      <c r="BK512" s="77" cm="1">
        <f t="array" ref="BK512">_xll.DCEPropSectI(BF512, BH512, BG512, BI512, BG512, BI512, "A")/100</f>
        <v>60.9</v>
      </c>
      <c r="BL512" s="70" t="s">
        <v>219</v>
      </c>
      <c r="BM512" s="70">
        <v>-23.37755248240552</v>
      </c>
      <c r="BN512" s="71">
        <v>0.9</v>
      </c>
      <c r="BO512" s="77">
        <f t="shared" si="67"/>
        <v>32.4</v>
      </c>
      <c r="BP512" s="71">
        <v>0.9</v>
      </c>
      <c r="BQ512" s="77">
        <f t="shared" si="68"/>
        <v>32.4</v>
      </c>
      <c r="BR512" s="77" cm="1">
        <f t="array" ref="BR512">_xll.DCEPropSectI(BF512, BH512, BG512, BI512, BG512, BI512, "rx")/10</f>
        <v>16.91131201300167</v>
      </c>
      <c r="BS512" s="77" cm="1">
        <f t="array" ref="BS512">_xll.DCEPropSectI(BF512, BH512, BG512, BI512, BG512, BI512, "ry")/10</f>
        <v>5.1070747638622018</v>
      </c>
      <c r="BT512" s="5">
        <f t="shared" si="69"/>
        <v>191.58773710218577</v>
      </c>
      <c r="BU512" s="5">
        <f t="shared" si="70"/>
        <v>634.41405301647956</v>
      </c>
      <c r="BV512" s="5">
        <f t="shared" si="71"/>
        <v>634.41405301647956</v>
      </c>
      <c r="BW512" s="71">
        <f t="shared" si="72"/>
        <v>200</v>
      </c>
      <c r="BX512" s="78" cm="1">
        <f t="array" ref="BX512">IF(BM512&gt;0,1,_xll.DCETCVN5575FactorPhi7121(BV512*SQRT($K$17/206000),"b"))</f>
        <v>1.6670876655456978E-2</v>
      </c>
      <c r="BY512" s="64">
        <f t="shared" si="73"/>
        <v>1.0964883330815396</v>
      </c>
      <c r="BZ512" s="3" t="str">
        <f t="shared" si="74"/>
        <v>Check</v>
      </c>
    </row>
    <row r="513" spans="1:78">
      <c r="A513" s="76"/>
      <c r="B513" s="76"/>
      <c r="C513" s="125"/>
      <c r="D513" s="125"/>
      <c r="E513" s="71"/>
      <c r="F513" s="71"/>
      <c r="G513" s="71"/>
      <c r="H513" s="126"/>
      <c r="I513" s="125"/>
      <c r="J513" s="123"/>
      <c r="K513" s="12"/>
      <c r="L513" s="117"/>
      <c r="M513" s="12"/>
      <c r="N513" s="117"/>
      <c r="O513" s="117"/>
      <c r="P513" s="117"/>
      <c r="Q513" s="118"/>
      <c r="R513" s="118"/>
      <c r="S513" s="118"/>
      <c r="T513" s="12"/>
      <c r="U513" s="118"/>
      <c r="V513" s="118"/>
      <c r="W513" s="12"/>
      <c r="X513" s="119"/>
      <c r="Y513" s="120"/>
      <c r="Z513" s="12"/>
      <c r="BA513" s="70" t="s">
        <v>205</v>
      </c>
      <c r="BB513" s="71" t="s">
        <v>210</v>
      </c>
      <c r="BC513" s="71" t="s">
        <v>207</v>
      </c>
      <c r="BD513" s="71">
        <v>33.5</v>
      </c>
      <c r="BE513" s="71">
        <v>36</v>
      </c>
      <c r="BF513" s="71">
        <v>390</v>
      </c>
      <c r="BG513" s="71">
        <v>212</v>
      </c>
      <c r="BH513" s="71">
        <v>5</v>
      </c>
      <c r="BI513" s="71">
        <v>10</v>
      </c>
      <c r="BJ513" s="12" t="str" cm="1">
        <f t="array" ref="BJ513">_xll.Dce_Name_SectI(BF513, BF513, BG513, BH513, BI513, "x", "-", $AX$11)</f>
        <v>390x212x5x10</v>
      </c>
      <c r="BK513" s="77" cm="1">
        <f t="array" ref="BK513">_xll.DCEPropSectI(BF513, BH513, BG513, BI513, BG513, BI513, "A")/100</f>
        <v>60.9</v>
      </c>
      <c r="BL513" s="70" t="s">
        <v>219</v>
      </c>
      <c r="BM513" s="70">
        <v>-23.37755248240552</v>
      </c>
      <c r="BN513" s="71">
        <v>0.9</v>
      </c>
      <c r="BO513" s="77">
        <f t="shared" si="67"/>
        <v>32.4</v>
      </c>
      <c r="BP513" s="71">
        <v>0.9</v>
      </c>
      <c r="BQ513" s="77">
        <f t="shared" si="68"/>
        <v>32.4</v>
      </c>
      <c r="BR513" s="77" cm="1">
        <f t="array" ref="BR513">_xll.DCEPropSectI(BF513, BH513, BG513, BI513, BG513, BI513, "rx")/10</f>
        <v>16.91131201300167</v>
      </c>
      <c r="BS513" s="77" cm="1">
        <f t="array" ref="BS513">_xll.DCEPropSectI(BF513, BH513, BG513, BI513, BG513, BI513, "ry")/10</f>
        <v>5.1070747638622018</v>
      </c>
      <c r="BT513" s="5">
        <f t="shared" si="69"/>
        <v>191.58773710218577</v>
      </c>
      <c r="BU513" s="5">
        <f t="shared" si="70"/>
        <v>634.41405301647956</v>
      </c>
      <c r="BV513" s="5">
        <f t="shared" si="71"/>
        <v>634.41405301647956</v>
      </c>
      <c r="BW513" s="71">
        <f t="shared" si="72"/>
        <v>200</v>
      </c>
      <c r="BX513" s="78" cm="1">
        <f t="array" ref="BX513">IF(BM513&gt;0,1,_xll.DCETCVN5575FactorPhi7121(BV513*SQRT($K$17/206000),"b"))</f>
        <v>1.6670876655456978E-2</v>
      </c>
      <c r="BY513" s="64">
        <f t="shared" si="73"/>
        <v>1.0964883330815396</v>
      </c>
      <c r="BZ513" s="3" t="str">
        <f t="shared" si="74"/>
        <v>Check</v>
      </c>
    </row>
    <row r="514" spans="1:78">
      <c r="A514" s="76"/>
      <c r="B514" s="76"/>
      <c r="C514" s="125"/>
      <c r="D514" s="125"/>
      <c r="E514" s="71"/>
      <c r="F514" s="71"/>
      <c r="G514" s="71"/>
      <c r="H514" s="126"/>
      <c r="I514" s="125"/>
      <c r="J514" s="123"/>
      <c r="K514" s="12"/>
      <c r="L514" s="117"/>
      <c r="M514" s="12"/>
      <c r="N514" s="117"/>
      <c r="O514" s="117"/>
      <c r="P514" s="117"/>
      <c r="Q514" s="118"/>
      <c r="R514" s="118"/>
      <c r="S514" s="118"/>
      <c r="T514" s="12"/>
      <c r="U514" s="118"/>
      <c r="V514" s="118"/>
      <c r="W514" s="12"/>
      <c r="X514" s="119"/>
      <c r="Y514" s="120"/>
      <c r="Z514" s="12"/>
      <c r="BA514" s="70" t="s">
        <v>205</v>
      </c>
      <c r="BB514" s="71" t="s">
        <v>210</v>
      </c>
      <c r="BC514" s="71" t="s">
        <v>207</v>
      </c>
      <c r="BD514" s="71">
        <v>34</v>
      </c>
      <c r="BE514" s="71">
        <v>36</v>
      </c>
      <c r="BF514" s="71">
        <v>390</v>
      </c>
      <c r="BG514" s="71">
        <v>212</v>
      </c>
      <c r="BH514" s="71">
        <v>5</v>
      </c>
      <c r="BI514" s="71">
        <v>10</v>
      </c>
      <c r="BJ514" s="12" t="str" cm="1">
        <f t="array" ref="BJ514">_xll.Dce_Name_SectI(BF514, BF514, BG514, BH514, BI514, "x", "-", $AX$11)</f>
        <v>390x212x5x10</v>
      </c>
      <c r="BK514" s="77" cm="1">
        <f t="array" ref="BK514">_xll.DCEPropSectI(BF514, BH514, BG514, BI514, BG514, BI514, "A")/100</f>
        <v>60.9</v>
      </c>
      <c r="BL514" s="70" t="s">
        <v>219</v>
      </c>
      <c r="BM514" s="70">
        <v>-23.37755248240552</v>
      </c>
      <c r="BN514" s="71">
        <v>0.9</v>
      </c>
      <c r="BO514" s="77">
        <f t="shared" si="67"/>
        <v>32.4</v>
      </c>
      <c r="BP514" s="71">
        <v>0.9</v>
      </c>
      <c r="BQ514" s="77">
        <f t="shared" si="68"/>
        <v>32.4</v>
      </c>
      <c r="BR514" s="77" cm="1">
        <f t="array" ref="BR514">_xll.DCEPropSectI(BF514, BH514, BG514, BI514, BG514, BI514, "rx")/10</f>
        <v>16.91131201300167</v>
      </c>
      <c r="BS514" s="77" cm="1">
        <f t="array" ref="BS514">_xll.DCEPropSectI(BF514, BH514, BG514, BI514, BG514, BI514, "ry")/10</f>
        <v>5.1070747638622018</v>
      </c>
      <c r="BT514" s="5">
        <f t="shared" si="69"/>
        <v>191.58773710218577</v>
      </c>
      <c r="BU514" s="5">
        <f t="shared" si="70"/>
        <v>634.41405301647956</v>
      </c>
      <c r="BV514" s="5">
        <f t="shared" si="71"/>
        <v>634.41405301647956</v>
      </c>
      <c r="BW514" s="71">
        <f t="shared" si="72"/>
        <v>200</v>
      </c>
      <c r="BX514" s="78" cm="1">
        <f t="array" ref="BX514">IF(BM514&gt;0,1,_xll.DCETCVN5575FactorPhi7121(BV514*SQRT($K$17/206000),"b"))</f>
        <v>1.6670876655456978E-2</v>
      </c>
      <c r="BY514" s="64">
        <f t="shared" si="73"/>
        <v>1.0964883330815396</v>
      </c>
      <c r="BZ514" s="3" t="str">
        <f t="shared" si="74"/>
        <v>Check</v>
      </c>
    </row>
    <row r="515" spans="1:78">
      <c r="A515" s="76"/>
      <c r="B515" s="76"/>
      <c r="C515" s="125"/>
      <c r="D515" s="125"/>
      <c r="E515" s="71"/>
      <c r="F515" s="71"/>
      <c r="G515" s="71"/>
      <c r="H515" s="126"/>
      <c r="I515" s="125"/>
      <c r="J515" s="123"/>
      <c r="K515" s="12"/>
      <c r="L515" s="117"/>
      <c r="M515" s="12"/>
      <c r="N515" s="117"/>
      <c r="O515" s="117"/>
      <c r="P515" s="117"/>
      <c r="Q515" s="118"/>
      <c r="R515" s="118"/>
      <c r="S515" s="118"/>
      <c r="T515" s="12"/>
      <c r="U515" s="118"/>
      <c r="V515" s="118"/>
      <c r="W515" s="12"/>
      <c r="X515" s="119"/>
      <c r="Y515" s="120"/>
      <c r="Z515" s="12"/>
      <c r="BA515" s="70" t="s">
        <v>205</v>
      </c>
      <c r="BB515" s="71" t="s">
        <v>210</v>
      </c>
      <c r="BC515" s="71" t="s">
        <v>207</v>
      </c>
      <c r="BD515" s="71">
        <v>34.5</v>
      </c>
      <c r="BE515" s="71">
        <v>36</v>
      </c>
      <c r="BF515" s="71">
        <v>390</v>
      </c>
      <c r="BG515" s="71">
        <v>212</v>
      </c>
      <c r="BH515" s="71">
        <v>5</v>
      </c>
      <c r="BI515" s="71">
        <v>10</v>
      </c>
      <c r="BJ515" s="12" t="str" cm="1">
        <f t="array" ref="BJ515">_xll.Dce_Name_SectI(BF515, BF515, BG515, BH515, BI515, "x", "-", $AX$11)</f>
        <v>390x212x5x10</v>
      </c>
      <c r="BK515" s="77" cm="1">
        <f t="array" ref="BK515">_xll.DCEPropSectI(BF515, BH515, BG515, BI515, BG515, BI515, "A")/100</f>
        <v>60.9</v>
      </c>
      <c r="BL515" s="70" t="s">
        <v>219</v>
      </c>
      <c r="BM515" s="70">
        <v>-23.37755248240552</v>
      </c>
      <c r="BN515" s="71">
        <v>0.9</v>
      </c>
      <c r="BO515" s="77">
        <f t="shared" si="67"/>
        <v>32.4</v>
      </c>
      <c r="BP515" s="71">
        <v>0.9</v>
      </c>
      <c r="BQ515" s="77">
        <f t="shared" si="68"/>
        <v>32.4</v>
      </c>
      <c r="BR515" s="77" cm="1">
        <f t="array" ref="BR515">_xll.DCEPropSectI(BF515, BH515, BG515, BI515, BG515, BI515, "rx")/10</f>
        <v>16.91131201300167</v>
      </c>
      <c r="BS515" s="77" cm="1">
        <f t="array" ref="BS515">_xll.DCEPropSectI(BF515, BH515, BG515, BI515, BG515, BI515, "ry")/10</f>
        <v>5.1070747638622018</v>
      </c>
      <c r="BT515" s="5">
        <f t="shared" si="69"/>
        <v>191.58773710218577</v>
      </c>
      <c r="BU515" s="5">
        <f t="shared" si="70"/>
        <v>634.41405301647956</v>
      </c>
      <c r="BV515" s="5">
        <f t="shared" si="71"/>
        <v>634.41405301647956</v>
      </c>
      <c r="BW515" s="71">
        <f t="shared" si="72"/>
        <v>200</v>
      </c>
      <c r="BX515" s="78" cm="1">
        <f t="array" ref="BX515">IF(BM515&gt;0,1,_xll.DCETCVN5575FactorPhi7121(BV515*SQRT($K$17/206000),"b"))</f>
        <v>1.6670876655456978E-2</v>
      </c>
      <c r="BY515" s="64">
        <f t="shared" si="73"/>
        <v>1.0964883330815396</v>
      </c>
      <c r="BZ515" s="3" t="str">
        <f t="shared" si="74"/>
        <v>Check</v>
      </c>
    </row>
    <row r="516" spans="1:78">
      <c r="A516" s="76"/>
      <c r="B516" s="76"/>
      <c r="C516" s="125"/>
      <c r="D516" s="125"/>
      <c r="E516" s="71"/>
      <c r="F516" s="71"/>
      <c r="G516" s="71"/>
      <c r="H516" s="126"/>
      <c r="I516" s="125"/>
      <c r="J516" s="123"/>
      <c r="K516" s="12"/>
      <c r="L516" s="117"/>
      <c r="M516" s="12"/>
      <c r="N516" s="117"/>
      <c r="O516" s="117"/>
      <c r="P516" s="117"/>
      <c r="Q516" s="118"/>
      <c r="R516" s="118"/>
      <c r="S516" s="118"/>
      <c r="T516" s="12"/>
      <c r="U516" s="118"/>
      <c r="V516" s="118"/>
      <c r="W516" s="12"/>
      <c r="X516" s="119"/>
      <c r="Y516" s="120"/>
      <c r="Z516" s="12"/>
      <c r="BA516" s="70" t="s">
        <v>205</v>
      </c>
      <c r="BB516" s="71" t="s">
        <v>210</v>
      </c>
      <c r="BC516" s="71" t="s">
        <v>207</v>
      </c>
      <c r="BD516" s="71">
        <v>35</v>
      </c>
      <c r="BE516" s="71">
        <v>36</v>
      </c>
      <c r="BF516" s="71">
        <v>390</v>
      </c>
      <c r="BG516" s="71">
        <v>212</v>
      </c>
      <c r="BH516" s="71">
        <v>5</v>
      </c>
      <c r="BI516" s="71">
        <v>10</v>
      </c>
      <c r="BJ516" s="12" t="str" cm="1">
        <f t="array" ref="BJ516">_xll.Dce_Name_SectI(BF516, BF516, BG516, BH516, BI516, "x", "-", $AX$11)</f>
        <v>390x212x5x10</v>
      </c>
      <c r="BK516" s="77" cm="1">
        <f t="array" ref="BK516">_xll.DCEPropSectI(BF516, BH516, BG516, BI516, BG516, BI516, "A")/100</f>
        <v>60.9</v>
      </c>
      <c r="BL516" s="70" t="s">
        <v>219</v>
      </c>
      <c r="BM516" s="70">
        <v>-23.37755248240552</v>
      </c>
      <c r="BN516" s="71">
        <v>0.9</v>
      </c>
      <c r="BO516" s="77">
        <f t="shared" si="67"/>
        <v>32.4</v>
      </c>
      <c r="BP516" s="71">
        <v>0.9</v>
      </c>
      <c r="BQ516" s="77">
        <f t="shared" si="68"/>
        <v>32.4</v>
      </c>
      <c r="BR516" s="77" cm="1">
        <f t="array" ref="BR516">_xll.DCEPropSectI(BF516, BH516, BG516, BI516, BG516, BI516, "rx")/10</f>
        <v>16.91131201300167</v>
      </c>
      <c r="BS516" s="77" cm="1">
        <f t="array" ref="BS516">_xll.DCEPropSectI(BF516, BH516, BG516, BI516, BG516, BI516, "ry")/10</f>
        <v>5.1070747638622018</v>
      </c>
      <c r="BT516" s="5">
        <f t="shared" si="69"/>
        <v>191.58773710218577</v>
      </c>
      <c r="BU516" s="5">
        <f t="shared" si="70"/>
        <v>634.41405301647956</v>
      </c>
      <c r="BV516" s="5">
        <f t="shared" si="71"/>
        <v>634.41405301647956</v>
      </c>
      <c r="BW516" s="71">
        <f t="shared" si="72"/>
        <v>200</v>
      </c>
      <c r="BX516" s="78" cm="1">
        <f t="array" ref="BX516">IF(BM516&gt;0,1,_xll.DCETCVN5575FactorPhi7121(BV516*SQRT($K$17/206000),"b"))</f>
        <v>1.6670876655456978E-2</v>
      </c>
      <c r="BY516" s="64">
        <f t="shared" si="73"/>
        <v>1.0964883330815396</v>
      </c>
      <c r="BZ516" s="3" t="str">
        <f t="shared" si="74"/>
        <v>Check</v>
      </c>
    </row>
    <row r="517" spans="1:78">
      <c r="A517" s="76"/>
      <c r="B517" s="76"/>
      <c r="C517" s="125"/>
      <c r="D517" s="125"/>
      <c r="E517" s="71"/>
      <c r="F517" s="71"/>
      <c r="G517" s="71"/>
      <c r="H517" s="126"/>
      <c r="I517" s="125"/>
      <c r="J517" s="123"/>
      <c r="K517" s="12"/>
      <c r="L517" s="117"/>
      <c r="M517" s="12"/>
      <c r="N517" s="117"/>
      <c r="O517" s="117"/>
      <c r="P517" s="117"/>
      <c r="Q517" s="118"/>
      <c r="R517" s="118"/>
      <c r="S517" s="118"/>
      <c r="T517" s="12"/>
      <c r="U517" s="118"/>
      <c r="V517" s="118"/>
      <c r="W517" s="12"/>
      <c r="X517" s="119"/>
      <c r="Y517" s="120"/>
      <c r="Z517" s="12"/>
      <c r="BA517" s="70" t="s">
        <v>205</v>
      </c>
      <c r="BB517" s="71" t="s">
        <v>210</v>
      </c>
      <c r="BC517" s="71" t="s">
        <v>207</v>
      </c>
      <c r="BD517" s="71">
        <v>35.5</v>
      </c>
      <c r="BE517" s="71">
        <v>36</v>
      </c>
      <c r="BF517" s="71">
        <v>390</v>
      </c>
      <c r="BG517" s="71">
        <v>212</v>
      </c>
      <c r="BH517" s="71">
        <v>5</v>
      </c>
      <c r="BI517" s="71">
        <v>10</v>
      </c>
      <c r="BJ517" s="12" t="str" cm="1">
        <f t="array" ref="BJ517">_xll.Dce_Name_SectI(BF517, BF517, BG517, BH517, BI517, "x", "-", $AX$11)</f>
        <v>390x212x5x10</v>
      </c>
      <c r="BK517" s="77" cm="1">
        <f t="array" ref="BK517">_xll.DCEPropSectI(BF517, BH517, BG517, BI517, BG517, BI517, "A")/100</f>
        <v>60.9</v>
      </c>
      <c r="BL517" s="70" t="s">
        <v>219</v>
      </c>
      <c r="BM517" s="70">
        <v>-23.37755248240552</v>
      </c>
      <c r="BN517" s="71">
        <v>0.9</v>
      </c>
      <c r="BO517" s="77">
        <f t="shared" si="67"/>
        <v>32.4</v>
      </c>
      <c r="BP517" s="71">
        <v>0.9</v>
      </c>
      <c r="BQ517" s="77">
        <f t="shared" si="68"/>
        <v>32.4</v>
      </c>
      <c r="BR517" s="77" cm="1">
        <f t="array" ref="BR517">_xll.DCEPropSectI(BF517, BH517, BG517, BI517, BG517, BI517, "rx")/10</f>
        <v>16.91131201300167</v>
      </c>
      <c r="BS517" s="77" cm="1">
        <f t="array" ref="BS517">_xll.DCEPropSectI(BF517, BH517, BG517, BI517, BG517, BI517, "ry")/10</f>
        <v>5.1070747638622018</v>
      </c>
      <c r="BT517" s="5">
        <f t="shared" si="69"/>
        <v>191.58773710218577</v>
      </c>
      <c r="BU517" s="5">
        <f t="shared" si="70"/>
        <v>634.41405301647956</v>
      </c>
      <c r="BV517" s="5">
        <f t="shared" si="71"/>
        <v>634.41405301647956</v>
      </c>
      <c r="BW517" s="71">
        <f t="shared" si="72"/>
        <v>200</v>
      </c>
      <c r="BX517" s="78" cm="1">
        <f t="array" ref="BX517">IF(BM517&gt;0,1,_xll.DCETCVN5575FactorPhi7121(BV517*SQRT($K$17/206000),"b"))</f>
        <v>1.6670876655456978E-2</v>
      </c>
      <c r="BY517" s="64">
        <f t="shared" si="73"/>
        <v>1.0964883330815396</v>
      </c>
      <c r="BZ517" s="3" t="str">
        <f t="shared" si="74"/>
        <v>Check</v>
      </c>
    </row>
    <row r="518" spans="1:78">
      <c r="A518" s="76"/>
      <c r="B518" s="76"/>
      <c r="C518" s="125"/>
      <c r="D518" s="125"/>
      <c r="E518" s="71"/>
      <c r="F518" s="71"/>
      <c r="G518" s="71"/>
      <c r="H518" s="126"/>
      <c r="I518" s="125"/>
      <c r="J518" s="123"/>
      <c r="K518" s="12"/>
      <c r="L518" s="117"/>
      <c r="M518" s="12"/>
      <c r="N518" s="117"/>
      <c r="O518" s="117"/>
      <c r="P518" s="117"/>
      <c r="Q518" s="118"/>
      <c r="R518" s="118"/>
      <c r="S518" s="118"/>
      <c r="T518" s="12"/>
      <c r="U518" s="118"/>
      <c r="V518" s="118"/>
      <c r="W518" s="12"/>
      <c r="X518" s="119"/>
      <c r="Y518" s="120"/>
      <c r="Z518" s="12"/>
      <c r="BA518" s="70" t="s">
        <v>205</v>
      </c>
      <c r="BB518" s="71" t="s">
        <v>210</v>
      </c>
      <c r="BC518" s="71" t="s">
        <v>207</v>
      </c>
      <c r="BD518" s="71">
        <v>36</v>
      </c>
      <c r="BE518" s="71">
        <v>36</v>
      </c>
      <c r="BF518" s="71">
        <v>390</v>
      </c>
      <c r="BG518" s="71">
        <v>212</v>
      </c>
      <c r="BH518" s="71">
        <v>5</v>
      </c>
      <c r="BI518" s="71">
        <v>10</v>
      </c>
      <c r="BJ518" s="12" t="str" cm="1">
        <f t="array" ref="BJ518">_xll.Dce_Name_SectI(BF518, BF518, BG518, BH518, BI518, "x", "-", $AX$11)</f>
        <v>390x212x5x10</v>
      </c>
      <c r="BK518" s="77" cm="1">
        <f t="array" ref="BK518">_xll.DCEPropSectI(BF518, BH518, BG518, BI518, BG518, BI518, "A")/100</f>
        <v>60.9</v>
      </c>
      <c r="BL518" s="70" t="s">
        <v>219</v>
      </c>
      <c r="BM518" s="70">
        <v>-23.37755248240552</v>
      </c>
      <c r="BN518" s="71">
        <v>0.9</v>
      </c>
      <c r="BO518" s="77">
        <f t="shared" si="67"/>
        <v>32.4</v>
      </c>
      <c r="BP518" s="71">
        <v>0.9</v>
      </c>
      <c r="BQ518" s="77">
        <f t="shared" si="68"/>
        <v>32.4</v>
      </c>
      <c r="BR518" s="77" cm="1">
        <f t="array" ref="BR518">_xll.DCEPropSectI(BF518, BH518, BG518, BI518, BG518, BI518, "rx")/10</f>
        <v>16.91131201300167</v>
      </c>
      <c r="BS518" s="77" cm="1">
        <f t="array" ref="BS518">_xll.DCEPropSectI(BF518, BH518, BG518, BI518, BG518, BI518, "ry")/10</f>
        <v>5.1070747638622018</v>
      </c>
      <c r="BT518" s="5">
        <f t="shared" si="69"/>
        <v>191.58773710218577</v>
      </c>
      <c r="BU518" s="5">
        <f t="shared" si="70"/>
        <v>634.41405301647956</v>
      </c>
      <c r="BV518" s="5">
        <f t="shared" si="71"/>
        <v>634.41405301647956</v>
      </c>
      <c r="BW518" s="71">
        <f t="shared" si="72"/>
        <v>200</v>
      </c>
      <c r="BX518" s="78" cm="1">
        <f t="array" ref="BX518">IF(BM518&gt;0,1,_xll.DCETCVN5575FactorPhi7121(BV518*SQRT($K$17/206000),"b"))</f>
        <v>1.6670876655456978E-2</v>
      </c>
      <c r="BY518" s="64">
        <f t="shared" si="73"/>
        <v>1.0964883330815396</v>
      </c>
      <c r="BZ518" s="3" t="str">
        <f t="shared" si="74"/>
        <v>Check</v>
      </c>
    </row>
    <row r="519" spans="1:78">
      <c r="A519" s="76"/>
      <c r="B519" s="76"/>
      <c r="C519" s="125"/>
      <c r="D519" s="125"/>
      <c r="E519" s="71"/>
      <c r="F519" s="71"/>
      <c r="G519" s="71"/>
      <c r="H519" s="126"/>
      <c r="I519" s="125"/>
      <c r="J519" s="123"/>
      <c r="K519" s="12"/>
      <c r="L519" s="117"/>
      <c r="M519" s="12"/>
      <c r="N519" s="117"/>
      <c r="O519" s="117"/>
      <c r="P519" s="117"/>
      <c r="Q519" s="118"/>
      <c r="R519" s="118"/>
      <c r="S519" s="118"/>
      <c r="T519" s="12"/>
      <c r="U519" s="118"/>
      <c r="V519" s="118"/>
      <c r="W519" s="12"/>
      <c r="X519" s="119"/>
      <c r="Y519" s="120"/>
      <c r="Z519" s="12"/>
      <c r="BA519" s="70" t="s">
        <v>205</v>
      </c>
      <c r="BB519" s="71" t="s">
        <v>210</v>
      </c>
      <c r="BC519" s="71" t="s">
        <v>207</v>
      </c>
      <c r="BD519" s="71">
        <v>0</v>
      </c>
      <c r="BE519" s="71">
        <v>36</v>
      </c>
      <c r="BF519" s="71">
        <v>390</v>
      </c>
      <c r="BG519" s="71">
        <v>212</v>
      </c>
      <c r="BH519" s="71">
        <v>5</v>
      </c>
      <c r="BI519" s="71">
        <v>10</v>
      </c>
      <c r="BJ519" s="12" t="str" cm="1">
        <f t="array" ref="BJ519">_xll.Dce_Name_SectI(BF519, BF519, BG519, BH519, BI519, "x", "-", $AX$11)</f>
        <v>390x212x5x10</v>
      </c>
      <c r="BK519" s="77" cm="1">
        <f t="array" ref="BK519">_xll.DCEPropSectI(BF519, BH519, BG519, BI519, BG519, BI519, "A")/100</f>
        <v>60.9</v>
      </c>
      <c r="BL519" s="70" t="s">
        <v>220</v>
      </c>
      <c r="BM519" s="70">
        <v>-3.7638146240527135</v>
      </c>
      <c r="BN519" s="71">
        <v>0.9</v>
      </c>
      <c r="BO519" s="77">
        <f t="shared" si="67"/>
        <v>32.4</v>
      </c>
      <c r="BP519" s="71">
        <v>0.9</v>
      </c>
      <c r="BQ519" s="77">
        <f t="shared" si="68"/>
        <v>32.4</v>
      </c>
      <c r="BR519" s="77" cm="1">
        <f t="array" ref="BR519">_xll.DCEPropSectI(BF519, BH519, BG519, BI519, BG519, BI519, "rx")/10</f>
        <v>16.91131201300167</v>
      </c>
      <c r="BS519" s="77" cm="1">
        <f t="array" ref="BS519">_xll.DCEPropSectI(BF519, BH519, BG519, BI519, BG519, BI519, "ry")/10</f>
        <v>5.1070747638622018</v>
      </c>
      <c r="BT519" s="5">
        <f t="shared" si="69"/>
        <v>191.58773710218577</v>
      </c>
      <c r="BU519" s="5">
        <f t="shared" si="70"/>
        <v>634.41405301647956</v>
      </c>
      <c r="BV519" s="5">
        <f t="shared" si="71"/>
        <v>634.41405301647956</v>
      </c>
      <c r="BW519" s="71">
        <f t="shared" si="72"/>
        <v>200</v>
      </c>
      <c r="BX519" s="78" cm="1">
        <f t="array" ref="BX519">IF(BM519&gt;0,1,_xll.DCETCVN5575FactorPhi7121(BV519*SQRT($K$17/206000),"b"))</f>
        <v>1.6670876655456978E-2</v>
      </c>
      <c r="BY519" s="64">
        <f t="shared" si="73"/>
        <v>0.17653596655430631</v>
      </c>
      <c r="BZ519" s="3" t="str">
        <f t="shared" si="74"/>
        <v>Check</v>
      </c>
    </row>
    <row r="520" spans="1:78">
      <c r="A520" s="76"/>
      <c r="B520" s="76"/>
      <c r="C520" s="125"/>
      <c r="D520" s="125"/>
      <c r="E520" s="71"/>
      <c r="F520" s="71"/>
      <c r="G520" s="71"/>
      <c r="H520" s="126"/>
      <c r="I520" s="125"/>
      <c r="J520" s="123"/>
      <c r="K520" s="12"/>
      <c r="L520" s="117"/>
      <c r="M520" s="12"/>
      <c r="N520" s="117"/>
      <c r="O520" s="117"/>
      <c r="P520" s="117"/>
      <c r="Q520" s="118"/>
      <c r="R520" s="118"/>
      <c r="S520" s="118"/>
      <c r="T520" s="12"/>
      <c r="U520" s="118"/>
      <c r="V520" s="118"/>
      <c r="W520" s="12"/>
      <c r="X520" s="119"/>
      <c r="Y520" s="120"/>
      <c r="Z520" s="12"/>
      <c r="BA520" s="70" t="s">
        <v>205</v>
      </c>
      <c r="BB520" s="71" t="s">
        <v>210</v>
      </c>
      <c r="BC520" s="71" t="s">
        <v>207</v>
      </c>
      <c r="BD520" s="71">
        <v>0.3</v>
      </c>
      <c r="BE520" s="71">
        <v>36</v>
      </c>
      <c r="BF520" s="71">
        <v>390</v>
      </c>
      <c r="BG520" s="71">
        <v>212</v>
      </c>
      <c r="BH520" s="71">
        <v>5</v>
      </c>
      <c r="BI520" s="71">
        <v>10</v>
      </c>
      <c r="BJ520" s="12" t="str" cm="1">
        <f t="array" ref="BJ520">_xll.Dce_Name_SectI(BF520, BF520, BG520, BH520, BI520, "x", "-", $AX$11)</f>
        <v>390x212x5x10</v>
      </c>
      <c r="BK520" s="77" cm="1">
        <f t="array" ref="BK520">_xll.DCEPropSectI(BF520, BH520, BG520, BI520, BG520, BI520, "A")/100</f>
        <v>60.9</v>
      </c>
      <c r="BL520" s="70" t="s">
        <v>220</v>
      </c>
      <c r="BM520" s="70">
        <v>-3.7638146240527135</v>
      </c>
      <c r="BN520" s="71">
        <v>0.9</v>
      </c>
      <c r="BO520" s="77">
        <f t="shared" si="67"/>
        <v>32.4</v>
      </c>
      <c r="BP520" s="71">
        <v>0.9</v>
      </c>
      <c r="BQ520" s="77">
        <f t="shared" si="68"/>
        <v>32.4</v>
      </c>
      <c r="BR520" s="77" cm="1">
        <f t="array" ref="BR520">_xll.DCEPropSectI(BF520, BH520, BG520, BI520, BG520, BI520, "rx")/10</f>
        <v>16.91131201300167</v>
      </c>
      <c r="BS520" s="77" cm="1">
        <f t="array" ref="BS520">_xll.DCEPropSectI(BF520, BH520, BG520, BI520, BG520, BI520, "ry")/10</f>
        <v>5.1070747638622018</v>
      </c>
      <c r="BT520" s="5">
        <f t="shared" si="69"/>
        <v>191.58773710218577</v>
      </c>
      <c r="BU520" s="5">
        <f t="shared" si="70"/>
        <v>634.41405301647956</v>
      </c>
      <c r="BV520" s="5">
        <f t="shared" si="71"/>
        <v>634.41405301647956</v>
      </c>
      <c r="BW520" s="71">
        <f t="shared" si="72"/>
        <v>200</v>
      </c>
      <c r="BX520" s="78" cm="1">
        <f t="array" ref="BX520">IF(BM520&gt;0,1,_xll.DCETCVN5575FactorPhi7121(BV520*SQRT($K$17/206000),"b"))</f>
        <v>1.6670876655456978E-2</v>
      </c>
      <c r="BY520" s="64">
        <f t="shared" si="73"/>
        <v>0.17653596655430631</v>
      </c>
      <c r="BZ520" s="3" t="str">
        <f t="shared" si="74"/>
        <v>Check</v>
      </c>
    </row>
    <row r="521" spans="1:78">
      <c r="A521" s="76"/>
      <c r="B521" s="76"/>
      <c r="C521" s="125"/>
      <c r="D521" s="125"/>
      <c r="E521" s="71"/>
      <c r="F521" s="71"/>
      <c r="G521" s="71"/>
      <c r="H521" s="126"/>
      <c r="I521" s="125"/>
      <c r="J521" s="123"/>
      <c r="K521" s="12"/>
      <c r="L521" s="117"/>
      <c r="M521" s="12"/>
      <c r="N521" s="117"/>
      <c r="O521" s="117"/>
      <c r="P521" s="117"/>
      <c r="Q521" s="118"/>
      <c r="R521" s="118"/>
      <c r="S521" s="118"/>
      <c r="T521" s="12"/>
      <c r="U521" s="118"/>
      <c r="V521" s="118"/>
      <c r="W521" s="12"/>
      <c r="X521" s="119"/>
      <c r="Y521" s="120"/>
      <c r="Z521" s="12"/>
      <c r="BA521" s="70" t="s">
        <v>205</v>
      </c>
      <c r="BB521" s="71" t="s">
        <v>210</v>
      </c>
      <c r="BC521" s="71" t="s">
        <v>207</v>
      </c>
      <c r="BD521" s="71">
        <v>0.6</v>
      </c>
      <c r="BE521" s="71">
        <v>36</v>
      </c>
      <c r="BF521" s="71">
        <v>390</v>
      </c>
      <c r="BG521" s="71">
        <v>212</v>
      </c>
      <c r="BH521" s="71">
        <v>5</v>
      </c>
      <c r="BI521" s="71">
        <v>10</v>
      </c>
      <c r="BJ521" s="12" t="str" cm="1">
        <f t="array" ref="BJ521">_xll.Dce_Name_SectI(BF521, BF521, BG521, BH521, BI521, "x", "-", $AX$11)</f>
        <v>390x212x5x10</v>
      </c>
      <c r="BK521" s="77" cm="1">
        <f t="array" ref="BK521">_xll.DCEPropSectI(BF521, BH521, BG521, BI521, BG521, BI521, "A")/100</f>
        <v>60.9</v>
      </c>
      <c r="BL521" s="70" t="s">
        <v>220</v>
      </c>
      <c r="BM521" s="70">
        <v>-3.7638146240527135</v>
      </c>
      <c r="BN521" s="71">
        <v>0.9</v>
      </c>
      <c r="BO521" s="77">
        <f t="shared" si="67"/>
        <v>32.4</v>
      </c>
      <c r="BP521" s="71">
        <v>0.9</v>
      </c>
      <c r="BQ521" s="77">
        <f t="shared" si="68"/>
        <v>32.4</v>
      </c>
      <c r="BR521" s="77" cm="1">
        <f t="array" ref="BR521">_xll.DCEPropSectI(BF521, BH521, BG521, BI521, BG521, BI521, "rx")/10</f>
        <v>16.91131201300167</v>
      </c>
      <c r="BS521" s="77" cm="1">
        <f t="array" ref="BS521">_xll.DCEPropSectI(BF521, BH521, BG521, BI521, BG521, BI521, "ry")/10</f>
        <v>5.1070747638622018</v>
      </c>
      <c r="BT521" s="5">
        <f t="shared" si="69"/>
        <v>191.58773710218577</v>
      </c>
      <c r="BU521" s="5">
        <f t="shared" si="70"/>
        <v>634.41405301647956</v>
      </c>
      <c r="BV521" s="5">
        <f t="shared" si="71"/>
        <v>634.41405301647956</v>
      </c>
      <c r="BW521" s="71">
        <f t="shared" si="72"/>
        <v>200</v>
      </c>
      <c r="BX521" s="78" cm="1">
        <f t="array" ref="BX521">IF(BM521&gt;0,1,_xll.DCETCVN5575FactorPhi7121(BV521*SQRT($K$17/206000),"b"))</f>
        <v>1.6670876655456978E-2</v>
      </c>
      <c r="BY521" s="64">
        <f t="shared" si="73"/>
        <v>0.17653596655430631</v>
      </c>
      <c r="BZ521" s="3" t="str">
        <f t="shared" si="74"/>
        <v>Check</v>
      </c>
    </row>
    <row r="522" spans="1:78">
      <c r="A522" s="76"/>
      <c r="B522" s="76"/>
      <c r="C522" s="125"/>
      <c r="D522" s="125"/>
      <c r="E522" s="71"/>
      <c r="F522" s="71"/>
      <c r="G522" s="71"/>
      <c r="H522" s="126"/>
      <c r="I522" s="125"/>
      <c r="J522" s="123"/>
      <c r="K522" s="12"/>
      <c r="L522" s="117"/>
      <c r="M522" s="12"/>
      <c r="N522" s="117"/>
      <c r="O522" s="117"/>
      <c r="P522" s="117"/>
      <c r="Q522" s="118"/>
      <c r="R522" s="118"/>
      <c r="S522" s="118"/>
      <c r="T522" s="12"/>
      <c r="U522" s="118"/>
      <c r="V522" s="118"/>
      <c r="W522" s="12"/>
      <c r="X522" s="119"/>
      <c r="Y522" s="120"/>
      <c r="Z522" s="12"/>
      <c r="BA522" s="70" t="s">
        <v>205</v>
      </c>
      <c r="BB522" s="71" t="s">
        <v>210</v>
      </c>
      <c r="BC522" s="71" t="s">
        <v>207</v>
      </c>
      <c r="BD522" s="71">
        <v>0.6</v>
      </c>
      <c r="BE522" s="71">
        <v>36</v>
      </c>
      <c r="BF522" s="71">
        <v>390</v>
      </c>
      <c r="BG522" s="71">
        <v>212</v>
      </c>
      <c r="BH522" s="71">
        <v>5</v>
      </c>
      <c r="BI522" s="71">
        <v>10</v>
      </c>
      <c r="BJ522" s="12" t="str" cm="1">
        <f t="array" ref="BJ522">_xll.Dce_Name_SectI(BF522, BF522, BG522, BH522, BI522, "x", "-", $AX$11)</f>
        <v>390x212x5x10</v>
      </c>
      <c r="BK522" s="77" cm="1">
        <f t="array" ref="BK522">_xll.DCEPropSectI(BF522, BH522, BG522, BI522, BG522, BI522, "A")/100</f>
        <v>60.9</v>
      </c>
      <c r="BL522" s="70" t="s">
        <v>220</v>
      </c>
      <c r="BM522" s="70">
        <v>-9.8794481720597922</v>
      </c>
      <c r="BN522" s="71">
        <v>0.9</v>
      </c>
      <c r="BO522" s="77">
        <f t="shared" si="67"/>
        <v>32.4</v>
      </c>
      <c r="BP522" s="71">
        <v>0.9</v>
      </c>
      <c r="BQ522" s="77">
        <f t="shared" si="68"/>
        <v>32.4</v>
      </c>
      <c r="BR522" s="77" cm="1">
        <f t="array" ref="BR522">_xll.DCEPropSectI(BF522, BH522, BG522, BI522, BG522, BI522, "rx")/10</f>
        <v>16.91131201300167</v>
      </c>
      <c r="BS522" s="77" cm="1">
        <f t="array" ref="BS522">_xll.DCEPropSectI(BF522, BH522, BG522, BI522, BG522, BI522, "ry")/10</f>
        <v>5.1070747638622018</v>
      </c>
      <c r="BT522" s="5">
        <f t="shared" si="69"/>
        <v>191.58773710218577</v>
      </c>
      <c r="BU522" s="5">
        <f t="shared" si="70"/>
        <v>634.41405301647956</v>
      </c>
      <c r="BV522" s="5">
        <f t="shared" si="71"/>
        <v>634.41405301647956</v>
      </c>
      <c r="BW522" s="71">
        <f t="shared" si="72"/>
        <v>200</v>
      </c>
      <c r="BX522" s="78" cm="1">
        <f t="array" ref="BX522">IF(BM522&gt;0,1,_xll.DCETCVN5575FactorPhi7121(BV522*SQRT($K$17/206000),"b"))</f>
        <v>1.6670876655456978E-2</v>
      </c>
      <c r="BY522" s="64">
        <f t="shared" si="73"/>
        <v>0.46338040160963134</v>
      </c>
      <c r="BZ522" s="3" t="str">
        <f t="shared" si="74"/>
        <v>Check</v>
      </c>
    </row>
    <row r="523" spans="1:78">
      <c r="A523" s="76"/>
      <c r="B523" s="76"/>
      <c r="C523" s="125"/>
      <c r="D523" s="125"/>
      <c r="E523" s="71"/>
      <c r="F523" s="71"/>
      <c r="G523" s="71"/>
      <c r="H523" s="126"/>
      <c r="I523" s="125"/>
      <c r="J523" s="123"/>
      <c r="K523" s="12"/>
      <c r="L523" s="117"/>
      <c r="M523" s="12"/>
      <c r="N523" s="117"/>
      <c r="O523" s="117"/>
      <c r="P523" s="117"/>
      <c r="Q523" s="118"/>
      <c r="R523" s="118"/>
      <c r="S523" s="118"/>
      <c r="T523" s="12"/>
      <c r="U523" s="118"/>
      <c r="V523" s="118"/>
      <c r="W523" s="12"/>
      <c r="X523" s="119"/>
      <c r="Y523" s="120"/>
      <c r="Z523" s="12"/>
      <c r="BA523" s="70" t="s">
        <v>205</v>
      </c>
      <c r="BB523" s="71" t="s">
        <v>210</v>
      </c>
      <c r="BC523" s="71" t="s">
        <v>207</v>
      </c>
      <c r="BD523" s="71">
        <v>1.0900000000000001</v>
      </c>
      <c r="BE523" s="71">
        <v>36</v>
      </c>
      <c r="BF523" s="71">
        <v>390</v>
      </c>
      <c r="BG523" s="71">
        <v>212</v>
      </c>
      <c r="BH523" s="71">
        <v>5</v>
      </c>
      <c r="BI523" s="71">
        <v>10</v>
      </c>
      <c r="BJ523" s="12" t="str" cm="1">
        <f t="array" ref="BJ523">_xll.Dce_Name_SectI(BF523, BF523, BG523, BH523, BI523, "x", "-", $AX$11)</f>
        <v>390x212x5x10</v>
      </c>
      <c r="BK523" s="77" cm="1">
        <f t="array" ref="BK523">_xll.DCEPropSectI(BF523, BH523, BG523, BI523, BG523, BI523, "A")/100</f>
        <v>60.9</v>
      </c>
      <c r="BL523" s="70" t="s">
        <v>220</v>
      </c>
      <c r="BM523" s="70">
        <v>-9.8794481720597922</v>
      </c>
      <c r="BN523" s="71">
        <v>0.9</v>
      </c>
      <c r="BO523" s="77">
        <f t="shared" si="67"/>
        <v>32.4</v>
      </c>
      <c r="BP523" s="71">
        <v>0.9</v>
      </c>
      <c r="BQ523" s="77">
        <f t="shared" si="68"/>
        <v>32.4</v>
      </c>
      <c r="BR523" s="77" cm="1">
        <f t="array" ref="BR523">_xll.DCEPropSectI(BF523, BH523, BG523, BI523, BG523, BI523, "rx")/10</f>
        <v>16.91131201300167</v>
      </c>
      <c r="BS523" s="77" cm="1">
        <f t="array" ref="BS523">_xll.DCEPropSectI(BF523, BH523, BG523, BI523, BG523, BI523, "ry")/10</f>
        <v>5.1070747638622018</v>
      </c>
      <c r="BT523" s="5">
        <f t="shared" si="69"/>
        <v>191.58773710218577</v>
      </c>
      <c r="BU523" s="5">
        <f t="shared" si="70"/>
        <v>634.41405301647956</v>
      </c>
      <c r="BV523" s="5">
        <f t="shared" si="71"/>
        <v>634.41405301647956</v>
      </c>
      <c r="BW523" s="71">
        <f t="shared" si="72"/>
        <v>200</v>
      </c>
      <c r="BX523" s="78" cm="1">
        <f t="array" ref="BX523">IF(BM523&gt;0,1,_xll.DCETCVN5575FactorPhi7121(BV523*SQRT($K$17/206000),"b"))</f>
        <v>1.6670876655456978E-2</v>
      </c>
      <c r="BY523" s="64">
        <f t="shared" si="73"/>
        <v>0.46338040160963134</v>
      </c>
      <c r="BZ523" s="3" t="str">
        <f t="shared" si="74"/>
        <v>Check</v>
      </c>
    </row>
    <row r="524" spans="1:78">
      <c r="A524" s="76"/>
      <c r="B524" s="76"/>
      <c r="C524" s="125"/>
      <c r="D524" s="125"/>
      <c r="E524" s="71"/>
      <c r="F524" s="71"/>
      <c r="G524" s="71"/>
      <c r="H524" s="126"/>
      <c r="I524" s="125"/>
      <c r="J524" s="123"/>
      <c r="K524" s="12"/>
      <c r="L524" s="117"/>
      <c r="M524" s="12"/>
      <c r="N524" s="117"/>
      <c r="O524" s="117"/>
      <c r="P524" s="117"/>
      <c r="Q524" s="118"/>
      <c r="R524" s="118"/>
      <c r="S524" s="118"/>
      <c r="T524" s="12"/>
      <c r="U524" s="118"/>
      <c r="V524" s="118"/>
      <c r="W524" s="12"/>
      <c r="X524" s="119"/>
      <c r="Y524" s="120"/>
      <c r="Z524" s="12"/>
      <c r="BA524" s="70" t="s">
        <v>205</v>
      </c>
      <c r="BB524" s="71" t="s">
        <v>210</v>
      </c>
      <c r="BC524" s="71" t="s">
        <v>207</v>
      </c>
      <c r="BD524" s="71">
        <v>1.59</v>
      </c>
      <c r="BE524" s="71">
        <v>36</v>
      </c>
      <c r="BF524" s="71">
        <v>390</v>
      </c>
      <c r="BG524" s="71">
        <v>212</v>
      </c>
      <c r="BH524" s="71">
        <v>5</v>
      </c>
      <c r="BI524" s="71">
        <v>10</v>
      </c>
      <c r="BJ524" s="12" t="str" cm="1">
        <f t="array" ref="BJ524">_xll.Dce_Name_SectI(BF524, BF524, BG524, BH524, BI524, "x", "-", $AX$11)</f>
        <v>390x212x5x10</v>
      </c>
      <c r="BK524" s="77" cm="1">
        <f t="array" ref="BK524">_xll.DCEPropSectI(BF524, BH524, BG524, BI524, BG524, BI524, "A")/100</f>
        <v>60.9</v>
      </c>
      <c r="BL524" s="70" t="s">
        <v>220</v>
      </c>
      <c r="BM524" s="70">
        <v>-9.8794481720597922</v>
      </c>
      <c r="BN524" s="71">
        <v>0.9</v>
      </c>
      <c r="BO524" s="77">
        <f t="shared" si="67"/>
        <v>32.4</v>
      </c>
      <c r="BP524" s="71">
        <v>0.9</v>
      </c>
      <c r="BQ524" s="77">
        <f t="shared" si="68"/>
        <v>32.4</v>
      </c>
      <c r="BR524" s="77" cm="1">
        <f t="array" ref="BR524">_xll.DCEPropSectI(BF524, BH524, BG524, BI524, BG524, BI524, "rx")/10</f>
        <v>16.91131201300167</v>
      </c>
      <c r="BS524" s="77" cm="1">
        <f t="array" ref="BS524">_xll.DCEPropSectI(BF524, BH524, BG524, BI524, BG524, BI524, "ry")/10</f>
        <v>5.1070747638622018</v>
      </c>
      <c r="BT524" s="5">
        <f t="shared" si="69"/>
        <v>191.58773710218577</v>
      </c>
      <c r="BU524" s="5">
        <f t="shared" si="70"/>
        <v>634.41405301647956</v>
      </c>
      <c r="BV524" s="5">
        <f t="shared" si="71"/>
        <v>634.41405301647956</v>
      </c>
      <c r="BW524" s="71">
        <f t="shared" si="72"/>
        <v>200</v>
      </c>
      <c r="BX524" s="78" cm="1">
        <f t="array" ref="BX524">IF(BM524&gt;0,1,_xll.DCETCVN5575FactorPhi7121(BV524*SQRT($K$17/206000),"b"))</f>
        <v>1.6670876655456978E-2</v>
      </c>
      <c r="BY524" s="64">
        <f t="shared" si="73"/>
        <v>0.46338040160963134</v>
      </c>
      <c r="BZ524" s="3" t="str">
        <f t="shared" si="74"/>
        <v>Check</v>
      </c>
    </row>
    <row r="525" spans="1:78">
      <c r="A525" s="76"/>
      <c r="B525" s="76"/>
      <c r="C525" s="125"/>
      <c r="D525" s="125"/>
      <c r="E525" s="71"/>
      <c r="F525" s="71"/>
      <c r="G525" s="71"/>
      <c r="H525" s="126"/>
      <c r="I525" s="125"/>
      <c r="J525" s="123"/>
      <c r="K525" s="12"/>
      <c r="L525" s="117"/>
      <c r="M525" s="12"/>
      <c r="N525" s="117"/>
      <c r="O525" s="117"/>
      <c r="P525" s="117"/>
      <c r="Q525" s="118"/>
      <c r="R525" s="118"/>
      <c r="S525" s="118"/>
      <c r="T525" s="12"/>
      <c r="U525" s="118"/>
      <c r="V525" s="118"/>
      <c r="W525" s="12"/>
      <c r="X525" s="119"/>
      <c r="Y525" s="120"/>
      <c r="Z525" s="12"/>
      <c r="BA525" s="70" t="s">
        <v>205</v>
      </c>
      <c r="BB525" s="71" t="s">
        <v>210</v>
      </c>
      <c r="BC525" s="71" t="s">
        <v>207</v>
      </c>
      <c r="BD525" s="71">
        <v>2.08</v>
      </c>
      <c r="BE525" s="71">
        <v>36</v>
      </c>
      <c r="BF525" s="71">
        <v>390</v>
      </c>
      <c r="BG525" s="71">
        <v>212</v>
      </c>
      <c r="BH525" s="71">
        <v>5</v>
      </c>
      <c r="BI525" s="71">
        <v>10</v>
      </c>
      <c r="BJ525" s="12" t="str" cm="1">
        <f t="array" ref="BJ525">_xll.Dce_Name_SectI(BF525, BF525, BG525, BH525, BI525, "x", "-", $AX$11)</f>
        <v>390x212x5x10</v>
      </c>
      <c r="BK525" s="77" cm="1">
        <f t="array" ref="BK525">_xll.DCEPropSectI(BF525, BH525, BG525, BI525, BG525, BI525, "A")/100</f>
        <v>60.9</v>
      </c>
      <c r="BL525" s="70" t="s">
        <v>220</v>
      </c>
      <c r="BM525" s="70">
        <v>-9.8794481720597922</v>
      </c>
      <c r="BN525" s="71">
        <v>0.9</v>
      </c>
      <c r="BO525" s="77">
        <f t="shared" ref="BO525:BO588" si="75">BN525*BE525</f>
        <v>32.4</v>
      </c>
      <c r="BP525" s="71">
        <v>0.9</v>
      </c>
      <c r="BQ525" s="77">
        <f t="shared" ref="BQ525:BQ588" si="76">BP525*BE525</f>
        <v>32.4</v>
      </c>
      <c r="BR525" s="77" cm="1">
        <f t="array" ref="BR525">_xll.DCEPropSectI(BF525, BH525, BG525, BI525, BG525, BI525, "rx")/10</f>
        <v>16.91131201300167</v>
      </c>
      <c r="BS525" s="77" cm="1">
        <f t="array" ref="BS525">_xll.DCEPropSectI(BF525, BH525, BG525, BI525, BG525, BI525, "ry")/10</f>
        <v>5.1070747638622018</v>
      </c>
      <c r="BT525" s="5">
        <f t="shared" ref="BT525:BT588" si="77">BO525*100/BR525</f>
        <v>191.58773710218577</v>
      </c>
      <c r="BU525" s="5">
        <f t="shared" ref="BU525:BU588" si="78">BQ525*100/BS525</f>
        <v>634.41405301647956</v>
      </c>
      <c r="BV525" s="5">
        <f t="shared" ref="BV525:BV588" si="79">MAX(BT525,BU525)</f>
        <v>634.41405301647956</v>
      </c>
      <c r="BW525" s="71">
        <f t="shared" ref="BW525:BW588" si="80">IF(BM525&lt;0,$AY$14,$AY$15)</f>
        <v>200</v>
      </c>
      <c r="BX525" s="78" cm="1">
        <f t="array" ref="BX525">IF(BM525&gt;0,1,_xll.DCETCVN5575FactorPhi7121(BV525*SQRT($K$17/206000),"b"))</f>
        <v>1.6670876655456978E-2</v>
      </c>
      <c r="BY525" s="64">
        <f t="shared" ref="BY525:BY588" si="81">ABS(BM525)/(BX525*BK525*$K$17*$K$19)*10</f>
        <v>0.46338040160963134</v>
      </c>
      <c r="BZ525" s="3" t="str">
        <f t="shared" ref="BZ525:BZ588" si="82">IF(AND(BV525&lt;=BW525,BY525&lt;=1),"OK","Check")</f>
        <v>Check</v>
      </c>
    </row>
    <row r="526" spans="1:78">
      <c r="A526" s="76"/>
      <c r="B526" s="76"/>
      <c r="C526" s="125"/>
      <c r="D526" s="125"/>
      <c r="E526" s="71"/>
      <c r="F526" s="71"/>
      <c r="G526" s="71"/>
      <c r="H526" s="126"/>
      <c r="I526" s="125"/>
      <c r="J526" s="123"/>
      <c r="K526" s="12"/>
      <c r="L526" s="117"/>
      <c r="M526" s="12"/>
      <c r="N526" s="117"/>
      <c r="O526" s="117"/>
      <c r="P526" s="117"/>
      <c r="Q526" s="118"/>
      <c r="R526" s="118"/>
      <c r="S526" s="118"/>
      <c r="T526" s="12"/>
      <c r="U526" s="118"/>
      <c r="V526" s="118"/>
      <c r="W526" s="12"/>
      <c r="X526" s="119"/>
      <c r="Y526" s="120"/>
      <c r="Z526" s="12"/>
      <c r="BA526" s="70" t="s">
        <v>205</v>
      </c>
      <c r="BB526" s="71" t="s">
        <v>210</v>
      </c>
      <c r="BC526" s="71" t="s">
        <v>207</v>
      </c>
      <c r="BD526" s="71">
        <v>2.57</v>
      </c>
      <c r="BE526" s="71">
        <v>36</v>
      </c>
      <c r="BF526" s="71">
        <v>390</v>
      </c>
      <c r="BG526" s="71">
        <v>212</v>
      </c>
      <c r="BH526" s="71">
        <v>5</v>
      </c>
      <c r="BI526" s="71">
        <v>10</v>
      </c>
      <c r="BJ526" s="12" t="str" cm="1">
        <f t="array" ref="BJ526">_xll.Dce_Name_SectI(BF526, BF526, BG526, BH526, BI526, "x", "-", $AX$11)</f>
        <v>390x212x5x10</v>
      </c>
      <c r="BK526" s="77" cm="1">
        <f t="array" ref="BK526">_xll.DCEPropSectI(BF526, BH526, BG526, BI526, BG526, BI526, "A")/100</f>
        <v>60.9</v>
      </c>
      <c r="BL526" s="70" t="s">
        <v>220</v>
      </c>
      <c r="BM526" s="70">
        <v>-9.8794481720597922</v>
      </c>
      <c r="BN526" s="71">
        <v>0.9</v>
      </c>
      <c r="BO526" s="77">
        <f t="shared" si="75"/>
        <v>32.4</v>
      </c>
      <c r="BP526" s="71">
        <v>0.9</v>
      </c>
      <c r="BQ526" s="77">
        <f t="shared" si="76"/>
        <v>32.4</v>
      </c>
      <c r="BR526" s="77" cm="1">
        <f t="array" ref="BR526">_xll.DCEPropSectI(BF526, BH526, BG526, BI526, BG526, BI526, "rx")/10</f>
        <v>16.91131201300167</v>
      </c>
      <c r="BS526" s="77" cm="1">
        <f t="array" ref="BS526">_xll.DCEPropSectI(BF526, BH526, BG526, BI526, BG526, BI526, "ry")/10</f>
        <v>5.1070747638622018</v>
      </c>
      <c r="BT526" s="5">
        <f t="shared" si="77"/>
        <v>191.58773710218577</v>
      </c>
      <c r="BU526" s="5">
        <f t="shared" si="78"/>
        <v>634.41405301647956</v>
      </c>
      <c r="BV526" s="5">
        <f t="shared" si="79"/>
        <v>634.41405301647956</v>
      </c>
      <c r="BW526" s="71">
        <f t="shared" si="80"/>
        <v>200</v>
      </c>
      <c r="BX526" s="78" cm="1">
        <f t="array" ref="BX526">IF(BM526&gt;0,1,_xll.DCETCVN5575FactorPhi7121(BV526*SQRT($K$17/206000),"b"))</f>
        <v>1.6670876655456978E-2</v>
      </c>
      <c r="BY526" s="64">
        <f t="shared" si="81"/>
        <v>0.46338040160963134</v>
      </c>
      <c r="BZ526" s="3" t="str">
        <f t="shared" si="82"/>
        <v>Check</v>
      </c>
    </row>
    <row r="527" spans="1:78">
      <c r="A527" s="76"/>
      <c r="B527" s="76"/>
      <c r="C527" s="125"/>
      <c r="D527" s="125"/>
      <c r="E527" s="71"/>
      <c r="F527" s="71"/>
      <c r="G527" s="71"/>
      <c r="H527" s="126"/>
      <c r="I527" s="125"/>
      <c r="J527" s="123"/>
      <c r="K527" s="12"/>
      <c r="L527" s="117"/>
      <c r="M527" s="12"/>
      <c r="N527" s="117"/>
      <c r="O527" s="117"/>
      <c r="P527" s="117"/>
      <c r="Q527" s="118"/>
      <c r="R527" s="118"/>
      <c r="S527" s="118"/>
      <c r="T527" s="12"/>
      <c r="U527" s="118"/>
      <c r="V527" s="118"/>
      <c r="W527" s="12"/>
      <c r="X527" s="119"/>
      <c r="Y527" s="120"/>
      <c r="Z527" s="12"/>
      <c r="BA527" s="70" t="s">
        <v>205</v>
      </c>
      <c r="BB527" s="71" t="s">
        <v>210</v>
      </c>
      <c r="BC527" s="71" t="s">
        <v>207</v>
      </c>
      <c r="BD527" s="71">
        <v>3.06</v>
      </c>
      <c r="BE527" s="71">
        <v>36</v>
      </c>
      <c r="BF527" s="71">
        <v>390</v>
      </c>
      <c r="BG527" s="71">
        <v>212</v>
      </c>
      <c r="BH527" s="71">
        <v>5</v>
      </c>
      <c r="BI527" s="71">
        <v>10</v>
      </c>
      <c r="BJ527" s="12" t="str" cm="1">
        <f t="array" ref="BJ527">_xll.Dce_Name_SectI(BF527, BF527, BG527, BH527, BI527, "x", "-", $AX$11)</f>
        <v>390x212x5x10</v>
      </c>
      <c r="BK527" s="77" cm="1">
        <f t="array" ref="BK527">_xll.DCEPropSectI(BF527, BH527, BG527, BI527, BG527, BI527, "A")/100</f>
        <v>60.9</v>
      </c>
      <c r="BL527" s="70" t="s">
        <v>220</v>
      </c>
      <c r="BM527" s="70">
        <v>-9.8794481720597922</v>
      </c>
      <c r="BN527" s="71">
        <v>0.9</v>
      </c>
      <c r="BO527" s="77">
        <f t="shared" si="75"/>
        <v>32.4</v>
      </c>
      <c r="BP527" s="71">
        <v>0.9</v>
      </c>
      <c r="BQ527" s="77">
        <f t="shared" si="76"/>
        <v>32.4</v>
      </c>
      <c r="BR527" s="77" cm="1">
        <f t="array" ref="BR527">_xll.DCEPropSectI(BF527, BH527, BG527, BI527, BG527, BI527, "rx")/10</f>
        <v>16.91131201300167</v>
      </c>
      <c r="BS527" s="77" cm="1">
        <f t="array" ref="BS527">_xll.DCEPropSectI(BF527, BH527, BG527, BI527, BG527, BI527, "ry")/10</f>
        <v>5.1070747638622018</v>
      </c>
      <c r="BT527" s="5">
        <f t="shared" si="77"/>
        <v>191.58773710218577</v>
      </c>
      <c r="BU527" s="5">
        <f t="shared" si="78"/>
        <v>634.41405301647956</v>
      </c>
      <c r="BV527" s="5">
        <f t="shared" si="79"/>
        <v>634.41405301647956</v>
      </c>
      <c r="BW527" s="71">
        <f t="shared" si="80"/>
        <v>200</v>
      </c>
      <c r="BX527" s="78" cm="1">
        <f t="array" ref="BX527">IF(BM527&gt;0,1,_xll.DCETCVN5575FactorPhi7121(BV527*SQRT($K$17/206000),"b"))</f>
        <v>1.6670876655456978E-2</v>
      </c>
      <c r="BY527" s="64">
        <f t="shared" si="81"/>
        <v>0.46338040160963134</v>
      </c>
      <c r="BZ527" s="3" t="str">
        <f t="shared" si="82"/>
        <v>Check</v>
      </c>
    </row>
    <row r="528" spans="1:78">
      <c r="A528" s="76"/>
      <c r="B528" s="76"/>
      <c r="C528" s="125"/>
      <c r="D528" s="125"/>
      <c r="E528" s="71"/>
      <c r="F528" s="71"/>
      <c r="G528" s="71"/>
      <c r="H528" s="126"/>
      <c r="I528" s="125"/>
      <c r="J528" s="123"/>
      <c r="K528" s="12"/>
      <c r="L528" s="117"/>
      <c r="M528" s="12"/>
      <c r="N528" s="117"/>
      <c r="O528" s="117"/>
      <c r="P528" s="117"/>
      <c r="Q528" s="118"/>
      <c r="R528" s="118"/>
      <c r="S528" s="118"/>
      <c r="T528" s="12"/>
      <c r="U528" s="118"/>
      <c r="V528" s="118"/>
      <c r="W528" s="12"/>
      <c r="X528" s="119"/>
      <c r="Y528" s="120"/>
      <c r="Z528" s="12"/>
      <c r="BA528" s="70" t="s">
        <v>205</v>
      </c>
      <c r="BB528" s="71" t="s">
        <v>210</v>
      </c>
      <c r="BC528" s="71" t="s">
        <v>207</v>
      </c>
      <c r="BD528" s="71">
        <v>3.56</v>
      </c>
      <c r="BE528" s="71">
        <v>36</v>
      </c>
      <c r="BF528" s="71">
        <v>390</v>
      </c>
      <c r="BG528" s="71">
        <v>212</v>
      </c>
      <c r="BH528" s="71">
        <v>5</v>
      </c>
      <c r="BI528" s="71">
        <v>10</v>
      </c>
      <c r="BJ528" s="12" t="str" cm="1">
        <f t="array" ref="BJ528">_xll.Dce_Name_SectI(BF528, BF528, BG528, BH528, BI528, "x", "-", $AX$11)</f>
        <v>390x212x5x10</v>
      </c>
      <c r="BK528" s="77" cm="1">
        <f t="array" ref="BK528">_xll.DCEPropSectI(BF528, BH528, BG528, BI528, BG528, BI528, "A")/100</f>
        <v>60.9</v>
      </c>
      <c r="BL528" s="70" t="s">
        <v>220</v>
      </c>
      <c r="BM528" s="70">
        <v>-9.8794481720597922</v>
      </c>
      <c r="BN528" s="71">
        <v>0.9</v>
      </c>
      <c r="BO528" s="77">
        <f t="shared" si="75"/>
        <v>32.4</v>
      </c>
      <c r="BP528" s="71">
        <v>0.9</v>
      </c>
      <c r="BQ528" s="77">
        <f t="shared" si="76"/>
        <v>32.4</v>
      </c>
      <c r="BR528" s="77" cm="1">
        <f t="array" ref="BR528">_xll.DCEPropSectI(BF528, BH528, BG528, BI528, BG528, BI528, "rx")/10</f>
        <v>16.91131201300167</v>
      </c>
      <c r="BS528" s="77" cm="1">
        <f t="array" ref="BS528">_xll.DCEPropSectI(BF528, BH528, BG528, BI528, BG528, BI528, "ry")/10</f>
        <v>5.1070747638622018</v>
      </c>
      <c r="BT528" s="5">
        <f t="shared" si="77"/>
        <v>191.58773710218577</v>
      </c>
      <c r="BU528" s="5">
        <f t="shared" si="78"/>
        <v>634.41405301647956</v>
      </c>
      <c r="BV528" s="5">
        <f t="shared" si="79"/>
        <v>634.41405301647956</v>
      </c>
      <c r="BW528" s="71">
        <f t="shared" si="80"/>
        <v>200</v>
      </c>
      <c r="BX528" s="78" cm="1">
        <f t="array" ref="BX528">IF(BM528&gt;0,1,_xll.DCETCVN5575FactorPhi7121(BV528*SQRT($K$17/206000),"b"))</f>
        <v>1.6670876655456978E-2</v>
      </c>
      <c r="BY528" s="64">
        <f t="shared" si="81"/>
        <v>0.46338040160963134</v>
      </c>
      <c r="BZ528" s="3" t="str">
        <f t="shared" si="82"/>
        <v>Check</v>
      </c>
    </row>
    <row r="529" spans="1:78">
      <c r="A529" s="76"/>
      <c r="B529" s="76"/>
      <c r="C529" s="125"/>
      <c r="D529" s="125"/>
      <c r="E529" s="71"/>
      <c r="F529" s="71"/>
      <c r="G529" s="71"/>
      <c r="H529" s="126"/>
      <c r="I529" s="125"/>
      <c r="J529" s="123"/>
      <c r="K529" s="12"/>
      <c r="L529" s="117"/>
      <c r="M529" s="12"/>
      <c r="N529" s="117"/>
      <c r="O529" s="117"/>
      <c r="P529" s="117"/>
      <c r="Q529" s="118"/>
      <c r="R529" s="118"/>
      <c r="S529" s="118"/>
      <c r="T529" s="12"/>
      <c r="U529" s="118"/>
      <c r="V529" s="118"/>
      <c r="W529" s="12"/>
      <c r="X529" s="119"/>
      <c r="Y529" s="120"/>
      <c r="Z529" s="12"/>
      <c r="BA529" s="70" t="s">
        <v>205</v>
      </c>
      <c r="BB529" s="71" t="s">
        <v>210</v>
      </c>
      <c r="BC529" s="71" t="s">
        <v>207</v>
      </c>
      <c r="BD529" s="71">
        <v>4.05</v>
      </c>
      <c r="BE529" s="71">
        <v>36</v>
      </c>
      <c r="BF529" s="71">
        <v>390</v>
      </c>
      <c r="BG529" s="71">
        <v>212</v>
      </c>
      <c r="BH529" s="71">
        <v>5</v>
      </c>
      <c r="BI529" s="71">
        <v>10</v>
      </c>
      <c r="BJ529" s="12" t="str" cm="1">
        <f t="array" ref="BJ529">_xll.Dce_Name_SectI(BF529, BF529, BG529, BH529, BI529, "x", "-", $AX$11)</f>
        <v>390x212x5x10</v>
      </c>
      <c r="BK529" s="77" cm="1">
        <f t="array" ref="BK529">_xll.DCEPropSectI(BF529, BH529, BG529, BI529, BG529, BI529, "A")/100</f>
        <v>60.9</v>
      </c>
      <c r="BL529" s="70" t="s">
        <v>220</v>
      </c>
      <c r="BM529" s="70">
        <v>-9.8794481720597922</v>
      </c>
      <c r="BN529" s="71">
        <v>0.9</v>
      </c>
      <c r="BO529" s="77">
        <f t="shared" si="75"/>
        <v>32.4</v>
      </c>
      <c r="BP529" s="71">
        <v>0.9</v>
      </c>
      <c r="BQ529" s="77">
        <f t="shared" si="76"/>
        <v>32.4</v>
      </c>
      <c r="BR529" s="77" cm="1">
        <f t="array" ref="BR529">_xll.DCEPropSectI(BF529, BH529, BG529, BI529, BG529, BI529, "rx")/10</f>
        <v>16.91131201300167</v>
      </c>
      <c r="BS529" s="77" cm="1">
        <f t="array" ref="BS529">_xll.DCEPropSectI(BF529, BH529, BG529, BI529, BG529, BI529, "ry")/10</f>
        <v>5.1070747638622018</v>
      </c>
      <c r="BT529" s="5">
        <f t="shared" si="77"/>
        <v>191.58773710218577</v>
      </c>
      <c r="BU529" s="5">
        <f t="shared" si="78"/>
        <v>634.41405301647956</v>
      </c>
      <c r="BV529" s="5">
        <f t="shared" si="79"/>
        <v>634.41405301647956</v>
      </c>
      <c r="BW529" s="71">
        <f t="shared" si="80"/>
        <v>200</v>
      </c>
      <c r="BX529" s="78" cm="1">
        <f t="array" ref="BX529">IF(BM529&gt;0,1,_xll.DCETCVN5575FactorPhi7121(BV529*SQRT($K$17/206000),"b"))</f>
        <v>1.6670876655456978E-2</v>
      </c>
      <c r="BY529" s="64">
        <f t="shared" si="81"/>
        <v>0.46338040160963134</v>
      </c>
      <c r="BZ529" s="3" t="str">
        <f t="shared" si="82"/>
        <v>Check</v>
      </c>
    </row>
    <row r="530" spans="1:78">
      <c r="A530" s="76"/>
      <c r="B530" s="76"/>
      <c r="C530" s="125"/>
      <c r="D530" s="125"/>
      <c r="E530" s="71"/>
      <c r="F530" s="71"/>
      <c r="G530" s="71"/>
      <c r="H530" s="126"/>
      <c r="I530" s="125"/>
      <c r="J530" s="123"/>
      <c r="K530" s="12"/>
      <c r="L530" s="117"/>
      <c r="M530" s="12"/>
      <c r="N530" s="117"/>
      <c r="O530" s="117"/>
      <c r="P530" s="117"/>
      <c r="Q530" s="118"/>
      <c r="R530" s="118"/>
      <c r="S530" s="118"/>
      <c r="T530" s="12"/>
      <c r="U530" s="118"/>
      <c r="V530" s="118"/>
      <c r="W530" s="12"/>
      <c r="X530" s="119"/>
      <c r="Y530" s="120"/>
      <c r="Z530" s="12"/>
      <c r="BA530" s="70" t="s">
        <v>205</v>
      </c>
      <c r="BB530" s="71" t="s">
        <v>210</v>
      </c>
      <c r="BC530" s="71" t="s">
        <v>207</v>
      </c>
      <c r="BD530" s="71">
        <v>4.54</v>
      </c>
      <c r="BE530" s="71">
        <v>36</v>
      </c>
      <c r="BF530" s="71">
        <v>390</v>
      </c>
      <c r="BG530" s="71">
        <v>212</v>
      </c>
      <c r="BH530" s="71">
        <v>5</v>
      </c>
      <c r="BI530" s="71">
        <v>10</v>
      </c>
      <c r="BJ530" s="12" t="str" cm="1">
        <f t="array" ref="BJ530">_xll.Dce_Name_SectI(BF530, BF530, BG530, BH530, BI530, "x", "-", $AX$11)</f>
        <v>390x212x5x10</v>
      </c>
      <c r="BK530" s="77" cm="1">
        <f t="array" ref="BK530">_xll.DCEPropSectI(BF530, BH530, BG530, BI530, BG530, BI530, "A")/100</f>
        <v>60.9</v>
      </c>
      <c r="BL530" s="70" t="s">
        <v>220</v>
      </c>
      <c r="BM530" s="70">
        <v>-9.8794481720597922</v>
      </c>
      <c r="BN530" s="71">
        <v>0.9</v>
      </c>
      <c r="BO530" s="77">
        <f t="shared" si="75"/>
        <v>32.4</v>
      </c>
      <c r="BP530" s="71">
        <v>0.9</v>
      </c>
      <c r="BQ530" s="77">
        <f t="shared" si="76"/>
        <v>32.4</v>
      </c>
      <c r="BR530" s="77" cm="1">
        <f t="array" ref="BR530">_xll.DCEPropSectI(BF530, BH530, BG530, BI530, BG530, BI530, "rx")/10</f>
        <v>16.91131201300167</v>
      </c>
      <c r="BS530" s="77" cm="1">
        <f t="array" ref="BS530">_xll.DCEPropSectI(BF530, BH530, BG530, BI530, BG530, BI530, "ry")/10</f>
        <v>5.1070747638622018</v>
      </c>
      <c r="BT530" s="5">
        <f t="shared" si="77"/>
        <v>191.58773710218577</v>
      </c>
      <c r="BU530" s="5">
        <f t="shared" si="78"/>
        <v>634.41405301647956</v>
      </c>
      <c r="BV530" s="5">
        <f t="shared" si="79"/>
        <v>634.41405301647956</v>
      </c>
      <c r="BW530" s="71">
        <f t="shared" si="80"/>
        <v>200</v>
      </c>
      <c r="BX530" s="78" cm="1">
        <f t="array" ref="BX530">IF(BM530&gt;0,1,_xll.DCETCVN5575FactorPhi7121(BV530*SQRT($K$17/206000),"b"))</f>
        <v>1.6670876655456978E-2</v>
      </c>
      <c r="BY530" s="64">
        <f t="shared" si="81"/>
        <v>0.46338040160963134</v>
      </c>
      <c r="BZ530" s="3" t="str">
        <f t="shared" si="82"/>
        <v>Check</v>
      </c>
    </row>
    <row r="531" spans="1:78">
      <c r="A531" s="76"/>
      <c r="B531" s="76"/>
      <c r="C531" s="125"/>
      <c r="D531" s="125"/>
      <c r="E531" s="71"/>
      <c r="F531" s="71"/>
      <c r="G531" s="71"/>
      <c r="H531" s="126"/>
      <c r="I531" s="125"/>
      <c r="J531" s="123"/>
      <c r="K531" s="12"/>
      <c r="L531" s="117"/>
      <c r="M531" s="12"/>
      <c r="N531" s="117"/>
      <c r="O531" s="117"/>
      <c r="P531" s="117"/>
      <c r="Q531" s="118"/>
      <c r="R531" s="118"/>
      <c r="S531" s="118"/>
      <c r="T531" s="12"/>
      <c r="U531" s="118"/>
      <c r="V531" s="118"/>
      <c r="W531" s="12"/>
      <c r="X531" s="119"/>
      <c r="Y531" s="120"/>
      <c r="Z531" s="12"/>
      <c r="BA531" s="70" t="s">
        <v>205</v>
      </c>
      <c r="BB531" s="71" t="s">
        <v>210</v>
      </c>
      <c r="BC531" s="71" t="s">
        <v>207</v>
      </c>
      <c r="BD531" s="71">
        <v>5.04</v>
      </c>
      <c r="BE531" s="71">
        <v>36</v>
      </c>
      <c r="BF531" s="71">
        <v>390</v>
      </c>
      <c r="BG531" s="71">
        <v>212</v>
      </c>
      <c r="BH531" s="71">
        <v>5</v>
      </c>
      <c r="BI531" s="71">
        <v>10</v>
      </c>
      <c r="BJ531" s="12" t="str" cm="1">
        <f t="array" ref="BJ531">_xll.Dce_Name_SectI(BF531, BF531, BG531, BH531, BI531, "x", "-", $AX$11)</f>
        <v>390x212x5x10</v>
      </c>
      <c r="BK531" s="77" cm="1">
        <f t="array" ref="BK531">_xll.DCEPropSectI(BF531, BH531, BG531, BI531, BG531, BI531, "A")/100</f>
        <v>60.9</v>
      </c>
      <c r="BL531" s="70" t="s">
        <v>220</v>
      </c>
      <c r="BM531" s="70">
        <v>-9.8794481720597922</v>
      </c>
      <c r="BN531" s="71">
        <v>0.9</v>
      </c>
      <c r="BO531" s="77">
        <f t="shared" si="75"/>
        <v>32.4</v>
      </c>
      <c r="BP531" s="71">
        <v>0.9</v>
      </c>
      <c r="BQ531" s="77">
        <f t="shared" si="76"/>
        <v>32.4</v>
      </c>
      <c r="BR531" s="77" cm="1">
        <f t="array" ref="BR531">_xll.DCEPropSectI(BF531, BH531, BG531, BI531, BG531, BI531, "rx")/10</f>
        <v>16.91131201300167</v>
      </c>
      <c r="BS531" s="77" cm="1">
        <f t="array" ref="BS531">_xll.DCEPropSectI(BF531, BH531, BG531, BI531, BG531, BI531, "ry")/10</f>
        <v>5.1070747638622018</v>
      </c>
      <c r="BT531" s="5">
        <f t="shared" si="77"/>
        <v>191.58773710218577</v>
      </c>
      <c r="BU531" s="5">
        <f t="shared" si="78"/>
        <v>634.41405301647956</v>
      </c>
      <c r="BV531" s="5">
        <f t="shared" si="79"/>
        <v>634.41405301647956</v>
      </c>
      <c r="BW531" s="71">
        <f t="shared" si="80"/>
        <v>200</v>
      </c>
      <c r="BX531" s="78" cm="1">
        <f t="array" ref="BX531">IF(BM531&gt;0,1,_xll.DCETCVN5575FactorPhi7121(BV531*SQRT($K$17/206000),"b"))</f>
        <v>1.6670876655456978E-2</v>
      </c>
      <c r="BY531" s="64">
        <f t="shared" si="81"/>
        <v>0.46338040160963134</v>
      </c>
      <c r="BZ531" s="3" t="str">
        <f t="shared" si="82"/>
        <v>Check</v>
      </c>
    </row>
    <row r="532" spans="1:78">
      <c r="A532" s="76"/>
      <c r="B532" s="76"/>
      <c r="C532" s="125"/>
      <c r="D532" s="125"/>
      <c r="E532" s="71"/>
      <c r="F532" s="71"/>
      <c r="G532" s="71"/>
      <c r="H532" s="126"/>
      <c r="I532" s="125"/>
      <c r="J532" s="123"/>
      <c r="K532" s="12"/>
      <c r="L532" s="117"/>
      <c r="M532" s="12"/>
      <c r="N532" s="117"/>
      <c r="O532" s="117"/>
      <c r="P532" s="117"/>
      <c r="Q532" s="118"/>
      <c r="R532" s="118"/>
      <c r="S532" s="118"/>
      <c r="T532" s="12"/>
      <c r="U532" s="118"/>
      <c r="V532" s="118"/>
      <c r="W532" s="12"/>
      <c r="X532" s="119"/>
      <c r="Y532" s="120"/>
      <c r="Z532" s="12"/>
      <c r="BA532" s="70" t="s">
        <v>205</v>
      </c>
      <c r="BB532" s="71" t="s">
        <v>210</v>
      </c>
      <c r="BC532" s="71" t="s">
        <v>207</v>
      </c>
      <c r="BD532" s="71">
        <v>5.53</v>
      </c>
      <c r="BE532" s="71">
        <v>36</v>
      </c>
      <c r="BF532" s="71">
        <v>390</v>
      </c>
      <c r="BG532" s="71">
        <v>212</v>
      </c>
      <c r="BH532" s="71">
        <v>5</v>
      </c>
      <c r="BI532" s="71">
        <v>10</v>
      </c>
      <c r="BJ532" s="12" t="str" cm="1">
        <f t="array" ref="BJ532">_xll.Dce_Name_SectI(BF532, BF532, BG532, BH532, BI532, "x", "-", $AX$11)</f>
        <v>390x212x5x10</v>
      </c>
      <c r="BK532" s="77" cm="1">
        <f t="array" ref="BK532">_xll.DCEPropSectI(BF532, BH532, BG532, BI532, BG532, BI532, "A")/100</f>
        <v>60.9</v>
      </c>
      <c r="BL532" s="70" t="s">
        <v>220</v>
      </c>
      <c r="BM532" s="70">
        <v>-9.8794481720597922</v>
      </c>
      <c r="BN532" s="71">
        <v>0.9</v>
      </c>
      <c r="BO532" s="77">
        <f t="shared" si="75"/>
        <v>32.4</v>
      </c>
      <c r="BP532" s="71">
        <v>0.9</v>
      </c>
      <c r="BQ532" s="77">
        <f t="shared" si="76"/>
        <v>32.4</v>
      </c>
      <c r="BR532" s="77" cm="1">
        <f t="array" ref="BR532">_xll.DCEPropSectI(BF532, BH532, BG532, BI532, BG532, BI532, "rx")/10</f>
        <v>16.91131201300167</v>
      </c>
      <c r="BS532" s="77" cm="1">
        <f t="array" ref="BS532">_xll.DCEPropSectI(BF532, BH532, BG532, BI532, BG532, BI532, "ry")/10</f>
        <v>5.1070747638622018</v>
      </c>
      <c r="BT532" s="5">
        <f t="shared" si="77"/>
        <v>191.58773710218577</v>
      </c>
      <c r="BU532" s="5">
        <f t="shared" si="78"/>
        <v>634.41405301647956</v>
      </c>
      <c r="BV532" s="5">
        <f t="shared" si="79"/>
        <v>634.41405301647956</v>
      </c>
      <c r="BW532" s="71">
        <f t="shared" si="80"/>
        <v>200</v>
      </c>
      <c r="BX532" s="78" cm="1">
        <f t="array" ref="BX532">IF(BM532&gt;0,1,_xll.DCETCVN5575FactorPhi7121(BV532*SQRT($K$17/206000),"b"))</f>
        <v>1.6670876655456978E-2</v>
      </c>
      <c r="BY532" s="64">
        <f t="shared" si="81"/>
        <v>0.46338040160963134</v>
      </c>
      <c r="BZ532" s="3" t="str">
        <f t="shared" si="82"/>
        <v>Check</v>
      </c>
    </row>
    <row r="533" spans="1:78">
      <c r="A533" s="76"/>
      <c r="B533" s="76"/>
      <c r="C533" s="125"/>
      <c r="D533" s="125"/>
      <c r="E533" s="71"/>
      <c r="F533" s="71"/>
      <c r="G533" s="71"/>
      <c r="H533" s="126"/>
      <c r="I533" s="125"/>
      <c r="J533" s="123"/>
      <c r="K533" s="12"/>
      <c r="L533" s="117"/>
      <c r="M533" s="12"/>
      <c r="N533" s="117"/>
      <c r="O533" s="117"/>
      <c r="P533" s="117"/>
      <c r="Q533" s="118"/>
      <c r="R533" s="118"/>
      <c r="S533" s="118"/>
      <c r="T533" s="12"/>
      <c r="U533" s="118"/>
      <c r="V533" s="118"/>
      <c r="W533" s="12"/>
      <c r="X533" s="119"/>
      <c r="Y533" s="120"/>
      <c r="Z533" s="12"/>
      <c r="BA533" s="70" t="s">
        <v>205</v>
      </c>
      <c r="BB533" s="71" t="s">
        <v>210</v>
      </c>
      <c r="BC533" s="71" t="s">
        <v>207</v>
      </c>
      <c r="BD533" s="71">
        <v>6.02</v>
      </c>
      <c r="BE533" s="71">
        <v>36</v>
      </c>
      <c r="BF533" s="71">
        <v>390</v>
      </c>
      <c r="BG533" s="71">
        <v>212</v>
      </c>
      <c r="BH533" s="71">
        <v>5</v>
      </c>
      <c r="BI533" s="71">
        <v>10</v>
      </c>
      <c r="BJ533" s="12" t="str" cm="1">
        <f t="array" ref="BJ533">_xll.Dce_Name_SectI(BF533, BF533, BG533, BH533, BI533, "x", "-", $AX$11)</f>
        <v>390x212x5x10</v>
      </c>
      <c r="BK533" s="77" cm="1">
        <f t="array" ref="BK533">_xll.DCEPropSectI(BF533, BH533, BG533, BI533, BG533, BI533, "A")/100</f>
        <v>60.9</v>
      </c>
      <c r="BL533" s="70" t="s">
        <v>220</v>
      </c>
      <c r="BM533" s="70">
        <v>-9.8794481720597922</v>
      </c>
      <c r="BN533" s="71">
        <v>0.9</v>
      </c>
      <c r="BO533" s="77">
        <f t="shared" si="75"/>
        <v>32.4</v>
      </c>
      <c r="BP533" s="71">
        <v>0.9</v>
      </c>
      <c r="BQ533" s="77">
        <f t="shared" si="76"/>
        <v>32.4</v>
      </c>
      <c r="BR533" s="77" cm="1">
        <f t="array" ref="BR533">_xll.DCEPropSectI(BF533, BH533, BG533, BI533, BG533, BI533, "rx")/10</f>
        <v>16.91131201300167</v>
      </c>
      <c r="BS533" s="77" cm="1">
        <f t="array" ref="BS533">_xll.DCEPropSectI(BF533, BH533, BG533, BI533, BG533, BI533, "ry")/10</f>
        <v>5.1070747638622018</v>
      </c>
      <c r="BT533" s="5">
        <f t="shared" si="77"/>
        <v>191.58773710218577</v>
      </c>
      <c r="BU533" s="5">
        <f t="shared" si="78"/>
        <v>634.41405301647956</v>
      </c>
      <c r="BV533" s="5">
        <f t="shared" si="79"/>
        <v>634.41405301647956</v>
      </c>
      <c r="BW533" s="71">
        <f t="shared" si="80"/>
        <v>200</v>
      </c>
      <c r="BX533" s="78" cm="1">
        <f t="array" ref="BX533">IF(BM533&gt;0,1,_xll.DCETCVN5575FactorPhi7121(BV533*SQRT($K$17/206000),"b"))</f>
        <v>1.6670876655456978E-2</v>
      </c>
      <c r="BY533" s="64">
        <f t="shared" si="81"/>
        <v>0.46338040160963134</v>
      </c>
      <c r="BZ533" s="3" t="str">
        <f t="shared" si="82"/>
        <v>Check</v>
      </c>
    </row>
    <row r="534" spans="1:78">
      <c r="A534" s="76"/>
      <c r="B534" s="76"/>
      <c r="C534" s="125"/>
      <c r="D534" s="125"/>
      <c r="E534" s="71"/>
      <c r="F534" s="71"/>
      <c r="G534" s="71"/>
      <c r="H534" s="126"/>
      <c r="I534" s="125"/>
      <c r="J534" s="123"/>
      <c r="K534" s="12"/>
      <c r="L534" s="117"/>
      <c r="M534" s="12"/>
      <c r="N534" s="117"/>
      <c r="O534" s="117"/>
      <c r="P534" s="117"/>
      <c r="Q534" s="118"/>
      <c r="R534" s="118"/>
      <c r="S534" s="118"/>
      <c r="T534" s="12"/>
      <c r="U534" s="118"/>
      <c r="V534" s="118"/>
      <c r="W534" s="12"/>
      <c r="X534" s="119"/>
      <c r="Y534" s="120"/>
      <c r="Z534" s="12"/>
      <c r="BA534" s="70" t="s">
        <v>205</v>
      </c>
      <c r="BB534" s="71" t="s">
        <v>210</v>
      </c>
      <c r="BC534" s="71" t="s">
        <v>207</v>
      </c>
      <c r="BD534" s="71">
        <v>6.51</v>
      </c>
      <c r="BE534" s="71">
        <v>36</v>
      </c>
      <c r="BF534" s="71">
        <v>390</v>
      </c>
      <c r="BG534" s="71">
        <v>212</v>
      </c>
      <c r="BH534" s="71">
        <v>5</v>
      </c>
      <c r="BI534" s="71">
        <v>10</v>
      </c>
      <c r="BJ534" s="12" t="str" cm="1">
        <f t="array" ref="BJ534">_xll.Dce_Name_SectI(BF534, BF534, BG534, BH534, BI534, "x", "-", $AX$11)</f>
        <v>390x212x5x10</v>
      </c>
      <c r="BK534" s="77" cm="1">
        <f t="array" ref="BK534">_xll.DCEPropSectI(BF534, BH534, BG534, BI534, BG534, BI534, "A")/100</f>
        <v>60.9</v>
      </c>
      <c r="BL534" s="70" t="s">
        <v>220</v>
      </c>
      <c r="BM534" s="70">
        <v>-9.8794481720597922</v>
      </c>
      <c r="BN534" s="71">
        <v>0.9</v>
      </c>
      <c r="BO534" s="77">
        <f t="shared" si="75"/>
        <v>32.4</v>
      </c>
      <c r="BP534" s="71">
        <v>0.9</v>
      </c>
      <c r="BQ534" s="77">
        <f t="shared" si="76"/>
        <v>32.4</v>
      </c>
      <c r="BR534" s="77" cm="1">
        <f t="array" ref="BR534">_xll.DCEPropSectI(BF534, BH534, BG534, BI534, BG534, BI534, "rx")/10</f>
        <v>16.91131201300167</v>
      </c>
      <c r="BS534" s="77" cm="1">
        <f t="array" ref="BS534">_xll.DCEPropSectI(BF534, BH534, BG534, BI534, BG534, BI534, "ry")/10</f>
        <v>5.1070747638622018</v>
      </c>
      <c r="BT534" s="5">
        <f t="shared" si="77"/>
        <v>191.58773710218577</v>
      </c>
      <c r="BU534" s="5">
        <f t="shared" si="78"/>
        <v>634.41405301647956</v>
      </c>
      <c r="BV534" s="5">
        <f t="shared" si="79"/>
        <v>634.41405301647956</v>
      </c>
      <c r="BW534" s="71">
        <f t="shared" si="80"/>
        <v>200</v>
      </c>
      <c r="BX534" s="78" cm="1">
        <f t="array" ref="BX534">IF(BM534&gt;0,1,_xll.DCETCVN5575FactorPhi7121(BV534*SQRT($K$17/206000),"b"))</f>
        <v>1.6670876655456978E-2</v>
      </c>
      <c r="BY534" s="64">
        <f t="shared" si="81"/>
        <v>0.46338040160963134</v>
      </c>
      <c r="BZ534" s="3" t="str">
        <f t="shared" si="82"/>
        <v>Check</v>
      </c>
    </row>
    <row r="535" spans="1:78">
      <c r="A535" s="76"/>
      <c r="B535" s="76"/>
      <c r="C535" s="125"/>
      <c r="D535" s="125"/>
      <c r="E535" s="71"/>
      <c r="F535" s="71"/>
      <c r="G535" s="71"/>
      <c r="H535" s="126"/>
      <c r="I535" s="125"/>
      <c r="J535" s="123"/>
      <c r="K535" s="12"/>
      <c r="L535" s="117"/>
      <c r="M535" s="12"/>
      <c r="N535" s="117"/>
      <c r="O535" s="117"/>
      <c r="P535" s="117"/>
      <c r="Q535" s="118"/>
      <c r="R535" s="118"/>
      <c r="S535" s="118"/>
      <c r="T535" s="12"/>
      <c r="U535" s="118"/>
      <c r="V535" s="118"/>
      <c r="W535" s="12"/>
      <c r="X535" s="119"/>
      <c r="Y535" s="120"/>
      <c r="Z535" s="12"/>
      <c r="BA535" s="70" t="s">
        <v>205</v>
      </c>
      <c r="BB535" s="71" t="s">
        <v>210</v>
      </c>
      <c r="BC535" s="71" t="s">
        <v>207</v>
      </c>
      <c r="BD535" s="71">
        <v>7.01</v>
      </c>
      <c r="BE535" s="71">
        <v>36</v>
      </c>
      <c r="BF535" s="71">
        <v>390</v>
      </c>
      <c r="BG535" s="71">
        <v>212</v>
      </c>
      <c r="BH535" s="71">
        <v>5</v>
      </c>
      <c r="BI535" s="71">
        <v>10</v>
      </c>
      <c r="BJ535" s="12" t="str" cm="1">
        <f t="array" ref="BJ535">_xll.Dce_Name_SectI(BF535, BF535, BG535, BH535, BI535, "x", "-", $AX$11)</f>
        <v>390x212x5x10</v>
      </c>
      <c r="BK535" s="77" cm="1">
        <f t="array" ref="BK535">_xll.DCEPropSectI(BF535, BH535, BG535, BI535, BG535, BI535, "A")/100</f>
        <v>60.9</v>
      </c>
      <c r="BL535" s="70" t="s">
        <v>220</v>
      </c>
      <c r="BM535" s="70">
        <v>-9.8794481720597922</v>
      </c>
      <c r="BN535" s="71">
        <v>0.9</v>
      </c>
      <c r="BO535" s="77">
        <f t="shared" si="75"/>
        <v>32.4</v>
      </c>
      <c r="BP535" s="71">
        <v>0.9</v>
      </c>
      <c r="BQ535" s="77">
        <f t="shared" si="76"/>
        <v>32.4</v>
      </c>
      <c r="BR535" s="77" cm="1">
        <f t="array" ref="BR535">_xll.DCEPropSectI(BF535, BH535, BG535, BI535, BG535, BI535, "rx")/10</f>
        <v>16.91131201300167</v>
      </c>
      <c r="BS535" s="77" cm="1">
        <f t="array" ref="BS535">_xll.DCEPropSectI(BF535, BH535, BG535, BI535, BG535, BI535, "ry")/10</f>
        <v>5.1070747638622018</v>
      </c>
      <c r="BT535" s="5">
        <f t="shared" si="77"/>
        <v>191.58773710218577</v>
      </c>
      <c r="BU535" s="5">
        <f t="shared" si="78"/>
        <v>634.41405301647956</v>
      </c>
      <c r="BV535" s="5">
        <f t="shared" si="79"/>
        <v>634.41405301647956</v>
      </c>
      <c r="BW535" s="71">
        <f t="shared" si="80"/>
        <v>200</v>
      </c>
      <c r="BX535" s="78" cm="1">
        <f t="array" ref="BX535">IF(BM535&gt;0,1,_xll.DCETCVN5575FactorPhi7121(BV535*SQRT($K$17/206000),"b"))</f>
        <v>1.6670876655456978E-2</v>
      </c>
      <c r="BY535" s="64">
        <f t="shared" si="81"/>
        <v>0.46338040160963134</v>
      </c>
      <c r="BZ535" s="3" t="str">
        <f t="shared" si="82"/>
        <v>Check</v>
      </c>
    </row>
    <row r="536" spans="1:78">
      <c r="A536" s="76"/>
      <c r="B536" s="76"/>
      <c r="C536" s="125"/>
      <c r="D536" s="125"/>
      <c r="E536" s="71"/>
      <c r="F536" s="71"/>
      <c r="G536" s="71"/>
      <c r="H536" s="126"/>
      <c r="I536" s="125"/>
      <c r="J536" s="123"/>
      <c r="K536" s="12"/>
      <c r="L536" s="117"/>
      <c r="M536" s="12"/>
      <c r="N536" s="117"/>
      <c r="O536" s="117"/>
      <c r="P536" s="117"/>
      <c r="Q536" s="118"/>
      <c r="R536" s="118"/>
      <c r="S536" s="118"/>
      <c r="T536" s="12"/>
      <c r="U536" s="118"/>
      <c r="V536" s="118"/>
      <c r="W536" s="12"/>
      <c r="X536" s="119"/>
      <c r="Y536" s="120"/>
      <c r="Z536" s="12"/>
      <c r="BA536" s="70" t="s">
        <v>205</v>
      </c>
      <c r="BB536" s="71" t="s">
        <v>210</v>
      </c>
      <c r="BC536" s="71" t="s">
        <v>207</v>
      </c>
      <c r="BD536" s="71">
        <v>7.5</v>
      </c>
      <c r="BE536" s="71">
        <v>36</v>
      </c>
      <c r="BF536" s="71">
        <v>390</v>
      </c>
      <c r="BG536" s="71">
        <v>212</v>
      </c>
      <c r="BH536" s="71">
        <v>5</v>
      </c>
      <c r="BI536" s="71">
        <v>10</v>
      </c>
      <c r="BJ536" s="12" t="str" cm="1">
        <f t="array" ref="BJ536">_xll.Dce_Name_SectI(BF536, BF536, BG536, BH536, BI536, "x", "-", $AX$11)</f>
        <v>390x212x5x10</v>
      </c>
      <c r="BK536" s="77" cm="1">
        <f t="array" ref="BK536">_xll.DCEPropSectI(BF536, BH536, BG536, BI536, BG536, BI536, "A")/100</f>
        <v>60.9</v>
      </c>
      <c r="BL536" s="70" t="s">
        <v>220</v>
      </c>
      <c r="BM536" s="70">
        <v>-9.8794481720597922</v>
      </c>
      <c r="BN536" s="71">
        <v>0.9</v>
      </c>
      <c r="BO536" s="77">
        <f t="shared" si="75"/>
        <v>32.4</v>
      </c>
      <c r="BP536" s="71">
        <v>0.9</v>
      </c>
      <c r="BQ536" s="77">
        <f t="shared" si="76"/>
        <v>32.4</v>
      </c>
      <c r="BR536" s="77" cm="1">
        <f t="array" ref="BR536">_xll.DCEPropSectI(BF536, BH536, BG536, BI536, BG536, BI536, "rx")/10</f>
        <v>16.91131201300167</v>
      </c>
      <c r="BS536" s="77" cm="1">
        <f t="array" ref="BS536">_xll.DCEPropSectI(BF536, BH536, BG536, BI536, BG536, BI536, "ry")/10</f>
        <v>5.1070747638622018</v>
      </c>
      <c r="BT536" s="5">
        <f t="shared" si="77"/>
        <v>191.58773710218577</v>
      </c>
      <c r="BU536" s="5">
        <f t="shared" si="78"/>
        <v>634.41405301647956</v>
      </c>
      <c r="BV536" s="5">
        <f t="shared" si="79"/>
        <v>634.41405301647956</v>
      </c>
      <c r="BW536" s="71">
        <f t="shared" si="80"/>
        <v>200</v>
      </c>
      <c r="BX536" s="78" cm="1">
        <f t="array" ref="BX536">IF(BM536&gt;0,1,_xll.DCETCVN5575FactorPhi7121(BV536*SQRT($K$17/206000),"b"))</f>
        <v>1.6670876655456978E-2</v>
      </c>
      <c r="BY536" s="64">
        <f t="shared" si="81"/>
        <v>0.46338040160963134</v>
      </c>
      <c r="BZ536" s="3" t="str">
        <f t="shared" si="82"/>
        <v>Check</v>
      </c>
    </row>
    <row r="537" spans="1:78">
      <c r="A537" s="76"/>
      <c r="B537" s="76"/>
      <c r="C537" s="125"/>
      <c r="D537" s="125"/>
      <c r="E537" s="71"/>
      <c r="F537" s="71"/>
      <c r="G537" s="71"/>
      <c r="H537" s="126"/>
      <c r="I537" s="125"/>
      <c r="J537" s="123"/>
      <c r="K537" s="12"/>
      <c r="L537" s="117"/>
      <c r="M537" s="12"/>
      <c r="N537" s="117"/>
      <c r="O537" s="117"/>
      <c r="P537" s="117"/>
      <c r="Q537" s="118"/>
      <c r="R537" s="118"/>
      <c r="S537" s="118"/>
      <c r="T537" s="12"/>
      <c r="U537" s="118"/>
      <c r="V537" s="118"/>
      <c r="W537" s="12"/>
      <c r="X537" s="119"/>
      <c r="Y537" s="120"/>
      <c r="Z537" s="12"/>
      <c r="BA537" s="70" t="s">
        <v>205</v>
      </c>
      <c r="BB537" s="71" t="s">
        <v>210</v>
      </c>
      <c r="BC537" s="71" t="s">
        <v>207</v>
      </c>
      <c r="BD537" s="71">
        <v>7.5</v>
      </c>
      <c r="BE537" s="71">
        <v>36</v>
      </c>
      <c r="BF537" s="71">
        <v>390</v>
      </c>
      <c r="BG537" s="71">
        <v>212</v>
      </c>
      <c r="BH537" s="71">
        <v>5</v>
      </c>
      <c r="BI537" s="71">
        <v>10</v>
      </c>
      <c r="BJ537" s="12" t="str" cm="1">
        <f t="array" ref="BJ537">_xll.Dce_Name_SectI(BF537, BF537, BG537, BH537, BI537, "x", "-", $AX$11)</f>
        <v>390x212x5x10</v>
      </c>
      <c r="BK537" s="77" cm="1">
        <f t="array" ref="BK537">_xll.DCEPropSectI(BF537, BH537, BG537, BI537, BG537, BI537, "A")/100</f>
        <v>60.9</v>
      </c>
      <c r="BL537" s="70" t="s">
        <v>220</v>
      </c>
      <c r="BM537" s="70">
        <v>151.89764615292435</v>
      </c>
      <c r="BN537" s="71">
        <v>0.9</v>
      </c>
      <c r="BO537" s="77">
        <f t="shared" si="75"/>
        <v>32.4</v>
      </c>
      <c r="BP537" s="71">
        <v>0.9</v>
      </c>
      <c r="BQ537" s="77">
        <f t="shared" si="76"/>
        <v>32.4</v>
      </c>
      <c r="BR537" s="77" cm="1">
        <f t="array" ref="BR537">_xll.DCEPropSectI(BF537, BH537, BG537, BI537, BG537, BI537, "rx")/10</f>
        <v>16.91131201300167</v>
      </c>
      <c r="BS537" s="77" cm="1">
        <f t="array" ref="BS537">_xll.DCEPropSectI(BF537, BH537, BG537, BI537, BG537, BI537, "ry")/10</f>
        <v>5.1070747638622018</v>
      </c>
      <c r="BT537" s="5">
        <f t="shared" si="77"/>
        <v>191.58773710218577</v>
      </c>
      <c r="BU537" s="5">
        <f t="shared" si="78"/>
        <v>634.41405301647956</v>
      </c>
      <c r="BV537" s="5">
        <f t="shared" si="79"/>
        <v>634.41405301647956</v>
      </c>
      <c r="BW537" s="71">
        <f t="shared" si="80"/>
        <v>400</v>
      </c>
      <c r="BX537" s="78" cm="1">
        <f t="array" ref="BX537">IF(BM537&gt;0,1,_xll.DCETCVN5575FactorPhi7121(BV537*SQRT($K$17/206000),"b"))</f>
        <v>1</v>
      </c>
      <c r="BY537" s="64">
        <f t="shared" si="81"/>
        <v>0.11877210583542448</v>
      </c>
      <c r="BZ537" s="3" t="str">
        <f t="shared" si="82"/>
        <v>Check</v>
      </c>
    </row>
    <row r="538" spans="1:78">
      <c r="A538" s="76"/>
      <c r="B538" s="76"/>
      <c r="C538" s="125"/>
      <c r="D538" s="125"/>
      <c r="E538" s="71"/>
      <c r="F538" s="71"/>
      <c r="G538" s="71"/>
      <c r="H538" s="126"/>
      <c r="I538" s="125"/>
      <c r="J538" s="123"/>
      <c r="K538" s="12"/>
      <c r="L538" s="117"/>
      <c r="M538" s="12"/>
      <c r="N538" s="117"/>
      <c r="O538" s="117"/>
      <c r="P538" s="117"/>
      <c r="Q538" s="118"/>
      <c r="R538" s="118"/>
      <c r="S538" s="118"/>
      <c r="T538" s="12"/>
      <c r="U538" s="118"/>
      <c r="V538" s="118"/>
      <c r="W538" s="12"/>
      <c r="X538" s="119"/>
      <c r="Y538" s="120"/>
      <c r="Z538" s="12"/>
      <c r="BA538" s="70" t="s">
        <v>205</v>
      </c>
      <c r="BB538" s="71" t="s">
        <v>210</v>
      </c>
      <c r="BC538" s="71" t="s">
        <v>207</v>
      </c>
      <c r="BD538" s="71">
        <v>8</v>
      </c>
      <c r="BE538" s="71">
        <v>36</v>
      </c>
      <c r="BF538" s="71">
        <v>390</v>
      </c>
      <c r="BG538" s="71">
        <v>212</v>
      </c>
      <c r="BH538" s="71">
        <v>5</v>
      </c>
      <c r="BI538" s="71">
        <v>10</v>
      </c>
      <c r="BJ538" s="12" t="str" cm="1">
        <f t="array" ref="BJ538">_xll.Dce_Name_SectI(BF538, BF538, BG538, BH538, BI538, "x", "-", $AX$11)</f>
        <v>390x212x5x10</v>
      </c>
      <c r="BK538" s="77" cm="1">
        <f t="array" ref="BK538">_xll.DCEPropSectI(BF538, BH538, BG538, BI538, BG538, BI538, "A")/100</f>
        <v>60.9</v>
      </c>
      <c r="BL538" s="70" t="s">
        <v>220</v>
      </c>
      <c r="BM538" s="70">
        <v>151.89764615292435</v>
      </c>
      <c r="BN538" s="71">
        <v>0.9</v>
      </c>
      <c r="BO538" s="77">
        <f t="shared" si="75"/>
        <v>32.4</v>
      </c>
      <c r="BP538" s="71">
        <v>0.9</v>
      </c>
      <c r="BQ538" s="77">
        <f t="shared" si="76"/>
        <v>32.4</v>
      </c>
      <c r="BR538" s="77" cm="1">
        <f t="array" ref="BR538">_xll.DCEPropSectI(BF538, BH538, BG538, BI538, BG538, BI538, "rx")/10</f>
        <v>16.91131201300167</v>
      </c>
      <c r="BS538" s="77" cm="1">
        <f t="array" ref="BS538">_xll.DCEPropSectI(BF538, BH538, BG538, BI538, BG538, BI538, "ry")/10</f>
        <v>5.1070747638622018</v>
      </c>
      <c r="BT538" s="5">
        <f t="shared" si="77"/>
        <v>191.58773710218577</v>
      </c>
      <c r="BU538" s="5">
        <f t="shared" si="78"/>
        <v>634.41405301647956</v>
      </c>
      <c r="BV538" s="5">
        <f t="shared" si="79"/>
        <v>634.41405301647956</v>
      </c>
      <c r="BW538" s="71">
        <f t="shared" si="80"/>
        <v>400</v>
      </c>
      <c r="BX538" s="78" cm="1">
        <f t="array" ref="BX538">IF(BM538&gt;0,1,_xll.DCETCVN5575FactorPhi7121(BV538*SQRT($K$17/206000),"b"))</f>
        <v>1</v>
      </c>
      <c r="BY538" s="64">
        <f t="shared" si="81"/>
        <v>0.11877210583542448</v>
      </c>
      <c r="BZ538" s="3" t="str">
        <f t="shared" si="82"/>
        <v>Check</v>
      </c>
    </row>
    <row r="539" spans="1:78">
      <c r="A539" s="76"/>
      <c r="B539" s="76"/>
      <c r="C539" s="125"/>
      <c r="D539" s="125"/>
      <c r="E539" s="71"/>
      <c r="F539" s="71"/>
      <c r="G539" s="71"/>
      <c r="H539" s="126"/>
      <c r="I539" s="125"/>
      <c r="J539" s="123"/>
      <c r="K539" s="12"/>
      <c r="L539" s="117"/>
      <c r="M539" s="12"/>
      <c r="N539" s="117"/>
      <c r="O539" s="117"/>
      <c r="P539" s="117"/>
      <c r="Q539" s="118"/>
      <c r="R539" s="118"/>
      <c r="S539" s="118"/>
      <c r="T539" s="12"/>
      <c r="U539" s="118"/>
      <c r="V539" s="118"/>
      <c r="W539" s="12"/>
      <c r="X539" s="119"/>
      <c r="Y539" s="120"/>
      <c r="Z539" s="12"/>
      <c r="BA539" s="70" t="s">
        <v>205</v>
      </c>
      <c r="BB539" s="71" t="s">
        <v>210</v>
      </c>
      <c r="BC539" s="71" t="s">
        <v>207</v>
      </c>
      <c r="BD539" s="71">
        <v>8.5</v>
      </c>
      <c r="BE539" s="71">
        <v>36</v>
      </c>
      <c r="BF539" s="71">
        <v>390</v>
      </c>
      <c r="BG539" s="71">
        <v>212</v>
      </c>
      <c r="BH539" s="71">
        <v>5</v>
      </c>
      <c r="BI539" s="71">
        <v>10</v>
      </c>
      <c r="BJ539" s="12" t="str" cm="1">
        <f t="array" ref="BJ539">_xll.Dce_Name_SectI(BF539, BF539, BG539, BH539, BI539, "x", "-", $AX$11)</f>
        <v>390x212x5x10</v>
      </c>
      <c r="BK539" s="77" cm="1">
        <f t="array" ref="BK539">_xll.DCEPropSectI(BF539, BH539, BG539, BI539, BG539, BI539, "A")/100</f>
        <v>60.9</v>
      </c>
      <c r="BL539" s="70" t="s">
        <v>220</v>
      </c>
      <c r="BM539" s="70">
        <v>151.89764615292435</v>
      </c>
      <c r="BN539" s="71">
        <v>0.9</v>
      </c>
      <c r="BO539" s="77">
        <f t="shared" si="75"/>
        <v>32.4</v>
      </c>
      <c r="BP539" s="71">
        <v>0.9</v>
      </c>
      <c r="BQ539" s="77">
        <f t="shared" si="76"/>
        <v>32.4</v>
      </c>
      <c r="BR539" s="77" cm="1">
        <f t="array" ref="BR539">_xll.DCEPropSectI(BF539, BH539, BG539, BI539, BG539, BI539, "rx")/10</f>
        <v>16.91131201300167</v>
      </c>
      <c r="BS539" s="77" cm="1">
        <f t="array" ref="BS539">_xll.DCEPropSectI(BF539, BH539, BG539, BI539, BG539, BI539, "ry")/10</f>
        <v>5.1070747638622018</v>
      </c>
      <c r="BT539" s="5">
        <f t="shared" si="77"/>
        <v>191.58773710218577</v>
      </c>
      <c r="BU539" s="5">
        <f t="shared" si="78"/>
        <v>634.41405301647956</v>
      </c>
      <c r="BV539" s="5">
        <f t="shared" si="79"/>
        <v>634.41405301647956</v>
      </c>
      <c r="BW539" s="71">
        <f t="shared" si="80"/>
        <v>400</v>
      </c>
      <c r="BX539" s="78" cm="1">
        <f t="array" ref="BX539">IF(BM539&gt;0,1,_xll.DCETCVN5575FactorPhi7121(BV539*SQRT($K$17/206000),"b"))</f>
        <v>1</v>
      </c>
      <c r="BY539" s="64">
        <f t="shared" si="81"/>
        <v>0.11877210583542448</v>
      </c>
      <c r="BZ539" s="3" t="str">
        <f t="shared" si="82"/>
        <v>Check</v>
      </c>
    </row>
    <row r="540" spans="1:78">
      <c r="A540" s="76"/>
      <c r="B540" s="76"/>
      <c r="C540" s="125"/>
      <c r="D540" s="125"/>
      <c r="E540" s="71"/>
      <c r="F540" s="71"/>
      <c r="G540" s="71"/>
      <c r="H540" s="126"/>
      <c r="I540" s="125"/>
      <c r="J540" s="123"/>
      <c r="K540" s="12"/>
      <c r="L540" s="117"/>
      <c r="M540" s="12"/>
      <c r="N540" s="117"/>
      <c r="O540" s="117"/>
      <c r="P540" s="117"/>
      <c r="Q540" s="118"/>
      <c r="R540" s="118"/>
      <c r="S540" s="118"/>
      <c r="T540" s="12"/>
      <c r="U540" s="118"/>
      <c r="V540" s="118"/>
      <c r="W540" s="12"/>
      <c r="X540" s="119"/>
      <c r="Y540" s="120"/>
      <c r="Z540" s="12"/>
      <c r="BA540" s="70" t="s">
        <v>205</v>
      </c>
      <c r="BB540" s="71" t="s">
        <v>210</v>
      </c>
      <c r="BC540" s="71" t="s">
        <v>207</v>
      </c>
      <c r="BD540" s="71">
        <v>9</v>
      </c>
      <c r="BE540" s="71">
        <v>36</v>
      </c>
      <c r="BF540" s="71">
        <v>390</v>
      </c>
      <c r="BG540" s="71">
        <v>212</v>
      </c>
      <c r="BH540" s="71">
        <v>5</v>
      </c>
      <c r="BI540" s="71">
        <v>10</v>
      </c>
      <c r="BJ540" s="12" t="str" cm="1">
        <f t="array" ref="BJ540">_xll.Dce_Name_SectI(BF540, BF540, BG540, BH540, BI540, "x", "-", $AX$11)</f>
        <v>390x212x5x10</v>
      </c>
      <c r="BK540" s="77" cm="1">
        <f t="array" ref="BK540">_xll.DCEPropSectI(BF540, BH540, BG540, BI540, BG540, BI540, "A")/100</f>
        <v>60.9</v>
      </c>
      <c r="BL540" s="70" t="s">
        <v>220</v>
      </c>
      <c r="BM540" s="70">
        <v>151.89764615292435</v>
      </c>
      <c r="BN540" s="71">
        <v>0.9</v>
      </c>
      <c r="BO540" s="77">
        <f t="shared" si="75"/>
        <v>32.4</v>
      </c>
      <c r="BP540" s="71">
        <v>0.9</v>
      </c>
      <c r="BQ540" s="77">
        <f t="shared" si="76"/>
        <v>32.4</v>
      </c>
      <c r="BR540" s="77" cm="1">
        <f t="array" ref="BR540">_xll.DCEPropSectI(BF540, BH540, BG540, BI540, BG540, BI540, "rx")/10</f>
        <v>16.91131201300167</v>
      </c>
      <c r="BS540" s="77" cm="1">
        <f t="array" ref="BS540">_xll.DCEPropSectI(BF540, BH540, BG540, BI540, BG540, BI540, "ry")/10</f>
        <v>5.1070747638622018</v>
      </c>
      <c r="BT540" s="5">
        <f t="shared" si="77"/>
        <v>191.58773710218577</v>
      </c>
      <c r="BU540" s="5">
        <f t="shared" si="78"/>
        <v>634.41405301647956</v>
      </c>
      <c r="BV540" s="5">
        <f t="shared" si="79"/>
        <v>634.41405301647956</v>
      </c>
      <c r="BW540" s="71">
        <f t="shared" si="80"/>
        <v>400</v>
      </c>
      <c r="BX540" s="78" cm="1">
        <f t="array" ref="BX540">IF(BM540&gt;0,1,_xll.DCETCVN5575FactorPhi7121(BV540*SQRT($K$17/206000),"b"))</f>
        <v>1</v>
      </c>
      <c r="BY540" s="64">
        <f t="shared" si="81"/>
        <v>0.11877210583542448</v>
      </c>
      <c r="BZ540" s="3" t="str">
        <f t="shared" si="82"/>
        <v>Check</v>
      </c>
    </row>
    <row r="541" spans="1:78">
      <c r="A541" s="76"/>
      <c r="B541" s="76"/>
      <c r="C541" s="125"/>
      <c r="D541" s="125"/>
      <c r="E541" s="71"/>
      <c r="F541" s="71"/>
      <c r="G541" s="71"/>
      <c r="H541" s="126"/>
      <c r="I541" s="125"/>
      <c r="J541" s="123"/>
      <c r="K541" s="12"/>
      <c r="L541" s="117"/>
      <c r="M541" s="12"/>
      <c r="N541" s="117"/>
      <c r="O541" s="117"/>
      <c r="P541" s="117"/>
      <c r="Q541" s="118"/>
      <c r="R541" s="118"/>
      <c r="S541" s="118"/>
      <c r="T541" s="12"/>
      <c r="U541" s="118"/>
      <c r="V541" s="118"/>
      <c r="W541" s="12"/>
      <c r="X541" s="119"/>
      <c r="Y541" s="120"/>
      <c r="Z541" s="12"/>
      <c r="BA541" s="70" t="s">
        <v>205</v>
      </c>
      <c r="BB541" s="71" t="s">
        <v>210</v>
      </c>
      <c r="BC541" s="71" t="s">
        <v>207</v>
      </c>
      <c r="BD541" s="71">
        <v>9.5</v>
      </c>
      <c r="BE541" s="71">
        <v>36</v>
      </c>
      <c r="BF541" s="71">
        <v>390</v>
      </c>
      <c r="BG541" s="71">
        <v>212</v>
      </c>
      <c r="BH541" s="71">
        <v>5</v>
      </c>
      <c r="BI541" s="71">
        <v>10</v>
      </c>
      <c r="BJ541" s="12" t="str" cm="1">
        <f t="array" ref="BJ541">_xll.Dce_Name_SectI(BF541, BF541, BG541, BH541, BI541, "x", "-", $AX$11)</f>
        <v>390x212x5x10</v>
      </c>
      <c r="BK541" s="77" cm="1">
        <f t="array" ref="BK541">_xll.DCEPropSectI(BF541, BH541, BG541, BI541, BG541, BI541, "A")/100</f>
        <v>60.9</v>
      </c>
      <c r="BL541" s="70" t="s">
        <v>220</v>
      </c>
      <c r="BM541" s="70">
        <v>151.89764615292435</v>
      </c>
      <c r="BN541" s="71">
        <v>0.9</v>
      </c>
      <c r="BO541" s="77">
        <f t="shared" si="75"/>
        <v>32.4</v>
      </c>
      <c r="BP541" s="71">
        <v>0.9</v>
      </c>
      <c r="BQ541" s="77">
        <f t="shared" si="76"/>
        <v>32.4</v>
      </c>
      <c r="BR541" s="77" cm="1">
        <f t="array" ref="BR541">_xll.DCEPropSectI(BF541, BH541, BG541, BI541, BG541, BI541, "rx")/10</f>
        <v>16.91131201300167</v>
      </c>
      <c r="BS541" s="77" cm="1">
        <f t="array" ref="BS541">_xll.DCEPropSectI(BF541, BH541, BG541, BI541, BG541, BI541, "ry")/10</f>
        <v>5.1070747638622018</v>
      </c>
      <c r="BT541" s="5">
        <f t="shared" si="77"/>
        <v>191.58773710218577</v>
      </c>
      <c r="BU541" s="5">
        <f t="shared" si="78"/>
        <v>634.41405301647956</v>
      </c>
      <c r="BV541" s="5">
        <f t="shared" si="79"/>
        <v>634.41405301647956</v>
      </c>
      <c r="BW541" s="71">
        <f t="shared" si="80"/>
        <v>400</v>
      </c>
      <c r="BX541" s="78" cm="1">
        <f t="array" ref="BX541">IF(BM541&gt;0,1,_xll.DCETCVN5575FactorPhi7121(BV541*SQRT($K$17/206000),"b"))</f>
        <v>1</v>
      </c>
      <c r="BY541" s="64">
        <f t="shared" si="81"/>
        <v>0.11877210583542448</v>
      </c>
      <c r="BZ541" s="3" t="str">
        <f t="shared" si="82"/>
        <v>Check</v>
      </c>
    </row>
    <row r="542" spans="1:78">
      <c r="A542" s="76"/>
      <c r="B542" s="76"/>
      <c r="C542" s="125"/>
      <c r="D542" s="125"/>
      <c r="E542" s="71"/>
      <c r="F542" s="71"/>
      <c r="G542" s="71"/>
      <c r="H542" s="126"/>
      <c r="I542" s="125"/>
      <c r="J542" s="123"/>
      <c r="K542" s="12"/>
      <c r="L542" s="117"/>
      <c r="M542" s="12"/>
      <c r="N542" s="117"/>
      <c r="O542" s="117"/>
      <c r="P542" s="117"/>
      <c r="Q542" s="118"/>
      <c r="R542" s="118"/>
      <c r="S542" s="118"/>
      <c r="T542" s="12"/>
      <c r="U542" s="118"/>
      <c r="V542" s="118"/>
      <c r="W542" s="12"/>
      <c r="X542" s="119"/>
      <c r="Y542" s="120"/>
      <c r="Z542" s="12"/>
      <c r="BA542" s="70" t="s">
        <v>205</v>
      </c>
      <c r="BB542" s="71" t="s">
        <v>210</v>
      </c>
      <c r="BC542" s="71" t="s">
        <v>207</v>
      </c>
      <c r="BD542" s="71">
        <v>10</v>
      </c>
      <c r="BE542" s="71">
        <v>36</v>
      </c>
      <c r="BF542" s="71">
        <v>390</v>
      </c>
      <c r="BG542" s="71">
        <v>212</v>
      </c>
      <c r="BH542" s="71">
        <v>5</v>
      </c>
      <c r="BI542" s="71">
        <v>10</v>
      </c>
      <c r="BJ542" s="12" t="str" cm="1">
        <f t="array" ref="BJ542">_xll.Dce_Name_SectI(BF542, BF542, BG542, BH542, BI542, "x", "-", $AX$11)</f>
        <v>390x212x5x10</v>
      </c>
      <c r="BK542" s="77" cm="1">
        <f t="array" ref="BK542">_xll.DCEPropSectI(BF542, BH542, BG542, BI542, BG542, BI542, "A")/100</f>
        <v>60.9</v>
      </c>
      <c r="BL542" s="70" t="s">
        <v>220</v>
      </c>
      <c r="BM542" s="70">
        <v>151.89764615292435</v>
      </c>
      <c r="BN542" s="71">
        <v>0.9</v>
      </c>
      <c r="BO542" s="77">
        <f t="shared" si="75"/>
        <v>32.4</v>
      </c>
      <c r="BP542" s="71">
        <v>0.9</v>
      </c>
      <c r="BQ542" s="77">
        <f t="shared" si="76"/>
        <v>32.4</v>
      </c>
      <c r="BR542" s="77" cm="1">
        <f t="array" ref="BR542">_xll.DCEPropSectI(BF542, BH542, BG542, BI542, BG542, BI542, "rx")/10</f>
        <v>16.91131201300167</v>
      </c>
      <c r="BS542" s="77" cm="1">
        <f t="array" ref="BS542">_xll.DCEPropSectI(BF542, BH542, BG542, BI542, BG542, BI542, "ry")/10</f>
        <v>5.1070747638622018</v>
      </c>
      <c r="BT542" s="5">
        <f t="shared" si="77"/>
        <v>191.58773710218577</v>
      </c>
      <c r="BU542" s="5">
        <f t="shared" si="78"/>
        <v>634.41405301647956</v>
      </c>
      <c r="BV542" s="5">
        <f t="shared" si="79"/>
        <v>634.41405301647956</v>
      </c>
      <c r="BW542" s="71">
        <f t="shared" si="80"/>
        <v>400</v>
      </c>
      <c r="BX542" s="78" cm="1">
        <f t="array" ref="BX542">IF(BM542&gt;0,1,_xll.DCETCVN5575FactorPhi7121(BV542*SQRT($K$17/206000),"b"))</f>
        <v>1</v>
      </c>
      <c r="BY542" s="64">
        <f t="shared" si="81"/>
        <v>0.11877210583542448</v>
      </c>
      <c r="BZ542" s="3" t="str">
        <f t="shared" si="82"/>
        <v>Check</v>
      </c>
    </row>
    <row r="543" spans="1:78">
      <c r="A543" s="76"/>
      <c r="B543" s="76"/>
      <c r="C543" s="125"/>
      <c r="D543" s="125"/>
      <c r="E543" s="71"/>
      <c r="F543" s="71"/>
      <c r="G543" s="71"/>
      <c r="H543" s="126"/>
      <c r="I543" s="125"/>
      <c r="J543" s="123"/>
      <c r="K543" s="12"/>
      <c r="L543" s="117"/>
      <c r="M543" s="12"/>
      <c r="N543" s="117"/>
      <c r="O543" s="117"/>
      <c r="P543" s="117"/>
      <c r="Q543" s="118"/>
      <c r="R543" s="118"/>
      <c r="S543" s="118"/>
      <c r="T543" s="12"/>
      <c r="U543" s="118"/>
      <c r="V543" s="118"/>
      <c r="W543" s="12"/>
      <c r="X543" s="119"/>
      <c r="Y543" s="120"/>
      <c r="Z543" s="12"/>
      <c r="BA543" s="70" t="s">
        <v>205</v>
      </c>
      <c r="BB543" s="71" t="s">
        <v>210</v>
      </c>
      <c r="BC543" s="71" t="s">
        <v>207</v>
      </c>
      <c r="BD543" s="71">
        <v>10.5</v>
      </c>
      <c r="BE543" s="71">
        <v>36</v>
      </c>
      <c r="BF543" s="71">
        <v>390</v>
      </c>
      <c r="BG543" s="71">
        <v>212</v>
      </c>
      <c r="BH543" s="71">
        <v>5</v>
      </c>
      <c r="BI543" s="71">
        <v>10</v>
      </c>
      <c r="BJ543" s="12" t="str" cm="1">
        <f t="array" ref="BJ543">_xll.Dce_Name_SectI(BF543, BF543, BG543, BH543, BI543, "x", "-", $AX$11)</f>
        <v>390x212x5x10</v>
      </c>
      <c r="BK543" s="77" cm="1">
        <f t="array" ref="BK543">_xll.DCEPropSectI(BF543, BH543, BG543, BI543, BG543, BI543, "A")/100</f>
        <v>60.9</v>
      </c>
      <c r="BL543" s="70" t="s">
        <v>220</v>
      </c>
      <c r="BM543" s="70">
        <v>151.89764615292435</v>
      </c>
      <c r="BN543" s="71">
        <v>0.9</v>
      </c>
      <c r="BO543" s="77">
        <f t="shared" si="75"/>
        <v>32.4</v>
      </c>
      <c r="BP543" s="71">
        <v>0.9</v>
      </c>
      <c r="BQ543" s="77">
        <f t="shared" si="76"/>
        <v>32.4</v>
      </c>
      <c r="BR543" s="77" cm="1">
        <f t="array" ref="BR543">_xll.DCEPropSectI(BF543, BH543, BG543, BI543, BG543, BI543, "rx")/10</f>
        <v>16.91131201300167</v>
      </c>
      <c r="BS543" s="77" cm="1">
        <f t="array" ref="BS543">_xll.DCEPropSectI(BF543, BH543, BG543, BI543, BG543, BI543, "ry")/10</f>
        <v>5.1070747638622018</v>
      </c>
      <c r="BT543" s="5">
        <f t="shared" si="77"/>
        <v>191.58773710218577</v>
      </c>
      <c r="BU543" s="5">
        <f t="shared" si="78"/>
        <v>634.41405301647956</v>
      </c>
      <c r="BV543" s="5">
        <f t="shared" si="79"/>
        <v>634.41405301647956</v>
      </c>
      <c r="BW543" s="71">
        <f t="shared" si="80"/>
        <v>400</v>
      </c>
      <c r="BX543" s="78" cm="1">
        <f t="array" ref="BX543">IF(BM543&gt;0,1,_xll.DCETCVN5575FactorPhi7121(BV543*SQRT($K$17/206000),"b"))</f>
        <v>1</v>
      </c>
      <c r="BY543" s="64">
        <f t="shared" si="81"/>
        <v>0.11877210583542448</v>
      </c>
      <c r="BZ543" s="3" t="str">
        <f t="shared" si="82"/>
        <v>Check</v>
      </c>
    </row>
    <row r="544" spans="1:78">
      <c r="A544" s="76"/>
      <c r="B544" s="76"/>
      <c r="C544" s="125"/>
      <c r="D544" s="125"/>
      <c r="E544" s="71"/>
      <c r="F544" s="71"/>
      <c r="G544" s="71"/>
      <c r="H544" s="126"/>
      <c r="I544" s="125"/>
      <c r="J544" s="123"/>
      <c r="K544" s="12"/>
      <c r="L544" s="117"/>
      <c r="M544" s="12"/>
      <c r="N544" s="117"/>
      <c r="O544" s="117"/>
      <c r="P544" s="117"/>
      <c r="Q544" s="118"/>
      <c r="R544" s="118"/>
      <c r="S544" s="118"/>
      <c r="T544" s="12"/>
      <c r="U544" s="118"/>
      <c r="V544" s="118"/>
      <c r="W544" s="12"/>
      <c r="X544" s="119"/>
      <c r="Y544" s="120"/>
      <c r="Z544" s="12"/>
      <c r="BA544" s="70" t="s">
        <v>205</v>
      </c>
      <c r="BB544" s="71" t="s">
        <v>210</v>
      </c>
      <c r="BC544" s="71" t="s">
        <v>207</v>
      </c>
      <c r="BD544" s="71">
        <v>11</v>
      </c>
      <c r="BE544" s="71">
        <v>36</v>
      </c>
      <c r="BF544" s="71">
        <v>390</v>
      </c>
      <c r="BG544" s="71">
        <v>212</v>
      </c>
      <c r="BH544" s="71">
        <v>5</v>
      </c>
      <c r="BI544" s="71">
        <v>10</v>
      </c>
      <c r="BJ544" s="12" t="str" cm="1">
        <f t="array" ref="BJ544">_xll.Dce_Name_SectI(BF544, BF544, BG544, BH544, BI544, "x", "-", $AX$11)</f>
        <v>390x212x5x10</v>
      </c>
      <c r="BK544" s="77" cm="1">
        <f t="array" ref="BK544">_xll.DCEPropSectI(BF544, BH544, BG544, BI544, BG544, BI544, "A")/100</f>
        <v>60.9</v>
      </c>
      <c r="BL544" s="70" t="s">
        <v>220</v>
      </c>
      <c r="BM544" s="70">
        <v>151.89764615292435</v>
      </c>
      <c r="BN544" s="71">
        <v>0.9</v>
      </c>
      <c r="BO544" s="77">
        <f t="shared" si="75"/>
        <v>32.4</v>
      </c>
      <c r="BP544" s="71">
        <v>0.9</v>
      </c>
      <c r="BQ544" s="77">
        <f t="shared" si="76"/>
        <v>32.4</v>
      </c>
      <c r="BR544" s="77" cm="1">
        <f t="array" ref="BR544">_xll.DCEPropSectI(BF544, BH544, BG544, BI544, BG544, BI544, "rx")/10</f>
        <v>16.91131201300167</v>
      </c>
      <c r="BS544" s="77" cm="1">
        <f t="array" ref="BS544">_xll.DCEPropSectI(BF544, BH544, BG544, BI544, BG544, BI544, "ry")/10</f>
        <v>5.1070747638622018</v>
      </c>
      <c r="BT544" s="5">
        <f t="shared" si="77"/>
        <v>191.58773710218577</v>
      </c>
      <c r="BU544" s="5">
        <f t="shared" si="78"/>
        <v>634.41405301647956</v>
      </c>
      <c r="BV544" s="5">
        <f t="shared" si="79"/>
        <v>634.41405301647956</v>
      </c>
      <c r="BW544" s="71">
        <f t="shared" si="80"/>
        <v>400</v>
      </c>
      <c r="BX544" s="78" cm="1">
        <f t="array" ref="BX544">IF(BM544&gt;0,1,_xll.DCETCVN5575FactorPhi7121(BV544*SQRT($K$17/206000),"b"))</f>
        <v>1</v>
      </c>
      <c r="BY544" s="64">
        <f t="shared" si="81"/>
        <v>0.11877210583542448</v>
      </c>
      <c r="BZ544" s="3" t="str">
        <f t="shared" si="82"/>
        <v>Check</v>
      </c>
    </row>
    <row r="545" spans="1:78">
      <c r="A545" s="76"/>
      <c r="B545" s="76"/>
      <c r="C545" s="125"/>
      <c r="D545" s="125"/>
      <c r="E545" s="71"/>
      <c r="F545" s="71"/>
      <c r="G545" s="71"/>
      <c r="H545" s="126"/>
      <c r="I545" s="125"/>
      <c r="J545" s="123"/>
      <c r="K545" s="12"/>
      <c r="L545" s="117"/>
      <c r="M545" s="12"/>
      <c r="N545" s="117"/>
      <c r="O545" s="117"/>
      <c r="P545" s="117"/>
      <c r="Q545" s="118"/>
      <c r="R545" s="118"/>
      <c r="S545" s="118"/>
      <c r="T545" s="12"/>
      <c r="U545" s="118"/>
      <c r="V545" s="118"/>
      <c r="W545" s="12"/>
      <c r="X545" s="119"/>
      <c r="Y545" s="120"/>
      <c r="Z545" s="12"/>
      <c r="BA545" s="70" t="s">
        <v>205</v>
      </c>
      <c r="BB545" s="71" t="s">
        <v>210</v>
      </c>
      <c r="BC545" s="71" t="s">
        <v>207</v>
      </c>
      <c r="BD545" s="71">
        <v>11.5</v>
      </c>
      <c r="BE545" s="71">
        <v>36</v>
      </c>
      <c r="BF545" s="71">
        <v>390</v>
      </c>
      <c r="BG545" s="71">
        <v>212</v>
      </c>
      <c r="BH545" s="71">
        <v>5</v>
      </c>
      <c r="BI545" s="71">
        <v>10</v>
      </c>
      <c r="BJ545" s="12" t="str" cm="1">
        <f t="array" ref="BJ545">_xll.Dce_Name_SectI(BF545, BF545, BG545, BH545, BI545, "x", "-", $AX$11)</f>
        <v>390x212x5x10</v>
      </c>
      <c r="BK545" s="77" cm="1">
        <f t="array" ref="BK545">_xll.DCEPropSectI(BF545, BH545, BG545, BI545, BG545, BI545, "A")/100</f>
        <v>60.9</v>
      </c>
      <c r="BL545" s="70" t="s">
        <v>220</v>
      </c>
      <c r="BM545" s="70">
        <v>151.89764615292435</v>
      </c>
      <c r="BN545" s="71">
        <v>0.9</v>
      </c>
      <c r="BO545" s="77">
        <f t="shared" si="75"/>
        <v>32.4</v>
      </c>
      <c r="BP545" s="71">
        <v>0.9</v>
      </c>
      <c r="BQ545" s="77">
        <f t="shared" si="76"/>
        <v>32.4</v>
      </c>
      <c r="BR545" s="77" cm="1">
        <f t="array" ref="BR545">_xll.DCEPropSectI(BF545, BH545, BG545, BI545, BG545, BI545, "rx")/10</f>
        <v>16.91131201300167</v>
      </c>
      <c r="BS545" s="77" cm="1">
        <f t="array" ref="BS545">_xll.DCEPropSectI(BF545, BH545, BG545, BI545, BG545, BI545, "ry")/10</f>
        <v>5.1070747638622018</v>
      </c>
      <c r="BT545" s="5">
        <f t="shared" si="77"/>
        <v>191.58773710218577</v>
      </c>
      <c r="BU545" s="5">
        <f t="shared" si="78"/>
        <v>634.41405301647956</v>
      </c>
      <c r="BV545" s="5">
        <f t="shared" si="79"/>
        <v>634.41405301647956</v>
      </c>
      <c r="BW545" s="71">
        <f t="shared" si="80"/>
        <v>400</v>
      </c>
      <c r="BX545" s="78" cm="1">
        <f t="array" ref="BX545">IF(BM545&gt;0,1,_xll.DCETCVN5575FactorPhi7121(BV545*SQRT($K$17/206000),"b"))</f>
        <v>1</v>
      </c>
      <c r="BY545" s="64">
        <f t="shared" si="81"/>
        <v>0.11877210583542448</v>
      </c>
      <c r="BZ545" s="3" t="str">
        <f t="shared" si="82"/>
        <v>Check</v>
      </c>
    </row>
    <row r="546" spans="1:78">
      <c r="A546" s="76"/>
      <c r="B546" s="76"/>
      <c r="C546" s="125"/>
      <c r="D546" s="125"/>
      <c r="E546" s="71"/>
      <c r="F546" s="71"/>
      <c r="G546" s="71"/>
      <c r="H546" s="126"/>
      <c r="I546" s="125"/>
      <c r="J546" s="123"/>
      <c r="K546" s="12"/>
      <c r="L546" s="117"/>
      <c r="M546" s="12"/>
      <c r="N546" s="117"/>
      <c r="O546" s="117"/>
      <c r="P546" s="117"/>
      <c r="Q546" s="118"/>
      <c r="R546" s="118"/>
      <c r="S546" s="118"/>
      <c r="T546" s="12"/>
      <c r="U546" s="118"/>
      <c r="V546" s="118"/>
      <c r="W546" s="12"/>
      <c r="X546" s="119"/>
      <c r="Y546" s="120"/>
      <c r="Z546" s="12"/>
      <c r="BA546" s="70" t="s">
        <v>205</v>
      </c>
      <c r="BB546" s="71" t="s">
        <v>210</v>
      </c>
      <c r="BC546" s="71" t="s">
        <v>207</v>
      </c>
      <c r="BD546" s="71">
        <v>12</v>
      </c>
      <c r="BE546" s="71">
        <v>36</v>
      </c>
      <c r="BF546" s="71">
        <v>390</v>
      </c>
      <c r="BG546" s="71">
        <v>212</v>
      </c>
      <c r="BH546" s="71">
        <v>5</v>
      </c>
      <c r="BI546" s="71">
        <v>10</v>
      </c>
      <c r="BJ546" s="12" t="str" cm="1">
        <f t="array" ref="BJ546">_xll.Dce_Name_SectI(BF546, BF546, BG546, BH546, BI546, "x", "-", $AX$11)</f>
        <v>390x212x5x10</v>
      </c>
      <c r="BK546" s="77" cm="1">
        <f t="array" ref="BK546">_xll.DCEPropSectI(BF546, BH546, BG546, BI546, BG546, BI546, "A")/100</f>
        <v>60.9</v>
      </c>
      <c r="BL546" s="70" t="s">
        <v>220</v>
      </c>
      <c r="BM546" s="70">
        <v>151.89764615292435</v>
      </c>
      <c r="BN546" s="71">
        <v>0.9</v>
      </c>
      <c r="BO546" s="77">
        <f t="shared" si="75"/>
        <v>32.4</v>
      </c>
      <c r="BP546" s="71">
        <v>0.9</v>
      </c>
      <c r="BQ546" s="77">
        <f t="shared" si="76"/>
        <v>32.4</v>
      </c>
      <c r="BR546" s="77" cm="1">
        <f t="array" ref="BR546">_xll.DCEPropSectI(BF546, BH546, BG546, BI546, BG546, BI546, "rx")/10</f>
        <v>16.91131201300167</v>
      </c>
      <c r="BS546" s="77" cm="1">
        <f t="array" ref="BS546">_xll.DCEPropSectI(BF546, BH546, BG546, BI546, BG546, BI546, "ry")/10</f>
        <v>5.1070747638622018</v>
      </c>
      <c r="BT546" s="5">
        <f t="shared" si="77"/>
        <v>191.58773710218577</v>
      </c>
      <c r="BU546" s="5">
        <f t="shared" si="78"/>
        <v>634.41405301647956</v>
      </c>
      <c r="BV546" s="5">
        <f t="shared" si="79"/>
        <v>634.41405301647956</v>
      </c>
      <c r="BW546" s="71">
        <f t="shared" si="80"/>
        <v>400</v>
      </c>
      <c r="BX546" s="78" cm="1">
        <f t="array" ref="BX546">IF(BM546&gt;0,1,_xll.DCETCVN5575FactorPhi7121(BV546*SQRT($K$17/206000),"b"))</f>
        <v>1</v>
      </c>
      <c r="BY546" s="64">
        <f t="shared" si="81"/>
        <v>0.11877210583542448</v>
      </c>
      <c r="BZ546" s="3" t="str">
        <f t="shared" si="82"/>
        <v>Check</v>
      </c>
    </row>
    <row r="547" spans="1:78">
      <c r="A547" s="76"/>
      <c r="B547" s="76"/>
      <c r="C547" s="125"/>
      <c r="D547" s="125"/>
      <c r="E547" s="71"/>
      <c r="F547" s="71"/>
      <c r="G547" s="71"/>
      <c r="H547" s="126"/>
      <c r="I547" s="125"/>
      <c r="J547" s="123"/>
      <c r="K547" s="12"/>
      <c r="L547" s="117"/>
      <c r="M547" s="12"/>
      <c r="N547" s="117"/>
      <c r="O547" s="117"/>
      <c r="P547" s="117"/>
      <c r="Q547" s="118"/>
      <c r="R547" s="118"/>
      <c r="S547" s="118"/>
      <c r="T547" s="12"/>
      <c r="U547" s="118"/>
      <c r="V547" s="118"/>
      <c r="W547" s="12"/>
      <c r="X547" s="119"/>
      <c r="Y547" s="120"/>
      <c r="Z547" s="12"/>
      <c r="BA547" s="70" t="s">
        <v>205</v>
      </c>
      <c r="BB547" s="71" t="s">
        <v>210</v>
      </c>
      <c r="BC547" s="71" t="s">
        <v>207</v>
      </c>
      <c r="BD547" s="71">
        <v>12.5</v>
      </c>
      <c r="BE547" s="71">
        <v>36</v>
      </c>
      <c r="BF547" s="71">
        <v>390</v>
      </c>
      <c r="BG547" s="71">
        <v>212</v>
      </c>
      <c r="BH547" s="71">
        <v>5</v>
      </c>
      <c r="BI547" s="71">
        <v>10</v>
      </c>
      <c r="BJ547" s="12" t="str" cm="1">
        <f t="array" ref="BJ547">_xll.Dce_Name_SectI(BF547, BF547, BG547, BH547, BI547, "x", "-", $AX$11)</f>
        <v>390x212x5x10</v>
      </c>
      <c r="BK547" s="77" cm="1">
        <f t="array" ref="BK547">_xll.DCEPropSectI(BF547, BH547, BG547, BI547, BG547, BI547, "A")/100</f>
        <v>60.9</v>
      </c>
      <c r="BL547" s="70" t="s">
        <v>220</v>
      </c>
      <c r="BM547" s="70">
        <v>151.89764615292435</v>
      </c>
      <c r="BN547" s="71">
        <v>0.9</v>
      </c>
      <c r="BO547" s="77">
        <f t="shared" si="75"/>
        <v>32.4</v>
      </c>
      <c r="BP547" s="71">
        <v>0.9</v>
      </c>
      <c r="BQ547" s="77">
        <f t="shared" si="76"/>
        <v>32.4</v>
      </c>
      <c r="BR547" s="77" cm="1">
        <f t="array" ref="BR547">_xll.DCEPropSectI(BF547, BH547, BG547, BI547, BG547, BI547, "rx")/10</f>
        <v>16.91131201300167</v>
      </c>
      <c r="BS547" s="77" cm="1">
        <f t="array" ref="BS547">_xll.DCEPropSectI(BF547, BH547, BG547, BI547, BG547, BI547, "ry")/10</f>
        <v>5.1070747638622018</v>
      </c>
      <c r="BT547" s="5">
        <f t="shared" si="77"/>
        <v>191.58773710218577</v>
      </c>
      <c r="BU547" s="5">
        <f t="shared" si="78"/>
        <v>634.41405301647956</v>
      </c>
      <c r="BV547" s="5">
        <f t="shared" si="79"/>
        <v>634.41405301647956</v>
      </c>
      <c r="BW547" s="71">
        <f t="shared" si="80"/>
        <v>400</v>
      </c>
      <c r="BX547" s="78" cm="1">
        <f t="array" ref="BX547">IF(BM547&gt;0,1,_xll.DCETCVN5575FactorPhi7121(BV547*SQRT($K$17/206000),"b"))</f>
        <v>1</v>
      </c>
      <c r="BY547" s="64">
        <f t="shared" si="81"/>
        <v>0.11877210583542448</v>
      </c>
      <c r="BZ547" s="3" t="str">
        <f t="shared" si="82"/>
        <v>Check</v>
      </c>
    </row>
    <row r="548" spans="1:78">
      <c r="A548" s="76"/>
      <c r="B548" s="76"/>
      <c r="C548" s="125"/>
      <c r="D548" s="125"/>
      <c r="E548" s="71"/>
      <c r="F548" s="71"/>
      <c r="G548" s="71"/>
      <c r="H548" s="126"/>
      <c r="I548" s="125"/>
      <c r="J548" s="123"/>
      <c r="K548" s="12"/>
      <c r="L548" s="117"/>
      <c r="M548" s="12"/>
      <c r="N548" s="117"/>
      <c r="O548" s="117"/>
      <c r="P548" s="117"/>
      <c r="Q548" s="118"/>
      <c r="R548" s="118"/>
      <c r="S548" s="118"/>
      <c r="T548" s="12"/>
      <c r="U548" s="118"/>
      <c r="V548" s="118"/>
      <c r="W548" s="12"/>
      <c r="X548" s="119"/>
      <c r="Y548" s="120"/>
      <c r="Z548" s="12"/>
      <c r="BA548" s="70" t="s">
        <v>205</v>
      </c>
      <c r="BB548" s="71" t="s">
        <v>210</v>
      </c>
      <c r="BC548" s="71" t="s">
        <v>207</v>
      </c>
      <c r="BD548" s="71">
        <v>13</v>
      </c>
      <c r="BE548" s="71">
        <v>36</v>
      </c>
      <c r="BF548" s="71">
        <v>390</v>
      </c>
      <c r="BG548" s="71">
        <v>212</v>
      </c>
      <c r="BH548" s="71">
        <v>5</v>
      </c>
      <c r="BI548" s="71">
        <v>10</v>
      </c>
      <c r="BJ548" s="12" t="str" cm="1">
        <f t="array" ref="BJ548">_xll.Dce_Name_SectI(BF548, BF548, BG548, BH548, BI548, "x", "-", $AX$11)</f>
        <v>390x212x5x10</v>
      </c>
      <c r="BK548" s="77" cm="1">
        <f t="array" ref="BK548">_xll.DCEPropSectI(BF548, BH548, BG548, BI548, BG548, BI548, "A")/100</f>
        <v>60.9</v>
      </c>
      <c r="BL548" s="70" t="s">
        <v>220</v>
      </c>
      <c r="BM548" s="70">
        <v>151.89764615292435</v>
      </c>
      <c r="BN548" s="71">
        <v>0.9</v>
      </c>
      <c r="BO548" s="77">
        <f t="shared" si="75"/>
        <v>32.4</v>
      </c>
      <c r="BP548" s="71">
        <v>0.9</v>
      </c>
      <c r="BQ548" s="77">
        <f t="shared" si="76"/>
        <v>32.4</v>
      </c>
      <c r="BR548" s="77" cm="1">
        <f t="array" ref="BR548">_xll.DCEPropSectI(BF548, BH548, BG548, BI548, BG548, BI548, "rx")/10</f>
        <v>16.91131201300167</v>
      </c>
      <c r="BS548" s="77" cm="1">
        <f t="array" ref="BS548">_xll.DCEPropSectI(BF548, BH548, BG548, BI548, BG548, BI548, "ry")/10</f>
        <v>5.1070747638622018</v>
      </c>
      <c r="BT548" s="5">
        <f t="shared" si="77"/>
        <v>191.58773710218577</v>
      </c>
      <c r="BU548" s="5">
        <f t="shared" si="78"/>
        <v>634.41405301647956</v>
      </c>
      <c r="BV548" s="5">
        <f t="shared" si="79"/>
        <v>634.41405301647956</v>
      </c>
      <c r="BW548" s="71">
        <f t="shared" si="80"/>
        <v>400</v>
      </c>
      <c r="BX548" s="78" cm="1">
        <f t="array" ref="BX548">IF(BM548&gt;0,1,_xll.DCETCVN5575FactorPhi7121(BV548*SQRT($K$17/206000),"b"))</f>
        <v>1</v>
      </c>
      <c r="BY548" s="64">
        <f t="shared" si="81"/>
        <v>0.11877210583542448</v>
      </c>
      <c r="BZ548" s="3" t="str">
        <f t="shared" si="82"/>
        <v>Check</v>
      </c>
    </row>
    <row r="549" spans="1:78">
      <c r="A549" s="76"/>
      <c r="B549" s="76"/>
      <c r="C549" s="125"/>
      <c r="D549" s="125"/>
      <c r="E549" s="71"/>
      <c r="F549" s="71"/>
      <c r="G549" s="71"/>
      <c r="H549" s="126"/>
      <c r="I549" s="125"/>
      <c r="J549" s="123"/>
      <c r="K549" s="12"/>
      <c r="L549" s="117"/>
      <c r="M549" s="12"/>
      <c r="N549" s="117"/>
      <c r="O549" s="117"/>
      <c r="P549" s="117"/>
      <c r="Q549" s="118"/>
      <c r="R549" s="118"/>
      <c r="S549" s="118"/>
      <c r="T549" s="12"/>
      <c r="U549" s="118"/>
      <c r="V549" s="118"/>
      <c r="W549" s="12"/>
      <c r="X549" s="119"/>
      <c r="Y549" s="120"/>
      <c r="Z549" s="12"/>
      <c r="BA549" s="70" t="s">
        <v>205</v>
      </c>
      <c r="BB549" s="71" t="s">
        <v>210</v>
      </c>
      <c r="BC549" s="71" t="s">
        <v>207</v>
      </c>
      <c r="BD549" s="71">
        <v>13.5</v>
      </c>
      <c r="BE549" s="71">
        <v>36</v>
      </c>
      <c r="BF549" s="71">
        <v>390</v>
      </c>
      <c r="BG549" s="71">
        <v>212</v>
      </c>
      <c r="BH549" s="71">
        <v>5</v>
      </c>
      <c r="BI549" s="71">
        <v>10</v>
      </c>
      <c r="BJ549" s="12" t="str" cm="1">
        <f t="array" ref="BJ549">_xll.Dce_Name_SectI(BF549, BF549, BG549, BH549, BI549, "x", "-", $AX$11)</f>
        <v>390x212x5x10</v>
      </c>
      <c r="BK549" s="77" cm="1">
        <f t="array" ref="BK549">_xll.DCEPropSectI(BF549, BH549, BG549, BI549, BG549, BI549, "A")/100</f>
        <v>60.9</v>
      </c>
      <c r="BL549" s="70" t="s">
        <v>220</v>
      </c>
      <c r="BM549" s="70">
        <v>151.89764615292435</v>
      </c>
      <c r="BN549" s="71">
        <v>0.9</v>
      </c>
      <c r="BO549" s="77">
        <f t="shared" si="75"/>
        <v>32.4</v>
      </c>
      <c r="BP549" s="71">
        <v>0.9</v>
      </c>
      <c r="BQ549" s="77">
        <f t="shared" si="76"/>
        <v>32.4</v>
      </c>
      <c r="BR549" s="77" cm="1">
        <f t="array" ref="BR549">_xll.DCEPropSectI(BF549, BH549, BG549, BI549, BG549, BI549, "rx")/10</f>
        <v>16.91131201300167</v>
      </c>
      <c r="BS549" s="77" cm="1">
        <f t="array" ref="BS549">_xll.DCEPropSectI(BF549, BH549, BG549, BI549, BG549, BI549, "ry")/10</f>
        <v>5.1070747638622018</v>
      </c>
      <c r="BT549" s="5">
        <f t="shared" si="77"/>
        <v>191.58773710218577</v>
      </c>
      <c r="BU549" s="5">
        <f t="shared" si="78"/>
        <v>634.41405301647956</v>
      </c>
      <c r="BV549" s="5">
        <f t="shared" si="79"/>
        <v>634.41405301647956</v>
      </c>
      <c r="BW549" s="71">
        <f t="shared" si="80"/>
        <v>400</v>
      </c>
      <c r="BX549" s="78" cm="1">
        <f t="array" ref="BX549">IF(BM549&gt;0,1,_xll.DCETCVN5575FactorPhi7121(BV549*SQRT($K$17/206000),"b"))</f>
        <v>1</v>
      </c>
      <c r="BY549" s="64">
        <f t="shared" si="81"/>
        <v>0.11877210583542448</v>
      </c>
      <c r="BZ549" s="3" t="str">
        <f t="shared" si="82"/>
        <v>Check</v>
      </c>
    </row>
    <row r="550" spans="1:78">
      <c r="A550" s="76"/>
      <c r="B550" s="76"/>
      <c r="C550" s="125"/>
      <c r="D550" s="125"/>
      <c r="E550" s="71"/>
      <c r="F550" s="71"/>
      <c r="G550" s="71"/>
      <c r="H550" s="126"/>
      <c r="I550" s="125"/>
      <c r="J550" s="123"/>
      <c r="K550" s="12"/>
      <c r="L550" s="117"/>
      <c r="M550" s="12"/>
      <c r="N550" s="117"/>
      <c r="O550" s="117"/>
      <c r="P550" s="117"/>
      <c r="Q550" s="118"/>
      <c r="R550" s="118"/>
      <c r="S550" s="118"/>
      <c r="T550" s="12"/>
      <c r="U550" s="118"/>
      <c r="V550" s="118"/>
      <c r="W550" s="12"/>
      <c r="X550" s="119"/>
      <c r="Y550" s="120"/>
      <c r="Z550" s="12"/>
      <c r="BA550" s="70" t="s">
        <v>205</v>
      </c>
      <c r="BB550" s="71" t="s">
        <v>210</v>
      </c>
      <c r="BC550" s="71" t="s">
        <v>207</v>
      </c>
      <c r="BD550" s="71">
        <v>14</v>
      </c>
      <c r="BE550" s="71">
        <v>36</v>
      </c>
      <c r="BF550" s="71">
        <v>390</v>
      </c>
      <c r="BG550" s="71">
        <v>212</v>
      </c>
      <c r="BH550" s="71">
        <v>5</v>
      </c>
      <c r="BI550" s="71">
        <v>10</v>
      </c>
      <c r="BJ550" s="12" t="str" cm="1">
        <f t="array" ref="BJ550">_xll.Dce_Name_SectI(BF550, BF550, BG550, BH550, BI550, "x", "-", $AX$11)</f>
        <v>390x212x5x10</v>
      </c>
      <c r="BK550" s="77" cm="1">
        <f t="array" ref="BK550">_xll.DCEPropSectI(BF550, BH550, BG550, BI550, BG550, BI550, "A")/100</f>
        <v>60.9</v>
      </c>
      <c r="BL550" s="70" t="s">
        <v>220</v>
      </c>
      <c r="BM550" s="70">
        <v>151.89764615292435</v>
      </c>
      <c r="BN550" s="71">
        <v>0.9</v>
      </c>
      <c r="BO550" s="77">
        <f t="shared" si="75"/>
        <v>32.4</v>
      </c>
      <c r="BP550" s="71">
        <v>0.9</v>
      </c>
      <c r="BQ550" s="77">
        <f t="shared" si="76"/>
        <v>32.4</v>
      </c>
      <c r="BR550" s="77" cm="1">
        <f t="array" ref="BR550">_xll.DCEPropSectI(BF550, BH550, BG550, BI550, BG550, BI550, "rx")/10</f>
        <v>16.91131201300167</v>
      </c>
      <c r="BS550" s="77" cm="1">
        <f t="array" ref="BS550">_xll.DCEPropSectI(BF550, BH550, BG550, BI550, BG550, BI550, "ry")/10</f>
        <v>5.1070747638622018</v>
      </c>
      <c r="BT550" s="5">
        <f t="shared" si="77"/>
        <v>191.58773710218577</v>
      </c>
      <c r="BU550" s="5">
        <f t="shared" si="78"/>
        <v>634.41405301647956</v>
      </c>
      <c r="BV550" s="5">
        <f t="shared" si="79"/>
        <v>634.41405301647956</v>
      </c>
      <c r="BW550" s="71">
        <f t="shared" si="80"/>
        <v>400</v>
      </c>
      <c r="BX550" s="78" cm="1">
        <f t="array" ref="BX550">IF(BM550&gt;0,1,_xll.DCETCVN5575FactorPhi7121(BV550*SQRT($K$17/206000),"b"))</f>
        <v>1</v>
      </c>
      <c r="BY550" s="64">
        <f t="shared" si="81"/>
        <v>0.11877210583542448</v>
      </c>
      <c r="BZ550" s="3" t="str">
        <f t="shared" si="82"/>
        <v>Check</v>
      </c>
    </row>
    <row r="551" spans="1:78">
      <c r="A551" s="76"/>
      <c r="B551" s="76"/>
      <c r="C551" s="125"/>
      <c r="D551" s="125"/>
      <c r="E551" s="71"/>
      <c r="F551" s="71"/>
      <c r="G551" s="71"/>
      <c r="H551" s="126"/>
      <c r="I551" s="125"/>
      <c r="J551" s="123"/>
      <c r="K551" s="12"/>
      <c r="L551" s="117"/>
      <c r="M551" s="12"/>
      <c r="N551" s="117"/>
      <c r="O551" s="117"/>
      <c r="P551" s="117"/>
      <c r="Q551" s="118"/>
      <c r="R551" s="118"/>
      <c r="S551" s="118"/>
      <c r="T551" s="12"/>
      <c r="U551" s="118"/>
      <c r="V551" s="118"/>
      <c r="W551" s="12"/>
      <c r="X551" s="119"/>
      <c r="Y551" s="120"/>
      <c r="Z551" s="12"/>
      <c r="BA551" s="70" t="s">
        <v>205</v>
      </c>
      <c r="BB551" s="71" t="s">
        <v>210</v>
      </c>
      <c r="BC551" s="71" t="s">
        <v>207</v>
      </c>
      <c r="BD551" s="71">
        <v>14.5</v>
      </c>
      <c r="BE551" s="71">
        <v>36</v>
      </c>
      <c r="BF551" s="71">
        <v>390</v>
      </c>
      <c r="BG551" s="71">
        <v>212</v>
      </c>
      <c r="BH551" s="71">
        <v>5</v>
      </c>
      <c r="BI551" s="71">
        <v>10</v>
      </c>
      <c r="BJ551" s="12" t="str" cm="1">
        <f t="array" ref="BJ551">_xll.Dce_Name_SectI(BF551, BF551, BG551, BH551, BI551, "x", "-", $AX$11)</f>
        <v>390x212x5x10</v>
      </c>
      <c r="BK551" s="77" cm="1">
        <f t="array" ref="BK551">_xll.DCEPropSectI(BF551, BH551, BG551, BI551, BG551, BI551, "A")/100</f>
        <v>60.9</v>
      </c>
      <c r="BL551" s="70" t="s">
        <v>220</v>
      </c>
      <c r="BM551" s="70">
        <v>151.89764615292435</v>
      </c>
      <c r="BN551" s="71">
        <v>0.9</v>
      </c>
      <c r="BO551" s="77">
        <f t="shared" si="75"/>
        <v>32.4</v>
      </c>
      <c r="BP551" s="71">
        <v>0.9</v>
      </c>
      <c r="BQ551" s="77">
        <f t="shared" si="76"/>
        <v>32.4</v>
      </c>
      <c r="BR551" s="77" cm="1">
        <f t="array" ref="BR551">_xll.DCEPropSectI(BF551, BH551, BG551, BI551, BG551, BI551, "rx")/10</f>
        <v>16.91131201300167</v>
      </c>
      <c r="BS551" s="77" cm="1">
        <f t="array" ref="BS551">_xll.DCEPropSectI(BF551, BH551, BG551, BI551, BG551, BI551, "ry")/10</f>
        <v>5.1070747638622018</v>
      </c>
      <c r="BT551" s="5">
        <f t="shared" si="77"/>
        <v>191.58773710218577</v>
      </c>
      <c r="BU551" s="5">
        <f t="shared" si="78"/>
        <v>634.41405301647956</v>
      </c>
      <c r="BV551" s="5">
        <f t="shared" si="79"/>
        <v>634.41405301647956</v>
      </c>
      <c r="BW551" s="71">
        <f t="shared" si="80"/>
        <v>400</v>
      </c>
      <c r="BX551" s="78" cm="1">
        <f t="array" ref="BX551">IF(BM551&gt;0,1,_xll.DCETCVN5575FactorPhi7121(BV551*SQRT($K$17/206000),"b"))</f>
        <v>1</v>
      </c>
      <c r="BY551" s="64">
        <f t="shared" si="81"/>
        <v>0.11877210583542448</v>
      </c>
      <c r="BZ551" s="3" t="str">
        <f t="shared" si="82"/>
        <v>Check</v>
      </c>
    </row>
    <row r="552" spans="1:78">
      <c r="A552" s="76"/>
      <c r="B552" s="76"/>
      <c r="C552" s="125"/>
      <c r="D552" s="125"/>
      <c r="E552" s="71"/>
      <c r="F552" s="71"/>
      <c r="G552" s="71"/>
      <c r="H552" s="126"/>
      <c r="I552" s="125"/>
      <c r="J552" s="123"/>
      <c r="K552" s="12"/>
      <c r="L552" s="117"/>
      <c r="M552" s="12"/>
      <c r="N552" s="117"/>
      <c r="O552" s="117"/>
      <c r="P552" s="117"/>
      <c r="Q552" s="118"/>
      <c r="R552" s="118"/>
      <c r="S552" s="118"/>
      <c r="T552" s="12"/>
      <c r="U552" s="118"/>
      <c r="V552" s="118"/>
      <c r="W552" s="12"/>
      <c r="X552" s="119"/>
      <c r="Y552" s="120"/>
      <c r="Z552" s="12"/>
      <c r="BA552" s="70" t="s">
        <v>205</v>
      </c>
      <c r="BB552" s="71" t="s">
        <v>210</v>
      </c>
      <c r="BC552" s="71" t="s">
        <v>207</v>
      </c>
      <c r="BD552" s="71">
        <v>15</v>
      </c>
      <c r="BE552" s="71">
        <v>36</v>
      </c>
      <c r="BF552" s="71">
        <v>390</v>
      </c>
      <c r="BG552" s="71">
        <v>212</v>
      </c>
      <c r="BH552" s="71">
        <v>5</v>
      </c>
      <c r="BI552" s="71">
        <v>10</v>
      </c>
      <c r="BJ552" s="12" t="str" cm="1">
        <f t="array" ref="BJ552">_xll.Dce_Name_SectI(BF552, BF552, BG552, BH552, BI552, "x", "-", $AX$11)</f>
        <v>390x212x5x10</v>
      </c>
      <c r="BK552" s="77" cm="1">
        <f t="array" ref="BK552">_xll.DCEPropSectI(BF552, BH552, BG552, BI552, BG552, BI552, "A")/100</f>
        <v>60.9</v>
      </c>
      <c r="BL552" s="70" t="s">
        <v>220</v>
      </c>
      <c r="BM552" s="70">
        <v>151.89764615292435</v>
      </c>
      <c r="BN552" s="71">
        <v>0.9</v>
      </c>
      <c r="BO552" s="77">
        <f t="shared" si="75"/>
        <v>32.4</v>
      </c>
      <c r="BP552" s="71">
        <v>0.9</v>
      </c>
      <c r="BQ552" s="77">
        <f t="shared" si="76"/>
        <v>32.4</v>
      </c>
      <c r="BR552" s="77" cm="1">
        <f t="array" ref="BR552">_xll.DCEPropSectI(BF552, BH552, BG552, BI552, BG552, BI552, "rx")/10</f>
        <v>16.91131201300167</v>
      </c>
      <c r="BS552" s="77" cm="1">
        <f t="array" ref="BS552">_xll.DCEPropSectI(BF552, BH552, BG552, BI552, BG552, BI552, "ry")/10</f>
        <v>5.1070747638622018</v>
      </c>
      <c r="BT552" s="5">
        <f t="shared" si="77"/>
        <v>191.58773710218577</v>
      </c>
      <c r="BU552" s="5">
        <f t="shared" si="78"/>
        <v>634.41405301647956</v>
      </c>
      <c r="BV552" s="5">
        <f t="shared" si="79"/>
        <v>634.41405301647956</v>
      </c>
      <c r="BW552" s="71">
        <f t="shared" si="80"/>
        <v>400</v>
      </c>
      <c r="BX552" s="78" cm="1">
        <f t="array" ref="BX552">IF(BM552&gt;0,1,_xll.DCETCVN5575FactorPhi7121(BV552*SQRT($K$17/206000),"b"))</f>
        <v>1</v>
      </c>
      <c r="BY552" s="64">
        <f t="shared" si="81"/>
        <v>0.11877210583542448</v>
      </c>
      <c r="BZ552" s="3" t="str">
        <f t="shared" si="82"/>
        <v>Check</v>
      </c>
    </row>
    <row r="553" spans="1:78">
      <c r="A553" s="76"/>
      <c r="B553" s="76"/>
      <c r="C553" s="125"/>
      <c r="D553" s="125"/>
      <c r="E553" s="71"/>
      <c r="F553" s="71"/>
      <c r="G553" s="71"/>
      <c r="H553" s="126"/>
      <c r="I553" s="125"/>
      <c r="J553" s="123"/>
      <c r="K553" s="12"/>
      <c r="L553" s="117"/>
      <c r="M553" s="12"/>
      <c r="N553" s="117"/>
      <c r="O553" s="117"/>
      <c r="P553" s="117"/>
      <c r="Q553" s="118"/>
      <c r="R553" s="118"/>
      <c r="S553" s="118"/>
      <c r="T553" s="12"/>
      <c r="U553" s="118"/>
      <c r="V553" s="118"/>
      <c r="W553" s="12"/>
      <c r="X553" s="119"/>
      <c r="Y553" s="120"/>
      <c r="Z553" s="12"/>
      <c r="BA553" s="70" t="s">
        <v>205</v>
      </c>
      <c r="BB553" s="71" t="s">
        <v>210</v>
      </c>
      <c r="BC553" s="71" t="s">
        <v>207</v>
      </c>
      <c r="BD553" s="71">
        <v>15</v>
      </c>
      <c r="BE553" s="71">
        <v>36</v>
      </c>
      <c r="BF553" s="71">
        <v>390</v>
      </c>
      <c r="BG553" s="71">
        <v>212</v>
      </c>
      <c r="BH553" s="71">
        <v>5</v>
      </c>
      <c r="BI553" s="71">
        <v>10</v>
      </c>
      <c r="BJ553" s="12" t="str" cm="1">
        <f t="array" ref="BJ553">_xll.Dce_Name_SectI(BF553, BF553, BG553, BH553, BI553, "x", "-", $AX$11)</f>
        <v>390x212x5x10</v>
      </c>
      <c r="BK553" s="77" cm="1">
        <f t="array" ref="BK553">_xll.DCEPropSectI(BF553, BH553, BG553, BI553, BG553, BI553, "A")/100</f>
        <v>60.9</v>
      </c>
      <c r="BL553" s="70" t="s">
        <v>220</v>
      </c>
      <c r="BM553" s="70">
        <v>211.54035222600919</v>
      </c>
      <c r="BN553" s="71">
        <v>0.9</v>
      </c>
      <c r="BO553" s="77">
        <f t="shared" si="75"/>
        <v>32.4</v>
      </c>
      <c r="BP553" s="71">
        <v>0.9</v>
      </c>
      <c r="BQ553" s="77">
        <f t="shared" si="76"/>
        <v>32.4</v>
      </c>
      <c r="BR553" s="77" cm="1">
        <f t="array" ref="BR553">_xll.DCEPropSectI(BF553, BH553, BG553, BI553, BG553, BI553, "rx")/10</f>
        <v>16.91131201300167</v>
      </c>
      <c r="BS553" s="77" cm="1">
        <f t="array" ref="BS553">_xll.DCEPropSectI(BF553, BH553, BG553, BI553, BG553, BI553, "ry")/10</f>
        <v>5.1070747638622018</v>
      </c>
      <c r="BT553" s="5">
        <f t="shared" si="77"/>
        <v>191.58773710218577</v>
      </c>
      <c r="BU553" s="5">
        <f t="shared" si="78"/>
        <v>634.41405301647956</v>
      </c>
      <c r="BV553" s="5">
        <f t="shared" si="79"/>
        <v>634.41405301647956</v>
      </c>
      <c r="BW553" s="71">
        <f t="shared" si="80"/>
        <v>400</v>
      </c>
      <c r="BX553" s="78" cm="1">
        <f t="array" ref="BX553">IF(BM553&gt;0,1,_xll.DCETCVN5575FactorPhi7121(BV553*SQRT($K$17/206000),"b"))</f>
        <v>1</v>
      </c>
      <c r="BY553" s="64">
        <f t="shared" si="81"/>
        <v>0.165408047717577</v>
      </c>
      <c r="BZ553" s="3" t="str">
        <f t="shared" si="82"/>
        <v>Check</v>
      </c>
    </row>
    <row r="554" spans="1:78">
      <c r="A554" s="76"/>
      <c r="B554" s="76"/>
      <c r="C554" s="125"/>
      <c r="D554" s="125"/>
      <c r="E554" s="71"/>
      <c r="F554" s="71"/>
      <c r="G554" s="71"/>
      <c r="H554" s="126"/>
      <c r="I554" s="125"/>
      <c r="J554" s="123"/>
      <c r="K554" s="12"/>
      <c r="L554" s="117"/>
      <c r="M554" s="12"/>
      <c r="N554" s="117"/>
      <c r="O554" s="117"/>
      <c r="P554" s="117"/>
      <c r="Q554" s="118"/>
      <c r="R554" s="118"/>
      <c r="S554" s="118"/>
      <c r="T554" s="12"/>
      <c r="U554" s="118"/>
      <c r="V554" s="118"/>
      <c r="W554" s="12"/>
      <c r="X554" s="119"/>
      <c r="Y554" s="120"/>
      <c r="Z554" s="12"/>
      <c r="BA554" s="70" t="s">
        <v>205</v>
      </c>
      <c r="BB554" s="71" t="s">
        <v>210</v>
      </c>
      <c r="BC554" s="71" t="s">
        <v>207</v>
      </c>
      <c r="BD554" s="71">
        <v>15.5</v>
      </c>
      <c r="BE554" s="71">
        <v>36</v>
      </c>
      <c r="BF554" s="71">
        <v>390</v>
      </c>
      <c r="BG554" s="71">
        <v>212</v>
      </c>
      <c r="BH554" s="71">
        <v>5</v>
      </c>
      <c r="BI554" s="71">
        <v>10</v>
      </c>
      <c r="BJ554" s="12" t="str" cm="1">
        <f t="array" ref="BJ554">_xll.Dce_Name_SectI(BF554, BF554, BG554, BH554, BI554, "x", "-", $AX$11)</f>
        <v>390x212x5x10</v>
      </c>
      <c r="BK554" s="77" cm="1">
        <f t="array" ref="BK554">_xll.DCEPropSectI(BF554, BH554, BG554, BI554, BG554, BI554, "A")/100</f>
        <v>60.9</v>
      </c>
      <c r="BL554" s="70" t="s">
        <v>220</v>
      </c>
      <c r="BM554" s="70">
        <v>211.54035222600919</v>
      </c>
      <c r="BN554" s="71">
        <v>0.9</v>
      </c>
      <c r="BO554" s="77">
        <f t="shared" si="75"/>
        <v>32.4</v>
      </c>
      <c r="BP554" s="71">
        <v>0.9</v>
      </c>
      <c r="BQ554" s="77">
        <f t="shared" si="76"/>
        <v>32.4</v>
      </c>
      <c r="BR554" s="77" cm="1">
        <f t="array" ref="BR554">_xll.DCEPropSectI(BF554, BH554, BG554, BI554, BG554, BI554, "rx")/10</f>
        <v>16.91131201300167</v>
      </c>
      <c r="BS554" s="77" cm="1">
        <f t="array" ref="BS554">_xll.DCEPropSectI(BF554, BH554, BG554, BI554, BG554, BI554, "ry")/10</f>
        <v>5.1070747638622018</v>
      </c>
      <c r="BT554" s="5">
        <f t="shared" si="77"/>
        <v>191.58773710218577</v>
      </c>
      <c r="BU554" s="5">
        <f t="shared" si="78"/>
        <v>634.41405301647956</v>
      </c>
      <c r="BV554" s="5">
        <f t="shared" si="79"/>
        <v>634.41405301647956</v>
      </c>
      <c r="BW554" s="71">
        <f t="shared" si="80"/>
        <v>400</v>
      </c>
      <c r="BX554" s="78" cm="1">
        <f t="array" ref="BX554">IF(BM554&gt;0,1,_xll.DCETCVN5575FactorPhi7121(BV554*SQRT($K$17/206000),"b"))</f>
        <v>1</v>
      </c>
      <c r="BY554" s="64">
        <f t="shared" si="81"/>
        <v>0.165408047717577</v>
      </c>
      <c r="BZ554" s="3" t="str">
        <f t="shared" si="82"/>
        <v>Check</v>
      </c>
    </row>
    <row r="555" spans="1:78">
      <c r="A555" s="76"/>
      <c r="B555" s="76"/>
      <c r="C555" s="125"/>
      <c r="D555" s="125"/>
      <c r="E555" s="71"/>
      <c r="F555" s="71"/>
      <c r="G555" s="71"/>
      <c r="H555" s="126"/>
      <c r="I555" s="125"/>
      <c r="J555" s="123"/>
      <c r="K555" s="12"/>
      <c r="L555" s="117"/>
      <c r="M555" s="12"/>
      <c r="N555" s="117"/>
      <c r="O555" s="117"/>
      <c r="P555" s="117"/>
      <c r="Q555" s="118"/>
      <c r="R555" s="118"/>
      <c r="S555" s="118"/>
      <c r="T555" s="12"/>
      <c r="U555" s="118"/>
      <c r="V555" s="118"/>
      <c r="W555" s="12"/>
      <c r="X555" s="119"/>
      <c r="Y555" s="120"/>
      <c r="Z555" s="12"/>
      <c r="BA555" s="70" t="s">
        <v>205</v>
      </c>
      <c r="BB555" s="71" t="s">
        <v>210</v>
      </c>
      <c r="BC555" s="71" t="s">
        <v>207</v>
      </c>
      <c r="BD555" s="71">
        <v>16</v>
      </c>
      <c r="BE555" s="71">
        <v>36</v>
      </c>
      <c r="BF555" s="71">
        <v>390</v>
      </c>
      <c r="BG555" s="71">
        <v>212</v>
      </c>
      <c r="BH555" s="71">
        <v>5</v>
      </c>
      <c r="BI555" s="71">
        <v>10</v>
      </c>
      <c r="BJ555" s="12" t="str" cm="1">
        <f t="array" ref="BJ555">_xll.Dce_Name_SectI(BF555, BF555, BG555, BH555, BI555, "x", "-", $AX$11)</f>
        <v>390x212x5x10</v>
      </c>
      <c r="BK555" s="77" cm="1">
        <f t="array" ref="BK555">_xll.DCEPropSectI(BF555, BH555, BG555, BI555, BG555, BI555, "A")/100</f>
        <v>60.9</v>
      </c>
      <c r="BL555" s="70" t="s">
        <v>220</v>
      </c>
      <c r="BM555" s="70">
        <v>211.54035222600919</v>
      </c>
      <c r="BN555" s="71">
        <v>0.9</v>
      </c>
      <c r="BO555" s="77">
        <f t="shared" si="75"/>
        <v>32.4</v>
      </c>
      <c r="BP555" s="71">
        <v>0.9</v>
      </c>
      <c r="BQ555" s="77">
        <f t="shared" si="76"/>
        <v>32.4</v>
      </c>
      <c r="BR555" s="77" cm="1">
        <f t="array" ref="BR555">_xll.DCEPropSectI(BF555, BH555, BG555, BI555, BG555, BI555, "rx")/10</f>
        <v>16.91131201300167</v>
      </c>
      <c r="BS555" s="77" cm="1">
        <f t="array" ref="BS555">_xll.DCEPropSectI(BF555, BH555, BG555, BI555, BG555, BI555, "ry")/10</f>
        <v>5.1070747638622018</v>
      </c>
      <c r="BT555" s="5">
        <f t="shared" si="77"/>
        <v>191.58773710218577</v>
      </c>
      <c r="BU555" s="5">
        <f t="shared" si="78"/>
        <v>634.41405301647956</v>
      </c>
      <c r="BV555" s="5">
        <f t="shared" si="79"/>
        <v>634.41405301647956</v>
      </c>
      <c r="BW555" s="71">
        <f t="shared" si="80"/>
        <v>400</v>
      </c>
      <c r="BX555" s="78" cm="1">
        <f t="array" ref="BX555">IF(BM555&gt;0,1,_xll.DCETCVN5575FactorPhi7121(BV555*SQRT($K$17/206000),"b"))</f>
        <v>1</v>
      </c>
      <c r="BY555" s="64">
        <f t="shared" si="81"/>
        <v>0.165408047717577</v>
      </c>
      <c r="BZ555" s="3" t="str">
        <f t="shared" si="82"/>
        <v>Check</v>
      </c>
    </row>
    <row r="556" spans="1:78">
      <c r="A556" s="76"/>
      <c r="B556" s="76"/>
      <c r="C556" s="125"/>
      <c r="D556" s="125"/>
      <c r="E556" s="71"/>
      <c r="F556" s="71"/>
      <c r="G556" s="71"/>
      <c r="H556" s="126"/>
      <c r="I556" s="125"/>
      <c r="J556" s="123"/>
      <c r="K556" s="12"/>
      <c r="L556" s="117"/>
      <c r="M556" s="12"/>
      <c r="N556" s="117"/>
      <c r="O556" s="117"/>
      <c r="P556" s="117"/>
      <c r="Q556" s="118"/>
      <c r="R556" s="118"/>
      <c r="S556" s="118"/>
      <c r="T556" s="12"/>
      <c r="U556" s="118"/>
      <c r="V556" s="118"/>
      <c r="W556" s="12"/>
      <c r="X556" s="119"/>
      <c r="Y556" s="120"/>
      <c r="Z556" s="12"/>
      <c r="BA556" s="70" t="s">
        <v>205</v>
      </c>
      <c r="BB556" s="71" t="s">
        <v>210</v>
      </c>
      <c r="BC556" s="71" t="s">
        <v>207</v>
      </c>
      <c r="BD556" s="71">
        <v>16.5</v>
      </c>
      <c r="BE556" s="71">
        <v>36</v>
      </c>
      <c r="BF556" s="71">
        <v>390</v>
      </c>
      <c r="BG556" s="71">
        <v>212</v>
      </c>
      <c r="BH556" s="71">
        <v>5</v>
      </c>
      <c r="BI556" s="71">
        <v>10</v>
      </c>
      <c r="BJ556" s="12" t="str" cm="1">
        <f t="array" ref="BJ556">_xll.Dce_Name_SectI(BF556, BF556, BG556, BH556, BI556, "x", "-", $AX$11)</f>
        <v>390x212x5x10</v>
      </c>
      <c r="BK556" s="77" cm="1">
        <f t="array" ref="BK556">_xll.DCEPropSectI(BF556, BH556, BG556, BI556, BG556, BI556, "A")/100</f>
        <v>60.9</v>
      </c>
      <c r="BL556" s="70" t="s">
        <v>220</v>
      </c>
      <c r="BM556" s="70">
        <v>211.54035222600919</v>
      </c>
      <c r="BN556" s="71">
        <v>0.9</v>
      </c>
      <c r="BO556" s="77">
        <f t="shared" si="75"/>
        <v>32.4</v>
      </c>
      <c r="BP556" s="71">
        <v>0.9</v>
      </c>
      <c r="BQ556" s="77">
        <f t="shared" si="76"/>
        <v>32.4</v>
      </c>
      <c r="BR556" s="77" cm="1">
        <f t="array" ref="BR556">_xll.DCEPropSectI(BF556, BH556, BG556, BI556, BG556, BI556, "rx")/10</f>
        <v>16.91131201300167</v>
      </c>
      <c r="BS556" s="77" cm="1">
        <f t="array" ref="BS556">_xll.DCEPropSectI(BF556, BH556, BG556, BI556, BG556, BI556, "ry")/10</f>
        <v>5.1070747638622018</v>
      </c>
      <c r="BT556" s="5">
        <f t="shared" si="77"/>
        <v>191.58773710218577</v>
      </c>
      <c r="BU556" s="5">
        <f t="shared" si="78"/>
        <v>634.41405301647956</v>
      </c>
      <c r="BV556" s="5">
        <f t="shared" si="79"/>
        <v>634.41405301647956</v>
      </c>
      <c r="BW556" s="71">
        <f t="shared" si="80"/>
        <v>400</v>
      </c>
      <c r="BX556" s="78" cm="1">
        <f t="array" ref="BX556">IF(BM556&gt;0,1,_xll.DCETCVN5575FactorPhi7121(BV556*SQRT($K$17/206000),"b"))</f>
        <v>1</v>
      </c>
      <c r="BY556" s="64">
        <f t="shared" si="81"/>
        <v>0.165408047717577</v>
      </c>
      <c r="BZ556" s="3" t="str">
        <f t="shared" si="82"/>
        <v>Check</v>
      </c>
    </row>
    <row r="557" spans="1:78">
      <c r="A557" s="76"/>
      <c r="B557" s="76"/>
      <c r="C557" s="125"/>
      <c r="D557" s="125"/>
      <c r="E557" s="71"/>
      <c r="F557" s="71"/>
      <c r="G557" s="71"/>
      <c r="H557" s="126"/>
      <c r="I557" s="125"/>
      <c r="J557" s="123"/>
      <c r="K557" s="12"/>
      <c r="L557" s="117"/>
      <c r="M557" s="12"/>
      <c r="N557" s="117"/>
      <c r="O557" s="117"/>
      <c r="P557" s="117"/>
      <c r="Q557" s="118"/>
      <c r="R557" s="118"/>
      <c r="S557" s="118"/>
      <c r="T557" s="12"/>
      <c r="U557" s="118"/>
      <c r="V557" s="118"/>
      <c r="W557" s="12"/>
      <c r="X557" s="119"/>
      <c r="Y557" s="120"/>
      <c r="Z557" s="12"/>
      <c r="BA557" s="70" t="s">
        <v>205</v>
      </c>
      <c r="BB557" s="71" t="s">
        <v>210</v>
      </c>
      <c r="BC557" s="71" t="s">
        <v>207</v>
      </c>
      <c r="BD557" s="71">
        <v>17</v>
      </c>
      <c r="BE557" s="71">
        <v>36</v>
      </c>
      <c r="BF557" s="71">
        <v>390</v>
      </c>
      <c r="BG557" s="71">
        <v>212</v>
      </c>
      <c r="BH557" s="71">
        <v>5</v>
      </c>
      <c r="BI557" s="71">
        <v>10</v>
      </c>
      <c r="BJ557" s="12" t="str" cm="1">
        <f t="array" ref="BJ557">_xll.Dce_Name_SectI(BF557, BF557, BG557, BH557, BI557, "x", "-", $AX$11)</f>
        <v>390x212x5x10</v>
      </c>
      <c r="BK557" s="77" cm="1">
        <f t="array" ref="BK557">_xll.DCEPropSectI(BF557, BH557, BG557, BI557, BG557, BI557, "A")/100</f>
        <v>60.9</v>
      </c>
      <c r="BL557" s="70" t="s">
        <v>220</v>
      </c>
      <c r="BM557" s="70">
        <v>211.54035222600919</v>
      </c>
      <c r="BN557" s="71">
        <v>0.9</v>
      </c>
      <c r="BO557" s="77">
        <f t="shared" si="75"/>
        <v>32.4</v>
      </c>
      <c r="BP557" s="71">
        <v>0.9</v>
      </c>
      <c r="BQ557" s="77">
        <f t="shared" si="76"/>
        <v>32.4</v>
      </c>
      <c r="BR557" s="77" cm="1">
        <f t="array" ref="BR557">_xll.DCEPropSectI(BF557, BH557, BG557, BI557, BG557, BI557, "rx")/10</f>
        <v>16.91131201300167</v>
      </c>
      <c r="BS557" s="77" cm="1">
        <f t="array" ref="BS557">_xll.DCEPropSectI(BF557, BH557, BG557, BI557, BG557, BI557, "ry")/10</f>
        <v>5.1070747638622018</v>
      </c>
      <c r="BT557" s="5">
        <f t="shared" si="77"/>
        <v>191.58773710218577</v>
      </c>
      <c r="BU557" s="5">
        <f t="shared" si="78"/>
        <v>634.41405301647956</v>
      </c>
      <c r="BV557" s="5">
        <f t="shared" si="79"/>
        <v>634.41405301647956</v>
      </c>
      <c r="BW557" s="71">
        <f t="shared" si="80"/>
        <v>400</v>
      </c>
      <c r="BX557" s="78" cm="1">
        <f t="array" ref="BX557">IF(BM557&gt;0,1,_xll.DCETCVN5575FactorPhi7121(BV557*SQRT($K$17/206000),"b"))</f>
        <v>1</v>
      </c>
      <c r="BY557" s="64">
        <f t="shared" si="81"/>
        <v>0.165408047717577</v>
      </c>
      <c r="BZ557" s="3" t="str">
        <f t="shared" si="82"/>
        <v>Check</v>
      </c>
    </row>
    <row r="558" spans="1:78">
      <c r="A558" s="76"/>
      <c r="B558" s="76"/>
      <c r="C558" s="125"/>
      <c r="D558" s="125"/>
      <c r="E558" s="71"/>
      <c r="F558" s="71"/>
      <c r="G558" s="71"/>
      <c r="H558" s="126"/>
      <c r="I558" s="125"/>
      <c r="J558" s="123"/>
      <c r="K558" s="12"/>
      <c r="L558" s="117"/>
      <c r="M558" s="12"/>
      <c r="N558" s="117"/>
      <c r="O558" s="117"/>
      <c r="P558" s="117"/>
      <c r="Q558" s="118"/>
      <c r="R558" s="118"/>
      <c r="S558" s="118"/>
      <c r="T558" s="12"/>
      <c r="U558" s="118"/>
      <c r="V558" s="118"/>
      <c r="W558" s="12"/>
      <c r="X558" s="119"/>
      <c r="Y558" s="120"/>
      <c r="Z558" s="12"/>
      <c r="BA558" s="70" t="s">
        <v>205</v>
      </c>
      <c r="BB558" s="71" t="s">
        <v>210</v>
      </c>
      <c r="BC558" s="71" t="s">
        <v>207</v>
      </c>
      <c r="BD558" s="71">
        <v>17.5</v>
      </c>
      <c r="BE558" s="71">
        <v>36</v>
      </c>
      <c r="BF558" s="71">
        <v>390</v>
      </c>
      <c r="BG558" s="71">
        <v>212</v>
      </c>
      <c r="BH558" s="71">
        <v>5</v>
      </c>
      <c r="BI558" s="71">
        <v>10</v>
      </c>
      <c r="BJ558" s="12" t="str" cm="1">
        <f t="array" ref="BJ558">_xll.Dce_Name_SectI(BF558, BF558, BG558, BH558, BI558, "x", "-", $AX$11)</f>
        <v>390x212x5x10</v>
      </c>
      <c r="BK558" s="77" cm="1">
        <f t="array" ref="BK558">_xll.DCEPropSectI(BF558, BH558, BG558, BI558, BG558, BI558, "A")/100</f>
        <v>60.9</v>
      </c>
      <c r="BL558" s="70" t="s">
        <v>220</v>
      </c>
      <c r="BM558" s="70">
        <v>211.54035222600919</v>
      </c>
      <c r="BN558" s="71">
        <v>0.9</v>
      </c>
      <c r="BO558" s="77">
        <f t="shared" si="75"/>
        <v>32.4</v>
      </c>
      <c r="BP558" s="71">
        <v>0.9</v>
      </c>
      <c r="BQ558" s="77">
        <f t="shared" si="76"/>
        <v>32.4</v>
      </c>
      <c r="BR558" s="77" cm="1">
        <f t="array" ref="BR558">_xll.DCEPropSectI(BF558, BH558, BG558, BI558, BG558, BI558, "rx")/10</f>
        <v>16.91131201300167</v>
      </c>
      <c r="BS558" s="77" cm="1">
        <f t="array" ref="BS558">_xll.DCEPropSectI(BF558, BH558, BG558, BI558, BG558, BI558, "ry")/10</f>
        <v>5.1070747638622018</v>
      </c>
      <c r="BT558" s="5">
        <f t="shared" si="77"/>
        <v>191.58773710218577</v>
      </c>
      <c r="BU558" s="5">
        <f t="shared" si="78"/>
        <v>634.41405301647956</v>
      </c>
      <c r="BV558" s="5">
        <f t="shared" si="79"/>
        <v>634.41405301647956</v>
      </c>
      <c r="BW558" s="71">
        <f t="shared" si="80"/>
        <v>400</v>
      </c>
      <c r="BX558" s="78" cm="1">
        <f t="array" ref="BX558">IF(BM558&gt;0,1,_xll.DCETCVN5575FactorPhi7121(BV558*SQRT($K$17/206000),"b"))</f>
        <v>1</v>
      </c>
      <c r="BY558" s="64">
        <f t="shared" si="81"/>
        <v>0.165408047717577</v>
      </c>
      <c r="BZ558" s="3" t="str">
        <f t="shared" si="82"/>
        <v>Check</v>
      </c>
    </row>
    <row r="559" spans="1:78">
      <c r="A559" s="76"/>
      <c r="B559" s="76"/>
      <c r="C559" s="125"/>
      <c r="D559" s="125"/>
      <c r="E559" s="71"/>
      <c r="F559" s="71"/>
      <c r="G559" s="71"/>
      <c r="H559" s="126"/>
      <c r="I559" s="125"/>
      <c r="J559" s="123"/>
      <c r="K559" s="12"/>
      <c r="L559" s="117"/>
      <c r="M559" s="12"/>
      <c r="N559" s="117"/>
      <c r="O559" s="117"/>
      <c r="P559" s="117"/>
      <c r="Q559" s="118"/>
      <c r="R559" s="118"/>
      <c r="S559" s="118"/>
      <c r="T559" s="12"/>
      <c r="U559" s="118"/>
      <c r="V559" s="118"/>
      <c r="W559" s="12"/>
      <c r="X559" s="119"/>
      <c r="Y559" s="120"/>
      <c r="Z559" s="12"/>
      <c r="BA559" s="70" t="s">
        <v>205</v>
      </c>
      <c r="BB559" s="71" t="s">
        <v>210</v>
      </c>
      <c r="BC559" s="71" t="s">
        <v>207</v>
      </c>
      <c r="BD559" s="71">
        <v>18</v>
      </c>
      <c r="BE559" s="71">
        <v>36</v>
      </c>
      <c r="BF559" s="71">
        <v>390</v>
      </c>
      <c r="BG559" s="71">
        <v>212</v>
      </c>
      <c r="BH559" s="71">
        <v>5</v>
      </c>
      <c r="BI559" s="71">
        <v>10</v>
      </c>
      <c r="BJ559" s="12" t="str" cm="1">
        <f t="array" ref="BJ559">_xll.Dce_Name_SectI(BF559, BF559, BG559, BH559, BI559, "x", "-", $AX$11)</f>
        <v>390x212x5x10</v>
      </c>
      <c r="BK559" s="77" cm="1">
        <f t="array" ref="BK559">_xll.DCEPropSectI(BF559, BH559, BG559, BI559, BG559, BI559, "A")/100</f>
        <v>60.9</v>
      </c>
      <c r="BL559" s="70" t="s">
        <v>220</v>
      </c>
      <c r="BM559" s="70">
        <v>211.54035222600919</v>
      </c>
      <c r="BN559" s="71">
        <v>0.9</v>
      </c>
      <c r="BO559" s="77">
        <f t="shared" si="75"/>
        <v>32.4</v>
      </c>
      <c r="BP559" s="71">
        <v>0.9</v>
      </c>
      <c r="BQ559" s="77">
        <f t="shared" si="76"/>
        <v>32.4</v>
      </c>
      <c r="BR559" s="77" cm="1">
        <f t="array" ref="BR559">_xll.DCEPropSectI(BF559, BH559, BG559, BI559, BG559, BI559, "rx")/10</f>
        <v>16.91131201300167</v>
      </c>
      <c r="BS559" s="77" cm="1">
        <f t="array" ref="BS559">_xll.DCEPropSectI(BF559, BH559, BG559, BI559, BG559, BI559, "ry")/10</f>
        <v>5.1070747638622018</v>
      </c>
      <c r="BT559" s="5">
        <f t="shared" si="77"/>
        <v>191.58773710218577</v>
      </c>
      <c r="BU559" s="5">
        <f t="shared" si="78"/>
        <v>634.41405301647956</v>
      </c>
      <c r="BV559" s="5">
        <f t="shared" si="79"/>
        <v>634.41405301647956</v>
      </c>
      <c r="BW559" s="71">
        <f t="shared" si="80"/>
        <v>400</v>
      </c>
      <c r="BX559" s="78" cm="1">
        <f t="array" ref="BX559">IF(BM559&gt;0,1,_xll.DCETCVN5575FactorPhi7121(BV559*SQRT($K$17/206000),"b"))</f>
        <v>1</v>
      </c>
      <c r="BY559" s="64">
        <f t="shared" si="81"/>
        <v>0.165408047717577</v>
      </c>
      <c r="BZ559" s="3" t="str">
        <f t="shared" si="82"/>
        <v>Check</v>
      </c>
    </row>
    <row r="560" spans="1:78">
      <c r="A560" s="76"/>
      <c r="B560" s="76"/>
      <c r="C560" s="125"/>
      <c r="D560" s="125"/>
      <c r="E560" s="71"/>
      <c r="F560" s="71"/>
      <c r="G560" s="71"/>
      <c r="H560" s="126"/>
      <c r="I560" s="125"/>
      <c r="J560" s="123"/>
      <c r="K560" s="12"/>
      <c r="L560" s="117"/>
      <c r="M560" s="12"/>
      <c r="N560" s="117"/>
      <c r="O560" s="117"/>
      <c r="P560" s="117"/>
      <c r="Q560" s="118"/>
      <c r="R560" s="118"/>
      <c r="S560" s="118"/>
      <c r="T560" s="12"/>
      <c r="U560" s="118"/>
      <c r="V560" s="118"/>
      <c r="W560" s="12"/>
      <c r="X560" s="119"/>
      <c r="Y560" s="120"/>
      <c r="Z560" s="12"/>
      <c r="BA560" s="70" t="s">
        <v>205</v>
      </c>
      <c r="BB560" s="71" t="s">
        <v>210</v>
      </c>
      <c r="BC560" s="71" t="s">
        <v>207</v>
      </c>
      <c r="BD560" s="71">
        <v>18.5</v>
      </c>
      <c r="BE560" s="71">
        <v>36</v>
      </c>
      <c r="BF560" s="71">
        <v>390</v>
      </c>
      <c r="BG560" s="71">
        <v>212</v>
      </c>
      <c r="BH560" s="71">
        <v>5</v>
      </c>
      <c r="BI560" s="71">
        <v>10</v>
      </c>
      <c r="BJ560" s="12" t="str" cm="1">
        <f t="array" ref="BJ560">_xll.Dce_Name_SectI(BF560, BF560, BG560, BH560, BI560, "x", "-", $AX$11)</f>
        <v>390x212x5x10</v>
      </c>
      <c r="BK560" s="77" cm="1">
        <f t="array" ref="BK560">_xll.DCEPropSectI(BF560, BH560, BG560, BI560, BG560, BI560, "A")/100</f>
        <v>60.9</v>
      </c>
      <c r="BL560" s="70" t="s">
        <v>220</v>
      </c>
      <c r="BM560" s="70">
        <v>211.54035222600919</v>
      </c>
      <c r="BN560" s="71">
        <v>0.9</v>
      </c>
      <c r="BO560" s="77">
        <f t="shared" si="75"/>
        <v>32.4</v>
      </c>
      <c r="BP560" s="71">
        <v>0.9</v>
      </c>
      <c r="BQ560" s="77">
        <f t="shared" si="76"/>
        <v>32.4</v>
      </c>
      <c r="BR560" s="77" cm="1">
        <f t="array" ref="BR560">_xll.DCEPropSectI(BF560, BH560, BG560, BI560, BG560, BI560, "rx")/10</f>
        <v>16.91131201300167</v>
      </c>
      <c r="BS560" s="77" cm="1">
        <f t="array" ref="BS560">_xll.DCEPropSectI(BF560, BH560, BG560, BI560, BG560, BI560, "ry")/10</f>
        <v>5.1070747638622018</v>
      </c>
      <c r="BT560" s="5">
        <f t="shared" si="77"/>
        <v>191.58773710218577</v>
      </c>
      <c r="BU560" s="5">
        <f t="shared" si="78"/>
        <v>634.41405301647956</v>
      </c>
      <c r="BV560" s="5">
        <f t="shared" si="79"/>
        <v>634.41405301647956</v>
      </c>
      <c r="BW560" s="71">
        <f t="shared" si="80"/>
        <v>400</v>
      </c>
      <c r="BX560" s="78" cm="1">
        <f t="array" ref="BX560">IF(BM560&gt;0,1,_xll.DCETCVN5575FactorPhi7121(BV560*SQRT($K$17/206000),"b"))</f>
        <v>1</v>
      </c>
      <c r="BY560" s="64">
        <f t="shared" si="81"/>
        <v>0.165408047717577</v>
      </c>
      <c r="BZ560" s="3" t="str">
        <f t="shared" si="82"/>
        <v>Check</v>
      </c>
    </row>
    <row r="561" spans="1:78">
      <c r="A561" s="76"/>
      <c r="B561" s="76"/>
      <c r="C561" s="125"/>
      <c r="D561" s="125"/>
      <c r="E561" s="71"/>
      <c r="F561" s="71"/>
      <c r="G561" s="71"/>
      <c r="H561" s="126"/>
      <c r="I561" s="125"/>
      <c r="J561" s="123"/>
      <c r="K561" s="12"/>
      <c r="L561" s="117"/>
      <c r="M561" s="12"/>
      <c r="N561" s="117"/>
      <c r="O561" s="117"/>
      <c r="P561" s="117"/>
      <c r="Q561" s="118"/>
      <c r="R561" s="118"/>
      <c r="S561" s="118"/>
      <c r="T561" s="12"/>
      <c r="U561" s="118"/>
      <c r="V561" s="118"/>
      <c r="W561" s="12"/>
      <c r="X561" s="119"/>
      <c r="Y561" s="120"/>
      <c r="Z561" s="12"/>
      <c r="BA561" s="70" t="s">
        <v>205</v>
      </c>
      <c r="BB561" s="71" t="s">
        <v>210</v>
      </c>
      <c r="BC561" s="71" t="s">
        <v>207</v>
      </c>
      <c r="BD561" s="71">
        <v>19</v>
      </c>
      <c r="BE561" s="71">
        <v>36</v>
      </c>
      <c r="BF561" s="71">
        <v>390</v>
      </c>
      <c r="BG561" s="71">
        <v>212</v>
      </c>
      <c r="BH561" s="71">
        <v>5</v>
      </c>
      <c r="BI561" s="71">
        <v>10</v>
      </c>
      <c r="BJ561" s="12" t="str" cm="1">
        <f t="array" ref="BJ561">_xll.Dce_Name_SectI(BF561, BF561, BG561, BH561, BI561, "x", "-", $AX$11)</f>
        <v>390x212x5x10</v>
      </c>
      <c r="BK561" s="77" cm="1">
        <f t="array" ref="BK561">_xll.DCEPropSectI(BF561, BH561, BG561, BI561, BG561, BI561, "A")/100</f>
        <v>60.9</v>
      </c>
      <c r="BL561" s="70" t="s">
        <v>220</v>
      </c>
      <c r="BM561" s="70">
        <v>211.54035222600919</v>
      </c>
      <c r="BN561" s="71">
        <v>0.9</v>
      </c>
      <c r="BO561" s="77">
        <f t="shared" si="75"/>
        <v>32.4</v>
      </c>
      <c r="BP561" s="71">
        <v>0.9</v>
      </c>
      <c r="BQ561" s="77">
        <f t="shared" si="76"/>
        <v>32.4</v>
      </c>
      <c r="BR561" s="77" cm="1">
        <f t="array" ref="BR561">_xll.DCEPropSectI(BF561, BH561, BG561, BI561, BG561, BI561, "rx")/10</f>
        <v>16.91131201300167</v>
      </c>
      <c r="BS561" s="77" cm="1">
        <f t="array" ref="BS561">_xll.DCEPropSectI(BF561, BH561, BG561, BI561, BG561, BI561, "ry")/10</f>
        <v>5.1070747638622018</v>
      </c>
      <c r="BT561" s="5">
        <f t="shared" si="77"/>
        <v>191.58773710218577</v>
      </c>
      <c r="BU561" s="5">
        <f t="shared" si="78"/>
        <v>634.41405301647956</v>
      </c>
      <c r="BV561" s="5">
        <f t="shared" si="79"/>
        <v>634.41405301647956</v>
      </c>
      <c r="BW561" s="71">
        <f t="shared" si="80"/>
        <v>400</v>
      </c>
      <c r="BX561" s="78" cm="1">
        <f t="array" ref="BX561">IF(BM561&gt;0,1,_xll.DCETCVN5575FactorPhi7121(BV561*SQRT($K$17/206000),"b"))</f>
        <v>1</v>
      </c>
      <c r="BY561" s="64">
        <f t="shared" si="81"/>
        <v>0.165408047717577</v>
      </c>
      <c r="BZ561" s="3" t="str">
        <f t="shared" si="82"/>
        <v>Check</v>
      </c>
    </row>
    <row r="562" spans="1:78">
      <c r="A562" s="76"/>
      <c r="B562" s="76"/>
      <c r="C562" s="125"/>
      <c r="D562" s="125"/>
      <c r="E562" s="71"/>
      <c r="F562" s="71"/>
      <c r="G562" s="71"/>
      <c r="H562" s="126"/>
      <c r="I562" s="125"/>
      <c r="J562" s="123"/>
      <c r="K562" s="12"/>
      <c r="L562" s="117"/>
      <c r="M562" s="12"/>
      <c r="N562" s="117"/>
      <c r="O562" s="117"/>
      <c r="P562" s="117"/>
      <c r="Q562" s="118"/>
      <c r="R562" s="118"/>
      <c r="S562" s="118"/>
      <c r="T562" s="12"/>
      <c r="U562" s="118"/>
      <c r="V562" s="118"/>
      <c r="W562" s="12"/>
      <c r="X562" s="119"/>
      <c r="Y562" s="120"/>
      <c r="Z562" s="12"/>
      <c r="BA562" s="70" t="s">
        <v>205</v>
      </c>
      <c r="BB562" s="71" t="s">
        <v>210</v>
      </c>
      <c r="BC562" s="71" t="s">
        <v>207</v>
      </c>
      <c r="BD562" s="71">
        <v>19.5</v>
      </c>
      <c r="BE562" s="71">
        <v>36</v>
      </c>
      <c r="BF562" s="71">
        <v>390</v>
      </c>
      <c r="BG562" s="71">
        <v>212</v>
      </c>
      <c r="BH562" s="71">
        <v>5</v>
      </c>
      <c r="BI562" s="71">
        <v>10</v>
      </c>
      <c r="BJ562" s="12" t="str" cm="1">
        <f t="array" ref="BJ562">_xll.Dce_Name_SectI(BF562, BF562, BG562, BH562, BI562, "x", "-", $AX$11)</f>
        <v>390x212x5x10</v>
      </c>
      <c r="BK562" s="77" cm="1">
        <f t="array" ref="BK562">_xll.DCEPropSectI(BF562, BH562, BG562, BI562, BG562, BI562, "A")/100</f>
        <v>60.9</v>
      </c>
      <c r="BL562" s="70" t="s">
        <v>220</v>
      </c>
      <c r="BM562" s="70">
        <v>211.54035222600919</v>
      </c>
      <c r="BN562" s="71">
        <v>0.9</v>
      </c>
      <c r="BO562" s="77">
        <f t="shared" si="75"/>
        <v>32.4</v>
      </c>
      <c r="BP562" s="71">
        <v>0.9</v>
      </c>
      <c r="BQ562" s="77">
        <f t="shared" si="76"/>
        <v>32.4</v>
      </c>
      <c r="BR562" s="77" cm="1">
        <f t="array" ref="BR562">_xll.DCEPropSectI(BF562, BH562, BG562, BI562, BG562, BI562, "rx")/10</f>
        <v>16.91131201300167</v>
      </c>
      <c r="BS562" s="77" cm="1">
        <f t="array" ref="BS562">_xll.DCEPropSectI(BF562, BH562, BG562, BI562, BG562, BI562, "ry")/10</f>
        <v>5.1070747638622018</v>
      </c>
      <c r="BT562" s="5">
        <f t="shared" si="77"/>
        <v>191.58773710218577</v>
      </c>
      <c r="BU562" s="5">
        <f t="shared" si="78"/>
        <v>634.41405301647956</v>
      </c>
      <c r="BV562" s="5">
        <f t="shared" si="79"/>
        <v>634.41405301647956</v>
      </c>
      <c r="BW562" s="71">
        <f t="shared" si="80"/>
        <v>400</v>
      </c>
      <c r="BX562" s="78" cm="1">
        <f t="array" ref="BX562">IF(BM562&gt;0,1,_xll.DCETCVN5575FactorPhi7121(BV562*SQRT($K$17/206000),"b"))</f>
        <v>1</v>
      </c>
      <c r="BY562" s="64">
        <f t="shared" si="81"/>
        <v>0.165408047717577</v>
      </c>
      <c r="BZ562" s="3" t="str">
        <f t="shared" si="82"/>
        <v>Check</v>
      </c>
    </row>
    <row r="563" spans="1:78">
      <c r="A563" s="76"/>
      <c r="B563" s="76"/>
      <c r="C563" s="125"/>
      <c r="D563" s="125"/>
      <c r="E563" s="71"/>
      <c r="F563" s="71"/>
      <c r="G563" s="71"/>
      <c r="H563" s="126"/>
      <c r="I563" s="125"/>
      <c r="J563" s="123"/>
      <c r="K563" s="12"/>
      <c r="L563" s="117"/>
      <c r="M563" s="12"/>
      <c r="N563" s="117"/>
      <c r="O563" s="117"/>
      <c r="P563" s="117"/>
      <c r="Q563" s="118"/>
      <c r="R563" s="118"/>
      <c r="S563" s="118"/>
      <c r="T563" s="12"/>
      <c r="U563" s="118"/>
      <c r="V563" s="118"/>
      <c r="W563" s="12"/>
      <c r="X563" s="119"/>
      <c r="Y563" s="120"/>
      <c r="Z563" s="12"/>
      <c r="BA563" s="70" t="s">
        <v>205</v>
      </c>
      <c r="BB563" s="71" t="s">
        <v>210</v>
      </c>
      <c r="BC563" s="71" t="s">
        <v>207</v>
      </c>
      <c r="BD563" s="71">
        <v>20</v>
      </c>
      <c r="BE563" s="71">
        <v>36</v>
      </c>
      <c r="BF563" s="71">
        <v>390</v>
      </c>
      <c r="BG563" s="71">
        <v>212</v>
      </c>
      <c r="BH563" s="71">
        <v>5</v>
      </c>
      <c r="BI563" s="71">
        <v>10</v>
      </c>
      <c r="BJ563" s="12" t="str" cm="1">
        <f t="array" ref="BJ563">_xll.Dce_Name_SectI(BF563, BF563, BG563, BH563, BI563, "x", "-", $AX$11)</f>
        <v>390x212x5x10</v>
      </c>
      <c r="BK563" s="77" cm="1">
        <f t="array" ref="BK563">_xll.DCEPropSectI(BF563, BH563, BG563, BI563, BG563, BI563, "A")/100</f>
        <v>60.9</v>
      </c>
      <c r="BL563" s="70" t="s">
        <v>220</v>
      </c>
      <c r="BM563" s="70">
        <v>211.54035222600919</v>
      </c>
      <c r="BN563" s="71">
        <v>0.9</v>
      </c>
      <c r="BO563" s="77">
        <f t="shared" si="75"/>
        <v>32.4</v>
      </c>
      <c r="BP563" s="71">
        <v>0.9</v>
      </c>
      <c r="BQ563" s="77">
        <f t="shared" si="76"/>
        <v>32.4</v>
      </c>
      <c r="BR563" s="77" cm="1">
        <f t="array" ref="BR563">_xll.DCEPropSectI(BF563, BH563, BG563, BI563, BG563, BI563, "rx")/10</f>
        <v>16.91131201300167</v>
      </c>
      <c r="BS563" s="77" cm="1">
        <f t="array" ref="BS563">_xll.DCEPropSectI(BF563, BH563, BG563, BI563, BG563, BI563, "ry")/10</f>
        <v>5.1070747638622018</v>
      </c>
      <c r="BT563" s="5">
        <f t="shared" si="77"/>
        <v>191.58773710218577</v>
      </c>
      <c r="BU563" s="5">
        <f t="shared" si="78"/>
        <v>634.41405301647956</v>
      </c>
      <c r="BV563" s="5">
        <f t="shared" si="79"/>
        <v>634.41405301647956</v>
      </c>
      <c r="BW563" s="71">
        <f t="shared" si="80"/>
        <v>400</v>
      </c>
      <c r="BX563" s="78" cm="1">
        <f t="array" ref="BX563">IF(BM563&gt;0,1,_xll.DCETCVN5575FactorPhi7121(BV563*SQRT($K$17/206000),"b"))</f>
        <v>1</v>
      </c>
      <c r="BY563" s="64">
        <f t="shared" si="81"/>
        <v>0.165408047717577</v>
      </c>
      <c r="BZ563" s="3" t="str">
        <f t="shared" si="82"/>
        <v>Check</v>
      </c>
    </row>
    <row r="564" spans="1:78">
      <c r="A564" s="76"/>
      <c r="B564" s="76"/>
      <c r="C564" s="125"/>
      <c r="D564" s="125"/>
      <c r="E564" s="71"/>
      <c r="F564" s="71"/>
      <c r="G564" s="71"/>
      <c r="H564" s="126"/>
      <c r="I564" s="125"/>
      <c r="J564" s="123"/>
      <c r="K564" s="12"/>
      <c r="L564" s="117"/>
      <c r="M564" s="12"/>
      <c r="N564" s="117"/>
      <c r="O564" s="117"/>
      <c r="P564" s="117"/>
      <c r="Q564" s="118"/>
      <c r="R564" s="118"/>
      <c r="S564" s="118"/>
      <c r="T564" s="12"/>
      <c r="U564" s="118"/>
      <c r="V564" s="118"/>
      <c r="W564" s="12"/>
      <c r="X564" s="119"/>
      <c r="Y564" s="120"/>
      <c r="Z564" s="12"/>
      <c r="BA564" s="70" t="s">
        <v>205</v>
      </c>
      <c r="BB564" s="71" t="s">
        <v>210</v>
      </c>
      <c r="BC564" s="71" t="s">
        <v>207</v>
      </c>
      <c r="BD564" s="71">
        <v>20.5</v>
      </c>
      <c r="BE564" s="71">
        <v>36</v>
      </c>
      <c r="BF564" s="71">
        <v>390</v>
      </c>
      <c r="BG564" s="71">
        <v>212</v>
      </c>
      <c r="BH564" s="71">
        <v>5</v>
      </c>
      <c r="BI564" s="71">
        <v>10</v>
      </c>
      <c r="BJ564" s="12" t="str" cm="1">
        <f t="array" ref="BJ564">_xll.Dce_Name_SectI(BF564, BF564, BG564, BH564, BI564, "x", "-", $AX$11)</f>
        <v>390x212x5x10</v>
      </c>
      <c r="BK564" s="77" cm="1">
        <f t="array" ref="BK564">_xll.DCEPropSectI(BF564, BH564, BG564, BI564, BG564, BI564, "A")/100</f>
        <v>60.9</v>
      </c>
      <c r="BL564" s="70" t="s">
        <v>220</v>
      </c>
      <c r="BM564" s="70">
        <v>211.54035222600919</v>
      </c>
      <c r="BN564" s="71">
        <v>0.9</v>
      </c>
      <c r="BO564" s="77">
        <f t="shared" si="75"/>
        <v>32.4</v>
      </c>
      <c r="BP564" s="71">
        <v>0.9</v>
      </c>
      <c r="BQ564" s="77">
        <f t="shared" si="76"/>
        <v>32.4</v>
      </c>
      <c r="BR564" s="77" cm="1">
        <f t="array" ref="BR564">_xll.DCEPropSectI(BF564, BH564, BG564, BI564, BG564, BI564, "rx")/10</f>
        <v>16.91131201300167</v>
      </c>
      <c r="BS564" s="77" cm="1">
        <f t="array" ref="BS564">_xll.DCEPropSectI(BF564, BH564, BG564, BI564, BG564, BI564, "ry")/10</f>
        <v>5.1070747638622018</v>
      </c>
      <c r="BT564" s="5">
        <f t="shared" si="77"/>
        <v>191.58773710218577</v>
      </c>
      <c r="BU564" s="5">
        <f t="shared" si="78"/>
        <v>634.41405301647956</v>
      </c>
      <c r="BV564" s="5">
        <f t="shared" si="79"/>
        <v>634.41405301647956</v>
      </c>
      <c r="BW564" s="71">
        <f t="shared" si="80"/>
        <v>400</v>
      </c>
      <c r="BX564" s="78" cm="1">
        <f t="array" ref="BX564">IF(BM564&gt;0,1,_xll.DCETCVN5575FactorPhi7121(BV564*SQRT($K$17/206000),"b"))</f>
        <v>1</v>
      </c>
      <c r="BY564" s="64">
        <f t="shared" si="81"/>
        <v>0.165408047717577</v>
      </c>
      <c r="BZ564" s="3" t="str">
        <f t="shared" si="82"/>
        <v>Check</v>
      </c>
    </row>
    <row r="565" spans="1:78">
      <c r="A565" s="76"/>
      <c r="B565" s="76"/>
      <c r="C565" s="125"/>
      <c r="D565" s="125"/>
      <c r="E565" s="71"/>
      <c r="F565" s="71"/>
      <c r="G565" s="71"/>
      <c r="H565" s="126"/>
      <c r="I565" s="125"/>
      <c r="J565" s="123"/>
      <c r="K565" s="12"/>
      <c r="L565" s="117"/>
      <c r="M565" s="12"/>
      <c r="N565" s="117"/>
      <c r="O565" s="117"/>
      <c r="P565" s="117"/>
      <c r="Q565" s="118"/>
      <c r="R565" s="118"/>
      <c r="S565" s="118"/>
      <c r="T565" s="12"/>
      <c r="U565" s="118"/>
      <c r="V565" s="118"/>
      <c r="W565" s="12"/>
      <c r="X565" s="119"/>
      <c r="Y565" s="120"/>
      <c r="Z565" s="12"/>
      <c r="BA565" s="70" t="s">
        <v>205</v>
      </c>
      <c r="BB565" s="71" t="s">
        <v>210</v>
      </c>
      <c r="BC565" s="71" t="s">
        <v>207</v>
      </c>
      <c r="BD565" s="71">
        <v>21</v>
      </c>
      <c r="BE565" s="71">
        <v>36</v>
      </c>
      <c r="BF565" s="71">
        <v>390</v>
      </c>
      <c r="BG565" s="71">
        <v>212</v>
      </c>
      <c r="BH565" s="71">
        <v>5</v>
      </c>
      <c r="BI565" s="71">
        <v>10</v>
      </c>
      <c r="BJ565" s="12" t="str" cm="1">
        <f t="array" ref="BJ565">_xll.Dce_Name_SectI(BF565, BF565, BG565, BH565, BI565, "x", "-", $AX$11)</f>
        <v>390x212x5x10</v>
      </c>
      <c r="BK565" s="77" cm="1">
        <f t="array" ref="BK565">_xll.DCEPropSectI(BF565, BH565, BG565, BI565, BG565, BI565, "A")/100</f>
        <v>60.9</v>
      </c>
      <c r="BL565" s="70" t="s">
        <v>220</v>
      </c>
      <c r="BM565" s="70">
        <v>211.54035222600919</v>
      </c>
      <c r="BN565" s="71">
        <v>0.9</v>
      </c>
      <c r="BO565" s="77">
        <f t="shared" si="75"/>
        <v>32.4</v>
      </c>
      <c r="BP565" s="71">
        <v>0.9</v>
      </c>
      <c r="BQ565" s="77">
        <f t="shared" si="76"/>
        <v>32.4</v>
      </c>
      <c r="BR565" s="77" cm="1">
        <f t="array" ref="BR565">_xll.DCEPropSectI(BF565, BH565, BG565, BI565, BG565, BI565, "rx")/10</f>
        <v>16.91131201300167</v>
      </c>
      <c r="BS565" s="77" cm="1">
        <f t="array" ref="BS565">_xll.DCEPropSectI(BF565, BH565, BG565, BI565, BG565, BI565, "ry")/10</f>
        <v>5.1070747638622018</v>
      </c>
      <c r="BT565" s="5">
        <f t="shared" si="77"/>
        <v>191.58773710218577</v>
      </c>
      <c r="BU565" s="5">
        <f t="shared" si="78"/>
        <v>634.41405301647956</v>
      </c>
      <c r="BV565" s="5">
        <f t="shared" si="79"/>
        <v>634.41405301647956</v>
      </c>
      <c r="BW565" s="71">
        <f t="shared" si="80"/>
        <v>400</v>
      </c>
      <c r="BX565" s="78" cm="1">
        <f t="array" ref="BX565">IF(BM565&gt;0,1,_xll.DCETCVN5575FactorPhi7121(BV565*SQRT($K$17/206000),"b"))</f>
        <v>1</v>
      </c>
      <c r="BY565" s="64">
        <f t="shared" si="81"/>
        <v>0.165408047717577</v>
      </c>
      <c r="BZ565" s="3" t="str">
        <f t="shared" si="82"/>
        <v>Check</v>
      </c>
    </row>
    <row r="566" spans="1:78">
      <c r="A566" s="76"/>
      <c r="B566" s="76"/>
      <c r="C566" s="125"/>
      <c r="D566" s="125"/>
      <c r="E566" s="71"/>
      <c r="F566" s="71"/>
      <c r="G566" s="71"/>
      <c r="H566" s="126"/>
      <c r="I566" s="125"/>
      <c r="J566" s="123"/>
      <c r="K566" s="12"/>
      <c r="L566" s="117"/>
      <c r="M566" s="12"/>
      <c r="N566" s="117"/>
      <c r="O566" s="117"/>
      <c r="P566" s="117"/>
      <c r="Q566" s="118"/>
      <c r="R566" s="118"/>
      <c r="S566" s="118"/>
      <c r="T566" s="12"/>
      <c r="U566" s="118"/>
      <c r="V566" s="118"/>
      <c r="W566" s="12"/>
      <c r="X566" s="119"/>
      <c r="Y566" s="120"/>
      <c r="Z566" s="12"/>
      <c r="BA566" s="70" t="s">
        <v>205</v>
      </c>
      <c r="BB566" s="71" t="s">
        <v>210</v>
      </c>
      <c r="BC566" s="71" t="s">
        <v>207</v>
      </c>
      <c r="BD566" s="71">
        <v>21.5</v>
      </c>
      <c r="BE566" s="71">
        <v>36</v>
      </c>
      <c r="BF566" s="71">
        <v>390</v>
      </c>
      <c r="BG566" s="71">
        <v>212</v>
      </c>
      <c r="BH566" s="71">
        <v>5</v>
      </c>
      <c r="BI566" s="71">
        <v>10</v>
      </c>
      <c r="BJ566" s="12" t="str" cm="1">
        <f t="array" ref="BJ566">_xll.Dce_Name_SectI(BF566, BF566, BG566, BH566, BI566, "x", "-", $AX$11)</f>
        <v>390x212x5x10</v>
      </c>
      <c r="BK566" s="77" cm="1">
        <f t="array" ref="BK566">_xll.DCEPropSectI(BF566, BH566, BG566, BI566, BG566, BI566, "A")/100</f>
        <v>60.9</v>
      </c>
      <c r="BL566" s="70" t="s">
        <v>220</v>
      </c>
      <c r="BM566" s="70">
        <v>211.54035222600919</v>
      </c>
      <c r="BN566" s="71">
        <v>0.9</v>
      </c>
      <c r="BO566" s="77">
        <f t="shared" si="75"/>
        <v>32.4</v>
      </c>
      <c r="BP566" s="71">
        <v>0.9</v>
      </c>
      <c r="BQ566" s="77">
        <f t="shared" si="76"/>
        <v>32.4</v>
      </c>
      <c r="BR566" s="77" cm="1">
        <f t="array" ref="BR566">_xll.DCEPropSectI(BF566, BH566, BG566, BI566, BG566, BI566, "rx")/10</f>
        <v>16.91131201300167</v>
      </c>
      <c r="BS566" s="77" cm="1">
        <f t="array" ref="BS566">_xll.DCEPropSectI(BF566, BH566, BG566, BI566, BG566, BI566, "ry")/10</f>
        <v>5.1070747638622018</v>
      </c>
      <c r="BT566" s="5">
        <f t="shared" si="77"/>
        <v>191.58773710218577</v>
      </c>
      <c r="BU566" s="5">
        <f t="shared" si="78"/>
        <v>634.41405301647956</v>
      </c>
      <c r="BV566" s="5">
        <f t="shared" si="79"/>
        <v>634.41405301647956</v>
      </c>
      <c r="BW566" s="71">
        <f t="shared" si="80"/>
        <v>400</v>
      </c>
      <c r="BX566" s="78" cm="1">
        <f t="array" ref="BX566">IF(BM566&gt;0,1,_xll.DCETCVN5575FactorPhi7121(BV566*SQRT($K$17/206000),"b"))</f>
        <v>1</v>
      </c>
      <c r="BY566" s="64">
        <f t="shared" si="81"/>
        <v>0.165408047717577</v>
      </c>
      <c r="BZ566" s="3" t="str">
        <f t="shared" si="82"/>
        <v>Check</v>
      </c>
    </row>
    <row r="567" spans="1:78">
      <c r="A567" s="76"/>
      <c r="B567" s="76"/>
      <c r="C567" s="125"/>
      <c r="D567" s="125"/>
      <c r="E567" s="71"/>
      <c r="F567" s="71"/>
      <c r="G567" s="71"/>
      <c r="H567" s="126"/>
      <c r="I567" s="125"/>
      <c r="J567" s="123"/>
      <c r="K567" s="12"/>
      <c r="L567" s="117"/>
      <c r="M567" s="12"/>
      <c r="N567" s="117"/>
      <c r="O567" s="117"/>
      <c r="P567" s="117"/>
      <c r="Q567" s="118"/>
      <c r="R567" s="118"/>
      <c r="S567" s="118"/>
      <c r="T567" s="12"/>
      <c r="U567" s="118"/>
      <c r="V567" s="118"/>
      <c r="W567" s="12"/>
      <c r="X567" s="119"/>
      <c r="Y567" s="120"/>
      <c r="Z567" s="12"/>
      <c r="BA567" s="70" t="s">
        <v>205</v>
      </c>
      <c r="BB567" s="71" t="s">
        <v>210</v>
      </c>
      <c r="BC567" s="71" t="s">
        <v>207</v>
      </c>
      <c r="BD567" s="71">
        <v>22</v>
      </c>
      <c r="BE567" s="71">
        <v>36</v>
      </c>
      <c r="BF567" s="71">
        <v>390</v>
      </c>
      <c r="BG567" s="71">
        <v>212</v>
      </c>
      <c r="BH567" s="71">
        <v>5</v>
      </c>
      <c r="BI567" s="71">
        <v>10</v>
      </c>
      <c r="BJ567" s="12" t="str" cm="1">
        <f t="array" ref="BJ567">_xll.Dce_Name_SectI(BF567, BF567, BG567, BH567, BI567, "x", "-", $AX$11)</f>
        <v>390x212x5x10</v>
      </c>
      <c r="BK567" s="77" cm="1">
        <f t="array" ref="BK567">_xll.DCEPropSectI(BF567, BH567, BG567, BI567, BG567, BI567, "A")/100</f>
        <v>60.9</v>
      </c>
      <c r="BL567" s="70" t="s">
        <v>220</v>
      </c>
      <c r="BM567" s="70">
        <v>211.54035222600919</v>
      </c>
      <c r="BN567" s="71">
        <v>0.9</v>
      </c>
      <c r="BO567" s="77">
        <f t="shared" si="75"/>
        <v>32.4</v>
      </c>
      <c r="BP567" s="71">
        <v>0.9</v>
      </c>
      <c r="BQ567" s="77">
        <f t="shared" si="76"/>
        <v>32.4</v>
      </c>
      <c r="BR567" s="77" cm="1">
        <f t="array" ref="BR567">_xll.DCEPropSectI(BF567, BH567, BG567, BI567, BG567, BI567, "rx")/10</f>
        <v>16.91131201300167</v>
      </c>
      <c r="BS567" s="77" cm="1">
        <f t="array" ref="BS567">_xll.DCEPropSectI(BF567, BH567, BG567, BI567, BG567, BI567, "ry")/10</f>
        <v>5.1070747638622018</v>
      </c>
      <c r="BT567" s="5">
        <f t="shared" si="77"/>
        <v>191.58773710218577</v>
      </c>
      <c r="BU567" s="5">
        <f t="shared" si="78"/>
        <v>634.41405301647956</v>
      </c>
      <c r="BV567" s="5">
        <f t="shared" si="79"/>
        <v>634.41405301647956</v>
      </c>
      <c r="BW567" s="71">
        <f t="shared" si="80"/>
        <v>400</v>
      </c>
      <c r="BX567" s="78" cm="1">
        <f t="array" ref="BX567">IF(BM567&gt;0,1,_xll.DCETCVN5575FactorPhi7121(BV567*SQRT($K$17/206000),"b"))</f>
        <v>1</v>
      </c>
      <c r="BY567" s="64">
        <f t="shared" si="81"/>
        <v>0.165408047717577</v>
      </c>
      <c r="BZ567" s="3" t="str">
        <f t="shared" si="82"/>
        <v>Check</v>
      </c>
    </row>
    <row r="568" spans="1:78">
      <c r="A568" s="76"/>
      <c r="B568" s="76"/>
      <c r="C568" s="125"/>
      <c r="D568" s="125"/>
      <c r="E568" s="71"/>
      <c r="F568" s="71"/>
      <c r="G568" s="71"/>
      <c r="H568" s="126"/>
      <c r="I568" s="125"/>
      <c r="J568" s="123"/>
      <c r="K568" s="12"/>
      <c r="L568" s="117"/>
      <c r="M568" s="12"/>
      <c r="N568" s="117"/>
      <c r="O568" s="117"/>
      <c r="P568" s="117"/>
      <c r="Q568" s="118"/>
      <c r="R568" s="118"/>
      <c r="S568" s="118"/>
      <c r="T568" s="12"/>
      <c r="U568" s="118"/>
      <c r="V568" s="118"/>
      <c r="W568" s="12"/>
      <c r="X568" s="119"/>
      <c r="Y568" s="120"/>
      <c r="Z568" s="12"/>
      <c r="BA568" s="70" t="s">
        <v>205</v>
      </c>
      <c r="BB568" s="71" t="s">
        <v>210</v>
      </c>
      <c r="BC568" s="71" t="s">
        <v>207</v>
      </c>
      <c r="BD568" s="71">
        <v>22.5</v>
      </c>
      <c r="BE568" s="71">
        <v>36</v>
      </c>
      <c r="BF568" s="71">
        <v>390</v>
      </c>
      <c r="BG568" s="71">
        <v>212</v>
      </c>
      <c r="BH568" s="71">
        <v>5</v>
      </c>
      <c r="BI568" s="71">
        <v>10</v>
      </c>
      <c r="BJ568" s="12" t="str" cm="1">
        <f t="array" ref="BJ568">_xll.Dce_Name_SectI(BF568, BF568, BG568, BH568, BI568, "x", "-", $AX$11)</f>
        <v>390x212x5x10</v>
      </c>
      <c r="BK568" s="77" cm="1">
        <f t="array" ref="BK568">_xll.DCEPropSectI(BF568, BH568, BG568, BI568, BG568, BI568, "A")/100</f>
        <v>60.9</v>
      </c>
      <c r="BL568" s="70" t="s">
        <v>220</v>
      </c>
      <c r="BM568" s="70">
        <v>211.54035222600919</v>
      </c>
      <c r="BN568" s="71">
        <v>0.9</v>
      </c>
      <c r="BO568" s="77">
        <f t="shared" si="75"/>
        <v>32.4</v>
      </c>
      <c r="BP568" s="71">
        <v>0.9</v>
      </c>
      <c r="BQ568" s="77">
        <f t="shared" si="76"/>
        <v>32.4</v>
      </c>
      <c r="BR568" s="77" cm="1">
        <f t="array" ref="BR568">_xll.DCEPropSectI(BF568, BH568, BG568, BI568, BG568, BI568, "rx")/10</f>
        <v>16.91131201300167</v>
      </c>
      <c r="BS568" s="77" cm="1">
        <f t="array" ref="BS568">_xll.DCEPropSectI(BF568, BH568, BG568, BI568, BG568, BI568, "ry")/10</f>
        <v>5.1070747638622018</v>
      </c>
      <c r="BT568" s="5">
        <f t="shared" si="77"/>
        <v>191.58773710218577</v>
      </c>
      <c r="BU568" s="5">
        <f t="shared" si="78"/>
        <v>634.41405301647956</v>
      </c>
      <c r="BV568" s="5">
        <f t="shared" si="79"/>
        <v>634.41405301647956</v>
      </c>
      <c r="BW568" s="71">
        <f t="shared" si="80"/>
        <v>400</v>
      </c>
      <c r="BX568" s="78" cm="1">
        <f t="array" ref="BX568">IF(BM568&gt;0,1,_xll.DCETCVN5575FactorPhi7121(BV568*SQRT($K$17/206000),"b"))</f>
        <v>1</v>
      </c>
      <c r="BY568" s="64">
        <f t="shared" si="81"/>
        <v>0.165408047717577</v>
      </c>
      <c r="BZ568" s="3" t="str">
        <f t="shared" si="82"/>
        <v>Check</v>
      </c>
    </row>
    <row r="569" spans="1:78">
      <c r="A569" s="76"/>
      <c r="B569" s="76"/>
      <c r="C569" s="125"/>
      <c r="D569" s="125"/>
      <c r="E569" s="71"/>
      <c r="F569" s="71"/>
      <c r="G569" s="71"/>
      <c r="H569" s="126"/>
      <c r="I569" s="125"/>
      <c r="J569" s="123"/>
      <c r="K569" s="12"/>
      <c r="L569" s="117"/>
      <c r="M569" s="12"/>
      <c r="N569" s="117"/>
      <c r="O569" s="117"/>
      <c r="P569" s="117"/>
      <c r="Q569" s="118"/>
      <c r="R569" s="118"/>
      <c r="S569" s="118"/>
      <c r="T569" s="12"/>
      <c r="U569" s="118"/>
      <c r="V569" s="118"/>
      <c r="W569" s="12"/>
      <c r="X569" s="119"/>
      <c r="Y569" s="120"/>
      <c r="Z569" s="12"/>
      <c r="BA569" s="70" t="s">
        <v>205</v>
      </c>
      <c r="BB569" s="71" t="s">
        <v>210</v>
      </c>
      <c r="BC569" s="71" t="s">
        <v>207</v>
      </c>
      <c r="BD569" s="71">
        <v>22.5</v>
      </c>
      <c r="BE569" s="71">
        <v>36</v>
      </c>
      <c r="BF569" s="71">
        <v>390</v>
      </c>
      <c r="BG569" s="71">
        <v>212</v>
      </c>
      <c r="BH569" s="71">
        <v>5</v>
      </c>
      <c r="BI569" s="71">
        <v>10</v>
      </c>
      <c r="BJ569" s="12" t="str" cm="1">
        <f t="array" ref="BJ569">_xll.Dce_Name_SectI(BF569, BF569, BG569, BH569, BI569, "x", "-", $AX$11)</f>
        <v>390x212x5x10</v>
      </c>
      <c r="BK569" s="77" cm="1">
        <f t="array" ref="BK569">_xll.DCEPropSectI(BF569, BH569, BG569, BI569, BG569, BI569, "A")/100</f>
        <v>60.9</v>
      </c>
      <c r="BL569" s="70" t="s">
        <v>220</v>
      </c>
      <c r="BM569" s="70">
        <v>89.48233973189825</v>
      </c>
      <c r="BN569" s="71">
        <v>0.9</v>
      </c>
      <c r="BO569" s="77">
        <f t="shared" si="75"/>
        <v>32.4</v>
      </c>
      <c r="BP569" s="71">
        <v>0.9</v>
      </c>
      <c r="BQ569" s="77">
        <f t="shared" si="76"/>
        <v>32.4</v>
      </c>
      <c r="BR569" s="77" cm="1">
        <f t="array" ref="BR569">_xll.DCEPropSectI(BF569, BH569, BG569, BI569, BG569, BI569, "rx")/10</f>
        <v>16.91131201300167</v>
      </c>
      <c r="BS569" s="77" cm="1">
        <f t="array" ref="BS569">_xll.DCEPropSectI(BF569, BH569, BG569, BI569, BG569, BI569, "ry")/10</f>
        <v>5.1070747638622018</v>
      </c>
      <c r="BT569" s="5">
        <f t="shared" si="77"/>
        <v>191.58773710218577</v>
      </c>
      <c r="BU569" s="5">
        <f t="shared" si="78"/>
        <v>634.41405301647956</v>
      </c>
      <c r="BV569" s="5">
        <f t="shared" si="79"/>
        <v>634.41405301647956</v>
      </c>
      <c r="BW569" s="71">
        <f t="shared" si="80"/>
        <v>400</v>
      </c>
      <c r="BX569" s="78" cm="1">
        <f t="array" ref="BX569">IF(BM569&gt;0,1,_xll.DCETCVN5575FactorPhi7121(BV569*SQRT($K$17/206000),"b"))</f>
        <v>1</v>
      </c>
      <c r="BY569" s="64">
        <f t="shared" si="81"/>
        <v>6.9968206843301475E-2</v>
      </c>
      <c r="BZ569" s="3" t="str">
        <f t="shared" si="82"/>
        <v>Check</v>
      </c>
    </row>
    <row r="570" spans="1:78">
      <c r="A570" s="76"/>
      <c r="B570" s="76"/>
      <c r="C570" s="125"/>
      <c r="D570" s="125"/>
      <c r="E570" s="71"/>
      <c r="F570" s="71"/>
      <c r="G570" s="71"/>
      <c r="H570" s="126"/>
      <c r="I570" s="125"/>
      <c r="J570" s="123"/>
      <c r="K570" s="12"/>
      <c r="L570" s="117"/>
      <c r="M570" s="12"/>
      <c r="N570" s="117"/>
      <c r="O570" s="117"/>
      <c r="P570" s="117"/>
      <c r="Q570" s="118"/>
      <c r="R570" s="118"/>
      <c r="S570" s="118"/>
      <c r="T570" s="12"/>
      <c r="U570" s="118"/>
      <c r="V570" s="118"/>
      <c r="W570" s="12"/>
      <c r="X570" s="119"/>
      <c r="Y570" s="120"/>
      <c r="Z570" s="12"/>
      <c r="BA570" s="70" t="s">
        <v>205</v>
      </c>
      <c r="BB570" s="71" t="s">
        <v>210</v>
      </c>
      <c r="BC570" s="71" t="s">
        <v>207</v>
      </c>
      <c r="BD570" s="71">
        <v>23</v>
      </c>
      <c r="BE570" s="71">
        <v>36</v>
      </c>
      <c r="BF570" s="71">
        <v>390</v>
      </c>
      <c r="BG570" s="71">
        <v>212</v>
      </c>
      <c r="BH570" s="71">
        <v>5</v>
      </c>
      <c r="BI570" s="71">
        <v>10</v>
      </c>
      <c r="BJ570" s="12" t="str" cm="1">
        <f t="array" ref="BJ570">_xll.Dce_Name_SectI(BF570, BF570, BG570, BH570, BI570, "x", "-", $AX$11)</f>
        <v>390x212x5x10</v>
      </c>
      <c r="BK570" s="77" cm="1">
        <f t="array" ref="BK570">_xll.DCEPropSectI(BF570, BH570, BG570, BI570, BG570, BI570, "A")/100</f>
        <v>60.9</v>
      </c>
      <c r="BL570" s="70" t="s">
        <v>220</v>
      </c>
      <c r="BM570" s="70">
        <v>89.48233973189825</v>
      </c>
      <c r="BN570" s="71">
        <v>0.9</v>
      </c>
      <c r="BO570" s="77">
        <f t="shared" si="75"/>
        <v>32.4</v>
      </c>
      <c r="BP570" s="71">
        <v>0.9</v>
      </c>
      <c r="BQ570" s="77">
        <f t="shared" si="76"/>
        <v>32.4</v>
      </c>
      <c r="BR570" s="77" cm="1">
        <f t="array" ref="BR570">_xll.DCEPropSectI(BF570, BH570, BG570, BI570, BG570, BI570, "rx")/10</f>
        <v>16.91131201300167</v>
      </c>
      <c r="BS570" s="77" cm="1">
        <f t="array" ref="BS570">_xll.DCEPropSectI(BF570, BH570, BG570, BI570, BG570, BI570, "ry")/10</f>
        <v>5.1070747638622018</v>
      </c>
      <c r="BT570" s="5">
        <f t="shared" si="77"/>
        <v>191.58773710218577</v>
      </c>
      <c r="BU570" s="5">
        <f t="shared" si="78"/>
        <v>634.41405301647956</v>
      </c>
      <c r="BV570" s="5">
        <f t="shared" si="79"/>
        <v>634.41405301647956</v>
      </c>
      <c r="BW570" s="71">
        <f t="shared" si="80"/>
        <v>400</v>
      </c>
      <c r="BX570" s="78" cm="1">
        <f t="array" ref="BX570">IF(BM570&gt;0,1,_xll.DCETCVN5575FactorPhi7121(BV570*SQRT($K$17/206000),"b"))</f>
        <v>1</v>
      </c>
      <c r="BY570" s="64">
        <f t="shared" si="81"/>
        <v>6.9968206843301475E-2</v>
      </c>
      <c r="BZ570" s="3" t="str">
        <f t="shared" si="82"/>
        <v>Check</v>
      </c>
    </row>
    <row r="571" spans="1:78">
      <c r="A571" s="76"/>
      <c r="B571" s="76"/>
      <c r="C571" s="125"/>
      <c r="D571" s="125"/>
      <c r="E571" s="71"/>
      <c r="F571" s="71"/>
      <c r="G571" s="71"/>
      <c r="H571" s="126"/>
      <c r="I571" s="125"/>
      <c r="J571" s="123"/>
      <c r="K571" s="12"/>
      <c r="L571" s="117"/>
      <c r="M571" s="12"/>
      <c r="N571" s="117"/>
      <c r="O571" s="117"/>
      <c r="P571" s="117"/>
      <c r="Q571" s="118"/>
      <c r="R571" s="118"/>
      <c r="S571" s="118"/>
      <c r="T571" s="12"/>
      <c r="U571" s="118"/>
      <c r="V571" s="118"/>
      <c r="W571" s="12"/>
      <c r="X571" s="119"/>
      <c r="Y571" s="120"/>
      <c r="Z571" s="12"/>
      <c r="BA571" s="70" t="s">
        <v>205</v>
      </c>
      <c r="BB571" s="71" t="s">
        <v>210</v>
      </c>
      <c r="BC571" s="71" t="s">
        <v>207</v>
      </c>
      <c r="BD571" s="71">
        <v>23.5</v>
      </c>
      <c r="BE571" s="71">
        <v>36</v>
      </c>
      <c r="BF571" s="71">
        <v>390</v>
      </c>
      <c r="BG571" s="71">
        <v>212</v>
      </c>
      <c r="BH571" s="71">
        <v>5</v>
      </c>
      <c r="BI571" s="71">
        <v>10</v>
      </c>
      <c r="BJ571" s="12" t="str" cm="1">
        <f t="array" ref="BJ571">_xll.Dce_Name_SectI(BF571, BF571, BG571, BH571, BI571, "x", "-", $AX$11)</f>
        <v>390x212x5x10</v>
      </c>
      <c r="BK571" s="77" cm="1">
        <f t="array" ref="BK571">_xll.DCEPropSectI(BF571, BH571, BG571, BI571, BG571, BI571, "A")/100</f>
        <v>60.9</v>
      </c>
      <c r="BL571" s="70" t="s">
        <v>220</v>
      </c>
      <c r="BM571" s="70">
        <v>89.48233973189825</v>
      </c>
      <c r="BN571" s="71">
        <v>0.9</v>
      </c>
      <c r="BO571" s="77">
        <f t="shared" si="75"/>
        <v>32.4</v>
      </c>
      <c r="BP571" s="71">
        <v>0.9</v>
      </c>
      <c r="BQ571" s="77">
        <f t="shared" si="76"/>
        <v>32.4</v>
      </c>
      <c r="BR571" s="77" cm="1">
        <f t="array" ref="BR571">_xll.DCEPropSectI(BF571, BH571, BG571, BI571, BG571, BI571, "rx")/10</f>
        <v>16.91131201300167</v>
      </c>
      <c r="BS571" s="77" cm="1">
        <f t="array" ref="BS571">_xll.DCEPropSectI(BF571, BH571, BG571, BI571, BG571, BI571, "ry")/10</f>
        <v>5.1070747638622018</v>
      </c>
      <c r="BT571" s="5">
        <f t="shared" si="77"/>
        <v>191.58773710218577</v>
      </c>
      <c r="BU571" s="5">
        <f t="shared" si="78"/>
        <v>634.41405301647956</v>
      </c>
      <c r="BV571" s="5">
        <f t="shared" si="79"/>
        <v>634.41405301647956</v>
      </c>
      <c r="BW571" s="71">
        <f t="shared" si="80"/>
        <v>400</v>
      </c>
      <c r="BX571" s="78" cm="1">
        <f t="array" ref="BX571">IF(BM571&gt;0,1,_xll.DCETCVN5575FactorPhi7121(BV571*SQRT($K$17/206000),"b"))</f>
        <v>1</v>
      </c>
      <c r="BY571" s="64">
        <f t="shared" si="81"/>
        <v>6.9968206843301475E-2</v>
      </c>
      <c r="BZ571" s="3" t="str">
        <f t="shared" si="82"/>
        <v>Check</v>
      </c>
    </row>
    <row r="572" spans="1:78">
      <c r="A572" s="76"/>
      <c r="B572" s="76"/>
      <c r="C572" s="125"/>
      <c r="D572" s="125"/>
      <c r="E572" s="71"/>
      <c r="F572" s="71"/>
      <c r="G572" s="71"/>
      <c r="H572" s="126"/>
      <c r="I572" s="125"/>
      <c r="J572" s="123"/>
      <c r="K572" s="12"/>
      <c r="L572" s="117"/>
      <c r="M572" s="12"/>
      <c r="N572" s="117"/>
      <c r="O572" s="117"/>
      <c r="P572" s="117"/>
      <c r="Q572" s="118"/>
      <c r="R572" s="118"/>
      <c r="S572" s="118"/>
      <c r="T572" s="12"/>
      <c r="U572" s="118"/>
      <c r="V572" s="118"/>
      <c r="W572" s="12"/>
      <c r="X572" s="119"/>
      <c r="Y572" s="120"/>
      <c r="Z572" s="12"/>
      <c r="BA572" s="70" t="s">
        <v>205</v>
      </c>
      <c r="BB572" s="71" t="s">
        <v>210</v>
      </c>
      <c r="BC572" s="71" t="s">
        <v>207</v>
      </c>
      <c r="BD572" s="71">
        <v>24</v>
      </c>
      <c r="BE572" s="71">
        <v>36</v>
      </c>
      <c r="BF572" s="71">
        <v>390</v>
      </c>
      <c r="BG572" s="71">
        <v>212</v>
      </c>
      <c r="BH572" s="71">
        <v>5</v>
      </c>
      <c r="BI572" s="71">
        <v>10</v>
      </c>
      <c r="BJ572" s="12" t="str" cm="1">
        <f t="array" ref="BJ572">_xll.Dce_Name_SectI(BF572, BF572, BG572, BH572, BI572, "x", "-", $AX$11)</f>
        <v>390x212x5x10</v>
      </c>
      <c r="BK572" s="77" cm="1">
        <f t="array" ref="BK572">_xll.DCEPropSectI(BF572, BH572, BG572, BI572, BG572, BI572, "A")/100</f>
        <v>60.9</v>
      </c>
      <c r="BL572" s="70" t="s">
        <v>220</v>
      </c>
      <c r="BM572" s="70">
        <v>89.48233973189825</v>
      </c>
      <c r="BN572" s="71">
        <v>0.9</v>
      </c>
      <c r="BO572" s="77">
        <f t="shared" si="75"/>
        <v>32.4</v>
      </c>
      <c r="BP572" s="71">
        <v>0.9</v>
      </c>
      <c r="BQ572" s="77">
        <f t="shared" si="76"/>
        <v>32.4</v>
      </c>
      <c r="BR572" s="77" cm="1">
        <f t="array" ref="BR572">_xll.DCEPropSectI(BF572, BH572, BG572, BI572, BG572, BI572, "rx")/10</f>
        <v>16.91131201300167</v>
      </c>
      <c r="BS572" s="77" cm="1">
        <f t="array" ref="BS572">_xll.DCEPropSectI(BF572, BH572, BG572, BI572, BG572, BI572, "ry")/10</f>
        <v>5.1070747638622018</v>
      </c>
      <c r="BT572" s="5">
        <f t="shared" si="77"/>
        <v>191.58773710218577</v>
      </c>
      <c r="BU572" s="5">
        <f t="shared" si="78"/>
        <v>634.41405301647956</v>
      </c>
      <c r="BV572" s="5">
        <f t="shared" si="79"/>
        <v>634.41405301647956</v>
      </c>
      <c r="BW572" s="71">
        <f t="shared" si="80"/>
        <v>400</v>
      </c>
      <c r="BX572" s="78" cm="1">
        <f t="array" ref="BX572">IF(BM572&gt;0,1,_xll.DCETCVN5575FactorPhi7121(BV572*SQRT($K$17/206000),"b"))</f>
        <v>1</v>
      </c>
      <c r="BY572" s="64">
        <f t="shared" si="81"/>
        <v>6.9968206843301475E-2</v>
      </c>
      <c r="BZ572" s="3" t="str">
        <f t="shared" si="82"/>
        <v>Check</v>
      </c>
    </row>
    <row r="573" spans="1:78">
      <c r="A573" s="76"/>
      <c r="B573" s="76"/>
      <c r="C573" s="125"/>
      <c r="D573" s="125"/>
      <c r="E573" s="71"/>
      <c r="F573" s="71"/>
      <c r="G573" s="71"/>
      <c r="H573" s="126"/>
      <c r="I573" s="125"/>
      <c r="J573" s="123"/>
      <c r="K573" s="12"/>
      <c r="L573" s="117"/>
      <c r="M573" s="12"/>
      <c r="N573" s="117"/>
      <c r="O573" s="117"/>
      <c r="P573" s="117"/>
      <c r="Q573" s="118"/>
      <c r="R573" s="118"/>
      <c r="S573" s="118"/>
      <c r="T573" s="12"/>
      <c r="U573" s="118"/>
      <c r="V573" s="118"/>
      <c r="W573" s="12"/>
      <c r="X573" s="119"/>
      <c r="Y573" s="120"/>
      <c r="Z573" s="12"/>
      <c r="BA573" s="70" t="s">
        <v>205</v>
      </c>
      <c r="BB573" s="71" t="s">
        <v>210</v>
      </c>
      <c r="BC573" s="71" t="s">
        <v>207</v>
      </c>
      <c r="BD573" s="71">
        <v>24.5</v>
      </c>
      <c r="BE573" s="71">
        <v>36</v>
      </c>
      <c r="BF573" s="71">
        <v>390</v>
      </c>
      <c r="BG573" s="71">
        <v>212</v>
      </c>
      <c r="BH573" s="71">
        <v>5</v>
      </c>
      <c r="BI573" s="71">
        <v>10</v>
      </c>
      <c r="BJ573" s="12" t="str" cm="1">
        <f t="array" ref="BJ573">_xll.Dce_Name_SectI(BF573, BF573, BG573, BH573, BI573, "x", "-", $AX$11)</f>
        <v>390x212x5x10</v>
      </c>
      <c r="BK573" s="77" cm="1">
        <f t="array" ref="BK573">_xll.DCEPropSectI(BF573, BH573, BG573, BI573, BG573, BI573, "A")/100</f>
        <v>60.9</v>
      </c>
      <c r="BL573" s="70" t="s">
        <v>220</v>
      </c>
      <c r="BM573" s="70">
        <v>89.48233973189825</v>
      </c>
      <c r="BN573" s="71">
        <v>0.9</v>
      </c>
      <c r="BO573" s="77">
        <f t="shared" si="75"/>
        <v>32.4</v>
      </c>
      <c r="BP573" s="71">
        <v>0.9</v>
      </c>
      <c r="BQ573" s="77">
        <f t="shared" si="76"/>
        <v>32.4</v>
      </c>
      <c r="BR573" s="77" cm="1">
        <f t="array" ref="BR573">_xll.DCEPropSectI(BF573, BH573, BG573, BI573, BG573, BI573, "rx")/10</f>
        <v>16.91131201300167</v>
      </c>
      <c r="BS573" s="77" cm="1">
        <f t="array" ref="BS573">_xll.DCEPropSectI(BF573, BH573, BG573, BI573, BG573, BI573, "ry")/10</f>
        <v>5.1070747638622018</v>
      </c>
      <c r="BT573" s="5">
        <f t="shared" si="77"/>
        <v>191.58773710218577</v>
      </c>
      <c r="BU573" s="5">
        <f t="shared" si="78"/>
        <v>634.41405301647956</v>
      </c>
      <c r="BV573" s="5">
        <f t="shared" si="79"/>
        <v>634.41405301647956</v>
      </c>
      <c r="BW573" s="71">
        <f t="shared" si="80"/>
        <v>400</v>
      </c>
      <c r="BX573" s="78" cm="1">
        <f t="array" ref="BX573">IF(BM573&gt;0,1,_xll.DCETCVN5575FactorPhi7121(BV573*SQRT($K$17/206000),"b"))</f>
        <v>1</v>
      </c>
      <c r="BY573" s="64">
        <f t="shared" si="81"/>
        <v>6.9968206843301475E-2</v>
      </c>
      <c r="BZ573" s="3" t="str">
        <f t="shared" si="82"/>
        <v>Check</v>
      </c>
    </row>
    <row r="574" spans="1:78">
      <c r="A574" s="76"/>
      <c r="B574" s="76"/>
      <c r="C574" s="125"/>
      <c r="D574" s="125"/>
      <c r="E574" s="71"/>
      <c r="F574" s="71"/>
      <c r="G574" s="71"/>
      <c r="H574" s="126"/>
      <c r="I574" s="125"/>
      <c r="J574" s="123"/>
      <c r="K574" s="12"/>
      <c r="L574" s="117"/>
      <c r="M574" s="12"/>
      <c r="N574" s="117"/>
      <c r="O574" s="117"/>
      <c r="P574" s="117"/>
      <c r="Q574" s="118"/>
      <c r="R574" s="118"/>
      <c r="S574" s="118"/>
      <c r="T574" s="12"/>
      <c r="U574" s="118"/>
      <c r="V574" s="118"/>
      <c r="W574" s="12"/>
      <c r="X574" s="119"/>
      <c r="Y574" s="120"/>
      <c r="Z574" s="12"/>
      <c r="BA574" s="70" t="s">
        <v>205</v>
      </c>
      <c r="BB574" s="71" t="s">
        <v>210</v>
      </c>
      <c r="BC574" s="71" t="s">
        <v>207</v>
      </c>
      <c r="BD574" s="71">
        <v>25</v>
      </c>
      <c r="BE574" s="71">
        <v>36</v>
      </c>
      <c r="BF574" s="71">
        <v>390</v>
      </c>
      <c r="BG574" s="71">
        <v>212</v>
      </c>
      <c r="BH574" s="71">
        <v>5</v>
      </c>
      <c r="BI574" s="71">
        <v>10</v>
      </c>
      <c r="BJ574" s="12" t="str" cm="1">
        <f t="array" ref="BJ574">_xll.Dce_Name_SectI(BF574, BF574, BG574, BH574, BI574, "x", "-", $AX$11)</f>
        <v>390x212x5x10</v>
      </c>
      <c r="BK574" s="77" cm="1">
        <f t="array" ref="BK574">_xll.DCEPropSectI(BF574, BH574, BG574, BI574, BG574, BI574, "A")/100</f>
        <v>60.9</v>
      </c>
      <c r="BL574" s="70" t="s">
        <v>220</v>
      </c>
      <c r="BM574" s="70">
        <v>89.48233973189825</v>
      </c>
      <c r="BN574" s="71">
        <v>0.9</v>
      </c>
      <c r="BO574" s="77">
        <f t="shared" si="75"/>
        <v>32.4</v>
      </c>
      <c r="BP574" s="71">
        <v>0.9</v>
      </c>
      <c r="BQ574" s="77">
        <f t="shared" si="76"/>
        <v>32.4</v>
      </c>
      <c r="BR574" s="77" cm="1">
        <f t="array" ref="BR574">_xll.DCEPropSectI(BF574, BH574, BG574, BI574, BG574, BI574, "rx")/10</f>
        <v>16.91131201300167</v>
      </c>
      <c r="BS574" s="77" cm="1">
        <f t="array" ref="BS574">_xll.DCEPropSectI(BF574, BH574, BG574, BI574, BG574, BI574, "ry")/10</f>
        <v>5.1070747638622018</v>
      </c>
      <c r="BT574" s="5">
        <f t="shared" si="77"/>
        <v>191.58773710218577</v>
      </c>
      <c r="BU574" s="5">
        <f t="shared" si="78"/>
        <v>634.41405301647956</v>
      </c>
      <c r="BV574" s="5">
        <f t="shared" si="79"/>
        <v>634.41405301647956</v>
      </c>
      <c r="BW574" s="71">
        <f t="shared" si="80"/>
        <v>400</v>
      </c>
      <c r="BX574" s="78" cm="1">
        <f t="array" ref="BX574">IF(BM574&gt;0,1,_xll.DCETCVN5575FactorPhi7121(BV574*SQRT($K$17/206000),"b"))</f>
        <v>1</v>
      </c>
      <c r="BY574" s="64">
        <f t="shared" si="81"/>
        <v>6.9968206843301475E-2</v>
      </c>
      <c r="BZ574" s="3" t="str">
        <f t="shared" si="82"/>
        <v>Check</v>
      </c>
    </row>
    <row r="575" spans="1:78">
      <c r="A575" s="76"/>
      <c r="B575" s="76"/>
      <c r="C575" s="125"/>
      <c r="D575" s="125"/>
      <c r="E575" s="71"/>
      <c r="F575" s="71"/>
      <c r="G575" s="71"/>
      <c r="H575" s="126"/>
      <c r="I575" s="125"/>
      <c r="J575" s="123"/>
      <c r="K575" s="12"/>
      <c r="L575" s="117"/>
      <c r="M575" s="12"/>
      <c r="N575" s="117"/>
      <c r="O575" s="117"/>
      <c r="P575" s="117"/>
      <c r="Q575" s="118"/>
      <c r="R575" s="118"/>
      <c r="S575" s="118"/>
      <c r="T575" s="12"/>
      <c r="U575" s="118"/>
      <c r="V575" s="118"/>
      <c r="W575" s="12"/>
      <c r="X575" s="119"/>
      <c r="Y575" s="120"/>
      <c r="Z575" s="12"/>
      <c r="BA575" s="70" t="s">
        <v>205</v>
      </c>
      <c r="BB575" s="71" t="s">
        <v>210</v>
      </c>
      <c r="BC575" s="71" t="s">
        <v>207</v>
      </c>
      <c r="BD575" s="71">
        <v>25.5</v>
      </c>
      <c r="BE575" s="71">
        <v>36</v>
      </c>
      <c r="BF575" s="71">
        <v>390</v>
      </c>
      <c r="BG575" s="71">
        <v>212</v>
      </c>
      <c r="BH575" s="71">
        <v>5</v>
      </c>
      <c r="BI575" s="71">
        <v>10</v>
      </c>
      <c r="BJ575" s="12" t="str" cm="1">
        <f t="array" ref="BJ575">_xll.Dce_Name_SectI(BF575, BF575, BG575, BH575, BI575, "x", "-", $AX$11)</f>
        <v>390x212x5x10</v>
      </c>
      <c r="BK575" s="77" cm="1">
        <f t="array" ref="BK575">_xll.DCEPropSectI(BF575, BH575, BG575, BI575, BG575, BI575, "A")/100</f>
        <v>60.9</v>
      </c>
      <c r="BL575" s="70" t="s">
        <v>220</v>
      </c>
      <c r="BM575" s="70">
        <v>89.48233973189825</v>
      </c>
      <c r="BN575" s="71">
        <v>0.9</v>
      </c>
      <c r="BO575" s="77">
        <f t="shared" si="75"/>
        <v>32.4</v>
      </c>
      <c r="BP575" s="71">
        <v>0.9</v>
      </c>
      <c r="BQ575" s="77">
        <f t="shared" si="76"/>
        <v>32.4</v>
      </c>
      <c r="BR575" s="77" cm="1">
        <f t="array" ref="BR575">_xll.DCEPropSectI(BF575, BH575, BG575, BI575, BG575, BI575, "rx")/10</f>
        <v>16.91131201300167</v>
      </c>
      <c r="BS575" s="77" cm="1">
        <f t="array" ref="BS575">_xll.DCEPropSectI(BF575, BH575, BG575, BI575, BG575, BI575, "ry")/10</f>
        <v>5.1070747638622018</v>
      </c>
      <c r="BT575" s="5">
        <f t="shared" si="77"/>
        <v>191.58773710218577</v>
      </c>
      <c r="BU575" s="5">
        <f t="shared" si="78"/>
        <v>634.41405301647956</v>
      </c>
      <c r="BV575" s="5">
        <f t="shared" si="79"/>
        <v>634.41405301647956</v>
      </c>
      <c r="BW575" s="71">
        <f t="shared" si="80"/>
        <v>400</v>
      </c>
      <c r="BX575" s="78" cm="1">
        <f t="array" ref="BX575">IF(BM575&gt;0,1,_xll.DCETCVN5575FactorPhi7121(BV575*SQRT($K$17/206000),"b"))</f>
        <v>1</v>
      </c>
      <c r="BY575" s="64">
        <f t="shared" si="81"/>
        <v>6.9968206843301475E-2</v>
      </c>
      <c r="BZ575" s="3" t="str">
        <f t="shared" si="82"/>
        <v>Check</v>
      </c>
    </row>
    <row r="576" spans="1:78">
      <c r="A576" s="76"/>
      <c r="B576" s="76"/>
      <c r="C576" s="125"/>
      <c r="D576" s="125"/>
      <c r="E576" s="71"/>
      <c r="F576" s="71"/>
      <c r="G576" s="71"/>
      <c r="H576" s="126"/>
      <c r="I576" s="125"/>
      <c r="J576" s="123"/>
      <c r="K576" s="12"/>
      <c r="L576" s="117"/>
      <c r="M576" s="12"/>
      <c r="N576" s="117"/>
      <c r="O576" s="117"/>
      <c r="P576" s="117"/>
      <c r="Q576" s="118"/>
      <c r="R576" s="118"/>
      <c r="S576" s="118"/>
      <c r="T576" s="12"/>
      <c r="U576" s="118"/>
      <c r="V576" s="118"/>
      <c r="W576" s="12"/>
      <c r="X576" s="119"/>
      <c r="Y576" s="120"/>
      <c r="Z576" s="12"/>
      <c r="BA576" s="70" t="s">
        <v>205</v>
      </c>
      <c r="BB576" s="71" t="s">
        <v>210</v>
      </c>
      <c r="BC576" s="71" t="s">
        <v>207</v>
      </c>
      <c r="BD576" s="71">
        <v>26</v>
      </c>
      <c r="BE576" s="71">
        <v>36</v>
      </c>
      <c r="BF576" s="71">
        <v>390</v>
      </c>
      <c r="BG576" s="71">
        <v>212</v>
      </c>
      <c r="BH576" s="71">
        <v>5</v>
      </c>
      <c r="BI576" s="71">
        <v>10</v>
      </c>
      <c r="BJ576" s="12" t="str" cm="1">
        <f t="array" ref="BJ576">_xll.Dce_Name_SectI(BF576, BF576, BG576, BH576, BI576, "x", "-", $AX$11)</f>
        <v>390x212x5x10</v>
      </c>
      <c r="BK576" s="77" cm="1">
        <f t="array" ref="BK576">_xll.DCEPropSectI(BF576, BH576, BG576, BI576, BG576, BI576, "A")/100</f>
        <v>60.9</v>
      </c>
      <c r="BL576" s="70" t="s">
        <v>220</v>
      </c>
      <c r="BM576" s="70">
        <v>89.48233973189825</v>
      </c>
      <c r="BN576" s="71">
        <v>0.9</v>
      </c>
      <c r="BO576" s="77">
        <f t="shared" si="75"/>
        <v>32.4</v>
      </c>
      <c r="BP576" s="71">
        <v>0.9</v>
      </c>
      <c r="BQ576" s="77">
        <f t="shared" si="76"/>
        <v>32.4</v>
      </c>
      <c r="BR576" s="77" cm="1">
        <f t="array" ref="BR576">_xll.DCEPropSectI(BF576, BH576, BG576, BI576, BG576, BI576, "rx")/10</f>
        <v>16.91131201300167</v>
      </c>
      <c r="BS576" s="77" cm="1">
        <f t="array" ref="BS576">_xll.DCEPropSectI(BF576, BH576, BG576, BI576, BG576, BI576, "ry")/10</f>
        <v>5.1070747638622018</v>
      </c>
      <c r="BT576" s="5">
        <f t="shared" si="77"/>
        <v>191.58773710218577</v>
      </c>
      <c r="BU576" s="5">
        <f t="shared" si="78"/>
        <v>634.41405301647956</v>
      </c>
      <c r="BV576" s="5">
        <f t="shared" si="79"/>
        <v>634.41405301647956</v>
      </c>
      <c r="BW576" s="71">
        <f t="shared" si="80"/>
        <v>400</v>
      </c>
      <c r="BX576" s="78" cm="1">
        <f t="array" ref="BX576">IF(BM576&gt;0,1,_xll.DCETCVN5575FactorPhi7121(BV576*SQRT($K$17/206000),"b"))</f>
        <v>1</v>
      </c>
      <c r="BY576" s="64">
        <f t="shared" si="81"/>
        <v>6.9968206843301475E-2</v>
      </c>
      <c r="BZ576" s="3" t="str">
        <f t="shared" si="82"/>
        <v>Check</v>
      </c>
    </row>
    <row r="577" spans="1:78">
      <c r="A577" s="76"/>
      <c r="B577" s="76"/>
      <c r="C577" s="125"/>
      <c r="D577" s="125"/>
      <c r="E577" s="71"/>
      <c r="F577" s="71"/>
      <c r="G577" s="71"/>
      <c r="H577" s="126"/>
      <c r="I577" s="125"/>
      <c r="J577" s="123"/>
      <c r="K577" s="12"/>
      <c r="L577" s="117"/>
      <c r="M577" s="12"/>
      <c r="N577" s="117"/>
      <c r="O577" s="117"/>
      <c r="P577" s="117"/>
      <c r="Q577" s="118"/>
      <c r="R577" s="118"/>
      <c r="S577" s="118"/>
      <c r="T577" s="12"/>
      <c r="U577" s="118"/>
      <c r="V577" s="118"/>
      <c r="W577" s="12"/>
      <c r="X577" s="119"/>
      <c r="Y577" s="120"/>
      <c r="Z577" s="12"/>
      <c r="BA577" s="70" t="s">
        <v>205</v>
      </c>
      <c r="BB577" s="71" t="s">
        <v>210</v>
      </c>
      <c r="BC577" s="71" t="s">
        <v>207</v>
      </c>
      <c r="BD577" s="71">
        <v>26.5</v>
      </c>
      <c r="BE577" s="71">
        <v>36</v>
      </c>
      <c r="BF577" s="71">
        <v>390</v>
      </c>
      <c r="BG577" s="71">
        <v>212</v>
      </c>
      <c r="BH577" s="71">
        <v>5</v>
      </c>
      <c r="BI577" s="71">
        <v>10</v>
      </c>
      <c r="BJ577" s="12" t="str" cm="1">
        <f t="array" ref="BJ577">_xll.Dce_Name_SectI(BF577, BF577, BG577, BH577, BI577, "x", "-", $AX$11)</f>
        <v>390x212x5x10</v>
      </c>
      <c r="BK577" s="77" cm="1">
        <f t="array" ref="BK577">_xll.DCEPropSectI(BF577, BH577, BG577, BI577, BG577, BI577, "A")/100</f>
        <v>60.9</v>
      </c>
      <c r="BL577" s="70" t="s">
        <v>220</v>
      </c>
      <c r="BM577" s="70">
        <v>89.48233973189825</v>
      </c>
      <c r="BN577" s="71">
        <v>0.9</v>
      </c>
      <c r="BO577" s="77">
        <f t="shared" si="75"/>
        <v>32.4</v>
      </c>
      <c r="BP577" s="71">
        <v>0.9</v>
      </c>
      <c r="BQ577" s="77">
        <f t="shared" si="76"/>
        <v>32.4</v>
      </c>
      <c r="BR577" s="77" cm="1">
        <f t="array" ref="BR577">_xll.DCEPropSectI(BF577, BH577, BG577, BI577, BG577, BI577, "rx")/10</f>
        <v>16.91131201300167</v>
      </c>
      <c r="BS577" s="77" cm="1">
        <f t="array" ref="BS577">_xll.DCEPropSectI(BF577, BH577, BG577, BI577, BG577, BI577, "ry")/10</f>
        <v>5.1070747638622018</v>
      </c>
      <c r="BT577" s="5">
        <f t="shared" si="77"/>
        <v>191.58773710218577</v>
      </c>
      <c r="BU577" s="5">
        <f t="shared" si="78"/>
        <v>634.41405301647956</v>
      </c>
      <c r="BV577" s="5">
        <f t="shared" si="79"/>
        <v>634.41405301647956</v>
      </c>
      <c r="BW577" s="71">
        <f t="shared" si="80"/>
        <v>400</v>
      </c>
      <c r="BX577" s="78" cm="1">
        <f t="array" ref="BX577">IF(BM577&gt;0,1,_xll.DCETCVN5575FactorPhi7121(BV577*SQRT($K$17/206000),"b"))</f>
        <v>1</v>
      </c>
      <c r="BY577" s="64">
        <f t="shared" si="81"/>
        <v>6.9968206843301475E-2</v>
      </c>
      <c r="BZ577" s="3" t="str">
        <f t="shared" si="82"/>
        <v>Check</v>
      </c>
    </row>
    <row r="578" spans="1:78">
      <c r="A578" s="76"/>
      <c r="B578" s="76"/>
      <c r="C578" s="125"/>
      <c r="D578" s="125"/>
      <c r="E578" s="71"/>
      <c r="F578" s="71"/>
      <c r="G578" s="71"/>
      <c r="H578" s="126"/>
      <c r="I578" s="125"/>
      <c r="J578" s="123"/>
      <c r="K578" s="12"/>
      <c r="L578" s="117"/>
      <c r="M578" s="12"/>
      <c r="N578" s="117"/>
      <c r="O578" s="117"/>
      <c r="P578" s="117"/>
      <c r="Q578" s="118"/>
      <c r="R578" s="118"/>
      <c r="S578" s="118"/>
      <c r="T578" s="12"/>
      <c r="U578" s="118"/>
      <c r="V578" s="118"/>
      <c r="W578" s="12"/>
      <c r="X578" s="119"/>
      <c r="Y578" s="120"/>
      <c r="Z578" s="12"/>
      <c r="BA578" s="70" t="s">
        <v>205</v>
      </c>
      <c r="BB578" s="71" t="s">
        <v>210</v>
      </c>
      <c r="BC578" s="71" t="s">
        <v>207</v>
      </c>
      <c r="BD578" s="71">
        <v>27</v>
      </c>
      <c r="BE578" s="71">
        <v>36</v>
      </c>
      <c r="BF578" s="71">
        <v>390</v>
      </c>
      <c r="BG578" s="71">
        <v>212</v>
      </c>
      <c r="BH578" s="71">
        <v>5</v>
      </c>
      <c r="BI578" s="71">
        <v>10</v>
      </c>
      <c r="BJ578" s="12" t="str" cm="1">
        <f t="array" ref="BJ578">_xll.Dce_Name_SectI(BF578, BF578, BG578, BH578, BI578, "x", "-", $AX$11)</f>
        <v>390x212x5x10</v>
      </c>
      <c r="BK578" s="77" cm="1">
        <f t="array" ref="BK578">_xll.DCEPropSectI(BF578, BH578, BG578, BI578, BG578, BI578, "A")/100</f>
        <v>60.9</v>
      </c>
      <c r="BL578" s="70" t="s">
        <v>220</v>
      </c>
      <c r="BM578" s="70">
        <v>89.48233973189825</v>
      </c>
      <c r="BN578" s="71">
        <v>0.9</v>
      </c>
      <c r="BO578" s="77">
        <f t="shared" si="75"/>
        <v>32.4</v>
      </c>
      <c r="BP578" s="71">
        <v>0.9</v>
      </c>
      <c r="BQ578" s="77">
        <f t="shared" si="76"/>
        <v>32.4</v>
      </c>
      <c r="BR578" s="77" cm="1">
        <f t="array" ref="BR578">_xll.DCEPropSectI(BF578, BH578, BG578, BI578, BG578, BI578, "rx")/10</f>
        <v>16.91131201300167</v>
      </c>
      <c r="BS578" s="77" cm="1">
        <f t="array" ref="BS578">_xll.DCEPropSectI(BF578, BH578, BG578, BI578, BG578, BI578, "ry")/10</f>
        <v>5.1070747638622018</v>
      </c>
      <c r="BT578" s="5">
        <f t="shared" si="77"/>
        <v>191.58773710218577</v>
      </c>
      <c r="BU578" s="5">
        <f t="shared" si="78"/>
        <v>634.41405301647956</v>
      </c>
      <c r="BV578" s="5">
        <f t="shared" si="79"/>
        <v>634.41405301647956</v>
      </c>
      <c r="BW578" s="71">
        <f t="shared" si="80"/>
        <v>400</v>
      </c>
      <c r="BX578" s="78" cm="1">
        <f t="array" ref="BX578">IF(BM578&gt;0,1,_xll.DCETCVN5575FactorPhi7121(BV578*SQRT($K$17/206000),"b"))</f>
        <v>1</v>
      </c>
      <c r="BY578" s="64">
        <f t="shared" si="81"/>
        <v>6.9968206843301475E-2</v>
      </c>
      <c r="BZ578" s="3" t="str">
        <f t="shared" si="82"/>
        <v>Check</v>
      </c>
    </row>
    <row r="579" spans="1:78">
      <c r="A579" s="76"/>
      <c r="B579" s="76"/>
      <c r="C579" s="125"/>
      <c r="D579" s="125"/>
      <c r="E579" s="71"/>
      <c r="F579" s="71"/>
      <c r="G579" s="71"/>
      <c r="H579" s="126"/>
      <c r="I579" s="125"/>
      <c r="J579" s="123"/>
      <c r="K579" s="12"/>
      <c r="L579" s="117"/>
      <c r="M579" s="12"/>
      <c r="N579" s="117"/>
      <c r="O579" s="117"/>
      <c r="P579" s="117"/>
      <c r="Q579" s="118"/>
      <c r="R579" s="118"/>
      <c r="S579" s="118"/>
      <c r="T579" s="12"/>
      <c r="U579" s="118"/>
      <c r="V579" s="118"/>
      <c r="W579" s="12"/>
      <c r="X579" s="119"/>
      <c r="Y579" s="120"/>
      <c r="Z579" s="12"/>
      <c r="BA579" s="70" t="s">
        <v>205</v>
      </c>
      <c r="BB579" s="71" t="s">
        <v>210</v>
      </c>
      <c r="BC579" s="71" t="s">
        <v>207</v>
      </c>
      <c r="BD579" s="71">
        <v>27.5</v>
      </c>
      <c r="BE579" s="71">
        <v>36</v>
      </c>
      <c r="BF579" s="71">
        <v>390</v>
      </c>
      <c r="BG579" s="71">
        <v>212</v>
      </c>
      <c r="BH579" s="71">
        <v>5</v>
      </c>
      <c r="BI579" s="71">
        <v>10</v>
      </c>
      <c r="BJ579" s="12" t="str" cm="1">
        <f t="array" ref="BJ579">_xll.Dce_Name_SectI(BF579, BF579, BG579, BH579, BI579, "x", "-", $AX$11)</f>
        <v>390x212x5x10</v>
      </c>
      <c r="BK579" s="77" cm="1">
        <f t="array" ref="BK579">_xll.DCEPropSectI(BF579, BH579, BG579, BI579, BG579, BI579, "A")/100</f>
        <v>60.9</v>
      </c>
      <c r="BL579" s="70" t="s">
        <v>220</v>
      </c>
      <c r="BM579" s="70">
        <v>89.48233973189825</v>
      </c>
      <c r="BN579" s="71">
        <v>0.9</v>
      </c>
      <c r="BO579" s="77">
        <f t="shared" si="75"/>
        <v>32.4</v>
      </c>
      <c r="BP579" s="71">
        <v>0.9</v>
      </c>
      <c r="BQ579" s="77">
        <f t="shared" si="76"/>
        <v>32.4</v>
      </c>
      <c r="BR579" s="77" cm="1">
        <f t="array" ref="BR579">_xll.DCEPropSectI(BF579, BH579, BG579, BI579, BG579, BI579, "rx")/10</f>
        <v>16.91131201300167</v>
      </c>
      <c r="BS579" s="77" cm="1">
        <f t="array" ref="BS579">_xll.DCEPropSectI(BF579, BH579, BG579, BI579, BG579, BI579, "ry")/10</f>
        <v>5.1070747638622018</v>
      </c>
      <c r="BT579" s="5">
        <f t="shared" si="77"/>
        <v>191.58773710218577</v>
      </c>
      <c r="BU579" s="5">
        <f t="shared" si="78"/>
        <v>634.41405301647956</v>
      </c>
      <c r="BV579" s="5">
        <f t="shared" si="79"/>
        <v>634.41405301647956</v>
      </c>
      <c r="BW579" s="71">
        <f t="shared" si="80"/>
        <v>400</v>
      </c>
      <c r="BX579" s="78" cm="1">
        <f t="array" ref="BX579">IF(BM579&gt;0,1,_xll.DCETCVN5575FactorPhi7121(BV579*SQRT($K$17/206000),"b"))</f>
        <v>1</v>
      </c>
      <c r="BY579" s="64">
        <f t="shared" si="81"/>
        <v>6.9968206843301475E-2</v>
      </c>
      <c r="BZ579" s="3" t="str">
        <f t="shared" si="82"/>
        <v>Check</v>
      </c>
    </row>
    <row r="580" spans="1:78">
      <c r="A580" s="76"/>
      <c r="B580" s="76"/>
      <c r="C580" s="125"/>
      <c r="D580" s="125"/>
      <c r="E580" s="71"/>
      <c r="F580" s="71"/>
      <c r="G580" s="71"/>
      <c r="H580" s="126"/>
      <c r="I580" s="125"/>
      <c r="J580" s="123"/>
      <c r="K580" s="12"/>
      <c r="L580" s="117"/>
      <c r="M580" s="12"/>
      <c r="N580" s="117"/>
      <c r="O580" s="117"/>
      <c r="P580" s="117"/>
      <c r="Q580" s="118"/>
      <c r="R580" s="118"/>
      <c r="S580" s="118"/>
      <c r="T580" s="12"/>
      <c r="U580" s="118"/>
      <c r="V580" s="118"/>
      <c r="W580" s="12"/>
      <c r="X580" s="119"/>
      <c r="Y580" s="120"/>
      <c r="Z580" s="12"/>
      <c r="BA580" s="70" t="s">
        <v>205</v>
      </c>
      <c r="BB580" s="71" t="s">
        <v>210</v>
      </c>
      <c r="BC580" s="71" t="s">
        <v>207</v>
      </c>
      <c r="BD580" s="71">
        <v>28</v>
      </c>
      <c r="BE580" s="71">
        <v>36</v>
      </c>
      <c r="BF580" s="71">
        <v>390</v>
      </c>
      <c r="BG580" s="71">
        <v>212</v>
      </c>
      <c r="BH580" s="71">
        <v>5</v>
      </c>
      <c r="BI580" s="71">
        <v>10</v>
      </c>
      <c r="BJ580" s="12" t="str" cm="1">
        <f t="array" ref="BJ580">_xll.Dce_Name_SectI(BF580, BF580, BG580, BH580, BI580, "x", "-", $AX$11)</f>
        <v>390x212x5x10</v>
      </c>
      <c r="BK580" s="77" cm="1">
        <f t="array" ref="BK580">_xll.DCEPropSectI(BF580, BH580, BG580, BI580, BG580, BI580, "A")/100</f>
        <v>60.9</v>
      </c>
      <c r="BL580" s="70" t="s">
        <v>220</v>
      </c>
      <c r="BM580" s="70">
        <v>89.48233973189825</v>
      </c>
      <c r="BN580" s="71">
        <v>0.9</v>
      </c>
      <c r="BO580" s="77">
        <f t="shared" si="75"/>
        <v>32.4</v>
      </c>
      <c r="BP580" s="71">
        <v>0.9</v>
      </c>
      <c r="BQ580" s="77">
        <f t="shared" si="76"/>
        <v>32.4</v>
      </c>
      <c r="BR580" s="77" cm="1">
        <f t="array" ref="BR580">_xll.DCEPropSectI(BF580, BH580, BG580, BI580, BG580, BI580, "rx")/10</f>
        <v>16.91131201300167</v>
      </c>
      <c r="BS580" s="77" cm="1">
        <f t="array" ref="BS580">_xll.DCEPropSectI(BF580, BH580, BG580, BI580, BG580, BI580, "ry")/10</f>
        <v>5.1070747638622018</v>
      </c>
      <c r="BT580" s="5">
        <f t="shared" si="77"/>
        <v>191.58773710218577</v>
      </c>
      <c r="BU580" s="5">
        <f t="shared" si="78"/>
        <v>634.41405301647956</v>
      </c>
      <c r="BV580" s="5">
        <f t="shared" si="79"/>
        <v>634.41405301647956</v>
      </c>
      <c r="BW580" s="71">
        <f t="shared" si="80"/>
        <v>400</v>
      </c>
      <c r="BX580" s="78" cm="1">
        <f t="array" ref="BX580">IF(BM580&gt;0,1,_xll.DCETCVN5575FactorPhi7121(BV580*SQRT($K$17/206000),"b"))</f>
        <v>1</v>
      </c>
      <c r="BY580" s="64">
        <f t="shared" si="81"/>
        <v>6.9968206843301475E-2</v>
      </c>
      <c r="BZ580" s="3" t="str">
        <f t="shared" si="82"/>
        <v>Check</v>
      </c>
    </row>
    <row r="581" spans="1:78">
      <c r="A581" s="76"/>
      <c r="B581" s="76"/>
      <c r="C581" s="125"/>
      <c r="D581" s="125"/>
      <c r="E581" s="71"/>
      <c r="F581" s="71"/>
      <c r="G581" s="71"/>
      <c r="H581" s="126"/>
      <c r="I581" s="125"/>
      <c r="J581" s="123"/>
      <c r="K581" s="12"/>
      <c r="L581" s="117"/>
      <c r="M581" s="12"/>
      <c r="N581" s="117"/>
      <c r="O581" s="117"/>
      <c r="P581" s="117"/>
      <c r="Q581" s="118"/>
      <c r="R581" s="118"/>
      <c r="S581" s="118"/>
      <c r="T581" s="12"/>
      <c r="U581" s="118"/>
      <c r="V581" s="118"/>
      <c r="W581" s="12"/>
      <c r="X581" s="119"/>
      <c r="Y581" s="120"/>
      <c r="Z581" s="12"/>
      <c r="BA581" s="70" t="s">
        <v>205</v>
      </c>
      <c r="BB581" s="71" t="s">
        <v>210</v>
      </c>
      <c r="BC581" s="71" t="s">
        <v>207</v>
      </c>
      <c r="BD581" s="71">
        <v>28.5</v>
      </c>
      <c r="BE581" s="71">
        <v>36</v>
      </c>
      <c r="BF581" s="71">
        <v>390</v>
      </c>
      <c r="BG581" s="71">
        <v>212</v>
      </c>
      <c r="BH581" s="71">
        <v>5</v>
      </c>
      <c r="BI581" s="71">
        <v>10</v>
      </c>
      <c r="BJ581" s="12" t="str" cm="1">
        <f t="array" ref="BJ581">_xll.Dce_Name_SectI(BF581, BF581, BG581, BH581, BI581, "x", "-", $AX$11)</f>
        <v>390x212x5x10</v>
      </c>
      <c r="BK581" s="77" cm="1">
        <f t="array" ref="BK581">_xll.DCEPropSectI(BF581, BH581, BG581, BI581, BG581, BI581, "A")/100</f>
        <v>60.9</v>
      </c>
      <c r="BL581" s="70" t="s">
        <v>220</v>
      </c>
      <c r="BM581" s="70">
        <v>89.48233973189825</v>
      </c>
      <c r="BN581" s="71">
        <v>0.9</v>
      </c>
      <c r="BO581" s="77">
        <f t="shared" si="75"/>
        <v>32.4</v>
      </c>
      <c r="BP581" s="71">
        <v>0.9</v>
      </c>
      <c r="BQ581" s="77">
        <f t="shared" si="76"/>
        <v>32.4</v>
      </c>
      <c r="BR581" s="77" cm="1">
        <f t="array" ref="BR581">_xll.DCEPropSectI(BF581, BH581, BG581, BI581, BG581, BI581, "rx")/10</f>
        <v>16.91131201300167</v>
      </c>
      <c r="BS581" s="77" cm="1">
        <f t="array" ref="BS581">_xll.DCEPropSectI(BF581, BH581, BG581, BI581, BG581, BI581, "ry")/10</f>
        <v>5.1070747638622018</v>
      </c>
      <c r="BT581" s="5">
        <f t="shared" si="77"/>
        <v>191.58773710218577</v>
      </c>
      <c r="BU581" s="5">
        <f t="shared" si="78"/>
        <v>634.41405301647956</v>
      </c>
      <c r="BV581" s="5">
        <f t="shared" si="79"/>
        <v>634.41405301647956</v>
      </c>
      <c r="BW581" s="71">
        <f t="shared" si="80"/>
        <v>400</v>
      </c>
      <c r="BX581" s="78" cm="1">
        <f t="array" ref="BX581">IF(BM581&gt;0,1,_xll.DCETCVN5575FactorPhi7121(BV581*SQRT($K$17/206000),"b"))</f>
        <v>1</v>
      </c>
      <c r="BY581" s="64">
        <f t="shared" si="81"/>
        <v>6.9968206843301475E-2</v>
      </c>
      <c r="BZ581" s="3" t="str">
        <f t="shared" si="82"/>
        <v>Check</v>
      </c>
    </row>
    <row r="582" spans="1:78">
      <c r="A582" s="76"/>
      <c r="B582" s="76"/>
      <c r="C582" s="125"/>
      <c r="D582" s="125"/>
      <c r="E582" s="71"/>
      <c r="F582" s="71"/>
      <c r="G582" s="71"/>
      <c r="H582" s="126"/>
      <c r="I582" s="125"/>
      <c r="J582" s="123"/>
      <c r="K582" s="12"/>
      <c r="L582" s="117"/>
      <c r="M582" s="12"/>
      <c r="N582" s="117"/>
      <c r="O582" s="117"/>
      <c r="P582" s="117"/>
      <c r="Q582" s="118"/>
      <c r="R582" s="118"/>
      <c r="S582" s="118"/>
      <c r="T582" s="12"/>
      <c r="U582" s="118"/>
      <c r="V582" s="118"/>
      <c r="W582" s="12"/>
      <c r="X582" s="119"/>
      <c r="Y582" s="120"/>
      <c r="Z582" s="12"/>
      <c r="BA582" s="70" t="s">
        <v>205</v>
      </c>
      <c r="BB582" s="71" t="s">
        <v>210</v>
      </c>
      <c r="BC582" s="71" t="s">
        <v>207</v>
      </c>
      <c r="BD582" s="71">
        <v>29</v>
      </c>
      <c r="BE582" s="71">
        <v>36</v>
      </c>
      <c r="BF582" s="71">
        <v>390</v>
      </c>
      <c r="BG582" s="71">
        <v>212</v>
      </c>
      <c r="BH582" s="71">
        <v>5</v>
      </c>
      <c r="BI582" s="71">
        <v>10</v>
      </c>
      <c r="BJ582" s="12" t="str" cm="1">
        <f t="array" ref="BJ582">_xll.Dce_Name_SectI(BF582, BF582, BG582, BH582, BI582, "x", "-", $AX$11)</f>
        <v>390x212x5x10</v>
      </c>
      <c r="BK582" s="77" cm="1">
        <f t="array" ref="BK582">_xll.DCEPropSectI(BF582, BH582, BG582, BI582, BG582, BI582, "A")/100</f>
        <v>60.9</v>
      </c>
      <c r="BL582" s="70" t="s">
        <v>220</v>
      </c>
      <c r="BM582" s="70">
        <v>89.48233973189825</v>
      </c>
      <c r="BN582" s="71">
        <v>0.9</v>
      </c>
      <c r="BO582" s="77">
        <f t="shared" si="75"/>
        <v>32.4</v>
      </c>
      <c r="BP582" s="71">
        <v>0.9</v>
      </c>
      <c r="BQ582" s="77">
        <f t="shared" si="76"/>
        <v>32.4</v>
      </c>
      <c r="BR582" s="77" cm="1">
        <f t="array" ref="BR582">_xll.DCEPropSectI(BF582, BH582, BG582, BI582, BG582, BI582, "rx")/10</f>
        <v>16.91131201300167</v>
      </c>
      <c r="BS582" s="77" cm="1">
        <f t="array" ref="BS582">_xll.DCEPropSectI(BF582, BH582, BG582, BI582, BG582, BI582, "ry")/10</f>
        <v>5.1070747638622018</v>
      </c>
      <c r="BT582" s="5">
        <f t="shared" si="77"/>
        <v>191.58773710218577</v>
      </c>
      <c r="BU582" s="5">
        <f t="shared" si="78"/>
        <v>634.41405301647956</v>
      </c>
      <c r="BV582" s="5">
        <f t="shared" si="79"/>
        <v>634.41405301647956</v>
      </c>
      <c r="BW582" s="71">
        <f t="shared" si="80"/>
        <v>400</v>
      </c>
      <c r="BX582" s="78" cm="1">
        <f t="array" ref="BX582">IF(BM582&gt;0,1,_xll.DCETCVN5575FactorPhi7121(BV582*SQRT($K$17/206000),"b"))</f>
        <v>1</v>
      </c>
      <c r="BY582" s="64">
        <f t="shared" si="81"/>
        <v>6.9968206843301475E-2</v>
      </c>
      <c r="BZ582" s="3" t="str">
        <f t="shared" si="82"/>
        <v>Check</v>
      </c>
    </row>
    <row r="583" spans="1:78">
      <c r="A583" s="76"/>
      <c r="B583" s="76"/>
      <c r="C583" s="125"/>
      <c r="D583" s="125"/>
      <c r="E583" s="71"/>
      <c r="F583" s="71"/>
      <c r="G583" s="71"/>
      <c r="H583" s="126"/>
      <c r="I583" s="125"/>
      <c r="J583" s="123"/>
      <c r="K583" s="12"/>
      <c r="L583" s="117"/>
      <c r="M583" s="12"/>
      <c r="N583" s="117"/>
      <c r="O583" s="117"/>
      <c r="P583" s="117"/>
      <c r="Q583" s="118"/>
      <c r="R583" s="118"/>
      <c r="S583" s="118"/>
      <c r="T583" s="12"/>
      <c r="U583" s="118"/>
      <c r="V583" s="118"/>
      <c r="W583" s="12"/>
      <c r="X583" s="119"/>
      <c r="Y583" s="120"/>
      <c r="Z583" s="12"/>
      <c r="BA583" s="70" t="s">
        <v>205</v>
      </c>
      <c r="BB583" s="71" t="s">
        <v>210</v>
      </c>
      <c r="BC583" s="71" t="s">
        <v>207</v>
      </c>
      <c r="BD583" s="71">
        <v>29.5</v>
      </c>
      <c r="BE583" s="71">
        <v>36</v>
      </c>
      <c r="BF583" s="71">
        <v>390</v>
      </c>
      <c r="BG583" s="71">
        <v>212</v>
      </c>
      <c r="BH583" s="71">
        <v>5</v>
      </c>
      <c r="BI583" s="71">
        <v>10</v>
      </c>
      <c r="BJ583" s="12" t="str" cm="1">
        <f t="array" ref="BJ583">_xll.Dce_Name_SectI(BF583, BF583, BG583, BH583, BI583, "x", "-", $AX$11)</f>
        <v>390x212x5x10</v>
      </c>
      <c r="BK583" s="77" cm="1">
        <f t="array" ref="BK583">_xll.DCEPropSectI(BF583, BH583, BG583, BI583, BG583, BI583, "A")/100</f>
        <v>60.9</v>
      </c>
      <c r="BL583" s="70" t="s">
        <v>220</v>
      </c>
      <c r="BM583" s="70">
        <v>89.48233973189825</v>
      </c>
      <c r="BN583" s="71">
        <v>0.9</v>
      </c>
      <c r="BO583" s="77">
        <f t="shared" si="75"/>
        <v>32.4</v>
      </c>
      <c r="BP583" s="71">
        <v>0.9</v>
      </c>
      <c r="BQ583" s="77">
        <f t="shared" si="76"/>
        <v>32.4</v>
      </c>
      <c r="BR583" s="77" cm="1">
        <f t="array" ref="BR583">_xll.DCEPropSectI(BF583, BH583, BG583, BI583, BG583, BI583, "rx")/10</f>
        <v>16.91131201300167</v>
      </c>
      <c r="BS583" s="77" cm="1">
        <f t="array" ref="BS583">_xll.DCEPropSectI(BF583, BH583, BG583, BI583, BG583, BI583, "ry")/10</f>
        <v>5.1070747638622018</v>
      </c>
      <c r="BT583" s="5">
        <f t="shared" si="77"/>
        <v>191.58773710218577</v>
      </c>
      <c r="BU583" s="5">
        <f t="shared" si="78"/>
        <v>634.41405301647956</v>
      </c>
      <c r="BV583" s="5">
        <f t="shared" si="79"/>
        <v>634.41405301647956</v>
      </c>
      <c r="BW583" s="71">
        <f t="shared" si="80"/>
        <v>400</v>
      </c>
      <c r="BX583" s="78" cm="1">
        <f t="array" ref="BX583">IF(BM583&gt;0,1,_xll.DCETCVN5575FactorPhi7121(BV583*SQRT($K$17/206000),"b"))</f>
        <v>1</v>
      </c>
      <c r="BY583" s="64">
        <f t="shared" si="81"/>
        <v>6.9968206843301475E-2</v>
      </c>
      <c r="BZ583" s="3" t="str">
        <f t="shared" si="82"/>
        <v>Check</v>
      </c>
    </row>
    <row r="584" spans="1:78">
      <c r="A584" s="76"/>
      <c r="B584" s="76"/>
      <c r="C584" s="125"/>
      <c r="D584" s="125"/>
      <c r="E584" s="71"/>
      <c r="F584" s="71"/>
      <c r="G584" s="71"/>
      <c r="H584" s="126"/>
      <c r="I584" s="125"/>
      <c r="J584" s="123"/>
      <c r="K584" s="12"/>
      <c r="L584" s="117"/>
      <c r="M584" s="12"/>
      <c r="N584" s="117"/>
      <c r="O584" s="117"/>
      <c r="P584" s="117"/>
      <c r="Q584" s="118"/>
      <c r="R584" s="118"/>
      <c r="S584" s="118"/>
      <c r="T584" s="12"/>
      <c r="U584" s="118"/>
      <c r="V584" s="118"/>
      <c r="W584" s="12"/>
      <c r="X584" s="119"/>
      <c r="Y584" s="120"/>
      <c r="Z584" s="12"/>
      <c r="BA584" s="70" t="s">
        <v>205</v>
      </c>
      <c r="BB584" s="71" t="s">
        <v>210</v>
      </c>
      <c r="BC584" s="71" t="s">
        <v>207</v>
      </c>
      <c r="BD584" s="71">
        <v>30</v>
      </c>
      <c r="BE584" s="71">
        <v>36</v>
      </c>
      <c r="BF584" s="71">
        <v>390</v>
      </c>
      <c r="BG584" s="71">
        <v>212</v>
      </c>
      <c r="BH584" s="71">
        <v>5</v>
      </c>
      <c r="BI584" s="71">
        <v>10</v>
      </c>
      <c r="BJ584" s="12" t="str" cm="1">
        <f t="array" ref="BJ584">_xll.Dce_Name_SectI(BF584, BF584, BG584, BH584, BI584, "x", "-", $AX$11)</f>
        <v>390x212x5x10</v>
      </c>
      <c r="BK584" s="77" cm="1">
        <f t="array" ref="BK584">_xll.DCEPropSectI(BF584, BH584, BG584, BI584, BG584, BI584, "A")/100</f>
        <v>60.9</v>
      </c>
      <c r="BL584" s="70" t="s">
        <v>220</v>
      </c>
      <c r="BM584" s="70">
        <v>89.48233973189825</v>
      </c>
      <c r="BN584" s="71">
        <v>0.9</v>
      </c>
      <c r="BO584" s="77">
        <f t="shared" si="75"/>
        <v>32.4</v>
      </c>
      <c r="BP584" s="71">
        <v>0.9</v>
      </c>
      <c r="BQ584" s="77">
        <f t="shared" si="76"/>
        <v>32.4</v>
      </c>
      <c r="BR584" s="77" cm="1">
        <f t="array" ref="BR584">_xll.DCEPropSectI(BF584, BH584, BG584, BI584, BG584, BI584, "rx")/10</f>
        <v>16.91131201300167</v>
      </c>
      <c r="BS584" s="77" cm="1">
        <f t="array" ref="BS584">_xll.DCEPropSectI(BF584, BH584, BG584, BI584, BG584, BI584, "ry")/10</f>
        <v>5.1070747638622018</v>
      </c>
      <c r="BT584" s="5">
        <f t="shared" si="77"/>
        <v>191.58773710218577</v>
      </c>
      <c r="BU584" s="5">
        <f t="shared" si="78"/>
        <v>634.41405301647956</v>
      </c>
      <c r="BV584" s="5">
        <f t="shared" si="79"/>
        <v>634.41405301647956</v>
      </c>
      <c r="BW584" s="71">
        <f t="shared" si="80"/>
        <v>400</v>
      </c>
      <c r="BX584" s="78" cm="1">
        <f t="array" ref="BX584">IF(BM584&gt;0,1,_xll.DCETCVN5575FactorPhi7121(BV584*SQRT($K$17/206000),"b"))</f>
        <v>1</v>
      </c>
      <c r="BY584" s="64">
        <f t="shared" si="81"/>
        <v>6.9968206843301475E-2</v>
      </c>
      <c r="BZ584" s="3" t="str">
        <f t="shared" si="82"/>
        <v>Check</v>
      </c>
    </row>
    <row r="585" spans="1:78">
      <c r="A585" s="76"/>
      <c r="B585" s="76"/>
      <c r="C585" s="125"/>
      <c r="D585" s="125"/>
      <c r="E585" s="71"/>
      <c r="F585" s="71"/>
      <c r="G585" s="71"/>
      <c r="H585" s="126"/>
      <c r="I585" s="125"/>
      <c r="J585" s="123"/>
      <c r="K585" s="12"/>
      <c r="L585" s="117"/>
      <c r="M585" s="12"/>
      <c r="N585" s="117"/>
      <c r="O585" s="117"/>
      <c r="P585" s="117"/>
      <c r="Q585" s="118"/>
      <c r="R585" s="118"/>
      <c r="S585" s="118"/>
      <c r="T585" s="12"/>
      <c r="U585" s="118"/>
      <c r="V585" s="118"/>
      <c r="W585" s="12"/>
      <c r="X585" s="119"/>
      <c r="Y585" s="120"/>
      <c r="Z585" s="12"/>
      <c r="BA585" s="70" t="s">
        <v>205</v>
      </c>
      <c r="BB585" s="71" t="s">
        <v>210</v>
      </c>
      <c r="BC585" s="71" t="s">
        <v>207</v>
      </c>
      <c r="BD585" s="71">
        <v>30</v>
      </c>
      <c r="BE585" s="71">
        <v>36</v>
      </c>
      <c r="BF585" s="71">
        <v>390</v>
      </c>
      <c r="BG585" s="71">
        <v>212</v>
      </c>
      <c r="BH585" s="71">
        <v>5</v>
      </c>
      <c r="BI585" s="71">
        <v>10</v>
      </c>
      <c r="BJ585" s="12" t="str" cm="1">
        <f t="array" ref="BJ585">_xll.Dce_Name_SectI(BF585, BF585, BG585, BH585, BI585, "x", "-", $AX$11)</f>
        <v>390x212x5x10</v>
      </c>
      <c r="BK585" s="77" cm="1">
        <f t="array" ref="BK585">_xll.DCEPropSectI(BF585, BH585, BG585, BI585, BG585, BI585, "A")/100</f>
        <v>60.9</v>
      </c>
      <c r="BL585" s="70" t="s">
        <v>220</v>
      </c>
      <c r="BM585" s="70">
        <v>-17.595388826791179</v>
      </c>
      <c r="BN585" s="71">
        <v>0.9</v>
      </c>
      <c r="BO585" s="77">
        <f t="shared" si="75"/>
        <v>32.4</v>
      </c>
      <c r="BP585" s="71">
        <v>0.9</v>
      </c>
      <c r="BQ585" s="77">
        <f t="shared" si="76"/>
        <v>32.4</v>
      </c>
      <c r="BR585" s="77" cm="1">
        <f t="array" ref="BR585">_xll.DCEPropSectI(BF585, BH585, BG585, BI585, BG585, BI585, "rx")/10</f>
        <v>16.91131201300167</v>
      </c>
      <c r="BS585" s="77" cm="1">
        <f t="array" ref="BS585">_xll.DCEPropSectI(BF585, BH585, BG585, BI585, BG585, BI585, "ry")/10</f>
        <v>5.1070747638622018</v>
      </c>
      <c r="BT585" s="5">
        <f t="shared" si="77"/>
        <v>191.58773710218577</v>
      </c>
      <c r="BU585" s="5">
        <f t="shared" si="78"/>
        <v>634.41405301647956</v>
      </c>
      <c r="BV585" s="5">
        <f t="shared" si="79"/>
        <v>634.41405301647956</v>
      </c>
      <c r="BW585" s="71">
        <f t="shared" si="80"/>
        <v>200</v>
      </c>
      <c r="BX585" s="78" cm="1">
        <f t="array" ref="BX585">IF(BM585&gt;0,1,_xll.DCETCVN5575FactorPhi7121(BV585*SQRT($K$17/206000),"b"))</f>
        <v>1.6670876655456978E-2</v>
      </c>
      <c r="BY585" s="64">
        <f t="shared" si="81"/>
        <v>0.82528479314206493</v>
      </c>
      <c r="BZ585" s="3" t="str">
        <f t="shared" si="82"/>
        <v>Check</v>
      </c>
    </row>
    <row r="586" spans="1:78">
      <c r="A586" s="76"/>
      <c r="B586" s="76"/>
      <c r="C586" s="125"/>
      <c r="D586" s="125"/>
      <c r="E586" s="71"/>
      <c r="F586" s="71"/>
      <c r="G586" s="71"/>
      <c r="H586" s="126"/>
      <c r="I586" s="125"/>
      <c r="J586" s="123"/>
      <c r="K586" s="12"/>
      <c r="L586" s="117"/>
      <c r="M586" s="12"/>
      <c r="N586" s="117"/>
      <c r="O586" s="117"/>
      <c r="P586" s="117"/>
      <c r="Q586" s="118"/>
      <c r="R586" s="118"/>
      <c r="S586" s="118"/>
      <c r="T586" s="12"/>
      <c r="U586" s="118"/>
      <c r="V586" s="118"/>
      <c r="W586" s="12"/>
      <c r="X586" s="119"/>
      <c r="Y586" s="120"/>
      <c r="Z586" s="12"/>
      <c r="BA586" s="70" t="s">
        <v>205</v>
      </c>
      <c r="BB586" s="71" t="s">
        <v>210</v>
      </c>
      <c r="BC586" s="71" t="s">
        <v>207</v>
      </c>
      <c r="BD586" s="71">
        <v>30.5</v>
      </c>
      <c r="BE586" s="71">
        <v>36</v>
      </c>
      <c r="BF586" s="71">
        <v>390</v>
      </c>
      <c r="BG586" s="71">
        <v>212</v>
      </c>
      <c r="BH586" s="71">
        <v>5</v>
      </c>
      <c r="BI586" s="71">
        <v>10</v>
      </c>
      <c r="BJ586" s="12" t="str" cm="1">
        <f t="array" ref="BJ586">_xll.Dce_Name_SectI(BF586, BF586, BG586, BH586, BI586, "x", "-", $AX$11)</f>
        <v>390x212x5x10</v>
      </c>
      <c r="BK586" s="77" cm="1">
        <f t="array" ref="BK586">_xll.DCEPropSectI(BF586, BH586, BG586, BI586, BG586, BI586, "A")/100</f>
        <v>60.9</v>
      </c>
      <c r="BL586" s="70" t="s">
        <v>220</v>
      </c>
      <c r="BM586" s="70">
        <v>-17.595388826791179</v>
      </c>
      <c r="BN586" s="71">
        <v>0.9</v>
      </c>
      <c r="BO586" s="77">
        <f t="shared" si="75"/>
        <v>32.4</v>
      </c>
      <c r="BP586" s="71">
        <v>0.9</v>
      </c>
      <c r="BQ586" s="77">
        <f t="shared" si="76"/>
        <v>32.4</v>
      </c>
      <c r="BR586" s="77" cm="1">
        <f t="array" ref="BR586">_xll.DCEPropSectI(BF586, BH586, BG586, BI586, BG586, BI586, "rx")/10</f>
        <v>16.91131201300167</v>
      </c>
      <c r="BS586" s="77" cm="1">
        <f t="array" ref="BS586">_xll.DCEPropSectI(BF586, BH586, BG586, BI586, BG586, BI586, "ry")/10</f>
        <v>5.1070747638622018</v>
      </c>
      <c r="BT586" s="5">
        <f t="shared" si="77"/>
        <v>191.58773710218577</v>
      </c>
      <c r="BU586" s="5">
        <f t="shared" si="78"/>
        <v>634.41405301647956</v>
      </c>
      <c r="BV586" s="5">
        <f t="shared" si="79"/>
        <v>634.41405301647956</v>
      </c>
      <c r="BW586" s="71">
        <f t="shared" si="80"/>
        <v>200</v>
      </c>
      <c r="BX586" s="78" cm="1">
        <f t="array" ref="BX586">IF(BM586&gt;0,1,_xll.DCETCVN5575FactorPhi7121(BV586*SQRT($K$17/206000),"b"))</f>
        <v>1.6670876655456978E-2</v>
      </c>
      <c r="BY586" s="64">
        <f t="shared" si="81"/>
        <v>0.82528479314206493</v>
      </c>
      <c r="BZ586" s="3" t="str">
        <f t="shared" si="82"/>
        <v>Check</v>
      </c>
    </row>
    <row r="587" spans="1:78">
      <c r="A587" s="76"/>
      <c r="B587" s="76"/>
      <c r="C587" s="125"/>
      <c r="D587" s="125"/>
      <c r="E587" s="71"/>
      <c r="F587" s="71"/>
      <c r="G587" s="71"/>
      <c r="H587" s="126"/>
      <c r="I587" s="125"/>
      <c r="J587" s="123"/>
      <c r="K587" s="12"/>
      <c r="L587" s="117"/>
      <c r="M587" s="12"/>
      <c r="N587" s="117"/>
      <c r="O587" s="117"/>
      <c r="P587" s="117"/>
      <c r="Q587" s="118"/>
      <c r="R587" s="118"/>
      <c r="S587" s="118"/>
      <c r="T587" s="12"/>
      <c r="U587" s="118"/>
      <c r="V587" s="118"/>
      <c r="W587" s="12"/>
      <c r="X587" s="119"/>
      <c r="Y587" s="120"/>
      <c r="Z587" s="12"/>
      <c r="BA587" s="70" t="s">
        <v>205</v>
      </c>
      <c r="BB587" s="71" t="s">
        <v>210</v>
      </c>
      <c r="BC587" s="71" t="s">
        <v>207</v>
      </c>
      <c r="BD587" s="71">
        <v>31</v>
      </c>
      <c r="BE587" s="71">
        <v>36</v>
      </c>
      <c r="BF587" s="71">
        <v>390</v>
      </c>
      <c r="BG587" s="71">
        <v>212</v>
      </c>
      <c r="BH587" s="71">
        <v>5</v>
      </c>
      <c r="BI587" s="71">
        <v>10</v>
      </c>
      <c r="BJ587" s="12" t="str" cm="1">
        <f t="array" ref="BJ587">_xll.Dce_Name_SectI(BF587, BF587, BG587, BH587, BI587, "x", "-", $AX$11)</f>
        <v>390x212x5x10</v>
      </c>
      <c r="BK587" s="77" cm="1">
        <f t="array" ref="BK587">_xll.DCEPropSectI(BF587, BH587, BG587, BI587, BG587, BI587, "A")/100</f>
        <v>60.9</v>
      </c>
      <c r="BL587" s="70" t="s">
        <v>220</v>
      </c>
      <c r="BM587" s="70">
        <v>-17.595388826791179</v>
      </c>
      <c r="BN587" s="71">
        <v>0.9</v>
      </c>
      <c r="BO587" s="77">
        <f t="shared" si="75"/>
        <v>32.4</v>
      </c>
      <c r="BP587" s="71">
        <v>0.9</v>
      </c>
      <c r="BQ587" s="77">
        <f t="shared" si="76"/>
        <v>32.4</v>
      </c>
      <c r="BR587" s="77" cm="1">
        <f t="array" ref="BR587">_xll.DCEPropSectI(BF587, BH587, BG587, BI587, BG587, BI587, "rx")/10</f>
        <v>16.91131201300167</v>
      </c>
      <c r="BS587" s="77" cm="1">
        <f t="array" ref="BS587">_xll.DCEPropSectI(BF587, BH587, BG587, BI587, BG587, BI587, "ry")/10</f>
        <v>5.1070747638622018</v>
      </c>
      <c r="BT587" s="5">
        <f t="shared" si="77"/>
        <v>191.58773710218577</v>
      </c>
      <c r="BU587" s="5">
        <f t="shared" si="78"/>
        <v>634.41405301647956</v>
      </c>
      <c r="BV587" s="5">
        <f t="shared" si="79"/>
        <v>634.41405301647956</v>
      </c>
      <c r="BW587" s="71">
        <f t="shared" si="80"/>
        <v>200</v>
      </c>
      <c r="BX587" s="78" cm="1">
        <f t="array" ref="BX587">IF(BM587&gt;0,1,_xll.DCETCVN5575FactorPhi7121(BV587*SQRT($K$17/206000),"b"))</f>
        <v>1.6670876655456978E-2</v>
      </c>
      <c r="BY587" s="64">
        <f t="shared" si="81"/>
        <v>0.82528479314206493</v>
      </c>
      <c r="BZ587" s="3" t="str">
        <f t="shared" si="82"/>
        <v>Check</v>
      </c>
    </row>
    <row r="588" spans="1:78">
      <c r="A588" s="76"/>
      <c r="B588" s="76"/>
      <c r="C588" s="125"/>
      <c r="D588" s="125"/>
      <c r="E588" s="71"/>
      <c r="F588" s="71"/>
      <c r="G588" s="71"/>
      <c r="H588" s="126"/>
      <c r="I588" s="125"/>
      <c r="J588" s="123"/>
      <c r="K588" s="12"/>
      <c r="L588" s="117"/>
      <c r="M588" s="12"/>
      <c r="N588" s="117"/>
      <c r="O588" s="117"/>
      <c r="P588" s="117"/>
      <c r="Q588" s="118"/>
      <c r="R588" s="118"/>
      <c r="S588" s="118"/>
      <c r="T588" s="12"/>
      <c r="U588" s="118"/>
      <c r="V588" s="118"/>
      <c r="W588" s="12"/>
      <c r="X588" s="119"/>
      <c r="Y588" s="120"/>
      <c r="Z588" s="12"/>
      <c r="BA588" s="70" t="s">
        <v>205</v>
      </c>
      <c r="BB588" s="71" t="s">
        <v>210</v>
      </c>
      <c r="BC588" s="71" t="s">
        <v>207</v>
      </c>
      <c r="BD588" s="71">
        <v>31.5</v>
      </c>
      <c r="BE588" s="71">
        <v>36</v>
      </c>
      <c r="BF588" s="71">
        <v>390</v>
      </c>
      <c r="BG588" s="71">
        <v>212</v>
      </c>
      <c r="BH588" s="71">
        <v>5</v>
      </c>
      <c r="BI588" s="71">
        <v>10</v>
      </c>
      <c r="BJ588" s="12" t="str" cm="1">
        <f t="array" ref="BJ588">_xll.Dce_Name_SectI(BF588, BF588, BG588, BH588, BI588, "x", "-", $AX$11)</f>
        <v>390x212x5x10</v>
      </c>
      <c r="BK588" s="77" cm="1">
        <f t="array" ref="BK588">_xll.DCEPropSectI(BF588, BH588, BG588, BI588, BG588, BI588, "A")/100</f>
        <v>60.9</v>
      </c>
      <c r="BL588" s="70" t="s">
        <v>220</v>
      </c>
      <c r="BM588" s="70">
        <v>-17.595388826791179</v>
      </c>
      <c r="BN588" s="71">
        <v>0.9</v>
      </c>
      <c r="BO588" s="77">
        <f t="shared" si="75"/>
        <v>32.4</v>
      </c>
      <c r="BP588" s="71">
        <v>0.9</v>
      </c>
      <c r="BQ588" s="77">
        <f t="shared" si="76"/>
        <v>32.4</v>
      </c>
      <c r="BR588" s="77" cm="1">
        <f t="array" ref="BR588">_xll.DCEPropSectI(BF588, BH588, BG588, BI588, BG588, BI588, "rx")/10</f>
        <v>16.91131201300167</v>
      </c>
      <c r="BS588" s="77" cm="1">
        <f t="array" ref="BS588">_xll.DCEPropSectI(BF588, BH588, BG588, BI588, BG588, BI588, "ry")/10</f>
        <v>5.1070747638622018</v>
      </c>
      <c r="BT588" s="5">
        <f t="shared" si="77"/>
        <v>191.58773710218577</v>
      </c>
      <c r="BU588" s="5">
        <f t="shared" si="78"/>
        <v>634.41405301647956</v>
      </c>
      <c r="BV588" s="5">
        <f t="shared" si="79"/>
        <v>634.41405301647956</v>
      </c>
      <c r="BW588" s="71">
        <f t="shared" si="80"/>
        <v>200</v>
      </c>
      <c r="BX588" s="78" cm="1">
        <f t="array" ref="BX588">IF(BM588&gt;0,1,_xll.DCETCVN5575FactorPhi7121(BV588*SQRT($K$17/206000),"b"))</f>
        <v>1.6670876655456978E-2</v>
      </c>
      <c r="BY588" s="64">
        <f t="shared" si="81"/>
        <v>0.82528479314206493</v>
      </c>
      <c r="BZ588" s="3" t="str">
        <f t="shared" si="82"/>
        <v>Check</v>
      </c>
    </row>
    <row r="589" spans="1:78">
      <c r="A589" s="76"/>
      <c r="B589" s="76"/>
      <c r="C589" s="125"/>
      <c r="D589" s="125"/>
      <c r="E589" s="71"/>
      <c r="F589" s="71"/>
      <c r="G589" s="71"/>
      <c r="H589" s="126"/>
      <c r="I589" s="125"/>
      <c r="J589" s="123"/>
      <c r="K589" s="12"/>
      <c r="L589" s="117"/>
      <c r="M589" s="12"/>
      <c r="N589" s="117"/>
      <c r="O589" s="117"/>
      <c r="P589" s="117"/>
      <c r="Q589" s="118"/>
      <c r="R589" s="118"/>
      <c r="S589" s="118"/>
      <c r="T589" s="12"/>
      <c r="U589" s="118"/>
      <c r="V589" s="118"/>
      <c r="W589" s="12"/>
      <c r="X589" s="119"/>
      <c r="Y589" s="120"/>
      <c r="Z589" s="12"/>
      <c r="BA589" s="70" t="s">
        <v>205</v>
      </c>
      <c r="BB589" s="71" t="s">
        <v>210</v>
      </c>
      <c r="BC589" s="71" t="s">
        <v>207</v>
      </c>
      <c r="BD589" s="71">
        <v>32</v>
      </c>
      <c r="BE589" s="71">
        <v>36</v>
      </c>
      <c r="BF589" s="71">
        <v>390</v>
      </c>
      <c r="BG589" s="71">
        <v>212</v>
      </c>
      <c r="BH589" s="71">
        <v>5</v>
      </c>
      <c r="BI589" s="71">
        <v>10</v>
      </c>
      <c r="BJ589" s="12" t="str" cm="1">
        <f t="array" ref="BJ589">_xll.Dce_Name_SectI(BF589, BF589, BG589, BH589, BI589, "x", "-", $AX$11)</f>
        <v>390x212x5x10</v>
      </c>
      <c r="BK589" s="77" cm="1">
        <f t="array" ref="BK589">_xll.DCEPropSectI(BF589, BH589, BG589, BI589, BG589, BI589, "A")/100</f>
        <v>60.9</v>
      </c>
      <c r="BL589" s="70" t="s">
        <v>220</v>
      </c>
      <c r="BM589" s="70">
        <v>-17.595388826791179</v>
      </c>
      <c r="BN589" s="71">
        <v>0.9</v>
      </c>
      <c r="BO589" s="77">
        <f t="shared" ref="BO589:BO652" si="83">BN589*BE589</f>
        <v>32.4</v>
      </c>
      <c r="BP589" s="71">
        <v>0.9</v>
      </c>
      <c r="BQ589" s="77">
        <f t="shared" ref="BQ589:BQ652" si="84">BP589*BE589</f>
        <v>32.4</v>
      </c>
      <c r="BR589" s="77" cm="1">
        <f t="array" ref="BR589">_xll.DCEPropSectI(BF589, BH589, BG589, BI589, BG589, BI589, "rx")/10</f>
        <v>16.91131201300167</v>
      </c>
      <c r="BS589" s="77" cm="1">
        <f t="array" ref="BS589">_xll.DCEPropSectI(BF589, BH589, BG589, BI589, BG589, BI589, "ry")/10</f>
        <v>5.1070747638622018</v>
      </c>
      <c r="BT589" s="5">
        <f t="shared" ref="BT589:BT652" si="85">BO589*100/BR589</f>
        <v>191.58773710218577</v>
      </c>
      <c r="BU589" s="5">
        <f t="shared" ref="BU589:BU652" si="86">BQ589*100/BS589</f>
        <v>634.41405301647956</v>
      </c>
      <c r="BV589" s="5">
        <f t="shared" ref="BV589:BV652" si="87">MAX(BT589,BU589)</f>
        <v>634.41405301647956</v>
      </c>
      <c r="BW589" s="71">
        <f t="shared" ref="BW589:BW652" si="88">IF(BM589&lt;0,$AY$14,$AY$15)</f>
        <v>200</v>
      </c>
      <c r="BX589" s="78" cm="1">
        <f t="array" ref="BX589">IF(BM589&gt;0,1,_xll.DCETCVN5575FactorPhi7121(BV589*SQRT($K$17/206000),"b"))</f>
        <v>1.6670876655456978E-2</v>
      </c>
      <c r="BY589" s="64">
        <f t="shared" ref="BY589:BY652" si="89">ABS(BM589)/(BX589*BK589*$K$17*$K$19)*10</f>
        <v>0.82528479314206493</v>
      </c>
      <c r="BZ589" s="3" t="str">
        <f t="shared" ref="BZ589:BZ652" si="90">IF(AND(BV589&lt;=BW589,BY589&lt;=1),"OK","Check")</f>
        <v>Check</v>
      </c>
    </row>
    <row r="590" spans="1:78">
      <c r="A590" s="76"/>
      <c r="B590" s="76"/>
      <c r="C590" s="125"/>
      <c r="D590" s="125"/>
      <c r="E590" s="71"/>
      <c r="F590" s="71"/>
      <c r="G590" s="71"/>
      <c r="H590" s="126"/>
      <c r="I590" s="125"/>
      <c r="J590" s="123"/>
      <c r="K590" s="12"/>
      <c r="L590" s="117"/>
      <c r="M590" s="12"/>
      <c r="N590" s="117"/>
      <c r="O590" s="117"/>
      <c r="P590" s="117"/>
      <c r="Q590" s="118"/>
      <c r="R590" s="118"/>
      <c r="S590" s="118"/>
      <c r="T590" s="12"/>
      <c r="U590" s="118"/>
      <c r="V590" s="118"/>
      <c r="W590" s="12"/>
      <c r="X590" s="119"/>
      <c r="Y590" s="120"/>
      <c r="Z590" s="12"/>
      <c r="BA590" s="70" t="s">
        <v>205</v>
      </c>
      <c r="BB590" s="71" t="s">
        <v>210</v>
      </c>
      <c r="BC590" s="71" t="s">
        <v>207</v>
      </c>
      <c r="BD590" s="71">
        <v>32.5</v>
      </c>
      <c r="BE590" s="71">
        <v>36</v>
      </c>
      <c r="BF590" s="71">
        <v>390</v>
      </c>
      <c r="BG590" s="71">
        <v>212</v>
      </c>
      <c r="BH590" s="71">
        <v>5</v>
      </c>
      <c r="BI590" s="71">
        <v>10</v>
      </c>
      <c r="BJ590" s="12" t="str" cm="1">
        <f t="array" ref="BJ590">_xll.Dce_Name_SectI(BF590, BF590, BG590, BH590, BI590, "x", "-", $AX$11)</f>
        <v>390x212x5x10</v>
      </c>
      <c r="BK590" s="77" cm="1">
        <f t="array" ref="BK590">_xll.DCEPropSectI(BF590, BH590, BG590, BI590, BG590, BI590, "A")/100</f>
        <v>60.9</v>
      </c>
      <c r="BL590" s="70" t="s">
        <v>220</v>
      </c>
      <c r="BM590" s="70">
        <v>-17.595388826791179</v>
      </c>
      <c r="BN590" s="71">
        <v>0.9</v>
      </c>
      <c r="BO590" s="77">
        <f t="shared" si="83"/>
        <v>32.4</v>
      </c>
      <c r="BP590" s="71">
        <v>0.9</v>
      </c>
      <c r="BQ590" s="77">
        <f t="shared" si="84"/>
        <v>32.4</v>
      </c>
      <c r="BR590" s="77" cm="1">
        <f t="array" ref="BR590">_xll.DCEPropSectI(BF590, BH590, BG590, BI590, BG590, BI590, "rx")/10</f>
        <v>16.91131201300167</v>
      </c>
      <c r="BS590" s="77" cm="1">
        <f t="array" ref="BS590">_xll.DCEPropSectI(BF590, BH590, BG590, BI590, BG590, BI590, "ry")/10</f>
        <v>5.1070747638622018</v>
      </c>
      <c r="BT590" s="5">
        <f t="shared" si="85"/>
        <v>191.58773710218577</v>
      </c>
      <c r="BU590" s="5">
        <f t="shared" si="86"/>
        <v>634.41405301647956</v>
      </c>
      <c r="BV590" s="5">
        <f t="shared" si="87"/>
        <v>634.41405301647956</v>
      </c>
      <c r="BW590" s="71">
        <f t="shared" si="88"/>
        <v>200</v>
      </c>
      <c r="BX590" s="78" cm="1">
        <f t="array" ref="BX590">IF(BM590&gt;0,1,_xll.DCETCVN5575FactorPhi7121(BV590*SQRT($K$17/206000),"b"))</f>
        <v>1.6670876655456978E-2</v>
      </c>
      <c r="BY590" s="64">
        <f t="shared" si="89"/>
        <v>0.82528479314206493</v>
      </c>
      <c r="BZ590" s="3" t="str">
        <f t="shared" si="90"/>
        <v>Check</v>
      </c>
    </row>
    <row r="591" spans="1:78">
      <c r="A591" s="76"/>
      <c r="B591" s="76"/>
      <c r="C591" s="125"/>
      <c r="D591" s="125"/>
      <c r="E591" s="71"/>
      <c r="F591" s="71"/>
      <c r="G591" s="71"/>
      <c r="H591" s="126"/>
      <c r="I591" s="125"/>
      <c r="J591" s="123"/>
      <c r="K591" s="12"/>
      <c r="L591" s="117"/>
      <c r="M591" s="12"/>
      <c r="N591" s="117"/>
      <c r="O591" s="117"/>
      <c r="P591" s="117"/>
      <c r="Q591" s="118"/>
      <c r="R591" s="118"/>
      <c r="S591" s="118"/>
      <c r="T591" s="12"/>
      <c r="U591" s="118"/>
      <c r="V591" s="118"/>
      <c r="W591" s="12"/>
      <c r="X591" s="119"/>
      <c r="Y591" s="120"/>
      <c r="Z591" s="12"/>
      <c r="BA591" s="70" t="s">
        <v>205</v>
      </c>
      <c r="BB591" s="71" t="s">
        <v>210</v>
      </c>
      <c r="BC591" s="71" t="s">
        <v>207</v>
      </c>
      <c r="BD591" s="71">
        <v>33</v>
      </c>
      <c r="BE591" s="71">
        <v>36</v>
      </c>
      <c r="BF591" s="71">
        <v>390</v>
      </c>
      <c r="BG591" s="71">
        <v>212</v>
      </c>
      <c r="BH591" s="71">
        <v>5</v>
      </c>
      <c r="BI591" s="71">
        <v>10</v>
      </c>
      <c r="BJ591" s="12" t="str" cm="1">
        <f t="array" ref="BJ591">_xll.Dce_Name_SectI(BF591, BF591, BG591, BH591, BI591, "x", "-", $AX$11)</f>
        <v>390x212x5x10</v>
      </c>
      <c r="BK591" s="77" cm="1">
        <f t="array" ref="BK591">_xll.DCEPropSectI(BF591, BH591, BG591, BI591, BG591, BI591, "A")/100</f>
        <v>60.9</v>
      </c>
      <c r="BL591" s="70" t="s">
        <v>220</v>
      </c>
      <c r="BM591" s="70">
        <v>-17.595388826791179</v>
      </c>
      <c r="BN591" s="71">
        <v>0.9</v>
      </c>
      <c r="BO591" s="77">
        <f t="shared" si="83"/>
        <v>32.4</v>
      </c>
      <c r="BP591" s="71">
        <v>0.9</v>
      </c>
      <c r="BQ591" s="77">
        <f t="shared" si="84"/>
        <v>32.4</v>
      </c>
      <c r="BR591" s="77" cm="1">
        <f t="array" ref="BR591">_xll.DCEPropSectI(BF591, BH591, BG591, BI591, BG591, BI591, "rx")/10</f>
        <v>16.91131201300167</v>
      </c>
      <c r="BS591" s="77" cm="1">
        <f t="array" ref="BS591">_xll.DCEPropSectI(BF591, BH591, BG591, BI591, BG591, BI591, "ry")/10</f>
        <v>5.1070747638622018</v>
      </c>
      <c r="BT591" s="5">
        <f t="shared" si="85"/>
        <v>191.58773710218577</v>
      </c>
      <c r="BU591" s="5">
        <f t="shared" si="86"/>
        <v>634.41405301647956</v>
      </c>
      <c r="BV591" s="5">
        <f t="shared" si="87"/>
        <v>634.41405301647956</v>
      </c>
      <c r="BW591" s="71">
        <f t="shared" si="88"/>
        <v>200</v>
      </c>
      <c r="BX591" s="78" cm="1">
        <f t="array" ref="BX591">IF(BM591&gt;0,1,_xll.DCETCVN5575FactorPhi7121(BV591*SQRT($K$17/206000),"b"))</f>
        <v>1.6670876655456978E-2</v>
      </c>
      <c r="BY591" s="64">
        <f t="shared" si="89"/>
        <v>0.82528479314206493</v>
      </c>
      <c r="BZ591" s="3" t="str">
        <f t="shared" si="90"/>
        <v>Check</v>
      </c>
    </row>
    <row r="592" spans="1:78">
      <c r="A592" s="76"/>
      <c r="B592" s="76"/>
      <c r="C592" s="125"/>
      <c r="D592" s="125"/>
      <c r="E592" s="71"/>
      <c r="F592" s="71"/>
      <c r="G592" s="71"/>
      <c r="H592" s="126"/>
      <c r="I592" s="125"/>
      <c r="J592" s="123"/>
      <c r="K592" s="12"/>
      <c r="L592" s="117"/>
      <c r="M592" s="12"/>
      <c r="N592" s="117"/>
      <c r="O592" s="117"/>
      <c r="P592" s="117"/>
      <c r="Q592" s="118"/>
      <c r="R592" s="118"/>
      <c r="S592" s="118"/>
      <c r="T592" s="12"/>
      <c r="U592" s="118"/>
      <c r="V592" s="118"/>
      <c r="W592" s="12"/>
      <c r="X592" s="119"/>
      <c r="Y592" s="120"/>
      <c r="Z592" s="12"/>
      <c r="BA592" s="70" t="s">
        <v>205</v>
      </c>
      <c r="BB592" s="71" t="s">
        <v>210</v>
      </c>
      <c r="BC592" s="71" t="s">
        <v>207</v>
      </c>
      <c r="BD592" s="71">
        <v>33.5</v>
      </c>
      <c r="BE592" s="71">
        <v>36</v>
      </c>
      <c r="BF592" s="71">
        <v>390</v>
      </c>
      <c r="BG592" s="71">
        <v>212</v>
      </c>
      <c r="BH592" s="71">
        <v>5</v>
      </c>
      <c r="BI592" s="71">
        <v>10</v>
      </c>
      <c r="BJ592" s="12" t="str" cm="1">
        <f t="array" ref="BJ592">_xll.Dce_Name_SectI(BF592, BF592, BG592, BH592, BI592, "x", "-", $AX$11)</f>
        <v>390x212x5x10</v>
      </c>
      <c r="BK592" s="77" cm="1">
        <f t="array" ref="BK592">_xll.DCEPropSectI(BF592, BH592, BG592, BI592, BG592, BI592, "A")/100</f>
        <v>60.9</v>
      </c>
      <c r="BL592" s="70" t="s">
        <v>220</v>
      </c>
      <c r="BM592" s="70">
        <v>-17.595388826791179</v>
      </c>
      <c r="BN592" s="71">
        <v>0.9</v>
      </c>
      <c r="BO592" s="77">
        <f t="shared" si="83"/>
        <v>32.4</v>
      </c>
      <c r="BP592" s="71">
        <v>0.9</v>
      </c>
      <c r="BQ592" s="77">
        <f t="shared" si="84"/>
        <v>32.4</v>
      </c>
      <c r="BR592" s="77" cm="1">
        <f t="array" ref="BR592">_xll.DCEPropSectI(BF592, BH592, BG592, BI592, BG592, BI592, "rx")/10</f>
        <v>16.91131201300167</v>
      </c>
      <c r="BS592" s="77" cm="1">
        <f t="array" ref="BS592">_xll.DCEPropSectI(BF592, BH592, BG592, BI592, BG592, BI592, "ry")/10</f>
        <v>5.1070747638622018</v>
      </c>
      <c r="BT592" s="5">
        <f t="shared" si="85"/>
        <v>191.58773710218577</v>
      </c>
      <c r="BU592" s="5">
        <f t="shared" si="86"/>
        <v>634.41405301647956</v>
      </c>
      <c r="BV592" s="5">
        <f t="shared" si="87"/>
        <v>634.41405301647956</v>
      </c>
      <c r="BW592" s="71">
        <f t="shared" si="88"/>
        <v>200</v>
      </c>
      <c r="BX592" s="78" cm="1">
        <f t="array" ref="BX592">IF(BM592&gt;0,1,_xll.DCETCVN5575FactorPhi7121(BV592*SQRT($K$17/206000),"b"))</f>
        <v>1.6670876655456978E-2</v>
      </c>
      <c r="BY592" s="64">
        <f t="shared" si="89"/>
        <v>0.82528479314206493</v>
      </c>
      <c r="BZ592" s="3" t="str">
        <f t="shared" si="90"/>
        <v>Check</v>
      </c>
    </row>
    <row r="593" spans="1:78">
      <c r="A593" s="76"/>
      <c r="B593" s="76"/>
      <c r="C593" s="125"/>
      <c r="D593" s="125"/>
      <c r="E593" s="71"/>
      <c r="F593" s="71"/>
      <c r="G593" s="71"/>
      <c r="H593" s="126"/>
      <c r="I593" s="125"/>
      <c r="J593" s="123"/>
      <c r="K593" s="12"/>
      <c r="L593" s="117"/>
      <c r="M593" s="12"/>
      <c r="N593" s="117"/>
      <c r="O593" s="117"/>
      <c r="P593" s="117"/>
      <c r="Q593" s="118"/>
      <c r="R593" s="118"/>
      <c r="S593" s="118"/>
      <c r="T593" s="12"/>
      <c r="U593" s="118"/>
      <c r="V593" s="118"/>
      <c r="W593" s="12"/>
      <c r="X593" s="119"/>
      <c r="Y593" s="120"/>
      <c r="Z593" s="12"/>
      <c r="BA593" s="70" t="s">
        <v>205</v>
      </c>
      <c r="BB593" s="71" t="s">
        <v>210</v>
      </c>
      <c r="BC593" s="71" t="s">
        <v>207</v>
      </c>
      <c r="BD593" s="71">
        <v>34</v>
      </c>
      <c r="BE593" s="71">
        <v>36</v>
      </c>
      <c r="BF593" s="71">
        <v>390</v>
      </c>
      <c r="BG593" s="71">
        <v>212</v>
      </c>
      <c r="BH593" s="71">
        <v>5</v>
      </c>
      <c r="BI593" s="71">
        <v>10</v>
      </c>
      <c r="BJ593" s="12" t="str" cm="1">
        <f t="array" ref="BJ593">_xll.Dce_Name_SectI(BF593, BF593, BG593, BH593, BI593, "x", "-", $AX$11)</f>
        <v>390x212x5x10</v>
      </c>
      <c r="BK593" s="77" cm="1">
        <f t="array" ref="BK593">_xll.DCEPropSectI(BF593, BH593, BG593, BI593, BG593, BI593, "A")/100</f>
        <v>60.9</v>
      </c>
      <c r="BL593" s="70" t="s">
        <v>220</v>
      </c>
      <c r="BM593" s="70">
        <v>-17.595388826791179</v>
      </c>
      <c r="BN593" s="71">
        <v>0.9</v>
      </c>
      <c r="BO593" s="77">
        <f t="shared" si="83"/>
        <v>32.4</v>
      </c>
      <c r="BP593" s="71">
        <v>0.9</v>
      </c>
      <c r="BQ593" s="77">
        <f t="shared" si="84"/>
        <v>32.4</v>
      </c>
      <c r="BR593" s="77" cm="1">
        <f t="array" ref="BR593">_xll.DCEPropSectI(BF593, BH593, BG593, BI593, BG593, BI593, "rx")/10</f>
        <v>16.91131201300167</v>
      </c>
      <c r="BS593" s="77" cm="1">
        <f t="array" ref="BS593">_xll.DCEPropSectI(BF593, BH593, BG593, BI593, BG593, BI593, "ry")/10</f>
        <v>5.1070747638622018</v>
      </c>
      <c r="BT593" s="5">
        <f t="shared" si="85"/>
        <v>191.58773710218577</v>
      </c>
      <c r="BU593" s="5">
        <f t="shared" si="86"/>
        <v>634.41405301647956</v>
      </c>
      <c r="BV593" s="5">
        <f t="shared" si="87"/>
        <v>634.41405301647956</v>
      </c>
      <c r="BW593" s="71">
        <f t="shared" si="88"/>
        <v>200</v>
      </c>
      <c r="BX593" s="78" cm="1">
        <f t="array" ref="BX593">IF(BM593&gt;0,1,_xll.DCETCVN5575FactorPhi7121(BV593*SQRT($K$17/206000),"b"))</f>
        <v>1.6670876655456978E-2</v>
      </c>
      <c r="BY593" s="64">
        <f t="shared" si="89"/>
        <v>0.82528479314206493</v>
      </c>
      <c r="BZ593" s="3" t="str">
        <f t="shared" si="90"/>
        <v>Check</v>
      </c>
    </row>
    <row r="594" spans="1:78">
      <c r="A594" s="76"/>
      <c r="B594" s="76"/>
      <c r="C594" s="125"/>
      <c r="D594" s="125"/>
      <c r="E594" s="71"/>
      <c r="F594" s="71"/>
      <c r="G594" s="71"/>
      <c r="H594" s="126"/>
      <c r="I594" s="125"/>
      <c r="J594" s="123"/>
      <c r="K594" s="12"/>
      <c r="L594" s="117"/>
      <c r="M594" s="12"/>
      <c r="N594" s="117"/>
      <c r="O594" s="117"/>
      <c r="P594" s="117"/>
      <c r="Q594" s="118"/>
      <c r="R594" s="118"/>
      <c r="S594" s="118"/>
      <c r="T594" s="12"/>
      <c r="U594" s="118"/>
      <c r="V594" s="118"/>
      <c r="W594" s="12"/>
      <c r="X594" s="119"/>
      <c r="Y594" s="120"/>
      <c r="Z594" s="12"/>
      <c r="BA594" s="70" t="s">
        <v>205</v>
      </c>
      <c r="BB594" s="71" t="s">
        <v>210</v>
      </c>
      <c r="BC594" s="71" t="s">
        <v>207</v>
      </c>
      <c r="BD594" s="71">
        <v>34.5</v>
      </c>
      <c r="BE594" s="71">
        <v>36</v>
      </c>
      <c r="BF594" s="71">
        <v>390</v>
      </c>
      <c r="BG594" s="71">
        <v>212</v>
      </c>
      <c r="BH594" s="71">
        <v>5</v>
      </c>
      <c r="BI594" s="71">
        <v>10</v>
      </c>
      <c r="BJ594" s="12" t="str" cm="1">
        <f t="array" ref="BJ594">_xll.Dce_Name_SectI(BF594, BF594, BG594, BH594, BI594, "x", "-", $AX$11)</f>
        <v>390x212x5x10</v>
      </c>
      <c r="BK594" s="77" cm="1">
        <f t="array" ref="BK594">_xll.DCEPropSectI(BF594, BH594, BG594, BI594, BG594, BI594, "A")/100</f>
        <v>60.9</v>
      </c>
      <c r="BL594" s="70" t="s">
        <v>220</v>
      </c>
      <c r="BM594" s="70">
        <v>-17.595388826791179</v>
      </c>
      <c r="BN594" s="71">
        <v>0.9</v>
      </c>
      <c r="BO594" s="77">
        <f t="shared" si="83"/>
        <v>32.4</v>
      </c>
      <c r="BP594" s="71">
        <v>0.9</v>
      </c>
      <c r="BQ594" s="77">
        <f t="shared" si="84"/>
        <v>32.4</v>
      </c>
      <c r="BR594" s="77" cm="1">
        <f t="array" ref="BR594">_xll.DCEPropSectI(BF594, BH594, BG594, BI594, BG594, BI594, "rx")/10</f>
        <v>16.91131201300167</v>
      </c>
      <c r="BS594" s="77" cm="1">
        <f t="array" ref="BS594">_xll.DCEPropSectI(BF594, BH594, BG594, BI594, BG594, BI594, "ry")/10</f>
        <v>5.1070747638622018</v>
      </c>
      <c r="BT594" s="5">
        <f t="shared" si="85"/>
        <v>191.58773710218577</v>
      </c>
      <c r="BU594" s="5">
        <f t="shared" si="86"/>
        <v>634.41405301647956</v>
      </c>
      <c r="BV594" s="5">
        <f t="shared" si="87"/>
        <v>634.41405301647956</v>
      </c>
      <c r="BW594" s="71">
        <f t="shared" si="88"/>
        <v>200</v>
      </c>
      <c r="BX594" s="78" cm="1">
        <f t="array" ref="BX594">IF(BM594&gt;0,1,_xll.DCETCVN5575FactorPhi7121(BV594*SQRT($K$17/206000),"b"))</f>
        <v>1.6670876655456978E-2</v>
      </c>
      <c r="BY594" s="64">
        <f t="shared" si="89"/>
        <v>0.82528479314206493</v>
      </c>
      <c r="BZ594" s="3" t="str">
        <f t="shared" si="90"/>
        <v>Check</v>
      </c>
    </row>
    <row r="595" spans="1:78">
      <c r="A595" s="76"/>
      <c r="B595" s="76"/>
      <c r="C595" s="125"/>
      <c r="D595" s="125"/>
      <c r="E595" s="71"/>
      <c r="F595" s="71"/>
      <c r="G595" s="71"/>
      <c r="H595" s="126"/>
      <c r="I595" s="125"/>
      <c r="J595" s="123"/>
      <c r="K595" s="12"/>
      <c r="L595" s="117"/>
      <c r="M595" s="12"/>
      <c r="N595" s="117"/>
      <c r="O595" s="117"/>
      <c r="P595" s="117"/>
      <c r="Q595" s="118"/>
      <c r="R595" s="118"/>
      <c r="S595" s="118"/>
      <c r="T595" s="12"/>
      <c r="U595" s="118"/>
      <c r="V595" s="118"/>
      <c r="W595" s="12"/>
      <c r="X595" s="119"/>
      <c r="Y595" s="120"/>
      <c r="Z595" s="12"/>
      <c r="BA595" s="70" t="s">
        <v>205</v>
      </c>
      <c r="BB595" s="71" t="s">
        <v>210</v>
      </c>
      <c r="BC595" s="71" t="s">
        <v>207</v>
      </c>
      <c r="BD595" s="71">
        <v>35</v>
      </c>
      <c r="BE595" s="71">
        <v>36</v>
      </c>
      <c r="BF595" s="71">
        <v>390</v>
      </c>
      <c r="BG595" s="71">
        <v>212</v>
      </c>
      <c r="BH595" s="71">
        <v>5</v>
      </c>
      <c r="BI595" s="71">
        <v>10</v>
      </c>
      <c r="BJ595" s="12" t="str" cm="1">
        <f t="array" ref="BJ595">_xll.Dce_Name_SectI(BF595, BF595, BG595, BH595, BI595, "x", "-", $AX$11)</f>
        <v>390x212x5x10</v>
      </c>
      <c r="BK595" s="77" cm="1">
        <f t="array" ref="BK595">_xll.DCEPropSectI(BF595, BH595, BG595, BI595, BG595, BI595, "A")/100</f>
        <v>60.9</v>
      </c>
      <c r="BL595" s="70" t="s">
        <v>220</v>
      </c>
      <c r="BM595" s="70">
        <v>-17.595388826791179</v>
      </c>
      <c r="BN595" s="71">
        <v>0.9</v>
      </c>
      <c r="BO595" s="77">
        <f t="shared" si="83"/>
        <v>32.4</v>
      </c>
      <c r="BP595" s="71">
        <v>0.9</v>
      </c>
      <c r="BQ595" s="77">
        <f t="shared" si="84"/>
        <v>32.4</v>
      </c>
      <c r="BR595" s="77" cm="1">
        <f t="array" ref="BR595">_xll.DCEPropSectI(BF595, BH595, BG595, BI595, BG595, BI595, "rx")/10</f>
        <v>16.91131201300167</v>
      </c>
      <c r="BS595" s="77" cm="1">
        <f t="array" ref="BS595">_xll.DCEPropSectI(BF595, BH595, BG595, BI595, BG595, BI595, "ry")/10</f>
        <v>5.1070747638622018</v>
      </c>
      <c r="BT595" s="5">
        <f t="shared" si="85"/>
        <v>191.58773710218577</v>
      </c>
      <c r="BU595" s="5">
        <f t="shared" si="86"/>
        <v>634.41405301647956</v>
      </c>
      <c r="BV595" s="5">
        <f t="shared" si="87"/>
        <v>634.41405301647956</v>
      </c>
      <c r="BW595" s="71">
        <f t="shared" si="88"/>
        <v>200</v>
      </c>
      <c r="BX595" s="78" cm="1">
        <f t="array" ref="BX595">IF(BM595&gt;0,1,_xll.DCETCVN5575FactorPhi7121(BV595*SQRT($K$17/206000),"b"))</f>
        <v>1.6670876655456978E-2</v>
      </c>
      <c r="BY595" s="64">
        <f t="shared" si="89"/>
        <v>0.82528479314206493</v>
      </c>
      <c r="BZ595" s="3" t="str">
        <f t="shared" si="90"/>
        <v>Check</v>
      </c>
    </row>
    <row r="596" spans="1:78">
      <c r="A596" s="76"/>
      <c r="B596" s="76"/>
      <c r="C596" s="125"/>
      <c r="D596" s="125"/>
      <c r="E596" s="71"/>
      <c r="F596" s="71"/>
      <c r="G596" s="71"/>
      <c r="H596" s="126"/>
      <c r="I596" s="125"/>
      <c r="J596" s="123"/>
      <c r="K596" s="12"/>
      <c r="L596" s="117"/>
      <c r="M596" s="12"/>
      <c r="N596" s="117"/>
      <c r="O596" s="117"/>
      <c r="P596" s="117"/>
      <c r="Q596" s="118"/>
      <c r="R596" s="118"/>
      <c r="S596" s="118"/>
      <c r="T596" s="12"/>
      <c r="U596" s="118"/>
      <c r="V596" s="118"/>
      <c r="W596" s="12"/>
      <c r="X596" s="119"/>
      <c r="Y596" s="120"/>
      <c r="Z596" s="12"/>
      <c r="BA596" s="70" t="s">
        <v>205</v>
      </c>
      <c r="BB596" s="71" t="s">
        <v>210</v>
      </c>
      <c r="BC596" s="71" t="s">
        <v>207</v>
      </c>
      <c r="BD596" s="71">
        <v>35.5</v>
      </c>
      <c r="BE596" s="71">
        <v>36</v>
      </c>
      <c r="BF596" s="71">
        <v>390</v>
      </c>
      <c r="BG596" s="71">
        <v>212</v>
      </c>
      <c r="BH596" s="71">
        <v>5</v>
      </c>
      <c r="BI596" s="71">
        <v>10</v>
      </c>
      <c r="BJ596" s="12" t="str" cm="1">
        <f t="array" ref="BJ596">_xll.Dce_Name_SectI(BF596, BF596, BG596, BH596, BI596, "x", "-", $AX$11)</f>
        <v>390x212x5x10</v>
      </c>
      <c r="BK596" s="77" cm="1">
        <f t="array" ref="BK596">_xll.DCEPropSectI(BF596, BH596, BG596, BI596, BG596, BI596, "A")/100</f>
        <v>60.9</v>
      </c>
      <c r="BL596" s="70" t="s">
        <v>220</v>
      </c>
      <c r="BM596" s="70">
        <v>-17.595388826791179</v>
      </c>
      <c r="BN596" s="71">
        <v>0.9</v>
      </c>
      <c r="BO596" s="77">
        <f t="shared" si="83"/>
        <v>32.4</v>
      </c>
      <c r="BP596" s="71">
        <v>0.9</v>
      </c>
      <c r="BQ596" s="77">
        <f t="shared" si="84"/>
        <v>32.4</v>
      </c>
      <c r="BR596" s="77" cm="1">
        <f t="array" ref="BR596">_xll.DCEPropSectI(BF596, BH596, BG596, BI596, BG596, BI596, "rx")/10</f>
        <v>16.91131201300167</v>
      </c>
      <c r="BS596" s="77" cm="1">
        <f t="array" ref="BS596">_xll.DCEPropSectI(BF596, BH596, BG596, BI596, BG596, BI596, "ry")/10</f>
        <v>5.1070747638622018</v>
      </c>
      <c r="BT596" s="5">
        <f t="shared" si="85"/>
        <v>191.58773710218577</v>
      </c>
      <c r="BU596" s="5">
        <f t="shared" si="86"/>
        <v>634.41405301647956</v>
      </c>
      <c r="BV596" s="5">
        <f t="shared" si="87"/>
        <v>634.41405301647956</v>
      </c>
      <c r="BW596" s="71">
        <f t="shared" si="88"/>
        <v>200</v>
      </c>
      <c r="BX596" s="78" cm="1">
        <f t="array" ref="BX596">IF(BM596&gt;0,1,_xll.DCETCVN5575FactorPhi7121(BV596*SQRT($K$17/206000),"b"))</f>
        <v>1.6670876655456978E-2</v>
      </c>
      <c r="BY596" s="64">
        <f t="shared" si="89"/>
        <v>0.82528479314206493</v>
      </c>
      <c r="BZ596" s="3" t="str">
        <f t="shared" si="90"/>
        <v>Check</v>
      </c>
    </row>
    <row r="597" spans="1:78">
      <c r="A597" s="76"/>
      <c r="B597" s="76"/>
      <c r="C597" s="125"/>
      <c r="D597" s="125"/>
      <c r="E597" s="71"/>
      <c r="F597" s="71"/>
      <c r="G597" s="71"/>
      <c r="H597" s="126"/>
      <c r="I597" s="125"/>
      <c r="J597" s="123"/>
      <c r="K597" s="12"/>
      <c r="L597" s="117"/>
      <c r="M597" s="12"/>
      <c r="N597" s="117"/>
      <c r="O597" s="117"/>
      <c r="P597" s="117"/>
      <c r="Q597" s="118"/>
      <c r="R597" s="118"/>
      <c r="S597" s="118"/>
      <c r="T597" s="12"/>
      <c r="U597" s="118"/>
      <c r="V597" s="118"/>
      <c r="W597" s="12"/>
      <c r="X597" s="119"/>
      <c r="Y597" s="120"/>
      <c r="Z597" s="12"/>
      <c r="BA597" s="70" t="s">
        <v>205</v>
      </c>
      <c r="BB597" s="71" t="s">
        <v>210</v>
      </c>
      <c r="BC597" s="71" t="s">
        <v>207</v>
      </c>
      <c r="BD597" s="71">
        <v>36</v>
      </c>
      <c r="BE597" s="71">
        <v>36</v>
      </c>
      <c r="BF597" s="71">
        <v>390</v>
      </c>
      <c r="BG597" s="71">
        <v>212</v>
      </c>
      <c r="BH597" s="71">
        <v>5</v>
      </c>
      <c r="BI597" s="71">
        <v>10</v>
      </c>
      <c r="BJ597" s="12" t="str" cm="1">
        <f t="array" ref="BJ597">_xll.Dce_Name_SectI(BF597, BF597, BG597, BH597, BI597, "x", "-", $AX$11)</f>
        <v>390x212x5x10</v>
      </c>
      <c r="BK597" s="77" cm="1">
        <f t="array" ref="BK597">_xll.DCEPropSectI(BF597, BH597, BG597, BI597, BG597, BI597, "A")/100</f>
        <v>60.9</v>
      </c>
      <c r="BL597" s="70" t="s">
        <v>220</v>
      </c>
      <c r="BM597" s="70">
        <v>-17.595388826791179</v>
      </c>
      <c r="BN597" s="71">
        <v>0.9</v>
      </c>
      <c r="BO597" s="77">
        <f t="shared" si="83"/>
        <v>32.4</v>
      </c>
      <c r="BP597" s="71">
        <v>0.9</v>
      </c>
      <c r="BQ597" s="77">
        <f t="shared" si="84"/>
        <v>32.4</v>
      </c>
      <c r="BR597" s="77" cm="1">
        <f t="array" ref="BR597">_xll.DCEPropSectI(BF597, BH597, BG597, BI597, BG597, BI597, "rx")/10</f>
        <v>16.91131201300167</v>
      </c>
      <c r="BS597" s="77" cm="1">
        <f t="array" ref="BS597">_xll.DCEPropSectI(BF597, BH597, BG597, BI597, BG597, BI597, "ry")/10</f>
        <v>5.1070747638622018</v>
      </c>
      <c r="BT597" s="5">
        <f t="shared" si="85"/>
        <v>191.58773710218577</v>
      </c>
      <c r="BU597" s="5">
        <f t="shared" si="86"/>
        <v>634.41405301647956</v>
      </c>
      <c r="BV597" s="5">
        <f t="shared" si="87"/>
        <v>634.41405301647956</v>
      </c>
      <c r="BW597" s="71">
        <f t="shared" si="88"/>
        <v>200</v>
      </c>
      <c r="BX597" s="78" cm="1">
        <f t="array" ref="BX597">IF(BM597&gt;0,1,_xll.DCETCVN5575FactorPhi7121(BV597*SQRT($K$17/206000),"b"))</f>
        <v>1.6670876655456978E-2</v>
      </c>
      <c r="BY597" s="64">
        <f t="shared" si="89"/>
        <v>0.82528479314206493</v>
      </c>
      <c r="BZ597" s="3" t="str">
        <f t="shared" si="90"/>
        <v>Check</v>
      </c>
    </row>
    <row r="598" spans="1:78">
      <c r="A598" s="76"/>
      <c r="B598" s="76"/>
      <c r="C598" s="125"/>
      <c r="D598" s="125"/>
      <c r="E598" s="71"/>
      <c r="F598" s="71"/>
      <c r="G598" s="71"/>
      <c r="H598" s="126"/>
      <c r="I598" s="125"/>
      <c r="J598" s="123"/>
      <c r="K598" s="12"/>
      <c r="L598" s="117"/>
      <c r="M598" s="12"/>
      <c r="N598" s="117"/>
      <c r="O598" s="117"/>
      <c r="P598" s="117"/>
      <c r="Q598" s="118"/>
      <c r="R598" s="118"/>
      <c r="S598" s="118"/>
      <c r="T598" s="12"/>
      <c r="U598" s="118"/>
      <c r="V598" s="118"/>
      <c r="W598" s="12"/>
      <c r="X598" s="119"/>
      <c r="Y598" s="120"/>
      <c r="Z598" s="12"/>
      <c r="BA598" s="70" t="s">
        <v>205</v>
      </c>
      <c r="BB598" s="71" t="s">
        <v>210</v>
      </c>
      <c r="BC598" s="71" t="s">
        <v>207</v>
      </c>
      <c r="BD598" s="71">
        <v>0</v>
      </c>
      <c r="BE598" s="71">
        <v>36</v>
      </c>
      <c r="BF598" s="71">
        <v>390</v>
      </c>
      <c r="BG598" s="71">
        <v>212</v>
      </c>
      <c r="BH598" s="71">
        <v>5</v>
      </c>
      <c r="BI598" s="71">
        <v>10</v>
      </c>
      <c r="BJ598" s="12" t="str" cm="1">
        <f t="array" ref="BJ598">_xll.Dce_Name_SectI(BF598, BF598, BG598, BH598, BI598, "x", "-", $AX$11)</f>
        <v>390x212x5x10</v>
      </c>
      <c r="BK598" s="77" cm="1">
        <f t="array" ref="BK598">_xll.DCEPropSectI(BF598, BH598, BG598, BI598, BG598, BI598, "A")/100</f>
        <v>60.9</v>
      </c>
      <c r="BL598" s="70" t="s">
        <v>221</v>
      </c>
      <c r="BM598" s="70">
        <v>-3.2065687693832388</v>
      </c>
      <c r="BN598" s="71">
        <v>0.9</v>
      </c>
      <c r="BO598" s="77">
        <f t="shared" si="83"/>
        <v>32.4</v>
      </c>
      <c r="BP598" s="71">
        <v>0.9</v>
      </c>
      <c r="BQ598" s="77">
        <f t="shared" si="84"/>
        <v>32.4</v>
      </c>
      <c r="BR598" s="77" cm="1">
        <f t="array" ref="BR598">_xll.DCEPropSectI(BF598, BH598, BG598, BI598, BG598, BI598, "rx")/10</f>
        <v>16.91131201300167</v>
      </c>
      <c r="BS598" s="77" cm="1">
        <f t="array" ref="BS598">_xll.DCEPropSectI(BF598, BH598, BG598, BI598, BG598, BI598, "ry")/10</f>
        <v>5.1070747638622018</v>
      </c>
      <c r="BT598" s="5">
        <f t="shared" si="85"/>
        <v>191.58773710218577</v>
      </c>
      <c r="BU598" s="5">
        <f t="shared" si="86"/>
        <v>634.41405301647956</v>
      </c>
      <c r="BV598" s="5">
        <f t="shared" si="87"/>
        <v>634.41405301647956</v>
      </c>
      <c r="BW598" s="71">
        <f t="shared" si="88"/>
        <v>200</v>
      </c>
      <c r="BX598" s="78" cm="1">
        <f t="array" ref="BX598">IF(BM598&gt;0,1,_xll.DCETCVN5575FactorPhi7121(BV598*SQRT($K$17/206000),"b"))</f>
        <v>1.6670876655456978E-2</v>
      </c>
      <c r="BY598" s="64">
        <f t="shared" si="89"/>
        <v>0.15039920229025458</v>
      </c>
      <c r="BZ598" s="3" t="str">
        <f t="shared" si="90"/>
        <v>Check</v>
      </c>
    </row>
    <row r="599" spans="1:78">
      <c r="A599" s="76"/>
      <c r="B599" s="76"/>
      <c r="C599" s="125"/>
      <c r="D599" s="125"/>
      <c r="E599" s="71"/>
      <c r="F599" s="71"/>
      <c r="G599" s="71"/>
      <c r="H599" s="126"/>
      <c r="I599" s="125"/>
      <c r="J599" s="123"/>
      <c r="K599" s="12"/>
      <c r="L599" s="117"/>
      <c r="M599" s="12"/>
      <c r="N599" s="117"/>
      <c r="O599" s="117"/>
      <c r="P599" s="117"/>
      <c r="Q599" s="118"/>
      <c r="R599" s="118"/>
      <c r="S599" s="118"/>
      <c r="T599" s="12"/>
      <c r="U599" s="118"/>
      <c r="V599" s="118"/>
      <c r="W599" s="12"/>
      <c r="X599" s="119"/>
      <c r="Y599" s="120"/>
      <c r="Z599" s="12"/>
      <c r="BA599" s="70" t="s">
        <v>205</v>
      </c>
      <c r="BB599" s="71" t="s">
        <v>210</v>
      </c>
      <c r="BC599" s="71" t="s">
        <v>207</v>
      </c>
      <c r="BD599" s="71">
        <v>0.3</v>
      </c>
      <c r="BE599" s="71">
        <v>36</v>
      </c>
      <c r="BF599" s="71">
        <v>390</v>
      </c>
      <c r="BG599" s="71">
        <v>212</v>
      </c>
      <c r="BH599" s="71">
        <v>5</v>
      </c>
      <c r="BI599" s="71">
        <v>10</v>
      </c>
      <c r="BJ599" s="12" t="str" cm="1">
        <f t="array" ref="BJ599">_xll.Dce_Name_SectI(BF599, BF599, BG599, BH599, BI599, "x", "-", $AX$11)</f>
        <v>390x212x5x10</v>
      </c>
      <c r="BK599" s="77" cm="1">
        <f t="array" ref="BK599">_xll.DCEPropSectI(BF599, BH599, BG599, BI599, BG599, BI599, "A")/100</f>
        <v>60.9</v>
      </c>
      <c r="BL599" s="70" t="s">
        <v>221</v>
      </c>
      <c r="BM599" s="70">
        <v>-3.2065687693832388</v>
      </c>
      <c r="BN599" s="71">
        <v>0.9</v>
      </c>
      <c r="BO599" s="77">
        <f t="shared" si="83"/>
        <v>32.4</v>
      </c>
      <c r="BP599" s="71">
        <v>0.9</v>
      </c>
      <c r="BQ599" s="77">
        <f t="shared" si="84"/>
        <v>32.4</v>
      </c>
      <c r="BR599" s="77" cm="1">
        <f t="array" ref="BR599">_xll.DCEPropSectI(BF599, BH599, BG599, BI599, BG599, BI599, "rx")/10</f>
        <v>16.91131201300167</v>
      </c>
      <c r="BS599" s="77" cm="1">
        <f t="array" ref="BS599">_xll.DCEPropSectI(BF599, BH599, BG599, BI599, BG599, BI599, "ry")/10</f>
        <v>5.1070747638622018</v>
      </c>
      <c r="BT599" s="5">
        <f t="shared" si="85"/>
        <v>191.58773710218577</v>
      </c>
      <c r="BU599" s="5">
        <f t="shared" si="86"/>
        <v>634.41405301647956</v>
      </c>
      <c r="BV599" s="5">
        <f t="shared" si="87"/>
        <v>634.41405301647956</v>
      </c>
      <c r="BW599" s="71">
        <f t="shared" si="88"/>
        <v>200</v>
      </c>
      <c r="BX599" s="78" cm="1">
        <f t="array" ref="BX599">IF(BM599&gt;0,1,_xll.DCETCVN5575FactorPhi7121(BV599*SQRT($K$17/206000),"b"))</f>
        <v>1.6670876655456978E-2</v>
      </c>
      <c r="BY599" s="64">
        <f t="shared" si="89"/>
        <v>0.15039920229025458</v>
      </c>
      <c r="BZ599" s="3" t="str">
        <f t="shared" si="90"/>
        <v>Check</v>
      </c>
    </row>
    <row r="600" spans="1:78">
      <c r="A600" s="76"/>
      <c r="B600" s="76"/>
      <c r="C600" s="125"/>
      <c r="D600" s="125"/>
      <c r="E600" s="71"/>
      <c r="F600" s="71"/>
      <c r="G600" s="71"/>
      <c r="H600" s="126"/>
      <c r="I600" s="125"/>
      <c r="J600" s="123"/>
      <c r="K600" s="12"/>
      <c r="L600" s="117"/>
      <c r="M600" s="12"/>
      <c r="N600" s="117"/>
      <c r="O600" s="117"/>
      <c r="P600" s="117"/>
      <c r="Q600" s="118"/>
      <c r="R600" s="118"/>
      <c r="S600" s="118"/>
      <c r="T600" s="12"/>
      <c r="U600" s="118"/>
      <c r="V600" s="118"/>
      <c r="W600" s="12"/>
      <c r="X600" s="119"/>
      <c r="Y600" s="120"/>
      <c r="Z600" s="12"/>
      <c r="BA600" s="70" t="s">
        <v>205</v>
      </c>
      <c r="BB600" s="71" t="s">
        <v>210</v>
      </c>
      <c r="BC600" s="71" t="s">
        <v>207</v>
      </c>
      <c r="BD600" s="71">
        <v>0.6</v>
      </c>
      <c r="BE600" s="71">
        <v>36</v>
      </c>
      <c r="BF600" s="71">
        <v>390</v>
      </c>
      <c r="BG600" s="71">
        <v>212</v>
      </c>
      <c r="BH600" s="71">
        <v>5</v>
      </c>
      <c r="BI600" s="71">
        <v>10</v>
      </c>
      <c r="BJ600" s="12" t="str" cm="1">
        <f t="array" ref="BJ600">_xll.Dce_Name_SectI(BF600, BF600, BG600, BH600, BI600, "x", "-", $AX$11)</f>
        <v>390x212x5x10</v>
      </c>
      <c r="BK600" s="77" cm="1">
        <f t="array" ref="BK600">_xll.DCEPropSectI(BF600, BH600, BG600, BI600, BG600, BI600, "A")/100</f>
        <v>60.9</v>
      </c>
      <c r="BL600" s="70" t="s">
        <v>221</v>
      </c>
      <c r="BM600" s="70">
        <v>-3.2065687693832388</v>
      </c>
      <c r="BN600" s="71">
        <v>0.9</v>
      </c>
      <c r="BO600" s="77">
        <f t="shared" si="83"/>
        <v>32.4</v>
      </c>
      <c r="BP600" s="71">
        <v>0.9</v>
      </c>
      <c r="BQ600" s="77">
        <f t="shared" si="84"/>
        <v>32.4</v>
      </c>
      <c r="BR600" s="77" cm="1">
        <f t="array" ref="BR600">_xll.DCEPropSectI(BF600, BH600, BG600, BI600, BG600, BI600, "rx")/10</f>
        <v>16.91131201300167</v>
      </c>
      <c r="BS600" s="77" cm="1">
        <f t="array" ref="BS600">_xll.DCEPropSectI(BF600, BH600, BG600, BI600, BG600, BI600, "ry")/10</f>
        <v>5.1070747638622018</v>
      </c>
      <c r="BT600" s="5">
        <f t="shared" si="85"/>
        <v>191.58773710218577</v>
      </c>
      <c r="BU600" s="5">
        <f t="shared" si="86"/>
        <v>634.41405301647956</v>
      </c>
      <c r="BV600" s="5">
        <f t="shared" si="87"/>
        <v>634.41405301647956</v>
      </c>
      <c r="BW600" s="71">
        <f t="shared" si="88"/>
        <v>200</v>
      </c>
      <c r="BX600" s="78" cm="1">
        <f t="array" ref="BX600">IF(BM600&gt;0,1,_xll.DCETCVN5575FactorPhi7121(BV600*SQRT($K$17/206000),"b"))</f>
        <v>1.6670876655456978E-2</v>
      </c>
      <c r="BY600" s="64">
        <f t="shared" si="89"/>
        <v>0.15039920229025458</v>
      </c>
      <c r="BZ600" s="3" t="str">
        <f t="shared" si="90"/>
        <v>Check</v>
      </c>
    </row>
    <row r="601" spans="1:78">
      <c r="A601" s="76"/>
      <c r="B601" s="76"/>
      <c r="C601" s="125"/>
      <c r="D601" s="125"/>
      <c r="E601" s="71"/>
      <c r="F601" s="71"/>
      <c r="G601" s="71"/>
      <c r="H601" s="126"/>
      <c r="I601" s="125"/>
      <c r="J601" s="123"/>
      <c r="K601" s="12"/>
      <c r="L601" s="117"/>
      <c r="M601" s="12"/>
      <c r="N601" s="117"/>
      <c r="O601" s="117"/>
      <c r="P601" s="117"/>
      <c r="Q601" s="118"/>
      <c r="R601" s="118"/>
      <c r="S601" s="118"/>
      <c r="T601" s="12"/>
      <c r="U601" s="118"/>
      <c r="V601" s="118"/>
      <c r="W601" s="12"/>
      <c r="X601" s="119"/>
      <c r="Y601" s="120"/>
      <c r="Z601" s="12"/>
      <c r="BA601" s="70" t="s">
        <v>205</v>
      </c>
      <c r="BB601" s="71" t="s">
        <v>210</v>
      </c>
      <c r="BC601" s="71" t="s">
        <v>207</v>
      </c>
      <c r="BD601" s="71">
        <v>0.6</v>
      </c>
      <c r="BE601" s="71">
        <v>36</v>
      </c>
      <c r="BF601" s="71">
        <v>390</v>
      </c>
      <c r="BG601" s="71">
        <v>212</v>
      </c>
      <c r="BH601" s="71">
        <v>5</v>
      </c>
      <c r="BI601" s="71">
        <v>10</v>
      </c>
      <c r="BJ601" s="12" t="str" cm="1">
        <f t="array" ref="BJ601">_xll.Dce_Name_SectI(BF601, BF601, BG601, BH601, BI601, "x", "-", $AX$11)</f>
        <v>390x212x5x10</v>
      </c>
      <c r="BK601" s="77" cm="1">
        <f t="array" ref="BK601">_xll.DCEPropSectI(BF601, BH601, BG601, BI601, BG601, BI601, "A")/100</f>
        <v>60.9</v>
      </c>
      <c r="BL601" s="70" t="s">
        <v>221</v>
      </c>
      <c r="BM601" s="70">
        <v>-9.2460847752687272</v>
      </c>
      <c r="BN601" s="71">
        <v>0.9</v>
      </c>
      <c r="BO601" s="77">
        <f t="shared" si="83"/>
        <v>32.4</v>
      </c>
      <c r="BP601" s="71">
        <v>0.9</v>
      </c>
      <c r="BQ601" s="77">
        <f t="shared" si="84"/>
        <v>32.4</v>
      </c>
      <c r="BR601" s="77" cm="1">
        <f t="array" ref="BR601">_xll.DCEPropSectI(BF601, BH601, BG601, BI601, BG601, BI601, "rx")/10</f>
        <v>16.91131201300167</v>
      </c>
      <c r="BS601" s="77" cm="1">
        <f t="array" ref="BS601">_xll.DCEPropSectI(BF601, BH601, BG601, BI601, BG601, BI601, "ry")/10</f>
        <v>5.1070747638622018</v>
      </c>
      <c r="BT601" s="5">
        <f t="shared" si="85"/>
        <v>191.58773710218577</v>
      </c>
      <c r="BU601" s="5">
        <f t="shared" si="86"/>
        <v>634.41405301647956</v>
      </c>
      <c r="BV601" s="5">
        <f t="shared" si="87"/>
        <v>634.41405301647956</v>
      </c>
      <c r="BW601" s="71">
        <f t="shared" si="88"/>
        <v>200</v>
      </c>
      <c r="BX601" s="78" cm="1">
        <f t="array" ref="BX601">IF(BM601&gt;0,1,_xll.DCETCVN5575FactorPhi7121(BV601*SQRT($K$17/206000),"b"))</f>
        <v>1.6670876655456978E-2</v>
      </c>
      <c r="BY601" s="64">
        <f t="shared" si="89"/>
        <v>0.43367346048716032</v>
      </c>
      <c r="BZ601" s="3" t="str">
        <f t="shared" si="90"/>
        <v>Check</v>
      </c>
    </row>
    <row r="602" spans="1:78">
      <c r="A602" s="76"/>
      <c r="B602" s="76"/>
      <c r="C602" s="125"/>
      <c r="D602" s="125"/>
      <c r="E602" s="71"/>
      <c r="F602" s="71"/>
      <c r="G602" s="71"/>
      <c r="H602" s="126"/>
      <c r="I602" s="125"/>
      <c r="J602" s="123"/>
      <c r="K602" s="12"/>
      <c r="L602" s="117"/>
      <c r="M602" s="12"/>
      <c r="N602" s="117"/>
      <c r="O602" s="117"/>
      <c r="P602" s="117"/>
      <c r="Q602" s="118"/>
      <c r="R602" s="118"/>
      <c r="S602" s="118"/>
      <c r="T602" s="12"/>
      <c r="U602" s="118"/>
      <c r="V602" s="118"/>
      <c r="W602" s="12"/>
      <c r="X602" s="119"/>
      <c r="Y602" s="120"/>
      <c r="Z602" s="12"/>
      <c r="BA602" s="70" t="s">
        <v>205</v>
      </c>
      <c r="BB602" s="71" t="s">
        <v>210</v>
      </c>
      <c r="BC602" s="71" t="s">
        <v>207</v>
      </c>
      <c r="BD602" s="71">
        <v>1.0900000000000001</v>
      </c>
      <c r="BE602" s="71">
        <v>36</v>
      </c>
      <c r="BF602" s="71">
        <v>390</v>
      </c>
      <c r="BG602" s="71">
        <v>212</v>
      </c>
      <c r="BH602" s="71">
        <v>5</v>
      </c>
      <c r="BI602" s="71">
        <v>10</v>
      </c>
      <c r="BJ602" s="12" t="str" cm="1">
        <f t="array" ref="BJ602">_xll.Dce_Name_SectI(BF602, BF602, BG602, BH602, BI602, "x", "-", $AX$11)</f>
        <v>390x212x5x10</v>
      </c>
      <c r="BK602" s="77" cm="1">
        <f t="array" ref="BK602">_xll.DCEPropSectI(BF602, BH602, BG602, BI602, BG602, BI602, "A")/100</f>
        <v>60.9</v>
      </c>
      <c r="BL602" s="70" t="s">
        <v>221</v>
      </c>
      <c r="BM602" s="70">
        <v>-9.2460847752687272</v>
      </c>
      <c r="BN602" s="71">
        <v>0.9</v>
      </c>
      <c r="BO602" s="77">
        <f t="shared" si="83"/>
        <v>32.4</v>
      </c>
      <c r="BP602" s="71">
        <v>0.9</v>
      </c>
      <c r="BQ602" s="77">
        <f t="shared" si="84"/>
        <v>32.4</v>
      </c>
      <c r="BR602" s="77" cm="1">
        <f t="array" ref="BR602">_xll.DCEPropSectI(BF602, BH602, BG602, BI602, BG602, BI602, "rx")/10</f>
        <v>16.91131201300167</v>
      </c>
      <c r="BS602" s="77" cm="1">
        <f t="array" ref="BS602">_xll.DCEPropSectI(BF602, BH602, BG602, BI602, BG602, BI602, "ry")/10</f>
        <v>5.1070747638622018</v>
      </c>
      <c r="BT602" s="5">
        <f t="shared" si="85"/>
        <v>191.58773710218577</v>
      </c>
      <c r="BU602" s="5">
        <f t="shared" si="86"/>
        <v>634.41405301647956</v>
      </c>
      <c r="BV602" s="5">
        <f t="shared" si="87"/>
        <v>634.41405301647956</v>
      </c>
      <c r="BW602" s="71">
        <f t="shared" si="88"/>
        <v>200</v>
      </c>
      <c r="BX602" s="78" cm="1">
        <f t="array" ref="BX602">IF(BM602&gt;0,1,_xll.DCETCVN5575FactorPhi7121(BV602*SQRT($K$17/206000),"b"))</f>
        <v>1.6670876655456978E-2</v>
      </c>
      <c r="BY602" s="64">
        <f t="shared" si="89"/>
        <v>0.43367346048716032</v>
      </c>
      <c r="BZ602" s="3" t="str">
        <f t="shared" si="90"/>
        <v>Check</v>
      </c>
    </row>
    <row r="603" spans="1:78">
      <c r="A603" s="76"/>
      <c r="B603" s="76"/>
      <c r="C603" s="125"/>
      <c r="D603" s="125"/>
      <c r="E603" s="71"/>
      <c r="F603" s="71"/>
      <c r="G603" s="71"/>
      <c r="H603" s="126"/>
      <c r="I603" s="125"/>
      <c r="J603" s="123"/>
      <c r="K603" s="12"/>
      <c r="L603" s="117"/>
      <c r="M603" s="12"/>
      <c r="N603" s="117"/>
      <c r="O603" s="117"/>
      <c r="P603" s="117"/>
      <c r="Q603" s="118"/>
      <c r="R603" s="118"/>
      <c r="S603" s="118"/>
      <c r="T603" s="12"/>
      <c r="U603" s="118"/>
      <c r="V603" s="118"/>
      <c r="W603" s="12"/>
      <c r="X603" s="119"/>
      <c r="Y603" s="120"/>
      <c r="Z603" s="12"/>
      <c r="BA603" s="70" t="s">
        <v>205</v>
      </c>
      <c r="BB603" s="71" t="s">
        <v>210</v>
      </c>
      <c r="BC603" s="71" t="s">
        <v>207</v>
      </c>
      <c r="BD603" s="71">
        <v>1.59</v>
      </c>
      <c r="BE603" s="71">
        <v>36</v>
      </c>
      <c r="BF603" s="71">
        <v>390</v>
      </c>
      <c r="BG603" s="71">
        <v>212</v>
      </c>
      <c r="BH603" s="71">
        <v>5</v>
      </c>
      <c r="BI603" s="71">
        <v>10</v>
      </c>
      <c r="BJ603" s="12" t="str" cm="1">
        <f t="array" ref="BJ603">_xll.Dce_Name_SectI(BF603, BF603, BG603, BH603, BI603, "x", "-", $AX$11)</f>
        <v>390x212x5x10</v>
      </c>
      <c r="BK603" s="77" cm="1">
        <f t="array" ref="BK603">_xll.DCEPropSectI(BF603, BH603, BG603, BI603, BG603, BI603, "A")/100</f>
        <v>60.9</v>
      </c>
      <c r="BL603" s="70" t="s">
        <v>221</v>
      </c>
      <c r="BM603" s="70">
        <v>-9.2460847752687272</v>
      </c>
      <c r="BN603" s="71">
        <v>0.9</v>
      </c>
      <c r="BO603" s="77">
        <f t="shared" si="83"/>
        <v>32.4</v>
      </c>
      <c r="BP603" s="71">
        <v>0.9</v>
      </c>
      <c r="BQ603" s="77">
        <f t="shared" si="84"/>
        <v>32.4</v>
      </c>
      <c r="BR603" s="77" cm="1">
        <f t="array" ref="BR603">_xll.DCEPropSectI(BF603, BH603, BG603, BI603, BG603, BI603, "rx")/10</f>
        <v>16.91131201300167</v>
      </c>
      <c r="BS603" s="77" cm="1">
        <f t="array" ref="BS603">_xll.DCEPropSectI(BF603, BH603, BG603, BI603, BG603, BI603, "ry")/10</f>
        <v>5.1070747638622018</v>
      </c>
      <c r="BT603" s="5">
        <f t="shared" si="85"/>
        <v>191.58773710218577</v>
      </c>
      <c r="BU603" s="5">
        <f t="shared" si="86"/>
        <v>634.41405301647956</v>
      </c>
      <c r="BV603" s="5">
        <f t="shared" si="87"/>
        <v>634.41405301647956</v>
      </c>
      <c r="BW603" s="71">
        <f t="shared" si="88"/>
        <v>200</v>
      </c>
      <c r="BX603" s="78" cm="1">
        <f t="array" ref="BX603">IF(BM603&gt;0,1,_xll.DCETCVN5575FactorPhi7121(BV603*SQRT($K$17/206000),"b"))</f>
        <v>1.6670876655456978E-2</v>
      </c>
      <c r="BY603" s="64">
        <f t="shared" si="89"/>
        <v>0.43367346048716032</v>
      </c>
      <c r="BZ603" s="3" t="str">
        <f t="shared" si="90"/>
        <v>Check</v>
      </c>
    </row>
    <row r="604" spans="1:78">
      <c r="A604" s="76"/>
      <c r="B604" s="76"/>
      <c r="C604" s="125"/>
      <c r="D604" s="125"/>
      <c r="E604" s="71"/>
      <c r="F604" s="71"/>
      <c r="G604" s="71"/>
      <c r="H604" s="126"/>
      <c r="I604" s="125"/>
      <c r="J604" s="123"/>
      <c r="K604" s="12"/>
      <c r="L604" s="117"/>
      <c r="M604" s="12"/>
      <c r="N604" s="117"/>
      <c r="O604" s="117"/>
      <c r="P604" s="117"/>
      <c r="Q604" s="118"/>
      <c r="R604" s="118"/>
      <c r="S604" s="118"/>
      <c r="T604" s="12"/>
      <c r="U604" s="118"/>
      <c r="V604" s="118"/>
      <c r="W604" s="12"/>
      <c r="X604" s="119"/>
      <c r="Y604" s="120"/>
      <c r="Z604" s="12"/>
      <c r="BA604" s="70" t="s">
        <v>205</v>
      </c>
      <c r="BB604" s="71" t="s">
        <v>210</v>
      </c>
      <c r="BC604" s="71" t="s">
        <v>207</v>
      </c>
      <c r="BD604" s="71">
        <v>2.08</v>
      </c>
      <c r="BE604" s="71">
        <v>36</v>
      </c>
      <c r="BF604" s="71">
        <v>390</v>
      </c>
      <c r="BG604" s="71">
        <v>212</v>
      </c>
      <c r="BH604" s="71">
        <v>5</v>
      </c>
      <c r="BI604" s="71">
        <v>10</v>
      </c>
      <c r="BJ604" s="12" t="str" cm="1">
        <f t="array" ref="BJ604">_xll.Dce_Name_SectI(BF604, BF604, BG604, BH604, BI604, "x", "-", $AX$11)</f>
        <v>390x212x5x10</v>
      </c>
      <c r="BK604" s="77" cm="1">
        <f t="array" ref="BK604">_xll.DCEPropSectI(BF604, BH604, BG604, BI604, BG604, BI604, "A")/100</f>
        <v>60.9</v>
      </c>
      <c r="BL604" s="70" t="s">
        <v>221</v>
      </c>
      <c r="BM604" s="70">
        <v>-9.2460847752687272</v>
      </c>
      <c r="BN604" s="71">
        <v>0.9</v>
      </c>
      <c r="BO604" s="77">
        <f t="shared" si="83"/>
        <v>32.4</v>
      </c>
      <c r="BP604" s="71">
        <v>0.9</v>
      </c>
      <c r="BQ604" s="77">
        <f t="shared" si="84"/>
        <v>32.4</v>
      </c>
      <c r="BR604" s="77" cm="1">
        <f t="array" ref="BR604">_xll.DCEPropSectI(BF604, BH604, BG604, BI604, BG604, BI604, "rx")/10</f>
        <v>16.91131201300167</v>
      </c>
      <c r="BS604" s="77" cm="1">
        <f t="array" ref="BS604">_xll.DCEPropSectI(BF604, BH604, BG604, BI604, BG604, BI604, "ry")/10</f>
        <v>5.1070747638622018</v>
      </c>
      <c r="BT604" s="5">
        <f t="shared" si="85"/>
        <v>191.58773710218577</v>
      </c>
      <c r="BU604" s="5">
        <f t="shared" si="86"/>
        <v>634.41405301647956</v>
      </c>
      <c r="BV604" s="5">
        <f t="shared" si="87"/>
        <v>634.41405301647956</v>
      </c>
      <c r="BW604" s="71">
        <f t="shared" si="88"/>
        <v>200</v>
      </c>
      <c r="BX604" s="78" cm="1">
        <f t="array" ref="BX604">IF(BM604&gt;0,1,_xll.DCETCVN5575FactorPhi7121(BV604*SQRT($K$17/206000),"b"))</f>
        <v>1.6670876655456978E-2</v>
      </c>
      <c r="BY604" s="64">
        <f t="shared" si="89"/>
        <v>0.43367346048716032</v>
      </c>
      <c r="BZ604" s="3" t="str">
        <f t="shared" si="90"/>
        <v>Check</v>
      </c>
    </row>
    <row r="605" spans="1:78">
      <c r="A605" s="76"/>
      <c r="B605" s="76"/>
      <c r="C605" s="125"/>
      <c r="D605" s="125"/>
      <c r="E605" s="71"/>
      <c r="F605" s="71"/>
      <c r="G605" s="71"/>
      <c r="H605" s="126"/>
      <c r="I605" s="125"/>
      <c r="J605" s="123"/>
      <c r="K605" s="12"/>
      <c r="L605" s="117"/>
      <c r="M605" s="12"/>
      <c r="N605" s="117"/>
      <c r="O605" s="117"/>
      <c r="P605" s="117"/>
      <c r="Q605" s="118"/>
      <c r="R605" s="118"/>
      <c r="S605" s="118"/>
      <c r="T605" s="12"/>
      <c r="U605" s="118"/>
      <c r="V605" s="118"/>
      <c r="W605" s="12"/>
      <c r="X605" s="119"/>
      <c r="Y605" s="120"/>
      <c r="Z605" s="12"/>
      <c r="BA605" s="70" t="s">
        <v>205</v>
      </c>
      <c r="BB605" s="71" t="s">
        <v>210</v>
      </c>
      <c r="BC605" s="71" t="s">
        <v>207</v>
      </c>
      <c r="BD605" s="71">
        <v>2.57</v>
      </c>
      <c r="BE605" s="71">
        <v>36</v>
      </c>
      <c r="BF605" s="71">
        <v>390</v>
      </c>
      <c r="BG605" s="71">
        <v>212</v>
      </c>
      <c r="BH605" s="71">
        <v>5</v>
      </c>
      <c r="BI605" s="71">
        <v>10</v>
      </c>
      <c r="BJ605" s="12" t="str" cm="1">
        <f t="array" ref="BJ605">_xll.Dce_Name_SectI(BF605, BF605, BG605, BH605, BI605, "x", "-", $AX$11)</f>
        <v>390x212x5x10</v>
      </c>
      <c r="BK605" s="77" cm="1">
        <f t="array" ref="BK605">_xll.DCEPropSectI(BF605, BH605, BG605, BI605, BG605, BI605, "A")/100</f>
        <v>60.9</v>
      </c>
      <c r="BL605" s="70" t="s">
        <v>221</v>
      </c>
      <c r="BM605" s="70">
        <v>-9.2460847752687272</v>
      </c>
      <c r="BN605" s="71">
        <v>0.9</v>
      </c>
      <c r="BO605" s="77">
        <f t="shared" si="83"/>
        <v>32.4</v>
      </c>
      <c r="BP605" s="71">
        <v>0.9</v>
      </c>
      <c r="BQ605" s="77">
        <f t="shared" si="84"/>
        <v>32.4</v>
      </c>
      <c r="BR605" s="77" cm="1">
        <f t="array" ref="BR605">_xll.DCEPropSectI(BF605, BH605, BG605, BI605, BG605, BI605, "rx")/10</f>
        <v>16.91131201300167</v>
      </c>
      <c r="BS605" s="77" cm="1">
        <f t="array" ref="BS605">_xll.DCEPropSectI(BF605, BH605, BG605, BI605, BG605, BI605, "ry")/10</f>
        <v>5.1070747638622018</v>
      </c>
      <c r="BT605" s="5">
        <f t="shared" si="85"/>
        <v>191.58773710218577</v>
      </c>
      <c r="BU605" s="5">
        <f t="shared" si="86"/>
        <v>634.41405301647956</v>
      </c>
      <c r="BV605" s="5">
        <f t="shared" si="87"/>
        <v>634.41405301647956</v>
      </c>
      <c r="BW605" s="71">
        <f t="shared" si="88"/>
        <v>200</v>
      </c>
      <c r="BX605" s="78" cm="1">
        <f t="array" ref="BX605">IF(BM605&gt;0,1,_xll.DCETCVN5575FactorPhi7121(BV605*SQRT($K$17/206000),"b"))</f>
        <v>1.6670876655456978E-2</v>
      </c>
      <c r="BY605" s="64">
        <f t="shared" si="89"/>
        <v>0.43367346048716032</v>
      </c>
      <c r="BZ605" s="3" t="str">
        <f t="shared" si="90"/>
        <v>Check</v>
      </c>
    </row>
    <row r="606" spans="1:78">
      <c r="A606" s="76"/>
      <c r="B606" s="76"/>
      <c r="C606" s="125"/>
      <c r="D606" s="125"/>
      <c r="E606" s="71"/>
      <c r="F606" s="71"/>
      <c r="G606" s="71"/>
      <c r="H606" s="126"/>
      <c r="I606" s="125"/>
      <c r="J606" s="123"/>
      <c r="K606" s="12"/>
      <c r="L606" s="117"/>
      <c r="M606" s="12"/>
      <c r="N606" s="117"/>
      <c r="O606" s="117"/>
      <c r="P606" s="117"/>
      <c r="Q606" s="118"/>
      <c r="R606" s="118"/>
      <c r="S606" s="118"/>
      <c r="T606" s="12"/>
      <c r="U606" s="118"/>
      <c r="V606" s="118"/>
      <c r="W606" s="12"/>
      <c r="X606" s="119"/>
      <c r="Y606" s="120"/>
      <c r="Z606" s="12"/>
      <c r="BA606" s="70" t="s">
        <v>205</v>
      </c>
      <c r="BB606" s="71" t="s">
        <v>210</v>
      </c>
      <c r="BC606" s="71" t="s">
        <v>207</v>
      </c>
      <c r="BD606" s="71">
        <v>3.06</v>
      </c>
      <c r="BE606" s="71">
        <v>36</v>
      </c>
      <c r="BF606" s="71">
        <v>390</v>
      </c>
      <c r="BG606" s="71">
        <v>212</v>
      </c>
      <c r="BH606" s="71">
        <v>5</v>
      </c>
      <c r="BI606" s="71">
        <v>10</v>
      </c>
      <c r="BJ606" s="12" t="str" cm="1">
        <f t="array" ref="BJ606">_xll.Dce_Name_SectI(BF606, BF606, BG606, BH606, BI606, "x", "-", $AX$11)</f>
        <v>390x212x5x10</v>
      </c>
      <c r="BK606" s="77" cm="1">
        <f t="array" ref="BK606">_xll.DCEPropSectI(BF606, BH606, BG606, BI606, BG606, BI606, "A")/100</f>
        <v>60.9</v>
      </c>
      <c r="BL606" s="70" t="s">
        <v>221</v>
      </c>
      <c r="BM606" s="70">
        <v>-9.2460847752687272</v>
      </c>
      <c r="BN606" s="71">
        <v>0.9</v>
      </c>
      <c r="BO606" s="77">
        <f t="shared" si="83"/>
        <v>32.4</v>
      </c>
      <c r="BP606" s="71">
        <v>0.9</v>
      </c>
      <c r="BQ606" s="77">
        <f t="shared" si="84"/>
        <v>32.4</v>
      </c>
      <c r="BR606" s="77" cm="1">
        <f t="array" ref="BR606">_xll.DCEPropSectI(BF606, BH606, BG606, BI606, BG606, BI606, "rx")/10</f>
        <v>16.91131201300167</v>
      </c>
      <c r="BS606" s="77" cm="1">
        <f t="array" ref="BS606">_xll.DCEPropSectI(BF606, BH606, BG606, BI606, BG606, BI606, "ry")/10</f>
        <v>5.1070747638622018</v>
      </c>
      <c r="BT606" s="5">
        <f t="shared" si="85"/>
        <v>191.58773710218577</v>
      </c>
      <c r="BU606" s="5">
        <f t="shared" si="86"/>
        <v>634.41405301647956</v>
      </c>
      <c r="BV606" s="5">
        <f t="shared" si="87"/>
        <v>634.41405301647956</v>
      </c>
      <c r="BW606" s="71">
        <f t="shared" si="88"/>
        <v>200</v>
      </c>
      <c r="BX606" s="78" cm="1">
        <f t="array" ref="BX606">IF(BM606&gt;0,1,_xll.DCETCVN5575FactorPhi7121(BV606*SQRT($K$17/206000),"b"))</f>
        <v>1.6670876655456978E-2</v>
      </c>
      <c r="BY606" s="64">
        <f t="shared" si="89"/>
        <v>0.43367346048716032</v>
      </c>
      <c r="BZ606" s="3" t="str">
        <f t="shared" si="90"/>
        <v>Check</v>
      </c>
    </row>
    <row r="607" spans="1:78">
      <c r="A607" s="76"/>
      <c r="B607" s="76"/>
      <c r="C607" s="125"/>
      <c r="D607" s="125"/>
      <c r="E607" s="71"/>
      <c r="F607" s="71"/>
      <c r="G607" s="71"/>
      <c r="H607" s="126"/>
      <c r="I607" s="125"/>
      <c r="J607" s="123"/>
      <c r="K607" s="12"/>
      <c r="L607" s="117"/>
      <c r="M607" s="12"/>
      <c r="N607" s="117"/>
      <c r="O607" s="117"/>
      <c r="P607" s="117"/>
      <c r="Q607" s="118"/>
      <c r="R607" s="118"/>
      <c r="S607" s="118"/>
      <c r="T607" s="12"/>
      <c r="U607" s="118"/>
      <c r="V607" s="118"/>
      <c r="W607" s="12"/>
      <c r="X607" s="119"/>
      <c r="Y607" s="120"/>
      <c r="Z607" s="12"/>
      <c r="BA607" s="70" t="s">
        <v>205</v>
      </c>
      <c r="BB607" s="71" t="s">
        <v>210</v>
      </c>
      <c r="BC607" s="71" t="s">
        <v>207</v>
      </c>
      <c r="BD607" s="71">
        <v>3.56</v>
      </c>
      <c r="BE607" s="71">
        <v>36</v>
      </c>
      <c r="BF607" s="71">
        <v>390</v>
      </c>
      <c r="BG607" s="71">
        <v>212</v>
      </c>
      <c r="BH607" s="71">
        <v>5</v>
      </c>
      <c r="BI607" s="71">
        <v>10</v>
      </c>
      <c r="BJ607" s="12" t="str" cm="1">
        <f t="array" ref="BJ607">_xll.Dce_Name_SectI(BF607, BF607, BG607, BH607, BI607, "x", "-", $AX$11)</f>
        <v>390x212x5x10</v>
      </c>
      <c r="BK607" s="77" cm="1">
        <f t="array" ref="BK607">_xll.DCEPropSectI(BF607, BH607, BG607, BI607, BG607, BI607, "A")/100</f>
        <v>60.9</v>
      </c>
      <c r="BL607" s="70" t="s">
        <v>221</v>
      </c>
      <c r="BM607" s="70">
        <v>-9.2460847752687272</v>
      </c>
      <c r="BN607" s="71">
        <v>0.9</v>
      </c>
      <c r="BO607" s="77">
        <f t="shared" si="83"/>
        <v>32.4</v>
      </c>
      <c r="BP607" s="71">
        <v>0.9</v>
      </c>
      <c r="BQ607" s="77">
        <f t="shared" si="84"/>
        <v>32.4</v>
      </c>
      <c r="BR607" s="77" cm="1">
        <f t="array" ref="BR607">_xll.DCEPropSectI(BF607, BH607, BG607, BI607, BG607, BI607, "rx")/10</f>
        <v>16.91131201300167</v>
      </c>
      <c r="BS607" s="77" cm="1">
        <f t="array" ref="BS607">_xll.DCEPropSectI(BF607, BH607, BG607, BI607, BG607, BI607, "ry")/10</f>
        <v>5.1070747638622018</v>
      </c>
      <c r="BT607" s="5">
        <f t="shared" si="85"/>
        <v>191.58773710218577</v>
      </c>
      <c r="BU607" s="5">
        <f t="shared" si="86"/>
        <v>634.41405301647956</v>
      </c>
      <c r="BV607" s="5">
        <f t="shared" si="87"/>
        <v>634.41405301647956</v>
      </c>
      <c r="BW607" s="71">
        <f t="shared" si="88"/>
        <v>200</v>
      </c>
      <c r="BX607" s="78" cm="1">
        <f t="array" ref="BX607">IF(BM607&gt;0,1,_xll.DCETCVN5575FactorPhi7121(BV607*SQRT($K$17/206000),"b"))</f>
        <v>1.6670876655456978E-2</v>
      </c>
      <c r="BY607" s="64">
        <f t="shared" si="89"/>
        <v>0.43367346048716032</v>
      </c>
      <c r="BZ607" s="3" t="str">
        <f t="shared" si="90"/>
        <v>Check</v>
      </c>
    </row>
    <row r="608" spans="1:78">
      <c r="A608" s="76"/>
      <c r="B608" s="76"/>
      <c r="C608" s="125"/>
      <c r="D608" s="125"/>
      <c r="E608" s="71"/>
      <c r="F608" s="71"/>
      <c r="G608" s="71"/>
      <c r="H608" s="126"/>
      <c r="I608" s="125"/>
      <c r="J608" s="123"/>
      <c r="K608" s="12"/>
      <c r="L608" s="117"/>
      <c r="M608" s="12"/>
      <c r="N608" s="117"/>
      <c r="O608" s="117"/>
      <c r="P608" s="117"/>
      <c r="Q608" s="118"/>
      <c r="R608" s="118"/>
      <c r="S608" s="118"/>
      <c r="T608" s="12"/>
      <c r="U608" s="118"/>
      <c r="V608" s="118"/>
      <c r="W608" s="12"/>
      <c r="X608" s="119"/>
      <c r="Y608" s="120"/>
      <c r="Z608" s="12"/>
      <c r="BA608" s="70" t="s">
        <v>205</v>
      </c>
      <c r="BB608" s="71" t="s">
        <v>210</v>
      </c>
      <c r="BC608" s="71" t="s">
        <v>207</v>
      </c>
      <c r="BD608" s="71">
        <v>4.05</v>
      </c>
      <c r="BE608" s="71">
        <v>36</v>
      </c>
      <c r="BF608" s="71">
        <v>390</v>
      </c>
      <c r="BG608" s="71">
        <v>212</v>
      </c>
      <c r="BH608" s="71">
        <v>5</v>
      </c>
      <c r="BI608" s="71">
        <v>10</v>
      </c>
      <c r="BJ608" s="12" t="str" cm="1">
        <f t="array" ref="BJ608">_xll.Dce_Name_SectI(BF608, BF608, BG608, BH608, BI608, "x", "-", $AX$11)</f>
        <v>390x212x5x10</v>
      </c>
      <c r="BK608" s="77" cm="1">
        <f t="array" ref="BK608">_xll.DCEPropSectI(BF608, BH608, BG608, BI608, BG608, BI608, "A")/100</f>
        <v>60.9</v>
      </c>
      <c r="BL608" s="70" t="s">
        <v>221</v>
      </c>
      <c r="BM608" s="70">
        <v>-9.2460847752687272</v>
      </c>
      <c r="BN608" s="71">
        <v>0.9</v>
      </c>
      <c r="BO608" s="77">
        <f t="shared" si="83"/>
        <v>32.4</v>
      </c>
      <c r="BP608" s="71">
        <v>0.9</v>
      </c>
      <c r="BQ608" s="77">
        <f t="shared" si="84"/>
        <v>32.4</v>
      </c>
      <c r="BR608" s="77" cm="1">
        <f t="array" ref="BR608">_xll.DCEPropSectI(BF608, BH608, BG608, BI608, BG608, BI608, "rx")/10</f>
        <v>16.91131201300167</v>
      </c>
      <c r="BS608" s="77" cm="1">
        <f t="array" ref="BS608">_xll.DCEPropSectI(BF608, BH608, BG608, BI608, BG608, BI608, "ry")/10</f>
        <v>5.1070747638622018</v>
      </c>
      <c r="BT608" s="5">
        <f t="shared" si="85"/>
        <v>191.58773710218577</v>
      </c>
      <c r="BU608" s="5">
        <f t="shared" si="86"/>
        <v>634.41405301647956</v>
      </c>
      <c r="BV608" s="5">
        <f t="shared" si="87"/>
        <v>634.41405301647956</v>
      </c>
      <c r="BW608" s="71">
        <f t="shared" si="88"/>
        <v>200</v>
      </c>
      <c r="BX608" s="78" cm="1">
        <f t="array" ref="BX608">IF(BM608&gt;0,1,_xll.DCETCVN5575FactorPhi7121(BV608*SQRT($K$17/206000),"b"))</f>
        <v>1.6670876655456978E-2</v>
      </c>
      <c r="BY608" s="64">
        <f t="shared" si="89"/>
        <v>0.43367346048716032</v>
      </c>
      <c r="BZ608" s="3" t="str">
        <f t="shared" si="90"/>
        <v>Check</v>
      </c>
    </row>
    <row r="609" spans="1:78">
      <c r="A609" s="76"/>
      <c r="B609" s="76"/>
      <c r="C609" s="125"/>
      <c r="D609" s="125"/>
      <c r="E609" s="71"/>
      <c r="F609" s="71"/>
      <c r="G609" s="71"/>
      <c r="H609" s="126"/>
      <c r="I609" s="125"/>
      <c r="J609" s="123"/>
      <c r="K609" s="12"/>
      <c r="L609" s="117"/>
      <c r="M609" s="12"/>
      <c r="N609" s="117"/>
      <c r="O609" s="117"/>
      <c r="P609" s="117"/>
      <c r="Q609" s="118"/>
      <c r="R609" s="118"/>
      <c r="S609" s="118"/>
      <c r="T609" s="12"/>
      <c r="U609" s="118"/>
      <c r="V609" s="118"/>
      <c r="W609" s="12"/>
      <c r="X609" s="119"/>
      <c r="Y609" s="120"/>
      <c r="Z609" s="12"/>
      <c r="BA609" s="70" t="s">
        <v>205</v>
      </c>
      <c r="BB609" s="71" t="s">
        <v>210</v>
      </c>
      <c r="BC609" s="71" t="s">
        <v>207</v>
      </c>
      <c r="BD609" s="71">
        <v>4.54</v>
      </c>
      <c r="BE609" s="71">
        <v>36</v>
      </c>
      <c r="BF609" s="71">
        <v>390</v>
      </c>
      <c r="BG609" s="71">
        <v>212</v>
      </c>
      <c r="BH609" s="71">
        <v>5</v>
      </c>
      <c r="BI609" s="71">
        <v>10</v>
      </c>
      <c r="BJ609" s="12" t="str" cm="1">
        <f t="array" ref="BJ609">_xll.Dce_Name_SectI(BF609, BF609, BG609, BH609, BI609, "x", "-", $AX$11)</f>
        <v>390x212x5x10</v>
      </c>
      <c r="BK609" s="77" cm="1">
        <f t="array" ref="BK609">_xll.DCEPropSectI(BF609, BH609, BG609, BI609, BG609, BI609, "A")/100</f>
        <v>60.9</v>
      </c>
      <c r="BL609" s="70" t="s">
        <v>221</v>
      </c>
      <c r="BM609" s="70">
        <v>-9.2460847752687272</v>
      </c>
      <c r="BN609" s="71">
        <v>0.9</v>
      </c>
      <c r="BO609" s="77">
        <f t="shared" si="83"/>
        <v>32.4</v>
      </c>
      <c r="BP609" s="71">
        <v>0.9</v>
      </c>
      <c r="BQ609" s="77">
        <f t="shared" si="84"/>
        <v>32.4</v>
      </c>
      <c r="BR609" s="77" cm="1">
        <f t="array" ref="BR609">_xll.DCEPropSectI(BF609, BH609, BG609, BI609, BG609, BI609, "rx")/10</f>
        <v>16.91131201300167</v>
      </c>
      <c r="BS609" s="77" cm="1">
        <f t="array" ref="BS609">_xll.DCEPropSectI(BF609, BH609, BG609, BI609, BG609, BI609, "ry")/10</f>
        <v>5.1070747638622018</v>
      </c>
      <c r="BT609" s="5">
        <f t="shared" si="85"/>
        <v>191.58773710218577</v>
      </c>
      <c r="BU609" s="5">
        <f t="shared" si="86"/>
        <v>634.41405301647956</v>
      </c>
      <c r="BV609" s="5">
        <f t="shared" si="87"/>
        <v>634.41405301647956</v>
      </c>
      <c r="BW609" s="71">
        <f t="shared" si="88"/>
        <v>200</v>
      </c>
      <c r="BX609" s="78" cm="1">
        <f t="array" ref="BX609">IF(BM609&gt;0,1,_xll.DCETCVN5575FactorPhi7121(BV609*SQRT($K$17/206000),"b"))</f>
        <v>1.6670876655456978E-2</v>
      </c>
      <c r="BY609" s="64">
        <f t="shared" si="89"/>
        <v>0.43367346048716032</v>
      </c>
      <c r="BZ609" s="3" t="str">
        <f t="shared" si="90"/>
        <v>Check</v>
      </c>
    </row>
    <row r="610" spans="1:78">
      <c r="A610" s="76"/>
      <c r="B610" s="76"/>
      <c r="C610" s="125"/>
      <c r="D610" s="125"/>
      <c r="E610" s="71"/>
      <c r="F610" s="71"/>
      <c r="G610" s="71"/>
      <c r="H610" s="126"/>
      <c r="I610" s="125"/>
      <c r="J610" s="123"/>
      <c r="K610" s="12"/>
      <c r="L610" s="117"/>
      <c r="M610" s="12"/>
      <c r="N610" s="117"/>
      <c r="O610" s="117"/>
      <c r="P610" s="117"/>
      <c r="Q610" s="118"/>
      <c r="R610" s="118"/>
      <c r="S610" s="118"/>
      <c r="T610" s="12"/>
      <c r="U610" s="118"/>
      <c r="V610" s="118"/>
      <c r="W610" s="12"/>
      <c r="X610" s="119"/>
      <c r="Y610" s="120"/>
      <c r="Z610" s="12"/>
      <c r="BA610" s="70" t="s">
        <v>205</v>
      </c>
      <c r="BB610" s="71" t="s">
        <v>210</v>
      </c>
      <c r="BC610" s="71" t="s">
        <v>207</v>
      </c>
      <c r="BD610" s="71">
        <v>5.04</v>
      </c>
      <c r="BE610" s="71">
        <v>36</v>
      </c>
      <c r="BF610" s="71">
        <v>390</v>
      </c>
      <c r="BG610" s="71">
        <v>212</v>
      </c>
      <c r="BH610" s="71">
        <v>5</v>
      </c>
      <c r="BI610" s="71">
        <v>10</v>
      </c>
      <c r="BJ610" s="12" t="str" cm="1">
        <f t="array" ref="BJ610">_xll.Dce_Name_SectI(BF610, BF610, BG610, BH610, BI610, "x", "-", $AX$11)</f>
        <v>390x212x5x10</v>
      </c>
      <c r="BK610" s="77" cm="1">
        <f t="array" ref="BK610">_xll.DCEPropSectI(BF610, BH610, BG610, BI610, BG610, BI610, "A")/100</f>
        <v>60.9</v>
      </c>
      <c r="BL610" s="70" t="s">
        <v>221</v>
      </c>
      <c r="BM610" s="70">
        <v>-9.2460847752687272</v>
      </c>
      <c r="BN610" s="71">
        <v>0.9</v>
      </c>
      <c r="BO610" s="77">
        <f t="shared" si="83"/>
        <v>32.4</v>
      </c>
      <c r="BP610" s="71">
        <v>0.9</v>
      </c>
      <c r="BQ610" s="77">
        <f t="shared" si="84"/>
        <v>32.4</v>
      </c>
      <c r="BR610" s="77" cm="1">
        <f t="array" ref="BR610">_xll.DCEPropSectI(BF610, BH610, BG610, BI610, BG610, BI610, "rx")/10</f>
        <v>16.91131201300167</v>
      </c>
      <c r="BS610" s="77" cm="1">
        <f t="array" ref="BS610">_xll.DCEPropSectI(BF610, BH610, BG610, BI610, BG610, BI610, "ry")/10</f>
        <v>5.1070747638622018</v>
      </c>
      <c r="BT610" s="5">
        <f t="shared" si="85"/>
        <v>191.58773710218577</v>
      </c>
      <c r="BU610" s="5">
        <f t="shared" si="86"/>
        <v>634.41405301647956</v>
      </c>
      <c r="BV610" s="5">
        <f t="shared" si="87"/>
        <v>634.41405301647956</v>
      </c>
      <c r="BW610" s="71">
        <f t="shared" si="88"/>
        <v>200</v>
      </c>
      <c r="BX610" s="78" cm="1">
        <f t="array" ref="BX610">IF(BM610&gt;0,1,_xll.DCETCVN5575FactorPhi7121(BV610*SQRT($K$17/206000),"b"))</f>
        <v>1.6670876655456978E-2</v>
      </c>
      <c r="BY610" s="64">
        <f t="shared" si="89"/>
        <v>0.43367346048716032</v>
      </c>
      <c r="BZ610" s="3" t="str">
        <f t="shared" si="90"/>
        <v>Check</v>
      </c>
    </row>
    <row r="611" spans="1:78">
      <c r="A611" s="76"/>
      <c r="B611" s="76"/>
      <c r="C611" s="125"/>
      <c r="D611" s="125"/>
      <c r="E611" s="71"/>
      <c r="F611" s="71"/>
      <c r="G611" s="71"/>
      <c r="H611" s="126"/>
      <c r="I611" s="125"/>
      <c r="J611" s="123"/>
      <c r="K611" s="12"/>
      <c r="L611" s="117"/>
      <c r="M611" s="12"/>
      <c r="N611" s="117"/>
      <c r="O611" s="117"/>
      <c r="P611" s="117"/>
      <c r="Q611" s="118"/>
      <c r="R611" s="118"/>
      <c r="S611" s="118"/>
      <c r="T611" s="12"/>
      <c r="U611" s="118"/>
      <c r="V611" s="118"/>
      <c r="W611" s="12"/>
      <c r="X611" s="119"/>
      <c r="Y611" s="120"/>
      <c r="Z611" s="12"/>
      <c r="BA611" s="70" t="s">
        <v>205</v>
      </c>
      <c r="BB611" s="71" t="s">
        <v>210</v>
      </c>
      <c r="BC611" s="71" t="s">
        <v>207</v>
      </c>
      <c r="BD611" s="71">
        <v>5.53</v>
      </c>
      <c r="BE611" s="71">
        <v>36</v>
      </c>
      <c r="BF611" s="71">
        <v>390</v>
      </c>
      <c r="BG611" s="71">
        <v>212</v>
      </c>
      <c r="BH611" s="71">
        <v>5</v>
      </c>
      <c r="BI611" s="71">
        <v>10</v>
      </c>
      <c r="BJ611" s="12" t="str" cm="1">
        <f t="array" ref="BJ611">_xll.Dce_Name_SectI(BF611, BF611, BG611, BH611, BI611, "x", "-", $AX$11)</f>
        <v>390x212x5x10</v>
      </c>
      <c r="BK611" s="77" cm="1">
        <f t="array" ref="BK611">_xll.DCEPropSectI(BF611, BH611, BG611, BI611, BG611, BI611, "A")/100</f>
        <v>60.9</v>
      </c>
      <c r="BL611" s="70" t="s">
        <v>221</v>
      </c>
      <c r="BM611" s="70">
        <v>-9.2460847752687272</v>
      </c>
      <c r="BN611" s="71">
        <v>0.9</v>
      </c>
      <c r="BO611" s="77">
        <f t="shared" si="83"/>
        <v>32.4</v>
      </c>
      <c r="BP611" s="71">
        <v>0.9</v>
      </c>
      <c r="BQ611" s="77">
        <f t="shared" si="84"/>
        <v>32.4</v>
      </c>
      <c r="BR611" s="77" cm="1">
        <f t="array" ref="BR611">_xll.DCEPropSectI(BF611, BH611, BG611, BI611, BG611, BI611, "rx")/10</f>
        <v>16.91131201300167</v>
      </c>
      <c r="BS611" s="77" cm="1">
        <f t="array" ref="BS611">_xll.DCEPropSectI(BF611, BH611, BG611, BI611, BG611, BI611, "ry")/10</f>
        <v>5.1070747638622018</v>
      </c>
      <c r="BT611" s="5">
        <f t="shared" si="85"/>
        <v>191.58773710218577</v>
      </c>
      <c r="BU611" s="5">
        <f t="shared" si="86"/>
        <v>634.41405301647956</v>
      </c>
      <c r="BV611" s="5">
        <f t="shared" si="87"/>
        <v>634.41405301647956</v>
      </c>
      <c r="BW611" s="71">
        <f t="shared" si="88"/>
        <v>200</v>
      </c>
      <c r="BX611" s="78" cm="1">
        <f t="array" ref="BX611">IF(BM611&gt;0,1,_xll.DCETCVN5575FactorPhi7121(BV611*SQRT($K$17/206000),"b"))</f>
        <v>1.6670876655456978E-2</v>
      </c>
      <c r="BY611" s="64">
        <f t="shared" si="89"/>
        <v>0.43367346048716032</v>
      </c>
      <c r="BZ611" s="3" t="str">
        <f t="shared" si="90"/>
        <v>Check</v>
      </c>
    </row>
    <row r="612" spans="1:78">
      <c r="A612" s="76"/>
      <c r="B612" s="76"/>
      <c r="C612" s="125"/>
      <c r="D612" s="125"/>
      <c r="E612" s="71"/>
      <c r="F612" s="71"/>
      <c r="G612" s="71"/>
      <c r="H612" s="126"/>
      <c r="I612" s="125"/>
      <c r="J612" s="123"/>
      <c r="K612" s="12"/>
      <c r="L612" s="117"/>
      <c r="M612" s="12"/>
      <c r="N612" s="117"/>
      <c r="O612" s="117"/>
      <c r="P612" s="117"/>
      <c r="Q612" s="118"/>
      <c r="R612" s="118"/>
      <c r="S612" s="118"/>
      <c r="T612" s="12"/>
      <c r="U612" s="118"/>
      <c r="V612" s="118"/>
      <c r="W612" s="12"/>
      <c r="X612" s="119"/>
      <c r="Y612" s="120"/>
      <c r="Z612" s="12"/>
      <c r="BA612" s="70" t="s">
        <v>205</v>
      </c>
      <c r="BB612" s="71" t="s">
        <v>210</v>
      </c>
      <c r="BC612" s="71" t="s">
        <v>207</v>
      </c>
      <c r="BD612" s="71">
        <v>6.02</v>
      </c>
      <c r="BE612" s="71">
        <v>36</v>
      </c>
      <c r="BF612" s="71">
        <v>390</v>
      </c>
      <c r="BG612" s="71">
        <v>212</v>
      </c>
      <c r="BH612" s="71">
        <v>5</v>
      </c>
      <c r="BI612" s="71">
        <v>10</v>
      </c>
      <c r="BJ612" s="12" t="str" cm="1">
        <f t="array" ref="BJ612">_xll.Dce_Name_SectI(BF612, BF612, BG612, BH612, BI612, "x", "-", $AX$11)</f>
        <v>390x212x5x10</v>
      </c>
      <c r="BK612" s="77" cm="1">
        <f t="array" ref="BK612">_xll.DCEPropSectI(BF612, BH612, BG612, BI612, BG612, BI612, "A")/100</f>
        <v>60.9</v>
      </c>
      <c r="BL612" s="70" t="s">
        <v>221</v>
      </c>
      <c r="BM612" s="70">
        <v>-9.2460847752687272</v>
      </c>
      <c r="BN612" s="71">
        <v>0.9</v>
      </c>
      <c r="BO612" s="77">
        <f t="shared" si="83"/>
        <v>32.4</v>
      </c>
      <c r="BP612" s="71">
        <v>0.9</v>
      </c>
      <c r="BQ612" s="77">
        <f t="shared" si="84"/>
        <v>32.4</v>
      </c>
      <c r="BR612" s="77" cm="1">
        <f t="array" ref="BR612">_xll.DCEPropSectI(BF612, BH612, BG612, BI612, BG612, BI612, "rx")/10</f>
        <v>16.91131201300167</v>
      </c>
      <c r="BS612" s="77" cm="1">
        <f t="array" ref="BS612">_xll.DCEPropSectI(BF612, BH612, BG612, BI612, BG612, BI612, "ry")/10</f>
        <v>5.1070747638622018</v>
      </c>
      <c r="BT612" s="5">
        <f t="shared" si="85"/>
        <v>191.58773710218577</v>
      </c>
      <c r="BU612" s="5">
        <f t="shared" si="86"/>
        <v>634.41405301647956</v>
      </c>
      <c r="BV612" s="5">
        <f t="shared" si="87"/>
        <v>634.41405301647956</v>
      </c>
      <c r="BW612" s="71">
        <f t="shared" si="88"/>
        <v>200</v>
      </c>
      <c r="BX612" s="78" cm="1">
        <f t="array" ref="BX612">IF(BM612&gt;0,1,_xll.DCETCVN5575FactorPhi7121(BV612*SQRT($K$17/206000),"b"))</f>
        <v>1.6670876655456978E-2</v>
      </c>
      <c r="BY612" s="64">
        <f t="shared" si="89"/>
        <v>0.43367346048716032</v>
      </c>
      <c r="BZ612" s="3" t="str">
        <f t="shared" si="90"/>
        <v>Check</v>
      </c>
    </row>
    <row r="613" spans="1:78">
      <c r="A613" s="76"/>
      <c r="B613" s="76"/>
      <c r="C613" s="125"/>
      <c r="D613" s="125"/>
      <c r="E613" s="71"/>
      <c r="F613" s="71"/>
      <c r="G613" s="71"/>
      <c r="H613" s="126"/>
      <c r="I613" s="125"/>
      <c r="J613" s="123"/>
      <c r="K613" s="12"/>
      <c r="L613" s="117"/>
      <c r="M613" s="12"/>
      <c r="N613" s="117"/>
      <c r="O613" s="117"/>
      <c r="P613" s="117"/>
      <c r="Q613" s="118"/>
      <c r="R613" s="118"/>
      <c r="S613" s="118"/>
      <c r="T613" s="12"/>
      <c r="U613" s="118"/>
      <c r="V613" s="118"/>
      <c r="W613" s="12"/>
      <c r="X613" s="119"/>
      <c r="Y613" s="120"/>
      <c r="Z613" s="12"/>
      <c r="BA613" s="70" t="s">
        <v>205</v>
      </c>
      <c r="BB613" s="71" t="s">
        <v>210</v>
      </c>
      <c r="BC613" s="71" t="s">
        <v>207</v>
      </c>
      <c r="BD613" s="71">
        <v>6.51</v>
      </c>
      <c r="BE613" s="71">
        <v>36</v>
      </c>
      <c r="BF613" s="71">
        <v>390</v>
      </c>
      <c r="BG613" s="71">
        <v>212</v>
      </c>
      <c r="BH613" s="71">
        <v>5</v>
      </c>
      <c r="BI613" s="71">
        <v>10</v>
      </c>
      <c r="BJ613" s="12" t="str" cm="1">
        <f t="array" ref="BJ613">_xll.Dce_Name_SectI(BF613, BF613, BG613, BH613, BI613, "x", "-", $AX$11)</f>
        <v>390x212x5x10</v>
      </c>
      <c r="BK613" s="77" cm="1">
        <f t="array" ref="BK613">_xll.DCEPropSectI(BF613, BH613, BG613, BI613, BG613, BI613, "A")/100</f>
        <v>60.9</v>
      </c>
      <c r="BL613" s="70" t="s">
        <v>221</v>
      </c>
      <c r="BM613" s="70">
        <v>-9.2460847752687272</v>
      </c>
      <c r="BN613" s="71">
        <v>0.9</v>
      </c>
      <c r="BO613" s="77">
        <f t="shared" si="83"/>
        <v>32.4</v>
      </c>
      <c r="BP613" s="71">
        <v>0.9</v>
      </c>
      <c r="BQ613" s="77">
        <f t="shared" si="84"/>
        <v>32.4</v>
      </c>
      <c r="BR613" s="77" cm="1">
        <f t="array" ref="BR613">_xll.DCEPropSectI(BF613, BH613, BG613, BI613, BG613, BI613, "rx")/10</f>
        <v>16.91131201300167</v>
      </c>
      <c r="BS613" s="77" cm="1">
        <f t="array" ref="BS613">_xll.DCEPropSectI(BF613, BH613, BG613, BI613, BG613, BI613, "ry")/10</f>
        <v>5.1070747638622018</v>
      </c>
      <c r="BT613" s="5">
        <f t="shared" si="85"/>
        <v>191.58773710218577</v>
      </c>
      <c r="BU613" s="5">
        <f t="shared" si="86"/>
        <v>634.41405301647956</v>
      </c>
      <c r="BV613" s="5">
        <f t="shared" si="87"/>
        <v>634.41405301647956</v>
      </c>
      <c r="BW613" s="71">
        <f t="shared" si="88"/>
        <v>200</v>
      </c>
      <c r="BX613" s="78" cm="1">
        <f t="array" ref="BX613">IF(BM613&gt;0,1,_xll.DCETCVN5575FactorPhi7121(BV613*SQRT($K$17/206000),"b"))</f>
        <v>1.6670876655456978E-2</v>
      </c>
      <c r="BY613" s="64">
        <f t="shared" si="89"/>
        <v>0.43367346048716032</v>
      </c>
      <c r="BZ613" s="3" t="str">
        <f t="shared" si="90"/>
        <v>Check</v>
      </c>
    </row>
    <row r="614" spans="1:78">
      <c r="A614" s="76"/>
      <c r="B614" s="76"/>
      <c r="C614" s="125"/>
      <c r="D614" s="125"/>
      <c r="E614" s="71"/>
      <c r="F614" s="71"/>
      <c r="G614" s="71"/>
      <c r="H614" s="126"/>
      <c r="I614" s="125"/>
      <c r="J614" s="123"/>
      <c r="K614" s="12"/>
      <c r="L614" s="117"/>
      <c r="M614" s="12"/>
      <c r="N614" s="117"/>
      <c r="O614" s="117"/>
      <c r="P614" s="117"/>
      <c r="Q614" s="118"/>
      <c r="R614" s="118"/>
      <c r="S614" s="118"/>
      <c r="T614" s="12"/>
      <c r="U614" s="118"/>
      <c r="V614" s="118"/>
      <c r="W614" s="12"/>
      <c r="X614" s="119"/>
      <c r="Y614" s="120"/>
      <c r="Z614" s="12"/>
      <c r="BA614" s="70" t="s">
        <v>205</v>
      </c>
      <c r="BB614" s="71" t="s">
        <v>210</v>
      </c>
      <c r="BC614" s="71" t="s">
        <v>207</v>
      </c>
      <c r="BD614" s="71">
        <v>7.01</v>
      </c>
      <c r="BE614" s="71">
        <v>36</v>
      </c>
      <c r="BF614" s="71">
        <v>390</v>
      </c>
      <c r="BG614" s="71">
        <v>212</v>
      </c>
      <c r="BH614" s="71">
        <v>5</v>
      </c>
      <c r="BI614" s="71">
        <v>10</v>
      </c>
      <c r="BJ614" s="12" t="str" cm="1">
        <f t="array" ref="BJ614">_xll.Dce_Name_SectI(BF614, BF614, BG614, BH614, BI614, "x", "-", $AX$11)</f>
        <v>390x212x5x10</v>
      </c>
      <c r="BK614" s="77" cm="1">
        <f t="array" ref="BK614">_xll.DCEPropSectI(BF614, BH614, BG614, BI614, BG614, BI614, "A")/100</f>
        <v>60.9</v>
      </c>
      <c r="BL614" s="70" t="s">
        <v>221</v>
      </c>
      <c r="BM614" s="70">
        <v>-9.2460847752687272</v>
      </c>
      <c r="BN614" s="71">
        <v>0.9</v>
      </c>
      <c r="BO614" s="77">
        <f t="shared" si="83"/>
        <v>32.4</v>
      </c>
      <c r="BP614" s="71">
        <v>0.9</v>
      </c>
      <c r="BQ614" s="77">
        <f t="shared" si="84"/>
        <v>32.4</v>
      </c>
      <c r="BR614" s="77" cm="1">
        <f t="array" ref="BR614">_xll.DCEPropSectI(BF614, BH614, BG614, BI614, BG614, BI614, "rx")/10</f>
        <v>16.91131201300167</v>
      </c>
      <c r="BS614" s="77" cm="1">
        <f t="array" ref="BS614">_xll.DCEPropSectI(BF614, BH614, BG614, BI614, BG614, BI614, "ry")/10</f>
        <v>5.1070747638622018</v>
      </c>
      <c r="BT614" s="5">
        <f t="shared" si="85"/>
        <v>191.58773710218577</v>
      </c>
      <c r="BU614" s="5">
        <f t="shared" si="86"/>
        <v>634.41405301647956</v>
      </c>
      <c r="BV614" s="5">
        <f t="shared" si="87"/>
        <v>634.41405301647956</v>
      </c>
      <c r="BW614" s="71">
        <f t="shared" si="88"/>
        <v>200</v>
      </c>
      <c r="BX614" s="78" cm="1">
        <f t="array" ref="BX614">IF(BM614&gt;0,1,_xll.DCETCVN5575FactorPhi7121(BV614*SQRT($K$17/206000),"b"))</f>
        <v>1.6670876655456978E-2</v>
      </c>
      <c r="BY614" s="64">
        <f t="shared" si="89"/>
        <v>0.43367346048716032</v>
      </c>
      <c r="BZ614" s="3" t="str">
        <f t="shared" si="90"/>
        <v>Check</v>
      </c>
    </row>
    <row r="615" spans="1:78">
      <c r="A615" s="76"/>
      <c r="B615" s="76"/>
      <c r="C615" s="125"/>
      <c r="D615" s="125"/>
      <c r="E615" s="71"/>
      <c r="F615" s="71"/>
      <c r="G615" s="71"/>
      <c r="H615" s="126"/>
      <c r="I615" s="125"/>
      <c r="J615" s="123"/>
      <c r="K615" s="12"/>
      <c r="L615" s="117"/>
      <c r="M615" s="12"/>
      <c r="N615" s="117"/>
      <c r="O615" s="117"/>
      <c r="P615" s="117"/>
      <c r="Q615" s="118"/>
      <c r="R615" s="118"/>
      <c r="S615" s="118"/>
      <c r="T615" s="12"/>
      <c r="U615" s="118"/>
      <c r="V615" s="118"/>
      <c r="W615" s="12"/>
      <c r="X615" s="119"/>
      <c r="Y615" s="120"/>
      <c r="Z615" s="12"/>
      <c r="BA615" s="70" t="s">
        <v>205</v>
      </c>
      <c r="BB615" s="71" t="s">
        <v>210</v>
      </c>
      <c r="BC615" s="71" t="s">
        <v>207</v>
      </c>
      <c r="BD615" s="71">
        <v>7.5</v>
      </c>
      <c r="BE615" s="71">
        <v>36</v>
      </c>
      <c r="BF615" s="71">
        <v>390</v>
      </c>
      <c r="BG615" s="71">
        <v>212</v>
      </c>
      <c r="BH615" s="71">
        <v>5</v>
      </c>
      <c r="BI615" s="71">
        <v>10</v>
      </c>
      <c r="BJ615" s="12" t="str" cm="1">
        <f t="array" ref="BJ615">_xll.Dce_Name_SectI(BF615, BF615, BG615, BH615, BI615, "x", "-", $AX$11)</f>
        <v>390x212x5x10</v>
      </c>
      <c r="BK615" s="77" cm="1">
        <f t="array" ref="BK615">_xll.DCEPropSectI(BF615, BH615, BG615, BI615, BG615, BI615, "A")/100</f>
        <v>60.9</v>
      </c>
      <c r="BL615" s="70" t="s">
        <v>221</v>
      </c>
      <c r="BM615" s="70">
        <v>-9.2460847752687272</v>
      </c>
      <c r="BN615" s="71">
        <v>0.9</v>
      </c>
      <c r="BO615" s="77">
        <f t="shared" si="83"/>
        <v>32.4</v>
      </c>
      <c r="BP615" s="71">
        <v>0.9</v>
      </c>
      <c r="BQ615" s="77">
        <f t="shared" si="84"/>
        <v>32.4</v>
      </c>
      <c r="BR615" s="77" cm="1">
        <f t="array" ref="BR615">_xll.DCEPropSectI(BF615, BH615, BG615, BI615, BG615, BI615, "rx")/10</f>
        <v>16.91131201300167</v>
      </c>
      <c r="BS615" s="77" cm="1">
        <f t="array" ref="BS615">_xll.DCEPropSectI(BF615, BH615, BG615, BI615, BG615, BI615, "ry")/10</f>
        <v>5.1070747638622018</v>
      </c>
      <c r="BT615" s="5">
        <f t="shared" si="85"/>
        <v>191.58773710218577</v>
      </c>
      <c r="BU615" s="5">
        <f t="shared" si="86"/>
        <v>634.41405301647956</v>
      </c>
      <c r="BV615" s="5">
        <f t="shared" si="87"/>
        <v>634.41405301647956</v>
      </c>
      <c r="BW615" s="71">
        <f t="shared" si="88"/>
        <v>200</v>
      </c>
      <c r="BX615" s="78" cm="1">
        <f t="array" ref="BX615">IF(BM615&gt;0,1,_xll.DCETCVN5575FactorPhi7121(BV615*SQRT($K$17/206000),"b"))</f>
        <v>1.6670876655456978E-2</v>
      </c>
      <c r="BY615" s="64">
        <f t="shared" si="89"/>
        <v>0.43367346048716032</v>
      </c>
      <c r="BZ615" s="3" t="str">
        <f t="shared" si="90"/>
        <v>Check</v>
      </c>
    </row>
    <row r="616" spans="1:78">
      <c r="A616" s="76"/>
      <c r="B616" s="76"/>
      <c r="C616" s="125"/>
      <c r="D616" s="125"/>
      <c r="E616" s="71"/>
      <c r="F616" s="71"/>
      <c r="G616" s="71"/>
      <c r="H616" s="126"/>
      <c r="I616" s="125"/>
      <c r="J616" s="123"/>
      <c r="K616" s="12"/>
      <c r="L616" s="117"/>
      <c r="M616" s="12"/>
      <c r="N616" s="117"/>
      <c r="O616" s="117"/>
      <c r="P616" s="117"/>
      <c r="Q616" s="118"/>
      <c r="R616" s="118"/>
      <c r="S616" s="118"/>
      <c r="T616" s="12"/>
      <c r="U616" s="118"/>
      <c r="V616" s="118"/>
      <c r="W616" s="12"/>
      <c r="X616" s="119"/>
      <c r="Y616" s="120"/>
      <c r="Z616" s="12"/>
      <c r="BA616" s="70" t="s">
        <v>205</v>
      </c>
      <c r="BB616" s="71" t="s">
        <v>210</v>
      </c>
      <c r="BC616" s="71" t="s">
        <v>207</v>
      </c>
      <c r="BD616" s="71">
        <v>7.5</v>
      </c>
      <c r="BE616" s="71">
        <v>36</v>
      </c>
      <c r="BF616" s="71">
        <v>390</v>
      </c>
      <c r="BG616" s="71">
        <v>212</v>
      </c>
      <c r="BH616" s="71">
        <v>5</v>
      </c>
      <c r="BI616" s="71">
        <v>10</v>
      </c>
      <c r="BJ616" s="12" t="str" cm="1">
        <f t="array" ref="BJ616">_xll.Dce_Name_SectI(BF616, BF616, BG616, BH616, BI616, "x", "-", $AX$11)</f>
        <v>390x212x5x10</v>
      </c>
      <c r="BK616" s="77" cm="1">
        <f t="array" ref="BK616">_xll.DCEPropSectI(BF616, BH616, BG616, BI616, BG616, BI616, "A")/100</f>
        <v>60.9</v>
      </c>
      <c r="BL616" s="70" t="s">
        <v>221</v>
      </c>
      <c r="BM616" s="70">
        <v>152.22390244948764</v>
      </c>
      <c r="BN616" s="71">
        <v>0.9</v>
      </c>
      <c r="BO616" s="77">
        <f t="shared" si="83"/>
        <v>32.4</v>
      </c>
      <c r="BP616" s="71">
        <v>0.9</v>
      </c>
      <c r="BQ616" s="77">
        <f t="shared" si="84"/>
        <v>32.4</v>
      </c>
      <c r="BR616" s="77" cm="1">
        <f t="array" ref="BR616">_xll.DCEPropSectI(BF616, BH616, BG616, BI616, BG616, BI616, "rx")/10</f>
        <v>16.91131201300167</v>
      </c>
      <c r="BS616" s="77" cm="1">
        <f t="array" ref="BS616">_xll.DCEPropSectI(BF616, BH616, BG616, BI616, BG616, BI616, "ry")/10</f>
        <v>5.1070747638622018</v>
      </c>
      <c r="BT616" s="5">
        <f t="shared" si="85"/>
        <v>191.58773710218577</v>
      </c>
      <c r="BU616" s="5">
        <f t="shared" si="86"/>
        <v>634.41405301647956</v>
      </c>
      <c r="BV616" s="5">
        <f t="shared" si="87"/>
        <v>634.41405301647956</v>
      </c>
      <c r="BW616" s="71">
        <f t="shared" si="88"/>
        <v>400</v>
      </c>
      <c r="BX616" s="78" cm="1">
        <f t="array" ref="BX616">IF(BM616&gt;0,1,_xll.DCETCVN5575FactorPhi7121(BV616*SQRT($K$17/206000),"b"))</f>
        <v>1</v>
      </c>
      <c r="BY616" s="64">
        <f t="shared" si="89"/>
        <v>0.11902721279966194</v>
      </c>
      <c r="BZ616" s="3" t="str">
        <f t="shared" si="90"/>
        <v>Check</v>
      </c>
    </row>
    <row r="617" spans="1:78">
      <c r="A617" s="76"/>
      <c r="B617" s="76"/>
      <c r="C617" s="125"/>
      <c r="D617" s="125"/>
      <c r="E617" s="71"/>
      <c r="F617" s="71"/>
      <c r="G617" s="71"/>
      <c r="H617" s="126"/>
      <c r="I617" s="125"/>
      <c r="J617" s="123"/>
      <c r="K617" s="12"/>
      <c r="L617" s="117"/>
      <c r="M617" s="12"/>
      <c r="N617" s="117"/>
      <c r="O617" s="117"/>
      <c r="P617" s="117"/>
      <c r="Q617" s="118"/>
      <c r="R617" s="118"/>
      <c r="S617" s="118"/>
      <c r="T617" s="12"/>
      <c r="U617" s="118"/>
      <c r="V617" s="118"/>
      <c r="W617" s="12"/>
      <c r="X617" s="119"/>
      <c r="Y617" s="120"/>
      <c r="Z617" s="12"/>
      <c r="BA617" s="70" t="s">
        <v>205</v>
      </c>
      <c r="BB617" s="71" t="s">
        <v>210</v>
      </c>
      <c r="BC617" s="71" t="s">
        <v>207</v>
      </c>
      <c r="BD617" s="71">
        <v>8</v>
      </c>
      <c r="BE617" s="71">
        <v>36</v>
      </c>
      <c r="BF617" s="71">
        <v>390</v>
      </c>
      <c r="BG617" s="71">
        <v>212</v>
      </c>
      <c r="BH617" s="71">
        <v>5</v>
      </c>
      <c r="BI617" s="71">
        <v>10</v>
      </c>
      <c r="BJ617" s="12" t="str" cm="1">
        <f t="array" ref="BJ617">_xll.Dce_Name_SectI(BF617, BF617, BG617, BH617, BI617, "x", "-", $AX$11)</f>
        <v>390x212x5x10</v>
      </c>
      <c r="BK617" s="77" cm="1">
        <f t="array" ref="BK617">_xll.DCEPropSectI(BF617, BH617, BG617, BI617, BG617, BI617, "A")/100</f>
        <v>60.9</v>
      </c>
      <c r="BL617" s="70" t="s">
        <v>221</v>
      </c>
      <c r="BM617" s="70">
        <v>152.22390244948764</v>
      </c>
      <c r="BN617" s="71">
        <v>0.9</v>
      </c>
      <c r="BO617" s="77">
        <f t="shared" si="83"/>
        <v>32.4</v>
      </c>
      <c r="BP617" s="71">
        <v>0.9</v>
      </c>
      <c r="BQ617" s="77">
        <f t="shared" si="84"/>
        <v>32.4</v>
      </c>
      <c r="BR617" s="77" cm="1">
        <f t="array" ref="BR617">_xll.DCEPropSectI(BF617, BH617, BG617, BI617, BG617, BI617, "rx")/10</f>
        <v>16.91131201300167</v>
      </c>
      <c r="BS617" s="77" cm="1">
        <f t="array" ref="BS617">_xll.DCEPropSectI(BF617, BH617, BG617, BI617, BG617, BI617, "ry")/10</f>
        <v>5.1070747638622018</v>
      </c>
      <c r="BT617" s="5">
        <f t="shared" si="85"/>
        <v>191.58773710218577</v>
      </c>
      <c r="BU617" s="5">
        <f t="shared" si="86"/>
        <v>634.41405301647956</v>
      </c>
      <c r="BV617" s="5">
        <f t="shared" si="87"/>
        <v>634.41405301647956</v>
      </c>
      <c r="BW617" s="71">
        <f t="shared" si="88"/>
        <v>400</v>
      </c>
      <c r="BX617" s="78" cm="1">
        <f t="array" ref="BX617">IF(BM617&gt;0,1,_xll.DCETCVN5575FactorPhi7121(BV617*SQRT($K$17/206000),"b"))</f>
        <v>1</v>
      </c>
      <c r="BY617" s="64">
        <f t="shared" si="89"/>
        <v>0.11902721279966194</v>
      </c>
      <c r="BZ617" s="3" t="str">
        <f t="shared" si="90"/>
        <v>Check</v>
      </c>
    </row>
    <row r="618" spans="1:78">
      <c r="A618" s="76"/>
      <c r="B618" s="76"/>
      <c r="C618" s="125"/>
      <c r="D618" s="125"/>
      <c r="E618" s="71"/>
      <c r="F618" s="71"/>
      <c r="G618" s="71"/>
      <c r="H618" s="126"/>
      <c r="I618" s="125"/>
      <c r="J618" s="123"/>
      <c r="K618" s="12"/>
      <c r="L618" s="117"/>
      <c r="M618" s="12"/>
      <c r="N618" s="117"/>
      <c r="O618" s="117"/>
      <c r="P618" s="117"/>
      <c r="Q618" s="118"/>
      <c r="R618" s="118"/>
      <c r="S618" s="118"/>
      <c r="T618" s="12"/>
      <c r="U618" s="118"/>
      <c r="V618" s="118"/>
      <c r="W618" s="12"/>
      <c r="X618" s="119"/>
      <c r="Y618" s="120"/>
      <c r="Z618" s="12"/>
      <c r="BA618" s="70" t="s">
        <v>205</v>
      </c>
      <c r="BB618" s="71" t="s">
        <v>210</v>
      </c>
      <c r="BC618" s="71" t="s">
        <v>207</v>
      </c>
      <c r="BD618" s="71">
        <v>8.5</v>
      </c>
      <c r="BE618" s="71">
        <v>36</v>
      </c>
      <c r="BF618" s="71">
        <v>390</v>
      </c>
      <c r="BG618" s="71">
        <v>212</v>
      </c>
      <c r="BH618" s="71">
        <v>5</v>
      </c>
      <c r="BI618" s="71">
        <v>10</v>
      </c>
      <c r="BJ618" s="12" t="str" cm="1">
        <f t="array" ref="BJ618">_xll.Dce_Name_SectI(BF618, BF618, BG618, BH618, BI618, "x", "-", $AX$11)</f>
        <v>390x212x5x10</v>
      </c>
      <c r="BK618" s="77" cm="1">
        <f t="array" ref="BK618">_xll.DCEPropSectI(BF618, BH618, BG618, BI618, BG618, BI618, "A")/100</f>
        <v>60.9</v>
      </c>
      <c r="BL618" s="70" t="s">
        <v>221</v>
      </c>
      <c r="BM618" s="70">
        <v>152.22390244948764</v>
      </c>
      <c r="BN618" s="71">
        <v>0.9</v>
      </c>
      <c r="BO618" s="77">
        <f t="shared" si="83"/>
        <v>32.4</v>
      </c>
      <c r="BP618" s="71">
        <v>0.9</v>
      </c>
      <c r="BQ618" s="77">
        <f t="shared" si="84"/>
        <v>32.4</v>
      </c>
      <c r="BR618" s="77" cm="1">
        <f t="array" ref="BR618">_xll.DCEPropSectI(BF618, BH618, BG618, BI618, BG618, BI618, "rx")/10</f>
        <v>16.91131201300167</v>
      </c>
      <c r="BS618" s="77" cm="1">
        <f t="array" ref="BS618">_xll.DCEPropSectI(BF618, BH618, BG618, BI618, BG618, BI618, "ry")/10</f>
        <v>5.1070747638622018</v>
      </c>
      <c r="BT618" s="5">
        <f t="shared" si="85"/>
        <v>191.58773710218577</v>
      </c>
      <c r="BU618" s="5">
        <f t="shared" si="86"/>
        <v>634.41405301647956</v>
      </c>
      <c r="BV618" s="5">
        <f t="shared" si="87"/>
        <v>634.41405301647956</v>
      </c>
      <c r="BW618" s="71">
        <f t="shared" si="88"/>
        <v>400</v>
      </c>
      <c r="BX618" s="78" cm="1">
        <f t="array" ref="BX618">IF(BM618&gt;0,1,_xll.DCETCVN5575FactorPhi7121(BV618*SQRT($K$17/206000),"b"))</f>
        <v>1</v>
      </c>
      <c r="BY618" s="64">
        <f t="shared" si="89"/>
        <v>0.11902721279966194</v>
      </c>
      <c r="BZ618" s="3" t="str">
        <f t="shared" si="90"/>
        <v>Check</v>
      </c>
    </row>
    <row r="619" spans="1:78">
      <c r="A619" s="76"/>
      <c r="B619" s="76"/>
      <c r="C619" s="125"/>
      <c r="D619" s="125"/>
      <c r="E619" s="71"/>
      <c r="F619" s="71"/>
      <c r="G619" s="71"/>
      <c r="H619" s="126"/>
      <c r="I619" s="125"/>
      <c r="J619" s="123"/>
      <c r="K619" s="12"/>
      <c r="L619" s="117"/>
      <c r="M619" s="12"/>
      <c r="N619" s="117"/>
      <c r="O619" s="117"/>
      <c r="P619" s="117"/>
      <c r="Q619" s="118"/>
      <c r="R619" s="118"/>
      <c r="S619" s="118"/>
      <c r="T619" s="12"/>
      <c r="U619" s="118"/>
      <c r="V619" s="118"/>
      <c r="W619" s="12"/>
      <c r="X619" s="119"/>
      <c r="Y619" s="120"/>
      <c r="Z619" s="12"/>
      <c r="BA619" s="70" t="s">
        <v>205</v>
      </c>
      <c r="BB619" s="71" t="s">
        <v>210</v>
      </c>
      <c r="BC619" s="71" t="s">
        <v>207</v>
      </c>
      <c r="BD619" s="71">
        <v>9</v>
      </c>
      <c r="BE619" s="71">
        <v>36</v>
      </c>
      <c r="BF619" s="71">
        <v>390</v>
      </c>
      <c r="BG619" s="71">
        <v>212</v>
      </c>
      <c r="BH619" s="71">
        <v>5</v>
      </c>
      <c r="BI619" s="71">
        <v>10</v>
      </c>
      <c r="BJ619" s="12" t="str" cm="1">
        <f t="array" ref="BJ619">_xll.Dce_Name_SectI(BF619, BF619, BG619, BH619, BI619, "x", "-", $AX$11)</f>
        <v>390x212x5x10</v>
      </c>
      <c r="BK619" s="77" cm="1">
        <f t="array" ref="BK619">_xll.DCEPropSectI(BF619, BH619, BG619, BI619, BG619, BI619, "A")/100</f>
        <v>60.9</v>
      </c>
      <c r="BL619" s="70" t="s">
        <v>221</v>
      </c>
      <c r="BM619" s="70">
        <v>152.22390244948764</v>
      </c>
      <c r="BN619" s="71">
        <v>0.9</v>
      </c>
      <c r="BO619" s="77">
        <f t="shared" si="83"/>
        <v>32.4</v>
      </c>
      <c r="BP619" s="71">
        <v>0.9</v>
      </c>
      <c r="BQ619" s="77">
        <f t="shared" si="84"/>
        <v>32.4</v>
      </c>
      <c r="BR619" s="77" cm="1">
        <f t="array" ref="BR619">_xll.DCEPropSectI(BF619, BH619, BG619, BI619, BG619, BI619, "rx")/10</f>
        <v>16.91131201300167</v>
      </c>
      <c r="BS619" s="77" cm="1">
        <f t="array" ref="BS619">_xll.DCEPropSectI(BF619, BH619, BG619, BI619, BG619, BI619, "ry")/10</f>
        <v>5.1070747638622018</v>
      </c>
      <c r="BT619" s="5">
        <f t="shared" si="85"/>
        <v>191.58773710218577</v>
      </c>
      <c r="BU619" s="5">
        <f t="shared" si="86"/>
        <v>634.41405301647956</v>
      </c>
      <c r="BV619" s="5">
        <f t="shared" si="87"/>
        <v>634.41405301647956</v>
      </c>
      <c r="BW619" s="71">
        <f t="shared" si="88"/>
        <v>400</v>
      </c>
      <c r="BX619" s="78" cm="1">
        <f t="array" ref="BX619">IF(BM619&gt;0,1,_xll.DCETCVN5575FactorPhi7121(BV619*SQRT($K$17/206000),"b"))</f>
        <v>1</v>
      </c>
      <c r="BY619" s="64">
        <f t="shared" si="89"/>
        <v>0.11902721279966194</v>
      </c>
      <c r="BZ619" s="3" t="str">
        <f t="shared" si="90"/>
        <v>Check</v>
      </c>
    </row>
    <row r="620" spans="1:78">
      <c r="A620" s="76"/>
      <c r="B620" s="76"/>
      <c r="C620" s="125"/>
      <c r="D620" s="125"/>
      <c r="E620" s="71"/>
      <c r="F620" s="71"/>
      <c r="G620" s="71"/>
      <c r="H620" s="126"/>
      <c r="I620" s="125"/>
      <c r="J620" s="123"/>
      <c r="K620" s="12"/>
      <c r="L620" s="117"/>
      <c r="M620" s="12"/>
      <c r="N620" s="117"/>
      <c r="O620" s="117"/>
      <c r="P620" s="117"/>
      <c r="Q620" s="118"/>
      <c r="R620" s="118"/>
      <c r="S620" s="118"/>
      <c r="T620" s="12"/>
      <c r="U620" s="118"/>
      <c r="V620" s="118"/>
      <c r="W620" s="12"/>
      <c r="X620" s="119"/>
      <c r="Y620" s="120"/>
      <c r="Z620" s="12"/>
      <c r="BA620" s="70" t="s">
        <v>205</v>
      </c>
      <c r="BB620" s="71" t="s">
        <v>210</v>
      </c>
      <c r="BC620" s="71" t="s">
        <v>207</v>
      </c>
      <c r="BD620" s="71">
        <v>9.5</v>
      </c>
      <c r="BE620" s="71">
        <v>36</v>
      </c>
      <c r="BF620" s="71">
        <v>390</v>
      </c>
      <c r="BG620" s="71">
        <v>212</v>
      </c>
      <c r="BH620" s="71">
        <v>5</v>
      </c>
      <c r="BI620" s="71">
        <v>10</v>
      </c>
      <c r="BJ620" s="12" t="str" cm="1">
        <f t="array" ref="BJ620">_xll.Dce_Name_SectI(BF620, BF620, BG620, BH620, BI620, "x", "-", $AX$11)</f>
        <v>390x212x5x10</v>
      </c>
      <c r="BK620" s="77" cm="1">
        <f t="array" ref="BK620">_xll.DCEPropSectI(BF620, BH620, BG620, BI620, BG620, BI620, "A")/100</f>
        <v>60.9</v>
      </c>
      <c r="BL620" s="70" t="s">
        <v>221</v>
      </c>
      <c r="BM620" s="70">
        <v>152.22390244948764</v>
      </c>
      <c r="BN620" s="71">
        <v>0.9</v>
      </c>
      <c r="BO620" s="77">
        <f t="shared" si="83"/>
        <v>32.4</v>
      </c>
      <c r="BP620" s="71">
        <v>0.9</v>
      </c>
      <c r="BQ620" s="77">
        <f t="shared" si="84"/>
        <v>32.4</v>
      </c>
      <c r="BR620" s="77" cm="1">
        <f t="array" ref="BR620">_xll.DCEPropSectI(BF620, BH620, BG620, BI620, BG620, BI620, "rx")/10</f>
        <v>16.91131201300167</v>
      </c>
      <c r="BS620" s="77" cm="1">
        <f t="array" ref="BS620">_xll.DCEPropSectI(BF620, BH620, BG620, BI620, BG620, BI620, "ry")/10</f>
        <v>5.1070747638622018</v>
      </c>
      <c r="BT620" s="5">
        <f t="shared" si="85"/>
        <v>191.58773710218577</v>
      </c>
      <c r="BU620" s="5">
        <f t="shared" si="86"/>
        <v>634.41405301647956</v>
      </c>
      <c r="BV620" s="5">
        <f t="shared" si="87"/>
        <v>634.41405301647956</v>
      </c>
      <c r="BW620" s="71">
        <f t="shared" si="88"/>
        <v>400</v>
      </c>
      <c r="BX620" s="78" cm="1">
        <f t="array" ref="BX620">IF(BM620&gt;0,1,_xll.DCETCVN5575FactorPhi7121(BV620*SQRT($K$17/206000),"b"))</f>
        <v>1</v>
      </c>
      <c r="BY620" s="64">
        <f t="shared" si="89"/>
        <v>0.11902721279966194</v>
      </c>
      <c r="BZ620" s="3" t="str">
        <f t="shared" si="90"/>
        <v>Check</v>
      </c>
    </row>
    <row r="621" spans="1:78">
      <c r="A621" s="76"/>
      <c r="B621" s="76"/>
      <c r="C621" s="125"/>
      <c r="D621" s="125"/>
      <c r="E621" s="71"/>
      <c r="F621" s="71"/>
      <c r="G621" s="71"/>
      <c r="H621" s="126"/>
      <c r="I621" s="125"/>
      <c r="J621" s="123"/>
      <c r="K621" s="12"/>
      <c r="L621" s="117"/>
      <c r="M621" s="12"/>
      <c r="N621" s="117"/>
      <c r="O621" s="117"/>
      <c r="P621" s="117"/>
      <c r="Q621" s="118"/>
      <c r="R621" s="118"/>
      <c r="S621" s="118"/>
      <c r="T621" s="12"/>
      <c r="U621" s="118"/>
      <c r="V621" s="118"/>
      <c r="W621" s="12"/>
      <c r="X621" s="119"/>
      <c r="Y621" s="120"/>
      <c r="Z621" s="12"/>
      <c r="BA621" s="70" t="s">
        <v>205</v>
      </c>
      <c r="BB621" s="71" t="s">
        <v>210</v>
      </c>
      <c r="BC621" s="71" t="s">
        <v>207</v>
      </c>
      <c r="BD621" s="71">
        <v>10</v>
      </c>
      <c r="BE621" s="71">
        <v>36</v>
      </c>
      <c r="BF621" s="71">
        <v>390</v>
      </c>
      <c r="BG621" s="71">
        <v>212</v>
      </c>
      <c r="BH621" s="71">
        <v>5</v>
      </c>
      <c r="BI621" s="71">
        <v>10</v>
      </c>
      <c r="BJ621" s="12" t="str" cm="1">
        <f t="array" ref="BJ621">_xll.Dce_Name_SectI(BF621, BF621, BG621, BH621, BI621, "x", "-", $AX$11)</f>
        <v>390x212x5x10</v>
      </c>
      <c r="BK621" s="77" cm="1">
        <f t="array" ref="BK621">_xll.DCEPropSectI(BF621, BH621, BG621, BI621, BG621, BI621, "A")/100</f>
        <v>60.9</v>
      </c>
      <c r="BL621" s="70" t="s">
        <v>221</v>
      </c>
      <c r="BM621" s="70">
        <v>152.22390244948764</v>
      </c>
      <c r="BN621" s="71">
        <v>0.9</v>
      </c>
      <c r="BO621" s="77">
        <f t="shared" si="83"/>
        <v>32.4</v>
      </c>
      <c r="BP621" s="71">
        <v>0.9</v>
      </c>
      <c r="BQ621" s="77">
        <f t="shared" si="84"/>
        <v>32.4</v>
      </c>
      <c r="BR621" s="77" cm="1">
        <f t="array" ref="BR621">_xll.DCEPropSectI(BF621, BH621, BG621, BI621, BG621, BI621, "rx")/10</f>
        <v>16.91131201300167</v>
      </c>
      <c r="BS621" s="77" cm="1">
        <f t="array" ref="BS621">_xll.DCEPropSectI(BF621, BH621, BG621, BI621, BG621, BI621, "ry")/10</f>
        <v>5.1070747638622018</v>
      </c>
      <c r="BT621" s="5">
        <f t="shared" si="85"/>
        <v>191.58773710218577</v>
      </c>
      <c r="BU621" s="5">
        <f t="shared" si="86"/>
        <v>634.41405301647956</v>
      </c>
      <c r="BV621" s="5">
        <f t="shared" si="87"/>
        <v>634.41405301647956</v>
      </c>
      <c r="BW621" s="71">
        <f t="shared" si="88"/>
        <v>400</v>
      </c>
      <c r="BX621" s="78" cm="1">
        <f t="array" ref="BX621">IF(BM621&gt;0,1,_xll.DCETCVN5575FactorPhi7121(BV621*SQRT($K$17/206000),"b"))</f>
        <v>1</v>
      </c>
      <c r="BY621" s="64">
        <f t="shared" si="89"/>
        <v>0.11902721279966194</v>
      </c>
      <c r="BZ621" s="3" t="str">
        <f t="shared" si="90"/>
        <v>Check</v>
      </c>
    </row>
    <row r="622" spans="1:78">
      <c r="A622" s="76"/>
      <c r="B622" s="76"/>
      <c r="C622" s="125"/>
      <c r="D622" s="125"/>
      <c r="E622" s="71"/>
      <c r="F622" s="71"/>
      <c r="G622" s="71"/>
      <c r="H622" s="126"/>
      <c r="I622" s="125"/>
      <c r="J622" s="123"/>
      <c r="K622" s="12"/>
      <c r="L622" s="117"/>
      <c r="M622" s="12"/>
      <c r="N622" s="117"/>
      <c r="O622" s="117"/>
      <c r="P622" s="117"/>
      <c r="Q622" s="118"/>
      <c r="R622" s="118"/>
      <c r="S622" s="118"/>
      <c r="T622" s="12"/>
      <c r="U622" s="118"/>
      <c r="V622" s="118"/>
      <c r="W622" s="12"/>
      <c r="X622" s="119"/>
      <c r="Y622" s="120"/>
      <c r="Z622" s="12"/>
      <c r="BA622" s="70" t="s">
        <v>205</v>
      </c>
      <c r="BB622" s="71" t="s">
        <v>210</v>
      </c>
      <c r="BC622" s="71" t="s">
        <v>207</v>
      </c>
      <c r="BD622" s="71">
        <v>10.5</v>
      </c>
      <c r="BE622" s="71">
        <v>36</v>
      </c>
      <c r="BF622" s="71">
        <v>390</v>
      </c>
      <c r="BG622" s="71">
        <v>212</v>
      </c>
      <c r="BH622" s="71">
        <v>5</v>
      </c>
      <c r="BI622" s="71">
        <v>10</v>
      </c>
      <c r="BJ622" s="12" t="str" cm="1">
        <f t="array" ref="BJ622">_xll.Dce_Name_SectI(BF622, BF622, BG622, BH622, BI622, "x", "-", $AX$11)</f>
        <v>390x212x5x10</v>
      </c>
      <c r="BK622" s="77" cm="1">
        <f t="array" ref="BK622">_xll.DCEPropSectI(BF622, BH622, BG622, BI622, BG622, BI622, "A")/100</f>
        <v>60.9</v>
      </c>
      <c r="BL622" s="70" t="s">
        <v>221</v>
      </c>
      <c r="BM622" s="70">
        <v>152.22390244948764</v>
      </c>
      <c r="BN622" s="71">
        <v>0.9</v>
      </c>
      <c r="BO622" s="77">
        <f t="shared" si="83"/>
        <v>32.4</v>
      </c>
      <c r="BP622" s="71">
        <v>0.9</v>
      </c>
      <c r="BQ622" s="77">
        <f t="shared" si="84"/>
        <v>32.4</v>
      </c>
      <c r="BR622" s="77" cm="1">
        <f t="array" ref="BR622">_xll.DCEPropSectI(BF622, BH622, BG622, BI622, BG622, BI622, "rx")/10</f>
        <v>16.91131201300167</v>
      </c>
      <c r="BS622" s="77" cm="1">
        <f t="array" ref="BS622">_xll.DCEPropSectI(BF622, BH622, BG622, BI622, BG622, BI622, "ry")/10</f>
        <v>5.1070747638622018</v>
      </c>
      <c r="BT622" s="5">
        <f t="shared" si="85"/>
        <v>191.58773710218577</v>
      </c>
      <c r="BU622" s="5">
        <f t="shared" si="86"/>
        <v>634.41405301647956</v>
      </c>
      <c r="BV622" s="5">
        <f t="shared" si="87"/>
        <v>634.41405301647956</v>
      </c>
      <c r="BW622" s="71">
        <f t="shared" si="88"/>
        <v>400</v>
      </c>
      <c r="BX622" s="78" cm="1">
        <f t="array" ref="BX622">IF(BM622&gt;0,1,_xll.DCETCVN5575FactorPhi7121(BV622*SQRT($K$17/206000),"b"))</f>
        <v>1</v>
      </c>
      <c r="BY622" s="64">
        <f t="shared" si="89"/>
        <v>0.11902721279966194</v>
      </c>
      <c r="BZ622" s="3" t="str">
        <f t="shared" si="90"/>
        <v>Check</v>
      </c>
    </row>
    <row r="623" spans="1:78">
      <c r="A623" s="76"/>
      <c r="B623" s="76"/>
      <c r="C623" s="125"/>
      <c r="D623" s="125"/>
      <c r="E623" s="71"/>
      <c r="F623" s="71"/>
      <c r="G623" s="71"/>
      <c r="H623" s="126"/>
      <c r="I623" s="125"/>
      <c r="J623" s="123"/>
      <c r="K623" s="12"/>
      <c r="L623" s="117"/>
      <c r="M623" s="12"/>
      <c r="N623" s="117"/>
      <c r="O623" s="117"/>
      <c r="P623" s="117"/>
      <c r="Q623" s="118"/>
      <c r="R623" s="118"/>
      <c r="S623" s="118"/>
      <c r="T623" s="12"/>
      <c r="U623" s="118"/>
      <c r="V623" s="118"/>
      <c r="W623" s="12"/>
      <c r="X623" s="119"/>
      <c r="Y623" s="120"/>
      <c r="Z623" s="12"/>
      <c r="BA623" s="70" t="s">
        <v>205</v>
      </c>
      <c r="BB623" s="71" t="s">
        <v>210</v>
      </c>
      <c r="BC623" s="71" t="s">
        <v>207</v>
      </c>
      <c r="BD623" s="71">
        <v>11</v>
      </c>
      <c r="BE623" s="71">
        <v>36</v>
      </c>
      <c r="BF623" s="71">
        <v>390</v>
      </c>
      <c r="BG623" s="71">
        <v>212</v>
      </c>
      <c r="BH623" s="71">
        <v>5</v>
      </c>
      <c r="BI623" s="71">
        <v>10</v>
      </c>
      <c r="BJ623" s="12" t="str" cm="1">
        <f t="array" ref="BJ623">_xll.Dce_Name_SectI(BF623, BF623, BG623, BH623, BI623, "x", "-", $AX$11)</f>
        <v>390x212x5x10</v>
      </c>
      <c r="BK623" s="77" cm="1">
        <f t="array" ref="BK623">_xll.DCEPropSectI(BF623, BH623, BG623, BI623, BG623, BI623, "A")/100</f>
        <v>60.9</v>
      </c>
      <c r="BL623" s="70" t="s">
        <v>221</v>
      </c>
      <c r="BM623" s="70">
        <v>152.22390244948764</v>
      </c>
      <c r="BN623" s="71">
        <v>0.9</v>
      </c>
      <c r="BO623" s="77">
        <f t="shared" si="83"/>
        <v>32.4</v>
      </c>
      <c r="BP623" s="71">
        <v>0.9</v>
      </c>
      <c r="BQ623" s="77">
        <f t="shared" si="84"/>
        <v>32.4</v>
      </c>
      <c r="BR623" s="77" cm="1">
        <f t="array" ref="BR623">_xll.DCEPropSectI(BF623, BH623, BG623, BI623, BG623, BI623, "rx")/10</f>
        <v>16.91131201300167</v>
      </c>
      <c r="BS623" s="77" cm="1">
        <f t="array" ref="BS623">_xll.DCEPropSectI(BF623, BH623, BG623, BI623, BG623, BI623, "ry")/10</f>
        <v>5.1070747638622018</v>
      </c>
      <c r="BT623" s="5">
        <f t="shared" si="85"/>
        <v>191.58773710218577</v>
      </c>
      <c r="BU623" s="5">
        <f t="shared" si="86"/>
        <v>634.41405301647956</v>
      </c>
      <c r="BV623" s="5">
        <f t="shared" si="87"/>
        <v>634.41405301647956</v>
      </c>
      <c r="BW623" s="71">
        <f t="shared" si="88"/>
        <v>400</v>
      </c>
      <c r="BX623" s="78" cm="1">
        <f t="array" ref="BX623">IF(BM623&gt;0,1,_xll.DCETCVN5575FactorPhi7121(BV623*SQRT($K$17/206000),"b"))</f>
        <v>1</v>
      </c>
      <c r="BY623" s="64">
        <f t="shared" si="89"/>
        <v>0.11902721279966194</v>
      </c>
      <c r="BZ623" s="3" t="str">
        <f t="shared" si="90"/>
        <v>Check</v>
      </c>
    </row>
    <row r="624" spans="1:78">
      <c r="A624" s="76"/>
      <c r="B624" s="76"/>
      <c r="C624" s="125"/>
      <c r="D624" s="125"/>
      <c r="E624" s="71"/>
      <c r="F624" s="71"/>
      <c r="G624" s="71"/>
      <c r="H624" s="126"/>
      <c r="I624" s="125"/>
      <c r="J624" s="123"/>
      <c r="K624" s="12"/>
      <c r="L624" s="117"/>
      <c r="M624" s="12"/>
      <c r="N624" s="117"/>
      <c r="O624" s="117"/>
      <c r="P624" s="117"/>
      <c r="Q624" s="118"/>
      <c r="R624" s="118"/>
      <c r="S624" s="118"/>
      <c r="T624" s="12"/>
      <c r="U624" s="118"/>
      <c r="V624" s="118"/>
      <c r="W624" s="12"/>
      <c r="X624" s="119"/>
      <c r="Y624" s="120"/>
      <c r="Z624" s="12"/>
      <c r="BA624" s="70" t="s">
        <v>205</v>
      </c>
      <c r="BB624" s="71" t="s">
        <v>210</v>
      </c>
      <c r="BC624" s="71" t="s">
        <v>207</v>
      </c>
      <c r="BD624" s="71">
        <v>11.5</v>
      </c>
      <c r="BE624" s="71">
        <v>36</v>
      </c>
      <c r="BF624" s="71">
        <v>390</v>
      </c>
      <c r="BG624" s="71">
        <v>212</v>
      </c>
      <c r="BH624" s="71">
        <v>5</v>
      </c>
      <c r="BI624" s="71">
        <v>10</v>
      </c>
      <c r="BJ624" s="12" t="str" cm="1">
        <f t="array" ref="BJ624">_xll.Dce_Name_SectI(BF624, BF624, BG624, BH624, BI624, "x", "-", $AX$11)</f>
        <v>390x212x5x10</v>
      </c>
      <c r="BK624" s="77" cm="1">
        <f t="array" ref="BK624">_xll.DCEPropSectI(BF624, BH624, BG624, BI624, BG624, BI624, "A")/100</f>
        <v>60.9</v>
      </c>
      <c r="BL624" s="70" t="s">
        <v>221</v>
      </c>
      <c r="BM624" s="70">
        <v>152.22390244948764</v>
      </c>
      <c r="BN624" s="71">
        <v>0.9</v>
      </c>
      <c r="BO624" s="77">
        <f t="shared" si="83"/>
        <v>32.4</v>
      </c>
      <c r="BP624" s="71">
        <v>0.9</v>
      </c>
      <c r="BQ624" s="77">
        <f t="shared" si="84"/>
        <v>32.4</v>
      </c>
      <c r="BR624" s="77" cm="1">
        <f t="array" ref="BR624">_xll.DCEPropSectI(BF624, BH624, BG624, BI624, BG624, BI624, "rx")/10</f>
        <v>16.91131201300167</v>
      </c>
      <c r="BS624" s="77" cm="1">
        <f t="array" ref="BS624">_xll.DCEPropSectI(BF624, BH624, BG624, BI624, BG624, BI624, "ry")/10</f>
        <v>5.1070747638622018</v>
      </c>
      <c r="BT624" s="5">
        <f t="shared" si="85"/>
        <v>191.58773710218577</v>
      </c>
      <c r="BU624" s="5">
        <f t="shared" si="86"/>
        <v>634.41405301647956</v>
      </c>
      <c r="BV624" s="5">
        <f t="shared" si="87"/>
        <v>634.41405301647956</v>
      </c>
      <c r="BW624" s="71">
        <f t="shared" si="88"/>
        <v>400</v>
      </c>
      <c r="BX624" s="78" cm="1">
        <f t="array" ref="BX624">IF(BM624&gt;0,1,_xll.DCETCVN5575FactorPhi7121(BV624*SQRT($K$17/206000),"b"))</f>
        <v>1</v>
      </c>
      <c r="BY624" s="64">
        <f t="shared" si="89"/>
        <v>0.11902721279966194</v>
      </c>
      <c r="BZ624" s="3" t="str">
        <f t="shared" si="90"/>
        <v>Check</v>
      </c>
    </row>
    <row r="625" spans="1:78">
      <c r="A625" s="76"/>
      <c r="B625" s="76"/>
      <c r="C625" s="125"/>
      <c r="D625" s="125"/>
      <c r="E625" s="71"/>
      <c r="F625" s="71"/>
      <c r="G625" s="71"/>
      <c r="H625" s="126"/>
      <c r="I625" s="125"/>
      <c r="J625" s="123"/>
      <c r="K625" s="12"/>
      <c r="L625" s="117"/>
      <c r="M625" s="12"/>
      <c r="N625" s="117"/>
      <c r="O625" s="117"/>
      <c r="P625" s="117"/>
      <c r="Q625" s="118"/>
      <c r="R625" s="118"/>
      <c r="S625" s="118"/>
      <c r="T625" s="12"/>
      <c r="U625" s="118"/>
      <c r="V625" s="118"/>
      <c r="W625" s="12"/>
      <c r="X625" s="119"/>
      <c r="Y625" s="120"/>
      <c r="Z625" s="12"/>
      <c r="BA625" s="70" t="s">
        <v>205</v>
      </c>
      <c r="BB625" s="71" t="s">
        <v>210</v>
      </c>
      <c r="BC625" s="71" t="s">
        <v>207</v>
      </c>
      <c r="BD625" s="71">
        <v>12</v>
      </c>
      <c r="BE625" s="71">
        <v>36</v>
      </c>
      <c r="BF625" s="71">
        <v>390</v>
      </c>
      <c r="BG625" s="71">
        <v>212</v>
      </c>
      <c r="BH625" s="71">
        <v>5</v>
      </c>
      <c r="BI625" s="71">
        <v>10</v>
      </c>
      <c r="BJ625" s="12" t="str" cm="1">
        <f t="array" ref="BJ625">_xll.Dce_Name_SectI(BF625, BF625, BG625, BH625, BI625, "x", "-", $AX$11)</f>
        <v>390x212x5x10</v>
      </c>
      <c r="BK625" s="77" cm="1">
        <f t="array" ref="BK625">_xll.DCEPropSectI(BF625, BH625, BG625, BI625, BG625, BI625, "A")/100</f>
        <v>60.9</v>
      </c>
      <c r="BL625" s="70" t="s">
        <v>221</v>
      </c>
      <c r="BM625" s="70">
        <v>152.22390244948764</v>
      </c>
      <c r="BN625" s="71">
        <v>0.9</v>
      </c>
      <c r="BO625" s="77">
        <f t="shared" si="83"/>
        <v>32.4</v>
      </c>
      <c r="BP625" s="71">
        <v>0.9</v>
      </c>
      <c r="BQ625" s="77">
        <f t="shared" si="84"/>
        <v>32.4</v>
      </c>
      <c r="BR625" s="77" cm="1">
        <f t="array" ref="BR625">_xll.DCEPropSectI(BF625, BH625, BG625, BI625, BG625, BI625, "rx")/10</f>
        <v>16.91131201300167</v>
      </c>
      <c r="BS625" s="77" cm="1">
        <f t="array" ref="BS625">_xll.DCEPropSectI(BF625, BH625, BG625, BI625, BG625, BI625, "ry")/10</f>
        <v>5.1070747638622018</v>
      </c>
      <c r="BT625" s="5">
        <f t="shared" si="85"/>
        <v>191.58773710218577</v>
      </c>
      <c r="BU625" s="5">
        <f t="shared" si="86"/>
        <v>634.41405301647956</v>
      </c>
      <c r="BV625" s="5">
        <f t="shared" si="87"/>
        <v>634.41405301647956</v>
      </c>
      <c r="BW625" s="71">
        <f t="shared" si="88"/>
        <v>400</v>
      </c>
      <c r="BX625" s="78" cm="1">
        <f t="array" ref="BX625">IF(BM625&gt;0,1,_xll.DCETCVN5575FactorPhi7121(BV625*SQRT($K$17/206000),"b"))</f>
        <v>1</v>
      </c>
      <c r="BY625" s="64">
        <f t="shared" si="89"/>
        <v>0.11902721279966194</v>
      </c>
      <c r="BZ625" s="3" t="str">
        <f t="shared" si="90"/>
        <v>Check</v>
      </c>
    </row>
    <row r="626" spans="1:78">
      <c r="A626" s="76"/>
      <c r="B626" s="76"/>
      <c r="C626" s="125"/>
      <c r="D626" s="125"/>
      <c r="E626" s="71"/>
      <c r="F626" s="71"/>
      <c r="G626" s="71"/>
      <c r="H626" s="126"/>
      <c r="I626" s="125"/>
      <c r="J626" s="123"/>
      <c r="K626" s="12"/>
      <c r="L626" s="117"/>
      <c r="M626" s="12"/>
      <c r="N626" s="117"/>
      <c r="O626" s="117"/>
      <c r="P626" s="117"/>
      <c r="Q626" s="118"/>
      <c r="R626" s="118"/>
      <c r="S626" s="118"/>
      <c r="T626" s="12"/>
      <c r="U626" s="118"/>
      <c r="V626" s="118"/>
      <c r="W626" s="12"/>
      <c r="X626" s="119"/>
      <c r="Y626" s="120"/>
      <c r="Z626" s="12"/>
      <c r="BA626" s="70" t="s">
        <v>205</v>
      </c>
      <c r="BB626" s="71" t="s">
        <v>210</v>
      </c>
      <c r="BC626" s="71" t="s">
        <v>207</v>
      </c>
      <c r="BD626" s="71">
        <v>12.5</v>
      </c>
      <c r="BE626" s="71">
        <v>36</v>
      </c>
      <c r="BF626" s="71">
        <v>390</v>
      </c>
      <c r="BG626" s="71">
        <v>212</v>
      </c>
      <c r="BH626" s="71">
        <v>5</v>
      </c>
      <c r="BI626" s="71">
        <v>10</v>
      </c>
      <c r="BJ626" s="12" t="str" cm="1">
        <f t="array" ref="BJ626">_xll.Dce_Name_SectI(BF626, BF626, BG626, BH626, BI626, "x", "-", $AX$11)</f>
        <v>390x212x5x10</v>
      </c>
      <c r="BK626" s="77" cm="1">
        <f t="array" ref="BK626">_xll.DCEPropSectI(BF626, BH626, BG626, BI626, BG626, BI626, "A")/100</f>
        <v>60.9</v>
      </c>
      <c r="BL626" s="70" t="s">
        <v>221</v>
      </c>
      <c r="BM626" s="70">
        <v>152.22390244948764</v>
      </c>
      <c r="BN626" s="71">
        <v>0.9</v>
      </c>
      <c r="BO626" s="77">
        <f t="shared" si="83"/>
        <v>32.4</v>
      </c>
      <c r="BP626" s="71">
        <v>0.9</v>
      </c>
      <c r="BQ626" s="77">
        <f t="shared" si="84"/>
        <v>32.4</v>
      </c>
      <c r="BR626" s="77" cm="1">
        <f t="array" ref="BR626">_xll.DCEPropSectI(BF626, BH626, BG626, BI626, BG626, BI626, "rx")/10</f>
        <v>16.91131201300167</v>
      </c>
      <c r="BS626" s="77" cm="1">
        <f t="array" ref="BS626">_xll.DCEPropSectI(BF626, BH626, BG626, BI626, BG626, BI626, "ry")/10</f>
        <v>5.1070747638622018</v>
      </c>
      <c r="BT626" s="5">
        <f t="shared" si="85"/>
        <v>191.58773710218577</v>
      </c>
      <c r="BU626" s="5">
        <f t="shared" si="86"/>
        <v>634.41405301647956</v>
      </c>
      <c r="BV626" s="5">
        <f t="shared" si="87"/>
        <v>634.41405301647956</v>
      </c>
      <c r="BW626" s="71">
        <f t="shared" si="88"/>
        <v>400</v>
      </c>
      <c r="BX626" s="78" cm="1">
        <f t="array" ref="BX626">IF(BM626&gt;0,1,_xll.DCETCVN5575FactorPhi7121(BV626*SQRT($K$17/206000),"b"))</f>
        <v>1</v>
      </c>
      <c r="BY626" s="64">
        <f t="shared" si="89"/>
        <v>0.11902721279966194</v>
      </c>
      <c r="BZ626" s="3" t="str">
        <f t="shared" si="90"/>
        <v>Check</v>
      </c>
    </row>
    <row r="627" spans="1:78">
      <c r="A627" s="76"/>
      <c r="B627" s="76"/>
      <c r="C627" s="125"/>
      <c r="D627" s="125"/>
      <c r="E627" s="71"/>
      <c r="F627" s="71"/>
      <c r="G627" s="71"/>
      <c r="H627" s="126"/>
      <c r="I627" s="125"/>
      <c r="J627" s="123"/>
      <c r="K627" s="12"/>
      <c r="L627" s="117"/>
      <c r="M627" s="12"/>
      <c r="N627" s="117"/>
      <c r="O627" s="117"/>
      <c r="P627" s="117"/>
      <c r="Q627" s="118"/>
      <c r="R627" s="118"/>
      <c r="S627" s="118"/>
      <c r="T627" s="12"/>
      <c r="U627" s="118"/>
      <c r="V627" s="118"/>
      <c r="W627" s="12"/>
      <c r="X627" s="119"/>
      <c r="Y627" s="120"/>
      <c r="Z627" s="12"/>
      <c r="BA627" s="70" t="s">
        <v>205</v>
      </c>
      <c r="BB627" s="71" t="s">
        <v>210</v>
      </c>
      <c r="BC627" s="71" t="s">
        <v>207</v>
      </c>
      <c r="BD627" s="71">
        <v>13</v>
      </c>
      <c r="BE627" s="71">
        <v>36</v>
      </c>
      <c r="BF627" s="71">
        <v>390</v>
      </c>
      <c r="BG627" s="71">
        <v>212</v>
      </c>
      <c r="BH627" s="71">
        <v>5</v>
      </c>
      <c r="BI627" s="71">
        <v>10</v>
      </c>
      <c r="BJ627" s="12" t="str" cm="1">
        <f t="array" ref="BJ627">_xll.Dce_Name_SectI(BF627, BF627, BG627, BH627, BI627, "x", "-", $AX$11)</f>
        <v>390x212x5x10</v>
      </c>
      <c r="BK627" s="77" cm="1">
        <f t="array" ref="BK627">_xll.DCEPropSectI(BF627, BH627, BG627, BI627, BG627, BI627, "A")/100</f>
        <v>60.9</v>
      </c>
      <c r="BL627" s="70" t="s">
        <v>221</v>
      </c>
      <c r="BM627" s="70">
        <v>152.22390244948764</v>
      </c>
      <c r="BN627" s="71">
        <v>0.9</v>
      </c>
      <c r="BO627" s="77">
        <f t="shared" si="83"/>
        <v>32.4</v>
      </c>
      <c r="BP627" s="71">
        <v>0.9</v>
      </c>
      <c r="BQ627" s="77">
        <f t="shared" si="84"/>
        <v>32.4</v>
      </c>
      <c r="BR627" s="77" cm="1">
        <f t="array" ref="BR627">_xll.DCEPropSectI(BF627, BH627, BG627, BI627, BG627, BI627, "rx")/10</f>
        <v>16.91131201300167</v>
      </c>
      <c r="BS627" s="77" cm="1">
        <f t="array" ref="BS627">_xll.DCEPropSectI(BF627, BH627, BG627, BI627, BG627, BI627, "ry")/10</f>
        <v>5.1070747638622018</v>
      </c>
      <c r="BT627" s="5">
        <f t="shared" si="85"/>
        <v>191.58773710218577</v>
      </c>
      <c r="BU627" s="5">
        <f t="shared" si="86"/>
        <v>634.41405301647956</v>
      </c>
      <c r="BV627" s="5">
        <f t="shared" si="87"/>
        <v>634.41405301647956</v>
      </c>
      <c r="BW627" s="71">
        <f t="shared" si="88"/>
        <v>400</v>
      </c>
      <c r="BX627" s="78" cm="1">
        <f t="array" ref="BX627">IF(BM627&gt;0,1,_xll.DCETCVN5575FactorPhi7121(BV627*SQRT($K$17/206000),"b"))</f>
        <v>1</v>
      </c>
      <c r="BY627" s="64">
        <f t="shared" si="89"/>
        <v>0.11902721279966194</v>
      </c>
      <c r="BZ627" s="3" t="str">
        <f t="shared" si="90"/>
        <v>Check</v>
      </c>
    </row>
    <row r="628" spans="1:78">
      <c r="A628" s="76"/>
      <c r="B628" s="76"/>
      <c r="C628" s="125"/>
      <c r="D628" s="125"/>
      <c r="E628" s="71"/>
      <c r="F628" s="71"/>
      <c r="G628" s="71"/>
      <c r="H628" s="126"/>
      <c r="I628" s="125"/>
      <c r="J628" s="123"/>
      <c r="K628" s="12"/>
      <c r="L628" s="117"/>
      <c r="M628" s="12"/>
      <c r="N628" s="117"/>
      <c r="O628" s="117"/>
      <c r="P628" s="117"/>
      <c r="Q628" s="118"/>
      <c r="R628" s="118"/>
      <c r="S628" s="118"/>
      <c r="T628" s="12"/>
      <c r="U628" s="118"/>
      <c r="V628" s="118"/>
      <c r="W628" s="12"/>
      <c r="X628" s="119"/>
      <c r="Y628" s="120"/>
      <c r="Z628" s="12"/>
      <c r="BA628" s="70" t="s">
        <v>205</v>
      </c>
      <c r="BB628" s="71" t="s">
        <v>210</v>
      </c>
      <c r="BC628" s="71" t="s">
        <v>207</v>
      </c>
      <c r="BD628" s="71">
        <v>13.5</v>
      </c>
      <c r="BE628" s="71">
        <v>36</v>
      </c>
      <c r="BF628" s="71">
        <v>390</v>
      </c>
      <c r="BG628" s="71">
        <v>212</v>
      </c>
      <c r="BH628" s="71">
        <v>5</v>
      </c>
      <c r="BI628" s="71">
        <v>10</v>
      </c>
      <c r="BJ628" s="12" t="str" cm="1">
        <f t="array" ref="BJ628">_xll.Dce_Name_SectI(BF628, BF628, BG628, BH628, BI628, "x", "-", $AX$11)</f>
        <v>390x212x5x10</v>
      </c>
      <c r="BK628" s="77" cm="1">
        <f t="array" ref="BK628">_xll.DCEPropSectI(BF628, BH628, BG628, BI628, BG628, BI628, "A")/100</f>
        <v>60.9</v>
      </c>
      <c r="BL628" s="70" t="s">
        <v>221</v>
      </c>
      <c r="BM628" s="70">
        <v>152.22390244948764</v>
      </c>
      <c r="BN628" s="71">
        <v>0.9</v>
      </c>
      <c r="BO628" s="77">
        <f t="shared" si="83"/>
        <v>32.4</v>
      </c>
      <c r="BP628" s="71">
        <v>0.9</v>
      </c>
      <c r="BQ628" s="77">
        <f t="shared" si="84"/>
        <v>32.4</v>
      </c>
      <c r="BR628" s="77" cm="1">
        <f t="array" ref="BR628">_xll.DCEPropSectI(BF628, BH628, BG628, BI628, BG628, BI628, "rx")/10</f>
        <v>16.91131201300167</v>
      </c>
      <c r="BS628" s="77" cm="1">
        <f t="array" ref="BS628">_xll.DCEPropSectI(BF628, BH628, BG628, BI628, BG628, BI628, "ry")/10</f>
        <v>5.1070747638622018</v>
      </c>
      <c r="BT628" s="5">
        <f t="shared" si="85"/>
        <v>191.58773710218577</v>
      </c>
      <c r="BU628" s="5">
        <f t="shared" si="86"/>
        <v>634.41405301647956</v>
      </c>
      <c r="BV628" s="5">
        <f t="shared" si="87"/>
        <v>634.41405301647956</v>
      </c>
      <c r="BW628" s="71">
        <f t="shared" si="88"/>
        <v>400</v>
      </c>
      <c r="BX628" s="78" cm="1">
        <f t="array" ref="BX628">IF(BM628&gt;0,1,_xll.DCETCVN5575FactorPhi7121(BV628*SQRT($K$17/206000),"b"))</f>
        <v>1</v>
      </c>
      <c r="BY628" s="64">
        <f t="shared" si="89"/>
        <v>0.11902721279966194</v>
      </c>
      <c r="BZ628" s="3" t="str">
        <f t="shared" si="90"/>
        <v>Check</v>
      </c>
    </row>
    <row r="629" spans="1:78">
      <c r="A629" s="76"/>
      <c r="B629" s="76"/>
      <c r="C629" s="125"/>
      <c r="D629" s="125"/>
      <c r="E629" s="71"/>
      <c r="F629" s="71"/>
      <c r="G629" s="71"/>
      <c r="H629" s="126"/>
      <c r="I629" s="125"/>
      <c r="J629" s="123"/>
      <c r="K629" s="12"/>
      <c r="L629" s="117"/>
      <c r="M629" s="12"/>
      <c r="N629" s="117"/>
      <c r="O629" s="117"/>
      <c r="P629" s="117"/>
      <c r="Q629" s="118"/>
      <c r="R629" s="118"/>
      <c r="S629" s="118"/>
      <c r="T629" s="12"/>
      <c r="U629" s="118"/>
      <c r="V629" s="118"/>
      <c r="W629" s="12"/>
      <c r="X629" s="119"/>
      <c r="Y629" s="120"/>
      <c r="Z629" s="12"/>
      <c r="BA629" s="70" t="s">
        <v>205</v>
      </c>
      <c r="BB629" s="71" t="s">
        <v>210</v>
      </c>
      <c r="BC629" s="71" t="s">
        <v>207</v>
      </c>
      <c r="BD629" s="71">
        <v>14</v>
      </c>
      <c r="BE629" s="71">
        <v>36</v>
      </c>
      <c r="BF629" s="71">
        <v>390</v>
      </c>
      <c r="BG629" s="71">
        <v>212</v>
      </c>
      <c r="BH629" s="71">
        <v>5</v>
      </c>
      <c r="BI629" s="71">
        <v>10</v>
      </c>
      <c r="BJ629" s="12" t="str" cm="1">
        <f t="array" ref="BJ629">_xll.Dce_Name_SectI(BF629, BF629, BG629, BH629, BI629, "x", "-", $AX$11)</f>
        <v>390x212x5x10</v>
      </c>
      <c r="BK629" s="77" cm="1">
        <f t="array" ref="BK629">_xll.DCEPropSectI(BF629, BH629, BG629, BI629, BG629, BI629, "A")/100</f>
        <v>60.9</v>
      </c>
      <c r="BL629" s="70" t="s">
        <v>221</v>
      </c>
      <c r="BM629" s="70">
        <v>152.22390244948764</v>
      </c>
      <c r="BN629" s="71">
        <v>0.9</v>
      </c>
      <c r="BO629" s="77">
        <f t="shared" si="83"/>
        <v>32.4</v>
      </c>
      <c r="BP629" s="71">
        <v>0.9</v>
      </c>
      <c r="BQ629" s="77">
        <f t="shared" si="84"/>
        <v>32.4</v>
      </c>
      <c r="BR629" s="77" cm="1">
        <f t="array" ref="BR629">_xll.DCEPropSectI(BF629, BH629, BG629, BI629, BG629, BI629, "rx")/10</f>
        <v>16.91131201300167</v>
      </c>
      <c r="BS629" s="77" cm="1">
        <f t="array" ref="BS629">_xll.DCEPropSectI(BF629, BH629, BG629, BI629, BG629, BI629, "ry")/10</f>
        <v>5.1070747638622018</v>
      </c>
      <c r="BT629" s="5">
        <f t="shared" si="85"/>
        <v>191.58773710218577</v>
      </c>
      <c r="BU629" s="5">
        <f t="shared" si="86"/>
        <v>634.41405301647956</v>
      </c>
      <c r="BV629" s="5">
        <f t="shared" si="87"/>
        <v>634.41405301647956</v>
      </c>
      <c r="BW629" s="71">
        <f t="shared" si="88"/>
        <v>400</v>
      </c>
      <c r="BX629" s="78" cm="1">
        <f t="array" ref="BX629">IF(BM629&gt;0,1,_xll.DCETCVN5575FactorPhi7121(BV629*SQRT($K$17/206000),"b"))</f>
        <v>1</v>
      </c>
      <c r="BY629" s="64">
        <f t="shared" si="89"/>
        <v>0.11902721279966194</v>
      </c>
      <c r="BZ629" s="3" t="str">
        <f t="shared" si="90"/>
        <v>Check</v>
      </c>
    </row>
    <row r="630" spans="1:78">
      <c r="A630" s="76"/>
      <c r="B630" s="76"/>
      <c r="C630" s="125"/>
      <c r="D630" s="125"/>
      <c r="E630" s="71"/>
      <c r="F630" s="71"/>
      <c r="G630" s="71"/>
      <c r="H630" s="126"/>
      <c r="I630" s="125"/>
      <c r="J630" s="123"/>
      <c r="K630" s="12"/>
      <c r="L630" s="117"/>
      <c r="M630" s="12"/>
      <c r="N630" s="117"/>
      <c r="O630" s="117"/>
      <c r="P630" s="117"/>
      <c r="Q630" s="118"/>
      <c r="R630" s="118"/>
      <c r="S630" s="118"/>
      <c r="T630" s="12"/>
      <c r="U630" s="118"/>
      <c r="V630" s="118"/>
      <c r="W630" s="12"/>
      <c r="X630" s="119"/>
      <c r="Y630" s="120"/>
      <c r="Z630" s="12"/>
      <c r="BA630" s="70" t="s">
        <v>205</v>
      </c>
      <c r="BB630" s="71" t="s">
        <v>210</v>
      </c>
      <c r="BC630" s="71" t="s">
        <v>207</v>
      </c>
      <c r="BD630" s="71">
        <v>14.5</v>
      </c>
      <c r="BE630" s="71">
        <v>36</v>
      </c>
      <c r="BF630" s="71">
        <v>390</v>
      </c>
      <c r="BG630" s="71">
        <v>212</v>
      </c>
      <c r="BH630" s="71">
        <v>5</v>
      </c>
      <c r="BI630" s="71">
        <v>10</v>
      </c>
      <c r="BJ630" s="12" t="str" cm="1">
        <f t="array" ref="BJ630">_xll.Dce_Name_SectI(BF630, BF630, BG630, BH630, BI630, "x", "-", $AX$11)</f>
        <v>390x212x5x10</v>
      </c>
      <c r="BK630" s="77" cm="1">
        <f t="array" ref="BK630">_xll.DCEPropSectI(BF630, BH630, BG630, BI630, BG630, BI630, "A")/100</f>
        <v>60.9</v>
      </c>
      <c r="BL630" s="70" t="s">
        <v>221</v>
      </c>
      <c r="BM630" s="70">
        <v>152.22390244948764</v>
      </c>
      <c r="BN630" s="71">
        <v>0.9</v>
      </c>
      <c r="BO630" s="77">
        <f t="shared" si="83"/>
        <v>32.4</v>
      </c>
      <c r="BP630" s="71">
        <v>0.9</v>
      </c>
      <c r="BQ630" s="77">
        <f t="shared" si="84"/>
        <v>32.4</v>
      </c>
      <c r="BR630" s="77" cm="1">
        <f t="array" ref="BR630">_xll.DCEPropSectI(BF630, BH630, BG630, BI630, BG630, BI630, "rx")/10</f>
        <v>16.91131201300167</v>
      </c>
      <c r="BS630" s="77" cm="1">
        <f t="array" ref="BS630">_xll.DCEPropSectI(BF630, BH630, BG630, BI630, BG630, BI630, "ry")/10</f>
        <v>5.1070747638622018</v>
      </c>
      <c r="BT630" s="5">
        <f t="shared" si="85"/>
        <v>191.58773710218577</v>
      </c>
      <c r="BU630" s="5">
        <f t="shared" si="86"/>
        <v>634.41405301647956</v>
      </c>
      <c r="BV630" s="5">
        <f t="shared" si="87"/>
        <v>634.41405301647956</v>
      </c>
      <c r="BW630" s="71">
        <f t="shared" si="88"/>
        <v>400</v>
      </c>
      <c r="BX630" s="78" cm="1">
        <f t="array" ref="BX630">IF(BM630&gt;0,1,_xll.DCETCVN5575FactorPhi7121(BV630*SQRT($K$17/206000),"b"))</f>
        <v>1</v>
      </c>
      <c r="BY630" s="64">
        <f t="shared" si="89"/>
        <v>0.11902721279966194</v>
      </c>
      <c r="BZ630" s="3" t="str">
        <f t="shared" si="90"/>
        <v>Check</v>
      </c>
    </row>
    <row r="631" spans="1:78">
      <c r="A631" s="76"/>
      <c r="B631" s="76"/>
      <c r="C631" s="125"/>
      <c r="D631" s="125"/>
      <c r="E631" s="71"/>
      <c r="F631" s="71"/>
      <c r="G631" s="71"/>
      <c r="H631" s="126"/>
      <c r="I631" s="125"/>
      <c r="J631" s="123"/>
      <c r="K631" s="12"/>
      <c r="L631" s="117"/>
      <c r="M631" s="12"/>
      <c r="N631" s="117"/>
      <c r="O631" s="117"/>
      <c r="P631" s="117"/>
      <c r="Q631" s="118"/>
      <c r="R631" s="118"/>
      <c r="S631" s="118"/>
      <c r="T631" s="12"/>
      <c r="U631" s="118"/>
      <c r="V631" s="118"/>
      <c r="W631" s="12"/>
      <c r="X631" s="119"/>
      <c r="Y631" s="120"/>
      <c r="Z631" s="12"/>
      <c r="BA631" s="70" t="s">
        <v>205</v>
      </c>
      <c r="BB631" s="71" t="s">
        <v>210</v>
      </c>
      <c r="BC631" s="71" t="s">
        <v>207</v>
      </c>
      <c r="BD631" s="71">
        <v>15</v>
      </c>
      <c r="BE631" s="71">
        <v>36</v>
      </c>
      <c r="BF631" s="71">
        <v>390</v>
      </c>
      <c r="BG631" s="71">
        <v>212</v>
      </c>
      <c r="BH631" s="71">
        <v>5</v>
      </c>
      <c r="BI631" s="71">
        <v>10</v>
      </c>
      <c r="BJ631" s="12" t="str" cm="1">
        <f t="array" ref="BJ631">_xll.Dce_Name_SectI(BF631, BF631, BG631, BH631, BI631, "x", "-", $AX$11)</f>
        <v>390x212x5x10</v>
      </c>
      <c r="BK631" s="77" cm="1">
        <f t="array" ref="BK631">_xll.DCEPropSectI(BF631, BH631, BG631, BI631, BG631, BI631, "A")/100</f>
        <v>60.9</v>
      </c>
      <c r="BL631" s="70" t="s">
        <v>221</v>
      </c>
      <c r="BM631" s="70">
        <v>152.22390244948764</v>
      </c>
      <c r="BN631" s="71">
        <v>0.9</v>
      </c>
      <c r="BO631" s="77">
        <f t="shared" si="83"/>
        <v>32.4</v>
      </c>
      <c r="BP631" s="71">
        <v>0.9</v>
      </c>
      <c r="BQ631" s="77">
        <f t="shared" si="84"/>
        <v>32.4</v>
      </c>
      <c r="BR631" s="77" cm="1">
        <f t="array" ref="BR631">_xll.DCEPropSectI(BF631, BH631, BG631, BI631, BG631, BI631, "rx")/10</f>
        <v>16.91131201300167</v>
      </c>
      <c r="BS631" s="77" cm="1">
        <f t="array" ref="BS631">_xll.DCEPropSectI(BF631, BH631, BG631, BI631, BG631, BI631, "ry")/10</f>
        <v>5.1070747638622018</v>
      </c>
      <c r="BT631" s="5">
        <f t="shared" si="85"/>
        <v>191.58773710218577</v>
      </c>
      <c r="BU631" s="5">
        <f t="shared" si="86"/>
        <v>634.41405301647956</v>
      </c>
      <c r="BV631" s="5">
        <f t="shared" si="87"/>
        <v>634.41405301647956</v>
      </c>
      <c r="BW631" s="71">
        <f t="shared" si="88"/>
        <v>400</v>
      </c>
      <c r="BX631" s="78" cm="1">
        <f t="array" ref="BX631">IF(BM631&gt;0,1,_xll.DCETCVN5575FactorPhi7121(BV631*SQRT($K$17/206000),"b"))</f>
        <v>1</v>
      </c>
      <c r="BY631" s="64">
        <f t="shared" si="89"/>
        <v>0.11902721279966194</v>
      </c>
      <c r="BZ631" s="3" t="str">
        <f t="shared" si="90"/>
        <v>Check</v>
      </c>
    </row>
    <row r="632" spans="1:78">
      <c r="A632" s="76"/>
      <c r="B632" s="76"/>
      <c r="C632" s="125"/>
      <c r="D632" s="125"/>
      <c r="E632" s="71"/>
      <c r="F632" s="71"/>
      <c r="G632" s="71"/>
      <c r="H632" s="126"/>
      <c r="I632" s="125"/>
      <c r="J632" s="123"/>
      <c r="K632" s="12"/>
      <c r="L632" s="117"/>
      <c r="M632" s="12"/>
      <c r="N632" s="117"/>
      <c r="O632" s="117"/>
      <c r="P632" s="117"/>
      <c r="Q632" s="118"/>
      <c r="R632" s="118"/>
      <c r="S632" s="118"/>
      <c r="T632" s="12"/>
      <c r="U632" s="118"/>
      <c r="V632" s="118"/>
      <c r="W632" s="12"/>
      <c r="X632" s="119"/>
      <c r="Y632" s="120"/>
      <c r="Z632" s="12"/>
      <c r="BA632" s="70" t="s">
        <v>205</v>
      </c>
      <c r="BB632" s="71" t="s">
        <v>210</v>
      </c>
      <c r="BC632" s="71" t="s">
        <v>207</v>
      </c>
      <c r="BD632" s="71">
        <v>15</v>
      </c>
      <c r="BE632" s="71">
        <v>36</v>
      </c>
      <c r="BF632" s="71">
        <v>390</v>
      </c>
      <c r="BG632" s="71">
        <v>212</v>
      </c>
      <c r="BH632" s="71">
        <v>5</v>
      </c>
      <c r="BI632" s="71">
        <v>10</v>
      </c>
      <c r="BJ632" s="12" t="str" cm="1">
        <f t="array" ref="BJ632">_xll.Dce_Name_SectI(BF632, BF632, BG632, BH632, BI632, "x", "-", $AX$11)</f>
        <v>390x212x5x10</v>
      </c>
      <c r="BK632" s="77" cm="1">
        <f t="array" ref="BK632">_xll.DCEPropSectI(BF632, BH632, BG632, BI632, BG632, BI632, "A")/100</f>
        <v>60.9</v>
      </c>
      <c r="BL632" s="70" t="s">
        <v>221</v>
      </c>
      <c r="BM632" s="70">
        <v>211.78462905111707</v>
      </c>
      <c r="BN632" s="71">
        <v>0.9</v>
      </c>
      <c r="BO632" s="77">
        <f t="shared" si="83"/>
        <v>32.4</v>
      </c>
      <c r="BP632" s="71">
        <v>0.9</v>
      </c>
      <c r="BQ632" s="77">
        <f t="shared" si="84"/>
        <v>32.4</v>
      </c>
      <c r="BR632" s="77" cm="1">
        <f t="array" ref="BR632">_xll.DCEPropSectI(BF632, BH632, BG632, BI632, BG632, BI632, "rx")/10</f>
        <v>16.91131201300167</v>
      </c>
      <c r="BS632" s="77" cm="1">
        <f t="array" ref="BS632">_xll.DCEPropSectI(BF632, BH632, BG632, BI632, BG632, BI632, "ry")/10</f>
        <v>5.1070747638622018</v>
      </c>
      <c r="BT632" s="5">
        <f t="shared" si="85"/>
        <v>191.58773710218577</v>
      </c>
      <c r="BU632" s="5">
        <f t="shared" si="86"/>
        <v>634.41405301647956</v>
      </c>
      <c r="BV632" s="5">
        <f t="shared" si="87"/>
        <v>634.41405301647956</v>
      </c>
      <c r="BW632" s="71">
        <f t="shared" si="88"/>
        <v>400</v>
      </c>
      <c r="BX632" s="78" cm="1">
        <f t="array" ref="BX632">IF(BM632&gt;0,1,_xll.DCETCVN5575FactorPhi7121(BV632*SQRT($K$17/206000),"b"))</f>
        <v>1</v>
      </c>
      <c r="BY632" s="64">
        <f t="shared" si="89"/>
        <v>0.16559905313247095</v>
      </c>
      <c r="BZ632" s="3" t="str">
        <f t="shared" si="90"/>
        <v>Check</v>
      </c>
    </row>
    <row r="633" spans="1:78">
      <c r="A633" s="76"/>
      <c r="B633" s="76"/>
      <c r="C633" s="125"/>
      <c r="D633" s="125"/>
      <c r="E633" s="71"/>
      <c r="F633" s="71"/>
      <c r="G633" s="71"/>
      <c r="H633" s="126"/>
      <c r="I633" s="125"/>
      <c r="J633" s="123"/>
      <c r="K633" s="12"/>
      <c r="L633" s="117"/>
      <c r="M633" s="12"/>
      <c r="N633" s="117"/>
      <c r="O633" s="117"/>
      <c r="P633" s="117"/>
      <c r="Q633" s="118"/>
      <c r="R633" s="118"/>
      <c r="S633" s="118"/>
      <c r="T633" s="12"/>
      <c r="U633" s="118"/>
      <c r="V633" s="118"/>
      <c r="W633" s="12"/>
      <c r="X633" s="119"/>
      <c r="Y633" s="120"/>
      <c r="Z633" s="12"/>
      <c r="BA633" s="70" t="s">
        <v>205</v>
      </c>
      <c r="BB633" s="71" t="s">
        <v>210</v>
      </c>
      <c r="BC633" s="71" t="s">
        <v>207</v>
      </c>
      <c r="BD633" s="71">
        <v>15.5</v>
      </c>
      <c r="BE633" s="71">
        <v>36</v>
      </c>
      <c r="BF633" s="71">
        <v>390</v>
      </c>
      <c r="BG633" s="71">
        <v>212</v>
      </c>
      <c r="BH633" s="71">
        <v>5</v>
      </c>
      <c r="BI633" s="71">
        <v>10</v>
      </c>
      <c r="BJ633" s="12" t="str" cm="1">
        <f t="array" ref="BJ633">_xll.Dce_Name_SectI(BF633, BF633, BG633, BH633, BI633, "x", "-", $AX$11)</f>
        <v>390x212x5x10</v>
      </c>
      <c r="BK633" s="77" cm="1">
        <f t="array" ref="BK633">_xll.DCEPropSectI(BF633, BH633, BG633, BI633, BG633, BI633, "A")/100</f>
        <v>60.9</v>
      </c>
      <c r="BL633" s="70" t="s">
        <v>221</v>
      </c>
      <c r="BM633" s="70">
        <v>211.78462905111707</v>
      </c>
      <c r="BN633" s="71">
        <v>0.9</v>
      </c>
      <c r="BO633" s="77">
        <f t="shared" si="83"/>
        <v>32.4</v>
      </c>
      <c r="BP633" s="71">
        <v>0.9</v>
      </c>
      <c r="BQ633" s="77">
        <f t="shared" si="84"/>
        <v>32.4</v>
      </c>
      <c r="BR633" s="77" cm="1">
        <f t="array" ref="BR633">_xll.DCEPropSectI(BF633, BH633, BG633, BI633, BG633, BI633, "rx")/10</f>
        <v>16.91131201300167</v>
      </c>
      <c r="BS633" s="77" cm="1">
        <f t="array" ref="BS633">_xll.DCEPropSectI(BF633, BH633, BG633, BI633, BG633, BI633, "ry")/10</f>
        <v>5.1070747638622018</v>
      </c>
      <c r="BT633" s="5">
        <f t="shared" si="85"/>
        <v>191.58773710218577</v>
      </c>
      <c r="BU633" s="5">
        <f t="shared" si="86"/>
        <v>634.41405301647956</v>
      </c>
      <c r="BV633" s="5">
        <f t="shared" si="87"/>
        <v>634.41405301647956</v>
      </c>
      <c r="BW633" s="71">
        <f t="shared" si="88"/>
        <v>400</v>
      </c>
      <c r="BX633" s="78" cm="1">
        <f t="array" ref="BX633">IF(BM633&gt;0,1,_xll.DCETCVN5575FactorPhi7121(BV633*SQRT($K$17/206000),"b"))</f>
        <v>1</v>
      </c>
      <c r="BY633" s="64">
        <f t="shared" si="89"/>
        <v>0.16559905313247095</v>
      </c>
      <c r="BZ633" s="3" t="str">
        <f t="shared" si="90"/>
        <v>Check</v>
      </c>
    </row>
    <row r="634" spans="1:78">
      <c r="A634" s="76"/>
      <c r="B634" s="76"/>
      <c r="C634" s="125"/>
      <c r="D634" s="125"/>
      <c r="E634" s="71"/>
      <c r="F634" s="71"/>
      <c r="G634" s="71"/>
      <c r="H634" s="126"/>
      <c r="I634" s="125"/>
      <c r="J634" s="123"/>
      <c r="K634" s="12"/>
      <c r="L634" s="117"/>
      <c r="M634" s="12"/>
      <c r="N634" s="117"/>
      <c r="O634" s="117"/>
      <c r="P634" s="117"/>
      <c r="Q634" s="118"/>
      <c r="R634" s="118"/>
      <c r="S634" s="118"/>
      <c r="T634" s="12"/>
      <c r="U634" s="118"/>
      <c r="V634" s="118"/>
      <c r="W634" s="12"/>
      <c r="X634" s="119"/>
      <c r="Y634" s="120"/>
      <c r="Z634" s="12"/>
      <c r="BA634" s="70" t="s">
        <v>205</v>
      </c>
      <c r="BB634" s="71" t="s">
        <v>210</v>
      </c>
      <c r="BC634" s="71" t="s">
        <v>207</v>
      </c>
      <c r="BD634" s="71">
        <v>16</v>
      </c>
      <c r="BE634" s="71">
        <v>36</v>
      </c>
      <c r="BF634" s="71">
        <v>390</v>
      </c>
      <c r="BG634" s="71">
        <v>212</v>
      </c>
      <c r="BH634" s="71">
        <v>5</v>
      </c>
      <c r="BI634" s="71">
        <v>10</v>
      </c>
      <c r="BJ634" s="12" t="str" cm="1">
        <f t="array" ref="BJ634">_xll.Dce_Name_SectI(BF634, BF634, BG634, BH634, BI634, "x", "-", $AX$11)</f>
        <v>390x212x5x10</v>
      </c>
      <c r="BK634" s="77" cm="1">
        <f t="array" ref="BK634">_xll.DCEPropSectI(BF634, BH634, BG634, BI634, BG634, BI634, "A")/100</f>
        <v>60.9</v>
      </c>
      <c r="BL634" s="70" t="s">
        <v>221</v>
      </c>
      <c r="BM634" s="70">
        <v>211.78462905111707</v>
      </c>
      <c r="BN634" s="71">
        <v>0.9</v>
      </c>
      <c r="BO634" s="77">
        <f t="shared" si="83"/>
        <v>32.4</v>
      </c>
      <c r="BP634" s="71">
        <v>0.9</v>
      </c>
      <c r="BQ634" s="77">
        <f t="shared" si="84"/>
        <v>32.4</v>
      </c>
      <c r="BR634" s="77" cm="1">
        <f t="array" ref="BR634">_xll.DCEPropSectI(BF634, BH634, BG634, BI634, BG634, BI634, "rx")/10</f>
        <v>16.91131201300167</v>
      </c>
      <c r="BS634" s="77" cm="1">
        <f t="array" ref="BS634">_xll.DCEPropSectI(BF634, BH634, BG634, BI634, BG634, BI634, "ry")/10</f>
        <v>5.1070747638622018</v>
      </c>
      <c r="BT634" s="5">
        <f t="shared" si="85"/>
        <v>191.58773710218577</v>
      </c>
      <c r="BU634" s="5">
        <f t="shared" si="86"/>
        <v>634.41405301647956</v>
      </c>
      <c r="BV634" s="5">
        <f t="shared" si="87"/>
        <v>634.41405301647956</v>
      </c>
      <c r="BW634" s="71">
        <f t="shared" si="88"/>
        <v>400</v>
      </c>
      <c r="BX634" s="78" cm="1">
        <f t="array" ref="BX634">IF(BM634&gt;0,1,_xll.DCETCVN5575FactorPhi7121(BV634*SQRT($K$17/206000),"b"))</f>
        <v>1</v>
      </c>
      <c r="BY634" s="64">
        <f t="shared" si="89"/>
        <v>0.16559905313247095</v>
      </c>
      <c r="BZ634" s="3" t="str">
        <f t="shared" si="90"/>
        <v>Check</v>
      </c>
    </row>
    <row r="635" spans="1:78">
      <c r="A635" s="76"/>
      <c r="B635" s="76"/>
      <c r="C635" s="125"/>
      <c r="D635" s="125"/>
      <c r="E635" s="71"/>
      <c r="F635" s="71"/>
      <c r="G635" s="71"/>
      <c r="H635" s="126"/>
      <c r="I635" s="125"/>
      <c r="J635" s="123"/>
      <c r="K635" s="12"/>
      <c r="L635" s="117"/>
      <c r="M635" s="12"/>
      <c r="N635" s="117"/>
      <c r="O635" s="117"/>
      <c r="P635" s="117"/>
      <c r="Q635" s="118"/>
      <c r="R635" s="118"/>
      <c r="S635" s="118"/>
      <c r="T635" s="12"/>
      <c r="U635" s="118"/>
      <c r="V635" s="118"/>
      <c r="W635" s="12"/>
      <c r="X635" s="119"/>
      <c r="Y635" s="120"/>
      <c r="Z635" s="12"/>
      <c r="BA635" s="70" t="s">
        <v>205</v>
      </c>
      <c r="BB635" s="71" t="s">
        <v>210</v>
      </c>
      <c r="BC635" s="71" t="s">
        <v>207</v>
      </c>
      <c r="BD635" s="71">
        <v>16.5</v>
      </c>
      <c r="BE635" s="71">
        <v>36</v>
      </c>
      <c r="BF635" s="71">
        <v>390</v>
      </c>
      <c r="BG635" s="71">
        <v>212</v>
      </c>
      <c r="BH635" s="71">
        <v>5</v>
      </c>
      <c r="BI635" s="71">
        <v>10</v>
      </c>
      <c r="BJ635" s="12" t="str" cm="1">
        <f t="array" ref="BJ635">_xll.Dce_Name_SectI(BF635, BF635, BG635, BH635, BI635, "x", "-", $AX$11)</f>
        <v>390x212x5x10</v>
      </c>
      <c r="BK635" s="77" cm="1">
        <f t="array" ref="BK635">_xll.DCEPropSectI(BF635, BH635, BG635, BI635, BG635, BI635, "A")/100</f>
        <v>60.9</v>
      </c>
      <c r="BL635" s="70" t="s">
        <v>221</v>
      </c>
      <c r="BM635" s="70">
        <v>211.78462905111707</v>
      </c>
      <c r="BN635" s="71">
        <v>0.9</v>
      </c>
      <c r="BO635" s="77">
        <f t="shared" si="83"/>
        <v>32.4</v>
      </c>
      <c r="BP635" s="71">
        <v>0.9</v>
      </c>
      <c r="BQ635" s="77">
        <f t="shared" si="84"/>
        <v>32.4</v>
      </c>
      <c r="BR635" s="77" cm="1">
        <f t="array" ref="BR635">_xll.DCEPropSectI(BF635, BH635, BG635, BI635, BG635, BI635, "rx")/10</f>
        <v>16.91131201300167</v>
      </c>
      <c r="BS635" s="77" cm="1">
        <f t="array" ref="BS635">_xll.DCEPropSectI(BF635, BH635, BG635, BI635, BG635, BI635, "ry")/10</f>
        <v>5.1070747638622018</v>
      </c>
      <c r="BT635" s="5">
        <f t="shared" si="85"/>
        <v>191.58773710218577</v>
      </c>
      <c r="BU635" s="5">
        <f t="shared" si="86"/>
        <v>634.41405301647956</v>
      </c>
      <c r="BV635" s="5">
        <f t="shared" si="87"/>
        <v>634.41405301647956</v>
      </c>
      <c r="BW635" s="71">
        <f t="shared" si="88"/>
        <v>400</v>
      </c>
      <c r="BX635" s="78" cm="1">
        <f t="array" ref="BX635">IF(BM635&gt;0,1,_xll.DCETCVN5575FactorPhi7121(BV635*SQRT($K$17/206000),"b"))</f>
        <v>1</v>
      </c>
      <c r="BY635" s="64">
        <f t="shared" si="89"/>
        <v>0.16559905313247095</v>
      </c>
      <c r="BZ635" s="3" t="str">
        <f t="shared" si="90"/>
        <v>Check</v>
      </c>
    </row>
    <row r="636" spans="1:78">
      <c r="A636" s="76"/>
      <c r="B636" s="76"/>
      <c r="C636" s="125"/>
      <c r="D636" s="125"/>
      <c r="E636" s="71"/>
      <c r="F636" s="71"/>
      <c r="G636" s="71"/>
      <c r="H636" s="126"/>
      <c r="I636" s="125"/>
      <c r="J636" s="123"/>
      <c r="K636" s="12"/>
      <c r="L636" s="117"/>
      <c r="M636" s="12"/>
      <c r="N636" s="117"/>
      <c r="O636" s="117"/>
      <c r="P636" s="117"/>
      <c r="Q636" s="118"/>
      <c r="R636" s="118"/>
      <c r="S636" s="118"/>
      <c r="T636" s="12"/>
      <c r="U636" s="118"/>
      <c r="V636" s="118"/>
      <c r="W636" s="12"/>
      <c r="X636" s="119"/>
      <c r="Y636" s="120"/>
      <c r="Z636" s="12"/>
      <c r="BA636" s="70" t="s">
        <v>205</v>
      </c>
      <c r="BB636" s="71" t="s">
        <v>210</v>
      </c>
      <c r="BC636" s="71" t="s">
        <v>207</v>
      </c>
      <c r="BD636" s="71">
        <v>17</v>
      </c>
      <c r="BE636" s="71">
        <v>36</v>
      </c>
      <c r="BF636" s="71">
        <v>390</v>
      </c>
      <c r="BG636" s="71">
        <v>212</v>
      </c>
      <c r="BH636" s="71">
        <v>5</v>
      </c>
      <c r="BI636" s="71">
        <v>10</v>
      </c>
      <c r="BJ636" s="12" t="str" cm="1">
        <f t="array" ref="BJ636">_xll.Dce_Name_SectI(BF636, BF636, BG636, BH636, BI636, "x", "-", $AX$11)</f>
        <v>390x212x5x10</v>
      </c>
      <c r="BK636" s="77" cm="1">
        <f t="array" ref="BK636">_xll.DCEPropSectI(BF636, BH636, BG636, BI636, BG636, BI636, "A")/100</f>
        <v>60.9</v>
      </c>
      <c r="BL636" s="70" t="s">
        <v>221</v>
      </c>
      <c r="BM636" s="70">
        <v>211.78462905111707</v>
      </c>
      <c r="BN636" s="71">
        <v>0.9</v>
      </c>
      <c r="BO636" s="77">
        <f t="shared" si="83"/>
        <v>32.4</v>
      </c>
      <c r="BP636" s="71">
        <v>0.9</v>
      </c>
      <c r="BQ636" s="77">
        <f t="shared" si="84"/>
        <v>32.4</v>
      </c>
      <c r="BR636" s="77" cm="1">
        <f t="array" ref="BR636">_xll.DCEPropSectI(BF636, BH636, BG636, BI636, BG636, BI636, "rx")/10</f>
        <v>16.91131201300167</v>
      </c>
      <c r="BS636" s="77" cm="1">
        <f t="array" ref="BS636">_xll.DCEPropSectI(BF636, BH636, BG636, BI636, BG636, BI636, "ry")/10</f>
        <v>5.1070747638622018</v>
      </c>
      <c r="BT636" s="5">
        <f t="shared" si="85"/>
        <v>191.58773710218577</v>
      </c>
      <c r="BU636" s="5">
        <f t="shared" si="86"/>
        <v>634.41405301647956</v>
      </c>
      <c r="BV636" s="5">
        <f t="shared" si="87"/>
        <v>634.41405301647956</v>
      </c>
      <c r="BW636" s="71">
        <f t="shared" si="88"/>
        <v>400</v>
      </c>
      <c r="BX636" s="78" cm="1">
        <f t="array" ref="BX636">IF(BM636&gt;0,1,_xll.DCETCVN5575FactorPhi7121(BV636*SQRT($K$17/206000),"b"))</f>
        <v>1</v>
      </c>
      <c r="BY636" s="64">
        <f t="shared" si="89"/>
        <v>0.16559905313247095</v>
      </c>
      <c r="BZ636" s="3" t="str">
        <f t="shared" si="90"/>
        <v>Check</v>
      </c>
    </row>
    <row r="637" spans="1:78">
      <c r="A637" s="76"/>
      <c r="B637" s="76"/>
      <c r="C637" s="125"/>
      <c r="D637" s="125"/>
      <c r="E637" s="71"/>
      <c r="F637" s="71"/>
      <c r="G637" s="71"/>
      <c r="H637" s="126"/>
      <c r="I637" s="125"/>
      <c r="J637" s="123"/>
      <c r="K637" s="12"/>
      <c r="L637" s="117"/>
      <c r="M637" s="12"/>
      <c r="N637" s="117"/>
      <c r="O637" s="117"/>
      <c r="P637" s="117"/>
      <c r="Q637" s="118"/>
      <c r="R637" s="118"/>
      <c r="S637" s="118"/>
      <c r="T637" s="12"/>
      <c r="U637" s="118"/>
      <c r="V637" s="118"/>
      <c r="W637" s="12"/>
      <c r="X637" s="119"/>
      <c r="Y637" s="120"/>
      <c r="Z637" s="12"/>
      <c r="BA637" s="70" t="s">
        <v>205</v>
      </c>
      <c r="BB637" s="71" t="s">
        <v>210</v>
      </c>
      <c r="BC637" s="71" t="s">
        <v>207</v>
      </c>
      <c r="BD637" s="71">
        <v>17.5</v>
      </c>
      <c r="BE637" s="71">
        <v>36</v>
      </c>
      <c r="BF637" s="71">
        <v>390</v>
      </c>
      <c r="BG637" s="71">
        <v>212</v>
      </c>
      <c r="BH637" s="71">
        <v>5</v>
      </c>
      <c r="BI637" s="71">
        <v>10</v>
      </c>
      <c r="BJ637" s="12" t="str" cm="1">
        <f t="array" ref="BJ637">_xll.Dce_Name_SectI(BF637, BF637, BG637, BH637, BI637, "x", "-", $AX$11)</f>
        <v>390x212x5x10</v>
      </c>
      <c r="BK637" s="77" cm="1">
        <f t="array" ref="BK637">_xll.DCEPropSectI(BF637, BH637, BG637, BI637, BG637, BI637, "A")/100</f>
        <v>60.9</v>
      </c>
      <c r="BL637" s="70" t="s">
        <v>221</v>
      </c>
      <c r="BM637" s="70">
        <v>211.78462905111707</v>
      </c>
      <c r="BN637" s="71">
        <v>0.9</v>
      </c>
      <c r="BO637" s="77">
        <f t="shared" si="83"/>
        <v>32.4</v>
      </c>
      <c r="BP637" s="71">
        <v>0.9</v>
      </c>
      <c r="BQ637" s="77">
        <f t="shared" si="84"/>
        <v>32.4</v>
      </c>
      <c r="BR637" s="77" cm="1">
        <f t="array" ref="BR637">_xll.DCEPropSectI(BF637, BH637, BG637, BI637, BG637, BI637, "rx")/10</f>
        <v>16.91131201300167</v>
      </c>
      <c r="BS637" s="77" cm="1">
        <f t="array" ref="BS637">_xll.DCEPropSectI(BF637, BH637, BG637, BI637, BG637, BI637, "ry")/10</f>
        <v>5.1070747638622018</v>
      </c>
      <c r="BT637" s="5">
        <f t="shared" si="85"/>
        <v>191.58773710218577</v>
      </c>
      <c r="BU637" s="5">
        <f t="shared" si="86"/>
        <v>634.41405301647956</v>
      </c>
      <c r="BV637" s="5">
        <f t="shared" si="87"/>
        <v>634.41405301647956</v>
      </c>
      <c r="BW637" s="71">
        <f t="shared" si="88"/>
        <v>400</v>
      </c>
      <c r="BX637" s="78" cm="1">
        <f t="array" ref="BX637">IF(BM637&gt;0,1,_xll.DCETCVN5575FactorPhi7121(BV637*SQRT($K$17/206000),"b"))</f>
        <v>1</v>
      </c>
      <c r="BY637" s="64">
        <f t="shared" si="89"/>
        <v>0.16559905313247095</v>
      </c>
      <c r="BZ637" s="3" t="str">
        <f t="shared" si="90"/>
        <v>Check</v>
      </c>
    </row>
    <row r="638" spans="1:78">
      <c r="A638" s="76"/>
      <c r="B638" s="76"/>
      <c r="C638" s="125"/>
      <c r="D638" s="125"/>
      <c r="E638" s="71"/>
      <c r="F638" s="71"/>
      <c r="G638" s="71"/>
      <c r="H638" s="126"/>
      <c r="I638" s="125"/>
      <c r="J638" s="123"/>
      <c r="K638" s="12"/>
      <c r="L638" s="117"/>
      <c r="M638" s="12"/>
      <c r="N638" s="117"/>
      <c r="O638" s="117"/>
      <c r="P638" s="117"/>
      <c r="Q638" s="118"/>
      <c r="R638" s="118"/>
      <c r="S638" s="118"/>
      <c r="T638" s="12"/>
      <c r="U638" s="118"/>
      <c r="V638" s="118"/>
      <c r="W638" s="12"/>
      <c r="X638" s="119"/>
      <c r="Y638" s="120"/>
      <c r="Z638" s="12"/>
      <c r="BA638" s="70" t="s">
        <v>205</v>
      </c>
      <c r="BB638" s="71" t="s">
        <v>210</v>
      </c>
      <c r="BC638" s="71" t="s">
        <v>207</v>
      </c>
      <c r="BD638" s="71">
        <v>18</v>
      </c>
      <c r="BE638" s="71">
        <v>36</v>
      </c>
      <c r="BF638" s="71">
        <v>390</v>
      </c>
      <c r="BG638" s="71">
        <v>212</v>
      </c>
      <c r="BH638" s="71">
        <v>5</v>
      </c>
      <c r="BI638" s="71">
        <v>10</v>
      </c>
      <c r="BJ638" s="12" t="str" cm="1">
        <f t="array" ref="BJ638">_xll.Dce_Name_SectI(BF638, BF638, BG638, BH638, BI638, "x", "-", $AX$11)</f>
        <v>390x212x5x10</v>
      </c>
      <c r="BK638" s="77" cm="1">
        <f t="array" ref="BK638">_xll.DCEPropSectI(BF638, BH638, BG638, BI638, BG638, BI638, "A")/100</f>
        <v>60.9</v>
      </c>
      <c r="BL638" s="70" t="s">
        <v>221</v>
      </c>
      <c r="BM638" s="70">
        <v>211.78462905111707</v>
      </c>
      <c r="BN638" s="71">
        <v>0.9</v>
      </c>
      <c r="BO638" s="77">
        <f t="shared" si="83"/>
        <v>32.4</v>
      </c>
      <c r="BP638" s="71">
        <v>0.9</v>
      </c>
      <c r="BQ638" s="77">
        <f t="shared" si="84"/>
        <v>32.4</v>
      </c>
      <c r="BR638" s="77" cm="1">
        <f t="array" ref="BR638">_xll.DCEPropSectI(BF638, BH638, BG638, BI638, BG638, BI638, "rx")/10</f>
        <v>16.91131201300167</v>
      </c>
      <c r="BS638" s="77" cm="1">
        <f t="array" ref="BS638">_xll.DCEPropSectI(BF638, BH638, BG638, BI638, BG638, BI638, "ry")/10</f>
        <v>5.1070747638622018</v>
      </c>
      <c r="BT638" s="5">
        <f t="shared" si="85"/>
        <v>191.58773710218577</v>
      </c>
      <c r="BU638" s="5">
        <f t="shared" si="86"/>
        <v>634.41405301647956</v>
      </c>
      <c r="BV638" s="5">
        <f t="shared" si="87"/>
        <v>634.41405301647956</v>
      </c>
      <c r="BW638" s="71">
        <f t="shared" si="88"/>
        <v>400</v>
      </c>
      <c r="BX638" s="78" cm="1">
        <f t="array" ref="BX638">IF(BM638&gt;0,1,_xll.DCETCVN5575FactorPhi7121(BV638*SQRT($K$17/206000),"b"))</f>
        <v>1</v>
      </c>
      <c r="BY638" s="64">
        <f t="shared" si="89"/>
        <v>0.16559905313247095</v>
      </c>
      <c r="BZ638" s="3" t="str">
        <f t="shared" si="90"/>
        <v>Check</v>
      </c>
    </row>
    <row r="639" spans="1:78">
      <c r="A639" s="76"/>
      <c r="B639" s="76"/>
      <c r="C639" s="125"/>
      <c r="D639" s="125"/>
      <c r="E639" s="71"/>
      <c r="F639" s="71"/>
      <c r="G639" s="71"/>
      <c r="H639" s="126"/>
      <c r="I639" s="125"/>
      <c r="J639" s="123"/>
      <c r="K639" s="12"/>
      <c r="L639" s="117"/>
      <c r="M639" s="12"/>
      <c r="N639" s="117"/>
      <c r="O639" s="117"/>
      <c r="P639" s="117"/>
      <c r="Q639" s="118"/>
      <c r="R639" s="118"/>
      <c r="S639" s="118"/>
      <c r="T639" s="12"/>
      <c r="U639" s="118"/>
      <c r="V639" s="118"/>
      <c r="W639" s="12"/>
      <c r="X639" s="119"/>
      <c r="Y639" s="120"/>
      <c r="Z639" s="12"/>
      <c r="BA639" s="70" t="s">
        <v>205</v>
      </c>
      <c r="BB639" s="71" t="s">
        <v>210</v>
      </c>
      <c r="BC639" s="71" t="s">
        <v>207</v>
      </c>
      <c r="BD639" s="71">
        <v>18.5</v>
      </c>
      <c r="BE639" s="71">
        <v>36</v>
      </c>
      <c r="BF639" s="71">
        <v>390</v>
      </c>
      <c r="BG639" s="71">
        <v>212</v>
      </c>
      <c r="BH639" s="71">
        <v>5</v>
      </c>
      <c r="BI639" s="71">
        <v>10</v>
      </c>
      <c r="BJ639" s="12" t="str" cm="1">
        <f t="array" ref="BJ639">_xll.Dce_Name_SectI(BF639, BF639, BG639, BH639, BI639, "x", "-", $AX$11)</f>
        <v>390x212x5x10</v>
      </c>
      <c r="BK639" s="77" cm="1">
        <f t="array" ref="BK639">_xll.DCEPropSectI(BF639, BH639, BG639, BI639, BG639, BI639, "A")/100</f>
        <v>60.9</v>
      </c>
      <c r="BL639" s="70" t="s">
        <v>221</v>
      </c>
      <c r="BM639" s="70">
        <v>211.78462905111707</v>
      </c>
      <c r="BN639" s="71">
        <v>0.9</v>
      </c>
      <c r="BO639" s="77">
        <f t="shared" si="83"/>
        <v>32.4</v>
      </c>
      <c r="BP639" s="71">
        <v>0.9</v>
      </c>
      <c r="BQ639" s="77">
        <f t="shared" si="84"/>
        <v>32.4</v>
      </c>
      <c r="BR639" s="77" cm="1">
        <f t="array" ref="BR639">_xll.DCEPropSectI(BF639, BH639, BG639, BI639, BG639, BI639, "rx")/10</f>
        <v>16.91131201300167</v>
      </c>
      <c r="BS639" s="77" cm="1">
        <f t="array" ref="BS639">_xll.DCEPropSectI(BF639, BH639, BG639, BI639, BG639, BI639, "ry")/10</f>
        <v>5.1070747638622018</v>
      </c>
      <c r="BT639" s="5">
        <f t="shared" si="85"/>
        <v>191.58773710218577</v>
      </c>
      <c r="BU639" s="5">
        <f t="shared" si="86"/>
        <v>634.41405301647956</v>
      </c>
      <c r="BV639" s="5">
        <f t="shared" si="87"/>
        <v>634.41405301647956</v>
      </c>
      <c r="BW639" s="71">
        <f t="shared" si="88"/>
        <v>400</v>
      </c>
      <c r="BX639" s="78" cm="1">
        <f t="array" ref="BX639">IF(BM639&gt;0,1,_xll.DCETCVN5575FactorPhi7121(BV639*SQRT($K$17/206000),"b"))</f>
        <v>1</v>
      </c>
      <c r="BY639" s="64">
        <f t="shared" si="89"/>
        <v>0.16559905313247095</v>
      </c>
      <c r="BZ639" s="3" t="str">
        <f t="shared" si="90"/>
        <v>Check</v>
      </c>
    </row>
    <row r="640" spans="1:78">
      <c r="A640" s="76"/>
      <c r="B640" s="76"/>
      <c r="C640" s="125"/>
      <c r="D640" s="125"/>
      <c r="E640" s="71"/>
      <c r="F640" s="71"/>
      <c r="G640" s="71"/>
      <c r="H640" s="126"/>
      <c r="I640" s="125"/>
      <c r="J640" s="123"/>
      <c r="K640" s="12"/>
      <c r="L640" s="117"/>
      <c r="M640" s="12"/>
      <c r="N640" s="117"/>
      <c r="O640" s="117"/>
      <c r="P640" s="117"/>
      <c r="Q640" s="118"/>
      <c r="R640" s="118"/>
      <c r="S640" s="118"/>
      <c r="T640" s="12"/>
      <c r="U640" s="118"/>
      <c r="V640" s="118"/>
      <c r="W640" s="12"/>
      <c r="X640" s="119"/>
      <c r="Y640" s="120"/>
      <c r="Z640" s="12"/>
      <c r="BA640" s="70" t="s">
        <v>205</v>
      </c>
      <c r="BB640" s="71" t="s">
        <v>210</v>
      </c>
      <c r="BC640" s="71" t="s">
        <v>207</v>
      </c>
      <c r="BD640" s="71">
        <v>19</v>
      </c>
      <c r="BE640" s="71">
        <v>36</v>
      </c>
      <c r="BF640" s="71">
        <v>390</v>
      </c>
      <c r="BG640" s="71">
        <v>212</v>
      </c>
      <c r="BH640" s="71">
        <v>5</v>
      </c>
      <c r="BI640" s="71">
        <v>10</v>
      </c>
      <c r="BJ640" s="12" t="str" cm="1">
        <f t="array" ref="BJ640">_xll.Dce_Name_SectI(BF640, BF640, BG640, BH640, BI640, "x", "-", $AX$11)</f>
        <v>390x212x5x10</v>
      </c>
      <c r="BK640" s="77" cm="1">
        <f t="array" ref="BK640">_xll.DCEPropSectI(BF640, BH640, BG640, BI640, BG640, BI640, "A")/100</f>
        <v>60.9</v>
      </c>
      <c r="BL640" s="70" t="s">
        <v>221</v>
      </c>
      <c r="BM640" s="70">
        <v>211.78462905111707</v>
      </c>
      <c r="BN640" s="71">
        <v>0.9</v>
      </c>
      <c r="BO640" s="77">
        <f t="shared" si="83"/>
        <v>32.4</v>
      </c>
      <c r="BP640" s="71">
        <v>0.9</v>
      </c>
      <c r="BQ640" s="77">
        <f t="shared" si="84"/>
        <v>32.4</v>
      </c>
      <c r="BR640" s="77" cm="1">
        <f t="array" ref="BR640">_xll.DCEPropSectI(BF640, BH640, BG640, BI640, BG640, BI640, "rx")/10</f>
        <v>16.91131201300167</v>
      </c>
      <c r="BS640" s="77" cm="1">
        <f t="array" ref="BS640">_xll.DCEPropSectI(BF640, BH640, BG640, BI640, BG640, BI640, "ry")/10</f>
        <v>5.1070747638622018</v>
      </c>
      <c r="BT640" s="5">
        <f t="shared" si="85"/>
        <v>191.58773710218577</v>
      </c>
      <c r="BU640" s="5">
        <f t="shared" si="86"/>
        <v>634.41405301647956</v>
      </c>
      <c r="BV640" s="5">
        <f t="shared" si="87"/>
        <v>634.41405301647956</v>
      </c>
      <c r="BW640" s="71">
        <f t="shared" si="88"/>
        <v>400</v>
      </c>
      <c r="BX640" s="78" cm="1">
        <f t="array" ref="BX640">IF(BM640&gt;0,1,_xll.DCETCVN5575FactorPhi7121(BV640*SQRT($K$17/206000),"b"))</f>
        <v>1</v>
      </c>
      <c r="BY640" s="64">
        <f t="shared" si="89"/>
        <v>0.16559905313247095</v>
      </c>
      <c r="BZ640" s="3" t="str">
        <f t="shared" si="90"/>
        <v>Check</v>
      </c>
    </row>
    <row r="641" spans="1:78">
      <c r="A641" s="76"/>
      <c r="B641" s="76"/>
      <c r="C641" s="125"/>
      <c r="D641" s="125"/>
      <c r="E641" s="71"/>
      <c r="F641" s="71"/>
      <c r="G641" s="71"/>
      <c r="H641" s="126"/>
      <c r="I641" s="125"/>
      <c r="J641" s="123"/>
      <c r="K641" s="12"/>
      <c r="L641" s="117"/>
      <c r="M641" s="12"/>
      <c r="N641" s="117"/>
      <c r="O641" s="117"/>
      <c r="P641" s="117"/>
      <c r="Q641" s="118"/>
      <c r="R641" s="118"/>
      <c r="S641" s="118"/>
      <c r="T641" s="12"/>
      <c r="U641" s="118"/>
      <c r="V641" s="118"/>
      <c r="W641" s="12"/>
      <c r="X641" s="119"/>
      <c r="Y641" s="120"/>
      <c r="Z641" s="12"/>
      <c r="BA641" s="70" t="s">
        <v>205</v>
      </c>
      <c r="BB641" s="71" t="s">
        <v>210</v>
      </c>
      <c r="BC641" s="71" t="s">
        <v>207</v>
      </c>
      <c r="BD641" s="71">
        <v>19.5</v>
      </c>
      <c r="BE641" s="71">
        <v>36</v>
      </c>
      <c r="BF641" s="71">
        <v>390</v>
      </c>
      <c r="BG641" s="71">
        <v>212</v>
      </c>
      <c r="BH641" s="71">
        <v>5</v>
      </c>
      <c r="BI641" s="71">
        <v>10</v>
      </c>
      <c r="BJ641" s="12" t="str" cm="1">
        <f t="array" ref="BJ641">_xll.Dce_Name_SectI(BF641, BF641, BG641, BH641, BI641, "x", "-", $AX$11)</f>
        <v>390x212x5x10</v>
      </c>
      <c r="BK641" s="77" cm="1">
        <f t="array" ref="BK641">_xll.DCEPropSectI(BF641, BH641, BG641, BI641, BG641, BI641, "A")/100</f>
        <v>60.9</v>
      </c>
      <c r="BL641" s="70" t="s">
        <v>221</v>
      </c>
      <c r="BM641" s="70">
        <v>211.78462905111707</v>
      </c>
      <c r="BN641" s="71">
        <v>0.9</v>
      </c>
      <c r="BO641" s="77">
        <f t="shared" si="83"/>
        <v>32.4</v>
      </c>
      <c r="BP641" s="71">
        <v>0.9</v>
      </c>
      <c r="BQ641" s="77">
        <f t="shared" si="84"/>
        <v>32.4</v>
      </c>
      <c r="BR641" s="77" cm="1">
        <f t="array" ref="BR641">_xll.DCEPropSectI(BF641, BH641, BG641, BI641, BG641, BI641, "rx")/10</f>
        <v>16.91131201300167</v>
      </c>
      <c r="BS641" s="77" cm="1">
        <f t="array" ref="BS641">_xll.DCEPropSectI(BF641, BH641, BG641, BI641, BG641, BI641, "ry")/10</f>
        <v>5.1070747638622018</v>
      </c>
      <c r="BT641" s="5">
        <f t="shared" si="85"/>
        <v>191.58773710218577</v>
      </c>
      <c r="BU641" s="5">
        <f t="shared" si="86"/>
        <v>634.41405301647956</v>
      </c>
      <c r="BV641" s="5">
        <f t="shared" si="87"/>
        <v>634.41405301647956</v>
      </c>
      <c r="BW641" s="71">
        <f t="shared" si="88"/>
        <v>400</v>
      </c>
      <c r="BX641" s="78" cm="1">
        <f t="array" ref="BX641">IF(BM641&gt;0,1,_xll.DCETCVN5575FactorPhi7121(BV641*SQRT($K$17/206000),"b"))</f>
        <v>1</v>
      </c>
      <c r="BY641" s="64">
        <f t="shared" si="89"/>
        <v>0.16559905313247095</v>
      </c>
      <c r="BZ641" s="3" t="str">
        <f t="shared" si="90"/>
        <v>Check</v>
      </c>
    </row>
    <row r="642" spans="1:78">
      <c r="A642" s="76"/>
      <c r="B642" s="76"/>
      <c r="C642" s="125"/>
      <c r="D642" s="125"/>
      <c r="E642" s="71"/>
      <c r="F642" s="71"/>
      <c r="G642" s="71"/>
      <c r="H642" s="126"/>
      <c r="I642" s="125"/>
      <c r="J642" s="123"/>
      <c r="K642" s="12"/>
      <c r="L642" s="117"/>
      <c r="M642" s="12"/>
      <c r="N642" s="117"/>
      <c r="O642" s="117"/>
      <c r="P642" s="117"/>
      <c r="Q642" s="118"/>
      <c r="R642" s="118"/>
      <c r="S642" s="118"/>
      <c r="T642" s="12"/>
      <c r="U642" s="118"/>
      <c r="V642" s="118"/>
      <c r="W642" s="12"/>
      <c r="X642" s="119"/>
      <c r="Y642" s="120"/>
      <c r="Z642" s="12"/>
      <c r="BA642" s="70" t="s">
        <v>205</v>
      </c>
      <c r="BB642" s="71" t="s">
        <v>210</v>
      </c>
      <c r="BC642" s="71" t="s">
        <v>207</v>
      </c>
      <c r="BD642" s="71">
        <v>20</v>
      </c>
      <c r="BE642" s="71">
        <v>36</v>
      </c>
      <c r="BF642" s="71">
        <v>390</v>
      </c>
      <c r="BG642" s="71">
        <v>212</v>
      </c>
      <c r="BH642" s="71">
        <v>5</v>
      </c>
      <c r="BI642" s="71">
        <v>10</v>
      </c>
      <c r="BJ642" s="12" t="str" cm="1">
        <f t="array" ref="BJ642">_xll.Dce_Name_SectI(BF642, BF642, BG642, BH642, BI642, "x", "-", $AX$11)</f>
        <v>390x212x5x10</v>
      </c>
      <c r="BK642" s="77" cm="1">
        <f t="array" ref="BK642">_xll.DCEPropSectI(BF642, BH642, BG642, BI642, BG642, BI642, "A")/100</f>
        <v>60.9</v>
      </c>
      <c r="BL642" s="70" t="s">
        <v>221</v>
      </c>
      <c r="BM642" s="70">
        <v>211.78462905111707</v>
      </c>
      <c r="BN642" s="71">
        <v>0.9</v>
      </c>
      <c r="BO642" s="77">
        <f t="shared" si="83"/>
        <v>32.4</v>
      </c>
      <c r="BP642" s="71">
        <v>0.9</v>
      </c>
      <c r="BQ642" s="77">
        <f t="shared" si="84"/>
        <v>32.4</v>
      </c>
      <c r="BR642" s="77" cm="1">
        <f t="array" ref="BR642">_xll.DCEPropSectI(BF642, BH642, BG642, BI642, BG642, BI642, "rx")/10</f>
        <v>16.91131201300167</v>
      </c>
      <c r="BS642" s="77" cm="1">
        <f t="array" ref="BS642">_xll.DCEPropSectI(BF642, BH642, BG642, BI642, BG642, BI642, "ry")/10</f>
        <v>5.1070747638622018</v>
      </c>
      <c r="BT642" s="5">
        <f t="shared" si="85"/>
        <v>191.58773710218577</v>
      </c>
      <c r="BU642" s="5">
        <f t="shared" si="86"/>
        <v>634.41405301647956</v>
      </c>
      <c r="BV642" s="5">
        <f t="shared" si="87"/>
        <v>634.41405301647956</v>
      </c>
      <c r="BW642" s="71">
        <f t="shared" si="88"/>
        <v>400</v>
      </c>
      <c r="BX642" s="78" cm="1">
        <f t="array" ref="BX642">IF(BM642&gt;0,1,_xll.DCETCVN5575FactorPhi7121(BV642*SQRT($K$17/206000),"b"))</f>
        <v>1</v>
      </c>
      <c r="BY642" s="64">
        <f t="shared" si="89"/>
        <v>0.16559905313247095</v>
      </c>
      <c r="BZ642" s="3" t="str">
        <f t="shared" si="90"/>
        <v>Check</v>
      </c>
    </row>
    <row r="643" spans="1:78">
      <c r="A643" s="76"/>
      <c r="B643" s="76"/>
      <c r="C643" s="125"/>
      <c r="D643" s="125"/>
      <c r="E643" s="71"/>
      <c r="F643" s="71"/>
      <c r="G643" s="71"/>
      <c r="H643" s="126"/>
      <c r="I643" s="125"/>
      <c r="J643" s="123"/>
      <c r="K643" s="12"/>
      <c r="L643" s="117"/>
      <c r="M643" s="12"/>
      <c r="N643" s="117"/>
      <c r="O643" s="117"/>
      <c r="P643" s="117"/>
      <c r="Q643" s="118"/>
      <c r="R643" s="118"/>
      <c r="S643" s="118"/>
      <c r="T643" s="12"/>
      <c r="U643" s="118"/>
      <c r="V643" s="118"/>
      <c r="W643" s="12"/>
      <c r="X643" s="119"/>
      <c r="Y643" s="120"/>
      <c r="Z643" s="12"/>
      <c r="BA643" s="70" t="s">
        <v>205</v>
      </c>
      <c r="BB643" s="71" t="s">
        <v>210</v>
      </c>
      <c r="BC643" s="71" t="s">
        <v>207</v>
      </c>
      <c r="BD643" s="71">
        <v>20.5</v>
      </c>
      <c r="BE643" s="71">
        <v>36</v>
      </c>
      <c r="BF643" s="71">
        <v>390</v>
      </c>
      <c r="BG643" s="71">
        <v>212</v>
      </c>
      <c r="BH643" s="71">
        <v>5</v>
      </c>
      <c r="BI643" s="71">
        <v>10</v>
      </c>
      <c r="BJ643" s="12" t="str" cm="1">
        <f t="array" ref="BJ643">_xll.Dce_Name_SectI(BF643, BF643, BG643, BH643, BI643, "x", "-", $AX$11)</f>
        <v>390x212x5x10</v>
      </c>
      <c r="BK643" s="77" cm="1">
        <f t="array" ref="BK643">_xll.DCEPropSectI(BF643, BH643, BG643, BI643, BG643, BI643, "A")/100</f>
        <v>60.9</v>
      </c>
      <c r="BL643" s="70" t="s">
        <v>221</v>
      </c>
      <c r="BM643" s="70">
        <v>211.78462905111707</v>
      </c>
      <c r="BN643" s="71">
        <v>0.9</v>
      </c>
      <c r="BO643" s="77">
        <f t="shared" si="83"/>
        <v>32.4</v>
      </c>
      <c r="BP643" s="71">
        <v>0.9</v>
      </c>
      <c r="BQ643" s="77">
        <f t="shared" si="84"/>
        <v>32.4</v>
      </c>
      <c r="BR643" s="77" cm="1">
        <f t="array" ref="BR643">_xll.DCEPropSectI(BF643, BH643, BG643, BI643, BG643, BI643, "rx")/10</f>
        <v>16.91131201300167</v>
      </c>
      <c r="BS643" s="77" cm="1">
        <f t="array" ref="BS643">_xll.DCEPropSectI(BF643, BH643, BG643, BI643, BG643, BI643, "ry")/10</f>
        <v>5.1070747638622018</v>
      </c>
      <c r="BT643" s="5">
        <f t="shared" si="85"/>
        <v>191.58773710218577</v>
      </c>
      <c r="BU643" s="5">
        <f t="shared" si="86"/>
        <v>634.41405301647956</v>
      </c>
      <c r="BV643" s="5">
        <f t="shared" si="87"/>
        <v>634.41405301647956</v>
      </c>
      <c r="BW643" s="71">
        <f t="shared" si="88"/>
        <v>400</v>
      </c>
      <c r="BX643" s="78" cm="1">
        <f t="array" ref="BX643">IF(BM643&gt;0,1,_xll.DCETCVN5575FactorPhi7121(BV643*SQRT($K$17/206000),"b"))</f>
        <v>1</v>
      </c>
      <c r="BY643" s="64">
        <f t="shared" si="89"/>
        <v>0.16559905313247095</v>
      </c>
      <c r="BZ643" s="3" t="str">
        <f t="shared" si="90"/>
        <v>Check</v>
      </c>
    </row>
    <row r="644" spans="1:78">
      <c r="A644" s="76"/>
      <c r="B644" s="76"/>
      <c r="C644" s="125"/>
      <c r="D644" s="125"/>
      <c r="E644" s="71"/>
      <c r="F644" s="71"/>
      <c r="G644" s="71"/>
      <c r="H644" s="126"/>
      <c r="I644" s="125"/>
      <c r="J644" s="123"/>
      <c r="K644" s="12"/>
      <c r="L644" s="117"/>
      <c r="M644" s="12"/>
      <c r="N644" s="117"/>
      <c r="O644" s="117"/>
      <c r="P644" s="117"/>
      <c r="Q644" s="118"/>
      <c r="R644" s="118"/>
      <c r="S644" s="118"/>
      <c r="T644" s="12"/>
      <c r="U644" s="118"/>
      <c r="V644" s="118"/>
      <c r="W644" s="12"/>
      <c r="X644" s="119"/>
      <c r="Y644" s="120"/>
      <c r="Z644" s="12"/>
      <c r="BA644" s="70" t="s">
        <v>205</v>
      </c>
      <c r="BB644" s="71" t="s">
        <v>210</v>
      </c>
      <c r="BC644" s="71" t="s">
        <v>207</v>
      </c>
      <c r="BD644" s="71">
        <v>21</v>
      </c>
      <c r="BE644" s="71">
        <v>36</v>
      </c>
      <c r="BF644" s="71">
        <v>390</v>
      </c>
      <c r="BG644" s="71">
        <v>212</v>
      </c>
      <c r="BH644" s="71">
        <v>5</v>
      </c>
      <c r="BI644" s="71">
        <v>10</v>
      </c>
      <c r="BJ644" s="12" t="str" cm="1">
        <f t="array" ref="BJ644">_xll.Dce_Name_SectI(BF644, BF644, BG644, BH644, BI644, "x", "-", $AX$11)</f>
        <v>390x212x5x10</v>
      </c>
      <c r="BK644" s="77" cm="1">
        <f t="array" ref="BK644">_xll.DCEPropSectI(BF644, BH644, BG644, BI644, BG644, BI644, "A")/100</f>
        <v>60.9</v>
      </c>
      <c r="BL644" s="70" t="s">
        <v>221</v>
      </c>
      <c r="BM644" s="70">
        <v>211.78462905111707</v>
      </c>
      <c r="BN644" s="71">
        <v>0.9</v>
      </c>
      <c r="BO644" s="77">
        <f t="shared" si="83"/>
        <v>32.4</v>
      </c>
      <c r="BP644" s="71">
        <v>0.9</v>
      </c>
      <c r="BQ644" s="77">
        <f t="shared" si="84"/>
        <v>32.4</v>
      </c>
      <c r="BR644" s="77" cm="1">
        <f t="array" ref="BR644">_xll.DCEPropSectI(BF644, BH644, BG644, BI644, BG644, BI644, "rx")/10</f>
        <v>16.91131201300167</v>
      </c>
      <c r="BS644" s="77" cm="1">
        <f t="array" ref="BS644">_xll.DCEPropSectI(BF644, BH644, BG644, BI644, BG644, BI644, "ry")/10</f>
        <v>5.1070747638622018</v>
      </c>
      <c r="BT644" s="5">
        <f t="shared" si="85"/>
        <v>191.58773710218577</v>
      </c>
      <c r="BU644" s="5">
        <f t="shared" si="86"/>
        <v>634.41405301647956</v>
      </c>
      <c r="BV644" s="5">
        <f t="shared" si="87"/>
        <v>634.41405301647956</v>
      </c>
      <c r="BW644" s="71">
        <f t="shared" si="88"/>
        <v>400</v>
      </c>
      <c r="BX644" s="78" cm="1">
        <f t="array" ref="BX644">IF(BM644&gt;0,1,_xll.DCETCVN5575FactorPhi7121(BV644*SQRT($K$17/206000),"b"))</f>
        <v>1</v>
      </c>
      <c r="BY644" s="64">
        <f t="shared" si="89"/>
        <v>0.16559905313247095</v>
      </c>
      <c r="BZ644" s="3" t="str">
        <f t="shared" si="90"/>
        <v>Check</v>
      </c>
    </row>
    <row r="645" spans="1:78">
      <c r="A645" s="76"/>
      <c r="B645" s="76"/>
      <c r="C645" s="125"/>
      <c r="D645" s="125"/>
      <c r="E645" s="71"/>
      <c r="F645" s="71"/>
      <c r="G645" s="71"/>
      <c r="H645" s="126"/>
      <c r="I645" s="125"/>
      <c r="J645" s="123"/>
      <c r="K645" s="12"/>
      <c r="L645" s="117"/>
      <c r="M645" s="12"/>
      <c r="N645" s="117"/>
      <c r="O645" s="117"/>
      <c r="P645" s="117"/>
      <c r="Q645" s="118"/>
      <c r="R645" s="118"/>
      <c r="S645" s="118"/>
      <c r="T645" s="12"/>
      <c r="U645" s="118"/>
      <c r="V645" s="118"/>
      <c r="W645" s="12"/>
      <c r="X645" s="119"/>
      <c r="Y645" s="120"/>
      <c r="Z645" s="12"/>
      <c r="BA645" s="70" t="s">
        <v>205</v>
      </c>
      <c r="BB645" s="71" t="s">
        <v>210</v>
      </c>
      <c r="BC645" s="71" t="s">
        <v>207</v>
      </c>
      <c r="BD645" s="71">
        <v>21.5</v>
      </c>
      <c r="BE645" s="71">
        <v>36</v>
      </c>
      <c r="BF645" s="71">
        <v>390</v>
      </c>
      <c r="BG645" s="71">
        <v>212</v>
      </c>
      <c r="BH645" s="71">
        <v>5</v>
      </c>
      <c r="BI645" s="71">
        <v>10</v>
      </c>
      <c r="BJ645" s="12" t="str" cm="1">
        <f t="array" ref="BJ645">_xll.Dce_Name_SectI(BF645, BF645, BG645, BH645, BI645, "x", "-", $AX$11)</f>
        <v>390x212x5x10</v>
      </c>
      <c r="BK645" s="77" cm="1">
        <f t="array" ref="BK645">_xll.DCEPropSectI(BF645, BH645, BG645, BI645, BG645, BI645, "A")/100</f>
        <v>60.9</v>
      </c>
      <c r="BL645" s="70" t="s">
        <v>221</v>
      </c>
      <c r="BM645" s="70">
        <v>211.78462905111707</v>
      </c>
      <c r="BN645" s="71">
        <v>0.9</v>
      </c>
      <c r="BO645" s="77">
        <f t="shared" si="83"/>
        <v>32.4</v>
      </c>
      <c r="BP645" s="71">
        <v>0.9</v>
      </c>
      <c r="BQ645" s="77">
        <f t="shared" si="84"/>
        <v>32.4</v>
      </c>
      <c r="BR645" s="77" cm="1">
        <f t="array" ref="BR645">_xll.DCEPropSectI(BF645, BH645, BG645, BI645, BG645, BI645, "rx")/10</f>
        <v>16.91131201300167</v>
      </c>
      <c r="BS645" s="77" cm="1">
        <f t="array" ref="BS645">_xll.DCEPropSectI(BF645, BH645, BG645, BI645, BG645, BI645, "ry")/10</f>
        <v>5.1070747638622018</v>
      </c>
      <c r="BT645" s="5">
        <f t="shared" si="85"/>
        <v>191.58773710218577</v>
      </c>
      <c r="BU645" s="5">
        <f t="shared" si="86"/>
        <v>634.41405301647956</v>
      </c>
      <c r="BV645" s="5">
        <f t="shared" si="87"/>
        <v>634.41405301647956</v>
      </c>
      <c r="BW645" s="71">
        <f t="shared" si="88"/>
        <v>400</v>
      </c>
      <c r="BX645" s="78" cm="1">
        <f t="array" ref="BX645">IF(BM645&gt;0,1,_xll.DCETCVN5575FactorPhi7121(BV645*SQRT($K$17/206000),"b"))</f>
        <v>1</v>
      </c>
      <c r="BY645" s="64">
        <f t="shared" si="89"/>
        <v>0.16559905313247095</v>
      </c>
      <c r="BZ645" s="3" t="str">
        <f t="shared" si="90"/>
        <v>Check</v>
      </c>
    </row>
    <row r="646" spans="1:78">
      <c r="A646" s="76"/>
      <c r="B646" s="76"/>
      <c r="C646" s="125"/>
      <c r="D646" s="125"/>
      <c r="E646" s="71"/>
      <c r="F646" s="71"/>
      <c r="G646" s="71"/>
      <c r="H646" s="126"/>
      <c r="I646" s="125"/>
      <c r="J646" s="123"/>
      <c r="K646" s="12"/>
      <c r="L646" s="117"/>
      <c r="M646" s="12"/>
      <c r="N646" s="117"/>
      <c r="O646" s="117"/>
      <c r="P646" s="117"/>
      <c r="Q646" s="118"/>
      <c r="R646" s="118"/>
      <c r="S646" s="118"/>
      <c r="T646" s="12"/>
      <c r="U646" s="118"/>
      <c r="V646" s="118"/>
      <c r="W646" s="12"/>
      <c r="X646" s="119"/>
      <c r="Y646" s="120"/>
      <c r="Z646" s="12"/>
      <c r="BA646" s="70" t="s">
        <v>205</v>
      </c>
      <c r="BB646" s="71" t="s">
        <v>210</v>
      </c>
      <c r="BC646" s="71" t="s">
        <v>207</v>
      </c>
      <c r="BD646" s="71">
        <v>22</v>
      </c>
      <c r="BE646" s="71">
        <v>36</v>
      </c>
      <c r="BF646" s="71">
        <v>390</v>
      </c>
      <c r="BG646" s="71">
        <v>212</v>
      </c>
      <c r="BH646" s="71">
        <v>5</v>
      </c>
      <c r="BI646" s="71">
        <v>10</v>
      </c>
      <c r="BJ646" s="12" t="str" cm="1">
        <f t="array" ref="BJ646">_xll.Dce_Name_SectI(BF646, BF646, BG646, BH646, BI646, "x", "-", $AX$11)</f>
        <v>390x212x5x10</v>
      </c>
      <c r="BK646" s="77" cm="1">
        <f t="array" ref="BK646">_xll.DCEPropSectI(BF646, BH646, BG646, BI646, BG646, BI646, "A")/100</f>
        <v>60.9</v>
      </c>
      <c r="BL646" s="70" t="s">
        <v>221</v>
      </c>
      <c r="BM646" s="70">
        <v>211.78462905111707</v>
      </c>
      <c r="BN646" s="71">
        <v>0.9</v>
      </c>
      <c r="BO646" s="77">
        <f t="shared" si="83"/>
        <v>32.4</v>
      </c>
      <c r="BP646" s="71">
        <v>0.9</v>
      </c>
      <c r="BQ646" s="77">
        <f t="shared" si="84"/>
        <v>32.4</v>
      </c>
      <c r="BR646" s="77" cm="1">
        <f t="array" ref="BR646">_xll.DCEPropSectI(BF646, BH646, BG646, BI646, BG646, BI646, "rx")/10</f>
        <v>16.91131201300167</v>
      </c>
      <c r="BS646" s="77" cm="1">
        <f t="array" ref="BS646">_xll.DCEPropSectI(BF646, BH646, BG646, BI646, BG646, BI646, "ry")/10</f>
        <v>5.1070747638622018</v>
      </c>
      <c r="BT646" s="5">
        <f t="shared" si="85"/>
        <v>191.58773710218577</v>
      </c>
      <c r="BU646" s="5">
        <f t="shared" si="86"/>
        <v>634.41405301647956</v>
      </c>
      <c r="BV646" s="5">
        <f t="shared" si="87"/>
        <v>634.41405301647956</v>
      </c>
      <c r="BW646" s="71">
        <f t="shared" si="88"/>
        <v>400</v>
      </c>
      <c r="BX646" s="78" cm="1">
        <f t="array" ref="BX646">IF(BM646&gt;0,1,_xll.DCETCVN5575FactorPhi7121(BV646*SQRT($K$17/206000),"b"))</f>
        <v>1</v>
      </c>
      <c r="BY646" s="64">
        <f t="shared" si="89"/>
        <v>0.16559905313247095</v>
      </c>
      <c r="BZ646" s="3" t="str">
        <f t="shared" si="90"/>
        <v>Check</v>
      </c>
    </row>
    <row r="647" spans="1:78">
      <c r="A647" s="76"/>
      <c r="B647" s="76"/>
      <c r="C647" s="125"/>
      <c r="D647" s="125"/>
      <c r="E647" s="71"/>
      <c r="F647" s="71"/>
      <c r="G647" s="71"/>
      <c r="H647" s="126"/>
      <c r="I647" s="125"/>
      <c r="J647" s="123"/>
      <c r="K647" s="12"/>
      <c r="L647" s="117"/>
      <c r="M647" s="12"/>
      <c r="N647" s="117"/>
      <c r="O647" s="117"/>
      <c r="P647" s="117"/>
      <c r="Q647" s="118"/>
      <c r="R647" s="118"/>
      <c r="S647" s="118"/>
      <c r="T647" s="12"/>
      <c r="U647" s="118"/>
      <c r="V647" s="118"/>
      <c r="W647" s="12"/>
      <c r="X647" s="119"/>
      <c r="Y647" s="120"/>
      <c r="Z647" s="12"/>
      <c r="BA647" s="70" t="s">
        <v>205</v>
      </c>
      <c r="BB647" s="71" t="s">
        <v>210</v>
      </c>
      <c r="BC647" s="71" t="s">
        <v>207</v>
      </c>
      <c r="BD647" s="71">
        <v>22.5</v>
      </c>
      <c r="BE647" s="71">
        <v>36</v>
      </c>
      <c r="BF647" s="71">
        <v>390</v>
      </c>
      <c r="BG647" s="71">
        <v>212</v>
      </c>
      <c r="BH647" s="71">
        <v>5</v>
      </c>
      <c r="BI647" s="71">
        <v>10</v>
      </c>
      <c r="BJ647" s="12" t="str" cm="1">
        <f t="array" ref="BJ647">_xll.Dce_Name_SectI(BF647, BF647, BG647, BH647, BI647, "x", "-", $AX$11)</f>
        <v>390x212x5x10</v>
      </c>
      <c r="BK647" s="77" cm="1">
        <f t="array" ref="BK647">_xll.DCEPropSectI(BF647, BH647, BG647, BI647, BG647, BI647, "A")/100</f>
        <v>60.9</v>
      </c>
      <c r="BL647" s="70" t="s">
        <v>221</v>
      </c>
      <c r="BM647" s="70">
        <v>211.78462905111707</v>
      </c>
      <c r="BN647" s="71">
        <v>0.9</v>
      </c>
      <c r="BO647" s="77">
        <f t="shared" si="83"/>
        <v>32.4</v>
      </c>
      <c r="BP647" s="71">
        <v>0.9</v>
      </c>
      <c r="BQ647" s="77">
        <f t="shared" si="84"/>
        <v>32.4</v>
      </c>
      <c r="BR647" s="77" cm="1">
        <f t="array" ref="BR647">_xll.DCEPropSectI(BF647, BH647, BG647, BI647, BG647, BI647, "rx")/10</f>
        <v>16.91131201300167</v>
      </c>
      <c r="BS647" s="77" cm="1">
        <f t="array" ref="BS647">_xll.DCEPropSectI(BF647, BH647, BG647, BI647, BG647, BI647, "ry")/10</f>
        <v>5.1070747638622018</v>
      </c>
      <c r="BT647" s="5">
        <f t="shared" si="85"/>
        <v>191.58773710218577</v>
      </c>
      <c r="BU647" s="5">
        <f t="shared" si="86"/>
        <v>634.41405301647956</v>
      </c>
      <c r="BV647" s="5">
        <f t="shared" si="87"/>
        <v>634.41405301647956</v>
      </c>
      <c r="BW647" s="71">
        <f t="shared" si="88"/>
        <v>400</v>
      </c>
      <c r="BX647" s="78" cm="1">
        <f t="array" ref="BX647">IF(BM647&gt;0,1,_xll.DCETCVN5575FactorPhi7121(BV647*SQRT($K$17/206000),"b"))</f>
        <v>1</v>
      </c>
      <c r="BY647" s="64">
        <f t="shared" si="89"/>
        <v>0.16559905313247095</v>
      </c>
      <c r="BZ647" s="3" t="str">
        <f t="shared" si="90"/>
        <v>Check</v>
      </c>
    </row>
    <row r="648" spans="1:78">
      <c r="A648" s="76"/>
      <c r="B648" s="76"/>
      <c r="C648" s="125"/>
      <c r="D648" s="125"/>
      <c r="E648" s="71"/>
      <c r="F648" s="71"/>
      <c r="G648" s="71"/>
      <c r="H648" s="126"/>
      <c r="I648" s="125"/>
      <c r="J648" s="123"/>
      <c r="K648" s="12"/>
      <c r="L648" s="117"/>
      <c r="M648" s="12"/>
      <c r="N648" s="117"/>
      <c r="O648" s="117"/>
      <c r="P648" s="117"/>
      <c r="Q648" s="118"/>
      <c r="R648" s="118"/>
      <c r="S648" s="118"/>
      <c r="T648" s="12"/>
      <c r="U648" s="118"/>
      <c r="V648" s="118"/>
      <c r="W648" s="12"/>
      <c r="X648" s="119"/>
      <c r="Y648" s="120"/>
      <c r="Z648" s="12"/>
      <c r="BA648" s="70" t="s">
        <v>205</v>
      </c>
      <c r="BB648" s="71" t="s">
        <v>210</v>
      </c>
      <c r="BC648" s="71" t="s">
        <v>207</v>
      </c>
      <c r="BD648" s="71">
        <v>22.5</v>
      </c>
      <c r="BE648" s="71">
        <v>36</v>
      </c>
      <c r="BF648" s="71">
        <v>390</v>
      </c>
      <c r="BG648" s="71">
        <v>212</v>
      </c>
      <c r="BH648" s="71">
        <v>5</v>
      </c>
      <c r="BI648" s="71">
        <v>10</v>
      </c>
      <c r="BJ648" s="12" t="str" cm="1">
        <f t="array" ref="BJ648">_xll.Dce_Name_SectI(BF648, BF648, BG648, BH648, BI648, "x", "-", $AX$11)</f>
        <v>390x212x5x10</v>
      </c>
      <c r="BK648" s="77" cm="1">
        <f t="array" ref="BK648">_xll.DCEPropSectI(BF648, BH648, BG648, BI648, BG648, BI648, "A")/100</f>
        <v>60.9</v>
      </c>
      <c r="BL648" s="70" t="s">
        <v>221</v>
      </c>
      <c r="BM648" s="70">
        <v>89.327340307373348</v>
      </c>
      <c r="BN648" s="71">
        <v>0.9</v>
      </c>
      <c r="BO648" s="77">
        <f t="shared" si="83"/>
        <v>32.4</v>
      </c>
      <c r="BP648" s="71">
        <v>0.9</v>
      </c>
      <c r="BQ648" s="77">
        <f t="shared" si="84"/>
        <v>32.4</v>
      </c>
      <c r="BR648" s="77" cm="1">
        <f t="array" ref="BR648">_xll.DCEPropSectI(BF648, BH648, BG648, BI648, BG648, BI648, "rx")/10</f>
        <v>16.91131201300167</v>
      </c>
      <c r="BS648" s="77" cm="1">
        <f t="array" ref="BS648">_xll.DCEPropSectI(BF648, BH648, BG648, BI648, BG648, BI648, "ry")/10</f>
        <v>5.1070747638622018</v>
      </c>
      <c r="BT648" s="5">
        <f t="shared" si="85"/>
        <v>191.58773710218577</v>
      </c>
      <c r="BU648" s="5">
        <f t="shared" si="86"/>
        <v>634.41405301647956</v>
      </c>
      <c r="BV648" s="5">
        <f t="shared" si="87"/>
        <v>634.41405301647956</v>
      </c>
      <c r="BW648" s="71">
        <f t="shared" si="88"/>
        <v>400</v>
      </c>
      <c r="BX648" s="78" cm="1">
        <f t="array" ref="BX648">IF(BM648&gt;0,1,_xll.DCETCVN5575FactorPhi7121(BV648*SQRT($K$17/206000),"b"))</f>
        <v>1</v>
      </c>
      <c r="BY648" s="64">
        <f t="shared" si="89"/>
        <v>6.9847009388828957E-2</v>
      </c>
      <c r="BZ648" s="3" t="str">
        <f t="shared" si="90"/>
        <v>Check</v>
      </c>
    </row>
    <row r="649" spans="1:78">
      <c r="A649" s="76"/>
      <c r="B649" s="76"/>
      <c r="C649" s="125"/>
      <c r="D649" s="125"/>
      <c r="E649" s="71"/>
      <c r="F649" s="71"/>
      <c r="G649" s="71"/>
      <c r="H649" s="126"/>
      <c r="I649" s="125"/>
      <c r="J649" s="123"/>
      <c r="K649" s="12"/>
      <c r="L649" s="117"/>
      <c r="M649" s="12"/>
      <c r="N649" s="117"/>
      <c r="O649" s="117"/>
      <c r="P649" s="117"/>
      <c r="Q649" s="118"/>
      <c r="R649" s="118"/>
      <c r="S649" s="118"/>
      <c r="T649" s="12"/>
      <c r="U649" s="118"/>
      <c r="V649" s="118"/>
      <c r="W649" s="12"/>
      <c r="X649" s="119"/>
      <c r="Y649" s="120"/>
      <c r="Z649" s="12"/>
      <c r="BA649" s="70" t="s">
        <v>205</v>
      </c>
      <c r="BB649" s="71" t="s">
        <v>210</v>
      </c>
      <c r="BC649" s="71" t="s">
        <v>207</v>
      </c>
      <c r="BD649" s="71">
        <v>23</v>
      </c>
      <c r="BE649" s="71">
        <v>36</v>
      </c>
      <c r="BF649" s="71">
        <v>390</v>
      </c>
      <c r="BG649" s="71">
        <v>212</v>
      </c>
      <c r="BH649" s="71">
        <v>5</v>
      </c>
      <c r="BI649" s="71">
        <v>10</v>
      </c>
      <c r="BJ649" s="12" t="str" cm="1">
        <f t="array" ref="BJ649">_xll.Dce_Name_SectI(BF649, BF649, BG649, BH649, BI649, "x", "-", $AX$11)</f>
        <v>390x212x5x10</v>
      </c>
      <c r="BK649" s="77" cm="1">
        <f t="array" ref="BK649">_xll.DCEPropSectI(BF649, BH649, BG649, BI649, BG649, BI649, "A")/100</f>
        <v>60.9</v>
      </c>
      <c r="BL649" s="70" t="s">
        <v>221</v>
      </c>
      <c r="BM649" s="70">
        <v>89.327340307373348</v>
      </c>
      <c r="BN649" s="71">
        <v>0.9</v>
      </c>
      <c r="BO649" s="77">
        <f t="shared" si="83"/>
        <v>32.4</v>
      </c>
      <c r="BP649" s="71">
        <v>0.9</v>
      </c>
      <c r="BQ649" s="77">
        <f t="shared" si="84"/>
        <v>32.4</v>
      </c>
      <c r="BR649" s="77" cm="1">
        <f t="array" ref="BR649">_xll.DCEPropSectI(BF649, BH649, BG649, BI649, BG649, BI649, "rx")/10</f>
        <v>16.91131201300167</v>
      </c>
      <c r="BS649" s="77" cm="1">
        <f t="array" ref="BS649">_xll.DCEPropSectI(BF649, BH649, BG649, BI649, BG649, BI649, "ry")/10</f>
        <v>5.1070747638622018</v>
      </c>
      <c r="BT649" s="5">
        <f t="shared" si="85"/>
        <v>191.58773710218577</v>
      </c>
      <c r="BU649" s="5">
        <f t="shared" si="86"/>
        <v>634.41405301647956</v>
      </c>
      <c r="BV649" s="5">
        <f t="shared" si="87"/>
        <v>634.41405301647956</v>
      </c>
      <c r="BW649" s="71">
        <f t="shared" si="88"/>
        <v>400</v>
      </c>
      <c r="BX649" s="78" cm="1">
        <f t="array" ref="BX649">IF(BM649&gt;0,1,_xll.DCETCVN5575FactorPhi7121(BV649*SQRT($K$17/206000),"b"))</f>
        <v>1</v>
      </c>
      <c r="BY649" s="64">
        <f t="shared" si="89"/>
        <v>6.9847009388828957E-2</v>
      </c>
      <c r="BZ649" s="3" t="str">
        <f t="shared" si="90"/>
        <v>Check</v>
      </c>
    </row>
    <row r="650" spans="1:78">
      <c r="A650" s="76"/>
      <c r="B650" s="76"/>
      <c r="C650" s="125"/>
      <c r="D650" s="125"/>
      <c r="E650" s="71"/>
      <c r="F650" s="71"/>
      <c r="G650" s="71"/>
      <c r="H650" s="126"/>
      <c r="I650" s="125"/>
      <c r="J650" s="123"/>
      <c r="K650" s="12"/>
      <c r="L650" s="117"/>
      <c r="M650" s="12"/>
      <c r="N650" s="117"/>
      <c r="O650" s="117"/>
      <c r="P650" s="117"/>
      <c r="Q650" s="118"/>
      <c r="R650" s="118"/>
      <c r="S650" s="118"/>
      <c r="T650" s="12"/>
      <c r="U650" s="118"/>
      <c r="V650" s="118"/>
      <c r="W650" s="12"/>
      <c r="X650" s="119"/>
      <c r="Y650" s="120"/>
      <c r="Z650" s="12"/>
      <c r="BA650" s="70" t="s">
        <v>205</v>
      </c>
      <c r="BB650" s="71" t="s">
        <v>210</v>
      </c>
      <c r="BC650" s="71" t="s">
        <v>207</v>
      </c>
      <c r="BD650" s="71">
        <v>23.5</v>
      </c>
      <c r="BE650" s="71">
        <v>36</v>
      </c>
      <c r="BF650" s="71">
        <v>390</v>
      </c>
      <c r="BG650" s="71">
        <v>212</v>
      </c>
      <c r="BH650" s="71">
        <v>5</v>
      </c>
      <c r="BI650" s="71">
        <v>10</v>
      </c>
      <c r="BJ650" s="12" t="str" cm="1">
        <f t="array" ref="BJ650">_xll.Dce_Name_SectI(BF650, BF650, BG650, BH650, BI650, "x", "-", $AX$11)</f>
        <v>390x212x5x10</v>
      </c>
      <c r="BK650" s="77" cm="1">
        <f t="array" ref="BK650">_xll.DCEPropSectI(BF650, BH650, BG650, BI650, BG650, BI650, "A")/100</f>
        <v>60.9</v>
      </c>
      <c r="BL650" s="70" t="s">
        <v>221</v>
      </c>
      <c r="BM650" s="70">
        <v>89.327340307373348</v>
      </c>
      <c r="BN650" s="71">
        <v>0.9</v>
      </c>
      <c r="BO650" s="77">
        <f t="shared" si="83"/>
        <v>32.4</v>
      </c>
      <c r="BP650" s="71">
        <v>0.9</v>
      </c>
      <c r="BQ650" s="77">
        <f t="shared" si="84"/>
        <v>32.4</v>
      </c>
      <c r="BR650" s="77" cm="1">
        <f t="array" ref="BR650">_xll.DCEPropSectI(BF650, BH650, BG650, BI650, BG650, BI650, "rx")/10</f>
        <v>16.91131201300167</v>
      </c>
      <c r="BS650" s="77" cm="1">
        <f t="array" ref="BS650">_xll.DCEPropSectI(BF650, BH650, BG650, BI650, BG650, BI650, "ry")/10</f>
        <v>5.1070747638622018</v>
      </c>
      <c r="BT650" s="5">
        <f t="shared" si="85"/>
        <v>191.58773710218577</v>
      </c>
      <c r="BU650" s="5">
        <f t="shared" si="86"/>
        <v>634.41405301647956</v>
      </c>
      <c r="BV650" s="5">
        <f t="shared" si="87"/>
        <v>634.41405301647956</v>
      </c>
      <c r="BW650" s="71">
        <f t="shared" si="88"/>
        <v>400</v>
      </c>
      <c r="BX650" s="78" cm="1">
        <f t="array" ref="BX650">IF(BM650&gt;0,1,_xll.DCETCVN5575FactorPhi7121(BV650*SQRT($K$17/206000),"b"))</f>
        <v>1</v>
      </c>
      <c r="BY650" s="64">
        <f t="shared" si="89"/>
        <v>6.9847009388828957E-2</v>
      </c>
      <c r="BZ650" s="3" t="str">
        <f t="shared" si="90"/>
        <v>Check</v>
      </c>
    </row>
    <row r="651" spans="1:78">
      <c r="A651" s="76"/>
      <c r="B651" s="76"/>
      <c r="C651" s="125"/>
      <c r="D651" s="125"/>
      <c r="E651" s="71"/>
      <c r="F651" s="71"/>
      <c r="G651" s="71"/>
      <c r="H651" s="126"/>
      <c r="I651" s="125"/>
      <c r="J651" s="123"/>
      <c r="K651" s="12"/>
      <c r="L651" s="117"/>
      <c r="M651" s="12"/>
      <c r="N651" s="117"/>
      <c r="O651" s="117"/>
      <c r="P651" s="117"/>
      <c r="Q651" s="118"/>
      <c r="R651" s="118"/>
      <c r="S651" s="118"/>
      <c r="T651" s="12"/>
      <c r="U651" s="118"/>
      <c r="V651" s="118"/>
      <c r="W651" s="12"/>
      <c r="X651" s="119"/>
      <c r="Y651" s="120"/>
      <c r="Z651" s="12"/>
      <c r="BA651" s="70" t="s">
        <v>205</v>
      </c>
      <c r="BB651" s="71" t="s">
        <v>210</v>
      </c>
      <c r="BC651" s="71" t="s">
        <v>207</v>
      </c>
      <c r="BD651" s="71">
        <v>24</v>
      </c>
      <c r="BE651" s="71">
        <v>36</v>
      </c>
      <c r="BF651" s="71">
        <v>390</v>
      </c>
      <c r="BG651" s="71">
        <v>212</v>
      </c>
      <c r="BH651" s="71">
        <v>5</v>
      </c>
      <c r="BI651" s="71">
        <v>10</v>
      </c>
      <c r="BJ651" s="12" t="str" cm="1">
        <f t="array" ref="BJ651">_xll.Dce_Name_SectI(BF651, BF651, BG651, BH651, BI651, "x", "-", $AX$11)</f>
        <v>390x212x5x10</v>
      </c>
      <c r="BK651" s="77" cm="1">
        <f t="array" ref="BK651">_xll.DCEPropSectI(BF651, BH651, BG651, BI651, BG651, BI651, "A")/100</f>
        <v>60.9</v>
      </c>
      <c r="BL651" s="70" t="s">
        <v>221</v>
      </c>
      <c r="BM651" s="70">
        <v>89.327340307373348</v>
      </c>
      <c r="BN651" s="71">
        <v>0.9</v>
      </c>
      <c r="BO651" s="77">
        <f t="shared" si="83"/>
        <v>32.4</v>
      </c>
      <c r="BP651" s="71">
        <v>0.9</v>
      </c>
      <c r="BQ651" s="77">
        <f t="shared" si="84"/>
        <v>32.4</v>
      </c>
      <c r="BR651" s="77" cm="1">
        <f t="array" ref="BR651">_xll.DCEPropSectI(BF651, BH651, BG651, BI651, BG651, BI651, "rx")/10</f>
        <v>16.91131201300167</v>
      </c>
      <c r="BS651" s="77" cm="1">
        <f t="array" ref="BS651">_xll.DCEPropSectI(BF651, BH651, BG651, BI651, BG651, BI651, "ry")/10</f>
        <v>5.1070747638622018</v>
      </c>
      <c r="BT651" s="5">
        <f t="shared" si="85"/>
        <v>191.58773710218577</v>
      </c>
      <c r="BU651" s="5">
        <f t="shared" si="86"/>
        <v>634.41405301647956</v>
      </c>
      <c r="BV651" s="5">
        <f t="shared" si="87"/>
        <v>634.41405301647956</v>
      </c>
      <c r="BW651" s="71">
        <f t="shared" si="88"/>
        <v>400</v>
      </c>
      <c r="BX651" s="78" cm="1">
        <f t="array" ref="BX651">IF(BM651&gt;0,1,_xll.DCETCVN5575FactorPhi7121(BV651*SQRT($K$17/206000),"b"))</f>
        <v>1</v>
      </c>
      <c r="BY651" s="64">
        <f t="shared" si="89"/>
        <v>6.9847009388828957E-2</v>
      </c>
      <c r="BZ651" s="3" t="str">
        <f t="shared" si="90"/>
        <v>Check</v>
      </c>
    </row>
    <row r="652" spans="1:78">
      <c r="A652" s="76"/>
      <c r="B652" s="76"/>
      <c r="C652" s="125"/>
      <c r="D652" s="125"/>
      <c r="E652" s="71"/>
      <c r="F652" s="71"/>
      <c r="G652" s="71"/>
      <c r="H652" s="126"/>
      <c r="I652" s="125"/>
      <c r="J652" s="123"/>
      <c r="K652" s="12"/>
      <c r="L652" s="117"/>
      <c r="M652" s="12"/>
      <c r="N652" s="117"/>
      <c r="O652" s="117"/>
      <c r="P652" s="117"/>
      <c r="Q652" s="118"/>
      <c r="R652" s="118"/>
      <c r="S652" s="118"/>
      <c r="T652" s="12"/>
      <c r="U652" s="118"/>
      <c r="V652" s="118"/>
      <c r="W652" s="12"/>
      <c r="X652" s="119"/>
      <c r="Y652" s="120"/>
      <c r="Z652" s="12"/>
      <c r="BA652" s="70" t="s">
        <v>205</v>
      </c>
      <c r="BB652" s="71" t="s">
        <v>210</v>
      </c>
      <c r="BC652" s="71" t="s">
        <v>207</v>
      </c>
      <c r="BD652" s="71">
        <v>24.5</v>
      </c>
      <c r="BE652" s="71">
        <v>36</v>
      </c>
      <c r="BF652" s="71">
        <v>390</v>
      </c>
      <c r="BG652" s="71">
        <v>212</v>
      </c>
      <c r="BH652" s="71">
        <v>5</v>
      </c>
      <c r="BI652" s="71">
        <v>10</v>
      </c>
      <c r="BJ652" s="12" t="str" cm="1">
        <f t="array" ref="BJ652">_xll.Dce_Name_SectI(BF652, BF652, BG652, BH652, BI652, "x", "-", $AX$11)</f>
        <v>390x212x5x10</v>
      </c>
      <c r="BK652" s="77" cm="1">
        <f t="array" ref="BK652">_xll.DCEPropSectI(BF652, BH652, BG652, BI652, BG652, BI652, "A")/100</f>
        <v>60.9</v>
      </c>
      <c r="BL652" s="70" t="s">
        <v>221</v>
      </c>
      <c r="BM652" s="70">
        <v>89.327340307373348</v>
      </c>
      <c r="BN652" s="71">
        <v>0.9</v>
      </c>
      <c r="BO652" s="77">
        <f t="shared" si="83"/>
        <v>32.4</v>
      </c>
      <c r="BP652" s="71">
        <v>0.9</v>
      </c>
      <c r="BQ652" s="77">
        <f t="shared" si="84"/>
        <v>32.4</v>
      </c>
      <c r="BR652" s="77" cm="1">
        <f t="array" ref="BR652">_xll.DCEPropSectI(BF652, BH652, BG652, BI652, BG652, BI652, "rx")/10</f>
        <v>16.91131201300167</v>
      </c>
      <c r="BS652" s="77" cm="1">
        <f t="array" ref="BS652">_xll.DCEPropSectI(BF652, BH652, BG652, BI652, BG652, BI652, "ry")/10</f>
        <v>5.1070747638622018</v>
      </c>
      <c r="BT652" s="5">
        <f t="shared" si="85"/>
        <v>191.58773710218577</v>
      </c>
      <c r="BU652" s="5">
        <f t="shared" si="86"/>
        <v>634.41405301647956</v>
      </c>
      <c r="BV652" s="5">
        <f t="shared" si="87"/>
        <v>634.41405301647956</v>
      </c>
      <c r="BW652" s="71">
        <f t="shared" si="88"/>
        <v>400</v>
      </c>
      <c r="BX652" s="78" cm="1">
        <f t="array" ref="BX652">IF(BM652&gt;0,1,_xll.DCETCVN5575FactorPhi7121(BV652*SQRT($K$17/206000),"b"))</f>
        <v>1</v>
      </c>
      <c r="BY652" s="64">
        <f t="shared" si="89"/>
        <v>6.9847009388828957E-2</v>
      </c>
      <c r="BZ652" s="3" t="str">
        <f t="shared" si="90"/>
        <v>Check</v>
      </c>
    </row>
    <row r="653" spans="1:78">
      <c r="A653" s="76"/>
      <c r="B653" s="76"/>
      <c r="C653" s="125"/>
      <c r="D653" s="125"/>
      <c r="E653" s="71"/>
      <c r="F653" s="71"/>
      <c r="G653" s="71"/>
      <c r="H653" s="126"/>
      <c r="I653" s="125"/>
      <c r="J653" s="123"/>
      <c r="K653" s="12"/>
      <c r="L653" s="117"/>
      <c r="M653" s="12"/>
      <c r="N653" s="117"/>
      <c r="O653" s="117"/>
      <c r="P653" s="117"/>
      <c r="Q653" s="118"/>
      <c r="R653" s="118"/>
      <c r="S653" s="118"/>
      <c r="T653" s="12"/>
      <c r="U653" s="118"/>
      <c r="V653" s="118"/>
      <c r="W653" s="12"/>
      <c r="X653" s="119"/>
      <c r="Y653" s="120"/>
      <c r="Z653" s="12"/>
      <c r="BA653" s="70" t="s">
        <v>205</v>
      </c>
      <c r="BB653" s="71" t="s">
        <v>210</v>
      </c>
      <c r="BC653" s="71" t="s">
        <v>207</v>
      </c>
      <c r="BD653" s="71">
        <v>25</v>
      </c>
      <c r="BE653" s="71">
        <v>36</v>
      </c>
      <c r="BF653" s="71">
        <v>390</v>
      </c>
      <c r="BG653" s="71">
        <v>212</v>
      </c>
      <c r="BH653" s="71">
        <v>5</v>
      </c>
      <c r="BI653" s="71">
        <v>10</v>
      </c>
      <c r="BJ653" s="12" t="str" cm="1">
        <f t="array" ref="BJ653">_xll.Dce_Name_SectI(BF653, BF653, BG653, BH653, BI653, "x", "-", $AX$11)</f>
        <v>390x212x5x10</v>
      </c>
      <c r="BK653" s="77" cm="1">
        <f t="array" ref="BK653">_xll.DCEPropSectI(BF653, BH653, BG653, BI653, BG653, BI653, "A")/100</f>
        <v>60.9</v>
      </c>
      <c r="BL653" s="70" t="s">
        <v>221</v>
      </c>
      <c r="BM653" s="70">
        <v>89.327340307373348</v>
      </c>
      <c r="BN653" s="71">
        <v>0.9</v>
      </c>
      <c r="BO653" s="77">
        <f t="shared" ref="BO653:BO716" si="91">BN653*BE653</f>
        <v>32.4</v>
      </c>
      <c r="BP653" s="71">
        <v>0.9</v>
      </c>
      <c r="BQ653" s="77">
        <f t="shared" ref="BQ653:BQ716" si="92">BP653*BE653</f>
        <v>32.4</v>
      </c>
      <c r="BR653" s="77" cm="1">
        <f t="array" ref="BR653">_xll.DCEPropSectI(BF653, BH653, BG653, BI653, BG653, BI653, "rx")/10</f>
        <v>16.91131201300167</v>
      </c>
      <c r="BS653" s="77" cm="1">
        <f t="array" ref="BS653">_xll.DCEPropSectI(BF653, BH653, BG653, BI653, BG653, BI653, "ry")/10</f>
        <v>5.1070747638622018</v>
      </c>
      <c r="BT653" s="5">
        <f t="shared" ref="BT653:BT716" si="93">BO653*100/BR653</f>
        <v>191.58773710218577</v>
      </c>
      <c r="BU653" s="5">
        <f t="shared" ref="BU653:BU716" si="94">BQ653*100/BS653</f>
        <v>634.41405301647956</v>
      </c>
      <c r="BV653" s="5">
        <f t="shared" ref="BV653:BV716" si="95">MAX(BT653,BU653)</f>
        <v>634.41405301647956</v>
      </c>
      <c r="BW653" s="71">
        <f t="shared" ref="BW653:BW716" si="96">IF(BM653&lt;0,$AY$14,$AY$15)</f>
        <v>400</v>
      </c>
      <c r="BX653" s="78" cm="1">
        <f t="array" ref="BX653">IF(BM653&gt;0,1,_xll.DCETCVN5575FactorPhi7121(BV653*SQRT($K$17/206000),"b"))</f>
        <v>1</v>
      </c>
      <c r="BY653" s="64">
        <f t="shared" ref="BY653:BY716" si="97">ABS(BM653)/(BX653*BK653*$K$17*$K$19)*10</f>
        <v>6.9847009388828957E-2</v>
      </c>
      <c r="BZ653" s="3" t="str">
        <f t="shared" ref="BZ653:BZ716" si="98">IF(AND(BV653&lt;=BW653,BY653&lt;=1),"OK","Check")</f>
        <v>Check</v>
      </c>
    </row>
    <row r="654" spans="1:78">
      <c r="A654" s="76"/>
      <c r="B654" s="76"/>
      <c r="C654" s="125"/>
      <c r="D654" s="125"/>
      <c r="E654" s="71"/>
      <c r="F654" s="71"/>
      <c r="G654" s="71"/>
      <c r="H654" s="126"/>
      <c r="I654" s="125"/>
      <c r="J654" s="123"/>
      <c r="K654" s="12"/>
      <c r="L654" s="117"/>
      <c r="M654" s="12"/>
      <c r="N654" s="117"/>
      <c r="O654" s="117"/>
      <c r="P654" s="117"/>
      <c r="Q654" s="118"/>
      <c r="R654" s="118"/>
      <c r="S654" s="118"/>
      <c r="T654" s="12"/>
      <c r="U654" s="118"/>
      <c r="V654" s="118"/>
      <c r="W654" s="12"/>
      <c r="X654" s="119"/>
      <c r="Y654" s="120"/>
      <c r="Z654" s="12"/>
      <c r="BA654" s="70" t="s">
        <v>205</v>
      </c>
      <c r="BB654" s="71" t="s">
        <v>210</v>
      </c>
      <c r="BC654" s="71" t="s">
        <v>207</v>
      </c>
      <c r="BD654" s="71">
        <v>25.5</v>
      </c>
      <c r="BE654" s="71">
        <v>36</v>
      </c>
      <c r="BF654" s="71">
        <v>390</v>
      </c>
      <c r="BG654" s="71">
        <v>212</v>
      </c>
      <c r="BH654" s="71">
        <v>5</v>
      </c>
      <c r="BI654" s="71">
        <v>10</v>
      </c>
      <c r="BJ654" s="12" t="str" cm="1">
        <f t="array" ref="BJ654">_xll.Dce_Name_SectI(BF654, BF654, BG654, BH654, BI654, "x", "-", $AX$11)</f>
        <v>390x212x5x10</v>
      </c>
      <c r="BK654" s="77" cm="1">
        <f t="array" ref="BK654">_xll.DCEPropSectI(BF654, BH654, BG654, BI654, BG654, BI654, "A")/100</f>
        <v>60.9</v>
      </c>
      <c r="BL654" s="70" t="s">
        <v>221</v>
      </c>
      <c r="BM654" s="70">
        <v>89.327340307373348</v>
      </c>
      <c r="BN654" s="71">
        <v>0.9</v>
      </c>
      <c r="BO654" s="77">
        <f t="shared" si="91"/>
        <v>32.4</v>
      </c>
      <c r="BP654" s="71">
        <v>0.9</v>
      </c>
      <c r="BQ654" s="77">
        <f t="shared" si="92"/>
        <v>32.4</v>
      </c>
      <c r="BR654" s="77" cm="1">
        <f t="array" ref="BR654">_xll.DCEPropSectI(BF654, BH654, BG654, BI654, BG654, BI654, "rx")/10</f>
        <v>16.91131201300167</v>
      </c>
      <c r="BS654" s="77" cm="1">
        <f t="array" ref="BS654">_xll.DCEPropSectI(BF654, BH654, BG654, BI654, BG654, BI654, "ry")/10</f>
        <v>5.1070747638622018</v>
      </c>
      <c r="BT654" s="5">
        <f t="shared" si="93"/>
        <v>191.58773710218577</v>
      </c>
      <c r="BU654" s="5">
        <f t="shared" si="94"/>
        <v>634.41405301647956</v>
      </c>
      <c r="BV654" s="5">
        <f t="shared" si="95"/>
        <v>634.41405301647956</v>
      </c>
      <c r="BW654" s="71">
        <f t="shared" si="96"/>
        <v>400</v>
      </c>
      <c r="BX654" s="78" cm="1">
        <f t="array" ref="BX654">IF(BM654&gt;0,1,_xll.DCETCVN5575FactorPhi7121(BV654*SQRT($K$17/206000),"b"))</f>
        <v>1</v>
      </c>
      <c r="BY654" s="64">
        <f t="shared" si="97"/>
        <v>6.9847009388828957E-2</v>
      </c>
      <c r="BZ654" s="3" t="str">
        <f t="shared" si="98"/>
        <v>Check</v>
      </c>
    </row>
    <row r="655" spans="1:78">
      <c r="A655" s="76"/>
      <c r="B655" s="76"/>
      <c r="C655" s="125"/>
      <c r="D655" s="125"/>
      <c r="E655" s="71"/>
      <c r="F655" s="71"/>
      <c r="G655" s="71"/>
      <c r="H655" s="126"/>
      <c r="I655" s="125"/>
      <c r="J655" s="123"/>
      <c r="K655" s="12"/>
      <c r="L655" s="117"/>
      <c r="M655" s="12"/>
      <c r="N655" s="117"/>
      <c r="O655" s="117"/>
      <c r="P655" s="117"/>
      <c r="Q655" s="118"/>
      <c r="R655" s="118"/>
      <c r="S655" s="118"/>
      <c r="T655" s="12"/>
      <c r="U655" s="118"/>
      <c r="V655" s="118"/>
      <c r="W655" s="12"/>
      <c r="X655" s="119"/>
      <c r="Y655" s="120"/>
      <c r="Z655" s="12"/>
      <c r="BA655" s="70" t="s">
        <v>205</v>
      </c>
      <c r="BB655" s="71" t="s">
        <v>210</v>
      </c>
      <c r="BC655" s="71" t="s">
        <v>207</v>
      </c>
      <c r="BD655" s="71">
        <v>26</v>
      </c>
      <c r="BE655" s="71">
        <v>36</v>
      </c>
      <c r="BF655" s="71">
        <v>390</v>
      </c>
      <c r="BG655" s="71">
        <v>212</v>
      </c>
      <c r="BH655" s="71">
        <v>5</v>
      </c>
      <c r="BI655" s="71">
        <v>10</v>
      </c>
      <c r="BJ655" s="12" t="str" cm="1">
        <f t="array" ref="BJ655">_xll.Dce_Name_SectI(BF655, BF655, BG655, BH655, BI655, "x", "-", $AX$11)</f>
        <v>390x212x5x10</v>
      </c>
      <c r="BK655" s="77" cm="1">
        <f t="array" ref="BK655">_xll.DCEPropSectI(BF655, BH655, BG655, BI655, BG655, BI655, "A")/100</f>
        <v>60.9</v>
      </c>
      <c r="BL655" s="70" t="s">
        <v>221</v>
      </c>
      <c r="BM655" s="70">
        <v>89.327340307373348</v>
      </c>
      <c r="BN655" s="71">
        <v>0.9</v>
      </c>
      <c r="BO655" s="77">
        <f t="shared" si="91"/>
        <v>32.4</v>
      </c>
      <c r="BP655" s="71">
        <v>0.9</v>
      </c>
      <c r="BQ655" s="77">
        <f t="shared" si="92"/>
        <v>32.4</v>
      </c>
      <c r="BR655" s="77" cm="1">
        <f t="array" ref="BR655">_xll.DCEPropSectI(BF655, BH655, BG655, BI655, BG655, BI655, "rx")/10</f>
        <v>16.91131201300167</v>
      </c>
      <c r="BS655" s="77" cm="1">
        <f t="array" ref="BS655">_xll.DCEPropSectI(BF655, BH655, BG655, BI655, BG655, BI655, "ry")/10</f>
        <v>5.1070747638622018</v>
      </c>
      <c r="BT655" s="5">
        <f t="shared" si="93"/>
        <v>191.58773710218577</v>
      </c>
      <c r="BU655" s="5">
        <f t="shared" si="94"/>
        <v>634.41405301647956</v>
      </c>
      <c r="BV655" s="5">
        <f t="shared" si="95"/>
        <v>634.41405301647956</v>
      </c>
      <c r="BW655" s="71">
        <f t="shared" si="96"/>
        <v>400</v>
      </c>
      <c r="BX655" s="78" cm="1">
        <f t="array" ref="BX655">IF(BM655&gt;0,1,_xll.DCETCVN5575FactorPhi7121(BV655*SQRT($K$17/206000),"b"))</f>
        <v>1</v>
      </c>
      <c r="BY655" s="64">
        <f t="shared" si="97"/>
        <v>6.9847009388828957E-2</v>
      </c>
      <c r="BZ655" s="3" t="str">
        <f t="shared" si="98"/>
        <v>Check</v>
      </c>
    </row>
    <row r="656" spans="1:78">
      <c r="A656" s="76"/>
      <c r="B656" s="76"/>
      <c r="C656" s="125"/>
      <c r="D656" s="125"/>
      <c r="E656" s="71"/>
      <c r="F656" s="71"/>
      <c r="G656" s="71"/>
      <c r="H656" s="126"/>
      <c r="I656" s="125"/>
      <c r="J656" s="123"/>
      <c r="K656" s="12"/>
      <c r="L656" s="117"/>
      <c r="M656" s="12"/>
      <c r="N656" s="117"/>
      <c r="O656" s="117"/>
      <c r="P656" s="117"/>
      <c r="Q656" s="118"/>
      <c r="R656" s="118"/>
      <c r="S656" s="118"/>
      <c r="T656" s="12"/>
      <c r="U656" s="118"/>
      <c r="V656" s="118"/>
      <c r="W656" s="12"/>
      <c r="X656" s="119"/>
      <c r="Y656" s="120"/>
      <c r="Z656" s="12"/>
      <c r="BA656" s="70" t="s">
        <v>205</v>
      </c>
      <c r="BB656" s="71" t="s">
        <v>210</v>
      </c>
      <c r="BC656" s="71" t="s">
        <v>207</v>
      </c>
      <c r="BD656" s="71">
        <v>26.5</v>
      </c>
      <c r="BE656" s="71">
        <v>36</v>
      </c>
      <c r="BF656" s="71">
        <v>390</v>
      </c>
      <c r="BG656" s="71">
        <v>212</v>
      </c>
      <c r="BH656" s="71">
        <v>5</v>
      </c>
      <c r="BI656" s="71">
        <v>10</v>
      </c>
      <c r="BJ656" s="12" t="str" cm="1">
        <f t="array" ref="BJ656">_xll.Dce_Name_SectI(BF656, BF656, BG656, BH656, BI656, "x", "-", $AX$11)</f>
        <v>390x212x5x10</v>
      </c>
      <c r="BK656" s="77" cm="1">
        <f t="array" ref="BK656">_xll.DCEPropSectI(BF656, BH656, BG656, BI656, BG656, BI656, "A")/100</f>
        <v>60.9</v>
      </c>
      <c r="BL656" s="70" t="s">
        <v>221</v>
      </c>
      <c r="BM656" s="70">
        <v>89.327340307373348</v>
      </c>
      <c r="BN656" s="71">
        <v>0.9</v>
      </c>
      <c r="BO656" s="77">
        <f t="shared" si="91"/>
        <v>32.4</v>
      </c>
      <c r="BP656" s="71">
        <v>0.9</v>
      </c>
      <c r="BQ656" s="77">
        <f t="shared" si="92"/>
        <v>32.4</v>
      </c>
      <c r="BR656" s="77" cm="1">
        <f t="array" ref="BR656">_xll.DCEPropSectI(BF656, BH656, BG656, BI656, BG656, BI656, "rx")/10</f>
        <v>16.91131201300167</v>
      </c>
      <c r="BS656" s="77" cm="1">
        <f t="array" ref="BS656">_xll.DCEPropSectI(BF656, BH656, BG656, BI656, BG656, BI656, "ry")/10</f>
        <v>5.1070747638622018</v>
      </c>
      <c r="BT656" s="5">
        <f t="shared" si="93"/>
        <v>191.58773710218577</v>
      </c>
      <c r="BU656" s="5">
        <f t="shared" si="94"/>
        <v>634.41405301647956</v>
      </c>
      <c r="BV656" s="5">
        <f t="shared" si="95"/>
        <v>634.41405301647956</v>
      </c>
      <c r="BW656" s="71">
        <f t="shared" si="96"/>
        <v>400</v>
      </c>
      <c r="BX656" s="78" cm="1">
        <f t="array" ref="BX656">IF(BM656&gt;0,1,_xll.DCETCVN5575FactorPhi7121(BV656*SQRT($K$17/206000),"b"))</f>
        <v>1</v>
      </c>
      <c r="BY656" s="64">
        <f t="shared" si="97"/>
        <v>6.9847009388828957E-2</v>
      </c>
      <c r="BZ656" s="3" t="str">
        <f t="shared" si="98"/>
        <v>Check</v>
      </c>
    </row>
    <row r="657" spans="1:78">
      <c r="A657" s="76"/>
      <c r="B657" s="76"/>
      <c r="C657" s="125"/>
      <c r="D657" s="125"/>
      <c r="E657" s="71"/>
      <c r="F657" s="71"/>
      <c r="G657" s="71"/>
      <c r="H657" s="126"/>
      <c r="I657" s="125"/>
      <c r="J657" s="123"/>
      <c r="K657" s="12"/>
      <c r="L657" s="117"/>
      <c r="M657" s="12"/>
      <c r="N657" s="117"/>
      <c r="O657" s="117"/>
      <c r="P657" s="117"/>
      <c r="Q657" s="118"/>
      <c r="R657" s="118"/>
      <c r="S657" s="118"/>
      <c r="T657" s="12"/>
      <c r="U657" s="118"/>
      <c r="V657" s="118"/>
      <c r="W657" s="12"/>
      <c r="X657" s="119"/>
      <c r="Y657" s="120"/>
      <c r="Z657" s="12"/>
      <c r="BA657" s="70" t="s">
        <v>205</v>
      </c>
      <c r="BB657" s="71" t="s">
        <v>210</v>
      </c>
      <c r="BC657" s="71" t="s">
        <v>207</v>
      </c>
      <c r="BD657" s="71">
        <v>27</v>
      </c>
      <c r="BE657" s="71">
        <v>36</v>
      </c>
      <c r="BF657" s="71">
        <v>390</v>
      </c>
      <c r="BG657" s="71">
        <v>212</v>
      </c>
      <c r="BH657" s="71">
        <v>5</v>
      </c>
      <c r="BI657" s="71">
        <v>10</v>
      </c>
      <c r="BJ657" s="12" t="str" cm="1">
        <f t="array" ref="BJ657">_xll.Dce_Name_SectI(BF657, BF657, BG657, BH657, BI657, "x", "-", $AX$11)</f>
        <v>390x212x5x10</v>
      </c>
      <c r="BK657" s="77" cm="1">
        <f t="array" ref="BK657">_xll.DCEPropSectI(BF657, BH657, BG657, BI657, BG657, BI657, "A")/100</f>
        <v>60.9</v>
      </c>
      <c r="BL657" s="70" t="s">
        <v>221</v>
      </c>
      <c r="BM657" s="70">
        <v>89.327340307373348</v>
      </c>
      <c r="BN657" s="71">
        <v>0.9</v>
      </c>
      <c r="BO657" s="77">
        <f t="shared" si="91"/>
        <v>32.4</v>
      </c>
      <c r="BP657" s="71">
        <v>0.9</v>
      </c>
      <c r="BQ657" s="77">
        <f t="shared" si="92"/>
        <v>32.4</v>
      </c>
      <c r="BR657" s="77" cm="1">
        <f t="array" ref="BR657">_xll.DCEPropSectI(BF657, BH657, BG657, BI657, BG657, BI657, "rx")/10</f>
        <v>16.91131201300167</v>
      </c>
      <c r="BS657" s="77" cm="1">
        <f t="array" ref="BS657">_xll.DCEPropSectI(BF657, BH657, BG657, BI657, BG657, BI657, "ry")/10</f>
        <v>5.1070747638622018</v>
      </c>
      <c r="BT657" s="5">
        <f t="shared" si="93"/>
        <v>191.58773710218577</v>
      </c>
      <c r="BU657" s="5">
        <f t="shared" si="94"/>
        <v>634.41405301647956</v>
      </c>
      <c r="BV657" s="5">
        <f t="shared" si="95"/>
        <v>634.41405301647956</v>
      </c>
      <c r="BW657" s="71">
        <f t="shared" si="96"/>
        <v>400</v>
      </c>
      <c r="BX657" s="78" cm="1">
        <f t="array" ref="BX657">IF(BM657&gt;0,1,_xll.DCETCVN5575FactorPhi7121(BV657*SQRT($K$17/206000),"b"))</f>
        <v>1</v>
      </c>
      <c r="BY657" s="64">
        <f t="shared" si="97"/>
        <v>6.9847009388828957E-2</v>
      </c>
      <c r="BZ657" s="3" t="str">
        <f t="shared" si="98"/>
        <v>Check</v>
      </c>
    </row>
    <row r="658" spans="1:78">
      <c r="A658" s="76"/>
      <c r="B658" s="76"/>
      <c r="C658" s="125"/>
      <c r="D658" s="125"/>
      <c r="E658" s="71"/>
      <c r="F658" s="71"/>
      <c r="G658" s="71"/>
      <c r="H658" s="126"/>
      <c r="I658" s="125"/>
      <c r="J658" s="123"/>
      <c r="K658" s="12"/>
      <c r="L658" s="117"/>
      <c r="M658" s="12"/>
      <c r="N658" s="117"/>
      <c r="O658" s="117"/>
      <c r="P658" s="117"/>
      <c r="Q658" s="118"/>
      <c r="R658" s="118"/>
      <c r="S658" s="118"/>
      <c r="T658" s="12"/>
      <c r="U658" s="118"/>
      <c r="V658" s="118"/>
      <c r="W658" s="12"/>
      <c r="X658" s="119"/>
      <c r="Y658" s="120"/>
      <c r="Z658" s="12"/>
      <c r="BA658" s="70" t="s">
        <v>205</v>
      </c>
      <c r="BB658" s="71" t="s">
        <v>210</v>
      </c>
      <c r="BC658" s="71" t="s">
        <v>207</v>
      </c>
      <c r="BD658" s="71">
        <v>27.5</v>
      </c>
      <c r="BE658" s="71">
        <v>36</v>
      </c>
      <c r="BF658" s="71">
        <v>390</v>
      </c>
      <c r="BG658" s="71">
        <v>212</v>
      </c>
      <c r="BH658" s="71">
        <v>5</v>
      </c>
      <c r="BI658" s="71">
        <v>10</v>
      </c>
      <c r="BJ658" s="12" t="str" cm="1">
        <f t="array" ref="BJ658">_xll.Dce_Name_SectI(BF658, BF658, BG658, BH658, BI658, "x", "-", $AX$11)</f>
        <v>390x212x5x10</v>
      </c>
      <c r="BK658" s="77" cm="1">
        <f t="array" ref="BK658">_xll.DCEPropSectI(BF658, BH658, BG658, BI658, BG658, BI658, "A")/100</f>
        <v>60.9</v>
      </c>
      <c r="BL658" s="70" t="s">
        <v>221</v>
      </c>
      <c r="BM658" s="70">
        <v>89.327340307373348</v>
      </c>
      <c r="BN658" s="71">
        <v>0.9</v>
      </c>
      <c r="BO658" s="77">
        <f t="shared" si="91"/>
        <v>32.4</v>
      </c>
      <c r="BP658" s="71">
        <v>0.9</v>
      </c>
      <c r="BQ658" s="77">
        <f t="shared" si="92"/>
        <v>32.4</v>
      </c>
      <c r="BR658" s="77" cm="1">
        <f t="array" ref="BR658">_xll.DCEPropSectI(BF658, BH658, BG658, BI658, BG658, BI658, "rx")/10</f>
        <v>16.91131201300167</v>
      </c>
      <c r="BS658" s="77" cm="1">
        <f t="array" ref="BS658">_xll.DCEPropSectI(BF658, BH658, BG658, BI658, BG658, BI658, "ry")/10</f>
        <v>5.1070747638622018</v>
      </c>
      <c r="BT658" s="5">
        <f t="shared" si="93"/>
        <v>191.58773710218577</v>
      </c>
      <c r="BU658" s="5">
        <f t="shared" si="94"/>
        <v>634.41405301647956</v>
      </c>
      <c r="BV658" s="5">
        <f t="shared" si="95"/>
        <v>634.41405301647956</v>
      </c>
      <c r="BW658" s="71">
        <f t="shared" si="96"/>
        <v>400</v>
      </c>
      <c r="BX658" s="78" cm="1">
        <f t="array" ref="BX658">IF(BM658&gt;0,1,_xll.DCETCVN5575FactorPhi7121(BV658*SQRT($K$17/206000),"b"))</f>
        <v>1</v>
      </c>
      <c r="BY658" s="64">
        <f t="shared" si="97"/>
        <v>6.9847009388828957E-2</v>
      </c>
      <c r="BZ658" s="3" t="str">
        <f t="shared" si="98"/>
        <v>Check</v>
      </c>
    </row>
    <row r="659" spans="1:78">
      <c r="A659" s="76"/>
      <c r="B659" s="76"/>
      <c r="C659" s="125"/>
      <c r="D659" s="125"/>
      <c r="E659" s="71"/>
      <c r="F659" s="71"/>
      <c r="G659" s="71"/>
      <c r="H659" s="126"/>
      <c r="I659" s="125"/>
      <c r="J659" s="123"/>
      <c r="K659" s="12"/>
      <c r="L659" s="117"/>
      <c r="M659" s="12"/>
      <c r="N659" s="117"/>
      <c r="O659" s="117"/>
      <c r="P659" s="117"/>
      <c r="Q659" s="118"/>
      <c r="R659" s="118"/>
      <c r="S659" s="118"/>
      <c r="T659" s="12"/>
      <c r="U659" s="118"/>
      <c r="V659" s="118"/>
      <c r="W659" s="12"/>
      <c r="X659" s="119"/>
      <c r="Y659" s="120"/>
      <c r="Z659" s="12"/>
      <c r="BA659" s="70" t="s">
        <v>205</v>
      </c>
      <c r="BB659" s="71" t="s">
        <v>210</v>
      </c>
      <c r="BC659" s="71" t="s">
        <v>207</v>
      </c>
      <c r="BD659" s="71">
        <v>28</v>
      </c>
      <c r="BE659" s="71">
        <v>36</v>
      </c>
      <c r="BF659" s="71">
        <v>390</v>
      </c>
      <c r="BG659" s="71">
        <v>212</v>
      </c>
      <c r="BH659" s="71">
        <v>5</v>
      </c>
      <c r="BI659" s="71">
        <v>10</v>
      </c>
      <c r="BJ659" s="12" t="str" cm="1">
        <f t="array" ref="BJ659">_xll.Dce_Name_SectI(BF659, BF659, BG659, BH659, BI659, "x", "-", $AX$11)</f>
        <v>390x212x5x10</v>
      </c>
      <c r="BK659" s="77" cm="1">
        <f t="array" ref="BK659">_xll.DCEPropSectI(BF659, BH659, BG659, BI659, BG659, BI659, "A")/100</f>
        <v>60.9</v>
      </c>
      <c r="BL659" s="70" t="s">
        <v>221</v>
      </c>
      <c r="BM659" s="70">
        <v>89.327340307373348</v>
      </c>
      <c r="BN659" s="71">
        <v>0.9</v>
      </c>
      <c r="BO659" s="77">
        <f t="shared" si="91"/>
        <v>32.4</v>
      </c>
      <c r="BP659" s="71">
        <v>0.9</v>
      </c>
      <c r="BQ659" s="77">
        <f t="shared" si="92"/>
        <v>32.4</v>
      </c>
      <c r="BR659" s="77" cm="1">
        <f t="array" ref="BR659">_xll.DCEPropSectI(BF659, BH659, BG659, BI659, BG659, BI659, "rx")/10</f>
        <v>16.91131201300167</v>
      </c>
      <c r="BS659" s="77" cm="1">
        <f t="array" ref="BS659">_xll.DCEPropSectI(BF659, BH659, BG659, BI659, BG659, BI659, "ry")/10</f>
        <v>5.1070747638622018</v>
      </c>
      <c r="BT659" s="5">
        <f t="shared" si="93"/>
        <v>191.58773710218577</v>
      </c>
      <c r="BU659" s="5">
        <f t="shared" si="94"/>
        <v>634.41405301647956</v>
      </c>
      <c r="BV659" s="5">
        <f t="shared" si="95"/>
        <v>634.41405301647956</v>
      </c>
      <c r="BW659" s="71">
        <f t="shared" si="96"/>
        <v>400</v>
      </c>
      <c r="BX659" s="78" cm="1">
        <f t="array" ref="BX659">IF(BM659&gt;0,1,_xll.DCETCVN5575FactorPhi7121(BV659*SQRT($K$17/206000),"b"))</f>
        <v>1</v>
      </c>
      <c r="BY659" s="64">
        <f t="shared" si="97"/>
        <v>6.9847009388828957E-2</v>
      </c>
      <c r="BZ659" s="3" t="str">
        <f t="shared" si="98"/>
        <v>Check</v>
      </c>
    </row>
    <row r="660" spans="1:78">
      <c r="A660" s="76"/>
      <c r="B660" s="76"/>
      <c r="C660" s="125"/>
      <c r="D660" s="125"/>
      <c r="E660" s="71"/>
      <c r="F660" s="71"/>
      <c r="G660" s="71"/>
      <c r="H660" s="126"/>
      <c r="I660" s="125"/>
      <c r="J660" s="123"/>
      <c r="K660" s="12"/>
      <c r="L660" s="117"/>
      <c r="M660" s="12"/>
      <c r="N660" s="117"/>
      <c r="O660" s="117"/>
      <c r="P660" s="117"/>
      <c r="Q660" s="118"/>
      <c r="R660" s="118"/>
      <c r="S660" s="118"/>
      <c r="T660" s="12"/>
      <c r="U660" s="118"/>
      <c r="V660" s="118"/>
      <c r="W660" s="12"/>
      <c r="X660" s="119"/>
      <c r="Y660" s="120"/>
      <c r="Z660" s="12"/>
      <c r="BA660" s="70" t="s">
        <v>205</v>
      </c>
      <c r="BB660" s="71" t="s">
        <v>210</v>
      </c>
      <c r="BC660" s="71" t="s">
        <v>207</v>
      </c>
      <c r="BD660" s="71">
        <v>28.5</v>
      </c>
      <c r="BE660" s="71">
        <v>36</v>
      </c>
      <c r="BF660" s="71">
        <v>390</v>
      </c>
      <c r="BG660" s="71">
        <v>212</v>
      </c>
      <c r="BH660" s="71">
        <v>5</v>
      </c>
      <c r="BI660" s="71">
        <v>10</v>
      </c>
      <c r="BJ660" s="12" t="str" cm="1">
        <f t="array" ref="BJ660">_xll.Dce_Name_SectI(BF660, BF660, BG660, BH660, BI660, "x", "-", $AX$11)</f>
        <v>390x212x5x10</v>
      </c>
      <c r="BK660" s="77" cm="1">
        <f t="array" ref="BK660">_xll.DCEPropSectI(BF660, BH660, BG660, BI660, BG660, BI660, "A")/100</f>
        <v>60.9</v>
      </c>
      <c r="BL660" s="70" t="s">
        <v>221</v>
      </c>
      <c r="BM660" s="70">
        <v>89.327340307373348</v>
      </c>
      <c r="BN660" s="71">
        <v>0.9</v>
      </c>
      <c r="BO660" s="77">
        <f t="shared" si="91"/>
        <v>32.4</v>
      </c>
      <c r="BP660" s="71">
        <v>0.9</v>
      </c>
      <c r="BQ660" s="77">
        <f t="shared" si="92"/>
        <v>32.4</v>
      </c>
      <c r="BR660" s="77" cm="1">
        <f t="array" ref="BR660">_xll.DCEPropSectI(BF660, BH660, BG660, BI660, BG660, BI660, "rx")/10</f>
        <v>16.91131201300167</v>
      </c>
      <c r="BS660" s="77" cm="1">
        <f t="array" ref="BS660">_xll.DCEPropSectI(BF660, BH660, BG660, BI660, BG660, BI660, "ry")/10</f>
        <v>5.1070747638622018</v>
      </c>
      <c r="BT660" s="5">
        <f t="shared" si="93"/>
        <v>191.58773710218577</v>
      </c>
      <c r="BU660" s="5">
        <f t="shared" si="94"/>
        <v>634.41405301647956</v>
      </c>
      <c r="BV660" s="5">
        <f t="shared" si="95"/>
        <v>634.41405301647956</v>
      </c>
      <c r="BW660" s="71">
        <f t="shared" si="96"/>
        <v>400</v>
      </c>
      <c r="BX660" s="78" cm="1">
        <f t="array" ref="BX660">IF(BM660&gt;0,1,_xll.DCETCVN5575FactorPhi7121(BV660*SQRT($K$17/206000),"b"))</f>
        <v>1</v>
      </c>
      <c r="BY660" s="64">
        <f t="shared" si="97"/>
        <v>6.9847009388828957E-2</v>
      </c>
      <c r="BZ660" s="3" t="str">
        <f t="shared" si="98"/>
        <v>Check</v>
      </c>
    </row>
    <row r="661" spans="1:78">
      <c r="A661" s="76"/>
      <c r="B661" s="76"/>
      <c r="C661" s="125"/>
      <c r="D661" s="125"/>
      <c r="E661" s="71"/>
      <c r="F661" s="71"/>
      <c r="G661" s="71"/>
      <c r="H661" s="126"/>
      <c r="I661" s="125"/>
      <c r="J661" s="123"/>
      <c r="K661" s="12"/>
      <c r="L661" s="117"/>
      <c r="M661" s="12"/>
      <c r="N661" s="117"/>
      <c r="O661" s="117"/>
      <c r="P661" s="117"/>
      <c r="Q661" s="118"/>
      <c r="R661" s="118"/>
      <c r="S661" s="118"/>
      <c r="T661" s="12"/>
      <c r="U661" s="118"/>
      <c r="V661" s="118"/>
      <c r="W661" s="12"/>
      <c r="X661" s="119"/>
      <c r="Y661" s="120"/>
      <c r="Z661" s="12"/>
      <c r="BA661" s="70" t="s">
        <v>205</v>
      </c>
      <c r="BB661" s="71" t="s">
        <v>210</v>
      </c>
      <c r="BC661" s="71" t="s">
        <v>207</v>
      </c>
      <c r="BD661" s="71">
        <v>29</v>
      </c>
      <c r="BE661" s="71">
        <v>36</v>
      </c>
      <c r="BF661" s="71">
        <v>390</v>
      </c>
      <c r="BG661" s="71">
        <v>212</v>
      </c>
      <c r="BH661" s="71">
        <v>5</v>
      </c>
      <c r="BI661" s="71">
        <v>10</v>
      </c>
      <c r="BJ661" s="12" t="str" cm="1">
        <f t="array" ref="BJ661">_xll.Dce_Name_SectI(BF661, BF661, BG661, BH661, BI661, "x", "-", $AX$11)</f>
        <v>390x212x5x10</v>
      </c>
      <c r="BK661" s="77" cm="1">
        <f t="array" ref="BK661">_xll.DCEPropSectI(BF661, BH661, BG661, BI661, BG661, BI661, "A")/100</f>
        <v>60.9</v>
      </c>
      <c r="BL661" s="70" t="s">
        <v>221</v>
      </c>
      <c r="BM661" s="70">
        <v>89.327340307373348</v>
      </c>
      <c r="BN661" s="71">
        <v>0.9</v>
      </c>
      <c r="BO661" s="77">
        <f t="shared" si="91"/>
        <v>32.4</v>
      </c>
      <c r="BP661" s="71">
        <v>0.9</v>
      </c>
      <c r="BQ661" s="77">
        <f t="shared" si="92"/>
        <v>32.4</v>
      </c>
      <c r="BR661" s="77" cm="1">
        <f t="array" ref="BR661">_xll.DCEPropSectI(BF661, BH661, BG661, BI661, BG661, BI661, "rx")/10</f>
        <v>16.91131201300167</v>
      </c>
      <c r="BS661" s="77" cm="1">
        <f t="array" ref="BS661">_xll.DCEPropSectI(BF661, BH661, BG661, BI661, BG661, BI661, "ry")/10</f>
        <v>5.1070747638622018</v>
      </c>
      <c r="BT661" s="5">
        <f t="shared" si="93"/>
        <v>191.58773710218577</v>
      </c>
      <c r="BU661" s="5">
        <f t="shared" si="94"/>
        <v>634.41405301647956</v>
      </c>
      <c r="BV661" s="5">
        <f t="shared" si="95"/>
        <v>634.41405301647956</v>
      </c>
      <c r="BW661" s="71">
        <f t="shared" si="96"/>
        <v>400</v>
      </c>
      <c r="BX661" s="78" cm="1">
        <f t="array" ref="BX661">IF(BM661&gt;0,1,_xll.DCETCVN5575FactorPhi7121(BV661*SQRT($K$17/206000),"b"))</f>
        <v>1</v>
      </c>
      <c r="BY661" s="64">
        <f t="shared" si="97"/>
        <v>6.9847009388828957E-2</v>
      </c>
      <c r="BZ661" s="3" t="str">
        <f t="shared" si="98"/>
        <v>Check</v>
      </c>
    </row>
    <row r="662" spans="1:78">
      <c r="A662" s="76"/>
      <c r="B662" s="76"/>
      <c r="C662" s="125"/>
      <c r="D662" s="125"/>
      <c r="E662" s="71"/>
      <c r="F662" s="71"/>
      <c r="G662" s="71"/>
      <c r="H662" s="126"/>
      <c r="I662" s="125"/>
      <c r="J662" s="123"/>
      <c r="K662" s="12"/>
      <c r="L662" s="117"/>
      <c r="M662" s="12"/>
      <c r="N662" s="117"/>
      <c r="O662" s="117"/>
      <c r="P662" s="117"/>
      <c r="Q662" s="118"/>
      <c r="R662" s="118"/>
      <c r="S662" s="118"/>
      <c r="T662" s="12"/>
      <c r="U662" s="118"/>
      <c r="V662" s="118"/>
      <c r="W662" s="12"/>
      <c r="X662" s="119"/>
      <c r="Y662" s="120"/>
      <c r="Z662" s="12"/>
      <c r="BA662" s="70" t="s">
        <v>205</v>
      </c>
      <c r="BB662" s="71" t="s">
        <v>210</v>
      </c>
      <c r="BC662" s="71" t="s">
        <v>207</v>
      </c>
      <c r="BD662" s="71">
        <v>29.5</v>
      </c>
      <c r="BE662" s="71">
        <v>36</v>
      </c>
      <c r="BF662" s="71">
        <v>390</v>
      </c>
      <c r="BG662" s="71">
        <v>212</v>
      </c>
      <c r="BH662" s="71">
        <v>5</v>
      </c>
      <c r="BI662" s="71">
        <v>10</v>
      </c>
      <c r="BJ662" s="12" t="str" cm="1">
        <f t="array" ref="BJ662">_xll.Dce_Name_SectI(BF662, BF662, BG662, BH662, BI662, "x", "-", $AX$11)</f>
        <v>390x212x5x10</v>
      </c>
      <c r="BK662" s="77" cm="1">
        <f t="array" ref="BK662">_xll.DCEPropSectI(BF662, BH662, BG662, BI662, BG662, BI662, "A")/100</f>
        <v>60.9</v>
      </c>
      <c r="BL662" s="70" t="s">
        <v>221</v>
      </c>
      <c r="BM662" s="70">
        <v>89.327340307373348</v>
      </c>
      <c r="BN662" s="71">
        <v>0.9</v>
      </c>
      <c r="BO662" s="77">
        <f t="shared" si="91"/>
        <v>32.4</v>
      </c>
      <c r="BP662" s="71">
        <v>0.9</v>
      </c>
      <c r="BQ662" s="77">
        <f t="shared" si="92"/>
        <v>32.4</v>
      </c>
      <c r="BR662" s="77" cm="1">
        <f t="array" ref="BR662">_xll.DCEPropSectI(BF662, BH662, BG662, BI662, BG662, BI662, "rx")/10</f>
        <v>16.91131201300167</v>
      </c>
      <c r="BS662" s="77" cm="1">
        <f t="array" ref="BS662">_xll.DCEPropSectI(BF662, BH662, BG662, BI662, BG662, BI662, "ry")/10</f>
        <v>5.1070747638622018</v>
      </c>
      <c r="BT662" s="5">
        <f t="shared" si="93"/>
        <v>191.58773710218577</v>
      </c>
      <c r="BU662" s="5">
        <f t="shared" si="94"/>
        <v>634.41405301647956</v>
      </c>
      <c r="BV662" s="5">
        <f t="shared" si="95"/>
        <v>634.41405301647956</v>
      </c>
      <c r="BW662" s="71">
        <f t="shared" si="96"/>
        <v>400</v>
      </c>
      <c r="BX662" s="78" cm="1">
        <f t="array" ref="BX662">IF(BM662&gt;0,1,_xll.DCETCVN5575FactorPhi7121(BV662*SQRT($K$17/206000),"b"))</f>
        <v>1</v>
      </c>
      <c r="BY662" s="64">
        <f t="shared" si="97"/>
        <v>6.9847009388828957E-2</v>
      </c>
      <c r="BZ662" s="3" t="str">
        <f t="shared" si="98"/>
        <v>Check</v>
      </c>
    </row>
    <row r="663" spans="1:78">
      <c r="A663" s="76"/>
      <c r="B663" s="76"/>
      <c r="C663" s="125"/>
      <c r="D663" s="125"/>
      <c r="E663" s="71"/>
      <c r="F663" s="71"/>
      <c r="G663" s="71"/>
      <c r="H663" s="126"/>
      <c r="I663" s="125"/>
      <c r="J663" s="123"/>
      <c r="K663" s="12"/>
      <c r="L663" s="117"/>
      <c r="M663" s="12"/>
      <c r="N663" s="117"/>
      <c r="O663" s="117"/>
      <c r="P663" s="117"/>
      <c r="Q663" s="118"/>
      <c r="R663" s="118"/>
      <c r="S663" s="118"/>
      <c r="T663" s="12"/>
      <c r="U663" s="118"/>
      <c r="V663" s="118"/>
      <c r="W663" s="12"/>
      <c r="X663" s="119"/>
      <c r="Y663" s="120"/>
      <c r="Z663" s="12"/>
      <c r="BA663" s="70" t="s">
        <v>205</v>
      </c>
      <c r="BB663" s="71" t="s">
        <v>210</v>
      </c>
      <c r="BC663" s="71" t="s">
        <v>207</v>
      </c>
      <c r="BD663" s="71">
        <v>30</v>
      </c>
      <c r="BE663" s="71">
        <v>36</v>
      </c>
      <c r="BF663" s="71">
        <v>390</v>
      </c>
      <c r="BG663" s="71">
        <v>212</v>
      </c>
      <c r="BH663" s="71">
        <v>5</v>
      </c>
      <c r="BI663" s="71">
        <v>10</v>
      </c>
      <c r="BJ663" s="12" t="str" cm="1">
        <f t="array" ref="BJ663">_xll.Dce_Name_SectI(BF663, BF663, BG663, BH663, BI663, "x", "-", $AX$11)</f>
        <v>390x212x5x10</v>
      </c>
      <c r="BK663" s="77" cm="1">
        <f t="array" ref="BK663">_xll.DCEPropSectI(BF663, BH663, BG663, BI663, BG663, BI663, "A")/100</f>
        <v>60.9</v>
      </c>
      <c r="BL663" s="70" t="s">
        <v>221</v>
      </c>
      <c r="BM663" s="70">
        <v>89.327340307373348</v>
      </c>
      <c r="BN663" s="71">
        <v>0.9</v>
      </c>
      <c r="BO663" s="77">
        <f t="shared" si="91"/>
        <v>32.4</v>
      </c>
      <c r="BP663" s="71">
        <v>0.9</v>
      </c>
      <c r="BQ663" s="77">
        <f t="shared" si="92"/>
        <v>32.4</v>
      </c>
      <c r="BR663" s="77" cm="1">
        <f t="array" ref="BR663">_xll.DCEPropSectI(BF663, BH663, BG663, BI663, BG663, BI663, "rx")/10</f>
        <v>16.91131201300167</v>
      </c>
      <c r="BS663" s="77" cm="1">
        <f t="array" ref="BS663">_xll.DCEPropSectI(BF663, BH663, BG663, BI663, BG663, BI663, "ry")/10</f>
        <v>5.1070747638622018</v>
      </c>
      <c r="BT663" s="5">
        <f t="shared" si="93"/>
        <v>191.58773710218577</v>
      </c>
      <c r="BU663" s="5">
        <f t="shared" si="94"/>
        <v>634.41405301647956</v>
      </c>
      <c r="BV663" s="5">
        <f t="shared" si="95"/>
        <v>634.41405301647956</v>
      </c>
      <c r="BW663" s="71">
        <f t="shared" si="96"/>
        <v>400</v>
      </c>
      <c r="BX663" s="78" cm="1">
        <f t="array" ref="BX663">IF(BM663&gt;0,1,_xll.DCETCVN5575FactorPhi7121(BV663*SQRT($K$17/206000),"b"))</f>
        <v>1</v>
      </c>
      <c r="BY663" s="64">
        <f t="shared" si="97"/>
        <v>6.9847009388828957E-2</v>
      </c>
      <c r="BZ663" s="3" t="str">
        <f t="shared" si="98"/>
        <v>Check</v>
      </c>
    </row>
    <row r="664" spans="1:78">
      <c r="A664" s="76"/>
      <c r="B664" s="76"/>
      <c r="C664" s="125"/>
      <c r="D664" s="125"/>
      <c r="E664" s="71"/>
      <c r="F664" s="71"/>
      <c r="G664" s="71"/>
      <c r="H664" s="126"/>
      <c r="I664" s="125"/>
      <c r="J664" s="123"/>
      <c r="K664" s="12"/>
      <c r="L664" s="117"/>
      <c r="M664" s="12"/>
      <c r="N664" s="117"/>
      <c r="O664" s="117"/>
      <c r="P664" s="117"/>
      <c r="Q664" s="118"/>
      <c r="R664" s="118"/>
      <c r="S664" s="118"/>
      <c r="T664" s="12"/>
      <c r="U664" s="118"/>
      <c r="V664" s="118"/>
      <c r="W664" s="12"/>
      <c r="X664" s="119"/>
      <c r="Y664" s="120"/>
      <c r="Z664" s="12"/>
      <c r="BA664" s="70" t="s">
        <v>205</v>
      </c>
      <c r="BB664" s="71" t="s">
        <v>210</v>
      </c>
      <c r="BC664" s="71" t="s">
        <v>207</v>
      </c>
      <c r="BD664" s="71">
        <v>30</v>
      </c>
      <c r="BE664" s="71">
        <v>36</v>
      </c>
      <c r="BF664" s="71">
        <v>390</v>
      </c>
      <c r="BG664" s="71">
        <v>212</v>
      </c>
      <c r="BH664" s="71">
        <v>5</v>
      </c>
      <c r="BI664" s="71">
        <v>10</v>
      </c>
      <c r="BJ664" s="12" t="str" cm="1">
        <f t="array" ref="BJ664">_xll.Dce_Name_SectI(BF664, BF664, BG664, BH664, BI664, "x", "-", $AX$11)</f>
        <v>390x212x5x10</v>
      </c>
      <c r="BK664" s="77" cm="1">
        <f t="array" ref="BK664">_xll.DCEPropSectI(BF664, BH664, BG664, BI664, BG664, BI664, "A")/100</f>
        <v>60.9</v>
      </c>
      <c r="BL664" s="70" t="s">
        <v>221</v>
      </c>
      <c r="BM664" s="70">
        <v>-17.790763320983132</v>
      </c>
      <c r="BN664" s="71">
        <v>0.9</v>
      </c>
      <c r="BO664" s="77">
        <f t="shared" si="91"/>
        <v>32.4</v>
      </c>
      <c r="BP664" s="71">
        <v>0.9</v>
      </c>
      <c r="BQ664" s="77">
        <f t="shared" si="92"/>
        <v>32.4</v>
      </c>
      <c r="BR664" s="77" cm="1">
        <f t="array" ref="BR664">_xll.DCEPropSectI(BF664, BH664, BG664, BI664, BG664, BI664, "rx")/10</f>
        <v>16.91131201300167</v>
      </c>
      <c r="BS664" s="77" cm="1">
        <f t="array" ref="BS664">_xll.DCEPropSectI(BF664, BH664, BG664, BI664, BG664, BI664, "ry")/10</f>
        <v>5.1070747638622018</v>
      </c>
      <c r="BT664" s="5">
        <f t="shared" si="93"/>
        <v>191.58773710218577</v>
      </c>
      <c r="BU664" s="5">
        <f t="shared" si="94"/>
        <v>634.41405301647956</v>
      </c>
      <c r="BV664" s="5">
        <f t="shared" si="95"/>
        <v>634.41405301647956</v>
      </c>
      <c r="BW664" s="71">
        <f t="shared" si="96"/>
        <v>200</v>
      </c>
      <c r="BX664" s="78" cm="1">
        <f t="array" ref="BX664">IF(BM664&gt;0,1,_xll.DCETCVN5575FactorPhi7121(BV664*SQRT($K$17/206000),"b"))</f>
        <v>1.6670876655456978E-2</v>
      </c>
      <c r="BY664" s="64">
        <f t="shared" si="97"/>
        <v>0.8344485348821129</v>
      </c>
      <c r="BZ664" s="3" t="str">
        <f t="shared" si="98"/>
        <v>Check</v>
      </c>
    </row>
    <row r="665" spans="1:78">
      <c r="A665" s="76"/>
      <c r="B665" s="76"/>
      <c r="C665" s="125"/>
      <c r="D665" s="125"/>
      <c r="E665" s="71"/>
      <c r="F665" s="71"/>
      <c r="G665" s="71"/>
      <c r="H665" s="126"/>
      <c r="I665" s="125"/>
      <c r="J665" s="123"/>
      <c r="K665" s="12"/>
      <c r="L665" s="117"/>
      <c r="M665" s="12"/>
      <c r="N665" s="117"/>
      <c r="O665" s="117"/>
      <c r="P665" s="117"/>
      <c r="Q665" s="118"/>
      <c r="R665" s="118"/>
      <c r="S665" s="118"/>
      <c r="T665" s="12"/>
      <c r="U665" s="118"/>
      <c r="V665" s="118"/>
      <c r="W665" s="12"/>
      <c r="X665" s="119"/>
      <c r="Y665" s="120"/>
      <c r="Z665" s="12"/>
      <c r="BA665" s="70" t="s">
        <v>205</v>
      </c>
      <c r="BB665" s="71" t="s">
        <v>210</v>
      </c>
      <c r="BC665" s="71" t="s">
        <v>207</v>
      </c>
      <c r="BD665" s="71">
        <v>30.5</v>
      </c>
      <c r="BE665" s="71">
        <v>36</v>
      </c>
      <c r="BF665" s="71">
        <v>390</v>
      </c>
      <c r="BG665" s="71">
        <v>212</v>
      </c>
      <c r="BH665" s="71">
        <v>5</v>
      </c>
      <c r="BI665" s="71">
        <v>10</v>
      </c>
      <c r="BJ665" s="12" t="str" cm="1">
        <f t="array" ref="BJ665">_xll.Dce_Name_SectI(BF665, BF665, BG665, BH665, BI665, "x", "-", $AX$11)</f>
        <v>390x212x5x10</v>
      </c>
      <c r="BK665" s="77" cm="1">
        <f t="array" ref="BK665">_xll.DCEPropSectI(BF665, BH665, BG665, BI665, BG665, BI665, "A")/100</f>
        <v>60.9</v>
      </c>
      <c r="BL665" s="70" t="s">
        <v>221</v>
      </c>
      <c r="BM665" s="70">
        <v>-17.790763320983132</v>
      </c>
      <c r="BN665" s="71">
        <v>0.9</v>
      </c>
      <c r="BO665" s="77">
        <f t="shared" si="91"/>
        <v>32.4</v>
      </c>
      <c r="BP665" s="71">
        <v>0.9</v>
      </c>
      <c r="BQ665" s="77">
        <f t="shared" si="92"/>
        <v>32.4</v>
      </c>
      <c r="BR665" s="77" cm="1">
        <f t="array" ref="BR665">_xll.DCEPropSectI(BF665, BH665, BG665, BI665, BG665, BI665, "rx")/10</f>
        <v>16.91131201300167</v>
      </c>
      <c r="BS665" s="77" cm="1">
        <f t="array" ref="BS665">_xll.DCEPropSectI(BF665, BH665, BG665, BI665, BG665, BI665, "ry")/10</f>
        <v>5.1070747638622018</v>
      </c>
      <c r="BT665" s="5">
        <f t="shared" si="93"/>
        <v>191.58773710218577</v>
      </c>
      <c r="BU665" s="5">
        <f t="shared" si="94"/>
        <v>634.41405301647956</v>
      </c>
      <c r="BV665" s="5">
        <f t="shared" si="95"/>
        <v>634.41405301647956</v>
      </c>
      <c r="BW665" s="71">
        <f t="shared" si="96"/>
        <v>200</v>
      </c>
      <c r="BX665" s="78" cm="1">
        <f t="array" ref="BX665">IF(BM665&gt;0,1,_xll.DCETCVN5575FactorPhi7121(BV665*SQRT($K$17/206000),"b"))</f>
        <v>1.6670876655456978E-2</v>
      </c>
      <c r="BY665" s="64">
        <f t="shared" si="97"/>
        <v>0.8344485348821129</v>
      </c>
      <c r="BZ665" s="3" t="str">
        <f t="shared" si="98"/>
        <v>Check</v>
      </c>
    </row>
    <row r="666" spans="1:78">
      <c r="A666" s="76"/>
      <c r="B666" s="76"/>
      <c r="C666" s="125"/>
      <c r="D666" s="125"/>
      <c r="E666" s="71"/>
      <c r="F666" s="71"/>
      <c r="G666" s="71"/>
      <c r="H666" s="126"/>
      <c r="I666" s="125"/>
      <c r="J666" s="123"/>
      <c r="K666" s="12"/>
      <c r="L666" s="117"/>
      <c r="M666" s="12"/>
      <c r="N666" s="117"/>
      <c r="O666" s="117"/>
      <c r="P666" s="117"/>
      <c r="Q666" s="118"/>
      <c r="R666" s="118"/>
      <c r="S666" s="118"/>
      <c r="T666" s="12"/>
      <c r="U666" s="118"/>
      <c r="V666" s="118"/>
      <c r="W666" s="12"/>
      <c r="X666" s="119"/>
      <c r="Y666" s="120"/>
      <c r="Z666" s="12"/>
      <c r="BA666" s="70" t="s">
        <v>205</v>
      </c>
      <c r="BB666" s="71" t="s">
        <v>210</v>
      </c>
      <c r="BC666" s="71" t="s">
        <v>207</v>
      </c>
      <c r="BD666" s="71">
        <v>31</v>
      </c>
      <c r="BE666" s="71">
        <v>36</v>
      </c>
      <c r="BF666" s="71">
        <v>390</v>
      </c>
      <c r="BG666" s="71">
        <v>212</v>
      </c>
      <c r="BH666" s="71">
        <v>5</v>
      </c>
      <c r="BI666" s="71">
        <v>10</v>
      </c>
      <c r="BJ666" s="12" t="str" cm="1">
        <f t="array" ref="BJ666">_xll.Dce_Name_SectI(BF666, BF666, BG666, BH666, BI666, "x", "-", $AX$11)</f>
        <v>390x212x5x10</v>
      </c>
      <c r="BK666" s="77" cm="1">
        <f t="array" ref="BK666">_xll.DCEPropSectI(BF666, BH666, BG666, BI666, BG666, BI666, "A")/100</f>
        <v>60.9</v>
      </c>
      <c r="BL666" s="70" t="s">
        <v>221</v>
      </c>
      <c r="BM666" s="70">
        <v>-17.790763320983132</v>
      </c>
      <c r="BN666" s="71">
        <v>0.9</v>
      </c>
      <c r="BO666" s="77">
        <f t="shared" si="91"/>
        <v>32.4</v>
      </c>
      <c r="BP666" s="71">
        <v>0.9</v>
      </c>
      <c r="BQ666" s="77">
        <f t="shared" si="92"/>
        <v>32.4</v>
      </c>
      <c r="BR666" s="77" cm="1">
        <f t="array" ref="BR666">_xll.DCEPropSectI(BF666, BH666, BG666, BI666, BG666, BI666, "rx")/10</f>
        <v>16.91131201300167</v>
      </c>
      <c r="BS666" s="77" cm="1">
        <f t="array" ref="BS666">_xll.DCEPropSectI(BF666, BH666, BG666, BI666, BG666, BI666, "ry")/10</f>
        <v>5.1070747638622018</v>
      </c>
      <c r="BT666" s="5">
        <f t="shared" si="93"/>
        <v>191.58773710218577</v>
      </c>
      <c r="BU666" s="5">
        <f t="shared" si="94"/>
        <v>634.41405301647956</v>
      </c>
      <c r="BV666" s="5">
        <f t="shared" si="95"/>
        <v>634.41405301647956</v>
      </c>
      <c r="BW666" s="71">
        <f t="shared" si="96"/>
        <v>200</v>
      </c>
      <c r="BX666" s="78" cm="1">
        <f t="array" ref="BX666">IF(BM666&gt;0,1,_xll.DCETCVN5575FactorPhi7121(BV666*SQRT($K$17/206000),"b"))</f>
        <v>1.6670876655456978E-2</v>
      </c>
      <c r="BY666" s="64">
        <f t="shared" si="97"/>
        <v>0.8344485348821129</v>
      </c>
      <c r="BZ666" s="3" t="str">
        <f t="shared" si="98"/>
        <v>Check</v>
      </c>
    </row>
    <row r="667" spans="1:78">
      <c r="A667" s="76"/>
      <c r="B667" s="76"/>
      <c r="C667" s="125"/>
      <c r="D667" s="125"/>
      <c r="E667" s="71"/>
      <c r="F667" s="71"/>
      <c r="G667" s="71"/>
      <c r="H667" s="126"/>
      <c r="I667" s="125"/>
      <c r="J667" s="123"/>
      <c r="K667" s="12"/>
      <c r="L667" s="117"/>
      <c r="M667" s="12"/>
      <c r="N667" s="117"/>
      <c r="O667" s="117"/>
      <c r="P667" s="117"/>
      <c r="Q667" s="118"/>
      <c r="R667" s="118"/>
      <c r="S667" s="118"/>
      <c r="T667" s="12"/>
      <c r="U667" s="118"/>
      <c r="V667" s="118"/>
      <c r="W667" s="12"/>
      <c r="X667" s="119"/>
      <c r="Y667" s="120"/>
      <c r="Z667" s="12"/>
      <c r="BA667" s="70" t="s">
        <v>205</v>
      </c>
      <c r="BB667" s="71" t="s">
        <v>210</v>
      </c>
      <c r="BC667" s="71" t="s">
        <v>207</v>
      </c>
      <c r="BD667" s="71">
        <v>31.5</v>
      </c>
      <c r="BE667" s="71">
        <v>36</v>
      </c>
      <c r="BF667" s="71">
        <v>390</v>
      </c>
      <c r="BG667" s="71">
        <v>212</v>
      </c>
      <c r="BH667" s="71">
        <v>5</v>
      </c>
      <c r="BI667" s="71">
        <v>10</v>
      </c>
      <c r="BJ667" s="12" t="str" cm="1">
        <f t="array" ref="BJ667">_xll.Dce_Name_SectI(BF667, BF667, BG667, BH667, BI667, "x", "-", $AX$11)</f>
        <v>390x212x5x10</v>
      </c>
      <c r="BK667" s="77" cm="1">
        <f t="array" ref="BK667">_xll.DCEPropSectI(BF667, BH667, BG667, BI667, BG667, BI667, "A")/100</f>
        <v>60.9</v>
      </c>
      <c r="BL667" s="70" t="s">
        <v>221</v>
      </c>
      <c r="BM667" s="70">
        <v>-17.790763320983132</v>
      </c>
      <c r="BN667" s="71">
        <v>0.9</v>
      </c>
      <c r="BO667" s="77">
        <f t="shared" si="91"/>
        <v>32.4</v>
      </c>
      <c r="BP667" s="71">
        <v>0.9</v>
      </c>
      <c r="BQ667" s="77">
        <f t="shared" si="92"/>
        <v>32.4</v>
      </c>
      <c r="BR667" s="77" cm="1">
        <f t="array" ref="BR667">_xll.DCEPropSectI(BF667, BH667, BG667, BI667, BG667, BI667, "rx")/10</f>
        <v>16.91131201300167</v>
      </c>
      <c r="BS667" s="77" cm="1">
        <f t="array" ref="BS667">_xll.DCEPropSectI(BF667, BH667, BG667, BI667, BG667, BI667, "ry")/10</f>
        <v>5.1070747638622018</v>
      </c>
      <c r="BT667" s="5">
        <f t="shared" si="93"/>
        <v>191.58773710218577</v>
      </c>
      <c r="BU667" s="5">
        <f t="shared" si="94"/>
        <v>634.41405301647956</v>
      </c>
      <c r="BV667" s="5">
        <f t="shared" si="95"/>
        <v>634.41405301647956</v>
      </c>
      <c r="BW667" s="71">
        <f t="shared" si="96"/>
        <v>200</v>
      </c>
      <c r="BX667" s="78" cm="1">
        <f t="array" ref="BX667">IF(BM667&gt;0,1,_xll.DCETCVN5575FactorPhi7121(BV667*SQRT($K$17/206000),"b"))</f>
        <v>1.6670876655456978E-2</v>
      </c>
      <c r="BY667" s="64">
        <f t="shared" si="97"/>
        <v>0.8344485348821129</v>
      </c>
      <c r="BZ667" s="3" t="str">
        <f t="shared" si="98"/>
        <v>Check</v>
      </c>
    </row>
    <row r="668" spans="1:78">
      <c r="A668" s="76"/>
      <c r="B668" s="76"/>
      <c r="C668" s="125"/>
      <c r="D668" s="125"/>
      <c r="E668" s="71"/>
      <c r="F668" s="71"/>
      <c r="G668" s="71"/>
      <c r="H668" s="126"/>
      <c r="I668" s="125"/>
      <c r="J668" s="123"/>
      <c r="K668" s="12"/>
      <c r="L668" s="117"/>
      <c r="M668" s="12"/>
      <c r="N668" s="117"/>
      <c r="O668" s="117"/>
      <c r="P668" s="117"/>
      <c r="Q668" s="118"/>
      <c r="R668" s="118"/>
      <c r="S668" s="118"/>
      <c r="T668" s="12"/>
      <c r="U668" s="118"/>
      <c r="V668" s="118"/>
      <c r="W668" s="12"/>
      <c r="X668" s="119"/>
      <c r="Y668" s="120"/>
      <c r="Z668" s="12"/>
      <c r="BA668" s="70" t="s">
        <v>205</v>
      </c>
      <c r="BB668" s="71" t="s">
        <v>210</v>
      </c>
      <c r="BC668" s="71" t="s">
        <v>207</v>
      </c>
      <c r="BD668" s="71">
        <v>32</v>
      </c>
      <c r="BE668" s="71">
        <v>36</v>
      </c>
      <c r="BF668" s="71">
        <v>390</v>
      </c>
      <c r="BG668" s="71">
        <v>212</v>
      </c>
      <c r="BH668" s="71">
        <v>5</v>
      </c>
      <c r="BI668" s="71">
        <v>10</v>
      </c>
      <c r="BJ668" s="12" t="str" cm="1">
        <f t="array" ref="BJ668">_xll.Dce_Name_SectI(BF668, BF668, BG668, BH668, BI668, "x", "-", $AX$11)</f>
        <v>390x212x5x10</v>
      </c>
      <c r="BK668" s="77" cm="1">
        <f t="array" ref="BK668">_xll.DCEPropSectI(BF668, BH668, BG668, BI668, BG668, BI668, "A")/100</f>
        <v>60.9</v>
      </c>
      <c r="BL668" s="70" t="s">
        <v>221</v>
      </c>
      <c r="BM668" s="70">
        <v>-17.790763320983132</v>
      </c>
      <c r="BN668" s="71">
        <v>0.9</v>
      </c>
      <c r="BO668" s="77">
        <f t="shared" si="91"/>
        <v>32.4</v>
      </c>
      <c r="BP668" s="71">
        <v>0.9</v>
      </c>
      <c r="BQ668" s="77">
        <f t="shared" si="92"/>
        <v>32.4</v>
      </c>
      <c r="BR668" s="77" cm="1">
        <f t="array" ref="BR668">_xll.DCEPropSectI(BF668, BH668, BG668, BI668, BG668, BI668, "rx")/10</f>
        <v>16.91131201300167</v>
      </c>
      <c r="BS668" s="77" cm="1">
        <f t="array" ref="BS668">_xll.DCEPropSectI(BF668, BH668, BG668, BI668, BG668, BI668, "ry")/10</f>
        <v>5.1070747638622018</v>
      </c>
      <c r="BT668" s="5">
        <f t="shared" si="93"/>
        <v>191.58773710218577</v>
      </c>
      <c r="BU668" s="5">
        <f t="shared" si="94"/>
        <v>634.41405301647956</v>
      </c>
      <c r="BV668" s="5">
        <f t="shared" si="95"/>
        <v>634.41405301647956</v>
      </c>
      <c r="BW668" s="71">
        <f t="shared" si="96"/>
        <v>200</v>
      </c>
      <c r="BX668" s="78" cm="1">
        <f t="array" ref="BX668">IF(BM668&gt;0,1,_xll.DCETCVN5575FactorPhi7121(BV668*SQRT($K$17/206000),"b"))</f>
        <v>1.6670876655456978E-2</v>
      </c>
      <c r="BY668" s="64">
        <f t="shared" si="97"/>
        <v>0.8344485348821129</v>
      </c>
      <c r="BZ668" s="3" t="str">
        <f t="shared" si="98"/>
        <v>Check</v>
      </c>
    </row>
    <row r="669" spans="1:78">
      <c r="A669" s="76"/>
      <c r="B669" s="76"/>
      <c r="C669" s="125"/>
      <c r="D669" s="125"/>
      <c r="E669" s="71"/>
      <c r="F669" s="71"/>
      <c r="G669" s="71"/>
      <c r="H669" s="126"/>
      <c r="I669" s="125"/>
      <c r="J669" s="123"/>
      <c r="K669" s="12"/>
      <c r="L669" s="117"/>
      <c r="M669" s="12"/>
      <c r="N669" s="117"/>
      <c r="O669" s="117"/>
      <c r="P669" s="117"/>
      <c r="Q669" s="118"/>
      <c r="R669" s="118"/>
      <c r="S669" s="118"/>
      <c r="T669" s="12"/>
      <c r="U669" s="118"/>
      <c r="V669" s="118"/>
      <c r="W669" s="12"/>
      <c r="X669" s="119"/>
      <c r="Y669" s="120"/>
      <c r="Z669" s="12"/>
      <c r="BA669" s="70" t="s">
        <v>205</v>
      </c>
      <c r="BB669" s="71" t="s">
        <v>210</v>
      </c>
      <c r="BC669" s="71" t="s">
        <v>207</v>
      </c>
      <c r="BD669" s="71">
        <v>32.5</v>
      </c>
      <c r="BE669" s="71">
        <v>36</v>
      </c>
      <c r="BF669" s="71">
        <v>390</v>
      </c>
      <c r="BG669" s="71">
        <v>212</v>
      </c>
      <c r="BH669" s="71">
        <v>5</v>
      </c>
      <c r="BI669" s="71">
        <v>10</v>
      </c>
      <c r="BJ669" s="12" t="str" cm="1">
        <f t="array" ref="BJ669">_xll.Dce_Name_SectI(BF669, BF669, BG669, BH669, BI669, "x", "-", $AX$11)</f>
        <v>390x212x5x10</v>
      </c>
      <c r="BK669" s="77" cm="1">
        <f t="array" ref="BK669">_xll.DCEPropSectI(BF669, BH669, BG669, BI669, BG669, BI669, "A")/100</f>
        <v>60.9</v>
      </c>
      <c r="BL669" s="70" t="s">
        <v>221</v>
      </c>
      <c r="BM669" s="70">
        <v>-17.790763320983132</v>
      </c>
      <c r="BN669" s="71">
        <v>0.9</v>
      </c>
      <c r="BO669" s="77">
        <f t="shared" si="91"/>
        <v>32.4</v>
      </c>
      <c r="BP669" s="71">
        <v>0.9</v>
      </c>
      <c r="BQ669" s="77">
        <f t="shared" si="92"/>
        <v>32.4</v>
      </c>
      <c r="BR669" s="77" cm="1">
        <f t="array" ref="BR669">_xll.DCEPropSectI(BF669, BH669, BG669, BI669, BG669, BI669, "rx")/10</f>
        <v>16.91131201300167</v>
      </c>
      <c r="BS669" s="77" cm="1">
        <f t="array" ref="BS669">_xll.DCEPropSectI(BF669, BH669, BG669, BI669, BG669, BI669, "ry")/10</f>
        <v>5.1070747638622018</v>
      </c>
      <c r="BT669" s="5">
        <f t="shared" si="93"/>
        <v>191.58773710218577</v>
      </c>
      <c r="BU669" s="5">
        <f t="shared" si="94"/>
        <v>634.41405301647956</v>
      </c>
      <c r="BV669" s="5">
        <f t="shared" si="95"/>
        <v>634.41405301647956</v>
      </c>
      <c r="BW669" s="71">
        <f t="shared" si="96"/>
        <v>200</v>
      </c>
      <c r="BX669" s="78" cm="1">
        <f t="array" ref="BX669">IF(BM669&gt;0,1,_xll.DCETCVN5575FactorPhi7121(BV669*SQRT($K$17/206000),"b"))</f>
        <v>1.6670876655456978E-2</v>
      </c>
      <c r="BY669" s="64">
        <f t="shared" si="97"/>
        <v>0.8344485348821129</v>
      </c>
      <c r="BZ669" s="3" t="str">
        <f t="shared" si="98"/>
        <v>Check</v>
      </c>
    </row>
    <row r="670" spans="1:78">
      <c r="A670" s="76"/>
      <c r="B670" s="76"/>
      <c r="C670" s="125"/>
      <c r="D670" s="125"/>
      <c r="E670" s="71"/>
      <c r="F670" s="71"/>
      <c r="G670" s="71"/>
      <c r="H670" s="126"/>
      <c r="I670" s="125"/>
      <c r="J670" s="123"/>
      <c r="K670" s="12"/>
      <c r="L670" s="117"/>
      <c r="M670" s="12"/>
      <c r="N670" s="117"/>
      <c r="O670" s="117"/>
      <c r="P670" s="117"/>
      <c r="Q670" s="118"/>
      <c r="R670" s="118"/>
      <c r="S670" s="118"/>
      <c r="T670" s="12"/>
      <c r="U670" s="118"/>
      <c r="V670" s="118"/>
      <c r="W670" s="12"/>
      <c r="X670" s="119"/>
      <c r="Y670" s="120"/>
      <c r="Z670" s="12"/>
      <c r="BA670" s="70" t="s">
        <v>205</v>
      </c>
      <c r="BB670" s="71" t="s">
        <v>210</v>
      </c>
      <c r="BC670" s="71" t="s">
        <v>207</v>
      </c>
      <c r="BD670" s="71">
        <v>33</v>
      </c>
      <c r="BE670" s="71">
        <v>36</v>
      </c>
      <c r="BF670" s="71">
        <v>390</v>
      </c>
      <c r="BG670" s="71">
        <v>212</v>
      </c>
      <c r="BH670" s="71">
        <v>5</v>
      </c>
      <c r="BI670" s="71">
        <v>10</v>
      </c>
      <c r="BJ670" s="12" t="str" cm="1">
        <f t="array" ref="BJ670">_xll.Dce_Name_SectI(BF670, BF670, BG670, BH670, BI670, "x", "-", $AX$11)</f>
        <v>390x212x5x10</v>
      </c>
      <c r="BK670" s="77" cm="1">
        <f t="array" ref="BK670">_xll.DCEPropSectI(BF670, BH670, BG670, BI670, BG670, BI670, "A")/100</f>
        <v>60.9</v>
      </c>
      <c r="BL670" s="70" t="s">
        <v>221</v>
      </c>
      <c r="BM670" s="70">
        <v>-17.790763320983132</v>
      </c>
      <c r="BN670" s="71">
        <v>0.9</v>
      </c>
      <c r="BO670" s="77">
        <f t="shared" si="91"/>
        <v>32.4</v>
      </c>
      <c r="BP670" s="71">
        <v>0.9</v>
      </c>
      <c r="BQ670" s="77">
        <f t="shared" si="92"/>
        <v>32.4</v>
      </c>
      <c r="BR670" s="77" cm="1">
        <f t="array" ref="BR670">_xll.DCEPropSectI(BF670, BH670, BG670, BI670, BG670, BI670, "rx")/10</f>
        <v>16.91131201300167</v>
      </c>
      <c r="BS670" s="77" cm="1">
        <f t="array" ref="BS670">_xll.DCEPropSectI(BF670, BH670, BG670, BI670, BG670, BI670, "ry")/10</f>
        <v>5.1070747638622018</v>
      </c>
      <c r="BT670" s="5">
        <f t="shared" si="93"/>
        <v>191.58773710218577</v>
      </c>
      <c r="BU670" s="5">
        <f t="shared" si="94"/>
        <v>634.41405301647956</v>
      </c>
      <c r="BV670" s="5">
        <f t="shared" si="95"/>
        <v>634.41405301647956</v>
      </c>
      <c r="BW670" s="71">
        <f t="shared" si="96"/>
        <v>200</v>
      </c>
      <c r="BX670" s="78" cm="1">
        <f t="array" ref="BX670">IF(BM670&gt;0,1,_xll.DCETCVN5575FactorPhi7121(BV670*SQRT($K$17/206000),"b"))</f>
        <v>1.6670876655456978E-2</v>
      </c>
      <c r="BY670" s="64">
        <f t="shared" si="97"/>
        <v>0.8344485348821129</v>
      </c>
      <c r="BZ670" s="3" t="str">
        <f t="shared" si="98"/>
        <v>Check</v>
      </c>
    </row>
    <row r="671" spans="1:78">
      <c r="A671" s="76"/>
      <c r="B671" s="76"/>
      <c r="C671" s="125"/>
      <c r="D671" s="125"/>
      <c r="E671" s="71"/>
      <c r="F671" s="71"/>
      <c r="G671" s="71"/>
      <c r="H671" s="126"/>
      <c r="I671" s="125"/>
      <c r="J671" s="123"/>
      <c r="K671" s="12"/>
      <c r="L671" s="117"/>
      <c r="M671" s="12"/>
      <c r="N671" s="117"/>
      <c r="O671" s="117"/>
      <c r="P671" s="117"/>
      <c r="Q671" s="118"/>
      <c r="R671" s="118"/>
      <c r="S671" s="118"/>
      <c r="T671" s="12"/>
      <c r="U671" s="118"/>
      <c r="V671" s="118"/>
      <c r="W671" s="12"/>
      <c r="X671" s="119"/>
      <c r="Y671" s="120"/>
      <c r="Z671" s="12"/>
      <c r="BA671" s="70" t="s">
        <v>205</v>
      </c>
      <c r="BB671" s="71" t="s">
        <v>210</v>
      </c>
      <c r="BC671" s="71" t="s">
        <v>207</v>
      </c>
      <c r="BD671" s="71">
        <v>33.5</v>
      </c>
      <c r="BE671" s="71">
        <v>36</v>
      </c>
      <c r="BF671" s="71">
        <v>390</v>
      </c>
      <c r="BG671" s="71">
        <v>212</v>
      </c>
      <c r="BH671" s="71">
        <v>5</v>
      </c>
      <c r="BI671" s="71">
        <v>10</v>
      </c>
      <c r="BJ671" s="12" t="str" cm="1">
        <f t="array" ref="BJ671">_xll.Dce_Name_SectI(BF671, BF671, BG671, BH671, BI671, "x", "-", $AX$11)</f>
        <v>390x212x5x10</v>
      </c>
      <c r="BK671" s="77" cm="1">
        <f t="array" ref="BK671">_xll.DCEPropSectI(BF671, BH671, BG671, BI671, BG671, BI671, "A")/100</f>
        <v>60.9</v>
      </c>
      <c r="BL671" s="70" t="s">
        <v>221</v>
      </c>
      <c r="BM671" s="70">
        <v>-17.790763320983132</v>
      </c>
      <c r="BN671" s="71">
        <v>0.9</v>
      </c>
      <c r="BO671" s="77">
        <f t="shared" si="91"/>
        <v>32.4</v>
      </c>
      <c r="BP671" s="71">
        <v>0.9</v>
      </c>
      <c r="BQ671" s="77">
        <f t="shared" si="92"/>
        <v>32.4</v>
      </c>
      <c r="BR671" s="77" cm="1">
        <f t="array" ref="BR671">_xll.DCEPropSectI(BF671, BH671, BG671, BI671, BG671, BI671, "rx")/10</f>
        <v>16.91131201300167</v>
      </c>
      <c r="BS671" s="77" cm="1">
        <f t="array" ref="BS671">_xll.DCEPropSectI(BF671, BH671, BG671, BI671, BG671, BI671, "ry")/10</f>
        <v>5.1070747638622018</v>
      </c>
      <c r="BT671" s="5">
        <f t="shared" si="93"/>
        <v>191.58773710218577</v>
      </c>
      <c r="BU671" s="5">
        <f t="shared" si="94"/>
        <v>634.41405301647956</v>
      </c>
      <c r="BV671" s="5">
        <f t="shared" si="95"/>
        <v>634.41405301647956</v>
      </c>
      <c r="BW671" s="71">
        <f t="shared" si="96"/>
        <v>200</v>
      </c>
      <c r="BX671" s="78" cm="1">
        <f t="array" ref="BX671">IF(BM671&gt;0,1,_xll.DCETCVN5575FactorPhi7121(BV671*SQRT($K$17/206000),"b"))</f>
        <v>1.6670876655456978E-2</v>
      </c>
      <c r="BY671" s="64">
        <f t="shared" si="97"/>
        <v>0.8344485348821129</v>
      </c>
      <c r="BZ671" s="3" t="str">
        <f t="shared" si="98"/>
        <v>Check</v>
      </c>
    </row>
    <row r="672" spans="1:78">
      <c r="A672" s="76"/>
      <c r="B672" s="76"/>
      <c r="C672" s="125"/>
      <c r="D672" s="125"/>
      <c r="E672" s="71"/>
      <c r="F672" s="71"/>
      <c r="G672" s="71"/>
      <c r="H672" s="126"/>
      <c r="I672" s="125"/>
      <c r="J672" s="123"/>
      <c r="K672" s="12"/>
      <c r="L672" s="117"/>
      <c r="M672" s="12"/>
      <c r="N672" s="117"/>
      <c r="O672" s="117"/>
      <c r="P672" s="117"/>
      <c r="Q672" s="118"/>
      <c r="R672" s="118"/>
      <c r="S672" s="118"/>
      <c r="T672" s="12"/>
      <c r="U672" s="118"/>
      <c r="V672" s="118"/>
      <c r="W672" s="12"/>
      <c r="X672" s="119"/>
      <c r="Y672" s="120"/>
      <c r="Z672" s="12"/>
      <c r="BA672" s="70" t="s">
        <v>205</v>
      </c>
      <c r="BB672" s="71" t="s">
        <v>210</v>
      </c>
      <c r="BC672" s="71" t="s">
        <v>207</v>
      </c>
      <c r="BD672" s="71">
        <v>34</v>
      </c>
      <c r="BE672" s="71">
        <v>36</v>
      </c>
      <c r="BF672" s="71">
        <v>390</v>
      </c>
      <c r="BG672" s="71">
        <v>212</v>
      </c>
      <c r="BH672" s="71">
        <v>5</v>
      </c>
      <c r="BI672" s="71">
        <v>10</v>
      </c>
      <c r="BJ672" s="12" t="str" cm="1">
        <f t="array" ref="BJ672">_xll.Dce_Name_SectI(BF672, BF672, BG672, BH672, BI672, "x", "-", $AX$11)</f>
        <v>390x212x5x10</v>
      </c>
      <c r="BK672" s="77" cm="1">
        <f t="array" ref="BK672">_xll.DCEPropSectI(BF672, BH672, BG672, BI672, BG672, BI672, "A")/100</f>
        <v>60.9</v>
      </c>
      <c r="BL672" s="70" t="s">
        <v>221</v>
      </c>
      <c r="BM672" s="70">
        <v>-17.790763320983132</v>
      </c>
      <c r="BN672" s="71">
        <v>0.9</v>
      </c>
      <c r="BO672" s="77">
        <f t="shared" si="91"/>
        <v>32.4</v>
      </c>
      <c r="BP672" s="71">
        <v>0.9</v>
      </c>
      <c r="BQ672" s="77">
        <f t="shared" si="92"/>
        <v>32.4</v>
      </c>
      <c r="BR672" s="77" cm="1">
        <f t="array" ref="BR672">_xll.DCEPropSectI(BF672, BH672, BG672, BI672, BG672, BI672, "rx")/10</f>
        <v>16.91131201300167</v>
      </c>
      <c r="BS672" s="77" cm="1">
        <f t="array" ref="BS672">_xll.DCEPropSectI(BF672, BH672, BG672, BI672, BG672, BI672, "ry")/10</f>
        <v>5.1070747638622018</v>
      </c>
      <c r="BT672" s="5">
        <f t="shared" si="93"/>
        <v>191.58773710218577</v>
      </c>
      <c r="BU672" s="5">
        <f t="shared" si="94"/>
        <v>634.41405301647956</v>
      </c>
      <c r="BV672" s="5">
        <f t="shared" si="95"/>
        <v>634.41405301647956</v>
      </c>
      <c r="BW672" s="71">
        <f t="shared" si="96"/>
        <v>200</v>
      </c>
      <c r="BX672" s="78" cm="1">
        <f t="array" ref="BX672">IF(BM672&gt;0,1,_xll.DCETCVN5575FactorPhi7121(BV672*SQRT($K$17/206000),"b"))</f>
        <v>1.6670876655456978E-2</v>
      </c>
      <c r="BY672" s="64">
        <f t="shared" si="97"/>
        <v>0.8344485348821129</v>
      </c>
      <c r="BZ672" s="3" t="str">
        <f t="shared" si="98"/>
        <v>Check</v>
      </c>
    </row>
    <row r="673" spans="1:78">
      <c r="A673" s="76"/>
      <c r="B673" s="76"/>
      <c r="C673" s="125"/>
      <c r="D673" s="125"/>
      <c r="E673" s="71"/>
      <c r="F673" s="71"/>
      <c r="G673" s="71"/>
      <c r="H673" s="126"/>
      <c r="I673" s="125"/>
      <c r="J673" s="123"/>
      <c r="K673" s="12"/>
      <c r="L673" s="117"/>
      <c r="M673" s="12"/>
      <c r="N673" s="117"/>
      <c r="O673" s="117"/>
      <c r="P673" s="117"/>
      <c r="Q673" s="118"/>
      <c r="R673" s="118"/>
      <c r="S673" s="118"/>
      <c r="T673" s="12"/>
      <c r="U673" s="118"/>
      <c r="V673" s="118"/>
      <c r="W673" s="12"/>
      <c r="X673" s="119"/>
      <c r="Y673" s="120"/>
      <c r="Z673" s="12"/>
      <c r="BA673" s="70" t="s">
        <v>205</v>
      </c>
      <c r="BB673" s="71" t="s">
        <v>210</v>
      </c>
      <c r="BC673" s="71" t="s">
        <v>207</v>
      </c>
      <c r="BD673" s="71">
        <v>34.5</v>
      </c>
      <c r="BE673" s="71">
        <v>36</v>
      </c>
      <c r="BF673" s="71">
        <v>390</v>
      </c>
      <c r="BG673" s="71">
        <v>212</v>
      </c>
      <c r="BH673" s="71">
        <v>5</v>
      </c>
      <c r="BI673" s="71">
        <v>10</v>
      </c>
      <c r="BJ673" s="12" t="str" cm="1">
        <f t="array" ref="BJ673">_xll.Dce_Name_SectI(BF673, BF673, BG673, BH673, BI673, "x", "-", $AX$11)</f>
        <v>390x212x5x10</v>
      </c>
      <c r="BK673" s="77" cm="1">
        <f t="array" ref="BK673">_xll.DCEPropSectI(BF673, BH673, BG673, BI673, BG673, BI673, "A")/100</f>
        <v>60.9</v>
      </c>
      <c r="BL673" s="70" t="s">
        <v>221</v>
      </c>
      <c r="BM673" s="70">
        <v>-17.790763320983132</v>
      </c>
      <c r="BN673" s="71">
        <v>0.9</v>
      </c>
      <c r="BO673" s="77">
        <f t="shared" si="91"/>
        <v>32.4</v>
      </c>
      <c r="BP673" s="71">
        <v>0.9</v>
      </c>
      <c r="BQ673" s="77">
        <f t="shared" si="92"/>
        <v>32.4</v>
      </c>
      <c r="BR673" s="77" cm="1">
        <f t="array" ref="BR673">_xll.DCEPropSectI(BF673, BH673, BG673, BI673, BG673, BI673, "rx")/10</f>
        <v>16.91131201300167</v>
      </c>
      <c r="BS673" s="77" cm="1">
        <f t="array" ref="BS673">_xll.DCEPropSectI(BF673, BH673, BG673, BI673, BG673, BI673, "ry")/10</f>
        <v>5.1070747638622018</v>
      </c>
      <c r="BT673" s="5">
        <f t="shared" si="93"/>
        <v>191.58773710218577</v>
      </c>
      <c r="BU673" s="5">
        <f t="shared" si="94"/>
        <v>634.41405301647956</v>
      </c>
      <c r="BV673" s="5">
        <f t="shared" si="95"/>
        <v>634.41405301647956</v>
      </c>
      <c r="BW673" s="71">
        <f t="shared" si="96"/>
        <v>200</v>
      </c>
      <c r="BX673" s="78" cm="1">
        <f t="array" ref="BX673">IF(BM673&gt;0,1,_xll.DCETCVN5575FactorPhi7121(BV673*SQRT($K$17/206000),"b"))</f>
        <v>1.6670876655456978E-2</v>
      </c>
      <c r="BY673" s="64">
        <f t="shared" si="97"/>
        <v>0.8344485348821129</v>
      </c>
      <c r="BZ673" s="3" t="str">
        <f t="shared" si="98"/>
        <v>Check</v>
      </c>
    </row>
    <row r="674" spans="1:78">
      <c r="A674" s="76"/>
      <c r="B674" s="76"/>
      <c r="C674" s="125"/>
      <c r="D674" s="125"/>
      <c r="E674" s="71"/>
      <c r="F674" s="71"/>
      <c r="G674" s="71"/>
      <c r="H674" s="126"/>
      <c r="I674" s="125"/>
      <c r="J674" s="123"/>
      <c r="K674" s="12"/>
      <c r="L674" s="117"/>
      <c r="M674" s="12"/>
      <c r="N674" s="117"/>
      <c r="O674" s="117"/>
      <c r="P674" s="117"/>
      <c r="Q674" s="118"/>
      <c r="R674" s="118"/>
      <c r="S674" s="118"/>
      <c r="T674" s="12"/>
      <c r="U674" s="118"/>
      <c r="V674" s="118"/>
      <c r="W674" s="12"/>
      <c r="X674" s="119"/>
      <c r="Y674" s="120"/>
      <c r="Z674" s="12"/>
      <c r="BA674" s="70" t="s">
        <v>205</v>
      </c>
      <c r="BB674" s="71" t="s">
        <v>210</v>
      </c>
      <c r="BC674" s="71" t="s">
        <v>207</v>
      </c>
      <c r="BD674" s="71">
        <v>35</v>
      </c>
      <c r="BE674" s="71">
        <v>36</v>
      </c>
      <c r="BF674" s="71">
        <v>390</v>
      </c>
      <c r="BG674" s="71">
        <v>212</v>
      </c>
      <c r="BH674" s="71">
        <v>5</v>
      </c>
      <c r="BI674" s="71">
        <v>10</v>
      </c>
      <c r="BJ674" s="12" t="str" cm="1">
        <f t="array" ref="BJ674">_xll.Dce_Name_SectI(BF674, BF674, BG674, BH674, BI674, "x", "-", $AX$11)</f>
        <v>390x212x5x10</v>
      </c>
      <c r="BK674" s="77" cm="1">
        <f t="array" ref="BK674">_xll.DCEPropSectI(BF674, BH674, BG674, BI674, BG674, BI674, "A")/100</f>
        <v>60.9</v>
      </c>
      <c r="BL674" s="70" t="s">
        <v>221</v>
      </c>
      <c r="BM674" s="70">
        <v>-17.790763320983132</v>
      </c>
      <c r="BN674" s="71">
        <v>0.9</v>
      </c>
      <c r="BO674" s="77">
        <f t="shared" si="91"/>
        <v>32.4</v>
      </c>
      <c r="BP674" s="71">
        <v>0.9</v>
      </c>
      <c r="BQ674" s="77">
        <f t="shared" si="92"/>
        <v>32.4</v>
      </c>
      <c r="BR674" s="77" cm="1">
        <f t="array" ref="BR674">_xll.DCEPropSectI(BF674, BH674, BG674, BI674, BG674, BI674, "rx")/10</f>
        <v>16.91131201300167</v>
      </c>
      <c r="BS674" s="77" cm="1">
        <f t="array" ref="BS674">_xll.DCEPropSectI(BF674, BH674, BG674, BI674, BG674, BI674, "ry")/10</f>
        <v>5.1070747638622018</v>
      </c>
      <c r="BT674" s="5">
        <f t="shared" si="93"/>
        <v>191.58773710218577</v>
      </c>
      <c r="BU674" s="5">
        <f t="shared" si="94"/>
        <v>634.41405301647956</v>
      </c>
      <c r="BV674" s="5">
        <f t="shared" si="95"/>
        <v>634.41405301647956</v>
      </c>
      <c r="BW674" s="71">
        <f t="shared" si="96"/>
        <v>200</v>
      </c>
      <c r="BX674" s="78" cm="1">
        <f t="array" ref="BX674">IF(BM674&gt;0,1,_xll.DCETCVN5575FactorPhi7121(BV674*SQRT($K$17/206000),"b"))</f>
        <v>1.6670876655456978E-2</v>
      </c>
      <c r="BY674" s="64">
        <f t="shared" si="97"/>
        <v>0.8344485348821129</v>
      </c>
      <c r="BZ674" s="3" t="str">
        <f t="shared" si="98"/>
        <v>Check</v>
      </c>
    </row>
    <row r="675" spans="1:78">
      <c r="A675" s="76"/>
      <c r="B675" s="76"/>
      <c r="C675" s="125"/>
      <c r="D675" s="125"/>
      <c r="E675" s="71"/>
      <c r="F675" s="71"/>
      <c r="G675" s="71"/>
      <c r="H675" s="126"/>
      <c r="I675" s="125"/>
      <c r="J675" s="123"/>
      <c r="K675" s="12"/>
      <c r="L675" s="117"/>
      <c r="M675" s="12"/>
      <c r="N675" s="117"/>
      <c r="O675" s="117"/>
      <c r="P675" s="117"/>
      <c r="Q675" s="118"/>
      <c r="R675" s="118"/>
      <c r="S675" s="118"/>
      <c r="T675" s="12"/>
      <c r="U675" s="118"/>
      <c r="V675" s="118"/>
      <c r="W675" s="12"/>
      <c r="X675" s="119"/>
      <c r="Y675" s="120"/>
      <c r="Z675" s="12"/>
      <c r="BA675" s="70" t="s">
        <v>205</v>
      </c>
      <c r="BB675" s="71" t="s">
        <v>210</v>
      </c>
      <c r="BC675" s="71" t="s">
        <v>207</v>
      </c>
      <c r="BD675" s="71">
        <v>35.5</v>
      </c>
      <c r="BE675" s="71">
        <v>36</v>
      </c>
      <c r="BF675" s="71">
        <v>390</v>
      </c>
      <c r="BG675" s="71">
        <v>212</v>
      </c>
      <c r="BH675" s="71">
        <v>5</v>
      </c>
      <c r="BI675" s="71">
        <v>10</v>
      </c>
      <c r="BJ675" s="12" t="str" cm="1">
        <f t="array" ref="BJ675">_xll.Dce_Name_SectI(BF675, BF675, BG675, BH675, BI675, "x", "-", $AX$11)</f>
        <v>390x212x5x10</v>
      </c>
      <c r="BK675" s="77" cm="1">
        <f t="array" ref="BK675">_xll.DCEPropSectI(BF675, BH675, BG675, BI675, BG675, BI675, "A")/100</f>
        <v>60.9</v>
      </c>
      <c r="BL675" s="70" t="s">
        <v>221</v>
      </c>
      <c r="BM675" s="70">
        <v>-17.790763320983132</v>
      </c>
      <c r="BN675" s="71">
        <v>0.9</v>
      </c>
      <c r="BO675" s="77">
        <f t="shared" si="91"/>
        <v>32.4</v>
      </c>
      <c r="BP675" s="71">
        <v>0.9</v>
      </c>
      <c r="BQ675" s="77">
        <f t="shared" si="92"/>
        <v>32.4</v>
      </c>
      <c r="BR675" s="77" cm="1">
        <f t="array" ref="BR675">_xll.DCEPropSectI(BF675, BH675, BG675, BI675, BG675, BI675, "rx")/10</f>
        <v>16.91131201300167</v>
      </c>
      <c r="BS675" s="77" cm="1">
        <f t="array" ref="BS675">_xll.DCEPropSectI(BF675, BH675, BG675, BI675, BG675, BI675, "ry")/10</f>
        <v>5.1070747638622018</v>
      </c>
      <c r="BT675" s="5">
        <f t="shared" si="93"/>
        <v>191.58773710218577</v>
      </c>
      <c r="BU675" s="5">
        <f t="shared" si="94"/>
        <v>634.41405301647956</v>
      </c>
      <c r="BV675" s="5">
        <f t="shared" si="95"/>
        <v>634.41405301647956</v>
      </c>
      <c r="BW675" s="71">
        <f t="shared" si="96"/>
        <v>200</v>
      </c>
      <c r="BX675" s="78" cm="1">
        <f t="array" ref="BX675">IF(BM675&gt;0,1,_xll.DCETCVN5575FactorPhi7121(BV675*SQRT($K$17/206000),"b"))</f>
        <v>1.6670876655456978E-2</v>
      </c>
      <c r="BY675" s="64">
        <f t="shared" si="97"/>
        <v>0.8344485348821129</v>
      </c>
      <c r="BZ675" s="3" t="str">
        <f t="shared" si="98"/>
        <v>Check</v>
      </c>
    </row>
    <row r="676" spans="1:78">
      <c r="A676" s="76"/>
      <c r="B676" s="76"/>
      <c r="C676" s="125"/>
      <c r="D676" s="125"/>
      <c r="E676" s="71"/>
      <c r="F676" s="71"/>
      <c r="G676" s="71"/>
      <c r="H676" s="126"/>
      <c r="I676" s="125"/>
      <c r="J676" s="123"/>
      <c r="K676" s="12"/>
      <c r="L676" s="117"/>
      <c r="M676" s="12"/>
      <c r="N676" s="117"/>
      <c r="O676" s="117"/>
      <c r="P676" s="117"/>
      <c r="Q676" s="118"/>
      <c r="R676" s="118"/>
      <c r="S676" s="118"/>
      <c r="T676" s="12"/>
      <c r="U676" s="118"/>
      <c r="V676" s="118"/>
      <c r="W676" s="12"/>
      <c r="X676" s="119"/>
      <c r="Y676" s="120"/>
      <c r="Z676" s="12"/>
      <c r="BA676" s="70" t="s">
        <v>205</v>
      </c>
      <c r="BB676" s="71" t="s">
        <v>210</v>
      </c>
      <c r="BC676" s="71" t="s">
        <v>207</v>
      </c>
      <c r="BD676" s="71">
        <v>36</v>
      </c>
      <c r="BE676" s="71">
        <v>36</v>
      </c>
      <c r="BF676" s="71">
        <v>390</v>
      </c>
      <c r="BG676" s="71">
        <v>212</v>
      </c>
      <c r="BH676" s="71">
        <v>5</v>
      </c>
      <c r="BI676" s="71">
        <v>10</v>
      </c>
      <c r="BJ676" s="12" t="str" cm="1">
        <f t="array" ref="BJ676">_xll.Dce_Name_SectI(BF676, BF676, BG676, BH676, BI676, "x", "-", $AX$11)</f>
        <v>390x212x5x10</v>
      </c>
      <c r="BK676" s="77" cm="1">
        <f t="array" ref="BK676">_xll.DCEPropSectI(BF676, BH676, BG676, BI676, BG676, BI676, "A")/100</f>
        <v>60.9</v>
      </c>
      <c r="BL676" s="70" t="s">
        <v>221</v>
      </c>
      <c r="BM676" s="70">
        <v>-17.790763320983132</v>
      </c>
      <c r="BN676" s="71">
        <v>0.9</v>
      </c>
      <c r="BO676" s="77">
        <f t="shared" si="91"/>
        <v>32.4</v>
      </c>
      <c r="BP676" s="71">
        <v>0.9</v>
      </c>
      <c r="BQ676" s="77">
        <f t="shared" si="92"/>
        <v>32.4</v>
      </c>
      <c r="BR676" s="77" cm="1">
        <f t="array" ref="BR676">_xll.DCEPropSectI(BF676, BH676, BG676, BI676, BG676, BI676, "rx")/10</f>
        <v>16.91131201300167</v>
      </c>
      <c r="BS676" s="77" cm="1">
        <f t="array" ref="BS676">_xll.DCEPropSectI(BF676, BH676, BG676, BI676, BG676, BI676, "ry")/10</f>
        <v>5.1070747638622018</v>
      </c>
      <c r="BT676" s="5">
        <f t="shared" si="93"/>
        <v>191.58773710218577</v>
      </c>
      <c r="BU676" s="5">
        <f t="shared" si="94"/>
        <v>634.41405301647956</v>
      </c>
      <c r="BV676" s="5">
        <f t="shared" si="95"/>
        <v>634.41405301647956</v>
      </c>
      <c r="BW676" s="71">
        <f t="shared" si="96"/>
        <v>200</v>
      </c>
      <c r="BX676" s="78" cm="1">
        <f t="array" ref="BX676">IF(BM676&gt;0,1,_xll.DCETCVN5575FactorPhi7121(BV676*SQRT($K$17/206000),"b"))</f>
        <v>1.6670876655456978E-2</v>
      </c>
      <c r="BY676" s="64">
        <f t="shared" si="97"/>
        <v>0.8344485348821129</v>
      </c>
      <c r="BZ676" s="3" t="str">
        <f t="shared" si="98"/>
        <v>Check</v>
      </c>
    </row>
    <row r="677" spans="1:78">
      <c r="A677" s="76"/>
      <c r="B677" s="76"/>
      <c r="C677" s="125"/>
      <c r="D677" s="125"/>
      <c r="E677" s="71"/>
      <c r="F677" s="71"/>
      <c r="G677" s="71"/>
      <c r="H677" s="126"/>
      <c r="I677" s="125"/>
      <c r="J677" s="123"/>
      <c r="K677" s="12"/>
      <c r="L677" s="117"/>
      <c r="M677" s="12"/>
      <c r="N677" s="117"/>
      <c r="O677" s="117"/>
      <c r="P677" s="117"/>
      <c r="Q677" s="118"/>
      <c r="R677" s="118"/>
      <c r="S677" s="118"/>
      <c r="T677" s="12"/>
      <c r="U677" s="118"/>
      <c r="V677" s="118"/>
      <c r="W677" s="12"/>
      <c r="X677" s="119"/>
      <c r="Y677" s="120"/>
      <c r="Z677" s="12"/>
      <c r="BA677" s="70" t="s">
        <v>205</v>
      </c>
      <c r="BB677" s="71" t="s">
        <v>210</v>
      </c>
      <c r="BC677" s="71" t="s">
        <v>207</v>
      </c>
      <c r="BD677" s="71">
        <v>0</v>
      </c>
      <c r="BE677" s="71">
        <v>36</v>
      </c>
      <c r="BF677" s="71">
        <v>390</v>
      </c>
      <c r="BG677" s="71">
        <v>212</v>
      </c>
      <c r="BH677" s="71">
        <v>5</v>
      </c>
      <c r="BI677" s="71">
        <v>10</v>
      </c>
      <c r="BJ677" s="12" t="str" cm="1">
        <f t="array" ref="BJ677">_xll.Dce_Name_SectI(BF677, BF677, BG677, BH677, BI677, "x", "-", $AX$11)</f>
        <v>390x212x5x10</v>
      </c>
      <c r="BK677" s="77" cm="1">
        <f t="array" ref="BK677">_xll.DCEPropSectI(BF677, BH677, BG677, BI677, BG677, BI677, "A")/100</f>
        <v>60.9</v>
      </c>
      <c r="BL677" s="70" t="s">
        <v>222</v>
      </c>
      <c r="BM677" s="70">
        <v>-8.6391904105589674</v>
      </c>
      <c r="BN677" s="71">
        <v>0.9</v>
      </c>
      <c r="BO677" s="77">
        <f t="shared" si="91"/>
        <v>32.4</v>
      </c>
      <c r="BP677" s="71">
        <v>0.9</v>
      </c>
      <c r="BQ677" s="77">
        <f t="shared" si="92"/>
        <v>32.4</v>
      </c>
      <c r="BR677" s="77" cm="1">
        <f t="array" ref="BR677">_xll.DCEPropSectI(BF677, BH677, BG677, BI677, BG677, BI677, "rx")/10</f>
        <v>16.91131201300167</v>
      </c>
      <c r="BS677" s="77" cm="1">
        <f t="array" ref="BS677">_xll.DCEPropSectI(BF677, BH677, BG677, BI677, BG677, BI677, "ry")/10</f>
        <v>5.1070747638622018</v>
      </c>
      <c r="BT677" s="5">
        <f t="shared" si="93"/>
        <v>191.58773710218577</v>
      </c>
      <c r="BU677" s="5">
        <f t="shared" si="94"/>
        <v>634.41405301647956</v>
      </c>
      <c r="BV677" s="5">
        <f t="shared" si="95"/>
        <v>634.41405301647956</v>
      </c>
      <c r="BW677" s="71">
        <f t="shared" si="96"/>
        <v>200</v>
      </c>
      <c r="BX677" s="78" cm="1">
        <f t="array" ref="BX677">IF(BM677&gt;0,1,_xll.DCETCVN5575FactorPhi7121(BV677*SQRT($K$17/206000),"b"))</f>
        <v>1.6670876655456978E-2</v>
      </c>
      <c r="BY677" s="64">
        <f t="shared" si="97"/>
        <v>0.40520800881859836</v>
      </c>
      <c r="BZ677" s="3" t="str">
        <f t="shared" si="98"/>
        <v>Check</v>
      </c>
    </row>
    <row r="678" spans="1:78">
      <c r="A678" s="76"/>
      <c r="B678" s="76"/>
      <c r="C678" s="125"/>
      <c r="D678" s="125"/>
      <c r="E678" s="71"/>
      <c r="F678" s="71"/>
      <c r="G678" s="71"/>
      <c r="H678" s="126"/>
      <c r="I678" s="125"/>
      <c r="J678" s="123"/>
      <c r="K678" s="12"/>
      <c r="L678" s="117"/>
      <c r="M678" s="12"/>
      <c r="N678" s="117"/>
      <c r="O678" s="117"/>
      <c r="P678" s="117"/>
      <c r="Q678" s="118"/>
      <c r="R678" s="118"/>
      <c r="S678" s="118"/>
      <c r="T678" s="12"/>
      <c r="U678" s="118"/>
      <c r="V678" s="118"/>
      <c r="W678" s="12"/>
      <c r="X678" s="119"/>
      <c r="Y678" s="120"/>
      <c r="Z678" s="12"/>
      <c r="BA678" s="70" t="s">
        <v>205</v>
      </c>
      <c r="BB678" s="71" t="s">
        <v>210</v>
      </c>
      <c r="BC678" s="71" t="s">
        <v>207</v>
      </c>
      <c r="BD678" s="71">
        <v>0.3</v>
      </c>
      <c r="BE678" s="71">
        <v>36</v>
      </c>
      <c r="BF678" s="71">
        <v>390</v>
      </c>
      <c r="BG678" s="71">
        <v>212</v>
      </c>
      <c r="BH678" s="71">
        <v>5</v>
      </c>
      <c r="BI678" s="71">
        <v>10</v>
      </c>
      <c r="BJ678" s="12" t="str" cm="1">
        <f t="array" ref="BJ678">_xll.Dce_Name_SectI(BF678, BF678, BG678, BH678, BI678, "x", "-", $AX$11)</f>
        <v>390x212x5x10</v>
      </c>
      <c r="BK678" s="77" cm="1">
        <f t="array" ref="BK678">_xll.DCEPropSectI(BF678, BH678, BG678, BI678, BG678, BI678, "A")/100</f>
        <v>60.9</v>
      </c>
      <c r="BL678" s="70" t="s">
        <v>222</v>
      </c>
      <c r="BM678" s="70">
        <v>-8.6391904105589674</v>
      </c>
      <c r="BN678" s="71">
        <v>0.9</v>
      </c>
      <c r="BO678" s="77">
        <f t="shared" si="91"/>
        <v>32.4</v>
      </c>
      <c r="BP678" s="71">
        <v>0.9</v>
      </c>
      <c r="BQ678" s="77">
        <f t="shared" si="92"/>
        <v>32.4</v>
      </c>
      <c r="BR678" s="77" cm="1">
        <f t="array" ref="BR678">_xll.DCEPropSectI(BF678, BH678, BG678, BI678, BG678, BI678, "rx")/10</f>
        <v>16.91131201300167</v>
      </c>
      <c r="BS678" s="77" cm="1">
        <f t="array" ref="BS678">_xll.DCEPropSectI(BF678, BH678, BG678, BI678, BG678, BI678, "ry")/10</f>
        <v>5.1070747638622018</v>
      </c>
      <c r="BT678" s="5">
        <f t="shared" si="93"/>
        <v>191.58773710218577</v>
      </c>
      <c r="BU678" s="5">
        <f t="shared" si="94"/>
        <v>634.41405301647956</v>
      </c>
      <c r="BV678" s="5">
        <f t="shared" si="95"/>
        <v>634.41405301647956</v>
      </c>
      <c r="BW678" s="71">
        <f t="shared" si="96"/>
        <v>200</v>
      </c>
      <c r="BX678" s="78" cm="1">
        <f t="array" ref="BX678">IF(BM678&gt;0,1,_xll.DCETCVN5575FactorPhi7121(BV678*SQRT($K$17/206000),"b"))</f>
        <v>1.6670876655456978E-2</v>
      </c>
      <c r="BY678" s="64">
        <f t="shared" si="97"/>
        <v>0.40520800881859836</v>
      </c>
      <c r="BZ678" s="3" t="str">
        <f t="shared" si="98"/>
        <v>Check</v>
      </c>
    </row>
    <row r="679" spans="1:78">
      <c r="A679" s="76"/>
      <c r="B679" s="76"/>
      <c r="C679" s="125"/>
      <c r="D679" s="125"/>
      <c r="E679" s="71"/>
      <c r="F679" s="71"/>
      <c r="G679" s="71"/>
      <c r="H679" s="126"/>
      <c r="I679" s="125"/>
      <c r="J679" s="123"/>
      <c r="K679" s="12"/>
      <c r="L679" s="117"/>
      <c r="M679" s="12"/>
      <c r="N679" s="117"/>
      <c r="O679" s="117"/>
      <c r="P679" s="117"/>
      <c r="Q679" s="118"/>
      <c r="R679" s="118"/>
      <c r="S679" s="118"/>
      <c r="T679" s="12"/>
      <c r="U679" s="118"/>
      <c r="V679" s="118"/>
      <c r="W679" s="12"/>
      <c r="X679" s="119"/>
      <c r="Y679" s="120"/>
      <c r="Z679" s="12"/>
      <c r="BA679" s="70" t="s">
        <v>205</v>
      </c>
      <c r="BB679" s="71" t="s">
        <v>210</v>
      </c>
      <c r="BC679" s="71" t="s">
        <v>207</v>
      </c>
      <c r="BD679" s="71">
        <v>0.6</v>
      </c>
      <c r="BE679" s="71">
        <v>36</v>
      </c>
      <c r="BF679" s="71">
        <v>390</v>
      </c>
      <c r="BG679" s="71">
        <v>212</v>
      </c>
      <c r="BH679" s="71">
        <v>5</v>
      </c>
      <c r="BI679" s="71">
        <v>10</v>
      </c>
      <c r="BJ679" s="12" t="str" cm="1">
        <f t="array" ref="BJ679">_xll.Dce_Name_SectI(BF679, BF679, BG679, BH679, BI679, "x", "-", $AX$11)</f>
        <v>390x212x5x10</v>
      </c>
      <c r="BK679" s="77" cm="1">
        <f t="array" ref="BK679">_xll.DCEPropSectI(BF679, BH679, BG679, BI679, BG679, BI679, "A")/100</f>
        <v>60.9</v>
      </c>
      <c r="BL679" s="70" t="s">
        <v>222</v>
      </c>
      <c r="BM679" s="70">
        <v>-8.6391904105589674</v>
      </c>
      <c r="BN679" s="71">
        <v>0.9</v>
      </c>
      <c r="BO679" s="77">
        <f t="shared" si="91"/>
        <v>32.4</v>
      </c>
      <c r="BP679" s="71">
        <v>0.9</v>
      </c>
      <c r="BQ679" s="77">
        <f t="shared" si="92"/>
        <v>32.4</v>
      </c>
      <c r="BR679" s="77" cm="1">
        <f t="array" ref="BR679">_xll.DCEPropSectI(BF679, BH679, BG679, BI679, BG679, BI679, "rx")/10</f>
        <v>16.91131201300167</v>
      </c>
      <c r="BS679" s="77" cm="1">
        <f t="array" ref="BS679">_xll.DCEPropSectI(BF679, BH679, BG679, BI679, BG679, BI679, "ry")/10</f>
        <v>5.1070747638622018</v>
      </c>
      <c r="BT679" s="5">
        <f t="shared" si="93"/>
        <v>191.58773710218577</v>
      </c>
      <c r="BU679" s="5">
        <f t="shared" si="94"/>
        <v>634.41405301647956</v>
      </c>
      <c r="BV679" s="5">
        <f t="shared" si="95"/>
        <v>634.41405301647956</v>
      </c>
      <c r="BW679" s="71">
        <f t="shared" si="96"/>
        <v>200</v>
      </c>
      <c r="BX679" s="78" cm="1">
        <f t="array" ref="BX679">IF(BM679&gt;0,1,_xll.DCETCVN5575FactorPhi7121(BV679*SQRT($K$17/206000),"b"))</f>
        <v>1.6670876655456978E-2</v>
      </c>
      <c r="BY679" s="64">
        <f t="shared" si="97"/>
        <v>0.40520800881859836</v>
      </c>
      <c r="BZ679" s="3" t="str">
        <f t="shared" si="98"/>
        <v>Check</v>
      </c>
    </row>
    <row r="680" spans="1:78">
      <c r="A680" s="76"/>
      <c r="B680" s="76"/>
      <c r="C680" s="125"/>
      <c r="D680" s="125"/>
      <c r="E680" s="71"/>
      <c r="F680" s="71"/>
      <c r="G680" s="71"/>
      <c r="H680" s="126"/>
      <c r="I680" s="125"/>
      <c r="J680" s="123"/>
      <c r="K680" s="12"/>
      <c r="L680" s="117"/>
      <c r="M680" s="12"/>
      <c r="N680" s="117"/>
      <c r="O680" s="117"/>
      <c r="P680" s="117"/>
      <c r="Q680" s="118"/>
      <c r="R680" s="118"/>
      <c r="S680" s="118"/>
      <c r="T680" s="12"/>
      <c r="U680" s="118"/>
      <c r="V680" s="118"/>
      <c r="W680" s="12"/>
      <c r="X680" s="119"/>
      <c r="Y680" s="120"/>
      <c r="Z680" s="12"/>
      <c r="BA680" s="70" t="s">
        <v>205</v>
      </c>
      <c r="BB680" s="71" t="s">
        <v>210</v>
      </c>
      <c r="BC680" s="71" t="s">
        <v>207</v>
      </c>
      <c r="BD680" s="71">
        <v>0.6</v>
      </c>
      <c r="BE680" s="71">
        <v>36</v>
      </c>
      <c r="BF680" s="71">
        <v>390</v>
      </c>
      <c r="BG680" s="71">
        <v>212</v>
      </c>
      <c r="BH680" s="71">
        <v>5</v>
      </c>
      <c r="BI680" s="71">
        <v>10</v>
      </c>
      <c r="BJ680" s="12" t="str" cm="1">
        <f t="array" ref="BJ680">_xll.Dce_Name_SectI(BF680, BF680, BG680, BH680, BI680, "x", "-", $AX$11)</f>
        <v>390x212x5x10</v>
      </c>
      <c r="BK680" s="77" cm="1">
        <f t="array" ref="BK680">_xll.DCEPropSectI(BF680, BH680, BG680, BI680, BG680, BI680, "A")/100</f>
        <v>60.9</v>
      </c>
      <c r="BL680" s="70" t="s">
        <v>222</v>
      </c>
      <c r="BM680" s="70">
        <v>-14.879656438472296</v>
      </c>
      <c r="BN680" s="71">
        <v>0.9</v>
      </c>
      <c r="BO680" s="77">
        <f t="shared" si="91"/>
        <v>32.4</v>
      </c>
      <c r="BP680" s="71">
        <v>0.9</v>
      </c>
      <c r="BQ680" s="77">
        <f t="shared" si="92"/>
        <v>32.4</v>
      </c>
      <c r="BR680" s="77" cm="1">
        <f t="array" ref="BR680">_xll.DCEPropSectI(BF680, BH680, BG680, BI680, BG680, BI680, "rx")/10</f>
        <v>16.91131201300167</v>
      </c>
      <c r="BS680" s="77" cm="1">
        <f t="array" ref="BS680">_xll.DCEPropSectI(BF680, BH680, BG680, BI680, BG680, BI680, "ry")/10</f>
        <v>5.1070747638622018</v>
      </c>
      <c r="BT680" s="5">
        <f t="shared" si="93"/>
        <v>191.58773710218577</v>
      </c>
      <c r="BU680" s="5">
        <f t="shared" si="94"/>
        <v>634.41405301647956</v>
      </c>
      <c r="BV680" s="5">
        <f t="shared" si="95"/>
        <v>634.41405301647956</v>
      </c>
      <c r="BW680" s="71">
        <f t="shared" si="96"/>
        <v>200</v>
      </c>
      <c r="BX680" s="78" cm="1">
        <f t="array" ref="BX680">IF(BM680&gt;0,1,_xll.DCETCVN5575FactorPhi7121(BV680*SQRT($K$17/206000),"b"))</f>
        <v>1.6670876655456978E-2</v>
      </c>
      <c r="BY680" s="64">
        <f t="shared" si="97"/>
        <v>0.69790752035850656</v>
      </c>
      <c r="BZ680" s="3" t="str">
        <f t="shared" si="98"/>
        <v>Check</v>
      </c>
    </row>
    <row r="681" spans="1:78">
      <c r="A681" s="76"/>
      <c r="B681" s="76"/>
      <c r="C681" s="125"/>
      <c r="D681" s="125"/>
      <c r="E681" s="71"/>
      <c r="F681" s="71"/>
      <c r="G681" s="71"/>
      <c r="H681" s="126"/>
      <c r="I681" s="125"/>
      <c r="J681" s="123"/>
      <c r="K681" s="12"/>
      <c r="L681" s="117"/>
      <c r="M681" s="12"/>
      <c r="N681" s="117"/>
      <c r="O681" s="117"/>
      <c r="P681" s="117"/>
      <c r="Q681" s="118"/>
      <c r="R681" s="118"/>
      <c r="S681" s="118"/>
      <c r="T681" s="12"/>
      <c r="U681" s="118"/>
      <c r="V681" s="118"/>
      <c r="W681" s="12"/>
      <c r="X681" s="119"/>
      <c r="Y681" s="120"/>
      <c r="Z681" s="12"/>
      <c r="BA681" s="70" t="s">
        <v>205</v>
      </c>
      <c r="BB681" s="71" t="s">
        <v>210</v>
      </c>
      <c r="BC681" s="71" t="s">
        <v>207</v>
      </c>
      <c r="BD681" s="71">
        <v>1.0900000000000001</v>
      </c>
      <c r="BE681" s="71">
        <v>36</v>
      </c>
      <c r="BF681" s="71">
        <v>390</v>
      </c>
      <c r="BG681" s="71">
        <v>212</v>
      </c>
      <c r="BH681" s="71">
        <v>5</v>
      </c>
      <c r="BI681" s="71">
        <v>10</v>
      </c>
      <c r="BJ681" s="12" t="str" cm="1">
        <f t="array" ref="BJ681">_xll.Dce_Name_SectI(BF681, BF681, BG681, BH681, BI681, "x", "-", $AX$11)</f>
        <v>390x212x5x10</v>
      </c>
      <c r="BK681" s="77" cm="1">
        <f t="array" ref="BK681">_xll.DCEPropSectI(BF681, BH681, BG681, BI681, BG681, BI681, "A")/100</f>
        <v>60.9</v>
      </c>
      <c r="BL681" s="70" t="s">
        <v>222</v>
      </c>
      <c r="BM681" s="70">
        <v>-14.879656438472296</v>
      </c>
      <c r="BN681" s="71">
        <v>0.9</v>
      </c>
      <c r="BO681" s="77">
        <f t="shared" si="91"/>
        <v>32.4</v>
      </c>
      <c r="BP681" s="71">
        <v>0.9</v>
      </c>
      <c r="BQ681" s="77">
        <f t="shared" si="92"/>
        <v>32.4</v>
      </c>
      <c r="BR681" s="77" cm="1">
        <f t="array" ref="BR681">_xll.DCEPropSectI(BF681, BH681, BG681, BI681, BG681, BI681, "rx")/10</f>
        <v>16.91131201300167</v>
      </c>
      <c r="BS681" s="77" cm="1">
        <f t="array" ref="BS681">_xll.DCEPropSectI(BF681, BH681, BG681, BI681, BG681, BI681, "ry")/10</f>
        <v>5.1070747638622018</v>
      </c>
      <c r="BT681" s="5">
        <f t="shared" si="93"/>
        <v>191.58773710218577</v>
      </c>
      <c r="BU681" s="5">
        <f t="shared" si="94"/>
        <v>634.41405301647956</v>
      </c>
      <c r="BV681" s="5">
        <f t="shared" si="95"/>
        <v>634.41405301647956</v>
      </c>
      <c r="BW681" s="71">
        <f t="shared" si="96"/>
        <v>200</v>
      </c>
      <c r="BX681" s="78" cm="1">
        <f t="array" ref="BX681">IF(BM681&gt;0,1,_xll.DCETCVN5575FactorPhi7121(BV681*SQRT($K$17/206000),"b"))</f>
        <v>1.6670876655456978E-2</v>
      </c>
      <c r="BY681" s="64">
        <f t="shared" si="97"/>
        <v>0.69790752035850656</v>
      </c>
      <c r="BZ681" s="3" t="str">
        <f t="shared" si="98"/>
        <v>Check</v>
      </c>
    </row>
    <row r="682" spans="1:78">
      <c r="A682" s="76"/>
      <c r="B682" s="76"/>
      <c r="C682" s="125"/>
      <c r="D682" s="125"/>
      <c r="E682" s="71"/>
      <c r="F682" s="71"/>
      <c r="G682" s="71"/>
      <c r="H682" s="126"/>
      <c r="I682" s="125"/>
      <c r="J682" s="123"/>
      <c r="K682" s="12"/>
      <c r="L682" s="117"/>
      <c r="M682" s="12"/>
      <c r="N682" s="117"/>
      <c r="O682" s="117"/>
      <c r="P682" s="117"/>
      <c r="Q682" s="118"/>
      <c r="R682" s="118"/>
      <c r="S682" s="118"/>
      <c r="T682" s="12"/>
      <c r="U682" s="118"/>
      <c r="V682" s="118"/>
      <c r="W682" s="12"/>
      <c r="X682" s="119"/>
      <c r="Y682" s="120"/>
      <c r="Z682" s="12"/>
      <c r="BA682" s="70" t="s">
        <v>205</v>
      </c>
      <c r="BB682" s="71" t="s">
        <v>210</v>
      </c>
      <c r="BC682" s="71" t="s">
        <v>207</v>
      </c>
      <c r="BD682" s="71">
        <v>1.59</v>
      </c>
      <c r="BE682" s="71">
        <v>36</v>
      </c>
      <c r="BF682" s="71">
        <v>390</v>
      </c>
      <c r="BG682" s="71">
        <v>212</v>
      </c>
      <c r="BH682" s="71">
        <v>5</v>
      </c>
      <c r="BI682" s="71">
        <v>10</v>
      </c>
      <c r="BJ682" s="12" t="str" cm="1">
        <f t="array" ref="BJ682">_xll.Dce_Name_SectI(BF682, BF682, BG682, BH682, BI682, "x", "-", $AX$11)</f>
        <v>390x212x5x10</v>
      </c>
      <c r="BK682" s="77" cm="1">
        <f t="array" ref="BK682">_xll.DCEPropSectI(BF682, BH682, BG682, BI682, BG682, BI682, "A")/100</f>
        <v>60.9</v>
      </c>
      <c r="BL682" s="70" t="s">
        <v>222</v>
      </c>
      <c r="BM682" s="70">
        <v>-14.879656438472296</v>
      </c>
      <c r="BN682" s="71">
        <v>0.9</v>
      </c>
      <c r="BO682" s="77">
        <f t="shared" si="91"/>
        <v>32.4</v>
      </c>
      <c r="BP682" s="71">
        <v>0.9</v>
      </c>
      <c r="BQ682" s="77">
        <f t="shared" si="92"/>
        <v>32.4</v>
      </c>
      <c r="BR682" s="77" cm="1">
        <f t="array" ref="BR682">_xll.DCEPropSectI(BF682, BH682, BG682, BI682, BG682, BI682, "rx")/10</f>
        <v>16.91131201300167</v>
      </c>
      <c r="BS682" s="77" cm="1">
        <f t="array" ref="BS682">_xll.DCEPropSectI(BF682, BH682, BG682, BI682, BG682, BI682, "ry")/10</f>
        <v>5.1070747638622018</v>
      </c>
      <c r="BT682" s="5">
        <f t="shared" si="93"/>
        <v>191.58773710218577</v>
      </c>
      <c r="BU682" s="5">
        <f t="shared" si="94"/>
        <v>634.41405301647956</v>
      </c>
      <c r="BV682" s="5">
        <f t="shared" si="95"/>
        <v>634.41405301647956</v>
      </c>
      <c r="BW682" s="71">
        <f t="shared" si="96"/>
        <v>200</v>
      </c>
      <c r="BX682" s="78" cm="1">
        <f t="array" ref="BX682">IF(BM682&gt;0,1,_xll.DCETCVN5575FactorPhi7121(BV682*SQRT($K$17/206000),"b"))</f>
        <v>1.6670876655456978E-2</v>
      </c>
      <c r="BY682" s="64">
        <f t="shared" si="97"/>
        <v>0.69790752035850656</v>
      </c>
      <c r="BZ682" s="3" t="str">
        <f t="shared" si="98"/>
        <v>Check</v>
      </c>
    </row>
    <row r="683" spans="1:78">
      <c r="A683" s="76"/>
      <c r="B683" s="76"/>
      <c r="C683" s="125"/>
      <c r="D683" s="125"/>
      <c r="E683" s="71"/>
      <c r="F683" s="71"/>
      <c r="G683" s="71"/>
      <c r="H683" s="126"/>
      <c r="I683" s="125"/>
      <c r="J683" s="123"/>
      <c r="K683" s="12"/>
      <c r="L683" s="117"/>
      <c r="M683" s="12"/>
      <c r="N683" s="117"/>
      <c r="O683" s="117"/>
      <c r="P683" s="117"/>
      <c r="Q683" s="118"/>
      <c r="R683" s="118"/>
      <c r="S683" s="118"/>
      <c r="T683" s="12"/>
      <c r="U683" s="118"/>
      <c r="V683" s="118"/>
      <c r="W683" s="12"/>
      <c r="X683" s="119"/>
      <c r="Y683" s="120"/>
      <c r="Z683" s="12"/>
      <c r="BA683" s="70" t="s">
        <v>205</v>
      </c>
      <c r="BB683" s="71" t="s">
        <v>210</v>
      </c>
      <c r="BC683" s="71" t="s">
        <v>207</v>
      </c>
      <c r="BD683" s="71">
        <v>2.08</v>
      </c>
      <c r="BE683" s="71">
        <v>36</v>
      </c>
      <c r="BF683" s="71">
        <v>390</v>
      </c>
      <c r="BG683" s="71">
        <v>212</v>
      </c>
      <c r="BH683" s="71">
        <v>5</v>
      </c>
      <c r="BI683" s="71">
        <v>10</v>
      </c>
      <c r="BJ683" s="12" t="str" cm="1">
        <f t="array" ref="BJ683">_xll.Dce_Name_SectI(BF683, BF683, BG683, BH683, BI683, "x", "-", $AX$11)</f>
        <v>390x212x5x10</v>
      </c>
      <c r="BK683" s="77" cm="1">
        <f t="array" ref="BK683">_xll.DCEPropSectI(BF683, BH683, BG683, BI683, BG683, BI683, "A")/100</f>
        <v>60.9</v>
      </c>
      <c r="BL683" s="70" t="s">
        <v>222</v>
      </c>
      <c r="BM683" s="70">
        <v>-14.879656438472296</v>
      </c>
      <c r="BN683" s="71">
        <v>0.9</v>
      </c>
      <c r="BO683" s="77">
        <f t="shared" si="91"/>
        <v>32.4</v>
      </c>
      <c r="BP683" s="71">
        <v>0.9</v>
      </c>
      <c r="BQ683" s="77">
        <f t="shared" si="92"/>
        <v>32.4</v>
      </c>
      <c r="BR683" s="77" cm="1">
        <f t="array" ref="BR683">_xll.DCEPropSectI(BF683, BH683, BG683, BI683, BG683, BI683, "rx")/10</f>
        <v>16.91131201300167</v>
      </c>
      <c r="BS683" s="77" cm="1">
        <f t="array" ref="BS683">_xll.DCEPropSectI(BF683, BH683, BG683, BI683, BG683, BI683, "ry")/10</f>
        <v>5.1070747638622018</v>
      </c>
      <c r="BT683" s="5">
        <f t="shared" si="93"/>
        <v>191.58773710218577</v>
      </c>
      <c r="BU683" s="5">
        <f t="shared" si="94"/>
        <v>634.41405301647956</v>
      </c>
      <c r="BV683" s="5">
        <f t="shared" si="95"/>
        <v>634.41405301647956</v>
      </c>
      <c r="BW683" s="71">
        <f t="shared" si="96"/>
        <v>200</v>
      </c>
      <c r="BX683" s="78" cm="1">
        <f t="array" ref="BX683">IF(BM683&gt;0,1,_xll.DCETCVN5575FactorPhi7121(BV683*SQRT($K$17/206000),"b"))</f>
        <v>1.6670876655456978E-2</v>
      </c>
      <c r="BY683" s="64">
        <f t="shared" si="97"/>
        <v>0.69790752035850656</v>
      </c>
      <c r="BZ683" s="3" t="str">
        <f t="shared" si="98"/>
        <v>Check</v>
      </c>
    </row>
    <row r="684" spans="1:78">
      <c r="A684" s="76"/>
      <c r="B684" s="76"/>
      <c r="C684" s="125"/>
      <c r="D684" s="125"/>
      <c r="E684" s="71"/>
      <c r="F684" s="71"/>
      <c r="G684" s="71"/>
      <c r="H684" s="126"/>
      <c r="I684" s="125"/>
      <c r="J684" s="123"/>
      <c r="K684" s="12"/>
      <c r="L684" s="117"/>
      <c r="M684" s="12"/>
      <c r="N684" s="117"/>
      <c r="O684" s="117"/>
      <c r="P684" s="117"/>
      <c r="Q684" s="118"/>
      <c r="R684" s="118"/>
      <c r="S684" s="118"/>
      <c r="T684" s="12"/>
      <c r="U684" s="118"/>
      <c r="V684" s="118"/>
      <c r="W684" s="12"/>
      <c r="X684" s="119"/>
      <c r="Y684" s="120"/>
      <c r="Z684" s="12"/>
      <c r="BA684" s="70" t="s">
        <v>205</v>
      </c>
      <c r="BB684" s="71" t="s">
        <v>210</v>
      </c>
      <c r="BC684" s="71" t="s">
        <v>207</v>
      </c>
      <c r="BD684" s="71">
        <v>2.57</v>
      </c>
      <c r="BE684" s="71">
        <v>36</v>
      </c>
      <c r="BF684" s="71">
        <v>390</v>
      </c>
      <c r="BG684" s="71">
        <v>212</v>
      </c>
      <c r="BH684" s="71">
        <v>5</v>
      </c>
      <c r="BI684" s="71">
        <v>10</v>
      </c>
      <c r="BJ684" s="12" t="str" cm="1">
        <f t="array" ref="BJ684">_xll.Dce_Name_SectI(BF684, BF684, BG684, BH684, BI684, "x", "-", $AX$11)</f>
        <v>390x212x5x10</v>
      </c>
      <c r="BK684" s="77" cm="1">
        <f t="array" ref="BK684">_xll.DCEPropSectI(BF684, BH684, BG684, BI684, BG684, BI684, "A")/100</f>
        <v>60.9</v>
      </c>
      <c r="BL684" s="70" t="s">
        <v>222</v>
      </c>
      <c r="BM684" s="70">
        <v>-14.879656438472296</v>
      </c>
      <c r="BN684" s="71">
        <v>0.9</v>
      </c>
      <c r="BO684" s="77">
        <f t="shared" si="91"/>
        <v>32.4</v>
      </c>
      <c r="BP684" s="71">
        <v>0.9</v>
      </c>
      <c r="BQ684" s="77">
        <f t="shared" si="92"/>
        <v>32.4</v>
      </c>
      <c r="BR684" s="77" cm="1">
        <f t="array" ref="BR684">_xll.DCEPropSectI(BF684, BH684, BG684, BI684, BG684, BI684, "rx")/10</f>
        <v>16.91131201300167</v>
      </c>
      <c r="BS684" s="77" cm="1">
        <f t="array" ref="BS684">_xll.DCEPropSectI(BF684, BH684, BG684, BI684, BG684, BI684, "ry")/10</f>
        <v>5.1070747638622018</v>
      </c>
      <c r="BT684" s="5">
        <f t="shared" si="93"/>
        <v>191.58773710218577</v>
      </c>
      <c r="BU684" s="5">
        <f t="shared" si="94"/>
        <v>634.41405301647956</v>
      </c>
      <c r="BV684" s="5">
        <f t="shared" si="95"/>
        <v>634.41405301647956</v>
      </c>
      <c r="BW684" s="71">
        <f t="shared" si="96"/>
        <v>200</v>
      </c>
      <c r="BX684" s="78" cm="1">
        <f t="array" ref="BX684">IF(BM684&gt;0,1,_xll.DCETCVN5575FactorPhi7121(BV684*SQRT($K$17/206000),"b"))</f>
        <v>1.6670876655456978E-2</v>
      </c>
      <c r="BY684" s="64">
        <f t="shared" si="97"/>
        <v>0.69790752035850656</v>
      </c>
      <c r="BZ684" s="3" t="str">
        <f t="shared" si="98"/>
        <v>Check</v>
      </c>
    </row>
    <row r="685" spans="1:78">
      <c r="A685" s="76"/>
      <c r="B685" s="76"/>
      <c r="C685" s="125"/>
      <c r="D685" s="125"/>
      <c r="E685" s="71"/>
      <c r="F685" s="71"/>
      <c r="G685" s="71"/>
      <c r="H685" s="126"/>
      <c r="I685" s="125"/>
      <c r="J685" s="123"/>
      <c r="K685" s="12"/>
      <c r="L685" s="117"/>
      <c r="M685" s="12"/>
      <c r="N685" s="117"/>
      <c r="O685" s="117"/>
      <c r="P685" s="117"/>
      <c r="Q685" s="118"/>
      <c r="R685" s="118"/>
      <c r="S685" s="118"/>
      <c r="T685" s="12"/>
      <c r="U685" s="118"/>
      <c r="V685" s="118"/>
      <c r="W685" s="12"/>
      <c r="X685" s="119"/>
      <c r="Y685" s="120"/>
      <c r="Z685" s="12"/>
      <c r="BA685" s="70" t="s">
        <v>205</v>
      </c>
      <c r="BB685" s="71" t="s">
        <v>210</v>
      </c>
      <c r="BC685" s="71" t="s">
        <v>207</v>
      </c>
      <c r="BD685" s="71">
        <v>3.06</v>
      </c>
      <c r="BE685" s="71">
        <v>36</v>
      </c>
      <c r="BF685" s="71">
        <v>390</v>
      </c>
      <c r="BG685" s="71">
        <v>212</v>
      </c>
      <c r="BH685" s="71">
        <v>5</v>
      </c>
      <c r="BI685" s="71">
        <v>10</v>
      </c>
      <c r="BJ685" s="12" t="str" cm="1">
        <f t="array" ref="BJ685">_xll.Dce_Name_SectI(BF685, BF685, BG685, BH685, BI685, "x", "-", $AX$11)</f>
        <v>390x212x5x10</v>
      </c>
      <c r="BK685" s="77" cm="1">
        <f t="array" ref="BK685">_xll.DCEPropSectI(BF685, BH685, BG685, BI685, BG685, BI685, "A")/100</f>
        <v>60.9</v>
      </c>
      <c r="BL685" s="70" t="s">
        <v>222</v>
      </c>
      <c r="BM685" s="70">
        <v>-14.879656438472296</v>
      </c>
      <c r="BN685" s="71">
        <v>0.9</v>
      </c>
      <c r="BO685" s="77">
        <f t="shared" si="91"/>
        <v>32.4</v>
      </c>
      <c r="BP685" s="71">
        <v>0.9</v>
      </c>
      <c r="BQ685" s="77">
        <f t="shared" si="92"/>
        <v>32.4</v>
      </c>
      <c r="BR685" s="77" cm="1">
        <f t="array" ref="BR685">_xll.DCEPropSectI(BF685, BH685, BG685, BI685, BG685, BI685, "rx")/10</f>
        <v>16.91131201300167</v>
      </c>
      <c r="BS685" s="77" cm="1">
        <f t="array" ref="BS685">_xll.DCEPropSectI(BF685, BH685, BG685, BI685, BG685, BI685, "ry")/10</f>
        <v>5.1070747638622018</v>
      </c>
      <c r="BT685" s="5">
        <f t="shared" si="93"/>
        <v>191.58773710218577</v>
      </c>
      <c r="BU685" s="5">
        <f t="shared" si="94"/>
        <v>634.41405301647956</v>
      </c>
      <c r="BV685" s="5">
        <f t="shared" si="95"/>
        <v>634.41405301647956</v>
      </c>
      <c r="BW685" s="71">
        <f t="shared" si="96"/>
        <v>200</v>
      </c>
      <c r="BX685" s="78" cm="1">
        <f t="array" ref="BX685">IF(BM685&gt;0,1,_xll.DCETCVN5575FactorPhi7121(BV685*SQRT($K$17/206000),"b"))</f>
        <v>1.6670876655456978E-2</v>
      </c>
      <c r="BY685" s="64">
        <f t="shared" si="97"/>
        <v>0.69790752035850656</v>
      </c>
      <c r="BZ685" s="3" t="str">
        <f t="shared" si="98"/>
        <v>Check</v>
      </c>
    </row>
    <row r="686" spans="1:78">
      <c r="A686" s="76"/>
      <c r="B686" s="76"/>
      <c r="C686" s="125"/>
      <c r="D686" s="125"/>
      <c r="E686" s="71"/>
      <c r="F686" s="71"/>
      <c r="G686" s="71"/>
      <c r="H686" s="126"/>
      <c r="I686" s="125"/>
      <c r="J686" s="123"/>
      <c r="K686" s="12"/>
      <c r="L686" s="117"/>
      <c r="M686" s="12"/>
      <c r="N686" s="117"/>
      <c r="O686" s="117"/>
      <c r="P686" s="117"/>
      <c r="Q686" s="118"/>
      <c r="R686" s="118"/>
      <c r="S686" s="118"/>
      <c r="T686" s="12"/>
      <c r="U686" s="118"/>
      <c r="V686" s="118"/>
      <c r="W686" s="12"/>
      <c r="X686" s="119"/>
      <c r="Y686" s="120"/>
      <c r="Z686" s="12"/>
      <c r="BA686" s="70" t="s">
        <v>205</v>
      </c>
      <c r="BB686" s="71" t="s">
        <v>210</v>
      </c>
      <c r="BC686" s="71" t="s">
        <v>207</v>
      </c>
      <c r="BD686" s="71">
        <v>3.56</v>
      </c>
      <c r="BE686" s="71">
        <v>36</v>
      </c>
      <c r="BF686" s="71">
        <v>390</v>
      </c>
      <c r="BG686" s="71">
        <v>212</v>
      </c>
      <c r="BH686" s="71">
        <v>5</v>
      </c>
      <c r="BI686" s="71">
        <v>10</v>
      </c>
      <c r="BJ686" s="12" t="str" cm="1">
        <f t="array" ref="BJ686">_xll.Dce_Name_SectI(BF686, BF686, BG686, BH686, BI686, "x", "-", $AX$11)</f>
        <v>390x212x5x10</v>
      </c>
      <c r="BK686" s="77" cm="1">
        <f t="array" ref="BK686">_xll.DCEPropSectI(BF686, BH686, BG686, BI686, BG686, BI686, "A")/100</f>
        <v>60.9</v>
      </c>
      <c r="BL686" s="70" t="s">
        <v>222</v>
      </c>
      <c r="BM686" s="70">
        <v>-14.879656438472296</v>
      </c>
      <c r="BN686" s="71">
        <v>0.9</v>
      </c>
      <c r="BO686" s="77">
        <f t="shared" si="91"/>
        <v>32.4</v>
      </c>
      <c r="BP686" s="71">
        <v>0.9</v>
      </c>
      <c r="BQ686" s="77">
        <f t="shared" si="92"/>
        <v>32.4</v>
      </c>
      <c r="BR686" s="77" cm="1">
        <f t="array" ref="BR686">_xll.DCEPropSectI(BF686, BH686, BG686, BI686, BG686, BI686, "rx")/10</f>
        <v>16.91131201300167</v>
      </c>
      <c r="BS686" s="77" cm="1">
        <f t="array" ref="BS686">_xll.DCEPropSectI(BF686, BH686, BG686, BI686, BG686, BI686, "ry")/10</f>
        <v>5.1070747638622018</v>
      </c>
      <c r="BT686" s="5">
        <f t="shared" si="93"/>
        <v>191.58773710218577</v>
      </c>
      <c r="BU686" s="5">
        <f t="shared" si="94"/>
        <v>634.41405301647956</v>
      </c>
      <c r="BV686" s="5">
        <f t="shared" si="95"/>
        <v>634.41405301647956</v>
      </c>
      <c r="BW686" s="71">
        <f t="shared" si="96"/>
        <v>200</v>
      </c>
      <c r="BX686" s="78" cm="1">
        <f t="array" ref="BX686">IF(BM686&gt;0,1,_xll.DCETCVN5575FactorPhi7121(BV686*SQRT($K$17/206000),"b"))</f>
        <v>1.6670876655456978E-2</v>
      </c>
      <c r="BY686" s="64">
        <f t="shared" si="97"/>
        <v>0.69790752035850656</v>
      </c>
      <c r="BZ686" s="3" t="str">
        <f t="shared" si="98"/>
        <v>Check</v>
      </c>
    </row>
    <row r="687" spans="1:78">
      <c r="A687" s="76"/>
      <c r="B687" s="76"/>
      <c r="C687" s="125"/>
      <c r="D687" s="125"/>
      <c r="E687" s="71"/>
      <c r="F687" s="71"/>
      <c r="G687" s="71"/>
      <c r="H687" s="126"/>
      <c r="I687" s="125"/>
      <c r="J687" s="123"/>
      <c r="K687" s="12"/>
      <c r="L687" s="117"/>
      <c r="M687" s="12"/>
      <c r="N687" s="117"/>
      <c r="O687" s="117"/>
      <c r="P687" s="117"/>
      <c r="Q687" s="118"/>
      <c r="R687" s="118"/>
      <c r="S687" s="118"/>
      <c r="T687" s="12"/>
      <c r="U687" s="118"/>
      <c r="V687" s="118"/>
      <c r="W687" s="12"/>
      <c r="X687" s="119"/>
      <c r="Y687" s="120"/>
      <c r="Z687" s="12"/>
      <c r="BA687" s="70" t="s">
        <v>205</v>
      </c>
      <c r="BB687" s="71" t="s">
        <v>210</v>
      </c>
      <c r="BC687" s="71" t="s">
        <v>207</v>
      </c>
      <c r="BD687" s="71">
        <v>4.05</v>
      </c>
      <c r="BE687" s="71">
        <v>36</v>
      </c>
      <c r="BF687" s="71">
        <v>390</v>
      </c>
      <c r="BG687" s="71">
        <v>212</v>
      </c>
      <c r="BH687" s="71">
        <v>5</v>
      </c>
      <c r="BI687" s="71">
        <v>10</v>
      </c>
      <c r="BJ687" s="12" t="str" cm="1">
        <f t="array" ref="BJ687">_xll.Dce_Name_SectI(BF687, BF687, BG687, BH687, BI687, "x", "-", $AX$11)</f>
        <v>390x212x5x10</v>
      </c>
      <c r="BK687" s="77" cm="1">
        <f t="array" ref="BK687">_xll.DCEPropSectI(BF687, BH687, BG687, BI687, BG687, BI687, "A")/100</f>
        <v>60.9</v>
      </c>
      <c r="BL687" s="70" t="s">
        <v>222</v>
      </c>
      <c r="BM687" s="70">
        <v>-14.879656438472296</v>
      </c>
      <c r="BN687" s="71">
        <v>0.9</v>
      </c>
      <c r="BO687" s="77">
        <f t="shared" si="91"/>
        <v>32.4</v>
      </c>
      <c r="BP687" s="71">
        <v>0.9</v>
      </c>
      <c r="BQ687" s="77">
        <f t="shared" si="92"/>
        <v>32.4</v>
      </c>
      <c r="BR687" s="77" cm="1">
        <f t="array" ref="BR687">_xll.DCEPropSectI(BF687, BH687, BG687, BI687, BG687, BI687, "rx")/10</f>
        <v>16.91131201300167</v>
      </c>
      <c r="BS687" s="77" cm="1">
        <f t="array" ref="BS687">_xll.DCEPropSectI(BF687, BH687, BG687, BI687, BG687, BI687, "ry")/10</f>
        <v>5.1070747638622018</v>
      </c>
      <c r="BT687" s="5">
        <f t="shared" si="93"/>
        <v>191.58773710218577</v>
      </c>
      <c r="BU687" s="5">
        <f t="shared" si="94"/>
        <v>634.41405301647956</v>
      </c>
      <c r="BV687" s="5">
        <f t="shared" si="95"/>
        <v>634.41405301647956</v>
      </c>
      <c r="BW687" s="71">
        <f t="shared" si="96"/>
        <v>200</v>
      </c>
      <c r="BX687" s="78" cm="1">
        <f t="array" ref="BX687">IF(BM687&gt;0,1,_xll.DCETCVN5575FactorPhi7121(BV687*SQRT($K$17/206000),"b"))</f>
        <v>1.6670876655456978E-2</v>
      </c>
      <c r="BY687" s="64">
        <f t="shared" si="97"/>
        <v>0.69790752035850656</v>
      </c>
      <c r="BZ687" s="3" t="str">
        <f t="shared" si="98"/>
        <v>Check</v>
      </c>
    </row>
    <row r="688" spans="1:78">
      <c r="A688" s="76"/>
      <c r="B688" s="76"/>
      <c r="C688" s="125"/>
      <c r="D688" s="125"/>
      <c r="E688" s="71"/>
      <c r="F688" s="71"/>
      <c r="G688" s="71"/>
      <c r="H688" s="126"/>
      <c r="I688" s="125"/>
      <c r="J688" s="123"/>
      <c r="K688" s="12"/>
      <c r="L688" s="117"/>
      <c r="M688" s="12"/>
      <c r="N688" s="117"/>
      <c r="O688" s="117"/>
      <c r="P688" s="117"/>
      <c r="Q688" s="118"/>
      <c r="R688" s="118"/>
      <c r="S688" s="118"/>
      <c r="T688" s="12"/>
      <c r="U688" s="118"/>
      <c r="V688" s="118"/>
      <c r="W688" s="12"/>
      <c r="X688" s="119"/>
      <c r="Y688" s="120"/>
      <c r="Z688" s="12"/>
      <c r="BA688" s="70" t="s">
        <v>205</v>
      </c>
      <c r="BB688" s="71" t="s">
        <v>210</v>
      </c>
      <c r="BC688" s="71" t="s">
        <v>207</v>
      </c>
      <c r="BD688" s="71">
        <v>4.54</v>
      </c>
      <c r="BE688" s="71">
        <v>36</v>
      </c>
      <c r="BF688" s="71">
        <v>390</v>
      </c>
      <c r="BG688" s="71">
        <v>212</v>
      </c>
      <c r="BH688" s="71">
        <v>5</v>
      </c>
      <c r="BI688" s="71">
        <v>10</v>
      </c>
      <c r="BJ688" s="12" t="str" cm="1">
        <f t="array" ref="BJ688">_xll.Dce_Name_SectI(BF688, BF688, BG688, BH688, BI688, "x", "-", $AX$11)</f>
        <v>390x212x5x10</v>
      </c>
      <c r="BK688" s="77" cm="1">
        <f t="array" ref="BK688">_xll.DCEPropSectI(BF688, BH688, BG688, BI688, BG688, BI688, "A")/100</f>
        <v>60.9</v>
      </c>
      <c r="BL688" s="70" t="s">
        <v>222</v>
      </c>
      <c r="BM688" s="70">
        <v>-14.879656438472296</v>
      </c>
      <c r="BN688" s="71">
        <v>0.9</v>
      </c>
      <c r="BO688" s="77">
        <f t="shared" si="91"/>
        <v>32.4</v>
      </c>
      <c r="BP688" s="71">
        <v>0.9</v>
      </c>
      <c r="BQ688" s="77">
        <f t="shared" si="92"/>
        <v>32.4</v>
      </c>
      <c r="BR688" s="77" cm="1">
        <f t="array" ref="BR688">_xll.DCEPropSectI(BF688, BH688, BG688, BI688, BG688, BI688, "rx")/10</f>
        <v>16.91131201300167</v>
      </c>
      <c r="BS688" s="77" cm="1">
        <f t="array" ref="BS688">_xll.DCEPropSectI(BF688, BH688, BG688, BI688, BG688, BI688, "ry")/10</f>
        <v>5.1070747638622018</v>
      </c>
      <c r="BT688" s="5">
        <f t="shared" si="93"/>
        <v>191.58773710218577</v>
      </c>
      <c r="BU688" s="5">
        <f t="shared" si="94"/>
        <v>634.41405301647956</v>
      </c>
      <c r="BV688" s="5">
        <f t="shared" si="95"/>
        <v>634.41405301647956</v>
      </c>
      <c r="BW688" s="71">
        <f t="shared" si="96"/>
        <v>200</v>
      </c>
      <c r="BX688" s="78" cm="1">
        <f t="array" ref="BX688">IF(BM688&gt;0,1,_xll.DCETCVN5575FactorPhi7121(BV688*SQRT($K$17/206000),"b"))</f>
        <v>1.6670876655456978E-2</v>
      </c>
      <c r="BY688" s="64">
        <f t="shared" si="97"/>
        <v>0.69790752035850656</v>
      </c>
      <c r="BZ688" s="3" t="str">
        <f t="shared" si="98"/>
        <v>Check</v>
      </c>
    </row>
    <row r="689" spans="1:78">
      <c r="A689" s="76"/>
      <c r="B689" s="76"/>
      <c r="C689" s="125"/>
      <c r="D689" s="125"/>
      <c r="E689" s="71"/>
      <c r="F689" s="71"/>
      <c r="G689" s="71"/>
      <c r="H689" s="126"/>
      <c r="I689" s="125"/>
      <c r="J689" s="123"/>
      <c r="K689" s="12"/>
      <c r="L689" s="117"/>
      <c r="M689" s="12"/>
      <c r="N689" s="117"/>
      <c r="O689" s="117"/>
      <c r="P689" s="117"/>
      <c r="Q689" s="118"/>
      <c r="R689" s="118"/>
      <c r="S689" s="118"/>
      <c r="T689" s="12"/>
      <c r="U689" s="118"/>
      <c r="V689" s="118"/>
      <c r="W689" s="12"/>
      <c r="X689" s="119"/>
      <c r="Y689" s="120"/>
      <c r="Z689" s="12"/>
      <c r="BA689" s="70" t="s">
        <v>205</v>
      </c>
      <c r="BB689" s="71" t="s">
        <v>210</v>
      </c>
      <c r="BC689" s="71" t="s">
        <v>207</v>
      </c>
      <c r="BD689" s="71">
        <v>5.04</v>
      </c>
      <c r="BE689" s="71">
        <v>36</v>
      </c>
      <c r="BF689" s="71">
        <v>390</v>
      </c>
      <c r="BG689" s="71">
        <v>212</v>
      </c>
      <c r="BH689" s="71">
        <v>5</v>
      </c>
      <c r="BI689" s="71">
        <v>10</v>
      </c>
      <c r="BJ689" s="12" t="str" cm="1">
        <f t="array" ref="BJ689">_xll.Dce_Name_SectI(BF689, BF689, BG689, BH689, BI689, "x", "-", $AX$11)</f>
        <v>390x212x5x10</v>
      </c>
      <c r="BK689" s="77" cm="1">
        <f t="array" ref="BK689">_xll.DCEPropSectI(BF689, BH689, BG689, BI689, BG689, BI689, "A")/100</f>
        <v>60.9</v>
      </c>
      <c r="BL689" s="70" t="s">
        <v>222</v>
      </c>
      <c r="BM689" s="70">
        <v>-14.879656438472296</v>
      </c>
      <c r="BN689" s="71">
        <v>0.9</v>
      </c>
      <c r="BO689" s="77">
        <f t="shared" si="91"/>
        <v>32.4</v>
      </c>
      <c r="BP689" s="71">
        <v>0.9</v>
      </c>
      <c r="BQ689" s="77">
        <f t="shared" si="92"/>
        <v>32.4</v>
      </c>
      <c r="BR689" s="77" cm="1">
        <f t="array" ref="BR689">_xll.DCEPropSectI(BF689, BH689, BG689, BI689, BG689, BI689, "rx")/10</f>
        <v>16.91131201300167</v>
      </c>
      <c r="BS689" s="77" cm="1">
        <f t="array" ref="BS689">_xll.DCEPropSectI(BF689, BH689, BG689, BI689, BG689, BI689, "ry")/10</f>
        <v>5.1070747638622018</v>
      </c>
      <c r="BT689" s="5">
        <f t="shared" si="93"/>
        <v>191.58773710218577</v>
      </c>
      <c r="BU689" s="5">
        <f t="shared" si="94"/>
        <v>634.41405301647956</v>
      </c>
      <c r="BV689" s="5">
        <f t="shared" si="95"/>
        <v>634.41405301647956</v>
      </c>
      <c r="BW689" s="71">
        <f t="shared" si="96"/>
        <v>200</v>
      </c>
      <c r="BX689" s="78" cm="1">
        <f t="array" ref="BX689">IF(BM689&gt;0,1,_xll.DCETCVN5575FactorPhi7121(BV689*SQRT($K$17/206000),"b"))</f>
        <v>1.6670876655456978E-2</v>
      </c>
      <c r="BY689" s="64">
        <f t="shared" si="97"/>
        <v>0.69790752035850656</v>
      </c>
      <c r="BZ689" s="3" t="str">
        <f t="shared" si="98"/>
        <v>Check</v>
      </c>
    </row>
    <row r="690" spans="1:78">
      <c r="A690" s="76"/>
      <c r="B690" s="76"/>
      <c r="C690" s="125"/>
      <c r="D690" s="125"/>
      <c r="E690" s="71"/>
      <c r="F690" s="71"/>
      <c r="G690" s="71"/>
      <c r="H690" s="126"/>
      <c r="I690" s="125"/>
      <c r="J690" s="123"/>
      <c r="K690" s="12"/>
      <c r="L690" s="117"/>
      <c r="M690" s="12"/>
      <c r="N690" s="117"/>
      <c r="O690" s="117"/>
      <c r="P690" s="117"/>
      <c r="Q690" s="118"/>
      <c r="R690" s="118"/>
      <c r="S690" s="118"/>
      <c r="T690" s="12"/>
      <c r="U690" s="118"/>
      <c r="V690" s="118"/>
      <c r="W690" s="12"/>
      <c r="X690" s="119"/>
      <c r="Y690" s="120"/>
      <c r="Z690" s="12"/>
      <c r="BA690" s="70" t="s">
        <v>205</v>
      </c>
      <c r="BB690" s="71" t="s">
        <v>210</v>
      </c>
      <c r="BC690" s="71" t="s">
        <v>207</v>
      </c>
      <c r="BD690" s="71">
        <v>5.53</v>
      </c>
      <c r="BE690" s="71">
        <v>36</v>
      </c>
      <c r="BF690" s="71">
        <v>390</v>
      </c>
      <c r="BG690" s="71">
        <v>212</v>
      </c>
      <c r="BH690" s="71">
        <v>5</v>
      </c>
      <c r="BI690" s="71">
        <v>10</v>
      </c>
      <c r="BJ690" s="12" t="str" cm="1">
        <f t="array" ref="BJ690">_xll.Dce_Name_SectI(BF690, BF690, BG690, BH690, BI690, "x", "-", $AX$11)</f>
        <v>390x212x5x10</v>
      </c>
      <c r="BK690" s="77" cm="1">
        <f t="array" ref="BK690">_xll.DCEPropSectI(BF690, BH690, BG690, BI690, BG690, BI690, "A")/100</f>
        <v>60.9</v>
      </c>
      <c r="BL690" s="70" t="s">
        <v>222</v>
      </c>
      <c r="BM690" s="70">
        <v>-14.879656438472296</v>
      </c>
      <c r="BN690" s="71">
        <v>0.9</v>
      </c>
      <c r="BO690" s="77">
        <f t="shared" si="91"/>
        <v>32.4</v>
      </c>
      <c r="BP690" s="71">
        <v>0.9</v>
      </c>
      <c r="BQ690" s="77">
        <f t="shared" si="92"/>
        <v>32.4</v>
      </c>
      <c r="BR690" s="77" cm="1">
        <f t="array" ref="BR690">_xll.DCEPropSectI(BF690, BH690, BG690, BI690, BG690, BI690, "rx")/10</f>
        <v>16.91131201300167</v>
      </c>
      <c r="BS690" s="77" cm="1">
        <f t="array" ref="BS690">_xll.DCEPropSectI(BF690, BH690, BG690, BI690, BG690, BI690, "ry")/10</f>
        <v>5.1070747638622018</v>
      </c>
      <c r="BT690" s="5">
        <f t="shared" si="93"/>
        <v>191.58773710218577</v>
      </c>
      <c r="BU690" s="5">
        <f t="shared" si="94"/>
        <v>634.41405301647956</v>
      </c>
      <c r="BV690" s="5">
        <f t="shared" si="95"/>
        <v>634.41405301647956</v>
      </c>
      <c r="BW690" s="71">
        <f t="shared" si="96"/>
        <v>200</v>
      </c>
      <c r="BX690" s="78" cm="1">
        <f t="array" ref="BX690">IF(BM690&gt;0,1,_xll.DCETCVN5575FactorPhi7121(BV690*SQRT($K$17/206000),"b"))</f>
        <v>1.6670876655456978E-2</v>
      </c>
      <c r="BY690" s="64">
        <f t="shared" si="97"/>
        <v>0.69790752035850656</v>
      </c>
      <c r="BZ690" s="3" t="str">
        <f t="shared" si="98"/>
        <v>Check</v>
      </c>
    </row>
    <row r="691" spans="1:78">
      <c r="A691" s="76"/>
      <c r="B691" s="76"/>
      <c r="C691" s="125"/>
      <c r="D691" s="125"/>
      <c r="E691" s="71"/>
      <c r="F691" s="71"/>
      <c r="G691" s="71"/>
      <c r="H691" s="126"/>
      <c r="I691" s="125"/>
      <c r="J691" s="123"/>
      <c r="K691" s="12"/>
      <c r="L691" s="117"/>
      <c r="M691" s="12"/>
      <c r="N691" s="117"/>
      <c r="O691" s="117"/>
      <c r="P691" s="117"/>
      <c r="Q691" s="118"/>
      <c r="R691" s="118"/>
      <c r="S691" s="118"/>
      <c r="T691" s="12"/>
      <c r="U691" s="118"/>
      <c r="V691" s="118"/>
      <c r="W691" s="12"/>
      <c r="X691" s="119"/>
      <c r="Y691" s="120"/>
      <c r="Z691" s="12"/>
      <c r="BA691" s="70" t="s">
        <v>205</v>
      </c>
      <c r="BB691" s="71" t="s">
        <v>210</v>
      </c>
      <c r="BC691" s="71" t="s">
        <v>207</v>
      </c>
      <c r="BD691" s="71">
        <v>6.02</v>
      </c>
      <c r="BE691" s="71">
        <v>36</v>
      </c>
      <c r="BF691" s="71">
        <v>390</v>
      </c>
      <c r="BG691" s="71">
        <v>212</v>
      </c>
      <c r="BH691" s="71">
        <v>5</v>
      </c>
      <c r="BI691" s="71">
        <v>10</v>
      </c>
      <c r="BJ691" s="12" t="str" cm="1">
        <f t="array" ref="BJ691">_xll.Dce_Name_SectI(BF691, BF691, BG691, BH691, BI691, "x", "-", $AX$11)</f>
        <v>390x212x5x10</v>
      </c>
      <c r="BK691" s="77" cm="1">
        <f t="array" ref="BK691">_xll.DCEPropSectI(BF691, BH691, BG691, BI691, BG691, BI691, "A")/100</f>
        <v>60.9</v>
      </c>
      <c r="BL691" s="70" t="s">
        <v>222</v>
      </c>
      <c r="BM691" s="70">
        <v>-14.879656438472296</v>
      </c>
      <c r="BN691" s="71">
        <v>0.9</v>
      </c>
      <c r="BO691" s="77">
        <f t="shared" si="91"/>
        <v>32.4</v>
      </c>
      <c r="BP691" s="71">
        <v>0.9</v>
      </c>
      <c r="BQ691" s="77">
        <f t="shared" si="92"/>
        <v>32.4</v>
      </c>
      <c r="BR691" s="77" cm="1">
        <f t="array" ref="BR691">_xll.DCEPropSectI(BF691, BH691, BG691, BI691, BG691, BI691, "rx")/10</f>
        <v>16.91131201300167</v>
      </c>
      <c r="BS691" s="77" cm="1">
        <f t="array" ref="BS691">_xll.DCEPropSectI(BF691, BH691, BG691, BI691, BG691, BI691, "ry")/10</f>
        <v>5.1070747638622018</v>
      </c>
      <c r="BT691" s="5">
        <f t="shared" si="93"/>
        <v>191.58773710218577</v>
      </c>
      <c r="BU691" s="5">
        <f t="shared" si="94"/>
        <v>634.41405301647956</v>
      </c>
      <c r="BV691" s="5">
        <f t="shared" si="95"/>
        <v>634.41405301647956</v>
      </c>
      <c r="BW691" s="71">
        <f t="shared" si="96"/>
        <v>200</v>
      </c>
      <c r="BX691" s="78" cm="1">
        <f t="array" ref="BX691">IF(BM691&gt;0,1,_xll.DCETCVN5575FactorPhi7121(BV691*SQRT($K$17/206000),"b"))</f>
        <v>1.6670876655456978E-2</v>
      </c>
      <c r="BY691" s="64">
        <f t="shared" si="97"/>
        <v>0.69790752035850656</v>
      </c>
      <c r="BZ691" s="3" t="str">
        <f t="shared" si="98"/>
        <v>Check</v>
      </c>
    </row>
    <row r="692" spans="1:78">
      <c r="A692" s="76"/>
      <c r="B692" s="76"/>
      <c r="C692" s="125"/>
      <c r="D692" s="125"/>
      <c r="E692" s="71"/>
      <c r="F692" s="71"/>
      <c r="G692" s="71"/>
      <c r="H692" s="126"/>
      <c r="I692" s="125"/>
      <c r="J692" s="123"/>
      <c r="K692" s="12"/>
      <c r="L692" s="117"/>
      <c r="M692" s="12"/>
      <c r="N692" s="117"/>
      <c r="O692" s="117"/>
      <c r="P692" s="117"/>
      <c r="Q692" s="118"/>
      <c r="R692" s="118"/>
      <c r="S692" s="118"/>
      <c r="T692" s="12"/>
      <c r="U692" s="118"/>
      <c r="V692" s="118"/>
      <c r="W692" s="12"/>
      <c r="X692" s="119"/>
      <c r="Y692" s="120"/>
      <c r="Z692" s="12"/>
      <c r="BA692" s="70" t="s">
        <v>205</v>
      </c>
      <c r="BB692" s="71" t="s">
        <v>210</v>
      </c>
      <c r="BC692" s="71" t="s">
        <v>207</v>
      </c>
      <c r="BD692" s="71">
        <v>6.51</v>
      </c>
      <c r="BE692" s="71">
        <v>36</v>
      </c>
      <c r="BF692" s="71">
        <v>390</v>
      </c>
      <c r="BG692" s="71">
        <v>212</v>
      </c>
      <c r="BH692" s="71">
        <v>5</v>
      </c>
      <c r="BI692" s="71">
        <v>10</v>
      </c>
      <c r="BJ692" s="12" t="str" cm="1">
        <f t="array" ref="BJ692">_xll.Dce_Name_SectI(BF692, BF692, BG692, BH692, BI692, "x", "-", $AX$11)</f>
        <v>390x212x5x10</v>
      </c>
      <c r="BK692" s="77" cm="1">
        <f t="array" ref="BK692">_xll.DCEPropSectI(BF692, BH692, BG692, BI692, BG692, BI692, "A")/100</f>
        <v>60.9</v>
      </c>
      <c r="BL692" s="70" t="s">
        <v>222</v>
      </c>
      <c r="BM692" s="70">
        <v>-14.879656438472296</v>
      </c>
      <c r="BN692" s="71">
        <v>0.9</v>
      </c>
      <c r="BO692" s="77">
        <f t="shared" si="91"/>
        <v>32.4</v>
      </c>
      <c r="BP692" s="71">
        <v>0.9</v>
      </c>
      <c r="BQ692" s="77">
        <f t="shared" si="92"/>
        <v>32.4</v>
      </c>
      <c r="BR692" s="77" cm="1">
        <f t="array" ref="BR692">_xll.DCEPropSectI(BF692, BH692, BG692, BI692, BG692, BI692, "rx")/10</f>
        <v>16.91131201300167</v>
      </c>
      <c r="BS692" s="77" cm="1">
        <f t="array" ref="BS692">_xll.DCEPropSectI(BF692, BH692, BG692, BI692, BG692, BI692, "ry")/10</f>
        <v>5.1070747638622018</v>
      </c>
      <c r="BT692" s="5">
        <f t="shared" si="93"/>
        <v>191.58773710218577</v>
      </c>
      <c r="BU692" s="5">
        <f t="shared" si="94"/>
        <v>634.41405301647956</v>
      </c>
      <c r="BV692" s="5">
        <f t="shared" si="95"/>
        <v>634.41405301647956</v>
      </c>
      <c r="BW692" s="71">
        <f t="shared" si="96"/>
        <v>200</v>
      </c>
      <c r="BX692" s="78" cm="1">
        <f t="array" ref="BX692">IF(BM692&gt;0,1,_xll.DCETCVN5575FactorPhi7121(BV692*SQRT($K$17/206000),"b"))</f>
        <v>1.6670876655456978E-2</v>
      </c>
      <c r="BY692" s="64">
        <f t="shared" si="97"/>
        <v>0.69790752035850656</v>
      </c>
      <c r="BZ692" s="3" t="str">
        <f t="shared" si="98"/>
        <v>Check</v>
      </c>
    </row>
    <row r="693" spans="1:78">
      <c r="A693" s="76"/>
      <c r="B693" s="76"/>
      <c r="C693" s="125"/>
      <c r="D693" s="125"/>
      <c r="E693" s="71"/>
      <c r="F693" s="71"/>
      <c r="G693" s="71"/>
      <c r="H693" s="126"/>
      <c r="I693" s="125"/>
      <c r="J693" s="123"/>
      <c r="K693" s="12"/>
      <c r="L693" s="117"/>
      <c r="M693" s="12"/>
      <c r="N693" s="117"/>
      <c r="O693" s="117"/>
      <c r="P693" s="117"/>
      <c r="Q693" s="118"/>
      <c r="R693" s="118"/>
      <c r="S693" s="118"/>
      <c r="T693" s="12"/>
      <c r="U693" s="118"/>
      <c r="V693" s="118"/>
      <c r="W693" s="12"/>
      <c r="X693" s="119"/>
      <c r="Y693" s="120"/>
      <c r="Z693" s="12"/>
      <c r="BA693" s="70" t="s">
        <v>205</v>
      </c>
      <c r="BB693" s="71" t="s">
        <v>210</v>
      </c>
      <c r="BC693" s="71" t="s">
        <v>207</v>
      </c>
      <c r="BD693" s="71">
        <v>7.01</v>
      </c>
      <c r="BE693" s="71">
        <v>36</v>
      </c>
      <c r="BF693" s="71">
        <v>390</v>
      </c>
      <c r="BG693" s="71">
        <v>212</v>
      </c>
      <c r="BH693" s="71">
        <v>5</v>
      </c>
      <c r="BI693" s="71">
        <v>10</v>
      </c>
      <c r="BJ693" s="12" t="str" cm="1">
        <f t="array" ref="BJ693">_xll.Dce_Name_SectI(BF693, BF693, BG693, BH693, BI693, "x", "-", $AX$11)</f>
        <v>390x212x5x10</v>
      </c>
      <c r="BK693" s="77" cm="1">
        <f t="array" ref="BK693">_xll.DCEPropSectI(BF693, BH693, BG693, BI693, BG693, BI693, "A")/100</f>
        <v>60.9</v>
      </c>
      <c r="BL693" s="70" t="s">
        <v>222</v>
      </c>
      <c r="BM693" s="70">
        <v>-14.879656438472296</v>
      </c>
      <c r="BN693" s="71">
        <v>0.9</v>
      </c>
      <c r="BO693" s="77">
        <f t="shared" si="91"/>
        <v>32.4</v>
      </c>
      <c r="BP693" s="71">
        <v>0.9</v>
      </c>
      <c r="BQ693" s="77">
        <f t="shared" si="92"/>
        <v>32.4</v>
      </c>
      <c r="BR693" s="77" cm="1">
        <f t="array" ref="BR693">_xll.DCEPropSectI(BF693, BH693, BG693, BI693, BG693, BI693, "rx")/10</f>
        <v>16.91131201300167</v>
      </c>
      <c r="BS693" s="77" cm="1">
        <f t="array" ref="BS693">_xll.DCEPropSectI(BF693, BH693, BG693, BI693, BG693, BI693, "ry")/10</f>
        <v>5.1070747638622018</v>
      </c>
      <c r="BT693" s="5">
        <f t="shared" si="93"/>
        <v>191.58773710218577</v>
      </c>
      <c r="BU693" s="5">
        <f t="shared" si="94"/>
        <v>634.41405301647956</v>
      </c>
      <c r="BV693" s="5">
        <f t="shared" si="95"/>
        <v>634.41405301647956</v>
      </c>
      <c r="BW693" s="71">
        <f t="shared" si="96"/>
        <v>200</v>
      </c>
      <c r="BX693" s="78" cm="1">
        <f t="array" ref="BX693">IF(BM693&gt;0,1,_xll.DCETCVN5575FactorPhi7121(BV693*SQRT($K$17/206000),"b"))</f>
        <v>1.6670876655456978E-2</v>
      </c>
      <c r="BY693" s="64">
        <f t="shared" si="97"/>
        <v>0.69790752035850656</v>
      </c>
      <c r="BZ693" s="3" t="str">
        <f t="shared" si="98"/>
        <v>Check</v>
      </c>
    </row>
    <row r="694" spans="1:78">
      <c r="A694" s="76"/>
      <c r="B694" s="76"/>
      <c r="C694" s="125"/>
      <c r="D694" s="125"/>
      <c r="E694" s="71"/>
      <c r="F694" s="71"/>
      <c r="G694" s="71"/>
      <c r="H694" s="126"/>
      <c r="I694" s="125"/>
      <c r="J694" s="123"/>
      <c r="K694" s="12"/>
      <c r="L694" s="117"/>
      <c r="M694" s="12"/>
      <c r="N694" s="117"/>
      <c r="O694" s="117"/>
      <c r="P694" s="117"/>
      <c r="Q694" s="118"/>
      <c r="R694" s="118"/>
      <c r="S694" s="118"/>
      <c r="T694" s="12"/>
      <c r="U694" s="118"/>
      <c r="V694" s="118"/>
      <c r="W694" s="12"/>
      <c r="X694" s="119"/>
      <c r="Y694" s="120"/>
      <c r="Z694" s="12"/>
      <c r="BA694" s="70" t="s">
        <v>205</v>
      </c>
      <c r="BB694" s="71" t="s">
        <v>210</v>
      </c>
      <c r="BC694" s="71" t="s">
        <v>207</v>
      </c>
      <c r="BD694" s="71">
        <v>7.5</v>
      </c>
      <c r="BE694" s="71">
        <v>36</v>
      </c>
      <c r="BF694" s="71">
        <v>390</v>
      </c>
      <c r="BG694" s="71">
        <v>212</v>
      </c>
      <c r="BH694" s="71">
        <v>5</v>
      </c>
      <c r="BI694" s="71">
        <v>10</v>
      </c>
      <c r="BJ694" s="12" t="str" cm="1">
        <f t="array" ref="BJ694">_xll.Dce_Name_SectI(BF694, BF694, BG694, BH694, BI694, "x", "-", $AX$11)</f>
        <v>390x212x5x10</v>
      </c>
      <c r="BK694" s="77" cm="1">
        <f t="array" ref="BK694">_xll.DCEPropSectI(BF694, BH694, BG694, BI694, BG694, BI694, "A")/100</f>
        <v>60.9</v>
      </c>
      <c r="BL694" s="70" t="s">
        <v>222</v>
      </c>
      <c r="BM694" s="70">
        <v>-14.879656438472296</v>
      </c>
      <c r="BN694" s="71">
        <v>0.9</v>
      </c>
      <c r="BO694" s="77">
        <f t="shared" si="91"/>
        <v>32.4</v>
      </c>
      <c r="BP694" s="71">
        <v>0.9</v>
      </c>
      <c r="BQ694" s="77">
        <f t="shared" si="92"/>
        <v>32.4</v>
      </c>
      <c r="BR694" s="77" cm="1">
        <f t="array" ref="BR694">_xll.DCEPropSectI(BF694, BH694, BG694, BI694, BG694, BI694, "rx")/10</f>
        <v>16.91131201300167</v>
      </c>
      <c r="BS694" s="77" cm="1">
        <f t="array" ref="BS694">_xll.DCEPropSectI(BF694, BH694, BG694, BI694, BG694, BI694, "ry")/10</f>
        <v>5.1070747638622018</v>
      </c>
      <c r="BT694" s="5">
        <f t="shared" si="93"/>
        <v>191.58773710218577</v>
      </c>
      <c r="BU694" s="5">
        <f t="shared" si="94"/>
        <v>634.41405301647956</v>
      </c>
      <c r="BV694" s="5">
        <f t="shared" si="95"/>
        <v>634.41405301647956</v>
      </c>
      <c r="BW694" s="71">
        <f t="shared" si="96"/>
        <v>200</v>
      </c>
      <c r="BX694" s="78" cm="1">
        <f t="array" ref="BX694">IF(BM694&gt;0,1,_xll.DCETCVN5575FactorPhi7121(BV694*SQRT($K$17/206000),"b"))</f>
        <v>1.6670876655456978E-2</v>
      </c>
      <c r="BY694" s="64">
        <f t="shared" si="97"/>
        <v>0.69790752035850656</v>
      </c>
      <c r="BZ694" s="3" t="str">
        <f t="shared" si="98"/>
        <v>Check</v>
      </c>
    </row>
    <row r="695" spans="1:78">
      <c r="A695" s="76"/>
      <c r="B695" s="76"/>
      <c r="C695" s="125"/>
      <c r="D695" s="125"/>
      <c r="E695" s="71"/>
      <c r="F695" s="71"/>
      <c r="G695" s="71"/>
      <c r="H695" s="126"/>
      <c r="I695" s="125"/>
      <c r="J695" s="123"/>
      <c r="K695" s="12"/>
      <c r="L695" s="117"/>
      <c r="M695" s="12"/>
      <c r="N695" s="117"/>
      <c r="O695" s="117"/>
      <c r="P695" s="117"/>
      <c r="Q695" s="118"/>
      <c r="R695" s="118"/>
      <c r="S695" s="118"/>
      <c r="T695" s="12"/>
      <c r="U695" s="118"/>
      <c r="V695" s="118"/>
      <c r="W695" s="12"/>
      <c r="X695" s="119"/>
      <c r="Y695" s="120"/>
      <c r="Z695" s="12"/>
      <c r="BA695" s="70" t="s">
        <v>205</v>
      </c>
      <c r="BB695" s="71" t="s">
        <v>210</v>
      </c>
      <c r="BC695" s="71" t="s">
        <v>207</v>
      </c>
      <c r="BD695" s="71">
        <v>7.5</v>
      </c>
      <c r="BE695" s="71">
        <v>36</v>
      </c>
      <c r="BF695" s="71">
        <v>390</v>
      </c>
      <c r="BG695" s="71">
        <v>212</v>
      </c>
      <c r="BH695" s="71">
        <v>5</v>
      </c>
      <c r="BI695" s="71">
        <v>10</v>
      </c>
      <c r="BJ695" s="12" t="str" cm="1">
        <f t="array" ref="BJ695">_xll.Dce_Name_SectI(BF695, BF695, BG695, BH695, BI695, "x", "-", $AX$11)</f>
        <v>390x212x5x10</v>
      </c>
      <c r="BK695" s="77" cm="1">
        <f t="array" ref="BK695">_xll.DCEPropSectI(BF695, BH695, BG695, BI695, BG695, BI695, "A")/100</f>
        <v>60.9</v>
      </c>
      <c r="BL695" s="70" t="s">
        <v>222</v>
      </c>
      <c r="BM695" s="70">
        <v>144.44822820940828</v>
      </c>
      <c r="BN695" s="71">
        <v>0.9</v>
      </c>
      <c r="BO695" s="77">
        <f t="shared" si="91"/>
        <v>32.4</v>
      </c>
      <c r="BP695" s="71">
        <v>0.9</v>
      </c>
      <c r="BQ695" s="77">
        <f t="shared" si="92"/>
        <v>32.4</v>
      </c>
      <c r="BR695" s="77" cm="1">
        <f t="array" ref="BR695">_xll.DCEPropSectI(BF695, BH695, BG695, BI695, BG695, BI695, "rx")/10</f>
        <v>16.91131201300167</v>
      </c>
      <c r="BS695" s="77" cm="1">
        <f t="array" ref="BS695">_xll.DCEPropSectI(BF695, BH695, BG695, BI695, BG695, BI695, "ry")/10</f>
        <v>5.1070747638622018</v>
      </c>
      <c r="BT695" s="5">
        <f t="shared" si="93"/>
        <v>191.58773710218577</v>
      </c>
      <c r="BU695" s="5">
        <f t="shared" si="94"/>
        <v>634.41405301647956</v>
      </c>
      <c r="BV695" s="5">
        <f t="shared" si="95"/>
        <v>634.41405301647956</v>
      </c>
      <c r="BW695" s="71">
        <f t="shared" si="96"/>
        <v>400</v>
      </c>
      <c r="BX695" s="78" cm="1">
        <f t="array" ref="BX695">IF(BM695&gt;0,1,_xll.DCETCVN5575FactorPhi7121(BV695*SQRT($K$17/206000),"b"))</f>
        <v>1</v>
      </c>
      <c r="BY695" s="64">
        <f t="shared" si="97"/>
        <v>0.11294724232497326</v>
      </c>
      <c r="BZ695" s="3" t="str">
        <f t="shared" si="98"/>
        <v>Check</v>
      </c>
    </row>
    <row r="696" spans="1:78">
      <c r="A696" s="76"/>
      <c r="B696" s="76"/>
      <c r="C696" s="125"/>
      <c r="D696" s="125"/>
      <c r="E696" s="71"/>
      <c r="F696" s="71"/>
      <c r="G696" s="71"/>
      <c r="H696" s="126"/>
      <c r="I696" s="125"/>
      <c r="J696" s="123"/>
      <c r="K696" s="12"/>
      <c r="L696" s="117"/>
      <c r="M696" s="12"/>
      <c r="N696" s="117"/>
      <c r="O696" s="117"/>
      <c r="P696" s="117"/>
      <c r="Q696" s="118"/>
      <c r="R696" s="118"/>
      <c r="S696" s="118"/>
      <c r="T696" s="12"/>
      <c r="U696" s="118"/>
      <c r="V696" s="118"/>
      <c r="W696" s="12"/>
      <c r="X696" s="119"/>
      <c r="Y696" s="120"/>
      <c r="Z696" s="12"/>
      <c r="BA696" s="70" t="s">
        <v>205</v>
      </c>
      <c r="BB696" s="71" t="s">
        <v>210</v>
      </c>
      <c r="BC696" s="71" t="s">
        <v>207</v>
      </c>
      <c r="BD696" s="71">
        <v>8</v>
      </c>
      <c r="BE696" s="71">
        <v>36</v>
      </c>
      <c r="BF696" s="71">
        <v>390</v>
      </c>
      <c r="BG696" s="71">
        <v>212</v>
      </c>
      <c r="BH696" s="71">
        <v>5</v>
      </c>
      <c r="BI696" s="71">
        <v>10</v>
      </c>
      <c r="BJ696" s="12" t="str" cm="1">
        <f t="array" ref="BJ696">_xll.Dce_Name_SectI(BF696, BF696, BG696, BH696, BI696, "x", "-", $AX$11)</f>
        <v>390x212x5x10</v>
      </c>
      <c r="BK696" s="77" cm="1">
        <f t="array" ref="BK696">_xll.DCEPropSectI(BF696, BH696, BG696, BI696, BG696, BI696, "A")/100</f>
        <v>60.9</v>
      </c>
      <c r="BL696" s="70" t="s">
        <v>222</v>
      </c>
      <c r="BM696" s="70">
        <v>144.44822820940828</v>
      </c>
      <c r="BN696" s="71">
        <v>0.9</v>
      </c>
      <c r="BO696" s="77">
        <f t="shared" si="91"/>
        <v>32.4</v>
      </c>
      <c r="BP696" s="71">
        <v>0.9</v>
      </c>
      <c r="BQ696" s="77">
        <f t="shared" si="92"/>
        <v>32.4</v>
      </c>
      <c r="BR696" s="77" cm="1">
        <f t="array" ref="BR696">_xll.DCEPropSectI(BF696, BH696, BG696, BI696, BG696, BI696, "rx")/10</f>
        <v>16.91131201300167</v>
      </c>
      <c r="BS696" s="77" cm="1">
        <f t="array" ref="BS696">_xll.DCEPropSectI(BF696, BH696, BG696, BI696, BG696, BI696, "ry")/10</f>
        <v>5.1070747638622018</v>
      </c>
      <c r="BT696" s="5">
        <f t="shared" si="93"/>
        <v>191.58773710218577</v>
      </c>
      <c r="BU696" s="5">
        <f t="shared" si="94"/>
        <v>634.41405301647956</v>
      </c>
      <c r="BV696" s="5">
        <f t="shared" si="95"/>
        <v>634.41405301647956</v>
      </c>
      <c r="BW696" s="71">
        <f t="shared" si="96"/>
        <v>400</v>
      </c>
      <c r="BX696" s="78" cm="1">
        <f t="array" ref="BX696">IF(BM696&gt;0,1,_xll.DCETCVN5575FactorPhi7121(BV696*SQRT($K$17/206000),"b"))</f>
        <v>1</v>
      </c>
      <c r="BY696" s="64">
        <f t="shared" si="97"/>
        <v>0.11294724232497326</v>
      </c>
      <c r="BZ696" s="3" t="str">
        <f t="shared" si="98"/>
        <v>Check</v>
      </c>
    </row>
    <row r="697" spans="1:78">
      <c r="A697" s="76"/>
      <c r="B697" s="76"/>
      <c r="C697" s="125"/>
      <c r="D697" s="125"/>
      <c r="E697" s="71"/>
      <c r="F697" s="71"/>
      <c r="G697" s="71"/>
      <c r="H697" s="126"/>
      <c r="I697" s="125"/>
      <c r="J697" s="123"/>
      <c r="K697" s="12"/>
      <c r="L697" s="117"/>
      <c r="M697" s="12"/>
      <c r="N697" s="117"/>
      <c r="O697" s="117"/>
      <c r="P697" s="117"/>
      <c r="Q697" s="118"/>
      <c r="R697" s="118"/>
      <c r="S697" s="118"/>
      <c r="T697" s="12"/>
      <c r="U697" s="118"/>
      <c r="V697" s="118"/>
      <c r="W697" s="12"/>
      <c r="X697" s="119"/>
      <c r="Y697" s="120"/>
      <c r="Z697" s="12"/>
      <c r="BA697" s="70" t="s">
        <v>205</v>
      </c>
      <c r="BB697" s="71" t="s">
        <v>210</v>
      </c>
      <c r="BC697" s="71" t="s">
        <v>207</v>
      </c>
      <c r="BD697" s="71">
        <v>8.5</v>
      </c>
      <c r="BE697" s="71">
        <v>36</v>
      </c>
      <c r="BF697" s="71">
        <v>390</v>
      </c>
      <c r="BG697" s="71">
        <v>212</v>
      </c>
      <c r="BH697" s="71">
        <v>5</v>
      </c>
      <c r="BI697" s="71">
        <v>10</v>
      </c>
      <c r="BJ697" s="12" t="str" cm="1">
        <f t="array" ref="BJ697">_xll.Dce_Name_SectI(BF697, BF697, BG697, BH697, BI697, "x", "-", $AX$11)</f>
        <v>390x212x5x10</v>
      </c>
      <c r="BK697" s="77" cm="1">
        <f t="array" ref="BK697">_xll.DCEPropSectI(BF697, BH697, BG697, BI697, BG697, BI697, "A")/100</f>
        <v>60.9</v>
      </c>
      <c r="BL697" s="70" t="s">
        <v>222</v>
      </c>
      <c r="BM697" s="70">
        <v>144.44822820940828</v>
      </c>
      <c r="BN697" s="71">
        <v>0.9</v>
      </c>
      <c r="BO697" s="77">
        <f t="shared" si="91"/>
        <v>32.4</v>
      </c>
      <c r="BP697" s="71">
        <v>0.9</v>
      </c>
      <c r="BQ697" s="77">
        <f t="shared" si="92"/>
        <v>32.4</v>
      </c>
      <c r="BR697" s="77" cm="1">
        <f t="array" ref="BR697">_xll.DCEPropSectI(BF697, BH697, BG697, BI697, BG697, BI697, "rx")/10</f>
        <v>16.91131201300167</v>
      </c>
      <c r="BS697" s="77" cm="1">
        <f t="array" ref="BS697">_xll.DCEPropSectI(BF697, BH697, BG697, BI697, BG697, BI697, "ry")/10</f>
        <v>5.1070747638622018</v>
      </c>
      <c r="BT697" s="5">
        <f t="shared" si="93"/>
        <v>191.58773710218577</v>
      </c>
      <c r="BU697" s="5">
        <f t="shared" si="94"/>
        <v>634.41405301647956</v>
      </c>
      <c r="BV697" s="5">
        <f t="shared" si="95"/>
        <v>634.41405301647956</v>
      </c>
      <c r="BW697" s="71">
        <f t="shared" si="96"/>
        <v>400</v>
      </c>
      <c r="BX697" s="78" cm="1">
        <f t="array" ref="BX697">IF(BM697&gt;0,1,_xll.DCETCVN5575FactorPhi7121(BV697*SQRT($K$17/206000),"b"))</f>
        <v>1</v>
      </c>
      <c r="BY697" s="64">
        <f t="shared" si="97"/>
        <v>0.11294724232497326</v>
      </c>
      <c r="BZ697" s="3" t="str">
        <f t="shared" si="98"/>
        <v>Check</v>
      </c>
    </row>
    <row r="698" spans="1:78">
      <c r="A698" s="76"/>
      <c r="B698" s="76"/>
      <c r="C698" s="125"/>
      <c r="D698" s="125"/>
      <c r="E698" s="71"/>
      <c r="F698" s="71"/>
      <c r="G698" s="71"/>
      <c r="H698" s="126"/>
      <c r="I698" s="125"/>
      <c r="J698" s="123"/>
      <c r="K698" s="12"/>
      <c r="L698" s="117"/>
      <c r="M698" s="12"/>
      <c r="N698" s="117"/>
      <c r="O698" s="117"/>
      <c r="P698" s="117"/>
      <c r="Q698" s="118"/>
      <c r="R698" s="118"/>
      <c r="S698" s="118"/>
      <c r="T698" s="12"/>
      <c r="U698" s="118"/>
      <c r="V698" s="118"/>
      <c r="W698" s="12"/>
      <c r="X698" s="119"/>
      <c r="Y698" s="120"/>
      <c r="Z698" s="12"/>
      <c r="BA698" s="70" t="s">
        <v>205</v>
      </c>
      <c r="BB698" s="71" t="s">
        <v>210</v>
      </c>
      <c r="BC698" s="71" t="s">
        <v>207</v>
      </c>
      <c r="BD698" s="71">
        <v>9</v>
      </c>
      <c r="BE698" s="71">
        <v>36</v>
      </c>
      <c r="BF698" s="71">
        <v>390</v>
      </c>
      <c r="BG698" s="71">
        <v>212</v>
      </c>
      <c r="BH698" s="71">
        <v>5</v>
      </c>
      <c r="BI698" s="71">
        <v>10</v>
      </c>
      <c r="BJ698" s="12" t="str" cm="1">
        <f t="array" ref="BJ698">_xll.Dce_Name_SectI(BF698, BF698, BG698, BH698, BI698, "x", "-", $AX$11)</f>
        <v>390x212x5x10</v>
      </c>
      <c r="BK698" s="77" cm="1">
        <f t="array" ref="BK698">_xll.DCEPropSectI(BF698, BH698, BG698, BI698, BG698, BI698, "A")/100</f>
        <v>60.9</v>
      </c>
      <c r="BL698" s="70" t="s">
        <v>222</v>
      </c>
      <c r="BM698" s="70">
        <v>144.44822820940828</v>
      </c>
      <c r="BN698" s="71">
        <v>0.9</v>
      </c>
      <c r="BO698" s="77">
        <f t="shared" si="91"/>
        <v>32.4</v>
      </c>
      <c r="BP698" s="71">
        <v>0.9</v>
      </c>
      <c r="BQ698" s="77">
        <f t="shared" si="92"/>
        <v>32.4</v>
      </c>
      <c r="BR698" s="77" cm="1">
        <f t="array" ref="BR698">_xll.DCEPropSectI(BF698, BH698, BG698, BI698, BG698, BI698, "rx")/10</f>
        <v>16.91131201300167</v>
      </c>
      <c r="BS698" s="77" cm="1">
        <f t="array" ref="BS698">_xll.DCEPropSectI(BF698, BH698, BG698, BI698, BG698, BI698, "ry")/10</f>
        <v>5.1070747638622018</v>
      </c>
      <c r="BT698" s="5">
        <f t="shared" si="93"/>
        <v>191.58773710218577</v>
      </c>
      <c r="BU698" s="5">
        <f t="shared" si="94"/>
        <v>634.41405301647956</v>
      </c>
      <c r="BV698" s="5">
        <f t="shared" si="95"/>
        <v>634.41405301647956</v>
      </c>
      <c r="BW698" s="71">
        <f t="shared" si="96"/>
        <v>400</v>
      </c>
      <c r="BX698" s="78" cm="1">
        <f t="array" ref="BX698">IF(BM698&gt;0,1,_xll.DCETCVN5575FactorPhi7121(BV698*SQRT($K$17/206000),"b"))</f>
        <v>1</v>
      </c>
      <c r="BY698" s="64">
        <f t="shared" si="97"/>
        <v>0.11294724232497326</v>
      </c>
      <c r="BZ698" s="3" t="str">
        <f t="shared" si="98"/>
        <v>Check</v>
      </c>
    </row>
    <row r="699" spans="1:78">
      <c r="A699" s="76"/>
      <c r="B699" s="76"/>
      <c r="C699" s="125"/>
      <c r="D699" s="125"/>
      <c r="E699" s="71"/>
      <c r="F699" s="71"/>
      <c r="G699" s="71"/>
      <c r="H699" s="126"/>
      <c r="I699" s="125"/>
      <c r="J699" s="123"/>
      <c r="K699" s="12"/>
      <c r="L699" s="117"/>
      <c r="M699" s="12"/>
      <c r="N699" s="117"/>
      <c r="O699" s="117"/>
      <c r="P699" s="117"/>
      <c r="Q699" s="118"/>
      <c r="R699" s="118"/>
      <c r="S699" s="118"/>
      <c r="T699" s="12"/>
      <c r="U699" s="118"/>
      <c r="V699" s="118"/>
      <c r="W699" s="12"/>
      <c r="X699" s="119"/>
      <c r="Y699" s="120"/>
      <c r="Z699" s="12"/>
      <c r="BA699" s="70" t="s">
        <v>205</v>
      </c>
      <c r="BB699" s="71" t="s">
        <v>210</v>
      </c>
      <c r="BC699" s="71" t="s">
        <v>207</v>
      </c>
      <c r="BD699" s="71">
        <v>9.5</v>
      </c>
      <c r="BE699" s="71">
        <v>36</v>
      </c>
      <c r="BF699" s="71">
        <v>390</v>
      </c>
      <c r="BG699" s="71">
        <v>212</v>
      </c>
      <c r="BH699" s="71">
        <v>5</v>
      </c>
      <c r="BI699" s="71">
        <v>10</v>
      </c>
      <c r="BJ699" s="12" t="str" cm="1">
        <f t="array" ref="BJ699">_xll.Dce_Name_SectI(BF699, BF699, BG699, BH699, BI699, "x", "-", $AX$11)</f>
        <v>390x212x5x10</v>
      </c>
      <c r="BK699" s="77" cm="1">
        <f t="array" ref="BK699">_xll.DCEPropSectI(BF699, BH699, BG699, BI699, BG699, BI699, "A")/100</f>
        <v>60.9</v>
      </c>
      <c r="BL699" s="70" t="s">
        <v>222</v>
      </c>
      <c r="BM699" s="70">
        <v>144.44822820940828</v>
      </c>
      <c r="BN699" s="71">
        <v>0.9</v>
      </c>
      <c r="BO699" s="77">
        <f t="shared" si="91"/>
        <v>32.4</v>
      </c>
      <c r="BP699" s="71">
        <v>0.9</v>
      </c>
      <c r="BQ699" s="77">
        <f t="shared" si="92"/>
        <v>32.4</v>
      </c>
      <c r="BR699" s="77" cm="1">
        <f t="array" ref="BR699">_xll.DCEPropSectI(BF699, BH699, BG699, BI699, BG699, BI699, "rx")/10</f>
        <v>16.91131201300167</v>
      </c>
      <c r="BS699" s="77" cm="1">
        <f t="array" ref="BS699">_xll.DCEPropSectI(BF699, BH699, BG699, BI699, BG699, BI699, "ry")/10</f>
        <v>5.1070747638622018</v>
      </c>
      <c r="BT699" s="5">
        <f t="shared" si="93"/>
        <v>191.58773710218577</v>
      </c>
      <c r="BU699" s="5">
        <f t="shared" si="94"/>
        <v>634.41405301647956</v>
      </c>
      <c r="BV699" s="5">
        <f t="shared" si="95"/>
        <v>634.41405301647956</v>
      </c>
      <c r="BW699" s="71">
        <f t="shared" si="96"/>
        <v>400</v>
      </c>
      <c r="BX699" s="78" cm="1">
        <f t="array" ref="BX699">IF(BM699&gt;0,1,_xll.DCETCVN5575FactorPhi7121(BV699*SQRT($K$17/206000),"b"))</f>
        <v>1</v>
      </c>
      <c r="BY699" s="64">
        <f t="shared" si="97"/>
        <v>0.11294724232497326</v>
      </c>
      <c r="BZ699" s="3" t="str">
        <f t="shared" si="98"/>
        <v>Check</v>
      </c>
    </row>
    <row r="700" spans="1:78">
      <c r="A700" s="76"/>
      <c r="B700" s="76"/>
      <c r="C700" s="125"/>
      <c r="D700" s="125"/>
      <c r="E700" s="71"/>
      <c r="F700" s="71"/>
      <c r="G700" s="71"/>
      <c r="H700" s="126"/>
      <c r="I700" s="125"/>
      <c r="J700" s="123"/>
      <c r="K700" s="12"/>
      <c r="L700" s="117"/>
      <c r="M700" s="12"/>
      <c r="N700" s="117"/>
      <c r="O700" s="117"/>
      <c r="P700" s="117"/>
      <c r="Q700" s="118"/>
      <c r="R700" s="118"/>
      <c r="S700" s="118"/>
      <c r="T700" s="12"/>
      <c r="U700" s="118"/>
      <c r="V700" s="118"/>
      <c r="W700" s="12"/>
      <c r="X700" s="119"/>
      <c r="Y700" s="120"/>
      <c r="Z700" s="12"/>
      <c r="BA700" s="70" t="s">
        <v>205</v>
      </c>
      <c r="BB700" s="71" t="s">
        <v>210</v>
      </c>
      <c r="BC700" s="71" t="s">
        <v>207</v>
      </c>
      <c r="BD700" s="71">
        <v>10</v>
      </c>
      <c r="BE700" s="71">
        <v>36</v>
      </c>
      <c r="BF700" s="71">
        <v>390</v>
      </c>
      <c r="BG700" s="71">
        <v>212</v>
      </c>
      <c r="BH700" s="71">
        <v>5</v>
      </c>
      <c r="BI700" s="71">
        <v>10</v>
      </c>
      <c r="BJ700" s="12" t="str" cm="1">
        <f t="array" ref="BJ700">_xll.Dce_Name_SectI(BF700, BF700, BG700, BH700, BI700, "x", "-", $AX$11)</f>
        <v>390x212x5x10</v>
      </c>
      <c r="BK700" s="77" cm="1">
        <f t="array" ref="BK700">_xll.DCEPropSectI(BF700, BH700, BG700, BI700, BG700, BI700, "A")/100</f>
        <v>60.9</v>
      </c>
      <c r="BL700" s="70" t="s">
        <v>222</v>
      </c>
      <c r="BM700" s="70">
        <v>144.44822820940828</v>
      </c>
      <c r="BN700" s="71">
        <v>0.9</v>
      </c>
      <c r="BO700" s="77">
        <f t="shared" si="91"/>
        <v>32.4</v>
      </c>
      <c r="BP700" s="71">
        <v>0.9</v>
      </c>
      <c r="BQ700" s="77">
        <f t="shared" si="92"/>
        <v>32.4</v>
      </c>
      <c r="BR700" s="77" cm="1">
        <f t="array" ref="BR700">_xll.DCEPropSectI(BF700, BH700, BG700, BI700, BG700, BI700, "rx")/10</f>
        <v>16.91131201300167</v>
      </c>
      <c r="BS700" s="77" cm="1">
        <f t="array" ref="BS700">_xll.DCEPropSectI(BF700, BH700, BG700, BI700, BG700, BI700, "ry")/10</f>
        <v>5.1070747638622018</v>
      </c>
      <c r="BT700" s="5">
        <f t="shared" si="93"/>
        <v>191.58773710218577</v>
      </c>
      <c r="BU700" s="5">
        <f t="shared" si="94"/>
        <v>634.41405301647956</v>
      </c>
      <c r="BV700" s="5">
        <f t="shared" si="95"/>
        <v>634.41405301647956</v>
      </c>
      <c r="BW700" s="71">
        <f t="shared" si="96"/>
        <v>400</v>
      </c>
      <c r="BX700" s="78" cm="1">
        <f t="array" ref="BX700">IF(BM700&gt;0,1,_xll.DCETCVN5575FactorPhi7121(BV700*SQRT($K$17/206000),"b"))</f>
        <v>1</v>
      </c>
      <c r="BY700" s="64">
        <f t="shared" si="97"/>
        <v>0.11294724232497326</v>
      </c>
      <c r="BZ700" s="3" t="str">
        <f t="shared" si="98"/>
        <v>Check</v>
      </c>
    </row>
    <row r="701" spans="1:78">
      <c r="A701" s="76"/>
      <c r="B701" s="76"/>
      <c r="C701" s="125"/>
      <c r="D701" s="125"/>
      <c r="E701" s="71"/>
      <c r="F701" s="71"/>
      <c r="G701" s="71"/>
      <c r="H701" s="126"/>
      <c r="I701" s="125"/>
      <c r="J701" s="123"/>
      <c r="K701" s="12"/>
      <c r="L701" s="117"/>
      <c r="M701" s="12"/>
      <c r="N701" s="117"/>
      <c r="O701" s="117"/>
      <c r="P701" s="117"/>
      <c r="Q701" s="118"/>
      <c r="R701" s="118"/>
      <c r="S701" s="118"/>
      <c r="T701" s="12"/>
      <c r="U701" s="118"/>
      <c r="V701" s="118"/>
      <c r="W701" s="12"/>
      <c r="X701" s="119"/>
      <c r="Y701" s="120"/>
      <c r="Z701" s="12"/>
      <c r="BA701" s="70" t="s">
        <v>205</v>
      </c>
      <c r="BB701" s="71" t="s">
        <v>210</v>
      </c>
      <c r="BC701" s="71" t="s">
        <v>207</v>
      </c>
      <c r="BD701" s="71">
        <v>10.5</v>
      </c>
      <c r="BE701" s="71">
        <v>36</v>
      </c>
      <c r="BF701" s="71">
        <v>390</v>
      </c>
      <c r="BG701" s="71">
        <v>212</v>
      </c>
      <c r="BH701" s="71">
        <v>5</v>
      </c>
      <c r="BI701" s="71">
        <v>10</v>
      </c>
      <c r="BJ701" s="12" t="str" cm="1">
        <f t="array" ref="BJ701">_xll.Dce_Name_SectI(BF701, BF701, BG701, BH701, BI701, "x", "-", $AX$11)</f>
        <v>390x212x5x10</v>
      </c>
      <c r="BK701" s="77" cm="1">
        <f t="array" ref="BK701">_xll.DCEPropSectI(BF701, BH701, BG701, BI701, BG701, BI701, "A")/100</f>
        <v>60.9</v>
      </c>
      <c r="BL701" s="70" t="s">
        <v>222</v>
      </c>
      <c r="BM701" s="70">
        <v>144.44822820940828</v>
      </c>
      <c r="BN701" s="71">
        <v>0.9</v>
      </c>
      <c r="BO701" s="77">
        <f t="shared" si="91"/>
        <v>32.4</v>
      </c>
      <c r="BP701" s="71">
        <v>0.9</v>
      </c>
      <c r="BQ701" s="77">
        <f t="shared" si="92"/>
        <v>32.4</v>
      </c>
      <c r="BR701" s="77" cm="1">
        <f t="array" ref="BR701">_xll.DCEPropSectI(BF701, BH701, BG701, BI701, BG701, BI701, "rx")/10</f>
        <v>16.91131201300167</v>
      </c>
      <c r="BS701" s="77" cm="1">
        <f t="array" ref="BS701">_xll.DCEPropSectI(BF701, BH701, BG701, BI701, BG701, BI701, "ry")/10</f>
        <v>5.1070747638622018</v>
      </c>
      <c r="BT701" s="5">
        <f t="shared" si="93"/>
        <v>191.58773710218577</v>
      </c>
      <c r="BU701" s="5">
        <f t="shared" si="94"/>
        <v>634.41405301647956</v>
      </c>
      <c r="BV701" s="5">
        <f t="shared" si="95"/>
        <v>634.41405301647956</v>
      </c>
      <c r="BW701" s="71">
        <f t="shared" si="96"/>
        <v>400</v>
      </c>
      <c r="BX701" s="78" cm="1">
        <f t="array" ref="BX701">IF(BM701&gt;0,1,_xll.DCETCVN5575FactorPhi7121(BV701*SQRT($K$17/206000),"b"))</f>
        <v>1</v>
      </c>
      <c r="BY701" s="64">
        <f t="shared" si="97"/>
        <v>0.11294724232497326</v>
      </c>
      <c r="BZ701" s="3" t="str">
        <f t="shared" si="98"/>
        <v>Check</v>
      </c>
    </row>
    <row r="702" spans="1:78">
      <c r="A702" s="76"/>
      <c r="B702" s="76"/>
      <c r="C702" s="125"/>
      <c r="D702" s="125"/>
      <c r="E702" s="71"/>
      <c r="F702" s="71"/>
      <c r="G702" s="71"/>
      <c r="H702" s="126"/>
      <c r="I702" s="125"/>
      <c r="J702" s="123"/>
      <c r="K702" s="12"/>
      <c r="L702" s="117"/>
      <c r="M702" s="12"/>
      <c r="N702" s="117"/>
      <c r="O702" s="117"/>
      <c r="P702" s="117"/>
      <c r="Q702" s="118"/>
      <c r="R702" s="118"/>
      <c r="S702" s="118"/>
      <c r="T702" s="12"/>
      <c r="U702" s="118"/>
      <c r="V702" s="118"/>
      <c r="W702" s="12"/>
      <c r="X702" s="119"/>
      <c r="Y702" s="120"/>
      <c r="Z702" s="12"/>
      <c r="BA702" s="70" t="s">
        <v>205</v>
      </c>
      <c r="BB702" s="71" t="s">
        <v>210</v>
      </c>
      <c r="BC702" s="71" t="s">
        <v>207</v>
      </c>
      <c r="BD702" s="71">
        <v>11</v>
      </c>
      <c r="BE702" s="71">
        <v>36</v>
      </c>
      <c r="BF702" s="71">
        <v>390</v>
      </c>
      <c r="BG702" s="71">
        <v>212</v>
      </c>
      <c r="BH702" s="71">
        <v>5</v>
      </c>
      <c r="BI702" s="71">
        <v>10</v>
      </c>
      <c r="BJ702" s="12" t="str" cm="1">
        <f t="array" ref="BJ702">_xll.Dce_Name_SectI(BF702, BF702, BG702, BH702, BI702, "x", "-", $AX$11)</f>
        <v>390x212x5x10</v>
      </c>
      <c r="BK702" s="77" cm="1">
        <f t="array" ref="BK702">_xll.DCEPropSectI(BF702, BH702, BG702, BI702, BG702, BI702, "A")/100</f>
        <v>60.9</v>
      </c>
      <c r="BL702" s="70" t="s">
        <v>222</v>
      </c>
      <c r="BM702" s="70">
        <v>144.44822820940828</v>
      </c>
      <c r="BN702" s="71">
        <v>0.9</v>
      </c>
      <c r="BO702" s="77">
        <f t="shared" si="91"/>
        <v>32.4</v>
      </c>
      <c r="BP702" s="71">
        <v>0.9</v>
      </c>
      <c r="BQ702" s="77">
        <f t="shared" si="92"/>
        <v>32.4</v>
      </c>
      <c r="BR702" s="77" cm="1">
        <f t="array" ref="BR702">_xll.DCEPropSectI(BF702, BH702, BG702, BI702, BG702, BI702, "rx")/10</f>
        <v>16.91131201300167</v>
      </c>
      <c r="BS702" s="77" cm="1">
        <f t="array" ref="BS702">_xll.DCEPropSectI(BF702, BH702, BG702, BI702, BG702, BI702, "ry")/10</f>
        <v>5.1070747638622018</v>
      </c>
      <c r="BT702" s="5">
        <f t="shared" si="93"/>
        <v>191.58773710218577</v>
      </c>
      <c r="BU702" s="5">
        <f t="shared" si="94"/>
        <v>634.41405301647956</v>
      </c>
      <c r="BV702" s="5">
        <f t="shared" si="95"/>
        <v>634.41405301647956</v>
      </c>
      <c r="BW702" s="71">
        <f t="shared" si="96"/>
        <v>400</v>
      </c>
      <c r="BX702" s="78" cm="1">
        <f t="array" ref="BX702">IF(BM702&gt;0,1,_xll.DCETCVN5575FactorPhi7121(BV702*SQRT($K$17/206000),"b"))</f>
        <v>1</v>
      </c>
      <c r="BY702" s="64">
        <f t="shared" si="97"/>
        <v>0.11294724232497326</v>
      </c>
      <c r="BZ702" s="3" t="str">
        <f t="shared" si="98"/>
        <v>Check</v>
      </c>
    </row>
    <row r="703" spans="1:78">
      <c r="A703" s="76"/>
      <c r="B703" s="76"/>
      <c r="C703" s="125"/>
      <c r="D703" s="125"/>
      <c r="E703" s="71"/>
      <c r="F703" s="71"/>
      <c r="G703" s="71"/>
      <c r="H703" s="126"/>
      <c r="I703" s="125"/>
      <c r="J703" s="123"/>
      <c r="K703" s="12"/>
      <c r="L703" s="117"/>
      <c r="M703" s="12"/>
      <c r="N703" s="117"/>
      <c r="O703" s="117"/>
      <c r="P703" s="117"/>
      <c r="Q703" s="118"/>
      <c r="R703" s="118"/>
      <c r="S703" s="118"/>
      <c r="T703" s="12"/>
      <c r="U703" s="118"/>
      <c r="V703" s="118"/>
      <c r="W703" s="12"/>
      <c r="X703" s="119"/>
      <c r="Y703" s="120"/>
      <c r="Z703" s="12"/>
      <c r="BA703" s="70" t="s">
        <v>205</v>
      </c>
      <c r="BB703" s="71" t="s">
        <v>210</v>
      </c>
      <c r="BC703" s="71" t="s">
        <v>207</v>
      </c>
      <c r="BD703" s="71">
        <v>11.5</v>
      </c>
      <c r="BE703" s="71">
        <v>36</v>
      </c>
      <c r="BF703" s="71">
        <v>390</v>
      </c>
      <c r="BG703" s="71">
        <v>212</v>
      </c>
      <c r="BH703" s="71">
        <v>5</v>
      </c>
      <c r="BI703" s="71">
        <v>10</v>
      </c>
      <c r="BJ703" s="12" t="str" cm="1">
        <f t="array" ref="BJ703">_xll.Dce_Name_SectI(BF703, BF703, BG703, BH703, BI703, "x", "-", $AX$11)</f>
        <v>390x212x5x10</v>
      </c>
      <c r="BK703" s="77" cm="1">
        <f t="array" ref="BK703">_xll.DCEPropSectI(BF703, BH703, BG703, BI703, BG703, BI703, "A")/100</f>
        <v>60.9</v>
      </c>
      <c r="BL703" s="70" t="s">
        <v>222</v>
      </c>
      <c r="BM703" s="70">
        <v>144.44822820940828</v>
      </c>
      <c r="BN703" s="71">
        <v>0.9</v>
      </c>
      <c r="BO703" s="77">
        <f t="shared" si="91"/>
        <v>32.4</v>
      </c>
      <c r="BP703" s="71">
        <v>0.9</v>
      </c>
      <c r="BQ703" s="77">
        <f t="shared" si="92"/>
        <v>32.4</v>
      </c>
      <c r="BR703" s="77" cm="1">
        <f t="array" ref="BR703">_xll.DCEPropSectI(BF703, BH703, BG703, BI703, BG703, BI703, "rx")/10</f>
        <v>16.91131201300167</v>
      </c>
      <c r="BS703" s="77" cm="1">
        <f t="array" ref="BS703">_xll.DCEPropSectI(BF703, BH703, BG703, BI703, BG703, BI703, "ry")/10</f>
        <v>5.1070747638622018</v>
      </c>
      <c r="BT703" s="5">
        <f t="shared" si="93"/>
        <v>191.58773710218577</v>
      </c>
      <c r="BU703" s="5">
        <f t="shared" si="94"/>
        <v>634.41405301647956</v>
      </c>
      <c r="BV703" s="5">
        <f t="shared" si="95"/>
        <v>634.41405301647956</v>
      </c>
      <c r="BW703" s="71">
        <f t="shared" si="96"/>
        <v>400</v>
      </c>
      <c r="BX703" s="78" cm="1">
        <f t="array" ref="BX703">IF(BM703&gt;0,1,_xll.DCETCVN5575FactorPhi7121(BV703*SQRT($K$17/206000),"b"))</f>
        <v>1</v>
      </c>
      <c r="BY703" s="64">
        <f t="shared" si="97"/>
        <v>0.11294724232497326</v>
      </c>
      <c r="BZ703" s="3" t="str">
        <f t="shared" si="98"/>
        <v>Check</v>
      </c>
    </row>
    <row r="704" spans="1:78">
      <c r="A704" s="76"/>
      <c r="B704" s="76"/>
      <c r="C704" s="125"/>
      <c r="D704" s="125"/>
      <c r="E704" s="71"/>
      <c r="F704" s="71"/>
      <c r="G704" s="71"/>
      <c r="H704" s="126"/>
      <c r="I704" s="125"/>
      <c r="J704" s="123"/>
      <c r="K704" s="12"/>
      <c r="L704" s="117"/>
      <c r="M704" s="12"/>
      <c r="N704" s="117"/>
      <c r="O704" s="117"/>
      <c r="P704" s="117"/>
      <c r="Q704" s="118"/>
      <c r="R704" s="118"/>
      <c r="S704" s="118"/>
      <c r="T704" s="12"/>
      <c r="U704" s="118"/>
      <c r="V704" s="118"/>
      <c r="W704" s="12"/>
      <c r="X704" s="119"/>
      <c r="Y704" s="120"/>
      <c r="Z704" s="12"/>
      <c r="BA704" s="70" t="s">
        <v>205</v>
      </c>
      <c r="BB704" s="71" t="s">
        <v>210</v>
      </c>
      <c r="BC704" s="71" t="s">
        <v>207</v>
      </c>
      <c r="BD704" s="71">
        <v>12</v>
      </c>
      <c r="BE704" s="71">
        <v>36</v>
      </c>
      <c r="BF704" s="71">
        <v>390</v>
      </c>
      <c r="BG704" s="71">
        <v>212</v>
      </c>
      <c r="BH704" s="71">
        <v>5</v>
      </c>
      <c r="BI704" s="71">
        <v>10</v>
      </c>
      <c r="BJ704" s="12" t="str" cm="1">
        <f t="array" ref="BJ704">_xll.Dce_Name_SectI(BF704, BF704, BG704, BH704, BI704, "x", "-", $AX$11)</f>
        <v>390x212x5x10</v>
      </c>
      <c r="BK704" s="77" cm="1">
        <f t="array" ref="BK704">_xll.DCEPropSectI(BF704, BH704, BG704, BI704, BG704, BI704, "A")/100</f>
        <v>60.9</v>
      </c>
      <c r="BL704" s="70" t="s">
        <v>222</v>
      </c>
      <c r="BM704" s="70">
        <v>144.44822820940828</v>
      </c>
      <c r="BN704" s="71">
        <v>0.9</v>
      </c>
      <c r="BO704" s="77">
        <f t="shared" si="91"/>
        <v>32.4</v>
      </c>
      <c r="BP704" s="71">
        <v>0.9</v>
      </c>
      <c r="BQ704" s="77">
        <f t="shared" si="92"/>
        <v>32.4</v>
      </c>
      <c r="BR704" s="77" cm="1">
        <f t="array" ref="BR704">_xll.DCEPropSectI(BF704, BH704, BG704, BI704, BG704, BI704, "rx")/10</f>
        <v>16.91131201300167</v>
      </c>
      <c r="BS704" s="77" cm="1">
        <f t="array" ref="BS704">_xll.DCEPropSectI(BF704, BH704, BG704, BI704, BG704, BI704, "ry")/10</f>
        <v>5.1070747638622018</v>
      </c>
      <c r="BT704" s="5">
        <f t="shared" si="93"/>
        <v>191.58773710218577</v>
      </c>
      <c r="BU704" s="5">
        <f t="shared" si="94"/>
        <v>634.41405301647956</v>
      </c>
      <c r="BV704" s="5">
        <f t="shared" si="95"/>
        <v>634.41405301647956</v>
      </c>
      <c r="BW704" s="71">
        <f t="shared" si="96"/>
        <v>400</v>
      </c>
      <c r="BX704" s="78" cm="1">
        <f t="array" ref="BX704">IF(BM704&gt;0,1,_xll.DCETCVN5575FactorPhi7121(BV704*SQRT($K$17/206000),"b"))</f>
        <v>1</v>
      </c>
      <c r="BY704" s="64">
        <f t="shared" si="97"/>
        <v>0.11294724232497326</v>
      </c>
      <c r="BZ704" s="3" t="str">
        <f t="shared" si="98"/>
        <v>Check</v>
      </c>
    </row>
    <row r="705" spans="1:78">
      <c r="A705" s="76"/>
      <c r="B705" s="76"/>
      <c r="C705" s="125"/>
      <c r="D705" s="125"/>
      <c r="E705" s="71"/>
      <c r="F705" s="71"/>
      <c r="G705" s="71"/>
      <c r="H705" s="126"/>
      <c r="I705" s="125"/>
      <c r="J705" s="123"/>
      <c r="K705" s="12"/>
      <c r="L705" s="117"/>
      <c r="M705" s="12"/>
      <c r="N705" s="117"/>
      <c r="O705" s="117"/>
      <c r="P705" s="117"/>
      <c r="Q705" s="118"/>
      <c r="R705" s="118"/>
      <c r="S705" s="118"/>
      <c r="T705" s="12"/>
      <c r="U705" s="118"/>
      <c r="V705" s="118"/>
      <c r="W705" s="12"/>
      <c r="X705" s="119"/>
      <c r="Y705" s="120"/>
      <c r="Z705" s="12"/>
      <c r="BA705" s="70" t="s">
        <v>205</v>
      </c>
      <c r="BB705" s="71" t="s">
        <v>210</v>
      </c>
      <c r="BC705" s="71" t="s">
        <v>207</v>
      </c>
      <c r="BD705" s="71">
        <v>12.5</v>
      </c>
      <c r="BE705" s="71">
        <v>36</v>
      </c>
      <c r="BF705" s="71">
        <v>390</v>
      </c>
      <c r="BG705" s="71">
        <v>212</v>
      </c>
      <c r="BH705" s="71">
        <v>5</v>
      </c>
      <c r="BI705" s="71">
        <v>10</v>
      </c>
      <c r="BJ705" s="12" t="str" cm="1">
        <f t="array" ref="BJ705">_xll.Dce_Name_SectI(BF705, BF705, BG705, BH705, BI705, "x", "-", $AX$11)</f>
        <v>390x212x5x10</v>
      </c>
      <c r="BK705" s="77" cm="1">
        <f t="array" ref="BK705">_xll.DCEPropSectI(BF705, BH705, BG705, BI705, BG705, BI705, "A")/100</f>
        <v>60.9</v>
      </c>
      <c r="BL705" s="70" t="s">
        <v>222</v>
      </c>
      <c r="BM705" s="70">
        <v>144.44822820940828</v>
      </c>
      <c r="BN705" s="71">
        <v>0.9</v>
      </c>
      <c r="BO705" s="77">
        <f t="shared" si="91"/>
        <v>32.4</v>
      </c>
      <c r="BP705" s="71">
        <v>0.9</v>
      </c>
      <c r="BQ705" s="77">
        <f t="shared" si="92"/>
        <v>32.4</v>
      </c>
      <c r="BR705" s="77" cm="1">
        <f t="array" ref="BR705">_xll.DCEPropSectI(BF705, BH705, BG705, BI705, BG705, BI705, "rx")/10</f>
        <v>16.91131201300167</v>
      </c>
      <c r="BS705" s="77" cm="1">
        <f t="array" ref="BS705">_xll.DCEPropSectI(BF705, BH705, BG705, BI705, BG705, BI705, "ry")/10</f>
        <v>5.1070747638622018</v>
      </c>
      <c r="BT705" s="5">
        <f t="shared" si="93"/>
        <v>191.58773710218577</v>
      </c>
      <c r="BU705" s="5">
        <f t="shared" si="94"/>
        <v>634.41405301647956</v>
      </c>
      <c r="BV705" s="5">
        <f t="shared" si="95"/>
        <v>634.41405301647956</v>
      </c>
      <c r="BW705" s="71">
        <f t="shared" si="96"/>
        <v>400</v>
      </c>
      <c r="BX705" s="78" cm="1">
        <f t="array" ref="BX705">IF(BM705&gt;0,1,_xll.DCETCVN5575FactorPhi7121(BV705*SQRT($K$17/206000),"b"))</f>
        <v>1</v>
      </c>
      <c r="BY705" s="64">
        <f t="shared" si="97"/>
        <v>0.11294724232497326</v>
      </c>
      <c r="BZ705" s="3" t="str">
        <f t="shared" si="98"/>
        <v>Check</v>
      </c>
    </row>
    <row r="706" spans="1:78">
      <c r="A706" s="76"/>
      <c r="B706" s="76"/>
      <c r="C706" s="125"/>
      <c r="D706" s="125"/>
      <c r="E706" s="71"/>
      <c r="F706" s="71"/>
      <c r="G706" s="71"/>
      <c r="H706" s="126"/>
      <c r="I706" s="125"/>
      <c r="J706" s="123"/>
      <c r="K706" s="12"/>
      <c r="L706" s="117"/>
      <c r="M706" s="12"/>
      <c r="N706" s="117"/>
      <c r="O706" s="117"/>
      <c r="P706" s="117"/>
      <c r="Q706" s="118"/>
      <c r="R706" s="118"/>
      <c r="S706" s="118"/>
      <c r="T706" s="12"/>
      <c r="U706" s="118"/>
      <c r="V706" s="118"/>
      <c r="W706" s="12"/>
      <c r="X706" s="119"/>
      <c r="Y706" s="120"/>
      <c r="Z706" s="12"/>
      <c r="BA706" s="70" t="s">
        <v>205</v>
      </c>
      <c r="BB706" s="71" t="s">
        <v>210</v>
      </c>
      <c r="BC706" s="71" t="s">
        <v>207</v>
      </c>
      <c r="BD706" s="71">
        <v>13</v>
      </c>
      <c r="BE706" s="71">
        <v>36</v>
      </c>
      <c r="BF706" s="71">
        <v>390</v>
      </c>
      <c r="BG706" s="71">
        <v>212</v>
      </c>
      <c r="BH706" s="71">
        <v>5</v>
      </c>
      <c r="BI706" s="71">
        <v>10</v>
      </c>
      <c r="BJ706" s="12" t="str" cm="1">
        <f t="array" ref="BJ706">_xll.Dce_Name_SectI(BF706, BF706, BG706, BH706, BI706, "x", "-", $AX$11)</f>
        <v>390x212x5x10</v>
      </c>
      <c r="BK706" s="77" cm="1">
        <f t="array" ref="BK706">_xll.DCEPropSectI(BF706, BH706, BG706, BI706, BG706, BI706, "A")/100</f>
        <v>60.9</v>
      </c>
      <c r="BL706" s="70" t="s">
        <v>222</v>
      </c>
      <c r="BM706" s="70">
        <v>144.44822820940828</v>
      </c>
      <c r="BN706" s="71">
        <v>0.9</v>
      </c>
      <c r="BO706" s="77">
        <f t="shared" si="91"/>
        <v>32.4</v>
      </c>
      <c r="BP706" s="71">
        <v>0.9</v>
      </c>
      <c r="BQ706" s="77">
        <f t="shared" si="92"/>
        <v>32.4</v>
      </c>
      <c r="BR706" s="77" cm="1">
        <f t="array" ref="BR706">_xll.DCEPropSectI(BF706, BH706, BG706, BI706, BG706, BI706, "rx")/10</f>
        <v>16.91131201300167</v>
      </c>
      <c r="BS706" s="77" cm="1">
        <f t="array" ref="BS706">_xll.DCEPropSectI(BF706, BH706, BG706, BI706, BG706, BI706, "ry")/10</f>
        <v>5.1070747638622018</v>
      </c>
      <c r="BT706" s="5">
        <f t="shared" si="93"/>
        <v>191.58773710218577</v>
      </c>
      <c r="BU706" s="5">
        <f t="shared" si="94"/>
        <v>634.41405301647956</v>
      </c>
      <c r="BV706" s="5">
        <f t="shared" si="95"/>
        <v>634.41405301647956</v>
      </c>
      <c r="BW706" s="71">
        <f t="shared" si="96"/>
        <v>400</v>
      </c>
      <c r="BX706" s="78" cm="1">
        <f t="array" ref="BX706">IF(BM706&gt;0,1,_xll.DCETCVN5575FactorPhi7121(BV706*SQRT($K$17/206000),"b"))</f>
        <v>1</v>
      </c>
      <c r="BY706" s="64">
        <f t="shared" si="97"/>
        <v>0.11294724232497326</v>
      </c>
      <c r="BZ706" s="3" t="str">
        <f t="shared" si="98"/>
        <v>Check</v>
      </c>
    </row>
    <row r="707" spans="1:78">
      <c r="A707" s="76"/>
      <c r="B707" s="76"/>
      <c r="C707" s="125"/>
      <c r="D707" s="125"/>
      <c r="E707" s="71"/>
      <c r="F707" s="71"/>
      <c r="G707" s="71"/>
      <c r="H707" s="126"/>
      <c r="I707" s="125"/>
      <c r="J707" s="123"/>
      <c r="K707" s="12"/>
      <c r="L707" s="117"/>
      <c r="M707" s="12"/>
      <c r="N707" s="117"/>
      <c r="O707" s="117"/>
      <c r="P707" s="117"/>
      <c r="Q707" s="118"/>
      <c r="R707" s="118"/>
      <c r="S707" s="118"/>
      <c r="T707" s="12"/>
      <c r="U707" s="118"/>
      <c r="V707" s="118"/>
      <c r="W707" s="12"/>
      <c r="X707" s="119"/>
      <c r="Y707" s="120"/>
      <c r="Z707" s="12"/>
      <c r="BA707" s="70" t="s">
        <v>205</v>
      </c>
      <c r="BB707" s="71" t="s">
        <v>210</v>
      </c>
      <c r="BC707" s="71" t="s">
        <v>207</v>
      </c>
      <c r="BD707" s="71">
        <v>13.5</v>
      </c>
      <c r="BE707" s="71">
        <v>36</v>
      </c>
      <c r="BF707" s="71">
        <v>390</v>
      </c>
      <c r="BG707" s="71">
        <v>212</v>
      </c>
      <c r="BH707" s="71">
        <v>5</v>
      </c>
      <c r="BI707" s="71">
        <v>10</v>
      </c>
      <c r="BJ707" s="12" t="str" cm="1">
        <f t="array" ref="BJ707">_xll.Dce_Name_SectI(BF707, BF707, BG707, BH707, BI707, "x", "-", $AX$11)</f>
        <v>390x212x5x10</v>
      </c>
      <c r="BK707" s="77" cm="1">
        <f t="array" ref="BK707">_xll.DCEPropSectI(BF707, BH707, BG707, BI707, BG707, BI707, "A")/100</f>
        <v>60.9</v>
      </c>
      <c r="BL707" s="70" t="s">
        <v>222</v>
      </c>
      <c r="BM707" s="70">
        <v>144.44822820940828</v>
      </c>
      <c r="BN707" s="71">
        <v>0.9</v>
      </c>
      <c r="BO707" s="77">
        <f t="shared" si="91"/>
        <v>32.4</v>
      </c>
      <c r="BP707" s="71">
        <v>0.9</v>
      </c>
      <c r="BQ707" s="77">
        <f t="shared" si="92"/>
        <v>32.4</v>
      </c>
      <c r="BR707" s="77" cm="1">
        <f t="array" ref="BR707">_xll.DCEPropSectI(BF707, BH707, BG707, BI707, BG707, BI707, "rx")/10</f>
        <v>16.91131201300167</v>
      </c>
      <c r="BS707" s="77" cm="1">
        <f t="array" ref="BS707">_xll.DCEPropSectI(BF707, BH707, BG707, BI707, BG707, BI707, "ry")/10</f>
        <v>5.1070747638622018</v>
      </c>
      <c r="BT707" s="5">
        <f t="shared" si="93"/>
        <v>191.58773710218577</v>
      </c>
      <c r="BU707" s="5">
        <f t="shared" si="94"/>
        <v>634.41405301647956</v>
      </c>
      <c r="BV707" s="5">
        <f t="shared" si="95"/>
        <v>634.41405301647956</v>
      </c>
      <c r="BW707" s="71">
        <f t="shared" si="96"/>
        <v>400</v>
      </c>
      <c r="BX707" s="78" cm="1">
        <f t="array" ref="BX707">IF(BM707&gt;0,1,_xll.DCETCVN5575FactorPhi7121(BV707*SQRT($K$17/206000),"b"))</f>
        <v>1</v>
      </c>
      <c r="BY707" s="64">
        <f t="shared" si="97"/>
        <v>0.11294724232497326</v>
      </c>
      <c r="BZ707" s="3" t="str">
        <f t="shared" si="98"/>
        <v>Check</v>
      </c>
    </row>
    <row r="708" spans="1:78">
      <c r="A708" s="76"/>
      <c r="B708" s="76"/>
      <c r="C708" s="125"/>
      <c r="D708" s="125"/>
      <c r="E708" s="71"/>
      <c r="F708" s="71"/>
      <c r="G708" s="71"/>
      <c r="H708" s="126"/>
      <c r="I708" s="125"/>
      <c r="J708" s="123"/>
      <c r="K708" s="12"/>
      <c r="L708" s="117"/>
      <c r="M708" s="12"/>
      <c r="N708" s="117"/>
      <c r="O708" s="117"/>
      <c r="P708" s="117"/>
      <c r="Q708" s="118"/>
      <c r="R708" s="118"/>
      <c r="S708" s="118"/>
      <c r="T708" s="12"/>
      <c r="U708" s="118"/>
      <c r="V708" s="118"/>
      <c r="W708" s="12"/>
      <c r="X708" s="119"/>
      <c r="Y708" s="120"/>
      <c r="Z708" s="12"/>
      <c r="BA708" s="70" t="s">
        <v>205</v>
      </c>
      <c r="BB708" s="71" t="s">
        <v>210</v>
      </c>
      <c r="BC708" s="71" t="s">
        <v>207</v>
      </c>
      <c r="BD708" s="71">
        <v>14</v>
      </c>
      <c r="BE708" s="71">
        <v>36</v>
      </c>
      <c r="BF708" s="71">
        <v>390</v>
      </c>
      <c r="BG708" s="71">
        <v>212</v>
      </c>
      <c r="BH708" s="71">
        <v>5</v>
      </c>
      <c r="BI708" s="71">
        <v>10</v>
      </c>
      <c r="BJ708" s="12" t="str" cm="1">
        <f t="array" ref="BJ708">_xll.Dce_Name_SectI(BF708, BF708, BG708, BH708, BI708, "x", "-", $AX$11)</f>
        <v>390x212x5x10</v>
      </c>
      <c r="BK708" s="77" cm="1">
        <f t="array" ref="BK708">_xll.DCEPropSectI(BF708, BH708, BG708, BI708, BG708, BI708, "A")/100</f>
        <v>60.9</v>
      </c>
      <c r="BL708" s="70" t="s">
        <v>222</v>
      </c>
      <c r="BM708" s="70">
        <v>144.44822820940828</v>
      </c>
      <c r="BN708" s="71">
        <v>0.9</v>
      </c>
      <c r="BO708" s="77">
        <f t="shared" si="91"/>
        <v>32.4</v>
      </c>
      <c r="BP708" s="71">
        <v>0.9</v>
      </c>
      <c r="BQ708" s="77">
        <f t="shared" si="92"/>
        <v>32.4</v>
      </c>
      <c r="BR708" s="77" cm="1">
        <f t="array" ref="BR708">_xll.DCEPropSectI(BF708, BH708, BG708, BI708, BG708, BI708, "rx")/10</f>
        <v>16.91131201300167</v>
      </c>
      <c r="BS708" s="77" cm="1">
        <f t="array" ref="BS708">_xll.DCEPropSectI(BF708, BH708, BG708, BI708, BG708, BI708, "ry")/10</f>
        <v>5.1070747638622018</v>
      </c>
      <c r="BT708" s="5">
        <f t="shared" si="93"/>
        <v>191.58773710218577</v>
      </c>
      <c r="BU708" s="5">
        <f t="shared" si="94"/>
        <v>634.41405301647956</v>
      </c>
      <c r="BV708" s="5">
        <f t="shared" si="95"/>
        <v>634.41405301647956</v>
      </c>
      <c r="BW708" s="71">
        <f t="shared" si="96"/>
        <v>400</v>
      </c>
      <c r="BX708" s="78" cm="1">
        <f t="array" ref="BX708">IF(BM708&gt;0,1,_xll.DCETCVN5575FactorPhi7121(BV708*SQRT($K$17/206000),"b"))</f>
        <v>1</v>
      </c>
      <c r="BY708" s="64">
        <f t="shared" si="97"/>
        <v>0.11294724232497326</v>
      </c>
      <c r="BZ708" s="3" t="str">
        <f t="shared" si="98"/>
        <v>Check</v>
      </c>
    </row>
    <row r="709" spans="1:78">
      <c r="A709" s="76"/>
      <c r="B709" s="76"/>
      <c r="C709" s="125"/>
      <c r="D709" s="125"/>
      <c r="E709" s="71"/>
      <c r="F709" s="71"/>
      <c r="G709" s="71"/>
      <c r="H709" s="126"/>
      <c r="I709" s="125"/>
      <c r="J709" s="123"/>
      <c r="K709" s="12"/>
      <c r="L709" s="117"/>
      <c r="M709" s="12"/>
      <c r="N709" s="117"/>
      <c r="O709" s="117"/>
      <c r="P709" s="117"/>
      <c r="Q709" s="118"/>
      <c r="R709" s="118"/>
      <c r="S709" s="118"/>
      <c r="T709" s="12"/>
      <c r="U709" s="118"/>
      <c r="V709" s="118"/>
      <c r="W709" s="12"/>
      <c r="X709" s="119"/>
      <c r="Y709" s="120"/>
      <c r="Z709" s="12"/>
      <c r="BA709" s="70" t="s">
        <v>205</v>
      </c>
      <c r="BB709" s="71" t="s">
        <v>210</v>
      </c>
      <c r="BC709" s="71" t="s">
        <v>207</v>
      </c>
      <c r="BD709" s="71">
        <v>14.5</v>
      </c>
      <c r="BE709" s="71">
        <v>36</v>
      </c>
      <c r="BF709" s="71">
        <v>390</v>
      </c>
      <c r="BG709" s="71">
        <v>212</v>
      </c>
      <c r="BH709" s="71">
        <v>5</v>
      </c>
      <c r="BI709" s="71">
        <v>10</v>
      </c>
      <c r="BJ709" s="12" t="str" cm="1">
        <f t="array" ref="BJ709">_xll.Dce_Name_SectI(BF709, BF709, BG709, BH709, BI709, "x", "-", $AX$11)</f>
        <v>390x212x5x10</v>
      </c>
      <c r="BK709" s="77" cm="1">
        <f t="array" ref="BK709">_xll.DCEPropSectI(BF709, BH709, BG709, BI709, BG709, BI709, "A")/100</f>
        <v>60.9</v>
      </c>
      <c r="BL709" s="70" t="s">
        <v>222</v>
      </c>
      <c r="BM709" s="70">
        <v>144.44822820940828</v>
      </c>
      <c r="BN709" s="71">
        <v>0.9</v>
      </c>
      <c r="BO709" s="77">
        <f t="shared" si="91"/>
        <v>32.4</v>
      </c>
      <c r="BP709" s="71">
        <v>0.9</v>
      </c>
      <c r="BQ709" s="77">
        <f t="shared" si="92"/>
        <v>32.4</v>
      </c>
      <c r="BR709" s="77" cm="1">
        <f t="array" ref="BR709">_xll.DCEPropSectI(BF709, BH709, BG709, BI709, BG709, BI709, "rx")/10</f>
        <v>16.91131201300167</v>
      </c>
      <c r="BS709" s="77" cm="1">
        <f t="array" ref="BS709">_xll.DCEPropSectI(BF709, BH709, BG709, BI709, BG709, BI709, "ry")/10</f>
        <v>5.1070747638622018</v>
      </c>
      <c r="BT709" s="5">
        <f t="shared" si="93"/>
        <v>191.58773710218577</v>
      </c>
      <c r="BU709" s="5">
        <f t="shared" si="94"/>
        <v>634.41405301647956</v>
      </c>
      <c r="BV709" s="5">
        <f t="shared" si="95"/>
        <v>634.41405301647956</v>
      </c>
      <c r="BW709" s="71">
        <f t="shared" si="96"/>
        <v>400</v>
      </c>
      <c r="BX709" s="78" cm="1">
        <f t="array" ref="BX709">IF(BM709&gt;0,1,_xll.DCETCVN5575FactorPhi7121(BV709*SQRT($K$17/206000),"b"))</f>
        <v>1</v>
      </c>
      <c r="BY709" s="64">
        <f t="shared" si="97"/>
        <v>0.11294724232497326</v>
      </c>
      <c r="BZ709" s="3" t="str">
        <f t="shared" si="98"/>
        <v>Check</v>
      </c>
    </row>
    <row r="710" spans="1:78">
      <c r="A710" s="76"/>
      <c r="B710" s="76"/>
      <c r="C710" s="125"/>
      <c r="D710" s="125"/>
      <c r="E710" s="71"/>
      <c r="F710" s="71"/>
      <c r="G710" s="71"/>
      <c r="H710" s="126"/>
      <c r="I710" s="125"/>
      <c r="J710" s="123"/>
      <c r="K710" s="12"/>
      <c r="L710" s="117"/>
      <c r="M710" s="12"/>
      <c r="N710" s="117"/>
      <c r="O710" s="117"/>
      <c r="P710" s="117"/>
      <c r="Q710" s="118"/>
      <c r="R710" s="118"/>
      <c r="S710" s="118"/>
      <c r="T710" s="12"/>
      <c r="U710" s="118"/>
      <c r="V710" s="118"/>
      <c r="W710" s="12"/>
      <c r="X710" s="119"/>
      <c r="Y710" s="120"/>
      <c r="Z710" s="12"/>
      <c r="BA710" s="70" t="s">
        <v>205</v>
      </c>
      <c r="BB710" s="71" t="s">
        <v>210</v>
      </c>
      <c r="BC710" s="71" t="s">
        <v>207</v>
      </c>
      <c r="BD710" s="71">
        <v>15</v>
      </c>
      <c r="BE710" s="71">
        <v>36</v>
      </c>
      <c r="BF710" s="71">
        <v>390</v>
      </c>
      <c r="BG710" s="71">
        <v>212</v>
      </c>
      <c r="BH710" s="71">
        <v>5</v>
      </c>
      <c r="BI710" s="71">
        <v>10</v>
      </c>
      <c r="BJ710" s="12" t="str" cm="1">
        <f t="array" ref="BJ710">_xll.Dce_Name_SectI(BF710, BF710, BG710, BH710, BI710, "x", "-", $AX$11)</f>
        <v>390x212x5x10</v>
      </c>
      <c r="BK710" s="77" cm="1">
        <f t="array" ref="BK710">_xll.DCEPropSectI(BF710, BH710, BG710, BI710, BG710, BI710, "A")/100</f>
        <v>60.9</v>
      </c>
      <c r="BL710" s="70" t="s">
        <v>222</v>
      </c>
      <c r="BM710" s="70">
        <v>144.44822820940828</v>
      </c>
      <c r="BN710" s="71">
        <v>0.9</v>
      </c>
      <c r="BO710" s="77">
        <f t="shared" si="91"/>
        <v>32.4</v>
      </c>
      <c r="BP710" s="71">
        <v>0.9</v>
      </c>
      <c r="BQ710" s="77">
        <f t="shared" si="92"/>
        <v>32.4</v>
      </c>
      <c r="BR710" s="77" cm="1">
        <f t="array" ref="BR710">_xll.DCEPropSectI(BF710, BH710, BG710, BI710, BG710, BI710, "rx")/10</f>
        <v>16.91131201300167</v>
      </c>
      <c r="BS710" s="77" cm="1">
        <f t="array" ref="BS710">_xll.DCEPropSectI(BF710, BH710, BG710, BI710, BG710, BI710, "ry")/10</f>
        <v>5.1070747638622018</v>
      </c>
      <c r="BT710" s="5">
        <f t="shared" si="93"/>
        <v>191.58773710218577</v>
      </c>
      <c r="BU710" s="5">
        <f t="shared" si="94"/>
        <v>634.41405301647956</v>
      </c>
      <c r="BV710" s="5">
        <f t="shared" si="95"/>
        <v>634.41405301647956</v>
      </c>
      <c r="BW710" s="71">
        <f t="shared" si="96"/>
        <v>400</v>
      </c>
      <c r="BX710" s="78" cm="1">
        <f t="array" ref="BX710">IF(BM710&gt;0,1,_xll.DCETCVN5575FactorPhi7121(BV710*SQRT($K$17/206000),"b"))</f>
        <v>1</v>
      </c>
      <c r="BY710" s="64">
        <f t="shared" si="97"/>
        <v>0.11294724232497326</v>
      </c>
      <c r="BZ710" s="3" t="str">
        <f t="shared" si="98"/>
        <v>Check</v>
      </c>
    </row>
    <row r="711" spans="1:78">
      <c r="A711" s="76"/>
      <c r="B711" s="76"/>
      <c r="C711" s="125"/>
      <c r="D711" s="125"/>
      <c r="E711" s="71"/>
      <c r="F711" s="71"/>
      <c r="G711" s="71"/>
      <c r="H711" s="126"/>
      <c r="I711" s="125"/>
      <c r="J711" s="123"/>
      <c r="K711" s="12"/>
      <c r="L711" s="117"/>
      <c r="M711" s="12"/>
      <c r="N711" s="117"/>
      <c r="O711" s="117"/>
      <c r="P711" s="117"/>
      <c r="Q711" s="118"/>
      <c r="R711" s="118"/>
      <c r="S711" s="118"/>
      <c r="T711" s="12"/>
      <c r="U711" s="118"/>
      <c r="V711" s="118"/>
      <c r="W711" s="12"/>
      <c r="X711" s="119"/>
      <c r="Y711" s="120"/>
      <c r="Z711" s="12"/>
      <c r="BA711" s="70" t="s">
        <v>205</v>
      </c>
      <c r="BB711" s="71" t="s">
        <v>210</v>
      </c>
      <c r="BC711" s="71" t="s">
        <v>207</v>
      </c>
      <c r="BD711" s="71">
        <v>15</v>
      </c>
      <c r="BE711" s="71">
        <v>36</v>
      </c>
      <c r="BF711" s="71">
        <v>390</v>
      </c>
      <c r="BG711" s="71">
        <v>212</v>
      </c>
      <c r="BH711" s="71">
        <v>5</v>
      </c>
      <c r="BI711" s="71">
        <v>10</v>
      </c>
      <c r="BJ711" s="12" t="str" cm="1">
        <f t="array" ref="BJ711">_xll.Dce_Name_SectI(BF711, BF711, BG711, BH711, BI711, "x", "-", $AX$11)</f>
        <v>390x212x5x10</v>
      </c>
      <c r="BK711" s="77" cm="1">
        <f t="array" ref="BK711">_xll.DCEPropSectI(BF711, BH711, BG711, BI711, BG711, BI711, "A")/100</f>
        <v>60.9</v>
      </c>
      <c r="BL711" s="70" t="s">
        <v>222</v>
      </c>
      <c r="BM711" s="70">
        <v>200.88853786467462</v>
      </c>
      <c r="BN711" s="71">
        <v>0.9</v>
      </c>
      <c r="BO711" s="77">
        <f t="shared" si="91"/>
        <v>32.4</v>
      </c>
      <c r="BP711" s="71">
        <v>0.9</v>
      </c>
      <c r="BQ711" s="77">
        <f t="shared" si="92"/>
        <v>32.4</v>
      </c>
      <c r="BR711" s="77" cm="1">
        <f t="array" ref="BR711">_xll.DCEPropSectI(BF711, BH711, BG711, BI711, BG711, BI711, "rx")/10</f>
        <v>16.91131201300167</v>
      </c>
      <c r="BS711" s="77" cm="1">
        <f t="array" ref="BS711">_xll.DCEPropSectI(BF711, BH711, BG711, BI711, BG711, BI711, "ry")/10</f>
        <v>5.1070747638622018</v>
      </c>
      <c r="BT711" s="5">
        <f t="shared" si="93"/>
        <v>191.58773710218577</v>
      </c>
      <c r="BU711" s="5">
        <f t="shared" si="94"/>
        <v>634.41405301647956</v>
      </c>
      <c r="BV711" s="5">
        <f t="shared" si="95"/>
        <v>634.41405301647956</v>
      </c>
      <c r="BW711" s="71">
        <f t="shared" si="96"/>
        <v>400</v>
      </c>
      <c r="BX711" s="78" cm="1">
        <f t="array" ref="BX711">IF(BM711&gt;0,1,_xll.DCETCVN5575FactorPhi7121(BV711*SQRT($K$17/206000),"b"))</f>
        <v>1</v>
      </c>
      <c r="BY711" s="64">
        <f t="shared" si="97"/>
        <v>0.15707916010999659</v>
      </c>
      <c r="BZ711" s="3" t="str">
        <f t="shared" si="98"/>
        <v>Check</v>
      </c>
    </row>
    <row r="712" spans="1:78">
      <c r="A712" s="76"/>
      <c r="B712" s="76"/>
      <c r="C712" s="125"/>
      <c r="D712" s="125"/>
      <c r="E712" s="71"/>
      <c r="F712" s="71"/>
      <c r="G712" s="71"/>
      <c r="H712" s="126"/>
      <c r="I712" s="125"/>
      <c r="J712" s="123"/>
      <c r="K712" s="12"/>
      <c r="L712" s="117"/>
      <c r="M712" s="12"/>
      <c r="N712" s="117"/>
      <c r="O712" s="117"/>
      <c r="P712" s="117"/>
      <c r="Q712" s="118"/>
      <c r="R712" s="118"/>
      <c r="S712" s="118"/>
      <c r="T712" s="12"/>
      <c r="U712" s="118"/>
      <c r="V712" s="118"/>
      <c r="W712" s="12"/>
      <c r="X712" s="119"/>
      <c r="Y712" s="120"/>
      <c r="Z712" s="12"/>
      <c r="BA712" s="70" t="s">
        <v>205</v>
      </c>
      <c r="BB712" s="71" t="s">
        <v>210</v>
      </c>
      <c r="BC712" s="71" t="s">
        <v>207</v>
      </c>
      <c r="BD712" s="71">
        <v>15.5</v>
      </c>
      <c r="BE712" s="71">
        <v>36</v>
      </c>
      <c r="BF712" s="71">
        <v>390</v>
      </c>
      <c r="BG712" s="71">
        <v>212</v>
      </c>
      <c r="BH712" s="71">
        <v>5</v>
      </c>
      <c r="BI712" s="71">
        <v>10</v>
      </c>
      <c r="BJ712" s="12" t="str" cm="1">
        <f t="array" ref="BJ712">_xll.Dce_Name_SectI(BF712, BF712, BG712, BH712, BI712, "x", "-", $AX$11)</f>
        <v>390x212x5x10</v>
      </c>
      <c r="BK712" s="77" cm="1">
        <f t="array" ref="BK712">_xll.DCEPropSectI(BF712, BH712, BG712, BI712, BG712, BI712, "A")/100</f>
        <v>60.9</v>
      </c>
      <c r="BL712" s="70" t="s">
        <v>222</v>
      </c>
      <c r="BM712" s="70">
        <v>200.88853786467462</v>
      </c>
      <c r="BN712" s="71">
        <v>0.9</v>
      </c>
      <c r="BO712" s="77">
        <f t="shared" si="91"/>
        <v>32.4</v>
      </c>
      <c r="BP712" s="71">
        <v>0.9</v>
      </c>
      <c r="BQ712" s="77">
        <f t="shared" si="92"/>
        <v>32.4</v>
      </c>
      <c r="BR712" s="77" cm="1">
        <f t="array" ref="BR712">_xll.DCEPropSectI(BF712, BH712, BG712, BI712, BG712, BI712, "rx")/10</f>
        <v>16.91131201300167</v>
      </c>
      <c r="BS712" s="77" cm="1">
        <f t="array" ref="BS712">_xll.DCEPropSectI(BF712, BH712, BG712, BI712, BG712, BI712, "ry")/10</f>
        <v>5.1070747638622018</v>
      </c>
      <c r="BT712" s="5">
        <f t="shared" si="93"/>
        <v>191.58773710218577</v>
      </c>
      <c r="BU712" s="5">
        <f t="shared" si="94"/>
        <v>634.41405301647956</v>
      </c>
      <c r="BV712" s="5">
        <f t="shared" si="95"/>
        <v>634.41405301647956</v>
      </c>
      <c r="BW712" s="71">
        <f t="shared" si="96"/>
        <v>400</v>
      </c>
      <c r="BX712" s="78" cm="1">
        <f t="array" ref="BX712">IF(BM712&gt;0,1,_xll.DCETCVN5575FactorPhi7121(BV712*SQRT($K$17/206000),"b"))</f>
        <v>1</v>
      </c>
      <c r="BY712" s="64">
        <f t="shared" si="97"/>
        <v>0.15707916010999659</v>
      </c>
      <c r="BZ712" s="3" t="str">
        <f t="shared" si="98"/>
        <v>Check</v>
      </c>
    </row>
    <row r="713" spans="1:78">
      <c r="A713" s="76"/>
      <c r="B713" s="76"/>
      <c r="C713" s="125"/>
      <c r="D713" s="125"/>
      <c r="E713" s="71"/>
      <c r="F713" s="71"/>
      <c r="G713" s="71"/>
      <c r="H713" s="126"/>
      <c r="I713" s="125"/>
      <c r="J713" s="123"/>
      <c r="K713" s="12"/>
      <c r="L713" s="117"/>
      <c r="M713" s="12"/>
      <c r="N713" s="117"/>
      <c r="O713" s="117"/>
      <c r="P713" s="117"/>
      <c r="Q713" s="118"/>
      <c r="R713" s="118"/>
      <c r="S713" s="118"/>
      <c r="T713" s="12"/>
      <c r="U713" s="118"/>
      <c r="V713" s="118"/>
      <c r="W713" s="12"/>
      <c r="X713" s="119"/>
      <c r="Y713" s="120"/>
      <c r="Z713" s="12"/>
      <c r="BA713" s="70" t="s">
        <v>205</v>
      </c>
      <c r="BB713" s="71" t="s">
        <v>210</v>
      </c>
      <c r="BC713" s="71" t="s">
        <v>207</v>
      </c>
      <c r="BD713" s="71">
        <v>16</v>
      </c>
      <c r="BE713" s="71">
        <v>36</v>
      </c>
      <c r="BF713" s="71">
        <v>390</v>
      </c>
      <c r="BG713" s="71">
        <v>212</v>
      </c>
      <c r="BH713" s="71">
        <v>5</v>
      </c>
      <c r="BI713" s="71">
        <v>10</v>
      </c>
      <c r="BJ713" s="12" t="str" cm="1">
        <f t="array" ref="BJ713">_xll.Dce_Name_SectI(BF713, BF713, BG713, BH713, BI713, "x", "-", $AX$11)</f>
        <v>390x212x5x10</v>
      </c>
      <c r="BK713" s="77" cm="1">
        <f t="array" ref="BK713">_xll.DCEPropSectI(BF713, BH713, BG713, BI713, BG713, BI713, "A")/100</f>
        <v>60.9</v>
      </c>
      <c r="BL713" s="70" t="s">
        <v>222</v>
      </c>
      <c r="BM713" s="70">
        <v>200.88853786467462</v>
      </c>
      <c r="BN713" s="71">
        <v>0.9</v>
      </c>
      <c r="BO713" s="77">
        <f t="shared" si="91"/>
        <v>32.4</v>
      </c>
      <c r="BP713" s="71">
        <v>0.9</v>
      </c>
      <c r="BQ713" s="77">
        <f t="shared" si="92"/>
        <v>32.4</v>
      </c>
      <c r="BR713" s="77" cm="1">
        <f t="array" ref="BR713">_xll.DCEPropSectI(BF713, BH713, BG713, BI713, BG713, BI713, "rx")/10</f>
        <v>16.91131201300167</v>
      </c>
      <c r="BS713" s="77" cm="1">
        <f t="array" ref="BS713">_xll.DCEPropSectI(BF713, BH713, BG713, BI713, BG713, BI713, "ry")/10</f>
        <v>5.1070747638622018</v>
      </c>
      <c r="BT713" s="5">
        <f t="shared" si="93"/>
        <v>191.58773710218577</v>
      </c>
      <c r="BU713" s="5">
        <f t="shared" si="94"/>
        <v>634.41405301647956</v>
      </c>
      <c r="BV713" s="5">
        <f t="shared" si="95"/>
        <v>634.41405301647956</v>
      </c>
      <c r="BW713" s="71">
        <f t="shared" si="96"/>
        <v>400</v>
      </c>
      <c r="BX713" s="78" cm="1">
        <f t="array" ref="BX713">IF(BM713&gt;0,1,_xll.DCETCVN5575FactorPhi7121(BV713*SQRT($K$17/206000),"b"))</f>
        <v>1</v>
      </c>
      <c r="BY713" s="64">
        <f t="shared" si="97"/>
        <v>0.15707916010999659</v>
      </c>
      <c r="BZ713" s="3" t="str">
        <f t="shared" si="98"/>
        <v>Check</v>
      </c>
    </row>
    <row r="714" spans="1:78">
      <c r="A714" s="76"/>
      <c r="B714" s="76"/>
      <c r="C714" s="125"/>
      <c r="D714" s="125"/>
      <c r="E714" s="71"/>
      <c r="F714" s="71"/>
      <c r="G714" s="71"/>
      <c r="H714" s="126"/>
      <c r="I714" s="125"/>
      <c r="J714" s="123"/>
      <c r="K714" s="12"/>
      <c r="L714" s="117"/>
      <c r="M714" s="12"/>
      <c r="N714" s="117"/>
      <c r="O714" s="117"/>
      <c r="P714" s="117"/>
      <c r="Q714" s="118"/>
      <c r="R714" s="118"/>
      <c r="S714" s="118"/>
      <c r="T714" s="12"/>
      <c r="U714" s="118"/>
      <c r="V714" s="118"/>
      <c r="W714" s="12"/>
      <c r="X714" s="119"/>
      <c r="Y714" s="120"/>
      <c r="Z714" s="12"/>
      <c r="BA714" s="70" t="s">
        <v>205</v>
      </c>
      <c r="BB714" s="71" t="s">
        <v>210</v>
      </c>
      <c r="BC714" s="71" t="s">
        <v>207</v>
      </c>
      <c r="BD714" s="71">
        <v>16.5</v>
      </c>
      <c r="BE714" s="71">
        <v>36</v>
      </c>
      <c r="BF714" s="71">
        <v>390</v>
      </c>
      <c r="BG714" s="71">
        <v>212</v>
      </c>
      <c r="BH714" s="71">
        <v>5</v>
      </c>
      <c r="BI714" s="71">
        <v>10</v>
      </c>
      <c r="BJ714" s="12" t="str" cm="1">
        <f t="array" ref="BJ714">_xll.Dce_Name_SectI(BF714, BF714, BG714, BH714, BI714, "x", "-", $AX$11)</f>
        <v>390x212x5x10</v>
      </c>
      <c r="BK714" s="77" cm="1">
        <f t="array" ref="BK714">_xll.DCEPropSectI(BF714, BH714, BG714, BI714, BG714, BI714, "A")/100</f>
        <v>60.9</v>
      </c>
      <c r="BL714" s="70" t="s">
        <v>222</v>
      </c>
      <c r="BM714" s="70">
        <v>200.88853786467462</v>
      </c>
      <c r="BN714" s="71">
        <v>0.9</v>
      </c>
      <c r="BO714" s="77">
        <f t="shared" si="91"/>
        <v>32.4</v>
      </c>
      <c r="BP714" s="71">
        <v>0.9</v>
      </c>
      <c r="BQ714" s="77">
        <f t="shared" si="92"/>
        <v>32.4</v>
      </c>
      <c r="BR714" s="77" cm="1">
        <f t="array" ref="BR714">_xll.DCEPropSectI(BF714, BH714, BG714, BI714, BG714, BI714, "rx")/10</f>
        <v>16.91131201300167</v>
      </c>
      <c r="BS714" s="77" cm="1">
        <f t="array" ref="BS714">_xll.DCEPropSectI(BF714, BH714, BG714, BI714, BG714, BI714, "ry")/10</f>
        <v>5.1070747638622018</v>
      </c>
      <c r="BT714" s="5">
        <f t="shared" si="93"/>
        <v>191.58773710218577</v>
      </c>
      <c r="BU714" s="5">
        <f t="shared" si="94"/>
        <v>634.41405301647956</v>
      </c>
      <c r="BV714" s="5">
        <f t="shared" si="95"/>
        <v>634.41405301647956</v>
      </c>
      <c r="BW714" s="71">
        <f t="shared" si="96"/>
        <v>400</v>
      </c>
      <c r="BX714" s="78" cm="1">
        <f t="array" ref="BX714">IF(BM714&gt;0,1,_xll.DCETCVN5575FactorPhi7121(BV714*SQRT($K$17/206000),"b"))</f>
        <v>1</v>
      </c>
      <c r="BY714" s="64">
        <f t="shared" si="97"/>
        <v>0.15707916010999659</v>
      </c>
      <c r="BZ714" s="3" t="str">
        <f t="shared" si="98"/>
        <v>Check</v>
      </c>
    </row>
    <row r="715" spans="1:78">
      <c r="A715" s="76"/>
      <c r="B715" s="76"/>
      <c r="C715" s="125"/>
      <c r="D715" s="125"/>
      <c r="E715" s="71"/>
      <c r="F715" s="71"/>
      <c r="G715" s="71"/>
      <c r="H715" s="126"/>
      <c r="I715" s="125"/>
      <c r="J715" s="123"/>
      <c r="K715" s="12"/>
      <c r="L715" s="117"/>
      <c r="M715" s="12"/>
      <c r="N715" s="117"/>
      <c r="O715" s="117"/>
      <c r="P715" s="117"/>
      <c r="Q715" s="118"/>
      <c r="R715" s="118"/>
      <c r="S715" s="118"/>
      <c r="T715" s="12"/>
      <c r="U715" s="118"/>
      <c r="V715" s="118"/>
      <c r="W715" s="12"/>
      <c r="X715" s="119"/>
      <c r="Y715" s="120"/>
      <c r="Z715" s="12"/>
      <c r="BA715" s="70" t="s">
        <v>205</v>
      </c>
      <c r="BB715" s="71" t="s">
        <v>210</v>
      </c>
      <c r="BC715" s="71" t="s">
        <v>207</v>
      </c>
      <c r="BD715" s="71">
        <v>17</v>
      </c>
      <c r="BE715" s="71">
        <v>36</v>
      </c>
      <c r="BF715" s="71">
        <v>390</v>
      </c>
      <c r="BG715" s="71">
        <v>212</v>
      </c>
      <c r="BH715" s="71">
        <v>5</v>
      </c>
      <c r="BI715" s="71">
        <v>10</v>
      </c>
      <c r="BJ715" s="12" t="str" cm="1">
        <f t="array" ref="BJ715">_xll.Dce_Name_SectI(BF715, BF715, BG715, BH715, BI715, "x", "-", $AX$11)</f>
        <v>390x212x5x10</v>
      </c>
      <c r="BK715" s="77" cm="1">
        <f t="array" ref="BK715">_xll.DCEPropSectI(BF715, BH715, BG715, BI715, BG715, BI715, "A")/100</f>
        <v>60.9</v>
      </c>
      <c r="BL715" s="70" t="s">
        <v>222</v>
      </c>
      <c r="BM715" s="70">
        <v>200.88853786467462</v>
      </c>
      <c r="BN715" s="71">
        <v>0.9</v>
      </c>
      <c r="BO715" s="77">
        <f t="shared" si="91"/>
        <v>32.4</v>
      </c>
      <c r="BP715" s="71">
        <v>0.9</v>
      </c>
      <c r="BQ715" s="77">
        <f t="shared" si="92"/>
        <v>32.4</v>
      </c>
      <c r="BR715" s="77" cm="1">
        <f t="array" ref="BR715">_xll.DCEPropSectI(BF715, BH715, BG715, BI715, BG715, BI715, "rx")/10</f>
        <v>16.91131201300167</v>
      </c>
      <c r="BS715" s="77" cm="1">
        <f t="array" ref="BS715">_xll.DCEPropSectI(BF715, BH715, BG715, BI715, BG715, BI715, "ry")/10</f>
        <v>5.1070747638622018</v>
      </c>
      <c r="BT715" s="5">
        <f t="shared" si="93"/>
        <v>191.58773710218577</v>
      </c>
      <c r="BU715" s="5">
        <f t="shared" si="94"/>
        <v>634.41405301647956</v>
      </c>
      <c r="BV715" s="5">
        <f t="shared" si="95"/>
        <v>634.41405301647956</v>
      </c>
      <c r="BW715" s="71">
        <f t="shared" si="96"/>
        <v>400</v>
      </c>
      <c r="BX715" s="78" cm="1">
        <f t="array" ref="BX715">IF(BM715&gt;0,1,_xll.DCETCVN5575FactorPhi7121(BV715*SQRT($K$17/206000),"b"))</f>
        <v>1</v>
      </c>
      <c r="BY715" s="64">
        <f t="shared" si="97"/>
        <v>0.15707916010999659</v>
      </c>
      <c r="BZ715" s="3" t="str">
        <f t="shared" si="98"/>
        <v>Check</v>
      </c>
    </row>
    <row r="716" spans="1:78">
      <c r="A716" s="76"/>
      <c r="B716" s="76"/>
      <c r="C716" s="125"/>
      <c r="D716" s="125"/>
      <c r="E716" s="71"/>
      <c r="F716" s="71"/>
      <c r="G716" s="71"/>
      <c r="H716" s="126"/>
      <c r="I716" s="125"/>
      <c r="J716" s="123"/>
      <c r="K716" s="12"/>
      <c r="L716" s="117"/>
      <c r="M716" s="12"/>
      <c r="N716" s="117"/>
      <c r="O716" s="117"/>
      <c r="P716" s="117"/>
      <c r="Q716" s="118"/>
      <c r="R716" s="118"/>
      <c r="S716" s="118"/>
      <c r="T716" s="12"/>
      <c r="U716" s="118"/>
      <c r="V716" s="118"/>
      <c r="W716" s="12"/>
      <c r="X716" s="119"/>
      <c r="Y716" s="120"/>
      <c r="Z716" s="12"/>
      <c r="BA716" s="70" t="s">
        <v>205</v>
      </c>
      <c r="BB716" s="71" t="s">
        <v>210</v>
      </c>
      <c r="BC716" s="71" t="s">
        <v>207</v>
      </c>
      <c r="BD716" s="71">
        <v>17.5</v>
      </c>
      <c r="BE716" s="71">
        <v>36</v>
      </c>
      <c r="BF716" s="71">
        <v>390</v>
      </c>
      <c r="BG716" s="71">
        <v>212</v>
      </c>
      <c r="BH716" s="71">
        <v>5</v>
      </c>
      <c r="BI716" s="71">
        <v>10</v>
      </c>
      <c r="BJ716" s="12" t="str" cm="1">
        <f t="array" ref="BJ716">_xll.Dce_Name_SectI(BF716, BF716, BG716, BH716, BI716, "x", "-", $AX$11)</f>
        <v>390x212x5x10</v>
      </c>
      <c r="BK716" s="77" cm="1">
        <f t="array" ref="BK716">_xll.DCEPropSectI(BF716, BH716, BG716, BI716, BG716, BI716, "A")/100</f>
        <v>60.9</v>
      </c>
      <c r="BL716" s="70" t="s">
        <v>222</v>
      </c>
      <c r="BM716" s="70">
        <v>200.88853786467462</v>
      </c>
      <c r="BN716" s="71">
        <v>0.9</v>
      </c>
      <c r="BO716" s="77">
        <f t="shared" si="91"/>
        <v>32.4</v>
      </c>
      <c r="BP716" s="71">
        <v>0.9</v>
      </c>
      <c r="BQ716" s="77">
        <f t="shared" si="92"/>
        <v>32.4</v>
      </c>
      <c r="BR716" s="77" cm="1">
        <f t="array" ref="BR716">_xll.DCEPropSectI(BF716, BH716, BG716, BI716, BG716, BI716, "rx")/10</f>
        <v>16.91131201300167</v>
      </c>
      <c r="BS716" s="77" cm="1">
        <f t="array" ref="BS716">_xll.DCEPropSectI(BF716, BH716, BG716, BI716, BG716, BI716, "ry")/10</f>
        <v>5.1070747638622018</v>
      </c>
      <c r="BT716" s="5">
        <f t="shared" si="93"/>
        <v>191.58773710218577</v>
      </c>
      <c r="BU716" s="5">
        <f t="shared" si="94"/>
        <v>634.41405301647956</v>
      </c>
      <c r="BV716" s="5">
        <f t="shared" si="95"/>
        <v>634.41405301647956</v>
      </c>
      <c r="BW716" s="71">
        <f t="shared" si="96"/>
        <v>400</v>
      </c>
      <c r="BX716" s="78" cm="1">
        <f t="array" ref="BX716">IF(BM716&gt;0,1,_xll.DCETCVN5575FactorPhi7121(BV716*SQRT($K$17/206000),"b"))</f>
        <v>1</v>
      </c>
      <c r="BY716" s="64">
        <f t="shared" si="97"/>
        <v>0.15707916010999659</v>
      </c>
      <c r="BZ716" s="3" t="str">
        <f t="shared" si="98"/>
        <v>Check</v>
      </c>
    </row>
    <row r="717" spans="1:78">
      <c r="A717" s="76"/>
      <c r="B717" s="76"/>
      <c r="C717" s="125"/>
      <c r="D717" s="125"/>
      <c r="E717" s="71"/>
      <c r="F717" s="71"/>
      <c r="G717" s="71"/>
      <c r="H717" s="126"/>
      <c r="I717" s="125"/>
      <c r="J717" s="123"/>
      <c r="K717" s="12"/>
      <c r="L717" s="117"/>
      <c r="M717" s="12"/>
      <c r="N717" s="117"/>
      <c r="O717" s="117"/>
      <c r="P717" s="117"/>
      <c r="Q717" s="118"/>
      <c r="R717" s="118"/>
      <c r="S717" s="118"/>
      <c r="T717" s="12"/>
      <c r="U717" s="118"/>
      <c r="V717" s="118"/>
      <c r="W717" s="12"/>
      <c r="X717" s="119"/>
      <c r="Y717" s="120"/>
      <c r="Z717" s="12"/>
      <c r="BA717" s="70" t="s">
        <v>205</v>
      </c>
      <c r="BB717" s="71" t="s">
        <v>210</v>
      </c>
      <c r="BC717" s="71" t="s">
        <v>207</v>
      </c>
      <c r="BD717" s="71">
        <v>18</v>
      </c>
      <c r="BE717" s="71">
        <v>36</v>
      </c>
      <c r="BF717" s="71">
        <v>390</v>
      </c>
      <c r="BG717" s="71">
        <v>212</v>
      </c>
      <c r="BH717" s="71">
        <v>5</v>
      </c>
      <c r="BI717" s="71">
        <v>10</v>
      </c>
      <c r="BJ717" s="12" t="str" cm="1">
        <f t="array" ref="BJ717">_xll.Dce_Name_SectI(BF717, BF717, BG717, BH717, BI717, "x", "-", $AX$11)</f>
        <v>390x212x5x10</v>
      </c>
      <c r="BK717" s="77" cm="1">
        <f t="array" ref="BK717">_xll.DCEPropSectI(BF717, BH717, BG717, BI717, BG717, BI717, "A")/100</f>
        <v>60.9</v>
      </c>
      <c r="BL717" s="70" t="s">
        <v>222</v>
      </c>
      <c r="BM717" s="70">
        <v>200.88853786467462</v>
      </c>
      <c r="BN717" s="71">
        <v>0.9</v>
      </c>
      <c r="BO717" s="77">
        <f t="shared" ref="BO717:BO780" si="99">BN717*BE717</f>
        <v>32.4</v>
      </c>
      <c r="BP717" s="71">
        <v>0.9</v>
      </c>
      <c r="BQ717" s="77">
        <f t="shared" ref="BQ717:BQ780" si="100">BP717*BE717</f>
        <v>32.4</v>
      </c>
      <c r="BR717" s="77" cm="1">
        <f t="array" ref="BR717">_xll.DCEPropSectI(BF717, BH717, BG717, BI717, BG717, BI717, "rx")/10</f>
        <v>16.91131201300167</v>
      </c>
      <c r="BS717" s="77" cm="1">
        <f t="array" ref="BS717">_xll.DCEPropSectI(BF717, BH717, BG717, BI717, BG717, BI717, "ry")/10</f>
        <v>5.1070747638622018</v>
      </c>
      <c r="BT717" s="5">
        <f t="shared" ref="BT717:BT780" si="101">BO717*100/BR717</f>
        <v>191.58773710218577</v>
      </c>
      <c r="BU717" s="5">
        <f t="shared" ref="BU717:BU780" si="102">BQ717*100/BS717</f>
        <v>634.41405301647956</v>
      </c>
      <c r="BV717" s="5">
        <f t="shared" ref="BV717:BV780" si="103">MAX(BT717,BU717)</f>
        <v>634.41405301647956</v>
      </c>
      <c r="BW717" s="71">
        <f t="shared" ref="BW717:BW780" si="104">IF(BM717&lt;0,$AY$14,$AY$15)</f>
        <v>400</v>
      </c>
      <c r="BX717" s="78" cm="1">
        <f t="array" ref="BX717">IF(BM717&gt;0,1,_xll.DCETCVN5575FactorPhi7121(BV717*SQRT($K$17/206000),"b"))</f>
        <v>1</v>
      </c>
      <c r="BY717" s="64">
        <f t="shared" ref="BY717:BY780" si="105">ABS(BM717)/(BX717*BK717*$K$17*$K$19)*10</f>
        <v>0.15707916010999659</v>
      </c>
      <c r="BZ717" s="3" t="str">
        <f t="shared" ref="BZ717:BZ780" si="106">IF(AND(BV717&lt;=BW717,BY717&lt;=1),"OK","Check")</f>
        <v>Check</v>
      </c>
    </row>
    <row r="718" spans="1:78">
      <c r="A718" s="76"/>
      <c r="B718" s="76"/>
      <c r="C718" s="125"/>
      <c r="D718" s="125"/>
      <c r="E718" s="71"/>
      <c r="F718" s="71"/>
      <c r="G718" s="71"/>
      <c r="H718" s="126"/>
      <c r="I718" s="125"/>
      <c r="J718" s="123"/>
      <c r="K718" s="12"/>
      <c r="L718" s="117"/>
      <c r="M718" s="12"/>
      <c r="N718" s="117"/>
      <c r="O718" s="117"/>
      <c r="P718" s="117"/>
      <c r="Q718" s="118"/>
      <c r="R718" s="118"/>
      <c r="S718" s="118"/>
      <c r="T718" s="12"/>
      <c r="U718" s="118"/>
      <c r="V718" s="118"/>
      <c r="W718" s="12"/>
      <c r="X718" s="119"/>
      <c r="Y718" s="120"/>
      <c r="Z718" s="12"/>
      <c r="BA718" s="70" t="s">
        <v>205</v>
      </c>
      <c r="BB718" s="71" t="s">
        <v>210</v>
      </c>
      <c r="BC718" s="71" t="s">
        <v>207</v>
      </c>
      <c r="BD718" s="71">
        <v>18.5</v>
      </c>
      <c r="BE718" s="71">
        <v>36</v>
      </c>
      <c r="BF718" s="71">
        <v>390</v>
      </c>
      <c r="BG718" s="71">
        <v>212</v>
      </c>
      <c r="BH718" s="71">
        <v>5</v>
      </c>
      <c r="BI718" s="71">
        <v>10</v>
      </c>
      <c r="BJ718" s="12" t="str" cm="1">
        <f t="array" ref="BJ718">_xll.Dce_Name_SectI(BF718, BF718, BG718, BH718, BI718, "x", "-", $AX$11)</f>
        <v>390x212x5x10</v>
      </c>
      <c r="BK718" s="77" cm="1">
        <f t="array" ref="BK718">_xll.DCEPropSectI(BF718, BH718, BG718, BI718, BG718, BI718, "A")/100</f>
        <v>60.9</v>
      </c>
      <c r="BL718" s="70" t="s">
        <v>222</v>
      </c>
      <c r="BM718" s="70">
        <v>200.88853786467462</v>
      </c>
      <c r="BN718" s="71">
        <v>0.9</v>
      </c>
      <c r="BO718" s="77">
        <f t="shared" si="99"/>
        <v>32.4</v>
      </c>
      <c r="BP718" s="71">
        <v>0.9</v>
      </c>
      <c r="BQ718" s="77">
        <f t="shared" si="100"/>
        <v>32.4</v>
      </c>
      <c r="BR718" s="77" cm="1">
        <f t="array" ref="BR718">_xll.DCEPropSectI(BF718, BH718, BG718, BI718, BG718, BI718, "rx")/10</f>
        <v>16.91131201300167</v>
      </c>
      <c r="BS718" s="77" cm="1">
        <f t="array" ref="BS718">_xll.DCEPropSectI(BF718, BH718, BG718, BI718, BG718, BI718, "ry")/10</f>
        <v>5.1070747638622018</v>
      </c>
      <c r="BT718" s="5">
        <f t="shared" si="101"/>
        <v>191.58773710218577</v>
      </c>
      <c r="BU718" s="5">
        <f t="shared" si="102"/>
        <v>634.41405301647956</v>
      </c>
      <c r="BV718" s="5">
        <f t="shared" si="103"/>
        <v>634.41405301647956</v>
      </c>
      <c r="BW718" s="71">
        <f t="shared" si="104"/>
        <v>400</v>
      </c>
      <c r="BX718" s="78" cm="1">
        <f t="array" ref="BX718">IF(BM718&gt;0,1,_xll.DCETCVN5575FactorPhi7121(BV718*SQRT($K$17/206000),"b"))</f>
        <v>1</v>
      </c>
      <c r="BY718" s="64">
        <f t="shared" si="105"/>
        <v>0.15707916010999659</v>
      </c>
      <c r="BZ718" s="3" t="str">
        <f t="shared" si="106"/>
        <v>Check</v>
      </c>
    </row>
    <row r="719" spans="1:78">
      <c r="A719" s="76"/>
      <c r="B719" s="76"/>
      <c r="C719" s="125"/>
      <c r="D719" s="125"/>
      <c r="E719" s="71"/>
      <c r="F719" s="71"/>
      <c r="G719" s="71"/>
      <c r="H719" s="126"/>
      <c r="I719" s="125"/>
      <c r="J719" s="123"/>
      <c r="K719" s="12"/>
      <c r="L719" s="117"/>
      <c r="M719" s="12"/>
      <c r="N719" s="117"/>
      <c r="O719" s="117"/>
      <c r="P719" s="117"/>
      <c r="Q719" s="118"/>
      <c r="R719" s="118"/>
      <c r="S719" s="118"/>
      <c r="T719" s="12"/>
      <c r="U719" s="118"/>
      <c r="V719" s="118"/>
      <c r="W719" s="12"/>
      <c r="X719" s="119"/>
      <c r="Y719" s="120"/>
      <c r="Z719" s="12"/>
      <c r="BA719" s="70" t="s">
        <v>205</v>
      </c>
      <c r="BB719" s="71" t="s">
        <v>210</v>
      </c>
      <c r="BC719" s="71" t="s">
        <v>207</v>
      </c>
      <c r="BD719" s="71">
        <v>19</v>
      </c>
      <c r="BE719" s="71">
        <v>36</v>
      </c>
      <c r="BF719" s="71">
        <v>390</v>
      </c>
      <c r="BG719" s="71">
        <v>212</v>
      </c>
      <c r="BH719" s="71">
        <v>5</v>
      </c>
      <c r="BI719" s="71">
        <v>10</v>
      </c>
      <c r="BJ719" s="12" t="str" cm="1">
        <f t="array" ref="BJ719">_xll.Dce_Name_SectI(BF719, BF719, BG719, BH719, BI719, "x", "-", $AX$11)</f>
        <v>390x212x5x10</v>
      </c>
      <c r="BK719" s="77" cm="1">
        <f t="array" ref="BK719">_xll.DCEPropSectI(BF719, BH719, BG719, BI719, BG719, BI719, "A")/100</f>
        <v>60.9</v>
      </c>
      <c r="BL719" s="70" t="s">
        <v>222</v>
      </c>
      <c r="BM719" s="70">
        <v>200.88853786467462</v>
      </c>
      <c r="BN719" s="71">
        <v>0.9</v>
      </c>
      <c r="BO719" s="77">
        <f t="shared" si="99"/>
        <v>32.4</v>
      </c>
      <c r="BP719" s="71">
        <v>0.9</v>
      </c>
      <c r="BQ719" s="77">
        <f t="shared" si="100"/>
        <v>32.4</v>
      </c>
      <c r="BR719" s="77" cm="1">
        <f t="array" ref="BR719">_xll.DCEPropSectI(BF719, BH719, BG719, BI719, BG719, BI719, "rx")/10</f>
        <v>16.91131201300167</v>
      </c>
      <c r="BS719" s="77" cm="1">
        <f t="array" ref="BS719">_xll.DCEPropSectI(BF719, BH719, BG719, BI719, BG719, BI719, "ry")/10</f>
        <v>5.1070747638622018</v>
      </c>
      <c r="BT719" s="5">
        <f t="shared" si="101"/>
        <v>191.58773710218577</v>
      </c>
      <c r="BU719" s="5">
        <f t="shared" si="102"/>
        <v>634.41405301647956</v>
      </c>
      <c r="BV719" s="5">
        <f t="shared" si="103"/>
        <v>634.41405301647956</v>
      </c>
      <c r="BW719" s="71">
        <f t="shared" si="104"/>
        <v>400</v>
      </c>
      <c r="BX719" s="78" cm="1">
        <f t="array" ref="BX719">IF(BM719&gt;0,1,_xll.DCETCVN5575FactorPhi7121(BV719*SQRT($K$17/206000),"b"))</f>
        <v>1</v>
      </c>
      <c r="BY719" s="64">
        <f t="shared" si="105"/>
        <v>0.15707916010999659</v>
      </c>
      <c r="BZ719" s="3" t="str">
        <f t="shared" si="106"/>
        <v>Check</v>
      </c>
    </row>
    <row r="720" spans="1:78">
      <c r="A720" s="76"/>
      <c r="B720" s="76"/>
      <c r="C720" s="125"/>
      <c r="D720" s="125"/>
      <c r="E720" s="71"/>
      <c r="F720" s="71"/>
      <c r="G720" s="71"/>
      <c r="H720" s="126"/>
      <c r="I720" s="125"/>
      <c r="J720" s="123"/>
      <c r="K720" s="12"/>
      <c r="L720" s="117"/>
      <c r="M720" s="12"/>
      <c r="N720" s="117"/>
      <c r="O720" s="117"/>
      <c r="P720" s="117"/>
      <c r="Q720" s="118"/>
      <c r="R720" s="118"/>
      <c r="S720" s="118"/>
      <c r="T720" s="12"/>
      <c r="U720" s="118"/>
      <c r="V720" s="118"/>
      <c r="W720" s="12"/>
      <c r="X720" s="119"/>
      <c r="Y720" s="120"/>
      <c r="Z720" s="12"/>
      <c r="BA720" s="70" t="s">
        <v>205</v>
      </c>
      <c r="BB720" s="71" t="s">
        <v>210</v>
      </c>
      <c r="BC720" s="71" t="s">
        <v>207</v>
      </c>
      <c r="BD720" s="71">
        <v>19.5</v>
      </c>
      <c r="BE720" s="71">
        <v>36</v>
      </c>
      <c r="BF720" s="71">
        <v>390</v>
      </c>
      <c r="BG720" s="71">
        <v>212</v>
      </c>
      <c r="BH720" s="71">
        <v>5</v>
      </c>
      <c r="BI720" s="71">
        <v>10</v>
      </c>
      <c r="BJ720" s="12" t="str" cm="1">
        <f t="array" ref="BJ720">_xll.Dce_Name_SectI(BF720, BF720, BG720, BH720, BI720, "x", "-", $AX$11)</f>
        <v>390x212x5x10</v>
      </c>
      <c r="BK720" s="77" cm="1">
        <f t="array" ref="BK720">_xll.DCEPropSectI(BF720, BH720, BG720, BI720, BG720, BI720, "A")/100</f>
        <v>60.9</v>
      </c>
      <c r="BL720" s="70" t="s">
        <v>222</v>
      </c>
      <c r="BM720" s="70">
        <v>200.88853786467462</v>
      </c>
      <c r="BN720" s="71">
        <v>0.9</v>
      </c>
      <c r="BO720" s="77">
        <f t="shared" si="99"/>
        <v>32.4</v>
      </c>
      <c r="BP720" s="71">
        <v>0.9</v>
      </c>
      <c r="BQ720" s="77">
        <f t="shared" si="100"/>
        <v>32.4</v>
      </c>
      <c r="BR720" s="77" cm="1">
        <f t="array" ref="BR720">_xll.DCEPropSectI(BF720, BH720, BG720, BI720, BG720, BI720, "rx")/10</f>
        <v>16.91131201300167</v>
      </c>
      <c r="BS720" s="77" cm="1">
        <f t="array" ref="BS720">_xll.DCEPropSectI(BF720, BH720, BG720, BI720, BG720, BI720, "ry")/10</f>
        <v>5.1070747638622018</v>
      </c>
      <c r="BT720" s="5">
        <f t="shared" si="101"/>
        <v>191.58773710218577</v>
      </c>
      <c r="BU720" s="5">
        <f t="shared" si="102"/>
        <v>634.41405301647956</v>
      </c>
      <c r="BV720" s="5">
        <f t="shared" si="103"/>
        <v>634.41405301647956</v>
      </c>
      <c r="BW720" s="71">
        <f t="shared" si="104"/>
        <v>400</v>
      </c>
      <c r="BX720" s="78" cm="1">
        <f t="array" ref="BX720">IF(BM720&gt;0,1,_xll.DCETCVN5575FactorPhi7121(BV720*SQRT($K$17/206000),"b"))</f>
        <v>1</v>
      </c>
      <c r="BY720" s="64">
        <f t="shared" si="105"/>
        <v>0.15707916010999659</v>
      </c>
      <c r="BZ720" s="3" t="str">
        <f t="shared" si="106"/>
        <v>Check</v>
      </c>
    </row>
    <row r="721" spans="1:78">
      <c r="A721" s="76"/>
      <c r="B721" s="76"/>
      <c r="C721" s="125"/>
      <c r="D721" s="125"/>
      <c r="E721" s="71"/>
      <c r="F721" s="71"/>
      <c r="G721" s="71"/>
      <c r="H721" s="126"/>
      <c r="I721" s="125"/>
      <c r="J721" s="123"/>
      <c r="K721" s="12"/>
      <c r="L721" s="117"/>
      <c r="M721" s="12"/>
      <c r="N721" s="117"/>
      <c r="O721" s="117"/>
      <c r="P721" s="117"/>
      <c r="Q721" s="118"/>
      <c r="R721" s="118"/>
      <c r="S721" s="118"/>
      <c r="T721" s="12"/>
      <c r="U721" s="118"/>
      <c r="V721" s="118"/>
      <c r="W721" s="12"/>
      <c r="X721" s="119"/>
      <c r="Y721" s="120"/>
      <c r="Z721" s="12"/>
      <c r="BA721" s="70" t="s">
        <v>205</v>
      </c>
      <c r="BB721" s="71" t="s">
        <v>210</v>
      </c>
      <c r="BC721" s="71" t="s">
        <v>207</v>
      </c>
      <c r="BD721" s="71">
        <v>20</v>
      </c>
      <c r="BE721" s="71">
        <v>36</v>
      </c>
      <c r="BF721" s="71">
        <v>390</v>
      </c>
      <c r="BG721" s="71">
        <v>212</v>
      </c>
      <c r="BH721" s="71">
        <v>5</v>
      </c>
      <c r="BI721" s="71">
        <v>10</v>
      </c>
      <c r="BJ721" s="12" t="str" cm="1">
        <f t="array" ref="BJ721">_xll.Dce_Name_SectI(BF721, BF721, BG721, BH721, BI721, "x", "-", $AX$11)</f>
        <v>390x212x5x10</v>
      </c>
      <c r="BK721" s="77" cm="1">
        <f t="array" ref="BK721">_xll.DCEPropSectI(BF721, BH721, BG721, BI721, BG721, BI721, "A")/100</f>
        <v>60.9</v>
      </c>
      <c r="BL721" s="70" t="s">
        <v>222</v>
      </c>
      <c r="BM721" s="70">
        <v>200.88853786467462</v>
      </c>
      <c r="BN721" s="71">
        <v>0.9</v>
      </c>
      <c r="BO721" s="77">
        <f t="shared" si="99"/>
        <v>32.4</v>
      </c>
      <c r="BP721" s="71">
        <v>0.9</v>
      </c>
      <c r="BQ721" s="77">
        <f t="shared" si="100"/>
        <v>32.4</v>
      </c>
      <c r="BR721" s="77" cm="1">
        <f t="array" ref="BR721">_xll.DCEPropSectI(BF721, BH721, BG721, BI721, BG721, BI721, "rx")/10</f>
        <v>16.91131201300167</v>
      </c>
      <c r="BS721" s="77" cm="1">
        <f t="array" ref="BS721">_xll.DCEPropSectI(BF721, BH721, BG721, BI721, BG721, BI721, "ry")/10</f>
        <v>5.1070747638622018</v>
      </c>
      <c r="BT721" s="5">
        <f t="shared" si="101"/>
        <v>191.58773710218577</v>
      </c>
      <c r="BU721" s="5">
        <f t="shared" si="102"/>
        <v>634.41405301647956</v>
      </c>
      <c r="BV721" s="5">
        <f t="shared" si="103"/>
        <v>634.41405301647956</v>
      </c>
      <c r="BW721" s="71">
        <f t="shared" si="104"/>
        <v>400</v>
      </c>
      <c r="BX721" s="78" cm="1">
        <f t="array" ref="BX721">IF(BM721&gt;0,1,_xll.DCETCVN5575FactorPhi7121(BV721*SQRT($K$17/206000),"b"))</f>
        <v>1</v>
      </c>
      <c r="BY721" s="64">
        <f t="shared" si="105"/>
        <v>0.15707916010999659</v>
      </c>
      <c r="BZ721" s="3" t="str">
        <f t="shared" si="106"/>
        <v>Check</v>
      </c>
    </row>
    <row r="722" spans="1:78">
      <c r="A722" s="76"/>
      <c r="B722" s="76"/>
      <c r="C722" s="125"/>
      <c r="D722" s="125"/>
      <c r="E722" s="71"/>
      <c r="F722" s="71"/>
      <c r="G722" s="71"/>
      <c r="H722" s="126"/>
      <c r="I722" s="125"/>
      <c r="J722" s="123"/>
      <c r="K722" s="12"/>
      <c r="L722" s="117"/>
      <c r="M722" s="12"/>
      <c r="N722" s="117"/>
      <c r="O722" s="117"/>
      <c r="P722" s="117"/>
      <c r="Q722" s="118"/>
      <c r="R722" s="118"/>
      <c r="S722" s="118"/>
      <c r="T722" s="12"/>
      <c r="U722" s="118"/>
      <c r="V722" s="118"/>
      <c r="W722" s="12"/>
      <c r="X722" s="119"/>
      <c r="Y722" s="120"/>
      <c r="Z722" s="12"/>
      <c r="BA722" s="70" t="s">
        <v>205</v>
      </c>
      <c r="BB722" s="71" t="s">
        <v>210</v>
      </c>
      <c r="BC722" s="71" t="s">
        <v>207</v>
      </c>
      <c r="BD722" s="71">
        <v>20.5</v>
      </c>
      <c r="BE722" s="71">
        <v>36</v>
      </c>
      <c r="BF722" s="71">
        <v>390</v>
      </c>
      <c r="BG722" s="71">
        <v>212</v>
      </c>
      <c r="BH722" s="71">
        <v>5</v>
      </c>
      <c r="BI722" s="71">
        <v>10</v>
      </c>
      <c r="BJ722" s="12" t="str" cm="1">
        <f t="array" ref="BJ722">_xll.Dce_Name_SectI(BF722, BF722, BG722, BH722, BI722, "x", "-", $AX$11)</f>
        <v>390x212x5x10</v>
      </c>
      <c r="BK722" s="77" cm="1">
        <f t="array" ref="BK722">_xll.DCEPropSectI(BF722, BH722, BG722, BI722, BG722, BI722, "A")/100</f>
        <v>60.9</v>
      </c>
      <c r="BL722" s="70" t="s">
        <v>222</v>
      </c>
      <c r="BM722" s="70">
        <v>200.88853786467462</v>
      </c>
      <c r="BN722" s="71">
        <v>0.9</v>
      </c>
      <c r="BO722" s="77">
        <f t="shared" si="99"/>
        <v>32.4</v>
      </c>
      <c r="BP722" s="71">
        <v>0.9</v>
      </c>
      <c r="BQ722" s="77">
        <f t="shared" si="100"/>
        <v>32.4</v>
      </c>
      <c r="BR722" s="77" cm="1">
        <f t="array" ref="BR722">_xll.DCEPropSectI(BF722, BH722, BG722, BI722, BG722, BI722, "rx")/10</f>
        <v>16.91131201300167</v>
      </c>
      <c r="BS722" s="77" cm="1">
        <f t="array" ref="BS722">_xll.DCEPropSectI(BF722, BH722, BG722, BI722, BG722, BI722, "ry")/10</f>
        <v>5.1070747638622018</v>
      </c>
      <c r="BT722" s="5">
        <f t="shared" si="101"/>
        <v>191.58773710218577</v>
      </c>
      <c r="BU722" s="5">
        <f t="shared" si="102"/>
        <v>634.41405301647956</v>
      </c>
      <c r="BV722" s="5">
        <f t="shared" si="103"/>
        <v>634.41405301647956</v>
      </c>
      <c r="BW722" s="71">
        <f t="shared" si="104"/>
        <v>400</v>
      </c>
      <c r="BX722" s="78" cm="1">
        <f t="array" ref="BX722">IF(BM722&gt;0,1,_xll.DCETCVN5575FactorPhi7121(BV722*SQRT($K$17/206000),"b"))</f>
        <v>1</v>
      </c>
      <c r="BY722" s="64">
        <f t="shared" si="105"/>
        <v>0.15707916010999659</v>
      </c>
      <c r="BZ722" s="3" t="str">
        <f t="shared" si="106"/>
        <v>Check</v>
      </c>
    </row>
    <row r="723" spans="1:78">
      <c r="A723" s="76"/>
      <c r="B723" s="76"/>
      <c r="C723" s="125"/>
      <c r="D723" s="125"/>
      <c r="E723" s="71"/>
      <c r="F723" s="71"/>
      <c r="G723" s="71"/>
      <c r="H723" s="126"/>
      <c r="I723" s="125"/>
      <c r="J723" s="123"/>
      <c r="K723" s="12"/>
      <c r="L723" s="117"/>
      <c r="M723" s="12"/>
      <c r="N723" s="117"/>
      <c r="O723" s="117"/>
      <c r="P723" s="117"/>
      <c r="Q723" s="118"/>
      <c r="R723" s="118"/>
      <c r="S723" s="118"/>
      <c r="T723" s="12"/>
      <c r="U723" s="118"/>
      <c r="V723" s="118"/>
      <c r="W723" s="12"/>
      <c r="X723" s="119"/>
      <c r="Y723" s="120"/>
      <c r="Z723" s="12"/>
      <c r="BA723" s="70" t="s">
        <v>205</v>
      </c>
      <c r="BB723" s="71" t="s">
        <v>210</v>
      </c>
      <c r="BC723" s="71" t="s">
        <v>207</v>
      </c>
      <c r="BD723" s="71">
        <v>21</v>
      </c>
      <c r="BE723" s="71">
        <v>36</v>
      </c>
      <c r="BF723" s="71">
        <v>390</v>
      </c>
      <c r="BG723" s="71">
        <v>212</v>
      </c>
      <c r="BH723" s="71">
        <v>5</v>
      </c>
      <c r="BI723" s="71">
        <v>10</v>
      </c>
      <c r="BJ723" s="12" t="str" cm="1">
        <f t="array" ref="BJ723">_xll.Dce_Name_SectI(BF723, BF723, BG723, BH723, BI723, "x", "-", $AX$11)</f>
        <v>390x212x5x10</v>
      </c>
      <c r="BK723" s="77" cm="1">
        <f t="array" ref="BK723">_xll.DCEPropSectI(BF723, BH723, BG723, BI723, BG723, BI723, "A")/100</f>
        <v>60.9</v>
      </c>
      <c r="BL723" s="70" t="s">
        <v>222</v>
      </c>
      <c r="BM723" s="70">
        <v>200.88853786467462</v>
      </c>
      <c r="BN723" s="71">
        <v>0.9</v>
      </c>
      <c r="BO723" s="77">
        <f t="shared" si="99"/>
        <v>32.4</v>
      </c>
      <c r="BP723" s="71">
        <v>0.9</v>
      </c>
      <c r="BQ723" s="77">
        <f t="shared" si="100"/>
        <v>32.4</v>
      </c>
      <c r="BR723" s="77" cm="1">
        <f t="array" ref="BR723">_xll.DCEPropSectI(BF723, BH723, BG723, BI723, BG723, BI723, "rx")/10</f>
        <v>16.91131201300167</v>
      </c>
      <c r="BS723" s="77" cm="1">
        <f t="array" ref="BS723">_xll.DCEPropSectI(BF723, BH723, BG723, BI723, BG723, BI723, "ry")/10</f>
        <v>5.1070747638622018</v>
      </c>
      <c r="BT723" s="5">
        <f t="shared" si="101"/>
        <v>191.58773710218577</v>
      </c>
      <c r="BU723" s="5">
        <f t="shared" si="102"/>
        <v>634.41405301647956</v>
      </c>
      <c r="BV723" s="5">
        <f t="shared" si="103"/>
        <v>634.41405301647956</v>
      </c>
      <c r="BW723" s="71">
        <f t="shared" si="104"/>
        <v>400</v>
      </c>
      <c r="BX723" s="78" cm="1">
        <f t="array" ref="BX723">IF(BM723&gt;0,1,_xll.DCETCVN5575FactorPhi7121(BV723*SQRT($K$17/206000),"b"))</f>
        <v>1</v>
      </c>
      <c r="BY723" s="64">
        <f t="shared" si="105"/>
        <v>0.15707916010999659</v>
      </c>
      <c r="BZ723" s="3" t="str">
        <f t="shared" si="106"/>
        <v>Check</v>
      </c>
    </row>
    <row r="724" spans="1:78">
      <c r="A724" s="76"/>
      <c r="B724" s="76"/>
      <c r="C724" s="125"/>
      <c r="D724" s="125"/>
      <c r="E724" s="71"/>
      <c r="F724" s="71"/>
      <c r="G724" s="71"/>
      <c r="H724" s="126"/>
      <c r="I724" s="125"/>
      <c r="J724" s="123"/>
      <c r="K724" s="12"/>
      <c r="L724" s="117"/>
      <c r="M724" s="12"/>
      <c r="N724" s="117"/>
      <c r="O724" s="117"/>
      <c r="P724" s="117"/>
      <c r="Q724" s="118"/>
      <c r="R724" s="118"/>
      <c r="S724" s="118"/>
      <c r="T724" s="12"/>
      <c r="U724" s="118"/>
      <c r="V724" s="118"/>
      <c r="W724" s="12"/>
      <c r="X724" s="119"/>
      <c r="Y724" s="120"/>
      <c r="Z724" s="12"/>
      <c r="BA724" s="70" t="s">
        <v>205</v>
      </c>
      <c r="BB724" s="71" t="s">
        <v>210</v>
      </c>
      <c r="BC724" s="71" t="s">
        <v>207</v>
      </c>
      <c r="BD724" s="71">
        <v>21.5</v>
      </c>
      <c r="BE724" s="71">
        <v>36</v>
      </c>
      <c r="BF724" s="71">
        <v>390</v>
      </c>
      <c r="BG724" s="71">
        <v>212</v>
      </c>
      <c r="BH724" s="71">
        <v>5</v>
      </c>
      <c r="BI724" s="71">
        <v>10</v>
      </c>
      <c r="BJ724" s="12" t="str" cm="1">
        <f t="array" ref="BJ724">_xll.Dce_Name_SectI(BF724, BF724, BG724, BH724, BI724, "x", "-", $AX$11)</f>
        <v>390x212x5x10</v>
      </c>
      <c r="BK724" s="77" cm="1">
        <f t="array" ref="BK724">_xll.DCEPropSectI(BF724, BH724, BG724, BI724, BG724, BI724, "A")/100</f>
        <v>60.9</v>
      </c>
      <c r="BL724" s="70" t="s">
        <v>222</v>
      </c>
      <c r="BM724" s="70">
        <v>200.88853786467462</v>
      </c>
      <c r="BN724" s="71">
        <v>0.9</v>
      </c>
      <c r="BO724" s="77">
        <f t="shared" si="99"/>
        <v>32.4</v>
      </c>
      <c r="BP724" s="71">
        <v>0.9</v>
      </c>
      <c r="BQ724" s="77">
        <f t="shared" si="100"/>
        <v>32.4</v>
      </c>
      <c r="BR724" s="77" cm="1">
        <f t="array" ref="BR724">_xll.DCEPropSectI(BF724, BH724, BG724, BI724, BG724, BI724, "rx")/10</f>
        <v>16.91131201300167</v>
      </c>
      <c r="BS724" s="77" cm="1">
        <f t="array" ref="BS724">_xll.DCEPropSectI(BF724, BH724, BG724, BI724, BG724, BI724, "ry")/10</f>
        <v>5.1070747638622018</v>
      </c>
      <c r="BT724" s="5">
        <f t="shared" si="101"/>
        <v>191.58773710218577</v>
      </c>
      <c r="BU724" s="5">
        <f t="shared" si="102"/>
        <v>634.41405301647956</v>
      </c>
      <c r="BV724" s="5">
        <f t="shared" si="103"/>
        <v>634.41405301647956</v>
      </c>
      <c r="BW724" s="71">
        <f t="shared" si="104"/>
        <v>400</v>
      </c>
      <c r="BX724" s="78" cm="1">
        <f t="array" ref="BX724">IF(BM724&gt;0,1,_xll.DCETCVN5575FactorPhi7121(BV724*SQRT($K$17/206000),"b"))</f>
        <v>1</v>
      </c>
      <c r="BY724" s="64">
        <f t="shared" si="105"/>
        <v>0.15707916010999659</v>
      </c>
      <c r="BZ724" s="3" t="str">
        <f t="shared" si="106"/>
        <v>Check</v>
      </c>
    </row>
    <row r="725" spans="1:78">
      <c r="A725" s="76"/>
      <c r="B725" s="76"/>
      <c r="C725" s="125"/>
      <c r="D725" s="125"/>
      <c r="E725" s="71"/>
      <c r="F725" s="71"/>
      <c r="G725" s="71"/>
      <c r="H725" s="126"/>
      <c r="I725" s="125"/>
      <c r="J725" s="123"/>
      <c r="K725" s="12"/>
      <c r="L725" s="117"/>
      <c r="M725" s="12"/>
      <c r="N725" s="117"/>
      <c r="O725" s="117"/>
      <c r="P725" s="117"/>
      <c r="Q725" s="118"/>
      <c r="R725" s="118"/>
      <c r="S725" s="118"/>
      <c r="T725" s="12"/>
      <c r="U725" s="118"/>
      <c r="V725" s="118"/>
      <c r="W725" s="12"/>
      <c r="X725" s="119"/>
      <c r="Y725" s="120"/>
      <c r="Z725" s="12"/>
      <c r="BA725" s="70" t="s">
        <v>205</v>
      </c>
      <c r="BB725" s="71" t="s">
        <v>210</v>
      </c>
      <c r="BC725" s="71" t="s">
        <v>207</v>
      </c>
      <c r="BD725" s="71">
        <v>22</v>
      </c>
      <c r="BE725" s="71">
        <v>36</v>
      </c>
      <c r="BF725" s="71">
        <v>390</v>
      </c>
      <c r="BG725" s="71">
        <v>212</v>
      </c>
      <c r="BH725" s="71">
        <v>5</v>
      </c>
      <c r="BI725" s="71">
        <v>10</v>
      </c>
      <c r="BJ725" s="12" t="str" cm="1">
        <f t="array" ref="BJ725">_xll.Dce_Name_SectI(BF725, BF725, BG725, BH725, BI725, "x", "-", $AX$11)</f>
        <v>390x212x5x10</v>
      </c>
      <c r="BK725" s="77" cm="1">
        <f t="array" ref="BK725">_xll.DCEPropSectI(BF725, BH725, BG725, BI725, BG725, BI725, "A")/100</f>
        <v>60.9</v>
      </c>
      <c r="BL725" s="70" t="s">
        <v>222</v>
      </c>
      <c r="BM725" s="70">
        <v>200.88853786467462</v>
      </c>
      <c r="BN725" s="71">
        <v>0.9</v>
      </c>
      <c r="BO725" s="77">
        <f t="shared" si="99"/>
        <v>32.4</v>
      </c>
      <c r="BP725" s="71">
        <v>0.9</v>
      </c>
      <c r="BQ725" s="77">
        <f t="shared" si="100"/>
        <v>32.4</v>
      </c>
      <c r="BR725" s="77" cm="1">
        <f t="array" ref="BR725">_xll.DCEPropSectI(BF725, BH725, BG725, BI725, BG725, BI725, "rx")/10</f>
        <v>16.91131201300167</v>
      </c>
      <c r="BS725" s="77" cm="1">
        <f t="array" ref="BS725">_xll.DCEPropSectI(BF725, BH725, BG725, BI725, BG725, BI725, "ry")/10</f>
        <v>5.1070747638622018</v>
      </c>
      <c r="BT725" s="5">
        <f t="shared" si="101"/>
        <v>191.58773710218577</v>
      </c>
      <c r="BU725" s="5">
        <f t="shared" si="102"/>
        <v>634.41405301647956</v>
      </c>
      <c r="BV725" s="5">
        <f t="shared" si="103"/>
        <v>634.41405301647956</v>
      </c>
      <c r="BW725" s="71">
        <f t="shared" si="104"/>
        <v>400</v>
      </c>
      <c r="BX725" s="78" cm="1">
        <f t="array" ref="BX725">IF(BM725&gt;0,1,_xll.DCETCVN5575FactorPhi7121(BV725*SQRT($K$17/206000),"b"))</f>
        <v>1</v>
      </c>
      <c r="BY725" s="64">
        <f t="shared" si="105"/>
        <v>0.15707916010999659</v>
      </c>
      <c r="BZ725" s="3" t="str">
        <f t="shared" si="106"/>
        <v>Check</v>
      </c>
    </row>
    <row r="726" spans="1:78">
      <c r="A726" s="76"/>
      <c r="B726" s="76"/>
      <c r="C726" s="125"/>
      <c r="D726" s="125"/>
      <c r="E726" s="71"/>
      <c r="F726" s="71"/>
      <c r="G726" s="71"/>
      <c r="H726" s="126"/>
      <c r="I726" s="125"/>
      <c r="J726" s="123"/>
      <c r="K726" s="12"/>
      <c r="L726" s="117"/>
      <c r="M726" s="12"/>
      <c r="N726" s="117"/>
      <c r="O726" s="117"/>
      <c r="P726" s="117"/>
      <c r="Q726" s="118"/>
      <c r="R726" s="118"/>
      <c r="S726" s="118"/>
      <c r="T726" s="12"/>
      <c r="U726" s="118"/>
      <c r="V726" s="118"/>
      <c r="W726" s="12"/>
      <c r="X726" s="119"/>
      <c r="Y726" s="120"/>
      <c r="Z726" s="12"/>
      <c r="BA726" s="70" t="s">
        <v>205</v>
      </c>
      <c r="BB726" s="71" t="s">
        <v>210</v>
      </c>
      <c r="BC726" s="71" t="s">
        <v>207</v>
      </c>
      <c r="BD726" s="71">
        <v>22.5</v>
      </c>
      <c r="BE726" s="71">
        <v>36</v>
      </c>
      <c r="BF726" s="71">
        <v>390</v>
      </c>
      <c r="BG726" s="71">
        <v>212</v>
      </c>
      <c r="BH726" s="71">
        <v>5</v>
      </c>
      <c r="BI726" s="71">
        <v>10</v>
      </c>
      <c r="BJ726" s="12" t="str" cm="1">
        <f t="array" ref="BJ726">_xll.Dce_Name_SectI(BF726, BF726, BG726, BH726, BI726, "x", "-", $AX$11)</f>
        <v>390x212x5x10</v>
      </c>
      <c r="BK726" s="77" cm="1">
        <f t="array" ref="BK726">_xll.DCEPropSectI(BF726, BH726, BG726, BI726, BG726, BI726, "A")/100</f>
        <v>60.9</v>
      </c>
      <c r="BL726" s="70" t="s">
        <v>222</v>
      </c>
      <c r="BM726" s="70">
        <v>200.88853786467462</v>
      </c>
      <c r="BN726" s="71">
        <v>0.9</v>
      </c>
      <c r="BO726" s="77">
        <f t="shared" si="99"/>
        <v>32.4</v>
      </c>
      <c r="BP726" s="71">
        <v>0.9</v>
      </c>
      <c r="BQ726" s="77">
        <f t="shared" si="100"/>
        <v>32.4</v>
      </c>
      <c r="BR726" s="77" cm="1">
        <f t="array" ref="BR726">_xll.DCEPropSectI(BF726, BH726, BG726, BI726, BG726, BI726, "rx")/10</f>
        <v>16.91131201300167</v>
      </c>
      <c r="BS726" s="77" cm="1">
        <f t="array" ref="BS726">_xll.DCEPropSectI(BF726, BH726, BG726, BI726, BG726, BI726, "ry")/10</f>
        <v>5.1070747638622018</v>
      </c>
      <c r="BT726" s="5">
        <f t="shared" si="101"/>
        <v>191.58773710218577</v>
      </c>
      <c r="BU726" s="5">
        <f t="shared" si="102"/>
        <v>634.41405301647956</v>
      </c>
      <c r="BV726" s="5">
        <f t="shared" si="103"/>
        <v>634.41405301647956</v>
      </c>
      <c r="BW726" s="71">
        <f t="shared" si="104"/>
        <v>400</v>
      </c>
      <c r="BX726" s="78" cm="1">
        <f t="array" ref="BX726">IF(BM726&gt;0,1,_xll.DCETCVN5575FactorPhi7121(BV726*SQRT($K$17/206000),"b"))</f>
        <v>1</v>
      </c>
      <c r="BY726" s="64">
        <f t="shared" si="105"/>
        <v>0.15707916010999659</v>
      </c>
      <c r="BZ726" s="3" t="str">
        <f t="shared" si="106"/>
        <v>Check</v>
      </c>
    </row>
    <row r="727" spans="1:78">
      <c r="A727" s="76"/>
      <c r="B727" s="76"/>
      <c r="C727" s="125"/>
      <c r="D727" s="125"/>
      <c r="E727" s="71"/>
      <c r="F727" s="71"/>
      <c r="G727" s="71"/>
      <c r="H727" s="126"/>
      <c r="I727" s="125"/>
      <c r="J727" s="123"/>
      <c r="K727" s="12"/>
      <c r="L727" s="117"/>
      <c r="M727" s="12"/>
      <c r="N727" s="117"/>
      <c r="O727" s="117"/>
      <c r="P727" s="117"/>
      <c r="Q727" s="118"/>
      <c r="R727" s="118"/>
      <c r="S727" s="118"/>
      <c r="T727" s="12"/>
      <c r="U727" s="118"/>
      <c r="V727" s="118"/>
      <c r="W727" s="12"/>
      <c r="X727" s="119"/>
      <c r="Y727" s="120"/>
      <c r="Z727" s="12"/>
      <c r="BA727" s="70" t="s">
        <v>205</v>
      </c>
      <c r="BB727" s="71" t="s">
        <v>210</v>
      </c>
      <c r="BC727" s="71" t="s">
        <v>207</v>
      </c>
      <c r="BD727" s="71">
        <v>22.5</v>
      </c>
      <c r="BE727" s="71">
        <v>36</v>
      </c>
      <c r="BF727" s="71">
        <v>390</v>
      </c>
      <c r="BG727" s="71">
        <v>212</v>
      </c>
      <c r="BH727" s="71">
        <v>5</v>
      </c>
      <c r="BI727" s="71">
        <v>10</v>
      </c>
      <c r="BJ727" s="12" t="str" cm="1">
        <f t="array" ref="BJ727">_xll.Dce_Name_SectI(BF727, BF727, BG727, BH727, BI727, "x", "-", $AX$11)</f>
        <v>390x212x5x10</v>
      </c>
      <c r="BK727" s="77" cm="1">
        <f t="array" ref="BK727">_xll.DCEPropSectI(BF727, BH727, BG727, BI727, BG727, BI727, "A")/100</f>
        <v>60.9</v>
      </c>
      <c r="BL727" s="70" t="s">
        <v>222</v>
      </c>
      <c r="BM727" s="70">
        <v>73.138945504339361</v>
      </c>
      <c r="BN727" s="71">
        <v>0.9</v>
      </c>
      <c r="BO727" s="77">
        <f t="shared" si="99"/>
        <v>32.4</v>
      </c>
      <c r="BP727" s="71">
        <v>0.9</v>
      </c>
      <c r="BQ727" s="77">
        <f t="shared" si="100"/>
        <v>32.4</v>
      </c>
      <c r="BR727" s="77" cm="1">
        <f t="array" ref="BR727">_xll.DCEPropSectI(BF727, BH727, BG727, BI727, BG727, BI727, "rx")/10</f>
        <v>16.91131201300167</v>
      </c>
      <c r="BS727" s="77" cm="1">
        <f t="array" ref="BS727">_xll.DCEPropSectI(BF727, BH727, BG727, BI727, BG727, BI727, "ry")/10</f>
        <v>5.1070747638622018</v>
      </c>
      <c r="BT727" s="5">
        <f t="shared" si="101"/>
        <v>191.58773710218577</v>
      </c>
      <c r="BU727" s="5">
        <f t="shared" si="102"/>
        <v>634.41405301647956</v>
      </c>
      <c r="BV727" s="5">
        <f t="shared" si="103"/>
        <v>634.41405301647956</v>
      </c>
      <c r="BW727" s="71">
        <f t="shared" si="104"/>
        <v>400</v>
      </c>
      <c r="BX727" s="78" cm="1">
        <f t="array" ref="BX727">IF(BM727&gt;0,1,_xll.DCETCVN5575FactorPhi7121(BV727*SQRT($K$17/206000),"b"))</f>
        <v>1</v>
      </c>
      <c r="BY727" s="64">
        <f t="shared" si="105"/>
        <v>5.7188947927390231E-2</v>
      </c>
      <c r="BZ727" s="3" t="str">
        <f t="shared" si="106"/>
        <v>Check</v>
      </c>
    </row>
    <row r="728" spans="1:78">
      <c r="A728" s="76"/>
      <c r="B728" s="76"/>
      <c r="C728" s="125"/>
      <c r="D728" s="125"/>
      <c r="E728" s="71"/>
      <c r="F728" s="71"/>
      <c r="G728" s="71"/>
      <c r="H728" s="126"/>
      <c r="I728" s="125"/>
      <c r="J728" s="123"/>
      <c r="K728" s="12"/>
      <c r="L728" s="117"/>
      <c r="M728" s="12"/>
      <c r="N728" s="117"/>
      <c r="O728" s="117"/>
      <c r="P728" s="117"/>
      <c r="Q728" s="118"/>
      <c r="R728" s="118"/>
      <c r="S728" s="118"/>
      <c r="T728" s="12"/>
      <c r="U728" s="118"/>
      <c r="V728" s="118"/>
      <c r="W728" s="12"/>
      <c r="X728" s="119"/>
      <c r="Y728" s="120"/>
      <c r="Z728" s="12"/>
      <c r="BA728" s="70" t="s">
        <v>205</v>
      </c>
      <c r="BB728" s="71" t="s">
        <v>210</v>
      </c>
      <c r="BC728" s="71" t="s">
        <v>207</v>
      </c>
      <c r="BD728" s="71">
        <v>23</v>
      </c>
      <c r="BE728" s="71">
        <v>36</v>
      </c>
      <c r="BF728" s="71">
        <v>390</v>
      </c>
      <c r="BG728" s="71">
        <v>212</v>
      </c>
      <c r="BH728" s="71">
        <v>5</v>
      </c>
      <c r="BI728" s="71">
        <v>10</v>
      </c>
      <c r="BJ728" s="12" t="str" cm="1">
        <f t="array" ref="BJ728">_xll.Dce_Name_SectI(BF728, BF728, BG728, BH728, BI728, "x", "-", $AX$11)</f>
        <v>390x212x5x10</v>
      </c>
      <c r="BK728" s="77" cm="1">
        <f t="array" ref="BK728">_xll.DCEPropSectI(BF728, BH728, BG728, BI728, BG728, BI728, "A")/100</f>
        <v>60.9</v>
      </c>
      <c r="BL728" s="70" t="s">
        <v>222</v>
      </c>
      <c r="BM728" s="70">
        <v>73.138945504339361</v>
      </c>
      <c r="BN728" s="71">
        <v>0.9</v>
      </c>
      <c r="BO728" s="77">
        <f t="shared" si="99"/>
        <v>32.4</v>
      </c>
      <c r="BP728" s="71">
        <v>0.9</v>
      </c>
      <c r="BQ728" s="77">
        <f t="shared" si="100"/>
        <v>32.4</v>
      </c>
      <c r="BR728" s="77" cm="1">
        <f t="array" ref="BR728">_xll.DCEPropSectI(BF728, BH728, BG728, BI728, BG728, BI728, "rx")/10</f>
        <v>16.91131201300167</v>
      </c>
      <c r="BS728" s="77" cm="1">
        <f t="array" ref="BS728">_xll.DCEPropSectI(BF728, BH728, BG728, BI728, BG728, BI728, "ry")/10</f>
        <v>5.1070747638622018</v>
      </c>
      <c r="BT728" s="5">
        <f t="shared" si="101"/>
        <v>191.58773710218577</v>
      </c>
      <c r="BU728" s="5">
        <f t="shared" si="102"/>
        <v>634.41405301647956</v>
      </c>
      <c r="BV728" s="5">
        <f t="shared" si="103"/>
        <v>634.41405301647956</v>
      </c>
      <c r="BW728" s="71">
        <f t="shared" si="104"/>
        <v>400</v>
      </c>
      <c r="BX728" s="78" cm="1">
        <f t="array" ref="BX728">IF(BM728&gt;0,1,_xll.DCETCVN5575FactorPhi7121(BV728*SQRT($K$17/206000),"b"))</f>
        <v>1</v>
      </c>
      <c r="BY728" s="64">
        <f t="shared" si="105"/>
        <v>5.7188947927390231E-2</v>
      </c>
      <c r="BZ728" s="3" t="str">
        <f t="shared" si="106"/>
        <v>Check</v>
      </c>
    </row>
    <row r="729" spans="1:78">
      <c r="A729" s="76"/>
      <c r="B729" s="76"/>
      <c r="C729" s="125"/>
      <c r="D729" s="125"/>
      <c r="E729" s="71"/>
      <c r="F729" s="71"/>
      <c r="G729" s="71"/>
      <c r="H729" s="126"/>
      <c r="I729" s="125"/>
      <c r="J729" s="123"/>
      <c r="K729" s="12"/>
      <c r="L729" s="117"/>
      <c r="M729" s="12"/>
      <c r="N729" s="117"/>
      <c r="O729" s="117"/>
      <c r="P729" s="117"/>
      <c r="Q729" s="118"/>
      <c r="R729" s="118"/>
      <c r="S729" s="118"/>
      <c r="T729" s="12"/>
      <c r="U729" s="118"/>
      <c r="V729" s="118"/>
      <c r="W729" s="12"/>
      <c r="X729" s="119"/>
      <c r="Y729" s="120"/>
      <c r="Z729" s="12"/>
      <c r="BA729" s="70" t="s">
        <v>205</v>
      </c>
      <c r="BB729" s="71" t="s">
        <v>210</v>
      </c>
      <c r="BC729" s="71" t="s">
        <v>207</v>
      </c>
      <c r="BD729" s="71">
        <v>23.5</v>
      </c>
      <c r="BE729" s="71">
        <v>36</v>
      </c>
      <c r="BF729" s="71">
        <v>390</v>
      </c>
      <c r="BG729" s="71">
        <v>212</v>
      </c>
      <c r="BH729" s="71">
        <v>5</v>
      </c>
      <c r="BI729" s="71">
        <v>10</v>
      </c>
      <c r="BJ729" s="12" t="str" cm="1">
        <f t="array" ref="BJ729">_xll.Dce_Name_SectI(BF729, BF729, BG729, BH729, BI729, "x", "-", $AX$11)</f>
        <v>390x212x5x10</v>
      </c>
      <c r="BK729" s="77" cm="1">
        <f t="array" ref="BK729">_xll.DCEPropSectI(BF729, BH729, BG729, BI729, BG729, BI729, "A")/100</f>
        <v>60.9</v>
      </c>
      <c r="BL729" s="70" t="s">
        <v>222</v>
      </c>
      <c r="BM729" s="70">
        <v>73.138945504339361</v>
      </c>
      <c r="BN729" s="71">
        <v>0.9</v>
      </c>
      <c r="BO729" s="77">
        <f t="shared" si="99"/>
        <v>32.4</v>
      </c>
      <c r="BP729" s="71">
        <v>0.9</v>
      </c>
      <c r="BQ729" s="77">
        <f t="shared" si="100"/>
        <v>32.4</v>
      </c>
      <c r="BR729" s="77" cm="1">
        <f t="array" ref="BR729">_xll.DCEPropSectI(BF729, BH729, BG729, BI729, BG729, BI729, "rx")/10</f>
        <v>16.91131201300167</v>
      </c>
      <c r="BS729" s="77" cm="1">
        <f t="array" ref="BS729">_xll.DCEPropSectI(BF729, BH729, BG729, BI729, BG729, BI729, "ry")/10</f>
        <v>5.1070747638622018</v>
      </c>
      <c r="BT729" s="5">
        <f t="shared" si="101"/>
        <v>191.58773710218577</v>
      </c>
      <c r="BU729" s="5">
        <f t="shared" si="102"/>
        <v>634.41405301647956</v>
      </c>
      <c r="BV729" s="5">
        <f t="shared" si="103"/>
        <v>634.41405301647956</v>
      </c>
      <c r="BW729" s="71">
        <f t="shared" si="104"/>
        <v>400</v>
      </c>
      <c r="BX729" s="78" cm="1">
        <f t="array" ref="BX729">IF(BM729&gt;0,1,_xll.DCETCVN5575FactorPhi7121(BV729*SQRT($K$17/206000),"b"))</f>
        <v>1</v>
      </c>
      <c r="BY729" s="64">
        <f t="shared" si="105"/>
        <v>5.7188947927390231E-2</v>
      </c>
      <c r="BZ729" s="3" t="str">
        <f t="shared" si="106"/>
        <v>Check</v>
      </c>
    </row>
    <row r="730" spans="1:78">
      <c r="A730" s="76"/>
      <c r="B730" s="76"/>
      <c r="C730" s="125"/>
      <c r="D730" s="125"/>
      <c r="E730" s="71"/>
      <c r="F730" s="71"/>
      <c r="G730" s="71"/>
      <c r="H730" s="126"/>
      <c r="I730" s="125"/>
      <c r="J730" s="123"/>
      <c r="K730" s="12"/>
      <c r="L730" s="117"/>
      <c r="M730" s="12"/>
      <c r="N730" s="117"/>
      <c r="O730" s="117"/>
      <c r="P730" s="117"/>
      <c r="Q730" s="118"/>
      <c r="R730" s="118"/>
      <c r="S730" s="118"/>
      <c r="T730" s="12"/>
      <c r="U730" s="118"/>
      <c r="V730" s="118"/>
      <c r="W730" s="12"/>
      <c r="X730" s="119"/>
      <c r="Y730" s="120"/>
      <c r="Z730" s="12"/>
      <c r="BA730" s="70" t="s">
        <v>205</v>
      </c>
      <c r="BB730" s="71" t="s">
        <v>210</v>
      </c>
      <c r="BC730" s="71" t="s">
        <v>207</v>
      </c>
      <c r="BD730" s="71">
        <v>24</v>
      </c>
      <c r="BE730" s="71">
        <v>36</v>
      </c>
      <c r="BF730" s="71">
        <v>390</v>
      </c>
      <c r="BG730" s="71">
        <v>212</v>
      </c>
      <c r="BH730" s="71">
        <v>5</v>
      </c>
      <c r="BI730" s="71">
        <v>10</v>
      </c>
      <c r="BJ730" s="12" t="str" cm="1">
        <f t="array" ref="BJ730">_xll.Dce_Name_SectI(BF730, BF730, BG730, BH730, BI730, "x", "-", $AX$11)</f>
        <v>390x212x5x10</v>
      </c>
      <c r="BK730" s="77" cm="1">
        <f t="array" ref="BK730">_xll.DCEPropSectI(BF730, BH730, BG730, BI730, BG730, BI730, "A")/100</f>
        <v>60.9</v>
      </c>
      <c r="BL730" s="70" t="s">
        <v>222</v>
      </c>
      <c r="BM730" s="70">
        <v>73.138945504339361</v>
      </c>
      <c r="BN730" s="71">
        <v>0.9</v>
      </c>
      <c r="BO730" s="77">
        <f t="shared" si="99"/>
        <v>32.4</v>
      </c>
      <c r="BP730" s="71">
        <v>0.9</v>
      </c>
      <c r="BQ730" s="77">
        <f t="shared" si="100"/>
        <v>32.4</v>
      </c>
      <c r="BR730" s="77" cm="1">
        <f t="array" ref="BR730">_xll.DCEPropSectI(BF730, BH730, BG730, BI730, BG730, BI730, "rx")/10</f>
        <v>16.91131201300167</v>
      </c>
      <c r="BS730" s="77" cm="1">
        <f t="array" ref="BS730">_xll.DCEPropSectI(BF730, BH730, BG730, BI730, BG730, BI730, "ry")/10</f>
        <v>5.1070747638622018</v>
      </c>
      <c r="BT730" s="5">
        <f t="shared" si="101"/>
        <v>191.58773710218577</v>
      </c>
      <c r="BU730" s="5">
        <f t="shared" si="102"/>
        <v>634.41405301647956</v>
      </c>
      <c r="BV730" s="5">
        <f t="shared" si="103"/>
        <v>634.41405301647956</v>
      </c>
      <c r="BW730" s="71">
        <f t="shared" si="104"/>
        <v>400</v>
      </c>
      <c r="BX730" s="78" cm="1">
        <f t="array" ref="BX730">IF(BM730&gt;0,1,_xll.DCETCVN5575FactorPhi7121(BV730*SQRT($K$17/206000),"b"))</f>
        <v>1</v>
      </c>
      <c r="BY730" s="64">
        <f t="shared" si="105"/>
        <v>5.7188947927390231E-2</v>
      </c>
      <c r="BZ730" s="3" t="str">
        <f t="shared" si="106"/>
        <v>Check</v>
      </c>
    </row>
    <row r="731" spans="1:78">
      <c r="A731" s="76"/>
      <c r="B731" s="76"/>
      <c r="C731" s="125"/>
      <c r="D731" s="125"/>
      <c r="E731" s="71"/>
      <c r="F731" s="71"/>
      <c r="G731" s="71"/>
      <c r="H731" s="126"/>
      <c r="I731" s="125"/>
      <c r="J731" s="123"/>
      <c r="K731" s="12"/>
      <c r="L731" s="117"/>
      <c r="M731" s="12"/>
      <c r="N731" s="117"/>
      <c r="O731" s="117"/>
      <c r="P731" s="117"/>
      <c r="Q731" s="118"/>
      <c r="R731" s="118"/>
      <c r="S731" s="118"/>
      <c r="T731" s="12"/>
      <c r="U731" s="118"/>
      <c r="V731" s="118"/>
      <c r="W731" s="12"/>
      <c r="X731" s="119"/>
      <c r="Y731" s="120"/>
      <c r="Z731" s="12"/>
      <c r="BA731" s="70" t="s">
        <v>205</v>
      </c>
      <c r="BB731" s="71" t="s">
        <v>210</v>
      </c>
      <c r="BC731" s="71" t="s">
        <v>207</v>
      </c>
      <c r="BD731" s="71">
        <v>24.5</v>
      </c>
      <c r="BE731" s="71">
        <v>36</v>
      </c>
      <c r="BF731" s="71">
        <v>390</v>
      </c>
      <c r="BG731" s="71">
        <v>212</v>
      </c>
      <c r="BH731" s="71">
        <v>5</v>
      </c>
      <c r="BI731" s="71">
        <v>10</v>
      </c>
      <c r="BJ731" s="12" t="str" cm="1">
        <f t="array" ref="BJ731">_xll.Dce_Name_SectI(BF731, BF731, BG731, BH731, BI731, "x", "-", $AX$11)</f>
        <v>390x212x5x10</v>
      </c>
      <c r="BK731" s="77" cm="1">
        <f t="array" ref="BK731">_xll.DCEPropSectI(BF731, BH731, BG731, BI731, BG731, BI731, "A")/100</f>
        <v>60.9</v>
      </c>
      <c r="BL731" s="70" t="s">
        <v>222</v>
      </c>
      <c r="BM731" s="70">
        <v>73.138945504339361</v>
      </c>
      <c r="BN731" s="71">
        <v>0.9</v>
      </c>
      <c r="BO731" s="77">
        <f t="shared" si="99"/>
        <v>32.4</v>
      </c>
      <c r="BP731" s="71">
        <v>0.9</v>
      </c>
      <c r="BQ731" s="77">
        <f t="shared" si="100"/>
        <v>32.4</v>
      </c>
      <c r="BR731" s="77" cm="1">
        <f t="array" ref="BR731">_xll.DCEPropSectI(BF731, BH731, BG731, BI731, BG731, BI731, "rx")/10</f>
        <v>16.91131201300167</v>
      </c>
      <c r="BS731" s="77" cm="1">
        <f t="array" ref="BS731">_xll.DCEPropSectI(BF731, BH731, BG731, BI731, BG731, BI731, "ry")/10</f>
        <v>5.1070747638622018</v>
      </c>
      <c r="BT731" s="5">
        <f t="shared" si="101"/>
        <v>191.58773710218577</v>
      </c>
      <c r="BU731" s="5">
        <f t="shared" si="102"/>
        <v>634.41405301647956</v>
      </c>
      <c r="BV731" s="5">
        <f t="shared" si="103"/>
        <v>634.41405301647956</v>
      </c>
      <c r="BW731" s="71">
        <f t="shared" si="104"/>
        <v>400</v>
      </c>
      <c r="BX731" s="78" cm="1">
        <f t="array" ref="BX731">IF(BM731&gt;0,1,_xll.DCETCVN5575FactorPhi7121(BV731*SQRT($K$17/206000),"b"))</f>
        <v>1</v>
      </c>
      <c r="BY731" s="64">
        <f t="shared" si="105"/>
        <v>5.7188947927390231E-2</v>
      </c>
      <c r="BZ731" s="3" t="str">
        <f t="shared" si="106"/>
        <v>Check</v>
      </c>
    </row>
    <row r="732" spans="1:78">
      <c r="A732" s="76"/>
      <c r="B732" s="76"/>
      <c r="C732" s="125"/>
      <c r="D732" s="125"/>
      <c r="E732" s="71"/>
      <c r="F732" s="71"/>
      <c r="G732" s="71"/>
      <c r="H732" s="126"/>
      <c r="I732" s="125"/>
      <c r="J732" s="123"/>
      <c r="K732" s="12"/>
      <c r="L732" s="117"/>
      <c r="M732" s="12"/>
      <c r="N732" s="117"/>
      <c r="O732" s="117"/>
      <c r="P732" s="117"/>
      <c r="Q732" s="118"/>
      <c r="R732" s="118"/>
      <c r="S732" s="118"/>
      <c r="T732" s="12"/>
      <c r="U732" s="118"/>
      <c r="V732" s="118"/>
      <c r="W732" s="12"/>
      <c r="X732" s="119"/>
      <c r="Y732" s="120"/>
      <c r="Z732" s="12"/>
      <c r="BA732" s="70" t="s">
        <v>205</v>
      </c>
      <c r="BB732" s="71" t="s">
        <v>210</v>
      </c>
      <c r="BC732" s="71" t="s">
        <v>207</v>
      </c>
      <c r="BD732" s="71">
        <v>25</v>
      </c>
      <c r="BE732" s="71">
        <v>36</v>
      </c>
      <c r="BF732" s="71">
        <v>390</v>
      </c>
      <c r="BG732" s="71">
        <v>212</v>
      </c>
      <c r="BH732" s="71">
        <v>5</v>
      </c>
      <c r="BI732" s="71">
        <v>10</v>
      </c>
      <c r="BJ732" s="12" t="str" cm="1">
        <f t="array" ref="BJ732">_xll.Dce_Name_SectI(BF732, BF732, BG732, BH732, BI732, "x", "-", $AX$11)</f>
        <v>390x212x5x10</v>
      </c>
      <c r="BK732" s="77" cm="1">
        <f t="array" ref="BK732">_xll.DCEPropSectI(BF732, BH732, BG732, BI732, BG732, BI732, "A")/100</f>
        <v>60.9</v>
      </c>
      <c r="BL732" s="70" t="s">
        <v>222</v>
      </c>
      <c r="BM732" s="70">
        <v>73.138945504339361</v>
      </c>
      <c r="BN732" s="71">
        <v>0.9</v>
      </c>
      <c r="BO732" s="77">
        <f t="shared" si="99"/>
        <v>32.4</v>
      </c>
      <c r="BP732" s="71">
        <v>0.9</v>
      </c>
      <c r="BQ732" s="77">
        <f t="shared" si="100"/>
        <v>32.4</v>
      </c>
      <c r="BR732" s="77" cm="1">
        <f t="array" ref="BR732">_xll.DCEPropSectI(BF732, BH732, BG732, BI732, BG732, BI732, "rx")/10</f>
        <v>16.91131201300167</v>
      </c>
      <c r="BS732" s="77" cm="1">
        <f t="array" ref="BS732">_xll.DCEPropSectI(BF732, BH732, BG732, BI732, BG732, BI732, "ry")/10</f>
        <v>5.1070747638622018</v>
      </c>
      <c r="BT732" s="5">
        <f t="shared" si="101"/>
        <v>191.58773710218577</v>
      </c>
      <c r="BU732" s="5">
        <f t="shared" si="102"/>
        <v>634.41405301647956</v>
      </c>
      <c r="BV732" s="5">
        <f t="shared" si="103"/>
        <v>634.41405301647956</v>
      </c>
      <c r="BW732" s="71">
        <f t="shared" si="104"/>
        <v>400</v>
      </c>
      <c r="BX732" s="78" cm="1">
        <f t="array" ref="BX732">IF(BM732&gt;0,1,_xll.DCETCVN5575FactorPhi7121(BV732*SQRT($K$17/206000),"b"))</f>
        <v>1</v>
      </c>
      <c r="BY732" s="64">
        <f t="shared" si="105"/>
        <v>5.7188947927390231E-2</v>
      </c>
      <c r="BZ732" s="3" t="str">
        <f t="shared" si="106"/>
        <v>Check</v>
      </c>
    </row>
    <row r="733" spans="1:78">
      <c r="A733" s="76"/>
      <c r="B733" s="76"/>
      <c r="C733" s="125"/>
      <c r="D733" s="125"/>
      <c r="E733" s="71"/>
      <c r="F733" s="71"/>
      <c r="G733" s="71"/>
      <c r="H733" s="126"/>
      <c r="I733" s="125"/>
      <c r="J733" s="123"/>
      <c r="K733" s="12"/>
      <c r="L733" s="117"/>
      <c r="M733" s="12"/>
      <c r="N733" s="117"/>
      <c r="O733" s="117"/>
      <c r="P733" s="117"/>
      <c r="Q733" s="118"/>
      <c r="R733" s="118"/>
      <c r="S733" s="118"/>
      <c r="T733" s="12"/>
      <c r="U733" s="118"/>
      <c r="V733" s="118"/>
      <c r="W733" s="12"/>
      <c r="X733" s="119"/>
      <c r="Y733" s="120"/>
      <c r="Z733" s="12"/>
      <c r="BA733" s="70" t="s">
        <v>205</v>
      </c>
      <c r="BB733" s="71" t="s">
        <v>210</v>
      </c>
      <c r="BC733" s="71" t="s">
        <v>207</v>
      </c>
      <c r="BD733" s="71">
        <v>25.5</v>
      </c>
      <c r="BE733" s="71">
        <v>36</v>
      </c>
      <c r="BF733" s="71">
        <v>390</v>
      </c>
      <c r="BG733" s="71">
        <v>212</v>
      </c>
      <c r="BH733" s="71">
        <v>5</v>
      </c>
      <c r="BI733" s="71">
        <v>10</v>
      </c>
      <c r="BJ733" s="12" t="str" cm="1">
        <f t="array" ref="BJ733">_xll.Dce_Name_SectI(BF733, BF733, BG733, BH733, BI733, "x", "-", $AX$11)</f>
        <v>390x212x5x10</v>
      </c>
      <c r="BK733" s="77" cm="1">
        <f t="array" ref="BK733">_xll.DCEPropSectI(BF733, BH733, BG733, BI733, BG733, BI733, "A")/100</f>
        <v>60.9</v>
      </c>
      <c r="BL733" s="70" t="s">
        <v>222</v>
      </c>
      <c r="BM733" s="70">
        <v>73.138945504339361</v>
      </c>
      <c r="BN733" s="71">
        <v>0.9</v>
      </c>
      <c r="BO733" s="77">
        <f t="shared" si="99"/>
        <v>32.4</v>
      </c>
      <c r="BP733" s="71">
        <v>0.9</v>
      </c>
      <c r="BQ733" s="77">
        <f t="shared" si="100"/>
        <v>32.4</v>
      </c>
      <c r="BR733" s="77" cm="1">
        <f t="array" ref="BR733">_xll.DCEPropSectI(BF733, BH733, BG733, BI733, BG733, BI733, "rx")/10</f>
        <v>16.91131201300167</v>
      </c>
      <c r="BS733" s="77" cm="1">
        <f t="array" ref="BS733">_xll.DCEPropSectI(BF733, BH733, BG733, BI733, BG733, BI733, "ry")/10</f>
        <v>5.1070747638622018</v>
      </c>
      <c r="BT733" s="5">
        <f t="shared" si="101"/>
        <v>191.58773710218577</v>
      </c>
      <c r="BU733" s="5">
        <f t="shared" si="102"/>
        <v>634.41405301647956</v>
      </c>
      <c r="BV733" s="5">
        <f t="shared" si="103"/>
        <v>634.41405301647956</v>
      </c>
      <c r="BW733" s="71">
        <f t="shared" si="104"/>
        <v>400</v>
      </c>
      <c r="BX733" s="78" cm="1">
        <f t="array" ref="BX733">IF(BM733&gt;0,1,_xll.DCETCVN5575FactorPhi7121(BV733*SQRT($K$17/206000),"b"))</f>
        <v>1</v>
      </c>
      <c r="BY733" s="64">
        <f t="shared" si="105"/>
        <v>5.7188947927390231E-2</v>
      </c>
      <c r="BZ733" s="3" t="str">
        <f t="shared" si="106"/>
        <v>Check</v>
      </c>
    </row>
    <row r="734" spans="1:78">
      <c r="A734" s="76"/>
      <c r="B734" s="76"/>
      <c r="C734" s="125"/>
      <c r="D734" s="125"/>
      <c r="E734" s="71"/>
      <c r="F734" s="71"/>
      <c r="G734" s="71"/>
      <c r="H734" s="126"/>
      <c r="I734" s="125"/>
      <c r="J734" s="123"/>
      <c r="K734" s="12"/>
      <c r="L734" s="117"/>
      <c r="M734" s="12"/>
      <c r="N734" s="117"/>
      <c r="O734" s="117"/>
      <c r="P734" s="117"/>
      <c r="Q734" s="118"/>
      <c r="R734" s="118"/>
      <c r="S734" s="118"/>
      <c r="T734" s="12"/>
      <c r="U734" s="118"/>
      <c r="V734" s="118"/>
      <c r="W734" s="12"/>
      <c r="X734" s="119"/>
      <c r="Y734" s="120"/>
      <c r="Z734" s="12"/>
      <c r="BA734" s="70" t="s">
        <v>205</v>
      </c>
      <c r="BB734" s="71" t="s">
        <v>210</v>
      </c>
      <c r="BC734" s="71" t="s">
        <v>207</v>
      </c>
      <c r="BD734" s="71">
        <v>26</v>
      </c>
      <c r="BE734" s="71">
        <v>36</v>
      </c>
      <c r="BF734" s="71">
        <v>390</v>
      </c>
      <c r="BG734" s="71">
        <v>212</v>
      </c>
      <c r="BH734" s="71">
        <v>5</v>
      </c>
      <c r="BI734" s="71">
        <v>10</v>
      </c>
      <c r="BJ734" s="12" t="str" cm="1">
        <f t="array" ref="BJ734">_xll.Dce_Name_SectI(BF734, BF734, BG734, BH734, BI734, "x", "-", $AX$11)</f>
        <v>390x212x5x10</v>
      </c>
      <c r="BK734" s="77" cm="1">
        <f t="array" ref="BK734">_xll.DCEPropSectI(BF734, BH734, BG734, BI734, BG734, BI734, "A")/100</f>
        <v>60.9</v>
      </c>
      <c r="BL734" s="70" t="s">
        <v>222</v>
      </c>
      <c r="BM734" s="70">
        <v>73.138945504339361</v>
      </c>
      <c r="BN734" s="71">
        <v>0.9</v>
      </c>
      <c r="BO734" s="77">
        <f t="shared" si="99"/>
        <v>32.4</v>
      </c>
      <c r="BP734" s="71">
        <v>0.9</v>
      </c>
      <c r="BQ734" s="77">
        <f t="shared" si="100"/>
        <v>32.4</v>
      </c>
      <c r="BR734" s="77" cm="1">
        <f t="array" ref="BR734">_xll.DCEPropSectI(BF734, BH734, BG734, BI734, BG734, BI734, "rx")/10</f>
        <v>16.91131201300167</v>
      </c>
      <c r="BS734" s="77" cm="1">
        <f t="array" ref="BS734">_xll.DCEPropSectI(BF734, BH734, BG734, BI734, BG734, BI734, "ry")/10</f>
        <v>5.1070747638622018</v>
      </c>
      <c r="BT734" s="5">
        <f t="shared" si="101"/>
        <v>191.58773710218577</v>
      </c>
      <c r="BU734" s="5">
        <f t="shared" si="102"/>
        <v>634.41405301647956</v>
      </c>
      <c r="BV734" s="5">
        <f t="shared" si="103"/>
        <v>634.41405301647956</v>
      </c>
      <c r="BW734" s="71">
        <f t="shared" si="104"/>
        <v>400</v>
      </c>
      <c r="BX734" s="78" cm="1">
        <f t="array" ref="BX734">IF(BM734&gt;0,1,_xll.DCETCVN5575FactorPhi7121(BV734*SQRT($K$17/206000),"b"))</f>
        <v>1</v>
      </c>
      <c r="BY734" s="64">
        <f t="shared" si="105"/>
        <v>5.7188947927390231E-2</v>
      </c>
      <c r="BZ734" s="3" t="str">
        <f t="shared" si="106"/>
        <v>Check</v>
      </c>
    </row>
    <row r="735" spans="1:78">
      <c r="A735" s="76"/>
      <c r="B735" s="76"/>
      <c r="C735" s="125"/>
      <c r="D735" s="125"/>
      <c r="E735" s="71"/>
      <c r="F735" s="71"/>
      <c r="G735" s="71"/>
      <c r="H735" s="126"/>
      <c r="I735" s="125"/>
      <c r="J735" s="123"/>
      <c r="K735" s="12"/>
      <c r="L735" s="117"/>
      <c r="M735" s="12"/>
      <c r="N735" s="117"/>
      <c r="O735" s="117"/>
      <c r="P735" s="117"/>
      <c r="Q735" s="118"/>
      <c r="R735" s="118"/>
      <c r="S735" s="118"/>
      <c r="T735" s="12"/>
      <c r="U735" s="118"/>
      <c r="V735" s="118"/>
      <c r="W735" s="12"/>
      <c r="X735" s="119"/>
      <c r="Y735" s="120"/>
      <c r="Z735" s="12"/>
      <c r="BA735" s="70" t="s">
        <v>205</v>
      </c>
      <c r="BB735" s="71" t="s">
        <v>210</v>
      </c>
      <c r="BC735" s="71" t="s">
        <v>207</v>
      </c>
      <c r="BD735" s="71">
        <v>26.5</v>
      </c>
      <c r="BE735" s="71">
        <v>36</v>
      </c>
      <c r="BF735" s="71">
        <v>390</v>
      </c>
      <c r="BG735" s="71">
        <v>212</v>
      </c>
      <c r="BH735" s="71">
        <v>5</v>
      </c>
      <c r="BI735" s="71">
        <v>10</v>
      </c>
      <c r="BJ735" s="12" t="str" cm="1">
        <f t="array" ref="BJ735">_xll.Dce_Name_SectI(BF735, BF735, BG735, BH735, BI735, "x", "-", $AX$11)</f>
        <v>390x212x5x10</v>
      </c>
      <c r="BK735" s="77" cm="1">
        <f t="array" ref="BK735">_xll.DCEPropSectI(BF735, BH735, BG735, BI735, BG735, BI735, "A")/100</f>
        <v>60.9</v>
      </c>
      <c r="BL735" s="70" t="s">
        <v>222</v>
      </c>
      <c r="BM735" s="70">
        <v>73.138945504339361</v>
      </c>
      <c r="BN735" s="71">
        <v>0.9</v>
      </c>
      <c r="BO735" s="77">
        <f t="shared" si="99"/>
        <v>32.4</v>
      </c>
      <c r="BP735" s="71">
        <v>0.9</v>
      </c>
      <c r="BQ735" s="77">
        <f t="shared" si="100"/>
        <v>32.4</v>
      </c>
      <c r="BR735" s="77" cm="1">
        <f t="array" ref="BR735">_xll.DCEPropSectI(BF735, BH735, BG735, BI735, BG735, BI735, "rx")/10</f>
        <v>16.91131201300167</v>
      </c>
      <c r="BS735" s="77" cm="1">
        <f t="array" ref="BS735">_xll.DCEPropSectI(BF735, BH735, BG735, BI735, BG735, BI735, "ry")/10</f>
        <v>5.1070747638622018</v>
      </c>
      <c r="BT735" s="5">
        <f t="shared" si="101"/>
        <v>191.58773710218577</v>
      </c>
      <c r="BU735" s="5">
        <f t="shared" si="102"/>
        <v>634.41405301647956</v>
      </c>
      <c r="BV735" s="5">
        <f t="shared" si="103"/>
        <v>634.41405301647956</v>
      </c>
      <c r="BW735" s="71">
        <f t="shared" si="104"/>
        <v>400</v>
      </c>
      <c r="BX735" s="78" cm="1">
        <f t="array" ref="BX735">IF(BM735&gt;0,1,_xll.DCETCVN5575FactorPhi7121(BV735*SQRT($K$17/206000),"b"))</f>
        <v>1</v>
      </c>
      <c r="BY735" s="64">
        <f t="shared" si="105"/>
        <v>5.7188947927390231E-2</v>
      </c>
      <c r="BZ735" s="3" t="str">
        <f t="shared" si="106"/>
        <v>Check</v>
      </c>
    </row>
    <row r="736" spans="1:78">
      <c r="A736" s="76"/>
      <c r="B736" s="76"/>
      <c r="C736" s="125"/>
      <c r="D736" s="125"/>
      <c r="E736" s="71"/>
      <c r="F736" s="71"/>
      <c r="G736" s="71"/>
      <c r="H736" s="126"/>
      <c r="I736" s="125"/>
      <c r="J736" s="123"/>
      <c r="K736" s="12"/>
      <c r="L736" s="117"/>
      <c r="M736" s="12"/>
      <c r="N736" s="117"/>
      <c r="O736" s="117"/>
      <c r="P736" s="117"/>
      <c r="Q736" s="118"/>
      <c r="R736" s="118"/>
      <c r="S736" s="118"/>
      <c r="T736" s="12"/>
      <c r="U736" s="118"/>
      <c r="V736" s="118"/>
      <c r="W736" s="12"/>
      <c r="X736" s="119"/>
      <c r="Y736" s="120"/>
      <c r="Z736" s="12"/>
      <c r="BA736" s="70" t="s">
        <v>205</v>
      </c>
      <c r="BB736" s="71" t="s">
        <v>210</v>
      </c>
      <c r="BC736" s="71" t="s">
        <v>207</v>
      </c>
      <c r="BD736" s="71">
        <v>27</v>
      </c>
      <c r="BE736" s="71">
        <v>36</v>
      </c>
      <c r="BF736" s="71">
        <v>390</v>
      </c>
      <c r="BG736" s="71">
        <v>212</v>
      </c>
      <c r="BH736" s="71">
        <v>5</v>
      </c>
      <c r="BI736" s="71">
        <v>10</v>
      </c>
      <c r="BJ736" s="12" t="str" cm="1">
        <f t="array" ref="BJ736">_xll.Dce_Name_SectI(BF736, BF736, BG736, BH736, BI736, "x", "-", $AX$11)</f>
        <v>390x212x5x10</v>
      </c>
      <c r="BK736" s="77" cm="1">
        <f t="array" ref="BK736">_xll.DCEPropSectI(BF736, BH736, BG736, BI736, BG736, BI736, "A")/100</f>
        <v>60.9</v>
      </c>
      <c r="BL736" s="70" t="s">
        <v>222</v>
      </c>
      <c r="BM736" s="70">
        <v>73.138945504339361</v>
      </c>
      <c r="BN736" s="71">
        <v>0.9</v>
      </c>
      <c r="BO736" s="77">
        <f t="shared" si="99"/>
        <v>32.4</v>
      </c>
      <c r="BP736" s="71">
        <v>0.9</v>
      </c>
      <c r="BQ736" s="77">
        <f t="shared" si="100"/>
        <v>32.4</v>
      </c>
      <c r="BR736" s="77" cm="1">
        <f t="array" ref="BR736">_xll.DCEPropSectI(BF736, BH736, BG736, BI736, BG736, BI736, "rx")/10</f>
        <v>16.91131201300167</v>
      </c>
      <c r="BS736" s="77" cm="1">
        <f t="array" ref="BS736">_xll.DCEPropSectI(BF736, BH736, BG736, BI736, BG736, BI736, "ry")/10</f>
        <v>5.1070747638622018</v>
      </c>
      <c r="BT736" s="5">
        <f t="shared" si="101"/>
        <v>191.58773710218577</v>
      </c>
      <c r="BU736" s="5">
        <f t="shared" si="102"/>
        <v>634.41405301647956</v>
      </c>
      <c r="BV736" s="5">
        <f t="shared" si="103"/>
        <v>634.41405301647956</v>
      </c>
      <c r="BW736" s="71">
        <f t="shared" si="104"/>
        <v>400</v>
      </c>
      <c r="BX736" s="78" cm="1">
        <f t="array" ref="BX736">IF(BM736&gt;0,1,_xll.DCETCVN5575FactorPhi7121(BV736*SQRT($K$17/206000),"b"))</f>
        <v>1</v>
      </c>
      <c r="BY736" s="64">
        <f t="shared" si="105"/>
        <v>5.7188947927390231E-2</v>
      </c>
      <c r="BZ736" s="3" t="str">
        <f t="shared" si="106"/>
        <v>Check</v>
      </c>
    </row>
    <row r="737" spans="1:78">
      <c r="A737" s="76"/>
      <c r="B737" s="76"/>
      <c r="C737" s="125"/>
      <c r="D737" s="125"/>
      <c r="E737" s="71"/>
      <c r="F737" s="71"/>
      <c r="G737" s="71"/>
      <c r="H737" s="126"/>
      <c r="I737" s="125"/>
      <c r="J737" s="123"/>
      <c r="K737" s="12"/>
      <c r="L737" s="117"/>
      <c r="M737" s="12"/>
      <c r="N737" s="117"/>
      <c r="O737" s="117"/>
      <c r="P737" s="117"/>
      <c r="Q737" s="118"/>
      <c r="R737" s="118"/>
      <c r="S737" s="118"/>
      <c r="T737" s="12"/>
      <c r="U737" s="118"/>
      <c r="V737" s="118"/>
      <c r="W737" s="12"/>
      <c r="X737" s="119"/>
      <c r="Y737" s="120"/>
      <c r="Z737" s="12"/>
      <c r="BA737" s="70" t="s">
        <v>205</v>
      </c>
      <c r="BB737" s="71" t="s">
        <v>210</v>
      </c>
      <c r="BC737" s="71" t="s">
        <v>207</v>
      </c>
      <c r="BD737" s="71">
        <v>27.5</v>
      </c>
      <c r="BE737" s="71">
        <v>36</v>
      </c>
      <c r="BF737" s="71">
        <v>390</v>
      </c>
      <c r="BG737" s="71">
        <v>212</v>
      </c>
      <c r="BH737" s="71">
        <v>5</v>
      </c>
      <c r="BI737" s="71">
        <v>10</v>
      </c>
      <c r="BJ737" s="12" t="str" cm="1">
        <f t="array" ref="BJ737">_xll.Dce_Name_SectI(BF737, BF737, BG737, BH737, BI737, "x", "-", $AX$11)</f>
        <v>390x212x5x10</v>
      </c>
      <c r="BK737" s="77" cm="1">
        <f t="array" ref="BK737">_xll.DCEPropSectI(BF737, BH737, BG737, BI737, BG737, BI737, "A")/100</f>
        <v>60.9</v>
      </c>
      <c r="BL737" s="70" t="s">
        <v>222</v>
      </c>
      <c r="BM737" s="70">
        <v>73.138945504339361</v>
      </c>
      <c r="BN737" s="71">
        <v>0.9</v>
      </c>
      <c r="BO737" s="77">
        <f t="shared" si="99"/>
        <v>32.4</v>
      </c>
      <c r="BP737" s="71">
        <v>0.9</v>
      </c>
      <c r="BQ737" s="77">
        <f t="shared" si="100"/>
        <v>32.4</v>
      </c>
      <c r="BR737" s="77" cm="1">
        <f t="array" ref="BR737">_xll.DCEPropSectI(BF737, BH737, BG737, BI737, BG737, BI737, "rx")/10</f>
        <v>16.91131201300167</v>
      </c>
      <c r="BS737" s="77" cm="1">
        <f t="array" ref="BS737">_xll.DCEPropSectI(BF737, BH737, BG737, BI737, BG737, BI737, "ry")/10</f>
        <v>5.1070747638622018</v>
      </c>
      <c r="BT737" s="5">
        <f t="shared" si="101"/>
        <v>191.58773710218577</v>
      </c>
      <c r="BU737" s="5">
        <f t="shared" si="102"/>
        <v>634.41405301647956</v>
      </c>
      <c r="BV737" s="5">
        <f t="shared" si="103"/>
        <v>634.41405301647956</v>
      </c>
      <c r="BW737" s="71">
        <f t="shared" si="104"/>
        <v>400</v>
      </c>
      <c r="BX737" s="78" cm="1">
        <f t="array" ref="BX737">IF(BM737&gt;0,1,_xll.DCETCVN5575FactorPhi7121(BV737*SQRT($K$17/206000),"b"))</f>
        <v>1</v>
      </c>
      <c r="BY737" s="64">
        <f t="shared" si="105"/>
        <v>5.7188947927390231E-2</v>
      </c>
      <c r="BZ737" s="3" t="str">
        <f t="shared" si="106"/>
        <v>Check</v>
      </c>
    </row>
    <row r="738" spans="1:78">
      <c r="A738" s="76"/>
      <c r="B738" s="76"/>
      <c r="C738" s="125"/>
      <c r="D738" s="125"/>
      <c r="E738" s="71"/>
      <c r="F738" s="71"/>
      <c r="G738" s="71"/>
      <c r="H738" s="126"/>
      <c r="I738" s="125"/>
      <c r="J738" s="123"/>
      <c r="K738" s="12"/>
      <c r="L738" s="117"/>
      <c r="M738" s="12"/>
      <c r="N738" s="117"/>
      <c r="O738" s="117"/>
      <c r="P738" s="117"/>
      <c r="Q738" s="118"/>
      <c r="R738" s="118"/>
      <c r="S738" s="118"/>
      <c r="T738" s="12"/>
      <c r="U738" s="118"/>
      <c r="V738" s="118"/>
      <c r="W738" s="12"/>
      <c r="X738" s="119"/>
      <c r="Y738" s="120"/>
      <c r="Z738" s="12"/>
      <c r="BA738" s="70" t="s">
        <v>205</v>
      </c>
      <c r="BB738" s="71" t="s">
        <v>210</v>
      </c>
      <c r="BC738" s="71" t="s">
        <v>207</v>
      </c>
      <c r="BD738" s="71">
        <v>28</v>
      </c>
      <c r="BE738" s="71">
        <v>36</v>
      </c>
      <c r="BF738" s="71">
        <v>390</v>
      </c>
      <c r="BG738" s="71">
        <v>212</v>
      </c>
      <c r="BH738" s="71">
        <v>5</v>
      </c>
      <c r="BI738" s="71">
        <v>10</v>
      </c>
      <c r="BJ738" s="12" t="str" cm="1">
        <f t="array" ref="BJ738">_xll.Dce_Name_SectI(BF738, BF738, BG738, BH738, BI738, "x", "-", $AX$11)</f>
        <v>390x212x5x10</v>
      </c>
      <c r="BK738" s="77" cm="1">
        <f t="array" ref="BK738">_xll.DCEPropSectI(BF738, BH738, BG738, BI738, BG738, BI738, "A")/100</f>
        <v>60.9</v>
      </c>
      <c r="BL738" s="70" t="s">
        <v>222</v>
      </c>
      <c r="BM738" s="70">
        <v>73.138945504339361</v>
      </c>
      <c r="BN738" s="71">
        <v>0.9</v>
      </c>
      <c r="BO738" s="77">
        <f t="shared" si="99"/>
        <v>32.4</v>
      </c>
      <c r="BP738" s="71">
        <v>0.9</v>
      </c>
      <c r="BQ738" s="77">
        <f t="shared" si="100"/>
        <v>32.4</v>
      </c>
      <c r="BR738" s="77" cm="1">
        <f t="array" ref="BR738">_xll.DCEPropSectI(BF738, BH738, BG738, BI738, BG738, BI738, "rx")/10</f>
        <v>16.91131201300167</v>
      </c>
      <c r="BS738" s="77" cm="1">
        <f t="array" ref="BS738">_xll.DCEPropSectI(BF738, BH738, BG738, BI738, BG738, BI738, "ry")/10</f>
        <v>5.1070747638622018</v>
      </c>
      <c r="BT738" s="5">
        <f t="shared" si="101"/>
        <v>191.58773710218577</v>
      </c>
      <c r="BU738" s="5">
        <f t="shared" si="102"/>
        <v>634.41405301647956</v>
      </c>
      <c r="BV738" s="5">
        <f t="shared" si="103"/>
        <v>634.41405301647956</v>
      </c>
      <c r="BW738" s="71">
        <f t="shared" si="104"/>
        <v>400</v>
      </c>
      <c r="BX738" s="78" cm="1">
        <f t="array" ref="BX738">IF(BM738&gt;0,1,_xll.DCETCVN5575FactorPhi7121(BV738*SQRT($K$17/206000),"b"))</f>
        <v>1</v>
      </c>
      <c r="BY738" s="64">
        <f t="shared" si="105"/>
        <v>5.7188947927390231E-2</v>
      </c>
      <c r="BZ738" s="3" t="str">
        <f t="shared" si="106"/>
        <v>Check</v>
      </c>
    </row>
    <row r="739" spans="1:78">
      <c r="A739" s="76"/>
      <c r="B739" s="76"/>
      <c r="C739" s="125"/>
      <c r="D739" s="125"/>
      <c r="E739" s="71"/>
      <c r="F739" s="71"/>
      <c r="G739" s="71"/>
      <c r="H739" s="126"/>
      <c r="I739" s="125"/>
      <c r="J739" s="123"/>
      <c r="K739" s="12"/>
      <c r="L739" s="117"/>
      <c r="M739" s="12"/>
      <c r="N739" s="117"/>
      <c r="O739" s="117"/>
      <c r="P739" s="117"/>
      <c r="Q739" s="118"/>
      <c r="R739" s="118"/>
      <c r="S739" s="118"/>
      <c r="T739" s="12"/>
      <c r="U739" s="118"/>
      <c r="V739" s="118"/>
      <c r="W739" s="12"/>
      <c r="X739" s="119"/>
      <c r="Y739" s="120"/>
      <c r="Z739" s="12"/>
      <c r="BA739" s="70" t="s">
        <v>205</v>
      </c>
      <c r="BB739" s="71" t="s">
        <v>210</v>
      </c>
      <c r="BC739" s="71" t="s">
        <v>207</v>
      </c>
      <c r="BD739" s="71">
        <v>28.5</v>
      </c>
      <c r="BE739" s="71">
        <v>36</v>
      </c>
      <c r="BF739" s="71">
        <v>390</v>
      </c>
      <c r="BG739" s="71">
        <v>212</v>
      </c>
      <c r="BH739" s="71">
        <v>5</v>
      </c>
      <c r="BI739" s="71">
        <v>10</v>
      </c>
      <c r="BJ739" s="12" t="str" cm="1">
        <f t="array" ref="BJ739">_xll.Dce_Name_SectI(BF739, BF739, BG739, BH739, BI739, "x", "-", $AX$11)</f>
        <v>390x212x5x10</v>
      </c>
      <c r="BK739" s="77" cm="1">
        <f t="array" ref="BK739">_xll.DCEPropSectI(BF739, BH739, BG739, BI739, BG739, BI739, "A")/100</f>
        <v>60.9</v>
      </c>
      <c r="BL739" s="70" t="s">
        <v>222</v>
      </c>
      <c r="BM739" s="70">
        <v>73.138945504339361</v>
      </c>
      <c r="BN739" s="71">
        <v>0.9</v>
      </c>
      <c r="BO739" s="77">
        <f t="shared" si="99"/>
        <v>32.4</v>
      </c>
      <c r="BP739" s="71">
        <v>0.9</v>
      </c>
      <c r="BQ739" s="77">
        <f t="shared" si="100"/>
        <v>32.4</v>
      </c>
      <c r="BR739" s="77" cm="1">
        <f t="array" ref="BR739">_xll.DCEPropSectI(BF739, BH739, BG739, BI739, BG739, BI739, "rx")/10</f>
        <v>16.91131201300167</v>
      </c>
      <c r="BS739" s="77" cm="1">
        <f t="array" ref="BS739">_xll.DCEPropSectI(BF739, BH739, BG739, BI739, BG739, BI739, "ry")/10</f>
        <v>5.1070747638622018</v>
      </c>
      <c r="BT739" s="5">
        <f t="shared" si="101"/>
        <v>191.58773710218577</v>
      </c>
      <c r="BU739" s="5">
        <f t="shared" si="102"/>
        <v>634.41405301647956</v>
      </c>
      <c r="BV739" s="5">
        <f t="shared" si="103"/>
        <v>634.41405301647956</v>
      </c>
      <c r="BW739" s="71">
        <f t="shared" si="104"/>
        <v>400</v>
      </c>
      <c r="BX739" s="78" cm="1">
        <f t="array" ref="BX739">IF(BM739&gt;0,1,_xll.DCETCVN5575FactorPhi7121(BV739*SQRT($K$17/206000),"b"))</f>
        <v>1</v>
      </c>
      <c r="BY739" s="64">
        <f t="shared" si="105"/>
        <v>5.7188947927390231E-2</v>
      </c>
      <c r="BZ739" s="3" t="str">
        <f t="shared" si="106"/>
        <v>Check</v>
      </c>
    </row>
    <row r="740" spans="1:78">
      <c r="A740" s="76"/>
      <c r="B740" s="76"/>
      <c r="C740" s="125"/>
      <c r="D740" s="125"/>
      <c r="E740" s="71"/>
      <c r="F740" s="71"/>
      <c r="G740" s="71"/>
      <c r="H740" s="126"/>
      <c r="I740" s="125"/>
      <c r="J740" s="123"/>
      <c r="K740" s="12"/>
      <c r="L740" s="117"/>
      <c r="M740" s="12"/>
      <c r="N740" s="117"/>
      <c r="O740" s="117"/>
      <c r="P740" s="117"/>
      <c r="Q740" s="118"/>
      <c r="R740" s="118"/>
      <c r="S740" s="118"/>
      <c r="T740" s="12"/>
      <c r="U740" s="118"/>
      <c r="V740" s="118"/>
      <c r="W740" s="12"/>
      <c r="X740" s="119"/>
      <c r="Y740" s="120"/>
      <c r="Z740" s="12"/>
      <c r="BA740" s="70" t="s">
        <v>205</v>
      </c>
      <c r="BB740" s="71" t="s">
        <v>210</v>
      </c>
      <c r="BC740" s="71" t="s">
        <v>207</v>
      </c>
      <c r="BD740" s="71">
        <v>29</v>
      </c>
      <c r="BE740" s="71">
        <v>36</v>
      </c>
      <c r="BF740" s="71">
        <v>390</v>
      </c>
      <c r="BG740" s="71">
        <v>212</v>
      </c>
      <c r="BH740" s="71">
        <v>5</v>
      </c>
      <c r="BI740" s="71">
        <v>10</v>
      </c>
      <c r="BJ740" s="12" t="str" cm="1">
        <f t="array" ref="BJ740">_xll.Dce_Name_SectI(BF740, BF740, BG740, BH740, BI740, "x", "-", $AX$11)</f>
        <v>390x212x5x10</v>
      </c>
      <c r="BK740" s="77" cm="1">
        <f t="array" ref="BK740">_xll.DCEPropSectI(BF740, BH740, BG740, BI740, BG740, BI740, "A")/100</f>
        <v>60.9</v>
      </c>
      <c r="BL740" s="70" t="s">
        <v>222</v>
      </c>
      <c r="BM740" s="70">
        <v>73.138945504339361</v>
      </c>
      <c r="BN740" s="71">
        <v>0.9</v>
      </c>
      <c r="BO740" s="77">
        <f t="shared" si="99"/>
        <v>32.4</v>
      </c>
      <c r="BP740" s="71">
        <v>0.9</v>
      </c>
      <c r="BQ740" s="77">
        <f t="shared" si="100"/>
        <v>32.4</v>
      </c>
      <c r="BR740" s="77" cm="1">
        <f t="array" ref="BR740">_xll.DCEPropSectI(BF740, BH740, BG740, BI740, BG740, BI740, "rx")/10</f>
        <v>16.91131201300167</v>
      </c>
      <c r="BS740" s="77" cm="1">
        <f t="array" ref="BS740">_xll.DCEPropSectI(BF740, BH740, BG740, BI740, BG740, BI740, "ry")/10</f>
        <v>5.1070747638622018</v>
      </c>
      <c r="BT740" s="5">
        <f t="shared" si="101"/>
        <v>191.58773710218577</v>
      </c>
      <c r="BU740" s="5">
        <f t="shared" si="102"/>
        <v>634.41405301647956</v>
      </c>
      <c r="BV740" s="5">
        <f t="shared" si="103"/>
        <v>634.41405301647956</v>
      </c>
      <c r="BW740" s="71">
        <f t="shared" si="104"/>
        <v>400</v>
      </c>
      <c r="BX740" s="78" cm="1">
        <f t="array" ref="BX740">IF(BM740&gt;0,1,_xll.DCETCVN5575FactorPhi7121(BV740*SQRT($K$17/206000),"b"))</f>
        <v>1</v>
      </c>
      <c r="BY740" s="64">
        <f t="shared" si="105"/>
        <v>5.7188947927390231E-2</v>
      </c>
      <c r="BZ740" s="3" t="str">
        <f t="shared" si="106"/>
        <v>Check</v>
      </c>
    </row>
    <row r="741" spans="1:78">
      <c r="A741" s="76"/>
      <c r="B741" s="76"/>
      <c r="C741" s="125"/>
      <c r="D741" s="125"/>
      <c r="E741" s="71"/>
      <c r="F741" s="71"/>
      <c r="G741" s="71"/>
      <c r="H741" s="126"/>
      <c r="I741" s="125"/>
      <c r="J741" s="123"/>
      <c r="K741" s="12"/>
      <c r="L741" s="117"/>
      <c r="M741" s="12"/>
      <c r="N741" s="117"/>
      <c r="O741" s="117"/>
      <c r="P741" s="117"/>
      <c r="Q741" s="118"/>
      <c r="R741" s="118"/>
      <c r="S741" s="118"/>
      <c r="T741" s="12"/>
      <c r="U741" s="118"/>
      <c r="V741" s="118"/>
      <c r="W741" s="12"/>
      <c r="X741" s="119"/>
      <c r="Y741" s="120"/>
      <c r="Z741" s="12"/>
      <c r="BA741" s="70" t="s">
        <v>205</v>
      </c>
      <c r="BB741" s="71" t="s">
        <v>210</v>
      </c>
      <c r="BC741" s="71" t="s">
        <v>207</v>
      </c>
      <c r="BD741" s="71">
        <v>29.5</v>
      </c>
      <c r="BE741" s="71">
        <v>36</v>
      </c>
      <c r="BF741" s="71">
        <v>390</v>
      </c>
      <c r="BG741" s="71">
        <v>212</v>
      </c>
      <c r="BH741" s="71">
        <v>5</v>
      </c>
      <c r="BI741" s="71">
        <v>10</v>
      </c>
      <c r="BJ741" s="12" t="str" cm="1">
        <f t="array" ref="BJ741">_xll.Dce_Name_SectI(BF741, BF741, BG741, BH741, BI741, "x", "-", $AX$11)</f>
        <v>390x212x5x10</v>
      </c>
      <c r="BK741" s="77" cm="1">
        <f t="array" ref="BK741">_xll.DCEPropSectI(BF741, BH741, BG741, BI741, BG741, BI741, "A")/100</f>
        <v>60.9</v>
      </c>
      <c r="BL741" s="70" t="s">
        <v>222</v>
      </c>
      <c r="BM741" s="70">
        <v>73.138945504339361</v>
      </c>
      <c r="BN741" s="71">
        <v>0.9</v>
      </c>
      <c r="BO741" s="77">
        <f t="shared" si="99"/>
        <v>32.4</v>
      </c>
      <c r="BP741" s="71">
        <v>0.9</v>
      </c>
      <c r="BQ741" s="77">
        <f t="shared" si="100"/>
        <v>32.4</v>
      </c>
      <c r="BR741" s="77" cm="1">
        <f t="array" ref="BR741">_xll.DCEPropSectI(BF741, BH741, BG741, BI741, BG741, BI741, "rx")/10</f>
        <v>16.91131201300167</v>
      </c>
      <c r="BS741" s="77" cm="1">
        <f t="array" ref="BS741">_xll.DCEPropSectI(BF741, BH741, BG741, BI741, BG741, BI741, "ry")/10</f>
        <v>5.1070747638622018</v>
      </c>
      <c r="BT741" s="5">
        <f t="shared" si="101"/>
        <v>191.58773710218577</v>
      </c>
      <c r="BU741" s="5">
        <f t="shared" si="102"/>
        <v>634.41405301647956</v>
      </c>
      <c r="BV741" s="5">
        <f t="shared" si="103"/>
        <v>634.41405301647956</v>
      </c>
      <c r="BW741" s="71">
        <f t="shared" si="104"/>
        <v>400</v>
      </c>
      <c r="BX741" s="78" cm="1">
        <f t="array" ref="BX741">IF(BM741&gt;0,1,_xll.DCETCVN5575FactorPhi7121(BV741*SQRT($K$17/206000),"b"))</f>
        <v>1</v>
      </c>
      <c r="BY741" s="64">
        <f t="shared" si="105"/>
        <v>5.7188947927390231E-2</v>
      </c>
      <c r="BZ741" s="3" t="str">
        <f t="shared" si="106"/>
        <v>Check</v>
      </c>
    </row>
    <row r="742" spans="1:78">
      <c r="A742" s="76"/>
      <c r="B742" s="76"/>
      <c r="C742" s="125"/>
      <c r="D742" s="125"/>
      <c r="E742" s="71"/>
      <c r="F742" s="71"/>
      <c r="G742" s="71"/>
      <c r="H742" s="126"/>
      <c r="I742" s="125"/>
      <c r="J742" s="123"/>
      <c r="K742" s="12"/>
      <c r="L742" s="117"/>
      <c r="M742" s="12"/>
      <c r="N742" s="117"/>
      <c r="O742" s="117"/>
      <c r="P742" s="117"/>
      <c r="Q742" s="118"/>
      <c r="R742" s="118"/>
      <c r="S742" s="118"/>
      <c r="T742" s="12"/>
      <c r="U742" s="118"/>
      <c r="V742" s="118"/>
      <c r="W742" s="12"/>
      <c r="X742" s="119"/>
      <c r="Y742" s="120"/>
      <c r="Z742" s="12"/>
      <c r="BA742" s="70" t="s">
        <v>205</v>
      </c>
      <c r="BB742" s="71" t="s">
        <v>210</v>
      </c>
      <c r="BC742" s="71" t="s">
        <v>207</v>
      </c>
      <c r="BD742" s="71">
        <v>30</v>
      </c>
      <c r="BE742" s="71">
        <v>36</v>
      </c>
      <c r="BF742" s="71">
        <v>390</v>
      </c>
      <c r="BG742" s="71">
        <v>212</v>
      </c>
      <c r="BH742" s="71">
        <v>5</v>
      </c>
      <c r="BI742" s="71">
        <v>10</v>
      </c>
      <c r="BJ742" s="12" t="str" cm="1">
        <f t="array" ref="BJ742">_xll.Dce_Name_SectI(BF742, BF742, BG742, BH742, BI742, "x", "-", $AX$11)</f>
        <v>390x212x5x10</v>
      </c>
      <c r="BK742" s="77" cm="1">
        <f t="array" ref="BK742">_xll.DCEPropSectI(BF742, BH742, BG742, BI742, BG742, BI742, "A")/100</f>
        <v>60.9</v>
      </c>
      <c r="BL742" s="70" t="s">
        <v>222</v>
      </c>
      <c r="BM742" s="70">
        <v>73.138945504339361</v>
      </c>
      <c r="BN742" s="71">
        <v>0.9</v>
      </c>
      <c r="BO742" s="77">
        <f t="shared" si="99"/>
        <v>32.4</v>
      </c>
      <c r="BP742" s="71">
        <v>0.9</v>
      </c>
      <c r="BQ742" s="77">
        <f t="shared" si="100"/>
        <v>32.4</v>
      </c>
      <c r="BR742" s="77" cm="1">
        <f t="array" ref="BR742">_xll.DCEPropSectI(BF742, BH742, BG742, BI742, BG742, BI742, "rx")/10</f>
        <v>16.91131201300167</v>
      </c>
      <c r="BS742" s="77" cm="1">
        <f t="array" ref="BS742">_xll.DCEPropSectI(BF742, BH742, BG742, BI742, BG742, BI742, "ry")/10</f>
        <v>5.1070747638622018</v>
      </c>
      <c r="BT742" s="5">
        <f t="shared" si="101"/>
        <v>191.58773710218577</v>
      </c>
      <c r="BU742" s="5">
        <f t="shared" si="102"/>
        <v>634.41405301647956</v>
      </c>
      <c r="BV742" s="5">
        <f t="shared" si="103"/>
        <v>634.41405301647956</v>
      </c>
      <c r="BW742" s="71">
        <f t="shared" si="104"/>
        <v>400</v>
      </c>
      <c r="BX742" s="78" cm="1">
        <f t="array" ref="BX742">IF(BM742&gt;0,1,_xll.DCETCVN5575FactorPhi7121(BV742*SQRT($K$17/206000),"b"))</f>
        <v>1</v>
      </c>
      <c r="BY742" s="64">
        <f t="shared" si="105"/>
        <v>5.7188947927390231E-2</v>
      </c>
      <c r="BZ742" s="3" t="str">
        <f t="shared" si="106"/>
        <v>Check</v>
      </c>
    </row>
    <row r="743" spans="1:78">
      <c r="A743" s="76"/>
      <c r="B743" s="76"/>
      <c r="C743" s="125"/>
      <c r="D743" s="125"/>
      <c r="E743" s="71"/>
      <c r="F743" s="71"/>
      <c r="G743" s="71"/>
      <c r="H743" s="126"/>
      <c r="I743" s="125"/>
      <c r="J743" s="123"/>
      <c r="K743" s="12"/>
      <c r="L743" s="117"/>
      <c r="M743" s="12"/>
      <c r="N743" s="117"/>
      <c r="O743" s="117"/>
      <c r="P743" s="117"/>
      <c r="Q743" s="118"/>
      <c r="R743" s="118"/>
      <c r="S743" s="118"/>
      <c r="T743" s="12"/>
      <c r="U743" s="118"/>
      <c r="V743" s="118"/>
      <c r="W743" s="12"/>
      <c r="X743" s="119"/>
      <c r="Y743" s="120"/>
      <c r="Z743" s="12"/>
      <c r="BA743" s="70" t="s">
        <v>205</v>
      </c>
      <c r="BB743" s="71" t="s">
        <v>210</v>
      </c>
      <c r="BC743" s="71" t="s">
        <v>207</v>
      </c>
      <c r="BD743" s="71">
        <v>30</v>
      </c>
      <c r="BE743" s="71">
        <v>36</v>
      </c>
      <c r="BF743" s="71">
        <v>390</v>
      </c>
      <c r="BG743" s="71">
        <v>212</v>
      </c>
      <c r="BH743" s="71">
        <v>5</v>
      </c>
      <c r="BI743" s="71">
        <v>10</v>
      </c>
      <c r="BJ743" s="12" t="str" cm="1">
        <f t="array" ref="BJ743">_xll.Dce_Name_SectI(BF743, BF743, BG743, BH743, BI743, "x", "-", $AX$11)</f>
        <v>390x212x5x10</v>
      </c>
      <c r="BK743" s="77" cm="1">
        <f t="array" ref="BK743">_xll.DCEPropSectI(BF743, BH743, BG743, BI743, BG743, BI743, "A")/100</f>
        <v>60.9</v>
      </c>
      <c r="BL743" s="70" t="s">
        <v>222</v>
      </c>
      <c r="BM743" s="70">
        <v>-25.054347067956684</v>
      </c>
      <c r="BN743" s="71">
        <v>0.9</v>
      </c>
      <c r="BO743" s="77">
        <f t="shared" si="99"/>
        <v>32.4</v>
      </c>
      <c r="BP743" s="71">
        <v>0.9</v>
      </c>
      <c r="BQ743" s="77">
        <f t="shared" si="100"/>
        <v>32.4</v>
      </c>
      <c r="BR743" s="77" cm="1">
        <f t="array" ref="BR743">_xll.DCEPropSectI(BF743, BH743, BG743, BI743, BG743, BI743, "rx")/10</f>
        <v>16.91131201300167</v>
      </c>
      <c r="BS743" s="77" cm="1">
        <f t="array" ref="BS743">_xll.DCEPropSectI(BF743, BH743, BG743, BI743, BG743, BI743, "ry")/10</f>
        <v>5.1070747638622018</v>
      </c>
      <c r="BT743" s="5">
        <f t="shared" si="101"/>
        <v>191.58773710218577</v>
      </c>
      <c r="BU743" s="5">
        <f t="shared" si="102"/>
        <v>634.41405301647956</v>
      </c>
      <c r="BV743" s="5">
        <f t="shared" si="103"/>
        <v>634.41405301647956</v>
      </c>
      <c r="BW743" s="71">
        <f t="shared" si="104"/>
        <v>200</v>
      </c>
      <c r="BX743" s="78" cm="1">
        <f t="array" ref="BX743">IF(BM743&gt;0,1,_xll.DCETCVN5575FactorPhi7121(BV743*SQRT($K$17/206000),"b"))</f>
        <v>1.6670876655456978E-2</v>
      </c>
      <c r="BY743" s="64">
        <f t="shared" si="105"/>
        <v>1.1751358177322491</v>
      </c>
      <c r="BZ743" s="3" t="str">
        <f t="shared" si="106"/>
        <v>Check</v>
      </c>
    </row>
    <row r="744" spans="1:78">
      <c r="A744" s="76"/>
      <c r="B744" s="76"/>
      <c r="C744" s="125"/>
      <c r="D744" s="125"/>
      <c r="E744" s="71"/>
      <c r="F744" s="71"/>
      <c r="G744" s="71"/>
      <c r="H744" s="126"/>
      <c r="I744" s="125"/>
      <c r="J744" s="123"/>
      <c r="K744" s="12"/>
      <c r="L744" s="117"/>
      <c r="M744" s="12"/>
      <c r="N744" s="117"/>
      <c r="O744" s="117"/>
      <c r="P744" s="117"/>
      <c r="Q744" s="118"/>
      <c r="R744" s="118"/>
      <c r="S744" s="118"/>
      <c r="T744" s="12"/>
      <c r="U744" s="118"/>
      <c r="V744" s="118"/>
      <c r="W744" s="12"/>
      <c r="X744" s="119"/>
      <c r="Y744" s="120"/>
      <c r="Z744" s="12"/>
      <c r="BA744" s="70" t="s">
        <v>205</v>
      </c>
      <c r="BB744" s="71" t="s">
        <v>210</v>
      </c>
      <c r="BC744" s="71" t="s">
        <v>207</v>
      </c>
      <c r="BD744" s="71">
        <v>30.5</v>
      </c>
      <c r="BE744" s="71">
        <v>36</v>
      </c>
      <c r="BF744" s="71">
        <v>390</v>
      </c>
      <c r="BG744" s="71">
        <v>212</v>
      </c>
      <c r="BH744" s="71">
        <v>5</v>
      </c>
      <c r="BI744" s="71">
        <v>10</v>
      </c>
      <c r="BJ744" s="12" t="str" cm="1">
        <f t="array" ref="BJ744">_xll.Dce_Name_SectI(BF744, BF744, BG744, BH744, BI744, "x", "-", $AX$11)</f>
        <v>390x212x5x10</v>
      </c>
      <c r="BK744" s="77" cm="1">
        <f t="array" ref="BK744">_xll.DCEPropSectI(BF744, BH744, BG744, BI744, BG744, BI744, "A")/100</f>
        <v>60.9</v>
      </c>
      <c r="BL744" s="70" t="s">
        <v>222</v>
      </c>
      <c r="BM744" s="70">
        <v>-25.054347067956684</v>
      </c>
      <c r="BN744" s="71">
        <v>0.9</v>
      </c>
      <c r="BO744" s="77">
        <f t="shared" si="99"/>
        <v>32.4</v>
      </c>
      <c r="BP744" s="71">
        <v>0.9</v>
      </c>
      <c r="BQ744" s="77">
        <f t="shared" si="100"/>
        <v>32.4</v>
      </c>
      <c r="BR744" s="77" cm="1">
        <f t="array" ref="BR744">_xll.DCEPropSectI(BF744, BH744, BG744, BI744, BG744, BI744, "rx")/10</f>
        <v>16.91131201300167</v>
      </c>
      <c r="BS744" s="77" cm="1">
        <f t="array" ref="BS744">_xll.DCEPropSectI(BF744, BH744, BG744, BI744, BG744, BI744, "ry")/10</f>
        <v>5.1070747638622018</v>
      </c>
      <c r="BT744" s="5">
        <f t="shared" si="101"/>
        <v>191.58773710218577</v>
      </c>
      <c r="BU744" s="5">
        <f t="shared" si="102"/>
        <v>634.41405301647956</v>
      </c>
      <c r="BV744" s="5">
        <f t="shared" si="103"/>
        <v>634.41405301647956</v>
      </c>
      <c r="BW744" s="71">
        <f t="shared" si="104"/>
        <v>200</v>
      </c>
      <c r="BX744" s="78" cm="1">
        <f t="array" ref="BX744">IF(BM744&gt;0,1,_xll.DCETCVN5575FactorPhi7121(BV744*SQRT($K$17/206000),"b"))</f>
        <v>1.6670876655456978E-2</v>
      </c>
      <c r="BY744" s="64">
        <f t="shared" si="105"/>
        <v>1.1751358177322491</v>
      </c>
      <c r="BZ744" s="3" t="str">
        <f t="shared" si="106"/>
        <v>Check</v>
      </c>
    </row>
    <row r="745" spans="1:78">
      <c r="A745" s="76"/>
      <c r="B745" s="76"/>
      <c r="C745" s="125"/>
      <c r="D745" s="125"/>
      <c r="E745" s="71"/>
      <c r="F745" s="71"/>
      <c r="G745" s="71"/>
      <c r="H745" s="126"/>
      <c r="I745" s="125"/>
      <c r="J745" s="123"/>
      <c r="K745" s="12"/>
      <c r="L745" s="117"/>
      <c r="M745" s="12"/>
      <c r="N745" s="117"/>
      <c r="O745" s="117"/>
      <c r="P745" s="117"/>
      <c r="Q745" s="118"/>
      <c r="R745" s="118"/>
      <c r="S745" s="118"/>
      <c r="T745" s="12"/>
      <c r="U745" s="118"/>
      <c r="V745" s="118"/>
      <c r="W745" s="12"/>
      <c r="X745" s="119"/>
      <c r="Y745" s="120"/>
      <c r="Z745" s="12"/>
      <c r="BA745" s="70" t="s">
        <v>205</v>
      </c>
      <c r="BB745" s="71" t="s">
        <v>210</v>
      </c>
      <c r="BC745" s="71" t="s">
        <v>207</v>
      </c>
      <c r="BD745" s="71">
        <v>31</v>
      </c>
      <c r="BE745" s="71">
        <v>36</v>
      </c>
      <c r="BF745" s="71">
        <v>390</v>
      </c>
      <c r="BG745" s="71">
        <v>212</v>
      </c>
      <c r="BH745" s="71">
        <v>5</v>
      </c>
      <c r="BI745" s="71">
        <v>10</v>
      </c>
      <c r="BJ745" s="12" t="str" cm="1">
        <f t="array" ref="BJ745">_xll.Dce_Name_SectI(BF745, BF745, BG745, BH745, BI745, "x", "-", $AX$11)</f>
        <v>390x212x5x10</v>
      </c>
      <c r="BK745" s="77" cm="1">
        <f t="array" ref="BK745">_xll.DCEPropSectI(BF745, BH745, BG745, BI745, BG745, BI745, "A")/100</f>
        <v>60.9</v>
      </c>
      <c r="BL745" s="70" t="s">
        <v>222</v>
      </c>
      <c r="BM745" s="70">
        <v>-25.054347067956684</v>
      </c>
      <c r="BN745" s="71">
        <v>0.9</v>
      </c>
      <c r="BO745" s="77">
        <f t="shared" si="99"/>
        <v>32.4</v>
      </c>
      <c r="BP745" s="71">
        <v>0.9</v>
      </c>
      <c r="BQ745" s="77">
        <f t="shared" si="100"/>
        <v>32.4</v>
      </c>
      <c r="BR745" s="77" cm="1">
        <f t="array" ref="BR745">_xll.DCEPropSectI(BF745, BH745, BG745, BI745, BG745, BI745, "rx")/10</f>
        <v>16.91131201300167</v>
      </c>
      <c r="BS745" s="77" cm="1">
        <f t="array" ref="BS745">_xll.DCEPropSectI(BF745, BH745, BG745, BI745, BG745, BI745, "ry")/10</f>
        <v>5.1070747638622018</v>
      </c>
      <c r="BT745" s="5">
        <f t="shared" si="101"/>
        <v>191.58773710218577</v>
      </c>
      <c r="BU745" s="5">
        <f t="shared" si="102"/>
        <v>634.41405301647956</v>
      </c>
      <c r="BV745" s="5">
        <f t="shared" si="103"/>
        <v>634.41405301647956</v>
      </c>
      <c r="BW745" s="71">
        <f t="shared" si="104"/>
        <v>200</v>
      </c>
      <c r="BX745" s="78" cm="1">
        <f t="array" ref="BX745">IF(BM745&gt;0,1,_xll.DCETCVN5575FactorPhi7121(BV745*SQRT($K$17/206000),"b"))</f>
        <v>1.6670876655456978E-2</v>
      </c>
      <c r="BY745" s="64">
        <f t="shared" si="105"/>
        <v>1.1751358177322491</v>
      </c>
      <c r="BZ745" s="3" t="str">
        <f t="shared" si="106"/>
        <v>Check</v>
      </c>
    </row>
    <row r="746" spans="1:78">
      <c r="A746" s="76"/>
      <c r="B746" s="76"/>
      <c r="C746" s="125"/>
      <c r="D746" s="125"/>
      <c r="E746" s="71"/>
      <c r="F746" s="71"/>
      <c r="G746" s="71"/>
      <c r="H746" s="126"/>
      <c r="I746" s="125"/>
      <c r="J746" s="123"/>
      <c r="K746" s="12"/>
      <c r="L746" s="117"/>
      <c r="M746" s="12"/>
      <c r="N746" s="117"/>
      <c r="O746" s="117"/>
      <c r="P746" s="117"/>
      <c r="Q746" s="118"/>
      <c r="R746" s="118"/>
      <c r="S746" s="118"/>
      <c r="T746" s="12"/>
      <c r="U746" s="118"/>
      <c r="V746" s="118"/>
      <c r="W746" s="12"/>
      <c r="X746" s="119"/>
      <c r="Y746" s="120"/>
      <c r="Z746" s="12"/>
      <c r="BA746" s="70" t="s">
        <v>205</v>
      </c>
      <c r="BB746" s="71" t="s">
        <v>210</v>
      </c>
      <c r="BC746" s="71" t="s">
        <v>207</v>
      </c>
      <c r="BD746" s="71">
        <v>31.5</v>
      </c>
      <c r="BE746" s="71">
        <v>36</v>
      </c>
      <c r="BF746" s="71">
        <v>390</v>
      </c>
      <c r="BG746" s="71">
        <v>212</v>
      </c>
      <c r="BH746" s="71">
        <v>5</v>
      </c>
      <c r="BI746" s="71">
        <v>10</v>
      </c>
      <c r="BJ746" s="12" t="str" cm="1">
        <f t="array" ref="BJ746">_xll.Dce_Name_SectI(BF746, BF746, BG746, BH746, BI746, "x", "-", $AX$11)</f>
        <v>390x212x5x10</v>
      </c>
      <c r="BK746" s="77" cm="1">
        <f t="array" ref="BK746">_xll.DCEPropSectI(BF746, BH746, BG746, BI746, BG746, BI746, "A")/100</f>
        <v>60.9</v>
      </c>
      <c r="BL746" s="70" t="s">
        <v>222</v>
      </c>
      <c r="BM746" s="70">
        <v>-25.054347067956684</v>
      </c>
      <c r="BN746" s="71">
        <v>0.9</v>
      </c>
      <c r="BO746" s="77">
        <f t="shared" si="99"/>
        <v>32.4</v>
      </c>
      <c r="BP746" s="71">
        <v>0.9</v>
      </c>
      <c r="BQ746" s="77">
        <f t="shared" si="100"/>
        <v>32.4</v>
      </c>
      <c r="BR746" s="77" cm="1">
        <f t="array" ref="BR746">_xll.DCEPropSectI(BF746, BH746, BG746, BI746, BG746, BI746, "rx")/10</f>
        <v>16.91131201300167</v>
      </c>
      <c r="BS746" s="77" cm="1">
        <f t="array" ref="BS746">_xll.DCEPropSectI(BF746, BH746, BG746, BI746, BG746, BI746, "ry")/10</f>
        <v>5.1070747638622018</v>
      </c>
      <c r="BT746" s="5">
        <f t="shared" si="101"/>
        <v>191.58773710218577</v>
      </c>
      <c r="BU746" s="5">
        <f t="shared" si="102"/>
        <v>634.41405301647956</v>
      </c>
      <c r="BV746" s="5">
        <f t="shared" si="103"/>
        <v>634.41405301647956</v>
      </c>
      <c r="BW746" s="71">
        <f t="shared" si="104"/>
        <v>200</v>
      </c>
      <c r="BX746" s="78" cm="1">
        <f t="array" ref="BX746">IF(BM746&gt;0,1,_xll.DCETCVN5575FactorPhi7121(BV746*SQRT($K$17/206000),"b"))</f>
        <v>1.6670876655456978E-2</v>
      </c>
      <c r="BY746" s="64">
        <f t="shared" si="105"/>
        <v>1.1751358177322491</v>
      </c>
      <c r="BZ746" s="3" t="str">
        <f t="shared" si="106"/>
        <v>Check</v>
      </c>
    </row>
    <row r="747" spans="1:78">
      <c r="A747" s="76"/>
      <c r="B747" s="76"/>
      <c r="C747" s="125"/>
      <c r="D747" s="125"/>
      <c r="E747" s="71"/>
      <c r="F747" s="71"/>
      <c r="G747" s="71"/>
      <c r="H747" s="126"/>
      <c r="I747" s="125"/>
      <c r="J747" s="123"/>
      <c r="K747" s="12"/>
      <c r="L747" s="117"/>
      <c r="M747" s="12"/>
      <c r="N747" s="117"/>
      <c r="O747" s="117"/>
      <c r="P747" s="117"/>
      <c r="Q747" s="118"/>
      <c r="R747" s="118"/>
      <c r="S747" s="118"/>
      <c r="T747" s="12"/>
      <c r="U747" s="118"/>
      <c r="V747" s="118"/>
      <c r="W747" s="12"/>
      <c r="X747" s="119"/>
      <c r="Y747" s="120"/>
      <c r="Z747" s="12"/>
      <c r="BA747" s="70" t="s">
        <v>205</v>
      </c>
      <c r="BB747" s="71" t="s">
        <v>210</v>
      </c>
      <c r="BC747" s="71" t="s">
        <v>207</v>
      </c>
      <c r="BD747" s="71">
        <v>32</v>
      </c>
      <c r="BE747" s="71">
        <v>36</v>
      </c>
      <c r="BF747" s="71">
        <v>390</v>
      </c>
      <c r="BG747" s="71">
        <v>212</v>
      </c>
      <c r="BH747" s="71">
        <v>5</v>
      </c>
      <c r="BI747" s="71">
        <v>10</v>
      </c>
      <c r="BJ747" s="12" t="str" cm="1">
        <f t="array" ref="BJ747">_xll.Dce_Name_SectI(BF747, BF747, BG747, BH747, BI747, "x", "-", $AX$11)</f>
        <v>390x212x5x10</v>
      </c>
      <c r="BK747" s="77" cm="1">
        <f t="array" ref="BK747">_xll.DCEPropSectI(BF747, BH747, BG747, BI747, BG747, BI747, "A")/100</f>
        <v>60.9</v>
      </c>
      <c r="BL747" s="70" t="s">
        <v>222</v>
      </c>
      <c r="BM747" s="70">
        <v>-25.054347067956684</v>
      </c>
      <c r="BN747" s="71">
        <v>0.9</v>
      </c>
      <c r="BO747" s="77">
        <f t="shared" si="99"/>
        <v>32.4</v>
      </c>
      <c r="BP747" s="71">
        <v>0.9</v>
      </c>
      <c r="BQ747" s="77">
        <f t="shared" si="100"/>
        <v>32.4</v>
      </c>
      <c r="BR747" s="77" cm="1">
        <f t="array" ref="BR747">_xll.DCEPropSectI(BF747, BH747, BG747, BI747, BG747, BI747, "rx")/10</f>
        <v>16.91131201300167</v>
      </c>
      <c r="BS747" s="77" cm="1">
        <f t="array" ref="BS747">_xll.DCEPropSectI(BF747, BH747, BG747, BI747, BG747, BI747, "ry")/10</f>
        <v>5.1070747638622018</v>
      </c>
      <c r="BT747" s="5">
        <f t="shared" si="101"/>
        <v>191.58773710218577</v>
      </c>
      <c r="BU747" s="5">
        <f t="shared" si="102"/>
        <v>634.41405301647956</v>
      </c>
      <c r="BV747" s="5">
        <f t="shared" si="103"/>
        <v>634.41405301647956</v>
      </c>
      <c r="BW747" s="71">
        <f t="shared" si="104"/>
        <v>200</v>
      </c>
      <c r="BX747" s="78" cm="1">
        <f t="array" ref="BX747">IF(BM747&gt;0,1,_xll.DCETCVN5575FactorPhi7121(BV747*SQRT($K$17/206000),"b"))</f>
        <v>1.6670876655456978E-2</v>
      </c>
      <c r="BY747" s="64">
        <f t="shared" si="105"/>
        <v>1.1751358177322491</v>
      </c>
      <c r="BZ747" s="3" t="str">
        <f t="shared" si="106"/>
        <v>Check</v>
      </c>
    </row>
    <row r="748" spans="1:78">
      <c r="A748" s="76"/>
      <c r="B748" s="76"/>
      <c r="C748" s="125"/>
      <c r="D748" s="125"/>
      <c r="E748" s="71"/>
      <c r="F748" s="71"/>
      <c r="G748" s="71"/>
      <c r="H748" s="126"/>
      <c r="I748" s="125"/>
      <c r="J748" s="123"/>
      <c r="K748" s="12"/>
      <c r="L748" s="117"/>
      <c r="M748" s="12"/>
      <c r="N748" s="117"/>
      <c r="O748" s="117"/>
      <c r="P748" s="117"/>
      <c r="Q748" s="118"/>
      <c r="R748" s="118"/>
      <c r="S748" s="118"/>
      <c r="T748" s="12"/>
      <c r="U748" s="118"/>
      <c r="V748" s="118"/>
      <c r="W748" s="12"/>
      <c r="X748" s="119"/>
      <c r="Y748" s="120"/>
      <c r="Z748" s="12"/>
      <c r="BA748" s="70" t="s">
        <v>205</v>
      </c>
      <c r="BB748" s="71" t="s">
        <v>210</v>
      </c>
      <c r="BC748" s="71" t="s">
        <v>207</v>
      </c>
      <c r="BD748" s="71">
        <v>32.5</v>
      </c>
      <c r="BE748" s="71">
        <v>36</v>
      </c>
      <c r="BF748" s="71">
        <v>390</v>
      </c>
      <c r="BG748" s="71">
        <v>212</v>
      </c>
      <c r="BH748" s="71">
        <v>5</v>
      </c>
      <c r="BI748" s="71">
        <v>10</v>
      </c>
      <c r="BJ748" s="12" t="str" cm="1">
        <f t="array" ref="BJ748">_xll.Dce_Name_SectI(BF748, BF748, BG748, BH748, BI748, "x", "-", $AX$11)</f>
        <v>390x212x5x10</v>
      </c>
      <c r="BK748" s="77" cm="1">
        <f t="array" ref="BK748">_xll.DCEPropSectI(BF748, BH748, BG748, BI748, BG748, BI748, "A")/100</f>
        <v>60.9</v>
      </c>
      <c r="BL748" s="70" t="s">
        <v>222</v>
      </c>
      <c r="BM748" s="70">
        <v>-25.054347067956684</v>
      </c>
      <c r="BN748" s="71">
        <v>0.9</v>
      </c>
      <c r="BO748" s="77">
        <f t="shared" si="99"/>
        <v>32.4</v>
      </c>
      <c r="BP748" s="71">
        <v>0.9</v>
      </c>
      <c r="BQ748" s="77">
        <f t="shared" si="100"/>
        <v>32.4</v>
      </c>
      <c r="BR748" s="77" cm="1">
        <f t="array" ref="BR748">_xll.DCEPropSectI(BF748, BH748, BG748, BI748, BG748, BI748, "rx")/10</f>
        <v>16.91131201300167</v>
      </c>
      <c r="BS748" s="77" cm="1">
        <f t="array" ref="BS748">_xll.DCEPropSectI(BF748, BH748, BG748, BI748, BG748, BI748, "ry")/10</f>
        <v>5.1070747638622018</v>
      </c>
      <c r="BT748" s="5">
        <f t="shared" si="101"/>
        <v>191.58773710218577</v>
      </c>
      <c r="BU748" s="5">
        <f t="shared" si="102"/>
        <v>634.41405301647956</v>
      </c>
      <c r="BV748" s="5">
        <f t="shared" si="103"/>
        <v>634.41405301647956</v>
      </c>
      <c r="BW748" s="71">
        <f t="shared" si="104"/>
        <v>200</v>
      </c>
      <c r="BX748" s="78" cm="1">
        <f t="array" ref="BX748">IF(BM748&gt;0,1,_xll.DCETCVN5575FactorPhi7121(BV748*SQRT($K$17/206000),"b"))</f>
        <v>1.6670876655456978E-2</v>
      </c>
      <c r="BY748" s="64">
        <f t="shared" si="105"/>
        <v>1.1751358177322491</v>
      </c>
      <c r="BZ748" s="3" t="str">
        <f t="shared" si="106"/>
        <v>Check</v>
      </c>
    </row>
    <row r="749" spans="1:78">
      <c r="A749" s="76"/>
      <c r="B749" s="76"/>
      <c r="C749" s="125"/>
      <c r="D749" s="125"/>
      <c r="E749" s="71"/>
      <c r="F749" s="71"/>
      <c r="G749" s="71"/>
      <c r="H749" s="126"/>
      <c r="I749" s="125"/>
      <c r="J749" s="123"/>
      <c r="K749" s="12"/>
      <c r="L749" s="117"/>
      <c r="M749" s="12"/>
      <c r="N749" s="117"/>
      <c r="O749" s="117"/>
      <c r="P749" s="117"/>
      <c r="Q749" s="118"/>
      <c r="R749" s="118"/>
      <c r="S749" s="118"/>
      <c r="T749" s="12"/>
      <c r="U749" s="118"/>
      <c r="V749" s="118"/>
      <c r="W749" s="12"/>
      <c r="X749" s="119"/>
      <c r="Y749" s="120"/>
      <c r="Z749" s="12"/>
      <c r="BA749" s="70" t="s">
        <v>205</v>
      </c>
      <c r="BB749" s="71" t="s">
        <v>210</v>
      </c>
      <c r="BC749" s="71" t="s">
        <v>207</v>
      </c>
      <c r="BD749" s="71">
        <v>33</v>
      </c>
      <c r="BE749" s="71">
        <v>36</v>
      </c>
      <c r="BF749" s="71">
        <v>390</v>
      </c>
      <c r="BG749" s="71">
        <v>212</v>
      </c>
      <c r="BH749" s="71">
        <v>5</v>
      </c>
      <c r="BI749" s="71">
        <v>10</v>
      </c>
      <c r="BJ749" s="12" t="str" cm="1">
        <f t="array" ref="BJ749">_xll.Dce_Name_SectI(BF749, BF749, BG749, BH749, BI749, "x", "-", $AX$11)</f>
        <v>390x212x5x10</v>
      </c>
      <c r="BK749" s="77" cm="1">
        <f t="array" ref="BK749">_xll.DCEPropSectI(BF749, BH749, BG749, BI749, BG749, BI749, "A")/100</f>
        <v>60.9</v>
      </c>
      <c r="BL749" s="70" t="s">
        <v>222</v>
      </c>
      <c r="BM749" s="70">
        <v>-25.054347067956684</v>
      </c>
      <c r="BN749" s="71">
        <v>0.9</v>
      </c>
      <c r="BO749" s="77">
        <f t="shared" si="99"/>
        <v>32.4</v>
      </c>
      <c r="BP749" s="71">
        <v>0.9</v>
      </c>
      <c r="BQ749" s="77">
        <f t="shared" si="100"/>
        <v>32.4</v>
      </c>
      <c r="BR749" s="77" cm="1">
        <f t="array" ref="BR749">_xll.DCEPropSectI(BF749, BH749, BG749, BI749, BG749, BI749, "rx")/10</f>
        <v>16.91131201300167</v>
      </c>
      <c r="BS749" s="77" cm="1">
        <f t="array" ref="BS749">_xll.DCEPropSectI(BF749, BH749, BG749, BI749, BG749, BI749, "ry")/10</f>
        <v>5.1070747638622018</v>
      </c>
      <c r="BT749" s="5">
        <f t="shared" si="101"/>
        <v>191.58773710218577</v>
      </c>
      <c r="BU749" s="5">
        <f t="shared" si="102"/>
        <v>634.41405301647956</v>
      </c>
      <c r="BV749" s="5">
        <f t="shared" si="103"/>
        <v>634.41405301647956</v>
      </c>
      <c r="BW749" s="71">
        <f t="shared" si="104"/>
        <v>200</v>
      </c>
      <c r="BX749" s="78" cm="1">
        <f t="array" ref="BX749">IF(BM749&gt;0,1,_xll.DCETCVN5575FactorPhi7121(BV749*SQRT($K$17/206000),"b"))</f>
        <v>1.6670876655456978E-2</v>
      </c>
      <c r="BY749" s="64">
        <f t="shared" si="105"/>
        <v>1.1751358177322491</v>
      </c>
      <c r="BZ749" s="3" t="str">
        <f t="shared" si="106"/>
        <v>Check</v>
      </c>
    </row>
    <row r="750" spans="1:78">
      <c r="A750" s="76"/>
      <c r="B750" s="76"/>
      <c r="C750" s="125"/>
      <c r="D750" s="125"/>
      <c r="E750" s="71"/>
      <c r="F750" s="71"/>
      <c r="G750" s="71"/>
      <c r="H750" s="126"/>
      <c r="I750" s="125"/>
      <c r="J750" s="123"/>
      <c r="K750" s="12"/>
      <c r="L750" s="117"/>
      <c r="M750" s="12"/>
      <c r="N750" s="117"/>
      <c r="O750" s="117"/>
      <c r="P750" s="117"/>
      <c r="Q750" s="118"/>
      <c r="R750" s="118"/>
      <c r="S750" s="118"/>
      <c r="T750" s="12"/>
      <c r="U750" s="118"/>
      <c r="V750" s="118"/>
      <c r="W750" s="12"/>
      <c r="X750" s="119"/>
      <c r="Y750" s="120"/>
      <c r="Z750" s="12"/>
      <c r="BA750" s="70" t="s">
        <v>205</v>
      </c>
      <c r="BB750" s="71" t="s">
        <v>210</v>
      </c>
      <c r="BC750" s="71" t="s">
        <v>207</v>
      </c>
      <c r="BD750" s="71">
        <v>33.5</v>
      </c>
      <c r="BE750" s="71">
        <v>36</v>
      </c>
      <c r="BF750" s="71">
        <v>390</v>
      </c>
      <c r="BG750" s="71">
        <v>212</v>
      </c>
      <c r="BH750" s="71">
        <v>5</v>
      </c>
      <c r="BI750" s="71">
        <v>10</v>
      </c>
      <c r="BJ750" s="12" t="str" cm="1">
        <f t="array" ref="BJ750">_xll.Dce_Name_SectI(BF750, BF750, BG750, BH750, BI750, "x", "-", $AX$11)</f>
        <v>390x212x5x10</v>
      </c>
      <c r="BK750" s="77" cm="1">
        <f t="array" ref="BK750">_xll.DCEPropSectI(BF750, BH750, BG750, BI750, BG750, BI750, "A")/100</f>
        <v>60.9</v>
      </c>
      <c r="BL750" s="70" t="s">
        <v>222</v>
      </c>
      <c r="BM750" s="70">
        <v>-25.054347067956684</v>
      </c>
      <c r="BN750" s="71">
        <v>0.9</v>
      </c>
      <c r="BO750" s="77">
        <f t="shared" si="99"/>
        <v>32.4</v>
      </c>
      <c r="BP750" s="71">
        <v>0.9</v>
      </c>
      <c r="BQ750" s="77">
        <f t="shared" si="100"/>
        <v>32.4</v>
      </c>
      <c r="BR750" s="77" cm="1">
        <f t="array" ref="BR750">_xll.DCEPropSectI(BF750, BH750, BG750, BI750, BG750, BI750, "rx")/10</f>
        <v>16.91131201300167</v>
      </c>
      <c r="BS750" s="77" cm="1">
        <f t="array" ref="BS750">_xll.DCEPropSectI(BF750, BH750, BG750, BI750, BG750, BI750, "ry")/10</f>
        <v>5.1070747638622018</v>
      </c>
      <c r="BT750" s="5">
        <f t="shared" si="101"/>
        <v>191.58773710218577</v>
      </c>
      <c r="BU750" s="5">
        <f t="shared" si="102"/>
        <v>634.41405301647956</v>
      </c>
      <c r="BV750" s="5">
        <f t="shared" si="103"/>
        <v>634.41405301647956</v>
      </c>
      <c r="BW750" s="71">
        <f t="shared" si="104"/>
        <v>200</v>
      </c>
      <c r="BX750" s="78" cm="1">
        <f t="array" ref="BX750">IF(BM750&gt;0,1,_xll.DCETCVN5575FactorPhi7121(BV750*SQRT($K$17/206000),"b"))</f>
        <v>1.6670876655456978E-2</v>
      </c>
      <c r="BY750" s="64">
        <f t="shared" si="105"/>
        <v>1.1751358177322491</v>
      </c>
      <c r="BZ750" s="3" t="str">
        <f t="shared" si="106"/>
        <v>Check</v>
      </c>
    </row>
    <row r="751" spans="1:78">
      <c r="A751" s="76"/>
      <c r="B751" s="76"/>
      <c r="C751" s="125"/>
      <c r="D751" s="125"/>
      <c r="E751" s="71"/>
      <c r="F751" s="71"/>
      <c r="G751" s="71"/>
      <c r="H751" s="126"/>
      <c r="I751" s="125"/>
      <c r="J751" s="123"/>
      <c r="K751" s="12"/>
      <c r="L751" s="117"/>
      <c r="M751" s="12"/>
      <c r="N751" s="117"/>
      <c r="O751" s="117"/>
      <c r="P751" s="117"/>
      <c r="Q751" s="118"/>
      <c r="R751" s="118"/>
      <c r="S751" s="118"/>
      <c r="T751" s="12"/>
      <c r="U751" s="118"/>
      <c r="V751" s="118"/>
      <c r="W751" s="12"/>
      <c r="X751" s="119"/>
      <c r="Y751" s="120"/>
      <c r="Z751" s="12"/>
      <c r="BA751" s="70" t="s">
        <v>205</v>
      </c>
      <c r="BB751" s="71" t="s">
        <v>210</v>
      </c>
      <c r="BC751" s="71" t="s">
        <v>207</v>
      </c>
      <c r="BD751" s="71">
        <v>34</v>
      </c>
      <c r="BE751" s="71">
        <v>36</v>
      </c>
      <c r="BF751" s="71">
        <v>390</v>
      </c>
      <c r="BG751" s="71">
        <v>212</v>
      </c>
      <c r="BH751" s="71">
        <v>5</v>
      </c>
      <c r="BI751" s="71">
        <v>10</v>
      </c>
      <c r="BJ751" s="12" t="str" cm="1">
        <f t="array" ref="BJ751">_xll.Dce_Name_SectI(BF751, BF751, BG751, BH751, BI751, "x", "-", $AX$11)</f>
        <v>390x212x5x10</v>
      </c>
      <c r="BK751" s="77" cm="1">
        <f t="array" ref="BK751">_xll.DCEPropSectI(BF751, BH751, BG751, BI751, BG751, BI751, "A")/100</f>
        <v>60.9</v>
      </c>
      <c r="BL751" s="70" t="s">
        <v>222</v>
      </c>
      <c r="BM751" s="70">
        <v>-25.054347067956684</v>
      </c>
      <c r="BN751" s="71">
        <v>0.9</v>
      </c>
      <c r="BO751" s="77">
        <f t="shared" si="99"/>
        <v>32.4</v>
      </c>
      <c r="BP751" s="71">
        <v>0.9</v>
      </c>
      <c r="BQ751" s="77">
        <f t="shared" si="100"/>
        <v>32.4</v>
      </c>
      <c r="BR751" s="77" cm="1">
        <f t="array" ref="BR751">_xll.DCEPropSectI(BF751, BH751, BG751, BI751, BG751, BI751, "rx")/10</f>
        <v>16.91131201300167</v>
      </c>
      <c r="BS751" s="77" cm="1">
        <f t="array" ref="BS751">_xll.DCEPropSectI(BF751, BH751, BG751, BI751, BG751, BI751, "ry")/10</f>
        <v>5.1070747638622018</v>
      </c>
      <c r="BT751" s="5">
        <f t="shared" si="101"/>
        <v>191.58773710218577</v>
      </c>
      <c r="BU751" s="5">
        <f t="shared" si="102"/>
        <v>634.41405301647956</v>
      </c>
      <c r="BV751" s="5">
        <f t="shared" si="103"/>
        <v>634.41405301647956</v>
      </c>
      <c r="BW751" s="71">
        <f t="shared" si="104"/>
        <v>200</v>
      </c>
      <c r="BX751" s="78" cm="1">
        <f t="array" ref="BX751">IF(BM751&gt;0,1,_xll.DCETCVN5575FactorPhi7121(BV751*SQRT($K$17/206000),"b"))</f>
        <v>1.6670876655456978E-2</v>
      </c>
      <c r="BY751" s="64">
        <f t="shared" si="105"/>
        <v>1.1751358177322491</v>
      </c>
      <c r="BZ751" s="3" t="str">
        <f t="shared" si="106"/>
        <v>Check</v>
      </c>
    </row>
    <row r="752" spans="1:78">
      <c r="A752" s="76"/>
      <c r="B752" s="76"/>
      <c r="C752" s="125"/>
      <c r="D752" s="125"/>
      <c r="E752" s="71"/>
      <c r="F752" s="71"/>
      <c r="G752" s="71"/>
      <c r="H752" s="126"/>
      <c r="I752" s="125"/>
      <c r="J752" s="123"/>
      <c r="K752" s="12"/>
      <c r="L752" s="117"/>
      <c r="M752" s="12"/>
      <c r="N752" s="117"/>
      <c r="O752" s="117"/>
      <c r="P752" s="117"/>
      <c r="Q752" s="118"/>
      <c r="R752" s="118"/>
      <c r="S752" s="118"/>
      <c r="T752" s="12"/>
      <c r="U752" s="118"/>
      <c r="V752" s="118"/>
      <c r="W752" s="12"/>
      <c r="X752" s="119"/>
      <c r="Y752" s="120"/>
      <c r="Z752" s="12"/>
      <c r="BA752" s="70" t="s">
        <v>205</v>
      </c>
      <c r="BB752" s="71" t="s">
        <v>210</v>
      </c>
      <c r="BC752" s="71" t="s">
        <v>207</v>
      </c>
      <c r="BD752" s="71">
        <v>34.5</v>
      </c>
      <c r="BE752" s="71">
        <v>36</v>
      </c>
      <c r="BF752" s="71">
        <v>390</v>
      </c>
      <c r="BG752" s="71">
        <v>212</v>
      </c>
      <c r="BH752" s="71">
        <v>5</v>
      </c>
      <c r="BI752" s="71">
        <v>10</v>
      </c>
      <c r="BJ752" s="12" t="str" cm="1">
        <f t="array" ref="BJ752">_xll.Dce_Name_SectI(BF752, BF752, BG752, BH752, BI752, "x", "-", $AX$11)</f>
        <v>390x212x5x10</v>
      </c>
      <c r="BK752" s="77" cm="1">
        <f t="array" ref="BK752">_xll.DCEPropSectI(BF752, BH752, BG752, BI752, BG752, BI752, "A")/100</f>
        <v>60.9</v>
      </c>
      <c r="BL752" s="70" t="s">
        <v>222</v>
      </c>
      <c r="BM752" s="70">
        <v>-25.054347067956684</v>
      </c>
      <c r="BN752" s="71">
        <v>0.9</v>
      </c>
      <c r="BO752" s="77">
        <f t="shared" si="99"/>
        <v>32.4</v>
      </c>
      <c r="BP752" s="71">
        <v>0.9</v>
      </c>
      <c r="BQ752" s="77">
        <f t="shared" si="100"/>
        <v>32.4</v>
      </c>
      <c r="BR752" s="77" cm="1">
        <f t="array" ref="BR752">_xll.DCEPropSectI(BF752, BH752, BG752, BI752, BG752, BI752, "rx")/10</f>
        <v>16.91131201300167</v>
      </c>
      <c r="BS752" s="77" cm="1">
        <f t="array" ref="BS752">_xll.DCEPropSectI(BF752, BH752, BG752, BI752, BG752, BI752, "ry")/10</f>
        <v>5.1070747638622018</v>
      </c>
      <c r="BT752" s="5">
        <f t="shared" si="101"/>
        <v>191.58773710218577</v>
      </c>
      <c r="BU752" s="5">
        <f t="shared" si="102"/>
        <v>634.41405301647956</v>
      </c>
      <c r="BV752" s="5">
        <f t="shared" si="103"/>
        <v>634.41405301647956</v>
      </c>
      <c r="BW752" s="71">
        <f t="shared" si="104"/>
        <v>200</v>
      </c>
      <c r="BX752" s="78" cm="1">
        <f t="array" ref="BX752">IF(BM752&gt;0,1,_xll.DCETCVN5575FactorPhi7121(BV752*SQRT($K$17/206000),"b"))</f>
        <v>1.6670876655456978E-2</v>
      </c>
      <c r="BY752" s="64">
        <f t="shared" si="105"/>
        <v>1.1751358177322491</v>
      </c>
      <c r="BZ752" s="3" t="str">
        <f t="shared" si="106"/>
        <v>Check</v>
      </c>
    </row>
    <row r="753" spans="1:78">
      <c r="A753" s="76"/>
      <c r="B753" s="76"/>
      <c r="C753" s="125"/>
      <c r="D753" s="125"/>
      <c r="E753" s="71"/>
      <c r="F753" s="71"/>
      <c r="G753" s="71"/>
      <c r="H753" s="126"/>
      <c r="I753" s="125"/>
      <c r="J753" s="123"/>
      <c r="K753" s="12"/>
      <c r="L753" s="117"/>
      <c r="M753" s="12"/>
      <c r="N753" s="117"/>
      <c r="O753" s="117"/>
      <c r="P753" s="117"/>
      <c r="Q753" s="118"/>
      <c r="R753" s="118"/>
      <c r="S753" s="118"/>
      <c r="T753" s="12"/>
      <c r="U753" s="118"/>
      <c r="V753" s="118"/>
      <c r="W753" s="12"/>
      <c r="X753" s="119"/>
      <c r="Y753" s="120"/>
      <c r="Z753" s="12"/>
      <c r="BA753" s="70" t="s">
        <v>205</v>
      </c>
      <c r="BB753" s="71" t="s">
        <v>210</v>
      </c>
      <c r="BC753" s="71" t="s">
        <v>207</v>
      </c>
      <c r="BD753" s="71">
        <v>35</v>
      </c>
      <c r="BE753" s="71">
        <v>36</v>
      </c>
      <c r="BF753" s="71">
        <v>390</v>
      </c>
      <c r="BG753" s="71">
        <v>212</v>
      </c>
      <c r="BH753" s="71">
        <v>5</v>
      </c>
      <c r="BI753" s="71">
        <v>10</v>
      </c>
      <c r="BJ753" s="12" t="str" cm="1">
        <f t="array" ref="BJ753">_xll.Dce_Name_SectI(BF753, BF753, BG753, BH753, BI753, "x", "-", $AX$11)</f>
        <v>390x212x5x10</v>
      </c>
      <c r="BK753" s="77" cm="1">
        <f t="array" ref="BK753">_xll.DCEPropSectI(BF753, BH753, BG753, BI753, BG753, BI753, "A")/100</f>
        <v>60.9</v>
      </c>
      <c r="BL753" s="70" t="s">
        <v>222</v>
      </c>
      <c r="BM753" s="70">
        <v>-25.054347067956684</v>
      </c>
      <c r="BN753" s="71">
        <v>0.9</v>
      </c>
      <c r="BO753" s="77">
        <f t="shared" si="99"/>
        <v>32.4</v>
      </c>
      <c r="BP753" s="71">
        <v>0.9</v>
      </c>
      <c r="BQ753" s="77">
        <f t="shared" si="100"/>
        <v>32.4</v>
      </c>
      <c r="BR753" s="77" cm="1">
        <f t="array" ref="BR753">_xll.DCEPropSectI(BF753, BH753, BG753, BI753, BG753, BI753, "rx")/10</f>
        <v>16.91131201300167</v>
      </c>
      <c r="BS753" s="77" cm="1">
        <f t="array" ref="BS753">_xll.DCEPropSectI(BF753, BH753, BG753, BI753, BG753, BI753, "ry")/10</f>
        <v>5.1070747638622018</v>
      </c>
      <c r="BT753" s="5">
        <f t="shared" si="101"/>
        <v>191.58773710218577</v>
      </c>
      <c r="BU753" s="5">
        <f t="shared" si="102"/>
        <v>634.41405301647956</v>
      </c>
      <c r="BV753" s="5">
        <f t="shared" si="103"/>
        <v>634.41405301647956</v>
      </c>
      <c r="BW753" s="71">
        <f t="shared" si="104"/>
        <v>200</v>
      </c>
      <c r="BX753" s="78" cm="1">
        <f t="array" ref="BX753">IF(BM753&gt;0,1,_xll.DCETCVN5575FactorPhi7121(BV753*SQRT($K$17/206000),"b"))</f>
        <v>1.6670876655456978E-2</v>
      </c>
      <c r="BY753" s="64">
        <f t="shared" si="105"/>
        <v>1.1751358177322491</v>
      </c>
      <c r="BZ753" s="3" t="str">
        <f t="shared" si="106"/>
        <v>Check</v>
      </c>
    </row>
    <row r="754" spans="1:78">
      <c r="A754" s="76"/>
      <c r="B754" s="76"/>
      <c r="C754" s="125"/>
      <c r="D754" s="125"/>
      <c r="E754" s="71"/>
      <c r="F754" s="71"/>
      <c r="G754" s="71"/>
      <c r="H754" s="126"/>
      <c r="I754" s="125"/>
      <c r="J754" s="123"/>
      <c r="K754" s="12"/>
      <c r="L754" s="117"/>
      <c r="M754" s="12"/>
      <c r="N754" s="117"/>
      <c r="O754" s="117"/>
      <c r="P754" s="117"/>
      <c r="Q754" s="118"/>
      <c r="R754" s="118"/>
      <c r="S754" s="118"/>
      <c r="T754" s="12"/>
      <c r="U754" s="118"/>
      <c r="V754" s="118"/>
      <c r="W754" s="12"/>
      <c r="X754" s="119"/>
      <c r="Y754" s="120"/>
      <c r="Z754" s="12"/>
      <c r="BA754" s="70" t="s">
        <v>205</v>
      </c>
      <c r="BB754" s="71" t="s">
        <v>210</v>
      </c>
      <c r="BC754" s="71" t="s">
        <v>207</v>
      </c>
      <c r="BD754" s="71">
        <v>35.5</v>
      </c>
      <c r="BE754" s="71">
        <v>36</v>
      </c>
      <c r="BF754" s="71">
        <v>390</v>
      </c>
      <c r="BG754" s="71">
        <v>212</v>
      </c>
      <c r="BH754" s="71">
        <v>5</v>
      </c>
      <c r="BI754" s="71">
        <v>10</v>
      </c>
      <c r="BJ754" s="12" t="str" cm="1">
        <f t="array" ref="BJ754">_xll.Dce_Name_SectI(BF754, BF754, BG754, BH754, BI754, "x", "-", $AX$11)</f>
        <v>390x212x5x10</v>
      </c>
      <c r="BK754" s="77" cm="1">
        <f t="array" ref="BK754">_xll.DCEPropSectI(BF754, BH754, BG754, BI754, BG754, BI754, "A")/100</f>
        <v>60.9</v>
      </c>
      <c r="BL754" s="70" t="s">
        <v>222</v>
      </c>
      <c r="BM754" s="70">
        <v>-25.054347067956684</v>
      </c>
      <c r="BN754" s="71">
        <v>0.9</v>
      </c>
      <c r="BO754" s="77">
        <f t="shared" si="99"/>
        <v>32.4</v>
      </c>
      <c r="BP754" s="71">
        <v>0.9</v>
      </c>
      <c r="BQ754" s="77">
        <f t="shared" si="100"/>
        <v>32.4</v>
      </c>
      <c r="BR754" s="77" cm="1">
        <f t="array" ref="BR754">_xll.DCEPropSectI(BF754, BH754, BG754, BI754, BG754, BI754, "rx")/10</f>
        <v>16.91131201300167</v>
      </c>
      <c r="BS754" s="77" cm="1">
        <f t="array" ref="BS754">_xll.DCEPropSectI(BF754, BH754, BG754, BI754, BG754, BI754, "ry")/10</f>
        <v>5.1070747638622018</v>
      </c>
      <c r="BT754" s="5">
        <f t="shared" si="101"/>
        <v>191.58773710218577</v>
      </c>
      <c r="BU754" s="5">
        <f t="shared" si="102"/>
        <v>634.41405301647956</v>
      </c>
      <c r="BV754" s="5">
        <f t="shared" si="103"/>
        <v>634.41405301647956</v>
      </c>
      <c r="BW754" s="71">
        <f t="shared" si="104"/>
        <v>200</v>
      </c>
      <c r="BX754" s="78" cm="1">
        <f t="array" ref="BX754">IF(BM754&gt;0,1,_xll.DCETCVN5575FactorPhi7121(BV754*SQRT($K$17/206000),"b"))</f>
        <v>1.6670876655456978E-2</v>
      </c>
      <c r="BY754" s="64">
        <f t="shared" si="105"/>
        <v>1.1751358177322491</v>
      </c>
      <c r="BZ754" s="3" t="str">
        <f t="shared" si="106"/>
        <v>Check</v>
      </c>
    </row>
    <row r="755" spans="1:78">
      <c r="A755" s="76"/>
      <c r="B755" s="76"/>
      <c r="C755" s="125"/>
      <c r="D755" s="125"/>
      <c r="E755" s="71"/>
      <c r="F755" s="71"/>
      <c r="G755" s="71"/>
      <c r="H755" s="126"/>
      <c r="I755" s="125"/>
      <c r="J755" s="123"/>
      <c r="K755" s="12"/>
      <c r="L755" s="117"/>
      <c r="M755" s="12"/>
      <c r="N755" s="117"/>
      <c r="O755" s="117"/>
      <c r="P755" s="117"/>
      <c r="Q755" s="118"/>
      <c r="R755" s="118"/>
      <c r="S755" s="118"/>
      <c r="T755" s="12"/>
      <c r="U755" s="118"/>
      <c r="V755" s="118"/>
      <c r="W755" s="12"/>
      <c r="X755" s="119"/>
      <c r="Y755" s="120"/>
      <c r="Z755" s="12"/>
      <c r="BA755" s="70" t="s">
        <v>205</v>
      </c>
      <c r="BB755" s="71" t="s">
        <v>210</v>
      </c>
      <c r="BC755" s="71" t="s">
        <v>207</v>
      </c>
      <c r="BD755" s="71">
        <v>36</v>
      </c>
      <c r="BE755" s="71">
        <v>36</v>
      </c>
      <c r="BF755" s="71">
        <v>390</v>
      </c>
      <c r="BG755" s="71">
        <v>212</v>
      </c>
      <c r="BH755" s="71">
        <v>5</v>
      </c>
      <c r="BI755" s="71">
        <v>10</v>
      </c>
      <c r="BJ755" s="12" t="str" cm="1">
        <f t="array" ref="BJ755">_xll.Dce_Name_SectI(BF755, BF755, BG755, BH755, BI755, "x", "-", $AX$11)</f>
        <v>390x212x5x10</v>
      </c>
      <c r="BK755" s="77" cm="1">
        <f t="array" ref="BK755">_xll.DCEPropSectI(BF755, BH755, BG755, BI755, BG755, BI755, "A")/100</f>
        <v>60.9</v>
      </c>
      <c r="BL755" s="70" t="s">
        <v>222</v>
      </c>
      <c r="BM755" s="70">
        <v>-25.054347067956684</v>
      </c>
      <c r="BN755" s="71">
        <v>0.9</v>
      </c>
      <c r="BO755" s="77">
        <f t="shared" si="99"/>
        <v>32.4</v>
      </c>
      <c r="BP755" s="71">
        <v>0.9</v>
      </c>
      <c r="BQ755" s="77">
        <f t="shared" si="100"/>
        <v>32.4</v>
      </c>
      <c r="BR755" s="77" cm="1">
        <f t="array" ref="BR755">_xll.DCEPropSectI(BF755, BH755, BG755, BI755, BG755, BI755, "rx")/10</f>
        <v>16.91131201300167</v>
      </c>
      <c r="BS755" s="77" cm="1">
        <f t="array" ref="BS755">_xll.DCEPropSectI(BF755, BH755, BG755, BI755, BG755, BI755, "ry")/10</f>
        <v>5.1070747638622018</v>
      </c>
      <c r="BT755" s="5">
        <f t="shared" si="101"/>
        <v>191.58773710218577</v>
      </c>
      <c r="BU755" s="5">
        <f t="shared" si="102"/>
        <v>634.41405301647956</v>
      </c>
      <c r="BV755" s="5">
        <f t="shared" si="103"/>
        <v>634.41405301647956</v>
      </c>
      <c r="BW755" s="71">
        <f t="shared" si="104"/>
        <v>200</v>
      </c>
      <c r="BX755" s="78" cm="1">
        <f t="array" ref="BX755">IF(BM755&gt;0,1,_xll.DCETCVN5575FactorPhi7121(BV755*SQRT($K$17/206000),"b"))</f>
        <v>1.6670876655456978E-2</v>
      </c>
      <c r="BY755" s="64">
        <f t="shared" si="105"/>
        <v>1.1751358177322491</v>
      </c>
      <c r="BZ755" s="3" t="str">
        <f t="shared" si="106"/>
        <v>Check</v>
      </c>
    </row>
    <row r="756" spans="1:78">
      <c r="A756" s="76"/>
      <c r="B756" s="76"/>
      <c r="C756" s="125"/>
      <c r="D756" s="125"/>
      <c r="E756" s="71"/>
      <c r="F756" s="71"/>
      <c r="G756" s="71"/>
      <c r="H756" s="126"/>
      <c r="I756" s="125"/>
      <c r="J756" s="123"/>
      <c r="K756" s="12"/>
      <c r="L756" s="117"/>
      <c r="M756" s="12"/>
      <c r="N756" s="117"/>
      <c r="O756" s="117"/>
      <c r="P756" s="117"/>
      <c r="Q756" s="118"/>
      <c r="R756" s="118"/>
      <c r="S756" s="118"/>
      <c r="T756" s="12"/>
      <c r="U756" s="118"/>
      <c r="V756" s="118"/>
      <c r="W756" s="12"/>
      <c r="X756" s="119"/>
      <c r="Y756" s="120"/>
      <c r="Z756" s="12"/>
      <c r="BA756" s="70" t="s">
        <v>205</v>
      </c>
      <c r="BB756" s="71" t="s">
        <v>210</v>
      </c>
      <c r="BC756" s="71" t="s">
        <v>207</v>
      </c>
      <c r="BD756" s="71">
        <v>0</v>
      </c>
      <c r="BE756" s="71">
        <v>36</v>
      </c>
      <c r="BF756" s="71">
        <v>390</v>
      </c>
      <c r="BG756" s="71">
        <v>212</v>
      </c>
      <c r="BH756" s="71">
        <v>5</v>
      </c>
      <c r="BI756" s="71">
        <v>10</v>
      </c>
      <c r="BJ756" s="12" t="str" cm="1">
        <f t="array" ref="BJ756">_xll.Dce_Name_SectI(BF756, BF756, BG756, BH756, BI756, "x", "-", $AX$11)</f>
        <v>390x212x5x10</v>
      </c>
      <c r="BK756" s="77" cm="1">
        <f t="array" ref="BK756">_xll.DCEPropSectI(BF756, BH756, BG756, BI756, BG756, BI756, "A")/100</f>
        <v>60.9</v>
      </c>
      <c r="BL756" s="70" t="s">
        <v>223</v>
      </c>
      <c r="BM756" s="70">
        <v>-5.2552246748154943</v>
      </c>
      <c r="BN756" s="71">
        <v>0.9</v>
      </c>
      <c r="BO756" s="77">
        <f t="shared" si="99"/>
        <v>32.4</v>
      </c>
      <c r="BP756" s="71">
        <v>0.9</v>
      </c>
      <c r="BQ756" s="77">
        <f t="shared" si="100"/>
        <v>32.4</v>
      </c>
      <c r="BR756" s="77" cm="1">
        <f t="array" ref="BR756">_xll.DCEPropSectI(BF756, BH756, BG756, BI756, BG756, BI756, "rx")/10</f>
        <v>16.91131201300167</v>
      </c>
      <c r="BS756" s="77" cm="1">
        <f t="array" ref="BS756">_xll.DCEPropSectI(BF756, BH756, BG756, BI756, BG756, BI756, "ry")/10</f>
        <v>5.1070747638622018</v>
      </c>
      <c r="BT756" s="5">
        <f t="shared" si="101"/>
        <v>191.58773710218577</v>
      </c>
      <c r="BU756" s="5">
        <f t="shared" si="102"/>
        <v>634.41405301647956</v>
      </c>
      <c r="BV756" s="5">
        <f t="shared" si="103"/>
        <v>634.41405301647956</v>
      </c>
      <c r="BW756" s="71">
        <f t="shared" si="104"/>
        <v>200</v>
      </c>
      <c r="BX756" s="78" cm="1">
        <f t="array" ref="BX756">IF(BM756&gt;0,1,_xll.DCETCVN5575FactorPhi7121(BV756*SQRT($K$17/206000),"b"))</f>
        <v>1.6670876655456978E-2</v>
      </c>
      <c r="BY756" s="64">
        <f t="shared" si="105"/>
        <v>0.2464882732268166</v>
      </c>
      <c r="BZ756" s="3" t="str">
        <f t="shared" si="106"/>
        <v>Check</v>
      </c>
    </row>
    <row r="757" spans="1:78">
      <c r="A757" s="76"/>
      <c r="B757" s="76"/>
      <c r="C757" s="125"/>
      <c r="D757" s="125"/>
      <c r="E757" s="71"/>
      <c r="F757" s="71"/>
      <c r="G757" s="71"/>
      <c r="H757" s="126"/>
      <c r="I757" s="125"/>
      <c r="J757" s="123"/>
      <c r="K757" s="12"/>
      <c r="L757" s="117"/>
      <c r="M757" s="12"/>
      <c r="N757" s="117"/>
      <c r="O757" s="117"/>
      <c r="P757" s="117"/>
      <c r="Q757" s="118"/>
      <c r="R757" s="118"/>
      <c r="S757" s="118"/>
      <c r="T757" s="12"/>
      <c r="U757" s="118"/>
      <c r="V757" s="118"/>
      <c r="W757" s="12"/>
      <c r="X757" s="119"/>
      <c r="Y757" s="120"/>
      <c r="Z757" s="12"/>
      <c r="BA757" s="70" t="s">
        <v>205</v>
      </c>
      <c r="BB757" s="71" t="s">
        <v>210</v>
      </c>
      <c r="BC757" s="71" t="s">
        <v>207</v>
      </c>
      <c r="BD757" s="71">
        <v>0.3</v>
      </c>
      <c r="BE757" s="71">
        <v>36</v>
      </c>
      <c r="BF757" s="71">
        <v>390</v>
      </c>
      <c r="BG757" s="71">
        <v>212</v>
      </c>
      <c r="BH757" s="71">
        <v>5</v>
      </c>
      <c r="BI757" s="71">
        <v>10</v>
      </c>
      <c r="BJ757" s="12" t="str" cm="1">
        <f t="array" ref="BJ757">_xll.Dce_Name_SectI(BF757, BF757, BG757, BH757, BI757, "x", "-", $AX$11)</f>
        <v>390x212x5x10</v>
      </c>
      <c r="BK757" s="77" cm="1">
        <f t="array" ref="BK757">_xll.DCEPropSectI(BF757, BH757, BG757, BI757, BG757, BI757, "A")/100</f>
        <v>60.9</v>
      </c>
      <c r="BL757" s="70" t="s">
        <v>223</v>
      </c>
      <c r="BM757" s="70">
        <v>-5.2552246748154943</v>
      </c>
      <c r="BN757" s="71">
        <v>0.9</v>
      </c>
      <c r="BO757" s="77">
        <f t="shared" si="99"/>
        <v>32.4</v>
      </c>
      <c r="BP757" s="71">
        <v>0.9</v>
      </c>
      <c r="BQ757" s="77">
        <f t="shared" si="100"/>
        <v>32.4</v>
      </c>
      <c r="BR757" s="77" cm="1">
        <f t="array" ref="BR757">_xll.DCEPropSectI(BF757, BH757, BG757, BI757, BG757, BI757, "rx")/10</f>
        <v>16.91131201300167</v>
      </c>
      <c r="BS757" s="77" cm="1">
        <f t="array" ref="BS757">_xll.DCEPropSectI(BF757, BH757, BG757, BI757, BG757, BI757, "ry")/10</f>
        <v>5.1070747638622018</v>
      </c>
      <c r="BT757" s="5">
        <f t="shared" si="101"/>
        <v>191.58773710218577</v>
      </c>
      <c r="BU757" s="5">
        <f t="shared" si="102"/>
        <v>634.41405301647956</v>
      </c>
      <c r="BV757" s="5">
        <f t="shared" si="103"/>
        <v>634.41405301647956</v>
      </c>
      <c r="BW757" s="71">
        <f t="shared" si="104"/>
        <v>200</v>
      </c>
      <c r="BX757" s="78" cm="1">
        <f t="array" ref="BX757">IF(BM757&gt;0,1,_xll.DCETCVN5575FactorPhi7121(BV757*SQRT($K$17/206000),"b"))</f>
        <v>1.6670876655456978E-2</v>
      </c>
      <c r="BY757" s="64">
        <f t="shared" si="105"/>
        <v>0.2464882732268166</v>
      </c>
      <c r="BZ757" s="3" t="str">
        <f t="shared" si="106"/>
        <v>Check</v>
      </c>
    </row>
    <row r="758" spans="1:78">
      <c r="A758" s="76"/>
      <c r="B758" s="76"/>
      <c r="C758" s="125"/>
      <c r="D758" s="125"/>
      <c r="E758" s="71"/>
      <c r="F758" s="71"/>
      <c r="G758" s="71"/>
      <c r="H758" s="126"/>
      <c r="I758" s="125"/>
      <c r="J758" s="123"/>
      <c r="K758" s="12"/>
      <c r="L758" s="117"/>
      <c r="M758" s="12"/>
      <c r="N758" s="117"/>
      <c r="O758" s="117"/>
      <c r="P758" s="117"/>
      <c r="Q758" s="118"/>
      <c r="R758" s="118"/>
      <c r="S758" s="118"/>
      <c r="T758" s="12"/>
      <c r="U758" s="118"/>
      <c r="V758" s="118"/>
      <c r="W758" s="12"/>
      <c r="X758" s="119"/>
      <c r="Y758" s="120"/>
      <c r="Z758" s="12"/>
      <c r="BA758" s="70" t="s">
        <v>205</v>
      </c>
      <c r="BB758" s="71" t="s">
        <v>210</v>
      </c>
      <c r="BC758" s="71" t="s">
        <v>207</v>
      </c>
      <c r="BD758" s="71">
        <v>0.6</v>
      </c>
      <c r="BE758" s="71">
        <v>36</v>
      </c>
      <c r="BF758" s="71">
        <v>390</v>
      </c>
      <c r="BG758" s="71">
        <v>212</v>
      </c>
      <c r="BH758" s="71">
        <v>5</v>
      </c>
      <c r="BI758" s="71">
        <v>10</v>
      </c>
      <c r="BJ758" s="12" t="str" cm="1">
        <f t="array" ref="BJ758">_xll.Dce_Name_SectI(BF758, BF758, BG758, BH758, BI758, "x", "-", $AX$11)</f>
        <v>390x212x5x10</v>
      </c>
      <c r="BK758" s="77" cm="1">
        <f t="array" ref="BK758">_xll.DCEPropSectI(BF758, BH758, BG758, BI758, BG758, BI758, "A")/100</f>
        <v>60.9</v>
      </c>
      <c r="BL758" s="70" t="s">
        <v>223</v>
      </c>
      <c r="BM758" s="70">
        <v>-5.2552246748154943</v>
      </c>
      <c r="BN758" s="71">
        <v>0.9</v>
      </c>
      <c r="BO758" s="77">
        <f t="shared" si="99"/>
        <v>32.4</v>
      </c>
      <c r="BP758" s="71">
        <v>0.9</v>
      </c>
      <c r="BQ758" s="77">
        <f t="shared" si="100"/>
        <v>32.4</v>
      </c>
      <c r="BR758" s="77" cm="1">
        <f t="array" ref="BR758">_xll.DCEPropSectI(BF758, BH758, BG758, BI758, BG758, BI758, "rx")/10</f>
        <v>16.91131201300167</v>
      </c>
      <c r="BS758" s="77" cm="1">
        <f t="array" ref="BS758">_xll.DCEPropSectI(BF758, BH758, BG758, BI758, BG758, BI758, "ry")/10</f>
        <v>5.1070747638622018</v>
      </c>
      <c r="BT758" s="5">
        <f t="shared" si="101"/>
        <v>191.58773710218577</v>
      </c>
      <c r="BU758" s="5">
        <f t="shared" si="102"/>
        <v>634.41405301647956</v>
      </c>
      <c r="BV758" s="5">
        <f t="shared" si="103"/>
        <v>634.41405301647956</v>
      </c>
      <c r="BW758" s="71">
        <f t="shared" si="104"/>
        <v>200</v>
      </c>
      <c r="BX758" s="78" cm="1">
        <f t="array" ref="BX758">IF(BM758&gt;0,1,_xll.DCETCVN5575FactorPhi7121(BV758*SQRT($K$17/206000),"b"))</f>
        <v>1.6670876655456978E-2</v>
      </c>
      <c r="BY758" s="64">
        <f t="shared" si="105"/>
        <v>0.2464882732268166</v>
      </c>
      <c r="BZ758" s="3" t="str">
        <f t="shared" si="106"/>
        <v>Check</v>
      </c>
    </row>
    <row r="759" spans="1:78">
      <c r="A759" s="76"/>
      <c r="B759" s="76"/>
      <c r="C759" s="125"/>
      <c r="D759" s="125"/>
      <c r="E759" s="71"/>
      <c r="F759" s="71"/>
      <c r="G759" s="71"/>
      <c r="H759" s="126"/>
      <c r="I759" s="125"/>
      <c r="J759" s="123"/>
      <c r="K759" s="12"/>
      <c r="L759" s="117"/>
      <c r="M759" s="12"/>
      <c r="N759" s="117"/>
      <c r="O759" s="117"/>
      <c r="P759" s="117"/>
      <c r="Q759" s="118"/>
      <c r="R759" s="118"/>
      <c r="S759" s="118"/>
      <c r="T759" s="12"/>
      <c r="U759" s="118"/>
      <c r="V759" s="118"/>
      <c r="W759" s="12"/>
      <c r="X759" s="119"/>
      <c r="Y759" s="120"/>
      <c r="Z759" s="12"/>
      <c r="BA759" s="70" t="s">
        <v>205</v>
      </c>
      <c r="BB759" s="71" t="s">
        <v>210</v>
      </c>
      <c r="BC759" s="71" t="s">
        <v>207</v>
      </c>
      <c r="BD759" s="71">
        <v>0.6</v>
      </c>
      <c r="BE759" s="71">
        <v>36</v>
      </c>
      <c r="BF759" s="71">
        <v>390</v>
      </c>
      <c r="BG759" s="71">
        <v>212</v>
      </c>
      <c r="BH759" s="71">
        <v>5</v>
      </c>
      <c r="BI759" s="71">
        <v>10</v>
      </c>
      <c r="BJ759" s="12" t="str" cm="1">
        <f t="array" ref="BJ759">_xll.Dce_Name_SectI(BF759, BF759, BG759, BH759, BI759, "x", "-", $AX$11)</f>
        <v>390x212x5x10</v>
      </c>
      <c r="BK759" s="77" cm="1">
        <f t="array" ref="BK759">_xll.DCEPropSectI(BF759, BH759, BG759, BI759, BG759, BI759, "A")/100</f>
        <v>60.9</v>
      </c>
      <c r="BL759" s="70" t="s">
        <v>223</v>
      </c>
      <c r="BM759" s="70">
        <v>-8.7771107289049759</v>
      </c>
      <c r="BN759" s="71">
        <v>0.9</v>
      </c>
      <c r="BO759" s="77">
        <f t="shared" si="99"/>
        <v>32.4</v>
      </c>
      <c r="BP759" s="71">
        <v>0.9</v>
      </c>
      <c r="BQ759" s="77">
        <f t="shared" si="100"/>
        <v>32.4</v>
      </c>
      <c r="BR759" s="77" cm="1">
        <f t="array" ref="BR759">_xll.DCEPropSectI(BF759, BH759, BG759, BI759, BG759, BI759, "rx")/10</f>
        <v>16.91131201300167</v>
      </c>
      <c r="BS759" s="77" cm="1">
        <f t="array" ref="BS759">_xll.DCEPropSectI(BF759, BH759, BG759, BI759, BG759, BI759, "ry")/10</f>
        <v>5.1070747638622018</v>
      </c>
      <c r="BT759" s="5">
        <f t="shared" si="101"/>
        <v>191.58773710218577</v>
      </c>
      <c r="BU759" s="5">
        <f t="shared" si="102"/>
        <v>634.41405301647956</v>
      </c>
      <c r="BV759" s="5">
        <f t="shared" si="103"/>
        <v>634.41405301647956</v>
      </c>
      <c r="BW759" s="71">
        <f t="shared" si="104"/>
        <v>200</v>
      </c>
      <c r="BX759" s="78" cm="1">
        <f t="array" ref="BX759">IF(BM759&gt;0,1,_xll.DCETCVN5575FactorPhi7121(BV759*SQRT($K$17/206000),"b"))</f>
        <v>1.6670876655456978E-2</v>
      </c>
      <c r="BY759" s="64">
        <f t="shared" si="105"/>
        <v>0.41167695034167306</v>
      </c>
      <c r="BZ759" s="3" t="str">
        <f t="shared" si="106"/>
        <v>Check</v>
      </c>
    </row>
    <row r="760" spans="1:78">
      <c r="A760" s="76"/>
      <c r="B760" s="76"/>
      <c r="C760" s="125"/>
      <c r="D760" s="125"/>
      <c r="E760" s="71"/>
      <c r="F760" s="71"/>
      <c r="G760" s="71"/>
      <c r="H760" s="126"/>
      <c r="I760" s="125"/>
      <c r="J760" s="123"/>
      <c r="K760" s="12"/>
      <c r="L760" s="117"/>
      <c r="M760" s="12"/>
      <c r="N760" s="117"/>
      <c r="O760" s="117"/>
      <c r="P760" s="117"/>
      <c r="Q760" s="118"/>
      <c r="R760" s="118"/>
      <c r="S760" s="118"/>
      <c r="T760" s="12"/>
      <c r="U760" s="118"/>
      <c r="V760" s="118"/>
      <c r="W760" s="12"/>
      <c r="X760" s="119"/>
      <c r="Y760" s="120"/>
      <c r="Z760" s="12"/>
      <c r="BA760" s="70" t="s">
        <v>205</v>
      </c>
      <c r="BB760" s="71" t="s">
        <v>210</v>
      </c>
      <c r="BC760" s="71" t="s">
        <v>207</v>
      </c>
      <c r="BD760" s="71">
        <v>1.0900000000000001</v>
      </c>
      <c r="BE760" s="71">
        <v>36</v>
      </c>
      <c r="BF760" s="71">
        <v>390</v>
      </c>
      <c r="BG760" s="71">
        <v>212</v>
      </c>
      <c r="BH760" s="71">
        <v>5</v>
      </c>
      <c r="BI760" s="71">
        <v>10</v>
      </c>
      <c r="BJ760" s="12" t="str" cm="1">
        <f t="array" ref="BJ760">_xll.Dce_Name_SectI(BF760, BF760, BG760, BH760, BI760, "x", "-", $AX$11)</f>
        <v>390x212x5x10</v>
      </c>
      <c r="BK760" s="77" cm="1">
        <f t="array" ref="BK760">_xll.DCEPropSectI(BF760, BH760, BG760, BI760, BG760, BI760, "A")/100</f>
        <v>60.9</v>
      </c>
      <c r="BL760" s="70" t="s">
        <v>223</v>
      </c>
      <c r="BM760" s="70">
        <v>-8.7771107289049759</v>
      </c>
      <c r="BN760" s="71">
        <v>0.9</v>
      </c>
      <c r="BO760" s="77">
        <f t="shared" si="99"/>
        <v>32.4</v>
      </c>
      <c r="BP760" s="71">
        <v>0.9</v>
      </c>
      <c r="BQ760" s="77">
        <f t="shared" si="100"/>
        <v>32.4</v>
      </c>
      <c r="BR760" s="77" cm="1">
        <f t="array" ref="BR760">_xll.DCEPropSectI(BF760, BH760, BG760, BI760, BG760, BI760, "rx")/10</f>
        <v>16.91131201300167</v>
      </c>
      <c r="BS760" s="77" cm="1">
        <f t="array" ref="BS760">_xll.DCEPropSectI(BF760, BH760, BG760, BI760, BG760, BI760, "ry")/10</f>
        <v>5.1070747638622018</v>
      </c>
      <c r="BT760" s="5">
        <f t="shared" si="101"/>
        <v>191.58773710218577</v>
      </c>
      <c r="BU760" s="5">
        <f t="shared" si="102"/>
        <v>634.41405301647956</v>
      </c>
      <c r="BV760" s="5">
        <f t="shared" si="103"/>
        <v>634.41405301647956</v>
      </c>
      <c r="BW760" s="71">
        <f t="shared" si="104"/>
        <v>200</v>
      </c>
      <c r="BX760" s="78" cm="1">
        <f t="array" ref="BX760">IF(BM760&gt;0,1,_xll.DCETCVN5575FactorPhi7121(BV760*SQRT($K$17/206000),"b"))</f>
        <v>1.6670876655456978E-2</v>
      </c>
      <c r="BY760" s="64">
        <f t="shared" si="105"/>
        <v>0.41167695034167306</v>
      </c>
      <c r="BZ760" s="3" t="str">
        <f t="shared" si="106"/>
        <v>Check</v>
      </c>
    </row>
    <row r="761" spans="1:78">
      <c r="A761" s="76"/>
      <c r="B761" s="76"/>
      <c r="C761" s="125"/>
      <c r="D761" s="125"/>
      <c r="E761" s="71"/>
      <c r="F761" s="71"/>
      <c r="G761" s="71"/>
      <c r="H761" s="126"/>
      <c r="I761" s="125"/>
      <c r="J761" s="123"/>
      <c r="K761" s="12"/>
      <c r="L761" s="117"/>
      <c r="M761" s="12"/>
      <c r="N761" s="117"/>
      <c r="O761" s="117"/>
      <c r="P761" s="117"/>
      <c r="Q761" s="118"/>
      <c r="R761" s="118"/>
      <c r="S761" s="118"/>
      <c r="T761" s="12"/>
      <c r="U761" s="118"/>
      <c r="V761" s="118"/>
      <c r="W761" s="12"/>
      <c r="X761" s="119"/>
      <c r="Y761" s="120"/>
      <c r="Z761" s="12"/>
      <c r="BA761" s="70" t="s">
        <v>205</v>
      </c>
      <c r="BB761" s="71" t="s">
        <v>210</v>
      </c>
      <c r="BC761" s="71" t="s">
        <v>207</v>
      </c>
      <c r="BD761" s="71">
        <v>1.59</v>
      </c>
      <c r="BE761" s="71">
        <v>36</v>
      </c>
      <c r="BF761" s="71">
        <v>390</v>
      </c>
      <c r="BG761" s="71">
        <v>212</v>
      </c>
      <c r="BH761" s="71">
        <v>5</v>
      </c>
      <c r="BI761" s="71">
        <v>10</v>
      </c>
      <c r="BJ761" s="12" t="str" cm="1">
        <f t="array" ref="BJ761">_xll.Dce_Name_SectI(BF761, BF761, BG761, BH761, BI761, "x", "-", $AX$11)</f>
        <v>390x212x5x10</v>
      </c>
      <c r="BK761" s="77" cm="1">
        <f t="array" ref="BK761">_xll.DCEPropSectI(BF761, BH761, BG761, BI761, BG761, BI761, "A")/100</f>
        <v>60.9</v>
      </c>
      <c r="BL761" s="70" t="s">
        <v>223</v>
      </c>
      <c r="BM761" s="70">
        <v>-8.7771107289049759</v>
      </c>
      <c r="BN761" s="71">
        <v>0.9</v>
      </c>
      <c r="BO761" s="77">
        <f t="shared" si="99"/>
        <v>32.4</v>
      </c>
      <c r="BP761" s="71">
        <v>0.9</v>
      </c>
      <c r="BQ761" s="77">
        <f t="shared" si="100"/>
        <v>32.4</v>
      </c>
      <c r="BR761" s="77" cm="1">
        <f t="array" ref="BR761">_xll.DCEPropSectI(BF761, BH761, BG761, BI761, BG761, BI761, "rx")/10</f>
        <v>16.91131201300167</v>
      </c>
      <c r="BS761" s="77" cm="1">
        <f t="array" ref="BS761">_xll.DCEPropSectI(BF761, BH761, BG761, BI761, BG761, BI761, "ry")/10</f>
        <v>5.1070747638622018</v>
      </c>
      <c r="BT761" s="5">
        <f t="shared" si="101"/>
        <v>191.58773710218577</v>
      </c>
      <c r="BU761" s="5">
        <f t="shared" si="102"/>
        <v>634.41405301647956</v>
      </c>
      <c r="BV761" s="5">
        <f t="shared" si="103"/>
        <v>634.41405301647956</v>
      </c>
      <c r="BW761" s="71">
        <f t="shared" si="104"/>
        <v>200</v>
      </c>
      <c r="BX761" s="78" cm="1">
        <f t="array" ref="BX761">IF(BM761&gt;0,1,_xll.DCETCVN5575FactorPhi7121(BV761*SQRT($K$17/206000),"b"))</f>
        <v>1.6670876655456978E-2</v>
      </c>
      <c r="BY761" s="64">
        <f t="shared" si="105"/>
        <v>0.41167695034167306</v>
      </c>
      <c r="BZ761" s="3" t="str">
        <f t="shared" si="106"/>
        <v>Check</v>
      </c>
    </row>
    <row r="762" spans="1:78">
      <c r="A762" s="76"/>
      <c r="B762" s="76"/>
      <c r="C762" s="125"/>
      <c r="D762" s="125"/>
      <c r="E762" s="71"/>
      <c r="F762" s="71"/>
      <c r="G762" s="71"/>
      <c r="H762" s="126"/>
      <c r="I762" s="125"/>
      <c r="J762" s="123"/>
      <c r="K762" s="12"/>
      <c r="L762" s="117"/>
      <c r="M762" s="12"/>
      <c r="N762" s="117"/>
      <c r="O762" s="117"/>
      <c r="P762" s="117"/>
      <c r="Q762" s="118"/>
      <c r="R762" s="118"/>
      <c r="S762" s="118"/>
      <c r="T762" s="12"/>
      <c r="U762" s="118"/>
      <c r="V762" s="118"/>
      <c r="W762" s="12"/>
      <c r="X762" s="119"/>
      <c r="Y762" s="120"/>
      <c r="Z762" s="12"/>
      <c r="BA762" s="70" t="s">
        <v>205</v>
      </c>
      <c r="BB762" s="71" t="s">
        <v>210</v>
      </c>
      <c r="BC762" s="71" t="s">
        <v>207</v>
      </c>
      <c r="BD762" s="71">
        <v>2.08</v>
      </c>
      <c r="BE762" s="71">
        <v>36</v>
      </c>
      <c r="BF762" s="71">
        <v>390</v>
      </c>
      <c r="BG762" s="71">
        <v>212</v>
      </c>
      <c r="BH762" s="71">
        <v>5</v>
      </c>
      <c r="BI762" s="71">
        <v>10</v>
      </c>
      <c r="BJ762" s="12" t="str" cm="1">
        <f t="array" ref="BJ762">_xll.Dce_Name_SectI(BF762, BF762, BG762, BH762, BI762, "x", "-", $AX$11)</f>
        <v>390x212x5x10</v>
      </c>
      <c r="BK762" s="77" cm="1">
        <f t="array" ref="BK762">_xll.DCEPropSectI(BF762, BH762, BG762, BI762, BG762, BI762, "A")/100</f>
        <v>60.9</v>
      </c>
      <c r="BL762" s="70" t="s">
        <v>223</v>
      </c>
      <c r="BM762" s="70">
        <v>-8.7771107289049759</v>
      </c>
      <c r="BN762" s="71">
        <v>0.9</v>
      </c>
      <c r="BO762" s="77">
        <f t="shared" si="99"/>
        <v>32.4</v>
      </c>
      <c r="BP762" s="71">
        <v>0.9</v>
      </c>
      <c r="BQ762" s="77">
        <f t="shared" si="100"/>
        <v>32.4</v>
      </c>
      <c r="BR762" s="77" cm="1">
        <f t="array" ref="BR762">_xll.DCEPropSectI(BF762, BH762, BG762, BI762, BG762, BI762, "rx")/10</f>
        <v>16.91131201300167</v>
      </c>
      <c r="BS762" s="77" cm="1">
        <f t="array" ref="BS762">_xll.DCEPropSectI(BF762, BH762, BG762, BI762, BG762, BI762, "ry")/10</f>
        <v>5.1070747638622018</v>
      </c>
      <c r="BT762" s="5">
        <f t="shared" si="101"/>
        <v>191.58773710218577</v>
      </c>
      <c r="BU762" s="5">
        <f t="shared" si="102"/>
        <v>634.41405301647956</v>
      </c>
      <c r="BV762" s="5">
        <f t="shared" si="103"/>
        <v>634.41405301647956</v>
      </c>
      <c r="BW762" s="71">
        <f t="shared" si="104"/>
        <v>200</v>
      </c>
      <c r="BX762" s="78" cm="1">
        <f t="array" ref="BX762">IF(BM762&gt;0,1,_xll.DCETCVN5575FactorPhi7121(BV762*SQRT($K$17/206000),"b"))</f>
        <v>1.6670876655456978E-2</v>
      </c>
      <c r="BY762" s="64">
        <f t="shared" si="105"/>
        <v>0.41167695034167306</v>
      </c>
      <c r="BZ762" s="3" t="str">
        <f t="shared" si="106"/>
        <v>Check</v>
      </c>
    </row>
    <row r="763" spans="1:78">
      <c r="A763" s="76"/>
      <c r="B763" s="76"/>
      <c r="C763" s="125"/>
      <c r="D763" s="125"/>
      <c r="E763" s="71"/>
      <c r="F763" s="71"/>
      <c r="G763" s="71"/>
      <c r="H763" s="126"/>
      <c r="I763" s="125"/>
      <c r="J763" s="123"/>
      <c r="K763" s="12"/>
      <c r="L763" s="117"/>
      <c r="M763" s="12"/>
      <c r="N763" s="117"/>
      <c r="O763" s="117"/>
      <c r="P763" s="117"/>
      <c r="Q763" s="118"/>
      <c r="R763" s="118"/>
      <c r="S763" s="118"/>
      <c r="T763" s="12"/>
      <c r="U763" s="118"/>
      <c r="V763" s="118"/>
      <c r="W763" s="12"/>
      <c r="X763" s="119"/>
      <c r="Y763" s="120"/>
      <c r="Z763" s="12"/>
      <c r="BA763" s="70" t="s">
        <v>205</v>
      </c>
      <c r="BB763" s="71" t="s">
        <v>210</v>
      </c>
      <c r="BC763" s="71" t="s">
        <v>207</v>
      </c>
      <c r="BD763" s="71">
        <v>2.57</v>
      </c>
      <c r="BE763" s="71">
        <v>36</v>
      </c>
      <c r="BF763" s="71">
        <v>390</v>
      </c>
      <c r="BG763" s="71">
        <v>212</v>
      </c>
      <c r="BH763" s="71">
        <v>5</v>
      </c>
      <c r="BI763" s="71">
        <v>10</v>
      </c>
      <c r="BJ763" s="12" t="str" cm="1">
        <f t="array" ref="BJ763">_xll.Dce_Name_SectI(BF763, BF763, BG763, BH763, BI763, "x", "-", $AX$11)</f>
        <v>390x212x5x10</v>
      </c>
      <c r="BK763" s="77" cm="1">
        <f t="array" ref="BK763">_xll.DCEPropSectI(BF763, BH763, BG763, BI763, BG763, BI763, "A")/100</f>
        <v>60.9</v>
      </c>
      <c r="BL763" s="70" t="s">
        <v>223</v>
      </c>
      <c r="BM763" s="70">
        <v>-8.7771107289049759</v>
      </c>
      <c r="BN763" s="71">
        <v>0.9</v>
      </c>
      <c r="BO763" s="77">
        <f t="shared" si="99"/>
        <v>32.4</v>
      </c>
      <c r="BP763" s="71">
        <v>0.9</v>
      </c>
      <c r="BQ763" s="77">
        <f t="shared" si="100"/>
        <v>32.4</v>
      </c>
      <c r="BR763" s="77" cm="1">
        <f t="array" ref="BR763">_xll.DCEPropSectI(BF763, BH763, BG763, BI763, BG763, BI763, "rx")/10</f>
        <v>16.91131201300167</v>
      </c>
      <c r="BS763" s="77" cm="1">
        <f t="array" ref="BS763">_xll.DCEPropSectI(BF763, BH763, BG763, BI763, BG763, BI763, "ry")/10</f>
        <v>5.1070747638622018</v>
      </c>
      <c r="BT763" s="5">
        <f t="shared" si="101"/>
        <v>191.58773710218577</v>
      </c>
      <c r="BU763" s="5">
        <f t="shared" si="102"/>
        <v>634.41405301647956</v>
      </c>
      <c r="BV763" s="5">
        <f t="shared" si="103"/>
        <v>634.41405301647956</v>
      </c>
      <c r="BW763" s="71">
        <f t="shared" si="104"/>
        <v>200</v>
      </c>
      <c r="BX763" s="78" cm="1">
        <f t="array" ref="BX763">IF(BM763&gt;0,1,_xll.DCETCVN5575FactorPhi7121(BV763*SQRT($K$17/206000),"b"))</f>
        <v>1.6670876655456978E-2</v>
      </c>
      <c r="BY763" s="64">
        <f t="shared" si="105"/>
        <v>0.41167695034167306</v>
      </c>
      <c r="BZ763" s="3" t="str">
        <f t="shared" si="106"/>
        <v>Check</v>
      </c>
    </row>
    <row r="764" spans="1:78">
      <c r="A764" s="76"/>
      <c r="B764" s="76"/>
      <c r="C764" s="125"/>
      <c r="D764" s="125"/>
      <c r="E764" s="71"/>
      <c r="F764" s="71"/>
      <c r="G764" s="71"/>
      <c r="H764" s="126"/>
      <c r="I764" s="125"/>
      <c r="J764" s="123"/>
      <c r="K764" s="12"/>
      <c r="L764" s="117"/>
      <c r="M764" s="12"/>
      <c r="N764" s="117"/>
      <c r="O764" s="117"/>
      <c r="P764" s="117"/>
      <c r="Q764" s="118"/>
      <c r="R764" s="118"/>
      <c r="S764" s="118"/>
      <c r="T764" s="12"/>
      <c r="U764" s="118"/>
      <c r="V764" s="118"/>
      <c r="W764" s="12"/>
      <c r="X764" s="119"/>
      <c r="Y764" s="120"/>
      <c r="Z764" s="12"/>
      <c r="BA764" s="70" t="s">
        <v>205</v>
      </c>
      <c r="BB764" s="71" t="s">
        <v>210</v>
      </c>
      <c r="BC764" s="71" t="s">
        <v>207</v>
      </c>
      <c r="BD764" s="71">
        <v>3.06</v>
      </c>
      <c r="BE764" s="71">
        <v>36</v>
      </c>
      <c r="BF764" s="71">
        <v>390</v>
      </c>
      <c r="BG764" s="71">
        <v>212</v>
      </c>
      <c r="BH764" s="71">
        <v>5</v>
      </c>
      <c r="BI764" s="71">
        <v>10</v>
      </c>
      <c r="BJ764" s="12" t="str" cm="1">
        <f t="array" ref="BJ764">_xll.Dce_Name_SectI(BF764, BF764, BG764, BH764, BI764, "x", "-", $AX$11)</f>
        <v>390x212x5x10</v>
      </c>
      <c r="BK764" s="77" cm="1">
        <f t="array" ref="BK764">_xll.DCEPropSectI(BF764, BH764, BG764, BI764, BG764, BI764, "A")/100</f>
        <v>60.9</v>
      </c>
      <c r="BL764" s="70" t="s">
        <v>223</v>
      </c>
      <c r="BM764" s="70">
        <v>-8.7771107289049759</v>
      </c>
      <c r="BN764" s="71">
        <v>0.9</v>
      </c>
      <c r="BO764" s="77">
        <f t="shared" si="99"/>
        <v>32.4</v>
      </c>
      <c r="BP764" s="71">
        <v>0.9</v>
      </c>
      <c r="BQ764" s="77">
        <f t="shared" si="100"/>
        <v>32.4</v>
      </c>
      <c r="BR764" s="77" cm="1">
        <f t="array" ref="BR764">_xll.DCEPropSectI(BF764, BH764, BG764, BI764, BG764, BI764, "rx")/10</f>
        <v>16.91131201300167</v>
      </c>
      <c r="BS764" s="77" cm="1">
        <f t="array" ref="BS764">_xll.DCEPropSectI(BF764, BH764, BG764, BI764, BG764, BI764, "ry")/10</f>
        <v>5.1070747638622018</v>
      </c>
      <c r="BT764" s="5">
        <f t="shared" si="101"/>
        <v>191.58773710218577</v>
      </c>
      <c r="BU764" s="5">
        <f t="shared" si="102"/>
        <v>634.41405301647956</v>
      </c>
      <c r="BV764" s="5">
        <f t="shared" si="103"/>
        <v>634.41405301647956</v>
      </c>
      <c r="BW764" s="71">
        <f t="shared" si="104"/>
        <v>200</v>
      </c>
      <c r="BX764" s="78" cm="1">
        <f t="array" ref="BX764">IF(BM764&gt;0,1,_xll.DCETCVN5575FactorPhi7121(BV764*SQRT($K$17/206000),"b"))</f>
        <v>1.6670876655456978E-2</v>
      </c>
      <c r="BY764" s="64">
        <f t="shared" si="105"/>
        <v>0.41167695034167306</v>
      </c>
      <c r="BZ764" s="3" t="str">
        <f t="shared" si="106"/>
        <v>Check</v>
      </c>
    </row>
    <row r="765" spans="1:78">
      <c r="A765" s="76"/>
      <c r="B765" s="76"/>
      <c r="C765" s="125"/>
      <c r="D765" s="125"/>
      <c r="E765" s="71"/>
      <c r="F765" s="71"/>
      <c r="G765" s="71"/>
      <c r="H765" s="126"/>
      <c r="I765" s="125"/>
      <c r="J765" s="123"/>
      <c r="K765" s="12"/>
      <c r="L765" s="117"/>
      <c r="M765" s="12"/>
      <c r="N765" s="117"/>
      <c r="O765" s="117"/>
      <c r="P765" s="117"/>
      <c r="Q765" s="118"/>
      <c r="R765" s="118"/>
      <c r="S765" s="118"/>
      <c r="T765" s="12"/>
      <c r="U765" s="118"/>
      <c r="V765" s="118"/>
      <c r="W765" s="12"/>
      <c r="X765" s="119"/>
      <c r="Y765" s="120"/>
      <c r="Z765" s="12"/>
      <c r="BA765" s="70" t="s">
        <v>205</v>
      </c>
      <c r="BB765" s="71" t="s">
        <v>210</v>
      </c>
      <c r="BC765" s="71" t="s">
        <v>207</v>
      </c>
      <c r="BD765" s="71">
        <v>3.56</v>
      </c>
      <c r="BE765" s="71">
        <v>36</v>
      </c>
      <c r="BF765" s="71">
        <v>390</v>
      </c>
      <c r="BG765" s="71">
        <v>212</v>
      </c>
      <c r="BH765" s="71">
        <v>5</v>
      </c>
      <c r="BI765" s="71">
        <v>10</v>
      </c>
      <c r="BJ765" s="12" t="str" cm="1">
        <f t="array" ref="BJ765">_xll.Dce_Name_SectI(BF765, BF765, BG765, BH765, BI765, "x", "-", $AX$11)</f>
        <v>390x212x5x10</v>
      </c>
      <c r="BK765" s="77" cm="1">
        <f t="array" ref="BK765">_xll.DCEPropSectI(BF765, BH765, BG765, BI765, BG765, BI765, "A")/100</f>
        <v>60.9</v>
      </c>
      <c r="BL765" s="70" t="s">
        <v>223</v>
      </c>
      <c r="BM765" s="70">
        <v>-8.7771107289049759</v>
      </c>
      <c r="BN765" s="71">
        <v>0.9</v>
      </c>
      <c r="BO765" s="77">
        <f t="shared" si="99"/>
        <v>32.4</v>
      </c>
      <c r="BP765" s="71">
        <v>0.9</v>
      </c>
      <c r="BQ765" s="77">
        <f t="shared" si="100"/>
        <v>32.4</v>
      </c>
      <c r="BR765" s="77" cm="1">
        <f t="array" ref="BR765">_xll.DCEPropSectI(BF765, BH765, BG765, BI765, BG765, BI765, "rx")/10</f>
        <v>16.91131201300167</v>
      </c>
      <c r="BS765" s="77" cm="1">
        <f t="array" ref="BS765">_xll.DCEPropSectI(BF765, BH765, BG765, BI765, BG765, BI765, "ry")/10</f>
        <v>5.1070747638622018</v>
      </c>
      <c r="BT765" s="5">
        <f t="shared" si="101"/>
        <v>191.58773710218577</v>
      </c>
      <c r="BU765" s="5">
        <f t="shared" si="102"/>
        <v>634.41405301647956</v>
      </c>
      <c r="BV765" s="5">
        <f t="shared" si="103"/>
        <v>634.41405301647956</v>
      </c>
      <c r="BW765" s="71">
        <f t="shared" si="104"/>
        <v>200</v>
      </c>
      <c r="BX765" s="78" cm="1">
        <f t="array" ref="BX765">IF(BM765&gt;0,1,_xll.DCETCVN5575FactorPhi7121(BV765*SQRT($K$17/206000),"b"))</f>
        <v>1.6670876655456978E-2</v>
      </c>
      <c r="BY765" s="64">
        <f t="shared" si="105"/>
        <v>0.41167695034167306</v>
      </c>
      <c r="BZ765" s="3" t="str">
        <f t="shared" si="106"/>
        <v>Check</v>
      </c>
    </row>
    <row r="766" spans="1:78">
      <c r="A766" s="76"/>
      <c r="B766" s="76"/>
      <c r="C766" s="125"/>
      <c r="D766" s="125"/>
      <c r="E766" s="71"/>
      <c r="F766" s="71"/>
      <c r="G766" s="71"/>
      <c r="H766" s="126"/>
      <c r="I766" s="125"/>
      <c r="J766" s="123"/>
      <c r="K766" s="12"/>
      <c r="L766" s="117"/>
      <c r="M766" s="12"/>
      <c r="N766" s="117"/>
      <c r="O766" s="117"/>
      <c r="P766" s="117"/>
      <c r="Q766" s="118"/>
      <c r="R766" s="118"/>
      <c r="S766" s="118"/>
      <c r="T766" s="12"/>
      <c r="U766" s="118"/>
      <c r="V766" s="118"/>
      <c r="W766" s="12"/>
      <c r="X766" s="119"/>
      <c r="Y766" s="120"/>
      <c r="Z766" s="12"/>
      <c r="BA766" s="70" t="s">
        <v>205</v>
      </c>
      <c r="BB766" s="71" t="s">
        <v>210</v>
      </c>
      <c r="BC766" s="71" t="s">
        <v>207</v>
      </c>
      <c r="BD766" s="71">
        <v>4.05</v>
      </c>
      <c r="BE766" s="71">
        <v>36</v>
      </c>
      <c r="BF766" s="71">
        <v>390</v>
      </c>
      <c r="BG766" s="71">
        <v>212</v>
      </c>
      <c r="BH766" s="71">
        <v>5</v>
      </c>
      <c r="BI766" s="71">
        <v>10</v>
      </c>
      <c r="BJ766" s="12" t="str" cm="1">
        <f t="array" ref="BJ766">_xll.Dce_Name_SectI(BF766, BF766, BG766, BH766, BI766, "x", "-", $AX$11)</f>
        <v>390x212x5x10</v>
      </c>
      <c r="BK766" s="77" cm="1">
        <f t="array" ref="BK766">_xll.DCEPropSectI(BF766, BH766, BG766, BI766, BG766, BI766, "A")/100</f>
        <v>60.9</v>
      </c>
      <c r="BL766" s="70" t="s">
        <v>223</v>
      </c>
      <c r="BM766" s="70">
        <v>-8.7771107289049759</v>
      </c>
      <c r="BN766" s="71">
        <v>0.9</v>
      </c>
      <c r="BO766" s="77">
        <f t="shared" si="99"/>
        <v>32.4</v>
      </c>
      <c r="BP766" s="71">
        <v>0.9</v>
      </c>
      <c r="BQ766" s="77">
        <f t="shared" si="100"/>
        <v>32.4</v>
      </c>
      <c r="BR766" s="77" cm="1">
        <f t="array" ref="BR766">_xll.DCEPropSectI(BF766, BH766, BG766, BI766, BG766, BI766, "rx")/10</f>
        <v>16.91131201300167</v>
      </c>
      <c r="BS766" s="77" cm="1">
        <f t="array" ref="BS766">_xll.DCEPropSectI(BF766, BH766, BG766, BI766, BG766, BI766, "ry")/10</f>
        <v>5.1070747638622018</v>
      </c>
      <c r="BT766" s="5">
        <f t="shared" si="101"/>
        <v>191.58773710218577</v>
      </c>
      <c r="BU766" s="5">
        <f t="shared" si="102"/>
        <v>634.41405301647956</v>
      </c>
      <c r="BV766" s="5">
        <f t="shared" si="103"/>
        <v>634.41405301647956</v>
      </c>
      <c r="BW766" s="71">
        <f t="shared" si="104"/>
        <v>200</v>
      </c>
      <c r="BX766" s="78" cm="1">
        <f t="array" ref="BX766">IF(BM766&gt;0,1,_xll.DCETCVN5575FactorPhi7121(BV766*SQRT($K$17/206000),"b"))</f>
        <v>1.6670876655456978E-2</v>
      </c>
      <c r="BY766" s="64">
        <f t="shared" si="105"/>
        <v>0.41167695034167306</v>
      </c>
      <c r="BZ766" s="3" t="str">
        <f t="shared" si="106"/>
        <v>Check</v>
      </c>
    </row>
    <row r="767" spans="1:78">
      <c r="A767" s="76"/>
      <c r="B767" s="76"/>
      <c r="C767" s="125"/>
      <c r="D767" s="125"/>
      <c r="E767" s="71"/>
      <c r="F767" s="71"/>
      <c r="G767" s="71"/>
      <c r="H767" s="126"/>
      <c r="I767" s="125"/>
      <c r="J767" s="123"/>
      <c r="K767" s="12"/>
      <c r="L767" s="117"/>
      <c r="M767" s="12"/>
      <c r="N767" s="117"/>
      <c r="O767" s="117"/>
      <c r="P767" s="117"/>
      <c r="Q767" s="118"/>
      <c r="R767" s="118"/>
      <c r="S767" s="118"/>
      <c r="T767" s="12"/>
      <c r="U767" s="118"/>
      <c r="V767" s="118"/>
      <c r="W767" s="12"/>
      <c r="X767" s="119"/>
      <c r="Y767" s="120"/>
      <c r="Z767" s="12"/>
      <c r="BA767" s="70" t="s">
        <v>205</v>
      </c>
      <c r="BB767" s="71" t="s">
        <v>210</v>
      </c>
      <c r="BC767" s="71" t="s">
        <v>207</v>
      </c>
      <c r="BD767" s="71">
        <v>4.54</v>
      </c>
      <c r="BE767" s="71">
        <v>36</v>
      </c>
      <c r="BF767" s="71">
        <v>390</v>
      </c>
      <c r="BG767" s="71">
        <v>212</v>
      </c>
      <c r="BH767" s="71">
        <v>5</v>
      </c>
      <c r="BI767" s="71">
        <v>10</v>
      </c>
      <c r="BJ767" s="12" t="str" cm="1">
        <f t="array" ref="BJ767">_xll.Dce_Name_SectI(BF767, BF767, BG767, BH767, BI767, "x", "-", $AX$11)</f>
        <v>390x212x5x10</v>
      </c>
      <c r="BK767" s="77" cm="1">
        <f t="array" ref="BK767">_xll.DCEPropSectI(BF767, BH767, BG767, BI767, BG767, BI767, "A")/100</f>
        <v>60.9</v>
      </c>
      <c r="BL767" s="70" t="s">
        <v>223</v>
      </c>
      <c r="BM767" s="70">
        <v>-8.7771107289049759</v>
      </c>
      <c r="BN767" s="71">
        <v>0.9</v>
      </c>
      <c r="BO767" s="77">
        <f t="shared" si="99"/>
        <v>32.4</v>
      </c>
      <c r="BP767" s="71">
        <v>0.9</v>
      </c>
      <c r="BQ767" s="77">
        <f t="shared" si="100"/>
        <v>32.4</v>
      </c>
      <c r="BR767" s="77" cm="1">
        <f t="array" ref="BR767">_xll.DCEPropSectI(BF767, BH767, BG767, BI767, BG767, BI767, "rx")/10</f>
        <v>16.91131201300167</v>
      </c>
      <c r="BS767" s="77" cm="1">
        <f t="array" ref="BS767">_xll.DCEPropSectI(BF767, BH767, BG767, BI767, BG767, BI767, "ry")/10</f>
        <v>5.1070747638622018</v>
      </c>
      <c r="BT767" s="5">
        <f t="shared" si="101"/>
        <v>191.58773710218577</v>
      </c>
      <c r="BU767" s="5">
        <f t="shared" si="102"/>
        <v>634.41405301647956</v>
      </c>
      <c r="BV767" s="5">
        <f t="shared" si="103"/>
        <v>634.41405301647956</v>
      </c>
      <c r="BW767" s="71">
        <f t="shared" si="104"/>
        <v>200</v>
      </c>
      <c r="BX767" s="78" cm="1">
        <f t="array" ref="BX767">IF(BM767&gt;0,1,_xll.DCETCVN5575FactorPhi7121(BV767*SQRT($K$17/206000),"b"))</f>
        <v>1.6670876655456978E-2</v>
      </c>
      <c r="BY767" s="64">
        <f t="shared" si="105"/>
        <v>0.41167695034167306</v>
      </c>
      <c r="BZ767" s="3" t="str">
        <f t="shared" si="106"/>
        <v>Check</v>
      </c>
    </row>
    <row r="768" spans="1:78">
      <c r="A768" s="76"/>
      <c r="B768" s="76"/>
      <c r="C768" s="125"/>
      <c r="D768" s="125"/>
      <c r="E768" s="71"/>
      <c r="F768" s="71"/>
      <c r="G768" s="71"/>
      <c r="H768" s="126"/>
      <c r="I768" s="125"/>
      <c r="J768" s="123"/>
      <c r="K768" s="12"/>
      <c r="L768" s="117"/>
      <c r="M768" s="12"/>
      <c r="N768" s="117"/>
      <c r="O768" s="117"/>
      <c r="P768" s="117"/>
      <c r="Q768" s="118"/>
      <c r="R768" s="118"/>
      <c r="S768" s="118"/>
      <c r="T768" s="12"/>
      <c r="U768" s="118"/>
      <c r="V768" s="118"/>
      <c r="W768" s="12"/>
      <c r="X768" s="119"/>
      <c r="Y768" s="120"/>
      <c r="Z768" s="12"/>
      <c r="BA768" s="70" t="s">
        <v>205</v>
      </c>
      <c r="BB768" s="71" t="s">
        <v>210</v>
      </c>
      <c r="BC768" s="71" t="s">
        <v>207</v>
      </c>
      <c r="BD768" s="71">
        <v>5.04</v>
      </c>
      <c r="BE768" s="71">
        <v>36</v>
      </c>
      <c r="BF768" s="71">
        <v>390</v>
      </c>
      <c r="BG768" s="71">
        <v>212</v>
      </c>
      <c r="BH768" s="71">
        <v>5</v>
      </c>
      <c r="BI768" s="71">
        <v>10</v>
      </c>
      <c r="BJ768" s="12" t="str" cm="1">
        <f t="array" ref="BJ768">_xll.Dce_Name_SectI(BF768, BF768, BG768, BH768, BI768, "x", "-", $AX$11)</f>
        <v>390x212x5x10</v>
      </c>
      <c r="BK768" s="77" cm="1">
        <f t="array" ref="BK768">_xll.DCEPropSectI(BF768, BH768, BG768, BI768, BG768, BI768, "A")/100</f>
        <v>60.9</v>
      </c>
      <c r="BL768" s="70" t="s">
        <v>223</v>
      </c>
      <c r="BM768" s="70">
        <v>-8.7771107289049759</v>
      </c>
      <c r="BN768" s="71">
        <v>0.9</v>
      </c>
      <c r="BO768" s="77">
        <f t="shared" si="99"/>
        <v>32.4</v>
      </c>
      <c r="BP768" s="71">
        <v>0.9</v>
      </c>
      <c r="BQ768" s="77">
        <f t="shared" si="100"/>
        <v>32.4</v>
      </c>
      <c r="BR768" s="77" cm="1">
        <f t="array" ref="BR768">_xll.DCEPropSectI(BF768, BH768, BG768, BI768, BG768, BI768, "rx")/10</f>
        <v>16.91131201300167</v>
      </c>
      <c r="BS768" s="77" cm="1">
        <f t="array" ref="BS768">_xll.DCEPropSectI(BF768, BH768, BG768, BI768, BG768, BI768, "ry")/10</f>
        <v>5.1070747638622018</v>
      </c>
      <c r="BT768" s="5">
        <f t="shared" si="101"/>
        <v>191.58773710218577</v>
      </c>
      <c r="BU768" s="5">
        <f t="shared" si="102"/>
        <v>634.41405301647956</v>
      </c>
      <c r="BV768" s="5">
        <f t="shared" si="103"/>
        <v>634.41405301647956</v>
      </c>
      <c r="BW768" s="71">
        <f t="shared" si="104"/>
        <v>200</v>
      </c>
      <c r="BX768" s="78" cm="1">
        <f t="array" ref="BX768">IF(BM768&gt;0,1,_xll.DCETCVN5575FactorPhi7121(BV768*SQRT($K$17/206000),"b"))</f>
        <v>1.6670876655456978E-2</v>
      </c>
      <c r="BY768" s="64">
        <f t="shared" si="105"/>
        <v>0.41167695034167306</v>
      </c>
      <c r="BZ768" s="3" t="str">
        <f t="shared" si="106"/>
        <v>Check</v>
      </c>
    </row>
    <row r="769" spans="1:78">
      <c r="A769" s="76"/>
      <c r="B769" s="76"/>
      <c r="C769" s="125"/>
      <c r="D769" s="125"/>
      <c r="E769" s="71"/>
      <c r="F769" s="71"/>
      <c r="G769" s="71"/>
      <c r="H769" s="126"/>
      <c r="I769" s="125"/>
      <c r="J769" s="123"/>
      <c r="K769" s="12"/>
      <c r="L769" s="117"/>
      <c r="M769" s="12"/>
      <c r="N769" s="117"/>
      <c r="O769" s="117"/>
      <c r="P769" s="117"/>
      <c r="Q769" s="118"/>
      <c r="R769" s="118"/>
      <c r="S769" s="118"/>
      <c r="T769" s="12"/>
      <c r="U769" s="118"/>
      <c r="V769" s="118"/>
      <c r="W769" s="12"/>
      <c r="X769" s="119"/>
      <c r="Y769" s="120"/>
      <c r="Z769" s="12"/>
      <c r="BA769" s="70" t="s">
        <v>205</v>
      </c>
      <c r="BB769" s="71" t="s">
        <v>210</v>
      </c>
      <c r="BC769" s="71" t="s">
        <v>207</v>
      </c>
      <c r="BD769" s="71">
        <v>5.53</v>
      </c>
      <c r="BE769" s="71">
        <v>36</v>
      </c>
      <c r="BF769" s="71">
        <v>390</v>
      </c>
      <c r="BG769" s="71">
        <v>212</v>
      </c>
      <c r="BH769" s="71">
        <v>5</v>
      </c>
      <c r="BI769" s="71">
        <v>10</v>
      </c>
      <c r="BJ769" s="12" t="str" cm="1">
        <f t="array" ref="BJ769">_xll.Dce_Name_SectI(BF769, BF769, BG769, BH769, BI769, "x", "-", $AX$11)</f>
        <v>390x212x5x10</v>
      </c>
      <c r="BK769" s="77" cm="1">
        <f t="array" ref="BK769">_xll.DCEPropSectI(BF769, BH769, BG769, BI769, BG769, BI769, "A")/100</f>
        <v>60.9</v>
      </c>
      <c r="BL769" s="70" t="s">
        <v>223</v>
      </c>
      <c r="BM769" s="70">
        <v>-8.7771107289049759</v>
      </c>
      <c r="BN769" s="71">
        <v>0.9</v>
      </c>
      <c r="BO769" s="77">
        <f t="shared" si="99"/>
        <v>32.4</v>
      </c>
      <c r="BP769" s="71">
        <v>0.9</v>
      </c>
      <c r="BQ769" s="77">
        <f t="shared" si="100"/>
        <v>32.4</v>
      </c>
      <c r="BR769" s="77" cm="1">
        <f t="array" ref="BR769">_xll.DCEPropSectI(BF769, BH769, BG769, BI769, BG769, BI769, "rx")/10</f>
        <v>16.91131201300167</v>
      </c>
      <c r="BS769" s="77" cm="1">
        <f t="array" ref="BS769">_xll.DCEPropSectI(BF769, BH769, BG769, BI769, BG769, BI769, "ry")/10</f>
        <v>5.1070747638622018</v>
      </c>
      <c r="BT769" s="5">
        <f t="shared" si="101"/>
        <v>191.58773710218577</v>
      </c>
      <c r="BU769" s="5">
        <f t="shared" si="102"/>
        <v>634.41405301647956</v>
      </c>
      <c r="BV769" s="5">
        <f t="shared" si="103"/>
        <v>634.41405301647956</v>
      </c>
      <c r="BW769" s="71">
        <f t="shared" si="104"/>
        <v>200</v>
      </c>
      <c r="BX769" s="78" cm="1">
        <f t="array" ref="BX769">IF(BM769&gt;0,1,_xll.DCETCVN5575FactorPhi7121(BV769*SQRT($K$17/206000),"b"))</f>
        <v>1.6670876655456978E-2</v>
      </c>
      <c r="BY769" s="64">
        <f t="shared" si="105"/>
        <v>0.41167695034167306</v>
      </c>
      <c r="BZ769" s="3" t="str">
        <f t="shared" si="106"/>
        <v>Check</v>
      </c>
    </row>
    <row r="770" spans="1:78">
      <c r="A770" s="76"/>
      <c r="B770" s="76"/>
      <c r="C770" s="125"/>
      <c r="D770" s="125"/>
      <c r="E770" s="71"/>
      <c r="F770" s="71"/>
      <c r="G770" s="71"/>
      <c r="H770" s="126"/>
      <c r="I770" s="125"/>
      <c r="J770" s="123"/>
      <c r="K770" s="12"/>
      <c r="L770" s="117"/>
      <c r="M770" s="12"/>
      <c r="N770" s="117"/>
      <c r="O770" s="117"/>
      <c r="P770" s="117"/>
      <c r="Q770" s="118"/>
      <c r="R770" s="118"/>
      <c r="S770" s="118"/>
      <c r="T770" s="12"/>
      <c r="U770" s="118"/>
      <c r="V770" s="118"/>
      <c r="W770" s="12"/>
      <c r="X770" s="119"/>
      <c r="Y770" s="120"/>
      <c r="Z770" s="12"/>
      <c r="BA770" s="70" t="s">
        <v>205</v>
      </c>
      <c r="BB770" s="71" t="s">
        <v>210</v>
      </c>
      <c r="BC770" s="71" t="s">
        <v>207</v>
      </c>
      <c r="BD770" s="71">
        <v>6.02</v>
      </c>
      <c r="BE770" s="71">
        <v>36</v>
      </c>
      <c r="BF770" s="71">
        <v>390</v>
      </c>
      <c r="BG770" s="71">
        <v>212</v>
      </c>
      <c r="BH770" s="71">
        <v>5</v>
      </c>
      <c r="BI770" s="71">
        <v>10</v>
      </c>
      <c r="BJ770" s="12" t="str" cm="1">
        <f t="array" ref="BJ770">_xll.Dce_Name_SectI(BF770, BF770, BG770, BH770, BI770, "x", "-", $AX$11)</f>
        <v>390x212x5x10</v>
      </c>
      <c r="BK770" s="77" cm="1">
        <f t="array" ref="BK770">_xll.DCEPropSectI(BF770, BH770, BG770, BI770, BG770, BI770, "A")/100</f>
        <v>60.9</v>
      </c>
      <c r="BL770" s="70" t="s">
        <v>223</v>
      </c>
      <c r="BM770" s="70">
        <v>-8.7771107289049759</v>
      </c>
      <c r="BN770" s="71">
        <v>0.9</v>
      </c>
      <c r="BO770" s="77">
        <f t="shared" si="99"/>
        <v>32.4</v>
      </c>
      <c r="BP770" s="71">
        <v>0.9</v>
      </c>
      <c r="BQ770" s="77">
        <f t="shared" si="100"/>
        <v>32.4</v>
      </c>
      <c r="BR770" s="77" cm="1">
        <f t="array" ref="BR770">_xll.DCEPropSectI(BF770, BH770, BG770, BI770, BG770, BI770, "rx")/10</f>
        <v>16.91131201300167</v>
      </c>
      <c r="BS770" s="77" cm="1">
        <f t="array" ref="BS770">_xll.DCEPropSectI(BF770, BH770, BG770, BI770, BG770, BI770, "ry")/10</f>
        <v>5.1070747638622018</v>
      </c>
      <c r="BT770" s="5">
        <f t="shared" si="101"/>
        <v>191.58773710218577</v>
      </c>
      <c r="BU770" s="5">
        <f t="shared" si="102"/>
        <v>634.41405301647956</v>
      </c>
      <c r="BV770" s="5">
        <f t="shared" si="103"/>
        <v>634.41405301647956</v>
      </c>
      <c r="BW770" s="71">
        <f t="shared" si="104"/>
        <v>200</v>
      </c>
      <c r="BX770" s="78" cm="1">
        <f t="array" ref="BX770">IF(BM770&gt;0,1,_xll.DCETCVN5575FactorPhi7121(BV770*SQRT($K$17/206000),"b"))</f>
        <v>1.6670876655456978E-2</v>
      </c>
      <c r="BY770" s="64">
        <f t="shared" si="105"/>
        <v>0.41167695034167306</v>
      </c>
      <c r="BZ770" s="3" t="str">
        <f t="shared" si="106"/>
        <v>Check</v>
      </c>
    </row>
    <row r="771" spans="1:78">
      <c r="A771" s="76"/>
      <c r="B771" s="76"/>
      <c r="C771" s="125"/>
      <c r="D771" s="125"/>
      <c r="E771" s="71"/>
      <c r="F771" s="71"/>
      <c r="G771" s="71"/>
      <c r="H771" s="126"/>
      <c r="I771" s="125"/>
      <c r="J771" s="123"/>
      <c r="K771" s="12"/>
      <c r="L771" s="117"/>
      <c r="M771" s="12"/>
      <c r="N771" s="117"/>
      <c r="O771" s="117"/>
      <c r="P771" s="117"/>
      <c r="Q771" s="118"/>
      <c r="R771" s="118"/>
      <c r="S771" s="118"/>
      <c r="T771" s="12"/>
      <c r="U771" s="118"/>
      <c r="V771" s="118"/>
      <c r="W771" s="12"/>
      <c r="X771" s="119"/>
      <c r="Y771" s="120"/>
      <c r="Z771" s="12"/>
      <c r="BA771" s="70" t="s">
        <v>205</v>
      </c>
      <c r="BB771" s="71" t="s">
        <v>210</v>
      </c>
      <c r="BC771" s="71" t="s">
        <v>207</v>
      </c>
      <c r="BD771" s="71">
        <v>6.51</v>
      </c>
      <c r="BE771" s="71">
        <v>36</v>
      </c>
      <c r="BF771" s="71">
        <v>390</v>
      </c>
      <c r="BG771" s="71">
        <v>212</v>
      </c>
      <c r="BH771" s="71">
        <v>5</v>
      </c>
      <c r="BI771" s="71">
        <v>10</v>
      </c>
      <c r="BJ771" s="12" t="str" cm="1">
        <f t="array" ref="BJ771">_xll.Dce_Name_SectI(BF771, BF771, BG771, BH771, BI771, "x", "-", $AX$11)</f>
        <v>390x212x5x10</v>
      </c>
      <c r="BK771" s="77" cm="1">
        <f t="array" ref="BK771">_xll.DCEPropSectI(BF771, BH771, BG771, BI771, BG771, BI771, "A")/100</f>
        <v>60.9</v>
      </c>
      <c r="BL771" s="70" t="s">
        <v>223</v>
      </c>
      <c r="BM771" s="70">
        <v>-8.7771107289049759</v>
      </c>
      <c r="BN771" s="71">
        <v>0.9</v>
      </c>
      <c r="BO771" s="77">
        <f t="shared" si="99"/>
        <v>32.4</v>
      </c>
      <c r="BP771" s="71">
        <v>0.9</v>
      </c>
      <c r="BQ771" s="77">
        <f t="shared" si="100"/>
        <v>32.4</v>
      </c>
      <c r="BR771" s="77" cm="1">
        <f t="array" ref="BR771">_xll.DCEPropSectI(BF771, BH771, BG771, BI771, BG771, BI771, "rx")/10</f>
        <v>16.91131201300167</v>
      </c>
      <c r="BS771" s="77" cm="1">
        <f t="array" ref="BS771">_xll.DCEPropSectI(BF771, BH771, BG771, BI771, BG771, BI771, "ry")/10</f>
        <v>5.1070747638622018</v>
      </c>
      <c r="BT771" s="5">
        <f t="shared" si="101"/>
        <v>191.58773710218577</v>
      </c>
      <c r="BU771" s="5">
        <f t="shared" si="102"/>
        <v>634.41405301647956</v>
      </c>
      <c r="BV771" s="5">
        <f t="shared" si="103"/>
        <v>634.41405301647956</v>
      </c>
      <c r="BW771" s="71">
        <f t="shared" si="104"/>
        <v>200</v>
      </c>
      <c r="BX771" s="78" cm="1">
        <f t="array" ref="BX771">IF(BM771&gt;0,1,_xll.DCETCVN5575FactorPhi7121(BV771*SQRT($K$17/206000),"b"))</f>
        <v>1.6670876655456978E-2</v>
      </c>
      <c r="BY771" s="64">
        <f t="shared" si="105"/>
        <v>0.41167695034167306</v>
      </c>
      <c r="BZ771" s="3" t="str">
        <f t="shared" si="106"/>
        <v>Check</v>
      </c>
    </row>
    <row r="772" spans="1:78">
      <c r="A772" s="76"/>
      <c r="B772" s="76"/>
      <c r="C772" s="125"/>
      <c r="D772" s="125"/>
      <c r="E772" s="71"/>
      <c r="F772" s="71"/>
      <c r="G772" s="71"/>
      <c r="H772" s="126"/>
      <c r="I772" s="125"/>
      <c r="J772" s="123"/>
      <c r="K772" s="12"/>
      <c r="L772" s="117"/>
      <c r="M772" s="12"/>
      <c r="N772" s="117"/>
      <c r="O772" s="117"/>
      <c r="P772" s="117"/>
      <c r="Q772" s="118"/>
      <c r="R772" s="118"/>
      <c r="S772" s="118"/>
      <c r="T772" s="12"/>
      <c r="U772" s="118"/>
      <c r="V772" s="118"/>
      <c r="W772" s="12"/>
      <c r="X772" s="119"/>
      <c r="Y772" s="120"/>
      <c r="Z772" s="12"/>
      <c r="BA772" s="70" t="s">
        <v>205</v>
      </c>
      <c r="BB772" s="71" t="s">
        <v>210</v>
      </c>
      <c r="BC772" s="71" t="s">
        <v>207</v>
      </c>
      <c r="BD772" s="71">
        <v>7.01</v>
      </c>
      <c r="BE772" s="71">
        <v>36</v>
      </c>
      <c r="BF772" s="71">
        <v>390</v>
      </c>
      <c r="BG772" s="71">
        <v>212</v>
      </c>
      <c r="BH772" s="71">
        <v>5</v>
      </c>
      <c r="BI772" s="71">
        <v>10</v>
      </c>
      <c r="BJ772" s="12" t="str" cm="1">
        <f t="array" ref="BJ772">_xll.Dce_Name_SectI(BF772, BF772, BG772, BH772, BI772, "x", "-", $AX$11)</f>
        <v>390x212x5x10</v>
      </c>
      <c r="BK772" s="77" cm="1">
        <f t="array" ref="BK772">_xll.DCEPropSectI(BF772, BH772, BG772, BI772, BG772, BI772, "A")/100</f>
        <v>60.9</v>
      </c>
      <c r="BL772" s="70" t="s">
        <v>223</v>
      </c>
      <c r="BM772" s="70">
        <v>-8.7771107289049759</v>
      </c>
      <c r="BN772" s="71">
        <v>0.9</v>
      </c>
      <c r="BO772" s="77">
        <f t="shared" si="99"/>
        <v>32.4</v>
      </c>
      <c r="BP772" s="71">
        <v>0.9</v>
      </c>
      <c r="BQ772" s="77">
        <f t="shared" si="100"/>
        <v>32.4</v>
      </c>
      <c r="BR772" s="77" cm="1">
        <f t="array" ref="BR772">_xll.DCEPropSectI(BF772, BH772, BG772, BI772, BG772, BI772, "rx")/10</f>
        <v>16.91131201300167</v>
      </c>
      <c r="BS772" s="77" cm="1">
        <f t="array" ref="BS772">_xll.DCEPropSectI(BF772, BH772, BG772, BI772, BG772, BI772, "ry")/10</f>
        <v>5.1070747638622018</v>
      </c>
      <c r="BT772" s="5">
        <f t="shared" si="101"/>
        <v>191.58773710218577</v>
      </c>
      <c r="BU772" s="5">
        <f t="shared" si="102"/>
        <v>634.41405301647956</v>
      </c>
      <c r="BV772" s="5">
        <f t="shared" si="103"/>
        <v>634.41405301647956</v>
      </c>
      <c r="BW772" s="71">
        <f t="shared" si="104"/>
        <v>200</v>
      </c>
      <c r="BX772" s="78" cm="1">
        <f t="array" ref="BX772">IF(BM772&gt;0,1,_xll.DCETCVN5575FactorPhi7121(BV772*SQRT($K$17/206000),"b"))</f>
        <v>1.6670876655456978E-2</v>
      </c>
      <c r="BY772" s="64">
        <f t="shared" si="105"/>
        <v>0.41167695034167306</v>
      </c>
      <c r="BZ772" s="3" t="str">
        <f t="shared" si="106"/>
        <v>Check</v>
      </c>
    </row>
    <row r="773" spans="1:78">
      <c r="A773" s="76"/>
      <c r="B773" s="76"/>
      <c r="C773" s="125"/>
      <c r="D773" s="125"/>
      <c r="E773" s="71"/>
      <c r="F773" s="71"/>
      <c r="G773" s="71"/>
      <c r="H773" s="126"/>
      <c r="I773" s="125"/>
      <c r="J773" s="123"/>
      <c r="K773" s="12"/>
      <c r="L773" s="117"/>
      <c r="M773" s="12"/>
      <c r="N773" s="117"/>
      <c r="O773" s="117"/>
      <c r="P773" s="117"/>
      <c r="Q773" s="118"/>
      <c r="R773" s="118"/>
      <c r="S773" s="118"/>
      <c r="T773" s="12"/>
      <c r="U773" s="118"/>
      <c r="V773" s="118"/>
      <c r="W773" s="12"/>
      <c r="X773" s="119"/>
      <c r="Y773" s="120"/>
      <c r="Z773" s="12"/>
      <c r="BA773" s="70" t="s">
        <v>205</v>
      </c>
      <c r="BB773" s="71" t="s">
        <v>210</v>
      </c>
      <c r="BC773" s="71" t="s">
        <v>207</v>
      </c>
      <c r="BD773" s="71">
        <v>7.5</v>
      </c>
      <c r="BE773" s="71">
        <v>36</v>
      </c>
      <c r="BF773" s="71">
        <v>390</v>
      </c>
      <c r="BG773" s="71">
        <v>212</v>
      </c>
      <c r="BH773" s="71">
        <v>5</v>
      </c>
      <c r="BI773" s="71">
        <v>10</v>
      </c>
      <c r="BJ773" s="12" t="str" cm="1">
        <f t="array" ref="BJ773">_xll.Dce_Name_SectI(BF773, BF773, BG773, BH773, BI773, "x", "-", $AX$11)</f>
        <v>390x212x5x10</v>
      </c>
      <c r="BK773" s="77" cm="1">
        <f t="array" ref="BK773">_xll.DCEPropSectI(BF773, BH773, BG773, BI773, BG773, BI773, "A")/100</f>
        <v>60.9</v>
      </c>
      <c r="BL773" s="70" t="s">
        <v>223</v>
      </c>
      <c r="BM773" s="70">
        <v>-8.7771107289049759</v>
      </c>
      <c r="BN773" s="71">
        <v>0.9</v>
      </c>
      <c r="BO773" s="77">
        <f t="shared" si="99"/>
        <v>32.4</v>
      </c>
      <c r="BP773" s="71">
        <v>0.9</v>
      </c>
      <c r="BQ773" s="77">
        <f t="shared" si="100"/>
        <v>32.4</v>
      </c>
      <c r="BR773" s="77" cm="1">
        <f t="array" ref="BR773">_xll.DCEPropSectI(BF773, BH773, BG773, BI773, BG773, BI773, "rx")/10</f>
        <v>16.91131201300167</v>
      </c>
      <c r="BS773" s="77" cm="1">
        <f t="array" ref="BS773">_xll.DCEPropSectI(BF773, BH773, BG773, BI773, BG773, BI773, "ry")/10</f>
        <v>5.1070747638622018</v>
      </c>
      <c r="BT773" s="5">
        <f t="shared" si="101"/>
        <v>191.58773710218577</v>
      </c>
      <c r="BU773" s="5">
        <f t="shared" si="102"/>
        <v>634.41405301647956</v>
      </c>
      <c r="BV773" s="5">
        <f t="shared" si="103"/>
        <v>634.41405301647956</v>
      </c>
      <c r="BW773" s="71">
        <f t="shared" si="104"/>
        <v>200</v>
      </c>
      <c r="BX773" s="78" cm="1">
        <f t="array" ref="BX773">IF(BM773&gt;0,1,_xll.DCETCVN5575FactorPhi7121(BV773*SQRT($K$17/206000),"b"))</f>
        <v>1.6670876655456978E-2</v>
      </c>
      <c r="BY773" s="64">
        <f t="shared" si="105"/>
        <v>0.41167695034167306</v>
      </c>
      <c r="BZ773" s="3" t="str">
        <f t="shared" si="106"/>
        <v>Check</v>
      </c>
    </row>
    <row r="774" spans="1:78">
      <c r="A774" s="76"/>
      <c r="B774" s="76"/>
      <c r="C774" s="125"/>
      <c r="D774" s="125"/>
      <c r="E774" s="71"/>
      <c r="F774" s="71"/>
      <c r="G774" s="71"/>
      <c r="H774" s="126"/>
      <c r="I774" s="125"/>
      <c r="J774" s="123"/>
      <c r="K774" s="12"/>
      <c r="L774" s="117"/>
      <c r="M774" s="12"/>
      <c r="N774" s="117"/>
      <c r="O774" s="117"/>
      <c r="P774" s="117"/>
      <c r="Q774" s="118"/>
      <c r="R774" s="118"/>
      <c r="S774" s="118"/>
      <c r="T774" s="12"/>
      <c r="U774" s="118"/>
      <c r="V774" s="118"/>
      <c r="W774" s="12"/>
      <c r="X774" s="119"/>
      <c r="Y774" s="120"/>
      <c r="Z774" s="12"/>
      <c r="BA774" s="70" t="s">
        <v>205</v>
      </c>
      <c r="BB774" s="71" t="s">
        <v>210</v>
      </c>
      <c r="BC774" s="71" t="s">
        <v>207</v>
      </c>
      <c r="BD774" s="71">
        <v>7.5</v>
      </c>
      <c r="BE774" s="71">
        <v>36</v>
      </c>
      <c r="BF774" s="71">
        <v>390</v>
      </c>
      <c r="BG774" s="71">
        <v>212</v>
      </c>
      <c r="BH774" s="71">
        <v>5</v>
      </c>
      <c r="BI774" s="71">
        <v>10</v>
      </c>
      <c r="BJ774" s="12" t="str" cm="1">
        <f t="array" ref="BJ774">_xll.Dce_Name_SectI(BF774, BF774, BG774, BH774, BI774, "x", "-", $AX$11)</f>
        <v>390x212x5x10</v>
      </c>
      <c r="BK774" s="77" cm="1">
        <f t="array" ref="BK774">_xll.DCEPropSectI(BF774, BH774, BG774, BI774, BG774, BI774, "A")/100</f>
        <v>60.9</v>
      </c>
      <c r="BL774" s="70" t="s">
        <v>223</v>
      </c>
      <c r="BM774" s="70">
        <v>104.25535961667848</v>
      </c>
      <c r="BN774" s="71">
        <v>0.9</v>
      </c>
      <c r="BO774" s="77">
        <f t="shared" si="99"/>
        <v>32.4</v>
      </c>
      <c r="BP774" s="71">
        <v>0.9</v>
      </c>
      <c r="BQ774" s="77">
        <f t="shared" si="100"/>
        <v>32.4</v>
      </c>
      <c r="BR774" s="77" cm="1">
        <f t="array" ref="BR774">_xll.DCEPropSectI(BF774, BH774, BG774, BI774, BG774, BI774, "rx")/10</f>
        <v>16.91131201300167</v>
      </c>
      <c r="BS774" s="77" cm="1">
        <f t="array" ref="BS774">_xll.DCEPropSectI(BF774, BH774, BG774, BI774, BG774, BI774, "ry")/10</f>
        <v>5.1070747638622018</v>
      </c>
      <c r="BT774" s="5">
        <f t="shared" si="101"/>
        <v>191.58773710218577</v>
      </c>
      <c r="BU774" s="5">
        <f t="shared" si="102"/>
        <v>634.41405301647956</v>
      </c>
      <c r="BV774" s="5">
        <f t="shared" si="103"/>
        <v>634.41405301647956</v>
      </c>
      <c r="BW774" s="71">
        <f t="shared" si="104"/>
        <v>400</v>
      </c>
      <c r="BX774" s="78" cm="1">
        <f t="array" ref="BX774">IF(BM774&gt;0,1,_xll.DCETCVN5575FactorPhi7121(BV774*SQRT($K$17/206000),"b"))</f>
        <v>1</v>
      </c>
      <c r="BY774" s="64">
        <f t="shared" si="105"/>
        <v>8.1519555568596844E-2</v>
      </c>
      <c r="BZ774" s="3" t="str">
        <f t="shared" si="106"/>
        <v>Check</v>
      </c>
    </row>
    <row r="775" spans="1:78">
      <c r="A775" s="76"/>
      <c r="B775" s="76"/>
      <c r="C775" s="125"/>
      <c r="D775" s="125"/>
      <c r="E775" s="71"/>
      <c r="F775" s="71"/>
      <c r="G775" s="71"/>
      <c r="H775" s="126"/>
      <c r="I775" s="125"/>
      <c r="J775" s="123"/>
      <c r="K775" s="12"/>
      <c r="L775" s="117"/>
      <c r="M775" s="12"/>
      <c r="N775" s="117"/>
      <c r="O775" s="117"/>
      <c r="P775" s="117"/>
      <c r="Q775" s="118"/>
      <c r="R775" s="118"/>
      <c r="S775" s="118"/>
      <c r="T775" s="12"/>
      <c r="U775" s="118"/>
      <c r="V775" s="118"/>
      <c r="W775" s="12"/>
      <c r="X775" s="119"/>
      <c r="Y775" s="120"/>
      <c r="Z775" s="12"/>
      <c r="BA775" s="70" t="s">
        <v>205</v>
      </c>
      <c r="BB775" s="71" t="s">
        <v>210</v>
      </c>
      <c r="BC775" s="71" t="s">
        <v>207</v>
      </c>
      <c r="BD775" s="71">
        <v>8</v>
      </c>
      <c r="BE775" s="71">
        <v>36</v>
      </c>
      <c r="BF775" s="71">
        <v>390</v>
      </c>
      <c r="BG775" s="71">
        <v>212</v>
      </c>
      <c r="BH775" s="71">
        <v>5</v>
      </c>
      <c r="BI775" s="71">
        <v>10</v>
      </c>
      <c r="BJ775" s="12" t="str" cm="1">
        <f t="array" ref="BJ775">_xll.Dce_Name_SectI(BF775, BF775, BG775, BH775, BI775, "x", "-", $AX$11)</f>
        <v>390x212x5x10</v>
      </c>
      <c r="BK775" s="77" cm="1">
        <f t="array" ref="BK775">_xll.DCEPropSectI(BF775, BH775, BG775, BI775, BG775, BI775, "A")/100</f>
        <v>60.9</v>
      </c>
      <c r="BL775" s="70" t="s">
        <v>223</v>
      </c>
      <c r="BM775" s="70">
        <v>104.25535961667848</v>
      </c>
      <c r="BN775" s="71">
        <v>0.9</v>
      </c>
      <c r="BO775" s="77">
        <f t="shared" si="99"/>
        <v>32.4</v>
      </c>
      <c r="BP775" s="71">
        <v>0.9</v>
      </c>
      <c r="BQ775" s="77">
        <f t="shared" si="100"/>
        <v>32.4</v>
      </c>
      <c r="BR775" s="77" cm="1">
        <f t="array" ref="BR775">_xll.DCEPropSectI(BF775, BH775, BG775, BI775, BG775, BI775, "rx")/10</f>
        <v>16.91131201300167</v>
      </c>
      <c r="BS775" s="77" cm="1">
        <f t="array" ref="BS775">_xll.DCEPropSectI(BF775, BH775, BG775, BI775, BG775, BI775, "ry")/10</f>
        <v>5.1070747638622018</v>
      </c>
      <c r="BT775" s="5">
        <f t="shared" si="101"/>
        <v>191.58773710218577</v>
      </c>
      <c r="BU775" s="5">
        <f t="shared" si="102"/>
        <v>634.41405301647956</v>
      </c>
      <c r="BV775" s="5">
        <f t="shared" si="103"/>
        <v>634.41405301647956</v>
      </c>
      <c r="BW775" s="71">
        <f t="shared" si="104"/>
        <v>400</v>
      </c>
      <c r="BX775" s="78" cm="1">
        <f t="array" ref="BX775">IF(BM775&gt;0,1,_xll.DCETCVN5575FactorPhi7121(BV775*SQRT($K$17/206000),"b"))</f>
        <v>1</v>
      </c>
      <c r="BY775" s="64">
        <f t="shared" si="105"/>
        <v>8.1519555568596844E-2</v>
      </c>
      <c r="BZ775" s="3" t="str">
        <f t="shared" si="106"/>
        <v>Check</v>
      </c>
    </row>
    <row r="776" spans="1:78">
      <c r="A776" s="76"/>
      <c r="B776" s="76"/>
      <c r="C776" s="125"/>
      <c r="D776" s="125"/>
      <c r="E776" s="71"/>
      <c r="F776" s="71"/>
      <c r="G776" s="71"/>
      <c r="H776" s="126"/>
      <c r="I776" s="125"/>
      <c r="J776" s="123"/>
      <c r="K776" s="12"/>
      <c r="L776" s="117"/>
      <c r="M776" s="12"/>
      <c r="N776" s="117"/>
      <c r="O776" s="117"/>
      <c r="P776" s="117"/>
      <c r="Q776" s="118"/>
      <c r="R776" s="118"/>
      <c r="S776" s="118"/>
      <c r="T776" s="12"/>
      <c r="U776" s="118"/>
      <c r="V776" s="118"/>
      <c r="W776" s="12"/>
      <c r="X776" s="119"/>
      <c r="Y776" s="120"/>
      <c r="Z776" s="12"/>
      <c r="BA776" s="70" t="s">
        <v>205</v>
      </c>
      <c r="BB776" s="71" t="s">
        <v>210</v>
      </c>
      <c r="BC776" s="71" t="s">
        <v>207</v>
      </c>
      <c r="BD776" s="71">
        <v>8.5</v>
      </c>
      <c r="BE776" s="71">
        <v>36</v>
      </c>
      <c r="BF776" s="71">
        <v>390</v>
      </c>
      <c r="BG776" s="71">
        <v>212</v>
      </c>
      <c r="BH776" s="71">
        <v>5</v>
      </c>
      <c r="BI776" s="71">
        <v>10</v>
      </c>
      <c r="BJ776" s="12" t="str" cm="1">
        <f t="array" ref="BJ776">_xll.Dce_Name_SectI(BF776, BF776, BG776, BH776, BI776, "x", "-", $AX$11)</f>
        <v>390x212x5x10</v>
      </c>
      <c r="BK776" s="77" cm="1">
        <f t="array" ref="BK776">_xll.DCEPropSectI(BF776, BH776, BG776, BI776, BG776, BI776, "A")/100</f>
        <v>60.9</v>
      </c>
      <c r="BL776" s="70" t="s">
        <v>223</v>
      </c>
      <c r="BM776" s="70">
        <v>104.25535961667848</v>
      </c>
      <c r="BN776" s="71">
        <v>0.9</v>
      </c>
      <c r="BO776" s="77">
        <f t="shared" si="99"/>
        <v>32.4</v>
      </c>
      <c r="BP776" s="71">
        <v>0.9</v>
      </c>
      <c r="BQ776" s="77">
        <f t="shared" si="100"/>
        <v>32.4</v>
      </c>
      <c r="BR776" s="77" cm="1">
        <f t="array" ref="BR776">_xll.DCEPropSectI(BF776, BH776, BG776, BI776, BG776, BI776, "rx")/10</f>
        <v>16.91131201300167</v>
      </c>
      <c r="BS776" s="77" cm="1">
        <f t="array" ref="BS776">_xll.DCEPropSectI(BF776, BH776, BG776, BI776, BG776, BI776, "ry")/10</f>
        <v>5.1070747638622018</v>
      </c>
      <c r="BT776" s="5">
        <f t="shared" si="101"/>
        <v>191.58773710218577</v>
      </c>
      <c r="BU776" s="5">
        <f t="shared" si="102"/>
        <v>634.41405301647956</v>
      </c>
      <c r="BV776" s="5">
        <f t="shared" si="103"/>
        <v>634.41405301647956</v>
      </c>
      <c r="BW776" s="71">
        <f t="shared" si="104"/>
        <v>400</v>
      </c>
      <c r="BX776" s="78" cm="1">
        <f t="array" ref="BX776">IF(BM776&gt;0,1,_xll.DCETCVN5575FactorPhi7121(BV776*SQRT($K$17/206000),"b"))</f>
        <v>1</v>
      </c>
      <c r="BY776" s="64">
        <f t="shared" si="105"/>
        <v>8.1519555568596844E-2</v>
      </c>
      <c r="BZ776" s="3" t="str">
        <f t="shared" si="106"/>
        <v>Check</v>
      </c>
    </row>
    <row r="777" spans="1:78">
      <c r="A777" s="76"/>
      <c r="B777" s="76"/>
      <c r="C777" s="125"/>
      <c r="D777" s="125"/>
      <c r="E777" s="71"/>
      <c r="F777" s="71"/>
      <c r="G777" s="71"/>
      <c r="H777" s="126"/>
      <c r="I777" s="125"/>
      <c r="J777" s="123"/>
      <c r="K777" s="12"/>
      <c r="L777" s="117"/>
      <c r="M777" s="12"/>
      <c r="N777" s="117"/>
      <c r="O777" s="117"/>
      <c r="P777" s="117"/>
      <c r="Q777" s="118"/>
      <c r="R777" s="118"/>
      <c r="S777" s="118"/>
      <c r="T777" s="12"/>
      <c r="U777" s="118"/>
      <c r="V777" s="118"/>
      <c r="W777" s="12"/>
      <c r="X777" s="119"/>
      <c r="Y777" s="120"/>
      <c r="Z777" s="12"/>
      <c r="BA777" s="70" t="s">
        <v>205</v>
      </c>
      <c r="BB777" s="71" t="s">
        <v>210</v>
      </c>
      <c r="BC777" s="71" t="s">
        <v>207</v>
      </c>
      <c r="BD777" s="71">
        <v>9</v>
      </c>
      <c r="BE777" s="71">
        <v>36</v>
      </c>
      <c r="BF777" s="71">
        <v>390</v>
      </c>
      <c r="BG777" s="71">
        <v>212</v>
      </c>
      <c r="BH777" s="71">
        <v>5</v>
      </c>
      <c r="BI777" s="71">
        <v>10</v>
      </c>
      <c r="BJ777" s="12" t="str" cm="1">
        <f t="array" ref="BJ777">_xll.Dce_Name_SectI(BF777, BF777, BG777, BH777, BI777, "x", "-", $AX$11)</f>
        <v>390x212x5x10</v>
      </c>
      <c r="BK777" s="77" cm="1">
        <f t="array" ref="BK777">_xll.DCEPropSectI(BF777, BH777, BG777, BI777, BG777, BI777, "A")/100</f>
        <v>60.9</v>
      </c>
      <c r="BL777" s="70" t="s">
        <v>223</v>
      </c>
      <c r="BM777" s="70">
        <v>104.25535961667848</v>
      </c>
      <c r="BN777" s="71">
        <v>0.9</v>
      </c>
      <c r="BO777" s="77">
        <f t="shared" si="99"/>
        <v>32.4</v>
      </c>
      <c r="BP777" s="71">
        <v>0.9</v>
      </c>
      <c r="BQ777" s="77">
        <f t="shared" si="100"/>
        <v>32.4</v>
      </c>
      <c r="BR777" s="77" cm="1">
        <f t="array" ref="BR777">_xll.DCEPropSectI(BF777, BH777, BG777, BI777, BG777, BI777, "rx")/10</f>
        <v>16.91131201300167</v>
      </c>
      <c r="BS777" s="77" cm="1">
        <f t="array" ref="BS777">_xll.DCEPropSectI(BF777, BH777, BG777, BI777, BG777, BI777, "ry")/10</f>
        <v>5.1070747638622018</v>
      </c>
      <c r="BT777" s="5">
        <f t="shared" si="101"/>
        <v>191.58773710218577</v>
      </c>
      <c r="BU777" s="5">
        <f t="shared" si="102"/>
        <v>634.41405301647956</v>
      </c>
      <c r="BV777" s="5">
        <f t="shared" si="103"/>
        <v>634.41405301647956</v>
      </c>
      <c r="BW777" s="71">
        <f t="shared" si="104"/>
        <v>400</v>
      </c>
      <c r="BX777" s="78" cm="1">
        <f t="array" ref="BX777">IF(BM777&gt;0,1,_xll.DCETCVN5575FactorPhi7121(BV777*SQRT($K$17/206000),"b"))</f>
        <v>1</v>
      </c>
      <c r="BY777" s="64">
        <f t="shared" si="105"/>
        <v>8.1519555568596844E-2</v>
      </c>
      <c r="BZ777" s="3" t="str">
        <f t="shared" si="106"/>
        <v>Check</v>
      </c>
    </row>
    <row r="778" spans="1:78">
      <c r="A778" s="76"/>
      <c r="B778" s="76"/>
      <c r="C778" s="125"/>
      <c r="D778" s="125"/>
      <c r="E778" s="71"/>
      <c r="F778" s="71"/>
      <c r="G778" s="71"/>
      <c r="H778" s="126"/>
      <c r="I778" s="125"/>
      <c r="J778" s="123"/>
      <c r="K778" s="12"/>
      <c r="L778" s="117"/>
      <c r="M778" s="12"/>
      <c r="N778" s="117"/>
      <c r="O778" s="117"/>
      <c r="P778" s="117"/>
      <c r="Q778" s="118"/>
      <c r="R778" s="118"/>
      <c r="S778" s="118"/>
      <c r="T778" s="12"/>
      <c r="U778" s="118"/>
      <c r="V778" s="118"/>
      <c r="W778" s="12"/>
      <c r="X778" s="119"/>
      <c r="Y778" s="120"/>
      <c r="Z778" s="12"/>
      <c r="BA778" s="70" t="s">
        <v>205</v>
      </c>
      <c r="BB778" s="71" t="s">
        <v>210</v>
      </c>
      <c r="BC778" s="71" t="s">
        <v>207</v>
      </c>
      <c r="BD778" s="71">
        <v>9.5</v>
      </c>
      <c r="BE778" s="71">
        <v>36</v>
      </c>
      <c r="BF778" s="71">
        <v>390</v>
      </c>
      <c r="BG778" s="71">
        <v>212</v>
      </c>
      <c r="BH778" s="71">
        <v>5</v>
      </c>
      <c r="BI778" s="71">
        <v>10</v>
      </c>
      <c r="BJ778" s="12" t="str" cm="1">
        <f t="array" ref="BJ778">_xll.Dce_Name_SectI(BF778, BF778, BG778, BH778, BI778, "x", "-", $AX$11)</f>
        <v>390x212x5x10</v>
      </c>
      <c r="BK778" s="77" cm="1">
        <f t="array" ref="BK778">_xll.DCEPropSectI(BF778, BH778, BG778, BI778, BG778, BI778, "A")/100</f>
        <v>60.9</v>
      </c>
      <c r="BL778" s="70" t="s">
        <v>223</v>
      </c>
      <c r="BM778" s="70">
        <v>104.25535961667848</v>
      </c>
      <c r="BN778" s="71">
        <v>0.9</v>
      </c>
      <c r="BO778" s="77">
        <f t="shared" si="99"/>
        <v>32.4</v>
      </c>
      <c r="BP778" s="71">
        <v>0.9</v>
      </c>
      <c r="BQ778" s="77">
        <f t="shared" si="100"/>
        <v>32.4</v>
      </c>
      <c r="BR778" s="77" cm="1">
        <f t="array" ref="BR778">_xll.DCEPropSectI(BF778, BH778, BG778, BI778, BG778, BI778, "rx")/10</f>
        <v>16.91131201300167</v>
      </c>
      <c r="BS778" s="77" cm="1">
        <f t="array" ref="BS778">_xll.DCEPropSectI(BF778, BH778, BG778, BI778, BG778, BI778, "ry")/10</f>
        <v>5.1070747638622018</v>
      </c>
      <c r="BT778" s="5">
        <f t="shared" si="101"/>
        <v>191.58773710218577</v>
      </c>
      <c r="BU778" s="5">
        <f t="shared" si="102"/>
        <v>634.41405301647956</v>
      </c>
      <c r="BV778" s="5">
        <f t="shared" si="103"/>
        <v>634.41405301647956</v>
      </c>
      <c r="BW778" s="71">
        <f t="shared" si="104"/>
        <v>400</v>
      </c>
      <c r="BX778" s="78" cm="1">
        <f t="array" ref="BX778">IF(BM778&gt;0,1,_xll.DCETCVN5575FactorPhi7121(BV778*SQRT($K$17/206000),"b"))</f>
        <v>1</v>
      </c>
      <c r="BY778" s="64">
        <f t="shared" si="105"/>
        <v>8.1519555568596844E-2</v>
      </c>
      <c r="BZ778" s="3" t="str">
        <f t="shared" si="106"/>
        <v>Check</v>
      </c>
    </row>
    <row r="779" spans="1:78">
      <c r="A779" s="76"/>
      <c r="B779" s="76"/>
      <c r="C779" s="125"/>
      <c r="D779" s="125"/>
      <c r="E779" s="71"/>
      <c r="F779" s="71"/>
      <c r="G779" s="71"/>
      <c r="H779" s="126"/>
      <c r="I779" s="125"/>
      <c r="J779" s="123"/>
      <c r="K779" s="12"/>
      <c r="L779" s="117"/>
      <c r="M779" s="12"/>
      <c r="N779" s="117"/>
      <c r="O779" s="117"/>
      <c r="P779" s="117"/>
      <c r="Q779" s="118"/>
      <c r="R779" s="118"/>
      <c r="S779" s="118"/>
      <c r="T779" s="12"/>
      <c r="U779" s="118"/>
      <c r="V779" s="118"/>
      <c r="W779" s="12"/>
      <c r="X779" s="119"/>
      <c r="Y779" s="120"/>
      <c r="Z779" s="12"/>
      <c r="BA779" s="70" t="s">
        <v>205</v>
      </c>
      <c r="BB779" s="71" t="s">
        <v>210</v>
      </c>
      <c r="BC779" s="71" t="s">
        <v>207</v>
      </c>
      <c r="BD779" s="71">
        <v>10</v>
      </c>
      <c r="BE779" s="71">
        <v>36</v>
      </c>
      <c r="BF779" s="71">
        <v>390</v>
      </c>
      <c r="BG779" s="71">
        <v>212</v>
      </c>
      <c r="BH779" s="71">
        <v>5</v>
      </c>
      <c r="BI779" s="71">
        <v>10</v>
      </c>
      <c r="BJ779" s="12" t="str" cm="1">
        <f t="array" ref="BJ779">_xll.Dce_Name_SectI(BF779, BF779, BG779, BH779, BI779, "x", "-", $AX$11)</f>
        <v>390x212x5x10</v>
      </c>
      <c r="BK779" s="77" cm="1">
        <f t="array" ref="BK779">_xll.DCEPropSectI(BF779, BH779, BG779, BI779, BG779, BI779, "A")/100</f>
        <v>60.9</v>
      </c>
      <c r="BL779" s="70" t="s">
        <v>223</v>
      </c>
      <c r="BM779" s="70">
        <v>104.25535961667848</v>
      </c>
      <c r="BN779" s="71">
        <v>0.9</v>
      </c>
      <c r="BO779" s="77">
        <f t="shared" si="99"/>
        <v>32.4</v>
      </c>
      <c r="BP779" s="71">
        <v>0.9</v>
      </c>
      <c r="BQ779" s="77">
        <f t="shared" si="100"/>
        <v>32.4</v>
      </c>
      <c r="BR779" s="77" cm="1">
        <f t="array" ref="BR779">_xll.DCEPropSectI(BF779, BH779, BG779, BI779, BG779, BI779, "rx")/10</f>
        <v>16.91131201300167</v>
      </c>
      <c r="BS779" s="77" cm="1">
        <f t="array" ref="BS779">_xll.DCEPropSectI(BF779, BH779, BG779, BI779, BG779, BI779, "ry")/10</f>
        <v>5.1070747638622018</v>
      </c>
      <c r="BT779" s="5">
        <f t="shared" si="101"/>
        <v>191.58773710218577</v>
      </c>
      <c r="BU779" s="5">
        <f t="shared" si="102"/>
        <v>634.41405301647956</v>
      </c>
      <c r="BV779" s="5">
        <f t="shared" si="103"/>
        <v>634.41405301647956</v>
      </c>
      <c r="BW779" s="71">
        <f t="shared" si="104"/>
        <v>400</v>
      </c>
      <c r="BX779" s="78" cm="1">
        <f t="array" ref="BX779">IF(BM779&gt;0,1,_xll.DCETCVN5575FactorPhi7121(BV779*SQRT($K$17/206000),"b"))</f>
        <v>1</v>
      </c>
      <c r="BY779" s="64">
        <f t="shared" si="105"/>
        <v>8.1519555568596844E-2</v>
      </c>
      <c r="BZ779" s="3" t="str">
        <f t="shared" si="106"/>
        <v>Check</v>
      </c>
    </row>
    <row r="780" spans="1:78">
      <c r="A780" s="76"/>
      <c r="B780" s="76"/>
      <c r="C780" s="125"/>
      <c r="D780" s="125"/>
      <c r="E780" s="71"/>
      <c r="F780" s="71"/>
      <c r="G780" s="71"/>
      <c r="H780" s="126"/>
      <c r="I780" s="125"/>
      <c r="J780" s="123"/>
      <c r="K780" s="12"/>
      <c r="L780" s="117"/>
      <c r="M780" s="12"/>
      <c r="N780" s="117"/>
      <c r="O780" s="117"/>
      <c r="P780" s="117"/>
      <c r="Q780" s="118"/>
      <c r="R780" s="118"/>
      <c r="S780" s="118"/>
      <c r="T780" s="12"/>
      <c r="U780" s="118"/>
      <c r="V780" s="118"/>
      <c r="W780" s="12"/>
      <c r="X780" s="119"/>
      <c r="Y780" s="120"/>
      <c r="Z780" s="12"/>
      <c r="BA780" s="70" t="s">
        <v>205</v>
      </c>
      <c r="BB780" s="71" t="s">
        <v>210</v>
      </c>
      <c r="BC780" s="71" t="s">
        <v>207</v>
      </c>
      <c r="BD780" s="71">
        <v>10.5</v>
      </c>
      <c r="BE780" s="71">
        <v>36</v>
      </c>
      <c r="BF780" s="71">
        <v>390</v>
      </c>
      <c r="BG780" s="71">
        <v>212</v>
      </c>
      <c r="BH780" s="71">
        <v>5</v>
      </c>
      <c r="BI780" s="71">
        <v>10</v>
      </c>
      <c r="BJ780" s="12" t="str" cm="1">
        <f t="array" ref="BJ780">_xll.Dce_Name_SectI(BF780, BF780, BG780, BH780, BI780, "x", "-", $AX$11)</f>
        <v>390x212x5x10</v>
      </c>
      <c r="BK780" s="77" cm="1">
        <f t="array" ref="BK780">_xll.DCEPropSectI(BF780, BH780, BG780, BI780, BG780, BI780, "A")/100</f>
        <v>60.9</v>
      </c>
      <c r="BL780" s="70" t="s">
        <v>223</v>
      </c>
      <c r="BM780" s="70">
        <v>104.25535961667848</v>
      </c>
      <c r="BN780" s="71">
        <v>0.9</v>
      </c>
      <c r="BO780" s="77">
        <f t="shared" si="99"/>
        <v>32.4</v>
      </c>
      <c r="BP780" s="71">
        <v>0.9</v>
      </c>
      <c r="BQ780" s="77">
        <f t="shared" si="100"/>
        <v>32.4</v>
      </c>
      <c r="BR780" s="77" cm="1">
        <f t="array" ref="BR780">_xll.DCEPropSectI(BF780, BH780, BG780, BI780, BG780, BI780, "rx")/10</f>
        <v>16.91131201300167</v>
      </c>
      <c r="BS780" s="77" cm="1">
        <f t="array" ref="BS780">_xll.DCEPropSectI(BF780, BH780, BG780, BI780, BG780, BI780, "ry")/10</f>
        <v>5.1070747638622018</v>
      </c>
      <c r="BT780" s="5">
        <f t="shared" si="101"/>
        <v>191.58773710218577</v>
      </c>
      <c r="BU780" s="5">
        <f t="shared" si="102"/>
        <v>634.41405301647956</v>
      </c>
      <c r="BV780" s="5">
        <f t="shared" si="103"/>
        <v>634.41405301647956</v>
      </c>
      <c r="BW780" s="71">
        <f t="shared" si="104"/>
        <v>400</v>
      </c>
      <c r="BX780" s="78" cm="1">
        <f t="array" ref="BX780">IF(BM780&gt;0,1,_xll.DCETCVN5575FactorPhi7121(BV780*SQRT($K$17/206000),"b"))</f>
        <v>1</v>
      </c>
      <c r="BY780" s="64">
        <f t="shared" si="105"/>
        <v>8.1519555568596844E-2</v>
      </c>
      <c r="BZ780" s="3" t="str">
        <f t="shared" si="106"/>
        <v>Check</v>
      </c>
    </row>
    <row r="781" spans="1:78">
      <c r="A781" s="76"/>
      <c r="B781" s="76"/>
      <c r="C781" s="125"/>
      <c r="D781" s="125"/>
      <c r="E781" s="71"/>
      <c r="F781" s="71"/>
      <c r="G781" s="71"/>
      <c r="H781" s="126"/>
      <c r="I781" s="125"/>
      <c r="J781" s="123"/>
      <c r="K781" s="12"/>
      <c r="L781" s="117"/>
      <c r="M781" s="12"/>
      <c r="N781" s="117"/>
      <c r="O781" s="117"/>
      <c r="P781" s="117"/>
      <c r="Q781" s="118"/>
      <c r="R781" s="118"/>
      <c r="S781" s="118"/>
      <c r="T781" s="12"/>
      <c r="U781" s="118"/>
      <c r="V781" s="118"/>
      <c r="W781" s="12"/>
      <c r="X781" s="119"/>
      <c r="Y781" s="120"/>
      <c r="Z781" s="12"/>
      <c r="BA781" s="70" t="s">
        <v>205</v>
      </c>
      <c r="BB781" s="71" t="s">
        <v>210</v>
      </c>
      <c r="BC781" s="71" t="s">
        <v>207</v>
      </c>
      <c r="BD781" s="71">
        <v>11</v>
      </c>
      <c r="BE781" s="71">
        <v>36</v>
      </c>
      <c r="BF781" s="71">
        <v>390</v>
      </c>
      <c r="BG781" s="71">
        <v>212</v>
      </c>
      <c r="BH781" s="71">
        <v>5</v>
      </c>
      <c r="BI781" s="71">
        <v>10</v>
      </c>
      <c r="BJ781" s="12" t="str" cm="1">
        <f t="array" ref="BJ781">_xll.Dce_Name_SectI(BF781, BF781, BG781, BH781, BI781, "x", "-", $AX$11)</f>
        <v>390x212x5x10</v>
      </c>
      <c r="BK781" s="77" cm="1">
        <f t="array" ref="BK781">_xll.DCEPropSectI(BF781, BH781, BG781, BI781, BG781, BI781, "A")/100</f>
        <v>60.9</v>
      </c>
      <c r="BL781" s="70" t="s">
        <v>223</v>
      </c>
      <c r="BM781" s="70">
        <v>104.25535961667848</v>
      </c>
      <c r="BN781" s="71">
        <v>0.9</v>
      </c>
      <c r="BO781" s="77">
        <f t="shared" ref="BO781:BO844" si="107">BN781*BE781</f>
        <v>32.4</v>
      </c>
      <c r="BP781" s="71">
        <v>0.9</v>
      </c>
      <c r="BQ781" s="77">
        <f t="shared" ref="BQ781:BQ844" si="108">BP781*BE781</f>
        <v>32.4</v>
      </c>
      <c r="BR781" s="77" cm="1">
        <f t="array" ref="BR781">_xll.DCEPropSectI(BF781, BH781, BG781, BI781, BG781, BI781, "rx")/10</f>
        <v>16.91131201300167</v>
      </c>
      <c r="BS781" s="77" cm="1">
        <f t="array" ref="BS781">_xll.DCEPropSectI(BF781, BH781, BG781, BI781, BG781, BI781, "ry")/10</f>
        <v>5.1070747638622018</v>
      </c>
      <c r="BT781" s="5">
        <f t="shared" ref="BT781:BT844" si="109">BO781*100/BR781</f>
        <v>191.58773710218577</v>
      </c>
      <c r="BU781" s="5">
        <f t="shared" ref="BU781:BU844" si="110">BQ781*100/BS781</f>
        <v>634.41405301647956</v>
      </c>
      <c r="BV781" s="5">
        <f t="shared" ref="BV781:BV844" si="111">MAX(BT781,BU781)</f>
        <v>634.41405301647956</v>
      </c>
      <c r="BW781" s="71">
        <f t="shared" ref="BW781:BW844" si="112">IF(BM781&lt;0,$AY$14,$AY$15)</f>
        <v>400</v>
      </c>
      <c r="BX781" s="78" cm="1">
        <f t="array" ref="BX781">IF(BM781&gt;0,1,_xll.DCETCVN5575FactorPhi7121(BV781*SQRT($K$17/206000),"b"))</f>
        <v>1</v>
      </c>
      <c r="BY781" s="64">
        <f t="shared" ref="BY781:BY844" si="113">ABS(BM781)/(BX781*BK781*$K$17*$K$19)*10</f>
        <v>8.1519555568596844E-2</v>
      </c>
      <c r="BZ781" s="3" t="str">
        <f t="shared" ref="BZ781:BZ844" si="114">IF(AND(BV781&lt;=BW781,BY781&lt;=1),"OK","Check")</f>
        <v>Check</v>
      </c>
    </row>
    <row r="782" spans="1:78">
      <c r="A782" s="76"/>
      <c r="B782" s="76"/>
      <c r="C782" s="125"/>
      <c r="D782" s="125"/>
      <c r="E782" s="71"/>
      <c r="F782" s="71"/>
      <c r="G782" s="71"/>
      <c r="H782" s="126"/>
      <c r="I782" s="125"/>
      <c r="J782" s="123"/>
      <c r="K782" s="12"/>
      <c r="L782" s="117"/>
      <c r="M782" s="12"/>
      <c r="N782" s="117"/>
      <c r="O782" s="117"/>
      <c r="P782" s="117"/>
      <c r="Q782" s="118"/>
      <c r="R782" s="118"/>
      <c r="S782" s="118"/>
      <c r="T782" s="12"/>
      <c r="U782" s="118"/>
      <c r="V782" s="118"/>
      <c r="W782" s="12"/>
      <c r="X782" s="119"/>
      <c r="Y782" s="120"/>
      <c r="Z782" s="12"/>
      <c r="BA782" s="70" t="s">
        <v>205</v>
      </c>
      <c r="BB782" s="71" t="s">
        <v>210</v>
      </c>
      <c r="BC782" s="71" t="s">
        <v>207</v>
      </c>
      <c r="BD782" s="71">
        <v>11.5</v>
      </c>
      <c r="BE782" s="71">
        <v>36</v>
      </c>
      <c r="BF782" s="71">
        <v>390</v>
      </c>
      <c r="BG782" s="71">
        <v>212</v>
      </c>
      <c r="BH782" s="71">
        <v>5</v>
      </c>
      <c r="BI782" s="71">
        <v>10</v>
      </c>
      <c r="BJ782" s="12" t="str" cm="1">
        <f t="array" ref="BJ782">_xll.Dce_Name_SectI(BF782, BF782, BG782, BH782, BI782, "x", "-", $AX$11)</f>
        <v>390x212x5x10</v>
      </c>
      <c r="BK782" s="77" cm="1">
        <f t="array" ref="BK782">_xll.DCEPropSectI(BF782, BH782, BG782, BI782, BG782, BI782, "A")/100</f>
        <v>60.9</v>
      </c>
      <c r="BL782" s="70" t="s">
        <v>223</v>
      </c>
      <c r="BM782" s="70">
        <v>104.25535961667848</v>
      </c>
      <c r="BN782" s="71">
        <v>0.9</v>
      </c>
      <c r="BO782" s="77">
        <f t="shared" si="107"/>
        <v>32.4</v>
      </c>
      <c r="BP782" s="71">
        <v>0.9</v>
      </c>
      <c r="BQ782" s="77">
        <f t="shared" si="108"/>
        <v>32.4</v>
      </c>
      <c r="BR782" s="77" cm="1">
        <f t="array" ref="BR782">_xll.DCEPropSectI(BF782, BH782, BG782, BI782, BG782, BI782, "rx")/10</f>
        <v>16.91131201300167</v>
      </c>
      <c r="BS782" s="77" cm="1">
        <f t="array" ref="BS782">_xll.DCEPropSectI(BF782, BH782, BG782, BI782, BG782, BI782, "ry")/10</f>
        <v>5.1070747638622018</v>
      </c>
      <c r="BT782" s="5">
        <f t="shared" si="109"/>
        <v>191.58773710218577</v>
      </c>
      <c r="BU782" s="5">
        <f t="shared" si="110"/>
        <v>634.41405301647956</v>
      </c>
      <c r="BV782" s="5">
        <f t="shared" si="111"/>
        <v>634.41405301647956</v>
      </c>
      <c r="BW782" s="71">
        <f t="shared" si="112"/>
        <v>400</v>
      </c>
      <c r="BX782" s="78" cm="1">
        <f t="array" ref="BX782">IF(BM782&gt;0,1,_xll.DCETCVN5575FactorPhi7121(BV782*SQRT($K$17/206000),"b"))</f>
        <v>1</v>
      </c>
      <c r="BY782" s="64">
        <f t="shared" si="113"/>
        <v>8.1519555568596844E-2</v>
      </c>
      <c r="BZ782" s="3" t="str">
        <f t="shared" si="114"/>
        <v>Check</v>
      </c>
    </row>
    <row r="783" spans="1:78">
      <c r="A783" s="76"/>
      <c r="B783" s="76"/>
      <c r="C783" s="125"/>
      <c r="D783" s="125"/>
      <c r="E783" s="71"/>
      <c r="F783" s="71"/>
      <c r="G783" s="71"/>
      <c r="H783" s="126"/>
      <c r="I783" s="125"/>
      <c r="J783" s="123"/>
      <c r="K783" s="12"/>
      <c r="L783" s="117"/>
      <c r="M783" s="12"/>
      <c r="N783" s="117"/>
      <c r="O783" s="117"/>
      <c r="P783" s="117"/>
      <c r="Q783" s="118"/>
      <c r="R783" s="118"/>
      <c r="S783" s="118"/>
      <c r="T783" s="12"/>
      <c r="U783" s="118"/>
      <c r="V783" s="118"/>
      <c r="W783" s="12"/>
      <c r="X783" s="119"/>
      <c r="Y783" s="120"/>
      <c r="Z783" s="12"/>
      <c r="BA783" s="70" t="s">
        <v>205</v>
      </c>
      <c r="BB783" s="71" t="s">
        <v>210</v>
      </c>
      <c r="BC783" s="71" t="s">
        <v>207</v>
      </c>
      <c r="BD783" s="71">
        <v>12</v>
      </c>
      <c r="BE783" s="71">
        <v>36</v>
      </c>
      <c r="BF783" s="71">
        <v>390</v>
      </c>
      <c r="BG783" s="71">
        <v>212</v>
      </c>
      <c r="BH783" s="71">
        <v>5</v>
      </c>
      <c r="BI783" s="71">
        <v>10</v>
      </c>
      <c r="BJ783" s="12" t="str" cm="1">
        <f t="array" ref="BJ783">_xll.Dce_Name_SectI(BF783, BF783, BG783, BH783, BI783, "x", "-", $AX$11)</f>
        <v>390x212x5x10</v>
      </c>
      <c r="BK783" s="77" cm="1">
        <f t="array" ref="BK783">_xll.DCEPropSectI(BF783, BH783, BG783, BI783, BG783, BI783, "A")/100</f>
        <v>60.9</v>
      </c>
      <c r="BL783" s="70" t="s">
        <v>223</v>
      </c>
      <c r="BM783" s="70">
        <v>104.25535961667848</v>
      </c>
      <c r="BN783" s="71">
        <v>0.9</v>
      </c>
      <c r="BO783" s="77">
        <f t="shared" si="107"/>
        <v>32.4</v>
      </c>
      <c r="BP783" s="71">
        <v>0.9</v>
      </c>
      <c r="BQ783" s="77">
        <f t="shared" si="108"/>
        <v>32.4</v>
      </c>
      <c r="BR783" s="77" cm="1">
        <f t="array" ref="BR783">_xll.DCEPropSectI(BF783, BH783, BG783, BI783, BG783, BI783, "rx")/10</f>
        <v>16.91131201300167</v>
      </c>
      <c r="BS783" s="77" cm="1">
        <f t="array" ref="BS783">_xll.DCEPropSectI(BF783, BH783, BG783, BI783, BG783, BI783, "ry")/10</f>
        <v>5.1070747638622018</v>
      </c>
      <c r="BT783" s="5">
        <f t="shared" si="109"/>
        <v>191.58773710218577</v>
      </c>
      <c r="BU783" s="5">
        <f t="shared" si="110"/>
        <v>634.41405301647956</v>
      </c>
      <c r="BV783" s="5">
        <f t="shared" si="111"/>
        <v>634.41405301647956</v>
      </c>
      <c r="BW783" s="71">
        <f t="shared" si="112"/>
        <v>400</v>
      </c>
      <c r="BX783" s="78" cm="1">
        <f t="array" ref="BX783">IF(BM783&gt;0,1,_xll.DCETCVN5575FactorPhi7121(BV783*SQRT($K$17/206000),"b"))</f>
        <v>1</v>
      </c>
      <c r="BY783" s="64">
        <f t="shared" si="113"/>
        <v>8.1519555568596844E-2</v>
      </c>
      <c r="BZ783" s="3" t="str">
        <f t="shared" si="114"/>
        <v>Check</v>
      </c>
    </row>
    <row r="784" spans="1:78">
      <c r="A784" s="76"/>
      <c r="B784" s="76"/>
      <c r="C784" s="125"/>
      <c r="D784" s="125"/>
      <c r="E784" s="71"/>
      <c r="F784" s="71"/>
      <c r="G784" s="71"/>
      <c r="H784" s="126"/>
      <c r="I784" s="125"/>
      <c r="J784" s="123"/>
      <c r="K784" s="12"/>
      <c r="L784" s="117"/>
      <c r="M784" s="12"/>
      <c r="N784" s="117"/>
      <c r="O784" s="117"/>
      <c r="P784" s="117"/>
      <c r="Q784" s="118"/>
      <c r="R784" s="118"/>
      <c r="S784" s="118"/>
      <c r="T784" s="12"/>
      <c r="U784" s="118"/>
      <c r="V784" s="118"/>
      <c r="W784" s="12"/>
      <c r="X784" s="119"/>
      <c r="Y784" s="120"/>
      <c r="Z784" s="12"/>
      <c r="BA784" s="70" t="s">
        <v>205</v>
      </c>
      <c r="BB784" s="71" t="s">
        <v>210</v>
      </c>
      <c r="BC784" s="71" t="s">
        <v>207</v>
      </c>
      <c r="BD784" s="71">
        <v>12.5</v>
      </c>
      <c r="BE784" s="71">
        <v>36</v>
      </c>
      <c r="BF784" s="71">
        <v>390</v>
      </c>
      <c r="BG784" s="71">
        <v>212</v>
      </c>
      <c r="BH784" s="71">
        <v>5</v>
      </c>
      <c r="BI784" s="71">
        <v>10</v>
      </c>
      <c r="BJ784" s="12" t="str" cm="1">
        <f t="array" ref="BJ784">_xll.Dce_Name_SectI(BF784, BF784, BG784, BH784, BI784, "x", "-", $AX$11)</f>
        <v>390x212x5x10</v>
      </c>
      <c r="BK784" s="77" cm="1">
        <f t="array" ref="BK784">_xll.DCEPropSectI(BF784, BH784, BG784, BI784, BG784, BI784, "A")/100</f>
        <v>60.9</v>
      </c>
      <c r="BL784" s="70" t="s">
        <v>223</v>
      </c>
      <c r="BM784" s="70">
        <v>104.25535961667848</v>
      </c>
      <c r="BN784" s="71">
        <v>0.9</v>
      </c>
      <c r="BO784" s="77">
        <f t="shared" si="107"/>
        <v>32.4</v>
      </c>
      <c r="BP784" s="71">
        <v>0.9</v>
      </c>
      <c r="BQ784" s="77">
        <f t="shared" si="108"/>
        <v>32.4</v>
      </c>
      <c r="BR784" s="77" cm="1">
        <f t="array" ref="BR784">_xll.DCEPropSectI(BF784, BH784, BG784, BI784, BG784, BI784, "rx")/10</f>
        <v>16.91131201300167</v>
      </c>
      <c r="BS784" s="77" cm="1">
        <f t="array" ref="BS784">_xll.DCEPropSectI(BF784, BH784, BG784, BI784, BG784, BI784, "ry")/10</f>
        <v>5.1070747638622018</v>
      </c>
      <c r="BT784" s="5">
        <f t="shared" si="109"/>
        <v>191.58773710218577</v>
      </c>
      <c r="BU784" s="5">
        <f t="shared" si="110"/>
        <v>634.41405301647956</v>
      </c>
      <c r="BV784" s="5">
        <f t="shared" si="111"/>
        <v>634.41405301647956</v>
      </c>
      <c r="BW784" s="71">
        <f t="shared" si="112"/>
        <v>400</v>
      </c>
      <c r="BX784" s="78" cm="1">
        <f t="array" ref="BX784">IF(BM784&gt;0,1,_xll.DCETCVN5575FactorPhi7121(BV784*SQRT($K$17/206000),"b"))</f>
        <v>1</v>
      </c>
      <c r="BY784" s="64">
        <f t="shared" si="113"/>
        <v>8.1519555568596844E-2</v>
      </c>
      <c r="BZ784" s="3" t="str">
        <f t="shared" si="114"/>
        <v>Check</v>
      </c>
    </row>
    <row r="785" spans="1:78">
      <c r="A785" s="76"/>
      <c r="B785" s="76"/>
      <c r="C785" s="125"/>
      <c r="D785" s="125"/>
      <c r="E785" s="71"/>
      <c r="F785" s="71"/>
      <c r="G785" s="71"/>
      <c r="H785" s="126"/>
      <c r="I785" s="125"/>
      <c r="J785" s="123"/>
      <c r="K785" s="12"/>
      <c r="L785" s="117"/>
      <c r="M785" s="12"/>
      <c r="N785" s="117"/>
      <c r="O785" s="117"/>
      <c r="P785" s="117"/>
      <c r="Q785" s="118"/>
      <c r="R785" s="118"/>
      <c r="S785" s="118"/>
      <c r="T785" s="12"/>
      <c r="U785" s="118"/>
      <c r="V785" s="118"/>
      <c r="W785" s="12"/>
      <c r="X785" s="119"/>
      <c r="Y785" s="120"/>
      <c r="Z785" s="12"/>
      <c r="BA785" s="70" t="s">
        <v>205</v>
      </c>
      <c r="BB785" s="71" t="s">
        <v>210</v>
      </c>
      <c r="BC785" s="71" t="s">
        <v>207</v>
      </c>
      <c r="BD785" s="71">
        <v>13</v>
      </c>
      <c r="BE785" s="71">
        <v>36</v>
      </c>
      <c r="BF785" s="71">
        <v>390</v>
      </c>
      <c r="BG785" s="71">
        <v>212</v>
      </c>
      <c r="BH785" s="71">
        <v>5</v>
      </c>
      <c r="BI785" s="71">
        <v>10</v>
      </c>
      <c r="BJ785" s="12" t="str" cm="1">
        <f t="array" ref="BJ785">_xll.Dce_Name_SectI(BF785, BF785, BG785, BH785, BI785, "x", "-", $AX$11)</f>
        <v>390x212x5x10</v>
      </c>
      <c r="BK785" s="77" cm="1">
        <f t="array" ref="BK785">_xll.DCEPropSectI(BF785, BH785, BG785, BI785, BG785, BI785, "A")/100</f>
        <v>60.9</v>
      </c>
      <c r="BL785" s="70" t="s">
        <v>223</v>
      </c>
      <c r="BM785" s="70">
        <v>104.25535961667848</v>
      </c>
      <c r="BN785" s="71">
        <v>0.9</v>
      </c>
      <c r="BO785" s="77">
        <f t="shared" si="107"/>
        <v>32.4</v>
      </c>
      <c r="BP785" s="71">
        <v>0.9</v>
      </c>
      <c r="BQ785" s="77">
        <f t="shared" si="108"/>
        <v>32.4</v>
      </c>
      <c r="BR785" s="77" cm="1">
        <f t="array" ref="BR785">_xll.DCEPropSectI(BF785, BH785, BG785, BI785, BG785, BI785, "rx")/10</f>
        <v>16.91131201300167</v>
      </c>
      <c r="BS785" s="77" cm="1">
        <f t="array" ref="BS785">_xll.DCEPropSectI(BF785, BH785, BG785, BI785, BG785, BI785, "ry")/10</f>
        <v>5.1070747638622018</v>
      </c>
      <c r="BT785" s="5">
        <f t="shared" si="109"/>
        <v>191.58773710218577</v>
      </c>
      <c r="BU785" s="5">
        <f t="shared" si="110"/>
        <v>634.41405301647956</v>
      </c>
      <c r="BV785" s="5">
        <f t="shared" si="111"/>
        <v>634.41405301647956</v>
      </c>
      <c r="BW785" s="71">
        <f t="shared" si="112"/>
        <v>400</v>
      </c>
      <c r="BX785" s="78" cm="1">
        <f t="array" ref="BX785">IF(BM785&gt;0,1,_xll.DCETCVN5575FactorPhi7121(BV785*SQRT($K$17/206000),"b"))</f>
        <v>1</v>
      </c>
      <c r="BY785" s="64">
        <f t="shared" si="113"/>
        <v>8.1519555568596844E-2</v>
      </c>
      <c r="BZ785" s="3" t="str">
        <f t="shared" si="114"/>
        <v>Check</v>
      </c>
    </row>
    <row r="786" spans="1:78">
      <c r="A786" s="76"/>
      <c r="B786" s="76"/>
      <c r="C786" s="125"/>
      <c r="D786" s="125"/>
      <c r="E786" s="71"/>
      <c r="F786" s="71"/>
      <c r="G786" s="71"/>
      <c r="H786" s="126"/>
      <c r="I786" s="125"/>
      <c r="J786" s="123"/>
      <c r="K786" s="12"/>
      <c r="L786" s="117"/>
      <c r="M786" s="12"/>
      <c r="N786" s="117"/>
      <c r="O786" s="117"/>
      <c r="P786" s="117"/>
      <c r="Q786" s="118"/>
      <c r="R786" s="118"/>
      <c r="S786" s="118"/>
      <c r="T786" s="12"/>
      <c r="U786" s="118"/>
      <c r="V786" s="118"/>
      <c r="W786" s="12"/>
      <c r="X786" s="119"/>
      <c r="Y786" s="120"/>
      <c r="Z786" s="12"/>
      <c r="BA786" s="70" t="s">
        <v>205</v>
      </c>
      <c r="BB786" s="71" t="s">
        <v>210</v>
      </c>
      <c r="BC786" s="71" t="s">
        <v>207</v>
      </c>
      <c r="BD786" s="71">
        <v>13.5</v>
      </c>
      <c r="BE786" s="71">
        <v>36</v>
      </c>
      <c r="BF786" s="71">
        <v>390</v>
      </c>
      <c r="BG786" s="71">
        <v>212</v>
      </c>
      <c r="BH786" s="71">
        <v>5</v>
      </c>
      <c r="BI786" s="71">
        <v>10</v>
      </c>
      <c r="BJ786" s="12" t="str" cm="1">
        <f t="array" ref="BJ786">_xll.Dce_Name_SectI(BF786, BF786, BG786, BH786, BI786, "x", "-", $AX$11)</f>
        <v>390x212x5x10</v>
      </c>
      <c r="BK786" s="77" cm="1">
        <f t="array" ref="BK786">_xll.DCEPropSectI(BF786, BH786, BG786, BI786, BG786, BI786, "A")/100</f>
        <v>60.9</v>
      </c>
      <c r="BL786" s="70" t="s">
        <v>223</v>
      </c>
      <c r="BM786" s="70">
        <v>104.25535961667848</v>
      </c>
      <c r="BN786" s="71">
        <v>0.9</v>
      </c>
      <c r="BO786" s="77">
        <f t="shared" si="107"/>
        <v>32.4</v>
      </c>
      <c r="BP786" s="71">
        <v>0.9</v>
      </c>
      <c r="BQ786" s="77">
        <f t="shared" si="108"/>
        <v>32.4</v>
      </c>
      <c r="BR786" s="77" cm="1">
        <f t="array" ref="BR786">_xll.DCEPropSectI(BF786, BH786, BG786, BI786, BG786, BI786, "rx")/10</f>
        <v>16.91131201300167</v>
      </c>
      <c r="BS786" s="77" cm="1">
        <f t="array" ref="BS786">_xll.DCEPropSectI(BF786, BH786, BG786, BI786, BG786, BI786, "ry")/10</f>
        <v>5.1070747638622018</v>
      </c>
      <c r="BT786" s="5">
        <f t="shared" si="109"/>
        <v>191.58773710218577</v>
      </c>
      <c r="BU786" s="5">
        <f t="shared" si="110"/>
        <v>634.41405301647956</v>
      </c>
      <c r="BV786" s="5">
        <f t="shared" si="111"/>
        <v>634.41405301647956</v>
      </c>
      <c r="BW786" s="71">
        <f t="shared" si="112"/>
        <v>400</v>
      </c>
      <c r="BX786" s="78" cm="1">
        <f t="array" ref="BX786">IF(BM786&gt;0,1,_xll.DCETCVN5575FactorPhi7121(BV786*SQRT($K$17/206000),"b"))</f>
        <v>1</v>
      </c>
      <c r="BY786" s="64">
        <f t="shared" si="113"/>
        <v>8.1519555568596844E-2</v>
      </c>
      <c r="BZ786" s="3" t="str">
        <f t="shared" si="114"/>
        <v>Check</v>
      </c>
    </row>
    <row r="787" spans="1:78">
      <c r="A787" s="76"/>
      <c r="B787" s="76"/>
      <c r="C787" s="125"/>
      <c r="D787" s="125"/>
      <c r="E787" s="71"/>
      <c r="F787" s="71"/>
      <c r="G787" s="71"/>
      <c r="H787" s="126"/>
      <c r="I787" s="125"/>
      <c r="J787" s="123"/>
      <c r="K787" s="12"/>
      <c r="L787" s="117"/>
      <c r="M787" s="12"/>
      <c r="N787" s="117"/>
      <c r="O787" s="117"/>
      <c r="P787" s="117"/>
      <c r="Q787" s="118"/>
      <c r="R787" s="118"/>
      <c r="S787" s="118"/>
      <c r="T787" s="12"/>
      <c r="U787" s="118"/>
      <c r="V787" s="118"/>
      <c r="W787" s="12"/>
      <c r="X787" s="119"/>
      <c r="Y787" s="120"/>
      <c r="Z787" s="12"/>
      <c r="BA787" s="70" t="s">
        <v>205</v>
      </c>
      <c r="BB787" s="71" t="s">
        <v>210</v>
      </c>
      <c r="BC787" s="71" t="s">
        <v>207</v>
      </c>
      <c r="BD787" s="71">
        <v>14</v>
      </c>
      <c r="BE787" s="71">
        <v>36</v>
      </c>
      <c r="BF787" s="71">
        <v>390</v>
      </c>
      <c r="BG787" s="71">
        <v>212</v>
      </c>
      <c r="BH787" s="71">
        <v>5</v>
      </c>
      <c r="BI787" s="71">
        <v>10</v>
      </c>
      <c r="BJ787" s="12" t="str" cm="1">
        <f t="array" ref="BJ787">_xll.Dce_Name_SectI(BF787, BF787, BG787, BH787, BI787, "x", "-", $AX$11)</f>
        <v>390x212x5x10</v>
      </c>
      <c r="BK787" s="77" cm="1">
        <f t="array" ref="BK787">_xll.DCEPropSectI(BF787, BH787, BG787, BI787, BG787, BI787, "A")/100</f>
        <v>60.9</v>
      </c>
      <c r="BL787" s="70" t="s">
        <v>223</v>
      </c>
      <c r="BM787" s="70">
        <v>104.25535961667848</v>
      </c>
      <c r="BN787" s="71">
        <v>0.9</v>
      </c>
      <c r="BO787" s="77">
        <f t="shared" si="107"/>
        <v>32.4</v>
      </c>
      <c r="BP787" s="71">
        <v>0.9</v>
      </c>
      <c r="BQ787" s="77">
        <f t="shared" si="108"/>
        <v>32.4</v>
      </c>
      <c r="BR787" s="77" cm="1">
        <f t="array" ref="BR787">_xll.DCEPropSectI(BF787, BH787, BG787, BI787, BG787, BI787, "rx")/10</f>
        <v>16.91131201300167</v>
      </c>
      <c r="BS787" s="77" cm="1">
        <f t="array" ref="BS787">_xll.DCEPropSectI(BF787, BH787, BG787, BI787, BG787, BI787, "ry")/10</f>
        <v>5.1070747638622018</v>
      </c>
      <c r="BT787" s="5">
        <f t="shared" si="109"/>
        <v>191.58773710218577</v>
      </c>
      <c r="BU787" s="5">
        <f t="shared" si="110"/>
        <v>634.41405301647956</v>
      </c>
      <c r="BV787" s="5">
        <f t="shared" si="111"/>
        <v>634.41405301647956</v>
      </c>
      <c r="BW787" s="71">
        <f t="shared" si="112"/>
        <v>400</v>
      </c>
      <c r="BX787" s="78" cm="1">
        <f t="array" ref="BX787">IF(BM787&gt;0,1,_xll.DCETCVN5575FactorPhi7121(BV787*SQRT($K$17/206000),"b"))</f>
        <v>1</v>
      </c>
      <c r="BY787" s="64">
        <f t="shared" si="113"/>
        <v>8.1519555568596844E-2</v>
      </c>
      <c r="BZ787" s="3" t="str">
        <f t="shared" si="114"/>
        <v>Check</v>
      </c>
    </row>
    <row r="788" spans="1:78">
      <c r="A788" s="76"/>
      <c r="B788" s="76"/>
      <c r="C788" s="125"/>
      <c r="D788" s="125"/>
      <c r="E788" s="71"/>
      <c r="F788" s="71"/>
      <c r="G788" s="71"/>
      <c r="H788" s="126"/>
      <c r="I788" s="125"/>
      <c r="J788" s="123"/>
      <c r="K788" s="12"/>
      <c r="L788" s="117"/>
      <c r="M788" s="12"/>
      <c r="N788" s="117"/>
      <c r="O788" s="117"/>
      <c r="P788" s="117"/>
      <c r="Q788" s="118"/>
      <c r="R788" s="118"/>
      <c r="S788" s="118"/>
      <c r="T788" s="12"/>
      <c r="U788" s="118"/>
      <c r="V788" s="118"/>
      <c r="W788" s="12"/>
      <c r="X788" s="119"/>
      <c r="Y788" s="120"/>
      <c r="Z788" s="12"/>
      <c r="BA788" s="70" t="s">
        <v>205</v>
      </c>
      <c r="BB788" s="71" t="s">
        <v>210</v>
      </c>
      <c r="BC788" s="71" t="s">
        <v>207</v>
      </c>
      <c r="BD788" s="71">
        <v>14.5</v>
      </c>
      <c r="BE788" s="71">
        <v>36</v>
      </c>
      <c r="BF788" s="71">
        <v>390</v>
      </c>
      <c r="BG788" s="71">
        <v>212</v>
      </c>
      <c r="BH788" s="71">
        <v>5</v>
      </c>
      <c r="BI788" s="71">
        <v>10</v>
      </c>
      <c r="BJ788" s="12" t="str" cm="1">
        <f t="array" ref="BJ788">_xll.Dce_Name_SectI(BF788, BF788, BG788, BH788, BI788, "x", "-", $AX$11)</f>
        <v>390x212x5x10</v>
      </c>
      <c r="BK788" s="77" cm="1">
        <f t="array" ref="BK788">_xll.DCEPropSectI(BF788, BH788, BG788, BI788, BG788, BI788, "A")/100</f>
        <v>60.9</v>
      </c>
      <c r="BL788" s="70" t="s">
        <v>223</v>
      </c>
      <c r="BM788" s="70">
        <v>104.25535961667848</v>
      </c>
      <c r="BN788" s="71">
        <v>0.9</v>
      </c>
      <c r="BO788" s="77">
        <f t="shared" si="107"/>
        <v>32.4</v>
      </c>
      <c r="BP788" s="71">
        <v>0.9</v>
      </c>
      <c r="BQ788" s="77">
        <f t="shared" si="108"/>
        <v>32.4</v>
      </c>
      <c r="BR788" s="77" cm="1">
        <f t="array" ref="BR788">_xll.DCEPropSectI(BF788, BH788, BG788, BI788, BG788, BI788, "rx")/10</f>
        <v>16.91131201300167</v>
      </c>
      <c r="BS788" s="77" cm="1">
        <f t="array" ref="BS788">_xll.DCEPropSectI(BF788, BH788, BG788, BI788, BG788, BI788, "ry")/10</f>
        <v>5.1070747638622018</v>
      </c>
      <c r="BT788" s="5">
        <f t="shared" si="109"/>
        <v>191.58773710218577</v>
      </c>
      <c r="BU788" s="5">
        <f t="shared" si="110"/>
        <v>634.41405301647956</v>
      </c>
      <c r="BV788" s="5">
        <f t="shared" si="111"/>
        <v>634.41405301647956</v>
      </c>
      <c r="BW788" s="71">
        <f t="shared" si="112"/>
        <v>400</v>
      </c>
      <c r="BX788" s="78" cm="1">
        <f t="array" ref="BX788">IF(BM788&gt;0,1,_xll.DCETCVN5575FactorPhi7121(BV788*SQRT($K$17/206000),"b"))</f>
        <v>1</v>
      </c>
      <c r="BY788" s="64">
        <f t="shared" si="113"/>
        <v>8.1519555568596844E-2</v>
      </c>
      <c r="BZ788" s="3" t="str">
        <f t="shared" si="114"/>
        <v>Check</v>
      </c>
    </row>
    <row r="789" spans="1:78">
      <c r="A789" s="76"/>
      <c r="B789" s="76"/>
      <c r="C789" s="125"/>
      <c r="D789" s="125"/>
      <c r="E789" s="71"/>
      <c r="F789" s="71"/>
      <c r="G789" s="71"/>
      <c r="H789" s="126"/>
      <c r="I789" s="125"/>
      <c r="J789" s="123"/>
      <c r="K789" s="12"/>
      <c r="L789" s="117"/>
      <c r="M789" s="12"/>
      <c r="N789" s="117"/>
      <c r="O789" s="117"/>
      <c r="P789" s="117"/>
      <c r="Q789" s="118"/>
      <c r="R789" s="118"/>
      <c r="S789" s="118"/>
      <c r="T789" s="12"/>
      <c r="U789" s="118"/>
      <c r="V789" s="118"/>
      <c r="W789" s="12"/>
      <c r="X789" s="119"/>
      <c r="Y789" s="120"/>
      <c r="Z789" s="12"/>
      <c r="BA789" s="70" t="s">
        <v>205</v>
      </c>
      <c r="BB789" s="71" t="s">
        <v>210</v>
      </c>
      <c r="BC789" s="71" t="s">
        <v>207</v>
      </c>
      <c r="BD789" s="71">
        <v>15</v>
      </c>
      <c r="BE789" s="71">
        <v>36</v>
      </c>
      <c r="BF789" s="71">
        <v>390</v>
      </c>
      <c r="BG789" s="71">
        <v>212</v>
      </c>
      <c r="BH789" s="71">
        <v>5</v>
      </c>
      <c r="BI789" s="71">
        <v>10</v>
      </c>
      <c r="BJ789" s="12" t="str" cm="1">
        <f t="array" ref="BJ789">_xll.Dce_Name_SectI(BF789, BF789, BG789, BH789, BI789, "x", "-", $AX$11)</f>
        <v>390x212x5x10</v>
      </c>
      <c r="BK789" s="77" cm="1">
        <f t="array" ref="BK789">_xll.DCEPropSectI(BF789, BH789, BG789, BI789, BG789, BI789, "A")/100</f>
        <v>60.9</v>
      </c>
      <c r="BL789" s="70" t="s">
        <v>223</v>
      </c>
      <c r="BM789" s="70">
        <v>104.25535961667848</v>
      </c>
      <c r="BN789" s="71">
        <v>0.9</v>
      </c>
      <c r="BO789" s="77">
        <f t="shared" si="107"/>
        <v>32.4</v>
      </c>
      <c r="BP789" s="71">
        <v>0.9</v>
      </c>
      <c r="BQ789" s="77">
        <f t="shared" si="108"/>
        <v>32.4</v>
      </c>
      <c r="BR789" s="77" cm="1">
        <f t="array" ref="BR789">_xll.DCEPropSectI(BF789, BH789, BG789, BI789, BG789, BI789, "rx")/10</f>
        <v>16.91131201300167</v>
      </c>
      <c r="BS789" s="77" cm="1">
        <f t="array" ref="BS789">_xll.DCEPropSectI(BF789, BH789, BG789, BI789, BG789, BI789, "ry")/10</f>
        <v>5.1070747638622018</v>
      </c>
      <c r="BT789" s="5">
        <f t="shared" si="109"/>
        <v>191.58773710218577</v>
      </c>
      <c r="BU789" s="5">
        <f t="shared" si="110"/>
        <v>634.41405301647956</v>
      </c>
      <c r="BV789" s="5">
        <f t="shared" si="111"/>
        <v>634.41405301647956</v>
      </c>
      <c r="BW789" s="71">
        <f t="shared" si="112"/>
        <v>400</v>
      </c>
      <c r="BX789" s="78" cm="1">
        <f t="array" ref="BX789">IF(BM789&gt;0,1,_xll.DCETCVN5575FactorPhi7121(BV789*SQRT($K$17/206000),"b"))</f>
        <v>1</v>
      </c>
      <c r="BY789" s="64">
        <f t="shared" si="113"/>
        <v>8.1519555568596844E-2</v>
      </c>
      <c r="BZ789" s="3" t="str">
        <f t="shared" si="114"/>
        <v>Check</v>
      </c>
    </row>
    <row r="790" spans="1:78">
      <c r="A790" s="76"/>
      <c r="B790" s="76"/>
      <c r="C790" s="125"/>
      <c r="D790" s="125"/>
      <c r="E790" s="71"/>
      <c r="F790" s="71"/>
      <c r="G790" s="71"/>
      <c r="H790" s="126"/>
      <c r="I790" s="125"/>
      <c r="J790" s="123"/>
      <c r="K790" s="12"/>
      <c r="L790" s="117"/>
      <c r="M790" s="12"/>
      <c r="N790" s="117"/>
      <c r="O790" s="117"/>
      <c r="P790" s="117"/>
      <c r="Q790" s="118"/>
      <c r="R790" s="118"/>
      <c r="S790" s="118"/>
      <c r="T790" s="12"/>
      <c r="U790" s="118"/>
      <c r="V790" s="118"/>
      <c r="W790" s="12"/>
      <c r="X790" s="119"/>
      <c r="Y790" s="120"/>
      <c r="Z790" s="12"/>
      <c r="BA790" s="70" t="s">
        <v>205</v>
      </c>
      <c r="BB790" s="71" t="s">
        <v>210</v>
      </c>
      <c r="BC790" s="71" t="s">
        <v>207</v>
      </c>
      <c r="BD790" s="71">
        <v>15</v>
      </c>
      <c r="BE790" s="71">
        <v>36</v>
      </c>
      <c r="BF790" s="71">
        <v>390</v>
      </c>
      <c r="BG790" s="71">
        <v>212</v>
      </c>
      <c r="BH790" s="71">
        <v>5</v>
      </c>
      <c r="BI790" s="71">
        <v>10</v>
      </c>
      <c r="BJ790" s="12" t="str" cm="1">
        <f t="array" ref="BJ790">_xll.Dce_Name_SectI(BF790, BF790, BG790, BH790, BI790, "x", "-", $AX$11)</f>
        <v>390x212x5x10</v>
      </c>
      <c r="BK790" s="77" cm="1">
        <f t="array" ref="BK790">_xll.DCEPropSectI(BF790, BH790, BG790, BI790, BG790, BI790, "A")/100</f>
        <v>60.9</v>
      </c>
      <c r="BL790" s="70" t="s">
        <v>223</v>
      </c>
      <c r="BM790" s="70">
        <v>145.15867907967524</v>
      </c>
      <c r="BN790" s="71">
        <v>0.9</v>
      </c>
      <c r="BO790" s="77">
        <f t="shared" si="107"/>
        <v>32.4</v>
      </c>
      <c r="BP790" s="71">
        <v>0.9</v>
      </c>
      <c r="BQ790" s="77">
        <f t="shared" si="108"/>
        <v>32.4</v>
      </c>
      <c r="BR790" s="77" cm="1">
        <f t="array" ref="BR790">_xll.DCEPropSectI(BF790, BH790, BG790, BI790, BG790, BI790, "rx")/10</f>
        <v>16.91131201300167</v>
      </c>
      <c r="BS790" s="77" cm="1">
        <f t="array" ref="BS790">_xll.DCEPropSectI(BF790, BH790, BG790, BI790, BG790, BI790, "ry")/10</f>
        <v>5.1070747638622018</v>
      </c>
      <c r="BT790" s="5">
        <f t="shared" si="109"/>
        <v>191.58773710218577</v>
      </c>
      <c r="BU790" s="5">
        <f t="shared" si="110"/>
        <v>634.41405301647956</v>
      </c>
      <c r="BV790" s="5">
        <f t="shared" si="111"/>
        <v>634.41405301647956</v>
      </c>
      <c r="BW790" s="71">
        <f t="shared" si="112"/>
        <v>400</v>
      </c>
      <c r="BX790" s="78" cm="1">
        <f t="array" ref="BX790">IF(BM790&gt;0,1,_xll.DCETCVN5575FactorPhi7121(BV790*SQRT($K$17/206000),"b"))</f>
        <v>1</v>
      </c>
      <c r="BY790" s="64">
        <f t="shared" si="113"/>
        <v>0.11350275946491145</v>
      </c>
      <c r="BZ790" s="3" t="str">
        <f t="shared" si="114"/>
        <v>Check</v>
      </c>
    </row>
    <row r="791" spans="1:78">
      <c r="A791" s="76"/>
      <c r="B791" s="76"/>
      <c r="C791" s="125"/>
      <c r="D791" s="125"/>
      <c r="E791" s="71"/>
      <c r="F791" s="71"/>
      <c r="G791" s="71"/>
      <c r="H791" s="126"/>
      <c r="I791" s="125"/>
      <c r="J791" s="123"/>
      <c r="K791" s="12"/>
      <c r="L791" s="117"/>
      <c r="M791" s="12"/>
      <c r="N791" s="117"/>
      <c r="O791" s="117"/>
      <c r="P791" s="117"/>
      <c r="Q791" s="118"/>
      <c r="R791" s="118"/>
      <c r="S791" s="118"/>
      <c r="T791" s="12"/>
      <c r="U791" s="118"/>
      <c r="V791" s="118"/>
      <c r="W791" s="12"/>
      <c r="X791" s="119"/>
      <c r="Y791" s="120"/>
      <c r="Z791" s="12"/>
      <c r="BA791" s="70" t="s">
        <v>205</v>
      </c>
      <c r="BB791" s="71" t="s">
        <v>210</v>
      </c>
      <c r="BC791" s="71" t="s">
        <v>207</v>
      </c>
      <c r="BD791" s="71">
        <v>15.5</v>
      </c>
      <c r="BE791" s="71">
        <v>36</v>
      </c>
      <c r="BF791" s="71">
        <v>390</v>
      </c>
      <c r="BG791" s="71">
        <v>212</v>
      </c>
      <c r="BH791" s="71">
        <v>5</v>
      </c>
      <c r="BI791" s="71">
        <v>10</v>
      </c>
      <c r="BJ791" s="12" t="str" cm="1">
        <f t="array" ref="BJ791">_xll.Dce_Name_SectI(BF791, BF791, BG791, BH791, BI791, "x", "-", $AX$11)</f>
        <v>390x212x5x10</v>
      </c>
      <c r="BK791" s="77" cm="1">
        <f t="array" ref="BK791">_xll.DCEPropSectI(BF791, BH791, BG791, BI791, BG791, BI791, "A")/100</f>
        <v>60.9</v>
      </c>
      <c r="BL791" s="70" t="s">
        <v>223</v>
      </c>
      <c r="BM791" s="70">
        <v>145.15867907967524</v>
      </c>
      <c r="BN791" s="71">
        <v>0.9</v>
      </c>
      <c r="BO791" s="77">
        <f t="shared" si="107"/>
        <v>32.4</v>
      </c>
      <c r="BP791" s="71">
        <v>0.9</v>
      </c>
      <c r="BQ791" s="77">
        <f t="shared" si="108"/>
        <v>32.4</v>
      </c>
      <c r="BR791" s="77" cm="1">
        <f t="array" ref="BR791">_xll.DCEPropSectI(BF791, BH791, BG791, BI791, BG791, BI791, "rx")/10</f>
        <v>16.91131201300167</v>
      </c>
      <c r="BS791" s="77" cm="1">
        <f t="array" ref="BS791">_xll.DCEPropSectI(BF791, BH791, BG791, BI791, BG791, BI791, "ry")/10</f>
        <v>5.1070747638622018</v>
      </c>
      <c r="BT791" s="5">
        <f t="shared" si="109"/>
        <v>191.58773710218577</v>
      </c>
      <c r="BU791" s="5">
        <f t="shared" si="110"/>
        <v>634.41405301647956</v>
      </c>
      <c r="BV791" s="5">
        <f t="shared" si="111"/>
        <v>634.41405301647956</v>
      </c>
      <c r="BW791" s="71">
        <f t="shared" si="112"/>
        <v>400</v>
      </c>
      <c r="BX791" s="78" cm="1">
        <f t="array" ref="BX791">IF(BM791&gt;0,1,_xll.DCETCVN5575FactorPhi7121(BV791*SQRT($K$17/206000),"b"))</f>
        <v>1</v>
      </c>
      <c r="BY791" s="64">
        <f t="shared" si="113"/>
        <v>0.11350275946491145</v>
      </c>
      <c r="BZ791" s="3" t="str">
        <f t="shared" si="114"/>
        <v>Check</v>
      </c>
    </row>
    <row r="792" spans="1:78">
      <c r="A792" s="76"/>
      <c r="B792" s="76"/>
      <c r="C792" s="125"/>
      <c r="D792" s="125"/>
      <c r="E792" s="71"/>
      <c r="F792" s="71"/>
      <c r="G792" s="71"/>
      <c r="H792" s="126"/>
      <c r="I792" s="125"/>
      <c r="J792" s="123"/>
      <c r="K792" s="12"/>
      <c r="L792" s="117"/>
      <c r="M792" s="12"/>
      <c r="N792" s="117"/>
      <c r="O792" s="117"/>
      <c r="P792" s="117"/>
      <c r="Q792" s="118"/>
      <c r="R792" s="118"/>
      <c r="S792" s="118"/>
      <c r="T792" s="12"/>
      <c r="U792" s="118"/>
      <c r="V792" s="118"/>
      <c r="W792" s="12"/>
      <c r="X792" s="119"/>
      <c r="Y792" s="120"/>
      <c r="Z792" s="12"/>
      <c r="BA792" s="70" t="s">
        <v>205</v>
      </c>
      <c r="BB792" s="71" t="s">
        <v>210</v>
      </c>
      <c r="BC792" s="71" t="s">
        <v>207</v>
      </c>
      <c r="BD792" s="71">
        <v>16</v>
      </c>
      <c r="BE792" s="71">
        <v>36</v>
      </c>
      <c r="BF792" s="71">
        <v>390</v>
      </c>
      <c r="BG792" s="71">
        <v>212</v>
      </c>
      <c r="BH792" s="71">
        <v>5</v>
      </c>
      <c r="BI792" s="71">
        <v>10</v>
      </c>
      <c r="BJ792" s="12" t="str" cm="1">
        <f t="array" ref="BJ792">_xll.Dce_Name_SectI(BF792, BF792, BG792, BH792, BI792, "x", "-", $AX$11)</f>
        <v>390x212x5x10</v>
      </c>
      <c r="BK792" s="77" cm="1">
        <f t="array" ref="BK792">_xll.DCEPropSectI(BF792, BH792, BG792, BI792, BG792, BI792, "A")/100</f>
        <v>60.9</v>
      </c>
      <c r="BL792" s="70" t="s">
        <v>223</v>
      </c>
      <c r="BM792" s="70">
        <v>145.15867907967524</v>
      </c>
      <c r="BN792" s="71">
        <v>0.9</v>
      </c>
      <c r="BO792" s="77">
        <f t="shared" si="107"/>
        <v>32.4</v>
      </c>
      <c r="BP792" s="71">
        <v>0.9</v>
      </c>
      <c r="BQ792" s="77">
        <f t="shared" si="108"/>
        <v>32.4</v>
      </c>
      <c r="BR792" s="77" cm="1">
        <f t="array" ref="BR792">_xll.DCEPropSectI(BF792, BH792, BG792, BI792, BG792, BI792, "rx")/10</f>
        <v>16.91131201300167</v>
      </c>
      <c r="BS792" s="77" cm="1">
        <f t="array" ref="BS792">_xll.DCEPropSectI(BF792, BH792, BG792, BI792, BG792, BI792, "ry")/10</f>
        <v>5.1070747638622018</v>
      </c>
      <c r="BT792" s="5">
        <f t="shared" si="109"/>
        <v>191.58773710218577</v>
      </c>
      <c r="BU792" s="5">
        <f t="shared" si="110"/>
        <v>634.41405301647956</v>
      </c>
      <c r="BV792" s="5">
        <f t="shared" si="111"/>
        <v>634.41405301647956</v>
      </c>
      <c r="BW792" s="71">
        <f t="shared" si="112"/>
        <v>400</v>
      </c>
      <c r="BX792" s="78" cm="1">
        <f t="array" ref="BX792">IF(BM792&gt;0,1,_xll.DCETCVN5575FactorPhi7121(BV792*SQRT($K$17/206000),"b"))</f>
        <v>1</v>
      </c>
      <c r="BY792" s="64">
        <f t="shared" si="113"/>
        <v>0.11350275946491145</v>
      </c>
      <c r="BZ792" s="3" t="str">
        <f t="shared" si="114"/>
        <v>Check</v>
      </c>
    </row>
    <row r="793" spans="1:78">
      <c r="A793" s="76"/>
      <c r="B793" s="76"/>
      <c r="C793" s="125"/>
      <c r="D793" s="125"/>
      <c r="E793" s="71"/>
      <c r="F793" s="71"/>
      <c r="G793" s="71"/>
      <c r="H793" s="126"/>
      <c r="I793" s="125"/>
      <c r="J793" s="123"/>
      <c r="K793" s="12"/>
      <c r="L793" s="117"/>
      <c r="M793" s="12"/>
      <c r="N793" s="117"/>
      <c r="O793" s="117"/>
      <c r="P793" s="117"/>
      <c r="Q793" s="118"/>
      <c r="R793" s="118"/>
      <c r="S793" s="118"/>
      <c r="T793" s="12"/>
      <c r="U793" s="118"/>
      <c r="V793" s="118"/>
      <c r="W793" s="12"/>
      <c r="X793" s="119"/>
      <c r="Y793" s="120"/>
      <c r="Z793" s="12"/>
      <c r="BA793" s="70" t="s">
        <v>205</v>
      </c>
      <c r="BB793" s="71" t="s">
        <v>210</v>
      </c>
      <c r="BC793" s="71" t="s">
        <v>207</v>
      </c>
      <c r="BD793" s="71">
        <v>16.5</v>
      </c>
      <c r="BE793" s="71">
        <v>36</v>
      </c>
      <c r="BF793" s="71">
        <v>390</v>
      </c>
      <c r="BG793" s="71">
        <v>212</v>
      </c>
      <c r="BH793" s="71">
        <v>5</v>
      </c>
      <c r="BI793" s="71">
        <v>10</v>
      </c>
      <c r="BJ793" s="12" t="str" cm="1">
        <f t="array" ref="BJ793">_xll.Dce_Name_SectI(BF793, BF793, BG793, BH793, BI793, "x", "-", $AX$11)</f>
        <v>390x212x5x10</v>
      </c>
      <c r="BK793" s="77" cm="1">
        <f t="array" ref="BK793">_xll.DCEPropSectI(BF793, BH793, BG793, BI793, BG793, BI793, "A")/100</f>
        <v>60.9</v>
      </c>
      <c r="BL793" s="70" t="s">
        <v>223</v>
      </c>
      <c r="BM793" s="70">
        <v>145.15867907967524</v>
      </c>
      <c r="BN793" s="71">
        <v>0.9</v>
      </c>
      <c r="BO793" s="77">
        <f t="shared" si="107"/>
        <v>32.4</v>
      </c>
      <c r="BP793" s="71">
        <v>0.9</v>
      </c>
      <c r="BQ793" s="77">
        <f t="shared" si="108"/>
        <v>32.4</v>
      </c>
      <c r="BR793" s="77" cm="1">
        <f t="array" ref="BR793">_xll.DCEPropSectI(BF793, BH793, BG793, BI793, BG793, BI793, "rx")/10</f>
        <v>16.91131201300167</v>
      </c>
      <c r="BS793" s="77" cm="1">
        <f t="array" ref="BS793">_xll.DCEPropSectI(BF793, BH793, BG793, BI793, BG793, BI793, "ry")/10</f>
        <v>5.1070747638622018</v>
      </c>
      <c r="BT793" s="5">
        <f t="shared" si="109"/>
        <v>191.58773710218577</v>
      </c>
      <c r="BU793" s="5">
        <f t="shared" si="110"/>
        <v>634.41405301647956</v>
      </c>
      <c r="BV793" s="5">
        <f t="shared" si="111"/>
        <v>634.41405301647956</v>
      </c>
      <c r="BW793" s="71">
        <f t="shared" si="112"/>
        <v>400</v>
      </c>
      <c r="BX793" s="78" cm="1">
        <f t="array" ref="BX793">IF(BM793&gt;0,1,_xll.DCETCVN5575FactorPhi7121(BV793*SQRT($K$17/206000),"b"))</f>
        <v>1</v>
      </c>
      <c r="BY793" s="64">
        <f t="shared" si="113"/>
        <v>0.11350275946491145</v>
      </c>
      <c r="BZ793" s="3" t="str">
        <f t="shared" si="114"/>
        <v>Check</v>
      </c>
    </row>
    <row r="794" spans="1:78">
      <c r="A794" s="76"/>
      <c r="B794" s="76"/>
      <c r="C794" s="125"/>
      <c r="D794" s="125"/>
      <c r="E794" s="71"/>
      <c r="F794" s="71"/>
      <c r="G794" s="71"/>
      <c r="H794" s="126"/>
      <c r="I794" s="125"/>
      <c r="J794" s="123"/>
      <c r="K794" s="12"/>
      <c r="L794" s="117"/>
      <c r="M794" s="12"/>
      <c r="N794" s="117"/>
      <c r="O794" s="117"/>
      <c r="P794" s="117"/>
      <c r="Q794" s="118"/>
      <c r="R794" s="118"/>
      <c r="S794" s="118"/>
      <c r="T794" s="12"/>
      <c r="U794" s="118"/>
      <c r="V794" s="118"/>
      <c r="W794" s="12"/>
      <c r="X794" s="119"/>
      <c r="Y794" s="120"/>
      <c r="Z794" s="12"/>
      <c r="BA794" s="70" t="s">
        <v>205</v>
      </c>
      <c r="BB794" s="71" t="s">
        <v>210</v>
      </c>
      <c r="BC794" s="71" t="s">
        <v>207</v>
      </c>
      <c r="BD794" s="71">
        <v>17</v>
      </c>
      <c r="BE794" s="71">
        <v>36</v>
      </c>
      <c r="BF794" s="71">
        <v>390</v>
      </c>
      <c r="BG794" s="71">
        <v>212</v>
      </c>
      <c r="BH794" s="71">
        <v>5</v>
      </c>
      <c r="BI794" s="71">
        <v>10</v>
      </c>
      <c r="BJ794" s="12" t="str" cm="1">
        <f t="array" ref="BJ794">_xll.Dce_Name_SectI(BF794, BF794, BG794, BH794, BI794, "x", "-", $AX$11)</f>
        <v>390x212x5x10</v>
      </c>
      <c r="BK794" s="77" cm="1">
        <f t="array" ref="BK794">_xll.DCEPropSectI(BF794, BH794, BG794, BI794, BG794, BI794, "A")/100</f>
        <v>60.9</v>
      </c>
      <c r="BL794" s="70" t="s">
        <v>223</v>
      </c>
      <c r="BM794" s="70">
        <v>145.15867907967524</v>
      </c>
      <c r="BN794" s="71">
        <v>0.9</v>
      </c>
      <c r="BO794" s="77">
        <f t="shared" si="107"/>
        <v>32.4</v>
      </c>
      <c r="BP794" s="71">
        <v>0.9</v>
      </c>
      <c r="BQ794" s="77">
        <f t="shared" si="108"/>
        <v>32.4</v>
      </c>
      <c r="BR794" s="77" cm="1">
        <f t="array" ref="BR794">_xll.DCEPropSectI(BF794, BH794, BG794, BI794, BG794, BI794, "rx")/10</f>
        <v>16.91131201300167</v>
      </c>
      <c r="BS794" s="77" cm="1">
        <f t="array" ref="BS794">_xll.DCEPropSectI(BF794, BH794, BG794, BI794, BG794, BI794, "ry")/10</f>
        <v>5.1070747638622018</v>
      </c>
      <c r="BT794" s="5">
        <f t="shared" si="109"/>
        <v>191.58773710218577</v>
      </c>
      <c r="BU794" s="5">
        <f t="shared" si="110"/>
        <v>634.41405301647956</v>
      </c>
      <c r="BV794" s="5">
        <f t="shared" si="111"/>
        <v>634.41405301647956</v>
      </c>
      <c r="BW794" s="71">
        <f t="shared" si="112"/>
        <v>400</v>
      </c>
      <c r="BX794" s="78" cm="1">
        <f t="array" ref="BX794">IF(BM794&gt;0,1,_xll.DCETCVN5575FactorPhi7121(BV794*SQRT($K$17/206000),"b"))</f>
        <v>1</v>
      </c>
      <c r="BY794" s="64">
        <f t="shared" si="113"/>
        <v>0.11350275946491145</v>
      </c>
      <c r="BZ794" s="3" t="str">
        <f t="shared" si="114"/>
        <v>Check</v>
      </c>
    </row>
    <row r="795" spans="1:78">
      <c r="A795" s="76"/>
      <c r="B795" s="76"/>
      <c r="C795" s="125"/>
      <c r="D795" s="125"/>
      <c r="E795" s="71"/>
      <c r="F795" s="71"/>
      <c r="G795" s="71"/>
      <c r="H795" s="126"/>
      <c r="I795" s="125"/>
      <c r="J795" s="123"/>
      <c r="K795" s="12"/>
      <c r="L795" s="117"/>
      <c r="M795" s="12"/>
      <c r="N795" s="117"/>
      <c r="O795" s="117"/>
      <c r="P795" s="117"/>
      <c r="Q795" s="118"/>
      <c r="R795" s="118"/>
      <c r="S795" s="118"/>
      <c r="T795" s="12"/>
      <c r="U795" s="118"/>
      <c r="V795" s="118"/>
      <c r="W795" s="12"/>
      <c r="X795" s="119"/>
      <c r="Y795" s="120"/>
      <c r="Z795" s="12"/>
      <c r="BA795" s="70" t="s">
        <v>205</v>
      </c>
      <c r="BB795" s="71" t="s">
        <v>210</v>
      </c>
      <c r="BC795" s="71" t="s">
        <v>207</v>
      </c>
      <c r="BD795" s="71">
        <v>17.5</v>
      </c>
      <c r="BE795" s="71">
        <v>36</v>
      </c>
      <c r="BF795" s="71">
        <v>390</v>
      </c>
      <c r="BG795" s="71">
        <v>212</v>
      </c>
      <c r="BH795" s="71">
        <v>5</v>
      </c>
      <c r="BI795" s="71">
        <v>10</v>
      </c>
      <c r="BJ795" s="12" t="str" cm="1">
        <f t="array" ref="BJ795">_xll.Dce_Name_SectI(BF795, BF795, BG795, BH795, BI795, "x", "-", $AX$11)</f>
        <v>390x212x5x10</v>
      </c>
      <c r="BK795" s="77" cm="1">
        <f t="array" ref="BK795">_xll.DCEPropSectI(BF795, BH795, BG795, BI795, BG795, BI795, "A")/100</f>
        <v>60.9</v>
      </c>
      <c r="BL795" s="70" t="s">
        <v>223</v>
      </c>
      <c r="BM795" s="70">
        <v>145.15867907967524</v>
      </c>
      <c r="BN795" s="71">
        <v>0.9</v>
      </c>
      <c r="BO795" s="77">
        <f t="shared" si="107"/>
        <v>32.4</v>
      </c>
      <c r="BP795" s="71">
        <v>0.9</v>
      </c>
      <c r="BQ795" s="77">
        <f t="shared" si="108"/>
        <v>32.4</v>
      </c>
      <c r="BR795" s="77" cm="1">
        <f t="array" ref="BR795">_xll.DCEPropSectI(BF795, BH795, BG795, BI795, BG795, BI795, "rx")/10</f>
        <v>16.91131201300167</v>
      </c>
      <c r="BS795" s="77" cm="1">
        <f t="array" ref="BS795">_xll.DCEPropSectI(BF795, BH795, BG795, BI795, BG795, BI795, "ry")/10</f>
        <v>5.1070747638622018</v>
      </c>
      <c r="BT795" s="5">
        <f t="shared" si="109"/>
        <v>191.58773710218577</v>
      </c>
      <c r="BU795" s="5">
        <f t="shared" si="110"/>
        <v>634.41405301647956</v>
      </c>
      <c r="BV795" s="5">
        <f t="shared" si="111"/>
        <v>634.41405301647956</v>
      </c>
      <c r="BW795" s="71">
        <f t="shared" si="112"/>
        <v>400</v>
      </c>
      <c r="BX795" s="78" cm="1">
        <f t="array" ref="BX795">IF(BM795&gt;0,1,_xll.DCETCVN5575FactorPhi7121(BV795*SQRT($K$17/206000),"b"))</f>
        <v>1</v>
      </c>
      <c r="BY795" s="64">
        <f t="shared" si="113"/>
        <v>0.11350275946491145</v>
      </c>
      <c r="BZ795" s="3" t="str">
        <f t="shared" si="114"/>
        <v>Check</v>
      </c>
    </row>
    <row r="796" spans="1:78">
      <c r="A796" s="76"/>
      <c r="B796" s="76"/>
      <c r="C796" s="125"/>
      <c r="D796" s="125"/>
      <c r="E796" s="71"/>
      <c r="F796" s="71"/>
      <c r="G796" s="71"/>
      <c r="H796" s="126"/>
      <c r="I796" s="125"/>
      <c r="J796" s="123"/>
      <c r="K796" s="12"/>
      <c r="L796" s="117"/>
      <c r="M796" s="12"/>
      <c r="N796" s="117"/>
      <c r="O796" s="117"/>
      <c r="P796" s="117"/>
      <c r="Q796" s="118"/>
      <c r="R796" s="118"/>
      <c r="S796" s="118"/>
      <c r="T796" s="12"/>
      <c r="U796" s="118"/>
      <c r="V796" s="118"/>
      <c r="W796" s="12"/>
      <c r="X796" s="119"/>
      <c r="Y796" s="120"/>
      <c r="Z796" s="12"/>
      <c r="BA796" s="70" t="s">
        <v>205</v>
      </c>
      <c r="BB796" s="71" t="s">
        <v>210</v>
      </c>
      <c r="BC796" s="71" t="s">
        <v>207</v>
      </c>
      <c r="BD796" s="71">
        <v>18</v>
      </c>
      <c r="BE796" s="71">
        <v>36</v>
      </c>
      <c r="BF796" s="71">
        <v>390</v>
      </c>
      <c r="BG796" s="71">
        <v>212</v>
      </c>
      <c r="BH796" s="71">
        <v>5</v>
      </c>
      <c r="BI796" s="71">
        <v>10</v>
      </c>
      <c r="BJ796" s="12" t="str" cm="1">
        <f t="array" ref="BJ796">_xll.Dce_Name_SectI(BF796, BF796, BG796, BH796, BI796, "x", "-", $AX$11)</f>
        <v>390x212x5x10</v>
      </c>
      <c r="BK796" s="77" cm="1">
        <f t="array" ref="BK796">_xll.DCEPropSectI(BF796, BH796, BG796, BI796, BG796, BI796, "A")/100</f>
        <v>60.9</v>
      </c>
      <c r="BL796" s="70" t="s">
        <v>223</v>
      </c>
      <c r="BM796" s="70">
        <v>145.15867907967524</v>
      </c>
      <c r="BN796" s="71">
        <v>0.9</v>
      </c>
      <c r="BO796" s="77">
        <f t="shared" si="107"/>
        <v>32.4</v>
      </c>
      <c r="BP796" s="71">
        <v>0.9</v>
      </c>
      <c r="BQ796" s="77">
        <f t="shared" si="108"/>
        <v>32.4</v>
      </c>
      <c r="BR796" s="77" cm="1">
        <f t="array" ref="BR796">_xll.DCEPropSectI(BF796, BH796, BG796, BI796, BG796, BI796, "rx")/10</f>
        <v>16.91131201300167</v>
      </c>
      <c r="BS796" s="77" cm="1">
        <f t="array" ref="BS796">_xll.DCEPropSectI(BF796, BH796, BG796, BI796, BG796, BI796, "ry")/10</f>
        <v>5.1070747638622018</v>
      </c>
      <c r="BT796" s="5">
        <f t="shared" si="109"/>
        <v>191.58773710218577</v>
      </c>
      <c r="BU796" s="5">
        <f t="shared" si="110"/>
        <v>634.41405301647956</v>
      </c>
      <c r="BV796" s="5">
        <f t="shared" si="111"/>
        <v>634.41405301647956</v>
      </c>
      <c r="BW796" s="71">
        <f t="shared" si="112"/>
        <v>400</v>
      </c>
      <c r="BX796" s="78" cm="1">
        <f t="array" ref="BX796">IF(BM796&gt;0,1,_xll.DCETCVN5575FactorPhi7121(BV796*SQRT($K$17/206000),"b"))</f>
        <v>1</v>
      </c>
      <c r="BY796" s="64">
        <f t="shared" si="113"/>
        <v>0.11350275946491145</v>
      </c>
      <c r="BZ796" s="3" t="str">
        <f t="shared" si="114"/>
        <v>Check</v>
      </c>
    </row>
    <row r="797" spans="1:78">
      <c r="A797" s="76"/>
      <c r="B797" s="76"/>
      <c r="C797" s="125"/>
      <c r="D797" s="125"/>
      <c r="E797" s="71"/>
      <c r="F797" s="71"/>
      <c r="G797" s="71"/>
      <c r="H797" s="126"/>
      <c r="I797" s="125"/>
      <c r="J797" s="123"/>
      <c r="K797" s="12"/>
      <c r="L797" s="117"/>
      <c r="M797" s="12"/>
      <c r="N797" s="117"/>
      <c r="O797" s="117"/>
      <c r="P797" s="117"/>
      <c r="Q797" s="118"/>
      <c r="R797" s="118"/>
      <c r="S797" s="118"/>
      <c r="T797" s="12"/>
      <c r="U797" s="118"/>
      <c r="V797" s="118"/>
      <c r="W797" s="12"/>
      <c r="X797" s="119"/>
      <c r="Y797" s="120"/>
      <c r="Z797" s="12"/>
      <c r="BA797" s="70" t="s">
        <v>205</v>
      </c>
      <c r="BB797" s="71" t="s">
        <v>210</v>
      </c>
      <c r="BC797" s="71" t="s">
        <v>207</v>
      </c>
      <c r="BD797" s="71">
        <v>18.5</v>
      </c>
      <c r="BE797" s="71">
        <v>36</v>
      </c>
      <c r="BF797" s="71">
        <v>390</v>
      </c>
      <c r="BG797" s="71">
        <v>212</v>
      </c>
      <c r="BH797" s="71">
        <v>5</v>
      </c>
      <c r="BI797" s="71">
        <v>10</v>
      </c>
      <c r="BJ797" s="12" t="str" cm="1">
        <f t="array" ref="BJ797">_xll.Dce_Name_SectI(BF797, BF797, BG797, BH797, BI797, "x", "-", $AX$11)</f>
        <v>390x212x5x10</v>
      </c>
      <c r="BK797" s="77" cm="1">
        <f t="array" ref="BK797">_xll.DCEPropSectI(BF797, BH797, BG797, BI797, BG797, BI797, "A")/100</f>
        <v>60.9</v>
      </c>
      <c r="BL797" s="70" t="s">
        <v>223</v>
      </c>
      <c r="BM797" s="70">
        <v>145.15867907967524</v>
      </c>
      <c r="BN797" s="71">
        <v>0.9</v>
      </c>
      <c r="BO797" s="77">
        <f t="shared" si="107"/>
        <v>32.4</v>
      </c>
      <c r="BP797" s="71">
        <v>0.9</v>
      </c>
      <c r="BQ797" s="77">
        <f t="shared" si="108"/>
        <v>32.4</v>
      </c>
      <c r="BR797" s="77" cm="1">
        <f t="array" ref="BR797">_xll.DCEPropSectI(BF797, BH797, BG797, BI797, BG797, BI797, "rx")/10</f>
        <v>16.91131201300167</v>
      </c>
      <c r="BS797" s="77" cm="1">
        <f t="array" ref="BS797">_xll.DCEPropSectI(BF797, BH797, BG797, BI797, BG797, BI797, "ry")/10</f>
        <v>5.1070747638622018</v>
      </c>
      <c r="BT797" s="5">
        <f t="shared" si="109"/>
        <v>191.58773710218577</v>
      </c>
      <c r="BU797" s="5">
        <f t="shared" si="110"/>
        <v>634.41405301647956</v>
      </c>
      <c r="BV797" s="5">
        <f t="shared" si="111"/>
        <v>634.41405301647956</v>
      </c>
      <c r="BW797" s="71">
        <f t="shared" si="112"/>
        <v>400</v>
      </c>
      <c r="BX797" s="78" cm="1">
        <f t="array" ref="BX797">IF(BM797&gt;0,1,_xll.DCETCVN5575FactorPhi7121(BV797*SQRT($K$17/206000),"b"))</f>
        <v>1</v>
      </c>
      <c r="BY797" s="64">
        <f t="shared" si="113"/>
        <v>0.11350275946491145</v>
      </c>
      <c r="BZ797" s="3" t="str">
        <f t="shared" si="114"/>
        <v>Check</v>
      </c>
    </row>
    <row r="798" spans="1:78">
      <c r="A798" s="76"/>
      <c r="B798" s="76"/>
      <c r="C798" s="125"/>
      <c r="D798" s="125"/>
      <c r="E798" s="71"/>
      <c r="F798" s="71"/>
      <c r="G798" s="71"/>
      <c r="H798" s="126"/>
      <c r="I798" s="125"/>
      <c r="J798" s="123"/>
      <c r="K798" s="12"/>
      <c r="L798" s="117"/>
      <c r="M798" s="12"/>
      <c r="N798" s="117"/>
      <c r="O798" s="117"/>
      <c r="P798" s="117"/>
      <c r="Q798" s="118"/>
      <c r="R798" s="118"/>
      <c r="S798" s="118"/>
      <c r="T798" s="12"/>
      <c r="U798" s="118"/>
      <c r="V798" s="118"/>
      <c r="W798" s="12"/>
      <c r="X798" s="119"/>
      <c r="Y798" s="120"/>
      <c r="Z798" s="12"/>
      <c r="BA798" s="70" t="s">
        <v>205</v>
      </c>
      <c r="BB798" s="71" t="s">
        <v>210</v>
      </c>
      <c r="BC798" s="71" t="s">
        <v>207</v>
      </c>
      <c r="BD798" s="71">
        <v>19</v>
      </c>
      <c r="BE798" s="71">
        <v>36</v>
      </c>
      <c r="BF798" s="71">
        <v>390</v>
      </c>
      <c r="BG798" s="71">
        <v>212</v>
      </c>
      <c r="BH798" s="71">
        <v>5</v>
      </c>
      <c r="BI798" s="71">
        <v>10</v>
      </c>
      <c r="BJ798" s="12" t="str" cm="1">
        <f t="array" ref="BJ798">_xll.Dce_Name_SectI(BF798, BF798, BG798, BH798, BI798, "x", "-", $AX$11)</f>
        <v>390x212x5x10</v>
      </c>
      <c r="BK798" s="77" cm="1">
        <f t="array" ref="BK798">_xll.DCEPropSectI(BF798, BH798, BG798, BI798, BG798, BI798, "A")/100</f>
        <v>60.9</v>
      </c>
      <c r="BL798" s="70" t="s">
        <v>223</v>
      </c>
      <c r="BM798" s="70">
        <v>145.15867907967524</v>
      </c>
      <c r="BN798" s="71">
        <v>0.9</v>
      </c>
      <c r="BO798" s="77">
        <f t="shared" si="107"/>
        <v>32.4</v>
      </c>
      <c r="BP798" s="71">
        <v>0.9</v>
      </c>
      <c r="BQ798" s="77">
        <f t="shared" si="108"/>
        <v>32.4</v>
      </c>
      <c r="BR798" s="77" cm="1">
        <f t="array" ref="BR798">_xll.DCEPropSectI(BF798, BH798, BG798, BI798, BG798, BI798, "rx")/10</f>
        <v>16.91131201300167</v>
      </c>
      <c r="BS798" s="77" cm="1">
        <f t="array" ref="BS798">_xll.DCEPropSectI(BF798, BH798, BG798, BI798, BG798, BI798, "ry")/10</f>
        <v>5.1070747638622018</v>
      </c>
      <c r="BT798" s="5">
        <f t="shared" si="109"/>
        <v>191.58773710218577</v>
      </c>
      <c r="BU798" s="5">
        <f t="shared" si="110"/>
        <v>634.41405301647956</v>
      </c>
      <c r="BV798" s="5">
        <f t="shared" si="111"/>
        <v>634.41405301647956</v>
      </c>
      <c r="BW798" s="71">
        <f t="shared" si="112"/>
        <v>400</v>
      </c>
      <c r="BX798" s="78" cm="1">
        <f t="array" ref="BX798">IF(BM798&gt;0,1,_xll.DCETCVN5575FactorPhi7121(BV798*SQRT($K$17/206000),"b"))</f>
        <v>1</v>
      </c>
      <c r="BY798" s="64">
        <f t="shared" si="113"/>
        <v>0.11350275946491145</v>
      </c>
      <c r="BZ798" s="3" t="str">
        <f t="shared" si="114"/>
        <v>Check</v>
      </c>
    </row>
    <row r="799" spans="1:78">
      <c r="A799" s="76"/>
      <c r="B799" s="76"/>
      <c r="C799" s="125"/>
      <c r="D799" s="125"/>
      <c r="E799" s="71"/>
      <c r="F799" s="71"/>
      <c r="G799" s="71"/>
      <c r="H799" s="126"/>
      <c r="I799" s="125"/>
      <c r="J799" s="123"/>
      <c r="K799" s="12"/>
      <c r="L799" s="117"/>
      <c r="M799" s="12"/>
      <c r="N799" s="117"/>
      <c r="O799" s="117"/>
      <c r="P799" s="117"/>
      <c r="Q799" s="118"/>
      <c r="R799" s="118"/>
      <c r="S799" s="118"/>
      <c r="T799" s="12"/>
      <c r="U799" s="118"/>
      <c r="V799" s="118"/>
      <c r="W799" s="12"/>
      <c r="X799" s="119"/>
      <c r="Y799" s="120"/>
      <c r="Z799" s="12"/>
      <c r="BA799" s="70" t="s">
        <v>205</v>
      </c>
      <c r="BB799" s="71" t="s">
        <v>210</v>
      </c>
      <c r="BC799" s="71" t="s">
        <v>207</v>
      </c>
      <c r="BD799" s="71">
        <v>19.5</v>
      </c>
      <c r="BE799" s="71">
        <v>36</v>
      </c>
      <c r="BF799" s="71">
        <v>390</v>
      </c>
      <c r="BG799" s="71">
        <v>212</v>
      </c>
      <c r="BH799" s="71">
        <v>5</v>
      </c>
      <c r="BI799" s="71">
        <v>10</v>
      </c>
      <c r="BJ799" s="12" t="str" cm="1">
        <f t="array" ref="BJ799">_xll.Dce_Name_SectI(BF799, BF799, BG799, BH799, BI799, "x", "-", $AX$11)</f>
        <v>390x212x5x10</v>
      </c>
      <c r="BK799" s="77" cm="1">
        <f t="array" ref="BK799">_xll.DCEPropSectI(BF799, BH799, BG799, BI799, BG799, BI799, "A")/100</f>
        <v>60.9</v>
      </c>
      <c r="BL799" s="70" t="s">
        <v>223</v>
      </c>
      <c r="BM799" s="70">
        <v>145.15867907967524</v>
      </c>
      <c r="BN799" s="71">
        <v>0.9</v>
      </c>
      <c r="BO799" s="77">
        <f t="shared" si="107"/>
        <v>32.4</v>
      </c>
      <c r="BP799" s="71">
        <v>0.9</v>
      </c>
      <c r="BQ799" s="77">
        <f t="shared" si="108"/>
        <v>32.4</v>
      </c>
      <c r="BR799" s="77" cm="1">
        <f t="array" ref="BR799">_xll.DCEPropSectI(BF799, BH799, BG799, BI799, BG799, BI799, "rx")/10</f>
        <v>16.91131201300167</v>
      </c>
      <c r="BS799" s="77" cm="1">
        <f t="array" ref="BS799">_xll.DCEPropSectI(BF799, BH799, BG799, BI799, BG799, BI799, "ry")/10</f>
        <v>5.1070747638622018</v>
      </c>
      <c r="BT799" s="5">
        <f t="shared" si="109"/>
        <v>191.58773710218577</v>
      </c>
      <c r="BU799" s="5">
        <f t="shared" si="110"/>
        <v>634.41405301647956</v>
      </c>
      <c r="BV799" s="5">
        <f t="shared" si="111"/>
        <v>634.41405301647956</v>
      </c>
      <c r="BW799" s="71">
        <f t="shared" si="112"/>
        <v>400</v>
      </c>
      <c r="BX799" s="78" cm="1">
        <f t="array" ref="BX799">IF(BM799&gt;0,1,_xll.DCETCVN5575FactorPhi7121(BV799*SQRT($K$17/206000),"b"))</f>
        <v>1</v>
      </c>
      <c r="BY799" s="64">
        <f t="shared" si="113"/>
        <v>0.11350275946491145</v>
      </c>
      <c r="BZ799" s="3" t="str">
        <f t="shared" si="114"/>
        <v>Check</v>
      </c>
    </row>
    <row r="800" spans="1:78">
      <c r="A800" s="76"/>
      <c r="B800" s="76"/>
      <c r="C800" s="125"/>
      <c r="D800" s="125"/>
      <c r="E800" s="71"/>
      <c r="F800" s="71"/>
      <c r="G800" s="71"/>
      <c r="H800" s="126"/>
      <c r="I800" s="125"/>
      <c r="J800" s="123"/>
      <c r="K800" s="12"/>
      <c r="L800" s="117"/>
      <c r="M800" s="12"/>
      <c r="N800" s="117"/>
      <c r="O800" s="117"/>
      <c r="P800" s="117"/>
      <c r="Q800" s="118"/>
      <c r="R800" s="118"/>
      <c r="S800" s="118"/>
      <c r="T800" s="12"/>
      <c r="U800" s="118"/>
      <c r="V800" s="118"/>
      <c r="W800" s="12"/>
      <c r="X800" s="119"/>
      <c r="Y800" s="120"/>
      <c r="Z800" s="12"/>
      <c r="BA800" s="70" t="s">
        <v>205</v>
      </c>
      <c r="BB800" s="71" t="s">
        <v>210</v>
      </c>
      <c r="BC800" s="71" t="s">
        <v>207</v>
      </c>
      <c r="BD800" s="71">
        <v>20</v>
      </c>
      <c r="BE800" s="71">
        <v>36</v>
      </c>
      <c r="BF800" s="71">
        <v>390</v>
      </c>
      <c r="BG800" s="71">
        <v>212</v>
      </c>
      <c r="BH800" s="71">
        <v>5</v>
      </c>
      <c r="BI800" s="71">
        <v>10</v>
      </c>
      <c r="BJ800" s="12" t="str" cm="1">
        <f t="array" ref="BJ800">_xll.Dce_Name_SectI(BF800, BF800, BG800, BH800, BI800, "x", "-", $AX$11)</f>
        <v>390x212x5x10</v>
      </c>
      <c r="BK800" s="77" cm="1">
        <f t="array" ref="BK800">_xll.DCEPropSectI(BF800, BH800, BG800, BI800, BG800, BI800, "A")/100</f>
        <v>60.9</v>
      </c>
      <c r="BL800" s="70" t="s">
        <v>223</v>
      </c>
      <c r="BM800" s="70">
        <v>145.15867907967524</v>
      </c>
      <c r="BN800" s="71">
        <v>0.9</v>
      </c>
      <c r="BO800" s="77">
        <f t="shared" si="107"/>
        <v>32.4</v>
      </c>
      <c r="BP800" s="71">
        <v>0.9</v>
      </c>
      <c r="BQ800" s="77">
        <f t="shared" si="108"/>
        <v>32.4</v>
      </c>
      <c r="BR800" s="77" cm="1">
        <f t="array" ref="BR800">_xll.DCEPropSectI(BF800, BH800, BG800, BI800, BG800, BI800, "rx")/10</f>
        <v>16.91131201300167</v>
      </c>
      <c r="BS800" s="77" cm="1">
        <f t="array" ref="BS800">_xll.DCEPropSectI(BF800, BH800, BG800, BI800, BG800, BI800, "ry")/10</f>
        <v>5.1070747638622018</v>
      </c>
      <c r="BT800" s="5">
        <f t="shared" si="109"/>
        <v>191.58773710218577</v>
      </c>
      <c r="BU800" s="5">
        <f t="shared" si="110"/>
        <v>634.41405301647956</v>
      </c>
      <c r="BV800" s="5">
        <f t="shared" si="111"/>
        <v>634.41405301647956</v>
      </c>
      <c r="BW800" s="71">
        <f t="shared" si="112"/>
        <v>400</v>
      </c>
      <c r="BX800" s="78" cm="1">
        <f t="array" ref="BX800">IF(BM800&gt;0,1,_xll.DCETCVN5575FactorPhi7121(BV800*SQRT($K$17/206000),"b"))</f>
        <v>1</v>
      </c>
      <c r="BY800" s="64">
        <f t="shared" si="113"/>
        <v>0.11350275946491145</v>
      </c>
      <c r="BZ800" s="3" t="str">
        <f t="shared" si="114"/>
        <v>Check</v>
      </c>
    </row>
    <row r="801" spans="1:78">
      <c r="A801" s="76"/>
      <c r="B801" s="76"/>
      <c r="C801" s="125"/>
      <c r="D801" s="125"/>
      <c r="E801" s="71"/>
      <c r="F801" s="71"/>
      <c r="G801" s="71"/>
      <c r="H801" s="126"/>
      <c r="I801" s="125"/>
      <c r="J801" s="123"/>
      <c r="K801" s="12"/>
      <c r="L801" s="117"/>
      <c r="M801" s="12"/>
      <c r="N801" s="117"/>
      <c r="O801" s="117"/>
      <c r="P801" s="117"/>
      <c r="Q801" s="118"/>
      <c r="R801" s="118"/>
      <c r="S801" s="118"/>
      <c r="T801" s="12"/>
      <c r="U801" s="118"/>
      <c r="V801" s="118"/>
      <c r="W801" s="12"/>
      <c r="X801" s="119"/>
      <c r="Y801" s="120"/>
      <c r="Z801" s="12"/>
      <c r="BA801" s="70" t="s">
        <v>205</v>
      </c>
      <c r="BB801" s="71" t="s">
        <v>210</v>
      </c>
      <c r="BC801" s="71" t="s">
        <v>207</v>
      </c>
      <c r="BD801" s="71">
        <v>20.5</v>
      </c>
      <c r="BE801" s="71">
        <v>36</v>
      </c>
      <c r="BF801" s="71">
        <v>390</v>
      </c>
      <c r="BG801" s="71">
        <v>212</v>
      </c>
      <c r="BH801" s="71">
        <v>5</v>
      </c>
      <c r="BI801" s="71">
        <v>10</v>
      </c>
      <c r="BJ801" s="12" t="str" cm="1">
        <f t="array" ref="BJ801">_xll.Dce_Name_SectI(BF801, BF801, BG801, BH801, BI801, "x", "-", $AX$11)</f>
        <v>390x212x5x10</v>
      </c>
      <c r="BK801" s="77" cm="1">
        <f t="array" ref="BK801">_xll.DCEPropSectI(BF801, BH801, BG801, BI801, BG801, BI801, "A")/100</f>
        <v>60.9</v>
      </c>
      <c r="BL801" s="70" t="s">
        <v>223</v>
      </c>
      <c r="BM801" s="70">
        <v>145.15867907967524</v>
      </c>
      <c r="BN801" s="71">
        <v>0.9</v>
      </c>
      <c r="BO801" s="77">
        <f t="shared" si="107"/>
        <v>32.4</v>
      </c>
      <c r="BP801" s="71">
        <v>0.9</v>
      </c>
      <c r="BQ801" s="77">
        <f t="shared" si="108"/>
        <v>32.4</v>
      </c>
      <c r="BR801" s="77" cm="1">
        <f t="array" ref="BR801">_xll.DCEPropSectI(BF801, BH801, BG801, BI801, BG801, BI801, "rx")/10</f>
        <v>16.91131201300167</v>
      </c>
      <c r="BS801" s="77" cm="1">
        <f t="array" ref="BS801">_xll.DCEPropSectI(BF801, BH801, BG801, BI801, BG801, BI801, "ry")/10</f>
        <v>5.1070747638622018</v>
      </c>
      <c r="BT801" s="5">
        <f t="shared" si="109"/>
        <v>191.58773710218577</v>
      </c>
      <c r="BU801" s="5">
        <f t="shared" si="110"/>
        <v>634.41405301647956</v>
      </c>
      <c r="BV801" s="5">
        <f t="shared" si="111"/>
        <v>634.41405301647956</v>
      </c>
      <c r="BW801" s="71">
        <f t="shared" si="112"/>
        <v>400</v>
      </c>
      <c r="BX801" s="78" cm="1">
        <f t="array" ref="BX801">IF(BM801&gt;0,1,_xll.DCETCVN5575FactorPhi7121(BV801*SQRT($K$17/206000),"b"))</f>
        <v>1</v>
      </c>
      <c r="BY801" s="64">
        <f t="shared" si="113"/>
        <v>0.11350275946491145</v>
      </c>
      <c r="BZ801" s="3" t="str">
        <f t="shared" si="114"/>
        <v>Check</v>
      </c>
    </row>
    <row r="802" spans="1:78">
      <c r="A802" s="76"/>
      <c r="B802" s="76"/>
      <c r="C802" s="125"/>
      <c r="D802" s="125"/>
      <c r="E802" s="71"/>
      <c r="F802" s="71"/>
      <c r="G802" s="71"/>
      <c r="H802" s="126"/>
      <c r="I802" s="125"/>
      <c r="J802" s="123"/>
      <c r="K802" s="12"/>
      <c r="L802" s="117"/>
      <c r="M802" s="12"/>
      <c r="N802" s="117"/>
      <c r="O802" s="117"/>
      <c r="P802" s="117"/>
      <c r="Q802" s="118"/>
      <c r="R802" s="118"/>
      <c r="S802" s="118"/>
      <c r="T802" s="12"/>
      <c r="U802" s="118"/>
      <c r="V802" s="118"/>
      <c r="W802" s="12"/>
      <c r="X802" s="119"/>
      <c r="Y802" s="120"/>
      <c r="Z802" s="12"/>
      <c r="BA802" s="70" t="s">
        <v>205</v>
      </c>
      <c r="BB802" s="71" t="s">
        <v>210</v>
      </c>
      <c r="BC802" s="71" t="s">
        <v>207</v>
      </c>
      <c r="BD802" s="71">
        <v>21</v>
      </c>
      <c r="BE802" s="71">
        <v>36</v>
      </c>
      <c r="BF802" s="71">
        <v>390</v>
      </c>
      <c r="BG802" s="71">
        <v>212</v>
      </c>
      <c r="BH802" s="71">
        <v>5</v>
      </c>
      <c r="BI802" s="71">
        <v>10</v>
      </c>
      <c r="BJ802" s="12" t="str" cm="1">
        <f t="array" ref="BJ802">_xll.Dce_Name_SectI(BF802, BF802, BG802, BH802, BI802, "x", "-", $AX$11)</f>
        <v>390x212x5x10</v>
      </c>
      <c r="BK802" s="77" cm="1">
        <f t="array" ref="BK802">_xll.DCEPropSectI(BF802, BH802, BG802, BI802, BG802, BI802, "A")/100</f>
        <v>60.9</v>
      </c>
      <c r="BL802" s="70" t="s">
        <v>223</v>
      </c>
      <c r="BM802" s="70">
        <v>145.15867907967524</v>
      </c>
      <c r="BN802" s="71">
        <v>0.9</v>
      </c>
      <c r="BO802" s="77">
        <f t="shared" si="107"/>
        <v>32.4</v>
      </c>
      <c r="BP802" s="71">
        <v>0.9</v>
      </c>
      <c r="BQ802" s="77">
        <f t="shared" si="108"/>
        <v>32.4</v>
      </c>
      <c r="BR802" s="77" cm="1">
        <f t="array" ref="BR802">_xll.DCEPropSectI(BF802, BH802, BG802, BI802, BG802, BI802, "rx")/10</f>
        <v>16.91131201300167</v>
      </c>
      <c r="BS802" s="77" cm="1">
        <f t="array" ref="BS802">_xll.DCEPropSectI(BF802, BH802, BG802, BI802, BG802, BI802, "ry")/10</f>
        <v>5.1070747638622018</v>
      </c>
      <c r="BT802" s="5">
        <f t="shared" si="109"/>
        <v>191.58773710218577</v>
      </c>
      <c r="BU802" s="5">
        <f t="shared" si="110"/>
        <v>634.41405301647956</v>
      </c>
      <c r="BV802" s="5">
        <f t="shared" si="111"/>
        <v>634.41405301647956</v>
      </c>
      <c r="BW802" s="71">
        <f t="shared" si="112"/>
        <v>400</v>
      </c>
      <c r="BX802" s="78" cm="1">
        <f t="array" ref="BX802">IF(BM802&gt;0,1,_xll.DCETCVN5575FactorPhi7121(BV802*SQRT($K$17/206000),"b"))</f>
        <v>1</v>
      </c>
      <c r="BY802" s="64">
        <f t="shared" si="113"/>
        <v>0.11350275946491145</v>
      </c>
      <c r="BZ802" s="3" t="str">
        <f t="shared" si="114"/>
        <v>Check</v>
      </c>
    </row>
    <row r="803" spans="1:78">
      <c r="A803" s="76"/>
      <c r="B803" s="76"/>
      <c r="C803" s="125"/>
      <c r="D803" s="125"/>
      <c r="E803" s="71"/>
      <c r="F803" s="71"/>
      <c r="G803" s="71"/>
      <c r="H803" s="126"/>
      <c r="I803" s="125"/>
      <c r="J803" s="123"/>
      <c r="K803" s="12"/>
      <c r="L803" s="117"/>
      <c r="M803" s="12"/>
      <c r="N803" s="117"/>
      <c r="O803" s="117"/>
      <c r="P803" s="117"/>
      <c r="Q803" s="118"/>
      <c r="R803" s="118"/>
      <c r="S803" s="118"/>
      <c r="T803" s="12"/>
      <c r="U803" s="118"/>
      <c r="V803" s="118"/>
      <c r="W803" s="12"/>
      <c r="X803" s="119"/>
      <c r="Y803" s="120"/>
      <c r="Z803" s="12"/>
      <c r="BA803" s="70" t="s">
        <v>205</v>
      </c>
      <c r="BB803" s="71" t="s">
        <v>210</v>
      </c>
      <c r="BC803" s="71" t="s">
        <v>207</v>
      </c>
      <c r="BD803" s="71">
        <v>21.5</v>
      </c>
      <c r="BE803" s="71">
        <v>36</v>
      </c>
      <c r="BF803" s="71">
        <v>390</v>
      </c>
      <c r="BG803" s="71">
        <v>212</v>
      </c>
      <c r="BH803" s="71">
        <v>5</v>
      </c>
      <c r="BI803" s="71">
        <v>10</v>
      </c>
      <c r="BJ803" s="12" t="str" cm="1">
        <f t="array" ref="BJ803">_xll.Dce_Name_SectI(BF803, BF803, BG803, BH803, BI803, "x", "-", $AX$11)</f>
        <v>390x212x5x10</v>
      </c>
      <c r="BK803" s="77" cm="1">
        <f t="array" ref="BK803">_xll.DCEPropSectI(BF803, BH803, BG803, BI803, BG803, BI803, "A")/100</f>
        <v>60.9</v>
      </c>
      <c r="BL803" s="70" t="s">
        <v>223</v>
      </c>
      <c r="BM803" s="70">
        <v>145.15867907967524</v>
      </c>
      <c r="BN803" s="71">
        <v>0.9</v>
      </c>
      <c r="BO803" s="77">
        <f t="shared" si="107"/>
        <v>32.4</v>
      </c>
      <c r="BP803" s="71">
        <v>0.9</v>
      </c>
      <c r="BQ803" s="77">
        <f t="shared" si="108"/>
        <v>32.4</v>
      </c>
      <c r="BR803" s="77" cm="1">
        <f t="array" ref="BR803">_xll.DCEPropSectI(BF803, BH803, BG803, BI803, BG803, BI803, "rx")/10</f>
        <v>16.91131201300167</v>
      </c>
      <c r="BS803" s="77" cm="1">
        <f t="array" ref="BS803">_xll.DCEPropSectI(BF803, BH803, BG803, BI803, BG803, BI803, "ry")/10</f>
        <v>5.1070747638622018</v>
      </c>
      <c r="BT803" s="5">
        <f t="shared" si="109"/>
        <v>191.58773710218577</v>
      </c>
      <c r="BU803" s="5">
        <f t="shared" si="110"/>
        <v>634.41405301647956</v>
      </c>
      <c r="BV803" s="5">
        <f t="shared" si="111"/>
        <v>634.41405301647956</v>
      </c>
      <c r="BW803" s="71">
        <f t="shared" si="112"/>
        <v>400</v>
      </c>
      <c r="BX803" s="78" cm="1">
        <f t="array" ref="BX803">IF(BM803&gt;0,1,_xll.DCETCVN5575FactorPhi7121(BV803*SQRT($K$17/206000),"b"))</f>
        <v>1</v>
      </c>
      <c r="BY803" s="64">
        <f t="shared" si="113"/>
        <v>0.11350275946491145</v>
      </c>
      <c r="BZ803" s="3" t="str">
        <f t="shared" si="114"/>
        <v>Check</v>
      </c>
    </row>
    <row r="804" spans="1:78">
      <c r="A804" s="76"/>
      <c r="B804" s="76"/>
      <c r="C804" s="125"/>
      <c r="D804" s="125"/>
      <c r="E804" s="71"/>
      <c r="F804" s="71"/>
      <c r="G804" s="71"/>
      <c r="H804" s="126"/>
      <c r="I804" s="125"/>
      <c r="J804" s="123"/>
      <c r="K804" s="12"/>
      <c r="L804" s="117"/>
      <c r="M804" s="12"/>
      <c r="N804" s="117"/>
      <c r="O804" s="117"/>
      <c r="P804" s="117"/>
      <c r="Q804" s="118"/>
      <c r="R804" s="118"/>
      <c r="S804" s="118"/>
      <c r="T804" s="12"/>
      <c r="U804" s="118"/>
      <c r="V804" s="118"/>
      <c r="W804" s="12"/>
      <c r="X804" s="119"/>
      <c r="Y804" s="120"/>
      <c r="Z804" s="12"/>
      <c r="BA804" s="70" t="s">
        <v>205</v>
      </c>
      <c r="BB804" s="71" t="s">
        <v>210</v>
      </c>
      <c r="BC804" s="71" t="s">
        <v>207</v>
      </c>
      <c r="BD804" s="71">
        <v>22</v>
      </c>
      <c r="BE804" s="71">
        <v>36</v>
      </c>
      <c r="BF804" s="71">
        <v>390</v>
      </c>
      <c r="BG804" s="71">
        <v>212</v>
      </c>
      <c r="BH804" s="71">
        <v>5</v>
      </c>
      <c r="BI804" s="71">
        <v>10</v>
      </c>
      <c r="BJ804" s="12" t="str" cm="1">
        <f t="array" ref="BJ804">_xll.Dce_Name_SectI(BF804, BF804, BG804, BH804, BI804, "x", "-", $AX$11)</f>
        <v>390x212x5x10</v>
      </c>
      <c r="BK804" s="77" cm="1">
        <f t="array" ref="BK804">_xll.DCEPropSectI(BF804, BH804, BG804, BI804, BG804, BI804, "A")/100</f>
        <v>60.9</v>
      </c>
      <c r="BL804" s="70" t="s">
        <v>223</v>
      </c>
      <c r="BM804" s="70">
        <v>145.15867907967524</v>
      </c>
      <c r="BN804" s="71">
        <v>0.9</v>
      </c>
      <c r="BO804" s="77">
        <f t="shared" si="107"/>
        <v>32.4</v>
      </c>
      <c r="BP804" s="71">
        <v>0.9</v>
      </c>
      <c r="BQ804" s="77">
        <f t="shared" si="108"/>
        <v>32.4</v>
      </c>
      <c r="BR804" s="77" cm="1">
        <f t="array" ref="BR804">_xll.DCEPropSectI(BF804, BH804, BG804, BI804, BG804, BI804, "rx")/10</f>
        <v>16.91131201300167</v>
      </c>
      <c r="BS804" s="77" cm="1">
        <f t="array" ref="BS804">_xll.DCEPropSectI(BF804, BH804, BG804, BI804, BG804, BI804, "ry")/10</f>
        <v>5.1070747638622018</v>
      </c>
      <c r="BT804" s="5">
        <f t="shared" si="109"/>
        <v>191.58773710218577</v>
      </c>
      <c r="BU804" s="5">
        <f t="shared" si="110"/>
        <v>634.41405301647956</v>
      </c>
      <c r="BV804" s="5">
        <f t="shared" si="111"/>
        <v>634.41405301647956</v>
      </c>
      <c r="BW804" s="71">
        <f t="shared" si="112"/>
        <v>400</v>
      </c>
      <c r="BX804" s="78" cm="1">
        <f t="array" ref="BX804">IF(BM804&gt;0,1,_xll.DCETCVN5575FactorPhi7121(BV804*SQRT($K$17/206000),"b"))</f>
        <v>1</v>
      </c>
      <c r="BY804" s="64">
        <f t="shared" si="113"/>
        <v>0.11350275946491145</v>
      </c>
      <c r="BZ804" s="3" t="str">
        <f t="shared" si="114"/>
        <v>Check</v>
      </c>
    </row>
    <row r="805" spans="1:78">
      <c r="A805" s="76"/>
      <c r="B805" s="76"/>
      <c r="C805" s="125"/>
      <c r="D805" s="125"/>
      <c r="E805" s="71"/>
      <c r="F805" s="71"/>
      <c r="G805" s="71"/>
      <c r="H805" s="126"/>
      <c r="I805" s="125"/>
      <c r="J805" s="123"/>
      <c r="K805" s="12"/>
      <c r="L805" s="117"/>
      <c r="M805" s="12"/>
      <c r="N805" s="117"/>
      <c r="O805" s="117"/>
      <c r="P805" s="117"/>
      <c r="Q805" s="118"/>
      <c r="R805" s="118"/>
      <c r="S805" s="118"/>
      <c r="T805" s="12"/>
      <c r="U805" s="118"/>
      <c r="V805" s="118"/>
      <c r="W805" s="12"/>
      <c r="X805" s="119"/>
      <c r="Y805" s="120"/>
      <c r="Z805" s="12"/>
      <c r="BA805" s="70" t="s">
        <v>205</v>
      </c>
      <c r="BB805" s="71" t="s">
        <v>210</v>
      </c>
      <c r="BC805" s="71" t="s">
        <v>207</v>
      </c>
      <c r="BD805" s="71">
        <v>22.5</v>
      </c>
      <c r="BE805" s="71">
        <v>36</v>
      </c>
      <c r="BF805" s="71">
        <v>390</v>
      </c>
      <c r="BG805" s="71">
        <v>212</v>
      </c>
      <c r="BH805" s="71">
        <v>5</v>
      </c>
      <c r="BI805" s="71">
        <v>10</v>
      </c>
      <c r="BJ805" s="12" t="str" cm="1">
        <f t="array" ref="BJ805">_xll.Dce_Name_SectI(BF805, BF805, BG805, BH805, BI805, "x", "-", $AX$11)</f>
        <v>390x212x5x10</v>
      </c>
      <c r="BK805" s="77" cm="1">
        <f t="array" ref="BK805">_xll.DCEPropSectI(BF805, BH805, BG805, BI805, BG805, BI805, "A")/100</f>
        <v>60.9</v>
      </c>
      <c r="BL805" s="70" t="s">
        <v>223</v>
      </c>
      <c r="BM805" s="70">
        <v>145.15867907967524</v>
      </c>
      <c r="BN805" s="71">
        <v>0.9</v>
      </c>
      <c r="BO805" s="77">
        <f t="shared" si="107"/>
        <v>32.4</v>
      </c>
      <c r="BP805" s="71">
        <v>0.9</v>
      </c>
      <c r="BQ805" s="77">
        <f t="shared" si="108"/>
        <v>32.4</v>
      </c>
      <c r="BR805" s="77" cm="1">
        <f t="array" ref="BR805">_xll.DCEPropSectI(BF805, BH805, BG805, BI805, BG805, BI805, "rx")/10</f>
        <v>16.91131201300167</v>
      </c>
      <c r="BS805" s="77" cm="1">
        <f t="array" ref="BS805">_xll.DCEPropSectI(BF805, BH805, BG805, BI805, BG805, BI805, "ry")/10</f>
        <v>5.1070747638622018</v>
      </c>
      <c r="BT805" s="5">
        <f t="shared" si="109"/>
        <v>191.58773710218577</v>
      </c>
      <c r="BU805" s="5">
        <f t="shared" si="110"/>
        <v>634.41405301647956</v>
      </c>
      <c r="BV805" s="5">
        <f t="shared" si="111"/>
        <v>634.41405301647956</v>
      </c>
      <c r="BW805" s="71">
        <f t="shared" si="112"/>
        <v>400</v>
      </c>
      <c r="BX805" s="78" cm="1">
        <f t="array" ref="BX805">IF(BM805&gt;0,1,_xll.DCETCVN5575FactorPhi7121(BV805*SQRT($K$17/206000),"b"))</f>
        <v>1</v>
      </c>
      <c r="BY805" s="64">
        <f t="shared" si="113"/>
        <v>0.11350275946491145</v>
      </c>
      <c r="BZ805" s="3" t="str">
        <f t="shared" si="114"/>
        <v>Check</v>
      </c>
    </row>
    <row r="806" spans="1:78">
      <c r="A806" s="76"/>
      <c r="B806" s="76"/>
      <c r="C806" s="125"/>
      <c r="D806" s="125"/>
      <c r="E806" s="71"/>
      <c r="F806" s="71"/>
      <c r="G806" s="71"/>
      <c r="H806" s="126"/>
      <c r="I806" s="125"/>
      <c r="J806" s="123"/>
      <c r="K806" s="12"/>
      <c r="L806" s="117"/>
      <c r="M806" s="12"/>
      <c r="N806" s="117"/>
      <c r="O806" s="117"/>
      <c r="P806" s="117"/>
      <c r="Q806" s="118"/>
      <c r="R806" s="118"/>
      <c r="S806" s="118"/>
      <c r="T806" s="12"/>
      <c r="U806" s="118"/>
      <c r="V806" s="118"/>
      <c r="W806" s="12"/>
      <c r="X806" s="119"/>
      <c r="Y806" s="120"/>
      <c r="Z806" s="12"/>
      <c r="BA806" s="70" t="s">
        <v>205</v>
      </c>
      <c r="BB806" s="71" t="s">
        <v>210</v>
      </c>
      <c r="BC806" s="71" t="s">
        <v>207</v>
      </c>
      <c r="BD806" s="71">
        <v>22.5</v>
      </c>
      <c r="BE806" s="71">
        <v>36</v>
      </c>
      <c r="BF806" s="71">
        <v>390</v>
      </c>
      <c r="BG806" s="71">
        <v>212</v>
      </c>
      <c r="BH806" s="71">
        <v>5</v>
      </c>
      <c r="BI806" s="71">
        <v>10</v>
      </c>
      <c r="BJ806" s="12" t="str" cm="1">
        <f t="array" ref="BJ806">_xll.Dce_Name_SectI(BF806, BF806, BG806, BH806, BI806, "x", "-", $AX$11)</f>
        <v>390x212x5x10</v>
      </c>
      <c r="BK806" s="77" cm="1">
        <f t="array" ref="BK806">_xll.DCEPropSectI(BF806, BH806, BG806, BI806, BG806, BI806, "A")/100</f>
        <v>60.9</v>
      </c>
      <c r="BL806" s="70" t="s">
        <v>223</v>
      </c>
      <c r="BM806" s="70">
        <v>57.749118101305733</v>
      </c>
      <c r="BN806" s="71">
        <v>0.9</v>
      </c>
      <c r="BO806" s="77">
        <f t="shared" si="107"/>
        <v>32.4</v>
      </c>
      <c r="BP806" s="71">
        <v>0.9</v>
      </c>
      <c r="BQ806" s="77">
        <f t="shared" si="108"/>
        <v>32.4</v>
      </c>
      <c r="BR806" s="77" cm="1">
        <f t="array" ref="BR806">_xll.DCEPropSectI(BF806, BH806, BG806, BI806, BG806, BI806, "rx")/10</f>
        <v>16.91131201300167</v>
      </c>
      <c r="BS806" s="77" cm="1">
        <f t="array" ref="BS806">_xll.DCEPropSectI(BF806, BH806, BG806, BI806, BG806, BI806, "ry")/10</f>
        <v>5.1070747638622018</v>
      </c>
      <c r="BT806" s="5">
        <f t="shared" si="109"/>
        <v>191.58773710218577</v>
      </c>
      <c r="BU806" s="5">
        <f t="shared" si="110"/>
        <v>634.41405301647956</v>
      </c>
      <c r="BV806" s="5">
        <f t="shared" si="111"/>
        <v>634.41405301647956</v>
      </c>
      <c r="BW806" s="71">
        <f t="shared" si="112"/>
        <v>400</v>
      </c>
      <c r="BX806" s="78" cm="1">
        <f t="array" ref="BX806">IF(BM806&gt;0,1,_xll.DCETCVN5575FactorPhi7121(BV806*SQRT($K$17/206000),"b"))</f>
        <v>1</v>
      </c>
      <c r="BY806" s="64">
        <f t="shared" si="113"/>
        <v>4.5155303855896271E-2</v>
      </c>
      <c r="BZ806" s="3" t="str">
        <f t="shared" si="114"/>
        <v>Check</v>
      </c>
    </row>
    <row r="807" spans="1:78">
      <c r="A807" s="76"/>
      <c r="B807" s="76"/>
      <c r="C807" s="125"/>
      <c r="D807" s="125"/>
      <c r="E807" s="71"/>
      <c r="F807" s="71"/>
      <c r="G807" s="71"/>
      <c r="H807" s="126"/>
      <c r="I807" s="125"/>
      <c r="J807" s="123"/>
      <c r="K807" s="12"/>
      <c r="L807" s="117"/>
      <c r="M807" s="12"/>
      <c r="N807" s="117"/>
      <c r="O807" s="117"/>
      <c r="P807" s="117"/>
      <c r="Q807" s="118"/>
      <c r="R807" s="118"/>
      <c r="S807" s="118"/>
      <c r="T807" s="12"/>
      <c r="U807" s="118"/>
      <c r="V807" s="118"/>
      <c r="W807" s="12"/>
      <c r="X807" s="119"/>
      <c r="Y807" s="120"/>
      <c r="Z807" s="12"/>
      <c r="BA807" s="70" t="s">
        <v>205</v>
      </c>
      <c r="BB807" s="71" t="s">
        <v>210</v>
      </c>
      <c r="BC807" s="71" t="s">
        <v>207</v>
      </c>
      <c r="BD807" s="71">
        <v>23</v>
      </c>
      <c r="BE807" s="71">
        <v>36</v>
      </c>
      <c r="BF807" s="71">
        <v>390</v>
      </c>
      <c r="BG807" s="71">
        <v>212</v>
      </c>
      <c r="BH807" s="71">
        <v>5</v>
      </c>
      <c r="BI807" s="71">
        <v>10</v>
      </c>
      <c r="BJ807" s="12" t="str" cm="1">
        <f t="array" ref="BJ807">_xll.Dce_Name_SectI(BF807, BF807, BG807, BH807, BI807, "x", "-", $AX$11)</f>
        <v>390x212x5x10</v>
      </c>
      <c r="BK807" s="77" cm="1">
        <f t="array" ref="BK807">_xll.DCEPropSectI(BF807, BH807, BG807, BI807, BG807, BI807, "A")/100</f>
        <v>60.9</v>
      </c>
      <c r="BL807" s="70" t="s">
        <v>223</v>
      </c>
      <c r="BM807" s="70">
        <v>57.749118101305733</v>
      </c>
      <c r="BN807" s="71">
        <v>0.9</v>
      </c>
      <c r="BO807" s="77">
        <f t="shared" si="107"/>
        <v>32.4</v>
      </c>
      <c r="BP807" s="71">
        <v>0.9</v>
      </c>
      <c r="BQ807" s="77">
        <f t="shared" si="108"/>
        <v>32.4</v>
      </c>
      <c r="BR807" s="77" cm="1">
        <f t="array" ref="BR807">_xll.DCEPropSectI(BF807, BH807, BG807, BI807, BG807, BI807, "rx")/10</f>
        <v>16.91131201300167</v>
      </c>
      <c r="BS807" s="77" cm="1">
        <f t="array" ref="BS807">_xll.DCEPropSectI(BF807, BH807, BG807, BI807, BG807, BI807, "ry")/10</f>
        <v>5.1070747638622018</v>
      </c>
      <c r="BT807" s="5">
        <f t="shared" si="109"/>
        <v>191.58773710218577</v>
      </c>
      <c r="BU807" s="5">
        <f t="shared" si="110"/>
        <v>634.41405301647956</v>
      </c>
      <c r="BV807" s="5">
        <f t="shared" si="111"/>
        <v>634.41405301647956</v>
      </c>
      <c r="BW807" s="71">
        <f t="shared" si="112"/>
        <v>400</v>
      </c>
      <c r="BX807" s="78" cm="1">
        <f t="array" ref="BX807">IF(BM807&gt;0,1,_xll.DCETCVN5575FactorPhi7121(BV807*SQRT($K$17/206000),"b"))</f>
        <v>1</v>
      </c>
      <c r="BY807" s="64">
        <f t="shared" si="113"/>
        <v>4.5155303855896271E-2</v>
      </c>
      <c r="BZ807" s="3" t="str">
        <f t="shared" si="114"/>
        <v>Check</v>
      </c>
    </row>
    <row r="808" spans="1:78">
      <c r="A808" s="76"/>
      <c r="B808" s="76"/>
      <c r="C808" s="125"/>
      <c r="D808" s="125"/>
      <c r="E808" s="71"/>
      <c r="F808" s="71"/>
      <c r="G808" s="71"/>
      <c r="H808" s="126"/>
      <c r="I808" s="125"/>
      <c r="J808" s="123"/>
      <c r="K808" s="12"/>
      <c r="L808" s="117"/>
      <c r="M808" s="12"/>
      <c r="N808" s="117"/>
      <c r="O808" s="117"/>
      <c r="P808" s="117"/>
      <c r="Q808" s="118"/>
      <c r="R808" s="118"/>
      <c r="S808" s="118"/>
      <c r="T808" s="12"/>
      <c r="U808" s="118"/>
      <c r="V808" s="118"/>
      <c r="W808" s="12"/>
      <c r="X808" s="119"/>
      <c r="Y808" s="120"/>
      <c r="Z808" s="12"/>
      <c r="BA808" s="70" t="s">
        <v>205</v>
      </c>
      <c r="BB808" s="71" t="s">
        <v>210</v>
      </c>
      <c r="BC808" s="71" t="s">
        <v>207</v>
      </c>
      <c r="BD808" s="71">
        <v>23.5</v>
      </c>
      <c r="BE808" s="71">
        <v>36</v>
      </c>
      <c r="BF808" s="71">
        <v>390</v>
      </c>
      <c r="BG808" s="71">
        <v>212</v>
      </c>
      <c r="BH808" s="71">
        <v>5</v>
      </c>
      <c r="BI808" s="71">
        <v>10</v>
      </c>
      <c r="BJ808" s="12" t="str" cm="1">
        <f t="array" ref="BJ808">_xll.Dce_Name_SectI(BF808, BF808, BG808, BH808, BI808, "x", "-", $AX$11)</f>
        <v>390x212x5x10</v>
      </c>
      <c r="BK808" s="77" cm="1">
        <f t="array" ref="BK808">_xll.DCEPropSectI(BF808, BH808, BG808, BI808, BG808, BI808, "A")/100</f>
        <v>60.9</v>
      </c>
      <c r="BL808" s="70" t="s">
        <v>223</v>
      </c>
      <c r="BM808" s="70">
        <v>57.749118101305733</v>
      </c>
      <c r="BN808" s="71">
        <v>0.9</v>
      </c>
      <c r="BO808" s="77">
        <f t="shared" si="107"/>
        <v>32.4</v>
      </c>
      <c r="BP808" s="71">
        <v>0.9</v>
      </c>
      <c r="BQ808" s="77">
        <f t="shared" si="108"/>
        <v>32.4</v>
      </c>
      <c r="BR808" s="77" cm="1">
        <f t="array" ref="BR808">_xll.DCEPropSectI(BF808, BH808, BG808, BI808, BG808, BI808, "rx")/10</f>
        <v>16.91131201300167</v>
      </c>
      <c r="BS808" s="77" cm="1">
        <f t="array" ref="BS808">_xll.DCEPropSectI(BF808, BH808, BG808, BI808, BG808, BI808, "ry")/10</f>
        <v>5.1070747638622018</v>
      </c>
      <c r="BT808" s="5">
        <f t="shared" si="109"/>
        <v>191.58773710218577</v>
      </c>
      <c r="BU808" s="5">
        <f t="shared" si="110"/>
        <v>634.41405301647956</v>
      </c>
      <c r="BV808" s="5">
        <f t="shared" si="111"/>
        <v>634.41405301647956</v>
      </c>
      <c r="BW808" s="71">
        <f t="shared" si="112"/>
        <v>400</v>
      </c>
      <c r="BX808" s="78" cm="1">
        <f t="array" ref="BX808">IF(BM808&gt;0,1,_xll.DCETCVN5575FactorPhi7121(BV808*SQRT($K$17/206000),"b"))</f>
        <v>1</v>
      </c>
      <c r="BY808" s="64">
        <f t="shared" si="113"/>
        <v>4.5155303855896271E-2</v>
      </c>
      <c r="BZ808" s="3" t="str">
        <f t="shared" si="114"/>
        <v>Check</v>
      </c>
    </row>
    <row r="809" spans="1:78">
      <c r="A809" s="76"/>
      <c r="B809" s="76"/>
      <c r="C809" s="125"/>
      <c r="D809" s="125"/>
      <c r="E809" s="71"/>
      <c r="F809" s="71"/>
      <c r="G809" s="71"/>
      <c r="H809" s="126"/>
      <c r="I809" s="125"/>
      <c r="J809" s="123"/>
      <c r="K809" s="12"/>
      <c r="L809" s="117"/>
      <c r="M809" s="12"/>
      <c r="N809" s="117"/>
      <c r="O809" s="117"/>
      <c r="P809" s="117"/>
      <c r="Q809" s="118"/>
      <c r="R809" s="118"/>
      <c r="S809" s="118"/>
      <c r="T809" s="12"/>
      <c r="U809" s="118"/>
      <c r="V809" s="118"/>
      <c r="W809" s="12"/>
      <c r="X809" s="119"/>
      <c r="Y809" s="120"/>
      <c r="Z809" s="12"/>
      <c r="BA809" s="70" t="s">
        <v>205</v>
      </c>
      <c r="BB809" s="71" t="s">
        <v>210</v>
      </c>
      <c r="BC809" s="71" t="s">
        <v>207</v>
      </c>
      <c r="BD809" s="71">
        <v>24</v>
      </c>
      <c r="BE809" s="71">
        <v>36</v>
      </c>
      <c r="BF809" s="71">
        <v>390</v>
      </c>
      <c r="BG809" s="71">
        <v>212</v>
      </c>
      <c r="BH809" s="71">
        <v>5</v>
      </c>
      <c r="BI809" s="71">
        <v>10</v>
      </c>
      <c r="BJ809" s="12" t="str" cm="1">
        <f t="array" ref="BJ809">_xll.Dce_Name_SectI(BF809, BF809, BG809, BH809, BI809, "x", "-", $AX$11)</f>
        <v>390x212x5x10</v>
      </c>
      <c r="BK809" s="77" cm="1">
        <f t="array" ref="BK809">_xll.DCEPropSectI(BF809, BH809, BG809, BI809, BG809, BI809, "A")/100</f>
        <v>60.9</v>
      </c>
      <c r="BL809" s="70" t="s">
        <v>223</v>
      </c>
      <c r="BM809" s="70">
        <v>57.749118101305733</v>
      </c>
      <c r="BN809" s="71">
        <v>0.9</v>
      </c>
      <c r="BO809" s="77">
        <f t="shared" si="107"/>
        <v>32.4</v>
      </c>
      <c r="BP809" s="71">
        <v>0.9</v>
      </c>
      <c r="BQ809" s="77">
        <f t="shared" si="108"/>
        <v>32.4</v>
      </c>
      <c r="BR809" s="77" cm="1">
        <f t="array" ref="BR809">_xll.DCEPropSectI(BF809, BH809, BG809, BI809, BG809, BI809, "rx")/10</f>
        <v>16.91131201300167</v>
      </c>
      <c r="BS809" s="77" cm="1">
        <f t="array" ref="BS809">_xll.DCEPropSectI(BF809, BH809, BG809, BI809, BG809, BI809, "ry")/10</f>
        <v>5.1070747638622018</v>
      </c>
      <c r="BT809" s="5">
        <f t="shared" si="109"/>
        <v>191.58773710218577</v>
      </c>
      <c r="BU809" s="5">
        <f t="shared" si="110"/>
        <v>634.41405301647956</v>
      </c>
      <c r="BV809" s="5">
        <f t="shared" si="111"/>
        <v>634.41405301647956</v>
      </c>
      <c r="BW809" s="71">
        <f t="shared" si="112"/>
        <v>400</v>
      </c>
      <c r="BX809" s="78" cm="1">
        <f t="array" ref="BX809">IF(BM809&gt;0,1,_xll.DCETCVN5575FactorPhi7121(BV809*SQRT($K$17/206000),"b"))</f>
        <v>1</v>
      </c>
      <c r="BY809" s="64">
        <f t="shared" si="113"/>
        <v>4.5155303855896271E-2</v>
      </c>
      <c r="BZ809" s="3" t="str">
        <f t="shared" si="114"/>
        <v>Check</v>
      </c>
    </row>
    <row r="810" spans="1:78">
      <c r="A810" s="76"/>
      <c r="B810" s="76"/>
      <c r="C810" s="125"/>
      <c r="D810" s="125"/>
      <c r="E810" s="71"/>
      <c r="F810" s="71"/>
      <c r="G810" s="71"/>
      <c r="H810" s="126"/>
      <c r="I810" s="125"/>
      <c r="J810" s="123"/>
      <c r="K810" s="12"/>
      <c r="L810" s="117"/>
      <c r="M810" s="12"/>
      <c r="N810" s="117"/>
      <c r="O810" s="117"/>
      <c r="P810" s="117"/>
      <c r="Q810" s="118"/>
      <c r="R810" s="118"/>
      <c r="S810" s="118"/>
      <c r="T810" s="12"/>
      <c r="U810" s="118"/>
      <c r="V810" s="118"/>
      <c r="W810" s="12"/>
      <c r="X810" s="119"/>
      <c r="Y810" s="120"/>
      <c r="Z810" s="12"/>
      <c r="BA810" s="70" t="s">
        <v>205</v>
      </c>
      <c r="BB810" s="71" t="s">
        <v>210</v>
      </c>
      <c r="BC810" s="71" t="s">
        <v>207</v>
      </c>
      <c r="BD810" s="71">
        <v>24.5</v>
      </c>
      <c r="BE810" s="71">
        <v>36</v>
      </c>
      <c r="BF810" s="71">
        <v>390</v>
      </c>
      <c r="BG810" s="71">
        <v>212</v>
      </c>
      <c r="BH810" s="71">
        <v>5</v>
      </c>
      <c r="BI810" s="71">
        <v>10</v>
      </c>
      <c r="BJ810" s="12" t="str" cm="1">
        <f t="array" ref="BJ810">_xll.Dce_Name_SectI(BF810, BF810, BG810, BH810, BI810, "x", "-", $AX$11)</f>
        <v>390x212x5x10</v>
      </c>
      <c r="BK810" s="77" cm="1">
        <f t="array" ref="BK810">_xll.DCEPropSectI(BF810, BH810, BG810, BI810, BG810, BI810, "A")/100</f>
        <v>60.9</v>
      </c>
      <c r="BL810" s="70" t="s">
        <v>223</v>
      </c>
      <c r="BM810" s="70">
        <v>57.749118101305733</v>
      </c>
      <c r="BN810" s="71">
        <v>0.9</v>
      </c>
      <c r="BO810" s="77">
        <f t="shared" si="107"/>
        <v>32.4</v>
      </c>
      <c r="BP810" s="71">
        <v>0.9</v>
      </c>
      <c r="BQ810" s="77">
        <f t="shared" si="108"/>
        <v>32.4</v>
      </c>
      <c r="BR810" s="77" cm="1">
        <f t="array" ref="BR810">_xll.DCEPropSectI(BF810, BH810, BG810, BI810, BG810, BI810, "rx")/10</f>
        <v>16.91131201300167</v>
      </c>
      <c r="BS810" s="77" cm="1">
        <f t="array" ref="BS810">_xll.DCEPropSectI(BF810, BH810, BG810, BI810, BG810, BI810, "ry")/10</f>
        <v>5.1070747638622018</v>
      </c>
      <c r="BT810" s="5">
        <f t="shared" si="109"/>
        <v>191.58773710218577</v>
      </c>
      <c r="BU810" s="5">
        <f t="shared" si="110"/>
        <v>634.41405301647956</v>
      </c>
      <c r="BV810" s="5">
        <f t="shared" si="111"/>
        <v>634.41405301647956</v>
      </c>
      <c r="BW810" s="71">
        <f t="shared" si="112"/>
        <v>400</v>
      </c>
      <c r="BX810" s="78" cm="1">
        <f t="array" ref="BX810">IF(BM810&gt;0,1,_xll.DCETCVN5575FactorPhi7121(BV810*SQRT($K$17/206000),"b"))</f>
        <v>1</v>
      </c>
      <c r="BY810" s="64">
        <f t="shared" si="113"/>
        <v>4.5155303855896271E-2</v>
      </c>
      <c r="BZ810" s="3" t="str">
        <f t="shared" si="114"/>
        <v>Check</v>
      </c>
    </row>
    <row r="811" spans="1:78">
      <c r="A811" s="76"/>
      <c r="B811" s="76"/>
      <c r="C811" s="125"/>
      <c r="D811" s="125"/>
      <c r="E811" s="71"/>
      <c r="F811" s="71"/>
      <c r="G811" s="71"/>
      <c r="H811" s="126"/>
      <c r="I811" s="125"/>
      <c r="J811" s="123"/>
      <c r="K811" s="12"/>
      <c r="L811" s="117"/>
      <c r="M811" s="12"/>
      <c r="N811" s="117"/>
      <c r="O811" s="117"/>
      <c r="P811" s="117"/>
      <c r="Q811" s="118"/>
      <c r="R811" s="118"/>
      <c r="S811" s="118"/>
      <c r="T811" s="12"/>
      <c r="U811" s="118"/>
      <c r="V811" s="118"/>
      <c r="W811" s="12"/>
      <c r="X811" s="119"/>
      <c r="Y811" s="120"/>
      <c r="Z811" s="12"/>
      <c r="BA811" s="70" t="s">
        <v>205</v>
      </c>
      <c r="BB811" s="71" t="s">
        <v>210</v>
      </c>
      <c r="BC811" s="71" t="s">
        <v>207</v>
      </c>
      <c r="BD811" s="71">
        <v>25</v>
      </c>
      <c r="BE811" s="71">
        <v>36</v>
      </c>
      <c r="BF811" s="71">
        <v>390</v>
      </c>
      <c r="BG811" s="71">
        <v>212</v>
      </c>
      <c r="BH811" s="71">
        <v>5</v>
      </c>
      <c r="BI811" s="71">
        <v>10</v>
      </c>
      <c r="BJ811" s="12" t="str" cm="1">
        <f t="array" ref="BJ811">_xll.Dce_Name_SectI(BF811, BF811, BG811, BH811, BI811, "x", "-", $AX$11)</f>
        <v>390x212x5x10</v>
      </c>
      <c r="BK811" s="77" cm="1">
        <f t="array" ref="BK811">_xll.DCEPropSectI(BF811, BH811, BG811, BI811, BG811, BI811, "A")/100</f>
        <v>60.9</v>
      </c>
      <c r="BL811" s="70" t="s">
        <v>223</v>
      </c>
      <c r="BM811" s="70">
        <v>57.749118101305733</v>
      </c>
      <c r="BN811" s="71">
        <v>0.9</v>
      </c>
      <c r="BO811" s="77">
        <f t="shared" si="107"/>
        <v>32.4</v>
      </c>
      <c r="BP811" s="71">
        <v>0.9</v>
      </c>
      <c r="BQ811" s="77">
        <f t="shared" si="108"/>
        <v>32.4</v>
      </c>
      <c r="BR811" s="77" cm="1">
        <f t="array" ref="BR811">_xll.DCEPropSectI(BF811, BH811, BG811, BI811, BG811, BI811, "rx")/10</f>
        <v>16.91131201300167</v>
      </c>
      <c r="BS811" s="77" cm="1">
        <f t="array" ref="BS811">_xll.DCEPropSectI(BF811, BH811, BG811, BI811, BG811, BI811, "ry")/10</f>
        <v>5.1070747638622018</v>
      </c>
      <c r="BT811" s="5">
        <f t="shared" si="109"/>
        <v>191.58773710218577</v>
      </c>
      <c r="BU811" s="5">
        <f t="shared" si="110"/>
        <v>634.41405301647956</v>
      </c>
      <c r="BV811" s="5">
        <f t="shared" si="111"/>
        <v>634.41405301647956</v>
      </c>
      <c r="BW811" s="71">
        <f t="shared" si="112"/>
        <v>400</v>
      </c>
      <c r="BX811" s="78" cm="1">
        <f t="array" ref="BX811">IF(BM811&gt;0,1,_xll.DCETCVN5575FactorPhi7121(BV811*SQRT($K$17/206000),"b"))</f>
        <v>1</v>
      </c>
      <c r="BY811" s="64">
        <f t="shared" si="113"/>
        <v>4.5155303855896271E-2</v>
      </c>
      <c r="BZ811" s="3" t="str">
        <f t="shared" si="114"/>
        <v>Check</v>
      </c>
    </row>
    <row r="812" spans="1:78">
      <c r="A812" s="76"/>
      <c r="B812" s="76"/>
      <c r="C812" s="125"/>
      <c r="D812" s="125"/>
      <c r="E812" s="71"/>
      <c r="F812" s="71"/>
      <c r="G812" s="71"/>
      <c r="H812" s="126"/>
      <c r="I812" s="125"/>
      <c r="J812" s="123"/>
      <c r="K812" s="12"/>
      <c r="L812" s="117"/>
      <c r="M812" s="12"/>
      <c r="N812" s="117"/>
      <c r="O812" s="117"/>
      <c r="P812" s="117"/>
      <c r="Q812" s="118"/>
      <c r="R812" s="118"/>
      <c r="S812" s="118"/>
      <c r="T812" s="12"/>
      <c r="U812" s="118"/>
      <c r="V812" s="118"/>
      <c r="W812" s="12"/>
      <c r="X812" s="119"/>
      <c r="Y812" s="120"/>
      <c r="Z812" s="12"/>
      <c r="BA812" s="70" t="s">
        <v>205</v>
      </c>
      <c r="BB812" s="71" t="s">
        <v>210</v>
      </c>
      <c r="BC812" s="71" t="s">
        <v>207</v>
      </c>
      <c r="BD812" s="71">
        <v>25.5</v>
      </c>
      <c r="BE812" s="71">
        <v>36</v>
      </c>
      <c r="BF812" s="71">
        <v>390</v>
      </c>
      <c r="BG812" s="71">
        <v>212</v>
      </c>
      <c r="BH812" s="71">
        <v>5</v>
      </c>
      <c r="BI812" s="71">
        <v>10</v>
      </c>
      <c r="BJ812" s="12" t="str" cm="1">
        <f t="array" ref="BJ812">_xll.Dce_Name_SectI(BF812, BF812, BG812, BH812, BI812, "x", "-", $AX$11)</f>
        <v>390x212x5x10</v>
      </c>
      <c r="BK812" s="77" cm="1">
        <f t="array" ref="BK812">_xll.DCEPropSectI(BF812, BH812, BG812, BI812, BG812, BI812, "A")/100</f>
        <v>60.9</v>
      </c>
      <c r="BL812" s="70" t="s">
        <v>223</v>
      </c>
      <c r="BM812" s="70">
        <v>57.749118101305733</v>
      </c>
      <c r="BN812" s="71">
        <v>0.9</v>
      </c>
      <c r="BO812" s="77">
        <f t="shared" si="107"/>
        <v>32.4</v>
      </c>
      <c r="BP812" s="71">
        <v>0.9</v>
      </c>
      <c r="BQ812" s="77">
        <f t="shared" si="108"/>
        <v>32.4</v>
      </c>
      <c r="BR812" s="77" cm="1">
        <f t="array" ref="BR812">_xll.DCEPropSectI(BF812, BH812, BG812, BI812, BG812, BI812, "rx")/10</f>
        <v>16.91131201300167</v>
      </c>
      <c r="BS812" s="77" cm="1">
        <f t="array" ref="BS812">_xll.DCEPropSectI(BF812, BH812, BG812, BI812, BG812, BI812, "ry")/10</f>
        <v>5.1070747638622018</v>
      </c>
      <c r="BT812" s="5">
        <f t="shared" si="109"/>
        <v>191.58773710218577</v>
      </c>
      <c r="BU812" s="5">
        <f t="shared" si="110"/>
        <v>634.41405301647956</v>
      </c>
      <c r="BV812" s="5">
        <f t="shared" si="111"/>
        <v>634.41405301647956</v>
      </c>
      <c r="BW812" s="71">
        <f t="shared" si="112"/>
        <v>400</v>
      </c>
      <c r="BX812" s="78" cm="1">
        <f t="array" ref="BX812">IF(BM812&gt;0,1,_xll.DCETCVN5575FactorPhi7121(BV812*SQRT($K$17/206000),"b"))</f>
        <v>1</v>
      </c>
      <c r="BY812" s="64">
        <f t="shared" si="113"/>
        <v>4.5155303855896271E-2</v>
      </c>
      <c r="BZ812" s="3" t="str">
        <f t="shared" si="114"/>
        <v>Check</v>
      </c>
    </row>
    <row r="813" spans="1:78">
      <c r="A813" s="76"/>
      <c r="B813" s="76"/>
      <c r="C813" s="125"/>
      <c r="D813" s="125"/>
      <c r="E813" s="71"/>
      <c r="F813" s="71"/>
      <c r="G813" s="71"/>
      <c r="H813" s="126"/>
      <c r="I813" s="125"/>
      <c r="J813" s="123"/>
      <c r="K813" s="12"/>
      <c r="L813" s="117"/>
      <c r="M813" s="12"/>
      <c r="N813" s="117"/>
      <c r="O813" s="117"/>
      <c r="P813" s="117"/>
      <c r="Q813" s="118"/>
      <c r="R813" s="118"/>
      <c r="S813" s="118"/>
      <c r="T813" s="12"/>
      <c r="U813" s="118"/>
      <c r="V813" s="118"/>
      <c r="W813" s="12"/>
      <c r="X813" s="119"/>
      <c r="Y813" s="120"/>
      <c r="Z813" s="12"/>
      <c r="BA813" s="70" t="s">
        <v>205</v>
      </c>
      <c r="BB813" s="71" t="s">
        <v>210</v>
      </c>
      <c r="BC813" s="71" t="s">
        <v>207</v>
      </c>
      <c r="BD813" s="71">
        <v>26</v>
      </c>
      <c r="BE813" s="71">
        <v>36</v>
      </c>
      <c r="BF813" s="71">
        <v>390</v>
      </c>
      <c r="BG813" s="71">
        <v>212</v>
      </c>
      <c r="BH813" s="71">
        <v>5</v>
      </c>
      <c r="BI813" s="71">
        <v>10</v>
      </c>
      <c r="BJ813" s="12" t="str" cm="1">
        <f t="array" ref="BJ813">_xll.Dce_Name_SectI(BF813, BF813, BG813, BH813, BI813, "x", "-", $AX$11)</f>
        <v>390x212x5x10</v>
      </c>
      <c r="BK813" s="77" cm="1">
        <f t="array" ref="BK813">_xll.DCEPropSectI(BF813, BH813, BG813, BI813, BG813, BI813, "A")/100</f>
        <v>60.9</v>
      </c>
      <c r="BL813" s="70" t="s">
        <v>223</v>
      </c>
      <c r="BM813" s="70">
        <v>57.749118101305733</v>
      </c>
      <c r="BN813" s="71">
        <v>0.9</v>
      </c>
      <c r="BO813" s="77">
        <f t="shared" si="107"/>
        <v>32.4</v>
      </c>
      <c r="BP813" s="71">
        <v>0.9</v>
      </c>
      <c r="BQ813" s="77">
        <f t="shared" si="108"/>
        <v>32.4</v>
      </c>
      <c r="BR813" s="77" cm="1">
        <f t="array" ref="BR813">_xll.DCEPropSectI(BF813, BH813, BG813, BI813, BG813, BI813, "rx")/10</f>
        <v>16.91131201300167</v>
      </c>
      <c r="BS813" s="77" cm="1">
        <f t="array" ref="BS813">_xll.DCEPropSectI(BF813, BH813, BG813, BI813, BG813, BI813, "ry")/10</f>
        <v>5.1070747638622018</v>
      </c>
      <c r="BT813" s="5">
        <f t="shared" si="109"/>
        <v>191.58773710218577</v>
      </c>
      <c r="BU813" s="5">
        <f t="shared" si="110"/>
        <v>634.41405301647956</v>
      </c>
      <c r="BV813" s="5">
        <f t="shared" si="111"/>
        <v>634.41405301647956</v>
      </c>
      <c r="BW813" s="71">
        <f t="shared" si="112"/>
        <v>400</v>
      </c>
      <c r="BX813" s="78" cm="1">
        <f t="array" ref="BX813">IF(BM813&gt;0,1,_xll.DCETCVN5575FactorPhi7121(BV813*SQRT($K$17/206000),"b"))</f>
        <v>1</v>
      </c>
      <c r="BY813" s="64">
        <f t="shared" si="113"/>
        <v>4.5155303855896271E-2</v>
      </c>
      <c r="BZ813" s="3" t="str">
        <f t="shared" si="114"/>
        <v>Check</v>
      </c>
    </row>
    <row r="814" spans="1:78">
      <c r="A814" s="76"/>
      <c r="B814" s="76"/>
      <c r="C814" s="125"/>
      <c r="D814" s="125"/>
      <c r="E814" s="71"/>
      <c r="F814" s="71"/>
      <c r="G814" s="71"/>
      <c r="H814" s="126"/>
      <c r="I814" s="125"/>
      <c r="J814" s="123"/>
      <c r="K814" s="12"/>
      <c r="L814" s="117"/>
      <c r="M814" s="12"/>
      <c r="N814" s="117"/>
      <c r="O814" s="117"/>
      <c r="P814" s="117"/>
      <c r="Q814" s="118"/>
      <c r="R814" s="118"/>
      <c r="S814" s="118"/>
      <c r="T814" s="12"/>
      <c r="U814" s="118"/>
      <c r="V814" s="118"/>
      <c r="W814" s="12"/>
      <c r="X814" s="119"/>
      <c r="Y814" s="120"/>
      <c r="Z814" s="12"/>
      <c r="BA814" s="70" t="s">
        <v>205</v>
      </c>
      <c r="BB814" s="71" t="s">
        <v>210</v>
      </c>
      <c r="BC814" s="71" t="s">
        <v>207</v>
      </c>
      <c r="BD814" s="71">
        <v>26.5</v>
      </c>
      <c r="BE814" s="71">
        <v>36</v>
      </c>
      <c r="BF814" s="71">
        <v>390</v>
      </c>
      <c r="BG814" s="71">
        <v>212</v>
      </c>
      <c r="BH814" s="71">
        <v>5</v>
      </c>
      <c r="BI814" s="71">
        <v>10</v>
      </c>
      <c r="BJ814" s="12" t="str" cm="1">
        <f t="array" ref="BJ814">_xll.Dce_Name_SectI(BF814, BF814, BG814, BH814, BI814, "x", "-", $AX$11)</f>
        <v>390x212x5x10</v>
      </c>
      <c r="BK814" s="77" cm="1">
        <f t="array" ref="BK814">_xll.DCEPropSectI(BF814, BH814, BG814, BI814, BG814, BI814, "A")/100</f>
        <v>60.9</v>
      </c>
      <c r="BL814" s="70" t="s">
        <v>223</v>
      </c>
      <c r="BM814" s="70">
        <v>57.749118101305733</v>
      </c>
      <c r="BN814" s="71">
        <v>0.9</v>
      </c>
      <c r="BO814" s="77">
        <f t="shared" si="107"/>
        <v>32.4</v>
      </c>
      <c r="BP814" s="71">
        <v>0.9</v>
      </c>
      <c r="BQ814" s="77">
        <f t="shared" si="108"/>
        <v>32.4</v>
      </c>
      <c r="BR814" s="77" cm="1">
        <f t="array" ref="BR814">_xll.DCEPropSectI(BF814, BH814, BG814, BI814, BG814, BI814, "rx")/10</f>
        <v>16.91131201300167</v>
      </c>
      <c r="BS814" s="77" cm="1">
        <f t="array" ref="BS814">_xll.DCEPropSectI(BF814, BH814, BG814, BI814, BG814, BI814, "ry")/10</f>
        <v>5.1070747638622018</v>
      </c>
      <c r="BT814" s="5">
        <f t="shared" si="109"/>
        <v>191.58773710218577</v>
      </c>
      <c r="BU814" s="5">
        <f t="shared" si="110"/>
        <v>634.41405301647956</v>
      </c>
      <c r="BV814" s="5">
        <f t="shared" si="111"/>
        <v>634.41405301647956</v>
      </c>
      <c r="BW814" s="71">
        <f t="shared" si="112"/>
        <v>400</v>
      </c>
      <c r="BX814" s="78" cm="1">
        <f t="array" ref="BX814">IF(BM814&gt;0,1,_xll.DCETCVN5575FactorPhi7121(BV814*SQRT($K$17/206000),"b"))</f>
        <v>1</v>
      </c>
      <c r="BY814" s="64">
        <f t="shared" si="113"/>
        <v>4.5155303855896271E-2</v>
      </c>
      <c r="BZ814" s="3" t="str">
        <f t="shared" si="114"/>
        <v>Check</v>
      </c>
    </row>
    <row r="815" spans="1:78">
      <c r="A815" s="76"/>
      <c r="B815" s="76"/>
      <c r="C815" s="125"/>
      <c r="D815" s="125"/>
      <c r="E815" s="71"/>
      <c r="F815" s="71"/>
      <c r="G815" s="71"/>
      <c r="H815" s="126"/>
      <c r="I815" s="125"/>
      <c r="J815" s="123"/>
      <c r="K815" s="12"/>
      <c r="L815" s="117"/>
      <c r="M815" s="12"/>
      <c r="N815" s="117"/>
      <c r="O815" s="117"/>
      <c r="P815" s="117"/>
      <c r="Q815" s="118"/>
      <c r="R815" s="118"/>
      <c r="S815" s="118"/>
      <c r="T815" s="12"/>
      <c r="U815" s="118"/>
      <c r="V815" s="118"/>
      <c r="W815" s="12"/>
      <c r="X815" s="119"/>
      <c r="Y815" s="120"/>
      <c r="Z815" s="12"/>
      <c r="BA815" s="70" t="s">
        <v>205</v>
      </c>
      <c r="BB815" s="71" t="s">
        <v>210</v>
      </c>
      <c r="BC815" s="71" t="s">
        <v>207</v>
      </c>
      <c r="BD815" s="71">
        <v>27</v>
      </c>
      <c r="BE815" s="71">
        <v>36</v>
      </c>
      <c r="BF815" s="71">
        <v>390</v>
      </c>
      <c r="BG815" s="71">
        <v>212</v>
      </c>
      <c r="BH815" s="71">
        <v>5</v>
      </c>
      <c r="BI815" s="71">
        <v>10</v>
      </c>
      <c r="BJ815" s="12" t="str" cm="1">
        <f t="array" ref="BJ815">_xll.Dce_Name_SectI(BF815, BF815, BG815, BH815, BI815, "x", "-", $AX$11)</f>
        <v>390x212x5x10</v>
      </c>
      <c r="BK815" s="77" cm="1">
        <f t="array" ref="BK815">_xll.DCEPropSectI(BF815, BH815, BG815, BI815, BG815, BI815, "A")/100</f>
        <v>60.9</v>
      </c>
      <c r="BL815" s="70" t="s">
        <v>223</v>
      </c>
      <c r="BM815" s="70">
        <v>57.749118101305733</v>
      </c>
      <c r="BN815" s="71">
        <v>0.9</v>
      </c>
      <c r="BO815" s="77">
        <f t="shared" si="107"/>
        <v>32.4</v>
      </c>
      <c r="BP815" s="71">
        <v>0.9</v>
      </c>
      <c r="BQ815" s="77">
        <f t="shared" si="108"/>
        <v>32.4</v>
      </c>
      <c r="BR815" s="77" cm="1">
        <f t="array" ref="BR815">_xll.DCEPropSectI(BF815, BH815, BG815, BI815, BG815, BI815, "rx")/10</f>
        <v>16.91131201300167</v>
      </c>
      <c r="BS815" s="77" cm="1">
        <f t="array" ref="BS815">_xll.DCEPropSectI(BF815, BH815, BG815, BI815, BG815, BI815, "ry")/10</f>
        <v>5.1070747638622018</v>
      </c>
      <c r="BT815" s="5">
        <f t="shared" si="109"/>
        <v>191.58773710218577</v>
      </c>
      <c r="BU815" s="5">
        <f t="shared" si="110"/>
        <v>634.41405301647956</v>
      </c>
      <c r="BV815" s="5">
        <f t="shared" si="111"/>
        <v>634.41405301647956</v>
      </c>
      <c r="BW815" s="71">
        <f t="shared" si="112"/>
        <v>400</v>
      </c>
      <c r="BX815" s="78" cm="1">
        <f t="array" ref="BX815">IF(BM815&gt;0,1,_xll.DCETCVN5575FactorPhi7121(BV815*SQRT($K$17/206000),"b"))</f>
        <v>1</v>
      </c>
      <c r="BY815" s="64">
        <f t="shared" si="113"/>
        <v>4.5155303855896271E-2</v>
      </c>
      <c r="BZ815" s="3" t="str">
        <f t="shared" si="114"/>
        <v>Check</v>
      </c>
    </row>
    <row r="816" spans="1:78">
      <c r="A816" s="76"/>
      <c r="B816" s="76"/>
      <c r="C816" s="125"/>
      <c r="D816" s="125"/>
      <c r="E816" s="71"/>
      <c r="F816" s="71"/>
      <c r="G816" s="71"/>
      <c r="H816" s="126"/>
      <c r="I816" s="125"/>
      <c r="J816" s="123"/>
      <c r="K816" s="12"/>
      <c r="L816" s="117"/>
      <c r="M816" s="12"/>
      <c r="N816" s="117"/>
      <c r="O816" s="117"/>
      <c r="P816" s="117"/>
      <c r="Q816" s="118"/>
      <c r="R816" s="118"/>
      <c r="S816" s="118"/>
      <c r="T816" s="12"/>
      <c r="U816" s="118"/>
      <c r="V816" s="118"/>
      <c r="W816" s="12"/>
      <c r="X816" s="119"/>
      <c r="Y816" s="120"/>
      <c r="Z816" s="12"/>
      <c r="BA816" s="70" t="s">
        <v>205</v>
      </c>
      <c r="BB816" s="71" t="s">
        <v>210</v>
      </c>
      <c r="BC816" s="71" t="s">
        <v>207</v>
      </c>
      <c r="BD816" s="71">
        <v>27.5</v>
      </c>
      <c r="BE816" s="71">
        <v>36</v>
      </c>
      <c r="BF816" s="71">
        <v>390</v>
      </c>
      <c r="BG816" s="71">
        <v>212</v>
      </c>
      <c r="BH816" s="71">
        <v>5</v>
      </c>
      <c r="BI816" s="71">
        <v>10</v>
      </c>
      <c r="BJ816" s="12" t="str" cm="1">
        <f t="array" ref="BJ816">_xll.Dce_Name_SectI(BF816, BF816, BG816, BH816, BI816, "x", "-", $AX$11)</f>
        <v>390x212x5x10</v>
      </c>
      <c r="BK816" s="77" cm="1">
        <f t="array" ref="BK816">_xll.DCEPropSectI(BF816, BH816, BG816, BI816, BG816, BI816, "A")/100</f>
        <v>60.9</v>
      </c>
      <c r="BL816" s="70" t="s">
        <v>223</v>
      </c>
      <c r="BM816" s="70">
        <v>57.749118101305733</v>
      </c>
      <c r="BN816" s="71">
        <v>0.9</v>
      </c>
      <c r="BO816" s="77">
        <f t="shared" si="107"/>
        <v>32.4</v>
      </c>
      <c r="BP816" s="71">
        <v>0.9</v>
      </c>
      <c r="BQ816" s="77">
        <f t="shared" si="108"/>
        <v>32.4</v>
      </c>
      <c r="BR816" s="77" cm="1">
        <f t="array" ref="BR816">_xll.DCEPropSectI(BF816, BH816, BG816, BI816, BG816, BI816, "rx")/10</f>
        <v>16.91131201300167</v>
      </c>
      <c r="BS816" s="77" cm="1">
        <f t="array" ref="BS816">_xll.DCEPropSectI(BF816, BH816, BG816, BI816, BG816, BI816, "ry")/10</f>
        <v>5.1070747638622018</v>
      </c>
      <c r="BT816" s="5">
        <f t="shared" si="109"/>
        <v>191.58773710218577</v>
      </c>
      <c r="BU816" s="5">
        <f t="shared" si="110"/>
        <v>634.41405301647956</v>
      </c>
      <c r="BV816" s="5">
        <f t="shared" si="111"/>
        <v>634.41405301647956</v>
      </c>
      <c r="BW816" s="71">
        <f t="shared" si="112"/>
        <v>400</v>
      </c>
      <c r="BX816" s="78" cm="1">
        <f t="array" ref="BX816">IF(BM816&gt;0,1,_xll.DCETCVN5575FactorPhi7121(BV816*SQRT($K$17/206000),"b"))</f>
        <v>1</v>
      </c>
      <c r="BY816" s="64">
        <f t="shared" si="113"/>
        <v>4.5155303855896271E-2</v>
      </c>
      <c r="BZ816" s="3" t="str">
        <f t="shared" si="114"/>
        <v>Check</v>
      </c>
    </row>
    <row r="817" spans="1:78">
      <c r="A817" s="76"/>
      <c r="B817" s="76"/>
      <c r="C817" s="125"/>
      <c r="D817" s="125"/>
      <c r="E817" s="71"/>
      <c r="F817" s="71"/>
      <c r="G817" s="71"/>
      <c r="H817" s="126"/>
      <c r="I817" s="125"/>
      <c r="J817" s="123"/>
      <c r="K817" s="12"/>
      <c r="L817" s="117"/>
      <c r="M817" s="12"/>
      <c r="N817" s="117"/>
      <c r="O817" s="117"/>
      <c r="P817" s="117"/>
      <c r="Q817" s="118"/>
      <c r="R817" s="118"/>
      <c r="S817" s="118"/>
      <c r="T817" s="12"/>
      <c r="U817" s="118"/>
      <c r="V817" s="118"/>
      <c r="W817" s="12"/>
      <c r="X817" s="119"/>
      <c r="Y817" s="120"/>
      <c r="Z817" s="12"/>
      <c r="BA817" s="70" t="s">
        <v>205</v>
      </c>
      <c r="BB817" s="71" t="s">
        <v>210</v>
      </c>
      <c r="BC817" s="71" t="s">
        <v>207</v>
      </c>
      <c r="BD817" s="71">
        <v>28</v>
      </c>
      <c r="BE817" s="71">
        <v>36</v>
      </c>
      <c r="BF817" s="71">
        <v>390</v>
      </c>
      <c r="BG817" s="71">
        <v>212</v>
      </c>
      <c r="BH817" s="71">
        <v>5</v>
      </c>
      <c r="BI817" s="71">
        <v>10</v>
      </c>
      <c r="BJ817" s="12" t="str" cm="1">
        <f t="array" ref="BJ817">_xll.Dce_Name_SectI(BF817, BF817, BG817, BH817, BI817, "x", "-", $AX$11)</f>
        <v>390x212x5x10</v>
      </c>
      <c r="BK817" s="77" cm="1">
        <f t="array" ref="BK817">_xll.DCEPropSectI(BF817, BH817, BG817, BI817, BG817, BI817, "A")/100</f>
        <v>60.9</v>
      </c>
      <c r="BL817" s="70" t="s">
        <v>223</v>
      </c>
      <c r="BM817" s="70">
        <v>57.749118101305733</v>
      </c>
      <c r="BN817" s="71">
        <v>0.9</v>
      </c>
      <c r="BO817" s="77">
        <f t="shared" si="107"/>
        <v>32.4</v>
      </c>
      <c r="BP817" s="71">
        <v>0.9</v>
      </c>
      <c r="BQ817" s="77">
        <f t="shared" si="108"/>
        <v>32.4</v>
      </c>
      <c r="BR817" s="77" cm="1">
        <f t="array" ref="BR817">_xll.DCEPropSectI(BF817, BH817, BG817, BI817, BG817, BI817, "rx")/10</f>
        <v>16.91131201300167</v>
      </c>
      <c r="BS817" s="77" cm="1">
        <f t="array" ref="BS817">_xll.DCEPropSectI(BF817, BH817, BG817, BI817, BG817, BI817, "ry")/10</f>
        <v>5.1070747638622018</v>
      </c>
      <c r="BT817" s="5">
        <f t="shared" si="109"/>
        <v>191.58773710218577</v>
      </c>
      <c r="BU817" s="5">
        <f t="shared" si="110"/>
        <v>634.41405301647956</v>
      </c>
      <c r="BV817" s="5">
        <f t="shared" si="111"/>
        <v>634.41405301647956</v>
      </c>
      <c r="BW817" s="71">
        <f t="shared" si="112"/>
        <v>400</v>
      </c>
      <c r="BX817" s="78" cm="1">
        <f t="array" ref="BX817">IF(BM817&gt;0,1,_xll.DCETCVN5575FactorPhi7121(BV817*SQRT($K$17/206000),"b"))</f>
        <v>1</v>
      </c>
      <c r="BY817" s="64">
        <f t="shared" si="113"/>
        <v>4.5155303855896271E-2</v>
      </c>
      <c r="BZ817" s="3" t="str">
        <f t="shared" si="114"/>
        <v>Check</v>
      </c>
    </row>
    <row r="818" spans="1:78">
      <c r="A818" s="76"/>
      <c r="B818" s="76"/>
      <c r="C818" s="125"/>
      <c r="D818" s="125"/>
      <c r="E818" s="71"/>
      <c r="F818" s="71"/>
      <c r="G818" s="71"/>
      <c r="H818" s="126"/>
      <c r="I818" s="125"/>
      <c r="J818" s="123"/>
      <c r="K818" s="12"/>
      <c r="L818" s="117"/>
      <c r="M818" s="12"/>
      <c r="N818" s="117"/>
      <c r="O818" s="117"/>
      <c r="P818" s="117"/>
      <c r="Q818" s="118"/>
      <c r="R818" s="118"/>
      <c r="S818" s="118"/>
      <c r="T818" s="12"/>
      <c r="U818" s="118"/>
      <c r="V818" s="118"/>
      <c r="W818" s="12"/>
      <c r="X818" s="119"/>
      <c r="Y818" s="120"/>
      <c r="Z818" s="12"/>
      <c r="BA818" s="70" t="s">
        <v>205</v>
      </c>
      <c r="BB818" s="71" t="s">
        <v>210</v>
      </c>
      <c r="BC818" s="71" t="s">
        <v>207</v>
      </c>
      <c r="BD818" s="71">
        <v>28.5</v>
      </c>
      <c r="BE818" s="71">
        <v>36</v>
      </c>
      <c r="BF818" s="71">
        <v>390</v>
      </c>
      <c r="BG818" s="71">
        <v>212</v>
      </c>
      <c r="BH818" s="71">
        <v>5</v>
      </c>
      <c r="BI818" s="71">
        <v>10</v>
      </c>
      <c r="BJ818" s="12" t="str" cm="1">
        <f t="array" ref="BJ818">_xll.Dce_Name_SectI(BF818, BF818, BG818, BH818, BI818, "x", "-", $AX$11)</f>
        <v>390x212x5x10</v>
      </c>
      <c r="BK818" s="77" cm="1">
        <f t="array" ref="BK818">_xll.DCEPropSectI(BF818, BH818, BG818, BI818, BG818, BI818, "A")/100</f>
        <v>60.9</v>
      </c>
      <c r="BL818" s="70" t="s">
        <v>223</v>
      </c>
      <c r="BM818" s="70">
        <v>57.749118101305733</v>
      </c>
      <c r="BN818" s="71">
        <v>0.9</v>
      </c>
      <c r="BO818" s="77">
        <f t="shared" si="107"/>
        <v>32.4</v>
      </c>
      <c r="BP818" s="71">
        <v>0.9</v>
      </c>
      <c r="BQ818" s="77">
        <f t="shared" si="108"/>
        <v>32.4</v>
      </c>
      <c r="BR818" s="77" cm="1">
        <f t="array" ref="BR818">_xll.DCEPropSectI(BF818, BH818, BG818, BI818, BG818, BI818, "rx")/10</f>
        <v>16.91131201300167</v>
      </c>
      <c r="BS818" s="77" cm="1">
        <f t="array" ref="BS818">_xll.DCEPropSectI(BF818, BH818, BG818, BI818, BG818, BI818, "ry")/10</f>
        <v>5.1070747638622018</v>
      </c>
      <c r="BT818" s="5">
        <f t="shared" si="109"/>
        <v>191.58773710218577</v>
      </c>
      <c r="BU818" s="5">
        <f t="shared" si="110"/>
        <v>634.41405301647956</v>
      </c>
      <c r="BV818" s="5">
        <f t="shared" si="111"/>
        <v>634.41405301647956</v>
      </c>
      <c r="BW818" s="71">
        <f t="shared" si="112"/>
        <v>400</v>
      </c>
      <c r="BX818" s="78" cm="1">
        <f t="array" ref="BX818">IF(BM818&gt;0,1,_xll.DCETCVN5575FactorPhi7121(BV818*SQRT($K$17/206000),"b"))</f>
        <v>1</v>
      </c>
      <c r="BY818" s="64">
        <f t="shared" si="113"/>
        <v>4.5155303855896271E-2</v>
      </c>
      <c r="BZ818" s="3" t="str">
        <f t="shared" si="114"/>
        <v>Check</v>
      </c>
    </row>
    <row r="819" spans="1:78">
      <c r="A819" s="76"/>
      <c r="B819" s="76"/>
      <c r="C819" s="125"/>
      <c r="D819" s="125"/>
      <c r="E819" s="71"/>
      <c r="F819" s="71"/>
      <c r="G819" s="71"/>
      <c r="H819" s="126"/>
      <c r="I819" s="125"/>
      <c r="J819" s="123"/>
      <c r="K819" s="12"/>
      <c r="L819" s="117"/>
      <c r="M819" s="12"/>
      <c r="N819" s="117"/>
      <c r="O819" s="117"/>
      <c r="P819" s="117"/>
      <c r="Q819" s="118"/>
      <c r="R819" s="118"/>
      <c r="S819" s="118"/>
      <c r="T819" s="12"/>
      <c r="U819" s="118"/>
      <c r="V819" s="118"/>
      <c r="W819" s="12"/>
      <c r="X819" s="119"/>
      <c r="Y819" s="120"/>
      <c r="Z819" s="12"/>
      <c r="BA819" s="70" t="s">
        <v>205</v>
      </c>
      <c r="BB819" s="71" t="s">
        <v>210</v>
      </c>
      <c r="BC819" s="71" t="s">
        <v>207</v>
      </c>
      <c r="BD819" s="71">
        <v>29</v>
      </c>
      <c r="BE819" s="71">
        <v>36</v>
      </c>
      <c r="BF819" s="71">
        <v>390</v>
      </c>
      <c r="BG819" s="71">
        <v>212</v>
      </c>
      <c r="BH819" s="71">
        <v>5</v>
      </c>
      <c r="BI819" s="71">
        <v>10</v>
      </c>
      <c r="BJ819" s="12" t="str" cm="1">
        <f t="array" ref="BJ819">_xll.Dce_Name_SectI(BF819, BF819, BG819, BH819, BI819, "x", "-", $AX$11)</f>
        <v>390x212x5x10</v>
      </c>
      <c r="BK819" s="77" cm="1">
        <f t="array" ref="BK819">_xll.DCEPropSectI(BF819, BH819, BG819, BI819, BG819, BI819, "A")/100</f>
        <v>60.9</v>
      </c>
      <c r="BL819" s="70" t="s">
        <v>223</v>
      </c>
      <c r="BM819" s="70">
        <v>57.749118101305733</v>
      </c>
      <c r="BN819" s="71">
        <v>0.9</v>
      </c>
      <c r="BO819" s="77">
        <f t="shared" si="107"/>
        <v>32.4</v>
      </c>
      <c r="BP819" s="71">
        <v>0.9</v>
      </c>
      <c r="BQ819" s="77">
        <f t="shared" si="108"/>
        <v>32.4</v>
      </c>
      <c r="BR819" s="77" cm="1">
        <f t="array" ref="BR819">_xll.DCEPropSectI(BF819, BH819, BG819, BI819, BG819, BI819, "rx")/10</f>
        <v>16.91131201300167</v>
      </c>
      <c r="BS819" s="77" cm="1">
        <f t="array" ref="BS819">_xll.DCEPropSectI(BF819, BH819, BG819, BI819, BG819, BI819, "ry")/10</f>
        <v>5.1070747638622018</v>
      </c>
      <c r="BT819" s="5">
        <f t="shared" si="109"/>
        <v>191.58773710218577</v>
      </c>
      <c r="BU819" s="5">
        <f t="shared" si="110"/>
        <v>634.41405301647956</v>
      </c>
      <c r="BV819" s="5">
        <f t="shared" si="111"/>
        <v>634.41405301647956</v>
      </c>
      <c r="BW819" s="71">
        <f t="shared" si="112"/>
        <v>400</v>
      </c>
      <c r="BX819" s="78" cm="1">
        <f t="array" ref="BX819">IF(BM819&gt;0,1,_xll.DCETCVN5575FactorPhi7121(BV819*SQRT($K$17/206000),"b"))</f>
        <v>1</v>
      </c>
      <c r="BY819" s="64">
        <f t="shared" si="113"/>
        <v>4.5155303855896271E-2</v>
      </c>
      <c r="BZ819" s="3" t="str">
        <f t="shared" si="114"/>
        <v>Check</v>
      </c>
    </row>
    <row r="820" spans="1:78">
      <c r="A820" s="76"/>
      <c r="B820" s="76"/>
      <c r="C820" s="125"/>
      <c r="D820" s="125"/>
      <c r="E820" s="71"/>
      <c r="F820" s="71"/>
      <c r="G820" s="71"/>
      <c r="H820" s="126"/>
      <c r="I820" s="125"/>
      <c r="J820" s="123"/>
      <c r="K820" s="12"/>
      <c r="L820" s="117"/>
      <c r="M820" s="12"/>
      <c r="N820" s="117"/>
      <c r="O820" s="117"/>
      <c r="P820" s="117"/>
      <c r="Q820" s="118"/>
      <c r="R820" s="118"/>
      <c r="S820" s="118"/>
      <c r="T820" s="12"/>
      <c r="U820" s="118"/>
      <c r="V820" s="118"/>
      <c r="W820" s="12"/>
      <c r="X820" s="119"/>
      <c r="Y820" s="120"/>
      <c r="Z820" s="12"/>
      <c r="BA820" s="70" t="s">
        <v>205</v>
      </c>
      <c r="BB820" s="71" t="s">
        <v>210</v>
      </c>
      <c r="BC820" s="71" t="s">
        <v>207</v>
      </c>
      <c r="BD820" s="71">
        <v>29.5</v>
      </c>
      <c r="BE820" s="71">
        <v>36</v>
      </c>
      <c r="BF820" s="71">
        <v>390</v>
      </c>
      <c r="BG820" s="71">
        <v>212</v>
      </c>
      <c r="BH820" s="71">
        <v>5</v>
      </c>
      <c r="BI820" s="71">
        <v>10</v>
      </c>
      <c r="BJ820" s="12" t="str" cm="1">
        <f t="array" ref="BJ820">_xll.Dce_Name_SectI(BF820, BF820, BG820, BH820, BI820, "x", "-", $AX$11)</f>
        <v>390x212x5x10</v>
      </c>
      <c r="BK820" s="77" cm="1">
        <f t="array" ref="BK820">_xll.DCEPropSectI(BF820, BH820, BG820, BI820, BG820, BI820, "A")/100</f>
        <v>60.9</v>
      </c>
      <c r="BL820" s="70" t="s">
        <v>223</v>
      </c>
      <c r="BM820" s="70">
        <v>57.749118101305733</v>
      </c>
      <c r="BN820" s="71">
        <v>0.9</v>
      </c>
      <c r="BO820" s="77">
        <f t="shared" si="107"/>
        <v>32.4</v>
      </c>
      <c r="BP820" s="71">
        <v>0.9</v>
      </c>
      <c r="BQ820" s="77">
        <f t="shared" si="108"/>
        <v>32.4</v>
      </c>
      <c r="BR820" s="77" cm="1">
        <f t="array" ref="BR820">_xll.DCEPropSectI(BF820, BH820, BG820, BI820, BG820, BI820, "rx")/10</f>
        <v>16.91131201300167</v>
      </c>
      <c r="BS820" s="77" cm="1">
        <f t="array" ref="BS820">_xll.DCEPropSectI(BF820, BH820, BG820, BI820, BG820, BI820, "ry")/10</f>
        <v>5.1070747638622018</v>
      </c>
      <c r="BT820" s="5">
        <f t="shared" si="109"/>
        <v>191.58773710218577</v>
      </c>
      <c r="BU820" s="5">
        <f t="shared" si="110"/>
        <v>634.41405301647956</v>
      </c>
      <c r="BV820" s="5">
        <f t="shared" si="111"/>
        <v>634.41405301647956</v>
      </c>
      <c r="BW820" s="71">
        <f t="shared" si="112"/>
        <v>400</v>
      </c>
      <c r="BX820" s="78" cm="1">
        <f t="array" ref="BX820">IF(BM820&gt;0,1,_xll.DCETCVN5575FactorPhi7121(BV820*SQRT($K$17/206000),"b"))</f>
        <v>1</v>
      </c>
      <c r="BY820" s="64">
        <f t="shared" si="113"/>
        <v>4.5155303855896271E-2</v>
      </c>
      <c r="BZ820" s="3" t="str">
        <f t="shared" si="114"/>
        <v>Check</v>
      </c>
    </row>
    <row r="821" spans="1:78">
      <c r="A821" s="76"/>
      <c r="B821" s="76"/>
      <c r="C821" s="125"/>
      <c r="D821" s="125"/>
      <c r="E821" s="71"/>
      <c r="F821" s="71"/>
      <c r="G821" s="71"/>
      <c r="H821" s="126"/>
      <c r="I821" s="125"/>
      <c r="J821" s="123"/>
      <c r="K821" s="12"/>
      <c r="L821" s="117"/>
      <c r="M821" s="12"/>
      <c r="N821" s="117"/>
      <c r="O821" s="117"/>
      <c r="P821" s="117"/>
      <c r="Q821" s="118"/>
      <c r="R821" s="118"/>
      <c r="S821" s="118"/>
      <c r="T821" s="12"/>
      <c r="U821" s="118"/>
      <c r="V821" s="118"/>
      <c r="W821" s="12"/>
      <c r="X821" s="119"/>
      <c r="Y821" s="120"/>
      <c r="Z821" s="12"/>
      <c r="BA821" s="70" t="s">
        <v>205</v>
      </c>
      <c r="BB821" s="71" t="s">
        <v>210</v>
      </c>
      <c r="BC821" s="71" t="s">
        <v>207</v>
      </c>
      <c r="BD821" s="71">
        <v>30</v>
      </c>
      <c r="BE821" s="71">
        <v>36</v>
      </c>
      <c r="BF821" s="71">
        <v>390</v>
      </c>
      <c r="BG821" s="71">
        <v>212</v>
      </c>
      <c r="BH821" s="71">
        <v>5</v>
      </c>
      <c r="BI821" s="71">
        <v>10</v>
      </c>
      <c r="BJ821" s="12" t="str" cm="1">
        <f t="array" ref="BJ821">_xll.Dce_Name_SectI(BF821, BF821, BG821, BH821, BI821, "x", "-", $AX$11)</f>
        <v>390x212x5x10</v>
      </c>
      <c r="BK821" s="77" cm="1">
        <f t="array" ref="BK821">_xll.DCEPropSectI(BF821, BH821, BG821, BI821, BG821, BI821, "A")/100</f>
        <v>60.9</v>
      </c>
      <c r="BL821" s="70" t="s">
        <v>223</v>
      </c>
      <c r="BM821" s="70">
        <v>57.749118101305733</v>
      </c>
      <c r="BN821" s="71">
        <v>0.9</v>
      </c>
      <c r="BO821" s="77">
        <f t="shared" si="107"/>
        <v>32.4</v>
      </c>
      <c r="BP821" s="71">
        <v>0.9</v>
      </c>
      <c r="BQ821" s="77">
        <f t="shared" si="108"/>
        <v>32.4</v>
      </c>
      <c r="BR821" s="77" cm="1">
        <f t="array" ref="BR821">_xll.DCEPropSectI(BF821, BH821, BG821, BI821, BG821, BI821, "rx")/10</f>
        <v>16.91131201300167</v>
      </c>
      <c r="BS821" s="77" cm="1">
        <f t="array" ref="BS821">_xll.DCEPropSectI(BF821, BH821, BG821, BI821, BG821, BI821, "ry")/10</f>
        <v>5.1070747638622018</v>
      </c>
      <c r="BT821" s="5">
        <f t="shared" si="109"/>
        <v>191.58773710218577</v>
      </c>
      <c r="BU821" s="5">
        <f t="shared" si="110"/>
        <v>634.41405301647956</v>
      </c>
      <c r="BV821" s="5">
        <f t="shared" si="111"/>
        <v>634.41405301647956</v>
      </c>
      <c r="BW821" s="71">
        <f t="shared" si="112"/>
        <v>400</v>
      </c>
      <c r="BX821" s="78" cm="1">
        <f t="array" ref="BX821">IF(BM821&gt;0,1,_xll.DCETCVN5575FactorPhi7121(BV821*SQRT($K$17/206000),"b"))</f>
        <v>1</v>
      </c>
      <c r="BY821" s="64">
        <f t="shared" si="113"/>
        <v>4.5155303855896271E-2</v>
      </c>
      <c r="BZ821" s="3" t="str">
        <f t="shared" si="114"/>
        <v>Check</v>
      </c>
    </row>
    <row r="822" spans="1:78">
      <c r="A822" s="76"/>
      <c r="B822" s="76"/>
      <c r="C822" s="125"/>
      <c r="D822" s="125"/>
      <c r="E822" s="71"/>
      <c r="F822" s="71"/>
      <c r="G822" s="71"/>
      <c r="H822" s="126"/>
      <c r="I822" s="125"/>
      <c r="J822" s="123"/>
      <c r="K822" s="12"/>
      <c r="L822" s="117"/>
      <c r="M822" s="12"/>
      <c r="N822" s="117"/>
      <c r="O822" s="117"/>
      <c r="P822" s="117"/>
      <c r="Q822" s="118"/>
      <c r="R822" s="118"/>
      <c r="S822" s="118"/>
      <c r="T822" s="12"/>
      <c r="U822" s="118"/>
      <c r="V822" s="118"/>
      <c r="W822" s="12"/>
      <c r="X822" s="119"/>
      <c r="Y822" s="120"/>
      <c r="Z822" s="12"/>
      <c r="BA822" s="70" t="s">
        <v>205</v>
      </c>
      <c r="BB822" s="71" t="s">
        <v>210</v>
      </c>
      <c r="BC822" s="71" t="s">
        <v>207</v>
      </c>
      <c r="BD822" s="71">
        <v>30</v>
      </c>
      <c r="BE822" s="71">
        <v>36</v>
      </c>
      <c r="BF822" s="71">
        <v>390</v>
      </c>
      <c r="BG822" s="71">
        <v>212</v>
      </c>
      <c r="BH822" s="71">
        <v>5</v>
      </c>
      <c r="BI822" s="71">
        <v>10</v>
      </c>
      <c r="BJ822" s="12" t="str" cm="1">
        <f t="array" ref="BJ822">_xll.Dce_Name_SectI(BF822, BF822, BG822, BH822, BI822, "x", "-", $AX$11)</f>
        <v>390x212x5x10</v>
      </c>
      <c r="BK822" s="77" cm="1">
        <f t="array" ref="BK822">_xll.DCEPropSectI(BF822, BH822, BG822, BI822, BG822, BI822, "A")/100</f>
        <v>60.9</v>
      </c>
      <c r="BL822" s="70" t="s">
        <v>223</v>
      </c>
      <c r="BM822" s="70">
        <v>-14.770375872464221</v>
      </c>
      <c r="BN822" s="71">
        <v>0.9</v>
      </c>
      <c r="BO822" s="77">
        <f t="shared" si="107"/>
        <v>32.4</v>
      </c>
      <c r="BP822" s="71">
        <v>0.9</v>
      </c>
      <c r="BQ822" s="77">
        <f t="shared" si="108"/>
        <v>32.4</v>
      </c>
      <c r="BR822" s="77" cm="1">
        <f t="array" ref="BR822">_xll.DCEPropSectI(BF822, BH822, BG822, BI822, BG822, BI822, "rx")/10</f>
        <v>16.91131201300167</v>
      </c>
      <c r="BS822" s="77" cm="1">
        <f t="array" ref="BS822">_xll.DCEPropSectI(BF822, BH822, BG822, BI822, BG822, BI822, "ry")/10</f>
        <v>5.1070747638622018</v>
      </c>
      <c r="BT822" s="5">
        <f t="shared" si="109"/>
        <v>191.58773710218577</v>
      </c>
      <c r="BU822" s="5">
        <f t="shared" si="110"/>
        <v>634.41405301647956</v>
      </c>
      <c r="BV822" s="5">
        <f t="shared" si="111"/>
        <v>634.41405301647956</v>
      </c>
      <c r="BW822" s="71">
        <f t="shared" si="112"/>
        <v>200</v>
      </c>
      <c r="BX822" s="78" cm="1">
        <f t="array" ref="BX822">IF(BM822&gt;0,1,_xll.DCETCVN5575FactorPhi7121(BV822*SQRT($K$17/206000),"b"))</f>
        <v>1.6670876655456978E-2</v>
      </c>
      <c r="BY822" s="64">
        <f t="shared" si="113"/>
        <v>0.69278188260191997</v>
      </c>
      <c r="BZ822" s="3" t="str">
        <f t="shared" si="114"/>
        <v>Check</v>
      </c>
    </row>
    <row r="823" spans="1:78">
      <c r="A823" s="76"/>
      <c r="B823" s="76"/>
      <c r="C823" s="125"/>
      <c r="D823" s="125"/>
      <c r="E823" s="71"/>
      <c r="F823" s="71"/>
      <c r="G823" s="71"/>
      <c r="H823" s="126"/>
      <c r="I823" s="125"/>
      <c r="J823" s="123"/>
      <c r="K823" s="12"/>
      <c r="L823" s="117"/>
      <c r="M823" s="12"/>
      <c r="N823" s="117"/>
      <c r="O823" s="117"/>
      <c r="P823" s="117"/>
      <c r="Q823" s="118"/>
      <c r="R823" s="118"/>
      <c r="S823" s="118"/>
      <c r="T823" s="12"/>
      <c r="U823" s="118"/>
      <c r="V823" s="118"/>
      <c r="W823" s="12"/>
      <c r="X823" s="119"/>
      <c r="Y823" s="120"/>
      <c r="Z823" s="12"/>
      <c r="BA823" s="70" t="s">
        <v>205</v>
      </c>
      <c r="BB823" s="71" t="s">
        <v>210</v>
      </c>
      <c r="BC823" s="71" t="s">
        <v>207</v>
      </c>
      <c r="BD823" s="71">
        <v>30.5</v>
      </c>
      <c r="BE823" s="71">
        <v>36</v>
      </c>
      <c r="BF823" s="71">
        <v>390</v>
      </c>
      <c r="BG823" s="71">
        <v>212</v>
      </c>
      <c r="BH823" s="71">
        <v>5</v>
      </c>
      <c r="BI823" s="71">
        <v>10</v>
      </c>
      <c r="BJ823" s="12" t="str" cm="1">
        <f t="array" ref="BJ823">_xll.Dce_Name_SectI(BF823, BF823, BG823, BH823, BI823, "x", "-", $AX$11)</f>
        <v>390x212x5x10</v>
      </c>
      <c r="BK823" s="77" cm="1">
        <f t="array" ref="BK823">_xll.DCEPropSectI(BF823, BH823, BG823, BI823, BG823, BI823, "A")/100</f>
        <v>60.9</v>
      </c>
      <c r="BL823" s="70" t="s">
        <v>223</v>
      </c>
      <c r="BM823" s="70">
        <v>-14.770375872464221</v>
      </c>
      <c r="BN823" s="71">
        <v>0.9</v>
      </c>
      <c r="BO823" s="77">
        <f t="shared" si="107"/>
        <v>32.4</v>
      </c>
      <c r="BP823" s="71">
        <v>0.9</v>
      </c>
      <c r="BQ823" s="77">
        <f t="shared" si="108"/>
        <v>32.4</v>
      </c>
      <c r="BR823" s="77" cm="1">
        <f t="array" ref="BR823">_xll.DCEPropSectI(BF823, BH823, BG823, BI823, BG823, BI823, "rx")/10</f>
        <v>16.91131201300167</v>
      </c>
      <c r="BS823" s="77" cm="1">
        <f t="array" ref="BS823">_xll.DCEPropSectI(BF823, BH823, BG823, BI823, BG823, BI823, "ry")/10</f>
        <v>5.1070747638622018</v>
      </c>
      <c r="BT823" s="5">
        <f t="shared" si="109"/>
        <v>191.58773710218577</v>
      </c>
      <c r="BU823" s="5">
        <f t="shared" si="110"/>
        <v>634.41405301647956</v>
      </c>
      <c r="BV823" s="5">
        <f t="shared" si="111"/>
        <v>634.41405301647956</v>
      </c>
      <c r="BW823" s="71">
        <f t="shared" si="112"/>
        <v>200</v>
      </c>
      <c r="BX823" s="78" cm="1">
        <f t="array" ref="BX823">IF(BM823&gt;0,1,_xll.DCETCVN5575FactorPhi7121(BV823*SQRT($K$17/206000),"b"))</f>
        <v>1.6670876655456978E-2</v>
      </c>
      <c r="BY823" s="64">
        <f t="shared" si="113"/>
        <v>0.69278188260191997</v>
      </c>
      <c r="BZ823" s="3" t="str">
        <f t="shared" si="114"/>
        <v>Check</v>
      </c>
    </row>
    <row r="824" spans="1:78">
      <c r="A824" s="76"/>
      <c r="B824" s="76"/>
      <c r="C824" s="125"/>
      <c r="D824" s="125"/>
      <c r="E824" s="71"/>
      <c r="F824" s="71"/>
      <c r="G824" s="71"/>
      <c r="H824" s="126"/>
      <c r="I824" s="125"/>
      <c r="J824" s="123"/>
      <c r="K824" s="12"/>
      <c r="L824" s="117"/>
      <c r="M824" s="12"/>
      <c r="N824" s="117"/>
      <c r="O824" s="117"/>
      <c r="P824" s="117"/>
      <c r="Q824" s="118"/>
      <c r="R824" s="118"/>
      <c r="S824" s="118"/>
      <c r="T824" s="12"/>
      <c r="U824" s="118"/>
      <c r="V824" s="118"/>
      <c r="W824" s="12"/>
      <c r="X824" s="119"/>
      <c r="Y824" s="120"/>
      <c r="Z824" s="12"/>
      <c r="BA824" s="70" t="s">
        <v>205</v>
      </c>
      <c r="BB824" s="71" t="s">
        <v>210</v>
      </c>
      <c r="BC824" s="71" t="s">
        <v>207</v>
      </c>
      <c r="BD824" s="71">
        <v>31</v>
      </c>
      <c r="BE824" s="71">
        <v>36</v>
      </c>
      <c r="BF824" s="71">
        <v>390</v>
      </c>
      <c r="BG824" s="71">
        <v>212</v>
      </c>
      <c r="BH824" s="71">
        <v>5</v>
      </c>
      <c r="BI824" s="71">
        <v>10</v>
      </c>
      <c r="BJ824" s="12" t="str" cm="1">
        <f t="array" ref="BJ824">_xll.Dce_Name_SectI(BF824, BF824, BG824, BH824, BI824, "x", "-", $AX$11)</f>
        <v>390x212x5x10</v>
      </c>
      <c r="BK824" s="77" cm="1">
        <f t="array" ref="BK824">_xll.DCEPropSectI(BF824, BH824, BG824, BI824, BG824, BI824, "A")/100</f>
        <v>60.9</v>
      </c>
      <c r="BL824" s="70" t="s">
        <v>223</v>
      </c>
      <c r="BM824" s="70">
        <v>-14.770375872464221</v>
      </c>
      <c r="BN824" s="71">
        <v>0.9</v>
      </c>
      <c r="BO824" s="77">
        <f t="shared" si="107"/>
        <v>32.4</v>
      </c>
      <c r="BP824" s="71">
        <v>0.9</v>
      </c>
      <c r="BQ824" s="77">
        <f t="shared" si="108"/>
        <v>32.4</v>
      </c>
      <c r="BR824" s="77" cm="1">
        <f t="array" ref="BR824">_xll.DCEPropSectI(BF824, BH824, BG824, BI824, BG824, BI824, "rx")/10</f>
        <v>16.91131201300167</v>
      </c>
      <c r="BS824" s="77" cm="1">
        <f t="array" ref="BS824">_xll.DCEPropSectI(BF824, BH824, BG824, BI824, BG824, BI824, "ry")/10</f>
        <v>5.1070747638622018</v>
      </c>
      <c r="BT824" s="5">
        <f t="shared" si="109"/>
        <v>191.58773710218577</v>
      </c>
      <c r="BU824" s="5">
        <f t="shared" si="110"/>
        <v>634.41405301647956</v>
      </c>
      <c r="BV824" s="5">
        <f t="shared" si="111"/>
        <v>634.41405301647956</v>
      </c>
      <c r="BW824" s="71">
        <f t="shared" si="112"/>
        <v>200</v>
      </c>
      <c r="BX824" s="78" cm="1">
        <f t="array" ref="BX824">IF(BM824&gt;0,1,_xll.DCETCVN5575FactorPhi7121(BV824*SQRT($K$17/206000),"b"))</f>
        <v>1.6670876655456978E-2</v>
      </c>
      <c r="BY824" s="64">
        <f t="shared" si="113"/>
        <v>0.69278188260191997</v>
      </c>
      <c r="BZ824" s="3" t="str">
        <f t="shared" si="114"/>
        <v>Check</v>
      </c>
    </row>
    <row r="825" spans="1:78">
      <c r="A825" s="76"/>
      <c r="B825" s="76"/>
      <c r="C825" s="125"/>
      <c r="D825" s="125"/>
      <c r="E825" s="71"/>
      <c r="F825" s="71"/>
      <c r="G825" s="71"/>
      <c r="H825" s="126"/>
      <c r="I825" s="125"/>
      <c r="J825" s="123"/>
      <c r="K825" s="12"/>
      <c r="L825" s="117"/>
      <c r="M825" s="12"/>
      <c r="N825" s="117"/>
      <c r="O825" s="117"/>
      <c r="P825" s="117"/>
      <c r="Q825" s="118"/>
      <c r="R825" s="118"/>
      <c r="S825" s="118"/>
      <c r="T825" s="12"/>
      <c r="U825" s="118"/>
      <c r="V825" s="118"/>
      <c r="W825" s="12"/>
      <c r="X825" s="119"/>
      <c r="Y825" s="120"/>
      <c r="Z825" s="12"/>
      <c r="BA825" s="70" t="s">
        <v>205</v>
      </c>
      <c r="BB825" s="71" t="s">
        <v>210</v>
      </c>
      <c r="BC825" s="71" t="s">
        <v>207</v>
      </c>
      <c r="BD825" s="71">
        <v>31.5</v>
      </c>
      <c r="BE825" s="71">
        <v>36</v>
      </c>
      <c r="BF825" s="71">
        <v>390</v>
      </c>
      <c r="BG825" s="71">
        <v>212</v>
      </c>
      <c r="BH825" s="71">
        <v>5</v>
      </c>
      <c r="BI825" s="71">
        <v>10</v>
      </c>
      <c r="BJ825" s="12" t="str" cm="1">
        <f t="array" ref="BJ825">_xll.Dce_Name_SectI(BF825, BF825, BG825, BH825, BI825, "x", "-", $AX$11)</f>
        <v>390x212x5x10</v>
      </c>
      <c r="BK825" s="77" cm="1">
        <f t="array" ref="BK825">_xll.DCEPropSectI(BF825, BH825, BG825, BI825, BG825, BI825, "A")/100</f>
        <v>60.9</v>
      </c>
      <c r="BL825" s="70" t="s">
        <v>223</v>
      </c>
      <c r="BM825" s="70">
        <v>-14.770375872464221</v>
      </c>
      <c r="BN825" s="71">
        <v>0.9</v>
      </c>
      <c r="BO825" s="77">
        <f t="shared" si="107"/>
        <v>32.4</v>
      </c>
      <c r="BP825" s="71">
        <v>0.9</v>
      </c>
      <c r="BQ825" s="77">
        <f t="shared" si="108"/>
        <v>32.4</v>
      </c>
      <c r="BR825" s="77" cm="1">
        <f t="array" ref="BR825">_xll.DCEPropSectI(BF825, BH825, BG825, BI825, BG825, BI825, "rx")/10</f>
        <v>16.91131201300167</v>
      </c>
      <c r="BS825" s="77" cm="1">
        <f t="array" ref="BS825">_xll.DCEPropSectI(BF825, BH825, BG825, BI825, BG825, BI825, "ry")/10</f>
        <v>5.1070747638622018</v>
      </c>
      <c r="BT825" s="5">
        <f t="shared" si="109"/>
        <v>191.58773710218577</v>
      </c>
      <c r="BU825" s="5">
        <f t="shared" si="110"/>
        <v>634.41405301647956</v>
      </c>
      <c r="BV825" s="5">
        <f t="shared" si="111"/>
        <v>634.41405301647956</v>
      </c>
      <c r="BW825" s="71">
        <f t="shared" si="112"/>
        <v>200</v>
      </c>
      <c r="BX825" s="78" cm="1">
        <f t="array" ref="BX825">IF(BM825&gt;0,1,_xll.DCETCVN5575FactorPhi7121(BV825*SQRT($K$17/206000),"b"))</f>
        <v>1.6670876655456978E-2</v>
      </c>
      <c r="BY825" s="64">
        <f t="shared" si="113"/>
        <v>0.69278188260191997</v>
      </c>
      <c r="BZ825" s="3" t="str">
        <f t="shared" si="114"/>
        <v>Check</v>
      </c>
    </row>
    <row r="826" spans="1:78">
      <c r="A826" s="76"/>
      <c r="B826" s="76"/>
      <c r="C826" s="125"/>
      <c r="D826" s="125"/>
      <c r="E826" s="71"/>
      <c r="F826" s="71"/>
      <c r="G826" s="71"/>
      <c r="H826" s="126"/>
      <c r="I826" s="125"/>
      <c r="J826" s="123"/>
      <c r="K826" s="12"/>
      <c r="L826" s="117"/>
      <c r="M826" s="12"/>
      <c r="N826" s="117"/>
      <c r="O826" s="117"/>
      <c r="P826" s="117"/>
      <c r="Q826" s="118"/>
      <c r="R826" s="118"/>
      <c r="S826" s="118"/>
      <c r="T826" s="12"/>
      <c r="U826" s="118"/>
      <c r="V826" s="118"/>
      <c r="W826" s="12"/>
      <c r="X826" s="119"/>
      <c r="Y826" s="120"/>
      <c r="Z826" s="12"/>
      <c r="BA826" s="70" t="s">
        <v>205</v>
      </c>
      <c r="BB826" s="71" t="s">
        <v>210</v>
      </c>
      <c r="BC826" s="71" t="s">
        <v>207</v>
      </c>
      <c r="BD826" s="71">
        <v>32</v>
      </c>
      <c r="BE826" s="71">
        <v>36</v>
      </c>
      <c r="BF826" s="71">
        <v>390</v>
      </c>
      <c r="BG826" s="71">
        <v>212</v>
      </c>
      <c r="BH826" s="71">
        <v>5</v>
      </c>
      <c r="BI826" s="71">
        <v>10</v>
      </c>
      <c r="BJ826" s="12" t="str" cm="1">
        <f t="array" ref="BJ826">_xll.Dce_Name_SectI(BF826, BF826, BG826, BH826, BI826, "x", "-", $AX$11)</f>
        <v>390x212x5x10</v>
      </c>
      <c r="BK826" s="77" cm="1">
        <f t="array" ref="BK826">_xll.DCEPropSectI(BF826, BH826, BG826, BI826, BG826, BI826, "A")/100</f>
        <v>60.9</v>
      </c>
      <c r="BL826" s="70" t="s">
        <v>223</v>
      </c>
      <c r="BM826" s="70">
        <v>-14.770375872464221</v>
      </c>
      <c r="BN826" s="71">
        <v>0.9</v>
      </c>
      <c r="BO826" s="77">
        <f t="shared" si="107"/>
        <v>32.4</v>
      </c>
      <c r="BP826" s="71">
        <v>0.9</v>
      </c>
      <c r="BQ826" s="77">
        <f t="shared" si="108"/>
        <v>32.4</v>
      </c>
      <c r="BR826" s="77" cm="1">
        <f t="array" ref="BR826">_xll.DCEPropSectI(BF826, BH826, BG826, BI826, BG826, BI826, "rx")/10</f>
        <v>16.91131201300167</v>
      </c>
      <c r="BS826" s="77" cm="1">
        <f t="array" ref="BS826">_xll.DCEPropSectI(BF826, BH826, BG826, BI826, BG826, BI826, "ry")/10</f>
        <v>5.1070747638622018</v>
      </c>
      <c r="BT826" s="5">
        <f t="shared" si="109"/>
        <v>191.58773710218577</v>
      </c>
      <c r="BU826" s="5">
        <f t="shared" si="110"/>
        <v>634.41405301647956</v>
      </c>
      <c r="BV826" s="5">
        <f t="shared" si="111"/>
        <v>634.41405301647956</v>
      </c>
      <c r="BW826" s="71">
        <f t="shared" si="112"/>
        <v>200</v>
      </c>
      <c r="BX826" s="78" cm="1">
        <f t="array" ref="BX826">IF(BM826&gt;0,1,_xll.DCETCVN5575FactorPhi7121(BV826*SQRT($K$17/206000),"b"))</f>
        <v>1.6670876655456978E-2</v>
      </c>
      <c r="BY826" s="64">
        <f t="shared" si="113"/>
        <v>0.69278188260191997</v>
      </c>
      <c r="BZ826" s="3" t="str">
        <f t="shared" si="114"/>
        <v>Check</v>
      </c>
    </row>
    <row r="827" spans="1:78">
      <c r="A827" s="76"/>
      <c r="B827" s="76"/>
      <c r="C827" s="125"/>
      <c r="D827" s="125"/>
      <c r="E827" s="71"/>
      <c r="F827" s="71"/>
      <c r="G827" s="71"/>
      <c r="H827" s="126"/>
      <c r="I827" s="125"/>
      <c r="J827" s="123"/>
      <c r="K827" s="12"/>
      <c r="L827" s="117"/>
      <c r="M827" s="12"/>
      <c r="N827" s="117"/>
      <c r="O827" s="117"/>
      <c r="P827" s="117"/>
      <c r="Q827" s="118"/>
      <c r="R827" s="118"/>
      <c r="S827" s="118"/>
      <c r="T827" s="12"/>
      <c r="U827" s="118"/>
      <c r="V827" s="118"/>
      <c r="W827" s="12"/>
      <c r="X827" s="119"/>
      <c r="Y827" s="120"/>
      <c r="Z827" s="12"/>
      <c r="BA827" s="70" t="s">
        <v>205</v>
      </c>
      <c r="BB827" s="71" t="s">
        <v>210</v>
      </c>
      <c r="BC827" s="71" t="s">
        <v>207</v>
      </c>
      <c r="BD827" s="71">
        <v>32.5</v>
      </c>
      <c r="BE827" s="71">
        <v>36</v>
      </c>
      <c r="BF827" s="71">
        <v>390</v>
      </c>
      <c r="BG827" s="71">
        <v>212</v>
      </c>
      <c r="BH827" s="71">
        <v>5</v>
      </c>
      <c r="BI827" s="71">
        <v>10</v>
      </c>
      <c r="BJ827" s="12" t="str" cm="1">
        <f t="array" ref="BJ827">_xll.Dce_Name_SectI(BF827, BF827, BG827, BH827, BI827, "x", "-", $AX$11)</f>
        <v>390x212x5x10</v>
      </c>
      <c r="BK827" s="77" cm="1">
        <f t="array" ref="BK827">_xll.DCEPropSectI(BF827, BH827, BG827, BI827, BG827, BI827, "A")/100</f>
        <v>60.9</v>
      </c>
      <c r="BL827" s="70" t="s">
        <v>223</v>
      </c>
      <c r="BM827" s="70">
        <v>-14.770375872464221</v>
      </c>
      <c r="BN827" s="71">
        <v>0.9</v>
      </c>
      <c r="BO827" s="77">
        <f t="shared" si="107"/>
        <v>32.4</v>
      </c>
      <c r="BP827" s="71">
        <v>0.9</v>
      </c>
      <c r="BQ827" s="77">
        <f t="shared" si="108"/>
        <v>32.4</v>
      </c>
      <c r="BR827" s="77" cm="1">
        <f t="array" ref="BR827">_xll.DCEPropSectI(BF827, BH827, BG827, BI827, BG827, BI827, "rx")/10</f>
        <v>16.91131201300167</v>
      </c>
      <c r="BS827" s="77" cm="1">
        <f t="array" ref="BS827">_xll.DCEPropSectI(BF827, BH827, BG827, BI827, BG827, BI827, "ry")/10</f>
        <v>5.1070747638622018</v>
      </c>
      <c r="BT827" s="5">
        <f t="shared" si="109"/>
        <v>191.58773710218577</v>
      </c>
      <c r="BU827" s="5">
        <f t="shared" si="110"/>
        <v>634.41405301647956</v>
      </c>
      <c r="BV827" s="5">
        <f t="shared" si="111"/>
        <v>634.41405301647956</v>
      </c>
      <c r="BW827" s="71">
        <f t="shared" si="112"/>
        <v>200</v>
      </c>
      <c r="BX827" s="78" cm="1">
        <f t="array" ref="BX827">IF(BM827&gt;0,1,_xll.DCETCVN5575FactorPhi7121(BV827*SQRT($K$17/206000),"b"))</f>
        <v>1.6670876655456978E-2</v>
      </c>
      <c r="BY827" s="64">
        <f t="shared" si="113"/>
        <v>0.69278188260191997</v>
      </c>
      <c r="BZ827" s="3" t="str">
        <f t="shared" si="114"/>
        <v>Check</v>
      </c>
    </row>
    <row r="828" spans="1:78">
      <c r="A828" s="76"/>
      <c r="B828" s="76"/>
      <c r="C828" s="125"/>
      <c r="D828" s="125"/>
      <c r="E828" s="71"/>
      <c r="F828" s="71"/>
      <c r="G828" s="71"/>
      <c r="H828" s="126"/>
      <c r="I828" s="125"/>
      <c r="J828" s="123"/>
      <c r="K828" s="12"/>
      <c r="L828" s="117"/>
      <c r="M828" s="12"/>
      <c r="N828" s="117"/>
      <c r="O828" s="117"/>
      <c r="P828" s="117"/>
      <c r="Q828" s="118"/>
      <c r="R828" s="118"/>
      <c r="S828" s="118"/>
      <c r="T828" s="12"/>
      <c r="U828" s="118"/>
      <c r="V828" s="118"/>
      <c r="W828" s="12"/>
      <c r="X828" s="119"/>
      <c r="Y828" s="120"/>
      <c r="Z828" s="12"/>
      <c r="BA828" s="70" t="s">
        <v>205</v>
      </c>
      <c r="BB828" s="71" t="s">
        <v>210</v>
      </c>
      <c r="BC828" s="71" t="s">
        <v>207</v>
      </c>
      <c r="BD828" s="71">
        <v>33</v>
      </c>
      <c r="BE828" s="71">
        <v>36</v>
      </c>
      <c r="BF828" s="71">
        <v>390</v>
      </c>
      <c r="BG828" s="71">
        <v>212</v>
      </c>
      <c r="BH828" s="71">
        <v>5</v>
      </c>
      <c r="BI828" s="71">
        <v>10</v>
      </c>
      <c r="BJ828" s="12" t="str" cm="1">
        <f t="array" ref="BJ828">_xll.Dce_Name_SectI(BF828, BF828, BG828, BH828, BI828, "x", "-", $AX$11)</f>
        <v>390x212x5x10</v>
      </c>
      <c r="BK828" s="77" cm="1">
        <f t="array" ref="BK828">_xll.DCEPropSectI(BF828, BH828, BG828, BI828, BG828, BI828, "A")/100</f>
        <v>60.9</v>
      </c>
      <c r="BL828" s="70" t="s">
        <v>223</v>
      </c>
      <c r="BM828" s="70">
        <v>-14.770375872464221</v>
      </c>
      <c r="BN828" s="71">
        <v>0.9</v>
      </c>
      <c r="BO828" s="77">
        <f t="shared" si="107"/>
        <v>32.4</v>
      </c>
      <c r="BP828" s="71">
        <v>0.9</v>
      </c>
      <c r="BQ828" s="77">
        <f t="shared" si="108"/>
        <v>32.4</v>
      </c>
      <c r="BR828" s="77" cm="1">
        <f t="array" ref="BR828">_xll.DCEPropSectI(BF828, BH828, BG828, BI828, BG828, BI828, "rx")/10</f>
        <v>16.91131201300167</v>
      </c>
      <c r="BS828" s="77" cm="1">
        <f t="array" ref="BS828">_xll.DCEPropSectI(BF828, BH828, BG828, BI828, BG828, BI828, "ry")/10</f>
        <v>5.1070747638622018</v>
      </c>
      <c r="BT828" s="5">
        <f t="shared" si="109"/>
        <v>191.58773710218577</v>
      </c>
      <c r="BU828" s="5">
        <f t="shared" si="110"/>
        <v>634.41405301647956</v>
      </c>
      <c r="BV828" s="5">
        <f t="shared" si="111"/>
        <v>634.41405301647956</v>
      </c>
      <c r="BW828" s="71">
        <f t="shared" si="112"/>
        <v>200</v>
      </c>
      <c r="BX828" s="78" cm="1">
        <f t="array" ref="BX828">IF(BM828&gt;0,1,_xll.DCETCVN5575FactorPhi7121(BV828*SQRT($K$17/206000),"b"))</f>
        <v>1.6670876655456978E-2</v>
      </c>
      <c r="BY828" s="64">
        <f t="shared" si="113"/>
        <v>0.69278188260191997</v>
      </c>
      <c r="BZ828" s="3" t="str">
        <f t="shared" si="114"/>
        <v>Check</v>
      </c>
    </row>
    <row r="829" spans="1:78">
      <c r="A829" s="76"/>
      <c r="B829" s="76"/>
      <c r="C829" s="125"/>
      <c r="D829" s="125"/>
      <c r="E829" s="71"/>
      <c r="F829" s="71"/>
      <c r="G829" s="71"/>
      <c r="H829" s="126"/>
      <c r="I829" s="125"/>
      <c r="J829" s="123"/>
      <c r="K829" s="12"/>
      <c r="L829" s="117"/>
      <c r="M829" s="12"/>
      <c r="N829" s="117"/>
      <c r="O829" s="117"/>
      <c r="P829" s="117"/>
      <c r="Q829" s="118"/>
      <c r="R829" s="118"/>
      <c r="S829" s="118"/>
      <c r="T829" s="12"/>
      <c r="U829" s="118"/>
      <c r="V829" s="118"/>
      <c r="W829" s="12"/>
      <c r="X829" s="119"/>
      <c r="Y829" s="120"/>
      <c r="Z829" s="12"/>
      <c r="BA829" s="70" t="s">
        <v>205</v>
      </c>
      <c r="BB829" s="71" t="s">
        <v>210</v>
      </c>
      <c r="BC829" s="71" t="s">
        <v>207</v>
      </c>
      <c r="BD829" s="71">
        <v>33.5</v>
      </c>
      <c r="BE829" s="71">
        <v>36</v>
      </c>
      <c r="BF829" s="71">
        <v>390</v>
      </c>
      <c r="BG829" s="71">
        <v>212</v>
      </c>
      <c r="BH829" s="71">
        <v>5</v>
      </c>
      <c r="BI829" s="71">
        <v>10</v>
      </c>
      <c r="BJ829" s="12" t="str" cm="1">
        <f t="array" ref="BJ829">_xll.Dce_Name_SectI(BF829, BF829, BG829, BH829, BI829, "x", "-", $AX$11)</f>
        <v>390x212x5x10</v>
      </c>
      <c r="BK829" s="77" cm="1">
        <f t="array" ref="BK829">_xll.DCEPropSectI(BF829, BH829, BG829, BI829, BG829, BI829, "A")/100</f>
        <v>60.9</v>
      </c>
      <c r="BL829" s="70" t="s">
        <v>223</v>
      </c>
      <c r="BM829" s="70">
        <v>-14.770375872464221</v>
      </c>
      <c r="BN829" s="71">
        <v>0.9</v>
      </c>
      <c r="BO829" s="77">
        <f t="shared" si="107"/>
        <v>32.4</v>
      </c>
      <c r="BP829" s="71">
        <v>0.9</v>
      </c>
      <c r="BQ829" s="77">
        <f t="shared" si="108"/>
        <v>32.4</v>
      </c>
      <c r="BR829" s="77" cm="1">
        <f t="array" ref="BR829">_xll.DCEPropSectI(BF829, BH829, BG829, BI829, BG829, BI829, "rx")/10</f>
        <v>16.91131201300167</v>
      </c>
      <c r="BS829" s="77" cm="1">
        <f t="array" ref="BS829">_xll.DCEPropSectI(BF829, BH829, BG829, BI829, BG829, BI829, "ry")/10</f>
        <v>5.1070747638622018</v>
      </c>
      <c r="BT829" s="5">
        <f t="shared" si="109"/>
        <v>191.58773710218577</v>
      </c>
      <c r="BU829" s="5">
        <f t="shared" si="110"/>
        <v>634.41405301647956</v>
      </c>
      <c r="BV829" s="5">
        <f t="shared" si="111"/>
        <v>634.41405301647956</v>
      </c>
      <c r="BW829" s="71">
        <f t="shared" si="112"/>
        <v>200</v>
      </c>
      <c r="BX829" s="78" cm="1">
        <f t="array" ref="BX829">IF(BM829&gt;0,1,_xll.DCETCVN5575FactorPhi7121(BV829*SQRT($K$17/206000),"b"))</f>
        <v>1.6670876655456978E-2</v>
      </c>
      <c r="BY829" s="64">
        <f t="shared" si="113"/>
        <v>0.69278188260191997</v>
      </c>
      <c r="BZ829" s="3" t="str">
        <f t="shared" si="114"/>
        <v>Check</v>
      </c>
    </row>
    <row r="830" spans="1:78">
      <c r="A830" s="76"/>
      <c r="B830" s="76"/>
      <c r="C830" s="125"/>
      <c r="D830" s="125"/>
      <c r="E830" s="71"/>
      <c r="F830" s="71"/>
      <c r="G830" s="71"/>
      <c r="H830" s="126"/>
      <c r="I830" s="125"/>
      <c r="J830" s="123"/>
      <c r="K830" s="12"/>
      <c r="L830" s="117"/>
      <c r="M830" s="12"/>
      <c r="N830" s="117"/>
      <c r="O830" s="117"/>
      <c r="P830" s="117"/>
      <c r="Q830" s="118"/>
      <c r="R830" s="118"/>
      <c r="S830" s="118"/>
      <c r="T830" s="12"/>
      <c r="U830" s="118"/>
      <c r="V830" s="118"/>
      <c r="W830" s="12"/>
      <c r="X830" s="119"/>
      <c r="Y830" s="120"/>
      <c r="Z830" s="12"/>
      <c r="BA830" s="70" t="s">
        <v>205</v>
      </c>
      <c r="BB830" s="71" t="s">
        <v>210</v>
      </c>
      <c r="BC830" s="71" t="s">
        <v>207</v>
      </c>
      <c r="BD830" s="71">
        <v>34</v>
      </c>
      <c r="BE830" s="71">
        <v>36</v>
      </c>
      <c r="BF830" s="71">
        <v>390</v>
      </c>
      <c r="BG830" s="71">
        <v>212</v>
      </c>
      <c r="BH830" s="71">
        <v>5</v>
      </c>
      <c r="BI830" s="71">
        <v>10</v>
      </c>
      <c r="BJ830" s="12" t="str" cm="1">
        <f t="array" ref="BJ830">_xll.Dce_Name_SectI(BF830, BF830, BG830, BH830, BI830, "x", "-", $AX$11)</f>
        <v>390x212x5x10</v>
      </c>
      <c r="BK830" s="77" cm="1">
        <f t="array" ref="BK830">_xll.DCEPropSectI(BF830, BH830, BG830, BI830, BG830, BI830, "A")/100</f>
        <v>60.9</v>
      </c>
      <c r="BL830" s="70" t="s">
        <v>223</v>
      </c>
      <c r="BM830" s="70">
        <v>-14.770375872464221</v>
      </c>
      <c r="BN830" s="71">
        <v>0.9</v>
      </c>
      <c r="BO830" s="77">
        <f t="shared" si="107"/>
        <v>32.4</v>
      </c>
      <c r="BP830" s="71">
        <v>0.9</v>
      </c>
      <c r="BQ830" s="77">
        <f t="shared" si="108"/>
        <v>32.4</v>
      </c>
      <c r="BR830" s="77" cm="1">
        <f t="array" ref="BR830">_xll.DCEPropSectI(BF830, BH830, BG830, BI830, BG830, BI830, "rx")/10</f>
        <v>16.91131201300167</v>
      </c>
      <c r="BS830" s="77" cm="1">
        <f t="array" ref="BS830">_xll.DCEPropSectI(BF830, BH830, BG830, BI830, BG830, BI830, "ry")/10</f>
        <v>5.1070747638622018</v>
      </c>
      <c r="BT830" s="5">
        <f t="shared" si="109"/>
        <v>191.58773710218577</v>
      </c>
      <c r="BU830" s="5">
        <f t="shared" si="110"/>
        <v>634.41405301647956</v>
      </c>
      <c r="BV830" s="5">
        <f t="shared" si="111"/>
        <v>634.41405301647956</v>
      </c>
      <c r="BW830" s="71">
        <f t="shared" si="112"/>
        <v>200</v>
      </c>
      <c r="BX830" s="78" cm="1">
        <f t="array" ref="BX830">IF(BM830&gt;0,1,_xll.DCETCVN5575FactorPhi7121(BV830*SQRT($K$17/206000),"b"))</f>
        <v>1.6670876655456978E-2</v>
      </c>
      <c r="BY830" s="64">
        <f t="shared" si="113"/>
        <v>0.69278188260191997</v>
      </c>
      <c r="BZ830" s="3" t="str">
        <f t="shared" si="114"/>
        <v>Check</v>
      </c>
    </row>
    <row r="831" spans="1:78">
      <c r="A831" s="76"/>
      <c r="B831" s="76"/>
      <c r="C831" s="125"/>
      <c r="D831" s="125"/>
      <c r="E831" s="71"/>
      <c r="F831" s="71"/>
      <c r="G831" s="71"/>
      <c r="H831" s="126"/>
      <c r="I831" s="125"/>
      <c r="J831" s="123"/>
      <c r="K831" s="12"/>
      <c r="L831" s="117"/>
      <c r="M831" s="12"/>
      <c r="N831" s="117"/>
      <c r="O831" s="117"/>
      <c r="P831" s="117"/>
      <c r="Q831" s="118"/>
      <c r="R831" s="118"/>
      <c r="S831" s="118"/>
      <c r="T831" s="12"/>
      <c r="U831" s="118"/>
      <c r="V831" s="118"/>
      <c r="W831" s="12"/>
      <c r="X831" s="119"/>
      <c r="Y831" s="120"/>
      <c r="Z831" s="12"/>
      <c r="BA831" s="70" t="s">
        <v>205</v>
      </c>
      <c r="BB831" s="71" t="s">
        <v>210</v>
      </c>
      <c r="BC831" s="71" t="s">
        <v>207</v>
      </c>
      <c r="BD831" s="71">
        <v>34.5</v>
      </c>
      <c r="BE831" s="71">
        <v>36</v>
      </c>
      <c r="BF831" s="71">
        <v>390</v>
      </c>
      <c r="BG831" s="71">
        <v>212</v>
      </c>
      <c r="BH831" s="71">
        <v>5</v>
      </c>
      <c r="BI831" s="71">
        <v>10</v>
      </c>
      <c r="BJ831" s="12" t="str" cm="1">
        <f t="array" ref="BJ831">_xll.Dce_Name_SectI(BF831, BF831, BG831, BH831, BI831, "x", "-", $AX$11)</f>
        <v>390x212x5x10</v>
      </c>
      <c r="BK831" s="77" cm="1">
        <f t="array" ref="BK831">_xll.DCEPropSectI(BF831, BH831, BG831, BI831, BG831, BI831, "A")/100</f>
        <v>60.9</v>
      </c>
      <c r="BL831" s="70" t="s">
        <v>223</v>
      </c>
      <c r="BM831" s="70">
        <v>-14.770375872464221</v>
      </c>
      <c r="BN831" s="71">
        <v>0.9</v>
      </c>
      <c r="BO831" s="77">
        <f t="shared" si="107"/>
        <v>32.4</v>
      </c>
      <c r="BP831" s="71">
        <v>0.9</v>
      </c>
      <c r="BQ831" s="77">
        <f t="shared" si="108"/>
        <v>32.4</v>
      </c>
      <c r="BR831" s="77" cm="1">
        <f t="array" ref="BR831">_xll.DCEPropSectI(BF831, BH831, BG831, BI831, BG831, BI831, "rx")/10</f>
        <v>16.91131201300167</v>
      </c>
      <c r="BS831" s="77" cm="1">
        <f t="array" ref="BS831">_xll.DCEPropSectI(BF831, BH831, BG831, BI831, BG831, BI831, "ry")/10</f>
        <v>5.1070747638622018</v>
      </c>
      <c r="BT831" s="5">
        <f t="shared" si="109"/>
        <v>191.58773710218577</v>
      </c>
      <c r="BU831" s="5">
        <f t="shared" si="110"/>
        <v>634.41405301647956</v>
      </c>
      <c r="BV831" s="5">
        <f t="shared" si="111"/>
        <v>634.41405301647956</v>
      </c>
      <c r="BW831" s="71">
        <f t="shared" si="112"/>
        <v>200</v>
      </c>
      <c r="BX831" s="78" cm="1">
        <f t="array" ref="BX831">IF(BM831&gt;0,1,_xll.DCETCVN5575FactorPhi7121(BV831*SQRT($K$17/206000),"b"))</f>
        <v>1.6670876655456978E-2</v>
      </c>
      <c r="BY831" s="64">
        <f t="shared" si="113"/>
        <v>0.69278188260191997</v>
      </c>
      <c r="BZ831" s="3" t="str">
        <f t="shared" si="114"/>
        <v>Check</v>
      </c>
    </row>
    <row r="832" spans="1:78">
      <c r="A832" s="76"/>
      <c r="B832" s="76"/>
      <c r="C832" s="125"/>
      <c r="D832" s="125"/>
      <c r="E832" s="71"/>
      <c r="F832" s="71"/>
      <c r="G832" s="71"/>
      <c r="H832" s="126"/>
      <c r="I832" s="125"/>
      <c r="J832" s="123"/>
      <c r="K832" s="12"/>
      <c r="L832" s="117"/>
      <c r="M832" s="12"/>
      <c r="N832" s="117"/>
      <c r="O832" s="117"/>
      <c r="P832" s="117"/>
      <c r="Q832" s="118"/>
      <c r="R832" s="118"/>
      <c r="S832" s="118"/>
      <c r="T832" s="12"/>
      <c r="U832" s="118"/>
      <c r="V832" s="118"/>
      <c r="W832" s="12"/>
      <c r="X832" s="119"/>
      <c r="Y832" s="120"/>
      <c r="Z832" s="12"/>
      <c r="BA832" s="70" t="s">
        <v>205</v>
      </c>
      <c r="BB832" s="71" t="s">
        <v>210</v>
      </c>
      <c r="BC832" s="71" t="s">
        <v>207</v>
      </c>
      <c r="BD832" s="71">
        <v>35</v>
      </c>
      <c r="BE832" s="71">
        <v>36</v>
      </c>
      <c r="BF832" s="71">
        <v>390</v>
      </c>
      <c r="BG832" s="71">
        <v>212</v>
      </c>
      <c r="BH832" s="71">
        <v>5</v>
      </c>
      <c r="BI832" s="71">
        <v>10</v>
      </c>
      <c r="BJ832" s="12" t="str" cm="1">
        <f t="array" ref="BJ832">_xll.Dce_Name_SectI(BF832, BF832, BG832, BH832, BI832, "x", "-", $AX$11)</f>
        <v>390x212x5x10</v>
      </c>
      <c r="BK832" s="77" cm="1">
        <f t="array" ref="BK832">_xll.DCEPropSectI(BF832, BH832, BG832, BI832, BG832, BI832, "A")/100</f>
        <v>60.9</v>
      </c>
      <c r="BL832" s="70" t="s">
        <v>223</v>
      </c>
      <c r="BM832" s="70">
        <v>-14.770375872464221</v>
      </c>
      <c r="BN832" s="71">
        <v>0.9</v>
      </c>
      <c r="BO832" s="77">
        <f t="shared" si="107"/>
        <v>32.4</v>
      </c>
      <c r="BP832" s="71">
        <v>0.9</v>
      </c>
      <c r="BQ832" s="77">
        <f t="shared" si="108"/>
        <v>32.4</v>
      </c>
      <c r="BR832" s="77" cm="1">
        <f t="array" ref="BR832">_xll.DCEPropSectI(BF832, BH832, BG832, BI832, BG832, BI832, "rx")/10</f>
        <v>16.91131201300167</v>
      </c>
      <c r="BS832" s="77" cm="1">
        <f t="array" ref="BS832">_xll.DCEPropSectI(BF832, BH832, BG832, BI832, BG832, BI832, "ry")/10</f>
        <v>5.1070747638622018</v>
      </c>
      <c r="BT832" s="5">
        <f t="shared" si="109"/>
        <v>191.58773710218577</v>
      </c>
      <c r="BU832" s="5">
        <f t="shared" si="110"/>
        <v>634.41405301647956</v>
      </c>
      <c r="BV832" s="5">
        <f t="shared" si="111"/>
        <v>634.41405301647956</v>
      </c>
      <c r="BW832" s="71">
        <f t="shared" si="112"/>
        <v>200</v>
      </c>
      <c r="BX832" s="78" cm="1">
        <f t="array" ref="BX832">IF(BM832&gt;0,1,_xll.DCETCVN5575FactorPhi7121(BV832*SQRT($K$17/206000),"b"))</f>
        <v>1.6670876655456978E-2</v>
      </c>
      <c r="BY832" s="64">
        <f t="shared" si="113"/>
        <v>0.69278188260191997</v>
      </c>
      <c r="BZ832" s="3" t="str">
        <f t="shared" si="114"/>
        <v>Check</v>
      </c>
    </row>
    <row r="833" spans="1:78">
      <c r="A833" s="76"/>
      <c r="B833" s="76"/>
      <c r="C833" s="125"/>
      <c r="D833" s="125"/>
      <c r="E833" s="71"/>
      <c r="F833" s="71"/>
      <c r="G833" s="71"/>
      <c r="H833" s="126"/>
      <c r="I833" s="125"/>
      <c r="J833" s="123"/>
      <c r="K833" s="12"/>
      <c r="L833" s="117"/>
      <c r="M833" s="12"/>
      <c r="N833" s="117"/>
      <c r="O833" s="117"/>
      <c r="P833" s="117"/>
      <c r="Q833" s="118"/>
      <c r="R833" s="118"/>
      <c r="S833" s="118"/>
      <c r="T833" s="12"/>
      <c r="U833" s="118"/>
      <c r="V833" s="118"/>
      <c r="W833" s="12"/>
      <c r="X833" s="119"/>
      <c r="Y833" s="120"/>
      <c r="Z833" s="12"/>
      <c r="BA833" s="70" t="s">
        <v>205</v>
      </c>
      <c r="BB833" s="71" t="s">
        <v>210</v>
      </c>
      <c r="BC833" s="71" t="s">
        <v>207</v>
      </c>
      <c r="BD833" s="71">
        <v>35.5</v>
      </c>
      <c r="BE833" s="71">
        <v>36</v>
      </c>
      <c r="BF833" s="71">
        <v>390</v>
      </c>
      <c r="BG833" s="71">
        <v>212</v>
      </c>
      <c r="BH833" s="71">
        <v>5</v>
      </c>
      <c r="BI833" s="71">
        <v>10</v>
      </c>
      <c r="BJ833" s="12" t="str" cm="1">
        <f t="array" ref="BJ833">_xll.Dce_Name_SectI(BF833, BF833, BG833, BH833, BI833, "x", "-", $AX$11)</f>
        <v>390x212x5x10</v>
      </c>
      <c r="BK833" s="77" cm="1">
        <f t="array" ref="BK833">_xll.DCEPropSectI(BF833, BH833, BG833, BI833, BG833, BI833, "A")/100</f>
        <v>60.9</v>
      </c>
      <c r="BL833" s="70" t="s">
        <v>223</v>
      </c>
      <c r="BM833" s="70">
        <v>-14.770375872464221</v>
      </c>
      <c r="BN833" s="71">
        <v>0.9</v>
      </c>
      <c r="BO833" s="77">
        <f t="shared" si="107"/>
        <v>32.4</v>
      </c>
      <c r="BP833" s="71">
        <v>0.9</v>
      </c>
      <c r="BQ833" s="77">
        <f t="shared" si="108"/>
        <v>32.4</v>
      </c>
      <c r="BR833" s="77" cm="1">
        <f t="array" ref="BR833">_xll.DCEPropSectI(BF833, BH833, BG833, BI833, BG833, BI833, "rx")/10</f>
        <v>16.91131201300167</v>
      </c>
      <c r="BS833" s="77" cm="1">
        <f t="array" ref="BS833">_xll.DCEPropSectI(BF833, BH833, BG833, BI833, BG833, BI833, "ry")/10</f>
        <v>5.1070747638622018</v>
      </c>
      <c r="BT833" s="5">
        <f t="shared" si="109"/>
        <v>191.58773710218577</v>
      </c>
      <c r="BU833" s="5">
        <f t="shared" si="110"/>
        <v>634.41405301647956</v>
      </c>
      <c r="BV833" s="5">
        <f t="shared" si="111"/>
        <v>634.41405301647956</v>
      </c>
      <c r="BW833" s="71">
        <f t="shared" si="112"/>
        <v>200</v>
      </c>
      <c r="BX833" s="78" cm="1">
        <f t="array" ref="BX833">IF(BM833&gt;0,1,_xll.DCETCVN5575FactorPhi7121(BV833*SQRT($K$17/206000),"b"))</f>
        <v>1.6670876655456978E-2</v>
      </c>
      <c r="BY833" s="64">
        <f t="shared" si="113"/>
        <v>0.69278188260191997</v>
      </c>
      <c r="BZ833" s="3" t="str">
        <f t="shared" si="114"/>
        <v>Check</v>
      </c>
    </row>
    <row r="834" spans="1:78">
      <c r="A834" s="76"/>
      <c r="B834" s="76"/>
      <c r="C834" s="125"/>
      <c r="D834" s="125"/>
      <c r="E834" s="71"/>
      <c r="F834" s="71"/>
      <c r="G834" s="71"/>
      <c r="H834" s="126"/>
      <c r="I834" s="125"/>
      <c r="J834" s="123"/>
      <c r="K834" s="12"/>
      <c r="L834" s="117"/>
      <c r="M834" s="12"/>
      <c r="N834" s="117"/>
      <c r="O834" s="117"/>
      <c r="P834" s="117"/>
      <c r="Q834" s="118"/>
      <c r="R834" s="118"/>
      <c r="S834" s="118"/>
      <c r="T834" s="12"/>
      <c r="U834" s="118"/>
      <c r="V834" s="118"/>
      <c r="W834" s="12"/>
      <c r="X834" s="119"/>
      <c r="Y834" s="120"/>
      <c r="Z834" s="12"/>
      <c r="BA834" s="70" t="s">
        <v>205</v>
      </c>
      <c r="BB834" s="71" t="s">
        <v>210</v>
      </c>
      <c r="BC834" s="71" t="s">
        <v>207</v>
      </c>
      <c r="BD834" s="71">
        <v>36</v>
      </c>
      <c r="BE834" s="71">
        <v>36</v>
      </c>
      <c r="BF834" s="71">
        <v>390</v>
      </c>
      <c r="BG834" s="71">
        <v>212</v>
      </c>
      <c r="BH834" s="71">
        <v>5</v>
      </c>
      <c r="BI834" s="71">
        <v>10</v>
      </c>
      <c r="BJ834" s="12" t="str" cm="1">
        <f t="array" ref="BJ834">_xll.Dce_Name_SectI(BF834, BF834, BG834, BH834, BI834, "x", "-", $AX$11)</f>
        <v>390x212x5x10</v>
      </c>
      <c r="BK834" s="77" cm="1">
        <f t="array" ref="BK834">_xll.DCEPropSectI(BF834, BH834, BG834, BI834, BG834, BI834, "A")/100</f>
        <v>60.9</v>
      </c>
      <c r="BL834" s="70" t="s">
        <v>223</v>
      </c>
      <c r="BM834" s="70">
        <v>-14.770375872464221</v>
      </c>
      <c r="BN834" s="71">
        <v>0.9</v>
      </c>
      <c r="BO834" s="77">
        <f t="shared" si="107"/>
        <v>32.4</v>
      </c>
      <c r="BP834" s="71">
        <v>0.9</v>
      </c>
      <c r="BQ834" s="77">
        <f t="shared" si="108"/>
        <v>32.4</v>
      </c>
      <c r="BR834" s="77" cm="1">
        <f t="array" ref="BR834">_xll.DCEPropSectI(BF834, BH834, BG834, BI834, BG834, BI834, "rx")/10</f>
        <v>16.91131201300167</v>
      </c>
      <c r="BS834" s="77" cm="1">
        <f t="array" ref="BS834">_xll.DCEPropSectI(BF834, BH834, BG834, BI834, BG834, BI834, "ry")/10</f>
        <v>5.1070747638622018</v>
      </c>
      <c r="BT834" s="5">
        <f t="shared" si="109"/>
        <v>191.58773710218577</v>
      </c>
      <c r="BU834" s="5">
        <f t="shared" si="110"/>
        <v>634.41405301647956</v>
      </c>
      <c r="BV834" s="5">
        <f t="shared" si="111"/>
        <v>634.41405301647956</v>
      </c>
      <c r="BW834" s="71">
        <f t="shared" si="112"/>
        <v>200</v>
      </c>
      <c r="BX834" s="78" cm="1">
        <f t="array" ref="BX834">IF(BM834&gt;0,1,_xll.DCETCVN5575FactorPhi7121(BV834*SQRT($K$17/206000),"b"))</f>
        <v>1.6670876655456978E-2</v>
      </c>
      <c r="BY834" s="64">
        <f t="shared" si="113"/>
        <v>0.69278188260191997</v>
      </c>
      <c r="BZ834" s="3" t="str">
        <f t="shared" si="114"/>
        <v>Check</v>
      </c>
    </row>
    <row r="835" spans="1:78">
      <c r="A835" s="76"/>
      <c r="B835" s="76"/>
      <c r="C835" s="125"/>
      <c r="D835" s="125"/>
      <c r="E835" s="71"/>
      <c r="F835" s="71"/>
      <c r="G835" s="71"/>
      <c r="H835" s="126"/>
      <c r="I835" s="125"/>
      <c r="J835" s="123"/>
      <c r="K835" s="12"/>
      <c r="L835" s="117"/>
      <c r="M835" s="12"/>
      <c r="N835" s="117"/>
      <c r="O835" s="117"/>
      <c r="P835" s="117"/>
      <c r="Q835" s="118"/>
      <c r="R835" s="118"/>
      <c r="S835" s="118"/>
      <c r="T835" s="12"/>
      <c r="U835" s="118"/>
      <c r="V835" s="118"/>
      <c r="W835" s="12"/>
      <c r="X835" s="119"/>
      <c r="Y835" s="120"/>
      <c r="Z835" s="12"/>
      <c r="BA835" s="70" t="s">
        <v>205</v>
      </c>
      <c r="BB835" s="71" t="s">
        <v>210</v>
      </c>
      <c r="BC835" s="71" t="s">
        <v>207</v>
      </c>
      <c r="BD835" s="71">
        <v>0</v>
      </c>
      <c r="BE835" s="71">
        <v>36</v>
      </c>
      <c r="BF835" s="71">
        <v>390</v>
      </c>
      <c r="BG835" s="71">
        <v>212</v>
      </c>
      <c r="BH835" s="71">
        <v>5</v>
      </c>
      <c r="BI835" s="71">
        <v>10</v>
      </c>
      <c r="BJ835" s="12" t="str" cm="1">
        <f t="array" ref="BJ835">_xll.Dce_Name_SectI(BF835, BF835, BG835, BH835, BI835, "x", "-", $AX$11)</f>
        <v>390x212x5x10</v>
      </c>
      <c r="BK835" s="77" cm="1">
        <f t="array" ref="BK835">_xll.DCEPropSectI(BF835, BH835, BG835, BI835, BG835, BI835, "A")/100</f>
        <v>60.9</v>
      </c>
      <c r="BL835" s="70" t="s">
        <v>224</v>
      </c>
      <c r="BM835" s="70">
        <v>26.148969570636016</v>
      </c>
      <c r="BN835" s="71">
        <v>0.9</v>
      </c>
      <c r="BO835" s="77">
        <f t="shared" si="107"/>
        <v>32.4</v>
      </c>
      <c r="BP835" s="71">
        <v>0.9</v>
      </c>
      <c r="BQ835" s="77">
        <f t="shared" si="108"/>
        <v>32.4</v>
      </c>
      <c r="BR835" s="77" cm="1">
        <f t="array" ref="BR835">_xll.DCEPropSectI(BF835, BH835, BG835, BI835, BG835, BI835, "rx")/10</f>
        <v>16.91131201300167</v>
      </c>
      <c r="BS835" s="77" cm="1">
        <f t="array" ref="BS835">_xll.DCEPropSectI(BF835, BH835, BG835, BI835, BG835, BI835, "ry")/10</f>
        <v>5.1070747638622018</v>
      </c>
      <c r="BT835" s="5">
        <f t="shared" si="109"/>
        <v>191.58773710218577</v>
      </c>
      <c r="BU835" s="5">
        <f t="shared" si="110"/>
        <v>634.41405301647956</v>
      </c>
      <c r="BV835" s="5">
        <f t="shared" si="111"/>
        <v>634.41405301647956</v>
      </c>
      <c r="BW835" s="71">
        <f t="shared" si="112"/>
        <v>400</v>
      </c>
      <c r="BX835" s="78" cm="1">
        <f t="array" ref="BX835">IF(BM835&gt;0,1,_xll.DCETCVN5575FactorPhi7121(BV835*SQRT($K$17/206000),"b"))</f>
        <v>1</v>
      </c>
      <c r="BY835" s="64">
        <f t="shared" si="113"/>
        <v>2.044645364816328E-2</v>
      </c>
      <c r="BZ835" s="3" t="str">
        <f t="shared" si="114"/>
        <v>Check</v>
      </c>
    </row>
    <row r="836" spans="1:78">
      <c r="A836" s="76"/>
      <c r="B836" s="76"/>
      <c r="C836" s="125"/>
      <c r="D836" s="125"/>
      <c r="E836" s="71"/>
      <c r="F836" s="71"/>
      <c r="G836" s="71"/>
      <c r="H836" s="126"/>
      <c r="I836" s="125"/>
      <c r="J836" s="123"/>
      <c r="K836" s="12"/>
      <c r="L836" s="117"/>
      <c r="M836" s="12"/>
      <c r="N836" s="117"/>
      <c r="O836" s="117"/>
      <c r="P836" s="117"/>
      <c r="Q836" s="118"/>
      <c r="R836" s="118"/>
      <c r="S836" s="118"/>
      <c r="T836" s="12"/>
      <c r="U836" s="118"/>
      <c r="V836" s="118"/>
      <c r="W836" s="12"/>
      <c r="X836" s="119"/>
      <c r="Y836" s="120"/>
      <c r="Z836" s="12"/>
      <c r="BA836" s="70" t="s">
        <v>205</v>
      </c>
      <c r="BB836" s="71" t="s">
        <v>210</v>
      </c>
      <c r="BC836" s="71" t="s">
        <v>207</v>
      </c>
      <c r="BD836" s="71">
        <v>0.3</v>
      </c>
      <c r="BE836" s="71">
        <v>36</v>
      </c>
      <c r="BF836" s="71">
        <v>390</v>
      </c>
      <c r="BG836" s="71">
        <v>212</v>
      </c>
      <c r="BH836" s="71">
        <v>5</v>
      </c>
      <c r="BI836" s="71">
        <v>10</v>
      </c>
      <c r="BJ836" s="12" t="str" cm="1">
        <f t="array" ref="BJ836">_xll.Dce_Name_SectI(BF836, BF836, BG836, BH836, BI836, "x", "-", $AX$11)</f>
        <v>390x212x5x10</v>
      </c>
      <c r="BK836" s="77" cm="1">
        <f t="array" ref="BK836">_xll.DCEPropSectI(BF836, BH836, BG836, BI836, BG836, BI836, "A")/100</f>
        <v>60.9</v>
      </c>
      <c r="BL836" s="70" t="s">
        <v>224</v>
      </c>
      <c r="BM836" s="70">
        <v>26.148969570636016</v>
      </c>
      <c r="BN836" s="71">
        <v>0.9</v>
      </c>
      <c r="BO836" s="77">
        <f t="shared" si="107"/>
        <v>32.4</v>
      </c>
      <c r="BP836" s="71">
        <v>0.9</v>
      </c>
      <c r="BQ836" s="77">
        <f t="shared" si="108"/>
        <v>32.4</v>
      </c>
      <c r="BR836" s="77" cm="1">
        <f t="array" ref="BR836">_xll.DCEPropSectI(BF836, BH836, BG836, BI836, BG836, BI836, "rx")/10</f>
        <v>16.91131201300167</v>
      </c>
      <c r="BS836" s="77" cm="1">
        <f t="array" ref="BS836">_xll.DCEPropSectI(BF836, BH836, BG836, BI836, BG836, BI836, "ry")/10</f>
        <v>5.1070747638622018</v>
      </c>
      <c r="BT836" s="5">
        <f t="shared" si="109"/>
        <v>191.58773710218577</v>
      </c>
      <c r="BU836" s="5">
        <f t="shared" si="110"/>
        <v>634.41405301647956</v>
      </c>
      <c r="BV836" s="5">
        <f t="shared" si="111"/>
        <v>634.41405301647956</v>
      </c>
      <c r="BW836" s="71">
        <f t="shared" si="112"/>
        <v>400</v>
      </c>
      <c r="BX836" s="78" cm="1">
        <f t="array" ref="BX836">IF(BM836&gt;0,1,_xll.DCETCVN5575FactorPhi7121(BV836*SQRT($K$17/206000),"b"))</f>
        <v>1</v>
      </c>
      <c r="BY836" s="64">
        <f t="shared" si="113"/>
        <v>2.044645364816328E-2</v>
      </c>
      <c r="BZ836" s="3" t="str">
        <f t="shared" si="114"/>
        <v>Check</v>
      </c>
    </row>
    <row r="837" spans="1:78">
      <c r="A837" s="76"/>
      <c r="B837" s="76"/>
      <c r="C837" s="125"/>
      <c r="D837" s="125"/>
      <c r="E837" s="71"/>
      <c r="F837" s="71"/>
      <c r="G837" s="71"/>
      <c r="H837" s="126"/>
      <c r="I837" s="125"/>
      <c r="J837" s="123"/>
      <c r="K837" s="12"/>
      <c r="L837" s="117"/>
      <c r="M837" s="12"/>
      <c r="N837" s="117"/>
      <c r="O837" s="117"/>
      <c r="P837" s="117"/>
      <c r="Q837" s="118"/>
      <c r="R837" s="118"/>
      <c r="S837" s="118"/>
      <c r="T837" s="12"/>
      <c r="U837" s="118"/>
      <c r="V837" s="118"/>
      <c r="W837" s="12"/>
      <c r="X837" s="119"/>
      <c r="Y837" s="120"/>
      <c r="Z837" s="12"/>
      <c r="BA837" s="70" t="s">
        <v>205</v>
      </c>
      <c r="BB837" s="71" t="s">
        <v>210</v>
      </c>
      <c r="BC837" s="71" t="s">
        <v>207</v>
      </c>
      <c r="BD837" s="71">
        <v>0.6</v>
      </c>
      <c r="BE837" s="71">
        <v>36</v>
      </c>
      <c r="BF837" s="71">
        <v>390</v>
      </c>
      <c r="BG837" s="71">
        <v>212</v>
      </c>
      <c r="BH837" s="71">
        <v>5</v>
      </c>
      <c r="BI837" s="71">
        <v>10</v>
      </c>
      <c r="BJ837" s="12" t="str" cm="1">
        <f t="array" ref="BJ837">_xll.Dce_Name_SectI(BF837, BF837, BG837, BH837, BI837, "x", "-", $AX$11)</f>
        <v>390x212x5x10</v>
      </c>
      <c r="BK837" s="77" cm="1">
        <f t="array" ref="BK837">_xll.DCEPropSectI(BF837, BH837, BG837, BI837, BG837, BI837, "A")/100</f>
        <v>60.9</v>
      </c>
      <c r="BL837" s="70" t="s">
        <v>224</v>
      </c>
      <c r="BM837" s="70">
        <v>26.148969570636016</v>
      </c>
      <c r="BN837" s="71">
        <v>0.9</v>
      </c>
      <c r="BO837" s="77">
        <f t="shared" si="107"/>
        <v>32.4</v>
      </c>
      <c r="BP837" s="71">
        <v>0.9</v>
      </c>
      <c r="BQ837" s="77">
        <f t="shared" si="108"/>
        <v>32.4</v>
      </c>
      <c r="BR837" s="77" cm="1">
        <f t="array" ref="BR837">_xll.DCEPropSectI(BF837, BH837, BG837, BI837, BG837, BI837, "rx")/10</f>
        <v>16.91131201300167</v>
      </c>
      <c r="BS837" s="77" cm="1">
        <f t="array" ref="BS837">_xll.DCEPropSectI(BF837, BH837, BG837, BI837, BG837, BI837, "ry")/10</f>
        <v>5.1070747638622018</v>
      </c>
      <c r="BT837" s="5">
        <f t="shared" si="109"/>
        <v>191.58773710218577</v>
      </c>
      <c r="BU837" s="5">
        <f t="shared" si="110"/>
        <v>634.41405301647956</v>
      </c>
      <c r="BV837" s="5">
        <f t="shared" si="111"/>
        <v>634.41405301647956</v>
      </c>
      <c r="BW837" s="71">
        <f t="shared" si="112"/>
        <v>400</v>
      </c>
      <c r="BX837" s="78" cm="1">
        <f t="array" ref="BX837">IF(BM837&gt;0,1,_xll.DCETCVN5575FactorPhi7121(BV837*SQRT($K$17/206000),"b"))</f>
        <v>1</v>
      </c>
      <c r="BY837" s="64">
        <f t="shared" si="113"/>
        <v>2.044645364816328E-2</v>
      </c>
      <c r="BZ837" s="3" t="str">
        <f t="shared" si="114"/>
        <v>Check</v>
      </c>
    </row>
    <row r="838" spans="1:78">
      <c r="A838" s="76"/>
      <c r="B838" s="76"/>
      <c r="C838" s="125"/>
      <c r="D838" s="125"/>
      <c r="E838" s="71"/>
      <c r="F838" s="71"/>
      <c r="G838" s="71"/>
      <c r="H838" s="126"/>
      <c r="I838" s="125"/>
      <c r="J838" s="123"/>
      <c r="K838" s="12"/>
      <c r="L838" s="117"/>
      <c r="M838" s="12"/>
      <c r="N838" s="117"/>
      <c r="O838" s="117"/>
      <c r="P838" s="117"/>
      <c r="Q838" s="118"/>
      <c r="R838" s="118"/>
      <c r="S838" s="118"/>
      <c r="T838" s="12"/>
      <c r="U838" s="118"/>
      <c r="V838" s="118"/>
      <c r="W838" s="12"/>
      <c r="X838" s="119"/>
      <c r="Y838" s="120"/>
      <c r="Z838" s="12"/>
      <c r="BA838" s="70" t="s">
        <v>205</v>
      </c>
      <c r="BB838" s="71" t="s">
        <v>210</v>
      </c>
      <c r="BC838" s="71" t="s">
        <v>207</v>
      </c>
      <c r="BD838" s="71">
        <v>0.6</v>
      </c>
      <c r="BE838" s="71">
        <v>36</v>
      </c>
      <c r="BF838" s="71">
        <v>390</v>
      </c>
      <c r="BG838" s="71">
        <v>212</v>
      </c>
      <c r="BH838" s="71">
        <v>5</v>
      </c>
      <c r="BI838" s="71">
        <v>10</v>
      </c>
      <c r="BJ838" s="12" t="str" cm="1">
        <f t="array" ref="BJ838">_xll.Dce_Name_SectI(BF838, BF838, BG838, BH838, BI838, "x", "-", $AX$11)</f>
        <v>390x212x5x10</v>
      </c>
      <c r="BK838" s="77" cm="1">
        <f t="array" ref="BK838">_xll.DCEPropSectI(BF838, BH838, BG838, BI838, BG838, BI838, "A")/100</f>
        <v>60.9</v>
      </c>
      <c r="BL838" s="70" t="s">
        <v>224</v>
      </c>
      <c r="BM838" s="70">
        <v>23.949638238643786</v>
      </c>
      <c r="BN838" s="71">
        <v>0.9</v>
      </c>
      <c r="BO838" s="77">
        <f t="shared" si="107"/>
        <v>32.4</v>
      </c>
      <c r="BP838" s="71">
        <v>0.9</v>
      </c>
      <c r="BQ838" s="77">
        <f t="shared" si="108"/>
        <v>32.4</v>
      </c>
      <c r="BR838" s="77" cm="1">
        <f t="array" ref="BR838">_xll.DCEPropSectI(BF838, BH838, BG838, BI838, BG838, BI838, "rx")/10</f>
        <v>16.91131201300167</v>
      </c>
      <c r="BS838" s="77" cm="1">
        <f t="array" ref="BS838">_xll.DCEPropSectI(BF838, BH838, BG838, BI838, BG838, BI838, "ry")/10</f>
        <v>5.1070747638622018</v>
      </c>
      <c r="BT838" s="5">
        <f t="shared" si="109"/>
        <v>191.58773710218577</v>
      </c>
      <c r="BU838" s="5">
        <f t="shared" si="110"/>
        <v>634.41405301647956</v>
      </c>
      <c r="BV838" s="5">
        <f t="shared" si="111"/>
        <v>634.41405301647956</v>
      </c>
      <c r="BW838" s="71">
        <f t="shared" si="112"/>
        <v>400</v>
      </c>
      <c r="BX838" s="78" cm="1">
        <f t="array" ref="BX838">IF(BM838&gt;0,1,_xll.DCETCVN5575FactorPhi7121(BV838*SQRT($K$17/206000),"b"))</f>
        <v>1</v>
      </c>
      <c r="BY838" s="64">
        <f t="shared" si="113"/>
        <v>1.8726748173151762E-2</v>
      </c>
      <c r="BZ838" s="3" t="str">
        <f t="shared" si="114"/>
        <v>Check</v>
      </c>
    </row>
    <row r="839" spans="1:78">
      <c r="A839" s="76"/>
      <c r="B839" s="76"/>
      <c r="C839" s="125"/>
      <c r="D839" s="125"/>
      <c r="E839" s="71"/>
      <c r="F839" s="71"/>
      <c r="G839" s="71"/>
      <c r="H839" s="126"/>
      <c r="I839" s="125"/>
      <c r="J839" s="123"/>
      <c r="K839" s="12"/>
      <c r="L839" s="117"/>
      <c r="M839" s="12"/>
      <c r="N839" s="117"/>
      <c r="O839" s="117"/>
      <c r="P839" s="117"/>
      <c r="Q839" s="118"/>
      <c r="R839" s="118"/>
      <c r="S839" s="118"/>
      <c r="T839" s="12"/>
      <c r="U839" s="118"/>
      <c r="V839" s="118"/>
      <c r="W839" s="12"/>
      <c r="X839" s="119"/>
      <c r="Y839" s="120"/>
      <c r="Z839" s="12"/>
      <c r="BA839" s="70" t="s">
        <v>205</v>
      </c>
      <c r="BB839" s="71" t="s">
        <v>210</v>
      </c>
      <c r="BC839" s="71" t="s">
        <v>207</v>
      </c>
      <c r="BD839" s="71">
        <v>1.0900000000000001</v>
      </c>
      <c r="BE839" s="71">
        <v>36</v>
      </c>
      <c r="BF839" s="71">
        <v>390</v>
      </c>
      <c r="BG839" s="71">
        <v>212</v>
      </c>
      <c r="BH839" s="71">
        <v>5</v>
      </c>
      <c r="BI839" s="71">
        <v>10</v>
      </c>
      <c r="BJ839" s="12" t="str" cm="1">
        <f t="array" ref="BJ839">_xll.Dce_Name_SectI(BF839, BF839, BG839, BH839, BI839, "x", "-", $AX$11)</f>
        <v>390x212x5x10</v>
      </c>
      <c r="BK839" s="77" cm="1">
        <f t="array" ref="BK839">_xll.DCEPropSectI(BF839, BH839, BG839, BI839, BG839, BI839, "A")/100</f>
        <v>60.9</v>
      </c>
      <c r="BL839" s="70" t="s">
        <v>224</v>
      </c>
      <c r="BM839" s="70">
        <v>23.949638238643786</v>
      </c>
      <c r="BN839" s="71">
        <v>0.9</v>
      </c>
      <c r="BO839" s="77">
        <f t="shared" si="107"/>
        <v>32.4</v>
      </c>
      <c r="BP839" s="71">
        <v>0.9</v>
      </c>
      <c r="BQ839" s="77">
        <f t="shared" si="108"/>
        <v>32.4</v>
      </c>
      <c r="BR839" s="77" cm="1">
        <f t="array" ref="BR839">_xll.DCEPropSectI(BF839, BH839, BG839, BI839, BG839, BI839, "rx")/10</f>
        <v>16.91131201300167</v>
      </c>
      <c r="BS839" s="77" cm="1">
        <f t="array" ref="BS839">_xll.DCEPropSectI(BF839, BH839, BG839, BI839, BG839, BI839, "ry")/10</f>
        <v>5.1070747638622018</v>
      </c>
      <c r="BT839" s="5">
        <f t="shared" si="109"/>
        <v>191.58773710218577</v>
      </c>
      <c r="BU839" s="5">
        <f t="shared" si="110"/>
        <v>634.41405301647956</v>
      </c>
      <c r="BV839" s="5">
        <f t="shared" si="111"/>
        <v>634.41405301647956</v>
      </c>
      <c r="BW839" s="71">
        <f t="shared" si="112"/>
        <v>400</v>
      </c>
      <c r="BX839" s="78" cm="1">
        <f t="array" ref="BX839">IF(BM839&gt;0,1,_xll.DCETCVN5575FactorPhi7121(BV839*SQRT($K$17/206000),"b"))</f>
        <v>1</v>
      </c>
      <c r="BY839" s="64">
        <f t="shared" si="113"/>
        <v>1.8726748173151762E-2</v>
      </c>
      <c r="BZ839" s="3" t="str">
        <f t="shared" si="114"/>
        <v>Check</v>
      </c>
    </row>
    <row r="840" spans="1:78">
      <c r="A840" s="76"/>
      <c r="B840" s="76"/>
      <c r="C840" s="125"/>
      <c r="D840" s="125"/>
      <c r="E840" s="71"/>
      <c r="F840" s="71"/>
      <c r="G840" s="71"/>
      <c r="H840" s="126"/>
      <c r="I840" s="125"/>
      <c r="J840" s="123"/>
      <c r="K840" s="12"/>
      <c r="L840" s="117"/>
      <c r="M840" s="12"/>
      <c r="N840" s="117"/>
      <c r="O840" s="117"/>
      <c r="P840" s="117"/>
      <c r="Q840" s="118"/>
      <c r="R840" s="118"/>
      <c r="S840" s="118"/>
      <c r="T840" s="12"/>
      <c r="U840" s="118"/>
      <c r="V840" s="118"/>
      <c r="W840" s="12"/>
      <c r="X840" s="119"/>
      <c r="Y840" s="120"/>
      <c r="Z840" s="12"/>
      <c r="BA840" s="70" t="s">
        <v>205</v>
      </c>
      <c r="BB840" s="71" t="s">
        <v>210</v>
      </c>
      <c r="BC840" s="71" t="s">
        <v>207</v>
      </c>
      <c r="BD840" s="71">
        <v>1.59</v>
      </c>
      <c r="BE840" s="71">
        <v>36</v>
      </c>
      <c r="BF840" s="71">
        <v>390</v>
      </c>
      <c r="BG840" s="71">
        <v>212</v>
      </c>
      <c r="BH840" s="71">
        <v>5</v>
      </c>
      <c r="BI840" s="71">
        <v>10</v>
      </c>
      <c r="BJ840" s="12" t="str" cm="1">
        <f t="array" ref="BJ840">_xll.Dce_Name_SectI(BF840, BF840, BG840, BH840, BI840, "x", "-", $AX$11)</f>
        <v>390x212x5x10</v>
      </c>
      <c r="BK840" s="77" cm="1">
        <f t="array" ref="BK840">_xll.DCEPropSectI(BF840, BH840, BG840, BI840, BG840, BI840, "A")/100</f>
        <v>60.9</v>
      </c>
      <c r="BL840" s="70" t="s">
        <v>224</v>
      </c>
      <c r="BM840" s="70">
        <v>23.949638238643786</v>
      </c>
      <c r="BN840" s="71">
        <v>0.9</v>
      </c>
      <c r="BO840" s="77">
        <f t="shared" si="107"/>
        <v>32.4</v>
      </c>
      <c r="BP840" s="71">
        <v>0.9</v>
      </c>
      <c r="BQ840" s="77">
        <f t="shared" si="108"/>
        <v>32.4</v>
      </c>
      <c r="BR840" s="77" cm="1">
        <f t="array" ref="BR840">_xll.DCEPropSectI(BF840, BH840, BG840, BI840, BG840, BI840, "rx")/10</f>
        <v>16.91131201300167</v>
      </c>
      <c r="BS840" s="77" cm="1">
        <f t="array" ref="BS840">_xll.DCEPropSectI(BF840, BH840, BG840, BI840, BG840, BI840, "ry")/10</f>
        <v>5.1070747638622018</v>
      </c>
      <c r="BT840" s="5">
        <f t="shared" si="109"/>
        <v>191.58773710218577</v>
      </c>
      <c r="BU840" s="5">
        <f t="shared" si="110"/>
        <v>634.41405301647956</v>
      </c>
      <c r="BV840" s="5">
        <f t="shared" si="111"/>
        <v>634.41405301647956</v>
      </c>
      <c r="BW840" s="71">
        <f t="shared" si="112"/>
        <v>400</v>
      </c>
      <c r="BX840" s="78" cm="1">
        <f t="array" ref="BX840">IF(BM840&gt;0,1,_xll.DCETCVN5575FactorPhi7121(BV840*SQRT($K$17/206000),"b"))</f>
        <v>1</v>
      </c>
      <c r="BY840" s="64">
        <f t="shared" si="113"/>
        <v>1.8726748173151762E-2</v>
      </c>
      <c r="BZ840" s="3" t="str">
        <f t="shared" si="114"/>
        <v>Check</v>
      </c>
    </row>
    <row r="841" spans="1:78">
      <c r="A841" s="76"/>
      <c r="B841" s="76"/>
      <c r="C841" s="125"/>
      <c r="D841" s="125"/>
      <c r="E841" s="71"/>
      <c r="F841" s="71"/>
      <c r="G841" s="71"/>
      <c r="H841" s="126"/>
      <c r="I841" s="125"/>
      <c r="J841" s="123"/>
      <c r="K841" s="12"/>
      <c r="L841" s="117"/>
      <c r="M841" s="12"/>
      <c r="N841" s="117"/>
      <c r="O841" s="117"/>
      <c r="P841" s="117"/>
      <c r="Q841" s="118"/>
      <c r="R841" s="118"/>
      <c r="S841" s="118"/>
      <c r="T841" s="12"/>
      <c r="U841" s="118"/>
      <c r="V841" s="118"/>
      <c r="W841" s="12"/>
      <c r="X841" s="119"/>
      <c r="Y841" s="120"/>
      <c r="Z841" s="12"/>
      <c r="BA841" s="70" t="s">
        <v>205</v>
      </c>
      <c r="BB841" s="71" t="s">
        <v>210</v>
      </c>
      <c r="BC841" s="71" t="s">
        <v>207</v>
      </c>
      <c r="BD841" s="71">
        <v>2.08</v>
      </c>
      <c r="BE841" s="71">
        <v>36</v>
      </c>
      <c r="BF841" s="71">
        <v>390</v>
      </c>
      <c r="BG841" s="71">
        <v>212</v>
      </c>
      <c r="BH841" s="71">
        <v>5</v>
      </c>
      <c r="BI841" s="71">
        <v>10</v>
      </c>
      <c r="BJ841" s="12" t="str" cm="1">
        <f t="array" ref="BJ841">_xll.Dce_Name_SectI(BF841, BF841, BG841, BH841, BI841, "x", "-", $AX$11)</f>
        <v>390x212x5x10</v>
      </c>
      <c r="BK841" s="77" cm="1">
        <f t="array" ref="BK841">_xll.DCEPropSectI(BF841, BH841, BG841, BI841, BG841, BI841, "A")/100</f>
        <v>60.9</v>
      </c>
      <c r="BL841" s="70" t="s">
        <v>224</v>
      </c>
      <c r="BM841" s="70">
        <v>23.949638238643786</v>
      </c>
      <c r="BN841" s="71">
        <v>0.9</v>
      </c>
      <c r="BO841" s="77">
        <f t="shared" si="107"/>
        <v>32.4</v>
      </c>
      <c r="BP841" s="71">
        <v>0.9</v>
      </c>
      <c r="BQ841" s="77">
        <f t="shared" si="108"/>
        <v>32.4</v>
      </c>
      <c r="BR841" s="77" cm="1">
        <f t="array" ref="BR841">_xll.DCEPropSectI(BF841, BH841, BG841, BI841, BG841, BI841, "rx")/10</f>
        <v>16.91131201300167</v>
      </c>
      <c r="BS841" s="77" cm="1">
        <f t="array" ref="BS841">_xll.DCEPropSectI(BF841, BH841, BG841, BI841, BG841, BI841, "ry")/10</f>
        <v>5.1070747638622018</v>
      </c>
      <c r="BT841" s="5">
        <f t="shared" si="109"/>
        <v>191.58773710218577</v>
      </c>
      <c r="BU841" s="5">
        <f t="shared" si="110"/>
        <v>634.41405301647956</v>
      </c>
      <c r="BV841" s="5">
        <f t="shared" si="111"/>
        <v>634.41405301647956</v>
      </c>
      <c r="BW841" s="71">
        <f t="shared" si="112"/>
        <v>400</v>
      </c>
      <c r="BX841" s="78" cm="1">
        <f t="array" ref="BX841">IF(BM841&gt;0,1,_xll.DCETCVN5575FactorPhi7121(BV841*SQRT($K$17/206000),"b"))</f>
        <v>1</v>
      </c>
      <c r="BY841" s="64">
        <f t="shared" si="113"/>
        <v>1.8726748173151762E-2</v>
      </c>
      <c r="BZ841" s="3" t="str">
        <f t="shared" si="114"/>
        <v>Check</v>
      </c>
    </row>
    <row r="842" spans="1:78">
      <c r="A842" s="76"/>
      <c r="B842" s="76"/>
      <c r="C842" s="125"/>
      <c r="D842" s="125"/>
      <c r="E842" s="71"/>
      <c r="F842" s="71"/>
      <c r="G842" s="71"/>
      <c r="H842" s="126"/>
      <c r="I842" s="125"/>
      <c r="J842" s="123"/>
      <c r="K842" s="12"/>
      <c r="L842" s="117"/>
      <c r="M842" s="12"/>
      <c r="N842" s="117"/>
      <c r="O842" s="117"/>
      <c r="P842" s="117"/>
      <c r="Q842" s="118"/>
      <c r="R842" s="118"/>
      <c r="S842" s="118"/>
      <c r="T842" s="12"/>
      <c r="U842" s="118"/>
      <c r="V842" s="118"/>
      <c r="W842" s="12"/>
      <c r="X842" s="119"/>
      <c r="Y842" s="120"/>
      <c r="Z842" s="12"/>
      <c r="BA842" s="70" t="s">
        <v>205</v>
      </c>
      <c r="BB842" s="71" t="s">
        <v>210</v>
      </c>
      <c r="BC842" s="71" t="s">
        <v>207</v>
      </c>
      <c r="BD842" s="71">
        <v>2.57</v>
      </c>
      <c r="BE842" s="71">
        <v>36</v>
      </c>
      <c r="BF842" s="71">
        <v>390</v>
      </c>
      <c r="BG842" s="71">
        <v>212</v>
      </c>
      <c r="BH842" s="71">
        <v>5</v>
      </c>
      <c r="BI842" s="71">
        <v>10</v>
      </c>
      <c r="BJ842" s="12" t="str" cm="1">
        <f t="array" ref="BJ842">_xll.Dce_Name_SectI(BF842, BF842, BG842, BH842, BI842, "x", "-", $AX$11)</f>
        <v>390x212x5x10</v>
      </c>
      <c r="BK842" s="77" cm="1">
        <f t="array" ref="BK842">_xll.DCEPropSectI(BF842, BH842, BG842, BI842, BG842, BI842, "A")/100</f>
        <v>60.9</v>
      </c>
      <c r="BL842" s="70" t="s">
        <v>224</v>
      </c>
      <c r="BM842" s="70">
        <v>23.949638238643786</v>
      </c>
      <c r="BN842" s="71">
        <v>0.9</v>
      </c>
      <c r="BO842" s="77">
        <f t="shared" si="107"/>
        <v>32.4</v>
      </c>
      <c r="BP842" s="71">
        <v>0.9</v>
      </c>
      <c r="BQ842" s="77">
        <f t="shared" si="108"/>
        <v>32.4</v>
      </c>
      <c r="BR842" s="77" cm="1">
        <f t="array" ref="BR842">_xll.DCEPropSectI(BF842, BH842, BG842, BI842, BG842, BI842, "rx")/10</f>
        <v>16.91131201300167</v>
      </c>
      <c r="BS842" s="77" cm="1">
        <f t="array" ref="BS842">_xll.DCEPropSectI(BF842, BH842, BG842, BI842, BG842, BI842, "ry")/10</f>
        <v>5.1070747638622018</v>
      </c>
      <c r="BT842" s="5">
        <f t="shared" si="109"/>
        <v>191.58773710218577</v>
      </c>
      <c r="BU842" s="5">
        <f t="shared" si="110"/>
        <v>634.41405301647956</v>
      </c>
      <c r="BV842" s="5">
        <f t="shared" si="111"/>
        <v>634.41405301647956</v>
      </c>
      <c r="BW842" s="71">
        <f t="shared" si="112"/>
        <v>400</v>
      </c>
      <c r="BX842" s="78" cm="1">
        <f t="array" ref="BX842">IF(BM842&gt;0,1,_xll.DCETCVN5575FactorPhi7121(BV842*SQRT($K$17/206000),"b"))</f>
        <v>1</v>
      </c>
      <c r="BY842" s="64">
        <f t="shared" si="113"/>
        <v>1.8726748173151762E-2</v>
      </c>
      <c r="BZ842" s="3" t="str">
        <f t="shared" si="114"/>
        <v>Check</v>
      </c>
    </row>
    <row r="843" spans="1:78">
      <c r="A843" s="76"/>
      <c r="B843" s="76"/>
      <c r="C843" s="125"/>
      <c r="D843" s="125"/>
      <c r="E843" s="71"/>
      <c r="F843" s="71"/>
      <c r="G843" s="71"/>
      <c r="H843" s="126"/>
      <c r="I843" s="125"/>
      <c r="J843" s="123"/>
      <c r="K843" s="12"/>
      <c r="L843" s="117"/>
      <c r="M843" s="12"/>
      <c r="N843" s="117"/>
      <c r="O843" s="117"/>
      <c r="P843" s="117"/>
      <c r="Q843" s="118"/>
      <c r="R843" s="118"/>
      <c r="S843" s="118"/>
      <c r="T843" s="12"/>
      <c r="U843" s="118"/>
      <c r="V843" s="118"/>
      <c r="W843" s="12"/>
      <c r="X843" s="119"/>
      <c r="Y843" s="120"/>
      <c r="Z843" s="12"/>
      <c r="BA843" s="70" t="s">
        <v>205</v>
      </c>
      <c r="BB843" s="71" t="s">
        <v>210</v>
      </c>
      <c r="BC843" s="71" t="s">
        <v>207</v>
      </c>
      <c r="BD843" s="71">
        <v>3.06</v>
      </c>
      <c r="BE843" s="71">
        <v>36</v>
      </c>
      <c r="BF843" s="71">
        <v>390</v>
      </c>
      <c r="BG843" s="71">
        <v>212</v>
      </c>
      <c r="BH843" s="71">
        <v>5</v>
      </c>
      <c r="BI843" s="71">
        <v>10</v>
      </c>
      <c r="BJ843" s="12" t="str" cm="1">
        <f t="array" ref="BJ843">_xll.Dce_Name_SectI(BF843, BF843, BG843, BH843, BI843, "x", "-", $AX$11)</f>
        <v>390x212x5x10</v>
      </c>
      <c r="BK843" s="77" cm="1">
        <f t="array" ref="BK843">_xll.DCEPropSectI(BF843, BH843, BG843, BI843, BG843, BI843, "A")/100</f>
        <v>60.9</v>
      </c>
      <c r="BL843" s="70" t="s">
        <v>224</v>
      </c>
      <c r="BM843" s="70">
        <v>23.949638238643786</v>
      </c>
      <c r="BN843" s="71">
        <v>0.9</v>
      </c>
      <c r="BO843" s="77">
        <f t="shared" si="107"/>
        <v>32.4</v>
      </c>
      <c r="BP843" s="71">
        <v>0.9</v>
      </c>
      <c r="BQ843" s="77">
        <f t="shared" si="108"/>
        <v>32.4</v>
      </c>
      <c r="BR843" s="77" cm="1">
        <f t="array" ref="BR843">_xll.DCEPropSectI(BF843, BH843, BG843, BI843, BG843, BI843, "rx")/10</f>
        <v>16.91131201300167</v>
      </c>
      <c r="BS843" s="77" cm="1">
        <f t="array" ref="BS843">_xll.DCEPropSectI(BF843, BH843, BG843, BI843, BG843, BI843, "ry")/10</f>
        <v>5.1070747638622018</v>
      </c>
      <c r="BT843" s="5">
        <f t="shared" si="109"/>
        <v>191.58773710218577</v>
      </c>
      <c r="BU843" s="5">
        <f t="shared" si="110"/>
        <v>634.41405301647956</v>
      </c>
      <c r="BV843" s="5">
        <f t="shared" si="111"/>
        <v>634.41405301647956</v>
      </c>
      <c r="BW843" s="71">
        <f t="shared" si="112"/>
        <v>400</v>
      </c>
      <c r="BX843" s="78" cm="1">
        <f t="array" ref="BX843">IF(BM843&gt;0,1,_xll.DCETCVN5575FactorPhi7121(BV843*SQRT($K$17/206000),"b"))</f>
        <v>1</v>
      </c>
      <c r="BY843" s="64">
        <f t="shared" si="113"/>
        <v>1.8726748173151762E-2</v>
      </c>
      <c r="BZ843" s="3" t="str">
        <f t="shared" si="114"/>
        <v>Check</v>
      </c>
    </row>
    <row r="844" spans="1:78">
      <c r="A844" s="76"/>
      <c r="B844" s="76"/>
      <c r="C844" s="125"/>
      <c r="D844" s="125"/>
      <c r="E844" s="71"/>
      <c r="F844" s="71"/>
      <c r="G844" s="71"/>
      <c r="H844" s="126"/>
      <c r="I844" s="125"/>
      <c r="J844" s="123"/>
      <c r="K844" s="12"/>
      <c r="L844" s="117"/>
      <c r="M844" s="12"/>
      <c r="N844" s="117"/>
      <c r="O844" s="117"/>
      <c r="P844" s="117"/>
      <c r="Q844" s="118"/>
      <c r="R844" s="118"/>
      <c r="S844" s="118"/>
      <c r="T844" s="12"/>
      <c r="U844" s="118"/>
      <c r="V844" s="118"/>
      <c r="W844" s="12"/>
      <c r="X844" s="119"/>
      <c r="Y844" s="120"/>
      <c r="Z844" s="12"/>
      <c r="BA844" s="70" t="s">
        <v>205</v>
      </c>
      <c r="BB844" s="71" t="s">
        <v>210</v>
      </c>
      <c r="BC844" s="71" t="s">
        <v>207</v>
      </c>
      <c r="BD844" s="71">
        <v>3.56</v>
      </c>
      <c r="BE844" s="71">
        <v>36</v>
      </c>
      <c r="BF844" s="71">
        <v>390</v>
      </c>
      <c r="BG844" s="71">
        <v>212</v>
      </c>
      <c r="BH844" s="71">
        <v>5</v>
      </c>
      <c r="BI844" s="71">
        <v>10</v>
      </c>
      <c r="BJ844" s="12" t="str" cm="1">
        <f t="array" ref="BJ844">_xll.Dce_Name_SectI(BF844, BF844, BG844, BH844, BI844, "x", "-", $AX$11)</f>
        <v>390x212x5x10</v>
      </c>
      <c r="BK844" s="77" cm="1">
        <f t="array" ref="BK844">_xll.DCEPropSectI(BF844, BH844, BG844, BI844, BG844, BI844, "A")/100</f>
        <v>60.9</v>
      </c>
      <c r="BL844" s="70" t="s">
        <v>224</v>
      </c>
      <c r="BM844" s="70">
        <v>23.949638238643786</v>
      </c>
      <c r="BN844" s="71">
        <v>0.9</v>
      </c>
      <c r="BO844" s="77">
        <f t="shared" si="107"/>
        <v>32.4</v>
      </c>
      <c r="BP844" s="71">
        <v>0.9</v>
      </c>
      <c r="BQ844" s="77">
        <f t="shared" si="108"/>
        <v>32.4</v>
      </c>
      <c r="BR844" s="77" cm="1">
        <f t="array" ref="BR844">_xll.DCEPropSectI(BF844, BH844, BG844, BI844, BG844, BI844, "rx")/10</f>
        <v>16.91131201300167</v>
      </c>
      <c r="BS844" s="77" cm="1">
        <f t="array" ref="BS844">_xll.DCEPropSectI(BF844, BH844, BG844, BI844, BG844, BI844, "ry")/10</f>
        <v>5.1070747638622018</v>
      </c>
      <c r="BT844" s="5">
        <f t="shared" si="109"/>
        <v>191.58773710218577</v>
      </c>
      <c r="BU844" s="5">
        <f t="shared" si="110"/>
        <v>634.41405301647956</v>
      </c>
      <c r="BV844" s="5">
        <f t="shared" si="111"/>
        <v>634.41405301647956</v>
      </c>
      <c r="BW844" s="71">
        <f t="shared" si="112"/>
        <v>400</v>
      </c>
      <c r="BX844" s="78" cm="1">
        <f t="array" ref="BX844">IF(BM844&gt;0,1,_xll.DCETCVN5575FactorPhi7121(BV844*SQRT($K$17/206000),"b"))</f>
        <v>1</v>
      </c>
      <c r="BY844" s="64">
        <f t="shared" si="113"/>
        <v>1.8726748173151762E-2</v>
      </c>
      <c r="BZ844" s="3" t="str">
        <f t="shared" si="114"/>
        <v>Check</v>
      </c>
    </row>
    <row r="845" spans="1:78">
      <c r="A845" s="76"/>
      <c r="B845" s="76"/>
      <c r="C845" s="125"/>
      <c r="D845" s="125"/>
      <c r="E845" s="71"/>
      <c r="F845" s="71"/>
      <c r="G845" s="71"/>
      <c r="H845" s="126"/>
      <c r="I845" s="125"/>
      <c r="J845" s="123"/>
      <c r="K845" s="12"/>
      <c r="L845" s="117"/>
      <c r="M845" s="12"/>
      <c r="N845" s="117"/>
      <c r="O845" s="117"/>
      <c r="P845" s="117"/>
      <c r="Q845" s="118"/>
      <c r="R845" s="118"/>
      <c r="S845" s="118"/>
      <c r="T845" s="12"/>
      <c r="U845" s="118"/>
      <c r="V845" s="118"/>
      <c r="W845" s="12"/>
      <c r="X845" s="119"/>
      <c r="Y845" s="120"/>
      <c r="Z845" s="12"/>
      <c r="BA845" s="70" t="s">
        <v>205</v>
      </c>
      <c r="BB845" s="71" t="s">
        <v>210</v>
      </c>
      <c r="BC845" s="71" t="s">
        <v>207</v>
      </c>
      <c r="BD845" s="71">
        <v>4.05</v>
      </c>
      <c r="BE845" s="71">
        <v>36</v>
      </c>
      <c r="BF845" s="71">
        <v>390</v>
      </c>
      <c r="BG845" s="71">
        <v>212</v>
      </c>
      <c r="BH845" s="71">
        <v>5</v>
      </c>
      <c r="BI845" s="71">
        <v>10</v>
      </c>
      <c r="BJ845" s="12" t="str" cm="1">
        <f t="array" ref="BJ845">_xll.Dce_Name_SectI(BF845, BF845, BG845, BH845, BI845, "x", "-", $AX$11)</f>
        <v>390x212x5x10</v>
      </c>
      <c r="BK845" s="77" cm="1">
        <f t="array" ref="BK845">_xll.DCEPropSectI(BF845, BH845, BG845, BI845, BG845, BI845, "A")/100</f>
        <v>60.9</v>
      </c>
      <c r="BL845" s="70" t="s">
        <v>224</v>
      </c>
      <c r="BM845" s="70">
        <v>23.949638238643786</v>
      </c>
      <c r="BN845" s="71">
        <v>0.9</v>
      </c>
      <c r="BO845" s="77">
        <f t="shared" ref="BO845:BO908" si="115">BN845*BE845</f>
        <v>32.4</v>
      </c>
      <c r="BP845" s="71">
        <v>0.9</v>
      </c>
      <c r="BQ845" s="77">
        <f t="shared" ref="BQ845:BQ908" si="116">BP845*BE845</f>
        <v>32.4</v>
      </c>
      <c r="BR845" s="77" cm="1">
        <f t="array" ref="BR845">_xll.DCEPropSectI(BF845, BH845, BG845, BI845, BG845, BI845, "rx")/10</f>
        <v>16.91131201300167</v>
      </c>
      <c r="BS845" s="77" cm="1">
        <f t="array" ref="BS845">_xll.DCEPropSectI(BF845, BH845, BG845, BI845, BG845, BI845, "ry")/10</f>
        <v>5.1070747638622018</v>
      </c>
      <c r="BT845" s="5">
        <f t="shared" ref="BT845:BT908" si="117">BO845*100/BR845</f>
        <v>191.58773710218577</v>
      </c>
      <c r="BU845" s="5">
        <f t="shared" ref="BU845:BU908" si="118">BQ845*100/BS845</f>
        <v>634.41405301647956</v>
      </c>
      <c r="BV845" s="5">
        <f t="shared" ref="BV845:BV908" si="119">MAX(BT845,BU845)</f>
        <v>634.41405301647956</v>
      </c>
      <c r="BW845" s="71">
        <f t="shared" ref="BW845:BW908" si="120">IF(BM845&lt;0,$AY$14,$AY$15)</f>
        <v>400</v>
      </c>
      <c r="BX845" s="78" cm="1">
        <f t="array" ref="BX845">IF(BM845&gt;0,1,_xll.DCETCVN5575FactorPhi7121(BV845*SQRT($K$17/206000),"b"))</f>
        <v>1</v>
      </c>
      <c r="BY845" s="64">
        <f t="shared" ref="BY845:BY908" si="121">ABS(BM845)/(BX845*BK845*$K$17*$K$19)*10</f>
        <v>1.8726748173151762E-2</v>
      </c>
      <c r="BZ845" s="3" t="str">
        <f t="shared" ref="BZ845:BZ908" si="122">IF(AND(BV845&lt;=BW845,BY845&lt;=1),"OK","Check")</f>
        <v>Check</v>
      </c>
    </row>
    <row r="846" spans="1:78">
      <c r="A846" s="76"/>
      <c r="B846" s="76"/>
      <c r="C846" s="125"/>
      <c r="D846" s="125"/>
      <c r="E846" s="71"/>
      <c r="F846" s="71"/>
      <c r="G846" s="71"/>
      <c r="H846" s="126"/>
      <c r="I846" s="125"/>
      <c r="J846" s="123"/>
      <c r="K846" s="12"/>
      <c r="L846" s="117"/>
      <c r="M846" s="12"/>
      <c r="N846" s="117"/>
      <c r="O846" s="117"/>
      <c r="P846" s="117"/>
      <c r="Q846" s="118"/>
      <c r="R846" s="118"/>
      <c r="S846" s="118"/>
      <c r="T846" s="12"/>
      <c r="U846" s="118"/>
      <c r="V846" s="118"/>
      <c r="W846" s="12"/>
      <c r="X846" s="119"/>
      <c r="Y846" s="120"/>
      <c r="Z846" s="12"/>
      <c r="BA846" s="70" t="s">
        <v>205</v>
      </c>
      <c r="BB846" s="71" t="s">
        <v>210</v>
      </c>
      <c r="BC846" s="71" t="s">
        <v>207</v>
      </c>
      <c r="BD846" s="71">
        <v>4.54</v>
      </c>
      <c r="BE846" s="71">
        <v>36</v>
      </c>
      <c r="BF846" s="71">
        <v>390</v>
      </c>
      <c r="BG846" s="71">
        <v>212</v>
      </c>
      <c r="BH846" s="71">
        <v>5</v>
      </c>
      <c r="BI846" s="71">
        <v>10</v>
      </c>
      <c r="BJ846" s="12" t="str" cm="1">
        <f t="array" ref="BJ846">_xll.Dce_Name_SectI(BF846, BF846, BG846, BH846, BI846, "x", "-", $AX$11)</f>
        <v>390x212x5x10</v>
      </c>
      <c r="BK846" s="77" cm="1">
        <f t="array" ref="BK846">_xll.DCEPropSectI(BF846, BH846, BG846, BI846, BG846, BI846, "A")/100</f>
        <v>60.9</v>
      </c>
      <c r="BL846" s="70" t="s">
        <v>224</v>
      </c>
      <c r="BM846" s="70">
        <v>23.949638238643786</v>
      </c>
      <c r="BN846" s="71">
        <v>0.9</v>
      </c>
      <c r="BO846" s="77">
        <f t="shared" si="115"/>
        <v>32.4</v>
      </c>
      <c r="BP846" s="71">
        <v>0.9</v>
      </c>
      <c r="BQ846" s="77">
        <f t="shared" si="116"/>
        <v>32.4</v>
      </c>
      <c r="BR846" s="77" cm="1">
        <f t="array" ref="BR846">_xll.DCEPropSectI(BF846, BH846, BG846, BI846, BG846, BI846, "rx")/10</f>
        <v>16.91131201300167</v>
      </c>
      <c r="BS846" s="77" cm="1">
        <f t="array" ref="BS846">_xll.DCEPropSectI(BF846, BH846, BG846, BI846, BG846, BI846, "ry")/10</f>
        <v>5.1070747638622018</v>
      </c>
      <c r="BT846" s="5">
        <f t="shared" si="117"/>
        <v>191.58773710218577</v>
      </c>
      <c r="BU846" s="5">
        <f t="shared" si="118"/>
        <v>634.41405301647956</v>
      </c>
      <c r="BV846" s="5">
        <f t="shared" si="119"/>
        <v>634.41405301647956</v>
      </c>
      <c r="BW846" s="71">
        <f t="shared" si="120"/>
        <v>400</v>
      </c>
      <c r="BX846" s="78" cm="1">
        <f t="array" ref="BX846">IF(BM846&gt;0,1,_xll.DCETCVN5575FactorPhi7121(BV846*SQRT($K$17/206000),"b"))</f>
        <v>1</v>
      </c>
      <c r="BY846" s="64">
        <f t="shared" si="121"/>
        <v>1.8726748173151762E-2</v>
      </c>
      <c r="BZ846" s="3" t="str">
        <f t="shared" si="122"/>
        <v>Check</v>
      </c>
    </row>
    <row r="847" spans="1:78">
      <c r="A847" s="76"/>
      <c r="B847" s="76"/>
      <c r="C847" s="125"/>
      <c r="D847" s="125"/>
      <c r="E847" s="71"/>
      <c r="F847" s="71"/>
      <c r="G847" s="71"/>
      <c r="H847" s="126"/>
      <c r="I847" s="125"/>
      <c r="J847" s="123"/>
      <c r="K847" s="12"/>
      <c r="L847" s="117"/>
      <c r="M847" s="12"/>
      <c r="N847" s="117"/>
      <c r="O847" s="117"/>
      <c r="P847" s="117"/>
      <c r="Q847" s="118"/>
      <c r="R847" s="118"/>
      <c r="S847" s="118"/>
      <c r="T847" s="12"/>
      <c r="U847" s="118"/>
      <c r="V847" s="118"/>
      <c r="W847" s="12"/>
      <c r="X847" s="119"/>
      <c r="Y847" s="120"/>
      <c r="Z847" s="12"/>
      <c r="BA847" s="70" t="s">
        <v>205</v>
      </c>
      <c r="BB847" s="71" t="s">
        <v>210</v>
      </c>
      <c r="BC847" s="71" t="s">
        <v>207</v>
      </c>
      <c r="BD847" s="71">
        <v>5.04</v>
      </c>
      <c r="BE847" s="71">
        <v>36</v>
      </c>
      <c r="BF847" s="71">
        <v>390</v>
      </c>
      <c r="BG847" s="71">
        <v>212</v>
      </c>
      <c r="BH847" s="71">
        <v>5</v>
      </c>
      <c r="BI847" s="71">
        <v>10</v>
      </c>
      <c r="BJ847" s="12" t="str" cm="1">
        <f t="array" ref="BJ847">_xll.Dce_Name_SectI(BF847, BF847, BG847, BH847, BI847, "x", "-", $AX$11)</f>
        <v>390x212x5x10</v>
      </c>
      <c r="BK847" s="77" cm="1">
        <f t="array" ref="BK847">_xll.DCEPropSectI(BF847, BH847, BG847, BI847, BG847, BI847, "A")/100</f>
        <v>60.9</v>
      </c>
      <c r="BL847" s="70" t="s">
        <v>224</v>
      </c>
      <c r="BM847" s="70">
        <v>23.949638238643786</v>
      </c>
      <c r="BN847" s="71">
        <v>0.9</v>
      </c>
      <c r="BO847" s="77">
        <f t="shared" si="115"/>
        <v>32.4</v>
      </c>
      <c r="BP847" s="71">
        <v>0.9</v>
      </c>
      <c r="BQ847" s="77">
        <f t="shared" si="116"/>
        <v>32.4</v>
      </c>
      <c r="BR847" s="77" cm="1">
        <f t="array" ref="BR847">_xll.DCEPropSectI(BF847, BH847, BG847, BI847, BG847, BI847, "rx")/10</f>
        <v>16.91131201300167</v>
      </c>
      <c r="BS847" s="77" cm="1">
        <f t="array" ref="BS847">_xll.DCEPropSectI(BF847, BH847, BG847, BI847, BG847, BI847, "ry")/10</f>
        <v>5.1070747638622018</v>
      </c>
      <c r="BT847" s="5">
        <f t="shared" si="117"/>
        <v>191.58773710218577</v>
      </c>
      <c r="BU847" s="5">
        <f t="shared" si="118"/>
        <v>634.41405301647956</v>
      </c>
      <c r="BV847" s="5">
        <f t="shared" si="119"/>
        <v>634.41405301647956</v>
      </c>
      <c r="BW847" s="71">
        <f t="shared" si="120"/>
        <v>400</v>
      </c>
      <c r="BX847" s="78" cm="1">
        <f t="array" ref="BX847">IF(BM847&gt;0,1,_xll.DCETCVN5575FactorPhi7121(BV847*SQRT($K$17/206000),"b"))</f>
        <v>1</v>
      </c>
      <c r="BY847" s="64">
        <f t="shared" si="121"/>
        <v>1.8726748173151762E-2</v>
      </c>
      <c r="BZ847" s="3" t="str">
        <f t="shared" si="122"/>
        <v>Check</v>
      </c>
    </row>
    <row r="848" spans="1:78">
      <c r="A848" s="76"/>
      <c r="B848" s="76"/>
      <c r="C848" s="125"/>
      <c r="D848" s="125"/>
      <c r="E848" s="71"/>
      <c r="F848" s="71"/>
      <c r="G848" s="71"/>
      <c r="H848" s="126"/>
      <c r="I848" s="125"/>
      <c r="J848" s="123"/>
      <c r="K848" s="12"/>
      <c r="L848" s="117"/>
      <c r="M848" s="12"/>
      <c r="N848" s="117"/>
      <c r="O848" s="117"/>
      <c r="P848" s="117"/>
      <c r="Q848" s="118"/>
      <c r="R848" s="118"/>
      <c r="S848" s="118"/>
      <c r="T848" s="12"/>
      <c r="U848" s="118"/>
      <c r="V848" s="118"/>
      <c r="W848" s="12"/>
      <c r="X848" s="119"/>
      <c r="Y848" s="120"/>
      <c r="Z848" s="12"/>
      <c r="BA848" s="70" t="s">
        <v>205</v>
      </c>
      <c r="BB848" s="71" t="s">
        <v>210</v>
      </c>
      <c r="BC848" s="71" t="s">
        <v>207</v>
      </c>
      <c r="BD848" s="71">
        <v>5.53</v>
      </c>
      <c r="BE848" s="71">
        <v>36</v>
      </c>
      <c r="BF848" s="71">
        <v>390</v>
      </c>
      <c r="BG848" s="71">
        <v>212</v>
      </c>
      <c r="BH848" s="71">
        <v>5</v>
      </c>
      <c r="BI848" s="71">
        <v>10</v>
      </c>
      <c r="BJ848" s="12" t="str" cm="1">
        <f t="array" ref="BJ848">_xll.Dce_Name_SectI(BF848, BF848, BG848, BH848, BI848, "x", "-", $AX$11)</f>
        <v>390x212x5x10</v>
      </c>
      <c r="BK848" s="77" cm="1">
        <f t="array" ref="BK848">_xll.DCEPropSectI(BF848, BH848, BG848, BI848, BG848, BI848, "A")/100</f>
        <v>60.9</v>
      </c>
      <c r="BL848" s="70" t="s">
        <v>224</v>
      </c>
      <c r="BM848" s="70">
        <v>23.949638238643786</v>
      </c>
      <c r="BN848" s="71">
        <v>0.9</v>
      </c>
      <c r="BO848" s="77">
        <f t="shared" si="115"/>
        <v>32.4</v>
      </c>
      <c r="BP848" s="71">
        <v>0.9</v>
      </c>
      <c r="BQ848" s="77">
        <f t="shared" si="116"/>
        <v>32.4</v>
      </c>
      <c r="BR848" s="77" cm="1">
        <f t="array" ref="BR848">_xll.DCEPropSectI(BF848, BH848, BG848, BI848, BG848, BI848, "rx")/10</f>
        <v>16.91131201300167</v>
      </c>
      <c r="BS848" s="77" cm="1">
        <f t="array" ref="BS848">_xll.DCEPropSectI(BF848, BH848, BG848, BI848, BG848, BI848, "ry")/10</f>
        <v>5.1070747638622018</v>
      </c>
      <c r="BT848" s="5">
        <f t="shared" si="117"/>
        <v>191.58773710218577</v>
      </c>
      <c r="BU848" s="5">
        <f t="shared" si="118"/>
        <v>634.41405301647956</v>
      </c>
      <c r="BV848" s="5">
        <f t="shared" si="119"/>
        <v>634.41405301647956</v>
      </c>
      <c r="BW848" s="71">
        <f t="shared" si="120"/>
        <v>400</v>
      </c>
      <c r="BX848" s="78" cm="1">
        <f t="array" ref="BX848">IF(BM848&gt;0,1,_xll.DCETCVN5575FactorPhi7121(BV848*SQRT($K$17/206000),"b"))</f>
        <v>1</v>
      </c>
      <c r="BY848" s="64">
        <f t="shared" si="121"/>
        <v>1.8726748173151762E-2</v>
      </c>
      <c r="BZ848" s="3" t="str">
        <f t="shared" si="122"/>
        <v>Check</v>
      </c>
    </row>
    <row r="849" spans="1:78">
      <c r="A849" s="76"/>
      <c r="B849" s="76"/>
      <c r="C849" s="125"/>
      <c r="D849" s="125"/>
      <c r="E849" s="71"/>
      <c r="F849" s="71"/>
      <c r="G849" s="71"/>
      <c r="H849" s="126"/>
      <c r="I849" s="125"/>
      <c r="J849" s="123"/>
      <c r="K849" s="12"/>
      <c r="L849" s="117"/>
      <c r="M849" s="12"/>
      <c r="N849" s="117"/>
      <c r="O849" s="117"/>
      <c r="P849" s="117"/>
      <c r="Q849" s="118"/>
      <c r="R849" s="118"/>
      <c r="S849" s="118"/>
      <c r="T849" s="12"/>
      <c r="U849" s="118"/>
      <c r="V849" s="118"/>
      <c r="W849" s="12"/>
      <c r="X849" s="119"/>
      <c r="Y849" s="120"/>
      <c r="Z849" s="12"/>
      <c r="BA849" s="70" t="s">
        <v>205</v>
      </c>
      <c r="BB849" s="71" t="s">
        <v>210</v>
      </c>
      <c r="BC849" s="71" t="s">
        <v>207</v>
      </c>
      <c r="BD849" s="71">
        <v>6.02</v>
      </c>
      <c r="BE849" s="71">
        <v>36</v>
      </c>
      <c r="BF849" s="71">
        <v>390</v>
      </c>
      <c r="BG849" s="71">
        <v>212</v>
      </c>
      <c r="BH849" s="71">
        <v>5</v>
      </c>
      <c r="BI849" s="71">
        <v>10</v>
      </c>
      <c r="BJ849" s="12" t="str" cm="1">
        <f t="array" ref="BJ849">_xll.Dce_Name_SectI(BF849, BF849, BG849, BH849, BI849, "x", "-", $AX$11)</f>
        <v>390x212x5x10</v>
      </c>
      <c r="BK849" s="77" cm="1">
        <f t="array" ref="BK849">_xll.DCEPropSectI(BF849, BH849, BG849, BI849, BG849, BI849, "A")/100</f>
        <v>60.9</v>
      </c>
      <c r="BL849" s="70" t="s">
        <v>224</v>
      </c>
      <c r="BM849" s="70">
        <v>23.949638238643786</v>
      </c>
      <c r="BN849" s="71">
        <v>0.9</v>
      </c>
      <c r="BO849" s="77">
        <f t="shared" si="115"/>
        <v>32.4</v>
      </c>
      <c r="BP849" s="71">
        <v>0.9</v>
      </c>
      <c r="BQ849" s="77">
        <f t="shared" si="116"/>
        <v>32.4</v>
      </c>
      <c r="BR849" s="77" cm="1">
        <f t="array" ref="BR849">_xll.DCEPropSectI(BF849, BH849, BG849, BI849, BG849, BI849, "rx")/10</f>
        <v>16.91131201300167</v>
      </c>
      <c r="BS849" s="77" cm="1">
        <f t="array" ref="BS849">_xll.DCEPropSectI(BF849, BH849, BG849, BI849, BG849, BI849, "ry")/10</f>
        <v>5.1070747638622018</v>
      </c>
      <c r="BT849" s="5">
        <f t="shared" si="117"/>
        <v>191.58773710218577</v>
      </c>
      <c r="BU849" s="5">
        <f t="shared" si="118"/>
        <v>634.41405301647956</v>
      </c>
      <c r="BV849" s="5">
        <f t="shared" si="119"/>
        <v>634.41405301647956</v>
      </c>
      <c r="BW849" s="71">
        <f t="shared" si="120"/>
        <v>400</v>
      </c>
      <c r="BX849" s="78" cm="1">
        <f t="array" ref="BX849">IF(BM849&gt;0,1,_xll.DCETCVN5575FactorPhi7121(BV849*SQRT($K$17/206000),"b"))</f>
        <v>1</v>
      </c>
      <c r="BY849" s="64">
        <f t="shared" si="121"/>
        <v>1.8726748173151762E-2</v>
      </c>
      <c r="BZ849" s="3" t="str">
        <f t="shared" si="122"/>
        <v>Check</v>
      </c>
    </row>
    <row r="850" spans="1:78">
      <c r="A850" s="76"/>
      <c r="B850" s="76"/>
      <c r="C850" s="125"/>
      <c r="D850" s="125"/>
      <c r="E850" s="71"/>
      <c r="F850" s="71"/>
      <c r="G850" s="71"/>
      <c r="H850" s="126"/>
      <c r="I850" s="125"/>
      <c r="J850" s="123"/>
      <c r="K850" s="12"/>
      <c r="L850" s="117"/>
      <c r="M850" s="12"/>
      <c r="N850" s="117"/>
      <c r="O850" s="117"/>
      <c r="P850" s="117"/>
      <c r="Q850" s="118"/>
      <c r="R850" s="118"/>
      <c r="S850" s="118"/>
      <c r="T850" s="12"/>
      <c r="U850" s="118"/>
      <c r="V850" s="118"/>
      <c r="W850" s="12"/>
      <c r="X850" s="119"/>
      <c r="Y850" s="120"/>
      <c r="Z850" s="12"/>
      <c r="BA850" s="70" t="s">
        <v>205</v>
      </c>
      <c r="BB850" s="71" t="s">
        <v>210</v>
      </c>
      <c r="BC850" s="71" t="s">
        <v>207</v>
      </c>
      <c r="BD850" s="71">
        <v>6.51</v>
      </c>
      <c r="BE850" s="71">
        <v>36</v>
      </c>
      <c r="BF850" s="71">
        <v>390</v>
      </c>
      <c r="BG850" s="71">
        <v>212</v>
      </c>
      <c r="BH850" s="71">
        <v>5</v>
      </c>
      <c r="BI850" s="71">
        <v>10</v>
      </c>
      <c r="BJ850" s="12" t="str" cm="1">
        <f t="array" ref="BJ850">_xll.Dce_Name_SectI(BF850, BF850, BG850, BH850, BI850, "x", "-", $AX$11)</f>
        <v>390x212x5x10</v>
      </c>
      <c r="BK850" s="77" cm="1">
        <f t="array" ref="BK850">_xll.DCEPropSectI(BF850, BH850, BG850, BI850, BG850, BI850, "A")/100</f>
        <v>60.9</v>
      </c>
      <c r="BL850" s="70" t="s">
        <v>224</v>
      </c>
      <c r="BM850" s="70">
        <v>23.949638238643786</v>
      </c>
      <c r="BN850" s="71">
        <v>0.9</v>
      </c>
      <c r="BO850" s="77">
        <f t="shared" si="115"/>
        <v>32.4</v>
      </c>
      <c r="BP850" s="71">
        <v>0.9</v>
      </c>
      <c r="BQ850" s="77">
        <f t="shared" si="116"/>
        <v>32.4</v>
      </c>
      <c r="BR850" s="77" cm="1">
        <f t="array" ref="BR850">_xll.DCEPropSectI(BF850, BH850, BG850, BI850, BG850, BI850, "rx")/10</f>
        <v>16.91131201300167</v>
      </c>
      <c r="BS850" s="77" cm="1">
        <f t="array" ref="BS850">_xll.DCEPropSectI(BF850, BH850, BG850, BI850, BG850, BI850, "ry")/10</f>
        <v>5.1070747638622018</v>
      </c>
      <c r="BT850" s="5">
        <f t="shared" si="117"/>
        <v>191.58773710218577</v>
      </c>
      <c r="BU850" s="5">
        <f t="shared" si="118"/>
        <v>634.41405301647956</v>
      </c>
      <c r="BV850" s="5">
        <f t="shared" si="119"/>
        <v>634.41405301647956</v>
      </c>
      <c r="BW850" s="71">
        <f t="shared" si="120"/>
        <v>400</v>
      </c>
      <c r="BX850" s="78" cm="1">
        <f t="array" ref="BX850">IF(BM850&gt;0,1,_xll.DCETCVN5575FactorPhi7121(BV850*SQRT($K$17/206000),"b"))</f>
        <v>1</v>
      </c>
      <c r="BY850" s="64">
        <f t="shared" si="121"/>
        <v>1.8726748173151762E-2</v>
      </c>
      <c r="BZ850" s="3" t="str">
        <f t="shared" si="122"/>
        <v>Check</v>
      </c>
    </row>
    <row r="851" spans="1:78">
      <c r="A851" s="76"/>
      <c r="B851" s="76"/>
      <c r="C851" s="125"/>
      <c r="D851" s="125"/>
      <c r="E851" s="71"/>
      <c r="F851" s="71"/>
      <c r="G851" s="71"/>
      <c r="H851" s="126"/>
      <c r="I851" s="125"/>
      <c r="J851" s="123"/>
      <c r="K851" s="12"/>
      <c r="L851" s="117"/>
      <c r="M851" s="12"/>
      <c r="N851" s="117"/>
      <c r="O851" s="117"/>
      <c r="P851" s="117"/>
      <c r="Q851" s="118"/>
      <c r="R851" s="118"/>
      <c r="S851" s="118"/>
      <c r="T851" s="12"/>
      <c r="U851" s="118"/>
      <c r="V851" s="118"/>
      <c r="W851" s="12"/>
      <c r="X851" s="119"/>
      <c r="Y851" s="120"/>
      <c r="Z851" s="12"/>
      <c r="BA851" s="70" t="s">
        <v>205</v>
      </c>
      <c r="BB851" s="71" t="s">
        <v>210</v>
      </c>
      <c r="BC851" s="71" t="s">
        <v>207</v>
      </c>
      <c r="BD851" s="71">
        <v>7.01</v>
      </c>
      <c r="BE851" s="71">
        <v>36</v>
      </c>
      <c r="BF851" s="71">
        <v>390</v>
      </c>
      <c r="BG851" s="71">
        <v>212</v>
      </c>
      <c r="BH851" s="71">
        <v>5</v>
      </c>
      <c r="BI851" s="71">
        <v>10</v>
      </c>
      <c r="BJ851" s="12" t="str" cm="1">
        <f t="array" ref="BJ851">_xll.Dce_Name_SectI(BF851, BF851, BG851, BH851, BI851, "x", "-", $AX$11)</f>
        <v>390x212x5x10</v>
      </c>
      <c r="BK851" s="77" cm="1">
        <f t="array" ref="BK851">_xll.DCEPropSectI(BF851, BH851, BG851, BI851, BG851, BI851, "A")/100</f>
        <v>60.9</v>
      </c>
      <c r="BL851" s="70" t="s">
        <v>224</v>
      </c>
      <c r="BM851" s="70">
        <v>23.949638238643786</v>
      </c>
      <c r="BN851" s="71">
        <v>0.9</v>
      </c>
      <c r="BO851" s="77">
        <f t="shared" si="115"/>
        <v>32.4</v>
      </c>
      <c r="BP851" s="71">
        <v>0.9</v>
      </c>
      <c r="BQ851" s="77">
        <f t="shared" si="116"/>
        <v>32.4</v>
      </c>
      <c r="BR851" s="77" cm="1">
        <f t="array" ref="BR851">_xll.DCEPropSectI(BF851, BH851, BG851, BI851, BG851, BI851, "rx")/10</f>
        <v>16.91131201300167</v>
      </c>
      <c r="BS851" s="77" cm="1">
        <f t="array" ref="BS851">_xll.DCEPropSectI(BF851, BH851, BG851, BI851, BG851, BI851, "ry")/10</f>
        <v>5.1070747638622018</v>
      </c>
      <c r="BT851" s="5">
        <f t="shared" si="117"/>
        <v>191.58773710218577</v>
      </c>
      <c r="BU851" s="5">
        <f t="shared" si="118"/>
        <v>634.41405301647956</v>
      </c>
      <c r="BV851" s="5">
        <f t="shared" si="119"/>
        <v>634.41405301647956</v>
      </c>
      <c r="BW851" s="71">
        <f t="shared" si="120"/>
        <v>400</v>
      </c>
      <c r="BX851" s="78" cm="1">
        <f t="array" ref="BX851">IF(BM851&gt;0,1,_xll.DCETCVN5575FactorPhi7121(BV851*SQRT($K$17/206000),"b"))</f>
        <v>1</v>
      </c>
      <c r="BY851" s="64">
        <f t="shared" si="121"/>
        <v>1.8726748173151762E-2</v>
      </c>
      <c r="BZ851" s="3" t="str">
        <f t="shared" si="122"/>
        <v>Check</v>
      </c>
    </row>
    <row r="852" spans="1:78">
      <c r="A852" s="76"/>
      <c r="B852" s="76"/>
      <c r="C852" s="125"/>
      <c r="D852" s="125"/>
      <c r="E852" s="71"/>
      <c r="F852" s="71"/>
      <c r="G852" s="71"/>
      <c r="H852" s="126"/>
      <c r="I852" s="125"/>
      <c r="J852" s="123"/>
      <c r="K852" s="12"/>
      <c r="L852" s="117"/>
      <c r="M852" s="12"/>
      <c r="N852" s="117"/>
      <c r="O852" s="117"/>
      <c r="P852" s="117"/>
      <c r="Q852" s="118"/>
      <c r="R852" s="118"/>
      <c r="S852" s="118"/>
      <c r="T852" s="12"/>
      <c r="U852" s="118"/>
      <c r="V852" s="118"/>
      <c r="W852" s="12"/>
      <c r="X852" s="119"/>
      <c r="Y852" s="120"/>
      <c r="Z852" s="12"/>
      <c r="BA852" s="70" t="s">
        <v>205</v>
      </c>
      <c r="BB852" s="71" t="s">
        <v>210</v>
      </c>
      <c r="BC852" s="71" t="s">
        <v>207</v>
      </c>
      <c r="BD852" s="71">
        <v>7.5</v>
      </c>
      <c r="BE852" s="71">
        <v>36</v>
      </c>
      <c r="BF852" s="71">
        <v>390</v>
      </c>
      <c r="BG852" s="71">
        <v>212</v>
      </c>
      <c r="BH852" s="71">
        <v>5</v>
      </c>
      <c r="BI852" s="71">
        <v>10</v>
      </c>
      <c r="BJ852" s="12" t="str" cm="1">
        <f t="array" ref="BJ852">_xll.Dce_Name_SectI(BF852, BF852, BG852, BH852, BI852, "x", "-", $AX$11)</f>
        <v>390x212x5x10</v>
      </c>
      <c r="BK852" s="77" cm="1">
        <f t="array" ref="BK852">_xll.DCEPropSectI(BF852, BH852, BG852, BI852, BG852, BI852, "A")/100</f>
        <v>60.9</v>
      </c>
      <c r="BL852" s="70" t="s">
        <v>224</v>
      </c>
      <c r="BM852" s="70">
        <v>23.949638238643786</v>
      </c>
      <c r="BN852" s="71">
        <v>0.9</v>
      </c>
      <c r="BO852" s="77">
        <f t="shared" si="115"/>
        <v>32.4</v>
      </c>
      <c r="BP852" s="71">
        <v>0.9</v>
      </c>
      <c r="BQ852" s="77">
        <f t="shared" si="116"/>
        <v>32.4</v>
      </c>
      <c r="BR852" s="77" cm="1">
        <f t="array" ref="BR852">_xll.DCEPropSectI(BF852, BH852, BG852, BI852, BG852, BI852, "rx")/10</f>
        <v>16.91131201300167</v>
      </c>
      <c r="BS852" s="77" cm="1">
        <f t="array" ref="BS852">_xll.DCEPropSectI(BF852, BH852, BG852, BI852, BG852, BI852, "ry")/10</f>
        <v>5.1070747638622018</v>
      </c>
      <c r="BT852" s="5">
        <f t="shared" si="117"/>
        <v>191.58773710218577</v>
      </c>
      <c r="BU852" s="5">
        <f t="shared" si="118"/>
        <v>634.41405301647956</v>
      </c>
      <c r="BV852" s="5">
        <f t="shared" si="119"/>
        <v>634.41405301647956</v>
      </c>
      <c r="BW852" s="71">
        <f t="shared" si="120"/>
        <v>400</v>
      </c>
      <c r="BX852" s="78" cm="1">
        <f t="array" ref="BX852">IF(BM852&gt;0,1,_xll.DCETCVN5575FactorPhi7121(BV852*SQRT($K$17/206000),"b"))</f>
        <v>1</v>
      </c>
      <c r="BY852" s="64">
        <f t="shared" si="121"/>
        <v>1.8726748173151762E-2</v>
      </c>
      <c r="BZ852" s="3" t="str">
        <f t="shared" si="122"/>
        <v>Check</v>
      </c>
    </row>
    <row r="853" spans="1:78">
      <c r="A853" s="76"/>
      <c r="B853" s="76"/>
      <c r="C853" s="125"/>
      <c r="D853" s="125"/>
      <c r="E853" s="71"/>
      <c r="F853" s="71"/>
      <c r="G853" s="71"/>
      <c r="H853" s="126"/>
      <c r="I853" s="125"/>
      <c r="J853" s="123"/>
      <c r="K853" s="12"/>
      <c r="L853" s="117"/>
      <c r="M853" s="12"/>
      <c r="N853" s="117"/>
      <c r="O853" s="117"/>
      <c r="P853" s="117"/>
      <c r="Q853" s="118"/>
      <c r="R853" s="118"/>
      <c r="S853" s="118"/>
      <c r="T853" s="12"/>
      <c r="U853" s="118"/>
      <c r="V853" s="118"/>
      <c r="W853" s="12"/>
      <c r="X853" s="119"/>
      <c r="Y853" s="120"/>
      <c r="Z853" s="12"/>
      <c r="BA853" s="70" t="s">
        <v>205</v>
      </c>
      <c r="BB853" s="71" t="s">
        <v>210</v>
      </c>
      <c r="BC853" s="71" t="s">
        <v>207</v>
      </c>
      <c r="BD853" s="71">
        <v>7.5</v>
      </c>
      <c r="BE853" s="71">
        <v>36</v>
      </c>
      <c r="BF853" s="71">
        <v>390</v>
      </c>
      <c r="BG853" s="71">
        <v>212</v>
      </c>
      <c r="BH853" s="71">
        <v>5</v>
      </c>
      <c r="BI853" s="71">
        <v>10</v>
      </c>
      <c r="BJ853" s="12" t="str" cm="1">
        <f t="array" ref="BJ853">_xll.Dce_Name_SectI(BF853, BF853, BG853, BH853, BI853, "x", "-", $AX$11)</f>
        <v>390x212x5x10</v>
      </c>
      <c r="BK853" s="77" cm="1">
        <f t="array" ref="BK853">_xll.DCEPropSectI(BF853, BH853, BG853, BI853, BG853, BI853, "A")/100</f>
        <v>60.9</v>
      </c>
      <c r="BL853" s="70" t="s">
        <v>224</v>
      </c>
      <c r="BM853" s="70">
        <v>-0.50182488908374978</v>
      </c>
      <c r="BN853" s="71">
        <v>0.9</v>
      </c>
      <c r="BO853" s="77">
        <f t="shared" si="115"/>
        <v>32.4</v>
      </c>
      <c r="BP853" s="71">
        <v>0.9</v>
      </c>
      <c r="BQ853" s="77">
        <f t="shared" si="116"/>
        <v>32.4</v>
      </c>
      <c r="BR853" s="77" cm="1">
        <f t="array" ref="BR853">_xll.DCEPropSectI(BF853, BH853, BG853, BI853, BG853, BI853, "rx")/10</f>
        <v>16.91131201300167</v>
      </c>
      <c r="BS853" s="77" cm="1">
        <f t="array" ref="BS853">_xll.DCEPropSectI(BF853, BH853, BG853, BI853, BG853, BI853, "ry")/10</f>
        <v>5.1070747638622018</v>
      </c>
      <c r="BT853" s="5">
        <f t="shared" si="117"/>
        <v>191.58773710218577</v>
      </c>
      <c r="BU853" s="5">
        <f t="shared" si="118"/>
        <v>634.41405301647956</v>
      </c>
      <c r="BV853" s="5">
        <f t="shared" si="119"/>
        <v>634.41405301647956</v>
      </c>
      <c r="BW853" s="71">
        <f t="shared" si="120"/>
        <v>200</v>
      </c>
      <c r="BX853" s="78" cm="1">
        <f t="array" ref="BX853">IF(BM853&gt;0,1,_xll.DCETCVN5575FactorPhi7121(BV853*SQRT($K$17/206000),"b"))</f>
        <v>1.6670876655456978E-2</v>
      </c>
      <c r="BY853" s="64">
        <f t="shared" si="121"/>
        <v>2.3537328663657001E-2</v>
      </c>
      <c r="BZ853" s="3" t="str">
        <f t="shared" si="122"/>
        <v>Check</v>
      </c>
    </row>
    <row r="854" spans="1:78">
      <c r="A854" s="76"/>
      <c r="B854" s="76"/>
      <c r="C854" s="125"/>
      <c r="D854" s="125"/>
      <c r="E854" s="71"/>
      <c r="F854" s="71"/>
      <c r="G854" s="71"/>
      <c r="H854" s="126"/>
      <c r="I854" s="125"/>
      <c r="J854" s="123"/>
      <c r="K854" s="12"/>
      <c r="L854" s="117"/>
      <c r="M854" s="12"/>
      <c r="N854" s="117"/>
      <c r="O854" s="117"/>
      <c r="P854" s="117"/>
      <c r="Q854" s="118"/>
      <c r="R854" s="118"/>
      <c r="S854" s="118"/>
      <c r="T854" s="12"/>
      <c r="U854" s="118"/>
      <c r="V854" s="118"/>
      <c r="W854" s="12"/>
      <c r="X854" s="119"/>
      <c r="Y854" s="120"/>
      <c r="Z854" s="12"/>
      <c r="BA854" s="70" t="s">
        <v>205</v>
      </c>
      <c r="BB854" s="71" t="s">
        <v>210</v>
      </c>
      <c r="BC854" s="71" t="s">
        <v>207</v>
      </c>
      <c r="BD854" s="71">
        <v>8</v>
      </c>
      <c r="BE854" s="71">
        <v>36</v>
      </c>
      <c r="BF854" s="71">
        <v>390</v>
      </c>
      <c r="BG854" s="71">
        <v>212</v>
      </c>
      <c r="BH854" s="71">
        <v>5</v>
      </c>
      <c r="BI854" s="71">
        <v>10</v>
      </c>
      <c r="BJ854" s="12" t="str" cm="1">
        <f t="array" ref="BJ854">_xll.Dce_Name_SectI(BF854, BF854, BG854, BH854, BI854, "x", "-", $AX$11)</f>
        <v>390x212x5x10</v>
      </c>
      <c r="BK854" s="77" cm="1">
        <f t="array" ref="BK854">_xll.DCEPropSectI(BF854, BH854, BG854, BI854, BG854, BI854, "A")/100</f>
        <v>60.9</v>
      </c>
      <c r="BL854" s="70" t="s">
        <v>224</v>
      </c>
      <c r="BM854" s="70">
        <v>-0.50182488908374978</v>
      </c>
      <c r="BN854" s="71">
        <v>0.9</v>
      </c>
      <c r="BO854" s="77">
        <f t="shared" si="115"/>
        <v>32.4</v>
      </c>
      <c r="BP854" s="71">
        <v>0.9</v>
      </c>
      <c r="BQ854" s="77">
        <f t="shared" si="116"/>
        <v>32.4</v>
      </c>
      <c r="BR854" s="77" cm="1">
        <f t="array" ref="BR854">_xll.DCEPropSectI(BF854, BH854, BG854, BI854, BG854, BI854, "rx")/10</f>
        <v>16.91131201300167</v>
      </c>
      <c r="BS854" s="77" cm="1">
        <f t="array" ref="BS854">_xll.DCEPropSectI(BF854, BH854, BG854, BI854, BG854, BI854, "ry")/10</f>
        <v>5.1070747638622018</v>
      </c>
      <c r="BT854" s="5">
        <f t="shared" si="117"/>
        <v>191.58773710218577</v>
      </c>
      <c r="BU854" s="5">
        <f t="shared" si="118"/>
        <v>634.41405301647956</v>
      </c>
      <c r="BV854" s="5">
        <f t="shared" si="119"/>
        <v>634.41405301647956</v>
      </c>
      <c r="BW854" s="71">
        <f t="shared" si="120"/>
        <v>200</v>
      </c>
      <c r="BX854" s="78" cm="1">
        <f t="array" ref="BX854">IF(BM854&gt;0,1,_xll.DCETCVN5575FactorPhi7121(BV854*SQRT($K$17/206000),"b"))</f>
        <v>1.6670876655456978E-2</v>
      </c>
      <c r="BY854" s="64">
        <f t="shared" si="121"/>
        <v>2.3537328663657001E-2</v>
      </c>
      <c r="BZ854" s="3" t="str">
        <f t="shared" si="122"/>
        <v>Check</v>
      </c>
    </row>
    <row r="855" spans="1:78">
      <c r="A855" s="76"/>
      <c r="B855" s="76"/>
      <c r="C855" s="125"/>
      <c r="D855" s="125"/>
      <c r="E855" s="71"/>
      <c r="F855" s="71"/>
      <c r="G855" s="71"/>
      <c r="H855" s="126"/>
      <c r="I855" s="125"/>
      <c r="J855" s="123"/>
      <c r="K855" s="12"/>
      <c r="L855" s="117"/>
      <c r="M855" s="12"/>
      <c r="N855" s="117"/>
      <c r="O855" s="117"/>
      <c r="P855" s="117"/>
      <c r="Q855" s="118"/>
      <c r="R855" s="118"/>
      <c r="S855" s="118"/>
      <c r="T855" s="12"/>
      <c r="U855" s="118"/>
      <c r="V855" s="118"/>
      <c r="W855" s="12"/>
      <c r="X855" s="119"/>
      <c r="Y855" s="120"/>
      <c r="Z855" s="12"/>
      <c r="BA855" s="70" t="s">
        <v>205</v>
      </c>
      <c r="BB855" s="71" t="s">
        <v>210</v>
      </c>
      <c r="BC855" s="71" t="s">
        <v>207</v>
      </c>
      <c r="BD855" s="71">
        <v>8.5</v>
      </c>
      <c r="BE855" s="71">
        <v>36</v>
      </c>
      <c r="BF855" s="71">
        <v>390</v>
      </c>
      <c r="BG855" s="71">
        <v>212</v>
      </c>
      <c r="BH855" s="71">
        <v>5</v>
      </c>
      <c r="BI855" s="71">
        <v>10</v>
      </c>
      <c r="BJ855" s="12" t="str" cm="1">
        <f t="array" ref="BJ855">_xll.Dce_Name_SectI(BF855, BF855, BG855, BH855, BI855, "x", "-", $AX$11)</f>
        <v>390x212x5x10</v>
      </c>
      <c r="BK855" s="77" cm="1">
        <f t="array" ref="BK855">_xll.DCEPropSectI(BF855, BH855, BG855, BI855, BG855, BI855, "A")/100</f>
        <v>60.9</v>
      </c>
      <c r="BL855" s="70" t="s">
        <v>224</v>
      </c>
      <c r="BM855" s="70">
        <v>-0.50182488908374978</v>
      </c>
      <c r="BN855" s="71">
        <v>0.9</v>
      </c>
      <c r="BO855" s="77">
        <f t="shared" si="115"/>
        <v>32.4</v>
      </c>
      <c r="BP855" s="71">
        <v>0.9</v>
      </c>
      <c r="BQ855" s="77">
        <f t="shared" si="116"/>
        <v>32.4</v>
      </c>
      <c r="BR855" s="77" cm="1">
        <f t="array" ref="BR855">_xll.DCEPropSectI(BF855, BH855, BG855, BI855, BG855, BI855, "rx")/10</f>
        <v>16.91131201300167</v>
      </c>
      <c r="BS855" s="77" cm="1">
        <f t="array" ref="BS855">_xll.DCEPropSectI(BF855, BH855, BG855, BI855, BG855, BI855, "ry")/10</f>
        <v>5.1070747638622018</v>
      </c>
      <c r="BT855" s="5">
        <f t="shared" si="117"/>
        <v>191.58773710218577</v>
      </c>
      <c r="BU855" s="5">
        <f t="shared" si="118"/>
        <v>634.41405301647956</v>
      </c>
      <c r="BV855" s="5">
        <f t="shared" si="119"/>
        <v>634.41405301647956</v>
      </c>
      <c r="BW855" s="71">
        <f t="shared" si="120"/>
        <v>200</v>
      </c>
      <c r="BX855" s="78" cm="1">
        <f t="array" ref="BX855">IF(BM855&gt;0,1,_xll.DCETCVN5575FactorPhi7121(BV855*SQRT($K$17/206000),"b"))</f>
        <v>1.6670876655456978E-2</v>
      </c>
      <c r="BY855" s="64">
        <f t="shared" si="121"/>
        <v>2.3537328663657001E-2</v>
      </c>
      <c r="BZ855" s="3" t="str">
        <f t="shared" si="122"/>
        <v>Check</v>
      </c>
    </row>
    <row r="856" spans="1:78">
      <c r="A856" s="76"/>
      <c r="B856" s="76"/>
      <c r="C856" s="125"/>
      <c r="D856" s="125"/>
      <c r="E856" s="71"/>
      <c r="F856" s="71"/>
      <c r="G856" s="71"/>
      <c r="H856" s="126"/>
      <c r="I856" s="125"/>
      <c r="J856" s="123"/>
      <c r="K856" s="12"/>
      <c r="L856" s="117"/>
      <c r="M856" s="12"/>
      <c r="N856" s="117"/>
      <c r="O856" s="117"/>
      <c r="P856" s="117"/>
      <c r="Q856" s="118"/>
      <c r="R856" s="118"/>
      <c r="S856" s="118"/>
      <c r="T856" s="12"/>
      <c r="U856" s="118"/>
      <c r="V856" s="118"/>
      <c r="W856" s="12"/>
      <c r="X856" s="119"/>
      <c r="Y856" s="120"/>
      <c r="Z856" s="12"/>
      <c r="BA856" s="70" t="s">
        <v>205</v>
      </c>
      <c r="BB856" s="71" t="s">
        <v>210</v>
      </c>
      <c r="BC856" s="71" t="s">
        <v>207</v>
      </c>
      <c r="BD856" s="71">
        <v>9</v>
      </c>
      <c r="BE856" s="71">
        <v>36</v>
      </c>
      <c r="BF856" s="71">
        <v>390</v>
      </c>
      <c r="BG856" s="71">
        <v>212</v>
      </c>
      <c r="BH856" s="71">
        <v>5</v>
      </c>
      <c r="BI856" s="71">
        <v>10</v>
      </c>
      <c r="BJ856" s="12" t="str" cm="1">
        <f t="array" ref="BJ856">_xll.Dce_Name_SectI(BF856, BF856, BG856, BH856, BI856, "x", "-", $AX$11)</f>
        <v>390x212x5x10</v>
      </c>
      <c r="BK856" s="77" cm="1">
        <f t="array" ref="BK856">_xll.DCEPropSectI(BF856, BH856, BG856, BI856, BG856, BI856, "A")/100</f>
        <v>60.9</v>
      </c>
      <c r="BL856" s="70" t="s">
        <v>224</v>
      </c>
      <c r="BM856" s="70">
        <v>-0.50182488908374978</v>
      </c>
      <c r="BN856" s="71">
        <v>0.9</v>
      </c>
      <c r="BO856" s="77">
        <f t="shared" si="115"/>
        <v>32.4</v>
      </c>
      <c r="BP856" s="71">
        <v>0.9</v>
      </c>
      <c r="BQ856" s="77">
        <f t="shared" si="116"/>
        <v>32.4</v>
      </c>
      <c r="BR856" s="77" cm="1">
        <f t="array" ref="BR856">_xll.DCEPropSectI(BF856, BH856, BG856, BI856, BG856, BI856, "rx")/10</f>
        <v>16.91131201300167</v>
      </c>
      <c r="BS856" s="77" cm="1">
        <f t="array" ref="BS856">_xll.DCEPropSectI(BF856, BH856, BG856, BI856, BG856, BI856, "ry")/10</f>
        <v>5.1070747638622018</v>
      </c>
      <c r="BT856" s="5">
        <f t="shared" si="117"/>
        <v>191.58773710218577</v>
      </c>
      <c r="BU856" s="5">
        <f t="shared" si="118"/>
        <v>634.41405301647956</v>
      </c>
      <c r="BV856" s="5">
        <f t="shared" si="119"/>
        <v>634.41405301647956</v>
      </c>
      <c r="BW856" s="71">
        <f t="shared" si="120"/>
        <v>200</v>
      </c>
      <c r="BX856" s="78" cm="1">
        <f t="array" ref="BX856">IF(BM856&gt;0,1,_xll.DCETCVN5575FactorPhi7121(BV856*SQRT($K$17/206000),"b"))</f>
        <v>1.6670876655456978E-2</v>
      </c>
      <c r="BY856" s="64">
        <f t="shared" si="121"/>
        <v>2.3537328663657001E-2</v>
      </c>
      <c r="BZ856" s="3" t="str">
        <f t="shared" si="122"/>
        <v>Check</v>
      </c>
    </row>
    <row r="857" spans="1:78">
      <c r="A857" s="76"/>
      <c r="B857" s="76"/>
      <c r="C857" s="125"/>
      <c r="D857" s="125"/>
      <c r="E857" s="71"/>
      <c r="F857" s="71"/>
      <c r="G857" s="71"/>
      <c r="H857" s="126"/>
      <c r="I857" s="125"/>
      <c r="J857" s="123"/>
      <c r="K857" s="12"/>
      <c r="L857" s="117"/>
      <c r="M857" s="12"/>
      <c r="N857" s="117"/>
      <c r="O857" s="117"/>
      <c r="P857" s="117"/>
      <c r="Q857" s="118"/>
      <c r="R857" s="118"/>
      <c r="S857" s="118"/>
      <c r="T857" s="12"/>
      <c r="U857" s="118"/>
      <c r="V857" s="118"/>
      <c r="W857" s="12"/>
      <c r="X857" s="119"/>
      <c r="Y857" s="120"/>
      <c r="Z857" s="12"/>
      <c r="BA857" s="70" t="s">
        <v>205</v>
      </c>
      <c r="BB857" s="71" t="s">
        <v>210</v>
      </c>
      <c r="BC857" s="71" t="s">
        <v>207</v>
      </c>
      <c r="BD857" s="71">
        <v>9.5</v>
      </c>
      <c r="BE857" s="71">
        <v>36</v>
      </c>
      <c r="BF857" s="71">
        <v>390</v>
      </c>
      <c r="BG857" s="71">
        <v>212</v>
      </c>
      <c r="BH857" s="71">
        <v>5</v>
      </c>
      <c r="BI857" s="71">
        <v>10</v>
      </c>
      <c r="BJ857" s="12" t="str" cm="1">
        <f t="array" ref="BJ857">_xll.Dce_Name_SectI(BF857, BF857, BG857, BH857, BI857, "x", "-", $AX$11)</f>
        <v>390x212x5x10</v>
      </c>
      <c r="BK857" s="77" cm="1">
        <f t="array" ref="BK857">_xll.DCEPropSectI(BF857, BH857, BG857, BI857, BG857, BI857, "A")/100</f>
        <v>60.9</v>
      </c>
      <c r="BL857" s="70" t="s">
        <v>224</v>
      </c>
      <c r="BM857" s="70">
        <v>-0.50182488908374978</v>
      </c>
      <c r="BN857" s="71">
        <v>0.9</v>
      </c>
      <c r="BO857" s="77">
        <f t="shared" si="115"/>
        <v>32.4</v>
      </c>
      <c r="BP857" s="71">
        <v>0.9</v>
      </c>
      <c r="BQ857" s="77">
        <f t="shared" si="116"/>
        <v>32.4</v>
      </c>
      <c r="BR857" s="77" cm="1">
        <f t="array" ref="BR857">_xll.DCEPropSectI(BF857, BH857, BG857, BI857, BG857, BI857, "rx")/10</f>
        <v>16.91131201300167</v>
      </c>
      <c r="BS857" s="77" cm="1">
        <f t="array" ref="BS857">_xll.DCEPropSectI(BF857, BH857, BG857, BI857, BG857, BI857, "ry")/10</f>
        <v>5.1070747638622018</v>
      </c>
      <c r="BT857" s="5">
        <f t="shared" si="117"/>
        <v>191.58773710218577</v>
      </c>
      <c r="BU857" s="5">
        <f t="shared" si="118"/>
        <v>634.41405301647956</v>
      </c>
      <c r="BV857" s="5">
        <f t="shared" si="119"/>
        <v>634.41405301647956</v>
      </c>
      <c r="BW857" s="71">
        <f t="shared" si="120"/>
        <v>200</v>
      </c>
      <c r="BX857" s="78" cm="1">
        <f t="array" ref="BX857">IF(BM857&gt;0,1,_xll.DCETCVN5575FactorPhi7121(BV857*SQRT($K$17/206000),"b"))</f>
        <v>1.6670876655456978E-2</v>
      </c>
      <c r="BY857" s="64">
        <f t="shared" si="121"/>
        <v>2.3537328663657001E-2</v>
      </c>
      <c r="BZ857" s="3" t="str">
        <f t="shared" si="122"/>
        <v>Check</v>
      </c>
    </row>
    <row r="858" spans="1:78">
      <c r="A858" s="76"/>
      <c r="B858" s="76"/>
      <c r="C858" s="125"/>
      <c r="D858" s="125"/>
      <c r="E858" s="71"/>
      <c r="F858" s="71"/>
      <c r="G858" s="71"/>
      <c r="H858" s="126"/>
      <c r="I858" s="125"/>
      <c r="J858" s="123"/>
      <c r="K858" s="12"/>
      <c r="L858" s="117"/>
      <c r="M858" s="12"/>
      <c r="N858" s="117"/>
      <c r="O858" s="117"/>
      <c r="P858" s="117"/>
      <c r="Q858" s="118"/>
      <c r="R858" s="118"/>
      <c r="S858" s="118"/>
      <c r="T858" s="12"/>
      <c r="U858" s="118"/>
      <c r="V858" s="118"/>
      <c r="W858" s="12"/>
      <c r="X858" s="119"/>
      <c r="Y858" s="120"/>
      <c r="Z858" s="12"/>
      <c r="BA858" s="70" t="s">
        <v>205</v>
      </c>
      <c r="BB858" s="71" t="s">
        <v>210</v>
      </c>
      <c r="BC858" s="71" t="s">
        <v>207</v>
      </c>
      <c r="BD858" s="71">
        <v>10</v>
      </c>
      <c r="BE858" s="71">
        <v>36</v>
      </c>
      <c r="BF858" s="71">
        <v>390</v>
      </c>
      <c r="BG858" s="71">
        <v>212</v>
      </c>
      <c r="BH858" s="71">
        <v>5</v>
      </c>
      <c r="BI858" s="71">
        <v>10</v>
      </c>
      <c r="BJ858" s="12" t="str" cm="1">
        <f t="array" ref="BJ858">_xll.Dce_Name_SectI(BF858, BF858, BG858, BH858, BI858, "x", "-", $AX$11)</f>
        <v>390x212x5x10</v>
      </c>
      <c r="BK858" s="77" cm="1">
        <f t="array" ref="BK858">_xll.DCEPropSectI(BF858, BH858, BG858, BI858, BG858, BI858, "A")/100</f>
        <v>60.9</v>
      </c>
      <c r="BL858" s="70" t="s">
        <v>224</v>
      </c>
      <c r="BM858" s="70">
        <v>-0.50182488908374978</v>
      </c>
      <c r="BN858" s="71">
        <v>0.9</v>
      </c>
      <c r="BO858" s="77">
        <f t="shared" si="115"/>
        <v>32.4</v>
      </c>
      <c r="BP858" s="71">
        <v>0.9</v>
      </c>
      <c r="BQ858" s="77">
        <f t="shared" si="116"/>
        <v>32.4</v>
      </c>
      <c r="BR858" s="77" cm="1">
        <f t="array" ref="BR858">_xll.DCEPropSectI(BF858, BH858, BG858, BI858, BG858, BI858, "rx")/10</f>
        <v>16.91131201300167</v>
      </c>
      <c r="BS858" s="77" cm="1">
        <f t="array" ref="BS858">_xll.DCEPropSectI(BF858, BH858, BG858, BI858, BG858, BI858, "ry")/10</f>
        <v>5.1070747638622018</v>
      </c>
      <c r="BT858" s="5">
        <f t="shared" si="117"/>
        <v>191.58773710218577</v>
      </c>
      <c r="BU858" s="5">
        <f t="shared" si="118"/>
        <v>634.41405301647956</v>
      </c>
      <c r="BV858" s="5">
        <f t="shared" si="119"/>
        <v>634.41405301647956</v>
      </c>
      <c r="BW858" s="71">
        <f t="shared" si="120"/>
        <v>200</v>
      </c>
      <c r="BX858" s="78" cm="1">
        <f t="array" ref="BX858">IF(BM858&gt;0,1,_xll.DCETCVN5575FactorPhi7121(BV858*SQRT($K$17/206000),"b"))</f>
        <v>1.6670876655456978E-2</v>
      </c>
      <c r="BY858" s="64">
        <f t="shared" si="121"/>
        <v>2.3537328663657001E-2</v>
      </c>
      <c r="BZ858" s="3" t="str">
        <f t="shared" si="122"/>
        <v>Check</v>
      </c>
    </row>
    <row r="859" spans="1:78">
      <c r="A859" s="76"/>
      <c r="B859" s="76"/>
      <c r="C859" s="125"/>
      <c r="D859" s="125"/>
      <c r="E859" s="71"/>
      <c r="F859" s="71"/>
      <c r="G859" s="71"/>
      <c r="H859" s="126"/>
      <c r="I859" s="125"/>
      <c r="J859" s="123"/>
      <c r="K859" s="12"/>
      <c r="L859" s="117"/>
      <c r="M859" s="12"/>
      <c r="N859" s="117"/>
      <c r="O859" s="117"/>
      <c r="P859" s="117"/>
      <c r="Q859" s="118"/>
      <c r="R859" s="118"/>
      <c r="S859" s="118"/>
      <c r="T859" s="12"/>
      <c r="U859" s="118"/>
      <c r="V859" s="118"/>
      <c r="W859" s="12"/>
      <c r="X859" s="119"/>
      <c r="Y859" s="120"/>
      <c r="Z859" s="12"/>
      <c r="BA859" s="70" t="s">
        <v>205</v>
      </c>
      <c r="BB859" s="71" t="s">
        <v>210</v>
      </c>
      <c r="BC859" s="71" t="s">
        <v>207</v>
      </c>
      <c r="BD859" s="71">
        <v>10.5</v>
      </c>
      <c r="BE859" s="71">
        <v>36</v>
      </c>
      <c r="BF859" s="71">
        <v>390</v>
      </c>
      <c r="BG859" s="71">
        <v>212</v>
      </c>
      <c r="BH859" s="71">
        <v>5</v>
      </c>
      <c r="BI859" s="71">
        <v>10</v>
      </c>
      <c r="BJ859" s="12" t="str" cm="1">
        <f t="array" ref="BJ859">_xll.Dce_Name_SectI(BF859, BF859, BG859, BH859, BI859, "x", "-", $AX$11)</f>
        <v>390x212x5x10</v>
      </c>
      <c r="BK859" s="77" cm="1">
        <f t="array" ref="BK859">_xll.DCEPropSectI(BF859, BH859, BG859, BI859, BG859, BI859, "A")/100</f>
        <v>60.9</v>
      </c>
      <c r="BL859" s="70" t="s">
        <v>224</v>
      </c>
      <c r="BM859" s="70">
        <v>-0.50182488908374978</v>
      </c>
      <c r="BN859" s="71">
        <v>0.9</v>
      </c>
      <c r="BO859" s="77">
        <f t="shared" si="115"/>
        <v>32.4</v>
      </c>
      <c r="BP859" s="71">
        <v>0.9</v>
      </c>
      <c r="BQ859" s="77">
        <f t="shared" si="116"/>
        <v>32.4</v>
      </c>
      <c r="BR859" s="77" cm="1">
        <f t="array" ref="BR859">_xll.DCEPropSectI(BF859, BH859, BG859, BI859, BG859, BI859, "rx")/10</f>
        <v>16.91131201300167</v>
      </c>
      <c r="BS859" s="77" cm="1">
        <f t="array" ref="BS859">_xll.DCEPropSectI(BF859, BH859, BG859, BI859, BG859, BI859, "ry")/10</f>
        <v>5.1070747638622018</v>
      </c>
      <c r="BT859" s="5">
        <f t="shared" si="117"/>
        <v>191.58773710218577</v>
      </c>
      <c r="BU859" s="5">
        <f t="shared" si="118"/>
        <v>634.41405301647956</v>
      </c>
      <c r="BV859" s="5">
        <f t="shared" si="119"/>
        <v>634.41405301647956</v>
      </c>
      <c r="BW859" s="71">
        <f t="shared" si="120"/>
        <v>200</v>
      </c>
      <c r="BX859" s="78" cm="1">
        <f t="array" ref="BX859">IF(BM859&gt;0,1,_xll.DCETCVN5575FactorPhi7121(BV859*SQRT($K$17/206000),"b"))</f>
        <v>1.6670876655456978E-2</v>
      </c>
      <c r="BY859" s="64">
        <f t="shared" si="121"/>
        <v>2.3537328663657001E-2</v>
      </c>
      <c r="BZ859" s="3" t="str">
        <f t="shared" si="122"/>
        <v>Check</v>
      </c>
    </row>
    <row r="860" spans="1:78">
      <c r="A860" s="76"/>
      <c r="B860" s="76"/>
      <c r="C860" s="125"/>
      <c r="D860" s="125"/>
      <c r="E860" s="71"/>
      <c r="F860" s="71"/>
      <c r="G860" s="71"/>
      <c r="H860" s="126"/>
      <c r="I860" s="125"/>
      <c r="J860" s="123"/>
      <c r="K860" s="12"/>
      <c r="L860" s="117"/>
      <c r="M860" s="12"/>
      <c r="N860" s="117"/>
      <c r="O860" s="117"/>
      <c r="P860" s="117"/>
      <c r="Q860" s="118"/>
      <c r="R860" s="118"/>
      <c r="S860" s="118"/>
      <c r="T860" s="12"/>
      <c r="U860" s="118"/>
      <c r="V860" s="118"/>
      <c r="W860" s="12"/>
      <c r="X860" s="119"/>
      <c r="Y860" s="120"/>
      <c r="Z860" s="12"/>
      <c r="BA860" s="70" t="s">
        <v>205</v>
      </c>
      <c r="BB860" s="71" t="s">
        <v>210</v>
      </c>
      <c r="BC860" s="71" t="s">
        <v>207</v>
      </c>
      <c r="BD860" s="71">
        <v>11</v>
      </c>
      <c r="BE860" s="71">
        <v>36</v>
      </c>
      <c r="BF860" s="71">
        <v>390</v>
      </c>
      <c r="BG860" s="71">
        <v>212</v>
      </c>
      <c r="BH860" s="71">
        <v>5</v>
      </c>
      <c r="BI860" s="71">
        <v>10</v>
      </c>
      <c r="BJ860" s="12" t="str" cm="1">
        <f t="array" ref="BJ860">_xll.Dce_Name_SectI(BF860, BF860, BG860, BH860, BI860, "x", "-", $AX$11)</f>
        <v>390x212x5x10</v>
      </c>
      <c r="BK860" s="77" cm="1">
        <f t="array" ref="BK860">_xll.DCEPropSectI(BF860, BH860, BG860, BI860, BG860, BI860, "A")/100</f>
        <v>60.9</v>
      </c>
      <c r="BL860" s="70" t="s">
        <v>224</v>
      </c>
      <c r="BM860" s="70">
        <v>-0.50182488908374978</v>
      </c>
      <c r="BN860" s="71">
        <v>0.9</v>
      </c>
      <c r="BO860" s="77">
        <f t="shared" si="115"/>
        <v>32.4</v>
      </c>
      <c r="BP860" s="71">
        <v>0.9</v>
      </c>
      <c r="BQ860" s="77">
        <f t="shared" si="116"/>
        <v>32.4</v>
      </c>
      <c r="BR860" s="77" cm="1">
        <f t="array" ref="BR860">_xll.DCEPropSectI(BF860, BH860, BG860, BI860, BG860, BI860, "rx")/10</f>
        <v>16.91131201300167</v>
      </c>
      <c r="BS860" s="77" cm="1">
        <f t="array" ref="BS860">_xll.DCEPropSectI(BF860, BH860, BG860, BI860, BG860, BI860, "ry")/10</f>
        <v>5.1070747638622018</v>
      </c>
      <c r="BT860" s="5">
        <f t="shared" si="117"/>
        <v>191.58773710218577</v>
      </c>
      <c r="BU860" s="5">
        <f t="shared" si="118"/>
        <v>634.41405301647956</v>
      </c>
      <c r="BV860" s="5">
        <f t="shared" si="119"/>
        <v>634.41405301647956</v>
      </c>
      <c r="BW860" s="71">
        <f t="shared" si="120"/>
        <v>200</v>
      </c>
      <c r="BX860" s="78" cm="1">
        <f t="array" ref="BX860">IF(BM860&gt;0,1,_xll.DCETCVN5575FactorPhi7121(BV860*SQRT($K$17/206000),"b"))</f>
        <v>1.6670876655456978E-2</v>
      </c>
      <c r="BY860" s="64">
        <f t="shared" si="121"/>
        <v>2.3537328663657001E-2</v>
      </c>
      <c r="BZ860" s="3" t="str">
        <f t="shared" si="122"/>
        <v>Check</v>
      </c>
    </row>
    <row r="861" spans="1:78">
      <c r="A861" s="76"/>
      <c r="B861" s="76"/>
      <c r="C861" s="125"/>
      <c r="D861" s="125"/>
      <c r="E861" s="71"/>
      <c r="F861" s="71"/>
      <c r="G861" s="71"/>
      <c r="H861" s="126"/>
      <c r="I861" s="125"/>
      <c r="J861" s="123"/>
      <c r="K861" s="12"/>
      <c r="L861" s="117"/>
      <c r="M861" s="12"/>
      <c r="N861" s="117"/>
      <c r="O861" s="117"/>
      <c r="P861" s="117"/>
      <c r="Q861" s="118"/>
      <c r="R861" s="118"/>
      <c r="S861" s="118"/>
      <c r="T861" s="12"/>
      <c r="U861" s="118"/>
      <c r="V861" s="118"/>
      <c r="W861" s="12"/>
      <c r="X861" s="119"/>
      <c r="Y861" s="120"/>
      <c r="Z861" s="12"/>
      <c r="BA861" s="70" t="s">
        <v>205</v>
      </c>
      <c r="BB861" s="71" t="s">
        <v>210</v>
      </c>
      <c r="BC861" s="71" t="s">
        <v>207</v>
      </c>
      <c r="BD861" s="71">
        <v>11.5</v>
      </c>
      <c r="BE861" s="71">
        <v>36</v>
      </c>
      <c r="BF861" s="71">
        <v>390</v>
      </c>
      <c r="BG861" s="71">
        <v>212</v>
      </c>
      <c r="BH861" s="71">
        <v>5</v>
      </c>
      <c r="BI861" s="71">
        <v>10</v>
      </c>
      <c r="BJ861" s="12" t="str" cm="1">
        <f t="array" ref="BJ861">_xll.Dce_Name_SectI(BF861, BF861, BG861, BH861, BI861, "x", "-", $AX$11)</f>
        <v>390x212x5x10</v>
      </c>
      <c r="BK861" s="77" cm="1">
        <f t="array" ref="BK861">_xll.DCEPropSectI(BF861, BH861, BG861, BI861, BG861, BI861, "A")/100</f>
        <v>60.9</v>
      </c>
      <c r="BL861" s="70" t="s">
        <v>224</v>
      </c>
      <c r="BM861" s="70">
        <v>-0.50182488908374978</v>
      </c>
      <c r="BN861" s="71">
        <v>0.9</v>
      </c>
      <c r="BO861" s="77">
        <f t="shared" si="115"/>
        <v>32.4</v>
      </c>
      <c r="BP861" s="71">
        <v>0.9</v>
      </c>
      <c r="BQ861" s="77">
        <f t="shared" si="116"/>
        <v>32.4</v>
      </c>
      <c r="BR861" s="77" cm="1">
        <f t="array" ref="BR861">_xll.DCEPropSectI(BF861, BH861, BG861, BI861, BG861, BI861, "rx")/10</f>
        <v>16.91131201300167</v>
      </c>
      <c r="BS861" s="77" cm="1">
        <f t="array" ref="BS861">_xll.DCEPropSectI(BF861, BH861, BG861, BI861, BG861, BI861, "ry")/10</f>
        <v>5.1070747638622018</v>
      </c>
      <c r="BT861" s="5">
        <f t="shared" si="117"/>
        <v>191.58773710218577</v>
      </c>
      <c r="BU861" s="5">
        <f t="shared" si="118"/>
        <v>634.41405301647956</v>
      </c>
      <c r="BV861" s="5">
        <f t="shared" si="119"/>
        <v>634.41405301647956</v>
      </c>
      <c r="BW861" s="71">
        <f t="shared" si="120"/>
        <v>200</v>
      </c>
      <c r="BX861" s="78" cm="1">
        <f t="array" ref="BX861">IF(BM861&gt;0,1,_xll.DCETCVN5575FactorPhi7121(BV861*SQRT($K$17/206000),"b"))</f>
        <v>1.6670876655456978E-2</v>
      </c>
      <c r="BY861" s="64">
        <f t="shared" si="121"/>
        <v>2.3537328663657001E-2</v>
      </c>
      <c r="BZ861" s="3" t="str">
        <f t="shared" si="122"/>
        <v>Check</v>
      </c>
    </row>
    <row r="862" spans="1:78">
      <c r="A862" s="76"/>
      <c r="B862" s="76"/>
      <c r="C862" s="125"/>
      <c r="D862" s="125"/>
      <c r="E862" s="71"/>
      <c r="F862" s="71"/>
      <c r="G862" s="71"/>
      <c r="H862" s="126"/>
      <c r="I862" s="125"/>
      <c r="J862" s="123"/>
      <c r="K862" s="12"/>
      <c r="L862" s="117"/>
      <c r="M862" s="12"/>
      <c r="N862" s="117"/>
      <c r="O862" s="117"/>
      <c r="P862" s="117"/>
      <c r="Q862" s="118"/>
      <c r="R862" s="118"/>
      <c r="S862" s="118"/>
      <c r="T862" s="12"/>
      <c r="U862" s="118"/>
      <c r="V862" s="118"/>
      <c r="W862" s="12"/>
      <c r="X862" s="119"/>
      <c r="Y862" s="120"/>
      <c r="Z862" s="12"/>
      <c r="BA862" s="70" t="s">
        <v>205</v>
      </c>
      <c r="BB862" s="71" t="s">
        <v>210</v>
      </c>
      <c r="BC862" s="71" t="s">
        <v>207</v>
      </c>
      <c r="BD862" s="71">
        <v>12</v>
      </c>
      <c r="BE862" s="71">
        <v>36</v>
      </c>
      <c r="BF862" s="71">
        <v>390</v>
      </c>
      <c r="BG862" s="71">
        <v>212</v>
      </c>
      <c r="BH862" s="71">
        <v>5</v>
      </c>
      <c r="BI862" s="71">
        <v>10</v>
      </c>
      <c r="BJ862" s="12" t="str" cm="1">
        <f t="array" ref="BJ862">_xll.Dce_Name_SectI(BF862, BF862, BG862, BH862, BI862, "x", "-", $AX$11)</f>
        <v>390x212x5x10</v>
      </c>
      <c r="BK862" s="77" cm="1">
        <f t="array" ref="BK862">_xll.DCEPropSectI(BF862, BH862, BG862, BI862, BG862, BI862, "A")/100</f>
        <v>60.9</v>
      </c>
      <c r="BL862" s="70" t="s">
        <v>224</v>
      </c>
      <c r="BM862" s="70">
        <v>-0.50182488908374978</v>
      </c>
      <c r="BN862" s="71">
        <v>0.9</v>
      </c>
      <c r="BO862" s="77">
        <f t="shared" si="115"/>
        <v>32.4</v>
      </c>
      <c r="BP862" s="71">
        <v>0.9</v>
      </c>
      <c r="BQ862" s="77">
        <f t="shared" si="116"/>
        <v>32.4</v>
      </c>
      <c r="BR862" s="77" cm="1">
        <f t="array" ref="BR862">_xll.DCEPropSectI(BF862, BH862, BG862, BI862, BG862, BI862, "rx")/10</f>
        <v>16.91131201300167</v>
      </c>
      <c r="BS862" s="77" cm="1">
        <f t="array" ref="BS862">_xll.DCEPropSectI(BF862, BH862, BG862, BI862, BG862, BI862, "ry")/10</f>
        <v>5.1070747638622018</v>
      </c>
      <c r="BT862" s="5">
        <f t="shared" si="117"/>
        <v>191.58773710218577</v>
      </c>
      <c r="BU862" s="5">
        <f t="shared" si="118"/>
        <v>634.41405301647956</v>
      </c>
      <c r="BV862" s="5">
        <f t="shared" si="119"/>
        <v>634.41405301647956</v>
      </c>
      <c r="BW862" s="71">
        <f t="shared" si="120"/>
        <v>200</v>
      </c>
      <c r="BX862" s="78" cm="1">
        <f t="array" ref="BX862">IF(BM862&gt;0,1,_xll.DCETCVN5575FactorPhi7121(BV862*SQRT($K$17/206000),"b"))</f>
        <v>1.6670876655456978E-2</v>
      </c>
      <c r="BY862" s="64">
        <f t="shared" si="121"/>
        <v>2.3537328663657001E-2</v>
      </c>
      <c r="BZ862" s="3" t="str">
        <f t="shared" si="122"/>
        <v>Check</v>
      </c>
    </row>
    <row r="863" spans="1:78">
      <c r="A863" s="76"/>
      <c r="B863" s="76"/>
      <c r="C863" s="125"/>
      <c r="D863" s="125"/>
      <c r="E863" s="71"/>
      <c r="F863" s="71"/>
      <c r="G863" s="71"/>
      <c r="H863" s="126"/>
      <c r="I863" s="125"/>
      <c r="J863" s="123"/>
      <c r="K863" s="12"/>
      <c r="L863" s="117"/>
      <c r="M863" s="12"/>
      <c r="N863" s="117"/>
      <c r="O863" s="117"/>
      <c r="P863" s="117"/>
      <c r="Q863" s="118"/>
      <c r="R863" s="118"/>
      <c r="S863" s="118"/>
      <c r="T863" s="12"/>
      <c r="U863" s="118"/>
      <c r="V863" s="118"/>
      <c r="W863" s="12"/>
      <c r="X863" s="119"/>
      <c r="Y863" s="120"/>
      <c r="Z863" s="12"/>
      <c r="BA863" s="70" t="s">
        <v>205</v>
      </c>
      <c r="BB863" s="71" t="s">
        <v>210</v>
      </c>
      <c r="BC863" s="71" t="s">
        <v>207</v>
      </c>
      <c r="BD863" s="71">
        <v>12.5</v>
      </c>
      <c r="BE863" s="71">
        <v>36</v>
      </c>
      <c r="BF863" s="71">
        <v>390</v>
      </c>
      <c r="BG863" s="71">
        <v>212</v>
      </c>
      <c r="BH863" s="71">
        <v>5</v>
      </c>
      <c r="BI863" s="71">
        <v>10</v>
      </c>
      <c r="BJ863" s="12" t="str" cm="1">
        <f t="array" ref="BJ863">_xll.Dce_Name_SectI(BF863, BF863, BG863, BH863, BI863, "x", "-", $AX$11)</f>
        <v>390x212x5x10</v>
      </c>
      <c r="BK863" s="77" cm="1">
        <f t="array" ref="BK863">_xll.DCEPropSectI(BF863, BH863, BG863, BI863, BG863, BI863, "A")/100</f>
        <v>60.9</v>
      </c>
      <c r="BL863" s="70" t="s">
        <v>224</v>
      </c>
      <c r="BM863" s="70">
        <v>-0.50182488908374978</v>
      </c>
      <c r="BN863" s="71">
        <v>0.9</v>
      </c>
      <c r="BO863" s="77">
        <f t="shared" si="115"/>
        <v>32.4</v>
      </c>
      <c r="BP863" s="71">
        <v>0.9</v>
      </c>
      <c r="BQ863" s="77">
        <f t="shared" si="116"/>
        <v>32.4</v>
      </c>
      <c r="BR863" s="77" cm="1">
        <f t="array" ref="BR863">_xll.DCEPropSectI(BF863, BH863, BG863, BI863, BG863, BI863, "rx")/10</f>
        <v>16.91131201300167</v>
      </c>
      <c r="BS863" s="77" cm="1">
        <f t="array" ref="BS863">_xll.DCEPropSectI(BF863, BH863, BG863, BI863, BG863, BI863, "ry")/10</f>
        <v>5.1070747638622018</v>
      </c>
      <c r="BT863" s="5">
        <f t="shared" si="117"/>
        <v>191.58773710218577</v>
      </c>
      <c r="BU863" s="5">
        <f t="shared" si="118"/>
        <v>634.41405301647956</v>
      </c>
      <c r="BV863" s="5">
        <f t="shared" si="119"/>
        <v>634.41405301647956</v>
      </c>
      <c r="BW863" s="71">
        <f t="shared" si="120"/>
        <v>200</v>
      </c>
      <c r="BX863" s="78" cm="1">
        <f t="array" ref="BX863">IF(BM863&gt;0,1,_xll.DCETCVN5575FactorPhi7121(BV863*SQRT($K$17/206000),"b"))</f>
        <v>1.6670876655456978E-2</v>
      </c>
      <c r="BY863" s="64">
        <f t="shared" si="121"/>
        <v>2.3537328663657001E-2</v>
      </c>
      <c r="BZ863" s="3" t="str">
        <f t="shared" si="122"/>
        <v>Check</v>
      </c>
    </row>
    <row r="864" spans="1:78">
      <c r="A864" s="76"/>
      <c r="B864" s="76"/>
      <c r="C864" s="125"/>
      <c r="D864" s="125"/>
      <c r="E864" s="71"/>
      <c r="F864" s="71"/>
      <c r="G864" s="71"/>
      <c r="H864" s="126"/>
      <c r="I864" s="125"/>
      <c r="J864" s="123"/>
      <c r="K864" s="12"/>
      <c r="L864" s="117"/>
      <c r="M864" s="12"/>
      <c r="N864" s="117"/>
      <c r="O864" s="117"/>
      <c r="P864" s="117"/>
      <c r="Q864" s="118"/>
      <c r="R864" s="118"/>
      <c r="S864" s="118"/>
      <c r="T864" s="12"/>
      <c r="U864" s="118"/>
      <c r="V864" s="118"/>
      <c r="W864" s="12"/>
      <c r="X864" s="119"/>
      <c r="Y864" s="120"/>
      <c r="Z864" s="12"/>
      <c r="BA864" s="70" t="s">
        <v>205</v>
      </c>
      <c r="BB864" s="71" t="s">
        <v>210</v>
      </c>
      <c r="BC864" s="71" t="s">
        <v>207</v>
      </c>
      <c r="BD864" s="71">
        <v>13</v>
      </c>
      <c r="BE864" s="71">
        <v>36</v>
      </c>
      <c r="BF864" s="71">
        <v>390</v>
      </c>
      <c r="BG864" s="71">
        <v>212</v>
      </c>
      <c r="BH864" s="71">
        <v>5</v>
      </c>
      <c r="BI864" s="71">
        <v>10</v>
      </c>
      <c r="BJ864" s="12" t="str" cm="1">
        <f t="array" ref="BJ864">_xll.Dce_Name_SectI(BF864, BF864, BG864, BH864, BI864, "x", "-", $AX$11)</f>
        <v>390x212x5x10</v>
      </c>
      <c r="BK864" s="77" cm="1">
        <f t="array" ref="BK864">_xll.DCEPropSectI(BF864, BH864, BG864, BI864, BG864, BI864, "A")/100</f>
        <v>60.9</v>
      </c>
      <c r="BL864" s="70" t="s">
        <v>224</v>
      </c>
      <c r="BM864" s="70">
        <v>-0.50182488908374978</v>
      </c>
      <c r="BN864" s="71">
        <v>0.9</v>
      </c>
      <c r="BO864" s="77">
        <f t="shared" si="115"/>
        <v>32.4</v>
      </c>
      <c r="BP864" s="71">
        <v>0.9</v>
      </c>
      <c r="BQ864" s="77">
        <f t="shared" si="116"/>
        <v>32.4</v>
      </c>
      <c r="BR864" s="77" cm="1">
        <f t="array" ref="BR864">_xll.DCEPropSectI(BF864, BH864, BG864, BI864, BG864, BI864, "rx")/10</f>
        <v>16.91131201300167</v>
      </c>
      <c r="BS864" s="77" cm="1">
        <f t="array" ref="BS864">_xll.DCEPropSectI(BF864, BH864, BG864, BI864, BG864, BI864, "ry")/10</f>
        <v>5.1070747638622018</v>
      </c>
      <c r="BT864" s="5">
        <f t="shared" si="117"/>
        <v>191.58773710218577</v>
      </c>
      <c r="BU864" s="5">
        <f t="shared" si="118"/>
        <v>634.41405301647956</v>
      </c>
      <c r="BV864" s="5">
        <f t="shared" si="119"/>
        <v>634.41405301647956</v>
      </c>
      <c r="BW864" s="71">
        <f t="shared" si="120"/>
        <v>200</v>
      </c>
      <c r="BX864" s="78" cm="1">
        <f t="array" ref="BX864">IF(BM864&gt;0,1,_xll.DCETCVN5575FactorPhi7121(BV864*SQRT($K$17/206000),"b"))</f>
        <v>1.6670876655456978E-2</v>
      </c>
      <c r="BY864" s="64">
        <f t="shared" si="121"/>
        <v>2.3537328663657001E-2</v>
      </c>
      <c r="BZ864" s="3" t="str">
        <f t="shared" si="122"/>
        <v>Check</v>
      </c>
    </row>
    <row r="865" spans="1:78">
      <c r="A865" s="76"/>
      <c r="B865" s="76"/>
      <c r="C865" s="125"/>
      <c r="D865" s="125"/>
      <c r="E865" s="71"/>
      <c r="F865" s="71"/>
      <c r="G865" s="71"/>
      <c r="H865" s="126"/>
      <c r="I865" s="125"/>
      <c r="J865" s="123"/>
      <c r="K865" s="12"/>
      <c r="L865" s="117"/>
      <c r="M865" s="12"/>
      <c r="N865" s="117"/>
      <c r="O865" s="117"/>
      <c r="P865" s="117"/>
      <c r="Q865" s="118"/>
      <c r="R865" s="118"/>
      <c r="S865" s="118"/>
      <c r="T865" s="12"/>
      <c r="U865" s="118"/>
      <c r="V865" s="118"/>
      <c r="W865" s="12"/>
      <c r="X865" s="119"/>
      <c r="Y865" s="120"/>
      <c r="Z865" s="12"/>
      <c r="BA865" s="70" t="s">
        <v>205</v>
      </c>
      <c r="BB865" s="71" t="s">
        <v>210</v>
      </c>
      <c r="BC865" s="71" t="s">
        <v>207</v>
      </c>
      <c r="BD865" s="71">
        <v>13.5</v>
      </c>
      <c r="BE865" s="71">
        <v>36</v>
      </c>
      <c r="BF865" s="71">
        <v>390</v>
      </c>
      <c r="BG865" s="71">
        <v>212</v>
      </c>
      <c r="BH865" s="71">
        <v>5</v>
      </c>
      <c r="BI865" s="71">
        <v>10</v>
      </c>
      <c r="BJ865" s="12" t="str" cm="1">
        <f t="array" ref="BJ865">_xll.Dce_Name_SectI(BF865, BF865, BG865, BH865, BI865, "x", "-", $AX$11)</f>
        <v>390x212x5x10</v>
      </c>
      <c r="BK865" s="77" cm="1">
        <f t="array" ref="BK865">_xll.DCEPropSectI(BF865, BH865, BG865, BI865, BG865, BI865, "A")/100</f>
        <v>60.9</v>
      </c>
      <c r="BL865" s="70" t="s">
        <v>224</v>
      </c>
      <c r="BM865" s="70">
        <v>-0.50182488908374978</v>
      </c>
      <c r="BN865" s="71">
        <v>0.9</v>
      </c>
      <c r="BO865" s="77">
        <f t="shared" si="115"/>
        <v>32.4</v>
      </c>
      <c r="BP865" s="71">
        <v>0.9</v>
      </c>
      <c r="BQ865" s="77">
        <f t="shared" si="116"/>
        <v>32.4</v>
      </c>
      <c r="BR865" s="77" cm="1">
        <f t="array" ref="BR865">_xll.DCEPropSectI(BF865, BH865, BG865, BI865, BG865, BI865, "rx")/10</f>
        <v>16.91131201300167</v>
      </c>
      <c r="BS865" s="77" cm="1">
        <f t="array" ref="BS865">_xll.DCEPropSectI(BF865, BH865, BG865, BI865, BG865, BI865, "ry")/10</f>
        <v>5.1070747638622018</v>
      </c>
      <c r="BT865" s="5">
        <f t="shared" si="117"/>
        <v>191.58773710218577</v>
      </c>
      <c r="BU865" s="5">
        <f t="shared" si="118"/>
        <v>634.41405301647956</v>
      </c>
      <c r="BV865" s="5">
        <f t="shared" si="119"/>
        <v>634.41405301647956</v>
      </c>
      <c r="BW865" s="71">
        <f t="shared" si="120"/>
        <v>200</v>
      </c>
      <c r="BX865" s="78" cm="1">
        <f t="array" ref="BX865">IF(BM865&gt;0,1,_xll.DCETCVN5575FactorPhi7121(BV865*SQRT($K$17/206000),"b"))</f>
        <v>1.6670876655456978E-2</v>
      </c>
      <c r="BY865" s="64">
        <f t="shared" si="121"/>
        <v>2.3537328663657001E-2</v>
      </c>
      <c r="BZ865" s="3" t="str">
        <f t="shared" si="122"/>
        <v>Check</v>
      </c>
    </row>
    <row r="866" spans="1:78">
      <c r="A866" s="76"/>
      <c r="B866" s="76"/>
      <c r="C866" s="125"/>
      <c r="D866" s="125"/>
      <c r="E866" s="71"/>
      <c r="F866" s="71"/>
      <c r="G866" s="71"/>
      <c r="H866" s="126"/>
      <c r="I866" s="125"/>
      <c r="J866" s="123"/>
      <c r="K866" s="12"/>
      <c r="L866" s="117"/>
      <c r="M866" s="12"/>
      <c r="N866" s="117"/>
      <c r="O866" s="117"/>
      <c r="P866" s="117"/>
      <c r="Q866" s="118"/>
      <c r="R866" s="118"/>
      <c r="S866" s="118"/>
      <c r="T866" s="12"/>
      <c r="U866" s="118"/>
      <c r="V866" s="118"/>
      <c r="W866" s="12"/>
      <c r="X866" s="119"/>
      <c r="Y866" s="120"/>
      <c r="Z866" s="12"/>
      <c r="BA866" s="70" t="s">
        <v>205</v>
      </c>
      <c r="BB866" s="71" t="s">
        <v>210</v>
      </c>
      <c r="BC866" s="71" t="s">
        <v>207</v>
      </c>
      <c r="BD866" s="71">
        <v>14</v>
      </c>
      <c r="BE866" s="71">
        <v>36</v>
      </c>
      <c r="BF866" s="71">
        <v>390</v>
      </c>
      <c r="BG866" s="71">
        <v>212</v>
      </c>
      <c r="BH866" s="71">
        <v>5</v>
      </c>
      <c r="BI866" s="71">
        <v>10</v>
      </c>
      <c r="BJ866" s="12" t="str" cm="1">
        <f t="array" ref="BJ866">_xll.Dce_Name_SectI(BF866, BF866, BG866, BH866, BI866, "x", "-", $AX$11)</f>
        <v>390x212x5x10</v>
      </c>
      <c r="BK866" s="77" cm="1">
        <f t="array" ref="BK866">_xll.DCEPropSectI(BF866, BH866, BG866, BI866, BG866, BI866, "A")/100</f>
        <v>60.9</v>
      </c>
      <c r="BL866" s="70" t="s">
        <v>224</v>
      </c>
      <c r="BM866" s="70">
        <v>-0.50182488908374978</v>
      </c>
      <c r="BN866" s="71">
        <v>0.9</v>
      </c>
      <c r="BO866" s="77">
        <f t="shared" si="115"/>
        <v>32.4</v>
      </c>
      <c r="BP866" s="71">
        <v>0.9</v>
      </c>
      <c r="BQ866" s="77">
        <f t="shared" si="116"/>
        <v>32.4</v>
      </c>
      <c r="BR866" s="77" cm="1">
        <f t="array" ref="BR866">_xll.DCEPropSectI(BF866, BH866, BG866, BI866, BG866, BI866, "rx")/10</f>
        <v>16.91131201300167</v>
      </c>
      <c r="BS866" s="77" cm="1">
        <f t="array" ref="BS866">_xll.DCEPropSectI(BF866, BH866, BG866, BI866, BG866, BI866, "ry")/10</f>
        <v>5.1070747638622018</v>
      </c>
      <c r="BT866" s="5">
        <f t="shared" si="117"/>
        <v>191.58773710218577</v>
      </c>
      <c r="BU866" s="5">
        <f t="shared" si="118"/>
        <v>634.41405301647956</v>
      </c>
      <c r="BV866" s="5">
        <f t="shared" si="119"/>
        <v>634.41405301647956</v>
      </c>
      <c r="BW866" s="71">
        <f t="shared" si="120"/>
        <v>200</v>
      </c>
      <c r="BX866" s="78" cm="1">
        <f t="array" ref="BX866">IF(BM866&gt;0,1,_xll.DCETCVN5575FactorPhi7121(BV866*SQRT($K$17/206000),"b"))</f>
        <v>1.6670876655456978E-2</v>
      </c>
      <c r="BY866" s="64">
        <f t="shared" si="121"/>
        <v>2.3537328663657001E-2</v>
      </c>
      <c r="BZ866" s="3" t="str">
        <f t="shared" si="122"/>
        <v>Check</v>
      </c>
    </row>
    <row r="867" spans="1:78">
      <c r="A867" s="76"/>
      <c r="B867" s="76"/>
      <c r="C867" s="125"/>
      <c r="D867" s="125"/>
      <c r="E867" s="71"/>
      <c r="F867" s="71"/>
      <c r="G867" s="71"/>
      <c r="H867" s="126"/>
      <c r="I867" s="125"/>
      <c r="J867" s="123"/>
      <c r="K867" s="12"/>
      <c r="L867" s="117"/>
      <c r="M867" s="12"/>
      <c r="N867" s="117"/>
      <c r="O867" s="117"/>
      <c r="P867" s="117"/>
      <c r="Q867" s="118"/>
      <c r="R867" s="118"/>
      <c r="S867" s="118"/>
      <c r="T867" s="12"/>
      <c r="U867" s="118"/>
      <c r="V867" s="118"/>
      <c r="W867" s="12"/>
      <c r="X867" s="119"/>
      <c r="Y867" s="120"/>
      <c r="Z867" s="12"/>
      <c r="BA867" s="70" t="s">
        <v>205</v>
      </c>
      <c r="BB867" s="71" t="s">
        <v>210</v>
      </c>
      <c r="BC867" s="71" t="s">
        <v>207</v>
      </c>
      <c r="BD867" s="71">
        <v>14.5</v>
      </c>
      <c r="BE867" s="71">
        <v>36</v>
      </c>
      <c r="BF867" s="71">
        <v>390</v>
      </c>
      <c r="BG867" s="71">
        <v>212</v>
      </c>
      <c r="BH867" s="71">
        <v>5</v>
      </c>
      <c r="BI867" s="71">
        <v>10</v>
      </c>
      <c r="BJ867" s="12" t="str" cm="1">
        <f t="array" ref="BJ867">_xll.Dce_Name_SectI(BF867, BF867, BG867, BH867, BI867, "x", "-", $AX$11)</f>
        <v>390x212x5x10</v>
      </c>
      <c r="BK867" s="77" cm="1">
        <f t="array" ref="BK867">_xll.DCEPropSectI(BF867, BH867, BG867, BI867, BG867, BI867, "A")/100</f>
        <v>60.9</v>
      </c>
      <c r="BL867" s="70" t="s">
        <v>224</v>
      </c>
      <c r="BM867" s="70">
        <v>-0.50182488908374978</v>
      </c>
      <c r="BN867" s="71">
        <v>0.9</v>
      </c>
      <c r="BO867" s="77">
        <f t="shared" si="115"/>
        <v>32.4</v>
      </c>
      <c r="BP867" s="71">
        <v>0.9</v>
      </c>
      <c r="BQ867" s="77">
        <f t="shared" si="116"/>
        <v>32.4</v>
      </c>
      <c r="BR867" s="77" cm="1">
        <f t="array" ref="BR867">_xll.DCEPropSectI(BF867, BH867, BG867, BI867, BG867, BI867, "rx")/10</f>
        <v>16.91131201300167</v>
      </c>
      <c r="BS867" s="77" cm="1">
        <f t="array" ref="BS867">_xll.DCEPropSectI(BF867, BH867, BG867, BI867, BG867, BI867, "ry")/10</f>
        <v>5.1070747638622018</v>
      </c>
      <c r="BT867" s="5">
        <f t="shared" si="117"/>
        <v>191.58773710218577</v>
      </c>
      <c r="BU867" s="5">
        <f t="shared" si="118"/>
        <v>634.41405301647956</v>
      </c>
      <c r="BV867" s="5">
        <f t="shared" si="119"/>
        <v>634.41405301647956</v>
      </c>
      <c r="BW867" s="71">
        <f t="shared" si="120"/>
        <v>200</v>
      </c>
      <c r="BX867" s="78" cm="1">
        <f t="array" ref="BX867">IF(BM867&gt;0,1,_xll.DCETCVN5575FactorPhi7121(BV867*SQRT($K$17/206000),"b"))</f>
        <v>1.6670876655456978E-2</v>
      </c>
      <c r="BY867" s="64">
        <f t="shared" si="121"/>
        <v>2.3537328663657001E-2</v>
      </c>
      <c r="BZ867" s="3" t="str">
        <f t="shared" si="122"/>
        <v>Check</v>
      </c>
    </row>
    <row r="868" spans="1:78">
      <c r="A868" s="76"/>
      <c r="B868" s="76"/>
      <c r="C868" s="125"/>
      <c r="D868" s="125"/>
      <c r="E868" s="71"/>
      <c r="F868" s="71"/>
      <c r="G868" s="71"/>
      <c r="H868" s="126"/>
      <c r="I868" s="125"/>
      <c r="J868" s="123"/>
      <c r="K868" s="12"/>
      <c r="L868" s="117"/>
      <c r="M868" s="12"/>
      <c r="N868" s="117"/>
      <c r="O868" s="117"/>
      <c r="P868" s="117"/>
      <c r="Q868" s="118"/>
      <c r="R868" s="118"/>
      <c r="S868" s="118"/>
      <c r="T868" s="12"/>
      <c r="U868" s="118"/>
      <c r="V868" s="118"/>
      <c r="W868" s="12"/>
      <c r="X868" s="119"/>
      <c r="Y868" s="120"/>
      <c r="Z868" s="12"/>
      <c r="BA868" s="70" t="s">
        <v>205</v>
      </c>
      <c r="BB868" s="71" t="s">
        <v>210</v>
      </c>
      <c r="BC868" s="71" t="s">
        <v>207</v>
      </c>
      <c r="BD868" s="71">
        <v>15</v>
      </c>
      <c r="BE868" s="71">
        <v>36</v>
      </c>
      <c r="BF868" s="71">
        <v>390</v>
      </c>
      <c r="BG868" s="71">
        <v>212</v>
      </c>
      <c r="BH868" s="71">
        <v>5</v>
      </c>
      <c r="BI868" s="71">
        <v>10</v>
      </c>
      <c r="BJ868" s="12" t="str" cm="1">
        <f t="array" ref="BJ868">_xll.Dce_Name_SectI(BF868, BF868, BG868, BH868, BI868, "x", "-", $AX$11)</f>
        <v>390x212x5x10</v>
      </c>
      <c r="BK868" s="77" cm="1">
        <f t="array" ref="BK868">_xll.DCEPropSectI(BF868, BH868, BG868, BI868, BG868, BI868, "A")/100</f>
        <v>60.9</v>
      </c>
      <c r="BL868" s="70" t="s">
        <v>224</v>
      </c>
      <c r="BM868" s="70">
        <v>-0.50182488908374978</v>
      </c>
      <c r="BN868" s="71">
        <v>0.9</v>
      </c>
      <c r="BO868" s="77">
        <f t="shared" si="115"/>
        <v>32.4</v>
      </c>
      <c r="BP868" s="71">
        <v>0.9</v>
      </c>
      <c r="BQ868" s="77">
        <f t="shared" si="116"/>
        <v>32.4</v>
      </c>
      <c r="BR868" s="77" cm="1">
        <f t="array" ref="BR868">_xll.DCEPropSectI(BF868, BH868, BG868, BI868, BG868, BI868, "rx")/10</f>
        <v>16.91131201300167</v>
      </c>
      <c r="BS868" s="77" cm="1">
        <f t="array" ref="BS868">_xll.DCEPropSectI(BF868, BH868, BG868, BI868, BG868, BI868, "ry")/10</f>
        <v>5.1070747638622018</v>
      </c>
      <c r="BT868" s="5">
        <f t="shared" si="117"/>
        <v>191.58773710218577</v>
      </c>
      <c r="BU868" s="5">
        <f t="shared" si="118"/>
        <v>634.41405301647956</v>
      </c>
      <c r="BV868" s="5">
        <f t="shared" si="119"/>
        <v>634.41405301647956</v>
      </c>
      <c r="BW868" s="71">
        <f t="shared" si="120"/>
        <v>200</v>
      </c>
      <c r="BX868" s="78" cm="1">
        <f t="array" ref="BX868">IF(BM868&gt;0,1,_xll.DCETCVN5575FactorPhi7121(BV868*SQRT($K$17/206000),"b"))</f>
        <v>1.6670876655456978E-2</v>
      </c>
      <c r="BY868" s="64">
        <f t="shared" si="121"/>
        <v>2.3537328663657001E-2</v>
      </c>
      <c r="BZ868" s="3" t="str">
        <f t="shared" si="122"/>
        <v>Check</v>
      </c>
    </row>
    <row r="869" spans="1:78">
      <c r="A869" s="76"/>
      <c r="B869" s="76"/>
      <c r="C869" s="125"/>
      <c r="D869" s="125"/>
      <c r="E869" s="71"/>
      <c r="F869" s="71"/>
      <c r="G869" s="71"/>
      <c r="H869" s="126"/>
      <c r="I869" s="125"/>
      <c r="J869" s="123"/>
      <c r="K869" s="12"/>
      <c r="L869" s="117"/>
      <c r="M869" s="12"/>
      <c r="N869" s="117"/>
      <c r="O869" s="117"/>
      <c r="P869" s="117"/>
      <c r="Q869" s="118"/>
      <c r="R869" s="118"/>
      <c r="S869" s="118"/>
      <c r="T869" s="12"/>
      <c r="U869" s="118"/>
      <c r="V869" s="118"/>
      <c r="W869" s="12"/>
      <c r="X869" s="119"/>
      <c r="Y869" s="120"/>
      <c r="Z869" s="12"/>
      <c r="BA869" s="70" t="s">
        <v>205</v>
      </c>
      <c r="BB869" s="71" t="s">
        <v>210</v>
      </c>
      <c r="BC869" s="71" t="s">
        <v>207</v>
      </c>
      <c r="BD869" s="71">
        <v>15</v>
      </c>
      <c r="BE869" s="71">
        <v>36</v>
      </c>
      <c r="BF869" s="71">
        <v>390</v>
      </c>
      <c r="BG869" s="71">
        <v>212</v>
      </c>
      <c r="BH869" s="71">
        <v>5</v>
      </c>
      <c r="BI869" s="71">
        <v>10</v>
      </c>
      <c r="BJ869" s="12" t="str" cm="1">
        <f t="array" ref="BJ869">_xll.Dce_Name_SectI(BF869, BF869, BG869, BH869, BI869, "x", "-", $AX$11)</f>
        <v>390x212x5x10</v>
      </c>
      <c r="BK869" s="77" cm="1">
        <f t="array" ref="BK869">_xll.DCEPropSectI(BF869, BH869, BG869, BI869, BG869, BI869, "A")/100</f>
        <v>60.9</v>
      </c>
      <c r="BL869" s="70" t="s">
        <v>224</v>
      </c>
      <c r="BM869" s="70">
        <v>-10.172471487985973</v>
      </c>
      <c r="BN869" s="71">
        <v>0.9</v>
      </c>
      <c r="BO869" s="77">
        <f t="shared" si="115"/>
        <v>32.4</v>
      </c>
      <c r="BP869" s="71">
        <v>0.9</v>
      </c>
      <c r="BQ869" s="77">
        <f t="shared" si="116"/>
        <v>32.4</v>
      </c>
      <c r="BR869" s="77" cm="1">
        <f t="array" ref="BR869">_xll.DCEPropSectI(BF869, BH869, BG869, BI869, BG869, BI869, "rx")/10</f>
        <v>16.91131201300167</v>
      </c>
      <c r="BS869" s="77" cm="1">
        <f t="array" ref="BS869">_xll.DCEPropSectI(BF869, BH869, BG869, BI869, BG869, BI869, "ry")/10</f>
        <v>5.1070747638622018</v>
      </c>
      <c r="BT869" s="5">
        <f t="shared" si="117"/>
        <v>191.58773710218577</v>
      </c>
      <c r="BU869" s="5">
        <f t="shared" si="118"/>
        <v>634.41405301647956</v>
      </c>
      <c r="BV869" s="5">
        <f t="shared" si="119"/>
        <v>634.41405301647956</v>
      </c>
      <c r="BW869" s="71">
        <f t="shared" si="120"/>
        <v>200</v>
      </c>
      <c r="BX869" s="78" cm="1">
        <f t="array" ref="BX869">IF(BM869&gt;0,1,_xll.DCETCVN5575FactorPhi7121(BV869*SQRT($K$17/206000),"b"))</f>
        <v>1.6670876655456978E-2</v>
      </c>
      <c r="BY869" s="64">
        <f t="shared" si="121"/>
        <v>0.47712421193689891</v>
      </c>
      <c r="BZ869" s="3" t="str">
        <f t="shared" si="122"/>
        <v>Check</v>
      </c>
    </row>
    <row r="870" spans="1:78">
      <c r="A870" s="76"/>
      <c r="B870" s="76"/>
      <c r="C870" s="125"/>
      <c r="D870" s="125"/>
      <c r="E870" s="71"/>
      <c r="F870" s="71"/>
      <c r="G870" s="71"/>
      <c r="H870" s="126"/>
      <c r="I870" s="125"/>
      <c r="J870" s="123"/>
      <c r="K870" s="12"/>
      <c r="L870" s="117"/>
      <c r="M870" s="12"/>
      <c r="N870" s="117"/>
      <c r="O870" s="117"/>
      <c r="P870" s="117"/>
      <c r="Q870" s="118"/>
      <c r="R870" s="118"/>
      <c r="S870" s="118"/>
      <c r="T870" s="12"/>
      <c r="U870" s="118"/>
      <c r="V870" s="118"/>
      <c r="W870" s="12"/>
      <c r="X870" s="119"/>
      <c r="Y870" s="120"/>
      <c r="Z870" s="12"/>
      <c r="BA870" s="70" t="s">
        <v>205</v>
      </c>
      <c r="BB870" s="71" t="s">
        <v>210</v>
      </c>
      <c r="BC870" s="71" t="s">
        <v>207</v>
      </c>
      <c r="BD870" s="71">
        <v>15.5</v>
      </c>
      <c r="BE870" s="71">
        <v>36</v>
      </c>
      <c r="BF870" s="71">
        <v>390</v>
      </c>
      <c r="BG870" s="71">
        <v>212</v>
      </c>
      <c r="BH870" s="71">
        <v>5</v>
      </c>
      <c r="BI870" s="71">
        <v>10</v>
      </c>
      <c r="BJ870" s="12" t="str" cm="1">
        <f t="array" ref="BJ870">_xll.Dce_Name_SectI(BF870, BF870, BG870, BH870, BI870, "x", "-", $AX$11)</f>
        <v>390x212x5x10</v>
      </c>
      <c r="BK870" s="77" cm="1">
        <f t="array" ref="BK870">_xll.DCEPropSectI(BF870, BH870, BG870, BI870, BG870, BI870, "A")/100</f>
        <v>60.9</v>
      </c>
      <c r="BL870" s="70" t="s">
        <v>224</v>
      </c>
      <c r="BM870" s="70">
        <v>-10.172471487985973</v>
      </c>
      <c r="BN870" s="71">
        <v>0.9</v>
      </c>
      <c r="BO870" s="77">
        <f t="shared" si="115"/>
        <v>32.4</v>
      </c>
      <c r="BP870" s="71">
        <v>0.9</v>
      </c>
      <c r="BQ870" s="77">
        <f t="shared" si="116"/>
        <v>32.4</v>
      </c>
      <c r="BR870" s="77" cm="1">
        <f t="array" ref="BR870">_xll.DCEPropSectI(BF870, BH870, BG870, BI870, BG870, BI870, "rx")/10</f>
        <v>16.91131201300167</v>
      </c>
      <c r="BS870" s="77" cm="1">
        <f t="array" ref="BS870">_xll.DCEPropSectI(BF870, BH870, BG870, BI870, BG870, BI870, "ry")/10</f>
        <v>5.1070747638622018</v>
      </c>
      <c r="BT870" s="5">
        <f t="shared" si="117"/>
        <v>191.58773710218577</v>
      </c>
      <c r="BU870" s="5">
        <f t="shared" si="118"/>
        <v>634.41405301647956</v>
      </c>
      <c r="BV870" s="5">
        <f t="shared" si="119"/>
        <v>634.41405301647956</v>
      </c>
      <c r="BW870" s="71">
        <f t="shared" si="120"/>
        <v>200</v>
      </c>
      <c r="BX870" s="78" cm="1">
        <f t="array" ref="BX870">IF(BM870&gt;0,1,_xll.DCETCVN5575FactorPhi7121(BV870*SQRT($K$17/206000),"b"))</f>
        <v>1.6670876655456978E-2</v>
      </c>
      <c r="BY870" s="64">
        <f t="shared" si="121"/>
        <v>0.47712421193689891</v>
      </c>
      <c r="BZ870" s="3" t="str">
        <f t="shared" si="122"/>
        <v>Check</v>
      </c>
    </row>
    <row r="871" spans="1:78">
      <c r="A871" s="76"/>
      <c r="B871" s="76"/>
      <c r="C871" s="125"/>
      <c r="D871" s="125"/>
      <c r="E871" s="71"/>
      <c r="F871" s="71"/>
      <c r="G871" s="71"/>
      <c r="H871" s="126"/>
      <c r="I871" s="125"/>
      <c r="J871" s="123"/>
      <c r="K871" s="12"/>
      <c r="L871" s="117"/>
      <c r="M871" s="12"/>
      <c r="N871" s="117"/>
      <c r="O871" s="117"/>
      <c r="P871" s="117"/>
      <c r="Q871" s="118"/>
      <c r="R871" s="118"/>
      <c r="S871" s="118"/>
      <c r="T871" s="12"/>
      <c r="U871" s="118"/>
      <c r="V871" s="118"/>
      <c r="W871" s="12"/>
      <c r="X871" s="119"/>
      <c r="Y871" s="120"/>
      <c r="Z871" s="12"/>
      <c r="BA871" s="70" t="s">
        <v>205</v>
      </c>
      <c r="BB871" s="71" t="s">
        <v>210</v>
      </c>
      <c r="BC871" s="71" t="s">
        <v>207</v>
      </c>
      <c r="BD871" s="71">
        <v>16</v>
      </c>
      <c r="BE871" s="71">
        <v>36</v>
      </c>
      <c r="BF871" s="71">
        <v>390</v>
      </c>
      <c r="BG871" s="71">
        <v>212</v>
      </c>
      <c r="BH871" s="71">
        <v>5</v>
      </c>
      <c r="BI871" s="71">
        <v>10</v>
      </c>
      <c r="BJ871" s="12" t="str" cm="1">
        <f t="array" ref="BJ871">_xll.Dce_Name_SectI(BF871, BF871, BG871, BH871, BI871, "x", "-", $AX$11)</f>
        <v>390x212x5x10</v>
      </c>
      <c r="BK871" s="77" cm="1">
        <f t="array" ref="BK871">_xll.DCEPropSectI(BF871, BH871, BG871, BI871, BG871, BI871, "A")/100</f>
        <v>60.9</v>
      </c>
      <c r="BL871" s="70" t="s">
        <v>224</v>
      </c>
      <c r="BM871" s="70">
        <v>-10.172471487985973</v>
      </c>
      <c r="BN871" s="71">
        <v>0.9</v>
      </c>
      <c r="BO871" s="77">
        <f t="shared" si="115"/>
        <v>32.4</v>
      </c>
      <c r="BP871" s="71">
        <v>0.9</v>
      </c>
      <c r="BQ871" s="77">
        <f t="shared" si="116"/>
        <v>32.4</v>
      </c>
      <c r="BR871" s="77" cm="1">
        <f t="array" ref="BR871">_xll.DCEPropSectI(BF871, BH871, BG871, BI871, BG871, BI871, "rx")/10</f>
        <v>16.91131201300167</v>
      </c>
      <c r="BS871" s="77" cm="1">
        <f t="array" ref="BS871">_xll.DCEPropSectI(BF871, BH871, BG871, BI871, BG871, BI871, "ry")/10</f>
        <v>5.1070747638622018</v>
      </c>
      <c r="BT871" s="5">
        <f t="shared" si="117"/>
        <v>191.58773710218577</v>
      </c>
      <c r="BU871" s="5">
        <f t="shared" si="118"/>
        <v>634.41405301647956</v>
      </c>
      <c r="BV871" s="5">
        <f t="shared" si="119"/>
        <v>634.41405301647956</v>
      </c>
      <c r="BW871" s="71">
        <f t="shared" si="120"/>
        <v>200</v>
      </c>
      <c r="BX871" s="78" cm="1">
        <f t="array" ref="BX871">IF(BM871&gt;0,1,_xll.DCETCVN5575FactorPhi7121(BV871*SQRT($K$17/206000),"b"))</f>
        <v>1.6670876655456978E-2</v>
      </c>
      <c r="BY871" s="64">
        <f t="shared" si="121"/>
        <v>0.47712421193689891</v>
      </c>
      <c r="BZ871" s="3" t="str">
        <f t="shared" si="122"/>
        <v>Check</v>
      </c>
    </row>
    <row r="872" spans="1:78">
      <c r="A872" s="76"/>
      <c r="B872" s="76"/>
      <c r="C872" s="125"/>
      <c r="D872" s="125"/>
      <c r="E872" s="71"/>
      <c r="F872" s="71"/>
      <c r="G872" s="71"/>
      <c r="H872" s="126"/>
      <c r="I872" s="125"/>
      <c r="J872" s="123"/>
      <c r="K872" s="12"/>
      <c r="L872" s="117"/>
      <c r="M872" s="12"/>
      <c r="N872" s="117"/>
      <c r="O872" s="117"/>
      <c r="P872" s="117"/>
      <c r="Q872" s="118"/>
      <c r="R872" s="118"/>
      <c r="S872" s="118"/>
      <c r="T872" s="12"/>
      <c r="U872" s="118"/>
      <c r="V872" s="118"/>
      <c r="W872" s="12"/>
      <c r="X872" s="119"/>
      <c r="Y872" s="120"/>
      <c r="Z872" s="12"/>
      <c r="BA872" s="70" t="s">
        <v>205</v>
      </c>
      <c r="BB872" s="71" t="s">
        <v>210</v>
      </c>
      <c r="BC872" s="71" t="s">
        <v>207</v>
      </c>
      <c r="BD872" s="71">
        <v>16.5</v>
      </c>
      <c r="BE872" s="71">
        <v>36</v>
      </c>
      <c r="BF872" s="71">
        <v>390</v>
      </c>
      <c r="BG872" s="71">
        <v>212</v>
      </c>
      <c r="BH872" s="71">
        <v>5</v>
      </c>
      <c r="BI872" s="71">
        <v>10</v>
      </c>
      <c r="BJ872" s="12" t="str" cm="1">
        <f t="array" ref="BJ872">_xll.Dce_Name_SectI(BF872, BF872, BG872, BH872, BI872, "x", "-", $AX$11)</f>
        <v>390x212x5x10</v>
      </c>
      <c r="BK872" s="77" cm="1">
        <f t="array" ref="BK872">_xll.DCEPropSectI(BF872, BH872, BG872, BI872, BG872, BI872, "A")/100</f>
        <v>60.9</v>
      </c>
      <c r="BL872" s="70" t="s">
        <v>224</v>
      </c>
      <c r="BM872" s="70">
        <v>-10.172471487985973</v>
      </c>
      <c r="BN872" s="71">
        <v>0.9</v>
      </c>
      <c r="BO872" s="77">
        <f t="shared" si="115"/>
        <v>32.4</v>
      </c>
      <c r="BP872" s="71">
        <v>0.9</v>
      </c>
      <c r="BQ872" s="77">
        <f t="shared" si="116"/>
        <v>32.4</v>
      </c>
      <c r="BR872" s="77" cm="1">
        <f t="array" ref="BR872">_xll.DCEPropSectI(BF872, BH872, BG872, BI872, BG872, BI872, "rx")/10</f>
        <v>16.91131201300167</v>
      </c>
      <c r="BS872" s="77" cm="1">
        <f t="array" ref="BS872">_xll.DCEPropSectI(BF872, BH872, BG872, BI872, BG872, BI872, "ry")/10</f>
        <v>5.1070747638622018</v>
      </c>
      <c r="BT872" s="5">
        <f t="shared" si="117"/>
        <v>191.58773710218577</v>
      </c>
      <c r="BU872" s="5">
        <f t="shared" si="118"/>
        <v>634.41405301647956</v>
      </c>
      <c r="BV872" s="5">
        <f t="shared" si="119"/>
        <v>634.41405301647956</v>
      </c>
      <c r="BW872" s="71">
        <f t="shared" si="120"/>
        <v>200</v>
      </c>
      <c r="BX872" s="78" cm="1">
        <f t="array" ref="BX872">IF(BM872&gt;0,1,_xll.DCETCVN5575FactorPhi7121(BV872*SQRT($K$17/206000),"b"))</f>
        <v>1.6670876655456978E-2</v>
      </c>
      <c r="BY872" s="64">
        <f t="shared" si="121"/>
        <v>0.47712421193689891</v>
      </c>
      <c r="BZ872" s="3" t="str">
        <f t="shared" si="122"/>
        <v>Check</v>
      </c>
    </row>
    <row r="873" spans="1:78">
      <c r="A873" s="76"/>
      <c r="B873" s="76"/>
      <c r="C873" s="125"/>
      <c r="D873" s="125"/>
      <c r="E873" s="71"/>
      <c r="F873" s="71"/>
      <c r="G873" s="71"/>
      <c r="H873" s="126"/>
      <c r="I873" s="125"/>
      <c r="J873" s="123"/>
      <c r="K873" s="12"/>
      <c r="L873" s="117"/>
      <c r="M873" s="12"/>
      <c r="N873" s="117"/>
      <c r="O873" s="117"/>
      <c r="P873" s="117"/>
      <c r="Q873" s="118"/>
      <c r="R873" s="118"/>
      <c r="S873" s="118"/>
      <c r="T873" s="12"/>
      <c r="U873" s="118"/>
      <c r="V873" s="118"/>
      <c r="W873" s="12"/>
      <c r="X873" s="119"/>
      <c r="Y873" s="120"/>
      <c r="Z873" s="12"/>
      <c r="BA873" s="70" t="s">
        <v>205</v>
      </c>
      <c r="BB873" s="71" t="s">
        <v>210</v>
      </c>
      <c r="BC873" s="71" t="s">
        <v>207</v>
      </c>
      <c r="BD873" s="71">
        <v>17</v>
      </c>
      <c r="BE873" s="71">
        <v>36</v>
      </c>
      <c r="BF873" s="71">
        <v>390</v>
      </c>
      <c r="BG873" s="71">
        <v>212</v>
      </c>
      <c r="BH873" s="71">
        <v>5</v>
      </c>
      <c r="BI873" s="71">
        <v>10</v>
      </c>
      <c r="BJ873" s="12" t="str" cm="1">
        <f t="array" ref="BJ873">_xll.Dce_Name_SectI(BF873, BF873, BG873, BH873, BI873, "x", "-", $AX$11)</f>
        <v>390x212x5x10</v>
      </c>
      <c r="BK873" s="77" cm="1">
        <f t="array" ref="BK873">_xll.DCEPropSectI(BF873, BH873, BG873, BI873, BG873, BI873, "A")/100</f>
        <v>60.9</v>
      </c>
      <c r="BL873" s="70" t="s">
        <v>224</v>
      </c>
      <c r="BM873" s="70">
        <v>-10.172471487985973</v>
      </c>
      <c r="BN873" s="71">
        <v>0.9</v>
      </c>
      <c r="BO873" s="77">
        <f t="shared" si="115"/>
        <v>32.4</v>
      </c>
      <c r="BP873" s="71">
        <v>0.9</v>
      </c>
      <c r="BQ873" s="77">
        <f t="shared" si="116"/>
        <v>32.4</v>
      </c>
      <c r="BR873" s="77" cm="1">
        <f t="array" ref="BR873">_xll.DCEPropSectI(BF873, BH873, BG873, BI873, BG873, BI873, "rx")/10</f>
        <v>16.91131201300167</v>
      </c>
      <c r="BS873" s="77" cm="1">
        <f t="array" ref="BS873">_xll.DCEPropSectI(BF873, BH873, BG873, BI873, BG873, BI873, "ry")/10</f>
        <v>5.1070747638622018</v>
      </c>
      <c r="BT873" s="5">
        <f t="shared" si="117"/>
        <v>191.58773710218577</v>
      </c>
      <c r="BU873" s="5">
        <f t="shared" si="118"/>
        <v>634.41405301647956</v>
      </c>
      <c r="BV873" s="5">
        <f t="shared" si="119"/>
        <v>634.41405301647956</v>
      </c>
      <c r="BW873" s="71">
        <f t="shared" si="120"/>
        <v>200</v>
      </c>
      <c r="BX873" s="78" cm="1">
        <f t="array" ref="BX873">IF(BM873&gt;0,1,_xll.DCETCVN5575FactorPhi7121(BV873*SQRT($K$17/206000),"b"))</f>
        <v>1.6670876655456978E-2</v>
      </c>
      <c r="BY873" s="64">
        <f t="shared" si="121"/>
        <v>0.47712421193689891</v>
      </c>
      <c r="BZ873" s="3" t="str">
        <f t="shared" si="122"/>
        <v>Check</v>
      </c>
    </row>
    <row r="874" spans="1:78">
      <c r="A874" s="76"/>
      <c r="B874" s="76"/>
      <c r="C874" s="125"/>
      <c r="D874" s="125"/>
      <c r="E874" s="71"/>
      <c r="F874" s="71"/>
      <c r="G874" s="71"/>
      <c r="H874" s="126"/>
      <c r="I874" s="125"/>
      <c r="J874" s="123"/>
      <c r="K874" s="12"/>
      <c r="L874" s="117"/>
      <c r="M874" s="12"/>
      <c r="N874" s="117"/>
      <c r="O874" s="117"/>
      <c r="P874" s="117"/>
      <c r="Q874" s="118"/>
      <c r="R874" s="118"/>
      <c r="S874" s="118"/>
      <c r="T874" s="12"/>
      <c r="U874" s="118"/>
      <c r="V874" s="118"/>
      <c r="W874" s="12"/>
      <c r="X874" s="119"/>
      <c r="Y874" s="120"/>
      <c r="Z874" s="12"/>
      <c r="BA874" s="70" t="s">
        <v>205</v>
      </c>
      <c r="BB874" s="71" t="s">
        <v>210</v>
      </c>
      <c r="BC874" s="71" t="s">
        <v>207</v>
      </c>
      <c r="BD874" s="71">
        <v>17.5</v>
      </c>
      <c r="BE874" s="71">
        <v>36</v>
      </c>
      <c r="BF874" s="71">
        <v>390</v>
      </c>
      <c r="BG874" s="71">
        <v>212</v>
      </c>
      <c r="BH874" s="71">
        <v>5</v>
      </c>
      <c r="BI874" s="71">
        <v>10</v>
      </c>
      <c r="BJ874" s="12" t="str" cm="1">
        <f t="array" ref="BJ874">_xll.Dce_Name_SectI(BF874, BF874, BG874, BH874, BI874, "x", "-", $AX$11)</f>
        <v>390x212x5x10</v>
      </c>
      <c r="BK874" s="77" cm="1">
        <f t="array" ref="BK874">_xll.DCEPropSectI(BF874, BH874, BG874, BI874, BG874, BI874, "A")/100</f>
        <v>60.9</v>
      </c>
      <c r="BL874" s="70" t="s">
        <v>224</v>
      </c>
      <c r="BM874" s="70">
        <v>-10.172471487985973</v>
      </c>
      <c r="BN874" s="71">
        <v>0.9</v>
      </c>
      <c r="BO874" s="77">
        <f t="shared" si="115"/>
        <v>32.4</v>
      </c>
      <c r="BP874" s="71">
        <v>0.9</v>
      </c>
      <c r="BQ874" s="77">
        <f t="shared" si="116"/>
        <v>32.4</v>
      </c>
      <c r="BR874" s="77" cm="1">
        <f t="array" ref="BR874">_xll.DCEPropSectI(BF874, BH874, BG874, BI874, BG874, BI874, "rx")/10</f>
        <v>16.91131201300167</v>
      </c>
      <c r="BS874" s="77" cm="1">
        <f t="array" ref="BS874">_xll.DCEPropSectI(BF874, BH874, BG874, BI874, BG874, BI874, "ry")/10</f>
        <v>5.1070747638622018</v>
      </c>
      <c r="BT874" s="5">
        <f t="shared" si="117"/>
        <v>191.58773710218577</v>
      </c>
      <c r="BU874" s="5">
        <f t="shared" si="118"/>
        <v>634.41405301647956</v>
      </c>
      <c r="BV874" s="5">
        <f t="shared" si="119"/>
        <v>634.41405301647956</v>
      </c>
      <c r="BW874" s="71">
        <f t="shared" si="120"/>
        <v>200</v>
      </c>
      <c r="BX874" s="78" cm="1">
        <f t="array" ref="BX874">IF(BM874&gt;0,1,_xll.DCETCVN5575FactorPhi7121(BV874*SQRT($K$17/206000),"b"))</f>
        <v>1.6670876655456978E-2</v>
      </c>
      <c r="BY874" s="64">
        <f t="shared" si="121"/>
        <v>0.47712421193689891</v>
      </c>
      <c r="BZ874" s="3" t="str">
        <f t="shared" si="122"/>
        <v>Check</v>
      </c>
    </row>
    <row r="875" spans="1:78">
      <c r="A875" s="76"/>
      <c r="B875" s="76"/>
      <c r="C875" s="125"/>
      <c r="D875" s="125"/>
      <c r="E875" s="71"/>
      <c r="F875" s="71"/>
      <c r="G875" s="71"/>
      <c r="H875" s="126"/>
      <c r="I875" s="125"/>
      <c r="J875" s="123"/>
      <c r="K875" s="12"/>
      <c r="L875" s="117"/>
      <c r="M875" s="12"/>
      <c r="N875" s="117"/>
      <c r="O875" s="117"/>
      <c r="P875" s="117"/>
      <c r="Q875" s="118"/>
      <c r="R875" s="118"/>
      <c r="S875" s="118"/>
      <c r="T875" s="12"/>
      <c r="U875" s="118"/>
      <c r="V875" s="118"/>
      <c r="W875" s="12"/>
      <c r="X875" s="119"/>
      <c r="Y875" s="120"/>
      <c r="Z875" s="12"/>
      <c r="BA875" s="70" t="s">
        <v>205</v>
      </c>
      <c r="BB875" s="71" t="s">
        <v>210</v>
      </c>
      <c r="BC875" s="71" t="s">
        <v>207</v>
      </c>
      <c r="BD875" s="71">
        <v>18</v>
      </c>
      <c r="BE875" s="71">
        <v>36</v>
      </c>
      <c r="BF875" s="71">
        <v>390</v>
      </c>
      <c r="BG875" s="71">
        <v>212</v>
      </c>
      <c r="BH875" s="71">
        <v>5</v>
      </c>
      <c r="BI875" s="71">
        <v>10</v>
      </c>
      <c r="BJ875" s="12" t="str" cm="1">
        <f t="array" ref="BJ875">_xll.Dce_Name_SectI(BF875, BF875, BG875, BH875, BI875, "x", "-", $AX$11)</f>
        <v>390x212x5x10</v>
      </c>
      <c r="BK875" s="77" cm="1">
        <f t="array" ref="BK875">_xll.DCEPropSectI(BF875, BH875, BG875, BI875, BG875, BI875, "A")/100</f>
        <v>60.9</v>
      </c>
      <c r="BL875" s="70" t="s">
        <v>224</v>
      </c>
      <c r="BM875" s="70">
        <v>-10.172471487985973</v>
      </c>
      <c r="BN875" s="71">
        <v>0.9</v>
      </c>
      <c r="BO875" s="77">
        <f t="shared" si="115"/>
        <v>32.4</v>
      </c>
      <c r="BP875" s="71">
        <v>0.9</v>
      </c>
      <c r="BQ875" s="77">
        <f t="shared" si="116"/>
        <v>32.4</v>
      </c>
      <c r="BR875" s="77" cm="1">
        <f t="array" ref="BR875">_xll.DCEPropSectI(BF875, BH875, BG875, BI875, BG875, BI875, "rx")/10</f>
        <v>16.91131201300167</v>
      </c>
      <c r="BS875" s="77" cm="1">
        <f t="array" ref="BS875">_xll.DCEPropSectI(BF875, BH875, BG875, BI875, BG875, BI875, "ry")/10</f>
        <v>5.1070747638622018</v>
      </c>
      <c r="BT875" s="5">
        <f t="shared" si="117"/>
        <v>191.58773710218577</v>
      </c>
      <c r="BU875" s="5">
        <f t="shared" si="118"/>
        <v>634.41405301647956</v>
      </c>
      <c r="BV875" s="5">
        <f t="shared" si="119"/>
        <v>634.41405301647956</v>
      </c>
      <c r="BW875" s="71">
        <f t="shared" si="120"/>
        <v>200</v>
      </c>
      <c r="BX875" s="78" cm="1">
        <f t="array" ref="BX875">IF(BM875&gt;0,1,_xll.DCETCVN5575FactorPhi7121(BV875*SQRT($K$17/206000),"b"))</f>
        <v>1.6670876655456978E-2</v>
      </c>
      <c r="BY875" s="64">
        <f t="shared" si="121"/>
        <v>0.47712421193689891</v>
      </c>
      <c r="BZ875" s="3" t="str">
        <f t="shared" si="122"/>
        <v>Check</v>
      </c>
    </row>
    <row r="876" spans="1:78">
      <c r="A876" s="76"/>
      <c r="B876" s="76"/>
      <c r="C876" s="125"/>
      <c r="D876" s="125"/>
      <c r="E876" s="71"/>
      <c r="F876" s="71"/>
      <c r="G876" s="71"/>
      <c r="H876" s="126"/>
      <c r="I876" s="125"/>
      <c r="J876" s="123"/>
      <c r="K876" s="12"/>
      <c r="L876" s="117"/>
      <c r="M876" s="12"/>
      <c r="N876" s="117"/>
      <c r="O876" s="117"/>
      <c r="P876" s="117"/>
      <c r="Q876" s="118"/>
      <c r="R876" s="118"/>
      <c r="S876" s="118"/>
      <c r="T876" s="12"/>
      <c r="U876" s="118"/>
      <c r="V876" s="118"/>
      <c r="W876" s="12"/>
      <c r="X876" s="119"/>
      <c r="Y876" s="120"/>
      <c r="Z876" s="12"/>
      <c r="BA876" s="70" t="s">
        <v>205</v>
      </c>
      <c r="BB876" s="71" t="s">
        <v>210</v>
      </c>
      <c r="BC876" s="71" t="s">
        <v>207</v>
      </c>
      <c r="BD876" s="71">
        <v>18.5</v>
      </c>
      <c r="BE876" s="71">
        <v>36</v>
      </c>
      <c r="BF876" s="71">
        <v>390</v>
      </c>
      <c r="BG876" s="71">
        <v>212</v>
      </c>
      <c r="BH876" s="71">
        <v>5</v>
      </c>
      <c r="BI876" s="71">
        <v>10</v>
      </c>
      <c r="BJ876" s="12" t="str" cm="1">
        <f t="array" ref="BJ876">_xll.Dce_Name_SectI(BF876, BF876, BG876, BH876, BI876, "x", "-", $AX$11)</f>
        <v>390x212x5x10</v>
      </c>
      <c r="BK876" s="77" cm="1">
        <f t="array" ref="BK876">_xll.DCEPropSectI(BF876, BH876, BG876, BI876, BG876, BI876, "A")/100</f>
        <v>60.9</v>
      </c>
      <c r="BL876" s="70" t="s">
        <v>224</v>
      </c>
      <c r="BM876" s="70">
        <v>-10.172471487985973</v>
      </c>
      <c r="BN876" s="71">
        <v>0.9</v>
      </c>
      <c r="BO876" s="77">
        <f t="shared" si="115"/>
        <v>32.4</v>
      </c>
      <c r="BP876" s="71">
        <v>0.9</v>
      </c>
      <c r="BQ876" s="77">
        <f t="shared" si="116"/>
        <v>32.4</v>
      </c>
      <c r="BR876" s="77" cm="1">
        <f t="array" ref="BR876">_xll.DCEPropSectI(BF876, BH876, BG876, BI876, BG876, BI876, "rx")/10</f>
        <v>16.91131201300167</v>
      </c>
      <c r="BS876" s="77" cm="1">
        <f t="array" ref="BS876">_xll.DCEPropSectI(BF876, BH876, BG876, BI876, BG876, BI876, "ry")/10</f>
        <v>5.1070747638622018</v>
      </c>
      <c r="BT876" s="5">
        <f t="shared" si="117"/>
        <v>191.58773710218577</v>
      </c>
      <c r="BU876" s="5">
        <f t="shared" si="118"/>
        <v>634.41405301647956</v>
      </c>
      <c r="BV876" s="5">
        <f t="shared" si="119"/>
        <v>634.41405301647956</v>
      </c>
      <c r="BW876" s="71">
        <f t="shared" si="120"/>
        <v>200</v>
      </c>
      <c r="BX876" s="78" cm="1">
        <f t="array" ref="BX876">IF(BM876&gt;0,1,_xll.DCETCVN5575FactorPhi7121(BV876*SQRT($K$17/206000),"b"))</f>
        <v>1.6670876655456978E-2</v>
      </c>
      <c r="BY876" s="64">
        <f t="shared" si="121"/>
        <v>0.47712421193689891</v>
      </c>
      <c r="BZ876" s="3" t="str">
        <f t="shared" si="122"/>
        <v>Check</v>
      </c>
    </row>
    <row r="877" spans="1:78">
      <c r="A877" s="76"/>
      <c r="B877" s="76"/>
      <c r="C877" s="125"/>
      <c r="D877" s="125"/>
      <c r="E877" s="71"/>
      <c r="F877" s="71"/>
      <c r="G877" s="71"/>
      <c r="H877" s="126"/>
      <c r="I877" s="125"/>
      <c r="J877" s="123"/>
      <c r="K877" s="12"/>
      <c r="L877" s="117"/>
      <c r="M877" s="12"/>
      <c r="N877" s="117"/>
      <c r="O877" s="117"/>
      <c r="P877" s="117"/>
      <c r="Q877" s="118"/>
      <c r="R877" s="118"/>
      <c r="S877" s="118"/>
      <c r="T877" s="12"/>
      <c r="U877" s="118"/>
      <c r="V877" s="118"/>
      <c r="W877" s="12"/>
      <c r="X877" s="119"/>
      <c r="Y877" s="120"/>
      <c r="Z877" s="12"/>
      <c r="BA877" s="70" t="s">
        <v>205</v>
      </c>
      <c r="BB877" s="71" t="s">
        <v>210</v>
      </c>
      <c r="BC877" s="71" t="s">
        <v>207</v>
      </c>
      <c r="BD877" s="71">
        <v>19</v>
      </c>
      <c r="BE877" s="71">
        <v>36</v>
      </c>
      <c r="BF877" s="71">
        <v>390</v>
      </c>
      <c r="BG877" s="71">
        <v>212</v>
      </c>
      <c r="BH877" s="71">
        <v>5</v>
      </c>
      <c r="BI877" s="71">
        <v>10</v>
      </c>
      <c r="BJ877" s="12" t="str" cm="1">
        <f t="array" ref="BJ877">_xll.Dce_Name_SectI(BF877, BF877, BG877, BH877, BI877, "x", "-", $AX$11)</f>
        <v>390x212x5x10</v>
      </c>
      <c r="BK877" s="77" cm="1">
        <f t="array" ref="BK877">_xll.DCEPropSectI(BF877, BH877, BG877, BI877, BG877, BI877, "A")/100</f>
        <v>60.9</v>
      </c>
      <c r="BL877" s="70" t="s">
        <v>224</v>
      </c>
      <c r="BM877" s="70">
        <v>-10.172471487985973</v>
      </c>
      <c r="BN877" s="71">
        <v>0.9</v>
      </c>
      <c r="BO877" s="77">
        <f t="shared" si="115"/>
        <v>32.4</v>
      </c>
      <c r="BP877" s="71">
        <v>0.9</v>
      </c>
      <c r="BQ877" s="77">
        <f t="shared" si="116"/>
        <v>32.4</v>
      </c>
      <c r="BR877" s="77" cm="1">
        <f t="array" ref="BR877">_xll.DCEPropSectI(BF877, BH877, BG877, BI877, BG877, BI877, "rx")/10</f>
        <v>16.91131201300167</v>
      </c>
      <c r="BS877" s="77" cm="1">
        <f t="array" ref="BS877">_xll.DCEPropSectI(BF877, BH877, BG877, BI877, BG877, BI877, "ry")/10</f>
        <v>5.1070747638622018</v>
      </c>
      <c r="BT877" s="5">
        <f t="shared" si="117"/>
        <v>191.58773710218577</v>
      </c>
      <c r="BU877" s="5">
        <f t="shared" si="118"/>
        <v>634.41405301647956</v>
      </c>
      <c r="BV877" s="5">
        <f t="shared" si="119"/>
        <v>634.41405301647956</v>
      </c>
      <c r="BW877" s="71">
        <f t="shared" si="120"/>
        <v>200</v>
      </c>
      <c r="BX877" s="78" cm="1">
        <f t="array" ref="BX877">IF(BM877&gt;0,1,_xll.DCETCVN5575FactorPhi7121(BV877*SQRT($K$17/206000),"b"))</f>
        <v>1.6670876655456978E-2</v>
      </c>
      <c r="BY877" s="64">
        <f t="shared" si="121"/>
        <v>0.47712421193689891</v>
      </c>
      <c r="BZ877" s="3" t="str">
        <f t="shared" si="122"/>
        <v>Check</v>
      </c>
    </row>
    <row r="878" spans="1:78">
      <c r="A878" s="76"/>
      <c r="B878" s="76"/>
      <c r="C878" s="125"/>
      <c r="D878" s="125"/>
      <c r="E878" s="71"/>
      <c r="F878" s="71"/>
      <c r="G878" s="71"/>
      <c r="H878" s="126"/>
      <c r="I878" s="125"/>
      <c r="J878" s="123"/>
      <c r="K878" s="12"/>
      <c r="L878" s="117"/>
      <c r="M878" s="12"/>
      <c r="N878" s="117"/>
      <c r="O878" s="117"/>
      <c r="P878" s="117"/>
      <c r="Q878" s="118"/>
      <c r="R878" s="118"/>
      <c r="S878" s="118"/>
      <c r="T878" s="12"/>
      <c r="U878" s="118"/>
      <c r="V878" s="118"/>
      <c r="W878" s="12"/>
      <c r="X878" s="119"/>
      <c r="Y878" s="120"/>
      <c r="Z878" s="12"/>
      <c r="BA878" s="70" t="s">
        <v>205</v>
      </c>
      <c r="BB878" s="71" t="s">
        <v>210</v>
      </c>
      <c r="BC878" s="71" t="s">
        <v>207</v>
      </c>
      <c r="BD878" s="71">
        <v>19.5</v>
      </c>
      <c r="BE878" s="71">
        <v>36</v>
      </c>
      <c r="BF878" s="71">
        <v>390</v>
      </c>
      <c r="BG878" s="71">
        <v>212</v>
      </c>
      <c r="BH878" s="71">
        <v>5</v>
      </c>
      <c r="BI878" s="71">
        <v>10</v>
      </c>
      <c r="BJ878" s="12" t="str" cm="1">
        <f t="array" ref="BJ878">_xll.Dce_Name_SectI(BF878, BF878, BG878, BH878, BI878, "x", "-", $AX$11)</f>
        <v>390x212x5x10</v>
      </c>
      <c r="BK878" s="77" cm="1">
        <f t="array" ref="BK878">_xll.DCEPropSectI(BF878, BH878, BG878, BI878, BG878, BI878, "A")/100</f>
        <v>60.9</v>
      </c>
      <c r="BL878" s="70" t="s">
        <v>224</v>
      </c>
      <c r="BM878" s="70">
        <v>-10.172471487985973</v>
      </c>
      <c r="BN878" s="71">
        <v>0.9</v>
      </c>
      <c r="BO878" s="77">
        <f t="shared" si="115"/>
        <v>32.4</v>
      </c>
      <c r="BP878" s="71">
        <v>0.9</v>
      </c>
      <c r="BQ878" s="77">
        <f t="shared" si="116"/>
        <v>32.4</v>
      </c>
      <c r="BR878" s="77" cm="1">
        <f t="array" ref="BR878">_xll.DCEPropSectI(BF878, BH878, BG878, BI878, BG878, BI878, "rx")/10</f>
        <v>16.91131201300167</v>
      </c>
      <c r="BS878" s="77" cm="1">
        <f t="array" ref="BS878">_xll.DCEPropSectI(BF878, BH878, BG878, BI878, BG878, BI878, "ry")/10</f>
        <v>5.1070747638622018</v>
      </c>
      <c r="BT878" s="5">
        <f t="shared" si="117"/>
        <v>191.58773710218577</v>
      </c>
      <c r="BU878" s="5">
        <f t="shared" si="118"/>
        <v>634.41405301647956</v>
      </c>
      <c r="BV878" s="5">
        <f t="shared" si="119"/>
        <v>634.41405301647956</v>
      </c>
      <c r="BW878" s="71">
        <f t="shared" si="120"/>
        <v>200</v>
      </c>
      <c r="BX878" s="78" cm="1">
        <f t="array" ref="BX878">IF(BM878&gt;0,1,_xll.DCETCVN5575FactorPhi7121(BV878*SQRT($K$17/206000),"b"))</f>
        <v>1.6670876655456978E-2</v>
      </c>
      <c r="BY878" s="64">
        <f t="shared" si="121"/>
        <v>0.47712421193689891</v>
      </c>
      <c r="BZ878" s="3" t="str">
        <f t="shared" si="122"/>
        <v>Check</v>
      </c>
    </row>
    <row r="879" spans="1:78">
      <c r="A879" s="76"/>
      <c r="B879" s="76"/>
      <c r="C879" s="125"/>
      <c r="D879" s="125"/>
      <c r="E879" s="71"/>
      <c r="F879" s="71"/>
      <c r="G879" s="71"/>
      <c r="H879" s="126"/>
      <c r="I879" s="125"/>
      <c r="J879" s="123"/>
      <c r="K879" s="12"/>
      <c r="L879" s="117"/>
      <c r="M879" s="12"/>
      <c r="N879" s="117"/>
      <c r="O879" s="117"/>
      <c r="P879" s="117"/>
      <c r="Q879" s="118"/>
      <c r="R879" s="118"/>
      <c r="S879" s="118"/>
      <c r="T879" s="12"/>
      <c r="U879" s="118"/>
      <c r="V879" s="118"/>
      <c r="W879" s="12"/>
      <c r="X879" s="119"/>
      <c r="Y879" s="120"/>
      <c r="Z879" s="12"/>
      <c r="BA879" s="70" t="s">
        <v>205</v>
      </c>
      <c r="BB879" s="71" t="s">
        <v>210</v>
      </c>
      <c r="BC879" s="71" t="s">
        <v>207</v>
      </c>
      <c r="BD879" s="71">
        <v>20</v>
      </c>
      <c r="BE879" s="71">
        <v>36</v>
      </c>
      <c r="BF879" s="71">
        <v>390</v>
      </c>
      <c r="BG879" s="71">
        <v>212</v>
      </c>
      <c r="BH879" s="71">
        <v>5</v>
      </c>
      <c r="BI879" s="71">
        <v>10</v>
      </c>
      <c r="BJ879" s="12" t="str" cm="1">
        <f t="array" ref="BJ879">_xll.Dce_Name_SectI(BF879, BF879, BG879, BH879, BI879, "x", "-", $AX$11)</f>
        <v>390x212x5x10</v>
      </c>
      <c r="BK879" s="77" cm="1">
        <f t="array" ref="BK879">_xll.DCEPropSectI(BF879, BH879, BG879, BI879, BG879, BI879, "A")/100</f>
        <v>60.9</v>
      </c>
      <c r="BL879" s="70" t="s">
        <v>224</v>
      </c>
      <c r="BM879" s="70">
        <v>-10.172471487985973</v>
      </c>
      <c r="BN879" s="71">
        <v>0.9</v>
      </c>
      <c r="BO879" s="77">
        <f t="shared" si="115"/>
        <v>32.4</v>
      </c>
      <c r="BP879" s="71">
        <v>0.9</v>
      </c>
      <c r="BQ879" s="77">
        <f t="shared" si="116"/>
        <v>32.4</v>
      </c>
      <c r="BR879" s="77" cm="1">
        <f t="array" ref="BR879">_xll.DCEPropSectI(BF879, BH879, BG879, BI879, BG879, BI879, "rx")/10</f>
        <v>16.91131201300167</v>
      </c>
      <c r="BS879" s="77" cm="1">
        <f t="array" ref="BS879">_xll.DCEPropSectI(BF879, BH879, BG879, BI879, BG879, BI879, "ry")/10</f>
        <v>5.1070747638622018</v>
      </c>
      <c r="BT879" s="5">
        <f t="shared" si="117"/>
        <v>191.58773710218577</v>
      </c>
      <c r="BU879" s="5">
        <f t="shared" si="118"/>
        <v>634.41405301647956</v>
      </c>
      <c r="BV879" s="5">
        <f t="shared" si="119"/>
        <v>634.41405301647956</v>
      </c>
      <c r="BW879" s="71">
        <f t="shared" si="120"/>
        <v>200</v>
      </c>
      <c r="BX879" s="78" cm="1">
        <f t="array" ref="BX879">IF(BM879&gt;0,1,_xll.DCETCVN5575FactorPhi7121(BV879*SQRT($K$17/206000),"b"))</f>
        <v>1.6670876655456978E-2</v>
      </c>
      <c r="BY879" s="64">
        <f t="shared" si="121"/>
        <v>0.47712421193689891</v>
      </c>
      <c r="BZ879" s="3" t="str">
        <f t="shared" si="122"/>
        <v>Check</v>
      </c>
    </row>
    <row r="880" spans="1:78">
      <c r="A880" s="76"/>
      <c r="B880" s="76"/>
      <c r="C880" s="125"/>
      <c r="D880" s="125"/>
      <c r="E880" s="71"/>
      <c r="F880" s="71"/>
      <c r="G880" s="71"/>
      <c r="H880" s="126"/>
      <c r="I880" s="125"/>
      <c r="J880" s="123"/>
      <c r="K880" s="12"/>
      <c r="L880" s="117"/>
      <c r="M880" s="12"/>
      <c r="N880" s="117"/>
      <c r="O880" s="117"/>
      <c r="P880" s="117"/>
      <c r="Q880" s="118"/>
      <c r="R880" s="118"/>
      <c r="S880" s="118"/>
      <c r="T880" s="12"/>
      <c r="U880" s="118"/>
      <c r="V880" s="118"/>
      <c r="W880" s="12"/>
      <c r="X880" s="119"/>
      <c r="Y880" s="120"/>
      <c r="Z880" s="12"/>
      <c r="BA880" s="70" t="s">
        <v>205</v>
      </c>
      <c r="BB880" s="71" t="s">
        <v>210</v>
      </c>
      <c r="BC880" s="71" t="s">
        <v>207</v>
      </c>
      <c r="BD880" s="71">
        <v>20.5</v>
      </c>
      <c r="BE880" s="71">
        <v>36</v>
      </c>
      <c r="BF880" s="71">
        <v>390</v>
      </c>
      <c r="BG880" s="71">
        <v>212</v>
      </c>
      <c r="BH880" s="71">
        <v>5</v>
      </c>
      <c r="BI880" s="71">
        <v>10</v>
      </c>
      <c r="BJ880" s="12" t="str" cm="1">
        <f t="array" ref="BJ880">_xll.Dce_Name_SectI(BF880, BF880, BG880, BH880, BI880, "x", "-", $AX$11)</f>
        <v>390x212x5x10</v>
      </c>
      <c r="BK880" s="77" cm="1">
        <f t="array" ref="BK880">_xll.DCEPropSectI(BF880, BH880, BG880, BI880, BG880, BI880, "A")/100</f>
        <v>60.9</v>
      </c>
      <c r="BL880" s="70" t="s">
        <v>224</v>
      </c>
      <c r="BM880" s="70">
        <v>-10.172471487985973</v>
      </c>
      <c r="BN880" s="71">
        <v>0.9</v>
      </c>
      <c r="BO880" s="77">
        <f t="shared" si="115"/>
        <v>32.4</v>
      </c>
      <c r="BP880" s="71">
        <v>0.9</v>
      </c>
      <c r="BQ880" s="77">
        <f t="shared" si="116"/>
        <v>32.4</v>
      </c>
      <c r="BR880" s="77" cm="1">
        <f t="array" ref="BR880">_xll.DCEPropSectI(BF880, BH880, BG880, BI880, BG880, BI880, "rx")/10</f>
        <v>16.91131201300167</v>
      </c>
      <c r="BS880" s="77" cm="1">
        <f t="array" ref="BS880">_xll.DCEPropSectI(BF880, BH880, BG880, BI880, BG880, BI880, "ry")/10</f>
        <v>5.1070747638622018</v>
      </c>
      <c r="BT880" s="5">
        <f t="shared" si="117"/>
        <v>191.58773710218577</v>
      </c>
      <c r="BU880" s="5">
        <f t="shared" si="118"/>
        <v>634.41405301647956</v>
      </c>
      <c r="BV880" s="5">
        <f t="shared" si="119"/>
        <v>634.41405301647956</v>
      </c>
      <c r="BW880" s="71">
        <f t="shared" si="120"/>
        <v>200</v>
      </c>
      <c r="BX880" s="78" cm="1">
        <f t="array" ref="BX880">IF(BM880&gt;0,1,_xll.DCETCVN5575FactorPhi7121(BV880*SQRT($K$17/206000),"b"))</f>
        <v>1.6670876655456978E-2</v>
      </c>
      <c r="BY880" s="64">
        <f t="shared" si="121"/>
        <v>0.47712421193689891</v>
      </c>
      <c r="BZ880" s="3" t="str">
        <f t="shared" si="122"/>
        <v>Check</v>
      </c>
    </row>
    <row r="881" spans="1:78">
      <c r="A881" s="76"/>
      <c r="B881" s="76"/>
      <c r="C881" s="125"/>
      <c r="D881" s="125"/>
      <c r="E881" s="71"/>
      <c r="F881" s="71"/>
      <c r="G881" s="71"/>
      <c r="H881" s="126"/>
      <c r="I881" s="125"/>
      <c r="J881" s="123"/>
      <c r="K881" s="12"/>
      <c r="L881" s="117"/>
      <c r="M881" s="12"/>
      <c r="N881" s="117"/>
      <c r="O881" s="117"/>
      <c r="P881" s="117"/>
      <c r="Q881" s="118"/>
      <c r="R881" s="118"/>
      <c r="S881" s="118"/>
      <c r="T881" s="12"/>
      <c r="U881" s="118"/>
      <c r="V881" s="118"/>
      <c r="W881" s="12"/>
      <c r="X881" s="119"/>
      <c r="Y881" s="120"/>
      <c r="Z881" s="12"/>
      <c r="BA881" s="70" t="s">
        <v>205</v>
      </c>
      <c r="BB881" s="71" t="s">
        <v>210</v>
      </c>
      <c r="BC881" s="71" t="s">
        <v>207</v>
      </c>
      <c r="BD881" s="71">
        <v>21</v>
      </c>
      <c r="BE881" s="71">
        <v>36</v>
      </c>
      <c r="BF881" s="71">
        <v>390</v>
      </c>
      <c r="BG881" s="71">
        <v>212</v>
      </c>
      <c r="BH881" s="71">
        <v>5</v>
      </c>
      <c r="BI881" s="71">
        <v>10</v>
      </c>
      <c r="BJ881" s="12" t="str" cm="1">
        <f t="array" ref="BJ881">_xll.Dce_Name_SectI(BF881, BF881, BG881, BH881, BI881, "x", "-", $AX$11)</f>
        <v>390x212x5x10</v>
      </c>
      <c r="BK881" s="77" cm="1">
        <f t="array" ref="BK881">_xll.DCEPropSectI(BF881, BH881, BG881, BI881, BG881, BI881, "A")/100</f>
        <v>60.9</v>
      </c>
      <c r="BL881" s="70" t="s">
        <v>224</v>
      </c>
      <c r="BM881" s="70">
        <v>-10.172471487985973</v>
      </c>
      <c r="BN881" s="71">
        <v>0.9</v>
      </c>
      <c r="BO881" s="77">
        <f t="shared" si="115"/>
        <v>32.4</v>
      </c>
      <c r="BP881" s="71">
        <v>0.9</v>
      </c>
      <c r="BQ881" s="77">
        <f t="shared" si="116"/>
        <v>32.4</v>
      </c>
      <c r="BR881" s="77" cm="1">
        <f t="array" ref="BR881">_xll.DCEPropSectI(BF881, BH881, BG881, BI881, BG881, BI881, "rx")/10</f>
        <v>16.91131201300167</v>
      </c>
      <c r="BS881" s="77" cm="1">
        <f t="array" ref="BS881">_xll.DCEPropSectI(BF881, BH881, BG881, BI881, BG881, BI881, "ry")/10</f>
        <v>5.1070747638622018</v>
      </c>
      <c r="BT881" s="5">
        <f t="shared" si="117"/>
        <v>191.58773710218577</v>
      </c>
      <c r="BU881" s="5">
        <f t="shared" si="118"/>
        <v>634.41405301647956</v>
      </c>
      <c r="BV881" s="5">
        <f t="shared" si="119"/>
        <v>634.41405301647956</v>
      </c>
      <c r="BW881" s="71">
        <f t="shared" si="120"/>
        <v>200</v>
      </c>
      <c r="BX881" s="78" cm="1">
        <f t="array" ref="BX881">IF(BM881&gt;0,1,_xll.DCETCVN5575FactorPhi7121(BV881*SQRT($K$17/206000),"b"))</f>
        <v>1.6670876655456978E-2</v>
      </c>
      <c r="BY881" s="64">
        <f t="shared" si="121"/>
        <v>0.47712421193689891</v>
      </c>
      <c r="BZ881" s="3" t="str">
        <f t="shared" si="122"/>
        <v>Check</v>
      </c>
    </row>
    <row r="882" spans="1:78">
      <c r="A882" s="76"/>
      <c r="B882" s="76"/>
      <c r="C882" s="125"/>
      <c r="D882" s="125"/>
      <c r="E882" s="71"/>
      <c r="F882" s="71"/>
      <c r="G882" s="71"/>
      <c r="H882" s="126"/>
      <c r="I882" s="125"/>
      <c r="J882" s="123"/>
      <c r="K882" s="12"/>
      <c r="L882" s="117"/>
      <c r="M882" s="12"/>
      <c r="N882" s="117"/>
      <c r="O882" s="117"/>
      <c r="P882" s="117"/>
      <c r="Q882" s="118"/>
      <c r="R882" s="118"/>
      <c r="S882" s="118"/>
      <c r="T882" s="12"/>
      <c r="U882" s="118"/>
      <c r="V882" s="118"/>
      <c r="W882" s="12"/>
      <c r="X882" s="119"/>
      <c r="Y882" s="120"/>
      <c r="Z882" s="12"/>
      <c r="BA882" s="70" t="s">
        <v>205</v>
      </c>
      <c r="BB882" s="71" t="s">
        <v>210</v>
      </c>
      <c r="BC882" s="71" t="s">
        <v>207</v>
      </c>
      <c r="BD882" s="71">
        <v>21.5</v>
      </c>
      <c r="BE882" s="71">
        <v>36</v>
      </c>
      <c r="BF882" s="71">
        <v>390</v>
      </c>
      <c r="BG882" s="71">
        <v>212</v>
      </c>
      <c r="BH882" s="71">
        <v>5</v>
      </c>
      <c r="BI882" s="71">
        <v>10</v>
      </c>
      <c r="BJ882" s="12" t="str" cm="1">
        <f t="array" ref="BJ882">_xll.Dce_Name_SectI(BF882, BF882, BG882, BH882, BI882, "x", "-", $AX$11)</f>
        <v>390x212x5x10</v>
      </c>
      <c r="BK882" s="77" cm="1">
        <f t="array" ref="BK882">_xll.DCEPropSectI(BF882, BH882, BG882, BI882, BG882, BI882, "A")/100</f>
        <v>60.9</v>
      </c>
      <c r="BL882" s="70" t="s">
        <v>224</v>
      </c>
      <c r="BM882" s="70">
        <v>-10.172471487985973</v>
      </c>
      <c r="BN882" s="71">
        <v>0.9</v>
      </c>
      <c r="BO882" s="77">
        <f t="shared" si="115"/>
        <v>32.4</v>
      </c>
      <c r="BP882" s="71">
        <v>0.9</v>
      </c>
      <c r="BQ882" s="77">
        <f t="shared" si="116"/>
        <v>32.4</v>
      </c>
      <c r="BR882" s="77" cm="1">
        <f t="array" ref="BR882">_xll.DCEPropSectI(BF882, BH882, BG882, BI882, BG882, BI882, "rx")/10</f>
        <v>16.91131201300167</v>
      </c>
      <c r="BS882" s="77" cm="1">
        <f t="array" ref="BS882">_xll.DCEPropSectI(BF882, BH882, BG882, BI882, BG882, BI882, "ry")/10</f>
        <v>5.1070747638622018</v>
      </c>
      <c r="BT882" s="5">
        <f t="shared" si="117"/>
        <v>191.58773710218577</v>
      </c>
      <c r="BU882" s="5">
        <f t="shared" si="118"/>
        <v>634.41405301647956</v>
      </c>
      <c r="BV882" s="5">
        <f t="shared" si="119"/>
        <v>634.41405301647956</v>
      </c>
      <c r="BW882" s="71">
        <f t="shared" si="120"/>
        <v>200</v>
      </c>
      <c r="BX882" s="78" cm="1">
        <f t="array" ref="BX882">IF(BM882&gt;0,1,_xll.DCETCVN5575FactorPhi7121(BV882*SQRT($K$17/206000),"b"))</f>
        <v>1.6670876655456978E-2</v>
      </c>
      <c r="BY882" s="64">
        <f t="shared" si="121"/>
        <v>0.47712421193689891</v>
      </c>
      <c r="BZ882" s="3" t="str">
        <f t="shared" si="122"/>
        <v>Check</v>
      </c>
    </row>
    <row r="883" spans="1:78">
      <c r="A883" s="76"/>
      <c r="B883" s="76"/>
      <c r="C883" s="125"/>
      <c r="D883" s="125"/>
      <c r="E883" s="71"/>
      <c r="F883" s="71"/>
      <c r="G883" s="71"/>
      <c r="H883" s="126"/>
      <c r="I883" s="125"/>
      <c r="J883" s="123"/>
      <c r="K883" s="12"/>
      <c r="L883" s="117"/>
      <c r="M883" s="12"/>
      <c r="N883" s="117"/>
      <c r="O883" s="117"/>
      <c r="P883" s="117"/>
      <c r="Q883" s="118"/>
      <c r="R883" s="118"/>
      <c r="S883" s="118"/>
      <c r="T883" s="12"/>
      <c r="U883" s="118"/>
      <c r="V883" s="118"/>
      <c r="W883" s="12"/>
      <c r="X883" s="119"/>
      <c r="Y883" s="120"/>
      <c r="Z883" s="12"/>
      <c r="BA883" s="70" t="s">
        <v>205</v>
      </c>
      <c r="BB883" s="71" t="s">
        <v>210</v>
      </c>
      <c r="BC883" s="71" t="s">
        <v>207</v>
      </c>
      <c r="BD883" s="71">
        <v>22</v>
      </c>
      <c r="BE883" s="71">
        <v>36</v>
      </c>
      <c r="BF883" s="71">
        <v>390</v>
      </c>
      <c r="BG883" s="71">
        <v>212</v>
      </c>
      <c r="BH883" s="71">
        <v>5</v>
      </c>
      <c r="BI883" s="71">
        <v>10</v>
      </c>
      <c r="BJ883" s="12" t="str" cm="1">
        <f t="array" ref="BJ883">_xll.Dce_Name_SectI(BF883, BF883, BG883, BH883, BI883, "x", "-", $AX$11)</f>
        <v>390x212x5x10</v>
      </c>
      <c r="BK883" s="77" cm="1">
        <f t="array" ref="BK883">_xll.DCEPropSectI(BF883, BH883, BG883, BI883, BG883, BI883, "A")/100</f>
        <v>60.9</v>
      </c>
      <c r="BL883" s="70" t="s">
        <v>224</v>
      </c>
      <c r="BM883" s="70">
        <v>-10.172471487985973</v>
      </c>
      <c r="BN883" s="71">
        <v>0.9</v>
      </c>
      <c r="BO883" s="77">
        <f t="shared" si="115"/>
        <v>32.4</v>
      </c>
      <c r="BP883" s="71">
        <v>0.9</v>
      </c>
      <c r="BQ883" s="77">
        <f t="shared" si="116"/>
        <v>32.4</v>
      </c>
      <c r="BR883" s="77" cm="1">
        <f t="array" ref="BR883">_xll.DCEPropSectI(BF883, BH883, BG883, BI883, BG883, BI883, "rx")/10</f>
        <v>16.91131201300167</v>
      </c>
      <c r="BS883" s="77" cm="1">
        <f t="array" ref="BS883">_xll.DCEPropSectI(BF883, BH883, BG883, BI883, BG883, BI883, "ry")/10</f>
        <v>5.1070747638622018</v>
      </c>
      <c r="BT883" s="5">
        <f t="shared" si="117"/>
        <v>191.58773710218577</v>
      </c>
      <c r="BU883" s="5">
        <f t="shared" si="118"/>
        <v>634.41405301647956</v>
      </c>
      <c r="BV883" s="5">
        <f t="shared" si="119"/>
        <v>634.41405301647956</v>
      </c>
      <c r="BW883" s="71">
        <f t="shared" si="120"/>
        <v>200</v>
      </c>
      <c r="BX883" s="78" cm="1">
        <f t="array" ref="BX883">IF(BM883&gt;0,1,_xll.DCETCVN5575FactorPhi7121(BV883*SQRT($K$17/206000),"b"))</f>
        <v>1.6670876655456978E-2</v>
      </c>
      <c r="BY883" s="64">
        <f t="shared" si="121"/>
        <v>0.47712421193689891</v>
      </c>
      <c r="BZ883" s="3" t="str">
        <f t="shared" si="122"/>
        <v>Check</v>
      </c>
    </row>
    <row r="884" spans="1:78">
      <c r="A884" s="76"/>
      <c r="B884" s="76"/>
      <c r="C884" s="125"/>
      <c r="D884" s="125"/>
      <c r="E884" s="71"/>
      <c r="F884" s="71"/>
      <c r="G884" s="71"/>
      <c r="H884" s="126"/>
      <c r="I884" s="125"/>
      <c r="J884" s="123"/>
      <c r="K884" s="12"/>
      <c r="L884" s="117"/>
      <c r="M884" s="12"/>
      <c r="N884" s="117"/>
      <c r="O884" s="117"/>
      <c r="P884" s="117"/>
      <c r="Q884" s="118"/>
      <c r="R884" s="118"/>
      <c r="S884" s="118"/>
      <c r="T884" s="12"/>
      <c r="U884" s="118"/>
      <c r="V884" s="118"/>
      <c r="W884" s="12"/>
      <c r="X884" s="119"/>
      <c r="Y884" s="120"/>
      <c r="Z884" s="12"/>
      <c r="BA884" s="70" t="s">
        <v>205</v>
      </c>
      <c r="BB884" s="71" t="s">
        <v>210</v>
      </c>
      <c r="BC884" s="71" t="s">
        <v>207</v>
      </c>
      <c r="BD884" s="71">
        <v>22.5</v>
      </c>
      <c r="BE884" s="71">
        <v>36</v>
      </c>
      <c r="BF884" s="71">
        <v>390</v>
      </c>
      <c r="BG884" s="71">
        <v>212</v>
      </c>
      <c r="BH884" s="71">
        <v>5</v>
      </c>
      <c r="BI884" s="71">
        <v>10</v>
      </c>
      <c r="BJ884" s="12" t="str" cm="1">
        <f t="array" ref="BJ884">_xll.Dce_Name_SectI(BF884, BF884, BG884, BH884, BI884, "x", "-", $AX$11)</f>
        <v>390x212x5x10</v>
      </c>
      <c r="BK884" s="77" cm="1">
        <f t="array" ref="BK884">_xll.DCEPropSectI(BF884, BH884, BG884, BI884, BG884, BI884, "A")/100</f>
        <v>60.9</v>
      </c>
      <c r="BL884" s="70" t="s">
        <v>224</v>
      </c>
      <c r="BM884" s="70">
        <v>-10.172471487985973</v>
      </c>
      <c r="BN884" s="71">
        <v>0.9</v>
      </c>
      <c r="BO884" s="77">
        <f t="shared" si="115"/>
        <v>32.4</v>
      </c>
      <c r="BP884" s="71">
        <v>0.9</v>
      </c>
      <c r="BQ884" s="77">
        <f t="shared" si="116"/>
        <v>32.4</v>
      </c>
      <c r="BR884" s="77" cm="1">
        <f t="array" ref="BR884">_xll.DCEPropSectI(BF884, BH884, BG884, BI884, BG884, BI884, "rx")/10</f>
        <v>16.91131201300167</v>
      </c>
      <c r="BS884" s="77" cm="1">
        <f t="array" ref="BS884">_xll.DCEPropSectI(BF884, BH884, BG884, BI884, BG884, BI884, "ry")/10</f>
        <v>5.1070747638622018</v>
      </c>
      <c r="BT884" s="5">
        <f t="shared" si="117"/>
        <v>191.58773710218577</v>
      </c>
      <c r="BU884" s="5">
        <f t="shared" si="118"/>
        <v>634.41405301647956</v>
      </c>
      <c r="BV884" s="5">
        <f t="shared" si="119"/>
        <v>634.41405301647956</v>
      </c>
      <c r="BW884" s="71">
        <f t="shared" si="120"/>
        <v>200</v>
      </c>
      <c r="BX884" s="78" cm="1">
        <f t="array" ref="BX884">IF(BM884&gt;0,1,_xll.DCETCVN5575FactorPhi7121(BV884*SQRT($K$17/206000),"b"))</f>
        <v>1.6670876655456978E-2</v>
      </c>
      <c r="BY884" s="64">
        <f t="shared" si="121"/>
        <v>0.47712421193689891</v>
      </c>
      <c r="BZ884" s="3" t="str">
        <f t="shared" si="122"/>
        <v>Check</v>
      </c>
    </row>
    <row r="885" spans="1:78">
      <c r="A885" s="76"/>
      <c r="B885" s="76"/>
      <c r="C885" s="125"/>
      <c r="D885" s="125"/>
      <c r="E885" s="71"/>
      <c r="F885" s="71"/>
      <c r="G885" s="71"/>
      <c r="H885" s="126"/>
      <c r="I885" s="125"/>
      <c r="J885" s="123"/>
      <c r="K885" s="12"/>
      <c r="L885" s="117"/>
      <c r="M885" s="12"/>
      <c r="N885" s="117"/>
      <c r="O885" s="117"/>
      <c r="P885" s="117"/>
      <c r="Q885" s="118"/>
      <c r="R885" s="118"/>
      <c r="S885" s="118"/>
      <c r="T885" s="12"/>
      <c r="U885" s="118"/>
      <c r="V885" s="118"/>
      <c r="W885" s="12"/>
      <c r="X885" s="119"/>
      <c r="Y885" s="120"/>
      <c r="Z885" s="12"/>
      <c r="BA885" s="70" t="s">
        <v>205</v>
      </c>
      <c r="BB885" s="71" t="s">
        <v>210</v>
      </c>
      <c r="BC885" s="71" t="s">
        <v>207</v>
      </c>
      <c r="BD885" s="71">
        <v>22.5</v>
      </c>
      <c r="BE885" s="71">
        <v>36</v>
      </c>
      <c r="BF885" s="71">
        <v>390</v>
      </c>
      <c r="BG885" s="71">
        <v>212</v>
      </c>
      <c r="BH885" s="71">
        <v>5</v>
      </c>
      <c r="BI885" s="71">
        <v>10</v>
      </c>
      <c r="BJ885" s="12" t="str" cm="1">
        <f t="array" ref="BJ885">_xll.Dce_Name_SectI(BF885, BF885, BG885, BH885, BI885, "x", "-", $AX$11)</f>
        <v>390x212x5x10</v>
      </c>
      <c r="BK885" s="77" cm="1">
        <f t="array" ref="BK885">_xll.DCEPropSectI(BF885, BH885, BG885, BI885, BG885, BI885, "A")/100</f>
        <v>60.9</v>
      </c>
      <c r="BL885" s="70" t="s">
        <v>224</v>
      </c>
      <c r="BM885" s="70">
        <v>-6.0008070361178056E-2</v>
      </c>
      <c r="BN885" s="71">
        <v>0.9</v>
      </c>
      <c r="BO885" s="77">
        <f t="shared" si="115"/>
        <v>32.4</v>
      </c>
      <c r="BP885" s="71">
        <v>0.9</v>
      </c>
      <c r="BQ885" s="77">
        <f t="shared" si="116"/>
        <v>32.4</v>
      </c>
      <c r="BR885" s="77" cm="1">
        <f t="array" ref="BR885">_xll.DCEPropSectI(BF885, BH885, BG885, BI885, BG885, BI885, "rx")/10</f>
        <v>16.91131201300167</v>
      </c>
      <c r="BS885" s="77" cm="1">
        <f t="array" ref="BS885">_xll.DCEPropSectI(BF885, BH885, BG885, BI885, BG885, BI885, "ry")/10</f>
        <v>5.1070747638622018</v>
      </c>
      <c r="BT885" s="5">
        <f t="shared" si="117"/>
        <v>191.58773710218577</v>
      </c>
      <c r="BU885" s="5">
        <f t="shared" si="118"/>
        <v>634.41405301647956</v>
      </c>
      <c r="BV885" s="5">
        <f t="shared" si="119"/>
        <v>634.41405301647956</v>
      </c>
      <c r="BW885" s="71">
        <f t="shared" si="120"/>
        <v>200</v>
      </c>
      <c r="BX885" s="78" cm="1">
        <f t="array" ref="BX885">IF(BM885&gt;0,1,_xll.DCETCVN5575FactorPhi7121(BV885*SQRT($K$17/206000),"b"))</f>
        <v>1.6670876655456978E-2</v>
      </c>
      <c r="BY885" s="64">
        <f t="shared" si="121"/>
        <v>2.8145867319211045E-3</v>
      </c>
      <c r="BZ885" s="3" t="str">
        <f t="shared" si="122"/>
        <v>Check</v>
      </c>
    </row>
    <row r="886" spans="1:78">
      <c r="A886" s="76"/>
      <c r="B886" s="76"/>
      <c r="C886" s="125"/>
      <c r="D886" s="125"/>
      <c r="E886" s="71"/>
      <c r="F886" s="71"/>
      <c r="G886" s="71"/>
      <c r="H886" s="126"/>
      <c r="I886" s="125"/>
      <c r="J886" s="123"/>
      <c r="K886" s="12"/>
      <c r="L886" s="117"/>
      <c r="M886" s="12"/>
      <c r="N886" s="117"/>
      <c r="O886" s="117"/>
      <c r="P886" s="117"/>
      <c r="Q886" s="118"/>
      <c r="R886" s="118"/>
      <c r="S886" s="118"/>
      <c r="T886" s="12"/>
      <c r="U886" s="118"/>
      <c r="V886" s="118"/>
      <c r="W886" s="12"/>
      <c r="X886" s="119"/>
      <c r="Y886" s="120"/>
      <c r="Z886" s="12"/>
      <c r="BA886" s="70" t="s">
        <v>205</v>
      </c>
      <c r="BB886" s="71" t="s">
        <v>210</v>
      </c>
      <c r="BC886" s="71" t="s">
        <v>207</v>
      </c>
      <c r="BD886" s="71">
        <v>23</v>
      </c>
      <c r="BE886" s="71">
        <v>36</v>
      </c>
      <c r="BF886" s="71">
        <v>390</v>
      </c>
      <c r="BG886" s="71">
        <v>212</v>
      </c>
      <c r="BH886" s="71">
        <v>5</v>
      </c>
      <c r="BI886" s="71">
        <v>10</v>
      </c>
      <c r="BJ886" s="12" t="str" cm="1">
        <f t="array" ref="BJ886">_xll.Dce_Name_SectI(BF886, BF886, BG886, BH886, BI886, "x", "-", $AX$11)</f>
        <v>390x212x5x10</v>
      </c>
      <c r="BK886" s="77" cm="1">
        <f t="array" ref="BK886">_xll.DCEPropSectI(BF886, BH886, BG886, BI886, BG886, BI886, "A")/100</f>
        <v>60.9</v>
      </c>
      <c r="BL886" s="70" t="s">
        <v>224</v>
      </c>
      <c r="BM886" s="70">
        <v>-6.0008070361178056E-2</v>
      </c>
      <c r="BN886" s="71">
        <v>0.9</v>
      </c>
      <c r="BO886" s="77">
        <f t="shared" si="115"/>
        <v>32.4</v>
      </c>
      <c r="BP886" s="71">
        <v>0.9</v>
      </c>
      <c r="BQ886" s="77">
        <f t="shared" si="116"/>
        <v>32.4</v>
      </c>
      <c r="BR886" s="77" cm="1">
        <f t="array" ref="BR886">_xll.DCEPropSectI(BF886, BH886, BG886, BI886, BG886, BI886, "rx")/10</f>
        <v>16.91131201300167</v>
      </c>
      <c r="BS886" s="77" cm="1">
        <f t="array" ref="BS886">_xll.DCEPropSectI(BF886, BH886, BG886, BI886, BG886, BI886, "ry")/10</f>
        <v>5.1070747638622018</v>
      </c>
      <c r="BT886" s="5">
        <f t="shared" si="117"/>
        <v>191.58773710218577</v>
      </c>
      <c r="BU886" s="5">
        <f t="shared" si="118"/>
        <v>634.41405301647956</v>
      </c>
      <c r="BV886" s="5">
        <f t="shared" si="119"/>
        <v>634.41405301647956</v>
      </c>
      <c r="BW886" s="71">
        <f t="shared" si="120"/>
        <v>200</v>
      </c>
      <c r="BX886" s="78" cm="1">
        <f t="array" ref="BX886">IF(BM886&gt;0,1,_xll.DCETCVN5575FactorPhi7121(BV886*SQRT($K$17/206000),"b"))</f>
        <v>1.6670876655456978E-2</v>
      </c>
      <c r="BY886" s="64">
        <f t="shared" si="121"/>
        <v>2.8145867319211045E-3</v>
      </c>
      <c r="BZ886" s="3" t="str">
        <f t="shared" si="122"/>
        <v>Check</v>
      </c>
    </row>
    <row r="887" spans="1:78">
      <c r="A887" s="76"/>
      <c r="B887" s="76"/>
      <c r="C887" s="125"/>
      <c r="D887" s="125"/>
      <c r="E887" s="71"/>
      <c r="F887" s="71"/>
      <c r="G887" s="71"/>
      <c r="H887" s="126"/>
      <c r="I887" s="125"/>
      <c r="J887" s="123"/>
      <c r="K887" s="12"/>
      <c r="L887" s="117"/>
      <c r="M887" s="12"/>
      <c r="N887" s="117"/>
      <c r="O887" s="117"/>
      <c r="P887" s="117"/>
      <c r="Q887" s="118"/>
      <c r="R887" s="118"/>
      <c r="S887" s="118"/>
      <c r="T887" s="12"/>
      <c r="U887" s="118"/>
      <c r="V887" s="118"/>
      <c r="W887" s="12"/>
      <c r="X887" s="119"/>
      <c r="Y887" s="120"/>
      <c r="Z887" s="12"/>
      <c r="BA887" s="70" t="s">
        <v>205</v>
      </c>
      <c r="BB887" s="71" t="s">
        <v>210</v>
      </c>
      <c r="BC887" s="71" t="s">
        <v>207</v>
      </c>
      <c r="BD887" s="71">
        <v>23.5</v>
      </c>
      <c r="BE887" s="71">
        <v>36</v>
      </c>
      <c r="BF887" s="71">
        <v>390</v>
      </c>
      <c r="BG887" s="71">
        <v>212</v>
      </c>
      <c r="BH887" s="71">
        <v>5</v>
      </c>
      <c r="BI887" s="71">
        <v>10</v>
      </c>
      <c r="BJ887" s="12" t="str" cm="1">
        <f t="array" ref="BJ887">_xll.Dce_Name_SectI(BF887, BF887, BG887, BH887, BI887, "x", "-", $AX$11)</f>
        <v>390x212x5x10</v>
      </c>
      <c r="BK887" s="77" cm="1">
        <f t="array" ref="BK887">_xll.DCEPropSectI(BF887, BH887, BG887, BI887, BG887, BI887, "A")/100</f>
        <v>60.9</v>
      </c>
      <c r="BL887" s="70" t="s">
        <v>224</v>
      </c>
      <c r="BM887" s="70">
        <v>-6.0008070361178056E-2</v>
      </c>
      <c r="BN887" s="71">
        <v>0.9</v>
      </c>
      <c r="BO887" s="77">
        <f t="shared" si="115"/>
        <v>32.4</v>
      </c>
      <c r="BP887" s="71">
        <v>0.9</v>
      </c>
      <c r="BQ887" s="77">
        <f t="shared" si="116"/>
        <v>32.4</v>
      </c>
      <c r="BR887" s="77" cm="1">
        <f t="array" ref="BR887">_xll.DCEPropSectI(BF887, BH887, BG887, BI887, BG887, BI887, "rx")/10</f>
        <v>16.91131201300167</v>
      </c>
      <c r="BS887" s="77" cm="1">
        <f t="array" ref="BS887">_xll.DCEPropSectI(BF887, BH887, BG887, BI887, BG887, BI887, "ry")/10</f>
        <v>5.1070747638622018</v>
      </c>
      <c r="BT887" s="5">
        <f t="shared" si="117"/>
        <v>191.58773710218577</v>
      </c>
      <c r="BU887" s="5">
        <f t="shared" si="118"/>
        <v>634.41405301647956</v>
      </c>
      <c r="BV887" s="5">
        <f t="shared" si="119"/>
        <v>634.41405301647956</v>
      </c>
      <c r="BW887" s="71">
        <f t="shared" si="120"/>
        <v>200</v>
      </c>
      <c r="BX887" s="78" cm="1">
        <f t="array" ref="BX887">IF(BM887&gt;0,1,_xll.DCETCVN5575FactorPhi7121(BV887*SQRT($K$17/206000),"b"))</f>
        <v>1.6670876655456978E-2</v>
      </c>
      <c r="BY887" s="64">
        <f t="shared" si="121"/>
        <v>2.8145867319211045E-3</v>
      </c>
      <c r="BZ887" s="3" t="str">
        <f t="shared" si="122"/>
        <v>Check</v>
      </c>
    </row>
    <row r="888" spans="1:78">
      <c r="A888" s="76"/>
      <c r="B888" s="76"/>
      <c r="C888" s="125"/>
      <c r="D888" s="125"/>
      <c r="E888" s="71"/>
      <c r="F888" s="71"/>
      <c r="G888" s="71"/>
      <c r="H888" s="126"/>
      <c r="I888" s="125"/>
      <c r="J888" s="123"/>
      <c r="K888" s="12"/>
      <c r="L888" s="117"/>
      <c r="M888" s="12"/>
      <c r="N888" s="117"/>
      <c r="O888" s="117"/>
      <c r="P888" s="117"/>
      <c r="Q888" s="118"/>
      <c r="R888" s="118"/>
      <c r="S888" s="118"/>
      <c r="T888" s="12"/>
      <c r="U888" s="118"/>
      <c r="V888" s="118"/>
      <c r="W888" s="12"/>
      <c r="X888" s="119"/>
      <c r="Y888" s="120"/>
      <c r="Z888" s="12"/>
      <c r="BA888" s="70" t="s">
        <v>205</v>
      </c>
      <c r="BB888" s="71" t="s">
        <v>210</v>
      </c>
      <c r="BC888" s="71" t="s">
        <v>207</v>
      </c>
      <c r="BD888" s="71">
        <v>24</v>
      </c>
      <c r="BE888" s="71">
        <v>36</v>
      </c>
      <c r="BF888" s="71">
        <v>390</v>
      </c>
      <c r="BG888" s="71">
        <v>212</v>
      </c>
      <c r="BH888" s="71">
        <v>5</v>
      </c>
      <c r="BI888" s="71">
        <v>10</v>
      </c>
      <c r="BJ888" s="12" t="str" cm="1">
        <f t="array" ref="BJ888">_xll.Dce_Name_SectI(BF888, BF888, BG888, BH888, BI888, "x", "-", $AX$11)</f>
        <v>390x212x5x10</v>
      </c>
      <c r="BK888" s="77" cm="1">
        <f t="array" ref="BK888">_xll.DCEPropSectI(BF888, BH888, BG888, BI888, BG888, BI888, "A")/100</f>
        <v>60.9</v>
      </c>
      <c r="BL888" s="70" t="s">
        <v>224</v>
      </c>
      <c r="BM888" s="70">
        <v>-6.0008070361178056E-2</v>
      </c>
      <c r="BN888" s="71">
        <v>0.9</v>
      </c>
      <c r="BO888" s="77">
        <f t="shared" si="115"/>
        <v>32.4</v>
      </c>
      <c r="BP888" s="71">
        <v>0.9</v>
      </c>
      <c r="BQ888" s="77">
        <f t="shared" si="116"/>
        <v>32.4</v>
      </c>
      <c r="BR888" s="77" cm="1">
        <f t="array" ref="BR888">_xll.DCEPropSectI(BF888, BH888, BG888, BI888, BG888, BI888, "rx")/10</f>
        <v>16.91131201300167</v>
      </c>
      <c r="BS888" s="77" cm="1">
        <f t="array" ref="BS888">_xll.DCEPropSectI(BF888, BH888, BG888, BI888, BG888, BI888, "ry")/10</f>
        <v>5.1070747638622018</v>
      </c>
      <c r="BT888" s="5">
        <f t="shared" si="117"/>
        <v>191.58773710218577</v>
      </c>
      <c r="BU888" s="5">
        <f t="shared" si="118"/>
        <v>634.41405301647956</v>
      </c>
      <c r="BV888" s="5">
        <f t="shared" si="119"/>
        <v>634.41405301647956</v>
      </c>
      <c r="BW888" s="71">
        <f t="shared" si="120"/>
        <v>200</v>
      </c>
      <c r="BX888" s="78" cm="1">
        <f t="array" ref="BX888">IF(BM888&gt;0,1,_xll.DCETCVN5575FactorPhi7121(BV888*SQRT($K$17/206000),"b"))</f>
        <v>1.6670876655456978E-2</v>
      </c>
      <c r="BY888" s="64">
        <f t="shared" si="121"/>
        <v>2.8145867319211045E-3</v>
      </c>
      <c r="BZ888" s="3" t="str">
        <f t="shared" si="122"/>
        <v>Check</v>
      </c>
    </row>
    <row r="889" spans="1:78">
      <c r="A889" s="76"/>
      <c r="B889" s="76"/>
      <c r="C889" s="125"/>
      <c r="D889" s="125"/>
      <c r="E889" s="71"/>
      <c r="F889" s="71"/>
      <c r="G889" s="71"/>
      <c r="H889" s="126"/>
      <c r="I889" s="125"/>
      <c r="J889" s="123"/>
      <c r="K889" s="12"/>
      <c r="L889" s="117"/>
      <c r="M889" s="12"/>
      <c r="N889" s="117"/>
      <c r="O889" s="117"/>
      <c r="P889" s="117"/>
      <c r="Q889" s="118"/>
      <c r="R889" s="118"/>
      <c r="S889" s="118"/>
      <c r="T889" s="12"/>
      <c r="U889" s="118"/>
      <c r="V889" s="118"/>
      <c r="W889" s="12"/>
      <c r="X889" s="119"/>
      <c r="Y889" s="120"/>
      <c r="Z889" s="12"/>
      <c r="BA889" s="70" t="s">
        <v>205</v>
      </c>
      <c r="BB889" s="71" t="s">
        <v>210</v>
      </c>
      <c r="BC889" s="71" t="s">
        <v>207</v>
      </c>
      <c r="BD889" s="71">
        <v>24.5</v>
      </c>
      <c r="BE889" s="71">
        <v>36</v>
      </c>
      <c r="BF889" s="71">
        <v>390</v>
      </c>
      <c r="BG889" s="71">
        <v>212</v>
      </c>
      <c r="BH889" s="71">
        <v>5</v>
      </c>
      <c r="BI889" s="71">
        <v>10</v>
      </c>
      <c r="BJ889" s="12" t="str" cm="1">
        <f t="array" ref="BJ889">_xll.Dce_Name_SectI(BF889, BF889, BG889, BH889, BI889, "x", "-", $AX$11)</f>
        <v>390x212x5x10</v>
      </c>
      <c r="BK889" s="77" cm="1">
        <f t="array" ref="BK889">_xll.DCEPropSectI(BF889, BH889, BG889, BI889, BG889, BI889, "A")/100</f>
        <v>60.9</v>
      </c>
      <c r="BL889" s="70" t="s">
        <v>224</v>
      </c>
      <c r="BM889" s="70">
        <v>-6.0008070361178056E-2</v>
      </c>
      <c r="BN889" s="71">
        <v>0.9</v>
      </c>
      <c r="BO889" s="77">
        <f t="shared" si="115"/>
        <v>32.4</v>
      </c>
      <c r="BP889" s="71">
        <v>0.9</v>
      </c>
      <c r="BQ889" s="77">
        <f t="shared" si="116"/>
        <v>32.4</v>
      </c>
      <c r="BR889" s="77" cm="1">
        <f t="array" ref="BR889">_xll.DCEPropSectI(BF889, BH889, BG889, BI889, BG889, BI889, "rx")/10</f>
        <v>16.91131201300167</v>
      </c>
      <c r="BS889" s="77" cm="1">
        <f t="array" ref="BS889">_xll.DCEPropSectI(BF889, BH889, BG889, BI889, BG889, BI889, "ry")/10</f>
        <v>5.1070747638622018</v>
      </c>
      <c r="BT889" s="5">
        <f t="shared" si="117"/>
        <v>191.58773710218577</v>
      </c>
      <c r="BU889" s="5">
        <f t="shared" si="118"/>
        <v>634.41405301647956</v>
      </c>
      <c r="BV889" s="5">
        <f t="shared" si="119"/>
        <v>634.41405301647956</v>
      </c>
      <c r="BW889" s="71">
        <f t="shared" si="120"/>
        <v>200</v>
      </c>
      <c r="BX889" s="78" cm="1">
        <f t="array" ref="BX889">IF(BM889&gt;0,1,_xll.DCETCVN5575FactorPhi7121(BV889*SQRT($K$17/206000),"b"))</f>
        <v>1.6670876655456978E-2</v>
      </c>
      <c r="BY889" s="64">
        <f t="shared" si="121"/>
        <v>2.8145867319211045E-3</v>
      </c>
      <c r="BZ889" s="3" t="str">
        <f t="shared" si="122"/>
        <v>Check</v>
      </c>
    </row>
    <row r="890" spans="1:78">
      <c r="A890" s="76"/>
      <c r="B890" s="76"/>
      <c r="C890" s="125"/>
      <c r="D890" s="125"/>
      <c r="E890" s="71"/>
      <c r="F890" s="71"/>
      <c r="G890" s="71"/>
      <c r="H890" s="126"/>
      <c r="I890" s="125"/>
      <c r="J890" s="123"/>
      <c r="K890" s="12"/>
      <c r="L890" s="117"/>
      <c r="M890" s="12"/>
      <c r="N890" s="117"/>
      <c r="O890" s="117"/>
      <c r="P890" s="117"/>
      <c r="Q890" s="118"/>
      <c r="R890" s="118"/>
      <c r="S890" s="118"/>
      <c r="T890" s="12"/>
      <c r="U890" s="118"/>
      <c r="V890" s="118"/>
      <c r="W890" s="12"/>
      <c r="X890" s="119"/>
      <c r="Y890" s="120"/>
      <c r="Z890" s="12"/>
      <c r="BA890" s="70" t="s">
        <v>205</v>
      </c>
      <c r="BB890" s="71" t="s">
        <v>210</v>
      </c>
      <c r="BC890" s="71" t="s">
        <v>207</v>
      </c>
      <c r="BD890" s="71">
        <v>25</v>
      </c>
      <c r="BE890" s="71">
        <v>36</v>
      </c>
      <c r="BF890" s="71">
        <v>390</v>
      </c>
      <c r="BG890" s="71">
        <v>212</v>
      </c>
      <c r="BH890" s="71">
        <v>5</v>
      </c>
      <c r="BI890" s="71">
        <v>10</v>
      </c>
      <c r="BJ890" s="12" t="str" cm="1">
        <f t="array" ref="BJ890">_xll.Dce_Name_SectI(BF890, BF890, BG890, BH890, BI890, "x", "-", $AX$11)</f>
        <v>390x212x5x10</v>
      </c>
      <c r="BK890" s="77" cm="1">
        <f t="array" ref="BK890">_xll.DCEPropSectI(BF890, BH890, BG890, BI890, BG890, BI890, "A")/100</f>
        <v>60.9</v>
      </c>
      <c r="BL890" s="70" t="s">
        <v>224</v>
      </c>
      <c r="BM890" s="70">
        <v>-6.0008070361178056E-2</v>
      </c>
      <c r="BN890" s="71">
        <v>0.9</v>
      </c>
      <c r="BO890" s="77">
        <f t="shared" si="115"/>
        <v>32.4</v>
      </c>
      <c r="BP890" s="71">
        <v>0.9</v>
      </c>
      <c r="BQ890" s="77">
        <f t="shared" si="116"/>
        <v>32.4</v>
      </c>
      <c r="BR890" s="77" cm="1">
        <f t="array" ref="BR890">_xll.DCEPropSectI(BF890, BH890, BG890, BI890, BG890, BI890, "rx")/10</f>
        <v>16.91131201300167</v>
      </c>
      <c r="BS890" s="77" cm="1">
        <f t="array" ref="BS890">_xll.DCEPropSectI(BF890, BH890, BG890, BI890, BG890, BI890, "ry")/10</f>
        <v>5.1070747638622018</v>
      </c>
      <c r="BT890" s="5">
        <f t="shared" si="117"/>
        <v>191.58773710218577</v>
      </c>
      <c r="BU890" s="5">
        <f t="shared" si="118"/>
        <v>634.41405301647956</v>
      </c>
      <c r="BV890" s="5">
        <f t="shared" si="119"/>
        <v>634.41405301647956</v>
      </c>
      <c r="BW890" s="71">
        <f t="shared" si="120"/>
        <v>200</v>
      </c>
      <c r="BX890" s="78" cm="1">
        <f t="array" ref="BX890">IF(BM890&gt;0,1,_xll.DCETCVN5575FactorPhi7121(BV890*SQRT($K$17/206000),"b"))</f>
        <v>1.6670876655456978E-2</v>
      </c>
      <c r="BY890" s="64">
        <f t="shared" si="121"/>
        <v>2.8145867319211045E-3</v>
      </c>
      <c r="BZ890" s="3" t="str">
        <f t="shared" si="122"/>
        <v>Check</v>
      </c>
    </row>
    <row r="891" spans="1:78">
      <c r="A891" s="76"/>
      <c r="B891" s="76"/>
      <c r="C891" s="125"/>
      <c r="D891" s="125"/>
      <c r="E891" s="71"/>
      <c r="F891" s="71"/>
      <c r="G891" s="71"/>
      <c r="H891" s="126"/>
      <c r="I891" s="125"/>
      <c r="J891" s="123"/>
      <c r="K891" s="12"/>
      <c r="L891" s="117"/>
      <c r="M891" s="12"/>
      <c r="N891" s="117"/>
      <c r="O891" s="117"/>
      <c r="P891" s="117"/>
      <c r="Q891" s="118"/>
      <c r="R891" s="118"/>
      <c r="S891" s="118"/>
      <c r="T891" s="12"/>
      <c r="U891" s="118"/>
      <c r="V891" s="118"/>
      <c r="W891" s="12"/>
      <c r="X891" s="119"/>
      <c r="Y891" s="120"/>
      <c r="Z891" s="12"/>
      <c r="BA891" s="70" t="s">
        <v>205</v>
      </c>
      <c r="BB891" s="71" t="s">
        <v>210</v>
      </c>
      <c r="BC891" s="71" t="s">
        <v>207</v>
      </c>
      <c r="BD891" s="71">
        <v>25.5</v>
      </c>
      <c r="BE891" s="71">
        <v>36</v>
      </c>
      <c r="BF891" s="71">
        <v>390</v>
      </c>
      <c r="BG891" s="71">
        <v>212</v>
      </c>
      <c r="BH891" s="71">
        <v>5</v>
      </c>
      <c r="BI891" s="71">
        <v>10</v>
      </c>
      <c r="BJ891" s="12" t="str" cm="1">
        <f t="array" ref="BJ891">_xll.Dce_Name_SectI(BF891, BF891, BG891, BH891, BI891, "x", "-", $AX$11)</f>
        <v>390x212x5x10</v>
      </c>
      <c r="BK891" s="77" cm="1">
        <f t="array" ref="BK891">_xll.DCEPropSectI(BF891, BH891, BG891, BI891, BG891, BI891, "A")/100</f>
        <v>60.9</v>
      </c>
      <c r="BL891" s="70" t="s">
        <v>224</v>
      </c>
      <c r="BM891" s="70">
        <v>-6.0008070361178056E-2</v>
      </c>
      <c r="BN891" s="71">
        <v>0.9</v>
      </c>
      <c r="BO891" s="77">
        <f t="shared" si="115"/>
        <v>32.4</v>
      </c>
      <c r="BP891" s="71">
        <v>0.9</v>
      </c>
      <c r="BQ891" s="77">
        <f t="shared" si="116"/>
        <v>32.4</v>
      </c>
      <c r="BR891" s="77" cm="1">
        <f t="array" ref="BR891">_xll.DCEPropSectI(BF891, BH891, BG891, BI891, BG891, BI891, "rx")/10</f>
        <v>16.91131201300167</v>
      </c>
      <c r="BS891" s="77" cm="1">
        <f t="array" ref="BS891">_xll.DCEPropSectI(BF891, BH891, BG891, BI891, BG891, BI891, "ry")/10</f>
        <v>5.1070747638622018</v>
      </c>
      <c r="BT891" s="5">
        <f t="shared" si="117"/>
        <v>191.58773710218577</v>
      </c>
      <c r="BU891" s="5">
        <f t="shared" si="118"/>
        <v>634.41405301647956</v>
      </c>
      <c r="BV891" s="5">
        <f t="shared" si="119"/>
        <v>634.41405301647956</v>
      </c>
      <c r="BW891" s="71">
        <f t="shared" si="120"/>
        <v>200</v>
      </c>
      <c r="BX891" s="78" cm="1">
        <f t="array" ref="BX891">IF(BM891&gt;0,1,_xll.DCETCVN5575FactorPhi7121(BV891*SQRT($K$17/206000),"b"))</f>
        <v>1.6670876655456978E-2</v>
      </c>
      <c r="BY891" s="64">
        <f t="shared" si="121"/>
        <v>2.8145867319211045E-3</v>
      </c>
      <c r="BZ891" s="3" t="str">
        <f t="shared" si="122"/>
        <v>Check</v>
      </c>
    </row>
    <row r="892" spans="1:78">
      <c r="A892" s="76"/>
      <c r="B892" s="76"/>
      <c r="C892" s="125"/>
      <c r="D892" s="125"/>
      <c r="E892" s="71"/>
      <c r="F892" s="71"/>
      <c r="G892" s="71"/>
      <c r="H892" s="126"/>
      <c r="I892" s="125"/>
      <c r="J892" s="123"/>
      <c r="K892" s="12"/>
      <c r="L892" s="117"/>
      <c r="M892" s="12"/>
      <c r="N892" s="117"/>
      <c r="O892" s="117"/>
      <c r="P892" s="117"/>
      <c r="Q892" s="118"/>
      <c r="R892" s="118"/>
      <c r="S892" s="118"/>
      <c r="T892" s="12"/>
      <c r="U892" s="118"/>
      <c r="V892" s="118"/>
      <c r="W892" s="12"/>
      <c r="X892" s="119"/>
      <c r="Y892" s="120"/>
      <c r="Z892" s="12"/>
      <c r="BA892" s="70" t="s">
        <v>205</v>
      </c>
      <c r="BB892" s="71" t="s">
        <v>210</v>
      </c>
      <c r="BC892" s="71" t="s">
        <v>207</v>
      </c>
      <c r="BD892" s="71">
        <v>26</v>
      </c>
      <c r="BE892" s="71">
        <v>36</v>
      </c>
      <c r="BF892" s="71">
        <v>390</v>
      </c>
      <c r="BG892" s="71">
        <v>212</v>
      </c>
      <c r="BH892" s="71">
        <v>5</v>
      </c>
      <c r="BI892" s="71">
        <v>10</v>
      </c>
      <c r="BJ892" s="12" t="str" cm="1">
        <f t="array" ref="BJ892">_xll.Dce_Name_SectI(BF892, BF892, BG892, BH892, BI892, "x", "-", $AX$11)</f>
        <v>390x212x5x10</v>
      </c>
      <c r="BK892" s="77" cm="1">
        <f t="array" ref="BK892">_xll.DCEPropSectI(BF892, BH892, BG892, BI892, BG892, BI892, "A")/100</f>
        <v>60.9</v>
      </c>
      <c r="BL892" s="70" t="s">
        <v>224</v>
      </c>
      <c r="BM892" s="70">
        <v>-6.0008070361178056E-2</v>
      </c>
      <c r="BN892" s="71">
        <v>0.9</v>
      </c>
      <c r="BO892" s="77">
        <f t="shared" si="115"/>
        <v>32.4</v>
      </c>
      <c r="BP892" s="71">
        <v>0.9</v>
      </c>
      <c r="BQ892" s="77">
        <f t="shared" si="116"/>
        <v>32.4</v>
      </c>
      <c r="BR892" s="77" cm="1">
        <f t="array" ref="BR892">_xll.DCEPropSectI(BF892, BH892, BG892, BI892, BG892, BI892, "rx")/10</f>
        <v>16.91131201300167</v>
      </c>
      <c r="BS892" s="77" cm="1">
        <f t="array" ref="BS892">_xll.DCEPropSectI(BF892, BH892, BG892, BI892, BG892, BI892, "ry")/10</f>
        <v>5.1070747638622018</v>
      </c>
      <c r="BT892" s="5">
        <f t="shared" si="117"/>
        <v>191.58773710218577</v>
      </c>
      <c r="BU892" s="5">
        <f t="shared" si="118"/>
        <v>634.41405301647956</v>
      </c>
      <c r="BV892" s="5">
        <f t="shared" si="119"/>
        <v>634.41405301647956</v>
      </c>
      <c r="BW892" s="71">
        <f t="shared" si="120"/>
        <v>200</v>
      </c>
      <c r="BX892" s="78" cm="1">
        <f t="array" ref="BX892">IF(BM892&gt;0,1,_xll.DCETCVN5575FactorPhi7121(BV892*SQRT($K$17/206000),"b"))</f>
        <v>1.6670876655456978E-2</v>
      </c>
      <c r="BY892" s="64">
        <f t="shared" si="121"/>
        <v>2.8145867319211045E-3</v>
      </c>
      <c r="BZ892" s="3" t="str">
        <f t="shared" si="122"/>
        <v>Check</v>
      </c>
    </row>
    <row r="893" spans="1:78">
      <c r="A893" s="76"/>
      <c r="B893" s="76"/>
      <c r="C893" s="125"/>
      <c r="D893" s="125"/>
      <c r="E893" s="71"/>
      <c r="F893" s="71"/>
      <c r="G893" s="71"/>
      <c r="H893" s="126"/>
      <c r="I893" s="125"/>
      <c r="J893" s="123"/>
      <c r="K893" s="12"/>
      <c r="L893" s="117"/>
      <c r="M893" s="12"/>
      <c r="N893" s="117"/>
      <c r="O893" s="117"/>
      <c r="P893" s="117"/>
      <c r="Q893" s="118"/>
      <c r="R893" s="118"/>
      <c r="S893" s="118"/>
      <c r="T893" s="12"/>
      <c r="U893" s="118"/>
      <c r="V893" s="118"/>
      <c r="W893" s="12"/>
      <c r="X893" s="119"/>
      <c r="Y893" s="120"/>
      <c r="Z893" s="12"/>
      <c r="BA893" s="70" t="s">
        <v>205</v>
      </c>
      <c r="BB893" s="71" t="s">
        <v>210</v>
      </c>
      <c r="BC893" s="71" t="s">
        <v>207</v>
      </c>
      <c r="BD893" s="71">
        <v>26.5</v>
      </c>
      <c r="BE893" s="71">
        <v>36</v>
      </c>
      <c r="BF893" s="71">
        <v>390</v>
      </c>
      <c r="BG893" s="71">
        <v>212</v>
      </c>
      <c r="BH893" s="71">
        <v>5</v>
      </c>
      <c r="BI893" s="71">
        <v>10</v>
      </c>
      <c r="BJ893" s="12" t="str" cm="1">
        <f t="array" ref="BJ893">_xll.Dce_Name_SectI(BF893, BF893, BG893, BH893, BI893, "x", "-", $AX$11)</f>
        <v>390x212x5x10</v>
      </c>
      <c r="BK893" s="77" cm="1">
        <f t="array" ref="BK893">_xll.DCEPropSectI(BF893, BH893, BG893, BI893, BG893, BI893, "A")/100</f>
        <v>60.9</v>
      </c>
      <c r="BL893" s="70" t="s">
        <v>224</v>
      </c>
      <c r="BM893" s="70">
        <v>-6.0008070361178056E-2</v>
      </c>
      <c r="BN893" s="71">
        <v>0.9</v>
      </c>
      <c r="BO893" s="77">
        <f t="shared" si="115"/>
        <v>32.4</v>
      </c>
      <c r="BP893" s="71">
        <v>0.9</v>
      </c>
      <c r="BQ893" s="77">
        <f t="shared" si="116"/>
        <v>32.4</v>
      </c>
      <c r="BR893" s="77" cm="1">
        <f t="array" ref="BR893">_xll.DCEPropSectI(BF893, BH893, BG893, BI893, BG893, BI893, "rx")/10</f>
        <v>16.91131201300167</v>
      </c>
      <c r="BS893" s="77" cm="1">
        <f t="array" ref="BS893">_xll.DCEPropSectI(BF893, BH893, BG893, BI893, BG893, BI893, "ry")/10</f>
        <v>5.1070747638622018</v>
      </c>
      <c r="BT893" s="5">
        <f t="shared" si="117"/>
        <v>191.58773710218577</v>
      </c>
      <c r="BU893" s="5">
        <f t="shared" si="118"/>
        <v>634.41405301647956</v>
      </c>
      <c r="BV893" s="5">
        <f t="shared" si="119"/>
        <v>634.41405301647956</v>
      </c>
      <c r="BW893" s="71">
        <f t="shared" si="120"/>
        <v>200</v>
      </c>
      <c r="BX893" s="78" cm="1">
        <f t="array" ref="BX893">IF(BM893&gt;0,1,_xll.DCETCVN5575FactorPhi7121(BV893*SQRT($K$17/206000),"b"))</f>
        <v>1.6670876655456978E-2</v>
      </c>
      <c r="BY893" s="64">
        <f t="shared" si="121"/>
        <v>2.8145867319211045E-3</v>
      </c>
      <c r="BZ893" s="3" t="str">
        <f t="shared" si="122"/>
        <v>Check</v>
      </c>
    </row>
    <row r="894" spans="1:78">
      <c r="A894" s="76"/>
      <c r="B894" s="76"/>
      <c r="C894" s="125"/>
      <c r="D894" s="125"/>
      <c r="E894" s="71"/>
      <c r="F894" s="71"/>
      <c r="G894" s="71"/>
      <c r="H894" s="126"/>
      <c r="I894" s="125"/>
      <c r="J894" s="123"/>
      <c r="K894" s="12"/>
      <c r="L894" s="117"/>
      <c r="M894" s="12"/>
      <c r="N894" s="117"/>
      <c r="O894" s="117"/>
      <c r="P894" s="117"/>
      <c r="Q894" s="118"/>
      <c r="R894" s="118"/>
      <c r="S894" s="118"/>
      <c r="T894" s="12"/>
      <c r="U894" s="118"/>
      <c r="V894" s="118"/>
      <c r="W894" s="12"/>
      <c r="X894" s="119"/>
      <c r="Y894" s="120"/>
      <c r="Z894" s="12"/>
      <c r="BA894" s="70" t="s">
        <v>205</v>
      </c>
      <c r="BB894" s="71" t="s">
        <v>210</v>
      </c>
      <c r="BC894" s="71" t="s">
        <v>207</v>
      </c>
      <c r="BD894" s="71">
        <v>27</v>
      </c>
      <c r="BE894" s="71">
        <v>36</v>
      </c>
      <c r="BF894" s="71">
        <v>390</v>
      </c>
      <c r="BG894" s="71">
        <v>212</v>
      </c>
      <c r="BH894" s="71">
        <v>5</v>
      </c>
      <c r="BI894" s="71">
        <v>10</v>
      </c>
      <c r="BJ894" s="12" t="str" cm="1">
        <f t="array" ref="BJ894">_xll.Dce_Name_SectI(BF894, BF894, BG894, BH894, BI894, "x", "-", $AX$11)</f>
        <v>390x212x5x10</v>
      </c>
      <c r="BK894" s="77" cm="1">
        <f t="array" ref="BK894">_xll.DCEPropSectI(BF894, BH894, BG894, BI894, BG894, BI894, "A")/100</f>
        <v>60.9</v>
      </c>
      <c r="BL894" s="70" t="s">
        <v>224</v>
      </c>
      <c r="BM894" s="70">
        <v>-6.0008070361178056E-2</v>
      </c>
      <c r="BN894" s="71">
        <v>0.9</v>
      </c>
      <c r="BO894" s="77">
        <f t="shared" si="115"/>
        <v>32.4</v>
      </c>
      <c r="BP894" s="71">
        <v>0.9</v>
      </c>
      <c r="BQ894" s="77">
        <f t="shared" si="116"/>
        <v>32.4</v>
      </c>
      <c r="BR894" s="77" cm="1">
        <f t="array" ref="BR894">_xll.DCEPropSectI(BF894, BH894, BG894, BI894, BG894, BI894, "rx")/10</f>
        <v>16.91131201300167</v>
      </c>
      <c r="BS894" s="77" cm="1">
        <f t="array" ref="BS894">_xll.DCEPropSectI(BF894, BH894, BG894, BI894, BG894, BI894, "ry")/10</f>
        <v>5.1070747638622018</v>
      </c>
      <c r="BT894" s="5">
        <f t="shared" si="117"/>
        <v>191.58773710218577</v>
      </c>
      <c r="BU894" s="5">
        <f t="shared" si="118"/>
        <v>634.41405301647956</v>
      </c>
      <c r="BV894" s="5">
        <f t="shared" si="119"/>
        <v>634.41405301647956</v>
      </c>
      <c r="BW894" s="71">
        <f t="shared" si="120"/>
        <v>200</v>
      </c>
      <c r="BX894" s="78" cm="1">
        <f t="array" ref="BX894">IF(BM894&gt;0,1,_xll.DCETCVN5575FactorPhi7121(BV894*SQRT($K$17/206000),"b"))</f>
        <v>1.6670876655456978E-2</v>
      </c>
      <c r="BY894" s="64">
        <f t="shared" si="121"/>
        <v>2.8145867319211045E-3</v>
      </c>
      <c r="BZ894" s="3" t="str">
        <f t="shared" si="122"/>
        <v>Check</v>
      </c>
    </row>
    <row r="895" spans="1:78">
      <c r="A895" s="76"/>
      <c r="B895" s="76"/>
      <c r="C895" s="125"/>
      <c r="D895" s="125"/>
      <c r="E895" s="71"/>
      <c r="F895" s="71"/>
      <c r="G895" s="71"/>
      <c r="H895" s="126"/>
      <c r="I895" s="125"/>
      <c r="J895" s="123"/>
      <c r="K895" s="12"/>
      <c r="L895" s="117"/>
      <c r="M895" s="12"/>
      <c r="N895" s="117"/>
      <c r="O895" s="117"/>
      <c r="P895" s="117"/>
      <c r="Q895" s="118"/>
      <c r="R895" s="118"/>
      <c r="S895" s="118"/>
      <c r="T895" s="12"/>
      <c r="U895" s="118"/>
      <c r="V895" s="118"/>
      <c r="W895" s="12"/>
      <c r="X895" s="119"/>
      <c r="Y895" s="120"/>
      <c r="Z895" s="12"/>
      <c r="BA895" s="70" t="s">
        <v>205</v>
      </c>
      <c r="BB895" s="71" t="s">
        <v>210</v>
      </c>
      <c r="BC895" s="71" t="s">
        <v>207</v>
      </c>
      <c r="BD895" s="71">
        <v>27.5</v>
      </c>
      <c r="BE895" s="71">
        <v>36</v>
      </c>
      <c r="BF895" s="71">
        <v>390</v>
      </c>
      <c r="BG895" s="71">
        <v>212</v>
      </c>
      <c r="BH895" s="71">
        <v>5</v>
      </c>
      <c r="BI895" s="71">
        <v>10</v>
      </c>
      <c r="BJ895" s="12" t="str" cm="1">
        <f t="array" ref="BJ895">_xll.Dce_Name_SectI(BF895, BF895, BG895, BH895, BI895, "x", "-", $AX$11)</f>
        <v>390x212x5x10</v>
      </c>
      <c r="BK895" s="77" cm="1">
        <f t="array" ref="BK895">_xll.DCEPropSectI(BF895, BH895, BG895, BI895, BG895, BI895, "A")/100</f>
        <v>60.9</v>
      </c>
      <c r="BL895" s="70" t="s">
        <v>224</v>
      </c>
      <c r="BM895" s="70">
        <v>-6.0008070361178056E-2</v>
      </c>
      <c r="BN895" s="71">
        <v>0.9</v>
      </c>
      <c r="BO895" s="77">
        <f t="shared" si="115"/>
        <v>32.4</v>
      </c>
      <c r="BP895" s="71">
        <v>0.9</v>
      </c>
      <c r="BQ895" s="77">
        <f t="shared" si="116"/>
        <v>32.4</v>
      </c>
      <c r="BR895" s="77" cm="1">
        <f t="array" ref="BR895">_xll.DCEPropSectI(BF895, BH895, BG895, BI895, BG895, BI895, "rx")/10</f>
        <v>16.91131201300167</v>
      </c>
      <c r="BS895" s="77" cm="1">
        <f t="array" ref="BS895">_xll.DCEPropSectI(BF895, BH895, BG895, BI895, BG895, BI895, "ry")/10</f>
        <v>5.1070747638622018</v>
      </c>
      <c r="BT895" s="5">
        <f t="shared" si="117"/>
        <v>191.58773710218577</v>
      </c>
      <c r="BU895" s="5">
        <f t="shared" si="118"/>
        <v>634.41405301647956</v>
      </c>
      <c r="BV895" s="5">
        <f t="shared" si="119"/>
        <v>634.41405301647956</v>
      </c>
      <c r="BW895" s="71">
        <f t="shared" si="120"/>
        <v>200</v>
      </c>
      <c r="BX895" s="78" cm="1">
        <f t="array" ref="BX895">IF(BM895&gt;0,1,_xll.DCETCVN5575FactorPhi7121(BV895*SQRT($K$17/206000),"b"))</f>
        <v>1.6670876655456978E-2</v>
      </c>
      <c r="BY895" s="64">
        <f t="shared" si="121"/>
        <v>2.8145867319211045E-3</v>
      </c>
      <c r="BZ895" s="3" t="str">
        <f t="shared" si="122"/>
        <v>Check</v>
      </c>
    </row>
    <row r="896" spans="1:78">
      <c r="A896" s="76"/>
      <c r="B896" s="76"/>
      <c r="C896" s="125"/>
      <c r="D896" s="125"/>
      <c r="E896" s="71"/>
      <c r="F896" s="71"/>
      <c r="G896" s="71"/>
      <c r="H896" s="126"/>
      <c r="I896" s="125"/>
      <c r="J896" s="123"/>
      <c r="K896" s="12"/>
      <c r="L896" s="117"/>
      <c r="M896" s="12"/>
      <c r="N896" s="117"/>
      <c r="O896" s="117"/>
      <c r="P896" s="117"/>
      <c r="Q896" s="118"/>
      <c r="R896" s="118"/>
      <c r="S896" s="118"/>
      <c r="T896" s="12"/>
      <c r="U896" s="118"/>
      <c r="V896" s="118"/>
      <c r="W896" s="12"/>
      <c r="X896" s="119"/>
      <c r="Y896" s="120"/>
      <c r="Z896" s="12"/>
      <c r="BA896" s="70" t="s">
        <v>205</v>
      </c>
      <c r="BB896" s="71" t="s">
        <v>210</v>
      </c>
      <c r="BC896" s="71" t="s">
        <v>207</v>
      </c>
      <c r="BD896" s="71">
        <v>28</v>
      </c>
      <c r="BE896" s="71">
        <v>36</v>
      </c>
      <c r="BF896" s="71">
        <v>390</v>
      </c>
      <c r="BG896" s="71">
        <v>212</v>
      </c>
      <c r="BH896" s="71">
        <v>5</v>
      </c>
      <c r="BI896" s="71">
        <v>10</v>
      </c>
      <c r="BJ896" s="12" t="str" cm="1">
        <f t="array" ref="BJ896">_xll.Dce_Name_SectI(BF896, BF896, BG896, BH896, BI896, "x", "-", $AX$11)</f>
        <v>390x212x5x10</v>
      </c>
      <c r="BK896" s="77" cm="1">
        <f t="array" ref="BK896">_xll.DCEPropSectI(BF896, BH896, BG896, BI896, BG896, BI896, "A")/100</f>
        <v>60.9</v>
      </c>
      <c r="BL896" s="70" t="s">
        <v>224</v>
      </c>
      <c r="BM896" s="70">
        <v>-6.0008070361178056E-2</v>
      </c>
      <c r="BN896" s="71">
        <v>0.9</v>
      </c>
      <c r="BO896" s="77">
        <f t="shared" si="115"/>
        <v>32.4</v>
      </c>
      <c r="BP896" s="71">
        <v>0.9</v>
      </c>
      <c r="BQ896" s="77">
        <f t="shared" si="116"/>
        <v>32.4</v>
      </c>
      <c r="BR896" s="77" cm="1">
        <f t="array" ref="BR896">_xll.DCEPropSectI(BF896, BH896, BG896, BI896, BG896, BI896, "rx")/10</f>
        <v>16.91131201300167</v>
      </c>
      <c r="BS896" s="77" cm="1">
        <f t="array" ref="BS896">_xll.DCEPropSectI(BF896, BH896, BG896, BI896, BG896, BI896, "ry")/10</f>
        <v>5.1070747638622018</v>
      </c>
      <c r="BT896" s="5">
        <f t="shared" si="117"/>
        <v>191.58773710218577</v>
      </c>
      <c r="BU896" s="5">
        <f t="shared" si="118"/>
        <v>634.41405301647956</v>
      </c>
      <c r="BV896" s="5">
        <f t="shared" si="119"/>
        <v>634.41405301647956</v>
      </c>
      <c r="BW896" s="71">
        <f t="shared" si="120"/>
        <v>200</v>
      </c>
      <c r="BX896" s="78" cm="1">
        <f t="array" ref="BX896">IF(BM896&gt;0,1,_xll.DCETCVN5575FactorPhi7121(BV896*SQRT($K$17/206000),"b"))</f>
        <v>1.6670876655456978E-2</v>
      </c>
      <c r="BY896" s="64">
        <f t="shared" si="121"/>
        <v>2.8145867319211045E-3</v>
      </c>
      <c r="BZ896" s="3" t="str">
        <f t="shared" si="122"/>
        <v>Check</v>
      </c>
    </row>
    <row r="897" spans="1:78">
      <c r="A897" s="76"/>
      <c r="B897" s="76"/>
      <c r="C897" s="125"/>
      <c r="D897" s="125"/>
      <c r="E897" s="71"/>
      <c r="F897" s="71"/>
      <c r="G897" s="71"/>
      <c r="H897" s="126"/>
      <c r="I897" s="125"/>
      <c r="J897" s="123"/>
      <c r="K897" s="12"/>
      <c r="L897" s="117"/>
      <c r="M897" s="12"/>
      <c r="N897" s="117"/>
      <c r="O897" s="117"/>
      <c r="P897" s="117"/>
      <c r="Q897" s="118"/>
      <c r="R897" s="118"/>
      <c r="S897" s="118"/>
      <c r="T897" s="12"/>
      <c r="U897" s="118"/>
      <c r="V897" s="118"/>
      <c r="W897" s="12"/>
      <c r="X897" s="119"/>
      <c r="Y897" s="120"/>
      <c r="Z897" s="12"/>
      <c r="BA897" s="70" t="s">
        <v>205</v>
      </c>
      <c r="BB897" s="71" t="s">
        <v>210</v>
      </c>
      <c r="BC897" s="71" t="s">
        <v>207</v>
      </c>
      <c r="BD897" s="71">
        <v>28.5</v>
      </c>
      <c r="BE897" s="71">
        <v>36</v>
      </c>
      <c r="BF897" s="71">
        <v>390</v>
      </c>
      <c r="BG897" s="71">
        <v>212</v>
      </c>
      <c r="BH897" s="71">
        <v>5</v>
      </c>
      <c r="BI897" s="71">
        <v>10</v>
      </c>
      <c r="BJ897" s="12" t="str" cm="1">
        <f t="array" ref="BJ897">_xll.Dce_Name_SectI(BF897, BF897, BG897, BH897, BI897, "x", "-", $AX$11)</f>
        <v>390x212x5x10</v>
      </c>
      <c r="BK897" s="77" cm="1">
        <f t="array" ref="BK897">_xll.DCEPropSectI(BF897, BH897, BG897, BI897, BG897, BI897, "A")/100</f>
        <v>60.9</v>
      </c>
      <c r="BL897" s="70" t="s">
        <v>224</v>
      </c>
      <c r="BM897" s="70">
        <v>-6.0008070361178056E-2</v>
      </c>
      <c r="BN897" s="71">
        <v>0.9</v>
      </c>
      <c r="BO897" s="77">
        <f t="shared" si="115"/>
        <v>32.4</v>
      </c>
      <c r="BP897" s="71">
        <v>0.9</v>
      </c>
      <c r="BQ897" s="77">
        <f t="shared" si="116"/>
        <v>32.4</v>
      </c>
      <c r="BR897" s="77" cm="1">
        <f t="array" ref="BR897">_xll.DCEPropSectI(BF897, BH897, BG897, BI897, BG897, BI897, "rx")/10</f>
        <v>16.91131201300167</v>
      </c>
      <c r="BS897" s="77" cm="1">
        <f t="array" ref="BS897">_xll.DCEPropSectI(BF897, BH897, BG897, BI897, BG897, BI897, "ry")/10</f>
        <v>5.1070747638622018</v>
      </c>
      <c r="BT897" s="5">
        <f t="shared" si="117"/>
        <v>191.58773710218577</v>
      </c>
      <c r="BU897" s="5">
        <f t="shared" si="118"/>
        <v>634.41405301647956</v>
      </c>
      <c r="BV897" s="5">
        <f t="shared" si="119"/>
        <v>634.41405301647956</v>
      </c>
      <c r="BW897" s="71">
        <f t="shared" si="120"/>
        <v>200</v>
      </c>
      <c r="BX897" s="78" cm="1">
        <f t="array" ref="BX897">IF(BM897&gt;0,1,_xll.DCETCVN5575FactorPhi7121(BV897*SQRT($K$17/206000),"b"))</f>
        <v>1.6670876655456978E-2</v>
      </c>
      <c r="BY897" s="64">
        <f t="shared" si="121"/>
        <v>2.8145867319211045E-3</v>
      </c>
      <c r="BZ897" s="3" t="str">
        <f t="shared" si="122"/>
        <v>Check</v>
      </c>
    </row>
    <row r="898" spans="1:78">
      <c r="A898" s="76"/>
      <c r="B898" s="76"/>
      <c r="C898" s="125"/>
      <c r="D898" s="125"/>
      <c r="E898" s="71"/>
      <c r="F898" s="71"/>
      <c r="G898" s="71"/>
      <c r="H898" s="126"/>
      <c r="I898" s="125"/>
      <c r="J898" s="123"/>
      <c r="K898" s="12"/>
      <c r="L898" s="117"/>
      <c r="M898" s="12"/>
      <c r="N898" s="117"/>
      <c r="O898" s="117"/>
      <c r="P898" s="117"/>
      <c r="Q898" s="118"/>
      <c r="R898" s="118"/>
      <c r="S898" s="118"/>
      <c r="T898" s="12"/>
      <c r="U898" s="118"/>
      <c r="V898" s="118"/>
      <c r="W898" s="12"/>
      <c r="X898" s="119"/>
      <c r="Y898" s="120"/>
      <c r="Z898" s="12"/>
      <c r="BA898" s="70" t="s">
        <v>205</v>
      </c>
      <c r="BB898" s="71" t="s">
        <v>210</v>
      </c>
      <c r="BC898" s="71" t="s">
        <v>207</v>
      </c>
      <c r="BD898" s="71">
        <v>29</v>
      </c>
      <c r="BE898" s="71">
        <v>36</v>
      </c>
      <c r="BF898" s="71">
        <v>390</v>
      </c>
      <c r="BG898" s="71">
        <v>212</v>
      </c>
      <c r="BH898" s="71">
        <v>5</v>
      </c>
      <c r="BI898" s="71">
        <v>10</v>
      </c>
      <c r="BJ898" s="12" t="str" cm="1">
        <f t="array" ref="BJ898">_xll.Dce_Name_SectI(BF898, BF898, BG898, BH898, BI898, "x", "-", $AX$11)</f>
        <v>390x212x5x10</v>
      </c>
      <c r="BK898" s="77" cm="1">
        <f t="array" ref="BK898">_xll.DCEPropSectI(BF898, BH898, BG898, BI898, BG898, BI898, "A")/100</f>
        <v>60.9</v>
      </c>
      <c r="BL898" s="70" t="s">
        <v>224</v>
      </c>
      <c r="BM898" s="70">
        <v>-6.0008070361178056E-2</v>
      </c>
      <c r="BN898" s="71">
        <v>0.9</v>
      </c>
      <c r="BO898" s="77">
        <f t="shared" si="115"/>
        <v>32.4</v>
      </c>
      <c r="BP898" s="71">
        <v>0.9</v>
      </c>
      <c r="BQ898" s="77">
        <f t="shared" si="116"/>
        <v>32.4</v>
      </c>
      <c r="BR898" s="77" cm="1">
        <f t="array" ref="BR898">_xll.DCEPropSectI(BF898, BH898, BG898, BI898, BG898, BI898, "rx")/10</f>
        <v>16.91131201300167</v>
      </c>
      <c r="BS898" s="77" cm="1">
        <f t="array" ref="BS898">_xll.DCEPropSectI(BF898, BH898, BG898, BI898, BG898, BI898, "ry")/10</f>
        <v>5.1070747638622018</v>
      </c>
      <c r="BT898" s="5">
        <f t="shared" si="117"/>
        <v>191.58773710218577</v>
      </c>
      <c r="BU898" s="5">
        <f t="shared" si="118"/>
        <v>634.41405301647956</v>
      </c>
      <c r="BV898" s="5">
        <f t="shared" si="119"/>
        <v>634.41405301647956</v>
      </c>
      <c r="BW898" s="71">
        <f t="shared" si="120"/>
        <v>200</v>
      </c>
      <c r="BX898" s="78" cm="1">
        <f t="array" ref="BX898">IF(BM898&gt;0,1,_xll.DCETCVN5575FactorPhi7121(BV898*SQRT($K$17/206000),"b"))</f>
        <v>1.6670876655456978E-2</v>
      </c>
      <c r="BY898" s="64">
        <f t="shared" si="121"/>
        <v>2.8145867319211045E-3</v>
      </c>
      <c r="BZ898" s="3" t="str">
        <f t="shared" si="122"/>
        <v>Check</v>
      </c>
    </row>
    <row r="899" spans="1:78">
      <c r="A899" s="76"/>
      <c r="B899" s="76"/>
      <c r="C899" s="125"/>
      <c r="D899" s="125"/>
      <c r="E899" s="71"/>
      <c r="F899" s="71"/>
      <c r="G899" s="71"/>
      <c r="H899" s="126"/>
      <c r="I899" s="125"/>
      <c r="J899" s="123"/>
      <c r="K899" s="12"/>
      <c r="L899" s="117"/>
      <c r="M899" s="12"/>
      <c r="N899" s="117"/>
      <c r="O899" s="117"/>
      <c r="P899" s="117"/>
      <c r="Q899" s="118"/>
      <c r="R899" s="118"/>
      <c r="S899" s="118"/>
      <c r="T899" s="12"/>
      <c r="U899" s="118"/>
      <c r="V899" s="118"/>
      <c r="W899" s="12"/>
      <c r="X899" s="119"/>
      <c r="Y899" s="120"/>
      <c r="Z899" s="12"/>
      <c r="BA899" s="70" t="s">
        <v>205</v>
      </c>
      <c r="BB899" s="71" t="s">
        <v>210</v>
      </c>
      <c r="BC899" s="71" t="s">
        <v>207</v>
      </c>
      <c r="BD899" s="71">
        <v>29.5</v>
      </c>
      <c r="BE899" s="71">
        <v>36</v>
      </c>
      <c r="BF899" s="71">
        <v>390</v>
      </c>
      <c r="BG899" s="71">
        <v>212</v>
      </c>
      <c r="BH899" s="71">
        <v>5</v>
      </c>
      <c r="BI899" s="71">
        <v>10</v>
      </c>
      <c r="BJ899" s="12" t="str" cm="1">
        <f t="array" ref="BJ899">_xll.Dce_Name_SectI(BF899, BF899, BG899, BH899, BI899, "x", "-", $AX$11)</f>
        <v>390x212x5x10</v>
      </c>
      <c r="BK899" s="77" cm="1">
        <f t="array" ref="BK899">_xll.DCEPropSectI(BF899, BH899, BG899, BI899, BG899, BI899, "A")/100</f>
        <v>60.9</v>
      </c>
      <c r="BL899" s="70" t="s">
        <v>224</v>
      </c>
      <c r="BM899" s="70">
        <v>-6.0008070361178056E-2</v>
      </c>
      <c r="BN899" s="71">
        <v>0.9</v>
      </c>
      <c r="BO899" s="77">
        <f t="shared" si="115"/>
        <v>32.4</v>
      </c>
      <c r="BP899" s="71">
        <v>0.9</v>
      </c>
      <c r="BQ899" s="77">
        <f t="shared" si="116"/>
        <v>32.4</v>
      </c>
      <c r="BR899" s="77" cm="1">
        <f t="array" ref="BR899">_xll.DCEPropSectI(BF899, BH899, BG899, BI899, BG899, BI899, "rx")/10</f>
        <v>16.91131201300167</v>
      </c>
      <c r="BS899" s="77" cm="1">
        <f t="array" ref="BS899">_xll.DCEPropSectI(BF899, BH899, BG899, BI899, BG899, BI899, "ry")/10</f>
        <v>5.1070747638622018</v>
      </c>
      <c r="BT899" s="5">
        <f t="shared" si="117"/>
        <v>191.58773710218577</v>
      </c>
      <c r="BU899" s="5">
        <f t="shared" si="118"/>
        <v>634.41405301647956</v>
      </c>
      <c r="BV899" s="5">
        <f t="shared" si="119"/>
        <v>634.41405301647956</v>
      </c>
      <c r="BW899" s="71">
        <f t="shared" si="120"/>
        <v>200</v>
      </c>
      <c r="BX899" s="78" cm="1">
        <f t="array" ref="BX899">IF(BM899&gt;0,1,_xll.DCETCVN5575FactorPhi7121(BV899*SQRT($K$17/206000),"b"))</f>
        <v>1.6670876655456978E-2</v>
      </c>
      <c r="BY899" s="64">
        <f t="shared" si="121"/>
        <v>2.8145867319211045E-3</v>
      </c>
      <c r="BZ899" s="3" t="str">
        <f t="shared" si="122"/>
        <v>Check</v>
      </c>
    </row>
    <row r="900" spans="1:78">
      <c r="A900" s="76"/>
      <c r="B900" s="76"/>
      <c r="C900" s="125"/>
      <c r="D900" s="125"/>
      <c r="E900" s="71"/>
      <c r="F900" s="71"/>
      <c r="G900" s="71"/>
      <c r="H900" s="126"/>
      <c r="I900" s="125"/>
      <c r="J900" s="123"/>
      <c r="K900" s="12"/>
      <c r="L900" s="117"/>
      <c r="M900" s="12"/>
      <c r="N900" s="117"/>
      <c r="O900" s="117"/>
      <c r="P900" s="117"/>
      <c r="Q900" s="118"/>
      <c r="R900" s="118"/>
      <c r="S900" s="118"/>
      <c r="T900" s="12"/>
      <c r="U900" s="118"/>
      <c r="V900" s="118"/>
      <c r="W900" s="12"/>
      <c r="X900" s="119"/>
      <c r="Y900" s="120"/>
      <c r="Z900" s="12"/>
      <c r="BA900" s="70" t="s">
        <v>205</v>
      </c>
      <c r="BB900" s="71" t="s">
        <v>210</v>
      </c>
      <c r="BC900" s="71" t="s">
        <v>207</v>
      </c>
      <c r="BD900" s="71">
        <v>30</v>
      </c>
      <c r="BE900" s="71">
        <v>36</v>
      </c>
      <c r="BF900" s="71">
        <v>390</v>
      </c>
      <c r="BG900" s="71">
        <v>212</v>
      </c>
      <c r="BH900" s="71">
        <v>5</v>
      </c>
      <c r="BI900" s="71">
        <v>10</v>
      </c>
      <c r="BJ900" s="12" t="str" cm="1">
        <f t="array" ref="BJ900">_xll.Dce_Name_SectI(BF900, BF900, BG900, BH900, BI900, "x", "-", $AX$11)</f>
        <v>390x212x5x10</v>
      </c>
      <c r="BK900" s="77" cm="1">
        <f t="array" ref="BK900">_xll.DCEPropSectI(BF900, BH900, BG900, BI900, BG900, BI900, "A")/100</f>
        <v>60.9</v>
      </c>
      <c r="BL900" s="70" t="s">
        <v>224</v>
      </c>
      <c r="BM900" s="70">
        <v>-6.0008070361178056E-2</v>
      </c>
      <c r="BN900" s="71">
        <v>0.9</v>
      </c>
      <c r="BO900" s="77">
        <f t="shared" si="115"/>
        <v>32.4</v>
      </c>
      <c r="BP900" s="71">
        <v>0.9</v>
      </c>
      <c r="BQ900" s="77">
        <f t="shared" si="116"/>
        <v>32.4</v>
      </c>
      <c r="BR900" s="77" cm="1">
        <f t="array" ref="BR900">_xll.DCEPropSectI(BF900, BH900, BG900, BI900, BG900, BI900, "rx")/10</f>
        <v>16.91131201300167</v>
      </c>
      <c r="BS900" s="77" cm="1">
        <f t="array" ref="BS900">_xll.DCEPropSectI(BF900, BH900, BG900, BI900, BG900, BI900, "ry")/10</f>
        <v>5.1070747638622018</v>
      </c>
      <c r="BT900" s="5">
        <f t="shared" si="117"/>
        <v>191.58773710218577</v>
      </c>
      <c r="BU900" s="5">
        <f t="shared" si="118"/>
        <v>634.41405301647956</v>
      </c>
      <c r="BV900" s="5">
        <f t="shared" si="119"/>
        <v>634.41405301647956</v>
      </c>
      <c r="BW900" s="71">
        <f t="shared" si="120"/>
        <v>200</v>
      </c>
      <c r="BX900" s="78" cm="1">
        <f t="array" ref="BX900">IF(BM900&gt;0,1,_xll.DCETCVN5575FactorPhi7121(BV900*SQRT($K$17/206000),"b"))</f>
        <v>1.6670876655456978E-2</v>
      </c>
      <c r="BY900" s="64">
        <f t="shared" si="121"/>
        <v>2.8145867319211045E-3</v>
      </c>
      <c r="BZ900" s="3" t="str">
        <f t="shared" si="122"/>
        <v>Check</v>
      </c>
    </row>
    <row r="901" spans="1:78">
      <c r="A901" s="76"/>
      <c r="B901" s="76"/>
      <c r="C901" s="125"/>
      <c r="D901" s="125"/>
      <c r="E901" s="71"/>
      <c r="F901" s="71"/>
      <c r="G901" s="71"/>
      <c r="H901" s="126"/>
      <c r="I901" s="125"/>
      <c r="J901" s="123"/>
      <c r="K901" s="12"/>
      <c r="L901" s="117"/>
      <c r="M901" s="12"/>
      <c r="N901" s="117"/>
      <c r="O901" s="117"/>
      <c r="P901" s="117"/>
      <c r="Q901" s="118"/>
      <c r="R901" s="118"/>
      <c r="S901" s="118"/>
      <c r="T901" s="12"/>
      <c r="U901" s="118"/>
      <c r="V901" s="118"/>
      <c r="W901" s="12"/>
      <c r="X901" s="119"/>
      <c r="Y901" s="120"/>
      <c r="Z901" s="12"/>
      <c r="BA901" s="70" t="s">
        <v>205</v>
      </c>
      <c r="BB901" s="71" t="s">
        <v>210</v>
      </c>
      <c r="BC901" s="71" t="s">
        <v>207</v>
      </c>
      <c r="BD901" s="71">
        <v>30</v>
      </c>
      <c r="BE901" s="71">
        <v>36</v>
      </c>
      <c r="BF901" s="71">
        <v>390</v>
      </c>
      <c r="BG901" s="71">
        <v>212</v>
      </c>
      <c r="BH901" s="71">
        <v>5</v>
      </c>
      <c r="BI901" s="71">
        <v>10</v>
      </c>
      <c r="BJ901" s="12" t="str" cm="1">
        <f t="array" ref="BJ901">_xll.Dce_Name_SectI(BF901, BF901, BG901, BH901, BI901, "x", "-", $AX$11)</f>
        <v>390x212x5x10</v>
      </c>
      <c r="BK901" s="77" cm="1">
        <f t="array" ref="BK901">_xll.DCEPropSectI(BF901, BH901, BG901, BI901, BG901, BI901, "A")/100</f>
        <v>60.9</v>
      </c>
      <c r="BL901" s="70" t="s">
        <v>224</v>
      </c>
      <c r="BM901" s="70">
        <v>-6.6728448157191913</v>
      </c>
      <c r="BN901" s="71">
        <v>0.9</v>
      </c>
      <c r="BO901" s="77">
        <f t="shared" si="115"/>
        <v>32.4</v>
      </c>
      <c r="BP901" s="71">
        <v>0.9</v>
      </c>
      <c r="BQ901" s="77">
        <f t="shared" si="116"/>
        <v>32.4</v>
      </c>
      <c r="BR901" s="77" cm="1">
        <f t="array" ref="BR901">_xll.DCEPropSectI(BF901, BH901, BG901, BI901, BG901, BI901, "rx")/10</f>
        <v>16.91131201300167</v>
      </c>
      <c r="BS901" s="77" cm="1">
        <f t="array" ref="BS901">_xll.DCEPropSectI(BF901, BH901, BG901, BI901, BG901, BI901, "ry")/10</f>
        <v>5.1070747638622018</v>
      </c>
      <c r="BT901" s="5">
        <f t="shared" si="117"/>
        <v>191.58773710218577</v>
      </c>
      <c r="BU901" s="5">
        <f t="shared" si="118"/>
        <v>634.41405301647956</v>
      </c>
      <c r="BV901" s="5">
        <f t="shared" si="119"/>
        <v>634.41405301647956</v>
      </c>
      <c r="BW901" s="71">
        <f t="shared" si="120"/>
        <v>200</v>
      </c>
      <c r="BX901" s="78" cm="1">
        <f t="array" ref="BX901">IF(BM901&gt;0,1,_xll.DCETCVN5575FactorPhi7121(BV901*SQRT($K$17/206000),"b"))</f>
        <v>1.6670876655456978E-2</v>
      </c>
      <c r="BY901" s="64">
        <f t="shared" si="121"/>
        <v>0.31297957707105745</v>
      </c>
      <c r="BZ901" s="3" t="str">
        <f t="shared" si="122"/>
        <v>Check</v>
      </c>
    </row>
    <row r="902" spans="1:78">
      <c r="A902" s="76"/>
      <c r="B902" s="76"/>
      <c r="C902" s="125"/>
      <c r="D902" s="125"/>
      <c r="E902" s="71"/>
      <c r="F902" s="71"/>
      <c r="G902" s="71"/>
      <c r="H902" s="126"/>
      <c r="I902" s="125"/>
      <c r="J902" s="123"/>
      <c r="K902" s="12"/>
      <c r="L902" s="117"/>
      <c r="M902" s="12"/>
      <c r="N902" s="117"/>
      <c r="O902" s="117"/>
      <c r="P902" s="117"/>
      <c r="Q902" s="118"/>
      <c r="R902" s="118"/>
      <c r="S902" s="118"/>
      <c r="T902" s="12"/>
      <c r="U902" s="118"/>
      <c r="V902" s="118"/>
      <c r="W902" s="12"/>
      <c r="X902" s="119"/>
      <c r="Y902" s="120"/>
      <c r="Z902" s="12"/>
      <c r="BA902" s="70" t="s">
        <v>205</v>
      </c>
      <c r="BB902" s="71" t="s">
        <v>210</v>
      </c>
      <c r="BC902" s="71" t="s">
        <v>207</v>
      </c>
      <c r="BD902" s="71">
        <v>30.5</v>
      </c>
      <c r="BE902" s="71">
        <v>36</v>
      </c>
      <c r="BF902" s="71">
        <v>390</v>
      </c>
      <c r="BG902" s="71">
        <v>212</v>
      </c>
      <c r="BH902" s="71">
        <v>5</v>
      </c>
      <c r="BI902" s="71">
        <v>10</v>
      </c>
      <c r="BJ902" s="12" t="str" cm="1">
        <f t="array" ref="BJ902">_xll.Dce_Name_SectI(BF902, BF902, BG902, BH902, BI902, "x", "-", $AX$11)</f>
        <v>390x212x5x10</v>
      </c>
      <c r="BK902" s="77" cm="1">
        <f t="array" ref="BK902">_xll.DCEPropSectI(BF902, BH902, BG902, BI902, BG902, BI902, "A")/100</f>
        <v>60.9</v>
      </c>
      <c r="BL902" s="70" t="s">
        <v>224</v>
      </c>
      <c r="BM902" s="70">
        <v>-6.6728448157191913</v>
      </c>
      <c r="BN902" s="71">
        <v>0.9</v>
      </c>
      <c r="BO902" s="77">
        <f t="shared" si="115"/>
        <v>32.4</v>
      </c>
      <c r="BP902" s="71">
        <v>0.9</v>
      </c>
      <c r="BQ902" s="77">
        <f t="shared" si="116"/>
        <v>32.4</v>
      </c>
      <c r="BR902" s="77" cm="1">
        <f t="array" ref="BR902">_xll.DCEPropSectI(BF902, BH902, BG902, BI902, BG902, BI902, "rx")/10</f>
        <v>16.91131201300167</v>
      </c>
      <c r="BS902" s="77" cm="1">
        <f t="array" ref="BS902">_xll.DCEPropSectI(BF902, BH902, BG902, BI902, BG902, BI902, "ry")/10</f>
        <v>5.1070747638622018</v>
      </c>
      <c r="BT902" s="5">
        <f t="shared" si="117"/>
        <v>191.58773710218577</v>
      </c>
      <c r="BU902" s="5">
        <f t="shared" si="118"/>
        <v>634.41405301647956</v>
      </c>
      <c r="BV902" s="5">
        <f t="shared" si="119"/>
        <v>634.41405301647956</v>
      </c>
      <c r="BW902" s="71">
        <f t="shared" si="120"/>
        <v>200</v>
      </c>
      <c r="BX902" s="78" cm="1">
        <f t="array" ref="BX902">IF(BM902&gt;0,1,_xll.DCETCVN5575FactorPhi7121(BV902*SQRT($K$17/206000),"b"))</f>
        <v>1.6670876655456978E-2</v>
      </c>
      <c r="BY902" s="64">
        <f t="shared" si="121"/>
        <v>0.31297957707105745</v>
      </c>
      <c r="BZ902" s="3" t="str">
        <f t="shared" si="122"/>
        <v>Check</v>
      </c>
    </row>
    <row r="903" spans="1:78">
      <c r="A903" s="76"/>
      <c r="B903" s="76"/>
      <c r="C903" s="125"/>
      <c r="D903" s="125"/>
      <c r="E903" s="71"/>
      <c r="F903" s="71"/>
      <c r="G903" s="71"/>
      <c r="H903" s="126"/>
      <c r="I903" s="125"/>
      <c r="J903" s="123"/>
      <c r="K903" s="12"/>
      <c r="L903" s="117"/>
      <c r="M903" s="12"/>
      <c r="N903" s="117"/>
      <c r="O903" s="117"/>
      <c r="P903" s="117"/>
      <c r="Q903" s="118"/>
      <c r="R903" s="118"/>
      <c r="S903" s="118"/>
      <c r="T903" s="12"/>
      <c r="U903" s="118"/>
      <c r="V903" s="118"/>
      <c r="W903" s="12"/>
      <c r="X903" s="119"/>
      <c r="Y903" s="120"/>
      <c r="Z903" s="12"/>
      <c r="BA903" s="70" t="s">
        <v>205</v>
      </c>
      <c r="BB903" s="71" t="s">
        <v>210</v>
      </c>
      <c r="BC903" s="71" t="s">
        <v>207</v>
      </c>
      <c r="BD903" s="71">
        <v>31</v>
      </c>
      <c r="BE903" s="71">
        <v>36</v>
      </c>
      <c r="BF903" s="71">
        <v>390</v>
      </c>
      <c r="BG903" s="71">
        <v>212</v>
      </c>
      <c r="BH903" s="71">
        <v>5</v>
      </c>
      <c r="BI903" s="71">
        <v>10</v>
      </c>
      <c r="BJ903" s="12" t="str" cm="1">
        <f t="array" ref="BJ903">_xll.Dce_Name_SectI(BF903, BF903, BG903, BH903, BI903, "x", "-", $AX$11)</f>
        <v>390x212x5x10</v>
      </c>
      <c r="BK903" s="77" cm="1">
        <f t="array" ref="BK903">_xll.DCEPropSectI(BF903, BH903, BG903, BI903, BG903, BI903, "A")/100</f>
        <v>60.9</v>
      </c>
      <c r="BL903" s="70" t="s">
        <v>224</v>
      </c>
      <c r="BM903" s="70">
        <v>-6.6728448157191913</v>
      </c>
      <c r="BN903" s="71">
        <v>0.9</v>
      </c>
      <c r="BO903" s="77">
        <f t="shared" si="115"/>
        <v>32.4</v>
      </c>
      <c r="BP903" s="71">
        <v>0.9</v>
      </c>
      <c r="BQ903" s="77">
        <f t="shared" si="116"/>
        <v>32.4</v>
      </c>
      <c r="BR903" s="77" cm="1">
        <f t="array" ref="BR903">_xll.DCEPropSectI(BF903, BH903, BG903, BI903, BG903, BI903, "rx")/10</f>
        <v>16.91131201300167</v>
      </c>
      <c r="BS903" s="77" cm="1">
        <f t="array" ref="BS903">_xll.DCEPropSectI(BF903, BH903, BG903, BI903, BG903, BI903, "ry")/10</f>
        <v>5.1070747638622018</v>
      </c>
      <c r="BT903" s="5">
        <f t="shared" si="117"/>
        <v>191.58773710218577</v>
      </c>
      <c r="BU903" s="5">
        <f t="shared" si="118"/>
        <v>634.41405301647956</v>
      </c>
      <c r="BV903" s="5">
        <f t="shared" si="119"/>
        <v>634.41405301647956</v>
      </c>
      <c r="BW903" s="71">
        <f t="shared" si="120"/>
        <v>200</v>
      </c>
      <c r="BX903" s="78" cm="1">
        <f t="array" ref="BX903">IF(BM903&gt;0,1,_xll.DCETCVN5575FactorPhi7121(BV903*SQRT($K$17/206000),"b"))</f>
        <v>1.6670876655456978E-2</v>
      </c>
      <c r="BY903" s="64">
        <f t="shared" si="121"/>
        <v>0.31297957707105745</v>
      </c>
      <c r="BZ903" s="3" t="str">
        <f t="shared" si="122"/>
        <v>Check</v>
      </c>
    </row>
    <row r="904" spans="1:78">
      <c r="A904" s="76"/>
      <c r="B904" s="76"/>
      <c r="C904" s="125"/>
      <c r="D904" s="125"/>
      <c r="E904" s="71"/>
      <c r="F904" s="71"/>
      <c r="G904" s="71"/>
      <c r="H904" s="126"/>
      <c r="I904" s="125"/>
      <c r="J904" s="123"/>
      <c r="K904" s="12"/>
      <c r="L904" s="117"/>
      <c r="M904" s="12"/>
      <c r="N904" s="117"/>
      <c r="O904" s="117"/>
      <c r="P904" s="117"/>
      <c r="Q904" s="118"/>
      <c r="R904" s="118"/>
      <c r="S904" s="118"/>
      <c r="T904" s="12"/>
      <c r="U904" s="118"/>
      <c r="V904" s="118"/>
      <c r="W904" s="12"/>
      <c r="X904" s="119"/>
      <c r="Y904" s="120"/>
      <c r="Z904" s="12"/>
      <c r="BA904" s="70" t="s">
        <v>205</v>
      </c>
      <c r="BB904" s="71" t="s">
        <v>210</v>
      </c>
      <c r="BC904" s="71" t="s">
        <v>207</v>
      </c>
      <c r="BD904" s="71">
        <v>31.5</v>
      </c>
      <c r="BE904" s="71">
        <v>36</v>
      </c>
      <c r="BF904" s="71">
        <v>390</v>
      </c>
      <c r="BG904" s="71">
        <v>212</v>
      </c>
      <c r="BH904" s="71">
        <v>5</v>
      </c>
      <c r="BI904" s="71">
        <v>10</v>
      </c>
      <c r="BJ904" s="12" t="str" cm="1">
        <f t="array" ref="BJ904">_xll.Dce_Name_SectI(BF904, BF904, BG904, BH904, BI904, "x", "-", $AX$11)</f>
        <v>390x212x5x10</v>
      </c>
      <c r="BK904" s="77" cm="1">
        <f t="array" ref="BK904">_xll.DCEPropSectI(BF904, BH904, BG904, BI904, BG904, BI904, "A")/100</f>
        <v>60.9</v>
      </c>
      <c r="BL904" s="70" t="s">
        <v>224</v>
      </c>
      <c r="BM904" s="70">
        <v>-6.6728448157191913</v>
      </c>
      <c r="BN904" s="71">
        <v>0.9</v>
      </c>
      <c r="BO904" s="77">
        <f t="shared" si="115"/>
        <v>32.4</v>
      </c>
      <c r="BP904" s="71">
        <v>0.9</v>
      </c>
      <c r="BQ904" s="77">
        <f t="shared" si="116"/>
        <v>32.4</v>
      </c>
      <c r="BR904" s="77" cm="1">
        <f t="array" ref="BR904">_xll.DCEPropSectI(BF904, BH904, BG904, BI904, BG904, BI904, "rx")/10</f>
        <v>16.91131201300167</v>
      </c>
      <c r="BS904" s="77" cm="1">
        <f t="array" ref="BS904">_xll.DCEPropSectI(BF904, BH904, BG904, BI904, BG904, BI904, "ry")/10</f>
        <v>5.1070747638622018</v>
      </c>
      <c r="BT904" s="5">
        <f t="shared" si="117"/>
        <v>191.58773710218577</v>
      </c>
      <c r="BU904" s="5">
        <f t="shared" si="118"/>
        <v>634.41405301647956</v>
      </c>
      <c r="BV904" s="5">
        <f t="shared" si="119"/>
        <v>634.41405301647956</v>
      </c>
      <c r="BW904" s="71">
        <f t="shared" si="120"/>
        <v>200</v>
      </c>
      <c r="BX904" s="78" cm="1">
        <f t="array" ref="BX904">IF(BM904&gt;0,1,_xll.DCETCVN5575FactorPhi7121(BV904*SQRT($K$17/206000),"b"))</f>
        <v>1.6670876655456978E-2</v>
      </c>
      <c r="BY904" s="64">
        <f t="shared" si="121"/>
        <v>0.31297957707105745</v>
      </c>
      <c r="BZ904" s="3" t="str">
        <f t="shared" si="122"/>
        <v>Check</v>
      </c>
    </row>
    <row r="905" spans="1:78">
      <c r="A905" s="76"/>
      <c r="B905" s="76"/>
      <c r="C905" s="125"/>
      <c r="D905" s="125"/>
      <c r="E905" s="71"/>
      <c r="F905" s="71"/>
      <c r="G905" s="71"/>
      <c r="H905" s="126"/>
      <c r="I905" s="125"/>
      <c r="J905" s="123"/>
      <c r="K905" s="12"/>
      <c r="L905" s="117"/>
      <c r="M905" s="12"/>
      <c r="N905" s="117"/>
      <c r="O905" s="117"/>
      <c r="P905" s="117"/>
      <c r="Q905" s="118"/>
      <c r="R905" s="118"/>
      <c r="S905" s="118"/>
      <c r="T905" s="12"/>
      <c r="U905" s="118"/>
      <c r="V905" s="118"/>
      <c r="W905" s="12"/>
      <c r="X905" s="119"/>
      <c r="Y905" s="120"/>
      <c r="Z905" s="12"/>
      <c r="BA905" s="70" t="s">
        <v>205</v>
      </c>
      <c r="BB905" s="71" t="s">
        <v>210</v>
      </c>
      <c r="BC905" s="71" t="s">
        <v>207</v>
      </c>
      <c r="BD905" s="71">
        <v>32</v>
      </c>
      <c r="BE905" s="71">
        <v>36</v>
      </c>
      <c r="BF905" s="71">
        <v>390</v>
      </c>
      <c r="BG905" s="71">
        <v>212</v>
      </c>
      <c r="BH905" s="71">
        <v>5</v>
      </c>
      <c r="BI905" s="71">
        <v>10</v>
      </c>
      <c r="BJ905" s="12" t="str" cm="1">
        <f t="array" ref="BJ905">_xll.Dce_Name_SectI(BF905, BF905, BG905, BH905, BI905, "x", "-", $AX$11)</f>
        <v>390x212x5x10</v>
      </c>
      <c r="BK905" s="77" cm="1">
        <f t="array" ref="BK905">_xll.DCEPropSectI(BF905, BH905, BG905, BI905, BG905, BI905, "A")/100</f>
        <v>60.9</v>
      </c>
      <c r="BL905" s="70" t="s">
        <v>224</v>
      </c>
      <c r="BM905" s="70">
        <v>-6.6728448157191913</v>
      </c>
      <c r="BN905" s="71">
        <v>0.9</v>
      </c>
      <c r="BO905" s="77">
        <f t="shared" si="115"/>
        <v>32.4</v>
      </c>
      <c r="BP905" s="71">
        <v>0.9</v>
      </c>
      <c r="BQ905" s="77">
        <f t="shared" si="116"/>
        <v>32.4</v>
      </c>
      <c r="BR905" s="77" cm="1">
        <f t="array" ref="BR905">_xll.DCEPropSectI(BF905, BH905, BG905, BI905, BG905, BI905, "rx")/10</f>
        <v>16.91131201300167</v>
      </c>
      <c r="BS905" s="77" cm="1">
        <f t="array" ref="BS905">_xll.DCEPropSectI(BF905, BH905, BG905, BI905, BG905, BI905, "ry")/10</f>
        <v>5.1070747638622018</v>
      </c>
      <c r="BT905" s="5">
        <f t="shared" si="117"/>
        <v>191.58773710218577</v>
      </c>
      <c r="BU905" s="5">
        <f t="shared" si="118"/>
        <v>634.41405301647956</v>
      </c>
      <c r="BV905" s="5">
        <f t="shared" si="119"/>
        <v>634.41405301647956</v>
      </c>
      <c r="BW905" s="71">
        <f t="shared" si="120"/>
        <v>200</v>
      </c>
      <c r="BX905" s="78" cm="1">
        <f t="array" ref="BX905">IF(BM905&gt;0,1,_xll.DCETCVN5575FactorPhi7121(BV905*SQRT($K$17/206000),"b"))</f>
        <v>1.6670876655456978E-2</v>
      </c>
      <c r="BY905" s="64">
        <f t="shared" si="121"/>
        <v>0.31297957707105745</v>
      </c>
      <c r="BZ905" s="3" t="str">
        <f t="shared" si="122"/>
        <v>Check</v>
      </c>
    </row>
    <row r="906" spans="1:78">
      <c r="A906" s="76"/>
      <c r="B906" s="76"/>
      <c r="C906" s="125"/>
      <c r="D906" s="125"/>
      <c r="E906" s="71"/>
      <c r="F906" s="71"/>
      <c r="G906" s="71"/>
      <c r="H906" s="126"/>
      <c r="I906" s="125"/>
      <c r="J906" s="123"/>
      <c r="K906" s="12"/>
      <c r="L906" s="117"/>
      <c r="M906" s="12"/>
      <c r="N906" s="117"/>
      <c r="O906" s="117"/>
      <c r="P906" s="117"/>
      <c r="Q906" s="118"/>
      <c r="R906" s="118"/>
      <c r="S906" s="118"/>
      <c r="T906" s="12"/>
      <c r="U906" s="118"/>
      <c r="V906" s="118"/>
      <c r="W906" s="12"/>
      <c r="X906" s="119"/>
      <c r="Y906" s="120"/>
      <c r="Z906" s="12"/>
      <c r="BA906" s="70" t="s">
        <v>205</v>
      </c>
      <c r="BB906" s="71" t="s">
        <v>210</v>
      </c>
      <c r="BC906" s="71" t="s">
        <v>207</v>
      </c>
      <c r="BD906" s="71">
        <v>32.5</v>
      </c>
      <c r="BE906" s="71">
        <v>36</v>
      </c>
      <c r="BF906" s="71">
        <v>390</v>
      </c>
      <c r="BG906" s="71">
        <v>212</v>
      </c>
      <c r="BH906" s="71">
        <v>5</v>
      </c>
      <c r="BI906" s="71">
        <v>10</v>
      </c>
      <c r="BJ906" s="12" t="str" cm="1">
        <f t="array" ref="BJ906">_xll.Dce_Name_SectI(BF906, BF906, BG906, BH906, BI906, "x", "-", $AX$11)</f>
        <v>390x212x5x10</v>
      </c>
      <c r="BK906" s="77" cm="1">
        <f t="array" ref="BK906">_xll.DCEPropSectI(BF906, BH906, BG906, BI906, BG906, BI906, "A")/100</f>
        <v>60.9</v>
      </c>
      <c r="BL906" s="70" t="s">
        <v>224</v>
      </c>
      <c r="BM906" s="70">
        <v>-6.6728448157191913</v>
      </c>
      <c r="BN906" s="71">
        <v>0.9</v>
      </c>
      <c r="BO906" s="77">
        <f t="shared" si="115"/>
        <v>32.4</v>
      </c>
      <c r="BP906" s="71">
        <v>0.9</v>
      </c>
      <c r="BQ906" s="77">
        <f t="shared" si="116"/>
        <v>32.4</v>
      </c>
      <c r="BR906" s="77" cm="1">
        <f t="array" ref="BR906">_xll.DCEPropSectI(BF906, BH906, BG906, BI906, BG906, BI906, "rx")/10</f>
        <v>16.91131201300167</v>
      </c>
      <c r="BS906" s="77" cm="1">
        <f t="array" ref="BS906">_xll.DCEPropSectI(BF906, BH906, BG906, BI906, BG906, BI906, "ry")/10</f>
        <v>5.1070747638622018</v>
      </c>
      <c r="BT906" s="5">
        <f t="shared" si="117"/>
        <v>191.58773710218577</v>
      </c>
      <c r="BU906" s="5">
        <f t="shared" si="118"/>
        <v>634.41405301647956</v>
      </c>
      <c r="BV906" s="5">
        <f t="shared" si="119"/>
        <v>634.41405301647956</v>
      </c>
      <c r="BW906" s="71">
        <f t="shared" si="120"/>
        <v>200</v>
      </c>
      <c r="BX906" s="78" cm="1">
        <f t="array" ref="BX906">IF(BM906&gt;0,1,_xll.DCETCVN5575FactorPhi7121(BV906*SQRT($K$17/206000),"b"))</f>
        <v>1.6670876655456978E-2</v>
      </c>
      <c r="BY906" s="64">
        <f t="shared" si="121"/>
        <v>0.31297957707105745</v>
      </c>
      <c r="BZ906" s="3" t="str">
        <f t="shared" si="122"/>
        <v>Check</v>
      </c>
    </row>
    <row r="907" spans="1:78">
      <c r="A907" s="76"/>
      <c r="B907" s="76"/>
      <c r="C907" s="125"/>
      <c r="D907" s="125"/>
      <c r="E907" s="71"/>
      <c r="F907" s="71"/>
      <c r="G907" s="71"/>
      <c r="H907" s="126"/>
      <c r="I907" s="125"/>
      <c r="J907" s="123"/>
      <c r="K907" s="12"/>
      <c r="L907" s="117"/>
      <c r="M907" s="12"/>
      <c r="N907" s="117"/>
      <c r="O907" s="117"/>
      <c r="P907" s="117"/>
      <c r="Q907" s="118"/>
      <c r="R907" s="118"/>
      <c r="S907" s="118"/>
      <c r="T907" s="12"/>
      <c r="U907" s="118"/>
      <c r="V907" s="118"/>
      <c r="W907" s="12"/>
      <c r="X907" s="119"/>
      <c r="Y907" s="120"/>
      <c r="Z907" s="12"/>
      <c r="BA907" s="70" t="s">
        <v>205</v>
      </c>
      <c r="BB907" s="71" t="s">
        <v>210</v>
      </c>
      <c r="BC907" s="71" t="s">
        <v>207</v>
      </c>
      <c r="BD907" s="71">
        <v>33</v>
      </c>
      <c r="BE907" s="71">
        <v>36</v>
      </c>
      <c r="BF907" s="71">
        <v>390</v>
      </c>
      <c r="BG907" s="71">
        <v>212</v>
      </c>
      <c r="BH907" s="71">
        <v>5</v>
      </c>
      <c r="BI907" s="71">
        <v>10</v>
      </c>
      <c r="BJ907" s="12" t="str" cm="1">
        <f t="array" ref="BJ907">_xll.Dce_Name_SectI(BF907, BF907, BG907, BH907, BI907, "x", "-", $AX$11)</f>
        <v>390x212x5x10</v>
      </c>
      <c r="BK907" s="77" cm="1">
        <f t="array" ref="BK907">_xll.DCEPropSectI(BF907, BH907, BG907, BI907, BG907, BI907, "A")/100</f>
        <v>60.9</v>
      </c>
      <c r="BL907" s="70" t="s">
        <v>224</v>
      </c>
      <c r="BM907" s="70">
        <v>-6.6728448157191913</v>
      </c>
      <c r="BN907" s="71">
        <v>0.9</v>
      </c>
      <c r="BO907" s="77">
        <f t="shared" si="115"/>
        <v>32.4</v>
      </c>
      <c r="BP907" s="71">
        <v>0.9</v>
      </c>
      <c r="BQ907" s="77">
        <f t="shared" si="116"/>
        <v>32.4</v>
      </c>
      <c r="BR907" s="77" cm="1">
        <f t="array" ref="BR907">_xll.DCEPropSectI(BF907, BH907, BG907, BI907, BG907, BI907, "rx")/10</f>
        <v>16.91131201300167</v>
      </c>
      <c r="BS907" s="77" cm="1">
        <f t="array" ref="BS907">_xll.DCEPropSectI(BF907, BH907, BG907, BI907, BG907, BI907, "ry")/10</f>
        <v>5.1070747638622018</v>
      </c>
      <c r="BT907" s="5">
        <f t="shared" si="117"/>
        <v>191.58773710218577</v>
      </c>
      <c r="BU907" s="5">
        <f t="shared" si="118"/>
        <v>634.41405301647956</v>
      </c>
      <c r="BV907" s="5">
        <f t="shared" si="119"/>
        <v>634.41405301647956</v>
      </c>
      <c r="BW907" s="71">
        <f t="shared" si="120"/>
        <v>200</v>
      </c>
      <c r="BX907" s="78" cm="1">
        <f t="array" ref="BX907">IF(BM907&gt;0,1,_xll.DCETCVN5575FactorPhi7121(BV907*SQRT($K$17/206000),"b"))</f>
        <v>1.6670876655456978E-2</v>
      </c>
      <c r="BY907" s="64">
        <f t="shared" si="121"/>
        <v>0.31297957707105745</v>
      </c>
      <c r="BZ907" s="3" t="str">
        <f t="shared" si="122"/>
        <v>Check</v>
      </c>
    </row>
    <row r="908" spans="1:78">
      <c r="A908" s="76"/>
      <c r="B908" s="76"/>
      <c r="C908" s="125"/>
      <c r="D908" s="125"/>
      <c r="E908" s="71"/>
      <c r="F908" s="71"/>
      <c r="G908" s="71"/>
      <c r="H908" s="126"/>
      <c r="I908" s="125"/>
      <c r="J908" s="123"/>
      <c r="K908" s="12"/>
      <c r="L908" s="117"/>
      <c r="M908" s="12"/>
      <c r="N908" s="117"/>
      <c r="O908" s="117"/>
      <c r="P908" s="117"/>
      <c r="Q908" s="118"/>
      <c r="R908" s="118"/>
      <c r="S908" s="118"/>
      <c r="T908" s="12"/>
      <c r="U908" s="118"/>
      <c r="V908" s="118"/>
      <c r="W908" s="12"/>
      <c r="X908" s="119"/>
      <c r="Y908" s="120"/>
      <c r="Z908" s="12"/>
      <c r="BA908" s="70" t="s">
        <v>205</v>
      </c>
      <c r="BB908" s="71" t="s">
        <v>210</v>
      </c>
      <c r="BC908" s="71" t="s">
        <v>207</v>
      </c>
      <c r="BD908" s="71">
        <v>33.5</v>
      </c>
      <c r="BE908" s="71">
        <v>36</v>
      </c>
      <c r="BF908" s="71">
        <v>390</v>
      </c>
      <c r="BG908" s="71">
        <v>212</v>
      </c>
      <c r="BH908" s="71">
        <v>5</v>
      </c>
      <c r="BI908" s="71">
        <v>10</v>
      </c>
      <c r="BJ908" s="12" t="str" cm="1">
        <f t="array" ref="BJ908">_xll.Dce_Name_SectI(BF908, BF908, BG908, BH908, BI908, "x", "-", $AX$11)</f>
        <v>390x212x5x10</v>
      </c>
      <c r="BK908" s="77" cm="1">
        <f t="array" ref="BK908">_xll.DCEPropSectI(BF908, BH908, BG908, BI908, BG908, BI908, "A")/100</f>
        <v>60.9</v>
      </c>
      <c r="BL908" s="70" t="s">
        <v>224</v>
      </c>
      <c r="BM908" s="70">
        <v>-6.6728448157191913</v>
      </c>
      <c r="BN908" s="71">
        <v>0.9</v>
      </c>
      <c r="BO908" s="77">
        <f t="shared" si="115"/>
        <v>32.4</v>
      </c>
      <c r="BP908" s="71">
        <v>0.9</v>
      </c>
      <c r="BQ908" s="77">
        <f t="shared" si="116"/>
        <v>32.4</v>
      </c>
      <c r="BR908" s="77" cm="1">
        <f t="array" ref="BR908">_xll.DCEPropSectI(BF908, BH908, BG908, BI908, BG908, BI908, "rx")/10</f>
        <v>16.91131201300167</v>
      </c>
      <c r="BS908" s="77" cm="1">
        <f t="array" ref="BS908">_xll.DCEPropSectI(BF908, BH908, BG908, BI908, BG908, BI908, "ry")/10</f>
        <v>5.1070747638622018</v>
      </c>
      <c r="BT908" s="5">
        <f t="shared" si="117"/>
        <v>191.58773710218577</v>
      </c>
      <c r="BU908" s="5">
        <f t="shared" si="118"/>
        <v>634.41405301647956</v>
      </c>
      <c r="BV908" s="5">
        <f t="shared" si="119"/>
        <v>634.41405301647956</v>
      </c>
      <c r="BW908" s="71">
        <f t="shared" si="120"/>
        <v>200</v>
      </c>
      <c r="BX908" s="78" cm="1">
        <f t="array" ref="BX908">IF(BM908&gt;0,1,_xll.DCETCVN5575FactorPhi7121(BV908*SQRT($K$17/206000),"b"))</f>
        <v>1.6670876655456978E-2</v>
      </c>
      <c r="BY908" s="64">
        <f t="shared" si="121"/>
        <v>0.31297957707105745</v>
      </c>
      <c r="BZ908" s="3" t="str">
        <f t="shared" si="122"/>
        <v>Check</v>
      </c>
    </row>
    <row r="909" spans="1:78">
      <c r="A909" s="76"/>
      <c r="B909" s="76"/>
      <c r="C909" s="125"/>
      <c r="D909" s="125"/>
      <c r="E909" s="71"/>
      <c r="F909" s="71"/>
      <c r="G909" s="71"/>
      <c r="H909" s="126"/>
      <c r="I909" s="125"/>
      <c r="J909" s="123"/>
      <c r="K909" s="12"/>
      <c r="L909" s="117"/>
      <c r="M909" s="12"/>
      <c r="N909" s="117"/>
      <c r="O909" s="117"/>
      <c r="P909" s="117"/>
      <c r="Q909" s="118"/>
      <c r="R909" s="118"/>
      <c r="S909" s="118"/>
      <c r="T909" s="12"/>
      <c r="U909" s="118"/>
      <c r="V909" s="118"/>
      <c r="W909" s="12"/>
      <c r="X909" s="119"/>
      <c r="Y909" s="120"/>
      <c r="Z909" s="12"/>
      <c r="BA909" s="70" t="s">
        <v>205</v>
      </c>
      <c r="BB909" s="71" t="s">
        <v>210</v>
      </c>
      <c r="BC909" s="71" t="s">
        <v>207</v>
      </c>
      <c r="BD909" s="71">
        <v>34</v>
      </c>
      <c r="BE909" s="71">
        <v>36</v>
      </c>
      <c r="BF909" s="71">
        <v>390</v>
      </c>
      <c r="BG909" s="71">
        <v>212</v>
      </c>
      <c r="BH909" s="71">
        <v>5</v>
      </c>
      <c r="BI909" s="71">
        <v>10</v>
      </c>
      <c r="BJ909" s="12" t="str" cm="1">
        <f t="array" ref="BJ909">_xll.Dce_Name_SectI(BF909, BF909, BG909, BH909, BI909, "x", "-", $AX$11)</f>
        <v>390x212x5x10</v>
      </c>
      <c r="BK909" s="77" cm="1">
        <f t="array" ref="BK909">_xll.DCEPropSectI(BF909, BH909, BG909, BI909, BG909, BI909, "A")/100</f>
        <v>60.9</v>
      </c>
      <c r="BL909" s="70" t="s">
        <v>224</v>
      </c>
      <c r="BM909" s="70">
        <v>-6.6728448157191913</v>
      </c>
      <c r="BN909" s="71">
        <v>0.9</v>
      </c>
      <c r="BO909" s="77">
        <f t="shared" ref="BO909:BO972" si="123">BN909*BE909</f>
        <v>32.4</v>
      </c>
      <c r="BP909" s="71">
        <v>0.9</v>
      </c>
      <c r="BQ909" s="77">
        <f t="shared" ref="BQ909:BQ972" si="124">BP909*BE909</f>
        <v>32.4</v>
      </c>
      <c r="BR909" s="77" cm="1">
        <f t="array" ref="BR909">_xll.DCEPropSectI(BF909, BH909, BG909, BI909, BG909, BI909, "rx")/10</f>
        <v>16.91131201300167</v>
      </c>
      <c r="BS909" s="77" cm="1">
        <f t="array" ref="BS909">_xll.DCEPropSectI(BF909, BH909, BG909, BI909, BG909, BI909, "ry")/10</f>
        <v>5.1070747638622018</v>
      </c>
      <c r="BT909" s="5">
        <f t="shared" ref="BT909:BT972" si="125">BO909*100/BR909</f>
        <v>191.58773710218577</v>
      </c>
      <c r="BU909" s="5">
        <f t="shared" ref="BU909:BU972" si="126">BQ909*100/BS909</f>
        <v>634.41405301647956</v>
      </c>
      <c r="BV909" s="5">
        <f t="shared" ref="BV909:BV972" si="127">MAX(BT909,BU909)</f>
        <v>634.41405301647956</v>
      </c>
      <c r="BW909" s="71">
        <f t="shared" ref="BW909:BW972" si="128">IF(BM909&lt;0,$AY$14,$AY$15)</f>
        <v>200</v>
      </c>
      <c r="BX909" s="78" cm="1">
        <f t="array" ref="BX909">IF(BM909&gt;0,1,_xll.DCETCVN5575FactorPhi7121(BV909*SQRT($K$17/206000),"b"))</f>
        <v>1.6670876655456978E-2</v>
      </c>
      <c r="BY909" s="64">
        <f t="shared" ref="BY909:BY972" si="129">ABS(BM909)/(BX909*BK909*$K$17*$K$19)*10</f>
        <v>0.31297957707105745</v>
      </c>
      <c r="BZ909" s="3" t="str">
        <f t="shared" ref="BZ909:BZ972" si="130">IF(AND(BV909&lt;=BW909,BY909&lt;=1),"OK","Check")</f>
        <v>Check</v>
      </c>
    </row>
    <row r="910" spans="1:78">
      <c r="A910" s="76"/>
      <c r="B910" s="76"/>
      <c r="C910" s="125"/>
      <c r="D910" s="125"/>
      <c r="E910" s="71"/>
      <c r="F910" s="71"/>
      <c r="G910" s="71"/>
      <c r="H910" s="126"/>
      <c r="I910" s="125"/>
      <c r="J910" s="123"/>
      <c r="K910" s="12"/>
      <c r="L910" s="117"/>
      <c r="M910" s="12"/>
      <c r="N910" s="117"/>
      <c r="O910" s="117"/>
      <c r="P910" s="117"/>
      <c r="Q910" s="118"/>
      <c r="R910" s="118"/>
      <c r="S910" s="118"/>
      <c r="T910" s="12"/>
      <c r="U910" s="118"/>
      <c r="V910" s="118"/>
      <c r="W910" s="12"/>
      <c r="X910" s="119"/>
      <c r="Y910" s="120"/>
      <c r="Z910" s="12"/>
      <c r="BA910" s="70" t="s">
        <v>205</v>
      </c>
      <c r="BB910" s="71" t="s">
        <v>210</v>
      </c>
      <c r="BC910" s="71" t="s">
        <v>207</v>
      </c>
      <c r="BD910" s="71">
        <v>34.5</v>
      </c>
      <c r="BE910" s="71">
        <v>36</v>
      </c>
      <c r="BF910" s="71">
        <v>390</v>
      </c>
      <c r="BG910" s="71">
        <v>212</v>
      </c>
      <c r="BH910" s="71">
        <v>5</v>
      </c>
      <c r="BI910" s="71">
        <v>10</v>
      </c>
      <c r="BJ910" s="12" t="str" cm="1">
        <f t="array" ref="BJ910">_xll.Dce_Name_SectI(BF910, BF910, BG910, BH910, BI910, "x", "-", $AX$11)</f>
        <v>390x212x5x10</v>
      </c>
      <c r="BK910" s="77" cm="1">
        <f t="array" ref="BK910">_xll.DCEPropSectI(BF910, BH910, BG910, BI910, BG910, BI910, "A")/100</f>
        <v>60.9</v>
      </c>
      <c r="BL910" s="70" t="s">
        <v>224</v>
      </c>
      <c r="BM910" s="70">
        <v>-6.6728448157191913</v>
      </c>
      <c r="BN910" s="71">
        <v>0.9</v>
      </c>
      <c r="BO910" s="77">
        <f t="shared" si="123"/>
        <v>32.4</v>
      </c>
      <c r="BP910" s="71">
        <v>0.9</v>
      </c>
      <c r="BQ910" s="77">
        <f t="shared" si="124"/>
        <v>32.4</v>
      </c>
      <c r="BR910" s="77" cm="1">
        <f t="array" ref="BR910">_xll.DCEPropSectI(BF910, BH910, BG910, BI910, BG910, BI910, "rx")/10</f>
        <v>16.91131201300167</v>
      </c>
      <c r="BS910" s="77" cm="1">
        <f t="array" ref="BS910">_xll.DCEPropSectI(BF910, BH910, BG910, BI910, BG910, BI910, "ry")/10</f>
        <v>5.1070747638622018</v>
      </c>
      <c r="BT910" s="5">
        <f t="shared" si="125"/>
        <v>191.58773710218577</v>
      </c>
      <c r="BU910" s="5">
        <f t="shared" si="126"/>
        <v>634.41405301647956</v>
      </c>
      <c r="BV910" s="5">
        <f t="shared" si="127"/>
        <v>634.41405301647956</v>
      </c>
      <c r="BW910" s="71">
        <f t="shared" si="128"/>
        <v>200</v>
      </c>
      <c r="BX910" s="78" cm="1">
        <f t="array" ref="BX910">IF(BM910&gt;0,1,_xll.DCETCVN5575FactorPhi7121(BV910*SQRT($K$17/206000),"b"))</f>
        <v>1.6670876655456978E-2</v>
      </c>
      <c r="BY910" s="64">
        <f t="shared" si="129"/>
        <v>0.31297957707105745</v>
      </c>
      <c r="BZ910" s="3" t="str">
        <f t="shared" si="130"/>
        <v>Check</v>
      </c>
    </row>
    <row r="911" spans="1:78">
      <c r="A911" s="76"/>
      <c r="B911" s="76"/>
      <c r="C911" s="125"/>
      <c r="D911" s="125"/>
      <c r="E911" s="71"/>
      <c r="F911" s="71"/>
      <c r="G911" s="71"/>
      <c r="H911" s="126"/>
      <c r="I911" s="125"/>
      <c r="J911" s="123"/>
      <c r="K911" s="12"/>
      <c r="L911" s="117"/>
      <c r="M911" s="12"/>
      <c r="N911" s="117"/>
      <c r="O911" s="117"/>
      <c r="P911" s="117"/>
      <c r="Q911" s="118"/>
      <c r="R911" s="118"/>
      <c r="S911" s="118"/>
      <c r="T911" s="12"/>
      <c r="U911" s="118"/>
      <c r="V911" s="118"/>
      <c r="W911" s="12"/>
      <c r="X911" s="119"/>
      <c r="Y911" s="120"/>
      <c r="Z911" s="12"/>
      <c r="BA911" s="70" t="s">
        <v>205</v>
      </c>
      <c r="BB911" s="71" t="s">
        <v>210</v>
      </c>
      <c r="BC911" s="71" t="s">
        <v>207</v>
      </c>
      <c r="BD911" s="71">
        <v>35</v>
      </c>
      <c r="BE911" s="71">
        <v>36</v>
      </c>
      <c r="BF911" s="71">
        <v>390</v>
      </c>
      <c r="BG911" s="71">
        <v>212</v>
      </c>
      <c r="BH911" s="71">
        <v>5</v>
      </c>
      <c r="BI911" s="71">
        <v>10</v>
      </c>
      <c r="BJ911" s="12" t="str" cm="1">
        <f t="array" ref="BJ911">_xll.Dce_Name_SectI(BF911, BF911, BG911, BH911, BI911, "x", "-", $AX$11)</f>
        <v>390x212x5x10</v>
      </c>
      <c r="BK911" s="77" cm="1">
        <f t="array" ref="BK911">_xll.DCEPropSectI(BF911, BH911, BG911, BI911, BG911, BI911, "A")/100</f>
        <v>60.9</v>
      </c>
      <c r="BL911" s="70" t="s">
        <v>224</v>
      </c>
      <c r="BM911" s="70">
        <v>-6.6728448157191913</v>
      </c>
      <c r="BN911" s="71">
        <v>0.9</v>
      </c>
      <c r="BO911" s="77">
        <f t="shared" si="123"/>
        <v>32.4</v>
      </c>
      <c r="BP911" s="71">
        <v>0.9</v>
      </c>
      <c r="BQ911" s="77">
        <f t="shared" si="124"/>
        <v>32.4</v>
      </c>
      <c r="BR911" s="77" cm="1">
        <f t="array" ref="BR911">_xll.DCEPropSectI(BF911, BH911, BG911, BI911, BG911, BI911, "rx")/10</f>
        <v>16.91131201300167</v>
      </c>
      <c r="BS911" s="77" cm="1">
        <f t="array" ref="BS911">_xll.DCEPropSectI(BF911, BH911, BG911, BI911, BG911, BI911, "ry")/10</f>
        <v>5.1070747638622018</v>
      </c>
      <c r="BT911" s="5">
        <f t="shared" si="125"/>
        <v>191.58773710218577</v>
      </c>
      <c r="BU911" s="5">
        <f t="shared" si="126"/>
        <v>634.41405301647956</v>
      </c>
      <c r="BV911" s="5">
        <f t="shared" si="127"/>
        <v>634.41405301647956</v>
      </c>
      <c r="BW911" s="71">
        <f t="shared" si="128"/>
        <v>200</v>
      </c>
      <c r="BX911" s="78" cm="1">
        <f t="array" ref="BX911">IF(BM911&gt;0,1,_xll.DCETCVN5575FactorPhi7121(BV911*SQRT($K$17/206000),"b"))</f>
        <v>1.6670876655456978E-2</v>
      </c>
      <c r="BY911" s="64">
        <f t="shared" si="129"/>
        <v>0.31297957707105745</v>
      </c>
      <c r="BZ911" s="3" t="str">
        <f t="shared" si="130"/>
        <v>Check</v>
      </c>
    </row>
    <row r="912" spans="1:78">
      <c r="A912" s="76"/>
      <c r="B912" s="76"/>
      <c r="C912" s="125"/>
      <c r="D912" s="125"/>
      <c r="E912" s="71"/>
      <c r="F912" s="71"/>
      <c r="G912" s="71"/>
      <c r="H912" s="126"/>
      <c r="I912" s="125"/>
      <c r="J912" s="123"/>
      <c r="K912" s="12"/>
      <c r="L912" s="117"/>
      <c r="M912" s="12"/>
      <c r="N912" s="117"/>
      <c r="O912" s="117"/>
      <c r="P912" s="117"/>
      <c r="Q912" s="118"/>
      <c r="R912" s="118"/>
      <c r="S912" s="118"/>
      <c r="T912" s="12"/>
      <c r="U912" s="118"/>
      <c r="V912" s="118"/>
      <c r="W912" s="12"/>
      <c r="X912" s="119"/>
      <c r="Y912" s="120"/>
      <c r="Z912" s="12"/>
      <c r="BA912" s="70" t="s">
        <v>205</v>
      </c>
      <c r="BB912" s="71" t="s">
        <v>210</v>
      </c>
      <c r="BC912" s="71" t="s">
        <v>207</v>
      </c>
      <c r="BD912" s="71">
        <v>35.5</v>
      </c>
      <c r="BE912" s="71">
        <v>36</v>
      </c>
      <c r="BF912" s="71">
        <v>390</v>
      </c>
      <c r="BG912" s="71">
        <v>212</v>
      </c>
      <c r="BH912" s="71">
        <v>5</v>
      </c>
      <c r="BI912" s="71">
        <v>10</v>
      </c>
      <c r="BJ912" s="12" t="str" cm="1">
        <f t="array" ref="BJ912">_xll.Dce_Name_SectI(BF912, BF912, BG912, BH912, BI912, "x", "-", $AX$11)</f>
        <v>390x212x5x10</v>
      </c>
      <c r="BK912" s="77" cm="1">
        <f t="array" ref="BK912">_xll.DCEPropSectI(BF912, BH912, BG912, BI912, BG912, BI912, "A")/100</f>
        <v>60.9</v>
      </c>
      <c r="BL912" s="70" t="s">
        <v>224</v>
      </c>
      <c r="BM912" s="70">
        <v>-6.6728448157191913</v>
      </c>
      <c r="BN912" s="71">
        <v>0.9</v>
      </c>
      <c r="BO912" s="77">
        <f t="shared" si="123"/>
        <v>32.4</v>
      </c>
      <c r="BP912" s="71">
        <v>0.9</v>
      </c>
      <c r="BQ912" s="77">
        <f t="shared" si="124"/>
        <v>32.4</v>
      </c>
      <c r="BR912" s="77" cm="1">
        <f t="array" ref="BR912">_xll.DCEPropSectI(BF912, BH912, BG912, BI912, BG912, BI912, "rx")/10</f>
        <v>16.91131201300167</v>
      </c>
      <c r="BS912" s="77" cm="1">
        <f t="array" ref="BS912">_xll.DCEPropSectI(BF912, BH912, BG912, BI912, BG912, BI912, "ry")/10</f>
        <v>5.1070747638622018</v>
      </c>
      <c r="BT912" s="5">
        <f t="shared" si="125"/>
        <v>191.58773710218577</v>
      </c>
      <c r="BU912" s="5">
        <f t="shared" si="126"/>
        <v>634.41405301647956</v>
      </c>
      <c r="BV912" s="5">
        <f t="shared" si="127"/>
        <v>634.41405301647956</v>
      </c>
      <c r="BW912" s="71">
        <f t="shared" si="128"/>
        <v>200</v>
      </c>
      <c r="BX912" s="78" cm="1">
        <f t="array" ref="BX912">IF(BM912&gt;0,1,_xll.DCETCVN5575FactorPhi7121(BV912*SQRT($K$17/206000),"b"))</f>
        <v>1.6670876655456978E-2</v>
      </c>
      <c r="BY912" s="64">
        <f t="shared" si="129"/>
        <v>0.31297957707105745</v>
      </c>
      <c r="BZ912" s="3" t="str">
        <f t="shared" si="130"/>
        <v>Check</v>
      </c>
    </row>
    <row r="913" spans="1:78">
      <c r="A913" s="76"/>
      <c r="B913" s="76"/>
      <c r="C913" s="125"/>
      <c r="D913" s="125"/>
      <c r="E913" s="71"/>
      <c r="F913" s="71"/>
      <c r="G913" s="71"/>
      <c r="H913" s="126"/>
      <c r="I913" s="125"/>
      <c r="J913" s="123"/>
      <c r="K913" s="12"/>
      <c r="L913" s="117"/>
      <c r="M913" s="12"/>
      <c r="N913" s="117"/>
      <c r="O913" s="117"/>
      <c r="P913" s="117"/>
      <c r="Q913" s="118"/>
      <c r="R913" s="118"/>
      <c r="S913" s="118"/>
      <c r="T913" s="12"/>
      <c r="U913" s="118"/>
      <c r="V913" s="118"/>
      <c r="W913" s="12"/>
      <c r="X913" s="119"/>
      <c r="Y913" s="120"/>
      <c r="Z913" s="12"/>
      <c r="BA913" s="70" t="s">
        <v>205</v>
      </c>
      <c r="BB913" s="71" t="s">
        <v>210</v>
      </c>
      <c r="BC913" s="71" t="s">
        <v>207</v>
      </c>
      <c r="BD913" s="71">
        <v>36</v>
      </c>
      <c r="BE913" s="71">
        <v>36</v>
      </c>
      <c r="BF913" s="71">
        <v>390</v>
      </c>
      <c r="BG913" s="71">
        <v>212</v>
      </c>
      <c r="BH913" s="71">
        <v>5</v>
      </c>
      <c r="BI913" s="71">
        <v>10</v>
      </c>
      <c r="BJ913" s="12" t="str" cm="1">
        <f t="array" ref="BJ913">_xll.Dce_Name_SectI(BF913, BF913, BG913, BH913, BI913, "x", "-", $AX$11)</f>
        <v>390x212x5x10</v>
      </c>
      <c r="BK913" s="77" cm="1">
        <f t="array" ref="BK913">_xll.DCEPropSectI(BF913, BH913, BG913, BI913, BG913, BI913, "A")/100</f>
        <v>60.9</v>
      </c>
      <c r="BL913" s="70" t="s">
        <v>224</v>
      </c>
      <c r="BM913" s="70">
        <v>-6.6728448157191913</v>
      </c>
      <c r="BN913" s="71">
        <v>0.9</v>
      </c>
      <c r="BO913" s="77">
        <f t="shared" si="123"/>
        <v>32.4</v>
      </c>
      <c r="BP913" s="71">
        <v>0.9</v>
      </c>
      <c r="BQ913" s="77">
        <f t="shared" si="124"/>
        <v>32.4</v>
      </c>
      <c r="BR913" s="77" cm="1">
        <f t="array" ref="BR913">_xll.DCEPropSectI(BF913, BH913, BG913, BI913, BG913, BI913, "rx")/10</f>
        <v>16.91131201300167</v>
      </c>
      <c r="BS913" s="77" cm="1">
        <f t="array" ref="BS913">_xll.DCEPropSectI(BF913, BH913, BG913, BI913, BG913, BI913, "ry")/10</f>
        <v>5.1070747638622018</v>
      </c>
      <c r="BT913" s="5">
        <f t="shared" si="125"/>
        <v>191.58773710218577</v>
      </c>
      <c r="BU913" s="5">
        <f t="shared" si="126"/>
        <v>634.41405301647956</v>
      </c>
      <c r="BV913" s="5">
        <f t="shared" si="127"/>
        <v>634.41405301647956</v>
      </c>
      <c r="BW913" s="71">
        <f t="shared" si="128"/>
        <v>200</v>
      </c>
      <c r="BX913" s="78" cm="1">
        <f t="array" ref="BX913">IF(BM913&gt;0,1,_xll.DCETCVN5575FactorPhi7121(BV913*SQRT($K$17/206000),"b"))</f>
        <v>1.6670876655456978E-2</v>
      </c>
      <c r="BY913" s="64">
        <f t="shared" si="129"/>
        <v>0.31297957707105745</v>
      </c>
      <c r="BZ913" s="3" t="str">
        <f t="shared" si="130"/>
        <v>Check</v>
      </c>
    </row>
    <row r="914" spans="1:78">
      <c r="A914" s="76"/>
      <c r="B914" s="76"/>
      <c r="C914" s="125"/>
      <c r="D914" s="125"/>
      <c r="E914" s="71"/>
      <c r="F914" s="71"/>
      <c r="G914" s="71"/>
      <c r="H914" s="126"/>
      <c r="I914" s="125"/>
      <c r="J914" s="123"/>
      <c r="K914" s="12"/>
      <c r="L914" s="117"/>
      <c r="M914" s="12"/>
      <c r="N914" s="117"/>
      <c r="O914" s="117"/>
      <c r="P914" s="117"/>
      <c r="Q914" s="118"/>
      <c r="R914" s="118"/>
      <c r="S914" s="118"/>
      <c r="T914" s="12"/>
      <c r="U914" s="118"/>
      <c r="V914" s="118"/>
      <c r="W914" s="12"/>
      <c r="X914" s="119"/>
      <c r="Y914" s="120"/>
      <c r="Z914" s="12"/>
      <c r="BA914" s="70" t="s">
        <v>205</v>
      </c>
      <c r="BB914" s="71" t="s">
        <v>210</v>
      </c>
      <c r="BC914" s="71" t="s">
        <v>207</v>
      </c>
      <c r="BD914" s="71">
        <v>0</v>
      </c>
      <c r="BE914" s="71">
        <v>36</v>
      </c>
      <c r="BF914" s="71">
        <v>390</v>
      </c>
      <c r="BG914" s="71">
        <v>212</v>
      </c>
      <c r="BH914" s="71">
        <v>5</v>
      </c>
      <c r="BI914" s="71">
        <v>10</v>
      </c>
      <c r="BJ914" s="12" t="str" cm="1">
        <f t="array" ref="BJ914">_xll.Dce_Name_SectI(BF914, BF914, BG914, BH914, BI914, "x", "-", $AX$11)</f>
        <v>390x212x5x10</v>
      </c>
      <c r="BK914" s="77" cm="1">
        <f t="array" ref="BK914">_xll.DCEPropSectI(BF914, BH914, BG914, BI914, BG914, BI914, "A")/100</f>
        <v>60.9</v>
      </c>
      <c r="BL914" s="70" t="s">
        <v>225</v>
      </c>
      <c r="BM914" s="70">
        <v>15.353330856337468</v>
      </c>
      <c r="BN914" s="71">
        <v>0.9</v>
      </c>
      <c r="BO914" s="77">
        <f t="shared" si="123"/>
        <v>32.4</v>
      </c>
      <c r="BP914" s="71">
        <v>0.9</v>
      </c>
      <c r="BQ914" s="77">
        <f t="shared" si="124"/>
        <v>32.4</v>
      </c>
      <c r="BR914" s="77" cm="1">
        <f t="array" ref="BR914">_xll.DCEPropSectI(BF914, BH914, BG914, BI914, BG914, BI914, "rx")/10</f>
        <v>16.91131201300167</v>
      </c>
      <c r="BS914" s="77" cm="1">
        <f t="array" ref="BS914">_xll.DCEPropSectI(BF914, BH914, BG914, BI914, BG914, BI914, "ry")/10</f>
        <v>5.1070747638622018</v>
      </c>
      <c r="BT914" s="5">
        <f t="shared" si="125"/>
        <v>191.58773710218577</v>
      </c>
      <c r="BU914" s="5">
        <f t="shared" si="126"/>
        <v>634.41405301647956</v>
      </c>
      <c r="BV914" s="5">
        <f t="shared" si="127"/>
        <v>634.41405301647956</v>
      </c>
      <c r="BW914" s="71">
        <f t="shared" si="128"/>
        <v>400</v>
      </c>
      <c r="BX914" s="78" cm="1">
        <f t="array" ref="BX914">IF(BM914&gt;0,1,_xll.DCETCVN5575FactorPhi7121(BV914*SQRT($K$17/206000),"b"))</f>
        <v>1</v>
      </c>
      <c r="BY914" s="64">
        <f t="shared" si="129"/>
        <v>1.2005106620015225E-2</v>
      </c>
      <c r="BZ914" s="3" t="str">
        <f t="shared" si="130"/>
        <v>Check</v>
      </c>
    </row>
    <row r="915" spans="1:78">
      <c r="A915" s="76"/>
      <c r="B915" s="76"/>
      <c r="C915" s="125"/>
      <c r="D915" s="125"/>
      <c r="E915" s="71"/>
      <c r="F915" s="71"/>
      <c r="G915" s="71"/>
      <c r="H915" s="126"/>
      <c r="I915" s="125"/>
      <c r="J915" s="123"/>
      <c r="K915" s="12"/>
      <c r="L915" s="117"/>
      <c r="M915" s="12"/>
      <c r="N915" s="117"/>
      <c r="O915" s="117"/>
      <c r="P915" s="117"/>
      <c r="Q915" s="118"/>
      <c r="R915" s="118"/>
      <c r="S915" s="118"/>
      <c r="T915" s="12"/>
      <c r="U915" s="118"/>
      <c r="V915" s="118"/>
      <c r="W915" s="12"/>
      <c r="X915" s="119"/>
      <c r="Y915" s="120"/>
      <c r="Z915" s="12"/>
      <c r="BA915" s="70" t="s">
        <v>205</v>
      </c>
      <c r="BB915" s="71" t="s">
        <v>210</v>
      </c>
      <c r="BC915" s="71" t="s">
        <v>207</v>
      </c>
      <c r="BD915" s="71">
        <v>0.3</v>
      </c>
      <c r="BE915" s="71">
        <v>36</v>
      </c>
      <c r="BF915" s="71">
        <v>390</v>
      </c>
      <c r="BG915" s="71">
        <v>212</v>
      </c>
      <c r="BH915" s="71">
        <v>5</v>
      </c>
      <c r="BI915" s="71">
        <v>10</v>
      </c>
      <c r="BJ915" s="12" t="str" cm="1">
        <f t="array" ref="BJ915">_xll.Dce_Name_SectI(BF915, BF915, BG915, BH915, BI915, "x", "-", $AX$11)</f>
        <v>390x212x5x10</v>
      </c>
      <c r="BK915" s="77" cm="1">
        <f t="array" ref="BK915">_xll.DCEPropSectI(BF915, BH915, BG915, BI915, BG915, BI915, "A")/100</f>
        <v>60.9</v>
      </c>
      <c r="BL915" s="70" t="s">
        <v>225</v>
      </c>
      <c r="BM915" s="70">
        <v>15.353330856337468</v>
      </c>
      <c r="BN915" s="71">
        <v>0.9</v>
      </c>
      <c r="BO915" s="77">
        <f t="shared" si="123"/>
        <v>32.4</v>
      </c>
      <c r="BP915" s="71">
        <v>0.9</v>
      </c>
      <c r="BQ915" s="77">
        <f t="shared" si="124"/>
        <v>32.4</v>
      </c>
      <c r="BR915" s="77" cm="1">
        <f t="array" ref="BR915">_xll.DCEPropSectI(BF915, BH915, BG915, BI915, BG915, BI915, "rx")/10</f>
        <v>16.91131201300167</v>
      </c>
      <c r="BS915" s="77" cm="1">
        <f t="array" ref="BS915">_xll.DCEPropSectI(BF915, BH915, BG915, BI915, BG915, BI915, "ry")/10</f>
        <v>5.1070747638622018</v>
      </c>
      <c r="BT915" s="5">
        <f t="shared" si="125"/>
        <v>191.58773710218577</v>
      </c>
      <c r="BU915" s="5">
        <f t="shared" si="126"/>
        <v>634.41405301647956</v>
      </c>
      <c r="BV915" s="5">
        <f t="shared" si="127"/>
        <v>634.41405301647956</v>
      </c>
      <c r="BW915" s="71">
        <f t="shared" si="128"/>
        <v>400</v>
      </c>
      <c r="BX915" s="78" cm="1">
        <f t="array" ref="BX915">IF(BM915&gt;0,1,_xll.DCETCVN5575FactorPhi7121(BV915*SQRT($K$17/206000),"b"))</f>
        <v>1</v>
      </c>
      <c r="BY915" s="64">
        <f t="shared" si="129"/>
        <v>1.2005106620015225E-2</v>
      </c>
      <c r="BZ915" s="3" t="str">
        <f t="shared" si="130"/>
        <v>Check</v>
      </c>
    </row>
    <row r="916" spans="1:78">
      <c r="A916" s="76"/>
      <c r="B916" s="76"/>
      <c r="C916" s="125"/>
      <c r="D916" s="125"/>
      <c r="E916" s="71"/>
      <c r="F916" s="71"/>
      <c r="G916" s="71"/>
      <c r="H916" s="126"/>
      <c r="I916" s="125"/>
      <c r="J916" s="123"/>
      <c r="K916" s="12"/>
      <c r="L916" s="117"/>
      <c r="M916" s="12"/>
      <c r="N916" s="117"/>
      <c r="O916" s="117"/>
      <c r="P916" s="117"/>
      <c r="Q916" s="118"/>
      <c r="R916" s="118"/>
      <c r="S916" s="118"/>
      <c r="T916" s="12"/>
      <c r="U916" s="118"/>
      <c r="V916" s="118"/>
      <c r="W916" s="12"/>
      <c r="X916" s="119"/>
      <c r="Y916" s="120"/>
      <c r="Z916" s="12"/>
      <c r="BA916" s="70" t="s">
        <v>205</v>
      </c>
      <c r="BB916" s="71" t="s">
        <v>210</v>
      </c>
      <c r="BC916" s="71" t="s">
        <v>207</v>
      </c>
      <c r="BD916" s="71">
        <v>0.6</v>
      </c>
      <c r="BE916" s="71">
        <v>36</v>
      </c>
      <c r="BF916" s="71">
        <v>390</v>
      </c>
      <c r="BG916" s="71">
        <v>212</v>
      </c>
      <c r="BH916" s="71">
        <v>5</v>
      </c>
      <c r="BI916" s="71">
        <v>10</v>
      </c>
      <c r="BJ916" s="12" t="str" cm="1">
        <f t="array" ref="BJ916">_xll.Dce_Name_SectI(BF916, BF916, BG916, BH916, BI916, "x", "-", $AX$11)</f>
        <v>390x212x5x10</v>
      </c>
      <c r="BK916" s="77" cm="1">
        <f t="array" ref="BK916">_xll.DCEPropSectI(BF916, BH916, BG916, BI916, BG916, BI916, "A")/100</f>
        <v>60.9</v>
      </c>
      <c r="BL916" s="70" t="s">
        <v>225</v>
      </c>
      <c r="BM916" s="70">
        <v>15.353330856337468</v>
      </c>
      <c r="BN916" s="71">
        <v>0.9</v>
      </c>
      <c r="BO916" s="77">
        <f t="shared" si="123"/>
        <v>32.4</v>
      </c>
      <c r="BP916" s="71">
        <v>0.9</v>
      </c>
      <c r="BQ916" s="77">
        <f t="shared" si="124"/>
        <v>32.4</v>
      </c>
      <c r="BR916" s="77" cm="1">
        <f t="array" ref="BR916">_xll.DCEPropSectI(BF916, BH916, BG916, BI916, BG916, BI916, "rx")/10</f>
        <v>16.91131201300167</v>
      </c>
      <c r="BS916" s="77" cm="1">
        <f t="array" ref="BS916">_xll.DCEPropSectI(BF916, BH916, BG916, BI916, BG916, BI916, "ry")/10</f>
        <v>5.1070747638622018</v>
      </c>
      <c r="BT916" s="5">
        <f t="shared" si="125"/>
        <v>191.58773710218577</v>
      </c>
      <c r="BU916" s="5">
        <f t="shared" si="126"/>
        <v>634.41405301647956</v>
      </c>
      <c r="BV916" s="5">
        <f t="shared" si="127"/>
        <v>634.41405301647956</v>
      </c>
      <c r="BW916" s="71">
        <f t="shared" si="128"/>
        <v>400</v>
      </c>
      <c r="BX916" s="78" cm="1">
        <f t="array" ref="BX916">IF(BM916&gt;0,1,_xll.DCETCVN5575FactorPhi7121(BV916*SQRT($K$17/206000),"b"))</f>
        <v>1</v>
      </c>
      <c r="BY916" s="64">
        <f t="shared" si="129"/>
        <v>1.2005106620015225E-2</v>
      </c>
      <c r="BZ916" s="3" t="str">
        <f t="shared" si="130"/>
        <v>Check</v>
      </c>
    </row>
    <row r="917" spans="1:78">
      <c r="A917" s="76"/>
      <c r="B917" s="76"/>
      <c r="C917" s="125"/>
      <c r="D917" s="125"/>
      <c r="E917" s="71"/>
      <c r="F917" s="71"/>
      <c r="G917" s="71"/>
      <c r="H917" s="126"/>
      <c r="I917" s="125"/>
      <c r="J917" s="123"/>
      <c r="K917" s="12"/>
      <c r="L917" s="117"/>
      <c r="M917" s="12"/>
      <c r="N917" s="117"/>
      <c r="O917" s="117"/>
      <c r="P917" s="117"/>
      <c r="Q917" s="118"/>
      <c r="R917" s="118"/>
      <c r="S917" s="118"/>
      <c r="T917" s="12"/>
      <c r="U917" s="118"/>
      <c r="V917" s="118"/>
      <c r="W917" s="12"/>
      <c r="X917" s="119"/>
      <c r="Y917" s="120"/>
      <c r="Z917" s="12"/>
      <c r="BA917" s="70" t="s">
        <v>205</v>
      </c>
      <c r="BB917" s="71" t="s">
        <v>210</v>
      </c>
      <c r="BC917" s="71" t="s">
        <v>207</v>
      </c>
      <c r="BD917" s="71">
        <v>0.6</v>
      </c>
      <c r="BE917" s="71">
        <v>36</v>
      </c>
      <c r="BF917" s="71">
        <v>390</v>
      </c>
      <c r="BG917" s="71">
        <v>212</v>
      </c>
      <c r="BH917" s="71">
        <v>5</v>
      </c>
      <c r="BI917" s="71">
        <v>10</v>
      </c>
      <c r="BJ917" s="12" t="str" cm="1">
        <f t="array" ref="BJ917">_xll.Dce_Name_SectI(BF917, BF917, BG917, BH917, BI917, "x", "-", $AX$11)</f>
        <v>390x212x5x10</v>
      </c>
      <c r="BK917" s="77" cm="1">
        <f t="array" ref="BK917">_xll.DCEPropSectI(BF917, BH917, BG917, BI917, BG917, BI917, "A")/100</f>
        <v>60.9</v>
      </c>
      <c r="BL917" s="70" t="s">
        <v>225</v>
      </c>
      <c r="BM917" s="70">
        <v>12.570580032458441</v>
      </c>
      <c r="BN917" s="71">
        <v>0.9</v>
      </c>
      <c r="BO917" s="77">
        <f t="shared" si="123"/>
        <v>32.4</v>
      </c>
      <c r="BP917" s="71">
        <v>0.9</v>
      </c>
      <c r="BQ917" s="77">
        <f t="shared" si="124"/>
        <v>32.4</v>
      </c>
      <c r="BR917" s="77" cm="1">
        <f t="array" ref="BR917">_xll.DCEPropSectI(BF917, BH917, BG917, BI917, BG917, BI917, "rx")/10</f>
        <v>16.91131201300167</v>
      </c>
      <c r="BS917" s="77" cm="1">
        <f t="array" ref="BS917">_xll.DCEPropSectI(BF917, BH917, BG917, BI917, BG917, BI917, "ry")/10</f>
        <v>5.1070747638622018</v>
      </c>
      <c r="BT917" s="5">
        <f t="shared" si="125"/>
        <v>191.58773710218577</v>
      </c>
      <c r="BU917" s="5">
        <f t="shared" si="126"/>
        <v>634.41405301647956</v>
      </c>
      <c r="BV917" s="5">
        <f t="shared" si="127"/>
        <v>634.41405301647956</v>
      </c>
      <c r="BW917" s="71">
        <f t="shared" si="128"/>
        <v>400</v>
      </c>
      <c r="BX917" s="78" cm="1">
        <f t="array" ref="BX917">IF(BM917&gt;0,1,_xll.DCETCVN5575FactorPhi7121(BV917*SQRT($K$17/206000),"b"))</f>
        <v>1</v>
      </c>
      <c r="BY917" s="64">
        <f t="shared" si="129"/>
        <v>9.8292126299620326E-3</v>
      </c>
      <c r="BZ917" s="3" t="str">
        <f t="shared" si="130"/>
        <v>Check</v>
      </c>
    </row>
    <row r="918" spans="1:78">
      <c r="A918" s="76"/>
      <c r="B918" s="76"/>
      <c r="C918" s="125"/>
      <c r="D918" s="125"/>
      <c r="E918" s="71"/>
      <c r="F918" s="71"/>
      <c r="G918" s="71"/>
      <c r="H918" s="126"/>
      <c r="I918" s="125"/>
      <c r="J918" s="123"/>
      <c r="K918" s="12"/>
      <c r="L918" s="117"/>
      <c r="M918" s="12"/>
      <c r="N918" s="117"/>
      <c r="O918" s="117"/>
      <c r="P918" s="117"/>
      <c r="Q918" s="118"/>
      <c r="R918" s="118"/>
      <c r="S918" s="118"/>
      <c r="T918" s="12"/>
      <c r="U918" s="118"/>
      <c r="V918" s="118"/>
      <c r="W918" s="12"/>
      <c r="X918" s="119"/>
      <c r="Y918" s="120"/>
      <c r="Z918" s="12"/>
      <c r="BA918" s="70" t="s">
        <v>205</v>
      </c>
      <c r="BB918" s="71" t="s">
        <v>210</v>
      </c>
      <c r="BC918" s="71" t="s">
        <v>207</v>
      </c>
      <c r="BD918" s="71">
        <v>1.0900000000000001</v>
      </c>
      <c r="BE918" s="71">
        <v>36</v>
      </c>
      <c r="BF918" s="71">
        <v>390</v>
      </c>
      <c r="BG918" s="71">
        <v>212</v>
      </c>
      <c r="BH918" s="71">
        <v>5</v>
      </c>
      <c r="BI918" s="71">
        <v>10</v>
      </c>
      <c r="BJ918" s="12" t="str" cm="1">
        <f t="array" ref="BJ918">_xll.Dce_Name_SectI(BF918, BF918, BG918, BH918, BI918, "x", "-", $AX$11)</f>
        <v>390x212x5x10</v>
      </c>
      <c r="BK918" s="77" cm="1">
        <f t="array" ref="BK918">_xll.DCEPropSectI(BF918, BH918, BG918, BI918, BG918, BI918, "A")/100</f>
        <v>60.9</v>
      </c>
      <c r="BL918" s="70" t="s">
        <v>225</v>
      </c>
      <c r="BM918" s="70">
        <v>12.570580032458441</v>
      </c>
      <c r="BN918" s="71">
        <v>0.9</v>
      </c>
      <c r="BO918" s="77">
        <f t="shared" si="123"/>
        <v>32.4</v>
      </c>
      <c r="BP918" s="71">
        <v>0.9</v>
      </c>
      <c r="BQ918" s="77">
        <f t="shared" si="124"/>
        <v>32.4</v>
      </c>
      <c r="BR918" s="77" cm="1">
        <f t="array" ref="BR918">_xll.DCEPropSectI(BF918, BH918, BG918, BI918, BG918, BI918, "rx")/10</f>
        <v>16.91131201300167</v>
      </c>
      <c r="BS918" s="77" cm="1">
        <f t="array" ref="BS918">_xll.DCEPropSectI(BF918, BH918, BG918, BI918, BG918, BI918, "ry")/10</f>
        <v>5.1070747638622018</v>
      </c>
      <c r="BT918" s="5">
        <f t="shared" si="125"/>
        <v>191.58773710218577</v>
      </c>
      <c r="BU918" s="5">
        <f t="shared" si="126"/>
        <v>634.41405301647956</v>
      </c>
      <c r="BV918" s="5">
        <f t="shared" si="127"/>
        <v>634.41405301647956</v>
      </c>
      <c r="BW918" s="71">
        <f t="shared" si="128"/>
        <v>400</v>
      </c>
      <c r="BX918" s="78" cm="1">
        <f t="array" ref="BX918">IF(BM918&gt;0,1,_xll.DCETCVN5575FactorPhi7121(BV918*SQRT($K$17/206000),"b"))</f>
        <v>1</v>
      </c>
      <c r="BY918" s="64">
        <f t="shared" si="129"/>
        <v>9.8292126299620326E-3</v>
      </c>
      <c r="BZ918" s="3" t="str">
        <f t="shared" si="130"/>
        <v>Check</v>
      </c>
    </row>
    <row r="919" spans="1:78">
      <c r="A919" s="76"/>
      <c r="B919" s="76"/>
      <c r="C919" s="125"/>
      <c r="D919" s="125"/>
      <c r="E919" s="71"/>
      <c r="F919" s="71"/>
      <c r="G919" s="71"/>
      <c r="H919" s="126"/>
      <c r="I919" s="125"/>
      <c r="J919" s="123"/>
      <c r="K919" s="12"/>
      <c r="L919" s="117"/>
      <c r="M919" s="12"/>
      <c r="N919" s="117"/>
      <c r="O919" s="117"/>
      <c r="P919" s="117"/>
      <c r="Q919" s="118"/>
      <c r="R919" s="118"/>
      <c r="S919" s="118"/>
      <c r="T919" s="12"/>
      <c r="U919" s="118"/>
      <c r="V919" s="118"/>
      <c r="W919" s="12"/>
      <c r="X919" s="119"/>
      <c r="Y919" s="120"/>
      <c r="Z919" s="12"/>
      <c r="BA919" s="70" t="s">
        <v>205</v>
      </c>
      <c r="BB919" s="71" t="s">
        <v>210</v>
      </c>
      <c r="BC919" s="71" t="s">
        <v>207</v>
      </c>
      <c r="BD919" s="71">
        <v>1.59</v>
      </c>
      <c r="BE919" s="71">
        <v>36</v>
      </c>
      <c r="BF919" s="71">
        <v>390</v>
      </c>
      <c r="BG919" s="71">
        <v>212</v>
      </c>
      <c r="BH919" s="71">
        <v>5</v>
      </c>
      <c r="BI919" s="71">
        <v>10</v>
      </c>
      <c r="BJ919" s="12" t="str" cm="1">
        <f t="array" ref="BJ919">_xll.Dce_Name_SectI(BF919, BF919, BG919, BH919, BI919, "x", "-", $AX$11)</f>
        <v>390x212x5x10</v>
      </c>
      <c r="BK919" s="77" cm="1">
        <f t="array" ref="BK919">_xll.DCEPropSectI(BF919, BH919, BG919, BI919, BG919, BI919, "A")/100</f>
        <v>60.9</v>
      </c>
      <c r="BL919" s="70" t="s">
        <v>225</v>
      </c>
      <c r="BM919" s="70">
        <v>12.570580032458441</v>
      </c>
      <c r="BN919" s="71">
        <v>0.9</v>
      </c>
      <c r="BO919" s="77">
        <f t="shared" si="123"/>
        <v>32.4</v>
      </c>
      <c r="BP919" s="71">
        <v>0.9</v>
      </c>
      <c r="BQ919" s="77">
        <f t="shared" si="124"/>
        <v>32.4</v>
      </c>
      <c r="BR919" s="77" cm="1">
        <f t="array" ref="BR919">_xll.DCEPropSectI(BF919, BH919, BG919, BI919, BG919, BI919, "rx")/10</f>
        <v>16.91131201300167</v>
      </c>
      <c r="BS919" s="77" cm="1">
        <f t="array" ref="BS919">_xll.DCEPropSectI(BF919, BH919, BG919, BI919, BG919, BI919, "ry")/10</f>
        <v>5.1070747638622018</v>
      </c>
      <c r="BT919" s="5">
        <f t="shared" si="125"/>
        <v>191.58773710218577</v>
      </c>
      <c r="BU919" s="5">
        <f t="shared" si="126"/>
        <v>634.41405301647956</v>
      </c>
      <c r="BV919" s="5">
        <f t="shared" si="127"/>
        <v>634.41405301647956</v>
      </c>
      <c r="BW919" s="71">
        <f t="shared" si="128"/>
        <v>400</v>
      </c>
      <c r="BX919" s="78" cm="1">
        <f t="array" ref="BX919">IF(BM919&gt;0,1,_xll.DCETCVN5575FactorPhi7121(BV919*SQRT($K$17/206000),"b"))</f>
        <v>1</v>
      </c>
      <c r="BY919" s="64">
        <f t="shared" si="129"/>
        <v>9.8292126299620326E-3</v>
      </c>
      <c r="BZ919" s="3" t="str">
        <f t="shared" si="130"/>
        <v>Check</v>
      </c>
    </row>
    <row r="920" spans="1:78">
      <c r="A920" s="76"/>
      <c r="B920" s="76"/>
      <c r="C920" s="125"/>
      <c r="D920" s="125"/>
      <c r="E920" s="71"/>
      <c r="F920" s="71"/>
      <c r="G920" s="71"/>
      <c r="H920" s="126"/>
      <c r="I920" s="125"/>
      <c r="J920" s="123"/>
      <c r="K920" s="12"/>
      <c r="L920" s="117"/>
      <c r="M920" s="12"/>
      <c r="N920" s="117"/>
      <c r="O920" s="117"/>
      <c r="P920" s="117"/>
      <c r="Q920" s="118"/>
      <c r="R920" s="118"/>
      <c r="S920" s="118"/>
      <c r="T920" s="12"/>
      <c r="U920" s="118"/>
      <c r="V920" s="118"/>
      <c r="W920" s="12"/>
      <c r="X920" s="119"/>
      <c r="Y920" s="120"/>
      <c r="Z920" s="12"/>
      <c r="BA920" s="70" t="s">
        <v>205</v>
      </c>
      <c r="BB920" s="71" t="s">
        <v>210</v>
      </c>
      <c r="BC920" s="71" t="s">
        <v>207</v>
      </c>
      <c r="BD920" s="71">
        <v>2.08</v>
      </c>
      <c r="BE920" s="71">
        <v>36</v>
      </c>
      <c r="BF920" s="71">
        <v>390</v>
      </c>
      <c r="BG920" s="71">
        <v>212</v>
      </c>
      <c r="BH920" s="71">
        <v>5</v>
      </c>
      <c r="BI920" s="71">
        <v>10</v>
      </c>
      <c r="BJ920" s="12" t="str" cm="1">
        <f t="array" ref="BJ920">_xll.Dce_Name_SectI(BF920, BF920, BG920, BH920, BI920, "x", "-", $AX$11)</f>
        <v>390x212x5x10</v>
      </c>
      <c r="BK920" s="77" cm="1">
        <f t="array" ref="BK920">_xll.DCEPropSectI(BF920, BH920, BG920, BI920, BG920, BI920, "A")/100</f>
        <v>60.9</v>
      </c>
      <c r="BL920" s="70" t="s">
        <v>225</v>
      </c>
      <c r="BM920" s="70">
        <v>12.570580032458441</v>
      </c>
      <c r="BN920" s="71">
        <v>0.9</v>
      </c>
      <c r="BO920" s="77">
        <f t="shared" si="123"/>
        <v>32.4</v>
      </c>
      <c r="BP920" s="71">
        <v>0.9</v>
      </c>
      <c r="BQ920" s="77">
        <f t="shared" si="124"/>
        <v>32.4</v>
      </c>
      <c r="BR920" s="77" cm="1">
        <f t="array" ref="BR920">_xll.DCEPropSectI(BF920, BH920, BG920, BI920, BG920, BI920, "rx")/10</f>
        <v>16.91131201300167</v>
      </c>
      <c r="BS920" s="77" cm="1">
        <f t="array" ref="BS920">_xll.DCEPropSectI(BF920, BH920, BG920, BI920, BG920, BI920, "ry")/10</f>
        <v>5.1070747638622018</v>
      </c>
      <c r="BT920" s="5">
        <f t="shared" si="125"/>
        <v>191.58773710218577</v>
      </c>
      <c r="BU920" s="5">
        <f t="shared" si="126"/>
        <v>634.41405301647956</v>
      </c>
      <c r="BV920" s="5">
        <f t="shared" si="127"/>
        <v>634.41405301647956</v>
      </c>
      <c r="BW920" s="71">
        <f t="shared" si="128"/>
        <v>400</v>
      </c>
      <c r="BX920" s="78" cm="1">
        <f t="array" ref="BX920">IF(BM920&gt;0,1,_xll.DCETCVN5575FactorPhi7121(BV920*SQRT($K$17/206000),"b"))</f>
        <v>1</v>
      </c>
      <c r="BY920" s="64">
        <f t="shared" si="129"/>
        <v>9.8292126299620326E-3</v>
      </c>
      <c r="BZ920" s="3" t="str">
        <f t="shared" si="130"/>
        <v>Check</v>
      </c>
    </row>
    <row r="921" spans="1:78">
      <c r="A921" s="76"/>
      <c r="B921" s="76"/>
      <c r="C921" s="125"/>
      <c r="D921" s="125"/>
      <c r="E921" s="71"/>
      <c r="F921" s="71"/>
      <c r="G921" s="71"/>
      <c r="H921" s="126"/>
      <c r="I921" s="125"/>
      <c r="J921" s="123"/>
      <c r="K921" s="12"/>
      <c r="L921" s="117"/>
      <c r="M921" s="12"/>
      <c r="N921" s="117"/>
      <c r="O921" s="117"/>
      <c r="P921" s="117"/>
      <c r="Q921" s="118"/>
      <c r="R921" s="118"/>
      <c r="S921" s="118"/>
      <c r="T921" s="12"/>
      <c r="U921" s="118"/>
      <c r="V921" s="118"/>
      <c r="W921" s="12"/>
      <c r="X921" s="119"/>
      <c r="Y921" s="120"/>
      <c r="Z921" s="12"/>
      <c r="BA921" s="70" t="s">
        <v>205</v>
      </c>
      <c r="BB921" s="71" t="s">
        <v>210</v>
      </c>
      <c r="BC921" s="71" t="s">
        <v>207</v>
      </c>
      <c r="BD921" s="71">
        <v>2.57</v>
      </c>
      <c r="BE921" s="71">
        <v>36</v>
      </c>
      <c r="BF921" s="71">
        <v>390</v>
      </c>
      <c r="BG921" s="71">
        <v>212</v>
      </c>
      <c r="BH921" s="71">
        <v>5</v>
      </c>
      <c r="BI921" s="71">
        <v>10</v>
      </c>
      <c r="BJ921" s="12" t="str" cm="1">
        <f t="array" ref="BJ921">_xll.Dce_Name_SectI(BF921, BF921, BG921, BH921, BI921, "x", "-", $AX$11)</f>
        <v>390x212x5x10</v>
      </c>
      <c r="BK921" s="77" cm="1">
        <f t="array" ref="BK921">_xll.DCEPropSectI(BF921, BH921, BG921, BI921, BG921, BI921, "A")/100</f>
        <v>60.9</v>
      </c>
      <c r="BL921" s="70" t="s">
        <v>225</v>
      </c>
      <c r="BM921" s="70">
        <v>12.570580032458441</v>
      </c>
      <c r="BN921" s="71">
        <v>0.9</v>
      </c>
      <c r="BO921" s="77">
        <f t="shared" si="123"/>
        <v>32.4</v>
      </c>
      <c r="BP921" s="71">
        <v>0.9</v>
      </c>
      <c r="BQ921" s="77">
        <f t="shared" si="124"/>
        <v>32.4</v>
      </c>
      <c r="BR921" s="77" cm="1">
        <f t="array" ref="BR921">_xll.DCEPropSectI(BF921, BH921, BG921, BI921, BG921, BI921, "rx")/10</f>
        <v>16.91131201300167</v>
      </c>
      <c r="BS921" s="77" cm="1">
        <f t="array" ref="BS921">_xll.DCEPropSectI(BF921, BH921, BG921, BI921, BG921, BI921, "ry")/10</f>
        <v>5.1070747638622018</v>
      </c>
      <c r="BT921" s="5">
        <f t="shared" si="125"/>
        <v>191.58773710218577</v>
      </c>
      <c r="BU921" s="5">
        <f t="shared" si="126"/>
        <v>634.41405301647956</v>
      </c>
      <c r="BV921" s="5">
        <f t="shared" si="127"/>
        <v>634.41405301647956</v>
      </c>
      <c r="BW921" s="71">
        <f t="shared" si="128"/>
        <v>400</v>
      </c>
      <c r="BX921" s="78" cm="1">
        <f t="array" ref="BX921">IF(BM921&gt;0,1,_xll.DCETCVN5575FactorPhi7121(BV921*SQRT($K$17/206000),"b"))</f>
        <v>1</v>
      </c>
      <c r="BY921" s="64">
        <f t="shared" si="129"/>
        <v>9.8292126299620326E-3</v>
      </c>
      <c r="BZ921" s="3" t="str">
        <f t="shared" si="130"/>
        <v>Check</v>
      </c>
    </row>
    <row r="922" spans="1:78">
      <c r="A922" s="76"/>
      <c r="B922" s="76"/>
      <c r="C922" s="125"/>
      <c r="D922" s="125"/>
      <c r="E922" s="71"/>
      <c r="F922" s="71"/>
      <c r="G922" s="71"/>
      <c r="H922" s="126"/>
      <c r="I922" s="125"/>
      <c r="J922" s="123"/>
      <c r="K922" s="12"/>
      <c r="L922" s="117"/>
      <c r="M922" s="12"/>
      <c r="N922" s="117"/>
      <c r="O922" s="117"/>
      <c r="P922" s="117"/>
      <c r="Q922" s="118"/>
      <c r="R922" s="118"/>
      <c r="S922" s="118"/>
      <c r="T922" s="12"/>
      <c r="U922" s="118"/>
      <c r="V922" s="118"/>
      <c r="W922" s="12"/>
      <c r="X922" s="119"/>
      <c r="Y922" s="120"/>
      <c r="Z922" s="12"/>
      <c r="BA922" s="70" t="s">
        <v>205</v>
      </c>
      <c r="BB922" s="71" t="s">
        <v>210</v>
      </c>
      <c r="BC922" s="71" t="s">
        <v>207</v>
      </c>
      <c r="BD922" s="71">
        <v>3.06</v>
      </c>
      <c r="BE922" s="71">
        <v>36</v>
      </c>
      <c r="BF922" s="71">
        <v>390</v>
      </c>
      <c r="BG922" s="71">
        <v>212</v>
      </c>
      <c r="BH922" s="71">
        <v>5</v>
      </c>
      <c r="BI922" s="71">
        <v>10</v>
      </c>
      <c r="BJ922" s="12" t="str" cm="1">
        <f t="array" ref="BJ922">_xll.Dce_Name_SectI(BF922, BF922, BG922, BH922, BI922, "x", "-", $AX$11)</f>
        <v>390x212x5x10</v>
      </c>
      <c r="BK922" s="77" cm="1">
        <f t="array" ref="BK922">_xll.DCEPropSectI(BF922, BH922, BG922, BI922, BG922, BI922, "A")/100</f>
        <v>60.9</v>
      </c>
      <c r="BL922" s="70" t="s">
        <v>225</v>
      </c>
      <c r="BM922" s="70">
        <v>12.570580032458441</v>
      </c>
      <c r="BN922" s="71">
        <v>0.9</v>
      </c>
      <c r="BO922" s="77">
        <f t="shared" si="123"/>
        <v>32.4</v>
      </c>
      <c r="BP922" s="71">
        <v>0.9</v>
      </c>
      <c r="BQ922" s="77">
        <f t="shared" si="124"/>
        <v>32.4</v>
      </c>
      <c r="BR922" s="77" cm="1">
        <f t="array" ref="BR922">_xll.DCEPropSectI(BF922, BH922, BG922, BI922, BG922, BI922, "rx")/10</f>
        <v>16.91131201300167</v>
      </c>
      <c r="BS922" s="77" cm="1">
        <f t="array" ref="BS922">_xll.DCEPropSectI(BF922, BH922, BG922, BI922, BG922, BI922, "ry")/10</f>
        <v>5.1070747638622018</v>
      </c>
      <c r="BT922" s="5">
        <f t="shared" si="125"/>
        <v>191.58773710218577</v>
      </c>
      <c r="BU922" s="5">
        <f t="shared" si="126"/>
        <v>634.41405301647956</v>
      </c>
      <c r="BV922" s="5">
        <f t="shared" si="127"/>
        <v>634.41405301647956</v>
      </c>
      <c r="BW922" s="71">
        <f t="shared" si="128"/>
        <v>400</v>
      </c>
      <c r="BX922" s="78" cm="1">
        <f t="array" ref="BX922">IF(BM922&gt;0,1,_xll.DCETCVN5575FactorPhi7121(BV922*SQRT($K$17/206000),"b"))</f>
        <v>1</v>
      </c>
      <c r="BY922" s="64">
        <f t="shared" si="129"/>
        <v>9.8292126299620326E-3</v>
      </c>
      <c r="BZ922" s="3" t="str">
        <f t="shared" si="130"/>
        <v>Check</v>
      </c>
    </row>
    <row r="923" spans="1:78">
      <c r="A923" s="76"/>
      <c r="B923" s="76"/>
      <c r="C923" s="125"/>
      <c r="D923" s="125"/>
      <c r="E923" s="71"/>
      <c r="F923" s="71"/>
      <c r="G923" s="71"/>
      <c r="H923" s="126"/>
      <c r="I923" s="125"/>
      <c r="J923" s="123"/>
      <c r="K923" s="12"/>
      <c r="L923" s="117"/>
      <c r="M923" s="12"/>
      <c r="N923" s="117"/>
      <c r="O923" s="117"/>
      <c r="P923" s="117"/>
      <c r="Q923" s="118"/>
      <c r="R923" s="118"/>
      <c r="S923" s="118"/>
      <c r="T923" s="12"/>
      <c r="U923" s="118"/>
      <c r="V923" s="118"/>
      <c r="W923" s="12"/>
      <c r="X923" s="119"/>
      <c r="Y923" s="120"/>
      <c r="Z923" s="12"/>
      <c r="BA923" s="70" t="s">
        <v>205</v>
      </c>
      <c r="BB923" s="71" t="s">
        <v>210</v>
      </c>
      <c r="BC923" s="71" t="s">
        <v>207</v>
      </c>
      <c r="BD923" s="71">
        <v>3.56</v>
      </c>
      <c r="BE923" s="71">
        <v>36</v>
      </c>
      <c r="BF923" s="71">
        <v>390</v>
      </c>
      <c r="BG923" s="71">
        <v>212</v>
      </c>
      <c r="BH923" s="71">
        <v>5</v>
      </c>
      <c r="BI923" s="71">
        <v>10</v>
      </c>
      <c r="BJ923" s="12" t="str" cm="1">
        <f t="array" ref="BJ923">_xll.Dce_Name_SectI(BF923, BF923, BG923, BH923, BI923, "x", "-", $AX$11)</f>
        <v>390x212x5x10</v>
      </c>
      <c r="BK923" s="77" cm="1">
        <f t="array" ref="BK923">_xll.DCEPropSectI(BF923, BH923, BG923, BI923, BG923, BI923, "A")/100</f>
        <v>60.9</v>
      </c>
      <c r="BL923" s="70" t="s">
        <v>225</v>
      </c>
      <c r="BM923" s="70">
        <v>12.570580032458441</v>
      </c>
      <c r="BN923" s="71">
        <v>0.9</v>
      </c>
      <c r="BO923" s="77">
        <f t="shared" si="123"/>
        <v>32.4</v>
      </c>
      <c r="BP923" s="71">
        <v>0.9</v>
      </c>
      <c r="BQ923" s="77">
        <f t="shared" si="124"/>
        <v>32.4</v>
      </c>
      <c r="BR923" s="77" cm="1">
        <f t="array" ref="BR923">_xll.DCEPropSectI(BF923, BH923, BG923, BI923, BG923, BI923, "rx")/10</f>
        <v>16.91131201300167</v>
      </c>
      <c r="BS923" s="77" cm="1">
        <f t="array" ref="BS923">_xll.DCEPropSectI(BF923, BH923, BG923, BI923, BG923, BI923, "ry")/10</f>
        <v>5.1070747638622018</v>
      </c>
      <c r="BT923" s="5">
        <f t="shared" si="125"/>
        <v>191.58773710218577</v>
      </c>
      <c r="BU923" s="5">
        <f t="shared" si="126"/>
        <v>634.41405301647956</v>
      </c>
      <c r="BV923" s="5">
        <f t="shared" si="127"/>
        <v>634.41405301647956</v>
      </c>
      <c r="BW923" s="71">
        <f t="shared" si="128"/>
        <v>400</v>
      </c>
      <c r="BX923" s="78" cm="1">
        <f t="array" ref="BX923">IF(BM923&gt;0,1,_xll.DCETCVN5575FactorPhi7121(BV923*SQRT($K$17/206000),"b"))</f>
        <v>1</v>
      </c>
      <c r="BY923" s="64">
        <f t="shared" si="129"/>
        <v>9.8292126299620326E-3</v>
      </c>
      <c r="BZ923" s="3" t="str">
        <f t="shared" si="130"/>
        <v>Check</v>
      </c>
    </row>
    <row r="924" spans="1:78">
      <c r="A924" s="76"/>
      <c r="B924" s="76"/>
      <c r="C924" s="125"/>
      <c r="D924" s="125"/>
      <c r="E924" s="71"/>
      <c r="F924" s="71"/>
      <c r="G924" s="71"/>
      <c r="H924" s="126"/>
      <c r="I924" s="125"/>
      <c r="J924" s="123"/>
      <c r="K924" s="12"/>
      <c r="L924" s="117"/>
      <c r="M924" s="12"/>
      <c r="N924" s="117"/>
      <c r="O924" s="117"/>
      <c r="P924" s="117"/>
      <c r="Q924" s="118"/>
      <c r="R924" s="118"/>
      <c r="S924" s="118"/>
      <c r="T924" s="12"/>
      <c r="U924" s="118"/>
      <c r="V924" s="118"/>
      <c r="W924" s="12"/>
      <c r="X924" s="119"/>
      <c r="Y924" s="120"/>
      <c r="Z924" s="12"/>
      <c r="BA924" s="70" t="s">
        <v>205</v>
      </c>
      <c r="BB924" s="71" t="s">
        <v>210</v>
      </c>
      <c r="BC924" s="71" t="s">
        <v>207</v>
      </c>
      <c r="BD924" s="71">
        <v>4.05</v>
      </c>
      <c r="BE924" s="71">
        <v>36</v>
      </c>
      <c r="BF924" s="71">
        <v>390</v>
      </c>
      <c r="BG924" s="71">
        <v>212</v>
      </c>
      <c r="BH924" s="71">
        <v>5</v>
      </c>
      <c r="BI924" s="71">
        <v>10</v>
      </c>
      <c r="BJ924" s="12" t="str" cm="1">
        <f t="array" ref="BJ924">_xll.Dce_Name_SectI(BF924, BF924, BG924, BH924, BI924, "x", "-", $AX$11)</f>
        <v>390x212x5x10</v>
      </c>
      <c r="BK924" s="77" cm="1">
        <f t="array" ref="BK924">_xll.DCEPropSectI(BF924, BH924, BG924, BI924, BG924, BI924, "A")/100</f>
        <v>60.9</v>
      </c>
      <c r="BL924" s="70" t="s">
        <v>225</v>
      </c>
      <c r="BM924" s="70">
        <v>12.570580032458441</v>
      </c>
      <c r="BN924" s="71">
        <v>0.9</v>
      </c>
      <c r="BO924" s="77">
        <f t="shared" si="123"/>
        <v>32.4</v>
      </c>
      <c r="BP924" s="71">
        <v>0.9</v>
      </c>
      <c r="BQ924" s="77">
        <f t="shared" si="124"/>
        <v>32.4</v>
      </c>
      <c r="BR924" s="77" cm="1">
        <f t="array" ref="BR924">_xll.DCEPropSectI(BF924, BH924, BG924, BI924, BG924, BI924, "rx")/10</f>
        <v>16.91131201300167</v>
      </c>
      <c r="BS924" s="77" cm="1">
        <f t="array" ref="BS924">_xll.DCEPropSectI(BF924, BH924, BG924, BI924, BG924, BI924, "ry")/10</f>
        <v>5.1070747638622018</v>
      </c>
      <c r="BT924" s="5">
        <f t="shared" si="125"/>
        <v>191.58773710218577</v>
      </c>
      <c r="BU924" s="5">
        <f t="shared" si="126"/>
        <v>634.41405301647956</v>
      </c>
      <c r="BV924" s="5">
        <f t="shared" si="127"/>
        <v>634.41405301647956</v>
      </c>
      <c r="BW924" s="71">
        <f t="shared" si="128"/>
        <v>400</v>
      </c>
      <c r="BX924" s="78" cm="1">
        <f t="array" ref="BX924">IF(BM924&gt;0,1,_xll.DCETCVN5575FactorPhi7121(BV924*SQRT($K$17/206000),"b"))</f>
        <v>1</v>
      </c>
      <c r="BY924" s="64">
        <f t="shared" si="129"/>
        <v>9.8292126299620326E-3</v>
      </c>
      <c r="BZ924" s="3" t="str">
        <f t="shared" si="130"/>
        <v>Check</v>
      </c>
    </row>
    <row r="925" spans="1:78">
      <c r="A925" s="76"/>
      <c r="B925" s="76"/>
      <c r="C925" s="125"/>
      <c r="D925" s="125"/>
      <c r="E925" s="71"/>
      <c r="F925" s="71"/>
      <c r="G925" s="71"/>
      <c r="H925" s="126"/>
      <c r="I925" s="125"/>
      <c r="J925" s="123"/>
      <c r="K925" s="12"/>
      <c r="L925" s="117"/>
      <c r="M925" s="12"/>
      <c r="N925" s="117"/>
      <c r="O925" s="117"/>
      <c r="P925" s="117"/>
      <c r="Q925" s="118"/>
      <c r="R925" s="118"/>
      <c r="S925" s="118"/>
      <c r="T925" s="12"/>
      <c r="U925" s="118"/>
      <c r="V925" s="118"/>
      <c r="W925" s="12"/>
      <c r="X925" s="119"/>
      <c r="Y925" s="120"/>
      <c r="Z925" s="12"/>
      <c r="BA925" s="70" t="s">
        <v>205</v>
      </c>
      <c r="BB925" s="71" t="s">
        <v>210</v>
      </c>
      <c r="BC925" s="71" t="s">
        <v>207</v>
      </c>
      <c r="BD925" s="71">
        <v>4.54</v>
      </c>
      <c r="BE925" s="71">
        <v>36</v>
      </c>
      <c r="BF925" s="71">
        <v>390</v>
      </c>
      <c r="BG925" s="71">
        <v>212</v>
      </c>
      <c r="BH925" s="71">
        <v>5</v>
      </c>
      <c r="BI925" s="71">
        <v>10</v>
      </c>
      <c r="BJ925" s="12" t="str" cm="1">
        <f t="array" ref="BJ925">_xll.Dce_Name_SectI(BF925, BF925, BG925, BH925, BI925, "x", "-", $AX$11)</f>
        <v>390x212x5x10</v>
      </c>
      <c r="BK925" s="77" cm="1">
        <f t="array" ref="BK925">_xll.DCEPropSectI(BF925, BH925, BG925, BI925, BG925, BI925, "A")/100</f>
        <v>60.9</v>
      </c>
      <c r="BL925" s="70" t="s">
        <v>225</v>
      </c>
      <c r="BM925" s="70">
        <v>12.570580032458441</v>
      </c>
      <c r="BN925" s="71">
        <v>0.9</v>
      </c>
      <c r="BO925" s="77">
        <f t="shared" si="123"/>
        <v>32.4</v>
      </c>
      <c r="BP925" s="71">
        <v>0.9</v>
      </c>
      <c r="BQ925" s="77">
        <f t="shared" si="124"/>
        <v>32.4</v>
      </c>
      <c r="BR925" s="77" cm="1">
        <f t="array" ref="BR925">_xll.DCEPropSectI(BF925, BH925, BG925, BI925, BG925, BI925, "rx")/10</f>
        <v>16.91131201300167</v>
      </c>
      <c r="BS925" s="77" cm="1">
        <f t="array" ref="BS925">_xll.DCEPropSectI(BF925, BH925, BG925, BI925, BG925, BI925, "ry")/10</f>
        <v>5.1070747638622018</v>
      </c>
      <c r="BT925" s="5">
        <f t="shared" si="125"/>
        <v>191.58773710218577</v>
      </c>
      <c r="BU925" s="5">
        <f t="shared" si="126"/>
        <v>634.41405301647956</v>
      </c>
      <c r="BV925" s="5">
        <f t="shared" si="127"/>
        <v>634.41405301647956</v>
      </c>
      <c r="BW925" s="71">
        <f t="shared" si="128"/>
        <v>400</v>
      </c>
      <c r="BX925" s="78" cm="1">
        <f t="array" ref="BX925">IF(BM925&gt;0,1,_xll.DCETCVN5575FactorPhi7121(BV925*SQRT($K$17/206000),"b"))</f>
        <v>1</v>
      </c>
      <c r="BY925" s="64">
        <f t="shared" si="129"/>
        <v>9.8292126299620326E-3</v>
      </c>
      <c r="BZ925" s="3" t="str">
        <f t="shared" si="130"/>
        <v>Check</v>
      </c>
    </row>
    <row r="926" spans="1:78">
      <c r="A926" s="76"/>
      <c r="B926" s="76"/>
      <c r="C926" s="125"/>
      <c r="D926" s="125"/>
      <c r="E926" s="71"/>
      <c r="F926" s="71"/>
      <c r="G926" s="71"/>
      <c r="H926" s="126"/>
      <c r="I926" s="125"/>
      <c r="J926" s="123"/>
      <c r="K926" s="12"/>
      <c r="L926" s="117"/>
      <c r="M926" s="12"/>
      <c r="N926" s="117"/>
      <c r="O926" s="117"/>
      <c r="P926" s="117"/>
      <c r="Q926" s="118"/>
      <c r="R926" s="118"/>
      <c r="S926" s="118"/>
      <c r="T926" s="12"/>
      <c r="U926" s="118"/>
      <c r="V926" s="118"/>
      <c r="W926" s="12"/>
      <c r="X926" s="119"/>
      <c r="Y926" s="120"/>
      <c r="Z926" s="12"/>
      <c r="BA926" s="70" t="s">
        <v>205</v>
      </c>
      <c r="BB926" s="71" t="s">
        <v>210</v>
      </c>
      <c r="BC926" s="71" t="s">
        <v>207</v>
      </c>
      <c r="BD926" s="71">
        <v>5.04</v>
      </c>
      <c r="BE926" s="71">
        <v>36</v>
      </c>
      <c r="BF926" s="71">
        <v>390</v>
      </c>
      <c r="BG926" s="71">
        <v>212</v>
      </c>
      <c r="BH926" s="71">
        <v>5</v>
      </c>
      <c r="BI926" s="71">
        <v>10</v>
      </c>
      <c r="BJ926" s="12" t="str" cm="1">
        <f t="array" ref="BJ926">_xll.Dce_Name_SectI(BF926, BF926, BG926, BH926, BI926, "x", "-", $AX$11)</f>
        <v>390x212x5x10</v>
      </c>
      <c r="BK926" s="77" cm="1">
        <f t="array" ref="BK926">_xll.DCEPropSectI(BF926, BH926, BG926, BI926, BG926, BI926, "A")/100</f>
        <v>60.9</v>
      </c>
      <c r="BL926" s="70" t="s">
        <v>225</v>
      </c>
      <c r="BM926" s="70">
        <v>12.570580032458441</v>
      </c>
      <c r="BN926" s="71">
        <v>0.9</v>
      </c>
      <c r="BO926" s="77">
        <f t="shared" si="123"/>
        <v>32.4</v>
      </c>
      <c r="BP926" s="71">
        <v>0.9</v>
      </c>
      <c r="BQ926" s="77">
        <f t="shared" si="124"/>
        <v>32.4</v>
      </c>
      <c r="BR926" s="77" cm="1">
        <f t="array" ref="BR926">_xll.DCEPropSectI(BF926, BH926, BG926, BI926, BG926, BI926, "rx")/10</f>
        <v>16.91131201300167</v>
      </c>
      <c r="BS926" s="77" cm="1">
        <f t="array" ref="BS926">_xll.DCEPropSectI(BF926, BH926, BG926, BI926, BG926, BI926, "ry")/10</f>
        <v>5.1070747638622018</v>
      </c>
      <c r="BT926" s="5">
        <f t="shared" si="125"/>
        <v>191.58773710218577</v>
      </c>
      <c r="BU926" s="5">
        <f t="shared" si="126"/>
        <v>634.41405301647956</v>
      </c>
      <c r="BV926" s="5">
        <f t="shared" si="127"/>
        <v>634.41405301647956</v>
      </c>
      <c r="BW926" s="71">
        <f t="shared" si="128"/>
        <v>400</v>
      </c>
      <c r="BX926" s="78" cm="1">
        <f t="array" ref="BX926">IF(BM926&gt;0,1,_xll.DCETCVN5575FactorPhi7121(BV926*SQRT($K$17/206000),"b"))</f>
        <v>1</v>
      </c>
      <c r="BY926" s="64">
        <f t="shared" si="129"/>
        <v>9.8292126299620326E-3</v>
      </c>
      <c r="BZ926" s="3" t="str">
        <f t="shared" si="130"/>
        <v>Check</v>
      </c>
    </row>
    <row r="927" spans="1:78">
      <c r="A927" s="76"/>
      <c r="B927" s="76"/>
      <c r="C927" s="125"/>
      <c r="D927" s="125"/>
      <c r="E927" s="71"/>
      <c r="F927" s="71"/>
      <c r="G927" s="71"/>
      <c r="H927" s="126"/>
      <c r="I927" s="125"/>
      <c r="J927" s="123"/>
      <c r="K927" s="12"/>
      <c r="L927" s="117"/>
      <c r="M927" s="12"/>
      <c r="N927" s="117"/>
      <c r="O927" s="117"/>
      <c r="P927" s="117"/>
      <c r="Q927" s="118"/>
      <c r="R927" s="118"/>
      <c r="S927" s="118"/>
      <c r="T927" s="12"/>
      <c r="U927" s="118"/>
      <c r="V927" s="118"/>
      <c r="W927" s="12"/>
      <c r="X927" s="119"/>
      <c r="Y927" s="120"/>
      <c r="Z927" s="12"/>
      <c r="BA927" s="70" t="s">
        <v>205</v>
      </c>
      <c r="BB927" s="71" t="s">
        <v>210</v>
      </c>
      <c r="BC927" s="71" t="s">
        <v>207</v>
      </c>
      <c r="BD927" s="71">
        <v>5.53</v>
      </c>
      <c r="BE927" s="71">
        <v>36</v>
      </c>
      <c r="BF927" s="71">
        <v>390</v>
      </c>
      <c r="BG927" s="71">
        <v>212</v>
      </c>
      <c r="BH927" s="71">
        <v>5</v>
      </c>
      <c r="BI927" s="71">
        <v>10</v>
      </c>
      <c r="BJ927" s="12" t="str" cm="1">
        <f t="array" ref="BJ927">_xll.Dce_Name_SectI(BF927, BF927, BG927, BH927, BI927, "x", "-", $AX$11)</f>
        <v>390x212x5x10</v>
      </c>
      <c r="BK927" s="77" cm="1">
        <f t="array" ref="BK927">_xll.DCEPropSectI(BF927, BH927, BG927, BI927, BG927, BI927, "A")/100</f>
        <v>60.9</v>
      </c>
      <c r="BL927" s="70" t="s">
        <v>225</v>
      </c>
      <c r="BM927" s="70">
        <v>12.570580032458441</v>
      </c>
      <c r="BN927" s="71">
        <v>0.9</v>
      </c>
      <c r="BO927" s="77">
        <f t="shared" si="123"/>
        <v>32.4</v>
      </c>
      <c r="BP927" s="71">
        <v>0.9</v>
      </c>
      <c r="BQ927" s="77">
        <f t="shared" si="124"/>
        <v>32.4</v>
      </c>
      <c r="BR927" s="77" cm="1">
        <f t="array" ref="BR927">_xll.DCEPropSectI(BF927, BH927, BG927, BI927, BG927, BI927, "rx")/10</f>
        <v>16.91131201300167</v>
      </c>
      <c r="BS927" s="77" cm="1">
        <f t="array" ref="BS927">_xll.DCEPropSectI(BF927, BH927, BG927, BI927, BG927, BI927, "ry")/10</f>
        <v>5.1070747638622018</v>
      </c>
      <c r="BT927" s="5">
        <f t="shared" si="125"/>
        <v>191.58773710218577</v>
      </c>
      <c r="BU927" s="5">
        <f t="shared" si="126"/>
        <v>634.41405301647956</v>
      </c>
      <c r="BV927" s="5">
        <f t="shared" si="127"/>
        <v>634.41405301647956</v>
      </c>
      <c r="BW927" s="71">
        <f t="shared" si="128"/>
        <v>400</v>
      </c>
      <c r="BX927" s="78" cm="1">
        <f t="array" ref="BX927">IF(BM927&gt;0,1,_xll.DCETCVN5575FactorPhi7121(BV927*SQRT($K$17/206000),"b"))</f>
        <v>1</v>
      </c>
      <c r="BY927" s="64">
        <f t="shared" si="129"/>
        <v>9.8292126299620326E-3</v>
      </c>
      <c r="BZ927" s="3" t="str">
        <f t="shared" si="130"/>
        <v>Check</v>
      </c>
    </row>
    <row r="928" spans="1:78">
      <c r="A928" s="76"/>
      <c r="B928" s="76"/>
      <c r="C928" s="125"/>
      <c r="D928" s="125"/>
      <c r="E928" s="71"/>
      <c r="F928" s="71"/>
      <c r="G928" s="71"/>
      <c r="H928" s="126"/>
      <c r="I928" s="125"/>
      <c r="J928" s="123"/>
      <c r="K928" s="12"/>
      <c r="L928" s="117"/>
      <c r="M928" s="12"/>
      <c r="N928" s="117"/>
      <c r="O928" s="117"/>
      <c r="P928" s="117"/>
      <c r="Q928" s="118"/>
      <c r="R928" s="118"/>
      <c r="S928" s="118"/>
      <c r="T928" s="12"/>
      <c r="U928" s="118"/>
      <c r="V928" s="118"/>
      <c r="W928" s="12"/>
      <c r="X928" s="119"/>
      <c r="Y928" s="120"/>
      <c r="Z928" s="12"/>
      <c r="BA928" s="70" t="s">
        <v>205</v>
      </c>
      <c r="BB928" s="71" t="s">
        <v>210</v>
      </c>
      <c r="BC928" s="71" t="s">
        <v>207</v>
      </c>
      <c r="BD928" s="71">
        <v>6.02</v>
      </c>
      <c r="BE928" s="71">
        <v>36</v>
      </c>
      <c r="BF928" s="71">
        <v>390</v>
      </c>
      <c r="BG928" s="71">
        <v>212</v>
      </c>
      <c r="BH928" s="71">
        <v>5</v>
      </c>
      <c r="BI928" s="71">
        <v>10</v>
      </c>
      <c r="BJ928" s="12" t="str" cm="1">
        <f t="array" ref="BJ928">_xll.Dce_Name_SectI(BF928, BF928, BG928, BH928, BI928, "x", "-", $AX$11)</f>
        <v>390x212x5x10</v>
      </c>
      <c r="BK928" s="77" cm="1">
        <f t="array" ref="BK928">_xll.DCEPropSectI(BF928, BH928, BG928, BI928, BG928, BI928, "A")/100</f>
        <v>60.9</v>
      </c>
      <c r="BL928" s="70" t="s">
        <v>225</v>
      </c>
      <c r="BM928" s="70">
        <v>12.570580032458441</v>
      </c>
      <c r="BN928" s="71">
        <v>0.9</v>
      </c>
      <c r="BO928" s="77">
        <f t="shared" si="123"/>
        <v>32.4</v>
      </c>
      <c r="BP928" s="71">
        <v>0.9</v>
      </c>
      <c r="BQ928" s="77">
        <f t="shared" si="124"/>
        <v>32.4</v>
      </c>
      <c r="BR928" s="77" cm="1">
        <f t="array" ref="BR928">_xll.DCEPropSectI(BF928, BH928, BG928, BI928, BG928, BI928, "rx")/10</f>
        <v>16.91131201300167</v>
      </c>
      <c r="BS928" s="77" cm="1">
        <f t="array" ref="BS928">_xll.DCEPropSectI(BF928, BH928, BG928, BI928, BG928, BI928, "ry")/10</f>
        <v>5.1070747638622018</v>
      </c>
      <c r="BT928" s="5">
        <f t="shared" si="125"/>
        <v>191.58773710218577</v>
      </c>
      <c r="BU928" s="5">
        <f t="shared" si="126"/>
        <v>634.41405301647956</v>
      </c>
      <c r="BV928" s="5">
        <f t="shared" si="127"/>
        <v>634.41405301647956</v>
      </c>
      <c r="BW928" s="71">
        <f t="shared" si="128"/>
        <v>400</v>
      </c>
      <c r="BX928" s="78" cm="1">
        <f t="array" ref="BX928">IF(BM928&gt;0,1,_xll.DCETCVN5575FactorPhi7121(BV928*SQRT($K$17/206000),"b"))</f>
        <v>1</v>
      </c>
      <c r="BY928" s="64">
        <f t="shared" si="129"/>
        <v>9.8292126299620326E-3</v>
      </c>
      <c r="BZ928" s="3" t="str">
        <f t="shared" si="130"/>
        <v>Check</v>
      </c>
    </row>
    <row r="929" spans="1:78">
      <c r="A929" s="76"/>
      <c r="B929" s="76"/>
      <c r="C929" s="125"/>
      <c r="D929" s="125"/>
      <c r="E929" s="71"/>
      <c r="F929" s="71"/>
      <c r="G929" s="71"/>
      <c r="H929" s="126"/>
      <c r="I929" s="125"/>
      <c r="J929" s="123"/>
      <c r="K929" s="12"/>
      <c r="L929" s="117"/>
      <c r="M929" s="12"/>
      <c r="N929" s="117"/>
      <c r="O929" s="117"/>
      <c r="P929" s="117"/>
      <c r="Q929" s="118"/>
      <c r="R929" s="118"/>
      <c r="S929" s="118"/>
      <c r="T929" s="12"/>
      <c r="U929" s="118"/>
      <c r="V929" s="118"/>
      <c r="W929" s="12"/>
      <c r="X929" s="119"/>
      <c r="Y929" s="120"/>
      <c r="Z929" s="12"/>
      <c r="BA929" s="70" t="s">
        <v>205</v>
      </c>
      <c r="BB929" s="71" t="s">
        <v>210</v>
      </c>
      <c r="BC929" s="71" t="s">
        <v>207</v>
      </c>
      <c r="BD929" s="71">
        <v>6.51</v>
      </c>
      <c r="BE929" s="71">
        <v>36</v>
      </c>
      <c r="BF929" s="71">
        <v>390</v>
      </c>
      <c r="BG929" s="71">
        <v>212</v>
      </c>
      <c r="BH929" s="71">
        <v>5</v>
      </c>
      <c r="BI929" s="71">
        <v>10</v>
      </c>
      <c r="BJ929" s="12" t="str" cm="1">
        <f t="array" ref="BJ929">_xll.Dce_Name_SectI(BF929, BF929, BG929, BH929, BI929, "x", "-", $AX$11)</f>
        <v>390x212x5x10</v>
      </c>
      <c r="BK929" s="77" cm="1">
        <f t="array" ref="BK929">_xll.DCEPropSectI(BF929, BH929, BG929, BI929, BG929, BI929, "A")/100</f>
        <v>60.9</v>
      </c>
      <c r="BL929" s="70" t="s">
        <v>225</v>
      </c>
      <c r="BM929" s="70">
        <v>12.570580032458441</v>
      </c>
      <c r="BN929" s="71">
        <v>0.9</v>
      </c>
      <c r="BO929" s="77">
        <f t="shared" si="123"/>
        <v>32.4</v>
      </c>
      <c r="BP929" s="71">
        <v>0.9</v>
      </c>
      <c r="BQ929" s="77">
        <f t="shared" si="124"/>
        <v>32.4</v>
      </c>
      <c r="BR929" s="77" cm="1">
        <f t="array" ref="BR929">_xll.DCEPropSectI(BF929, BH929, BG929, BI929, BG929, BI929, "rx")/10</f>
        <v>16.91131201300167</v>
      </c>
      <c r="BS929" s="77" cm="1">
        <f t="array" ref="BS929">_xll.DCEPropSectI(BF929, BH929, BG929, BI929, BG929, BI929, "ry")/10</f>
        <v>5.1070747638622018</v>
      </c>
      <c r="BT929" s="5">
        <f t="shared" si="125"/>
        <v>191.58773710218577</v>
      </c>
      <c r="BU929" s="5">
        <f t="shared" si="126"/>
        <v>634.41405301647956</v>
      </c>
      <c r="BV929" s="5">
        <f t="shared" si="127"/>
        <v>634.41405301647956</v>
      </c>
      <c r="BW929" s="71">
        <f t="shared" si="128"/>
        <v>400</v>
      </c>
      <c r="BX929" s="78" cm="1">
        <f t="array" ref="BX929">IF(BM929&gt;0,1,_xll.DCETCVN5575FactorPhi7121(BV929*SQRT($K$17/206000),"b"))</f>
        <v>1</v>
      </c>
      <c r="BY929" s="64">
        <f t="shared" si="129"/>
        <v>9.8292126299620326E-3</v>
      </c>
      <c r="BZ929" s="3" t="str">
        <f t="shared" si="130"/>
        <v>Check</v>
      </c>
    </row>
    <row r="930" spans="1:78">
      <c r="A930" s="76"/>
      <c r="B930" s="76"/>
      <c r="C930" s="125"/>
      <c r="D930" s="125"/>
      <c r="E930" s="71"/>
      <c r="F930" s="71"/>
      <c r="G930" s="71"/>
      <c r="H930" s="126"/>
      <c r="I930" s="125"/>
      <c r="J930" s="123"/>
      <c r="K930" s="12"/>
      <c r="L930" s="117"/>
      <c r="M930" s="12"/>
      <c r="N930" s="117"/>
      <c r="O930" s="117"/>
      <c r="P930" s="117"/>
      <c r="Q930" s="118"/>
      <c r="R930" s="118"/>
      <c r="S930" s="118"/>
      <c r="T930" s="12"/>
      <c r="U930" s="118"/>
      <c r="V930" s="118"/>
      <c r="W930" s="12"/>
      <c r="X930" s="119"/>
      <c r="Y930" s="120"/>
      <c r="Z930" s="12"/>
      <c r="BA930" s="70" t="s">
        <v>205</v>
      </c>
      <c r="BB930" s="71" t="s">
        <v>210</v>
      </c>
      <c r="BC930" s="71" t="s">
        <v>207</v>
      </c>
      <c r="BD930" s="71">
        <v>7.01</v>
      </c>
      <c r="BE930" s="71">
        <v>36</v>
      </c>
      <c r="BF930" s="71">
        <v>390</v>
      </c>
      <c r="BG930" s="71">
        <v>212</v>
      </c>
      <c r="BH930" s="71">
        <v>5</v>
      </c>
      <c r="BI930" s="71">
        <v>10</v>
      </c>
      <c r="BJ930" s="12" t="str" cm="1">
        <f t="array" ref="BJ930">_xll.Dce_Name_SectI(BF930, BF930, BG930, BH930, BI930, "x", "-", $AX$11)</f>
        <v>390x212x5x10</v>
      </c>
      <c r="BK930" s="77" cm="1">
        <f t="array" ref="BK930">_xll.DCEPropSectI(BF930, BH930, BG930, BI930, BG930, BI930, "A")/100</f>
        <v>60.9</v>
      </c>
      <c r="BL930" s="70" t="s">
        <v>225</v>
      </c>
      <c r="BM930" s="70">
        <v>12.570580032458441</v>
      </c>
      <c r="BN930" s="71">
        <v>0.9</v>
      </c>
      <c r="BO930" s="77">
        <f t="shared" si="123"/>
        <v>32.4</v>
      </c>
      <c r="BP930" s="71">
        <v>0.9</v>
      </c>
      <c r="BQ930" s="77">
        <f t="shared" si="124"/>
        <v>32.4</v>
      </c>
      <c r="BR930" s="77" cm="1">
        <f t="array" ref="BR930">_xll.DCEPropSectI(BF930, BH930, BG930, BI930, BG930, BI930, "rx")/10</f>
        <v>16.91131201300167</v>
      </c>
      <c r="BS930" s="77" cm="1">
        <f t="array" ref="BS930">_xll.DCEPropSectI(BF930, BH930, BG930, BI930, BG930, BI930, "ry")/10</f>
        <v>5.1070747638622018</v>
      </c>
      <c r="BT930" s="5">
        <f t="shared" si="125"/>
        <v>191.58773710218577</v>
      </c>
      <c r="BU930" s="5">
        <f t="shared" si="126"/>
        <v>634.41405301647956</v>
      </c>
      <c r="BV930" s="5">
        <f t="shared" si="127"/>
        <v>634.41405301647956</v>
      </c>
      <c r="BW930" s="71">
        <f t="shared" si="128"/>
        <v>400</v>
      </c>
      <c r="BX930" s="78" cm="1">
        <f t="array" ref="BX930">IF(BM930&gt;0,1,_xll.DCETCVN5575FactorPhi7121(BV930*SQRT($K$17/206000),"b"))</f>
        <v>1</v>
      </c>
      <c r="BY930" s="64">
        <f t="shared" si="129"/>
        <v>9.8292126299620326E-3</v>
      </c>
      <c r="BZ930" s="3" t="str">
        <f t="shared" si="130"/>
        <v>Check</v>
      </c>
    </row>
    <row r="931" spans="1:78">
      <c r="A931" s="76"/>
      <c r="B931" s="76"/>
      <c r="C931" s="125"/>
      <c r="D931" s="125"/>
      <c r="E931" s="71"/>
      <c r="F931" s="71"/>
      <c r="G931" s="71"/>
      <c r="H931" s="126"/>
      <c r="I931" s="125"/>
      <c r="J931" s="123"/>
      <c r="K931" s="12"/>
      <c r="L931" s="117"/>
      <c r="M931" s="12"/>
      <c r="N931" s="117"/>
      <c r="O931" s="117"/>
      <c r="P931" s="117"/>
      <c r="Q931" s="118"/>
      <c r="R931" s="118"/>
      <c r="S931" s="118"/>
      <c r="T931" s="12"/>
      <c r="U931" s="118"/>
      <c r="V931" s="118"/>
      <c r="W931" s="12"/>
      <c r="X931" s="119"/>
      <c r="Y931" s="120"/>
      <c r="Z931" s="12"/>
      <c r="BA931" s="70" t="s">
        <v>205</v>
      </c>
      <c r="BB931" s="71" t="s">
        <v>210</v>
      </c>
      <c r="BC931" s="71" t="s">
        <v>207</v>
      </c>
      <c r="BD931" s="71">
        <v>7.5</v>
      </c>
      <c r="BE931" s="71">
        <v>36</v>
      </c>
      <c r="BF931" s="71">
        <v>390</v>
      </c>
      <c r="BG931" s="71">
        <v>212</v>
      </c>
      <c r="BH931" s="71">
        <v>5</v>
      </c>
      <c r="BI931" s="71">
        <v>10</v>
      </c>
      <c r="BJ931" s="12" t="str" cm="1">
        <f t="array" ref="BJ931">_xll.Dce_Name_SectI(BF931, BF931, BG931, BH931, BI931, "x", "-", $AX$11)</f>
        <v>390x212x5x10</v>
      </c>
      <c r="BK931" s="77" cm="1">
        <f t="array" ref="BK931">_xll.DCEPropSectI(BF931, BH931, BG931, BI931, BG931, BI931, "A")/100</f>
        <v>60.9</v>
      </c>
      <c r="BL931" s="70" t="s">
        <v>225</v>
      </c>
      <c r="BM931" s="70">
        <v>12.570580032458441</v>
      </c>
      <c r="BN931" s="71">
        <v>0.9</v>
      </c>
      <c r="BO931" s="77">
        <f t="shared" si="123"/>
        <v>32.4</v>
      </c>
      <c r="BP931" s="71">
        <v>0.9</v>
      </c>
      <c r="BQ931" s="77">
        <f t="shared" si="124"/>
        <v>32.4</v>
      </c>
      <c r="BR931" s="77" cm="1">
        <f t="array" ref="BR931">_xll.DCEPropSectI(BF931, BH931, BG931, BI931, BG931, BI931, "rx")/10</f>
        <v>16.91131201300167</v>
      </c>
      <c r="BS931" s="77" cm="1">
        <f t="array" ref="BS931">_xll.DCEPropSectI(BF931, BH931, BG931, BI931, BG931, BI931, "ry")/10</f>
        <v>5.1070747638622018</v>
      </c>
      <c r="BT931" s="5">
        <f t="shared" si="125"/>
        <v>191.58773710218577</v>
      </c>
      <c r="BU931" s="5">
        <f t="shared" si="126"/>
        <v>634.41405301647956</v>
      </c>
      <c r="BV931" s="5">
        <f t="shared" si="127"/>
        <v>634.41405301647956</v>
      </c>
      <c r="BW931" s="71">
        <f t="shared" si="128"/>
        <v>400</v>
      </c>
      <c r="BX931" s="78" cm="1">
        <f t="array" ref="BX931">IF(BM931&gt;0,1,_xll.DCETCVN5575FactorPhi7121(BV931*SQRT($K$17/206000),"b"))</f>
        <v>1</v>
      </c>
      <c r="BY931" s="64">
        <f t="shared" si="129"/>
        <v>9.8292126299620326E-3</v>
      </c>
      <c r="BZ931" s="3" t="str">
        <f t="shared" si="130"/>
        <v>Check</v>
      </c>
    </row>
    <row r="932" spans="1:78">
      <c r="A932" s="76"/>
      <c r="B932" s="76"/>
      <c r="C932" s="125"/>
      <c r="D932" s="125"/>
      <c r="E932" s="71"/>
      <c r="F932" s="71"/>
      <c r="G932" s="71"/>
      <c r="H932" s="126"/>
      <c r="I932" s="125"/>
      <c r="J932" s="123"/>
      <c r="K932" s="12"/>
      <c r="L932" s="117"/>
      <c r="M932" s="12"/>
      <c r="N932" s="117"/>
      <c r="O932" s="117"/>
      <c r="P932" s="117"/>
      <c r="Q932" s="118"/>
      <c r="R932" s="118"/>
      <c r="S932" s="118"/>
      <c r="T932" s="12"/>
      <c r="U932" s="118"/>
      <c r="V932" s="118"/>
      <c r="W932" s="12"/>
      <c r="X932" s="119"/>
      <c r="Y932" s="120"/>
      <c r="Z932" s="12"/>
      <c r="BA932" s="70" t="s">
        <v>205</v>
      </c>
      <c r="BB932" s="71" t="s">
        <v>210</v>
      </c>
      <c r="BC932" s="71" t="s">
        <v>207</v>
      </c>
      <c r="BD932" s="71">
        <v>7.5</v>
      </c>
      <c r="BE932" s="71">
        <v>36</v>
      </c>
      <c r="BF932" s="71">
        <v>390</v>
      </c>
      <c r="BG932" s="71">
        <v>212</v>
      </c>
      <c r="BH932" s="71">
        <v>5</v>
      </c>
      <c r="BI932" s="71">
        <v>10</v>
      </c>
      <c r="BJ932" s="12" t="str" cm="1">
        <f t="array" ref="BJ932">_xll.Dce_Name_SectI(BF932, BF932, BG932, BH932, BI932, "x", "-", $AX$11)</f>
        <v>390x212x5x10</v>
      </c>
      <c r="BK932" s="77" cm="1">
        <f t="array" ref="BK932">_xll.DCEPropSectI(BF932, BH932, BG932, BI932, BG932, BI932, "A")/100</f>
        <v>60.9</v>
      </c>
      <c r="BL932" s="70" t="s">
        <v>225</v>
      </c>
      <c r="BM932" s="70">
        <v>45.085146343486315</v>
      </c>
      <c r="BN932" s="71">
        <v>0.9</v>
      </c>
      <c r="BO932" s="77">
        <f t="shared" si="123"/>
        <v>32.4</v>
      </c>
      <c r="BP932" s="71">
        <v>0.9</v>
      </c>
      <c r="BQ932" s="77">
        <f t="shared" si="124"/>
        <v>32.4</v>
      </c>
      <c r="BR932" s="77" cm="1">
        <f t="array" ref="BR932">_xll.DCEPropSectI(BF932, BH932, BG932, BI932, BG932, BI932, "rx")/10</f>
        <v>16.91131201300167</v>
      </c>
      <c r="BS932" s="77" cm="1">
        <f t="array" ref="BS932">_xll.DCEPropSectI(BF932, BH932, BG932, BI932, BG932, BI932, "ry")/10</f>
        <v>5.1070747638622018</v>
      </c>
      <c r="BT932" s="5">
        <f t="shared" si="125"/>
        <v>191.58773710218577</v>
      </c>
      <c r="BU932" s="5">
        <f t="shared" si="126"/>
        <v>634.41405301647956</v>
      </c>
      <c r="BV932" s="5">
        <f t="shared" si="127"/>
        <v>634.41405301647956</v>
      </c>
      <c r="BW932" s="71">
        <f t="shared" si="128"/>
        <v>400</v>
      </c>
      <c r="BX932" s="78" cm="1">
        <f t="array" ref="BX932">IF(BM932&gt;0,1,_xll.DCETCVN5575FactorPhi7121(BV932*SQRT($K$17/206000),"b"))</f>
        <v>1</v>
      </c>
      <c r="BY932" s="64">
        <f t="shared" si="129"/>
        <v>3.5253066184601077E-2</v>
      </c>
      <c r="BZ932" s="3" t="str">
        <f t="shared" si="130"/>
        <v>Check</v>
      </c>
    </row>
    <row r="933" spans="1:78">
      <c r="A933" s="76"/>
      <c r="B933" s="76"/>
      <c r="C933" s="125"/>
      <c r="D933" s="125"/>
      <c r="E933" s="71"/>
      <c r="F933" s="71"/>
      <c r="G933" s="71"/>
      <c r="H933" s="126"/>
      <c r="I933" s="125"/>
      <c r="J933" s="123"/>
      <c r="K933" s="12"/>
      <c r="L933" s="117"/>
      <c r="M933" s="12"/>
      <c r="N933" s="117"/>
      <c r="O933" s="117"/>
      <c r="P933" s="117"/>
      <c r="Q933" s="118"/>
      <c r="R933" s="118"/>
      <c r="S933" s="118"/>
      <c r="T933" s="12"/>
      <c r="U933" s="118"/>
      <c r="V933" s="118"/>
      <c r="W933" s="12"/>
      <c r="X933" s="119"/>
      <c r="Y933" s="120"/>
      <c r="Z933" s="12"/>
      <c r="BA933" s="70" t="s">
        <v>205</v>
      </c>
      <c r="BB933" s="71" t="s">
        <v>210</v>
      </c>
      <c r="BC933" s="71" t="s">
        <v>207</v>
      </c>
      <c r="BD933" s="71">
        <v>8</v>
      </c>
      <c r="BE933" s="71">
        <v>36</v>
      </c>
      <c r="BF933" s="71">
        <v>390</v>
      </c>
      <c r="BG933" s="71">
        <v>212</v>
      </c>
      <c r="BH933" s="71">
        <v>5</v>
      </c>
      <c r="BI933" s="71">
        <v>10</v>
      </c>
      <c r="BJ933" s="12" t="str" cm="1">
        <f t="array" ref="BJ933">_xll.Dce_Name_SectI(BF933, BF933, BG933, BH933, BI933, "x", "-", $AX$11)</f>
        <v>390x212x5x10</v>
      </c>
      <c r="BK933" s="77" cm="1">
        <f t="array" ref="BK933">_xll.DCEPropSectI(BF933, BH933, BG933, BI933, BG933, BI933, "A")/100</f>
        <v>60.9</v>
      </c>
      <c r="BL933" s="70" t="s">
        <v>225</v>
      </c>
      <c r="BM933" s="70">
        <v>45.085146343486315</v>
      </c>
      <c r="BN933" s="71">
        <v>0.9</v>
      </c>
      <c r="BO933" s="77">
        <f t="shared" si="123"/>
        <v>32.4</v>
      </c>
      <c r="BP933" s="71">
        <v>0.9</v>
      </c>
      <c r="BQ933" s="77">
        <f t="shared" si="124"/>
        <v>32.4</v>
      </c>
      <c r="BR933" s="77" cm="1">
        <f t="array" ref="BR933">_xll.DCEPropSectI(BF933, BH933, BG933, BI933, BG933, BI933, "rx")/10</f>
        <v>16.91131201300167</v>
      </c>
      <c r="BS933" s="77" cm="1">
        <f t="array" ref="BS933">_xll.DCEPropSectI(BF933, BH933, BG933, BI933, BG933, BI933, "ry")/10</f>
        <v>5.1070747638622018</v>
      </c>
      <c r="BT933" s="5">
        <f t="shared" si="125"/>
        <v>191.58773710218577</v>
      </c>
      <c r="BU933" s="5">
        <f t="shared" si="126"/>
        <v>634.41405301647956</v>
      </c>
      <c r="BV933" s="5">
        <f t="shared" si="127"/>
        <v>634.41405301647956</v>
      </c>
      <c r="BW933" s="71">
        <f t="shared" si="128"/>
        <v>400</v>
      </c>
      <c r="BX933" s="78" cm="1">
        <f t="array" ref="BX933">IF(BM933&gt;0,1,_xll.DCETCVN5575FactorPhi7121(BV933*SQRT($K$17/206000),"b"))</f>
        <v>1</v>
      </c>
      <c r="BY933" s="64">
        <f t="shared" si="129"/>
        <v>3.5253066184601077E-2</v>
      </c>
      <c r="BZ933" s="3" t="str">
        <f t="shared" si="130"/>
        <v>Check</v>
      </c>
    </row>
    <row r="934" spans="1:78">
      <c r="A934" s="76"/>
      <c r="B934" s="76"/>
      <c r="C934" s="125"/>
      <c r="D934" s="125"/>
      <c r="E934" s="71"/>
      <c r="F934" s="71"/>
      <c r="G934" s="71"/>
      <c r="H934" s="126"/>
      <c r="I934" s="125"/>
      <c r="J934" s="123"/>
      <c r="K934" s="12"/>
      <c r="L934" s="117"/>
      <c r="M934" s="12"/>
      <c r="N934" s="117"/>
      <c r="O934" s="117"/>
      <c r="P934" s="117"/>
      <c r="Q934" s="118"/>
      <c r="R934" s="118"/>
      <c r="S934" s="118"/>
      <c r="T934" s="12"/>
      <c r="U934" s="118"/>
      <c r="V934" s="118"/>
      <c r="W934" s="12"/>
      <c r="X934" s="119"/>
      <c r="Y934" s="120"/>
      <c r="Z934" s="12"/>
      <c r="BA934" s="70" t="s">
        <v>205</v>
      </c>
      <c r="BB934" s="71" t="s">
        <v>210</v>
      </c>
      <c r="BC934" s="71" t="s">
        <v>207</v>
      </c>
      <c r="BD934" s="71">
        <v>8.5</v>
      </c>
      <c r="BE934" s="71">
        <v>36</v>
      </c>
      <c r="BF934" s="71">
        <v>390</v>
      </c>
      <c r="BG934" s="71">
        <v>212</v>
      </c>
      <c r="BH934" s="71">
        <v>5</v>
      </c>
      <c r="BI934" s="71">
        <v>10</v>
      </c>
      <c r="BJ934" s="12" t="str" cm="1">
        <f t="array" ref="BJ934">_xll.Dce_Name_SectI(BF934, BF934, BG934, BH934, BI934, "x", "-", $AX$11)</f>
        <v>390x212x5x10</v>
      </c>
      <c r="BK934" s="77" cm="1">
        <f t="array" ref="BK934">_xll.DCEPropSectI(BF934, BH934, BG934, BI934, BG934, BI934, "A")/100</f>
        <v>60.9</v>
      </c>
      <c r="BL934" s="70" t="s">
        <v>225</v>
      </c>
      <c r="BM934" s="70">
        <v>45.085146343486315</v>
      </c>
      <c r="BN934" s="71">
        <v>0.9</v>
      </c>
      <c r="BO934" s="77">
        <f t="shared" si="123"/>
        <v>32.4</v>
      </c>
      <c r="BP934" s="71">
        <v>0.9</v>
      </c>
      <c r="BQ934" s="77">
        <f t="shared" si="124"/>
        <v>32.4</v>
      </c>
      <c r="BR934" s="77" cm="1">
        <f t="array" ref="BR934">_xll.DCEPropSectI(BF934, BH934, BG934, BI934, BG934, BI934, "rx")/10</f>
        <v>16.91131201300167</v>
      </c>
      <c r="BS934" s="77" cm="1">
        <f t="array" ref="BS934">_xll.DCEPropSectI(BF934, BH934, BG934, BI934, BG934, BI934, "ry")/10</f>
        <v>5.1070747638622018</v>
      </c>
      <c r="BT934" s="5">
        <f t="shared" si="125"/>
        <v>191.58773710218577</v>
      </c>
      <c r="BU934" s="5">
        <f t="shared" si="126"/>
        <v>634.41405301647956</v>
      </c>
      <c r="BV934" s="5">
        <f t="shared" si="127"/>
        <v>634.41405301647956</v>
      </c>
      <c r="BW934" s="71">
        <f t="shared" si="128"/>
        <v>400</v>
      </c>
      <c r="BX934" s="78" cm="1">
        <f t="array" ref="BX934">IF(BM934&gt;0,1,_xll.DCETCVN5575FactorPhi7121(BV934*SQRT($K$17/206000),"b"))</f>
        <v>1</v>
      </c>
      <c r="BY934" s="64">
        <f t="shared" si="129"/>
        <v>3.5253066184601077E-2</v>
      </c>
      <c r="BZ934" s="3" t="str">
        <f t="shared" si="130"/>
        <v>Check</v>
      </c>
    </row>
    <row r="935" spans="1:78">
      <c r="A935" s="76"/>
      <c r="B935" s="76"/>
      <c r="C935" s="125"/>
      <c r="D935" s="125"/>
      <c r="E935" s="71"/>
      <c r="F935" s="71"/>
      <c r="G935" s="71"/>
      <c r="H935" s="126"/>
      <c r="I935" s="125"/>
      <c r="J935" s="123"/>
      <c r="K935" s="12"/>
      <c r="L935" s="117"/>
      <c r="M935" s="12"/>
      <c r="N935" s="117"/>
      <c r="O935" s="117"/>
      <c r="P935" s="117"/>
      <c r="Q935" s="118"/>
      <c r="R935" s="118"/>
      <c r="S935" s="118"/>
      <c r="T935" s="12"/>
      <c r="U935" s="118"/>
      <c r="V935" s="118"/>
      <c r="W935" s="12"/>
      <c r="X935" s="119"/>
      <c r="Y935" s="120"/>
      <c r="Z935" s="12"/>
      <c r="BA935" s="70" t="s">
        <v>205</v>
      </c>
      <c r="BB935" s="71" t="s">
        <v>210</v>
      </c>
      <c r="BC935" s="71" t="s">
        <v>207</v>
      </c>
      <c r="BD935" s="71">
        <v>9</v>
      </c>
      <c r="BE935" s="71">
        <v>36</v>
      </c>
      <c r="BF935" s="71">
        <v>390</v>
      </c>
      <c r="BG935" s="71">
        <v>212</v>
      </c>
      <c r="BH935" s="71">
        <v>5</v>
      </c>
      <c r="BI935" s="71">
        <v>10</v>
      </c>
      <c r="BJ935" s="12" t="str" cm="1">
        <f t="array" ref="BJ935">_xll.Dce_Name_SectI(BF935, BF935, BG935, BH935, BI935, "x", "-", $AX$11)</f>
        <v>390x212x5x10</v>
      </c>
      <c r="BK935" s="77" cm="1">
        <f t="array" ref="BK935">_xll.DCEPropSectI(BF935, BH935, BG935, BI935, BG935, BI935, "A")/100</f>
        <v>60.9</v>
      </c>
      <c r="BL935" s="70" t="s">
        <v>225</v>
      </c>
      <c r="BM935" s="70">
        <v>45.085146343486315</v>
      </c>
      <c r="BN935" s="71">
        <v>0.9</v>
      </c>
      <c r="BO935" s="77">
        <f t="shared" si="123"/>
        <v>32.4</v>
      </c>
      <c r="BP935" s="71">
        <v>0.9</v>
      </c>
      <c r="BQ935" s="77">
        <f t="shared" si="124"/>
        <v>32.4</v>
      </c>
      <c r="BR935" s="77" cm="1">
        <f t="array" ref="BR935">_xll.DCEPropSectI(BF935, BH935, BG935, BI935, BG935, BI935, "rx")/10</f>
        <v>16.91131201300167</v>
      </c>
      <c r="BS935" s="77" cm="1">
        <f t="array" ref="BS935">_xll.DCEPropSectI(BF935, BH935, BG935, BI935, BG935, BI935, "ry")/10</f>
        <v>5.1070747638622018</v>
      </c>
      <c r="BT935" s="5">
        <f t="shared" si="125"/>
        <v>191.58773710218577</v>
      </c>
      <c r="BU935" s="5">
        <f t="shared" si="126"/>
        <v>634.41405301647956</v>
      </c>
      <c r="BV935" s="5">
        <f t="shared" si="127"/>
        <v>634.41405301647956</v>
      </c>
      <c r="BW935" s="71">
        <f t="shared" si="128"/>
        <v>400</v>
      </c>
      <c r="BX935" s="78" cm="1">
        <f t="array" ref="BX935">IF(BM935&gt;0,1,_xll.DCETCVN5575FactorPhi7121(BV935*SQRT($K$17/206000),"b"))</f>
        <v>1</v>
      </c>
      <c r="BY935" s="64">
        <f t="shared" si="129"/>
        <v>3.5253066184601077E-2</v>
      </c>
      <c r="BZ935" s="3" t="str">
        <f t="shared" si="130"/>
        <v>Check</v>
      </c>
    </row>
    <row r="936" spans="1:78">
      <c r="A936" s="76"/>
      <c r="B936" s="76"/>
      <c r="C936" s="125"/>
      <c r="D936" s="125"/>
      <c r="E936" s="71"/>
      <c r="F936" s="71"/>
      <c r="G936" s="71"/>
      <c r="H936" s="126"/>
      <c r="I936" s="125"/>
      <c r="J936" s="123"/>
      <c r="K936" s="12"/>
      <c r="L936" s="117"/>
      <c r="M936" s="12"/>
      <c r="N936" s="117"/>
      <c r="O936" s="117"/>
      <c r="P936" s="117"/>
      <c r="Q936" s="118"/>
      <c r="R936" s="118"/>
      <c r="S936" s="118"/>
      <c r="T936" s="12"/>
      <c r="U936" s="118"/>
      <c r="V936" s="118"/>
      <c r="W936" s="12"/>
      <c r="X936" s="119"/>
      <c r="Y936" s="120"/>
      <c r="Z936" s="12"/>
      <c r="BA936" s="70" t="s">
        <v>205</v>
      </c>
      <c r="BB936" s="71" t="s">
        <v>210</v>
      </c>
      <c r="BC936" s="71" t="s">
        <v>207</v>
      </c>
      <c r="BD936" s="71">
        <v>9.5</v>
      </c>
      <c r="BE936" s="71">
        <v>36</v>
      </c>
      <c r="BF936" s="71">
        <v>390</v>
      </c>
      <c r="BG936" s="71">
        <v>212</v>
      </c>
      <c r="BH936" s="71">
        <v>5</v>
      </c>
      <c r="BI936" s="71">
        <v>10</v>
      </c>
      <c r="BJ936" s="12" t="str" cm="1">
        <f t="array" ref="BJ936">_xll.Dce_Name_SectI(BF936, BF936, BG936, BH936, BI936, "x", "-", $AX$11)</f>
        <v>390x212x5x10</v>
      </c>
      <c r="BK936" s="77" cm="1">
        <f t="array" ref="BK936">_xll.DCEPropSectI(BF936, BH936, BG936, BI936, BG936, BI936, "A")/100</f>
        <v>60.9</v>
      </c>
      <c r="BL936" s="70" t="s">
        <v>225</v>
      </c>
      <c r="BM936" s="70">
        <v>45.085146343486315</v>
      </c>
      <c r="BN936" s="71">
        <v>0.9</v>
      </c>
      <c r="BO936" s="77">
        <f t="shared" si="123"/>
        <v>32.4</v>
      </c>
      <c r="BP936" s="71">
        <v>0.9</v>
      </c>
      <c r="BQ936" s="77">
        <f t="shared" si="124"/>
        <v>32.4</v>
      </c>
      <c r="BR936" s="77" cm="1">
        <f t="array" ref="BR936">_xll.DCEPropSectI(BF936, BH936, BG936, BI936, BG936, BI936, "rx")/10</f>
        <v>16.91131201300167</v>
      </c>
      <c r="BS936" s="77" cm="1">
        <f t="array" ref="BS936">_xll.DCEPropSectI(BF936, BH936, BG936, BI936, BG936, BI936, "ry")/10</f>
        <v>5.1070747638622018</v>
      </c>
      <c r="BT936" s="5">
        <f t="shared" si="125"/>
        <v>191.58773710218577</v>
      </c>
      <c r="BU936" s="5">
        <f t="shared" si="126"/>
        <v>634.41405301647956</v>
      </c>
      <c r="BV936" s="5">
        <f t="shared" si="127"/>
        <v>634.41405301647956</v>
      </c>
      <c r="BW936" s="71">
        <f t="shared" si="128"/>
        <v>400</v>
      </c>
      <c r="BX936" s="78" cm="1">
        <f t="array" ref="BX936">IF(BM936&gt;0,1,_xll.DCETCVN5575FactorPhi7121(BV936*SQRT($K$17/206000),"b"))</f>
        <v>1</v>
      </c>
      <c r="BY936" s="64">
        <f t="shared" si="129"/>
        <v>3.5253066184601077E-2</v>
      </c>
      <c r="BZ936" s="3" t="str">
        <f t="shared" si="130"/>
        <v>Check</v>
      </c>
    </row>
    <row r="937" spans="1:78">
      <c r="A937" s="76"/>
      <c r="B937" s="76"/>
      <c r="C937" s="125"/>
      <c r="D937" s="125"/>
      <c r="E937" s="71"/>
      <c r="F937" s="71"/>
      <c r="G937" s="71"/>
      <c r="H937" s="126"/>
      <c r="I937" s="125"/>
      <c r="J937" s="123"/>
      <c r="K937" s="12"/>
      <c r="L937" s="117"/>
      <c r="M937" s="12"/>
      <c r="N937" s="117"/>
      <c r="O937" s="117"/>
      <c r="P937" s="117"/>
      <c r="Q937" s="118"/>
      <c r="R937" s="118"/>
      <c r="S937" s="118"/>
      <c r="T937" s="12"/>
      <c r="U937" s="118"/>
      <c r="V937" s="118"/>
      <c r="W937" s="12"/>
      <c r="X937" s="119"/>
      <c r="Y937" s="120"/>
      <c r="Z937" s="12"/>
      <c r="BA937" s="70" t="s">
        <v>205</v>
      </c>
      <c r="BB937" s="71" t="s">
        <v>210</v>
      </c>
      <c r="BC937" s="71" t="s">
        <v>207</v>
      </c>
      <c r="BD937" s="71">
        <v>10</v>
      </c>
      <c r="BE937" s="71">
        <v>36</v>
      </c>
      <c r="BF937" s="71">
        <v>390</v>
      </c>
      <c r="BG937" s="71">
        <v>212</v>
      </c>
      <c r="BH937" s="71">
        <v>5</v>
      </c>
      <c r="BI937" s="71">
        <v>10</v>
      </c>
      <c r="BJ937" s="12" t="str" cm="1">
        <f t="array" ref="BJ937">_xll.Dce_Name_SectI(BF937, BF937, BG937, BH937, BI937, "x", "-", $AX$11)</f>
        <v>390x212x5x10</v>
      </c>
      <c r="BK937" s="77" cm="1">
        <f t="array" ref="BK937">_xll.DCEPropSectI(BF937, BH937, BG937, BI937, BG937, BI937, "A")/100</f>
        <v>60.9</v>
      </c>
      <c r="BL937" s="70" t="s">
        <v>225</v>
      </c>
      <c r="BM937" s="70">
        <v>45.085146343486315</v>
      </c>
      <c r="BN937" s="71">
        <v>0.9</v>
      </c>
      <c r="BO937" s="77">
        <f t="shared" si="123"/>
        <v>32.4</v>
      </c>
      <c r="BP937" s="71">
        <v>0.9</v>
      </c>
      <c r="BQ937" s="77">
        <f t="shared" si="124"/>
        <v>32.4</v>
      </c>
      <c r="BR937" s="77" cm="1">
        <f t="array" ref="BR937">_xll.DCEPropSectI(BF937, BH937, BG937, BI937, BG937, BI937, "rx")/10</f>
        <v>16.91131201300167</v>
      </c>
      <c r="BS937" s="77" cm="1">
        <f t="array" ref="BS937">_xll.DCEPropSectI(BF937, BH937, BG937, BI937, BG937, BI937, "ry")/10</f>
        <v>5.1070747638622018</v>
      </c>
      <c r="BT937" s="5">
        <f t="shared" si="125"/>
        <v>191.58773710218577</v>
      </c>
      <c r="BU937" s="5">
        <f t="shared" si="126"/>
        <v>634.41405301647956</v>
      </c>
      <c r="BV937" s="5">
        <f t="shared" si="127"/>
        <v>634.41405301647956</v>
      </c>
      <c r="BW937" s="71">
        <f t="shared" si="128"/>
        <v>400</v>
      </c>
      <c r="BX937" s="78" cm="1">
        <f t="array" ref="BX937">IF(BM937&gt;0,1,_xll.DCETCVN5575FactorPhi7121(BV937*SQRT($K$17/206000),"b"))</f>
        <v>1</v>
      </c>
      <c r="BY937" s="64">
        <f t="shared" si="129"/>
        <v>3.5253066184601077E-2</v>
      </c>
      <c r="BZ937" s="3" t="str">
        <f t="shared" si="130"/>
        <v>Check</v>
      </c>
    </row>
    <row r="938" spans="1:78">
      <c r="A938" s="76"/>
      <c r="B938" s="76"/>
      <c r="C938" s="125"/>
      <c r="D938" s="125"/>
      <c r="E938" s="71"/>
      <c r="F938" s="71"/>
      <c r="G938" s="71"/>
      <c r="H938" s="126"/>
      <c r="I938" s="125"/>
      <c r="J938" s="123"/>
      <c r="K938" s="12"/>
      <c r="L938" s="117"/>
      <c r="M938" s="12"/>
      <c r="N938" s="117"/>
      <c r="O938" s="117"/>
      <c r="P938" s="117"/>
      <c r="Q938" s="118"/>
      <c r="R938" s="118"/>
      <c r="S938" s="118"/>
      <c r="T938" s="12"/>
      <c r="U938" s="118"/>
      <c r="V938" s="118"/>
      <c r="W938" s="12"/>
      <c r="X938" s="119"/>
      <c r="Y938" s="120"/>
      <c r="Z938" s="12"/>
      <c r="BA938" s="70" t="s">
        <v>205</v>
      </c>
      <c r="BB938" s="71" t="s">
        <v>210</v>
      </c>
      <c r="BC938" s="71" t="s">
        <v>207</v>
      </c>
      <c r="BD938" s="71">
        <v>10.5</v>
      </c>
      <c r="BE938" s="71">
        <v>36</v>
      </c>
      <c r="BF938" s="71">
        <v>390</v>
      </c>
      <c r="BG938" s="71">
        <v>212</v>
      </c>
      <c r="BH938" s="71">
        <v>5</v>
      </c>
      <c r="BI938" s="71">
        <v>10</v>
      </c>
      <c r="BJ938" s="12" t="str" cm="1">
        <f t="array" ref="BJ938">_xll.Dce_Name_SectI(BF938, BF938, BG938, BH938, BI938, "x", "-", $AX$11)</f>
        <v>390x212x5x10</v>
      </c>
      <c r="BK938" s="77" cm="1">
        <f t="array" ref="BK938">_xll.DCEPropSectI(BF938, BH938, BG938, BI938, BG938, BI938, "A")/100</f>
        <v>60.9</v>
      </c>
      <c r="BL938" s="70" t="s">
        <v>225</v>
      </c>
      <c r="BM938" s="70">
        <v>45.085146343486315</v>
      </c>
      <c r="BN938" s="71">
        <v>0.9</v>
      </c>
      <c r="BO938" s="77">
        <f t="shared" si="123"/>
        <v>32.4</v>
      </c>
      <c r="BP938" s="71">
        <v>0.9</v>
      </c>
      <c r="BQ938" s="77">
        <f t="shared" si="124"/>
        <v>32.4</v>
      </c>
      <c r="BR938" s="77" cm="1">
        <f t="array" ref="BR938">_xll.DCEPropSectI(BF938, BH938, BG938, BI938, BG938, BI938, "rx")/10</f>
        <v>16.91131201300167</v>
      </c>
      <c r="BS938" s="77" cm="1">
        <f t="array" ref="BS938">_xll.DCEPropSectI(BF938, BH938, BG938, BI938, BG938, BI938, "ry")/10</f>
        <v>5.1070747638622018</v>
      </c>
      <c r="BT938" s="5">
        <f t="shared" si="125"/>
        <v>191.58773710218577</v>
      </c>
      <c r="BU938" s="5">
        <f t="shared" si="126"/>
        <v>634.41405301647956</v>
      </c>
      <c r="BV938" s="5">
        <f t="shared" si="127"/>
        <v>634.41405301647956</v>
      </c>
      <c r="BW938" s="71">
        <f t="shared" si="128"/>
        <v>400</v>
      </c>
      <c r="BX938" s="78" cm="1">
        <f t="array" ref="BX938">IF(BM938&gt;0,1,_xll.DCETCVN5575FactorPhi7121(BV938*SQRT($K$17/206000),"b"))</f>
        <v>1</v>
      </c>
      <c r="BY938" s="64">
        <f t="shared" si="129"/>
        <v>3.5253066184601077E-2</v>
      </c>
      <c r="BZ938" s="3" t="str">
        <f t="shared" si="130"/>
        <v>Check</v>
      </c>
    </row>
    <row r="939" spans="1:78">
      <c r="A939" s="76"/>
      <c r="B939" s="76"/>
      <c r="C939" s="125"/>
      <c r="D939" s="125"/>
      <c r="E939" s="71"/>
      <c r="F939" s="71"/>
      <c r="G939" s="71"/>
      <c r="H939" s="126"/>
      <c r="I939" s="125"/>
      <c r="J939" s="123"/>
      <c r="K939" s="12"/>
      <c r="L939" s="117"/>
      <c r="M939" s="12"/>
      <c r="N939" s="117"/>
      <c r="O939" s="117"/>
      <c r="P939" s="117"/>
      <c r="Q939" s="118"/>
      <c r="R939" s="118"/>
      <c r="S939" s="118"/>
      <c r="T939" s="12"/>
      <c r="U939" s="118"/>
      <c r="V939" s="118"/>
      <c r="W939" s="12"/>
      <c r="X939" s="119"/>
      <c r="Y939" s="120"/>
      <c r="Z939" s="12"/>
      <c r="BA939" s="70" t="s">
        <v>205</v>
      </c>
      <c r="BB939" s="71" t="s">
        <v>210</v>
      </c>
      <c r="BC939" s="71" t="s">
        <v>207</v>
      </c>
      <c r="BD939" s="71">
        <v>11</v>
      </c>
      <c r="BE939" s="71">
        <v>36</v>
      </c>
      <c r="BF939" s="71">
        <v>390</v>
      </c>
      <c r="BG939" s="71">
        <v>212</v>
      </c>
      <c r="BH939" s="71">
        <v>5</v>
      </c>
      <c r="BI939" s="71">
        <v>10</v>
      </c>
      <c r="BJ939" s="12" t="str" cm="1">
        <f t="array" ref="BJ939">_xll.Dce_Name_SectI(BF939, BF939, BG939, BH939, BI939, "x", "-", $AX$11)</f>
        <v>390x212x5x10</v>
      </c>
      <c r="BK939" s="77" cm="1">
        <f t="array" ref="BK939">_xll.DCEPropSectI(BF939, BH939, BG939, BI939, BG939, BI939, "A")/100</f>
        <v>60.9</v>
      </c>
      <c r="BL939" s="70" t="s">
        <v>225</v>
      </c>
      <c r="BM939" s="70">
        <v>45.085146343486315</v>
      </c>
      <c r="BN939" s="71">
        <v>0.9</v>
      </c>
      <c r="BO939" s="77">
        <f t="shared" si="123"/>
        <v>32.4</v>
      </c>
      <c r="BP939" s="71">
        <v>0.9</v>
      </c>
      <c r="BQ939" s="77">
        <f t="shared" si="124"/>
        <v>32.4</v>
      </c>
      <c r="BR939" s="77" cm="1">
        <f t="array" ref="BR939">_xll.DCEPropSectI(BF939, BH939, BG939, BI939, BG939, BI939, "rx")/10</f>
        <v>16.91131201300167</v>
      </c>
      <c r="BS939" s="77" cm="1">
        <f t="array" ref="BS939">_xll.DCEPropSectI(BF939, BH939, BG939, BI939, BG939, BI939, "ry")/10</f>
        <v>5.1070747638622018</v>
      </c>
      <c r="BT939" s="5">
        <f t="shared" si="125"/>
        <v>191.58773710218577</v>
      </c>
      <c r="BU939" s="5">
        <f t="shared" si="126"/>
        <v>634.41405301647956</v>
      </c>
      <c r="BV939" s="5">
        <f t="shared" si="127"/>
        <v>634.41405301647956</v>
      </c>
      <c r="BW939" s="71">
        <f t="shared" si="128"/>
        <v>400</v>
      </c>
      <c r="BX939" s="78" cm="1">
        <f t="array" ref="BX939">IF(BM939&gt;0,1,_xll.DCETCVN5575FactorPhi7121(BV939*SQRT($K$17/206000),"b"))</f>
        <v>1</v>
      </c>
      <c r="BY939" s="64">
        <f t="shared" si="129"/>
        <v>3.5253066184601077E-2</v>
      </c>
      <c r="BZ939" s="3" t="str">
        <f t="shared" si="130"/>
        <v>Check</v>
      </c>
    </row>
    <row r="940" spans="1:78">
      <c r="A940" s="76"/>
      <c r="B940" s="76"/>
      <c r="C940" s="125"/>
      <c r="D940" s="125"/>
      <c r="E940" s="71"/>
      <c r="F940" s="71"/>
      <c r="G940" s="71"/>
      <c r="H940" s="126"/>
      <c r="I940" s="125"/>
      <c r="J940" s="123"/>
      <c r="K940" s="12"/>
      <c r="L940" s="117"/>
      <c r="M940" s="12"/>
      <c r="N940" s="117"/>
      <c r="O940" s="117"/>
      <c r="P940" s="117"/>
      <c r="Q940" s="118"/>
      <c r="R940" s="118"/>
      <c r="S940" s="118"/>
      <c r="T940" s="12"/>
      <c r="U940" s="118"/>
      <c r="V940" s="118"/>
      <c r="W940" s="12"/>
      <c r="X940" s="119"/>
      <c r="Y940" s="120"/>
      <c r="Z940" s="12"/>
      <c r="BA940" s="70" t="s">
        <v>205</v>
      </c>
      <c r="BB940" s="71" t="s">
        <v>210</v>
      </c>
      <c r="BC940" s="71" t="s">
        <v>207</v>
      </c>
      <c r="BD940" s="71">
        <v>11.5</v>
      </c>
      <c r="BE940" s="71">
        <v>36</v>
      </c>
      <c r="BF940" s="71">
        <v>390</v>
      </c>
      <c r="BG940" s="71">
        <v>212</v>
      </c>
      <c r="BH940" s="71">
        <v>5</v>
      </c>
      <c r="BI940" s="71">
        <v>10</v>
      </c>
      <c r="BJ940" s="12" t="str" cm="1">
        <f t="array" ref="BJ940">_xll.Dce_Name_SectI(BF940, BF940, BG940, BH940, BI940, "x", "-", $AX$11)</f>
        <v>390x212x5x10</v>
      </c>
      <c r="BK940" s="77" cm="1">
        <f t="array" ref="BK940">_xll.DCEPropSectI(BF940, BH940, BG940, BI940, BG940, BI940, "A")/100</f>
        <v>60.9</v>
      </c>
      <c r="BL940" s="70" t="s">
        <v>225</v>
      </c>
      <c r="BM940" s="70">
        <v>45.085146343486315</v>
      </c>
      <c r="BN940" s="71">
        <v>0.9</v>
      </c>
      <c r="BO940" s="77">
        <f t="shared" si="123"/>
        <v>32.4</v>
      </c>
      <c r="BP940" s="71">
        <v>0.9</v>
      </c>
      <c r="BQ940" s="77">
        <f t="shared" si="124"/>
        <v>32.4</v>
      </c>
      <c r="BR940" s="77" cm="1">
        <f t="array" ref="BR940">_xll.DCEPropSectI(BF940, BH940, BG940, BI940, BG940, BI940, "rx")/10</f>
        <v>16.91131201300167</v>
      </c>
      <c r="BS940" s="77" cm="1">
        <f t="array" ref="BS940">_xll.DCEPropSectI(BF940, BH940, BG940, BI940, BG940, BI940, "ry")/10</f>
        <v>5.1070747638622018</v>
      </c>
      <c r="BT940" s="5">
        <f t="shared" si="125"/>
        <v>191.58773710218577</v>
      </c>
      <c r="BU940" s="5">
        <f t="shared" si="126"/>
        <v>634.41405301647956</v>
      </c>
      <c r="BV940" s="5">
        <f t="shared" si="127"/>
        <v>634.41405301647956</v>
      </c>
      <c r="BW940" s="71">
        <f t="shared" si="128"/>
        <v>400</v>
      </c>
      <c r="BX940" s="78" cm="1">
        <f t="array" ref="BX940">IF(BM940&gt;0,1,_xll.DCETCVN5575FactorPhi7121(BV940*SQRT($K$17/206000),"b"))</f>
        <v>1</v>
      </c>
      <c r="BY940" s="64">
        <f t="shared" si="129"/>
        <v>3.5253066184601077E-2</v>
      </c>
      <c r="BZ940" s="3" t="str">
        <f t="shared" si="130"/>
        <v>Check</v>
      </c>
    </row>
    <row r="941" spans="1:78">
      <c r="A941" s="76"/>
      <c r="B941" s="76"/>
      <c r="C941" s="125"/>
      <c r="D941" s="125"/>
      <c r="E941" s="71"/>
      <c r="F941" s="71"/>
      <c r="G941" s="71"/>
      <c r="H941" s="126"/>
      <c r="I941" s="125"/>
      <c r="J941" s="123"/>
      <c r="K941" s="12"/>
      <c r="L941" s="117"/>
      <c r="M941" s="12"/>
      <c r="N941" s="117"/>
      <c r="O941" s="117"/>
      <c r="P941" s="117"/>
      <c r="Q941" s="118"/>
      <c r="R941" s="118"/>
      <c r="S941" s="118"/>
      <c r="T941" s="12"/>
      <c r="U941" s="118"/>
      <c r="V941" s="118"/>
      <c r="W941" s="12"/>
      <c r="X941" s="119"/>
      <c r="Y941" s="120"/>
      <c r="Z941" s="12"/>
      <c r="BA941" s="70" t="s">
        <v>205</v>
      </c>
      <c r="BB941" s="71" t="s">
        <v>210</v>
      </c>
      <c r="BC941" s="71" t="s">
        <v>207</v>
      </c>
      <c r="BD941" s="71">
        <v>12</v>
      </c>
      <c r="BE941" s="71">
        <v>36</v>
      </c>
      <c r="BF941" s="71">
        <v>390</v>
      </c>
      <c r="BG941" s="71">
        <v>212</v>
      </c>
      <c r="BH941" s="71">
        <v>5</v>
      </c>
      <c r="BI941" s="71">
        <v>10</v>
      </c>
      <c r="BJ941" s="12" t="str" cm="1">
        <f t="array" ref="BJ941">_xll.Dce_Name_SectI(BF941, BF941, BG941, BH941, BI941, "x", "-", $AX$11)</f>
        <v>390x212x5x10</v>
      </c>
      <c r="BK941" s="77" cm="1">
        <f t="array" ref="BK941">_xll.DCEPropSectI(BF941, BH941, BG941, BI941, BG941, BI941, "A")/100</f>
        <v>60.9</v>
      </c>
      <c r="BL941" s="70" t="s">
        <v>225</v>
      </c>
      <c r="BM941" s="70">
        <v>45.085146343486315</v>
      </c>
      <c r="BN941" s="71">
        <v>0.9</v>
      </c>
      <c r="BO941" s="77">
        <f t="shared" si="123"/>
        <v>32.4</v>
      </c>
      <c r="BP941" s="71">
        <v>0.9</v>
      </c>
      <c r="BQ941" s="77">
        <f t="shared" si="124"/>
        <v>32.4</v>
      </c>
      <c r="BR941" s="77" cm="1">
        <f t="array" ref="BR941">_xll.DCEPropSectI(BF941, BH941, BG941, BI941, BG941, BI941, "rx")/10</f>
        <v>16.91131201300167</v>
      </c>
      <c r="BS941" s="77" cm="1">
        <f t="array" ref="BS941">_xll.DCEPropSectI(BF941, BH941, BG941, BI941, BG941, BI941, "ry")/10</f>
        <v>5.1070747638622018</v>
      </c>
      <c r="BT941" s="5">
        <f t="shared" si="125"/>
        <v>191.58773710218577</v>
      </c>
      <c r="BU941" s="5">
        <f t="shared" si="126"/>
        <v>634.41405301647956</v>
      </c>
      <c r="BV941" s="5">
        <f t="shared" si="127"/>
        <v>634.41405301647956</v>
      </c>
      <c r="BW941" s="71">
        <f t="shared" si="128"/>
        <v>400</v>
      </c>
      <c r="BX941" s="78" cm="1">
        <f t="array" ref="BX941">IF(BM941&gt;0,1,_xll.DCETCVN5575FactorPhi7121(BV941*SQRT($K$17/206000),"b"))</f>
        <v>1</v>
      </c>
      <c r="BY941" s="64">
        <f t="shared" si="129"/>
        <v>3.5253066184601077E-2</v>
      </c>
      <c r="BZ941" s="3" t="str">
        <f t="shared" si="130"/>
        <v>Check</v>
      </c>
    </row>
    <row r="942" spans="1:78">
      <c r="A942" s="76"/>
      <c r="B942" s="76"/>
      <c r="C942" s="125"/>
      <c r="D942" s="125"/>
      <c r="E942" s="71"/>
      <c r="F942" s="71"/>
      <c r="G942" s="71"/>
      <c r="H942" s="126"/>
      <c r="I942" s="125"/>
      <c r="J942" s="123"/>
      <c r="K942" s="12"/>
      <c r="L942" s="117"/>
      <c r="M942" s="12"/>
      <c r="N942" s="117"/>
      <c r="O942" s="117"/>
      <c r="P942" s="117"/>
      <c r="Q942" s="118"/>
      <c r="R942" s="118"/>
      <c r="S942" s="118"/>
      <c r="T942" s="12"/>
      <c r="U942" s="118"/>
      <c r="V942" s="118"/>
      <c r="W942" s="12"/>
      <c r="X942" s="119"/>
      <c r="Y942" s="120"/>
      <c r="Z942" s="12"/>
      <c r="BA942" s="70" t="s">
        <v>205</v>
      </c>
      <c r="BB942" s="71" t="s">
        <v>210</v>
      </c>
      <c r="BC942" s="71" t="s">
        <v>207</v>
      </c>
      <c r="BD942" s="71">
        <v>12.5</v>
      </c>
      <c r="BE942" s="71">
        <v>36</v>
      </c>
      <c r="BF942" s="71">
        <v>390</v>
      </c>
      <c r="BG942" s="71">
        <v>212</v>
      </c>
      <c r="BH942" s="71">
        <v>5</v>
      </c>
      <c r="BI942" s="71">
        <v>10</v>
      </c>
      <c r="BJ942" s="12" t="str" cm="1">
        <f t="array" ref="BJ942">_xll.Dce_Name_SectI(BF942, BF942, BG942, BH942, BI942, "x", "-", $AX$11)</f>
        <v>390x212x5x10</v>
      </c>
      <c r="BK942" s="77" cm="1">
        <f t="array" ref="BK942">_xll.DCEPropSectI(BF942, BH942, BG942, BI942, BG942, BI942, "A")/100</f>
        <v>60.9</v>
      </c>
      <c r="BL942" s="70" t="s">
        <v>225</v>
      </c>
      <c r="BM942" s="70">
        <v>45.085146343486315</v>
      </c>
      <c r="BN942" s="71">
        <v>0.9</v>
      </c>
      <c r="BO942" s="77">
        <f t="shared" si="123"/>
        <v>32.4</v>
      </c>
      <c r="BP942" s="71">
        <v>0.9</v>
      </c>
      <c r="BQ942" s="77">
        <f t="shared" si="124"/>
        <v>32.4</v>
      </c>
      <c r="BR942" s="77" cm="1">
        <f t="array" ref="BR942">_xll.DCEPropSectI(BF942, BH942, BG942, BI942, BG942, BI942, "rx")/10</f>
        <v>16.91131201300167</v>
      </c>
      <c r="BS942" s="77" cm="1">
        <f t="array" ref="BS942">_xll.DCEPropSectI(BF942, BH942, BG942, BI942, BG942, BI942, "ry")/10</f>
        <v>5.1070747638622018</v>
      </c>
      <c r="BT942" s="5">
        <f t="shared" si="125"/>
        <v>191.58773710218577</v>
      </c>
      <c r="BU942" s="5">
        <f t="shared" si="126"/>
        <v>634.41405301647956</v>
      </c>
      <c r="BV942" s="5">
        <f t="shared" si="127"/>
        <v>634.41405301647956</v>
      </c>
      <c r="BW942" s="71">
        <f t="shared" si="128"/>
        <v>400</v>
      </c>
      <c r="BX942" s="78" cm="1">
        <f t="array" ref="BX942">IF(BM942&gt;0,1,_xll.DCETCVN5575FactorPhi7121(BV942*SQRT($K$17/206000),"b"))</f>
        <v>1</v>
      </c>
      <c r="BY942" s="64">
        <f t="shared" si="129"/>
        <v>3.5253066184601077E-2</v>
      </c>
      <c r="BZ942" s="3" t="str">
        <f t="shared" si="130"/>
        <v>Check</v>
      </c>
    </row>
    <row r="943" spans="1:78">
      <c r="A943" s="76"/>
      <c r="B943" s="76"/>
      <c r="C943" s="125"/>
      <c r="D943" s="125"/>
      <c r="E943" s="71"/>
      <c r="F943" s="71"/>
      <c r="G943" s="71"/>
      <c r="H943" s="126"/>
      <c r="I943" s="125"/>
      <c r="J943" s="123"/>
      <c r="K943" s="12"/>
      <c r="L943" s="117"/>
      <c r="M943" s="12"/>
      <c r="N943" s="117"/>
      <c r="O943" s="117"/>
      <c r="P943" s="117"/>
      <c r="Q943" s="118"/>
      <c r="R943" s="118"/>
      <c r="S943" s="118"/>
      <c r="T943" s="12"/>
      <c r="U943" s="118"/>
      <c r="V943" s="118"/>
      <c r="W943" s="12"/>
      <c r="X943" s="119"/>
      <c r="Y943" s="120"/>
      <c r="Z943" s="12"/>
      <c r="BA943" s="70" t="s">
        <v>205</v>
      </c>
      <c r="BB943" s="71" t="s">
        <v>210</v>
      </c>
      <c r="BC943" s="71" t="s">
        <v>207</v>
      </c>
      <c r="BD943" s="71">
        <v>13</v>
      </c>
      <c r="BE943" s="71">
        <v>36</v>
      </c>
      <c r="BF943" s="71">
        <v>390</v>
      </c>
      <c r="BG943" s="71">
        <v>212</v>
      </c>
      <c r="BH943" s="71">
        <v>5</v>
      </c>
      <c r="BI943" s="71">
        <v>10</v>
      </c>
      <c r="BJ943" s="12" t="str" cm="1">
        <f t="array" ref="BJ943">_xll.Dce_Name_SectI(BF943, BF943, BG943, BH943, BI943, "x", "-", $AX$11)</f>
        <v>390x212x5x10</v>
      </c>
      <c r="BK943" s="77" cm="1">
        <f t="array" ref="BK943">_xll.DCEPropSectI(BF943, BH943, BG943, BI943, BG943, BI943, "A")/100</f>
        <v>60.9</v>
      </c>
      <c r="BL943" s="70" t="s">
        <v>225</v>
      </c>
      <c r="BM943" s="70">
        <v>45.085146343486315</v>
      </c>
      <c r="BN943" s="71">
        <v>0.9</v>
      </c>
      <c r="BO943" s="77">
        <f t="shared" si="123"/>
        <v>32.4</v>
      </c>
      <c r="BP943" s="71">
        <v>0.9</v>
      </c>
      <c r="BQ943" s="77">
        <f t="shared" si="124"/>
        <v>32.4</v>
      </c>
      <c r="BR943" s="77" cm="1">
        <f t="array" ref="BR943">_xll.DCEPropSectI(BF943, BH943, BG943, BI943, BG943, BI943, "rx")/10</f>
        <v>16.91131201300167</v>
      </c>
      <c r="BS943" s="77" cm="1">
        <f t="array" ref="BS943">_xll.DCEPropSectI(BF943, BH943, BG943, BI943, BG943, BI943, "ry")/10</f>
        <v>5.1070747638622018</v>
      </c>
      <c r="BT943" s="5">
        <f t="shared" si="125"/>
        <v>191.58773710218577</v>
      </c>
      <c r="BU943" s="5">
        <f t="shared" si="126"/>
        <v>634.41405301647956</v>
      </c>
      <c r="BV943" s="5">
        <f t="shared" si="127"/>
        <v>634.41405301647956</v>
      </c>
      <c r="BW943" s="71">
        <f t="shared" si="128"/>
        <v>400</v>
      </c>
      <c r="BX943" s="78" cm="1">
        <f t="array" ref="BX943">IF(BM943&gt;0,1,_xll.DCETCVN5575FactorPhi7121(BV943*SQRT($K$17/206000),"b"))</f>
        <v>1</v>
      </c>
      <c r="BY943" s="64">
        <f t="shared" si="129"/>
        <v>3.5253066184601077E-2</v>
      </c>
      <c r="BZ943" s="3" t="str">
        <f t="shared" si="130"/>
        <v>Check</v>
      </c>
    </row>
    <row r="944" spans="1:78">
      <c r="A944" s="76"/>
      <c r="B944" s="76"/>
      <c r="C944" s="125"/>
      <c r="D944" s="125"/>
      <c r="E944" s="71"/>
      <c r="F944" s="71"/>
      <c r="G944" s="71"/>
      <c r="H944" s="126"/>
      <c r="I944" s="125"/>
      <c r="J944" s="123"/>
      <c r="K944" s="12"/>
      <c r="L944" s="117"/>
      <c r="M944" s="12"/>
      <c r="N944" s="117"/>
      <c r="O944" s="117"/>
      <c r="P944" s="117"/>
      <c r="Q944" s="118"/>
      <c r="R944" s="118"/>
      <c r="S944" s="118"/>
      <c r="T944" s="12"/>
      <c r="U944" s="118"/>
      <c r="V944" s="118"/>
      <c r="W944" s="12"/>
      <c r="X944" s="119"/>
      <c r="Y944" s="120"/>
      <c r="Z944" s="12"/>
      <c r="BA944" s="70" t="s">
        <v>205</v>
      </c>
      <c r="BB944" s="71" t="s">
        <v>210</v>
      </c>
      <c r="BC944" s="71" t="s">
        <v>207</v>
      </c>
      <c r="BD944" s="71">
        <v>13.5</v>
      </c>
      <c r="BE944" s="71">
        <v>36</v>
      </c>
      <c r="BF944" s="71">
        <v>390</v>
      </c>
      <c r="BG944" s="71">
        <v>212</v>
      </c>
      <c r="BH944" s="71">
        <v>5</v>
      </c>
      <c r="BI944" s="71">
        <v>10</v>
      </c>
      <c r="BJ944" s="12" t="str" cm="1">
        <f t="array" ref="BJ944">_xll.Dce_Name_SectI(BF944, BF944, BG944, BH944, BI944, "x", "-", $AX$11)</f>
        <v>390x212x5x10</v>
      </c>
      <c r="BK944" s="77" cm="1">
        <f t="array" ref="BK944">_xll.DCEPropSectI(BF944, BH944, BG944, BI944, BG944, BI944, "A")/100</f>
        <v>60.9</v>
      </c>
      <c r="BL944" s="70" t="s">
        <v>225</v>
      </c>
      <c r="BM944" s="70">
        <v>45.085146343486315</v>
      </c>
      <c r="BN944" s="71">
        <v>0.9</v>
      </c>
      <c r="BO944" s="77">
        <f t="shared" si="123"/>
        <v>32.4</v>
      </c>
      <c r="BP944" s="71">
        <v>0.9</v>
      </c>
      <c r="BQ944" s="77">
        <f t="shared" si="124"/>
        <v>32.4</v>
      </c>
      <c r="BR944" s="77" cm="1">
        <f t="array" ref="BR944">_xll.DCEPropSectI(BF944, BH944, BG944, BI944, BG944, BI944, "rx")/10</f>
        <v>16.91131201300167</v>
      </c>
      <c r="BS944" s="77" cm="1">
        <f t="array" ref="BS944">_xll.DCEPropSectI(BF944, BH944, BG944, BI944, BG944, BI944, "ry")/10</f>
        <v>5.1070747638622018</v>
      </c>
      <c r="BT944" s="5">
        <f t="shared" si="125"/>
        <v>191.58773710218577</v>
      </c>
      <c r="BU944" s="5">
        <f t="shared" si="126"/>
        <v>634.41405301647956</v>
      </c>
      <c r="BV944" s="5">
        <f t="shared" si="127"/>
        <v>634.41405301647956</v>
      </c>
      <c r="BW944" s="71">
        <f t="shared" si="128"/>
        <v>400</v>
      </c>
      <c r="BX944" s="78" cm="1">
        <f t="array" ref="BX944">IF(BM944&gt;0,1,_xll.DCETCVN5575FactorPhi7121(BV944*SQRT($K$17/206000),"b"))</f>
        <v>1</v>
      </c>
      <c r="BY944" s="64">
        <f t="shared" si="129"/>
        <v>3.5253066184601077E-2</v>
      </c>
      <c r="BZ944" s="3" t="str">
        <f t="shared" si="130"/>
        <v>Check</v>
      </c>
    </row>
    <row r="945" spans="1:78">
      <c r="A945" s="76"/>
      <c r="B945" s="76"/>
      <c r="C945" s="125"/>
      <c r="D945" s="125"/>
      <c r="E945" s="71"/>
      <c r="F945" s="71"/>
      <c r="G945" s="71"/>
      <c r="H945" s="126"/>
      <c r="I945" s="125"/>
      <c r="J945" s="123"/>
      <c r="K945" s="12"/>
      <c r="L945" s="117"/>
      <c r="M945" s="12"/>
      <c r="N945" s="117"/>
      <c r="O945" s="117"/>
      <c r="P945" s="117"/>
      <c r="Q945" s="118"/>
      <c r="R945" s="118"/>
      <c r="S945" s="118"/>
      <c r="T945" s="12"/>
      <c r="U945" s="118"/>
      <c r="V945" s="118"/>
      <c r="W945" s="12"/>
      <c r="X945" s="119"/>
      <c r="Y945" s="120"/>
      <c r="Z945" s="12"/>
      <c r="BA945" s="70" t="s">
        <v>205</v>
      </c>
      <c r="BB945" s="71" t="s">
        <v>210</v>
      </c>
      <c r="BC945" s="71" t="s">
        <v>207</v>
      </c>
      <c r="BD945" s="71">
        <v>14</v>
      </c>
      <c r="BE945" s="71">
        <v>36</v>
      </c>
      <c r="BF945" s="71">
        <v>390</v>
      </c>
      <c r="BG945" s="71">
        <v>212</v>
      </c>
      <c r="BH945" s="71">
        <v>5</v>
      </c>
      <c r="BI945" s="71">
        <v>10</v>
      </c>
      <c r="BJ945" s="12" t="str" cm="1">
        <f t="array" ref="BJ945">_xll.Dce_Name_SectI(BF945, BF945, BG945, BH945, BI945, "x", "-", $AX$11)</f>
        <v>390x212x5x10</v>
      </c>
      <c r="BK945" s="77" cm="1">
        <f t="array" ref="BK945">_xll.DCEPropSectI(BF945, BH945, BG945, BI945, BG945, BI945, "A")/100</f>
        <v>60.9</v>
      </c>
      <c r="BL945" s="70" t="s">
        <v>225</v>
      </c>
      <c r="BM945" s="70">
        <v>45.085146343486315</v>
      </c>
      <c r="BN945" s="71">
        <v>0.9</v>
      </c>
      <c r="BO945" s="77">
        <f t="shared" si="123"/>
        <v>32.4</v>
      </c>
      <c r="BP945" s="71">
        <v>0.9</v>
      </c>
      <c r="BQ945" s="77">
        <f t="shared" si="124"/>
        <v>32.4</v>
      </c>
      <c r="BR945" s="77" cm="1">
        <f t="array" ref="BR945">_xll.DCEPropSectI(BF945, BH945, BG945, BI945, BG945, BI945, "rx")/10</f>
        <v>16.91131201300167</v>
      </c>
      <c r="BS945" s="77" cm="1">
        <f t="array" ref="BS945">_xll.DCEPropSectI(BF945, BH945, BG945, BI945, BG945, BI945, "ry")/10</f>
        <v>5.1070747638622018</v>
      </c>
      <c r="BT945" s="5">
        <f t="shared" si="125"/>
        <v>191.58773710218577</v>
      </c>
      <c r="BU945" s="5">
        <f t="shared" si="126"/>
        <v>634.41405301647956</v>
      </c>
      <c r="BV945" s="5">
        <f t="shared" si="127"/>
        <v>634.41405301647956</v>
      </c>
      <c r="BW945" s="71">
        <f t="shared" si="128"/>
        <v>400</v>
      </c>
      <c r="BX945" s="78" cm="1">
        <f t="array" ref="BX945">IF(BM945&gt;0,1,_xll.DCETCVN5575FactorPhi7121(BV945*SQRT($K$17/206000),"b"))</f>
        <v>1</v>
      </c>
      <c r="BY945" s="64">
        <f t="shared" si="129"/>
        <v>3.5253066184601077E-2</v>
      </c>
      <c r="BZ945" s="3" t="str">
        <f t="shared" si="130"/>
        <v>Check</v>
      </c>
    </row>
    <row r="946" spans="1:78">
      <c r="A946" s="76"/>
      <c r="B946" s="76"/>
      <c r="C946" s="125"/>
      <c r="D946" s="125"/>
      <c r="E946" s="71"/>
      <c r="F946" s="71"/>
      <c r="G946" s="71"/>
      <c r="H946" s="126"/>
      <c r="I946" s="125"/>
      <c r="J946" s="123"/>
      <c r="K946" s="12"/>
      <c r="L946" s="117"/>
      <c r="M946" s="12"/>
      <c r="N946" s="117"/>
      <c r="O946" s="117"/>
      <c r="P946" s="117"/>
      <c r="Q946" s="118"/>
      <c r="R946" s="118"/>
      <c r="S946" s="118"/>
      <c r="T946" s="12"/>
      <c r="U946" s="118"/>
      <c r="V946" s="118"/>
      <c r="W946" s="12"/>
      <c r="X946" s="119"/>
      <c r="Y946" s="120"/>
      <c r="Z946" s="12"/>
      <c r="BA946" s="70" t="s">
        <v>205</v>
      </c>
      <c r="BB946" s="71" t="s">
        <v>210</v>
      </c>
      <c r="BC946" s="71" t="s">
        <v>207</v>
      </c>
      <c r="BD946" s="71">
        <v>14.5</v>
      </c>
      <c r="BE946" s="71">
        <v>36</v>
      </c>
      <c r="BF946" s="71">
        <v>390</v>
      </c>
      <c r="BG946" s="71">
        <v>212</v>
      </c>
      <c r="BH946" s="71">
        <v>5</v>
      </c>
      <c r="BI946" s="71">
        <v>10</v>
      </c>
      <c r="BJ946" s="12" t="str" cm="1">
        <f t="array" ref="BJ946">_xll.Dce_Name_SectI(BF946, BF946, BG946, BH946, BI946, "x", "-", $AX$11)</f>
        <v>390x212x5x10</v>
      </c>
      <c r="BK946" s="77" cm="1">
        <f t="array" ref="BK946">_xll.DCEPropSectI(BF946, BH946, BG946, BI946, BG946, BI946, "A")/100</f>
        <v>60.9</v>
      </c>
      <c r="BL946" s="70" t="s">
        <v>225</v>
      </c>
      <c r="BM946" s="70">
        <v>45.085146343486315</v>
      </c>
      <c r="BN946" s="71">
        <v>0.9</v>
      </c>
      <c r="BO946" s="77">
        <f t="shared" si="123"/>
        <v>32.4</v>
      </c>
      <c r="BP946" s="71">
        <v>0.9</v>
      </c>
      <c r="BQ946" s="77">
        <f t="shared" si="124"/>
        <v>32.4</v>
      </c>
      <c r="BR946" s="77" cm="1">
        <f t="array" ref="BR946">_xll.DCEPropSectI(BF946, BH946, BG946, BI946, BG946, BI946, "rx")/10</f>
        <v>16.91131201300167</v>
      </c>
      <c r="BS946" s="77" cm="1">
        <f t="array" ref="BS946">_xll.DCEPropSectI(BF946, BH946, BG946, BI946, BG946, BI946, "ry")/10</f>
        <v>5.1070747638622018</v>
      </c>
      <c r="BT946" s="5">
        <f t="shared" si="125"/>
        <v>191.58773710218577</v>
      </c>
      <c r="BU946" s="5">
        <f t="shared" si="126"/>
        <v>634.41405301647956</v>
      </c>
      <c r="BV946" s="5">
        <f t="shared" si="127"/>
        <v>634.41405301647956</v>
      </c>
      <c r="BW946" s="71">
        <f t="shared" si="128"/>
        <v>400</v>
      </c>
      <c r="BX946" s="78" cm="1">
        <f t="array" ref="BX946">IF(BM946&gt;0,1,_xll.DCETCVN5575FactorPhi7121(BV946*SQRT($K$17/206000),"b"))</f>
        <v>1</v>
      </c>
      <c r="BY946" s="64">
        <f t="shared" si="129"/>
        <v>3.5253066184601077E-2</v>
      </c>
      <c r="BZ946" s="3" t="str">
        <f t="shared" si="130"/>
        <v>Check</v>
      </c>
    </row>
    <row r="947" spans="1:78">
      <c r="A947" s="76"/>
      <c r="B947" s="76"/>
      <c r="C947" s="125"/>
      <c r="D947" s="125"/>
      <c r="E947" s="71"/>
      <c r="F947" s="71"/>
      <c r="G947" s="71"/>
      <c r="H947" s="126"/>
      <c r="I947" s="125"/>
      <c r="J947" s="123"/>
      <c r="K947" s="12"/>
      <c r="L947" s="117"/>
      <c r="M947" s="12"/>
      <c r="N947" s="117"/>
      <c r="O947" s="117"/>
      <c r="P947" s="117"/>
      <c r="Q947" s="118"/>
      <c r="R947" s="118"/>
      <c r="S947" s="118"/>
      <c r="T947" s="12"/>
      <c r="U947" s="118"/>
      <c r="V947" s="118"/>
      <c r="W947" s="12"/>
      <c r="X947" s="119"/>
      <c r="Y947" s="120"/>
      <c r="Z947" s="12"/>
      <c r="BA947" s="70" t="s">
        <v>205</v>
      </c>
      <c r="BB947" s="71" t="s">
        <v>210</v>
      </c>
      <c r="BC947" s="71" t="s">
        <v>207</v>
      </c>
      <c r="BD947" s="71">
        <v>15</v>
      </c>
      <c r="BE947" s="71">
        <v>36</v>
      </c>
      <c r="BF947" s="71">
        <v>390</v>
      </c>
      <c r="BG947" s="71">
        <v>212</v>
      </c>
      <c r="BH947" s="71">
        <v>5</v>
      </c>
      <c r="BI947" s="71">
        <v>10</v>
      </c>
      <c r="BJ947" s="12" t="str" cm="1">
        <f t="array" ref="BJ947">_xll.Dce_Name_SectI(BF947, BF947, BG947, BH947, BI947, "x", "-", $AX$11)</f>
        <v>390x212x5x10</v>
      </c>
      <c r="BK947" s="77" cm="1">
        <f t="array" ref="BK947">_xll.DCEPropSectI(BF947, BH947, BG947, BI947, BG947, BI947, "A")/100</f>
        <v>60.9</v>
      </c>
      <c r="BL947" s="70" t="s">
        <v>225</v>
      </c>
      <c r="BM947" s="70">
        <v>45.085146343486315</v>
      </c>
      <c r="BN947" s="71">
        <v>0.9</v>
      </c>
      <c r="BO947" s="77">
        <f t="shared" si="123"/>
        <v>32.4</v>
      </c>
      <c r="BP947" s="71">
        <v>0.9</v>
      </c>
      <c r="BQ947" s="77">
        <f t="shared" si="124"/>
        <v>32.4</v>
      </c>
      <c r="BR947" s="77" cm="1">
        <f t="array" ref="BR947">_xll.DCEPropSectI(BF947, BH947, BG947, BI947, BG947, BI947, "rx")/10</f>
        <v>16.91131201300167</v>
      </c>
      <c r="BS947" s="77" cm="1">
        <f t="array" ref="BS947">_xll.DCEPropSectI(BF947, BH947, BG947, BI947, BG947, BI947, "ry")/10</f>
        <v>5.1070747638622018</v>
      </c>
      <c r="BT947" s="5">
        <f t="shared" si="125"/>
        <v>191.58773710218577</v>
      </c>
      <c r="BU947" s="5">
        <f t="shared" si="126"/>
        <v>634.41405301647956</v>
      </c>
      <c r="BV947" s="5">
        <f t="shared" si="127"/>
        <v>634.41405301647956</v>
      </c>
      <c r="BW947" s="71">
        <f t="shared" si="128"/>
        <v>400</v>
      </c>
      <c r="BX947" s="78" cm="1">
        <f t="array" ref="BX947">IF(BM947&gt;0,1,_xll.DCETCVN5575FactorPhi7121(BV947*SQRT($K$17/206000),"b"))</f>
        <v>1</v>
      </c>
      <c r="BY947" s="64">
        <f t="shared" si="129"/>
        <v>3.5253066184601077E-2</v>
      </c>
      <c r="BZ947" s="3" t="str">
        <f t="shared" si="130"/>
        <v>Check</v>
      </c>
    </row>
    <row r="948" spans="1:78">
      <c r="A948" s="76"/>
      <c r="B948" s="76"/>
      <c r="C948" s="125"/>
      <c r="D948" s="125"/>
      <c r="E948" s="71"/>
      <c r="F948" s="71"/>
      <c r="G948" s="71"/>
      <c r="H948" s="126"/>
      <c r="I948" s="125"/>
      <c r="J948" s="123"/>
      <c r="K948" s="12"/>
      <c r="L948" s="117"/>
      <c r="M948" s="12"/>
      <c r="N948" s="117"/>
      <c r="O948" s="117"/>
      <c r="P948" s="117"/>
      <c r="Q948" s="118"/>
      <c r="R948" s="118"/>
      <c r="S948" s="118"/>
      <c r="T948" s="12"/>
      <c r="U948" s="118"/>
      <c r="V948" s="118"/>
      <c r="W948" s="12"/>
      <c r="X948" s="119"/>
      <c r="Y948" s="120"/>
      <c r="Z948" s="12"/>
      <c r="BA948" s="70" t="s">
        <v>205</v>
      </c>
      <c r="BB948" s="71" t="s">
        <v>210</v>
      </c>
      <c r="BC948" s="71" t="s">
        <v>207</v>
      </c>
      <c r="BD948" s="71">
        <v>15</v>
      </c>
      <c r="BE948" s="71">
        <v>36</v>
      </c>
      <c r="BF948" s="71">
        <v>390</v>
      </c>
      <c r="BG948" s="71">
        <v>212</v>
      </c>
      <c r="BH948" s="71">
        <v>5</v>
      </c>
      <c r="BI948" s="71">
        <v>10</v>
      </c>
      <c r="BJ948" s="12" t="str" cm="1">
        <f t="array" ref="BJ948">_xll.Dce_Name_SectI(BF948, BF948, BG948, BH948, BI948, "x", "-", $AX$11)</f>
        <v>390x212x5x10</v>
      </c>
      <c r="BK948" s="77" cm="1">
        <f t="array" ref="BK948">_xll.DCEPropSectI(BF948, BH948, BG948, BI948, BG948, BI948, "A")/100</f>
        <v>60.9</v>
      </c>
      <c r="BL948" s="70" t="s">
        <v>225</v>
      </c>
      <c r="BM948" s="70">
        <v>57.092495672180576</v>
      </c>
      <c r="BN948" s="71">
        <v>0.9</v>
      </c>
      <c r="BO948" s="77">
        <f t="shared" si="123"/>
        <v>32.4</v>
      </c>
      <c r="BP948" s="71">
        <v>0.9</v>
      </c>
      <c r="BQ948" s="77">
        <f t="shared" si="124"/>
        <v>32.4</v>
      </c>
      <c r="BR948" s="77" cm="1">
        <f t="array" ref="BR948">_xll.DCEPropSectI(BF948, BH948, BG948, BI948, BG948, BI948, "rx")/10</f>
        <v>16.91131201300167</v>
      </c>
      <c r="BS948" s="77" cm="1">
        <f t="array" ref="BS948">_xll.DCEPropSectI(BF948, BH948, BG948, BI948, BG948, BI948, "ry")/10</f>
        <v>5.1070747638622018</v>
      </c>
      <c r="BT948" s="5">
        <f t="shared" si="125"/>
        <v>191.58773710218577</v>
      </c>
      <c r="BU948" s="5">
        <f t="shared" si="126"/>
        <v>634.41405301647956</v>
      </c>
      <c r="BV948" s="5">
        <f t="shared" si="127"/>
        <v>634.41405301647956</v>
      </c>
      <c r="BW948" s="71">
        <f t="shared" si="128"/>
        <v>400</v>
      </c>
      <c r="BX948" s="78" cm="1">
        <f t="array" ref="BX948">IF(BM948&gt;0,1,_xll.DCETCVN5575FactorPhi7121(BV948*SQRT($K$17/206000),"b"))</f>
        <v>1</v>
      </c>
      <c r="BY948" s="64">
        <f t="shared" si="129"/>
        <v>4.4641876356384849E-2</v>
      </c>
      <c r="BZ948" s="3" t="str">
        <f t="shared" si="130"/>
        <v>Check</v>
      </c>
    </row>
    <row r="949" spans="1:78">
      <c r="A949" s="76"/>
      <c r="B949" s="76"/>
      <c r="C949" s="125"/>
      <c r="D949" s="125"/>
      <c r="E949" s="71"/>
      <c r="F949" s="71"/>
      <c r="G949" s="71"/>
      <c r="H949" s="126"/>
      <c r="I949" s="125"/>
      <c r="J949" s="123"/>
      <c r="K949" s="12"/>
      <c r="L949" s="117"/>
      <c r="M949" s="12"/>
      <c r="N949" s="117"/>
      <c r="O949" s="117"/>
      <c r="P949" s="117"/>
      <c r="Q949" s="118"/>
      <c r="R949" s="118"/>
      <c r="S949" s="118"/>
      <c r="T949" s="12"/>
      <c r="U949" s="118"/>
      <c r="V949" s="118"/>
      <c r="W949" s="12"/>
      <c r="X949" s="119"/>
      <c r="Y949" s="120"/>
      <c r="Z949" s="12"/>
      <c r="BA949" s="70" t="s">
        <v>205</v>
      </c>
      <c r="BB949" s="71" t="s">
        <v>210</v>
      </c>
      <c r="BC949" s="71" t="s">
        <v>207</v>
      </c>
      <c r="BD949" s="71">
        <v>15.5</v>
      </c>
      <c r="BE949" s="71">
        <v>36</v>
      </c>
      <c r="BF949" s="71">
        <v>390</v>
      </c>
      <c r="BG949" s="71">
        <v>212</v>
      </c>
      <c r="BH949" s="71">
        <v>5</v>
      </c>
      <c r="BI949" s="71">
        <v>10</v>
      </c>
      <c r="BJ949" s="12" t="str" cm="1">
        <f t="array" ref="BJ949">_xll.Dce_Name_SectI(BF949, BF949, BG949, BH949, BI949, "x", "-", $AX$11)</f>
        <v>390x212x5x10</v>
      </c>
      <c r="BK949" s="77" cm="1">
        <f t="array" ref="BK949">_xll.DCEPropSectI(BF949, BH949, BG949, BI949, BG949, BI949, "A")/100</f>
        <v>60.9</v>
      </c>
      <c r="BL949" s="70" t="s">
        <v>225</v>
      </c>
      <c r="BM949" s="70">
        <v>57.092495672180576</v>
      </c>
      <c r="BN949" s="71">
        <v>0.9</v>
      </c>
      <c r="BO949" s="77">
        <f t="shared" si="123"/>
        <v>32.4</v>
      </c>
      <c r="BP949" s="71">
        <v>0.9</v>
      </c>
      <c r="BQ949" s="77">
        <f t="shared" si="124"/>
        <v>32.4</v>
      </c>
      <c r="BR949" s="77" cm="1">
        <f t="array" ref="BR949">_xll.DCEPropSectI(BF949, BH949, BG949, BI949, BG949, BI949, "rx")/10</f>
        <v>16.91131201300167</v>
      </c>
      <c r="BS949" s="77" cm="1">
        <f t="array" ref="BS949">_xll.DCEPropSectI(BF949, BH949, BG949, BI949, BG949, BI949, "ry")/10</f>
        <v>5.1070747638622018</v>
      </c>
      <c r="BT949" s="5">
        <f t="shared" si="125"/>
        <v>191.58773710218577</v>
      </c>
      <c r="BU949" s="5">
        <f t="shared" si="126"/>
        <v>634.41405301647956</v>
      </c>
      <c r="BV949" s="5">
        <f t="shared" si="127"/>
        <v>634.41405301647956</v>
      </c>
      <c r="BW949" s="71">
        <f t="shared" si="128"/>
        <v>400</v>
      </c>
      <c r="BX949" s="78" cm="1">
        <f t="array" ref="BX949">IF(BM949&gt;0,1,_xll.DCETCVN5575FactorPhi7121(BV949*SQRT($K$17/206000),"b"))</f>
        <v>1</v>
      </c>
      <c r="BY949" s="64">
        <f t="shared" si="129"/>
        <v>4.4641876356384849E-2</v>
      </c>
      <c r="BZ949" s="3" t="str">
        <f t="shared" si="130"/>
        <v>Check</v>
      </c>
    </row>
    <row r="950" spans="1:78">
      <c r="A950" s="76"/>
      <c r="B950" s="76"/>
      <c r="C950" s="125"/>
      <c r="D950" s="125"/>
      <c r="E950" s="71"/>
      <c r="F950" s="71"/>
      <c r="G950" s="71"/>
      <c r="H950" s="126"/>
      <c r="I950" s="125"/>
      <c r="J950" s="123"/>
      <c r="K950" s="12"/>
      <c r="L950" s="117"/>
      <c r="M950" s="12"/>
      <c r="N950" s="117"/>
      <c r="O950" s="117"/>
      <c r="P950" s="117"/>
      <c r="Q950" s="118"/>
      <c r="R950" s="118"/>
      <c r="S950" s="118"/>
      <c r="T950" s="12"/>
      <c r="U950" s="118"/>
      <c r="V950" s="118"/>
      <c r="W950" s="12"/>
      <c r="X950" s="119"/>
      <c r="Y950" s="120"/>
      <c r="Z950" s="12"/>
      <c r="BA950" s="70" t="s">
        <v>205</v>
      </c>
      <c r="BB950" s="71" t="s">
        <v>210</v>
      </c>
      <c r="BC950" s="71" t="s">
        <v>207</v>
      </c>
      <c r="BD950" s="71">
        <v>16</v>
      </c>
      <c r="BE950" s="71">
        <v>36</v>
      </c>
      <c r="BF950" s="71">
        <v>390</v>
      </c>
      <c r="BG950" s="71">
        <v>212</v>
      </c>
      <c r="BH950" s="71">
        <v>5</v>
      </c>
      <c r="BI950" s="71">
        <v>10</v>
      </c>
      <c r="BJ950" s="12" t="str" cm="1">
        <f t="array" ref="BJ950">_xll.Dce_Name_SectI(BF950, BF950, BG950, BH950, BI950, "x", "-", $AX$11)</f>
        <v>390x212x5x10</v>
      </c>
      <c r="BK950" s="77" cm="1">
        <f t="array" ref="BK950">_xll.DCEPropSectI(BF950, BH950, BG950, BI950, BG950, BI950, "A")/100</f>
        <v>60.9</v>
      </c>
      <c r="BL950" s="70" t="s">
        <v>225</v>
      </c>
      <c r="BM950" s="70">
        <v>57.092495672180576</v>
      </c>
      <c r="BN950" s="71">
        <v>0.9</v>
      </c>
      <c r="BO950" s="77">
        <f t="shared" si="123"/>
        <v>32.4</v>
      </c>
      <c r="BP950" s="71">
        <v>0.9</v>
      </c>
      <c r="BQ950" s="77">
        <f t="shared" si="124"/>
        <v>32.4</v>
      </c>
      <c r="BR950" s="77" cm="1">
        <f t="array" ref="BR950">_xll.DCEPropSectI(BF950, BH950, BG950, BI950, BG950, BI950, "rx")/10</f>
        <v>16.91131201300167</v>
      </c>
      <c r="BS950" s="77" cm="1">
        <f t="array" ref="BS950">_xll.DCEPropSectI(BF950, BH950, BG950, BI950, BG950, BI950, "ry")/10</f>
        <v>5.1070747638622018</v>
      </c>
      <c r="BT950" s="5">
        <f t="shared" si="125"/>
        <v>191.58773710218577</v>
      </c>
      <c r="BU950" s="5">
        <f t="shared" si="126"/>
        <v>634.41405301647956</v>
      </c>
      <c r="BV950" s="5">
        <f t="shared" si="127"/>
        <v>634.41405301647956</v>
      </c>
      <c r="BW950" s="71">
        <f t="shared" si="128"/>
        <v>400</v>
      </c>
      <c r="BX950" s="78" cm="1">
        <f t="array" ref="BX950">IF(BM950&gt;0,1,_xll.DCETCVN5575FactorPhi7121(BV950*SQRT($K$17/206000),"b"))</f>
        <v>1</v>
      </c>
      <c r="BY950" s="64">
        <f t="shared" si="129"/>
        <v>4.4641876356384849E-2</v>
      </c>
      <c r="BZ950" s="3" t="str">
        <f t="shared" si="130"/>
        <v>Check</v>
      </c>
    </row>
    <row r="951" spans="1:78">
      <c r="A951" s="76"/>
      <c r="B951" s="76"/>
      <c r="C951" s="125"/>
      <c r="D951" s="125"/>
      <c r="E951" s="71"/>
      <c r="F951" s="71"/>
      <c r="G951" s="71"/>
      <c r="H951" s="126"/>
      <c r="I951" s="125"/>
      <c r="J951" s="123"/>
      <c r="K951" s="12"/>
      <c r="L951" s="117"/>
      <c r="M951" s="12"/>
      <c r="N951" s="117"/>
      <c r="O951" s="117"/>
      <c r="P951" s="117"/>
      <c r="Q951" s="118"/>
      <c r="R951" s="118"/>
      <c r="S951" s="118"/>
      <c r="T951" s="12"/>
      <c r="U951" s="118"/>
      <c r="V951" s="118"/>
      <c r="W951" s="12"/>
      <c r="X951" s="119"/>
      <c r="Y951" s="120"/>
      <c r="Z951" s="12"/>
      <c r="BA951" s="70" t="s">
        <v>205</v>
      </c>
      <c r="BB951" s="71" t="s">
        <v>210</v>
      </c>
      <c r="BC951" s="71" t="s">
        <v>207</v>
      </c>
      <c r="BD951" s="71">
        <v>16.5</v>
      </c>
      <c r="BE951" s="71">
        <v>36</v>
      </c>
      <c r="BF951" s="71">
        <v>390</v>
      </c>
      <c r="BG951" s="71">
        <v>212</v>
      </c>
      <c r="BH951" s="71">
        <v>5</v>
      </c>
      <c r="BI951" s="71">
        <v>10</v>
      </c>
      <c r="BJ951" s="12" t="str" cm="1">
        <f t="array" ref="BJ951">_xll.Dce_Name_SectI(BF951, BF951, BG951, BH951, BI951, "x", "-", $AX$11)</f>
        <v>390x212x5x10</v>
      </c>
      <c r="BK951" s="77" cm="1">
        <f t="array" ref="BK951">_xll.DCEPropSectI(BF951, BH951, BG951, BI951, BG951, BI951, "A")/100</f>
        <v>60.9</v>
      </c>
      <c r="BL951" s="70" t="s">
        <v>225</v>
      </c>
      <c r="BM951" s="70">
        <v>57.092495672180576</v>
      </c>
      <c r="BN951" s="71">
        <v>0.9</v>
      </c>
      <c r="BO951" s="77">
        <f t="shared" si="123"/>
        <v>32.4</v>
      </c>
      <c r="BP951" s="71">
        <v>0.9</v>
      </c>
      <c r="BQ951" s="77">
        <f t="shared" si="124"/>
        <v>32.4</v>
      </c>
      <c r="BR951" s="77" cm="1">
        <f t="array" ref="BR951">_xll.DCEPropSectI(BF951, BH951, BG951, BI951, BG951, BI951, "rx")/10</f>
        <v>16.91131201300167</v>
      </c>
      <c r="BS951" s="77" cm="1">
        <f t="array" ref="BS951">_xll.DCEPropSectI(BF951, BH951, BG951, BI951, BG951, BI951, "ry")/10</f>
        <v>5.1070747638622018</v>
      </c>
      <c r="BT951" s="5">
        <f t="shared" si="125"/>
        <v>191.58773710218577</v>
      </c>
      <c r="BU951" s="5">
        <f t="shared" si="126"/>
        <v>634.41405301647956</v>
      </c>
      <c r="BV951" s="5">
        <f t="shared" si="127"/>
        <v>634.41405301647956</v>
      </c>
      <c r="BW951" s="71">
        <f t="shared" si="128"/>
        <v>400</v>
      </c>
      <c r="BX951" s="78" cm="1">
        <f t="array" ref="BX951">IF(BM951&gt;0,1,_xll.DCETCVN5575FactorPhi7121(BV951*SQRT($K$17/206000),"b"))</f>
        <v>1</v>
      </c>
      <c r="BY951" s="64">
        <f t="shared" si="129"/>
        <v>4.4641876356384849E-2</v>
      </c>
      <c r="BZ951" s="3" t="str">
        <f t="shared" si="130"/>
        <v>Check</v>
      </c>
    </row>
    <row r="952" spans="1:78">
      <c r="A952" s="76"/>
      <c r="B952" s="76"/>
      <c r="C952" s="125"/>
      <c r="D952" s="125"/>
      <c r="E952" s="71"/>
      <c r="F952" s="71"/>
      <c r="G952" s="71"/>
      <c r="H952" s="126"/>
      <c r="I952" s="125"/>
      <c r="J952" s="123"/>
      <c r="K952" s="12"/>
      <c r="L952" s="117"/>
      <c r="M952" s="12"/>
      <c r="N952" s="117"/>
      <c r="O952" s="117"/>
      <c r="P952" s="117"/>
      <c r="Q952" s="118"/>
      <c r="R952" s="118"/>
      <c r="S952" s="118"/>
      <c r="T952" s="12"/>
      <c r="U952" s="118"/>
      <c r="V952" s="118"/>
      <c r="W952" s="12"/>
      <c r="X952" s="119"/>
      <c r="Y952" s="120"/>
      <c r="Z952" s="12"/>
      <c r="BA952" s="70" t="s">
        <v>205</v>
      </c>
      <c r="BB952" s="71" t="s">
        <v>210</v>
      </c>
      <c r="BC952" s="71" t="s">
        <v>207</v>
      </c>
      <c r="BD952" s="71">
        <v>17</v>
      </c>
      <c r="BE952" s="71">
        <v>36</v>
      </c>
      <c r="BF952" s="71">
        <v>390</v>
      </c>
      <c r="BG952" s="71">
        <v>212</v>
      </c>
      <c r="BH952" s="71">
        <v>5</v>
      </c>
      <c r="BI952" s="71">
        <v>10</v>
      </c>
      <c r="BJ952" s="12" t="str" cm="1">
        <f t="array" ref="BJ952">_xll.Dce_Name_SectI(BF952, BF952, BG952, BH952, BI952, "x", "-", $AX$11)</f>
        <v>390x212x5x10</v>
      </c>
      <c r="BK952" s="77" cm="1">
        <f t="array" ref="BK952">_xll.DCEPropSectI(BF952, BH952, BG952, BI952, BG952, BI952, "A")/100</f>
        <v>60.9</v>
      </c>
      <c r="BL952" s="70" t="s">
        <v>225</v>
      </c>
      <c r="BM952" s="70">
        <v>57.092495672180576</v>
      </c>
      <c r="BN952" s="71">
        <v>0.9</v>
      </c>
      <c r="BO952" s="77">
        <f t="shared" si="123"/>
        <v>32.4</v>
      </c>
      <c r="BP952" s="71">
        <v>0.9</v>
      </c>
      <c r="BQ952" s="77">
        <f t="shared" si="124"/>
        <v>32.4</v>
      </c>
      <c r="BR952" s="77" cm="1">
        <f t="array" ref="BR952">_xll.DCEPropSectI(BF952, BH952, BG952, BI952, BG952, BI952, "rx")/10</f>
        <v>16.91131201300167</v>
      </c>
      <c r="BS952" s="77" cm="1">
        <f t="array" ref="BS952">_xll.DCEPropSectI(BF952, BH952, BG952, BI952, BG952, BI952, "ry")/10</f>
        <v>5.1070747638622018</v>
      </c>
      <c r="BT952" s="5">
        <f t="shared" si="125"/>
        <v>191.58773710218577</v>
      </c>
      <c r="BU952" s="5">
        <f t="shared" si="126"/>
        <v>634.41405301647956</v>
      </c>
      <c r="BV952" s="5">
        <f t="shared" si="127"/>
        <v>634.41405301647956</v>
      </c>
      <c r="BW952" s="71">
        <f t="shared" si="128"/>
        <v>400</v>
      </c>
      <c r="BX952" s="78" cm="1">
        <f t="array" ref="BX952">IF(BM952&gt;0,1,_xll.DCETCVN5575FactorPhi7121(BV952*SQRT($K$17/206000),"b"))</f>
        <v>1</v>
      </c>
      <c r="BY952" s="64">
        <f t="shared" si="129"/>
        <v>4.4641876356384849E-2</v>
      </c>
      <c r="BZ952" s="3" t="str">
        <f t="shared" si="130"/>
        <v>Check</v>
      </c>
    </row>
    <row r="953" spans="1:78">
      <c r="A953" s="76"/>
      <c r="B953" s="76"/>
      <c r="C953" s="125"/>
      <c r="D953" s="125"/>
      <c r="E953" s="71"/>
      <c r="F953" s="71"/>
      <c r="G953" s="71"/>
      <c r="H953" s="126"/>
      <c r="I953" s="125"/>
      <c r="J953" s="123"/>
      <c r="K953" s="12"/>
      <c r="L953" s="117"/>
      <c r="M953" s="12"/>
      <c r="N953" s="117"/>
      <c r="O953" s="117"/>
      <c r="P953" s="117"/>
      <c r="Q953" s="118"/>
      <c r="R953" s="118"/>
      <c r="S953" s="118"/>
      <c r="T953" s="12"/>
      <c r="U953" s="118"/>
      <c r="V953" s="118"/>
      <c r="W953" s="12"/>
      <c r="X953" s="119"/>
      <c r="Y953" s="120"/>
      <c r="Z953" s="12"/>
      <c r="BA953" s="70" t="s">
        <v>205</v>
      </c>
      <c r="BB953" s="71" t="s">
        <v>210</v>
      </c>
      <c r="BC953" s="71" t="s">
        <v>207</v>
      </c>
      <c r="BD953" s="71">
        <v>17.5</v>
      </c>
      <c r="BE953" s="71">
        <v>36</v>
      </c>
      <c r="BF953" s="71">
        <v>390</v>
      </c>
      <c r="BG953" s="71">
        <v>212</v>
      </c>
      <c r="BH953" s="71">
        <v>5</v>
      </c>
      <c r="BI953" s="71">
        <v>10</v>
      </c>
      <c r="BJ953" s="12" t="str" cm="1">
        <f t="array" ref="BJ953">_xll.Dce_Name_SectI(BF953, BF953, BG953, BH953, BI953, "x", "-", $AX$11)</f>
        <v>390x212x5x10</v>
      </c>
      <c r="BK953" s="77" cm="1">
        <f t="array" ref="BK953">_xll.DCEPropSectI(BF953, BH953, BG953, BI953, BG953, BI953, "A")/100</f>
        <v>60.9</v>
      </c>
      <c r="BL953" s="70" t="s">
        <v>225</v>
      </c>
      <c r="BM953" s="70">
        <v>57.092495672180576</v>
      </c>
      <c r="BN953" s="71">
        <v>0.9</v>
      </c>
      <c r="BO953" s="77">
        <f t="shared" si="123"/>
        <v>32.4</v>
      </c>
      <c r="BP953" s="71">
        <v>0.9</v>
      </c>
      <c r="BQ953" s="77">
        <f t="shared" si="124"/>
        <v>32.4</v>
      </c>
      <c r="BR953" s="77" cm="1">
        <f t="array" ref="BR953">_xll.DCEPropSectI(BF953, BH953, BG953, BI953, BG953, BI953, "rx")/10</f>
        <v>16.91131201300167</v>
      </c>
      <c r="BS953" s="77" cm="1">
        <f t="array" ref="BS953">_xll.DCEPropSectI(BF953, BH953, BG953, BI953, BG953, BI953, "ry")/10</f>
        <v>5.1070747638622018</v>
      </c>
      <c r="BT953" s="5">
        <f t="shared" si="125"/>
        <v>191.58773710218577</v>
      </c>
      <c r="BU953" s="5">
        <f t="shared" si="126"/>
        <v>634.41405301647956</v>
      </c>
      <c r="BV953" s="5">
        <f t="shared" si="127"/>
        <v>634.41405301647956</v>
      </c>
      <c r="BW953" s="71">
        <f t="shared" si="128"/>
        <v>400</v>
      </c>
      <c r="BX953" s="78" cm="1">
        <f t="array" ref="BX953">IF(BM953&gt;0,1,_xll.DCETCVN5575FactorPhi7121(BV953*SQRT($K$17/206000),"b"))</f>
        <v>1</v>
      </c>
      <c r="BY953" s="64">
        <f t="shared" si="129"/>
        <v>4.4641876356384849E-2</v>
      </c>
      <c r="BZ953" s="3" t="str">
        <f t="shared" si="130"/>
        <v>Check</v>
      </c>
    </row>
    <row r="954" spans="1:78">
      <c r="A954" s="76"/>
      <c r="B954" s="76"/>
      <c r="C954" s="125"/>
      <c r="D954" s="125"/>
      <c r="E954" s="71"/>
      <c r="F954" s="71"/>
      <c r="G954" s="71"/>
      <c r="H954" s="126"/>
      <c r="I954" s="125"/>
      <c r="J954" s="123"/>
      <c r="K954" s="12"/>
      <c r="L954" s="117"/>
      <c r="M954" s="12"/>
      <c r="N954" s="117"/>
      <c r="O954" s="117"/>
      <c r="P954" s="117"/>
      <c r="Q954" s="118"/>
      <c r="R954" s="118"/>
      <c r="S954" s="118"/>
      <c r="T954" s="12"/>
      <c r="U954" s="118"/>
      <c r="V954" s="118"/>
      <c r="W954" s="12"/>
      <c r="X954" s="119"/>
      <c r="Y954" s="120"/>
      <c r="Z954" s="12"/>
      <c r="BA954" s="70" t="s">
        <v>205</v>
      </c>
      <c r="BB954" s="71" t="s">
        <v>210</v>
      </c>
      <c r="BC954" s="71" t="s">
        <v>207</v>
      </c>
      <c r="BD954" s="71">
        <v>18</v>
      </c>
      <c r="BE954" s="71">
        <v>36</v>
      </c>
      <c r="BF954" s="71">
        <v>390</v>
      </c>
      <c r="BG954" s="71">
        <v>212</v>
      </c>
      <c r="BH954" s="71">
        <v>5</v>
      </c>
      <c r="BI954" s="71">
        <v>10</v>
      </c>
      <c r="BJ954" s="12" t="str" cm="1">
        <f t="array" ref="BJ954">_xll.Dce_Name_SectI(BF954, BF954, BG954, BH954, BI954, "x", "-", $AX$11)</f>
        <v>390x212x5x10</v>
      </c>
      <c r="BK954" s="77" cm="1">
        <f t="array" ref="BK954">_xll.DCEPropSectI(BF954, BH954, BG954, BI954, BG954, BI954, "A")/100</f>
        <v>60.9</v>
      </c>
      <c r="BL954" s="70" t="s">
        <v>225</v>
      </c>
      <c r="BM954" s="70">
        <v>57.092495672180576</v>
      </c>
      <c r="BN954" s="71">
        <v>0.9</v>
      </c>
      <c r="BO954" s="77">
        <f t="shared" si="123"/>
        <v>32.4</v>
      </c>
      <c r="BP954" s="71">
        <v>0.9</v>
      </c>
      <c r="BQ954" s="77">
        <f t="shared" si="124"/>
        <v>32.4</v>
      </c>
      <c r="BR954" s="77" cm="1">
        <f t="array" ref="BR954">_xll.DCEPropSectI(BF954, BH954, BG954, BI954, BG954, BI954, "rx")/10</f>
        <v>16.91131201300167</v>
      </c>
      <c r="BS954" s="77" cm="1">
        <f t="array" ref="BS954">_xll.DCEPropSectI(BF954, BH954, BG954, BI954, BG954, BI954, "ry")/10</f>
        <v>5.1070747638622018</v>
      </c>
      <c r="BT954" s="5">
        <f t="shared" si="125"/>
        <v>191.58773710218577</v>
      </c>
      <c r="BU954" s="5">
        <f t="shared" si="126"/>
        <v>634.41405301647956</v>
      </c>
      <c r="BV954" s="5">
        <f t="shared" si="127"/>
        <v>634.41405301647956</v>
      </c>
      <c r="BW954" s="71">
        <f t="shared" si="128"/>
        <v>400</v>
      </c>
      <c r="BX954" s="78" cm="1">
        <f t="array" ref="BX954">IF(BM954&gt;0,1,_xll.DCETCVN5575FactorPhi7121(BV954*SQRT($K$17/206000),"b"))</f>
        <v>1</v>
      </c>
      <c r="BY954" s="64">
        <f t="shared" si="129"/>
        <v>4.4641876356384849E-2</v>
      </c>
      <c r="BZ954" s="3" t="str">
        <f t="shared" si="130"/>
        <v>Check</v>
      </c>
    </row>
    <row r="955" spans="1:78">
      <c r="A955" s="76"/>
      <c r="B955" s="76"/>
      <c r="C955" s="125"/>
      <c r="D955" s="125"/>
      <c r="E955" s="71"/>
      <c r="F955" s="71"/>
      <c r="G955" s="71"/>
      <c r="H955" s="126"/>
      <c r="I955" s="125"/>
      <c r="J955" s="123"/>
      <c r="K955" s="12"/>
      <c r="L955" s="117"/>
      <c r="M955" s="12"/>
      <c r="N955" s="117"/>
      <c r="O955" s="117"/>
      <c r="P955" s="117"/>
      <c r="Q955" s="118"/>
      <c r="R955" s="118"/>
      <c r="S955" s="118"/>
      <c r="T955" s="12"/>
      <c r="U955" s="118"/>
      <c r="V955" s="118"/>
      <c r="W955" s="12"/>
      <c r="X955" s="119"/>
      <c r="Y955" s="120"/>
      <c r="Z955" s="12"/>
      <c r="BA955" s="70" t="s">
        <v>205</v>
      </c>
      <c r="BB955" s="71" t="s">
        <v>210</v>
      </c>
      <c r="BC955" s="71" t="s">
        <v>207</v>
      </c>
      <c r="BD955" s="71">
        <v>18.5</v>
      </c>
      <c r="BE955" s="71">
        <v>36</v>
      </c>
      <c r="BF955" s="71">
        <v>390</v>
      </c>
      <c r="BG955" s="71">
        <v>212</v>
      </c>
      <c r="BH955" s="71">
        <v>5</v>
      </c>
      <c r="BI955" s="71">
        <v>10</v>
      </c>
      <c r="BJ955" s="12" t="str" cm="1">
        <f t="array" ref="BJ955">_xll.Dce_Name_SectI(BF955, BF955, BG955, BH955, BI955, "x", "-", $AX$11)</f>
        <v>390x212x5x10</v>
      </c>
      <c r="BK955" s="77" cm="1">
        <f t="array" ref="BK955">_xll.DCEPropSectI(BF955, BH955, BG955, BI955, BG955, BI955, "A")/100</f>
        <v>60.9</v>
      </c>
      <c r="BL955" s="70" t="s">
        <v>225</v>
      </c>
      <c r="BM955" s="70">
        <v>57.092495672180576</v>
      </c>
      <c r="BN955" s="71">
        <v>0.9</v>
      </c>
      <c r="BO955" s="77">
        <f t="shared" si="123"/>
        <v>32.4</v>
      </c>
      <c r="BP955" s="71">
        <v>0.9</v>
      </c>
      <c r="BQ955" s="77">
        <f t="shared" si="124"/>
        <v>32.4</v>
      </c>
      <c r="BR955" s="77" cm="1">
        <f t="array" ref="BR955">_xll.DCEPropSectI(BF955, BH955, BG955, BI955, BG955, BI955, "rx")/10</f>
        <v>16.91131201300167</v>
      </c>
      <c r="BS955" s="77" cm="1">
        <f t="array" ref="BS955">_xll.DCEPropSectI(BF955, BH955, BG955, BI955, BG955, BI955, "ry")/10</f>
        <v>5.1070747638622018</v>
      </c>
      <c r="BT955" s="5">
        <f t="shared" si="125"/>
        <v>191.58773710218577</v>
      </c>
      <c r="BU955" s="5">
        <f t="shared" si="126"/>
        <v>634.41405301647956</v>
      </c>
      <c r="BV955" s="5">
        <f t="shared" si="127"/>
        <v>634.41405301647956</v>
      </c>
      <c r="BW955" s="71">
        <f t="shared" si="128"/>
        <v>400</v>
      </c>
      <c r="BX955" s="78" cm="1">
        <f t="array" ref="BX955">IF(BM955&gt;0,1,_xll.DCETCVN5575FactorPhi7121(BV955*SQRT($K$17/206000),"b"))</f>
        <v>1</v>
      </c>
      <c r="BY955" s="64">
        <f t="shared" si="129"/>
        <v>4.4641876356384849E-2</v>
      </c>
      <c r="BZ955" s="3" t="str">
        <f t="shared" si="130"/>
        <v>Check</v>
      </c>
    </row>
    <row r="956" spans="1:78">
      <c r="A956" s="76"/>
      <c r="B956" s="76"/>
      <c r="C956" s="125"/>
      <c r="D956" s="125"/>
      <c r="E956" s="71"/>
      <c r="F956" s="71"/>
      <c r="G956" s="71"/>
      <c r="H956" s="126"/>
      <c r="I956" s="125"/>
      <c r="J956" s="123"/>
      <c r="K956" s="12"/>
      <c r="L956" s="117"/>
      <c r="M956" s="12"/>
      <c r="N956" s="117"/>
      <c r="O956" s="117"/>
      <c r="P956" s="117"/>
      <c r="Q956" s="118"/>
      <c r="R956" s="118"/>
      <c r="S956" s="118"/>
      <c r="T956" s="12"/>
      <c r="U956" s="118"/>
      <c r="V956" s="118"/>
      <c r="W956" s="12"/>
      <c r="X956" s="119"/>
      <c r="Y956" s="120"/>
      <c r="Z956" s="12"/>
      <c r="BA956" s="70" t="s">
        <v>205</v>
      </c>
      <c r="BB956" s="71" t="s">
        <v>210</v>
      </c>
      <c r="BC956" s="71" t="s">
        <v>207</v>
      </c>
      <c r="BD956" s="71">
        <v>19</v>
      </c>
      <c r="BE956" s="71">
        <v>36</v>
      </c>
      <c r="BF956" s="71">
        <v>390</v>
      </c>
      <c r="BG956" s="71">
        <v>212</v>
      </c>
      <c r="BH956" s="71">
        <v>5</v>
      </c>
      <c r="BI956" s="71">
        <v>10</v>
      </c>
      <c r="BJ956" s="12" t="str" cm="1">
        <f t="array" ref="BJ956">_xll.Dce_Name_SectI(BF956, BF956, BG956, BH956, BI956, "x", "-", $AX$11)</f>
        <v>390x212x5x10</v>
      </c>
      <c r="BK956" s="77" cm="1">
        <f t="array" ref="BK956">_xll.DCEPropSectI(BF956, BH956, BG956, BI956, BG956, BI956, "A")/100</f>
        <v>60.9</v>
      </c>
      <c r="BL956" s="70" t="s">
        <v>225</v>
      </c>
      <c r="BM956" s="70">
        <v>57.092495672180576</v>
      </c>
      <c r="BN956" s="71">
        <v>0.9</v>
      </c>
      <c r="BO956" s="77">
        <f t="shared" si="123"/>
        <v>32.4</v>
      </c>
      <c r="BP956" s="71">
        <v>0.9</v>
      </c>
      <c r="BQ956" s="77">
        <f t="shared" si="124"/>
        <v>32.4</v>
      </c>
      <c r="BR956" s="77" cm="1">
        <f t="array" ref="BR956">_xll.DCEPropSectI(BF956, BH956, BG956, BI956, BG956, BI956, "rx")/10</f>
        <v>16.91131201300167</v>
      </c>
      <c r="BS956" s="77" cm="1">
        <f t="array" ref="BS956">_xll.DCEPropSectI(BF956, BH956, BG956, BI956, BG956, BI956, "ry")/10</f>
        <v>5.1070747638622018</v>
      </c>
      <c r="BT956" s="5">
        <f t="shared" si="125"/>
        <v>191.58773710218577</v>
      </c>
      <c r="BU956" s="5">
        <f t="shared" si="126"/>
        <v>634.41405301647956</v>
      </c>
      <c r="BV956" s="5">
        <f t="shared" si="127"/>
        <v>634.41405301647956</v>
      </c>
      <c r="BW956" s="71">
        <f t="shared" si="128"/>
        <v>400</v>
      </c>
      <c r="BX956" s="78" cm="1">
        <f t="array" ref="BX956">IF(BM956&gt;0,1,_xll.DCETCVN5575FactorPhi7121(BV956*SQRT($K$17/206000),"b"))</f>
        <v>1</v>
      </c>
      <c r="BY956" s="64">
        <f t="shared" si="129"/>
        <v>4.4641876356384849E-2</v>
      </c>
      <c r="BZ956" s="3" t="str">
        <f t="shared" si="130"/>
        <v>Check</v>
      </c>
    </row>
    <row r="957" spans="1:78">
      <c r="A957" s="76"/>
      <c r="B957" s="76"/>
      <c r="C957" s="125"/>
      <c r="D957" s="125"/>
      <c r="E957" s="71"/>
      <c r="F957" s="71"/>
      <c r="G957" s="71"/>
      <c r="H957" s="126"/>
      <c r="I957" s="125"/>
      <c r="J957" s="123"/>
      <c r="K957" s="12"/>
      <c r="L957" s="117"/>
      <c r="M957" s="12"/>
      <c r="N957" s="117"/>
      <c r="O957" s="117"/>
      <c r="P957" s="117"/>
      <c r="Q957" s="118"/>
      <c r="R957" s="118"/>
      <c r="S957" s="118"/>
      <c r="T957" s="12"/>
      <c r="U957" s="118"/>
      <c r="V957" s="118"/>
      <c r="W957" s="12"/>
      <c r="X957" s="119"/>
      <c r="Y957" s="120"/>
      <c r="Z957" s="12"/>
      <c r="BA957" s="70" t="s">
        <v>205</v>
      </c>
      <c r="BB957" s="71" t="s">
        <v>210</v>
      </c>
      <c r="BC957" s="71" t="s">
        <v>207</v>
      </c>
      <c r="BD957" s="71">
        <v>19.5</v>
      </c>
      <c r="BE957" s="71">
        <v>36</v>
      </c>
      <c r="BF957" s="71">
        <v>390</v>
      </c>
      <c r="BG957" s="71">
        <v>212</v>
      </c>
      <c r="BH957" s="71">
        <v>5</v>
      </c>
      <c r="BI957" s="71">
        <v>10</v>
      </c>
      <c r="BJ957" s="12" t="str" cm="1">
        <f t="array" ref="BJ957">_xll.Dce_Name_SectI(BF957, BF957, BG957, BH957, BI957, "x", "-", $AX$11)</f>
        <v>390x212x5x10</v>
      </c>
      <c r="BK957" s="77" cm="1">
        <f t="array" ref="BK957">_xll.DCEPropSectI(BF957, BH957, BG957, BI957, BG957, BI957, "A")/100</f>
        <v>60.9</v>
      </c>
      <c r="BL957" s="70" t="s">
        <v>225</v>
      </c>
      <c r="BM957" s="70">
        <v>57.092495672180576</v>
      </c>
      <c r="BN957" s="71">
        <v>0.9</v>
      </c>
      <c r="BO957" s="77">
        <f t="shared" si="123"/>
        <v>32.4</v>
      </c>
      <c r="BP957" s="71">
        <v>0.9</v>
      </c>
      <c r="BQ957" s="77">
        <f t="shared" si="124"/>
        <v>32.4</v>
      </c>
      <c r="BR957" s="77" cm="1">
        <f t="array" ref="BR957">_xll.DCEPropSectI(BF957, BH957, BG957, BI957, BG957, BI957, "rx")/10</f>
        <v>16.91131201300167</v>
      </c>
      <c r="BS957" s="77" cm="1">
        <f t="array" ref="BS957">_xll.DCEPropSectI(BF957, BH957, BG957, BI957, BG957, BI957, "ry")/10</f>
        <v>5.1070747638622018</v>
      </c>
      <c r="BT957" s="5">
        <f t="shared" si="125"/>
        <v>191.58773710218577</v>
      </c>
      <c r="BU957" s="5">
        <f t="shared" si="126"/>
        <v>634.41405301647956</v>
      </c>
      <c r="BV957" s="5">
        <f t="shared" si="127"/>
        <v>634.41405301647956</v>
      </c>
      <c r="BW957" s="71">
        <f t="shared" si="128"/>
        <v>400</v>
      </c>
      <c r="BX957" s="78" cm="1">
        <f t="array" ref="BX957">IF(BM957&gt;0,1,_xll.DCETCVN5575FactorPhi7121(BV957*SQRT($K$17/206000),"b"))</f>
        <v>1</v>
      </c>
      <c r="BY957" s="64">
        <f t="shared" si="129"/>
        <v>4.4641876356384849E-2</v>
      </c>
      <c r="BZ957" s="3" t="str">
        <f t="shared" si="130"/>
        <v>Check</v>
      </c>
    </row>
    <row r="958" spans="1:78">
      <c r="A958" s="76"/>
      <c r="B958" s="76"/>
      <c r="C958" s="125"/>
      <c r="D958" s="125"/>
      <c r="E958" s="71"/>
      <c r="F958" s="71"/>
      <c r="G958" s="71"/>
      <c r="H958" s="126"/>
      <c r="I958" s="125"/>
      <c r="J958" s="123"/>
      <c r="K958" s="12"/>
      <c r="L958" s="117"/>
      <c r="M958" s="12"/>
      <c r="N958" s="117"/>
      <c r="O958" s="117"/>
      <c r="P958" s="117"/>
      <c r="Q958" s="118"/>
      <c r="R958" s="118"/>
      <c r="S958" s="118"/>
      <c r="T958" s="12"/>
      <c r="U958" s="118"/>
      <c r="V958" s="118"/>
      <c r="W958" s="12"/>
      <c r="X958" s="119"/>
      <c r="Y958" s="120"/>
      <c r="Z958" s="12"/>
      <c r="BA958" s="70" t="s">
        <v>205</v>
      </c>
      <c r="BB958" s="71" t="s">
        <v>210</v>
      </c>
      <c r="BC958" s="71" t="s">
        <v>207</v>
      </c>
      <c r="BD958" s="71">
        <v>20</v>
      </c>
      <c r="BE958" s="71">
        <v>36</v>
      </c>
      <c r="BF958" s="71">
        <v>390</v>
      </c>
      <c r="BG958" s="71">
        <v>212</v>
      </c>
      <c r="BH958" s="71">
        <v>5</v>
      </c>
      <c r="BI958" s="71">
        <v>10</v>
      </c>
      <c r="BJ958" s="12" t="str" cm="1">
        <f t="array" ref="BJ958">_xll.Dce_Name_SectI(BF958, BF958, BG958, BH958, BI958, "x", "-", $AX$11)</f>
        <v>390x212x5x10</v>
      </c>
      <c r="BK958" s="77" cm="1">
        <f t="array" ref="BK958">_xll.DCEPropSectI(BF958, BH958, BG958, BI958, BG958, BI958, "A")/100</f>
        <v>60.9</v>
      </c>
      <c r="BL958" s="70" t="s">
        <v>225</v>
      </c>
      <c r="BM958" s="70">
        <v>57.092495672180576</v>
      </c>
      <c r="BN958" s="71">
        <v>0.9</v>
      </c>
      <c r="BO958" s="77">
        <f t="shared" si="123"/>
        <v>32.4</v>
      </c>
      <c r="BP958" s="71">
        <v>0.9</v>
      </c>
      <c r="BQ958" s="77">
        <f t="shared" si="124"/>
        <v>32.4</v>
      </c>
      <c r="BR958" s="77" cm="1">
        <f t="array" ref="BR958">_xll.DCEPropSectI(BF958, BH958, BG958, BI958, BG958, BI958, "rx")/10</f>
        <v>16.91131201300167</v>
      </c>
      <c r="BS958" s="77" cm="1">
        <f t="array" ref="BS958">_xll.DCEPropSectI(BF958, BH958, BG958, BI958, BG958, BI958, "ry")/10</f>
        <v>5.1070747638622018</v>
      </c>
      <c r="BT958" s="5">
        <f t="shared" si="125"/>
        <v>191.58773710218577</v>
      </c>
      <c r="BU958" s="5">
        <f t="shared" si="126"/>
        <v>634.41405301647956</v>
      </c>
      <c r="BV958" s="5">
        <f t="shared" si="127"/>
        <v>634.41405301647956</v>
      </c>
      <c r="BW958" s="71">
        <f t="shared" si="128"/>
        <v>400</v>
      </c>
      <c r="BX958" s="78" cm="1">
        <f t="array" ref="BX958">IF(BM958&gt;0,1,_xll.DCETCVN5575FactorPhi7121(BV958*SQRT($K$17/206000),"b"))</f>
        <v>1</v>
      </c>
      <c r="BY958" s="64">
        <f t="shared" si="129"/>
        <v>4.4641876356384849E-2</v>
      </c>
      <c r="BZ958" s="3" t="str">
        <f t="shared" si="130"/>
        <v>Check</v>
      </c>
    </row>
    <row r="959" spans="1:78">
      <c r="A959" s="76"/>
      <c r="B959" s="76"/>
      <c r="C959" s="125"/>
      <c r="D959" s="125"/>
      <c r="E959" s="71"/>
      <c r="F959" s="71"/>
      <c r="G959" s="71"/>
      <c r="H959" s="126"/>
      <c r="I959" s="125"/>
      <c r="J959" s="123"/>
      <c r="K959" s="12"/>
      <c r="L959" s="117"/>
      <c r="M959" s="12"/>
      <c r="N959" s="117"/>
      <c r="O959" s="117"/>
      <c r="P959" s="117"/>
      <c r="Q959" s="118"/>
      <c r="R959" s="118"/>
      <c r="S959" s="118"/>
      <c r="T959" s="12"/>
      <c r="U959" s="118"/>
      <c r="V959" s="118"/>
      <c r="W959" s="12"/>
      <c r="X959" s="119"/>
      <c r="Y959" s="120"/>
      <c r="Z959" s="12"/>
      <c r="BA959" s="70" t="s">
        <v>205</v>
      </c>
      <c r="BB959" s="71" t="s">
        <v>210</v>
      </c>
      <c r="BC959" s="71" t="s">
        <v>207</v>
      </c>
      <c r="BD959" s="71">
        <v>20.5</v>
      </c>
      <c r="BE959" s="71">
        <v>36</v>
      </c>
      <c r="BF959" s="71">
        <v>390</v>
      </c>
      <c r="BG959" s="71">
        <v>212</v>
      </c>
      <c r="BH959" s="71">
        <v>5</v>
      </c>
      <c r="BI959" s="71">
        <v>10</v>
      </c>
      <c r="BJ959" s="12" t="str" cm="1">
        <f t="array" ref="BJ959">_xll.Dce_Name_SectI(BF959, BF959, BG959, BH959, BI959, "x", "-", $AX$11)</f>
        <v>390x212x5x10</v>
      </c>
      <c r="BK959" s="77" cm="1">
        <f t="array" ref="BK959">_xll.DCEPropSectI(BF959, BH959, BG959, BI959, BG959, BI959, "A")/100</f>
        <v>60.9</v>
      </c>
      <c r="BL959" s="70" t="s">
        <v>225</v>
      </c>
      <c r="BM959" s="70">
        <v>57.092495672180576</v>
      </c>
      <c r="BN959" s="71">
        <v>0.9</v>
      </c>
      <c r="BO959" s="77">
        <f t="shared" si="123"/>
        <v>32.4</v>
      </c>
      <c r="BP959" s="71">
        <v>0.9</v>
      </c>
      <c r="BQ959" s="77">
        <f t="shared" si="124"/>
        <v>32.4</v>
      </c>
      <c r="BR959" s="77" cm="1">
        <f t="array" ref="BR959">_xll.DCEPropSectI(BF959, BH959, BG959, BI959, BG959, BI959, "rx")/10</f>
        <v>16.91131201300167</v>
      </c>
      <c r="BS959" s="77" cm="1">
        <f t="array" ref="BS959">_xll.DCEPropSectI(BF959, BH959, BG959, BI959, BG959, BI959, "ry")/10</f>
        <v>5.1070747638622018</v>
      </c>
      <c r="BT959" s="5">
        <f t="shared" si="125"/>
        <v>191.58773710218577</v>
      </c>
      <c r="BU959" s="5">
        <f t="shared" si="126"/>
        <v>634.41405301647956</v>
      </c>
      <c r="BV959" s="5">
        <f t="shared" si="127"/>
        <v>634.41405301647956</v>
      </c>
      <c r="BW959" s="71">
        <f t="shared" si="128"/>
        <v>400</v>
      </c>
      <c r="BX959" s="78" cm="1">
        <f t="array" ref="BX959">IF(BM959&gt;0,1,_xll.DCETCVN5575FactorPhi7121(BV959*SQRT($K$17/206000),"b"))</f>
        <v>1</v>
      </c>
      <c r="BY959" s="64">
        <f t="shared" si="129"/>
        <v>4.4641876356384849E-2</v>
      </c>
      <c r="BZ959" s="3" t="str">
        <f t="shared" si="130"/>
        <v>Check</v>
      </c>
    </row>
    <row r="960" spans="1:78">
      <c r="A960" s="76"/>
      <c r="B960" s="76"/>
      <c r="C960" s="125"/>
      <c r="D960" s="125"/>
      <c r="E960" s="71"/>
      <c r="F960" s="71"/>
      <c r="G960" s="71"/>
      <c r="H960" s="126"/>
      <c r="I960" s="125"/>
      <c r="J960" s="123"/>
      <c r="K960" s="12"/>
      <c r="L960" s="117"/>
      <c r="M960" s="12"/>
      <c r="N960" s="117"/>
      <c r="O960" s="117"/>
      <c r="P960" s="117"/>
      <c r="Q960" s="118"/>
      <c r="R960" s="118"/>
      <c r="S960" s="118"/>
      <c r="T960" s="12"/>
      <c r="U960" s="118"/>
      <c r="V960" s="118"/>
      <c r="W960" s="12"/>
      <c r="X960" s="119"/>
      <c r="Y960" s="120"/>
      <c r="Z960" s="12"/>
      <c r="BA960" s="70" t="s">
        <v>205</v>
      </c>
      <c r="BB960" s="71" t="s">
        <v>210</v>
      </c>
      <c r="BC960" s="71" t="s">
        <v>207</v>
      </c>
      <c r="BD960" s="71">
        <v>21</v>
      </c>
      <c r="BE960" s="71">
        <v>36</v>
      </c>
      <c r="BF960" s="71">
        <v>390</v>
      </c>
      <c r="BG960" s="71">
        <v>212</v>
      </c>
      <c r="BH960" s="71">
        <v>5</v>
      </c>
      <c r="BI960" s="71">
        <v>10</v>
      </c>
      <c r="BJ960" s="12" t="str" cm="1">
        <f t="array" ref="BJ960">_xll.Dce_Name_SectI(BF960, BF960, BG960, BH960, BI960, "x", "-", $AX$11)</f>
        <v>390x212x5x10</v>
      </c>
      <c r="BK960" s="77" cm="1">
        <f t="array" ref="BK960">_xll.DCEPropSectI(BF960, BH960, BG960, BI960, BG960, BI960, "A")/100</f>
        <v>60.9</v>
      </c>
      <c r="BL960" s="70" t="s">
        <v>225</v>
      </c>
      <c r="BM960" s="70">
        <v>57.092495672180576</v>
      </c>
      <c r="BN960" s="71">
        <v>0.9</v>
      </c>
      <c r="BO960" s="77">
        <f t="shared" si="123"/>
        <v>32.4</v>
      </c>
      <c r="BP960" s="71">
        <v>0.9</v>
      </c>
      <c r="BQ960" s="77">
        <f t="shared" si="124"/>
        <v>32.4</v>
      </c>
      <c r="BR960" s="77" cm="1">
        <f t="array" ref="BR960">_xll.DCEPropSectI(BF960, BH960, BG960, BI960, BG960, BI960, "rx")/10</f>
        <v>16.91131201300167</v>
      </c>
      <c r="BS960" s="77" cm="1">
        <f t="array" ref="BS960">_xll.DCEPropSectI(BF960, BH960, BG960, BI960, BG960, BI960, "ry")/10</f>
        <v>5.1070747638622018</v>
      </c>
      <c r="BT960" s="5">
        <f t="shared" si="125"/>
        <v>191.58773710218577</v>
      </c>
      <c r="BU960" s="5">
        <f t="shared" si="126"/>
        <v>634.41405301647956</v>
      </c>
      <c r="BV960" s="5">
        <f t="shared" si="127"/>
        <v>634.41405301647956</v>
      </c>
      <c r="BW960" s="71">
        <f t="shared" si="128"/>
        <v>400</v>
      </c>
      <c r="BX960" s="78" cm="1">
        <f t="array" ref="BX960">IF(BM960&gt;0,1,_xll.DCETCVN5575FactorPhi7121(BV960*SQRT($K$17/206000),"b"))</f>
        <v>1</v>
      </c>
      <c r="BY960" s="64">
        <f t="shared" si="129"/>
        <v>4.4641876356384849E-2</v>
      </c>
      <c r="BZ960" s="3" t="str">
        <f t="shared" si="130"/>
        <v>Check</v>
      </c>
    </row>
    <row r="961" spans="1:78">
      <c r="A961" s="76"/>
      <c r="B961" s="76"/>
      <c r="C961" s="125"/>
      <c r="D961" s="125"/>
      <c r="E961" s="71"/>
      <c r="F961" s="71"/>
      <c r="G961" s="71"/>
      <c r="H961" s="126"/>
      <c r="I961" s="125"/>
      <c r="J961" s="123"/>
      <c r="K961" s="12"/>
      <c r="L961" s="117"/>
      <c r="M961" s="12"/>
      <c r="N961" s="117"/>
      <c r="O961" s="117"/>
      <c r="P961" s="117"/>
      <c r="Q961" s="118"/>
      <c r="R961" s="118"/>
      <c r="S961" s="118"/>
      <c r="T961" s="12"/>
      <c r="U961" s="118"/>
      <c r="V961" s="118"/>
      <c r="W961" s="12"/>
      <c r="X961" s="119"/>
      <c r="Y961" s="120"/>
      <c r="Z961" s="12"/>
      <c r="BA961" s="70" t="s">
        <v>205</v>
      </c>
      <c r="BB961" s="71" t="s">
        <v>210</v>
      </c>
      <c r="BC961" s="71" t="s">
        <v>207</v>
      </c>
      <c r="BD961" s="71">
        <v>21.5</v>
      </c>
      <c r="BE961" s="71">
        <v>36</v>
      </c>
      <c r="BF961" s="71">
        <v>390</v>
      </c>
      <c r="BG961" s="71">
        <v>212</v>
      </c>
      <c r="BH961" s="71">
        <v>5</v>
      </c>
      <c r="BI961" s="71">
        <v>10</v>
      </c>
      <c r="BJ961" s="12" t="str" cm="1">
        <f t="array" ref="BJ961">_xll.Dce_Name_SectI(BF961, BF961, BG961, BH961, BI961, "x", "-", $AX$11)</f>
        <v>390x212x5x10</v>
      </c>
      <c r="BK961" s="77" cm="1">
        <f t="array" ref="BK961">_xll.DCEPropSectI(BF961, BH961, BG961, BI961, BG961, BI961, "A")/100</f>
        <v>60.9</v>
      </c>
      <c r="BL961" s="70" t="s">
        <v>225</v>
      </c>
      <c r="BM961" s="70">
        <v>57.092495672180576</v>
      </c>
      <c r="BN961" s="71">
        <v>0.9</v>
      </c>
      <c r="BO961" s="77">
        <f t="shared" si="123"/>
        <v>32.4</v>
      </c>
      <c r="BP961" s="71">
        <v>0.9</v>
      </c>
      <c r="BQ961" s="77">
        <f t="shared" si="124"/>
        <v>32.4</v>
      </c>
      <c r="BR961" s="77" cm="1">
        <f t="array" ref="BR961">_xll.DCEPropSectI(BF961, BH961, BG961, BI961, BG961, BI961, "rx")/10</f>
        <v>16.91131201300167</v>
      </c>
      <c r="BS961" s="77" cm="1">
        <f t="array" ref="BS961">_xll.DCEPropSectI(BF961, BH961, BG961, BI961, BG961, BI961, "ry")/10</f>
        <v>5.1070747638622018</v>
      </c>
      <c r="BT961" s="5">
        <f t="shared" si="125"/>
        <v>191.58773710218577</v>
      </c>
      <c r="BU961" s="5">
        <f t="shared" si="126"/>
        <v>634.41405301647956</v>
      </c>
      <c r="BV961" s="5">
        <f t="shared" si="127"/>
        <v>634.41405301647956</v>
      </c>
      <c r="BW961" s="71">
        <f t="shared" si="128"/>
        <v>400</v>
      </c>
      <c r="BX961" s="78" cm="1">
        <f t="array" ref="BX961">IF(BM961&gt;0,1,_xll.DCETCVN5575FactorPhi7121(BV961*SQRT($K$17/206000),"b"))</f>
        <v>1</v>
      </c>
      <c r="BY961" s="64">
        <f t="shared" si="129"/>
        <v>4.4641876356384849E-2</v>
      </c>
      <c r="BZ961" s="3" t="str">
        <f t="shared" si="130"/>
        <v>Check</v>
      </c>
    </row>
    <row r="962" spans="1:78">
      <c r="A962" s="76"/>
      <c r="B962" s="76"/>
      <c r="C962" s="125"/>
      <c r="D962" s="125"/>
      <c r="E962" s="71"/>
      <c r="F962" s="71"/>
      <c r="G962" s="71"/>
      <c r="H962" s="126"/>
      <c r="I962" s="125"/>
      <c r="J962" s="123"/>
      <c r="K962" s="12"/>
      <c r="L962" s="117"/>
      <c r="M962" s="12"/>
      <c r="N962" s="117"/>
      <c r="O962" s="117"/>
      <c r="P962" s="117"/>
      <c r="Q962" s="118"/>
      <c r="R962" s="118"/>
      <c r="S962" s="118"/>
      <c r="T962" s="12"/>
      <c r="U962" s="118"/>
      <c r="V962" s="118"/>
      <c r="W962" s="12"/>
      <c r="X962" s="119"/>
      <c r="Y962" s="120"/>
      <c r="Z962" s="12"/>
      <c r="BA962" s="70" t="s">
        <v>205</v>
      </c>
      <c r="BB962" s="71" t="s">
        <v>210</v>
      </c>
      <c r="BC962" s="71" t="s">
        <v>207</v>
      </c>
      <c r="BD962" s="71">
        <v>22</v>
      </c>
      <c r="BE962" s="71">
        <v>36</v>
      </c>
      <c r="BF962" s="71">
        <v>390</v>
      </c>
      <c r="BG962" s="71">
        <v>212</v>
      </c>
      <c r="BH962" s="71">
        <v>5</v>
      </c>
      <c r="BI962" s="71">
        <v>10</v>
      </c>
      <c r="BJ962" s="12" t="str" cm="1">
        <f t="array" ref="BJ962">_xll.Dce_Name_SectI(BF962, BF962, BG962, BH962, BI962, "x", "-", $AX$11)</f>
        <v>390x212x5x10</v>
      </c>
      <c r="BK962" s="77" cm="1">
        <f t="array" ref="BK962">_xll.DCEPropSectI(BF962, BH962, BG962, BI962, BG962, BI962, "A")/100</f>
        <v>60.9</v>
      </c>
      <c r="BL962" s="70" t="s">
        <v>225</v>
      </c>
      <c r="BM962" s="70">
        <v>57.092495672180576</v>
      </c>
      <c r="BN962" s="71">
        <v>0.9</v>
      </c>
      <c r="BO962" s="77">
        <f t="shared" si="123"/>
        <v>32.4</v>
      </c>
      <c r="BP962" s="71">
        <v>0.9</v>
      </c>
      <c r="BQ962" s="77">
        <f t="shared" si="124"/>
        <v>32.4</v>
      </c>
      <c r="BR962" s="77" cm="1">
        <f t="array" ref="BR962">_xll.DCEPropSectI(BF962, BH962, BG962, BI962, BG962, BI962, "rx")/10</f>
        <v>16.91131201300167</v>
      </c>
      <c r="BS962" s="77" cm="1">
        <f t="array" ref="BS962">_xll.DCEPropSectI(BF962, BH962, BG962, BI962, BG962, BI962, "ry")/10</f>
        <v>5.1070747638622018</v>
      </c>
      <c r="BT962" s="5">
        <f t="shared" si="125"/>
        <v>191.58773710218577</v>
      </c>
      <c r="BU962" s="5">
        <f t="shared" si="126"/>
        <v>634.41405301647956</v>
      </c>
      <c r="BV962" s="5">
        <f t="shared" si="127"/>
        <v>634.41405301647956</v>
      </c>
      <c r="BW962" s="71">
        <f t="shared" si="128"/>
        <v>400</v>
      </c>
      <c r="BX962" s="78" cm="1">
        <f t="array" ref="BX962">IF(BM962&gt;0,1,_xll.DCETCVN5575FactorPhi7121(BV962*SQRT($K$17/206000),"b"))</f>
        <v>1</v>
      </c>
      <c r="BY962" s="64">
        <f t="shared" si="129"/>
        <v>4.4641876356384849E-2</v>
      </c>
      <c r="BZ962" s="3" t="str">
        <f t="shared" si="130"/>
        <v>Check</v>
      </c>
    </row>
    <row r="963" spans="1:78">
      <c r="A963" s="76"/>
      <c r="B963" s="76"/>
      <c r="C963" s="125"/>
      <c r="D963" s="125"/>
      <c r="E963" s="71"/>
      <c r="F963" s="71"/>
      <c r="G963" s="71"/>
      <c r="H963" s="126"/>
      <c r="I963" s="125"/>
      <c r="J963" s="123"/>
      <c r="K963" s="12"/>
      <c r="L963" s="117"/>
      <c r="M963" s="12"/>
      <c r="N963" s="117"/>
      <c r="O963" s="117"/>
      <c r="P963" s="117"/>
      <c r="Q963" s="118"/>
      <c r="R963" s="118"/>
      <c r="S963" s="118"/>
      <c r="T963" s="12"/>
      <c r="U963" s="118"/>
      <c r="V963" s="118"/>
      <c r="W963" s="12"/>
      <c r="X963" s="119"/>
      <c r="Y963" s="120"/>
      <c r="Z963" s="12"/>
      <c r="BA963" s="70" t="s">
        <v>205</v>
      </c>
      <c r="BB963" s="71" t="s">
        <v>210</v>
      </c>
      <c r="BC963" s="71" t="s">
        <v>207</v>
      </c>
      <c r="BD963" s="71">
        <v>22.5</v>
      </c>
      <c r="BE963" s="71">
        <v>36</v>
      </c>
      <c r="BF963" s="71">
        <v>390</v>
      </c>
      <c r="BG963" s="71">
        <v>212</v>
      </c>
      <c r="BH963" s="71">
        <v>5</v>
      </c>
      <c r="BI963" s="71">
        <v>10</v>
      </c>
      <c r="BJ963" s="12" t="str" cm="1">
        <f t="array" ref="BJ963">_xll.Dce_Name_SectI(BF963, BF963, BG963, BH963, BI963, "x", "-", $AX$11)</f>
        <v>390x212x5x10</v>
      </c>
      <c r="BK963" s="77" cm="1">
        <f t="array" ref="BK963">_xll.DCEPropSectI(BF963, BH963, BG963, BI963, BG963, BI963, "A")/100</f>
        <v>60.9</v>
      </c>
      <c r="BL963" s="70" t="s">
        <v>225</v>
      </c>
      <c r="BM963" s="70">
        <v>57.092495672180576</v>
      </c>
      <c r="BN963" s="71">
        <v>0.9</v>
      </c>
      <c r="BO963" s="77">
        <f t="shared" si="123"/>
        <v>32.4</v>
      </c>
      <c r="BP963" s="71">
        <v>0.9</v>
      </c>
      <c r="BQ963" s="77">
        <f t="shared" si="124"/>
        <v>32.4</v>
      </c>
      <c r="BR963" s="77" cm="1">
        <f t="array" ref="BR963">_xll.DCEPropSectI(BF963, BH963, BG963, BI963, BG963, BI963, "rx")/10</f>
        <v>16.91131201300167</v>
      </c>
      <c r="BS963" s="77" cm="1">
        <f t="array" ref="BS963">_xll.DCEPropSectI(BF963, BH963, BG963, BI963, BG963, BI963, "ry")/10</f>
        <v>5.1070747638622018</v>
      </c>
      <c r="BT963" s="5">
        <f t="shared" si="125"/>
        <v>191.58773710218577</v>
      </c>
      <c r="BU963" s="5">
        <f t="shared" si="126"/>
        <v>634.41405301647956</v>
      </c>
      <c r="BV963" s="5">
        <f t="shared" si="127"/>
        <v>634.41405301647956</v>
      </c>
      <c r="BW963" s="71">
        <f t="shared" si="128"/>
        <v>400</v>
      </c>
      <c r="BX963" s="78" cm="1">
        <f t="array" ref="BX963">IF(BM963&gt;0,1,_xll.DCETCVN5575FactorPhi7121(BV963*SQRT($K$17/206000),"b"))</f>
        <v>1</v>
      </c>
      <c r="BY963" s="64">
        <f t="shared" si="129"/>
        <v>4.4641876356384849E-2</v>
      </c>
      <c r="BZ963" s="3" t="str">
        <f t="shared" si="130"/>
        <v>Check</v>
      </c>
    </row>
    <row r="964" spans="1:78">
      <c r="A964" s="76"/>
      <c r="B964" s="76"/>
      <c r="C964" s="125"/>
      <c r="D964" s="125"/>
      <c r="E964" s="71"/>
      <c r="F964" s="71"/>
      <c r="G964" s="71"/>
      <c r="H964" s="126"/>
      <c r="I964" s="125"/>
      <c r="J964" s="123"/>
      <c r="K964" s="12"/>
      <c r="L964" s="117"/>
      <c r="M964" s="12"/>
      <c r="N964" s="117"/>
      <c r="O964" s="117"/>
      <c r="P964" s="117"/>
      <c r="Q964" s="118"/>
      <c r="R964" s="118"/>
      <c r="S964" s="118"/>
      <c r="T964" s="12"/>
      <c r="U964" s="118"/>
      <c r="V964" s="118"/>
      <c r="W964" s="12"/>
      <c r="X964" s="119"/>
      <c r="Y964" s="120"/>
      <c r="Z964" s="12"/>
      <c r="BA964" s="70" t="s">
        <v>205</v>
      </c>
      <c r="BB964" s="71" t="s">
        <v>210</v>
      </c>
      <c r="BC964" s="71" t="s">
        <v>207</v>
      </c>
      <c r="BD964" s="71">
        <v>22.5</v>
      </c>
      <c r="BE964" s="71">
        <v>36</v>
      </c>
      <c r="BF964" s="71">
        <v>390</v>
      </c>
      <c r="BG964" s="71">
        <v>212</v>
      </c>
      <c r="BH964" s="71">
        <v>5</v>
      </c>
      <c r="BI964" s="71">
        <v>10</v>
      </c>
      <c r="BJ964" s="12" t="str" cm="1">
        <f t="array" ref="BJ964">_xll.Dce_Name_SectI(BF964, BF964, BG964, BH964, BI964, "x", "-", $AX$11)</f>
        <v>390x212x5x10</v>
      </c>
      <c r="BK964" s="77" cm="1">
        <f t="array" ref="BK964">_xll.DCEPropSectI(BF964, BH964, BG964, BI964, BG964, BI964, "A")/100</f>
        <v>60.9</v>
      </c>
      <c r="BL964" s="70" t="s">
        <v>225</v>
      </c>
      <c r="BM964" s="70">
        <v>22.016611538386933</v>
      </c>
      <c r="BN964" s="71">
        <v>0.9</v>
      </c>
      <c r="BO964" s="77">
        <f t="shared" si="123"/>
        <v>32.4</v>
      </c>
      <c r="BP964" s="71">
        <v>0.9</v>
      </c>
      <c r="BQ964" s="77">
        <f t="shared" si="124"/>
        <v>32.4</v>
      </c>
      <c r="BR964" s="77" cm="1">
        <f t="array" ref="BR964">_xll.DCEPropSectI(BF964, BH964, BG964, BI964, BG964, BI964, "rx")/10</f>
        <v>16.91131201300167</v>
      </c>
      <c r="BS964" s="77" cm="1">
        <f t="array" ref="BS964">_xll.DCEPropSectI(BF964, BH964, BG964, BI964, BG964, BI964, "ry")/10</f>
        <v>5.1070747638622018</v>
      </c>
      <c r="BT964" s="5">
        <f t="shared" si="125"/>
        <v>191.58773710218577</v>
      </c>
      <c r="BU964" s="5">
        <f t="shared" si="126"/>
        <v>634.41405301647956</v>
      </c>
      <c r="BV964" s="5">
        <f t="shared" si="127"/>
        <v>634.41405301647956</v>
      </c>
      <c r="BW964" s="71">
        <f t="shared" si="128"/>
        <v>400</v>
      </c>
      <c r="BX964" s="78" cm="1">
        <f t="array" ref="BX964">IF(BM964&gt;0,1,_xll.DCETCVN5575FactorPhi7121(BV964*SQRT($K$17/206000),"b"))</f>
        <v>1</v>
      </c>
      <c r="BY964" s="64">
        <f t="shared" si="129"/>
        <v>1.7215272138859126E-2</v>
      </c>
      <c r="BZ964" s="3" t="str">
        <f t="shared" si="130"/>
        <v>Check</v>
      </c>
    </row>
    <row r="965" spans="1:78">
      <c r="A965" s="76"/>
      <c r="B965" s="76"/>
      <c r="C965" s="125"/>
      <c r="D965" s="125"/>
      <c r="E965" s="71"/>
      <c r="F965" s="71"/>
      <c r="G965" s="71"/>
      <c r="H965" s="126"/>
      <c r="I965" s="125"/>
      <c r="J965" s="123"/>
      <c r="K965" s="12"/>
      <c r="L965" s="117"/>
      <c r="M965" s="12"/>
      <c r="N965" s="117"/>
      <c r="O965" s="117"/>
      <c r="P965" s="117"/>
      <c r="Q965" s="118"/>
      <c r="R965" s="118"/>
      <c r="S965" s="118"/>
      <c r="T965" s="12"/>
      <c r="U965" s="118"/>
      <c r="V965" s="118"/>
      <c r="W965" s="12"/>
      <c r="X965" s="119"/>
      <c r="Y965" s="120"/>
      <c r="Z965" s="12"/>
      <c r="BA965" s="70" t="s">
        <v>205</v>
      </c>
      <c r="BB965" s="71" t="s">
        <v>210</v>
      </c>
      <c r="BC965" s="71" t="s">
        <v>207</v>
      </c>
      <c r="BD965" s="71">
        <v>23</v>
      </c>
      <c r="BE965" s="71">
        <v>36</v>
      </c>
      <c r="BF965" s="71">
        <v>390</v>
      </c>
      <c r="BG965" s="71">
        <v>212</v>
      </c>
      <c r="BH965" s="71">
        <v>5</v>
      </c>
      <c r="BI965" s="71">
        <v>10</v>
      </c>
      <c r="BJ965" s="12" t="str" cm="1">
        <f t="array" ref="BJ965">_xll.Dce_Name_SectI(BF965, BF965, BG965, BH965, BI965, "x", "-", $AX$11)</f>
        <v>390x212x5x10</v>
      </c>
      <c r="BK965" s="77" cm="1">
        <f t="array" ref="BK965">_xll.DCEPropSectI(BF965, BH965, BG965, BI965, BG965, BI965, "A")/100</f>
        <v>60.9</v>
      </c>
      <c r="BL965" s="70" t="s">
        <v>225</v>
      </c>
      <c r="BM965" s="70">
        <v>22.016611538386933</v>
      </c>
      <c r="BN965" s="71">
        <v>0.9</v>
      </c>
      <c r="BO965" s="77">
        <f t="shared" si="123"/>
        <v>32.4</v>
      </c>
      <c r="BP965" s="71">
        <v>0.9</v>
      </c>
      <c r="BQ965" s="77">
        <f t="shared" si="124"/>
        <v>32.4</v>
      </c>
      <c r="BR965" s="77" cm="1">
        <f t="array" ref="BR965">_xll.DCEPropSectI(BF965, BH965, BG965, BI965, BG965, BI965, "rx")/10</f>
        <v>16.91131201300167</v>
      </c>
      <c r="BS965" s="77" cm="1">
        <f t="array" ref="BS965">_xll.DCEPropSectI(BF965, BH965, BG965, BI965, BG965, BI965, "ry")/10</f>
        <v>5.1070747638622018</v>
      </c>
      <c r="BT965" s="5">
        <f t="shared" si="125"/>
        <v>191.58773710218577</v>
      </c>
      <c r="BU965" s="5">
        <f t="shared" si="126"/>
        <v>634.41405301647956</v>
      </c>
      <c r="BV965" s="5">
        <f t="shared" si="127"/>
        <v>634.41405301647956</v>
      </c>
      <c r="BW965" s="71">
        <f t="shared" si="128"/>
        <v>400</v>
      </c>
      <c r="BX965" s="78" cm="1">
        <f t="array" ref="BX965">IF(BM965&gt;0,1,_xll.DCETCVN5575FactorPhi7121(BV965*SQRT($K$17/206000),"b"))</f>
        <v>1</v>
      </c>
      <c r="BY965" s="64">
        <f t="shared" si="129"/>
        <v>1.7215272138859126E-2</v>
      </c>
      <c r="BZ965" s="3" t="str">
        <f t="shared" si="130"/>
        <v>Check</v>
      </c>
    </row>
    <row r="966" spans="1:78">
      <c r="A966" s="76"/>
      <c r="B966" s="76"/>
      <c r="C966" s="125"/>
      <c r="D966" s="125"/>
      <c r="E966" s="71"/>
      <c r="F966" s="71"/>
      <c r="G966" s="71"/>
      <c r="H966" s="126"/>
      <c r="I966" s="125"/>
      <c r="J966" s="123"/>
      <c r="K966" s="12"/>
      <c r="L966" s="117"/>
      <c r="M966" s="12"/>
      <c r="N966" s="117"/>
      <c r="O966" s="117"/>
      <c r="P966" s="117"/>
      <c r="Q966" s="118"/>
      <c r="R966" s="118"/>
      <c r="S966" s="118"/>
      <c r="T966" s="12"/>
      <c r="U966" s="118"/>
      <c r="V966" s="118"/>
      <c r="W966" s="12"/>
      <c r="X966" s="119"/>
      <c r="Y966" s="120"/>
      <c r="Z966" s="12"/>
      <c r="BA966" s="70" t="s">
        <v>205</v>
      </c>
      <c r="BB966" s="71" t="s">
        <v>210</v>
      </c>
      <c r="BC966" s="71" t="s">
        <v>207</v>
      </c>
      <c r="BD966" s="71">
        <v>23.5</v>
      </c>
      <c r="BE966" s="71">
        <v>36</v>
      </c>
      <c r="BF966" s="71">
        <v>390</v>
      </c>
      <c r="BG966" s="71">
        <v>212</v>
      </c>
      <c r="BH966" s="71">
        <v>5</v>
      </c>
      <c r="BI966" s="71">
        <v>10</v>
      </c>
      <c r="BJ966" s="12" t="str" cm="1">
        <f t="array" ref="BJ966">_xll.Dce_Name_SectI(BF966, BF966, BG966, BH966, BI966, "x", "-", $AX$11)</f>
        <v>390x212x5x10</v>
      </c>
      <c r="BK966" s="77" cm="1">
        <f t="array" ref="BK966">_xll.DCEPropSectI(BF966, BH966, BG966, BI966, BG966, BI966, "A")/100</f>
        <v>60.9</v>
      </c>
      <c r="BL966" s="70" t="s">
        <v>225</v>
      </c>
      <c r="BM966" s="70">
        <v>22.016611538386933</v>
      </c>
      <c r="BN966" s="71">
        <v>0.9</v>
      </c>
      <c r="BO966" s="77">
        <f t="shared" si="123"/>
        <v>32.4</v>
      </c>
      <c r="BP966" s="71">
        <v>0.9</v>
      </c>
      <c r="BQ966" s="77">
        <f t="shared" si="124"/>
        <v>32.4</v>
      </c>
      <c r="BR966" s="77" cm="1">
        <f t="array" ref="BR966">_xll.DCEPropSectI(BF966, BH966, BG966, BI966, BG966, BI966, "rx")/10</f>
        <v>16.91131201300167</v>
      </c>
      <c r="BS966" s="77" cm="1">
        <f t="array" ref="BS966">_xll.DCEPropSectI(BF966, BH966, BG966, BI966, BG966, BI966, "ry")/10</f>
        <v>5.1070747638622018</v>
      </c>
      <c r="BT966" s="5">
        <f t="shared" si="125"/>
        <v>191.58773710218577</v>
      </c>
      <c r="BU966" s="5">
        <f t="shared" si="126"/>
        <v>634.41405301647956</v>
      </c>
      <c r="BV966" s="5">
        <f t="shared" si="127"/>
        <v>634.41405301647956</v>
      </c>
      <c r="BW966" s="71">
        <f t="shared" si="128"/>
        <v>400</v>
      </c>
      <c r="BX966" s="78" cm="1">
        <f t="array" ref="BX966">IF(BM966&gt;0,1,_xll.DCETCVN5575FactorPhi7121(BV966*SQRT($K$17/206000),"b"))</f>
        <v>1</v>
      </c>
      <c r="BY966" s="64">
        <f t="shared" si="129"/>
        <v>1.7215272138859126E-2</v>
      </c>
      <c r="BZ966" s="3" t="str">
        <f t="shared" si="130"/>
        <v>Check</v>
      </c>
    </row>
    <row r="967" spans="1:78">
      <c r="A967" s="76"/>
      <c r="B967" s="76"/>
      <c r="C967" s="125"/>
      <c r="D967" s="125"/>
      <c r="E967" s="71"/>
      <c r="F967" s="71"/>
      <c r="G967" s="71"/>
      <c r="H967" s="126"/>
      <c r="I967" s="125"/>
      <c r="J967" s="123"/>
      <c r="K967" s="12"/>
      <c r="L967" s="117"/>
      <c r="M967" s="12"/>
      <c r="N967" s="117"/>
      <c r="O967" s="117"/>
      <c r="P967" s="117"/>
      <c r="Q967" s="118"/>
      <c r="R967" s="118"/>
      <c r="S967" s="118"/>
      <c r="T967" s="12"/>
      <c r="U967" s="118"/>
      <c r="V967" s="118"/>
      <c r="W967" s="12"/>
      <c r="X967" s="119"/>
      <c r="Y967" s="120"/>
      <c r="Z967" s="12"/>
      <c r="BA967" s="70" t="s">
        <v>205</v>
      </c>
      <c r="BB967" s="71" t="s">
        <v>210</v>
      </c>
      <c r="BC967" s="71" t="s">
        <v>207</v>
      </c>
      <c r="BD967" s="71">
        <v>24</v>
      </c>
      <c r="BE967" s="71">
        <v>36</v>
      </c>
      <c r="BF967" s="71">
        <v>390</v>
      </c>
      <c r="BG967" s="71">
        <v>212</v>
      </c>
      <c r="BH967" s="71">
        <v>5</v>
      </c>
      <c r="BI967" s="71">
        <v>10</v>
      </c>
      <c r="BJ967" s="12" t="str" cm="1">
        <f t="array" ref="BJ967">_xll.Dce_Name_SectI(BF967, BF967, BG967, BH967, BI967, "x", "-", $AX$11)</f>
        <v>390x212x5x10</v>
      </c>
      <c r="BK967" s="77" cm="1">
        <f t="array" ref="BK967">_xll.DCEPropSectI(BF967, BH967, BG967, BI967, BG967, BI967, "A")/100</f>
        <v>60.9</v>
      </c>
      <c r="BL967" s="70" t="s">
        <v>225</v>
      </c>
      <c r="BM967" s="70">
        <v>22.016611538386933</v>
      </c>
      <c r="BN967" s="71">
        <v>0.9</v>
      </c>
      <c r="BO967" s="77">
        <f t="shared" si="123"/>
        <v>32.4</v>
      </c>
      <c r="BP967" s="71">
        <v>0.9</v>
      </c>
      <c r="BQ967" s="77">
        <f t="shared" si="124"/>
        <v>32.4</v>
      </c>
      <c r="BR967" s="77" cm="1">
        <f t="array" ref="BR967">_xll.DCEPropSectI(BF967, BH967, BG967, BI967, BG967, BI967, "rx")/10</f>
        <v>16.91131201300167</v>
      </c>
      <c r="BS967" s="77" cm="1">
        <f t="array" ref="BS967">_xll.DCEPropSectI(BF967, BH967, BG967, BI967, BG967, BI967, "ry")/10</f>
        <v>5.1070747638622018</v>
      </c>
      <c r="BT967" s="5">
        <f t="shared" si="125"/>
        <v>191.58773710218577</v>
      </c>
      <c r="BU967" s="5">
        <f t="shared" si="126"/>
        <v>634.41405301647956</v>
      </c>
      <c r="BV967" s="5">
        <f t="shared" si="127"/>
        <v>634.41405301647956</v>
      </c>
      <c r="BW967" s="71">
        <f t="shared" si="128"/>
        <v>400</v>
      </c>
      <c r="BX967" s="78" cm="1">
        <f t="array" ref="BX967">IF(BM967&gt;0,1,_xll.DCETCVN5575FactorPhi7121(BV967*SQRT($K$17/206000),"b"))</f>
        <v>1</v>
      </c>
      <c r="BY967" s="64">
        <f t="shared" si="129"/>
        <v>1.7215272138859126E-2</v>
      </c>
      <c r="BZ967" s="3" t="str">
        <f t="shared" si="130"/>
        <v>Check</v>
      </c>
    </row>
    <row r="968" spans="1:78">
      <c r="A968" s="76"/>
      <c r="B968" s="76"/>
      <c r="C968" s="125"/>
      <c r="D968" s="125"/>
      <c r="E968" s="71"/>
      <c r="F968" s="71"/>
      <c r="G968" s="71"/>
      <c r="H968" s="126"/>
      <c r="I968" s="125"/>
      <c r="J968" s="123"/>
      <c r="K968" s="12"/>
      <c r="L968" s="117"/>
      <c r="M968" s="12"/>
      <c r="N968" s="117"/>
      <c r="O968" s="117"/>
      <c r="P968" s="117"/>
      <c r="Q968" s="118"/>
      <c r="R968" s="118"/>
      <c r="S968" s="118"/>
      <c r="T968" s="12"/>
      <c r="U968" s="118"/>
      <c r="V968" s="118"/>
      <c r="W968" s="12"/>
      <c r="X968" s="119"/>
      <c r="Y968" s="120"/>
      <c r="Z968" s="12"/>
      <c r="BA968" s="70" t="s">
        <v>205</v>
      </c>
      <c r="BB968" s="71" t="s">
        <v>210</v>
      </c>
      <c r="BC968" s="71" t="s">
        <v>207</v>
      </c>
      <c r="BD968" s="71">
        <v>24.5</v>
      </c>
      <c r="BE968" s="71">
        <v>36</v>
      </c>
      <c r="BF968" s="71">
        <v>390</v>
      </c>
      <c r="BG968" s="71">
        <v>212</v>
      </c>
      <c r="BH968" s="71">
        <v>5</v>
      </c>
      <c r="BI968" s="71">
        <v>10</v>
      </c>
      <c r="BJ968" s="12" t="str" cm="1">
        <f t="array" ref="BJ968">_xll.Dce_Name_SectI(BF968, BF968, BG968, BH968, BI968, "x", "-", $AX$11)</f>
        <v>390x212x5x10</v>
      </c>
      <c r="BK968" s="77" cm="1">
        <f t="array" ref="BK968">_xll.DCEPropSectI(BF968, BH968, BG968, BI968, BG968, BI968, "A")/100</f>
        <v>60.9</v>
      </c>
      <c r="BL968" s="70" t="s">
        <v>225</v>
      </c>
      <c r="BM968" s="70">
        <v>22.016611538386933</v>
      </c>
      <c r="BN968" s="71">
        <v>0.9</v>
      </c>
      <c r="BO968" s="77">
        <f t="shared" si="123"/>
        <v>32.4</v>
      </c>
      <c r="BP968" s="71">
        <v>0.9</v>
      </c>
      <c r="BQ968" s="77">
        <f t="shared" si="124"/>
        <v>32.4</v>
      </c>
      <c r="BR968" s="77" cm="1">
        <f t="array" ref="BR968">_xll.DCEPropSectI(BF968, BH968, BG968, BI968, BG968, BI968, "rx")/10</f>
        <v>16.91131201300167</v>
      </c>
      <c r="BS968" s="77" cm="1">
        <f t="array" ref="BS968">_xll.DCEPropSectI(BF968, BH968, BG968, BI968, BG968, BI968, "ry")/10</f>
        <v>5.1070747638622018</v>
      </c>
      <c r="BT968" s="5">
        <f t="shared" si="125"/>
        <v>191.58773710218577</v>
      </c>
      <c r="BU968" s="5">
        <f t="shared" si="126"/>
        <v>634.41405301647956</v>
      </c>
      <c r="BV968" s="5">
        <f t="shared" si="127"/>
        <v>634.41405301647956</v>
      </c>
      <c r="BW968" s="71">
        <f t="shared" si="128"/>
        <v>400</v>
      </c>
      <c r="BX968" s="78" cm="1">
        <f t="array" ref="BX968">IF(BM968&gt;0,1,_xll.DCETCVN5575FactorPhi7121(BV968*SQRT($K$17/206000),"b"))</f>
        <v>1</v>
      </c>
      <c r="BY968" s="64">
        <f t="shared" si="129"/>
        <v>1.7215272138859126E-2</v>
      </c>
      <c r="BZ968" s="3" t="str">
        <f t="shared" si="130"/>
        <v>Check</v>
      </c>
    </row>
    <row r="969" spans="1:78">
      <c r="A969" s="76"/>
      <c r="B969" s="76"/>
      <c r="C969" s="125"/>
      <c r="D969" s="125"/>
      <c r="E969" s="71"/>
      <c r="F969" s="71"/>
      <c r="G969" s="71"/>
      <c r="H969" s="126"/>
      <c r="I969" s="125"/>
      <c r="J969" s="123"/>
      <c r="K969" s="12"/>
      <c r="L969" s="117"/>
      <c r="M969" s="12"/>
      <c r="N969" s="117"/>
      <c r="O969" s="117"/>
      <c r="P969" s="117"/>
      <c r="Q969" s="118"/>
      <c r="R969" s="118"/>
      <c r="S969" s="118"/>
      <c r="T969" s="12"/>
      <c r="U969" s="118"/>
      <c r="V969" s="118"/>
      <c r="W969" s="12"/>
      <c r="X969" s="119"/>
      <c r="Y969" s="120"/>
      <c r="Z969" s="12"/>
      <c r="BA969" s="70" t="s">
        <v>205</v>
      </c>
      <c r="BB969" s="71" t="s">
        <v>210</v>
      </c>
      <c r="BC969" s="71" t="s">
        <v>207</v>
      </c>
      <c r="BD969" s="71">
        <v>25</v>
      </c>
      <c r="BE969" s="71">
        <v>36</v>
      </c>
      <c r="BF969" s="71">
        <v>390</v>
      </c>
      <c r="BG969" s="71">
        <v>212</v>
      </c>
      <c r="BH969" s="71">
        <v>5</v>
      </c>
      <c r="BI969" s="71">
        <v>10</v>
      </c>
      <c r="BJ969" s="12" t="str" cm="1">
        <f t="array" ref="BJ969">_xll.Dce_Name_SectI(BF969, BF969, BG969, BH969, BI969, "x", "-", $AX$11)</f>
        <v>390x212x5x10</v>
      </c>
      <c r="BK969" s="77" cm="1">
        <f t="array" ref="BK969">_xll.DCEPropSectI(BF969, BH969, BG969, BI969, BG969, BI969, "A")/100</f>
        <v>60.9</v>
      </c>
      <c r="BL969" s="70" t="s">
        <v>225</v>
      </c>
      <c r="BM969" s="70">
        <v>22.016611538386933</v>
      </c>
      <c r="BN969" s="71">
        <v>0.9</v>
      </c>
      <c r="BO969" s="77">
        <f t="shared" si="123"/>
        <v>32.4</v>
      </c>
      <c r="BP969" s="71">
        <v>0.9</v>
      </c>
      <c r="BQ969" s="77">
        <f t="shared" si="124"/>
        <v>32.4</v>
      </c>
      <c r="BR969" s="77" cm="1">
        <f t="array" ref="BR969">_xll.DCEPropSectI(BF969, BH969, BG969, BI969, BG969, BI969, "rx")/10</f>
        <v>16.91131201300167</v>
      </c>
      <c r="BS969" s="77" cm="1">
        <f t="array" ref="BS969">_xll.DCEPropSectI(BF969, BH969, BG969, BI969, BG969, BI969, "ry")/10</f>
        <v>5.1070747638622018</v>
      </c>
      <c r="BT969" s="5">
        <f t="shared" si="125"/>
        <v>191.58773710218577</v>
      </c>
      <c r="BU969" s="5">
        <f t="shared" si="126"/>
        <v>634.41405301647956</v>
      </c>
      <c r="BV969" s="5">
        <f t="shared" si="127"/>
        <v>634.41405301647956</v>
      </c>
      <c r="BW969" s="71">
        <f t="shared" si="128"/>
        <v>400</v>
      </c>
      <c r="BX969" s="78" cm="1">
        <f t="array" ref="BX969">IF(BM969&gt;0,1,_xll.DCETCVN5575FactorPhi7121(BV969*SQRT($K$17/206000),"b"))</f>
        <v>1</v>
      </c>
      <c r="BY969" s="64">
        <f t="shared" si="129"/>
        <v>1.7215272138859126E-2</v>
      </c>
      <c r="BZ969" s="3" t="str">
        <f t="shared" si="130"/>
        <v>Check</v>
      </c>
    </row>
    <row r="970" spans="1:78">
      <c r="A970" s="76"/>
      <c r="B970" s="76"/>
      <c r="C970" s="125"/>
      <c r="D970" s="125"/>
      <c r="E970" s="71"/>
      <c r="F970" s="71"/>
      <c r="G970" s="71"/>
      <c r="H970" s="126"/>
      <c r="I970" s="125"/>
      <c r="J970" s="123"/>
      <c r="K970" s="12"/>
      <c r="L970" s="117"/>
      <c r="M970" s="12"/>
      <c r="N970" s="117"/>
      <c r="O970" s="117"/>
      <c r="P970" s="117"/>
      <c r="Q970" s="118"/>
      <c r="R970" s="118"/>
      <c r="S970" s="118"/>
      <c r="T970" s="12"/>
      <c r="U970" s="118"/>
      <c r="V970" s="118"/>
      <c r="W970" s="12"/>
      <c r="X970" s="119"/>
      <c r="Y970" s="120"/>
      <c r="Z970" s="12"/>
      <c r="BA970" s="70" t="s">
        <v>205</v>
      </c>
      <c r="BB970" s="71" t="s">
        <v>210</v>
      </c>
      <c r="BC970" s="71" t="s">
        <v>207</v>
      </c>
      <c r="BD970" s="71">
        <v>25.5</v>
      </c>
      <c r="BE970" s="71">
        <v>36</v>
      </c>
      <c r="BF970" s="71">
        <v>390</v>
      </c>
      <c r="BG970" s="71">
        <v>212</v>
      </c>
      <c r="BH970" s="71">
        <v>5</v>
      </c>
      <c r="BI970" s="71">
        <v>10</v>
      </c>
      <c r="BJ970" s="12" t="str" cm="1">
        <f t="array" ref="BJ970">_xll.Dce_Name_SectI(BF970, BF970, BG970, BH970, BI970, "x", "-", $AX$11)</f>
        <v>390x212x5x10</v>
      </c>
      <c r="BK970" s="77" cm="1">
        <f t="array" ref="BK970">_xll.DCEPropSectI(BF970, BH970, BG970, BI970, BG970, BI970, "A")/100</f>
        <v>60.9</v>
      </c>
      <c r="BL970" s="70" t="s">
        <v>225</v>
      </c>
      <c r="BM970" s="70">
        <v>22.016611538386933</v>
      </c>
      <c r="BN970" s="71">
        <v>0.9</v>
      </c>
      <c r="BO970" s="77">
        <f t="shared" si="123"/>
        <v>32.4</v>
      </c>
      <c r="BP970" s="71">
        <v>0.9</v>
      </c>
      <c r="BQ970" s="77">
        <f t="shared" si="124"/>
        <v>32.4</v>
      </c>
      <c r="BR970" s="77" cm="1">
        <f t="array" ref="BR970">_xll.DCEPropSectI(BF970, BH970, BG970, BI970, BG970, BI970, "rx")/10</f>
        <v>16.91131201300167</v>
      </c>
      <c r="BS970" s="77" cm="1">
        <f t="array" ref="BS970">_xll.DCEPropSectI(BF970, BH970, BG970, BI970, BG970, BI970, "ry")/10</f>
        <v>5.1070747638622018</v>
      </c>
      <c r="BT970" s="5">
        <f t="shared" si="125"/>
        <v>191.58773710218577</v>
      </c>
      <c r="BU970" s="5">
        <f t="shared" si="126"/>
        <v>634.41405301647956</v>
      </c>
      <c r="BV970" s="5">
        <f t="shared" si="127"/>
        <v>634.41405301647956</v>
      </c>
      <c r="BW970" s="71">
        <f t="shared" si="128"/>
        <v>400</v>
      </c>
      <c r="BX970" s="78" cm="1">
        <f t="array" ref="BX970">IF(BM970&gt;0,1,_xll.DCETCVN5575FactorPhi7121(BV970*SQRT($K$17/206000),"b"))</f>
        <v>1</v>
      </c>
      <c r="BY970" s="64">
        <f t="shared" si="129"/>
        <v>1.7215272138859126E-2</v>
      </c>
      <c r="BZ970" s="3" t="str">
        <f t="shared" si="130"/>
        <v>Check</v>
      </c>
    </row>
    <row r="971" spans="1:78">
      <c r="A971" s="76"/>
      <c r="B971" s="76"/>
      <c r="C971" s="125"/>
      <c r="D971" s="125"/>
      <c r="E971" s="71"/>
      <c r="F971" s="71"/>
      <c r="G971" s="71"/>
      <c r="H971" s="126"/>
      <c r="I971" s="125"/>
      <c r="J971" s="123"/>
      <c r="K971" s="12"/>
      <c r="L971" s="117"/>
      <c r="M971" s="12"/>
      <c r="N971" s="117"/>
      <c r="O971" s="117"/>
      <c r="P971" s="117"/>
      <c r="Q971" s="118"/>
      <c r="R971" s="118"/>
      <c r="S971" s="118"/>
      <c r="T971" s="12"/>
      <c r="U971" s="118"/>
      <c r="V971" s="118"/>
      <c r="W971" s="12"/>
      <c r="X971" s="119"/>
      <c r="Y971" s="120"/>
      <c r="Z971" s="12"/>
      <c r="BA971" s="70" t="s">
        <v>205</v>
      </c>
      <c r="BB971" s="71" t="s">
        <v>210</v>
      </c>
      <c r="BC971" s="71" t="s">
        <v>207</v>
      </c>
      <c r="BD971" s="71">
        <v>26</v>
      </c>
      <c r="BE971" s="71">
        <v>36</v>
      </c>
      <c r="BF971" s="71">
        <v>390</v>
      </c>
      <c r="BG971" s="71">
        <v>212</v>
      </c>
      <c r="BH971" s="71">
        <v>5</v>
      </c>
      <c r="BI971" s="71">
        <v>10</v>
      </c>
      <c r="BJ971" s="12" t="str" cm="1">
        <f t="array" ref="BJ971">_xll.Dce_Name_SectI(BF971, BF971, BG971, BH971, BI971, "x", "-", $AX$11)</f>
        <v>390x212x5x10</v>
      </c>
      <c r="BK971" s="77" cm="1">
        <f t="array" ref="BK971">_xll.DCEPropSectI(BF971, BH971, BG971, BI971, BG971, BI971, "A")/100</f>
        <v>60.9</v>
      </c>
      <c r="BL971" s="70" t="s">
        <v>225</v>
      </c>
      <c r="BM971" s="70">
        <v>22.016611538386933</v>
      </c>
      <c r="BN971" s="71">
        <v>0.9</v>
      </c>
      <c r="BO971" s="77">
        <f t="shared" si="123"/>
        <v>32.4</v>
      </c>
      <c r="BP971" s="71">
        <v>0.9</v>
      </c>
      <c r="BQ971" s="77">
        <f t="shared" si="124"/>
        <v>32.4</v>
      </c>
      <c r="BR971" s="77" cm="1">
        <f t="array" ref="BR971">_xll.DCEPropSectI(BF971, BH971, BG971, BI971, BG971, BI971, "rx")/10</f>
        <v>16.91131201300167</v>
      </c>
      <c r="BS971" s="77" cm="1">
        <f t="array" ref="BS971">_xll.DCEPropSectI(BF971, BH971, BG971, BI971, BG971, BI971, "ry")/10</f>
        <v>5.1070747638622018</v>
      </c>
      <c r="BT971" s="5">
        <f t="shared" si="125"/>
        <v>191.58773710218577</v>
      </c>
      <c r="BU971" s="5">
        <f t="shared" si="126"/>
        <v>634.41405301647956</v>
      </c>
      <c r="BV971" s="5">
        <f t="shared" si="127"/>
        <v>634.41405301647956</v>
      </c>
      <c r="BW971" s="71">
        <f t="shared" si="128"/>
        <v>400</v>
      </c>
      <c r="BX971" s="78" cm="1">
        <f t="array" ref="BX971">IF(BM971&gt;0,1,_xll.DCETCVN5575FactorPhi7121(BV971*SQRT($K$17/206000),"b"))</f>
        <v>1</v>
      </c>
      <c r="BY971" s="64">
        <f t="shared" si="129"/>
        <v>1.7215272138859126E-2</v>
      </c>
      <c r="BZ971" s="3" t="str">
        <f t="shared" si="130"/>
        <v>Check</v>
      </c>
    </row>
    <row r="972" spans="1:78">
      <c r="A972" s="76"/>
      <c r="B972" s="76"/>
      <c r="C972" s="125"/>
      <c r="D972" s="125"/>
      <c r="E972" s="71"/>
      <c r="F972" s="71"/>
      <c r="G972" s="71"/>
      <c r="H972" s="126"/>
      <c r="I972" s="125"/>
      <c r="J972" s="123"/>
      <c r="K972" s="12"/>
      <c r="L972" s="117"/>
      <c r="M972" s="12"/>
      <c r="N972" s="117"/>
      <c r="O972" s="117"/>
      <c r="P972" s="117"/>
      <c r="Q972" s="118"/>
      <c r="R972" s="118"/>
      <c r="S972" s="118"/>
      <c r="T972" s="12"/>
      <c r="U972" s="118"/>
      <c r="V972" s="118"/>
      <c r="W972" s="12"/>
      <c r="X972" s="119"/>
      <c r="Y972" s="120"/>
      <c r="Z972" s="12"/>
      <c r="BA972" s="70" t="s">
        <v>205</v>
      </c>
      <c r="BB972" s="71" t="s">
        <v>210</v>
      </c>
      <c r="BC972" s="71" t="s">
        <v>207</v>
      </c>
      <c r="BD972" s="71">
        <v>26.5</v>
      </c>
      <c r="BE972" s="71">
        <v>36</v>
      </c>
      <c r="BF972" s="71">
        <v>390</v>
      </c>
      <c r="BG972" s="71">
        <v>212</v>
      </c>
      <c r="BH972" s="71">
        <v>5</v>
      </c>
      <c r="BI972" s="71">
        <v>10</v>
      </c>
      <c r="BJ972" s="12" t="str" cm="1">
        <f t="array" ref="BJ972">_xll.Dce_Name_SectI(BF972, BF972, BG972, BH972, BI972, "x", "-", $AX$11)</f>
        <v>390x212x5x10</v>
      </c>
      <c r="BK972" s="77" cm="1">
        <f t="array" ref="BK972">_xll.DCEPropSectI(BF972, BH972, BG972, BI972, BG972, BI972, "A")/100</f>
        <v>60.9</v>
      </c>
      <c r="BL972" s="70" t="s">
        <v>225</v>
      </c>
      <c r="BM972" s="70">
        <v>22.016611538386933</v>
      </c>
      <c r="BN972" s="71">
        <v>0.9</v>
      </c>
      <c r="BO972" s="77">
        <f t="shared" si="123"/>
        <v>32.4</v>
      </c>
      <c r="BP972" s="71">
        <v>0.9</v>
      </c>
      <c r="BQ972" s="77">
        <f t="shared" si="124"/>
        <v>32.4</v>
      </c>
      <c r="BR972" s="77" cm="1">
        <f t="array" ref="BR972">_xll.DCEPropSectI(BF972, BH972, BG972, BI972, BG972, BI972, "rx")/10</f>
        <v>16.91131201300167</v>
      </c>
      <c r="BS972" s="77" cm="1">
        <f t="array" ref="BS972">_xll.DCEPropSectI(BF972, BH972, BG972, BI972, BG972, BI972, "ry")/10</f>
        <v>5.1070747638622018</v>
      </c>
      <c r="BT972" s="5">
        <f t="shared" si="125"/>
        <v>191.58773710218577</v>
      </c>
      <c r="BU972" s="5">
        <f t="shared" si="126"/>
        <v>634.41405301647956</v>
      </c>
      <c r="BV972" s="5">
        <f t="shared" si="127"/>
        <v>634.41405301647956</v>
      </c>
      <c r="BW972" s="71">
        <f t="shared" si="128"/>
        <v>400</v>
      </c>
      <c r="BX972" s="78" cm="1">
        <f t="array" ref="BX972">IF(BM972&gt;0,1,_xll.DCETCVN5575FactorPhi7121(BV972*SQRT($K$17/206000),"b"))</f>
        <v>1</v>
      </c>
      <c r="BY972" s="64">
        <f t="shared" si="129"/>
        <v>1.7215272138859126E-2</v>
      </c>
      <c r="BZ972" s="3" t="str">
        <f t="shared" si="130"/>
        <v>Check</v>
      </c>
    </row>
    <row r="973" spans="1:78">
      <c r="A973" s="76"/>
      <c r="B973" s="76"/>
      <c r="C973" s="125"/>
      <c r="D973" s="125"/>
      <c r="E973" s="71"/>
      <c r="F973" s="71"/>
      <c r="G973" s="71"/>
      <c r="H973" s="126"/>
      <c r="I973" s="125"/>
      <c r="J973" s="123"/>
      <c r="K973" s="12"/>
      <c r="L973" s="117"/>
      <c r="M973" s="12"/>
      <c r="N973" s="117"/>
      <c r="O973" s="117"/>
      <c r="P973" s="117"/>
      <c r="Q973" s="118"/>
      <c r="R973" s="118"/>
      <c r="S973" s="118"/>
      <c r="T973" s="12"/>
      <c r="U973" s="118"/>
      <c r="V973" s="118"/>
      <c r="W973" s="12"/>
      <c r="X973" s="119"/>
      <c r="Y973" s="120"/>
      <c r="Z973" s="12"/>
      <c r="BA973" s="70" t="s">
        <v>205</v>
      </c>
      <c r="BB973" s="71" t="s">
        <v>210</v>
      </c>
      <c r="BC973" s="71" t="s">
        <v>207</v>
      </c>
      <c r="BD973" s="71">
        <v>27</v>
      </c>
      <c r="BE973" s="71">
        <v>36</v>
      </c>
      <c r="BF973" s="71">
        <v>390</v>
      </c>
      <c r="BG973" s="71">
        <v>212</v>
      </c>
      <c r="BH973" s="71">
        <v>5</v>
      </c>
      <c r="BI973" s="71">
        <v>10</v>
      </c>
      <c r="BJ973" s="12" t="str" cm="1">
        <f t="array" ref="BJ973">_xll.Dce_Name_SectI(BF973, BF973, BG973, BH973, BI973, "x", "-", $AX$11)</f>
        <v>390x212x5x10</v>
      </c>
      <c r="BK973" s="77" cm="1">
        <f t="array" ref="BK973">_xll.DCEPropSectI(BF973, BH973, BG973, BI973, BG973, BI973, "A")/100</f>
        <v>60.9</v>
      </c>
      <c r="BL973" s="70" t="s">
        <v>225</v>
      </c>
      <c r="BM973" s="70">
        <v>22.016611538386933</v>
      </c>
      <c r="BN973" s="71">
        <v>0.9</v>
      </c>
      <c r="BO973" s="77">
        <f t="shared" ref="BO973:BO1036" si="131">BN973*BE973</f>
        <v>32.4</v>
      </c>
      <c r="BP973" s="71">
        <v>0.9</v>
      </c>
      <c r="BQ973" s="77">
        <f t="shared" ref="BQ973:BQ1036" si="132">BP973*BE973</f>
        <v>32.4</v>
      </c>
      <c r="BR973" s="77" cm="1">
        <f t="array" ref="BR973">_xll.DCEPropSectI(BF973, BH973, BG973, BI973, BG973, BI973, "rx")/10</f>
        <v>16.91131201300167</v>
      </c>
      <c r="BS973" s="77" cm="1">
        <f t="array" ref="BS973">_xll.DCEPropSectI(BF973, BH973, BG973, BI973, BG973, BI973, "ry")/10</f>
        <v>5.1070747638622018</v>
      </c>
      <c r="BT973" s="5">
        <f t="shared" ref="BT973:BT1036" si="133">BO973*100/BR973</f>
        <v>191.58773710218577</v>
      </c>
      <c r="BU973" s="5">
        <f t="shared" ref="BU973:BU1036" si="134">BQ973*100/BS973</f>
        <v>634.41405301647956</v>
      </c>
      <c r="BV973" s="5">
        <f t="shared" ref="BV973:BV1036" si="135">MAX(BT973,BU973)</f>
        <v>634.41405301647956</v>
      </c>
      <c r="BW973" s="71">
        <f t="shared" ref="BW973:BW1036" si="136">IF(BM973&lt;0,$AY$14,$AY$15)</f>
        <v>400</v>
      </c>
      <c r="BX973" s="78" cm="1">
        <f t="array" ref="BX973">IF(BM973&gt;0,1,_xll.DCETCVN5575FactorPhi7121(BV973*SQRT($K$17/206000),"b"))</f>
        <v>1</v>
      </c>
      <c r="BY973" s="64">
        <f t="shared" ref="BY973:BY1036" si="137">ABS(BM973)/(BX973*BK973*$K$17*$K$19)*10</f>
        <v>1.7215272138859126E-2</v>
      </c>
      <c r="BZ973" s="3" t="str">
        <f t="shared" ref="BZ973:BZ1036" si="138">IF(AND(BV973&lt;=BW973,BY973&lt;=1),"OK","Check")</f>
        <v>Check</v>
      </c>
    </row>
    <row r="974" spans="1:78">
      <c r="A974" s="76"/>
      <c r="B974" s="76"/>
      <c r="C974" s="125"/>
      <c r="D974" s="125"/>
      <c r="E974" s="71"/>
      <c r="F974" s="71"/>
      <c r="G974" s="71"/>
      <c r="H974" s="126"/>
      <c r="I974" s="125"/>
      <c r="J974" s="123"/>
      <c r="K974" s="12"/>
      <c r="L974" s="117"/>
      <c r="M974" s="12"/>
      <c r="N974" s="117"/>
      <c r="O974" s="117"/>
      <c r="P974" s="117"/>
      <c r="Q974" s="118"/>
      <c r="R974" s="118"/>
      <c r="S974" s="118"/>
      <c r="T974" s="12"/>
      <c r="U974" s="118"/>
      <c r="V974" s="118"/>
      <c r="W974" s="12"/>
      <c r="X974" s="119"/>
      <c r="Y974" s="120"/>
      <c r="Z974" s="12"/>
      <c r="BA974" s="70" t="s">
        <v>205</v>
      </c>
      <c r="BB974" s="71" t="s">
        <v>210</v>
      </c>
      <c r="BC974" s="71" t="s">
        <v>207</v>
      </c>
      <c r="BD974" s="71">
        <v>27.5</v>
      </c>
      <c r="BE974" s="71">
        <v>36</v>
      </c>
      <c r="BF974" s="71">
        <v>390</v>
      </c>
      <c r="BG974" s="71">
        <v>212</v>
      </c>
      <c r="BH974" s="71">
        <v>5</v>
      </c>
      <c r="BI974" s="71">
        <v>10</v>
      </c>
      <c r="BJ974" s="12" t="str" cm="1">
        <f t="array" ref="BJ974">_xll.Dce_Name_SectI(BF974, BF974, BG974, BH974, BI974, "x", "-", $AX$11)</f>
        <v>390x212x5x10</v>
      </c>
      <c r="BK974" s="77" cm="1">
        <f t="array" ref="BK974">_xll.DCEPropSectI(BF974, BH974, BG974, BI974, BG974, BI974, "A")/100</f>
        <v>60.9</v>
      </c>
      <c r="BL974" s="70" t="s">
        <v>225</v>
      </c>
      <c r="BM974" s="70">
        <v>22.016611538386933</v>
      </c>
      <c r="BN974" s="71">
        <v>0.9</v>
      </c>
      <c r="BO974" s="77">
        <f t="shared" si="131"/>
        <v>32.4</v>
      </c>
      <c r="BP974" s="71">
        <v>0.9</v>
      </c>
      <c r="BQ974" s="77">
        <f t="shared" si="132"/>
        <v>32.4</v>
      </c>
      <c r="BR974" s="77" cm="1">
        <f t="array" ref="BR974">_xll.DCEPropSectI(BF974, BH974, BG974, BI974, BG974, BI974, "rx")/10</f>
        <v>16.91131201300167</v>
      </c>
      <c r="BS974" s="77" cm="1">
        <f t="array" ref="BS974">_xll.DCEPropSectI(BF974, BH974, BG974, BI974, BG974, BI974, "ry")/10</f>
        <v>5.1070747638622018</v>
      </c>
      <c r="BT974" s="5">
        <f t="shared" si="133"/>
        <v>191.58773710218577</v>
      </c>
      <c r="BU974" s="5">
        <f t="shared" si="134"/>
        <v>634.41405301647956</v>
      </c>
      <c r="BV974" s="5">
        <f t="shared" si="135"/>
        <v>634.41405301647956</v>
      </c>
      <c r="BW974" s="71">
        <f t="shared" si="136"/>
        <v>400</v>
      </c>
      <c r="BX974" s="78" cm="1">
        <f t="array" ref="BX974">IF(BM974&gt;0,1,_xll.DCETCVN5575FactorPhi7121(BV974*SQRT($K$17/206000),"b"))</f>
        <v>1</v>
      </c>
      <c r="BY974" s="64">
        <f t="shared" si="137"/>
        <v>1.7215272138859126E-2</v>
      </c>
      <c r="BZ974" s="3" t="str">
        <f t="shared" si="138"/>
        <v>Check</v>
      </c>
    </row>
    <row r="975" spans="1:78">
      <c r="A975" s="76"/>
      <c r="B975" s="76"/>
      <c r="C975" s="125"/>
      <c r="D975" s="125"/>
      <c r="E975" s="71"/>
      <c r="F975" s="71"/>
      <c r="G975" s="71"/>
      <c r="H975" s="126"/>
      <c r="I975" s="125"/>
      <c r="J975" s="123"/>
      <c r="K975" s="12"/>
      <c r="L975" s="117"/>
      <c r="M975" s="12"/>
      <c r="N975" s="117"/>
      <c r="O975" s="117"/>
      <c r="P975" s="117"/>
      <c r="Q975" s="118"/>
      <c r="R975" s="118"/>
      <c r="S975" s="118"/>
      <c r="T975" s="12"/>
      <c r="U975" s="118"/>
      <c r="V975" s="118"/>
      <c r="W975" s="12"/>
      <c r="X975" s="119"/>
      <c r="Y975" s="120"/>
      <c r="Z975" s="12"/>
      <c r="BA975" s="70" t="s">
        <v>205</v>
      </c>
      <c r="BB975" s="71" t="s">
        <v>210</v>
      </c>
      <c r="BC975" s="71" t="s">
        <v>207</v>
      </c>
      <c r="BD975" s="71">
        <v>28</v>
      </c>
      <c r="BE975" s="71">
        <v>36</v>
      </c>
      <c r="BF975" s="71">
        <v>390</v>
      </c>
      <c r="BG975" s="71">
        <v>212</v>
      </c>
      <c r="BH975" s="71">
        <v>5</v>
      </c>
      <c r="BI975" s="71">
        <v>10</v>
      </c>
      <c r="BJ975" s="12" t="str" cm="1">
        <f t="array" ref="BJ975">_xll.Dce_Name_SectI(BF975, BF975, BG975, BH975, BI975, "x", "-", $AX$11)</f>
        <v>390x212x5x10</v>
      </c>
      <c r="BK975" s="77" cm="1">
        <f t="array" ref="BK975">_xll.DCEPropSectI(BF975, BH975, BG975, BI975, BG975, BI975, "A")/100</f>
        <v>60.9</v>
      </c>
      <c r="BL975" s="70" t="s">
        <v>225</v>
      </c>
      <c r="BM975" s="70">
        <v>22.016611538386933</v>
      </c>
      <c r="BN975" s="71">
        <v>0.9</v>
      </c>
      <c r="BO975" s="77">
        <f t="shared" si="131"/>
        <v>32.4</v>
      </c>
      <c r="BP975" s="71">
        <v>0.9</v>
      </c>
      <c r="BQ975" s="77">
        <f t="shared" si="132"/>
        <v>32.4</v>
      </c>
      <c r="BR975" s="77" cm="1">
        <f t="array" ref="BR975">_xll.DCEPropSectI(BF975, BH975, BG975, BI975, BG975, BI975, "rx")/10</f>
        <v>16.91131201300167</v>
      </c>
      <c r="BS975" s="77" cm="1">
        <f t="array" ref="BS975">_xll.DCEPropSectI(BF975, BH975, BG975, BI975, BG975, BI975, "ry")/10</f>
        <v>5.1070747638622018</v>
      </c>
      <c r="BT975" s="5">
        <f t="shared" si="133"/>
        <v>191.58773710218577</v>
      </c>
      <c r="BU975" s="5">
        <f t="shared" si="134"/>
        <v>634.41405301647956</v>
      </c>
      <c r="BV975" s="5">
        <f t="shared" si="135"/>
        <v>634.41405301647956</v>
      </c>
      <c r="BW975" s="71">
        <f t="shared" si="136"/>
        <v>400</v>
      </c>
      <c r="BX975" s="78" cm="1">
        <f t="array" ref="BX975">IF(BM975&gt;0,1,_xll.DCETCVN5575FactorPhi7121(BV975*SQRT($K$17/206000),"b"))</f>
        <v>1</v>
      </c>
      <c r="BY975" s="64">
        <f t="shared" si="137"/>
        <v>1.7215272138859126E-2</v>
      </c>
      <c r="BZ975" s="3" t="str">
        <f t="shared" si="138"/>
        <v>Check</v>
      </c>
    </row>
    <row r="976" spans="1:78">
      <c r="A976" s="76"/>
      <c r="B976" s="76"/>
      <c r="C976" s="125"/>
      <c r="D976" s="125"/>
      <c r="E976" s="71"/>
      <c r="F976" s="71"/>
      <c r="G976" s="71"/>
      <c r="H976" s="126"/>
      <c r="I976" s="125"/>
      <c r="J976" s="123"/>
      <c r="K976" s="12"/>
      <c r="L976" s="117"/>
      <c r="M976" s="12"/>
      <c r="N976" s="117"/>
      <c r="O976" s="117"/>
      <c r="P976" s="117"/>
      <c r="Q976" s="118"/>
      <c r="R976" s="118"/>
      <c r="S976" s="118"/>
      <c r="T976" s="12"/>
      <c r="U976" s="118"/>
      <c r="V976" s="118"/>
      <c r="W976" s="12"/>
      <c r="X976" s="119"/>
      <c r="Y976" s="120"/>
      <c r="Z976" s="12"/>
      <c r="BA976" s="70" t="s">
        <v>205</v>
      </c>
      <c r="BB976" s="71" t="s">
        <v>210</v>
      </c>
      <c r="BC976" s="71" t="s">
        <v>207</v>
      </c>
      <c r="BD976" s="71">
        <v>28.5</v>
      </c>
      <c r="BE976" s="71">
        <v>36</v>
      </c>
      <c r="BF976" s="71">
        <v>390</v>
      </c>
      <c r="BG976" s="71">
        <v>212</v>
      </c>
      <c r="BH976" s="71">
        <v>5</v>
      </c>
      <c r="BI976" s="71">
        <v>10</v>
      </c>
      <c r="BJ976" s="12" t="str" cm="1">
        <f t="array" ref="BJ976">_xll.Dce_Name_SectI(BF976, BF976, BG976, BH976, BI976, "x", "-", $AX$11)</f>
        <v>390x212x5x10</v>
      </c>
      <c r="BK976" s="77" cm="1">
        <f t="array" ref="BK976">_xll.DCEPropSectI(BF976, BH976, BG976, BI976, BG976, BI976, "A")/100</f>
        <v>60.9</v>
      </c>
      <c r="BL976" s="70" t="s">
        <v>225</v>
      </c>
      <c r="BM976" s="70">
        <v>22.016611538386933</v>
      </c>
      <c r="BN976" s="71">
        <v>0.9</v>
      </c>
      <c r="BO976" s="77">
        <f t="shared" si="131"/>
        <v>32.4</v>
      </c>
      <c r="BP976" s="71">
        <v>0.9</v>
      </c>
      <c r="BQ976" s="77">
        <f t="shared" si="132"/>
        <v>32.4</v>
      </c>
      <c r="BR976" s="77" cm="1">
        <f t="array" ref="BR976">_xll.DCEPropSectI(BF976, BH976, BG976, BI976, BG976, BI976, "rx")/10</f>
        <v>16.91131201300167</v>
      </c>
      <c r="BS976" s="77" cm="1">
        <f t="array" ref="BS976">_xll.DCEPropSectI(BF976, BH976, BG976, BI976, BG976, BI976, "ry")/10</f>
        <v>5.1070747638622018</v>
      </c>
      <c r="BT976" s="5">
        <f t="shared" si="133"/>
        <v>191.58773710218577</v>
      </c>
      <c r="BU976" s="5">
        <f t="shared" si="134"/>
        <v>634.41405301647956</v>
      </c>
      <c r="BV976" s="5">
        <f t="shared" si="135"/>
        <v>634.41405301647956</v>
      </c>
      <c r="BW976" s="71">
        <f t="shared" si="136"/>
        <v>400</v>
      </c>
      <c r="BX976" s="78" cm="1">
        <f t="array" ref="BX976">IF(BM976&gt;0,1,_xll.DCETCVN5575FactorPhi7121(BV976*SQRT($K$17/206000),"b"))</f>
        <v>1</v>
      </c>
      <c r="BY976" s="64">
        <f t="shared" si="137"/>
        <v>1.7215272138859126E-2</v>
      </c>
      <c r="BZ976" s="3" t="str">
        <f t="shared" si="138"/>
        <v>Check</v>
      </c>
    </row>
    <row r="977" spans="1:78">
      <c r="A977" s="76"/>
      <c r="B977" s="76"/>
      <c r="C977" s="125"/>
      <c r="D977" s="125"/>
      <c r="E977" s="71"/>
      <c r="F977" s="71"/>
      <c r="G977" s="71"/>
      <c r="H977" s="126"/>
      <c r="I977" s="125"/>
      <c r="J977" s="123"/>
      <c r="K977" s="12"/>
      <c r="L977" s="117"/>
      <c r="M977" s="12"/>
      <c r="N977" s="117"/>
      <c r="O977" s="117"/>
      <c r="P977" s="117"/>
      <c r="Q977" s="118"/>
      <c r="R977" s="118"/>
      <c r="S977" s="118"/>
      <c r="T977" s="12"/>
      <c r="U977" s="118"/>
      <c r="V977" s="118"/>
      <c r="W977" s="12"/>
      <c r="X977" s="119"/>
      <c r="Y977" s="120"/>
      <c r="Z977" s="12"/>
      <c r="BA977" s="70" t="s">
        <v>205</v>
      </c>
      <c r="BB977" s="71" t="s">
        <v>210</v>
      </c>
      <c r="BC977" s="71" t="s">
        <v>207</v>
      </c>
      <c r="BD977" s="71">
        <v>29</v>
      </c>
      <c r="BE977" s="71">
        <v>36</v>
      </c>
      <c r="BF977" s="71">
        <v>390</v>
      </c>
      <c r="BG977" s="71">
        <v>212</v>
      </c>
      <c r="BH977" s="71">
        <v>5</v>
      </c>
      <c r="BI977" s="71">
        <v>10</v>
      </c>
      <c r="BJ977" s="12" t="str" cm="1">
        <f t="array" ref="BJ977">_xll.Dce_Name_SectI(BF977, BF977, BG977, BH977, BI977, "x", "-", $AX$11)</f>
        <v>390x212x5x10</v>
      </c>
      <c r="BK977" s="77" cm="1">
        <f t="array" ref="BK977">_xll.DCEPropSectI(BF977, BH977, BG977, BI977, BG977, BI977, "A")/100</f>
        <v>60.9</v>
      </c>
      <c r="BL977" s="70" t="s">
        <v>225</v>
      </c>
      <c r="BM977" s="70">
        <v>22.016611538386933</v>
      </c>
      <c r="BN977" s="71">
        <v>0.9</v>
      </c>
      <c r="BO977" s="77">
        <f t="shared" si="131"/>
        <v>32.4</v>
      </c>
      <c r="BP977" s="71">
        <v>0.9</v>
      </c>
      <c r="BQ977" s="77">
        <f t="shared" si="132"/>
        <v>32.4</v>
      </c>
      <c r="BR977" s="77" cm="1">
        <f t="array" ref="BR977">_xll.DCEPropSectI(BF977, BH977, BG977, BI977, BG977, BI977, "rx")/10</f>
        <v>16.91131201300167</v>
      </c>
      <c r="BS977" s="77" cm="1">
        <f t="array" ref="BS977">_xll.DCEPropSectI(BF977, BH977, BG977, BI977, BG977, BI977, "ry")/10</f>
        <v>5.1070747638622018</v>
      </c>
      <c r="BT977" s="5">
        <f t="shared" si="133"/>
        <v>191.58773710218577</v>
      </c>
      <c r="BU977" s="5">
        <f t="shared" si="134"/>
        <v>634.41405301647956</v>
      </c>
      <c r="BV977" s="5">
        <f t="shared" si="135"/>
        <v>634.41405301647956</v>
      </c>
      <c r="BW977" s="71">
        <f t="shared" si="136"/>
        <v>400</v>
      </c>
      <c r="BX977" s="78" cm="1">
        <f t="array" ref="BX977">IF(BM977&gt;0,1,_xll.DCETCVN5575FactorPhi7121(BV977*SQRT($K$17/206000),"b"))</f>
        <v>1</v>
      </c>
      <c r="BY977" s="64">
        <f t="shared" si="137"/>
        <v>1.7215272138859126E-2</v>
      </c>
      <c r="BZ977" s="3" t="str">
        <f t="shared" si="138"/>
        <v>Check</v>
      </c>
    </row>
    <row r="978" spans="1:78">
      <c r="A978" s="76"/>
      <c r="B978" s="76"/>
      <c r="C978" s="125"/>
      <c r="D978" s="125"/>
      <c r="E978" s="71"/>
      <c r="F978" s="71"/>
      <c r="G978" s="71"/>
      <c r="H978" s="126"/>
      <c r="I978" s="125"/>
      <c r="J978" s="123"/>
      <c r="K978" s="12"/>
      <c r="L978" s="117"/>
      <c r="M978" s="12"/>
      <c r="N978" s="117"/>
      <c r="O978" s="117"/>
      <c r="P978" s="117"/>
      <c r="Q978" s="118"/>
      <c r="R978" s="118"/>
      <c r="S978" s="118"/>
      <c r="T978" s="12"/>
      <c r="U978" s="118"/>
      <c r="V978" s="118"/>
      <c r="W978" s="12"/>
      <c r="X978" s="119"/>
      <c r="Y978" s="120"/>
      <c r="Z978" s="12"/>
      <c r="BA978" s="70" t="s">
        <v>205</v>
      </c>
      <c r="BB978" s="71" t="s">
        <v>210</v>
      </c>
      <c r="BC978" s="71" t="s">
        <v>207</v>
      </c>
      <c r="BD978" s="71">
        <v>29.5</v>
      </c>
      <c r="BE978" s="71">
        <v>36</v>
      </c>
      <c r="BF978" s="71">
        <v>390</v>
      </c>
      <c r="BG978" s="71">
        <v>212</v>
      </c>
      <c r="BH978" s="71">
        <v>5</v>
      </c>
      <c r="BI978" s="71">
        <v>10</v>
      </c>
      <c r="BJ978" s="12" t="str" cm="1">
        <f t="array" ref="BJ978">_xll.Dce_Name_SectI(BF978, BF978, BG978, BH978, BI978, "x", "-", $AX$11)</f>
        <v>390x212x5x10</v>
      </c>
      <c r="BK978" s="77" cm="1">
        <f t="array" ref="BK978">_xll.DCEPropSectI(BF978, BH978, BG978, BI978, BG978, BI978, "A")/100</f>
        <v>60.9</v>
      </c>
      <c r="BL978" s="70" t="s">
        <v>225</v>
      </c>
      <c r="BM978" s="70">
        <v>22.016611538386933</v>
      </c>
      <c r="BN978" s="71">
        <v>0.9</v>
      </c>
      <c r="BO978" s="77">
        <f t="shared" si="131"/>
        <v>32.4</v>
      </c>
      <c r="BP978" s="71">
        <v>0.9</v>
      </c>
      <c r="BQ978" s="77">
        <f t="shared" si="132"/>
        <v>32.4</v>
      </c>
      <c r="BR978" s="77" cm="1">
        <f t="array" ref="BR978">_xll.DCEPropSectI(BF978, BH978, BG978, BI978, BG978, BI978, "rx")/10</f>
        <v>16.91131201300167</v>
      </c>
      <c r="BS978" s="77" cm="1">
        <f t="array" ref="BS978">_xll.DCEPropSectI(BF978, BH978, BG978, BI978, BG978, BI978, "ry")/10</f>
        <v>5.1070747638622018</v>
      </c>
      <c r="BT978" s="5">
        <f t="shared" si="133"/>
        <v>191.58773710218577</v>
      </c>
      <c r="BU978" s="5">
        <f t="shared" si="134"/>
        <v>634.41405301647956</v>
      </c>
      <c r="BV978" s="5">
        <f t="shared" si="135"/>
        <v>634.41405301647956</v>
      </c>
      <c r="BW978" s="71">
        <f t="shared" si="136"/>
        <v>400</v>
      </c>
      <c r="BX978" s="78" cm="1">
        <f t="array" ref="BX978">IF(BM978&gt;0,1,_xll.DCETCVN5575FactorPhi7121(BV978*SQRT($K$17/206000),"b"))</f>
        <v>1</v>
      </c>
      <c r="BY978" s="64">
        <f t="shared" si="137"/>
        <v>1.7215272138859126E-2</v>
      </c>
      <c r="BZ978" s="3" t="str">
        <f t="shared" si="138"/>
        <v>Check</v>
      </c>
    </row>
    <row r="979" spans="1:78">
      <c r="A979" s="76"/>
      <c r="B979" s="76"/>
      <c r="C979" s="125"/>
      <c r="D979" s="125"/>
      <c r="E979" s="71"/>
      <c r="F979" s="71"/>
      <c r="G979" s="71"/>
      <c r="H979" s="126"/>
      <c r="I979" s="125"/>
      <c r="J979" s="123"/>
      <c r="K979" s="12"/>
      <c r="L979" s="117"/>
      <c r="M979" s="12"/>
      <c r="N979" s="117"/>
      <c r="O979" s="117"/>
      <c r="P979" s="117"/>
      <c r="Q979" s="118"/>
      <c r="R979" s="118"/>
      <c r="S979" s="118"/>
      <c r="T979" s="12"/>
      <c r="U979" s="118"/>
      <c r="V979" s="118"/>
      <c r="W979" s="12"/>
      <c r="X979" s="119"/>
      <c r="Y979" s="120"/>
      <c r="Z979" s="12"/>
      <c r="BA979" s="70" t="s">
        <v>205</v>
      </c>
      <c r="BB979" s="71" t="s">
        <v>210</v>
      </c>
      <c r="BC979" s="71" t="s">
        <v>207</v>
      </c>
      <c r="BD979" s="71">
        <v>30</v>
      </c>
      <c r="BE979" s="71">
        <v>36</v>
      </c>
      <c r="BF979" s="71">
        <v>390</v>
      </c>
      <c r="BG979" s="71">
        <v>212</v>
      </c>
      <c r="BH979" s="71">
        <v>5</v>
      </c>
      <c r="BI979" s="71">
        <v>10</v>
      </c>
      <c r="BJ979" s="12" t="str" cm="1">
        <f t="array" ref="BJ979">_xll.Dce_Name_SectI(BF979, BF979, BG979, BH979, BI979, "x", "-", $AX$11)</f>
        <v>390x212x5x10</v>
      </c>
      <c r="BK979" s="77" cm="1">
        <f t="array" ref="BK979">_xll.DCEPropSectI(BF979, BH979, BG979, BI979, BG979, BI979, "A")/100</f>
        <v>60.9</v>
      </c>
      <c r="BL979" s="70" t="s">
        <v>225</v>
      </c>
      <c r="BM979" s="70">
        <v>22.016611538386933</v>
      </c>
      <c r="BN979" s="71">
        <v>0.9</v>
      </c>
      <c r="BO979" s="77">
        <f t="shared" si="131"/>
        <v>32.4</v>
      </c>
      <c r="BP979" s="71">
        <v>0.9</v>
      </c>
      <c r="BQ979" s="77">
        <f t="shared" si="132"/>
        <v>32.4</v>
      </c>
      <c r="BR979" s="77" cm="1">
        <f t="array" ref="BR979">_xll.DCEPropSectI(BF979, BH979, BG979, BI979, BG979, BI979, "rx")/10</f>
        <v>16.91131201300167</v>
      </c>
      <c r="BS979" s="77" cm="1">
        <f t="array" ref="BS979">_xll.DCEPropSectI(BF979, BH979, BG979, BI979, BG979, BI979, "ry")/10</f>
        <v>5.1070747638622018</v>
      </c>
      <c r="BT979" s="5">
        <f t="shared" si="133"/>
        <v>191.58773710218577</v>
      </c>
      <c r="BU979" s="5">
        <f t="shared" si="134"/>
        <v>634.41405301647956</v>
      </c>
      <c r="BV979" s="5">
        <f t="shared" si="135"/>
        <v>634.41405301647956</v>
      </c>
      <c r="BW979" s="71">
        <f t="shared" si="136"/>
        <v>400</v>
      </c>
      <c r="BX979" s="78" cm="1">
        <f t="array" ref="BX979">IF(BM979&gt;0,1,_xll.DCETCVN5575FactorPhi7121(BV979*SQRT($K$17/206000),"b"))</f>
        <v>1</v>
      </c>
      <c r="BY979" s="64">
        <f t="shared" si="137"/>
        <v>1.7215272138859126E-2</v>
      </c>
      <c r="BZ979" s="3" t="str">
        <f t="shared" si="138"/>
        <v>Check</v>
      </c>
    </row>
    <row r="980" spans="1:78">
      <c r="A980" s="76"/>
      <c r="B980" s="76"/>
      <c r="C980" s="125"/>
      <c r="D980" s="125"/>
      <c r="E980" s="71"/>
      <c r="F980" s="71"/>
      <c r="G980" s="71"/>
      <c r="H980" s="126"/>
      <c r="I980" s="125"/>
      <c r="J980" s="123"/>
      <c r="K980" s="12"/>
      <c r="L980" s="117"/>
      <c r="M980" s="12"/>
      <c r="N980" s="117"/>
      <c r="O980" s="117"/>
      <c r="P980" s="117"/>
      <c r="Q980" s="118"/>
      <c r="R980" s="118"/>
      <c r="S980" s="118"/>
      <c r="T980" s="12"/>
      <c r="U980" s="118"/>
      <c r="V980" s="118"/>
      <c r="W980" s="12"/>
      <c r="X980" s="119"/>
      <c r="Y980" s="120"/>
      <c r="Z980" s="12"/>
      <c r="BA980" s="70" t="s">
        <v>205</v>
      </c>
      <c r="BB980" s="71" t="s">
        <v>210</v>
      </c>
      <c r="BC980" s="71" t="s">
        <v>207</v>
      </c>
      <c r="BD980" s="71">
        <v>30</v>
      </c>
      <c r="BE980" s="71">
        <v>36</v>
      </c>
      <c r="BF980" s="71">
        <v>390</v>
      </c>
      <c r="BG980" s="71">
        <v>212</v>
      </c>
      <c r="BH980" s="71">
        <v>5</v>
      </c>
      <c r="BI980" s="71">
        <v>10</v>
      </c>
      <c r="BJ980" s="12" t="str" cm="1">
        <f t="array" ref="BJ980">_xll.Dce_Name_SectI(BF980, BF980, BG980, BH980, BI980, "x", "-", $AX$11)</f>
        <v>390x212x5x10</v>
      </c>
      <c r="BK980" s="77" cm="1">
        <f t="array" ref="BK980">_xll.DCEPropSectI(BF980, BH980, BG980, BI980, BG980, BI980, "A")/100</f>
        <v>60.9</v>
      </c>
      <c r="BL980" s="70" t="s">
        <v>225</v>
      </c>
      <c r="BM980" s="70">
        <v>-18.926160780953388</v>
      </c>
      <c r="BN980" s="71">
        <v>0.9</v>
      </c>
      <c r="BO980" s="77">
        <f t="shared" si="131"/>
        <v>32.4</v>
      </c>
      <c r="BP980" s="71">
        <v>0.9</v>
      </c>
      <c r="BQ980" s="77">
        <f t="shared" si="132"/>
        <v>32.4</v>
      </c>
      <c r="BR980" s="77" cm="1">
        <f t="array" ref="BR980">_xll.DCEPropSectI(BF980, BH980, BG980, BI980, BG980, BI980, "rx")/10</f>
        <v>16.91131201300167</v>
      </c>
      <c r="BS980" s="77" cm="1">
        <f t="array" ref="BS980">_xll.DCEPropSectI(BF980, BH980, BG980, BI980, BG980, BI980, "ry")/10</f>
        <v>5.1070747638622018</v>
      </c>
      <c r="BT980" s="5">
        <f t="shared" si="133"/>
        <v>191.58773710218577</v>
      </c>
      <c r="BU980" s="5">
        <f t="shared" si="134"/>
        <v>634.41405301647956</v>
      </c>
      <c r="BV980" s="5">
        <f t="shared" si="135"/>
        <v>634.41405301647956</v>
      </c>
      <c r="BW980" s="71">
        <f t="shared" si="136"/>
        <v>200</v>
      </c>
      <c r="BX980" s="78" cm="1">
        <f t="array" ref="BX980">IF(BM980&gt;0,1,_xll.DCETCVN5575FactorPhi7121(BV980*SQRT($K$17/206000),"b"))</f>
        <v>1.6670876655456978E-2</v>
      </c>
      <c r="BY980" s="64">
        <f t="shared" si="137"/>
        <v>0.88770261565916508</v>
      </c>
      <c r="BZ980" s="3" t="str">
        <f t="shared" si="138"/>
        <v>Check</v>
      </c>
    </row>
    <row r="981" spans="1:78">
      <c r="A981" s="76"/>
      <c r="B981" s="76"/>
      <c r="C981" s="125"/>
      <c r="D981" s="125"/>
      <c r="E981" s="71"/>
      <c r="F981" s="71"/>
      <c r="G981" s="71"/>
      <c r="H981" s="126"/>
      <c r="I981" s="125"/>
      <c r="J981" s="123"/>
      <c r="K981" s="12"/>
      <c r="L981" s="117"/>
      <c r="M981" s="12"/>
      <c r="N981" s="117"/>
      <c r="O981" s="117"/>
      <c r="P981" s="117"/>
      <c r="Q981" s="118"/>
      <c r="R981" s="118"/>
      <c r="S981" s="118"/>
      <c r="T981" s="12"/>
      <c r="U981" s="118"/>
      <c r="V981" s="118"/>
      <c r="W981" s="12"/>
      <c r="X981" s="119"/>
      <c r="Y981" s="120"/>
      <c r="Z981" s="12"/>
      <c r="BA981" s="70" t="s">
        <v>205</v>
      </c>
      <c r="BB981" s="71" t="s">
        <v>210</v>
      </c>
      <c r="BC981" s="71" t="s">
        <v>207</v>
      </c>
      <c r="BD981" s="71">
        <v>30.5</v>
      </c>
      <c r="BE981" s="71">
        <v>36</v>
      </c>
      <c r="BF981" s="71">
        <v>390</v>
      </c>
      <c r="BG981" s="71">
        <v>212</v>
      </c>
      <c r="BH981" s="71">
        <v>5</v>
      </c>
      <c r="BI981" s="71">
        <v>10</v>
      </c>
      <c r="BJ981" s="12" t="str" cm="1">
        <f t="array" ref="BJ981">_xll.Dce_Name_SectI(BF981, BF981, BG981, BH981, BI981, "x", "-", $AX$11)</f>
        <v>390x212x5x10</v>
      </c>
      <c r="BK981" s="77" cm="1">
        <f t="array" ref="BK981">_xll.DCEPropSectI(BF981, BH981, BG981, BI981, BG981, BI981, "A")/100</f>
        <v>60.9</v>
      </c>
      <c r="BL981" s="70" t="s">
        <v>225</v>
      </c>
      <c r="BM981" s="70">
        <v>-18.926160780953388</v>
      </c>
      <c r="BN981" s="71">
        <v>0.9</v>
      </c>
      <c r="BO981" s="77">
        <f t="shared" si="131"/>
        <v>32.4</v>
      </c>
      <c r="BP981" s="71">
        <v>0.9</v>
      </c>
      <c r="BQ981" s="77">
        <f t="shared" si="132"/>
        <v>32.4</v>
      </c>
      <c r="BR981" s="77" cm="1">
        <f t="array" ref="BR981">_xll.DCEPropSectI(BF981, BH981, BG981, BI981, BG981, BI981, "rx")/10</f>
        <v>16.91131201300167</v>
      </c>
      <c r="BS981" s="77" cm="1">
        <f t="array" ref="BS981">_xll.DCEPropSectI(BF981, BH981, BG981, BI981, BG981, BI981, "ry")/10</f>
        <v>5.1070747638622018</v>
      </c>
      <c r="BT981" s="5">
        <f t="shared" si="133"/>
        <v>191.58773710218577</v>
      </c>
      <c r="BU981" s="5">
        <f t="shared" si="134"/>
        <v>634.41405301647956</v>
      </c>
      <c r="BV981" s="5">
        <f t="shared" si="135"/>
        <v>634.41405301647956</v>
      </c>
      <c r="BW981" s="71">
        <f t="shared" si="136"/>
        <v>200</v>
      </c>
      <c r="BX981" s="78" cm="1">
        <f t="array" ref="BX981">IF(BM981&gt;0,1,_xll.DCETCVN5575FactorPhi7121(BV981*SQRT($K$17/206000),"b"))</f>
        <v>1.6670876655456978E-2</v>
      </c>
      <c r="BY981" s="64">
        <f t="shared" si="137"/>
        <v>0.88770261565916508</v>
      </c>
      <c r="BZ981" s="3" t="str">
        <f t="shared" si="138"/>
        <v>Check</v>
      </c>
    </row>
    <row r="982" spans="1:78">
      <c r="A982" s="76"/>
      <c r="B982" s="76"/>
      <c r="C982" s="125"/>
      <c r="D982" s="125"/>
      <c r="E982" s="71"/>
      <c r="F982" s="71"/>
      <c r="G982" s="71"/>
      <c r="H982" s="126"/>
      <c r="I982" s="125"/>
      <c r="J982" s="123"/>
      <c r="K982" s="12"/>
      <c r="L982" s="117"/>
      <c r="M982" s="12"/>
      <c r="N982" s="117"/>
      <c r="O982" s="117"/>
      <c r="P982" s="117"/>
      <c r="Q982" s="118"/>
      <c r="R982" s="118"/>
      <c r="S982" s="118"/>
      <c r="T982" s="12"/>
      <c r="U982" s="118"/>
      <c r="V982" s="118"/>
      <c r="W982" s="12"/>
      <c r="X982" s="119"/>
      <c r="Y982" s="120"/>
      <c r="Z982" s="12"/>
      <c r="BA982" s="70" t="s">
        <v>205</v>
      </c>
      <c r="BB982" s="71" t="s">
        <v>210</v>
      </c>
      <c r="BC982" s="71" t="s">
        <v>207</v>
      </c>
      <c r="BD982" s="71">
        <v>31</v>
      </c>
      <c r="BE982" s="71">
        <v>36</v>
      </c>
      <c r="BF982" s="71">
        <v>390</v>
      </c>
      <c r="BG982" s="71">
        <v>212</v>
      </c>
      <c r="BH982" s="71">
        <v>5</v>
      </c>
      <c r="BI982" s="71">
        <v>10</v>
      </c>
      <c r="BJ982" s="12" t="str" cm="1">
        <f t="array" ref="BJ982">_xll.Dce_Name_SectI(BF982, BF982, BG982, BH982, BI982, "x", "-", $AX$11)</f>
        <v>390x212x5x10</v>
      </c>
      <c r="BK982" s="77" cm="1">
        <f t="array" ref="BK982">_xll.DCEPropSectI(BF982, BH982, BG982, BI982, BG982, BI982, "A")/100</f>
        <v>60.9</v>
      </c>
      <c r="BL982" s="70" t="s">
        <v>225</v>
      </c>
      <c r="BM982" s="70">
        <v>-18.926160780953388</v>
      </c>
      <c r="BN982" s="71">
        <v>0.9</v>
      </c>
      <c r="BO982" s="77">
        <f t="shared" si="131"/>
        <v>32.4</v>
      </c>
      <c r="BP982" s="71">
        <v>0.9</v>
      </c>
      <c r="BQ982" s="77">
        <f t="shared" si="132"/>
        <v>32.4</v>
      </c>
      <c r="BR982" s="77" cm="1">
        <f t="array" ref="BR982">_xll.DCEPropSectI(BF982, BH982, BG982, BI982, BG982, BI982, "rx")/10</f>
        <v>16.91131201300167</v>
      </c>
      <c r="BS982" s="77" cm="1">
        <f t="array" ref="BS982">_xll.DCEPropSectI(BF982, BH982, BG982, BI982, BG982, BI982, "ry")/10</f>
        <v>5.1070747638622018</v>
      </c>
      <c r="BT982" s="5">
        <f t="shared" si="133"/>
        <v>191.58773710218577</v>
      </c>
      <c r="BU982" s="5">
        <f t="shared" si="134"/>
        <v>634.41405301647956</v>
      </c>
      <c r="BV982" s="5">
        <f t="shared" si="135"/>
        <v>634.41405301647956</v>
      </c>
      <c r="BW982" s="71">
        <f t="shared" si="136"/>
        <v>200</v>
      </c>
      <c r="BX982" s="78" cm="1">
        <f t="array" ref="BX982">IF(BM982&gt;0,1,_xll.DCETCVN5575FactorPhi7121(BV982*SQRT($K$17/206000),"b"))</f>
        <v>1.6670876655456978E-2</v>
      </c>
      <c r="BY982" s="64">
        <f t="shared" si="137"/>
        <v>0.88770261565916508</v>
      </c>
      <c r="BZ982" s="3" t="str">
        <f t="shared" si="138"/>
        <v>Check</v>
      </c>
    </row>
    <row r="983" spans="1:78">
      <c r="A983" s="76"/>
      <c r="B983" s="76"/>
      <c r="C983" s="125"/>
      <c r="D983" s="125"/>
      <c r="E983" s="71"/>
      <c r="F983" s="71"/>
      <c r="G983" s="71"/>
      <c r="H983" s="126"/>
      <c r="I983" s="125"/>
      <c r="J983" s="123"/>
      <c r="K983" s="12"/>
      <c r="L983" s="117"/>
      <c r="M983" s="12"/>
      <c r="N983" s="117"/>
      <c r="O983" s="117"/>
      <c r="P983" s="117"/>
      <c r="Q983" s="118"/>
      <c r="R983" s="118"/>
      <c r="S983" s="118"/>
      <c r="T983" s="12"/>
      <c r="U983" s="118"/>
      <c r="V983" s="118"/>
      <c r="W983" s="12"/>
      <c r="X983" s="119"/>
      <c r="Y983" s="120"/>
      <c r="Z983" s="12"/>
      <c r="BA983" s="70" t="s">
        <v>205</v>
      </c>
      <c r="BB983" s="71" t="s">
        <v>210</v>
      </c>
      <c r="BC983" s="71" t="s">
        <v>207</v>
      </c>
      <c r="BD983" s="71">
        <v>31.5</v>
      </c>
      <c r="BE983" s="71">
        <v>36</v>
      </c>
      <c r="BF983" s="71">
        <v>390</v>
      </c>
      <c r="BG983" s="71">
        <v>212</v>
      </c>
      <c r="BH983" s="71">
        <v>5</v>
      </c>
      <c r="BI983" s="71">
        <v>10</v>
      </c>
      <c r="BJ983" s="12" t="str" cm="1">
        <f t="array" ref="BJ983">_xll.Dce_Name_SectI(BF983, BF983, BG983, BH983, BI983, "x", "-", $AX$11)</f>
        <v>390x212x5x10</v>
      </c>
      <c r="BK983" s="77" cm="1">
        <f t="array" ref="BK983">_xll.DCEPropSectI(BF983, BH983, BG983, BI983, BG983, BI983, "A")/100</f>
        <v>60.9</v>
      </c>
      <c r="BL983" s="70" t="s">
        <v>225</v>
      </c>
      <c r="BM983" s="70">
        <v>-18.926160780953388</v>
      </c>
      <c r="BN983" s="71">
        <v>0.9</v>
      </c>
      <c r="BO983" s="77">
        <f t="shared" si="131"/>
        <v>32.4</v>
      </c>
      <c r="BP983" s="71">
        <v>0.9</v>
      </c>
      <c r="BQ983" s="77">
        <f t="shared" si="132"/>
        <v>32.4</v>
      </c>
      <c r="BR983" s="77" cm="1">
        <f t="array" ref="BR983">_xll.DCEPropSectI(BF983, BH983, BG983, BI983, BG983, BI983, "rx")/10</f>
        <v>16.91131201300167</v>
      </c>
      <c r="BS983" s="77" cm="1">
        <f t="array" ref="BS983">_xll.DCEPropSectI(BF983, BH983, BG983, BI983, BG983, BI983, "ry")/10</f>
        <v>5.1070747638622018</v>
      </c>
      <c r="BT983" s="5">
        <f t="shared" si="133"/>
        <v>191.58773710218577</v>
      </c>
      <c r="BU983" s="5">
        <f t="shared" si="134"/>
        <v>634.41405301647956</v>
      </c>
      <c r="BV983" s="5">
        <f t="shared" si="135"/>
        <v>634.41405301647956</v>
      </c>
      <c r="BW983" s="71">
        <f t="shared" si="136"/>
        <v>200</v>
      </c>
      <c r="BX983" s="78" cm="1">
        <f t="array" ref="BX983">IF(BM983&gt;0,1,_xll.DCETCVN5575FactorPhi7121(BV983*SQRT($K$17/206000),"b"))</f>
        <v>1.6670876655456978E-2</v>
      </c>
      <c r="BY983" s="64">
        <f t="shared" si="137"/>
        <v>0.88770261565916508</v>
      </c>
      <c r="BZ983" s="3" t="str">
        <f t="shared" si="138"/>
        <v>Check</v>
      </c>
    </row>
    <row r="984" spans="1:78">
      <c r="A984" s="76"/>
      <c r="B984" s="76"/>
      <c r="C984" s="125"/>
      <c r="D984" s="125"/>
      <c r="E984" s="71"/>
      <c r="F984" s="71"/>
      <c r="G984" s="71"/>
      <c r="H984" s="126"/>
      <c r="I984" s="125"/>
      <c r="J984" s="123"/>
      <c r="K984" s="12"/>
      <c r="L984" s="117"/>
      <c r="M984" s="12"/>
      <c r="N984" s="117"/>
      <c r="O984" s="117"/>
      <c r="P984" s="117"/>
      <c r="Q984" s="118"/>
      <c r="R984" s="118"/>
      <c r="S984" s="118"/>
      <c r="T984" s="12"/>
      <c r="U984" s="118"/>
      <c r="V984" s="118"/>
      <c r="W984" s="12"/>
      <c r="X984" s="119"/>
      <c r="Y984" s="120"/>
      <c r="Z984" s="12"/>
      <c r="BA984" s="70" t="s">
        <v>205</v>
      </c>
      <c r="BB984" s="71" t="s">
        <v>210</v>
      </c>
      <c r="BC984" s="71" t="s">
        <v>207</v>
      </c>
      <c r="BD984" s="71">
        <v>32</v>
      </c>
      <c r="BE984" s="71">
        <v>36</v>
      </c>
      <c r="BF984" s="71">
        <v>390</v>
      </c>
      <c r="BG984" s="71">
        <v>212</v>
      </c>
      <c r="BH984" s="71">
        <v>5</v>
      </c>
      <c r="BI984" s="71">
        <v>10</v>
      </c>
      <c r="BJ984" s="12" t="str" cm="1">
        <f t="array" ref="BJ984">_xll.Dce_Name_SectI(BF984, BF984, BG984, BH984, BI984, "x", "-", $AX$11)</f>
        <v>390x212x5x10</v>
      </c>
      <c r="BK984" s="77" cm="1">
        <f t="array" ref="BK984">_xll.DCEPropSectI(BF984, BH984, BG984, BI984, BG984, BI984, "A")/100</f>
        <v>60.9</v>
      </c>
      <c r="BL984" s="70" t="s">
        <v>225</v>
      </c>
      <c r="BM984" s="70">
        <v>-18.926160780953388</v>
      </c>
      <c r="BN984" s="71">
        <v>0.9</v>
      </c>
      <c r="BO984" s="77">
        <f t="shared" si="131"/>
        <v>32.4</v>
      </c>
      <c r="BP984" s="71">
        <v>0.9</v>
      </c>
      <c r="BQ984" s="77">
        <f t="shared" si="132"/>
        <v>32.4</v>
      </c>
      <c r="BR984" s="77" cm="1">
        <f t="array" ref="BR984">_xll.DCEPropSectI(BF984, BH984, BG984, BI984, BG984, BI984, "rx")/10</f>
        <v>16.91131201300167</v>
      </c>
      <c r="BS984" s="77" cm="1">
        <f t="array" ref="BS984">_xll.DCEPropSectI(BF984, BH984, BG984, BI984, BG984, BI984, "ry")/10</f>
        <v>5.1070747638622018</v>
      </c>
      <c r="BT984" s="5">
        <f t="shared" si="133"/>
        <v>191.58773710218577</v>
      </c>
      <c r="BU984" s="5">
        <f t="shared" si="134"/>
        <v>634.41405301647956</v>
      </c>
      <c r="BV984" s="5">
        <f t="shared" si="135"/>
        <v>634.41405301647956</v>
      </c>
      <c r="BW984" s="71">
        <f t="shared" si="136"/>
        <v>200</v>
      </c>
      <c r="BX984" s="78" cm="1">
        <f t="array" ref="BX984">IF(BM984&gt;0,1,_xll.DCETCVN5575FactorPhi7121(BV984*SQRT($K$17/206000),"b"))</f>
        <v>1.6670876655456978E-2</v>
      </c>
      <c r="BY984" s="64">
        <f t="shared" si="137"/>
        <v>0.88770261565916508</v>
      </c>
      <c r="BZ984" s="3" t="str">
        <f t="shared" si="138"/>
        <v>Check</v>
      </c>
    </row>
    <row r="985" spans="1:78">
      <c r="A985" s="76"/>
      <c r="B985" s="76"/>
      <c r="C985" s="125"/>
      <c r="D985" s="125"/>
      <c r="E985" s="71"/>
      <c r="F985" s="71"/>
      <c r="G985" s="71"/>
      <c r="H985" s="126"/>
      <c r="I985" s="125"/>
      <c r="J985" s="123"/>
      <c r="K985" s="12"/>
      <c r="L985" s="117"/>
      <c r="M985" s="12"/>
      <c r="N985" s="117"/>
      <c r="O985" s="117"/>
      <c r="P985" s="117"/>
      <c r="Q985" s="118"/>
      <c r="R985" s="118"/>
      <c r="S985" s="118"/>
      <c r="T985" s="12"/>
      <c r="U985" s="118"/>
      <c r="V985" s="118"/>
      <c r="W985" s="12"/>
      <c r="X985" s="119"/>
      <c r="Y985" s="120"/>
      <c r="Z985" s="12"/>
      <c r="BA985" s="70" t="s">
        <v>205</v>
      </c>
      <c r="BB985" s="71" t="s">
        <v>210</v>
      </c>
      <c r="BC985" s="71" t="s">
        <v>207</v>
      </c>
      <c r="BD985" s="71">
        <v>32.5</v>
      </c>
      <c r="BE985" s="71">
        <v>36</v>
      </c>
      <c r="BF985" s="71">
        <v>390</v>
      </c>
      <c r="BG985" s="71">
        <v>212</v>
      </c>
      <c r="BH985" s="71">
        <v>5</v>
      </c>
      <c r="BI985" s="71">
        <v>10</v>
      </c>
      <c r="BJ985" s="12" t="str" cm="1">
        <f t="array" ref="BJ985">_xll.Dce_Name_SectI(BF985, BF985, BG985, BH985, BI985, "x", "-", $AX$11)</f>
        <v>390x212x5x10</v>
      </c>
      <c r="BK985" s="77" cm="1">
        <f t="array" ref="BK985">_xll.DCEPropSectI(BF985, BH985, BG985, BI985, BG985, BI985, "A")/100</f>
        <v>60.9</v>
      </c>
      <c r="BL985" s="70" t="s">
        <v>225</v>
      </c>
      <c r="BM985" s="70">
        <v>-18.926160780953388</v>
      </c>
      <c r="BN985" s="71">
        <v>0.9</v>
      </c>
      <c r="BO985" s="77">
        <f t="shared" si="131"/>
        <v>32.4</v>
      </c>
      <c r="BP985" s="71">
        <v>0.9</v>
      </c>
      <c r="BQ985" s="77">
        <f t="shared" si="132"/>
        <v>32.4</v>
      </c>
      <c r="BR985" s="77" cm="1">
        <f t="array" ref="BR985">_xll.DCEPropSectI(BF985, BH985, BG985, BI985, BG985, BI985, "rx")/10</f>
        <v>16.91131201300167</v>
      </c>
      <c r="BS985" s="77" cm="1">
        <f t="array" ref="BS985">_xll.DCEPropSectI(BF985, BH985, BG985, BI985, BG985, BI985, "ry")/10</f>
        <v>5.1070747638622018</v>
      </c>
      <c r="BT985" s="5">
        <f t="shared" si="133"/>
        <v>191.58773710218577</v>
      </c>
      <c r="BU985" s="5">
        <f t="shared" si="134"/>
        <v>634.41405301647956</v>
      </c>
      <c r="BV985" s="5">
        <f t="shared" si="135"/>
        <v>634.41405301647956</v>
      </c>
      <c r="BW985" s="71">
        <f t="shared" si="136"/>
        <v>200</v>
      </c>
      <c r="BX985" s="78" cm="1">
        <f t="array" ref="BX985">IF(BM985&gt;0,1,_xll.DCETCVN5575FactorPhi7121(BV985*SQRT($K$17/206000),"b"))</f>
        <v>1.6670876655456978E-2</v>
      </c>
      <c r="BY985" s="64">
        <f t="shared" si="137"/>
        <v>0.88770261565916508</v>
      </c>
      <c r="BZ985" s="3" t="str">
        <f t="shared" si="138"/>
        <v>Check</v>
      </c>
    </row>
    <row r="986" spans="1:78">
      <c r="A986" s="76"/>
      <c r="B986" s="76"/>
      <c r="C986" s="125"/>
      <c r="D986" s="125"/>
      <c r="E986" s="71"/>
      <c r="F986" s="71"/>
      <c r="G986" s="71"/>
      <c r="H986" s="126"/>
      <c r="I986" s="125"/>
      <c r="J986" s="123"/>
      <c r="K986" s="12"/>
      <c r="L986" s="117"/>
      <c r="M986" s="12"/>
      <c r="N986" s="117"/>
      <c r="O986" s="117"/>
      <c r="P986" s="117"/>
      <c r="Q986" s="118"/>
      <c r="R986" s="118"/>
      <c r="S986" s="118"/>
      <c r="T986" s="12"/>
      <c r="U986" s="118"/>
      <c r="V986" s="118"/>
      <c r="W986" s="12"/>
      <c r="X986" s="119"/>
      <c r="Y986" s="120"/>
      <c r="Z986" s="12"/>
      <c r="BA986" s="70" t="s">
        <v>205</v>
      </c>
      <c r="BB986" s="71" t="s">
        <v>210</v>
      </c>
      <c r="BC986" s="71" t="s">
        <v>207</v>
      </c>
      <c r="BD986" s="71">
        <v>33</v>
      </c>
      <c r="BE986" s="71">
        <v>36</v>
      </c>
      <c r="BF986" s="71">
        <v>390</v>
      </c>
      <c r="BG986" s="71">
        <v>212</v>
      </c>
      <c r="BH986" s="71">
        <v>5</v>
      </c>
      <c r="BI986" s="71">
        <v>10</v>
      </c>
      <c r="BJ986" s="12" t="str" cm="1">
        <f t="array" ref="BJ986">_xll.Dce_Name_SectI(BF986, BF986, BG986, BH986, BI986, "x", "-", $AX$11)</f>
        <v>390x212x5x10</v>
      </c>
      <c r="BK986" s="77" cm="1">
        <f t="array" ref="BK986">_xll.DCEPropSectI(BF986, BH986, BG986, BI986, BG986, BI986, "A")/100</f>
        <v>60.9</v>
      </c>
      <c r="BL986" s="70" t="s">
        <v>225</v>
      </c>
      <c r="BM986" s="70">
        <v>-18.926160780953388</v>
      </c>
      <c r="BN986" s="71">
        <v>0.9</v>
      </c>
      <c r="BO986" s="77">
        <f t="shared" si="131"/>
        <v>32.4</v>
      </c>
      <c r="BP986" s="71">
        <v>0.9</v>
      </c>
      <c r="BQ986" s="77">
        <f t="shared" si="132"/>
        <v>32.4</v>
      </c>
      <c r="BR986" s="77" cm="1">
        <f t="array" ref="BR986">_xll.DCEPropSectI(BF986, BH986, BG986, BI986, BG986, BI986, "rx")/10</f>
        <v>16.91131201300167</v>
      </c>
      <c r="BS986" s="77" cm="1">
        <f t="array" ref="BS986">_xll.DCEPropSectI(BF986, BH986, BG986, BI986, BG986, BI986, "ry")/10</f>
        <v>5.1070747638622018</v>
      </c>
      <c r="BT986" s="5">
        <f t="shared" si="133"/>
        <v>191.58773710218577</v>
      </c>
      <c r="BU986" s="5">
        <f t="shared" si="134"/>
        <v>634.41405301647956</v>
      </c>
      <c r="BV986" s="5">
        <f t="shared" si="135"/>
        <v>634.41405301647956</v>
      </c>
      <c r="BW986" s="71">
        <f t="shared" si="136"/>
        <v>200</v>
      </c>
      <c r="BX986" s="78" cm="1">
        <f t="array" ref="BX986">IF(BM986&gt;0,1,_xll.DCETCVN5575FactorPhi7121(BV986*SQRT($K$17/206000),"b"))</f>
        <v>1.6670876655456978E-2</v>
      </c>
      <c r="BY986" s="64">
        <f t="shared" si="137"/>
        <v>0.88770261565916508</v>
      </c>
      <c r="BZ986" s="3" t="str">
        <f t="shared" si="138"/>
        <v>Check</v>
      </c>
    </row>
    <row r="987" spans="1:78">
      <c r="A987" s="76"/>
      <c r="B987" s="76"/>
      <c r="C987" s="125"/>
      <c r="D987" s="125"/>
      <c r="E987" s="71"/>
      <c r="F987" s="71"/>
      <c r="G987" s="71"/>
      <c r="H987" s="126"/>
      <c r="I987" s="125"/>
      <c r="J987" s="123"/>
      <c r="K987" s="12"/>
      <c r="L987" s="117"/>
      <c r="M987" s="12"/>
      <c r="N987" s="117"/>
      <c r="O987" s="117"/>
      <c r="P987" s="117"/>
      <c r="Q987" s="118"/>
      <c r="R987" s="118"/>
      <c r="S987" s="118"/>
      <c r="T987" s="12"/>
      <c r="U987" s="118"/>
      <c r="V987" s="118"/>
      <c r="W987" s="12"/>
      <c r="X987" s="119"/>
      <c r="Y987" s="120"/>
      <c r="Z987" s="12"/>
      <c r="BA987" s="70" t="s">
        <v>205</v>
      </c>
      <c r="BB987" s="71" t="s">
        <v>210</v>
      </c>
      <c r="BC987" s="71" t="s">
        <v>207</v>
      </c>
      <c r="BD987" s="71">
        <v>33.5</v>
      </c>
      <c r="BE987" s="71">
        <v>36</v>
      </c>
      <c r="BF987" s="71">
        <v>390</v>
      </c>
      <c r="BG987" s="71">
        <v>212</v>
      </c>
      <c r="BH987" s="71">
        <v>5</v>
      </c>
      <c r="BI987" s="71">
        <v>10</v>
      </c>
      <c r="BJ987" s="12" t="str" cm="1">
        <f t="array" ref="BJ987">_xll.Dce_Name_SectI(BF987, BF987, BG987, BH987, BI987, "x", "-", $AX$11)</f>
        <v>390x212x5x10</v>
      </c>
      <c r="BK987" s="77" cm="1">
        <f t="array" ref="BK987">_xll.DCEPropSectI(BF987, BH987, BG987, BI987, BG987, BI987, "A")/100</f>
        <v>60.9</v>
      </c>
      <c r="BL987" s="70" t="s">
        <v>225</v>
      </c>
      <c r="BM987" s="70">
        <v>-18.926160780953388</v>
      </c>
      <c r="BN987" s="71">
        <v>0.9</v>
      </c>
      <c r="BO987" s="77">
        <f t="shared" si="131"/>
        <v>32.4</v>
      </c>
      <c r="BP987" s="71">
        <v>0.9</v>
      </c>
      <c r="BQ987" s="77">
        <f t="shared" si="132"/>
        <v>32.4</v>
      </c>
      <c r="BR987" s="77" cm="1">
        <f t="array" ref="BR987">_xll.DCEPropSectI(BF987, BH987, BG987, BI987, BG987, BI987, "rx")/10</f>
        <v>16.91131201300167</v>
      </c>
      <c r="BS987" s="77" cm="1">
        <f t="array" ref="BS987">_xll.DCEPropSectI(BF987, BH987, BG987, BI987, BG987, BI987, "ry")/10</f>
        <v>5.1070747638622018</v>
      </c>
      <c r="BT987" s="5">
        <f t="shared" si="133"/>
        <v>191.58773710218577</v>
      </c>
      <c r="BU987" s="5">
        <f t="shared" si="134"/>
        <v>634.41405301647956</v>
      </c>
      <c r="BV987" s="5">
        <f t="shared" si="135"/>
        <v>634.41405301647956</v>
      </c>
      <c r="BW987" s="71">
        <f t="shared" si="136"/>
        <v>200</v>
      </c>
      <c r="BX987" s="78" cm="1">
        <f t="array" ref="BX987">IF(BM987&gt;0,1,_xll.DCETCVN5575FactorPhi7121(BV987*SQRT($K$17/206000),"b"))</f>
        <v>1.6670876655456978E-2</v>
      </c>
      <c r="BY987" s="64">
        <f t="shared" si="137"/>
        <v>0.88770261565916508</v>
      </c>
      <c r="BZ987" s="3" t="str">
        <f t="shared" si="138"/>
        <v>Check</v>
      </c>
    </row>
    <row r="988" spans="1:78">
      <c r="A988" s="76"/>
      <c r="B988" s="76"/>
      <c r="C988" s="125"/>
      <c r="D988" s="125"/>
      <c r="E988" s="71"/>
      <c r="F988" s="71"/>
      <c r="G988" s="71"/>
      <c r="H988" s="126"/>
      <c r="I988" s="125"/>
      <c r="J988" s="123"/>
      <c r="K988" s="12"/>
      <c r="L988" s="117"/>
      <c r="M988" s="12"/>
      <c r="N988" s="117"/>
      <c r="O988" s="117"/>
      <c r="P988" s="117"/>
      <c r="Q988" s="118"/>
      <c r="R988" s="118"/>
      <c r="S988" s="118"/>
      <c r="T988" s="12"/>
      <c r="U988" s="118"/>
      <c r="V988" s="118"/>
      <c r="W988" s="12"/>
      <c r="X988" s="119"/>
      <c r="Y988" s="120"/>
      <c r="Z988" s="12"/>
      <c r="BA988" s="70" t="s">
        <v>205</v>
      </c>
      <c r="BB988" s="71" t="s">
        <v>210</v>
      </c>
      <c r="BC988" s="71" t="s">
        <v>207</v>
      </c>
      <c r="BD988" s="71">
        <v>34</v>
      </c>
      <c r="BE988" s="71">
        <v>36</v>
      </c>
      <c r="BF988" s="71">
        <v>390</v>
      </c>
      <c r="BG988" s="71">
        <v>212</v>
      </c>
      <c r="BH988" s="71">
        <v>5</v>
      </c>
      <c r="BI988" s="71">
        <v>10</v>
      </c>
      <c r="BJ988" s="12" t="str" cm="1">
        <f t="array" ref="BJ988">_xll.Dce_Name_SectI(BF988, BF988, BG988, BH988, BI988, "x", "-", $AX$11)</f>
        <v>390x212x5x10</v>
      </c>
      <c r="BK988" s="77" cm="1">
        <f t="array" ref="BK988">_xll.DCEPropSectI(BF988, BH988, BG988, BI988, BG988, BI988, "A")/100</f>
        <v>60.9</v>
      </c>
      <c r="BL988" s="70" t="s">
        <v>225</v>
      </c>
      <c r="BM988" s="70">
        <v>-18.926160780953388</v>
      </c>
      <c r="BN988" s="71">
        <v>0.9</v>
      </c>
      <c r="BO988" s="77">
        <f t="shared" si="131"/>
        <v>32.4</v>
      </c>
      <c r="BP988" s="71">
        <v>0.9</v>
      </c>
      <c r="BQ988" s="77">
        <f t="shared" si="132"/>
        <v>32.4</v>
      </c>
      <c r="BR988" s="77" cm="1">
        <f t="array" ref="BR988">_xll.DCEPropSectI(BF988, BH988, BG988, BI988, BG988, BI988, "rx")/10</f>
        <v>16.91131201300167</v>
      </c>
      <c r="BS988" s="77" cm="1">
        <f t="array" ref="BS988">_xll.DCEPropSectI(BF988, BH988, BG988, BI988, BG988, BI988, "ry")/10</f>
        <v>5.1070747638622018</v>
      </c>
      <c r="BT988" s="5">
        <f t="shared" si="133"/>
        <v>191.58773710218577</v>
      </c>
      <c r="BU988" s="5">
        <f t="shared" si="134"/>
        <v>634.41405301647956</v>
      </c>
      <c r="BV988" s="5">
        <f t="shared" si="135"/>
        <v>634.41405301647956</v>
      </c>
      <c r="BW988" s="71">
        <f t="shared" si="136"/>
        <v>200</v>
      </c>
      <c r="BX988" s="78" cm="1">
        <f t="array" ref="BX988">IF(BM988&gt;0,1,_xll.DCETCVN5575FactorPhi7121(BV988*SQRT($K$17/206000),"b"))</f>
        <v>1.6670876655456978E-2</v>
      </c>
      <c r="BY988" s="64">
        <f t="shared" si="137"/>
        <v>0.88770261565916508</v>
      </c>
      <c r="BZ988" s="3" t="str">
        <f t="shared" si="138"/>
        <v>Check</v>
      </c>
    </row>
    <row r="989" spans="1:78">
      <c r="A989" s="76"/>
      <c r="B989" s="76"/>
      <c r="C989" s="125"/>
      <c r="D989" s="125"/>
      <c r="E989" s="71"/>
      <c r="F989" s="71"/>
      <c r="G989" s="71"/>
      <c r="H989" s="126"/>
      <c r="I989" s="125"/>
      <c r="J989" s="123"/>
      <c r="K989" s="12"/>
      <c r="L989" s="117"/>
      <c r="M989" s="12"/>
      <c r="N989" s="117"/>
      <c r="O989" s="117"/>
      <c r="P989" s="117"/>
      <c r="Q989" s="118"/>
      <c r="R989" s="118"/>
      <c r="S989" s="118"/>
      <c r="T989" s="12"/>
      <c r="U989" s="118"/>
      <c r="V989" s="118"/>
      <c r="W989" s="12"/>
      <c r="X989" s="119"/>
      <c r="Y989" s="120"/>
      <c r="Z989" s="12"/>
      <c r="BA989" s="70" t="s">
        <v>205</v>
      </c>
      <c r="BB989" s="71" t="s">
        <v>210</v>
      </c>
      <c r="BC989" s="71" t="s">
        <v>207</v>
      </c>
      <c r="BD989" s="71">
        <v>34.5</v>
      </c>
      <c r="BE989" s="71">
        <v>36</v>
      </c>
      <c r="BF989" s="71">
        <v>390</v>
      </c>
      <c r="BG989" s="71">
        <v>212</v>
      </c>
      <c r="BH989" s="71">
        <v>5</v>
      </c>
      <c r="BI989" s="71">
        <v>10</v>
      </c>
      <c r="BJ989" s="12" t="str" cm="1">
        <f t="array" ref="BJ989">_xll.Dce_Name_SectI(BF989, BF989, BG989, BH989, BI989, "x", "-", $AX$11)</f>
        <v>390x212x5x10</v>
      </c>
      <c r="BK989" s="77" cm="1">
        <f t="array" ref="BK989">_xll.DCEPropSectI(BF989, BH989, BG989, BI989, BG989, BI989, "A")/100</f>
        <v>60.9</v>
      </c>
      <c r="BL989" s="70" t="s">
        <v>225</v>
      </c>
      <c r="BM989" s="70">
        <v>-18.926160780953388</v>
      </c>
      <c r="BN989" s="71">
        <v>0.9</v>
      </c>
      <c r="BO989" s="77">
        <f t="shared" si="131"/>
        <v>32.4</v>
      </c>
      <c r="BP989" s="71">
        <v>0.9</v>
      </c>
      <c r="BQ989" s="77">
        <f t="shared" si="132"/>
        <v>32.4</v>
      </c>
      <c r="BR989" s="77" cm="1">
        <f t="array" ref="BR989">_xll.DCEPropSectI(BF989, BH989, BG989, BI989, BG989, BI989, "rx")/10</f>
        <v>16.91131201300167</v>
      </c>
      <c r="BS989" s="77" cm="1">
        <f t="array" ref="BS989">_xll.DCEPropSectI(BF989, BH989, BG989, BI989, BG989, BI989, "ry")/10</f>
        <v>5.1070747638622018</v>
      </c>
      <c r="BT989" s="5">
        <f t="shared" si="133"/>
        <v>191.58773710218577</v>
      </c>
      <c r="BU989" s="5">
        <f t="shared" si="134"/>
        <v>634.41405301647956</v>
      </c>
      <c r="BV989" s="5">
        <f t="shared" si="135"/>
        <v>634.41405301647956</v>
      </c>
      <c r="BW989" s="71">
        <f t="shared" si="136"/>
        <v>200</v>
      </c>
      <c r="BX989" s="78" cm="1">
        <f t="array" ref="BX989">IF(BM989&gt;0,1,_xll.DCETCVN5575FactorPhi7121(BV989*SQRT($K$17/206000),"b"))</f>
        <v>1.6670876655456978E-2</v>
      </c>
      <c r="BY989" s="64">
        <f t="shared" si="137"/>
        <v>0.88770261565916508</v>
      </c>
      <c r="BZ989" s="3" t="str">
        <f t="shared" si="138"/>
        <v>Check</v>
      </c>
    </row>
    <row r="990" spans="1:78">
      <c r="A990" s="76"/>
      <c r="B990" s="76"/>
      <c r="C990" s="125"/>
      <c r="D990" s="125"/>
      <c r="E990" s="71"/>
      <c r="F990" s="71"/>
      <c r="G990" s="71"/>
      <c r="H990" s="126"/>
      <c r="I990" s="125"/>
      <c r="J990" s="123"/>
      <c r="K990" s="12"/>
      <c r="L990" s="117"/>
      <c r="M990" s="12"/>
      <c r="N990" s="117"/>
      <c r="O990" s="117"/>
      <c r="P990" s="117"/>
      <c r="Q990" s="118"/>
      <c r="R990" s="118"/>
      <c r="S990" s="118"/>
      <c r="T990" s="12"/>
      <c r="U990" s="118"/>
      <c r="V990" s="118"/>
      <c r="W990" s="12"/>
      <c r="X990" s="119"/>
      <c r="Y990" s="120"/>
      <c r="Z990" s="12"/>
      <c r="BA990" s="70" t="s">
        <v>205</v>
      </c>
      <c r="BB990" s="71" t="s">
        <v>210</v>
      </c>
      <c r="BC990" s="71" t="s">
        <v>207</v>
      </c>
      <c r="BD990" s="71">
        <v>35</v>
      </c>
      <c r="BE990" s="71">
        <v>36</v>
      </c>
      <c r="BF990" s="71">
        <v>390</v>
      </c>
      <c r="BG990" s="71">
        <v>212</v>
      </c>
      <c r="BH990" s="71">
        <v>5</v>
      </c>
      <c r="BI990" s="71">
        <v>10</v>
      </c>
      <c r="BJ990" s="12" t="str" cm="1">
        <f t="array" ref="BJ990">_xll.Dce_Name_SectI(BF990, BF990, BG990, BH990, BI990, "x", "-", $AX$11)</f>
        <v>390x212x5x10</v>
      </c>
      <c r="BK990" s="77" cm="1">
        <f t="array" ref="BK990">_xll.DCEPropSectI(BF990, BH990, BG990, BI990, BG990, BI990, "A")/100</f>
        <v>60.9</v>
      </c>
      <c r="BL990" s="70" t="s">
        <v>225</v>
      </c>
      <c r="BM990" s="70">
        <v>-18.926160780953388</v>
      </c>
      <c r="BN990" s="71">
        <v>0.9</v>
      </c>
      <c r="BO990" s="77">
        <f t="shared" si="131"/>
        <v>32.4</v>
      </c>
      <c r="BP990" s="71">
        <v>0.9</v>
      </c>
      <c r="BQ990" s="77">
        <f t="shared" si="132"/>
        <v>32.4</v>
      </c>
      <c r="BR990" s="77" cm="1">
        <f t="array" ref="BR990">_xll.DCEPropSectI(BF990, BH990, BG990, BI990, BG990, BI990, "rx")/10</f>
        <v>16.91131201300167</v>
      </c>
      <c r="BS990" s="77" cm="1">
        <f t="array" ref="BS990">_xll.DCEPropSectI(BF990, BH990, BG990, BI990, BG990, BI990, "ry")/10</f>
        <v>5.1070747638622018</v>
      </c>
      <c r="BT990" s="5">
        <f t="shared" si="133"/>
        <v>191.58773710218577</v>
      </c>
      <c r="BU990" s="5">
        <f t="shared" si="134"/>
        <v>634.41405301647956</v>
      </c>
      <c r="BV990" s="5">
        <f t="shared" si="135"/>
        <v>634.41405301647956</v>
      </c>
      <c r="BW990" s="71">
        <f t="shared" si="136"/>
        <v>200</v>
      </c>
      <c r="BX990" s="78" cm="1">
        <f t="array" ref="BX990">IF(BM990&gt;0,1,_xll.DCETCVN5575FactorPhi7121(BV990*SQRT($K$17/206000),"b"))</f>
        <v>1.6670876655456978E-2</v>
      </c>
      <c r="BY990" s="64">
        <f t="shared" si="137"/>
        <v>0.88770261565916508</v>
      </c>
      <c r="BZ990" s="3" t="str">
        <f t="shared" si="138"/>
        <v>Check</v>
      </c>
    </row>
    <row r="991" spans="1:78">
      <c r="A991" s="76"/>
      <c r="B991" s="76"/>
      <c r="C991" s="125"/>
      <c r="D991" s="125"/>
      <c r="E991" s="71"/>
      <c r="F991" s="71"/>
      <c r="G991" s="71"/>
      <c r="H991" s="126"/>
      <c r="I991" s="125"/>
      <c r="J991" s="123"/>
      <c r="K991" s="12"/>
      <c r="L991" s="117"/>
      <c r="M991" s="12"/>
      <c r="N991" s="117"/>
      <c r="O991" s="117"/>
      <c r="P991" s="117"/>
      <c r="Q991" s="118"/>
      <c r="R991" s="118"/>
      <c r="S991" s="118"/>
      <c r="T991" s="12"/>
      <c r="U991" s="118"/>
      <c r="V991" s="118"/>
      <c r="W991" s="12"/>
      <c r="X991" s="119"/>
      <c r="Y991" s="120"/>
      <c r="Z991" s="12"/>
      <c r="BA991" s="70" t="s">
        <v>205</v>
      </c>
      <c r="BB991" s="71" t="s">
        <v>210</v>
      </c>
      <c r="BC991" s="71" t="s">
        <v>207</v>
      </c>
      <c r="BD991" s="71">
        <v>35.5</v>
      </c>
      <c r="BE991" s="71">
        <v>36</v>
      </c>
      <c r="BF991" s="71">
        <v>390</v>
      </c>
      <c r="BG991" s="71">
        <v>212</v>
      </c>
      <c r="BH991" s="71">
        <v>5</v>
      </c>
      <c r="BI991" s="71">
        <v>10</v>
      </c>
      <c r="BJ991" s="12" t="str" cm="1">
        <f t="array" ref="BJ991">_xll.Dce_Name_SectI(BF991, BF991, BG991, BH991, BI991, "x", "-", $AX$11)</f>
        <v>390x212x5x10</v>
      </c>
      <c r="BK991" s="77" cm="1">
        <f t="array" ref="BK991">_xll.DCEPropSectI(BF991, BH991, BG991, BI991, BG991, BI991, "A")/100</f>
        <v>60.9</v>
      </c>
      <c r="BL991" s="70" t="s">
        <v>225</v>
      </c>
      <c r="BM991" s="70">
        <v>-18.926160780953388</v>
      </c>
      <c r="BN991" s="71">
        <v>0.9</v>
      </c>
      <c r="BO991" s="77">
        <f t="shared" si="131"/>
        <v>32.4</v>
      </c>
      <c r="BP991" s="71">
        <v>0.9</v>
      </c>
      <c r="BQ991" s="77">
        <f t="shared" si="132"/>
        <v>32.4</v>
      </c>
      <c r="BR991" s="77" cm="1">
        <f t="array" ref="BR991">_xll.DCEPropSectI(BF991, BH991, BG991, BI991, BG991, BI991, "rx")/10</f>
        <v>16.91131201300167</v>
      </c>
      <c r="BS991" s="77" cm="1">
        <f t="array" ref="BS991">_xll.DCEPropSectI(BF991, BH991, BG991, BI991, BG991, BI991, "ry")/10</f>
        <v>5.1070747638622018</v>
      </c>
      <c r="BT991" s="5">
        <f t="shared" si="133"/>
        <v>191.58773710218577</v>
      </c>
      <c r="BU991" s="5">
        <f t="shared" si="134"/>
        <v>634.41405301647956</v>
      </c>
      <c r="BV991" s="5">
        <f t="shared" si="135"/>
        <v>634.41405301647956</v>
      </c>
      <c r="BW991" s="71">
        <f t="shared" si="136"/>
        <v>200</v>
      </c>
      <c r="BX991" s="78" cm="1">
        <f t="array" ref="BX991">IF(BM991&gt;0,1,_xll.DCETCVN5575FactorPhi7121(BV991*SQRT($K$17/206000),"b"))</f>
        <v>1.6670876655456978E-2</v>
      </c>
      <c r="BY991" s="64">
        <f t="shared" si="137"/>
        <v>0.88770261565916508</v>
      </c>
      <c r="BZ991" s="3" t="str">
        <f t="shared" si="138"/>
        <v>Check</v>
      </c>
    </row>
    <row r="992" spans="1:78">
      <c r="A992" s="76"/>
      <c r="B992" s="76"/>
      <c r="C992" s="125"/>
      <c r="D992" s="125"/>
      <c r="E992" s="71"/>
      <c r="F992" s="71"/>
      <c r="G992" s="71"/>
      <c r="H992" s="126"/>
      <c r="I992" s="125"/>
      <c r="J992" s="123"/>
      <c r="K992" s="12"/>
      <c r="L992" s="117"/>
      <c r="M992" s="12"/>
      <c r="N992" s="117"/>
      <c r="O992" s="117"/>
      <c r="P992" s="117"/>
      <c r="Q992" s="118"/>
      <c r="R992" s="118"/>
      <c r="S992" s="118"/>
      <c r="T992" s="12"/>
      <c r="U992" s="118"/>
      <c r="V992" s="118"/>
      <c r="W992" s="12"/>
      <c r="X992" s="119"/>
      <c r="Y992" s="120"/>
      <c r="Z992" s="12"/>
      <c r="BA992" s="70" t="s">
        <v>205</v>
      </c>
      <c r="BB992" s="71" t="s">
        <v>210</v>
      </c>
      <c r="BC992" s="71" t="s">
        <v>207</v>
      </c>
      <c r="BD992" s="71">
        <v>36</v>
      </c>
      <c r="BE992" s="71">
        <v>36</v>
      </c>
      <c r="BF992" s="71">
        <v>390</v>
      </c>
      <c r="BG992" s="71">
        <v>212</v>
      </c>
      <c r="BH992" s="71">
        <v>5</v>
      </c>
      <c r="BI992" s="71">
        <v>10</v>
      </c>
      <c r="BJ992" s="12" t="str" cm="1">
        <f t="array" ref="BJ992">_xll.Dce_Name_SectI(BF992, BF992, BG992, BH992, BI992, "x", "-", $AX$11)</f>
        <v>390x212x5x10</v>
      </c>
      <c r="BK992" s="77" cm="1">
        <f t="array" ref="BK992">_xll.DCEPropSectI(BF992, BH992, BG992, BI992, BG992, BI992, "A")/100</f>
        <v>60.9</v>
      </c>
      <c r="BL992" s="70" t="s">
        <v>225</v>
      </c>
      <c r="BM992" s="70">
        <v>-18.926160780953388</v>
      </c>
      <c r="BN992" s="71">
        <v>0.9</v>
      </c>
      <c r="BO992" s="77">
        <f t="shared" si="131"/>
        <v>32.4</v>
      </c>
      <c r="BP992" s="71">
        <v>0.9</v>
      </c>
      <c r="BQ992" s="77">
        <f t="shared" si="132"/>
        <v>32.4</v>
      </c>
      <c r="BR992" s="77" cm="1">
        <f t="array" ref="BR992">_xll.DCEPropSectI(BF992, BH992, BG992, BI992, BG992, BI992, "rx")/10</f>
        <v>16.91131201300167</v>
      </c>
      <c r="BS992" s="77" cm="1">
        <f t="array" ref="BS992">_xll.DCEPropSectI(BF992, BH992, BG992, BI992, BG992, BI992, "ry")/10</f>
        <v>5.1070747638622018</v>
      </c>
      <c r="BT992" s="5">
        <f t="shared" si="133"/>
        <v>191.58773710218577</v>
      </c>
      <c r="BU992" s="5">
        <f t="shared" si="134"/>
        <v>634.41405301647956</v>
      </c>
      <c r="BV992" s="5">
        <f t="shared" si="135"/>
        <v>634.41405301647956</v>
      </c>
      <c r="BW992" s="71">
        <f t="shared" si="136"/>
        <v>200</v>
      </c>
      <c r="BX992" s="78" cm="1">
        <f t="array" ref="BX992">IF(BM992&gt;0,1,_xll.DCETCVN5575FactorPhi7121(BV992*SQRT($K$17/206000),"b"))</f>
        <v>1.6670876655456978E-2</v>
      </c>
      <c r="BY992" s="64">
        <f t="shared" si="137"/>
        <v>0.88770261565916508</v>
      </c>
      <c r="BZ992" s="3" t="str">
        <f t="shared" si="138"/>
        <v>Check</v>
      </c>
    </row>
    <row r="993" spans="1:78">
      <c r="A993" s="76"/>
      <c r="B993" s="76"/>
      <c r="C993" s="125"/>
      <c r="D993" s="125"/>
      <c r="E993" s="71"/>
      <c r="F993" s="71"/>
      <c r="G993" s="71"/>
      <c r="H993" s="126"/>
      <c r="I993" s="125"/>
      <c r="J993" s="123"/>
      <c r="K993" s="12"/>
      <c r="L993" s="117"/>
      <c r="M993" s="12"/>
      <c r="N993" s="117"/>
      <c r="O993" s="117"/>
      <c r="P993" s="117"/>
      <c r="Q993" s="118"/>
      <c r="R993" s="118"/>
      <c r="S993" s="118"/>
      <c r="T993" s="12"/>
      <c r="U993" s="118"/>
      <c r="V993" s="118"/>
      <c r="W993" s="12"/>
      <c r="X993" s="119"/>
      <c r="Y993" s="120"/>
      <c r="Z993" s="12"/>
      <c r="BA993" s="70" t="s">
        <v>205</v>
      </c>
      <c r="BB993" s="71" t="s">
        <v>210</v>
      </c>
      <c r="BC993" s="71" t="s">
        <v>207</v>
      </c>
      <c r="BD993" s="71">
        <v>0</v>
      </c>
      <c r="BE993" s="71">
        <v>36</v>
      </c>
      <c r="BF993" s="71">
        <v>390</v>
      </c>
      <c r="BG993" s="71">
        <v>212</v>
      </c>
      <c r="BH993" s="71">
        <v>5</v>
      </c>
      <c r="BI993" s="71">
        <v>10</v>
      </c>
      <c r="BJ993" s="12" t="str" cm="1">
        <f t="array" ref="BJ993">_xll.Dce_Name_SectI(BF993, BF993, BG993, BH993, BI993, "x", "-", $AX$11)</f>
        <v>390x212x5x10</v>
      </c>
      <c r="BK993" s="77" cm="1">
        <f t="array" ref="BK993">_xll.DCEPropSectI(BF993, BH993, BG993, BI993, BG993, BI993, "A")/100</f>
        <v>60.9</v>
      </c>
      <c r="BL993" s="70" t="s">
        <v>226</v>
      </c>
      <c r="BM993" s="70">
        <v>-59.671621466823943</v>
      </c>
      <c r="BN993" s="71">
        <v>0.9</v>
      </c>
      <c r="BO993" s="77">
        <f t="shared" si="131"/>
        <v>32.4</v>
      </c>
      <c r="BP993" s="71">
        <v>0.9</v>
      </c>
      <c r="BQ993" s="77">
        <f t="shared" si="132"/>
        <v>32.4</v>
      </c>
      <c r="BR993" s="77" cm="1">
        <f t="array" ref="BR993">_xll.DCEPropSectI(BF993, BH993, BG993, BI993, BG993, BI993, "rx")/10</f>
        <v>16.91131201300167</v>
      </c>
      <c r="BS993" s="77" cm="1">
        <f t="array" ref="BS993">_xll.DCEPropSectI(BF993, BH993, BG993, BI993, BG993, BI993, "ry")/10</f>
        <v>5.1070747638622018</v>
      </c>
      <c r="BT993" s="5">
        <f t="shared" si="133"/>
        <v>191.58773710218577</v>
      </c>
      <c r="BU993" s="5">
        <f t="shared" si="134"/>
        <v>634.41405301647956</v>
      </c>
      <c r="BV993" s="5">
        <f t="shared" si="135"/>
        <v>634.41405301647956</v>
      </c>
      <c r="BW993" s="71">
        <f t="shared" si="136"/>
        <v>200</v>
      </c>
      <c r="BX993" s="78" cm="1">
        <f t="array" ref="BX993">IF(BM993&gt;0,1,_xll.DCETCVN5575FactorPhi7121(BV993*SQRT($K$17/206000),"b"))</f>
        <v>1.6670876655456978E-2</v>
      </c>
      <c r="BY993" s="64">
        <f t="shared" si="137"/>
        <v>2.7988061112759315</v>
      </c>
      <c r="BZ993" s="3" t="str">
        <f t="shared" si="138"/>
        <v>Check</v>
      </c>
    </row>
    <row r="994" spans="1:78">
      <c r="A994" s="76"/>
      <c r="B994" s="76"/>
      <c r="C994" s="125"/>
      <c r="D994" s="125"/>
      <c r="E994" s="71"/>
      <c r="F994" s="71"/>
      <c r="G994" s="71"/>
      <c r="H994" s="126"/>
      <c r="I994" s="125"/>
      <c r="J994" s="123"/>
      <c r="K994" s="12"/>
      <c r="L994" s="117"/>
      <c r="M994" s="12"/>
      <c r="N994" s="117"/>
      <c r="O994" s="117"/>
      <c r="P994" s="117"/>
      <c r="Q994" s="118"/>
      <c r="R994" s="118"/>
      <c r="S994" s="118"/>
      <c r="T994" s="12"/>
      <c r="U994" s="118"/>
      <c r="V994" s="118"/>
      <c r="W994" s="12"/>
      <c r="X994" s="119"/>
      <c r="Y994" s="120"/>
      <c r="Z994" s="12"/>
      <c r="BA994" s="70" t="s">
        <v>205</v>
      </c>
      <c r="BB994" s="71" t="s">
        <v>210</v>
      </c>
      <c r="BC994" s="71" t="s">
        <v>207</v>
      </c>
      <c r="BD994" s="71">
        <v>0.3</v>
      </c>
      <c r="BE994" s="71">
        <v>36</v>
      </c>
      <c r="BF994" s="71">
        <v>390</v>
      </c>
      <c r="BG994" s="71">
        <v>212</v>
      </c>
      <c r="BH994" s="71">
        <v>5</v>
      </c>
      <c r="BI994" s="71">
        <v>10</v>
      </c>
      <c r="BJ994" s="12" t="str" cm="1">
        <f t="array" ref="BJ994">_xll.Dce_Name_SectI(BF994, BF994, BG994, BH994, BI994, "x", "-", $AX$11)</f>
        <v>390x212x5x10</v>
      </c>
      <c r="BK994" s="77" cm="1">
        <f t="array" ref="BK994">_xll.DCEPropSectI(BF994, BH994, BG994, BI994, BG994, BI994, "A")/100</f>
        <v>60.9</v>
      </c>
      <c r="BL994" s="70" t="s">
        <v>226</v>
      </c>
      <c r="BM994" s="70">
        <v>-59.671621466823943</v>
      </c>
      <c r="BN994" s="71">
        <v>0.9</v>
      </c>
      <c r="BO994" s="77">
        <f t="shared" si="131"/>
        <v>32.4</v>
      </c>
      <c r="BP994" s="71">
        <v>0.9</v>
      </c>
      <c r="BQ994" s="77">
        <f t="shared" si="132"/>
        <v>32.4</v>
      </c>
      <c r="BR994" s="77" cm="1">
        <f t="array" ref="BR994">_xll.DCEPropSectI(BF994, BH994, BG994, BI994, BG994, BI994, "rx")/10</f>
        <v>16.91131201300167</v>
      </c>
      <c r="BS994" s="77" cm="1">
        <f t="array" ref="BS994">_xll.DCEPropSectI(BF994, BH994, BG994, BI994, BG994, BI994, "ry")/10</f>
        <v>5.1070747638622018</v>
      </c>
      <c r="BT994" s="5">
        <f t="shared" si="133"/>
        <v>191.58773710218577</v>
      </c>
      <c r="BU994" s="5">
        <f t="shared" si="134"/>
        <v>634.41405301647956</v>
      </c>
      <c r="BV994" s="5">
        <f t="shared" si="135"/>
        <v>634.41405301647956</v>
      </c>
      <c r="BW994" s="71">
        <f t="shared" si="136"/>
        <v>200</v>
      </c>
      <c r="BX994" s="78" cm="1">
        <f t="array" ref="BX994">IF(BM994&gt;0,1,_xll.DCETCVN5575FactorPhi7121(BV994*SQRT($K$17/206000),"b"))</f>
        <v>1.6670876655456978E-2</v>
      </c>
      <c r="BY994" s="64">
        <f t="shared" si="137"/>
        <v>2.7988061112759315</v>
      </c>
      <c r="BZ994" s="3" t="str">
        <f t="shared" si="138"/>
        <v>Check</v>
      </c>
    </row>
    <row r="995" spans="1:78">
      <c r="A995" s="76"/>
      <c r="B995" s="76"/>
      <c r="C995" s="125"/>
      <c r="D995" s="125"/>
      <c r="E995" s="71"/>
      <c r="F995" s="71"/>
      <c r="G995" s="71"/>
      <c r="H995" s="126"/>
      <c r="I995" s="125"/>
      <c r="J995" s="123"/>
      <c r="K995" s="12"/>
      <c r="L995" s="117"/>
      <c r="M995" s="12"/>
      <c r="N995" s="117"/>
      <c r="O995" s="117"/>
      <c r="P995" s="117"/>
      <c r="Q995" s="118"/>
      <c r="R995" s="118"/>
      <c r="S995" s="118"/>
      <c r="T995" s="12"/>
      <c r="U995" s="118"/>
      <c r="V995" s="118"/>
      <c r="W995" s="12"/>
      <c r="X995" s="119"/>
      <c r="Y995" s="120"/>
      <c r="Z995" s="12"/>
      <c r="BA995" s="70" t="s">
        <v>205</v>
      </c>
      <c r="BB995" s="71" t="s">
        <v>210</v>
      </c>
      <c r="BC995" s="71" t="s">
        <v>207</v>
      </c>
      <c r="BD995" s="71">
        <v>0.6</v>
      </c>
      <c r="BE995" s="71">
        <v>36</v>
      </c>
      <c r="BF995" s="71">
        <v>390</v>
      </c>
      <c r="BG995" s="71">
        <v>212</v>
      </c>
      <c r="BH995" s="71">
        <v>5</v>
      </c>
      <c r="BI995" s="71">
        <v>10</v>
      </c>
      <c r="BJ995" s="12" t="str" cm="1">
        <f t="array" ref="BJ995">_xll.Dce_Name_SectI(BF995, BF995, BG995, BH995, BI995, "x", "-", $AX$11)</f>
        <v>390x212x5x10</v>
      </c>
      <c r="BK995" s="77" cm="1">
        <f t="array" ref="BK995">_xll.DCEPropSectI(BF995, BH995, BG995, BI995, BG995, BI995, "A")/100</f>
        <v>60.9</v>
      </c>
      <c r="BL995" s="70" t="s">
        <v>226</v>
      </c>
      <c r="BM995" s="70">
        <v>-59.671621466823943</v>
      </c>
      <c r="BN995" s="71">
        <v>0.9</v>
      </c>
      <c r="BO995" s="77">
        <f t="shared" si="131"/>
        <v>32.4</v>
      </c>
      <c r="BP995" s="71">
        <v>0.9</v>
      </c>
      <c r="BQ995" s="77">
        <f t="shared" si="132"/>
        <v>32.4</v>
      </c>
      <c r="BR995" s="77" cm="1">
        <f t="array" ref="BR995">_xll.DCEPropSectI(BF995, BH995, BG995, BI995, BG995, BI995, "rx")/10</f>
        <v>16.91131201300167</v>
      </c>
      <c r="BS995" s="77" cm="1">
        <f t="array" ref="BS995">_xll.DCEPropSectI(BF995, BH995, BG995, BI995, BG995, BI995, "ry")/10</f>
        <v>5.1070747638622018</v>
      </c>
      <c r="BT995" s="5">
        <f t="shared" si="133"/>
        <v>191.58773710218577</v>
      </c>
      <c r="BU995" s="5">
        <f t="shared" si="134"/>
        <v>634.41405301647956</v>
      </c>
      <c r="BV995" s="5">
        <f t="shared" si="135"/>
        <v>634.41405301647956</v>
      </c>
      <c r="BW995" s="71">
        <f t="shared" si="136"/>
        <v>200</v>
      </c>
      <c r="BX995" s="78" cm="1">
        <f t="array" ref="BX995">IF(BM995&gt;0,1,_xll.DCETCVN5575FactorPhi7121(BV995*SQRT($K$17/206000),"b"))</f>
        <v>1.6670876655456978E-2</v>
      </c>
      <c r="BY995" s="64">
        <f t="shared" si="137"/>
        <v>2.7988061112759315</v>
      </c>
      <c r="BZ995" s="3" t="str">
        <f t="shared" si="138"/>
        <v>Check</v>
      </c>
    </row>
    <row r="996" spans="1:78">
      <c r="A996" s="76"/>
      <c r="B996" s="76"/>
      <c r="C996" s="125"/>
      <c r="D996" s="125"/>
      <c r="E996" s="71"/>
      <c r="F996" s="71"/>
      <c r="G996" s="71"/>
      <c r="H996" s="126"/>
      <c r="I996" s="125"/>
      <c r="J996" s="123"/>
      <c r="K996" s="12"/>
      <c r="L996" s="117"/>
      <c r="M996" s="12"/>
      <c r="N996" s="117"/>
      <c r="O996" s="117"/>
      <c r="P996" s="117"/>
      <c r="Q996" s="118"/>
      <c r="R996" s="118"/>
      <c r="S996" s="118"/>
      <c r="T996" s="12"/>
      <c r="U996" s="118"/>
      <c r="V996" s="118"/>
      <c r="W996" s="12"/>
      <c r="X996" s="119"/>
      <c r="Y996" s="120"/>
      <c r="Z996" s="12"/>
      <c r="BA996" s="70" t="s">
        <v>205</v>
      </c>
      <c r="BB996" s="71" t="s">
        <v>210</v>
      </c>
      <c r="BC996" s="71" t="s">
        <v>207</v>
      </c>
      <c r="BD996" s="71">
        <v>0.6</v>
      </c>
      <c r="BE996" s="71">
        <v>36</v>
      </c>
      <c r="BF996" s="71">
        <v>390</v>
      </c>
      <c r="BG996" s="71">
        <v>212</v>
      </c>
      <c r="BH996" s="71">
        <v>5</v>
      </c>
      <c r="BI996" s="71">
        <v>10</v>
      </c>
      <c r="BJ996" s="12" t="str" cm="1">
        <f t="array" ref="BJ996">_xll.Dce_Name_SectI(BF996, BF996, BG996, BH996, BI996, "x", "-", $AX$11)</f>
        <v>390x212x5x10</v>
      </c>
      <c r="BK996" s="77" cm="1">
        <f t="array" ref="BK996">_xll.DCEPropSectI(BF996, BH996, BG996, BI996, BG996, BI996, "A")/100</f>
        <v>60.9</v>
      </c>
      <c r="BL996" s="70" t="s">
        <v>226</v>
      </c>
      <c r="BM996" s="70">
        <v>-61.423522120528048</v>
      </c>
      <c r="BN996" s="71">
        <v>0.9</v>
      </c>
      <c r="BO996" s="77">
        <f t="shared" si="131"/>
        <v>32.4</v>
      </c>
      <c r="BP996" s="71">
        <v>0.9</v>
      </c>
      <c r="BQ996" s="77">
        <f t="shared" si="132"/>
        <v>32.4</v>
      </c>
      <c r="BR996" s="77" cm="1">
        <f t="array" ref="BR996">_xll.DCEPropSectI(BF996, BH996, BG996, BI996, BG996, BI996, "rx")/10</f>
        <v>16.91131201300167</v>
      </c>
      <c r="BS996" s="77" cm="1">
        <f t="array" ref="BS996">_xll.DCEPropSectI(BF996, BH996, BG996, BI996, BG996, BI996, "ry")/10</f>
        <v>5.1070747638622018</v>
      </c>
      <c r="BT996" s="5">
        <f t="shared" si="133"/>
        <v>191.58773710218577</v>
      </c>
      <c r="BU996" s="5">
        <f t="shared" si="134"/>
        <v>634.41405301647956</v>
      </c>
      <c r="BV996" s="5">
        <f t="shared" si="135"/>
        <v>634.41405301647956</v>
      </c>
      <c r="BW996" s="71">
        <f t="shared" si="136"/>
        <v>200</v>
      </c>
      <c r="BX996" s="78" cm="1">
        <f t="array" ref="BX996">IF(BM996&gt;0,1,_xll.DCETCVN5575FactorPhi7121(BV996*SQRT($K$17/206000),"b"))</f>
        <v>1.6670876655456978E-2</v>
      </c>
      <c r="BY996" s="64">
        <f t="shared" si="137"/>
        <v>2.8809763311460488</v>
      </c>
      <c r="BZ996" s="3" t="str">
        <f t="shared" si="138"/>
        <v>Check</v>
      </c>
    </row>
    <row r="997" spans="1:78">
      <c r="A997" s="76"/>
      <c r="B997" s="76"/>
      <c r="C997" s="125"/>
      <c r="D997" s="125"/>
      <c r="E997" s="71"/>
      <c r="F997" s="71"/>
      <c r="G997" s="71"/>
      <c r="H997" s="126"/>
      <c r="I997" s="125"/>
      <c r="J997" s="123"/>
      <c r="K997" s="12"/>
      <c r="L997" s="117"/>
      <c r="M997" s="12"/>
      <c r="N997" s="117"/>
      <c r="O997" s="117"/>
      <c r="P997" s="117"/>
      <c r="Q997" s="118"/>
      <c r="R997" s="118"/>
      <c r="S997" s="118"/>
      <c r="T997" s="12"/>
      <c r="U997" s="118"/>
      <c r="V997" s="118"/>
      <c r="W997" s="12"/>
      <c r="X997" s="119"/>
      <c r="Y997" s="120"/>
      <c r="Z997" s="12"/>
      <c r="BA997" s="70" t="s">
        <v>205</v>
      </c>
      <c r="BB997" s="71" t="s">
        <v>210</v>
      </c>
      <c r="BC997" s="71" t="s">
        <v>207</v>
      </c>
      <c r="BD997" s="71">
        <v>1.0900000000000001</v>
      </c>
      <c r="BE997" s="71">
        <v>36</v>
      </c>
      <c r="BF997" s="71">
        <v>390</v>
      </c>
      <c r="BG997" s="71">
        <v>212</v>
      </c>
      <c r="BH997" s="71">
        <v>5</v>
      </c>
      <c r="BI997" s="71">
        <v>10</v>
      </c>
      <c r="BJ997" s="12" t="str" cm="1">
        <f t="array" ref="BJ997">_xll.Dce_Name_SectI(BF997, BF997, BG997, BH997, BI997, "x", "-", $AX$11)</f>
        <v>390x212x5x10</v>
      </c>
      <c r="BK997" s="77" cm="1">
        <f t="array" ref="BK997">_xll.DCEPropSectI(BF997, BH997, BG997, BI997, BG997, BI997, "A")/100</f>
        <v>60.9</v>
      </c>
      <c r="BL997" s="70" t="s">
        <v>226</v>
      </c>
      <c r="BM997" s="70">
        <v>-61.423522120528048</v>
      </c>
      <c r="BN997" s="71">
        <v>0.9</v>
      </c>
      <c r="BO997" s="77">
        <f t="shared" si="131"/>
        <v>32.4</v>
      </c>
      <c r="BP997" s="71">
        <v>0.9</v>
      </c>
      <c r="BQ997" s="77">
        <f t="shared" si="132"/>
        <v>32.4</v>
      </c>
      <c r="BR997" s="77" cm="1">
        <f t="array" ref="BR997">_xll.DCEPropSectI(BF997, BH997, BG997, BI997, BG997, BI997, "rx")/10</f>
        <v>16.91131201300167</v>
      </c>
      <c r="BS997" s="77" cm="1">
        <f t="array" ref="BS997">_xll.DCEPropSectI(BF997, BH997, BG997, BI997, BG997, BI997, "ry")/10</f>
        <v>5.1070747638622018</v>
      </c>
      <c r="BT997" s="5">
        <f t="shared" si="133"/>
        <v>191.58773710218577</v>
      </c>
      <c r="BU997" s="5">
        <f t="shared" si="134"/>
        <v>634.41405301647956</v>
      </c>
      <c r="BV997" s="5">
        <f t="shared" si="135"/>
        <v>634.41405301647956</v>
      </c>
      <c r="BW997" s="71">
        <f t="shared" si="136"/>
        <v>200</v>
      </c>
      <c r="BX997" s="78" cm="1">
        <f t="array" ref="BX997">IF(BM997&gt;0,1,_xll.DCETCVN5575FactorPhi7121(BV997*SQRT($K$17/206000),"b"))</f>
        <v>1.6670876655456978E-2</v>
      </c>
      <c r="BY997" s="64">
        <f t="shared" si="137"/>
        <v>2.8809763311460488</v>
      </c>
      <c r="BZ997" s="3" t="str">
        <f t="shared" si="138"/>
        <v>Check</v>
      </c>
    </row>
    <row r="998" spans="1:78">
      <c r="A998" s="76"/>
      <c r="B998" s="76"/>
      <c r="C998" s="125"/>
      <c r="D998" s="125"/>
      <c r="E998" s="71"/>
      <c r="F998" s="71"/>
      <c r="G998" s="71"/>
      <c r="H998" s="126"/>
      <c r="I998" s="125"/>
      <c r="J998" s="123"/>
      <c r="K998" s="12"/>
      <c r="L998" s="117"/>
      <c r="M998" s="12"/>
      <c r="N998" s="117"/>
      <c r="O998" s="117"/>
      <c r="P998" s="117"/>
      <c r="Q998" s="118"/>
      <c r="R998" s="118"/>
      <c r="S998" s="118"/>
      <c r="T998" s="12"/>
      <c r="U998" s="118"/>
      <c r="V998" s="118"/>
      <c r="W998" s="12"/>
      <c r="X998" s="119"/>
      <c r="Y998" s="120"/>
      <c r="Z998" s="12"/>
      <c r="BA998" s="70" t="s">
        <v>205</v>
      </c>
      <c r="BB998" s="71" t="s">
        <v>210</v>
      </c>
      <c r="BC998" s="71" t="s">
        <v>207</v>
      </c>
      <c r="BD998" s="71">
        <v>1.59</v>
      </c>
      <c r="BE998" s="71">
        <v>36</v>
      </c>
      <c r="BF998" s="71">
        <v>390</v>
      </c>
      <c r="BG998" s="71">
        <v>212</v>
      </c>
      <c r="BH998" s="71">
        <v>5</v>
      </c>
      <c r="BI998" s="71">
        <v>10</v>
      </c>
      <c r="BJ998" s="12" t="str" cm="1">
        <f t="array" ref="BJ998">_xll.Dce_Name_SectI(BF998, BF998, BG998, BH998, BI998, "x", "-", $AX$11)</f>
        <v>390x212x5x10</v>
      </c>
      <c r="BK998" s="77" cm="1">
        <f t="array" ref="BK998">_xll.DCEPropSectI(BF998, BH998, BG998, BI998, BG998, BI998, "A")/100</f>
        <v>60.9</v>
      </c>
      <c r="BL998" s="70" t="s">
        <v>226</v>
      </c>
      <c r="BM998" s="70">
        <v>-61.423522120528048</v>
      </c>
      <c r="BN998" s="71">
        <v>0.9</v>
      </c>
      <c r="BO998" s="77">
        <f t="shared" si="131"/>
        <v>32.4</v>
      </c>
      <c r="BP998" s="71">
        <v>0.9</v>
      </c>
      <c r="BQ998" s="77">
        <f t="shared" si="132"/>
        <v>32.4</v>
      </c>
      <c r="BR998" s="77" cm="1">
        <f t="array" ref="BR998">_xll.DCEPropSectI(BF998, BH998, BG998, BI998, BG998, BI998, "rx")/10</f>
        <v>16.91131201300167</v>
      </c>
      <c r="BS998" s="77" cm="1">
        <f t="array" ref="BS998">_xll.DCEPropSectI(BF998, BH998, BG998, BI998, BG998, BI998, "ry")/10</f>
        <v>5.1070747638622018</v>
      </c>
      <c r="BT998" s="5">
        <f t="shared" si="133"/>
        <v>191.58773710218577</v>
      </c>
      <c r="BU998" s="5">
        <f t="shared" si="134"/>
        <v>634.41405301647956</v>
      </c>
      <c r="BV998" s="5">
        <f t="shared" si="135"/>
        <v>634.41405301647956</v>
      </c>
      <c r="BW998" s="71">
        <f t="shared" si="136"/>
        <v>200</v>
      </c>
      <c r="BX998" s="78" cm="1">
        <f t="array" ref="BX998">IF(BM998&gt;0,1,_xll.DCETCVN5575FactorPhi7121(BV998*SQRT($K$17/206000),"b"))</f>
        <v>1.6670876655456978E-2</v>
      </c>
      <c r="BY998" s="64">
        <f t="shared" si="137"/>
        <v>2.8809763311460488</v>
      </c>
      <c r="BZ998" s="3" t="str">
        <f t="shared" si="138"/>
        <v>Check</v>
      </c>
    </row>
    <row r="999" spans="1:78">
      <c r="A999" s="76"/>
      <c r="B999" s="76"/>
      <c r="C999" s="125"/>
      <c r="D999" s="125"/>
      <c r="E999" s="71"/>
      <c r="F999" s="71"/>
      <c r="G999" s="71"/>
      <c r="H999" s="126"/>
      <c r="I999" s="125"/>
      <c r="J999" s="123"/>
      <c r="K999" s="12"/>
      <c r="L999" s="117"/>
      <c r="M999" s="12"/>
      <c r="N999" s="117"/>
      <c r="O999" s="117"/>
      <c r="P999" s="117"/>
      <c r="Q999" s="118"/>
      <c r="R999" s="118"/>
      <c r="S999" s="118"/>
      <c r="T999" s="12"/>
      <c r="U999" s="118"/>
      <c r="V999" s="118"/>
      <c r="W999" s="12"/>
      <c r="X999" s="119"/>
      <c r="Y999" s="120"/>
      <c r="Z999" s="12"/>
      <c r="BA999" s="70" t="s">
        <v>205</v>
      </c>
      <c r="BB999" s="71" t="s">
        <v>210</v>
      </c>
      <c r="BC999" s="71" t="s">
        <v>207</v>
      </c>
      <c r="BD999" s="71">
        <v>2.08</v>
      </c>
      <c r="BE999" s="71">
        <v>36</v>
      </c>
      <c r="BF999" s="71">
        <v>390</v>
      </c>
      <c r="BG999" s="71">
        <v>212</v>
      </c>
      <c r="BH999" s="71">
        <v>5</v>
      </c>
      <c r="BI999" s="71">
        <v>10</v>
      </c>
      <c r="BJ999" s="12" t="str" cm="1">
        <f t="array" ref="BJ999">_xll.Dce_Name_SectI(BF999, BF999, BG999, BH999, BI999, "x", "-", $AX$11)</f>
        <v>390x212x5x10</v>
      </c>
      <c r="BK999" s="77" cm="1">
        <f t="array" ref="BK999">_xll.DCEPropSectI(BF999, BH999, BG999, BI999, BG999, BI999, "A")/100</f>
        <v>60.9</v>
      </c>
      <c r="BL999" s="70" t="s">
        <v>226</v>
      </c>
      <c r="BM999" s="70">
        <v>-61.423522120528048</v>
      </c>
      <c r="BN999" s="71">
        <v>0.9</v>
      </c>
      <c r="BO999" s="77">
        <f t="shared" si="131"/>
        <v>32.4</v>
      </c>
      <c r="BP999" s="71">
        <v>0.9</v>
      </c>
      <c r="BQ999" s="77">
        <f t="shared" si="132"/>
        <v>32.4</v>
      </c>
      <c r="BR999" s="77" cm="1">
        <f t="array" ref="BR999">_xll.DCEPropSectI(BF999, BH999, BG999, BI999, BG999, BI999, "rx")/10</f>
        <v>16.91131201300167</v>
      </c>
      <c r="BS999" s="77" cm="1">
        <f t="array" ref="BS999">_xll.DCEPropSectI(BF999, BH999, BG999, BI999, BG999, BI999, "ry")/10</f>
        <v>5.1070747638622018</v>
      </c>
      <c r="BT999" s="5">
        <f t="shared" si="133"/>
        <v>191.58773710218577</v>
      </c>
      <c r="BU999" s="5">
        <f t="shared" si="134"/>
        <v>634.41405301647956</v>
      </c>
      <c r="BV999" s="5">
        <f t="shared" si="135"/>
        <v>634.41405301647956</v>
      </c>
      <c r="BW999" s="71">
        <f t="shared" si="136"/>
        <v>200</v>
      </c>
      <c r="BX999" s="78" cm="1">
        <f t="array" ref="BX999">IF(BM999&gt;0,1,_xll.DCETCVN5575FactorPhi7121(BV999*SQRT($K$17/206000),"b"))</f>
        <v>1.6670876655456978E-2</v>
      </c>
      <c r="BY999" s="64">
        <f t="shared" si="137"/>
        <v>2.8809763311460488</v>
      </c>
      <c r="BZ999" s="3" t="str">
        <f t="shared" si="138"/>
        <v>Check</v>
      </c>
    </row>
    <row r="1000" spans="1:78">
      <c r="A1000" s="76"/>
      <c r="B1000" s="76"/>
      <c r="C1000" s="125"/>
      <c r="D1000" s="125"/>
      <c r="E1000" s="71"/>
      <c r="F1000" s="71"/>
      <c r="G1000" s="71"/>
      <c r="H1000" s="126"/>
      <c r="I1000" s="125"/>
      <c r="J1000" s="123"/>
      <c r="K1000" s="12"/>
      <c r="L1000" s="117"/>
      <c r="M1000" s="12"/>
      <c r="N1000" s="117"/>
      <c r="O1000" s="117"/>
      <c r="P1000" s="117"/>
      <c r="Q1000" s="118"/>
      <c r="R1000" s="118"/>
      <c r="S1000" s="118"/>
      <c r="T1000" s="12"/>
      <c r="U1000" s="118"/>
      <c r="V1000" s="118"/>
      <c r="W1000" s="12"/>
      <c r="X1000" s="119"/>
      <c r="Y1000" s="120"/>
      <c r="Z1000" s="12"/>
      <c r="BA1000" s="70" t="s">
        <v>205</v>
      </c>
      <c r="BB1000" s="71" t="s">
        <v>210</v>
      </c>
      <c r="BC1000" s="71" t="s">
        <v>207</v>
      </c>
      <c r="BD1000" s="71">
        <v>2.57</v>
      </c>
      <c r="BE1000" s="71">
        <v>36</v>
      </c>
      <c r="BF1000" s="71">
        <v>390</v>
      </c>
      <c r="BG1000" s="71">
        <v>212</v>
      </c>
      <c r="BH1000" s="71">
        <v>5</v>
      </c>
      <c r="BI1000" s="71">
        <v>10</v>
      </c>
      <c r="BJ1000" s="12" t="str" cm="1">
        <f t="array" ref="BJ1000">_xll.Dce_Name_SectI(BF1000, BF1000, BG1000, BH1000, BI1000, "x", "-", $AX$11)</f>
        <v>390x212x5x10</v>
      </c>
      <c r="BK1000" s="77" cm="1">
        <f t="array" ref="BK1000">_xll.DCEPropSectI(BF1000, BH1000, BG1000, BI1000, BG1000, BI1000, "A")/100</f>
        <v>60.9</v>
      </c>
      <c r="BL1000" s="70" t="s">
        <v>226</v>
      </c>
      <c r="BM1000" s="70">
        <v>-61.423522120528048</v>
      </c>
      <c r="BN1000" s="71">
        <v>0.9</v>
      </c>
      <c r="BO1000" s="77">
        <f t="shared" si="131"/>
        <v>32.4</v>
      </c>
      <c r="BP1000" s="71">
        <v>0.9</v>
      </c>
      <c r="BQ1000" s="77">
        <f t="shared" si="132"/>
        <v>32.4</v>
      </c>
      <c r="BR1000" s="77" cm="1">
        <f t="array" ref="BR1000">_xll.DCEPropSectI(BF1000, BH1000, BG1000, BI1000, BG1000, BI1000, "rx")/10</f>
        <v>16.91131201300167</v>
      </c>
      <c r="BS1000" s="77" cm="1">
        <f t="array" ref="BS1000">_xll.DCEPropSectI(BF1000, BH1000, BG1000, BI1000, BG1000, BI1000, "ry")/10</f>
        <v>5.1070747638622018</v>
      </c>
      <c r="BT1000" s="5">
        <f t="shared" si="133"/>
        <v>191.58773710218577</v>
      </c>
      <c r="BU1000" s="5">
        <f t="shared" si="134"/>
        <v>634.41405301647956</v>
      </c>
      <c r="BV1000" s="5">
        <f t="shared" si="135"/>
        <v>634.41405301647956</v>
      </c>
      <c r="BW1000" s="71">
        <f t="shared" si="136"/>
        <v>200</v>
      </c>
      <c r="BX1000" s="78" cm="1">
        <f t="array" ref="BX1000">IF(BM1000&gt;0,1,_xll.DCETCVN5575FactorPhi7121(BV1000*SQRT($K$17/206000),"b"))</f>
        <v>1.6670876655456978E-2</v>
      </c>
      <c r="BY1000" s="64">
        <f t="shared" si="137"/>
        <v>2.8809763311460488</v>
      </c>
      <c r="BZ1000" s="3" t="str">
        <f t="shared" si="138"/>
        <v>Check</v>
      </c>
    </row>
    <row r="1001" spans="1:78">
      <c r="A1001" s="76"/>
      <c r="B1001" s="76"/>
      <c r="C1001" s="125"/>
      <c r="D1001" s="125"/>
      <c r="E1001" s="71"/>
      <c r="F1001" s="71"/>
      <c r="G1001" s="71"/>
      <c r="H1001" s="126"/>
      <c r="I1001" s="125"/>
      <c r="J1001" s="123"/>
      <c r="K1001" s="12"/>
      <c r="L1001" s="117"/>
      <c r="M1001" s="12"/>
      <c r="N1001" s="117"/>
      <c r="O1001" s="117"/>
      <c r="P1001" s="117"/>
      <c r="Q1001" s="118"/>
      <c r="R1001" s="118"/>
      <c r="S1001" s="118"/>
      <c r="T1001" s="12"/>
      <c r="U1001" s="118"/>
      <c r="V1001" s="118"/>
      <c r="W1001" s="12"/>
      <c r="X1001" s="119"/>
      <c r="Y1001" s="120"/>
      <c r="Z1001" s="12"/>
      <c r="BA1001" s="70" t="s">
        <v>205</v>
      </c>
      <c r="BB1001" s="71" t="s">
        <v>210</v>
      </c>
      <c r="BC1001" s="71" t="s">
        <v>207</v>
      </c>
      <c r="BD1001" s="71">
        <v>3.06</v>
      </c>
      <c r="BE1001" s="71">
        <v>36</v>
      </c>
      <c r="BF1001" s="71">
        <v>390</v>
      </c>
      <c r="BG1001" s="71">
        <v>212</v>
      </c>
      <c r="BH1001" s="71">
        <v>5</v>
      </c>
      <c r="BI1001" s="71">
        <v>10</v>
      </c>
      <c r="BJ1001" s="12" t="str" cm="1">
        <f t="array" ref="BJ1001">_xll.Dce_Name_SectI(BF1001, BF1001, BG1001, BH1001, BI1001, "x", "-", $AX$11)</f>
        <v>390x212x5x10</v>
      </c>
      <c r="BK1001" s="77" cm="1">
        <f t="array" ref="BK1001">_xll.DCEPropSectI(BF1001, BH1001, BG1001, BI1001, BG1001, BI1001, "A")/100</f>
        <v>60.9</v>
      </c>
      <c r="BL1001" s="70" t="s">
        <v>226</v>
      </c>
      <c r="BM1001" s="70">
        <v>-61.423522120528048</v>
      </c>
      <c r="BN1001" s="71">
        <v>0.9</v>
      </c>
      <c r="BO1001" s="77">
        <f t="shared" si="131"/>
        <v>32.4</v>
      </c>
      <c r="BP1001" s="71">
        <v>0.9</v>
      </c>
      <c r="BQ1001" s="77">
        <f t="shared" si="132"/>
        <v>32.4</v>
      </c>
      <c r="BR1001" s="77" cm="1">
        <f t="array" ref="BR1001">_xll.DCEPropSectI(BF1001, BH1001, BG1001, BI1001, BG1001, BI1001, "rx")/10</f>
        <v>16.91131201300167</v>
      </c>
      <c r="BS1001" s="77" cm="1">
        <f t="array" ref="BS1001">_xll.DCEPropSectI(BF1001, BH1001, BG1001, BI1001, BG1001, BI1001, "ry")/10</f>
        <v>5.1070747638622018</v>
      </c>
      <c r="BT1001" s="5">
        <f t="shared" si="133"/>
        <v>191.58773710218577</v>
      </c>
      <c r="BU1001" s="5">
        <f t="shared" si="134"/>
        <v>634.41405301647956</v>
      </c>
      <c r="BV1001" s="5">
        <f t="shared" si="135"/>
        <v>634.41405301647956</v>
      </c>
      <c r="BW1001" s="71">
        <f t="shared" si="136"/>
        <v>200</v>
      </c>
      <c r="BX1001" s="78" cm="1">
        <f t="array" ref="BX1001">IF(BM1001&gt;0,1,_xll.DCETCVN5575FactorPhi7121(BV1001*SQRT($K$17/206000),"b"))</f>
        <v>1.6670876655456978E-2</v>
      </c>
      <c r="BY1001" s="64">
        <f t="shared" si="137"/>
        <v>2.8809763311460488</v>
      </c>
      <c r="BZ1001" s="3" t="str">
        <f t="shared" si="138"/>
        <v>Check</v>
      </c>
    </row>
    <row r="1002" spans="1:78">
      <c r="A1002" s="76"/>
      <c r="B1002" s="76"/>
      <c r="C1002" s="125"/>
      <c r="D1002" s="125"/>
      <c r="E1002" s="71"/>
      <c r="F1002" s="71"/>
      <c r="G1002" s="71"/>
      <c r="H1002" s="126"/>
      <c r="I1002" s="125"/>
      <c r="J1002" s="123"/>
      <c r="K1002" s="12"/>
      <c r="L1002" s="117"/>
      <c r="M1002" s="12"/>
      <c r="N1002" s="117"/>
      <c r="O1002" s="117"/>
      <c r="P1002" s="117"/>
      <c r="Q1002" s="118"/>
      <c r="R1002" s="118"/>
      <c r="S1002" s="118"/>
      <c r="T1002" s="12"/>
      <c r="U1002" s="118"/>
      <c r="V1002" s="118"/>
      <c r="W1002" s="12"/>
      <c r="X1002" s="119"/>
      <c r="Y1002" s="120"/>
      <c r="Z1002" s="12"/>
      <c r="BA1002" s="70" t="s">
        <v>205</v>
      </c>
      <c r="BB1002" s="71" t="s">
        <v>210</v>
      </c>
      <c r="BC1002" s="71" t="s">
        <v>207</v>
      </c>
      <c r="BD1002" s="71">
        <v>3.56</v>
      </c>
      <c r="BE1002" s="71">
        <v>36</v>
      </c>
      <c r="BF1002" s="71">
        <v>390</v>
      </c>
      <c r="BG1002" s="71">
        <v>212</v>
      </c>
      <c r="BH1002" s="71">
        <v>5</v>
      </c>
      <c r="BI1002" s="71">
        <v>10</v>
      </c>
      <c r="BJ1002" s="12" t="str" cm="1">
        <f t="array" ref="BJ1002">_xll.Dce_Name_SectI(BF1002, BF1002, BG1002, BH1002, BI1002, "x", "-", $AX$11)</f>
        <v>390x212x5x10</v>
      </c>
      <c r="BK1002" s="77" cm="1">
        <f t="array" ref="BK1002">_xll.DCEPropSectI(BF1002, BH1002, BG1002, BI1002, BG1002, BI1002, "A")/100</f>
        <v>60.9</v>
      </c>
      <c r="BL1002" s="70" t="s">
        <v>226</v>
      </c>
      <c r="BM1002" s="70">
        <v>-61.423522120528048</v>
      </c>
      <c r="BN1002" s="71">
        <v>0.9</v>
      </c>
      <c r="BO1002" s="77">
        <f t="shared" si="131"/>
        <v>32.4</v>
      </c>
      <c r="BP1002" s="71">
        <v>0.9</v>
      </c>
      <c r="BQ1002" s="77">
        <f t="shared" si="132"/>
        <v>32.4</v>
      </c>
      <c r="BR1002" s="77" cm="1">
        <f t="array" ref="BR1002">_xll.DCEPropSectI(BF1002, BH1002, BG1002, BI1002, BG1002, BI1002, "rx")/10</f>
        <v>16.91131201300167</v>
      </c>
      <c r="BS1002" s="77" cm="1">
        <f t="array" ref="BS1002">_xll.DCEPropSectI(BF1002, BH1002, BG1002, BI1002, BG1002, BI1002, "ry")/10</f>
        <v>5.1070747638622018</v>
      </c>
      <c r="BT1002" s="5">
        <f t="shared" si="133"/>
        <v>191.58773710218577</v>
      </c>
      <c r="BU1002" s="5">
        <f t="shared" si="134"/>
        <v>634.41405301647956</v>
      </c>
      <c r="BV1002" s="5">
        <f t="shared" si="135"/>
        <v>634.41405301647956</v>
      </c>
      <c r="BW1002" s="71">
        <f t="shared" si="136"/>
        <v>200</v>
      </c>
      <c r="BX1002" s="78" cm="1">
        <f t="array" ref="BX1002">IF(BM1002&gt;0,1,_xll.DCETCVN5575FactorPhi7121(BV1002*SQRT($K$17/206000),"b"))</f>
        <v>1.6670876655456978E-2</v>
      </c>
      <c r="BY1002" s="64">
        <f t="shared" si="137"/>
        <v>2.8809763311460488</v>
      </c>
      <c r="BZ1002" s="3" t="str">
        <f t="shared" si="138"/>
        <v>Check</v>
      </c>
    </row>
    <row r="1003" spans="1:78">
      <c r="A1003" s="76"/>
      <c r="B1003" s="76"/>
      <c r="C1003" s="125"/>
      <c r="D1003" s="125"/>
      <c r="E1003" s="71"/>
      <c r="F1003" s="71"/>
      <c r="G1003" s="71"/>
      <c r="H1003" s="126"/>
      <c r="I1003" s="125"/>
      <c r="J1003" s="123"/>
      <c r="K1003" s="12"/>
      <c r="L1003" s="117"/>
      <c r="M1003" s="12"/>
      <c r="N1003" s="117"/>
      <c r="O1003" s="117"/>
      <c r="P1003" s="117"/>
      <c r="Q1003" s="118"/>
      <c r="R1003" s="118"/>
      <c r="S1003" s="118"/>
      <c r="T1003" s="12"/>
      <c r="U1003" s="118"/>
      <c r="V1003" s="118"/>
      <c r="W1003" s="12"/>
      <c r="X1003" s="119"/>
      <c r="Y1003" s="120"/>
      <c r="Z1003" s="12"/>
      <c r="BA1003" s="70" t="s">
        <v>205</v>
      </c>
      <c r="BB1003" s="71" t="s">
        <v>210</v>
      </c>
      <c r="BC1003" s="71" t="s">
        <v>207</v>
      </c>
      <c r="BD1003" s="71">
        <v>4.05</v>
      </c>
      <c r="BE1003" s="71">
        <v>36</v>
      </c>
      <c r="BF1003" s="71">
        <v>390</v>
      </c>
      <c r="BG1003" s="71">
        <v>212</v>
      </c>
      <c r="BH1003" s="71">
        <v>5</v>
      </c>
      <c r="BI1003" s="71">
        <v>10</v>
      </c>
      <c r="BJ1003" s="12" t="str" cm="1">
        <f t="array" ref="BJ1003">_xll.Dce_Name_SectI(BF1003, BF1003, BG1003, BH1003, BI1003, "x", "-", $AX$11)</f>
        <v>390x212x5x10</v>
      </c>
      <c r="BK1003" s="77" cm="1">
        <f t="array" ref="BK1003">_xll.DCEPropSectI(BF1003, BH1003, BG1003, BI1003, BG1003, BI1003, "A")/100</f>
        <v>60.9</v>
      </c>
      <c r="BL1003" s="70" t="s">
        <v>226</v>
      </c>
      <c r="BM1003" s="70">
        <v>-61.423522120528048</v>
      </c>
      <c r="BN1003" s="71">
        <v>0.9</v>
      </c>
      <c r="BO1003" s="77">
        <f t="shared" si="131"/>
        <v>32.4</v>
      </c>
      <c r="BP1003" s="71">
        <v>0.9</v>
      </c>
      <c r="BQ1003" s="77">
        <f t="shared" si="132"/>
        <v>32.4</v>
      </c>
      <c r="BR1003" s="77" cm="1">
        <f t="array" ref="BR1003">_xll.DCEPropSectI(BF1003, BH1003, BG1003, BI1003, BG1003, BI1003, "rx")/10</f>
        <v>16.91131201300167</v>
      </c>
      <c r="BS1003" s="77" cm="1">
        <f t="array" ref="BS1003">_xll.DCEPropSectI(BF1003, BH1003, BG1003, BI1003, BG1003, BI1003, "ry")/10</f>
        <v>5.1070747638622018</v>
      </c>
      <c r="BT1003" s="5">
        <f t="shared" si="133"/>
        <v>191.58773710218577</v>
      </c>
      <c r="BU1003" s="5">
        <f t="shared" si="134"/>
        <v>634.41405301647956</v>
      </c>
      <c r="BV1003" s="5">
        <f t="shared" si="135"/>
        <v>634.41405301647956</v>
      </c>
      <c r="BW1003" s="71">
        <f t="shared" si="136"/>
        <v>200</v>
      </c>
      <c r="BX1003" s="78" cm="1">
        <f t="array" ref="BX1003">IF(BM1003&gt;0,1,_xll.DCETCVN5575FactorPhi7121(BV1003*SQRT($K$17/206000),"b"))</f>
        <v>1.6670876655456978E-2</v>
      </c>
      <c r="BY1003" s="64">
        <f t="shared" si="137"/>
        <v>2.8809763311460488</v>
      </c>
      <c r="BZ1003" s="3" t="str">
        <f t="shared" si="138"/>
        <v>Check</v>
      </c>
    </row>
    <row r="1004" spans="1:78">
      <c r="A1004" s="76"/>
      <c r="B1004" s="76"/>
      <c r="C1004" s="125"/>
      <c r="D1004" s="125"/>
      <c r="E1004" s="71"/>
      <c r="F1004" s="71"/>
      <c r="G1004" s="71"/>
      <c r="H1004" s="126"/>
      <c r="I1004" s="125"/>
      <c r="J1004" s="123"/>
      <c r="K1004" s="12"/>
      <c r="L1004" s="117"/>
      <c r="M1004" s="12"/>
      <c r="N1004" s="117"/>
      <c r="O1004" s="117"/>
      <c r="P1004" s="117"/>
      <c r="Q1004" s="118"/>
      <c r="R1004" s="118"/>
      <c r="S1004" s="118"/>
      <c r="T1004" s="12"/>
      <c r="U1004" s="118"/>
      <c r="V1004" s="118"/>
      <c r="W1004" s="12"/>
      <c r="X1004" s="119"/>
      <c r="Y1004" s="120"/>
      <c r="Z1004" s="12"/>
      <c r="BA1004" s="70" t="s">
        <v>205</v>
      </c>
      <c r="BB1004" s="71" t="s">
        <v>210</v>
      </c>
      <c r="BC1004" s="71" t="s">
        <v>207</v>
      </c>
      <c r="BD1004" s="71">
        <v>4.54</v>
      </c>
      <c r="BE1004" s="71">
        <v>36</v>
      </c>
      <c r="BF1004" s="71">
        <v>390</v>
      </c>
      <c r="BG1004" s="71">
        <v>212</v>
      </c>
      <c r="BH1004" s="71">
        <v>5</v>
      </c>
      <c r="BI1004" s="71">
        <v>10</v>
      </c>
      <c r="BJ1004" s="12" t="str" cm="1">
        <f t="array" ref="BJ1004">_xll.Dce_Name_SectI(BF1004, BF1004, BG1004, BH1004, BI1004, "x", "-", $AX$11)</f>
        <v>390x212x5x10</v>
      </c>
      <c r="BK1004" s="77" cm="1">
        <f t="array" ref="BK1004">_xll.DCEPropSectI(BF1004, BH1004, BG1004, BI1004, BG1004, BI1004, "A")/100</f>
        <v>60.9</v>
      </c>
      <c r="BL1004" s="70" t="s">
        <v>226</v>
      </c>
      <c r="BM1004" s="70">
        <v>-61.423522120528048</v>
      </c>
      <c r="BN1004" s="71">
        <v>0.9</v>
      </c>
      <c r="BO1004" s="77">
        <f t="shared" si="131"/>
        <v>32.4</v>
      </c>
      <c r="BP1004" s="71">
        <v>0.9</v>
      </c>
      <c r="BQ1004" s="77">
        <f t="shared" si="132"/>
        <v>32.4</v>
      </c>
      <c r="BR1004" s="77" cm="1">
        <f t="array" ref="BR1004">_xll.DCEPropSectI(BF1004, BH1004, BG1004, BI1004, BG1004, BI1004, "rx")/10</f>
        <v>16.91131201300167</v>
      </c>
      <c r="BS1004" s="77" cm="1">
        <f t="array" ref="BS1004">_xll.DCEPropSectI(BF1004, BH1004, BG1004, BI1004, BG1004, BI1004, "ry")/10</f>
        <v>5.1070747638622018</v>
      </c>
      <c r="BT1004" s="5">
        <f t="shared" si="133"/>
        <v>191.58773710218577</v>
      </c>
      <c r="BU1004" s="5">
        <f t="shared" si="134"/>
        <v>634.41405301647956</v>
      </c>
      <c r="BV1004" s="5">
        <f t="shared" si="135"/>
        <v>634.41405301647956</v>
      </c>
      <c r="BW1004" s="71">
        <f t="shared" si="136"/>
        <v>200</v>
      </c>
      <c r="BX1004" s="78" cm="1">
        <f t="array" ref="BX1004">IF(BM1004&gt;0,1,_xll.DCETCVN5575FactorPhi7121(BV1004*SQRT($K$17/206000),"b"))</f>
        <v>1.6670876655456978E-2</v>
      </c>
      <c r="BY1004" s="64">
        <f t="shared" si="137"/>
        <v>2.8809763311460488</v>
      </c>
      <c r="BZ1004" s="3" t="str">
        <f t="shared" si="138"/>
        <v>Check</v>
      </c>
    </row>
    <row r="1005" spans="1:78">
      <c r="A1005" s="76"/>
      <c r="B1005" s="76"/>
      <c r="C1005" s="125"/>
      <c r="D1005" s="125"/>
      <c r="E1005" s="71"/>
      <c r="F1005" s="71"/>
      <c r="G1005" s="71"/>
      <c r="H1005" s="126"/>
      <c r="I1005" s="125"/>
      <c r="J1005" s="123"/>
      <c r="K1005" s="12"/>
      <c r="L1005" s="117"/>
      <c r="M1005" s="12"/>
      <c r="N1005" s="117"/>
      <c r="O1005" s="117"/>
      <c r="P1005" s="117"/>
      <c r="Q1005" s="118"/>
      <c r="R1005" s="118"/>
      <c r="S1005" s="118"/>
      <c r="T1005" s="12"/>
      <c r="U1005" s="118"/>
      <c r="V1005" s="118"/>
      <c r="W1005" s="12"/>
      <c r="X1005" s="119"/>
      <c r="Y1005" s="120"/>
      <c r="Z1005" s="12"/>
      <c r="BA1005" s="70" t="s">
        <v>205</v>
      </c>
      <c r="BB1005" s="71" t="s">
        <v>210</v>
      </c>
      <c r="BC1005" s="71" t="s">
        <v>207</v>
      </c>
      <c r="BD1005" s="71">
        <v>5.04</v>
      </c>
      <c r="BE1005" s="71">
        <v>36</v>
      </c>
      <c r="BF1005" s="71">
        <v>390</v>
      </c>
      <c r="BG1005" s="71">
        <v>212</v>
      </c>
      <c r="BH1005" s="71">
        <v>5</v>
      </c>
      <c r="BI1005" s="71">
        <v>10</v>
      </c>
      <c r="BJ1005" s="12" t="str" cm="1">
        <f t="array" ref="BJ1005">_xll.Dce_Name_SectI(BF1005, BF1005, BG1005, BH1005, BI1005, "x", "-", $AX$11)</f>
        <v>390x212x5x10</v>
      </c>
      <c r="BK1005" s="77" cm="1">
        <f t="array" ref="BK1005">_xll.DCEPropSectI(BF1005, BH1005, BG1005, BI1005, BG1005, BI1005, "A")/100</f>
        <v>60.9</v>
      </c>
      <c r="BL1005" s="70" t="s">
        <v>226</v>
      </c>
      <c r="BM1005" s="70">
        <v>-61.423522120528048</v>
      </c>
      <c r="BN1005" s="71">
        <v>0.9</v>
      </c>
      <c r="BO1005" s="77">
        <f t="shared" si="131"/>
        <v>32.4</v>
      </c>
      <c r="BP1005" s="71">
        <v>0.9</v>
      </c>
      <c r="BQ1005" s="77">
        <f t="shared" si="132"/>
        <v>32.4</v>
      </c>
      <c r="BR1005" s="77" cm="1">
        <f t="array" ref="BR1005">_xll.DCEPropSectI(BF1005, BH1005, BG1005, BI1005, BG1005, BI1005, "rx")/10</f>
        <v>16.91131201300167</v>
      </c>
      <c r="BS1005" s="77" cm="1">
        <f t="array" ref="BS1005">_xll.DCEPropSectI(BF1005, BH1005, BG1005, BI1005, BG1005, BI1005, "ry")/10</f>
        <v>5.1070747638622018</v>
      </c>
      <c r="BT1005" s="5">
        <f t="shared" si="133"/>
        <v>191.58773710218577</v>
      </c>
      <c r="BU1005" s="5">
        <f t="shared" si="134"/>
        <v>634.41405301647956</v>
      </c>
      <c r="BV1005" s="5">
        <f t="shared" si="135"/>
        <v>634.41405301647956</v>
      </c>
      <c r="BW1005" s="71">
        <f t="shared" si="136"/>
        <v>200</v>
      </c>
      <c r="BX1005" s="78" cm="1">
        <f t="array" ref="BX1005">IF(BM1005&gt;0,1,_xll.DCETCVN5575FactorPhi7121(BV1005*SQRT($K$17/206000),"b"))</f>
        <v>1.6670876655456978E-2</v>
      </c>
      <c r="BY1005" s="64">
        <f t="shared" si="137"/>
        <v>2.8809763311460488</v>
      </c>
      <c r="BZ1005" s="3" t="str">
        <f t="shared" si="138"/>
        <v>Check</v>
      </c>
    </row>
    <row r="1006" spans="1:78">
      <c r="A1006" s="76"/>
      <c r="B1006" s="76"/>
      <c r="C1006" s="125"/>
      <c r="D1006" s="125"/>
      <c r="E1006" s="71"/>
      <c r="F1006" s="71"/>
      <c r="G1006" s="71"/>
      <c r="H1006" s="126"/>
      <c r="I1006" s="125"/>
      <c r="J1006" s="123"/>
      <c r="K1006" s="12"/>
      <c r="L1006" s="117"/>
      <c r="M1006" s="12"/>
      <c r="N1006" s="117"/>
      <c r="O1006" s="117"/>
      <c r="P1006" s="117"/>
      <c r="Q1006" s="118"/>
      <c r="R1006" s="118"/>
      <c r="S1006" s="118"/>
      <c r="T1006" s="12"/>
      <c r="U1006" s="118"/>
      <c r="V1006" s="118"/>
      <c r="W1006" s="12"/>
      <c r="X1006" s="119"/>
      <c r="Y1006" s="120"/>
      <c r="Z1006" s="12"/>
      <c r="BA1006" s="70" t="s">
        <v>205</v>
      </c>
      <c r="BB1006" s="71" t="s">
        <v>210</v>
      </c>
      <c r="BC1006" s="71" t="s">
        <v>207</v>
      </c>
      <c r="BD1006" s="71">
        <v>5.53</v>
      </c>
      <c r="BE1006" s="71">
        <v>36</v>
      </c>
      <c r="BF1006" s="71">
        <v>390</v>
      </c>
      <c r="BG1006" s="71">
        <v>212</v>
      </c>
      <c r="BH1006" s="71">
        <v>5</v>
      </c>
      <c r="BI1006" s="71">
        <v>10</v>
      </c>
      <c r="BJ1006" s="12" t="str" cm="1">
        <f t="array" ref="BJ1006">_xll.Dce_Name_SectI(BF1006, BF1006, BG1006, BH1006, BI1006, "x", "-", $AX$11)</f>
        <v>390x212x5x10</v>
      </c>
      <c r="BK1006" s="77" cm="1">
        <f t="array" ref="BK1006">_xll.DCEPropSectI(BF1006, BH1006, BG1006, BI1006, BG1006, BI1006, "A")/100</f>
        <v>60.9</v>
      </c>
      <c r="BL1006" s="70" t="s">
        <v>226</v>
      </c>
      <c r="BM1006" s="70">
        <v>-61.423522120528048</v>
      </c>
      <c r="BN1006" s="71">
        <v>0.9</v>
      </c>
      <c r="BO1006" s="77">
        <f t="shared" si="131"/>
        <v>32.4</v>
      </c>
      <c r="BP1006" s="71">
        <v>0.9</v>
      </c>
      <c r="BQ1006" s="77">
        <f t="shared" si="132"/>
        <v>32.4</v>
      </c>
      <c r="BR1006" s="77" cm="1">
        <f t="array" ref="BR1006">_xll.DCEPropSectI(BF1006, BH1006, BG1006, BI1006, BG1006, BI1006, "rx")/10</f>
        <v>16.91131201300167</v>
      </c>
      <c r="BS1006" s="77" cm="1">
        <f t="array" ref="BS1006">_xll.DCEPropSectI(BF1006, BH1006, BG1006, BI1006, BG1006, BI1006, "ry")/10</f>
        <v>5.1070747638622018</v>
      </c>
      <c r="BT1006" s="5">
        <f t="shared" si="133"/>
        <v>191.58773710218577</v>
      </c>
      <c r="BU1006" s="5">
        <f t="shared" si="134"/>
        <v>634.41405301647956</v>
      </c>
      <c r="BV1006" s="5">
        <f t="shared" si="135"/>
        <v>634.41405301647956</v>
      </c>
      <c r="BW1006" s="71">
        <f t="shared" si="136"/>
        <v>200</v>
      </c>
      <c r="BX1006" s="78" cm="1">
        <f t="array" ref="BX1006">IF(BM1006&gt;0,1,_xll.DCETCVN5575FactorPhi7121(BV1006*SQRT($K$17/206000),"b"))</f>
        <v>1.6670876655456978E-2</v>
      </c>
      <c r="BY1006" s="64">
        <f t="shared" si="137"/>
        <v>2.8809763311460488</v>
      </c>
      <c r="BZ1006" s="3" t="str">
        <f t="shared" si="138"/>
        <v>Check</v>
      </c>
    </row>
    <row r="1007" spans="1:78">
      <c r="A1007" s="76"/>
      <c r="B1007" s="76"/>
      <c r="C1007" s="125"/>
      <c r="D1007" s="125"/>
      <c r="E1007" s="71"/>
      <c r="F1007" s="71"/>
      <c r="G1007" s="71"/>
      <c r="H1007" s="126"/>
      <c r="I1007" s="125"/>
      <c r="J1007" s="123"/>
      <c r="K1007" s="12"/>
      <c r="L1007" s="117"/>
      <c r="M1007" s="12"/>
      <c r="N1007" s="117"/>
      <c r="O1007" s="117"/>
      <c r="P1007" s="117"/>
      <c r="Q1007" s="118"/>
      <c r="R1007" s="118"/>
      <c r="S1007" s="118"/>
      <c r="T1007" s="12"/>
      <c r="U1007" s="118"/>
      <c r="V1007" s="118"/>
      <c r="W1007" s="12"/>
      <c r="X1007" s="119"/>
      <c r="Y1007" s="120"/>
      <c r="Z1007" s="12"/>
      <c r="BA1007" s="70" t="s">
        <v>205</v>
      </c>
      <c r="BB1007" s="71" t="s">
        <v>210</v>
      </c>
      <c r="BC1007" s="71" t="s">
        <v>207</v>
      </c>
      <c r="BD1007" s="71">
        <v>6.02</v>
      </c>
      <c r="BE1007" s="71">
        <v>36</v>
      </c>
      <c r="BF1007" s="71">
        <v>390</v>
      </c>
      <c r="BG1007" s="71">
        <v>212</v>
      </c>
      <c r="BH1007" s="71">
        <v>5</v>
      </c>
      <c r="BI1007" s="71">
        <v>10</v>
      </c>
      <c r="BJ1007" s="12" t="str" cm="1">
        <f t="array" ref="BJ1007">_xll.Dce_Name_SectI(BF1007, BF1007, BG1007, BH1007, BI1007, "x", "-", $AX$11)</f>
        <v>390x212x5x10</v>
      </c>
      <c r="BK1007" s="77" cm="1">
        <f t="array" ref="BK1007">_xll.DCEPropSectI(BF1007, BH1007, BG1007, BI1007, BG1007, BI1007, "A")/100</f>
        <v>60.9</v>
      </c>
      <c r="BL1007" s="70" t="s">
        <v>226</v>
      </c>
      <c r="BM1007" s="70">
        <v>-61.423522120528048</v>
      </c>
      <c r="BN1007" s="71">
        <v>0.9</v>
      </c>
      <c r="BO1007" s="77">
        <f t="shared" si="131"/>
        <v>32.4</v>
      </c>
      <c r="BP1007" s="71">
        <v>0.9</v>
      </c>
      <c r="BQ1007" s="77">
        <f t="shared" si="132"/>
        <v>32.4</v>
      </c>
      <c r="BR1007" s="77" cm="1">
        <f t="array" ref="BR1007">_xll.DCEPropSectI(BF1007, BH1007, BG1007, BI1007, BG1007, BI1007, "rx")/10</f>
        <v>16.91131201300167</v>
      </c>
      <c r="BS1007" s="77" cm="1">
        <f t="array" ref="BS1007">_xll.DCEPropSectI(BF1007, BH1007, BG1007, BI1007, BG1007, BI1007, "ry")/10</f>
        <v>5.1070747638622018</v>
      </c>
      <c r="BT1007" s="5">
        <f t="shared" si="133"/>
        <v>191.58773710218577</v>
      </c>
      <c r="BU1007" s="5">
        <f t="shared" si="134"/>
        <v>634.41405301647956</v>
      </c>
      <c r="BV1007" s="5">
        <f t="shared" si="135"/>
        <v>634.41405301647956</v>
      </c>
      <c r="BW1007" s="71">
        <f t="shared" si="136"/>
        <v>200</v>
      </c>
      <c r="BX1007" s="78" cm="1">
        <f t="array" ref="BX1007">IF(BM1007&gt;0,1,_xll.DCETCVN5575FactorPhi7121(BV1007*SQRT($K$17/206000),"b"))</f>
        <v>1.6670876655456978E-2</v>
      </c>
      <c r="BY1007" s="64">
        <f t="shared" si="137"/>
        <v>2.8809763311460488</v>
      </c>
      <c r="BZ1007" s="3" t="str">
        <f t="shared" si="138"/>
        <v>Check</v>
      </c>
    </row>
    <row r="1008" spans="1:78">
      <c r="A1008" s="76"/>
      <c r="B1008" s="76"/>
      <c r="C1008" s="125"/>
      <c r="D1008" s="125"/>
      <c r="E1008" s="71"/>
      <c r="F1008" s="71"/>
      <c r="G1008" s="71"/>
      <c r="H1008" s="126"/>
      <c r="I1008" s="125"/>
      <c r="J1008" s="123"/>
      <c r="K1008" s="12"/>
      <c r="L1008" s="117"/>
      <c r="M1008" s="12"/>
      <c r="N1008" s="117"/>
      <c r="O1008" s="117"/>
      <c r="P1008" s="117"/>
      <c r="Q1008" s="118"/>
      <c r="R1008" s="118"/>
      <c r="S1008" s="118"/>
      <c r="T1008" s="12"/>
      <c r="U1008" s="118"/>
      <c r="V1008" s="118"/>
      <c r="W1008" s="12"/>
      <c r="X1008" s="119"/>
      <c r="Y1008" s="120"/>
      <c r="Z1008" s="12"/>
      <c r="BA1008" s="70" t="s">
        <v>205</v>
      </c>
      <c r="BB1008" s="71" t="s">
        <v>210</v>
      </c>
      <c r="BC1008" s="71" t="s">
        <v>207</v>
      </c>
      <c r="BD1008" s="71">
        <v>6.51</v>
      </c>
      <c r="BE1008" s="71">
        <v>36</v>
      </c>
      <c r="BF1008" s="71">
        <v>390</v>
      </c>
      <c r="BG1008" s="71">
        <v>212</v>
      </c>
      <c r="BH1008" s="71">
        <v>5</v>
      </c>
      <c r="BI1008" s="71">
        <v>10</v>
      </c>
      <c r="BJ1008" s="12" t="str" cm="1">
        <f t="array" ref="BJ1008">_xll.Dce_Name_SectI(BF1008, BF1008, BG1008, BH1008, BI1008, "x", "-", $AX$11)</f>
        <v>390x212x5x10</v>
      </c>
      <c r="BK1008" s="77" cm="1">
        <f t="array" ref="BK1008">_xll.DCEPropSectI(BF1008, BH1008, BG1008, BI1008, BG1008, BI1008, "A")/100</f>
        <v>60.9</v>
      </c>
      <c r="BL1008" s="70" t="s">
        <v>226</v>
      </c>
      <c r="BM1008" s="70">
        <v>-61.423522120528048</v>
      </c>
      <c r="BN1008" s="71">
        <v>0.9</v>
      </c>
      <c r="BO1008" s="77">
        <f t="shared" si="131"/>
        <v>32.4</v>
      </c>
      <c r="BP1008" s="71">
        <v>0.9</v>
      </c>
      <c r="BQ1008" s="77">
        <f t="shared" si="132"/>
        <v>32.4</v>
      </c>
      <c r="BR1008" s="77" cm="1">
        <f t="array" ref="BR1008">_xll.DCEPropSectI(BF1008, BH1008, BG1008, BI1008, BG1008, BI1008, "rx")/10</f>
        <v>16.91131201300167</v>
      </c>
      <c r="BS1008" s="77" cm="1">
        <f t="array" ref="BS1008">_xll.DCEPropSectI(BF1008, BH1008, BG1008, BI1008, BG1008, BI1008, "ry")/10</f>
        <v>5.1070747638622018</v>
      </c>
      <c r="BT1008" s="5">
        <f t="shared" si="133"/>
        <v>191.58773710218577</v>
      </c>
      <c r="BU1008" s="5">
        <f t="shared" si="134"/>
        <v>634.41405301647956</v>
      </c>
      <c r="BV1008" s="5">
        <f t="shared" si="135"/>
        <v>634.41405301647956</v>
      </c>
      <c r="BW1008" s="71">
        <f t="shared" si="136"/>
        <v>200</v>
      </c>
      <c r="BX1008" s="78" cm="1">
        <f t="array" ref="BX1008">IF(BM1008&gt;0,1,_xll.DCETCVN5575FactorPhi7121(BV1008*SQRT($K$17/206000),"b"))</f>
        <v>1.6670876655456978E-2</v>
      </c>
      <c r="BY1008" s="64">
        <f t="shared" si="137"/>
        <v>2.8809763311460488</v>
      </c>
      <c r="BZ1008" s="3" t="str">
        <f t="shared" si="138"/>
        <v>Check</v>
      </c>
    </row>
    <row r="1009" spans="1:78">
      <c r="A1009" s="76"/>
      <c r="B1009" s="76"/>
      <c r="C1009" s="125"/>
      <c r="D1009" s="125"/>
      <c r="E1009" s="71"/>
      <c r="F1009" s="71"/>
      <c r="G1009" s="71"/>
      <c r="H1009" s="126"/>
      <c r="I1009" s="125"/>
      <c r="J1009" s="123"/>
      <c r="K1009" s="12"/>
      <c r="L1009" s="117"/>
      <c r="M1009" s="12"/>
      <c r="N1009" s="117"/>
      <c r="O1009" s="117"/>
      <c r="P1009" s="117"/>
      <c r="Q1009" s="118"/>
      <c r="R1009" s="118"/>
      <c r="S1009" s="118"/>
      <c r="T1009" s="12"/>
      <c r="U1009" s="118"/>
      <c r="V1009" s="118"/>
      <c r="W1009" s="12"/>
      <c r="X1009" s="119"/>
      <c r="Y1009" s="120"/>
      <c r="Z1009" s="12"/>
      <c r="BA1009" s="70" t="s">
        <v>205</v>
      </c>
      <c r="BB1009" s="71" t="s">
        <v>210</v>
      </c>
      <c r="BC1009" s="71" t="s">
        <v>207</v>
      </c>
      <c r="BD1009" s="71">
        <v>7.01</v>
      </c>
      <c r="BE1009" s="71">
        <v>36</v>
      </c>
      <c r="BF1009" s="71">
        <v>390</v>
      </c>
      <c r="BG1009" s="71">
        <v>212</v>
      </c>
      <c r="BH1009" s="71">
        <v>5</v>
      </c>
      <c r="BI1009" s="71">
        <v>10</v>
      </c>
      <c r="BJ1009" s="12" t="str" cm="1">
        <f t="array" ref="BJ1009">_xll.Dce_Name_SectI(BF1009, BF1009, BG1009, BH1009, BI1009, "x", "-", $AX$11)</f>
        <v>390x212x5x10</v>
      </c>
      <c r="BK1009" s="77" cm="1">
        <f t="array" ref="BK1009">_xll.DCEPropSectI(BF1009, BH1009, BG1009, BI1009, BG1009, BI1009, "A")/100</f>
        <v>60.9</v>
      </c>
      <c r="BL1009" s="70" t="s">
        <v>226</v>
      </c>
      <c r="BM1009" s="70">
        <v>-61.423522120528048</v>
      </c>
      <c r="BN1009" s="71">
        <v>0.9</v>
      </c>
      <c r="BO1009" s="77">
        <f t="shared" si="131"/>
        <v>32.4</v>
      </c>
      <c r="BP1009" s="71">
        <v>0.9</v>
      </c>
      <c r="BQ1009" s="77">
        <f t="shared" si="132"/>
        <v>32.4</v>
      </c>
      <c r="BR1009" s="77" cm="1">
        <f t="array" ref="BR1009">_xll.DCEPropSectI(BF1009, BH1009, BG1009, BI1009, BG1009, BI1009, "rx")/10</f>
        <v>16.91131201300167</v>
      </c>
      <c r="BS1009" s="77" cm="1">
        <f t="array" ref="BS1009">_xll.DCEPropSectI(BF1009, BH1009, BG1009, BI1009, BG1009, BI1009, "ry")/10</f>
        <v>5.1070747638622018</v>
      </c>
      <c r="BT1009" s="5">
        <f t="shared" si="133"/>
        <v>191.58773710218577</v>
      </c>
      <c r="BU1009" s="5">
        <f t="shared" si="134"/>
        <v>634.41405301647956</v>
      </c>
      <c r="BV1009" s="5">
        <f t="shared" si="135"/>
        <v>634.41405301647956</v>
      </c>
      <c r="BW1009" s="71">
        <f t="shared" si="136"/>
        <v>200</v>
      </c>
      <c r="BX1009" s="78" cm="1">
        <f t="array" ref="BX1009">IF(BM1009&gt;0,1,_xll.DCETCVN5575FactorPhi7121(BV1009*SQRT($K$17/206000),"b"))</f>
        <v>1.6670876655456978E-2</v>
      </c>
      <c r="BY1009" s="64">
        <f t="shared" si="137"/>
        <v>2.8809763311460488</v>
      </c>
      <c r="BZ1009" s="3" t="str">
        <f t="shared" si="138"/>
        <v>Check</v>
      </c>
    </row>
    <row r="1010" spans="1:78">
      <c r="A1010" s="76"/>
      <c r="B1010" s="76"/>
      <c r="C1010" s="125"/>
      <c r="D1010" s="125"/>
      <c r="E1010" s="71"/>
      <c r="F1010" s="71"/>
      <c r="G1010" s="71"/>
      <c r="H1010" s="126"/>
      <c r="I1010" s="125"/>
      <c r="J1010" s="123"/>
      <c r="K1010" s="12"/>
      <c r="L1010" s="117"/>
      <c r="M1010" s="12"/>
      <c r="N1010" s="117"/>
      <c r="O1010" s="117"/>
      <c r="P1010" s="117"/>
      <c r="Q1010" s="118"/>
      <c r="R1010" s="118"/>
      <c r="S1010" s="118"/>
      <c r="T1010" s="12"/>
      <c r="U1010" s="118"/>
      <c r="V1010" s="118"/>
      <c r="W1010" s="12"/>
      <c r="X1010" s="119"/>
      <c r="Y1010" s="120"/>
      <c r="Z1010" s="12"/>
      <c r="BA1010" s="70" t="s">
        <v>205</v>
      </c>
      <c r="BB1010" s="71" t="s">
        <v>210</v>
      </c>
      <c r="BC1010" s="71" t="s">
        <v>207</v>
      </c>
      <c r="BD1010" s="71">
        <v>7.5</v>
      </c>
      <c r="BE1010" s="71">
        <v>36</v>
      </c>
      <c r="BF1010" s="71">
        <v>390</v>
      </c>
      <c r="BG1010" s="71">
        <v>212</v>
      </c>
      <c r="BH1010" s="71">
        <v>5</v>
      </c>
      <c r="BI1010" s="71">
        <v>10</v>
      </c>
      <c r="BJ1010" s="12" t="str" cm="1">
        <f t="array" ref="BJ1010">_xll.Dce_Name_SectI(BF1010, BF1010, BG1010, BH1010, BI1010, "x", "-", $AX$11)</f>
        <v>390x212x5x10</v>
      </c>
      <c r="BK1010" s="77" cm="1">
        <f t="array" ref="BK1010">_xll.DCEPropSectI(BF1010, BH1010, BG1010, BI1010, BG1010, BI1010, "A")/100</f>
        <v>60.9</v>
      </c>
      <c r="BL1010" s="70" t="s">
        <v>226</v>
      </c>
      <c r="BM1010" s="70">
        <v>-61.423522120528048</v>
      </c>
      <c r="BN1010" s="71">
        <v>0.9</v>
      </c>
      <c r="BO1010" s="77">
        <f t="shared" si="131"/>
        <v>32.4</v>
      </c>
      <c r="BP1010" s="71">
        <v>0.9</v>
      </c>
      <c r="BQ1010" s="77">
        <f t="shared" si="132"/>
        <v>32.4</v>
      </c>
      <c r="BR1010" s="77" cm="1">
        <f t="array" ref="BR1010">_xll.DCEPropSectI(BF1010, BH1010, BG1010, BI1010, BG1010, BI1010, "rx")/10</f>
        <v>16.91131201300167</v>
      </c>
      <c r="BS1010" s="77" cm="1">
        <f t="array" ref="BS1010">_xll.DCEPropSectI(BF1010, BH1010, BG1010, BI1010, BG1010, BI1010, "ry")/10</f>
        <v>5.1070747638622018</v>
      </c>
      <c r="BT1010" s="5">
        <f t="shared" si="133"/>
        <v>191.58773710218577</v>
      </c>
      <c r="BU1010" s="5">
        <f t="shared" si="134"/>
        <v>634.41405301647956</v>
      </c>
      <c r="BV1010" s="5">
        <f t="shared" si="135"/>
        <v>634.41405301647956</v>
      </c>
      <c r="BW1010" s="71">
        <f t="shared" si="136"/>
        <v>200</v>
      </c>
      <c r="BX1010" s="78" cm="1">
        <f t="array" ref="BX1010">IF(BM1010&gt;0,1,_xll.DCETCVN5575FactorPhi7121(BV1010*SQRT($K$17/206000),"b"))</f>
        <v>1.6670876655456978E-2</v>
      </c>
      <c r="BY1010" s="64">
        <f t="shared" si="137"/>
        <v>2.8809763311460488</v>
      </c>
      <c r="BZ1010" s="3" t="str">
        <f t="shared" si="138"/>
        <v>Check</v>
      </c>
    </row>
    <row r="1011" spans="1:78">
      <c r="A1011" s="76"/>
      <c r="B1011" s="76"/>
      <c r="C1011" s="125"/>
      <c r="D1011" s="125"/>
      <c r="E1011" s="71"/>
      <c r="F1011" s="71"/>
      <c r="G1011" s="71"/>
      <c r="H1011" s="126"/>
      <c r="I1011" s="125"/>
      <c r="J1011" s="123"/>
      <c r="K1011" s="12"/>
      <c r="L1011" s="117"/>
      <c r="M1011" s="12"/>
      <c r="N1011" s="117"/>
      <c r="O1011" s="117"/>
      <c r="P1011" s="117"/>
      <c r="Q1011" s="118"/>
      <c r="R1011" s="118"/>
      <c r="S1011" s="118"/>
      <c r="T1011" s="12"/>
      <c r="U1011" s="118"/>
      <c r="V1011" s="118"/>
      <c r="W1011" s="12"/>
      <c r="X1011" s="119"/>
      <c r="Y1011" s="120"/>
      <c r="Z1011" s="12"/>
      <c r="BA1011" s="70" t="s">
        <v>205</v>
      </c>
      <c r="BB1011" s="71" t="s">
        <v>210</v>
      </c>
      <c r="BC1011" s="71" t="s">
        <v>207</v>
      </c>
      <c r="BD1011" s="71">
        <v>7.5</v>
      </c>
      <c r="BE1011" s="71">
        <v>36</v>
      </c>
      <c r="BF1011" s="71">
        <v>390</v>
      </c>
      <c r="BG1011" s="71">
        <v>212</v>
      </c>
      <c r="BH1011" s="71">
        <v>5</v>
      </c>
      <c r="BI1011" s="71">
        <v>10</v>
      </c>
      <c r="BJ1011" s="12" t="str" cm="1">
        <f t="array" ref="BJ1011">_xll.Dce_Name_SectI(BF1011, BF1011, BG1011, BH1011, BI1011, "x", "-", $AX$11)</f>
        <v>390x212x5x10</v>
      </c>
      <c r="BK1011" s="77" cm="1">
        <f t="array" ref="BK1011">_xll.DCEPropSectI(BF1011, BH1011, BG1011, BI1011, BG1011, BI1011, "A")/100</f>
        <v>60.9</v>
      </c>
      <c r="BL1011" s="70" t="s">
        <v>226</v>
      </c>
      <c r="BM1011" s="70">
        <v>8.9591968012402674</v>
      </c>
      <c r="BN1011" s="71">
        <v>0.9</v>
      </c>
      <c r="BO1011" s="77">
        <f t="shared" si="131"/>
        <v>32.4</v>
      </c>
      <c r="BP1011" s="71">
        <v>0.9</v>
      </c>
      <c r="BQ1011" s="77">
        <f t="shared" si="132"/>
        <v>32.4</v>
      </c>
      <c r="BR1011" s="77" cm="1">
        <f t="array" ref="BR1011">_xll.DCEPropSectI(BF1011, BH1011, BG1011, BI1011, BG1011, BI1011, "rx")/10</f>
        <v>16.91131201300167</v>
      </c>
      <c r="BS1011" s="77" cm="1">
        <f t="array" ref="BS1011">_xll.DCEPropSectI(BF1011, BH1011, BG1011, BI1011, BG1011, BI1011, "ry")/10</f>
        <v>5.1070747638622018</v>
      </c>
      <c r="BT1011" s="5">
        <f t="shared" si="133"/>
        <v>191.58773710218577</v>
      </c>
      <c r="BU1011" s="5">
        <f t="shared" si="134"/>
        <v>634.41405301647956</v>
      </c>
      <c r="BV1011" s="5">
        <f t="shared" si="135"/>
        <v>634.41405301647956</v>
      </c>
      <c r="BW1011" s="71">
        <f t="shared" si="136"/>
        <v>400</v>
      </c>
      <c r="BX1011" s="78" cm="1">
        <f t="array" ref="BX1011">IF(BM1011&gt;0,1,_xll.DCETCVN5575FactorPhi7121(BV1011*SQRT($K$17/206000),"b"))</f>
        <v>1</v>
      </c>
      <c r="BY1011" s="64">
        <f t="shared" si="137"/>
        <v>7.0053927603724048E-3</v>
      </c>
      <c r="BZ1011" s="3" t="str">
        <f t="shared" si="138"/>
        <v>Check</v>
      </c>
    </row>
    <row r="1012" spans="1:78">
      <c r="A1012" s="76"/>
      <c r="B1012" s="76"/>
      <c r="C1012" s="125"/>
      <c r="D1012" s="125"/>
      <c r="E1012" s="71"/>
      <c r="F1012" s="71"/>
      <c r="G1012" s="71"/>
      <c r="H1012" s="126"/>
      <c r="I1012" s="125"/>
      <c r="J1012" s="123"/>
      <c r="K1012" s="12"/>
      <c r="L1012" s="117"/>
      <c r="M1012" s="12"/>
      <c r="N1012" s="117"/>
      <c r="O1012" s="117"/>
      <c r="P1012" s="117"/>
      <c r="Q1012" s="118"/>
      <c r="R1012" s="118"/>
      <c r="S1012" s="118"/>
      <c r="T1012" s="12"/>
      <c r="U1012" s="118"/>
      <c r="V1012" s="118"/>
      <c r="W1012" s="12"/>
      <c r="X1012" s="119"/>
      <c r="Y1012" s="120"/>
      <c r="Z1012" s="12"/>
      <c r="BA1012" s="70" t="s">
        <v>205</v>
      </c>
      <c r="BB1012" s="71" t="s">
        <v>210</v>
      </c>
      <c r="BC1012" s="71" t="s">
        <v>207</v>
      </c>
      <c r="BD1012" s="71">
        <v>8</v>
      </c>
      <c r="BE1012" s="71">
        <v>36</v>
      </c>
      <c r="BF1012" s="71">
        <v>390</v>
      </c>
      <c r="BG1012" s="71">
        <v>212</v>
      </c>
      <c r="BH1012" s="71">
        <v>5</v>
      </c>
      <c r="BI1012" s="71">
        <v>10</v>
      </c>
      <c r="BJ1012" s="12" t="str" cm="1">
        <f t="array" ref="BJ1012">_xll.Dce_Name_SectI(BF1012, BF1012, BG1012, BH1012, BI1012, "x", "-", $AX$11)</f>
        <v>390x212x5x10</v>
      </c>
      <c r="BK1012" s="77" cm="1">
        <f t="array" ref="BK1012">_xll.DCEPropSectI(BF1012, BH1012, BG1012, BI1012, BG1012, BI1012, "A")/100</f>
        <v>60.9</v>
      </c>
      <c r="BL1012" s="70" t="s">
        <v>226</v>
      </c>
      <c r="BM1012" s="70">
        <v>8.9591968012402674</v>
      </c>
      <c r="BN1012" s="71">
        <v>0.9</v>
      </c>
      <c r="BO1012" s="77">
        <f t="shared" si="131"/>
        <v>32.4</v>
      </c>
      <c r="BP1012" s="71">
        <v>0.9</v>
      </c>
      <c r="BQ1012" s="77">
        <f t="shared" si="132"/>
        <v>32.4</v>
      </c>
      <c r="BR1012" s="77" cm="1">
        <f t="array" ref="BR1012">_xll.DCEPropSectI(BF1012, BH1012, BG1012, BI1012, BG1012, BI1012, "rx")/10</f>
        <v>16.91131201300167</v>
      </c>
      <c r="BS1012" s="77" cm="1">
        <f t="array" ref="BS1012">_xll.DCEPropSectI(BF1012, BH1012, BG1012, BI1012, BG1012, BI1012, "ry")/10</f>
        <v>5.1070747638622018</v>
      </c>
      <c r="BT1012" s="5">
        <f t="shared" si="133"/>
        <v>191.58773710218577</v>
      </c>
      <c r="BU1012" s="5">
        <f t="shared" si="134"/>
        <v>634.41405301647956</v>
      </c>
      <c r="BV1012" s="5">
        <f t="shared" si="135"/>
        <v>634.41405301647956</v>
      </c>
      <c r="BW1012" s="71">
        <f t="shared" si="136"/>
        <v>400</v>
      </c>
      <c r="BX1012" s="78" cm="1">
        <f t="array" ref="BX1012">IF(BM1012&gt;0,1,_xll.DCETCVN5575FactorPhi7121(BV1012*SQRT($K$17/206000),"b"))</f>
        <v>1</v>
      </c>
      <c r="BY1012" s="64">
        <f t="shared" si="137"/>
        <v>7.0053927603724048E-3</v>
      </c>
      <c r="BZ1012" s="3" t="str">
        <f t="shared" si="138"/>
        <v>Check</v>
      </c>
    </row>
    <row r="1013" spans="1:78">
      <c r="A1013" s="76"/>
      <c r="B1013" s="76"/>
      <c r="C1013" s="125"/>
      <c r="D1013" s="125"/>
      <c r="E1013" s="71"/>
      <c r="F1013" s="71"/>
      <c r="G1013" s="71"/>
      <c r="H1013" s="126"/>
      <c r="I1013" s="125"/>
      <c r="J1013" s="123"/>
      <c r="K1013" s="12"/>
      <c r="L1013" s="117"/>
      <c r="M1013" s="12"/>
      <c r="N1013" s="117"/>
      <c r="O1013" s="117"/>
      <c r="P1013" s="117"/>
      <c r="Q1013" s="118"/>
      <c r="R1013" s="118"/>
      <c r="S1013" s="118"/>
      <c r="T1013" s="12"/>
      <c r="U1013" s="118"/>
      <c r="V1013" s="118"/>
      <c r="W1013" s="12"/>
      <c r="X1013" s="119"/>
      <c r="Y1013" s="120"/>
      <c r="Z1013" s="12"/>
      <c r="BA1013" s="70" t="s">
        <v>205</v>
      </c>
      <c r="BB1013" s="71" t="s">
        <v>210</v>
      </c>
      <c r="BC1013" s="71" t="s">
        <v>207</v>
      </c>
      <c r="BD1013" s="71">
        <v>8.5</v>
      </c>
      <c r="BE1013" s="71">
        <v>36</v>
      </c>
      <c r="BF1013" s="71">
        <v>390</v>
      </c>
      <c r="BG1013" s="71">
        <v>212</v>
      </c>
      <c r="BH1013" s="71">
        <v>5</v>
      </c>
      <c r="BI1013" s="71">
        <v>10</v>
      </c>
      <c r="BJ1013" s="12" t="str" cm="1">
        <f t="array" ref="BJ1013">_xll.Dce_Name_SectI(BF1013, BF1013, BG1013, BH1013, BI1013, "x", "-", $AX$11)</f>
        <v>390x212x5x10</v>
      </c>
      <c r="BK1013" s="77" cm="1">
        <f t="array" ref="BK1013">_xll.DCEPropSectI(BF1013, BH1013, BG1013, BI1013, BG1013, BI1013, "A")/100</f>
        <v>60.9</v>
      </c>
      <c r="BL1013" s="70" t="s">
        <v>226</v>
      </c>
      <c r="BM1013" s="70">
        <v>8.9591968012402674</v>
      </c>
      <c r="BN1013" s="71">
        <v>0.9</v>
      </c>
      <c r="BO1013" s="77">
        <f t="shared" si="131"/>
        <v>32.4</v>
      </c>
      <c r="BP1013" s="71">
        <v>0.9</v>
      </c>
      <c r="BQ1013" s="77">
        <f t="shared" si="132"/>
        <v>32.4</v>
      </c>
      <c r="BR1013" s="77" cm="1">
        <f t="array" ref="BR1013">_xll.DCEPropSectI(BF1013, BH1013, BG1013, BI1013, BG1013, BI1013, "rx")/10</f>
        <v>16.91131201300167</v>
      </c>
      <c r="BS1013" s="77" cm="1">
        <f t="array" ref="BS1013">_xll.DCEPropSectI(BF1013, BH1013, BG1013, BI1013, BG1013, BI1013, "ry")/10</f>
        <v>5.1070747638622018</v>
      </c>
      <c r="BT1013" s="5">
        <f t="shared" si="133"/>
        <v>191.58773710218577</v>
      </c>
      <c r="BU1013" s="5">
        <f t="shared" si="134"/>
        <v>634.41405301647956</v>
      </c>
      <c r="BV1013" s="5">
        <f t="shared" si="135"/>
        <v>634.41405301647956</v>
      </c>
      <c r="BW1013" s="71">
        <f t="shared" si="136"/>
        <v>400</v>
      </c>
      <c r="BX1013" s="78" cm="1">
        <f t="array" ref="BX1013">IF(BM1013&gt;0,1,_xll.DCETCVN5575FactorPhi7121(BV1013*SQRT($K$17/206000),"b"))</f>
        <v>1</v>
      </c>
      <c r="BY1013" s="64">
        <f t="shared" si="137"/>
        <v>7.0053927603724048E-3</v>
      </c>
      <c r="BZ1013" s="3" t="str">
        <f t="shared" si="138"/>
        <v>Check</v>
      </c>
    </row>
    <row r="1014" spans="1:78">
      <c r="A1014" s="76"/>
      <c r="B1014" s="76"/>
      <c r="C1014" s="125"/>
      <c r="D1014" s="125"/>
      <c r="E1014" s="71"/>
      <c r="F1014" s="71"/>
      <c r="G1014" s="71"/>
      <c r="H1014" s="126"/>
      <c r="I1014" s="125"/>
      <c r="J1014" s="123"/>
      <c r="K1014" s="12"/>
      <c r="L1014" s="117"/>
      <c r="M1014" s="12"/>
      <c r="N1014" s="117"/>
      <c r="O1014" s="117"/>
      <c r="P1014" s="117"/>
      <c r="Q1014" s="118"/>
      <c r="R1014" s="118"/>
      <c r="S1014" s="118"/>
      <c r="T1014" s="12"/>
      <c r="U1014" s="118"/>
      <c r="V1014" s="118"/>
      <c r="W1014" s="12"/>
      <c r="X1014" s="119"/>
      <c r="Y1014" s="120"/>
      <c r="Z1014" s="12"/>
      <c r="BA1014" s="70" t="s">
        <v>205</v>
      </c>
      <c r="BB1014" s="71" t="s">
        <v>210</v>
      </c>
      <c r="BC1014" s="71" t="s">
        <v>207</v>
      </c>
      <c r="BD1014" s="71">
        <v>9</v>
      </c>
      <c r="BE1014" s="71">
        <v>36</v>
      </c>
      <c r="BF1014" s="71">
        <v>390</v>
      </c>
      <c r="BG1014" s="71">
        <v>212</v>
      </c>
      <c r="BH1014" s="71">
        <v>5</v>
      </c>
      <c r="BI1014" s="71">
        <v>10</v>
      </c>
      <c r="BJ1014" s="12" t="str" cm="1">
        <f t="array" ref="BJ1014">_xll.Dce_Name_SectI(BF1014, BF1014, BG1014, BH1014, BI1014, "x", "-", $AX$11)</f>
        <v>390x212x5x10</v>
      </c>
      <c r="BK1014" s="77" cm="1">
        <f t="array" ref="BK1014">_xll.DCEPropSectI(BF1014, BH1014, BG1014, BI1014, BG1014, BI1014, "A")/100</f>
        <v>60.9</v>
      </c>
      <c r="BL1014" s="70" t="s">
        <v>226</v>
      </c>
      <c r="BM1014" s="70">
        <v>8.9591968012402674</v>
      </c>
      <c r="BN1014" s="71">
        <v>0.9</v>
      </c>
      <c r="BO1014" s="77">
        <f t="shared" si="131"/>
        <v>32.4</v>
      </c>
      <c r="BP1014" s="71">
        <v>0.9</v>
      </c>
      <c r="BQ1014" s="77">
        <f t="shared" si="132"/>
        <v>32.4</v>
      </c>
      <c r="BR1014" s="77" cm="1">
        <f t="array" ref="BR1014">_xll.DCEPropSectI(BF1014, BH1014, BG1014, BI1014, BG1014, BI1014, "rx")/10</f>
        <v>16.91131201300167</v>
      </c>
      <c r="BS1014" s="77" cm="1">
        <f t="array" ref="BS1014">_xll.DCEPropSectI(BF1014, BH1014, BG1014, BI1014, BG1014, BI1014, "ry")/10</f>
        <v>5.1070747638622018</v>
      </c>
      <c r="BT1014" s="5">
        <f t="shared" si="133"/>
        <v>191.58773710218577</v>
      </c>
      <c r="BU1014" s="5">
        <f t="shared" si="134"/>
        <v>634.41405301647956</v>
      </c>
      <c r="BV1014" s="5">
        <f t="shared" si="135"/>
        <v>634.41405301647956</v>
      </c>
      <c r="BW1014" s="71">
        <f t="shared" si="136"/>
        <v>400</v>
      </c>
      <c r="BX1014" s="78" cm="1">
        <f t="array" ref="BX1014">IF(BM1014&gt;0,1,_xll.DCETCVN5575FactorPhi7121(BV1014*SQRT($K$17/206000),"b"))</f>
        <v>1</v>
      </c>
      <c r="BY1014" s="64">
        <f t="shared" si="137"/>
        <v>7.0053927603724048E-3</v>
      </c>
      <c r="BZ1014" s="3" t="str">
        <f t="shared" si="138"/>
        <v>Check</v>
      </c>
    </row>
    <row r="1015" spans="1:78">
      <c r="A1015" s="76"/>
      <c r="B1015" s="76"/>
      <c r="C1015" s="125"/>
      <c r="D1015" s="125"/>
      <c r="E1015" s="71"/>
      <c r="F1015" s="71"/>
      <c r="G1015" s="71"/>
      <c r="H1015" s="126"/>
      <c r="I1015" s="125"/>
      <c r="J1015" s="123"/>
      <c r="K1015" s="12"/>
      <c r="L1015" s="117"/>
      <c r="M1015" s="12"/>
      <c r="N1015" s="117"/>
      <c r="O1015" s="117"/>
      <c r="P1015" s="117"/>
      <c r="Q1015" s="118"/>
      <c r="R1015" s="118"/>
      <c r="S1015" s="118"/>
      <c r="T1015" s="12"/>
      <c r="U1015" s="118"/>
      <c r="V1015" s="118"/>
      <c r="W1015" s="12"/>
      <c r="X1015" s="119"/>
      <c r="Y1015" s="120"/>
      <c r="Z1015" s="12"/>
      <c r="BA1015" s="70" t="s">
        <v>205</v>
      </c>
      <c r="BB1015" s="71" t="s">
        <v>210</v>
      </c>
      <c r="BC1015" s="71" t="s">
        <v>207</v>
      </c>
      <c r="BD1015" s="71">
        <v>9.5</v>
      </c>
      <c r="BE1015" s="71">
        <v>36</v>
      </c>
      <c r="BF1015" s="71">
        <v>390</v>
      </c>
      <c r="BG1015" s="71">
        <v>212</v>
      </c>
      <c r="BH1015" s="71">
        <v>5</v>
      </c>
      <c r="BI1015" s="71">
        <v>10</v>
      </c>
      <c r="BJ1015" s="12" t="str" cm="1">
        <f t="array" ref="BJ1015">_xll.Dce_Name_SectI(BF1015, BF1015, BG1015, BH1015, BI1015, "x", "-", $AX$11)</f>
        <v>390x212x5x10</v>
      </c>
      <c r="BK1015" s="77" cm="1">
        <f t="array" ref="BK1015">_xll.DCEPropSectI(BF1015, BH1015, BG1015, BI1015, BG1015, BI1015, "A")/100</f>
        <v>60.9</v>
      </c>
      <c r="BL1015" s="70" t="s">
        <v>226</v>
      </c>
      <c r="BM1015" s="70">
        <v>8.9591968012402674</v>
      </c>
      <c r="BN1015" s="71">
        <v>0.9</v>
      </c>
      <c r="BO1015" s="77">
        <f t="shared" si="131"/>
        <v>32.4</v>
      </c>
      <c r="BP1015" s="71">
        <v>0.9</v>
      </c>
      <c r="BQ1015" s="77">
        <f t="shared" si="132"/>
        <v>32.4</v>
      </c>
      <c r="BR1015" s="77" cm="1">
        <f t="array" ref="BR1015">_xll.DCEPropSectI(BF1015, BH1015, BG1015, BI1015, BG1015, BI1015, "rx")/10</f>
        <v>16.91131201300167</v>
      </c>
      <c r="BS1015" s="77" cm="1">
        <f t="array" ref="BS1015">_xll.DCEPropSectI(BF1015, BH1015, BG1015, BI1015, BG1015, BI1015, "ry")/10</f>
        <v>5.1070747638622018</v>
      </c>
      <c r="BT1015" s="5">
        <f t="shared" si="133"/>
        <v>191.58773710218577</v>
      </c>
      <c r="BU1015" s="5">
        <f t="shared" si="134"/>
        <v>634.41405301647956</v>
      </c>
      <c r="BV1015" s="5">
        <f t="shared" si="135"/>
        <v>634.41405301647956</v>
      </c>
      <c r="BW1015" s="71">
        <f t="shared" si="136"/>
        <v>400</v>
      </c>
      <c r="BX1015" s="78" cm="1">
        <f t="array" ref="BX1015">IF(BM1015&gt;0,1,_xll.DCETCVN5575FactorPhi7121(BV1015*SQRT($K$17/206000),"b"))</f>
        <v>1</v>
      </c>
      <c r="BY1015" s="64">
        <f t="shared" si="137"/>
        <v>7.0053927603724048E-3</v>
      </c>
      <c r="BZ1015" s="3" t="str">
        <f t="shared" si="138"/>
        <v>Check</v>
      </c>
    </row>
    <row r="1016" spans="1:78">
      <c r="A1016" s="76"/>
      <c r="B1016" s="76"/>
      <c r="C1016" s="125"/>
      <c r="D1016" s="125"/>
      <c r="E1016" s="71"/>
      <c r="F1016" s="71"/>
      <c r="G1016" s="71"/>
      <c r="H1016" s="126"/>
      <c r="I1016" s="125"/>
      <c r="J1016" s="123"/>
      <c r="K1016" s="12"/>
      <c r="L1016" s="117"/>
      <c r="M1016" s="12"/>
      <c r="N1016" s="117"/>
      <c r="O1016" s="117"/>
      <c r="P1016" s="117"/>
      <c r="Q1016" s="118"/>
      <c r="R1016" s="118"/>
      <c r="S1016" s="118"/>
      <c r="T1016" s="12"/>
      <c r="U1016" s="118"/>
      <c r="V1016" s="118"/>
      <c r="W1016" s="12"/>
      <c r="X1016" s="119"/>
      <c r="Y1016" s="120"/>
      <c r="Z1016" s="12"/>
      <c r="BA1016" s="70" t="s">
        <v>205</v>
      </c>
      <c r="BB1016" s="71" t="s">
        <v>210</v>
      </c>
      <c r="BC1016" s="71" t="s">
        <v>207</v>
      </c>
      <c r="BD1016" s="71">
        <v>10</v>
      </c>
      <c r="BE1016" s="71">
        <v>36</v>
      </c>
      <c r="BF1016" s="71">
        <v>390</v>
      </c>
      <c r="BG1016" s="71">
        <v>212</v>
      </c>
      <c r="BH1016" s="71">
        <v>5</v>
      </c>
      <c r="BI1016" s="71">
        <v>10</v>
      </c>
      <c r="BJ1016" s="12" t="str" cm="1">
        <f t="array" ref="BJ1016">_xll.Dce_Name_SectI(BF1016, BF1016, BG1016, BH1016, BI1016, "x", "-", $AX$11)</f>
        <v>390x212x5x10</v>
      </c>
      <c r="BK1016" s="77" cm="1">
        <f t="array" ref="BK1016">_xll.DCEPropSectI(BF1016, BH1016, BG1016, BI1016, BG1016, BI1016, "A")/100</f>
        <v>60.9</v>
      </c>
      <c r="BL1016" s="70" t="s">
        <v>226</v>
      </c>
      <c r="BM1016" s="70">
        <v>8.9591968012402674</v>
      </c>
      <c r="BN1016" s="71">
        <v>0.9</v>
      </c>
      <c r="BO1016" s="77">
        <f t="shared" si="131"/>
        <v>32.4</v>
      </c>
      <c r="BP1016" s="71">
        <v>0.9</v>
      </c>
      <c r="BQ1016" s="77">
        <f t="shared" si="132"/>
        <v>32.4</v>
      </c>
      <c r="BR1016" s="77" cm="1">
        <f t="array" ref="BR1016">_xll.DCEPropSectI(BF1016, BH1016, BG1016, BI1016, BG1016, BI1016, "rx")/10</f>
        <v>16.91131201300167</v>
      </c>
      <c r="BS1016" s="77" cm="1">
        <f t="array" ref="BS1016">_xll.DCEPropSectI(BF1016, BH1016, BG1016, BI1016, BG1016, BI1016, "ry")/10</f>
        <v>5.1070747638622018</v>
      </c>
      <c r="BT1016" s="5">
        <f t="shared" si="133"/>
        <v>191.58773710218577</v>
      </c>
      <c r="BU1016" s="5">
        <f t="shared" si="134"/>
        <v>634.41405301647956</v>
      </c>
      <c r="BV1016" s="5">
        <f t="shared" si="135"/>
        <v>634.41405301647956</v>
      </c>
      <c r="BW1016" s="71">
        <f t="shared" si="136"/>
        <v>400</v>
      </c>
      <c r="BX1016" s="78" cm="1">
        <f t="array" ref="BX1016">IF(BM1016&gt;0,1,_xll.DCETCVN5575FactorPhi7121(BV1016*SQRT($K$17/206000),"b"))</f>
        <v>1</v>
      </c>
      <c r="BY1016" s="64">
        <f t="shared" si="137"/>
        <v>7.0053927603724048E-3</v>
      </c>
      <c r="BZ1016" s="3" t="str">
        <f t="shared" si="138"/>
        <v>Check</v>
      </c>
    </row>
    <row r="1017" spans="1:78">
      <c r="A1017" s="76"/>
      <c r="B1017" s="76"/>
      <c r="C1017" s="125"/>
      <c r="D1017" s="125"/>
      <c r="E1017" s="71"/>
      <c r="F1017" s="71"/>
      <c r="G1017" s="71"/>
      <c r="H1017" s="126"/>
      <c r="I1017" s="125"/>
      <c r="J1017" s="123"/>
      <c r="K1017" s="12"/>
      <c r="L1017" s="117"/>
      <c r="M1017" s="12"/>
      <c r="N1017" s="117"/>
      <c r="O1017" s="117"/>
      <c r="P1017" s="117"/>
      <c r="Q1017" s="118"/>
      <c r="R1017" s="118"/>
      <c r="S1017" s="118"/>
      <c r="T1017" s="12"/>
      <c r="U1017" s="118"/>
      <c r="V1017" s="118"/>
      <c r="W1017" s="12"/>
      <c r="X1017" s="119"/>
      <c r="Y1017" s="120"/>
      <c r="Z1017" s="12"/>
      <c r="BA1017" s="70" t="s">
        <v>205</v>
      </c>
      <c r="BB1017" s="71" t="s">
        <v>210</v>
      </c>
      <c r="BC1017" s="71" t="s">
        <v>207</v>
      </c>
      <c r="BD1017" s="71">
        <v>10.5</v>
      </c>
      <c r="BE1017" s="71">
        <v>36</v>
      </c>
      <c r="BF1017" s="71">
        <v>390</v>
      </c>
      <c r="BG1017" s="71">
        <v>212</v>
      </c>
      <c r="BH1017" s="71">
        <v>5</v>
      </c>
      <c r="BI1017" s="71">
        <v>10</v>
      </c>
      <c r="BJ1017" s="12" t="str" cm="1">
        <f t="array" ref="BJ1017">_xll.Dce_Name_SectI(BF1017, BF1017, BG1017, BH1017, BI1017, "x", "-", $AX$11)</f>
        <v>390x212x5x10</v>
      </c>
      <c r="BK1017" s="77" cm="1">
        <f t="array" ref="BK1017">_xll.DCEPropSectI(BF1017, BH1017, BG1017, BI1017, BG1017, BI1017, "A")/100</f>
        <v>60.9</v>
      </c>
      <c r="BL1017" s="70" t="s">
        <v>226</v>
      </c>
      <c r="BM1017" s="70">
        <v>8.9591968012402674</v>
      </c>
      <c r="BN1017" s="71">
        <v>0.9</v>
      </c>
      <c r="BO1017" s="77">
        <f t="shared" si="131"/>
        <v>32.4</v>
      </c>
      <c r="BP1017" s="71">
        <v>0.9</v>
      </c>
      <c r="BQ1017" s="77">
        <f t="shared" si="132"/>
        <v>32.4</v>
      </c>
      <c r="BR1017" s="77" cm="1">
        <f t="array" ref="BR1017">_xll.DCEPropSectI(BF1017, BH1017, BG1017, BI1017, BG1017, BI1017, "rx")/10</f>
        <v>16.91131201300167</v>
      </c>
      <c r="BS1017" s="77" cm="1">
        <f t="array" ref="BS1017">_xll.DCEPropSectI(BF1017, BH1017, BG1017, BI1017, BG1017, BI1017, "ry")/10</f>
        <v>5.1070747638622018</v>
      </c>
      <c r="BT1017" s="5">
        <f t="shared" si="133"/>
        <v>191.58773710218577</v>
      </c>
      <c r="BU1017" s="5">
        <f t="shared" si="134"/>
        <v>634.41405301647956</v>
      </c>
      <c r="BV1017" s="5">
        <f t="shared" si="135"/>
        <v>634.41405301647956</v>
      </c>
      <c r="BW1017" s="71">
        <f t="shared" si="136"/>
        <v>400</v>
      </c>
      <c r="BX1017" s="78" cm="1">
        <f t="array" ref="BX1017">IF(BM1017&gt;0,1,_xll.DCETCVN5575FactorPhi7121(BV1017*SQRT($K$17/206000),"b"))</f>
        <v>1</v>
      </c>
      <c r="BY1017" s="64">
        <f t="shared" si="137"/>
        <v>7.0053927603724048E-3</v>
      </c>
      <c r="BZ1017" s="3" t="str">
        <f t="shared" si="138"/>
        <v>Check</v>
      </c>
    </row>
    <row r="1018" spans="1:78">
      <c r="A1018" s="76"/>
      <c r="B1018" s="76"/>
      <c r="C1018" s="125"/>
      <c r="D1018" s="125"/>
      <c r="E1018" s="71"/>
      <c r="F1018" s="71"/>
      <c r="G1018" s="71"/>
      <c r="H1018" s="126"/>
      <c r="I1018" s="125"/>
      <c r="J1018" s="123"/>
      <c r="K1018" s="12"/>
      <c r="L1018" s="117"/>
      <c r="M1018" s="12"/>
      <c r="N1018" s="117"/>
      <c r="O1018" s="117"/>
      <c r="P1018" s="117"/>
      <c r="Q1018" s="118"/>
      <c r="R1018" s="118"/>
      <c r="S1018" s="118"/>
      <c r="T1018" s="12"/>
      <c r="U1018" s="118"/>
      <c r="V1018" s="118"/>
      <c r="W1018" s="12"/>
      <c r="X1018" s="119"/>
      <c r="Y1018" s="120"/>
      <c r="Z1018" s="12"/>
      <c r="BA1018" s="70" t="s">
        <v>205</v>
      </c>
      <c r="BB1018" s="71" t="s">
        <v>210</v>
      </c>
      <c r="BC1018" s="71" t="s">
        <v>207</v>
      </c>
      <c r="BD1018" s="71">
        <v>11</v>
      </c>
      <c r="BE1018" s="71">
        <v>36</v>
      </c>
      <c r="BF1018" s="71">
        <v>390</v>
      </c>
      <c r="BG1018" s="71">
        <v>212</v>
      </c>
      <c r="BH1018" s="71">
        <v>5</v>
      </c>
      <c r="BI1018" s="71">
        <v>10</v>
      </c>
      <c r="BJ1018" s="12" t="str" cm="1">
        <f t="array" ref="BJ1018">_xll.Dce_Name_SectI(BF1018, BF1018, BG1018, BH1018, BI1018, "x", "-", $AX$11)</f>
        <v>390x212x5x10</v>
      </c>
      <c r="BK1018" s="77" cm="1">
        <f t="array" ref="BK1018">_xll.DCEPropSectI(BF1018, BH1018, BG1018, BI1018, BG1018, BI1018, "A")/100</f>
        <v>60.9</v>
      </c>
      <c r="BL1018" s="70" t="s">
        <v>226</v>
      </c>
      <c r="BM1018" s="70">
        <v>8.9591968012402674</v>
      </c>
      <c r="BN1018" s="71">
        <v>0.9</v>
      </c>
      <c r="BO1018" s="77">
        <f t="shared" si="131"/>
        <v>32.4</v>
      </c>
      <c r="BP1018" s="71">
        <v>0.9</v>
      </c>
      <c r="BQ1018" s="77">
        <f t="shared" si="132"/>
        <v>32.4</v>
      </c>
      <c r="BR1018" s="77" cm="1">
        <f t="array" ref="BR1018">_xll.DCEPropSectI(BF1018, BH1018, BG1018, BI1018, BG1018, BI1018, "rx")/10</f>
        <v>16.91131201300167</v>
      </c>
      <c r="BS1018" s="77" cm="1">
        <f t="array" ref="BS1018">_xll.DCEPropSectI(BF1018, BH1018, BG1018, BI1018, BG1018, BI1018, "ry")/10</f>
        <v>5.1070747638622018</v>
      </c>
      <c r="BT1018" s="5">
        <f t="shared" si="133"/>
        <v>191.58773710218577</v>
      </c>
      <c r="BU1018" s="5">
        <f t="shared" si="134"/>
        <v>634.41405301647956</v>
      </c>
      <c r="BV1018" s="5">
        <f t="shared" si="135"/>
        <v>634.41405301647956</v>
      </c>
      <c r="BW1018" s="71">
        <f t="shared" si="136"/>
        <v>400</v>
      </c>
      <c r="BX1018" s="78" cm="1">
        <f t="array" ref="BX1018">IF(BM1018&gt;0,1,_xll.DCETCVN5575FactorPhi7121(BV1018*SQRT($K$17/206000),"b"))</f>
        <v>1</v>
      </c>
      <c r="BY1018" s="64">
        <f t="shared" si="137"/>
        <v>7.0053927603724048E-3</v>
      </c>
      <c r="BZ1018" s="3" t="str">
        <f t="shared" si="138"/>
        <v>Check</v>
      </c>
    </row>
    <row r="1019" spans="1:78">
      <c r="A1019" s="76"/>
      <c r="B1019" s="76"/>
      <c r="C1019" s="125"/>
      <c r="D1019" s="125"/>
      <c r="E1019" s="71"/>
      <c r="F1019" s="71"/>
      <c r="G1019" s="71"/>
      <c r="H1019" s="126"/>
      <c r="I1019" s="125"/>
      <c r="J1019" s="123"/>
      <c r="K1019" s="12"/>
      <c r="L1019" s="117"/>
      <c r="M1019" s="12"/>
      <c r="N1019" s="117"/>
      <c r="O1019" s="117"/>
      <c r="P1019" s="117"/>
      <c r="Q1019" s="118"/>
      <c r="R1019" s="118"/>
      <c r="S1019" s="118"/>
      <c r="T1019" s="12"/>
      <c r="U1019" s="118"/>
      <c r="V1019" s="118"/>
      <c r="W1019" s="12"/>
      <c r="X1019" s="119"/>
      <c r="Y1019" s="120"/>
      <c r="Z1019" s="12"/>
      <c r="BA1019" s="70" t="s">
        <v>205</v>
      </c>
      <c r="BB1019" s="71" t="s">
        <v>210</v>
      </c>
      <c r="BC1019" s="71" t="s">
        <v>207</v>
      </c>
      <c r="BD1019" s="71">
        <v>11.5</v>
      </c>
      <c r="BE1019" s="71">
        <v>36</v>
      </c>
      <c r="BF1019" s="71">
        <v>390</v>
      </c>
      <c r="BG1019" s="71">
        <v>212</v>
      </c>
      <c r="BH1019" s="71">
        <v>5</v>
      </c>
      <c r="BI1019" s="71">
        <v>10</v>
      </c>
      <c r="BJ1019" s="12" t="str" cm="1">
        <f t="array" ref="BJ1019">_xll.Dce_Name_SectI(BF1019, BF1019, BG1019, BH1019, BI1019, "x", "-", $AX$11)</f>
        <v>390x212x5x10</v>
      </c>
      <c r="BK1019" s="77" cm="1">
        <f t="array" ref="BK1019">_xll.DCEPropSectI(BF1019, BH1019, BG1019, BI1019, BG1019, BI1019, "A")/100</f>
        <v>60.9</v>
      </c>
      <c r="BL1019" s="70" t="s">
        <v>226</v>
      </c>
      <c r="BM1019" s="70">
        <v>8.9591968012402674</v>
      </c>
      <c r="BN1019" s="71">
        <v>0.9</v>
      </c>
      <c r="BO1019" s="77">
        <f t="shared" si="131"/>
        <v>32.4</v>
      </c>
      <c r="BP1019" s="71">
        <v>0.9</v>
      </c>
      <c r="BQ1019" s="77">
        <f t="shared" si="132"/>
        <v>32.4</v>
      </c>
      <c r="BR1019" s="77" cm="1">
        <f t="array" ref="BR1019">_xll.DCEPropSectI(BF1019, BH1019, BG1019, BI1019, BG1019, BI1019, "rx")/10</f>
        <v>16.91131201300167</v>
      </c>
      <c r="BS1019" s="77" cm="1">
        <f t="array" ref="BS1019">_xll.DCEPropSectI(BF1019, BH1019, BG1019, BI1019, BG1019, BI1019, "ry")/10</f>
        <v>5.1070747638622018</v>
      </c>
      <c r="BT1019" s="5">
        <f t="shared" si="133"/>
        <v>191.58773710218577</v>
      </c>
      <c r="BU1019" s="5">
        <f t="shared" si="134"/>
        <v>634.41405301647956</v>
      </c>
      <c r="BV1019" s="5">
        <f t="shared" si="135"/>
        <v>634.41405301647956</v>
      </c>
      <c r="BW1019" s="71">
        <f t="shared" si="136"/>
        <v>400</v>
      </c>
      <c r="BX1019" s="78" cm="1">
        <f t="array" ref="BX1019">IF(BM1019&gt;0,1,_xll.DCETCVN5575FactorPhi7121(BV1019*SQRT($K$17/206000),"b"))</f>
        <v>1</v>
      </c>
      <c r="BY1019" s="64">
        <f t="shared" si="137"/>
        <v>7.0053927603724048E-3</v>
      </c>
      <c r="BZ1019" s="3" t="str">
        <f t="shared" si="138"/>
        <v>Check</v>
      </c>
    </row>
    <row r="1020" spans="1:78">
      <c r="A1020" s="76"/>
      <c r="B1020" s="76"/>
      <c r="C1020" s="125"/>
      <c r="D1020" s="125"/>
      <c r="E1020" s="71"/>
      <c r="F1020" s="71"/>
      <c r="G1020" s="71"/>
      <c r="H1020" s="126"/>
      <c r="I1020" s="125"/>
      <c r="J1020" s="123"/>
      <c r="K1020" s="12"/>
      <c r="L1020" s="117"/>
      <c r="M1020" s="12"/>
      <c r="N1020" s="117"/>
      <c r="O1020" s="117"/>
      <c r="P1020" s="117"/>
      <c r="Q1020" s="118"/>
      <c r="R1020" s="118"/>
      <c r="S1020" s="118"/>
      <c r="T1020" s="12"/>
      <c r="U1020" s="118"/>
      <c r="V1020" s="118"/>
      <c r="W1020" s="12"/>
      <c r="X1020" s="119"/>
      <c r="Y1020" s="120"/>
      <c r="Z1020" s="12"/>
      <c r="BA1020" s="70" t="s">
        <v>205</v>
      </c>
      <c r="BB1020" s="71" t="s">
        <v>210</v>
      </c>
      <c r="BC1020" s="71" t="s">
        <v>207</v>
      </c>
      <c r="BD1020" s="71">
        <v>12</v>
      </c>
      <c r="BE1020" s="71">
        <v>36</v>
      </c>
      <c r="BF1020" s="71">
        <v>390</v>
      </c>
      <c r="BG1020" s="71">
        <v>212</v>
      </c>
      <c r="BH1020" s="71">
        <v>5</v>
      </c>
      <c r="BI1020" s="71">
        <v>10</v>
      </c>
      <c r="BJ1020" s="12" t="str" cm="1">
        <f t="array" ref="BJ1020">_xll.Dce_Name_SectI(BF1020, BF1020, BG1020, BH1020, BI1020, "x", "-", $AX$11)</f>
        <v>390x212x5x10</v>
      </c>
      <c r="BK1020" s="77" cm="1">
        <f t="array" ref="BK1020">_xll.DCEPropSectI(BF1020, BH1020, BG1020, BI1020, BG1020, BI1020, "A")/100</f>
        <v>60.9</v>
      </c>
      <c r="BL1020" s="70" t="s">
        <v>226</v>
      </c>
      <c r="BM1020" s="70">
        <v>8.9591968012402674</v>
      </c>
      <c r="BN1020" s="71">
        <v>0.9</v>
      </c>
      <c r="BO1020" s="77">
        <f t="shared" si="131"/>
        <v>32.4</v>
      </c>
      <c r="BP1020" s="71">
        <v>0.9</v>
      </c>
      <c r="BQ1020" s="77">
        <f t="shared" si="132"/>
        <v>32.4</v>
      </c>
      <c r="BR1020" s="77" cm="1">
        <f t="array" ref="BR1020">_xll.DCEPropSectI(BF1020, BH1020, BG1020, BI1020, BG1020, BI1020, "rx")/10</f>
        <v>16.91131201300167</v>
      </c>
      <c r="BS1020" s="77" cm="1">
        <f t="array" ref="BS1020">_xll.DCEPropSectI(BF1020, BH1020, BG1020, BI1020, BG1020, BI1020, "ry")/10</f>
        <v>5.1070747638622018</v>
      </c>
      <c r="BT1020" s="5">
        <f t="shared" si="133"/>
        <v>191.58773710218577</v>
      </c>
      <c r="BU1020" s="5">
        <f t="shared" si="134"/>
        <v>634.41405301647956</v>
      </c>
      <c r="BV1020" s="5">
        <f t="shared" si="135"/>
        <v>634.41405301647956</v>
      </c>
      <c r="BW1020" s="71">
        <f t="shared" si="136"/>
        <v>400</v>
      </c>
      <c r="BX1020" s="78" cm="1">
        <f t="array" ref="BX1020">IF(BM1020&gt;0,1,_xll.DCETCVN5575FactorPhi7121(BV1020*SQRT($K$17/206000),"b"))</f>
        <v>1</v>
      </c>
      <c r="BY1020" s="64">
        <f t="shared" si="137"/>
        <v>7.0053927603724048E-3</v>
      </c>
      <c r="BZ1020" s="3" t="str">
        <f t="shared" si="138"/>
        <v>Check</v>
      </c>
    </row>
    <row r="1021" spans="1:78">
      <c r="A1021" s="76"/>
      <c r="B1021" s="76"/>
      <c r="C1021" s="125"/>
      <c r="D1021" s="125"/>
      <c r="E1021" s="71"/>
      <c r="F1021" s="71"/>
      <c r="G1021" s="71"/>
      <c r="H1021" s="126"/>
      <c r="I1021" s="125"/>
      <c r="J1021" s="123"/>
      <c r="K1021" s="12"/>
      <c r="L1021" s="117"/>
      <c r="M1021" s="12"/>
      <c r="N1021" s="117"/>
      <c r="O1021" s="117"/>
      <c r="P1021" s="117"/>
      <c r="Q1021" s="118"/>
      <c r="R1021" s="118"/>
      <c r="S1021" s="118"/>
      <c r="T1021" s="12"/>
      <c r="U1021" s="118"/>
      <c r="V1021" s="118"/>
      <c r="W1021" s="12"/>
      <c r="X1021" s="119"/>
      <c r="Y1021" s="120"/>
      <c r="Z1021" s="12"/>
      <c r="BA1021" s="70" t="s">
        <v>205</v>
      </c>
      <c r="BB1021" s="71" t="s">
        <v>210</v>
      </c>
      <c r="BC1021" s="71" t="s">
        <v>207</v>
      </c>
      <c r="BD1021" s="71">
        <v>12.5</v>
      </c>
      <c r="BE1021" s="71">
        <v>36</v>
      </c>
      <c r="BF1021" s="71">
        <v>390</v>
      </c>
      <c r="BG1021" s="71">
        <v>212</v>
      </c>
      <c r="BH1021" s="71">
        <v>5</v>
      </c>
      <c r="BI1021" s="71">
        <v>10</v>
      </c>
      <c r="BJ1021" s="12" t="str" cm="1">
        <f t="array" ref="BJ1021">_xll.Dce_Name_SectI(BF1021, BF1021, BG1021, BH1021, BI1021, "x", "-", $AX$11)</f>
        <v>390x212x5x10</v>
      </c>
      <c r="BK1021" s="77" cm="1">
        <f t="array" ref="BK1021">_xll.DCEPropSectI(BF1021, BH1021, BG1021, BI1021, BG1021, BI1021, "A")/100</f>
        <v>60.9</v>
      </c>
      <c r="BL1021" s="70" t="s">
        <v>226</v>
      </c>
      <c r="BM1021" s="70">
        <v>8.9591968012402674</v>
      </c>
      <c r="BN1021" s="71">
        <v>0.9</v>
      </c>
      <c r="BO1021" s="77">
        <f t="shared" si="131"/>
        <v>32.4</v>
      </c>
      <c r="BP1021" s="71">
        <v>0.9</v>
      </c>
      <c r="BQ1021" s="77">
        <f t="shared" si="132"/>
        <v>32.4</v>
      </c>
      <c r="BR1021" s="77" cm="1">
        <f t="array" ref="BR1021">_xll.DCEPropSectI(BF1021, BH1021, BG1021, BI1021, BG1021, BI1021, "rx")/10</f>
        <v>16.91131201300167</v>
      </c>
      <c r="BS1021" s="77" cm="1">
        <f t="array" ref="BS1021">_xll.DCEPropSectI(BF1021, BH1021, BG1021, BI1021, BG1021, BI1021, "ry")/10</f>
        <v>5.1070747638622018</v>
      </c>
      <c r="BT1021" s="5">
        <f t="shared" si="133"/>
        <v>191.58773710218577</v>
      </c>
      <c r="BU1021" s="5">
        <f t="shared" si="134"/>
        <v>634.41405301647956</v>
      </c>
      <c r="BV1021" s="5">
        <f t="shared" si="135"/>
        <v>634.41405301647956</v>
      </c>
      <c r="BW1021" s="71">
        <f t="shared" si="136"/>
        <v>400</v>
      </c>
      <c r="BX1021" s="78" cm="1">
        <f t="array" ref="BX1021">IF(BM1021&gt;0,1,_xll.DCETCVN5575FactorPhi7121(BV1021*SQRT($K$17/206000),"b"))</f>
        <v>1</v>
      </c>
      <c r="BY1021" s="64">
        <f t="shared" si="137"/>
        <v>7.0053927603724048E-3</v>
      </c>
      <c r="BZ1021" s="3" t="str">
        <f t="shared" si="138"/>
        <v>Check</v>
      </c>
    </row>
    <row r="1022" spans="1:78">
      <c r="A1022" s="76"/>
      <c r="B1022" s="76"/>
      <c r="C1022" s="125"/>
      <c r="D1022" s="125"/>
      <c r="E1022" s="71"/>
      <c r="F1022" s="71"/>
      <c r="G1022" s="71"/>
      <c r="H1022" s="126"/>
      <c r="I1022" s="125"/>
      <c r="J1022" s="123"/>
      <c r="K1022" s="12"/>
      <c r="L1022" s="117"/>
      <c r="M1022" s="12"/>
      <c r="N1022" s="117"/>
      <c r="O1022" s="117"/>
      <c r="P1022" s="117"/>
      <c r="Q1022" s="118"/>
      <c r="R1022" s="118"/>
      <c r="S1022" s="118"/>
      <c r="T1022" s="12"/>
      <c r="U1022" s="118"/>
      <c r="V1022" s="118"/>
      <c r="W1022" s="12"/>
      <c r="X1022" s="119"/>
      <c r="Y1022" s="120"/>
      <c r="Z1022" s="12"/>
      <c r="BA1022" s="70" t="s">
        <v>205</v>
      </c>
      <c r="BB1022" s="71" t="s">
        <v>210</v>
      </c>
      <c r="BC1022" s="71" t="s">
        <v>207</v>
      </c>
      <c r="BD1022" s="71">
        <v>13</v>
      </c>
      <c r="BE1022" s="71">
        <v>36</v>
      </c>
      <c r="BF1022" s="71">
        <v>390</v>
      </c>
      <c r="BG1022" s="71">
        <v>212</v>
      </c>
      <c r="BH1022" s="71">
        <v>5</v>
      </c>
      <c r="BI1022" s="71">
        <v>10</v>
      </c>
      <c r="BJ1022" s="12" t="str" cm="1">
        <f t="array" ref="BJ1022">_xll.Dce_Name_SectI(BF1022, BF1022, BG1022, BH1022, BI1022, "x", "-", $AX$11)</f>
        <v>390x212x5x10</v>
      </c>
      <c r="BK1022" s="77" cm="1">
        <f t="array" ref="BK1022">_xll.DCEPropSectI(BF1022, BH1022, BG1022, BI1022, BG1022, BI1022, "A")/100</f>
        <v>60.9</v>
      </c>
      <c r="BL1022" s="70" t="s">
        <v>226</v>
      </c>
      <c r="BM1022" s="70">
        <v>8.9591968012402674</v>
      </c>
      <c r="BN1022" s="71">
        <v>0.9</v>
      </c>
      <c r="BO1022" s="77">
        <f t="shared" si="131"/>
        <v>32.4</v>
      </c>
      <c r="BP1022" s="71">
        <v>0.9</v>
      </c>
      <c r="BQ1022" s="77">
        <f t="shared" si="132"/>
        <v>32.4</v>
      </c>
      <c r="BR1022" s="77" cm="1">
        <f t="array" ref="BR1022">_xll.DCEPropSectI(BF1022, BH1022, BG1022, BI1022, BG1022, BI1022, "rx")/10</f>
        <v>16.91131201300167</v>
      </c>
      <c r="BS1022" s="77" cm="1">
        <f t="array" ref="BS1022">_xll.DCEPropSectI(BF1022, BH1022, BG1022, BI1022, BG1022, BI1022, "ry")/10</f>
        <v>5.1070747638622018</v>
      </c>
      <c r="BT1022" s="5">
        <f t="shared" si="133"/>
        <v>191.58773710218577</v>
      </c>
      <c r="BU1022" s="5">
        <f t="shared" si="134"/>
        <v>634.41405301647956</v>
      </c>
      <c r="BV1022" s="5">
        <f t="shared" si="135"/>
        <v>634.41405301647956</v>
      </c>
      <c r="BW1022" s="71">
        <f t="shared" si="136"/>
        <v>400</v>
      </c>
      <c r="BX1022" s="78" cm="1">
        <f t="array" ref="BX1022">IF(BM1022&gt;0,1,_xll.DCETCVN5575FactorPhi7121(BV1022*SQRT($K$17/206000),"b"))</f>
        <v>1</v>
      </c>
      <c r="BY1022" s="64">
        <f t="shared" si="137"/>
        <v>7.0053927603724048E-3</v>
      </c>
      <c r="BZ1022" s="3" t="str">
        <f t="shared" si="138"/>
        <v>Check</v>
      </c>
    </row>
    <row r="1023" spans="1:78">
      <c r="A1023" s="76"/>
      <c r="B1023" s="76"/>
      <c r="C1023" s="125"/>
      <c r="D1023" s="125"/>
      <c r="E1023" s="71"/>
      <c r="F1023" s="71"/>
      <c r="G1023" s="71"/>
      <c r="H1023" s="126"/>
      <c r="I1023" s="125"/>
      <c r="J1023" s="123"/>
      <c r="K1023" s="12"/>
      <c r="L1023" s="117"/>
      <c r="M1023" s="12"/>
      <c r="N1023" s="117"/>
      <c r="O1023" s="117"/>
      <c r="P1023" s="117"/>
      <c r="Q1023" s="118"/>
      <c r="R1023" s="118"/>
      <c r="S1023" s="118"/>
      <c r="T1023" s="12"/>
      <c r="U1023" s="118"/>
      <c r="V1023" s="118"/>
      <c r="W1023" s="12"/>
      <c r="X1023" s="119"/>
      <c r="Y1023" s="120"/>
      <c r="Z1023" s="12"/>
      <c r="BA1023" s="70" t="s">
        <v>205</v>
      </c>
      <c r="BB1023" s="71" t="s">
        <v>210</v>
      </c>
      <c r="BC1023" s="71" t="s">
        <v>207</v>
      </c>
      <c r="BD1023" s="71">
        <v>13.5</v>
      </c>
      <c r="BE1023" s="71">
        <v>36</v>
      </c>
      <c r="BF1023" s="71">
        <v>390</v>
      </c>
      <c r="BG1023" s="71">
        <v>212</v>
      </c>
      <c r="BH1023" s="71">
        <v>5</v>
      </c>
      <c r="BI1023" s="71">
        <v>10</v>
      </c>
      <c r="BJ1023" s="12" t="str" cm="1">
        <f t="array" ref="BJ1023">_xll.Dce_Name_SectI(BF1023, BF1023, BG1023, BH1023, BI1023, "x", "-", $AX$11)</f>
        <v>390x212x5x10</v>
      </c>
      <c r="BK1023" s="77" cm="1">
        <f t="array" ref="BK1023">_xll.DCEPropSectI(BF1023, BH1023, BG1023, BI1023, BG1023, BI1023, "A")/100</f>
        <v>60.9</v>
      </c>
      <c r="BL1023" s="70" t="s">
        <v>226</v>
      </c>
      <c r="BM1023" s="70">
        <v>8.9591968012402674</v>
      </c>
      <c r="BN1023" s="71">
        <v>0.9</v>
      </c>
      <c r="BO1023" s="77">
        <f t="shared" si="131"/>
        <v>32.4</v>
      </c>
      <c r="BP1023" s="71">
        <v>0.9</v>
      </c>
      <c r="BQ1023" s="77">
        <f t="shared" si="132"/>
        <v>32.4</v>
      </c>
      <c r="BR1023" s="77" cm="1">
        <f t="array" ref="BR1023">_xll.DCEPropSectI(BF1023, BH1023, BG1023, BI1023, BG1023, BI1023, "rx")/10</f>
        <v>16.91131201300167</v>
      </c>
      <c r="BS1023" s="77" cm="1">
        <f t="array" ref="BS1023">_xll.DCEPropSectI(BF1023, BH1023, BG1023, BI1023, BG1023, BI1023, "ry")/10</f>
        <v>5.1070747638622018</v>
      </c>
      <c r="BT1023" s="5">
        <f t="shared" si="133"/>
        <v>191.58773710218577</v>
      </c>
      <c r="BU1023" s="5">
        <f t="shared" si="134"/>
        <v>634.41405301647956</v>
      </c>
      <c r="BV1023" s="5">
        <f t="shared" si="135"/>
        <v>634.41405301647956</v>
      </c>
      <c r="BW1023" s="71">
        <f t="shared" si="136"/>
        <v>400</v>
      </c>
      <c r="BX1023" s="78" cm="1">
        <f t="array" ref="BX1023">IF(BM1023&gt;0,1,_xll.DCETCVN5575FactorPhi7121(BV1023*SQRT($K$17/206000),"b"))</f>
        <v>1</v>
      </c>
      <c r="BY1023" s="64">
        <f t="shared" si="137"/>
        <v>7.0053927603724048E-3</v>
      </c>
      <c r="BZ1023" s="3" t="str">
        <f t="shared" si="138"/>
        <v>Check</v>
      </c>
    </row>
    <row r="1024" spans="1:78">
      <c r="A1024" s="76"/>
      <c r="B1024" s="76"/>
      <c r="C1024" s="125"/>
      <c r="D1024" s="125"/>
      <c r="E1024" s="71"/>
      <c r="F1024" s="71"/>
      <c r="G1024" s="71"/>
      <c r="H1024" s="126"/>
      <c r="I1024" s="125"/>
      <c r="J1024" s="123"/>
      <c r="K1024" s="12"/>
      <c r="L1024" s="117"/>
      <c r="M1024" s="12"/>
      <c r="N1024" s="117"/>
      <c r="O1024" s="117"/>
      <c r="P1024" s="117"/>
      <c r="Q1024" s="118"/>
      <c r="R1024" s="118"/>
      <c r="S1024" s="118"/>
      <c r="T1024" s="12"/>
      <c r="U1024" s="118"/>
      <c r="V1024" s="118"/>
      <c r="W1024" s="12"/>
      <c r="X1024" s="119"/>
      <c r="Y1024" s="120"/>
      <c r="Z1024" s="12"/>
      <c r="BA1024" s="70" t="s">
        <v>205</v>
      </c>
      <c r="BB1024" s="71" t="s">
        <v>210</v>
      </c>
      <c r="BC1024" s="71" t="s">
        <v>207</v>
      </c>
      <c r="BD1024" s="71">
        <v>14</v>
      </c>
      <c r="BE1024" s="71">
        <v>36</v>
      </c>
      <c r="BF1024" s="71">
        <v>390</v>
      </c>
      <c r="BG1024" s="71">
        <v>212</v>
      </c>
      <c r="BH1024" s="71">
        <v>5</v>
      </c>
      <c r="BI1024" s="71">
        <v>10</v>
      </c>
      <c r="BJ1024" s="12" t="str" cm="1">
        <f t="array" ref="BJ1024">_xll.Dce_Name_SectI(BF1024, BF1024, BG1024, BH1024, BI1024, "x", "-", $AX$11)</f>
        <v>390x212x5x10</v>
      </c>
      <c r="BK1024" s="77" cm="1">
        <f t="array" ref="BK1024">_xll.DCEPropSectI(BF1024, BH1024, BG1024, BI1024, BG1024, BI1024, "A")/100</f>
        <v>60.9</v>
      </c>
      <c r="BL1024" s="70" t="s">
        <v>226</v>
      </c>
      <c r="BM1024" s="70">
        <v>8.9591968012402674</v>
      </c>
      <c r="BN1024" s="71">
        <v>0.9</v>
      </c>
      <c r="BO1024" s="77">
        <f t="shared" si="131"/>
        <v>32.4</v>
      </c>
      <c r="BP1024" s="71">
        <v>0.9</v>
      </c>
      <c r="BQ1024" s="77">
        <f t="shared" si="132"/>
        <v>32.4</v>
      </c>
      <c r="BR1024" s="77" cm="1">
        <f t="array" ref="BR1024">_xll.DCEPropSectI(BF1024, BH1024, BG1024, BI1024, BG1024, BI1024, "rx")/10</f>
        <v>16.91131201300167</v>
      </c>
      <c r="BS1024" s="77" cm="1">
        <f t="array" ref="BS1024">_xll.DCEPropSectI(BF1024, BH1024, BG1024, BI1024, BG1024, BI1024, "ry")/10</f>
        <v>5.1070747638622018</v>
      </c>
      <c r="BT1024" s="5">
        <f t="shared" si="133"/>
        <v>191.58773710218577</v>
      </c>
      <c r="BU1024" s="5">
        <f t="shared" si="134"/>
        <v>634.41405301647956</v>
      </c>
      <c r="BV1024" s="5">
        <f t="shared" si="135"/>
        <v>634.41405301647956</v>
      </c>
      <c r="BW1024" s="71">
        <f t="shared" si="136"/>
        <v>400</v>
      </c>
      <c r="BX1024" s="78" cm="1">
        <f t="array" ref="BX1024">IF(BM1024&gt;0,1,_xll.DCETCVN5575FactorPhi7121(BV1024*SQRT($K$17/206000),"b"))</f>
        <v>1</v>
      </c>
      <c r="BY1024" s="64">
        <f t="shared" si="137"/>
        <v>7.0053927603724048E-3</v>
      </c>
      <c r="BZ1024" s="3" t="str">
        <f t="shared" si="138"/>
        <v>Check</v>
      </c>
    </row>
    <row r="1025" spans="1:78">
      <c r="A1025" s="76"/>
      <c r="B1025" s="76"/>
      <c r="C1025" s="125"/>
      <c r="D1025" s="125"/>
      <c r="E1025" s="71"/>
      <c r="F1025" s="71"/>
      <c r="G1025" s="71"/>
      <c r="H1025" s="126"/>
      <c r="I1025" s="125"/>
      <c r="J1025" s="123"/>
      <c r="K1025" s="12"/>
      <c r="L1025" s="117"/>
      <c r="M1025" s="12"/>
      <c r="N1025" s="117"/>
      <c r="O1025" s="117"/>
      <c r="P1025" s="117"/>
      <c r="Q1025" s="118"/>
      <c r="R1025" s="118"/>
      <c r="S1025" s="118"/>
      <c r="T1025" s="12"/>
      <c r="U1025" s="118"/>
      <c r="V1025" s="118"/>
      <c r="W1025" s="12"/>
      <c r="X1025" s="119"/>
      <c r="Y1025" s="120"/>
      <c r="Z1025" s="12"/>
      <c r="BA1025" s="70" t="s">
        <v>205</v>
      </c>
      <c r="BB1025" s="71" t="s">
        <v>210</v>
      </c>
      <c r="BC1025" s="71" t="s">
        <v>207</v>
      </c>
      <c r="BD1025" s="71">
        <v>14.5</v>
      </c>
      <c r="BE1025" s="71">
        <v>36</v>
      </c>
      <c r="BF1025" s="71">
        <v>390</v>
      </c>
      <c r="BG1025" s="71">
        <v>212</v>
      </c>
      <c r="BH1025" s="71">
        <v>5</v>
      </c>
      <c r="BI1025" s="71">
        <v>10</v>
      </c>
      <c r="BJ1025" s="12" t="str" cm="1">
        <f t="array" ref="BJ1025">_xll.Dce_Name_SectI(BF1025, BF1025, BG1025, BH1025, BI1025, "x", "-", $AX$11)</f>
        <v>390x212x5x10</v>
      </c>
      <c r="BK1025" s="77" cm="1">
        <f t="array" ref="BK1025">_xll.DCEPropSectI(BF1025, BH1025, BG1025, BI1025, BG1025, BI1025, "A")/100</f>
        <v>60.9</v>
      </c>
      <c r="BL1025" s="70" t="s">
        <v>226</v>
      </c>
      <c r="BM1025" s="70">
        <v>8.9591968012402674</v>
      </c>
      <c r="BN1025" s="71">
        <v>0.9</v>
      </c>
      <c r="BO1025" s="77">
        <f t="shared" si="131"/>
        <v>32.4</v>
      </c>
      <c r="BP1025" s="71">
        <v>0.9</v>
      </c>
      <c r="BQ1025" s="77">
        <f t="shared" si="132"/>
        <v>32.4</v>
      </c>
      <c r="BR1025" s="77" cm="1">
        <f t="array" ref="BR1025">_xll.DCEPropSectI(BF1025, BH1025, BG1025, BI1025, BG1025, BI1025, "rx")/10</f>
        <v>16.91131201300167</v>
      </c>
      <c r="BS1025" s="77" cm="1">
        <f t="array" ref="BS1025">_xll.DCEPropSectI(BF1025, BH1025, BG1025, BI1025, BG1025, BI1025, "ry")/10</f>
        <v>5.1070747638622018</v>
      </c>
      <c r="BT1025" s="5">
        <f t="shared" si="133"/>
        <v>191.58773710218577</v>
      </c>
      <c r="BU1025" s="5">
        <f t="shared" si="134"/>
        <v>634.41405301647956</v>
      </c>
      <c r="BV1025" s="5">
        <f t="shared" si="135"/>
        <v>634.41405301647956</v>
      </c>
      <c r="BW1025" s="71">
        <f t="shared" si="136"/>
        <v>400</v>
      </c>
      <c r="BX1025" s="78" cm="1">
        <f t="array" ref="BX1025">IF(BM1025&gt;0,1,_xll.DCETCVN5575FactorPhi7121(BV1025*SQRT($K$17/206000),"b"))</f>
        <v>1</v>
      </c>
      <c r="BY1025" s="64">
        <f t="shared" si="137"/>
        <v>7.0053927603724048E-3</v>
      </c>
      <c r="BZ1025" s="3" t="str">
        <f t="shared" si="138"/>
        <v>Check</v>
      </c>
    </row>
    <row r="1026" spans="1:78">
      <c r="A1026" s="76"/>
      <c r="B1026" s="76"/>
      <c r="C1026" s="125"/>
      <c r="D1026" s="125"/>
      <c r="E1026" s="71"/>
      <c r="F1026" s="71"/>
      <c r="G1026" s="71"/>
      <c r="H1026" s="126"/>
      <c r="I1026" s="125"/>
      <c r="J1026" s="123"/>
      <c r="K1026" s="12"/>
      <c r="L1026" s="117"/>
      <c r="M1026" s="12"/>
      <c r="N1026" s="117"/>
      <c r="O1026" s="117"/>
      <c r="P1026" s="117"/>
      <c r="Q1026" s="118"/>
      <c r="R1026" s="118"/>
      <c r="S1026" s="118"/>
      <c r="T1026" s="12"/>
      <c r="U1026" s="118"/>
      <c r="V1026" s="118"/>
      <c r="W1026" s="12"/>
      <c r="X1026" s="119"/>
      <c r="Y1026" s="120"/>
      <c r="Z1026" s="12"/>
      <c r="BA1026" s="70" t="s">
        <v>205</v>
      </c>
      <c r="BB1026" s="71" t="s">
        <v>210</v>
      </c>
      <c r="BC1026" s="71" t="s">
        <v>207</v>
      </c>
      <c r="BD1026" s="71">
        <v>15</v>
      </c>
      <c r="BE1026" s="71">
        <v>36</v>
      </c>
      <c r="BF1026" s="71">
        <v>390</v>
      </c>
      <c r="BG1026" s="71">
        <v>212</v>
      </c>
      <c r="BH1026" s="71">
        <v>5</v>
      </c>
      <c r="BI1026" s="71">
        <v>10</v>
      </c>
      <c r="BJ1026" s="12" t="str" cm="1">
        <f t="array" ref="BJ1026">_xll.Dce_Name_SectI(BF1026, BF1026, BG1026, BH1026, BI1026, "x", "-", $AX$11)</f>
        <v>390x212x5x10</v>
      </c>
      <c r="BK1026" s="77" cm="1">
        <f t="array" ref="BK1026">_xll.DCEPropSectI(BF1026, BH1026, BG1026, BI1026, BG1026, BI1026, "A")/100</f>
        <v>60.9</v>
      </c>
      <c r="BL1026" s="70" t="s">
        <v>226</v>
      </c>
      <c r="BM1026" s="70">
        <v>8.9591968012402674</v>
      </c>
      <c r="BN1026" s="71">
        <v>0.9</v>
      </c>
      <c r="BO1026" s="77">
        <f t="shared" si="131"/>
        <v>32.4</v>
      </c>
      <c r="BP1026" s="71">
        <v>0.9</v>
      </c>
      <c r="BQ1026" s="77">
        <f t="shared" si="132"/>
        <v>32.4</v>
      </c>
      <c r="BR1026" s="77" cm="1">
        <f t="array" ref="BR1026">_xll.DCEPropSectI(BF1026, BH1026, BG1026, BI1026, BG1026, BI1026, "rx")/10</f>
        <v>16.91131201300167</v>
      </c>
      <c r="BS1026" s="77" cm="1">
        <f t="array" ref="BS1026">_xll.DCEPropSectI(BF1026, BH1026, BG1026, BI1026, BG1026, BI1026, "ry")/10</f>
        <v>5.1070747638622018</v>
      </c>
      <c r="BT1026" s="5">
        <f t="shared" si="133"/>
        <v>191.58773710218577</v>
      </c>
      <c r="BU1026" s="5">
        <f t="shared" si="134"/>
        <v>634.41405301647956</v>
      </c>
      <c r="BV1026" s="5">
        <f t="shared" si="135"/>
        <v>634.41405301647956</v>
      </c>
      <c r="BW1026" s="71">
        <f t="shared" si="136"/>
        <v>400</v>
      </c>
      <c r="BX1026" s="78" cm="1">
        <f t="array" ref="BX1026">IF(BM1026&gt;0,1,_xll.DCETCVN5575FactorPhi7121(BV1026*SQRT($K$17/206000),"b"))</f>
        <v>1</v>
      </c>
      <c r="BY1026" s="64">
        <f t="shared" si="137"/>
        <v>7.0053927603724048E-3</v>
      </c>
      <c r="BZ1026" s="3" t="str">
        <f t="shared" si="138"/>
        <v>Check</v>
      </c>
    </row>
    <row r="1027" spans="1:78">
      <c r="A1027" s="76"/>
      <c r="B1027" s="76"/>
      <c r="C1027" s="125"/>
      <c r="D1027" s="125"/>
      <c r="E1027" s="71"/>
      <c r="F1027" s="71"/>
      <c r="G1027" s="71"/>
      <c r="H1027" s="126"/>
      <c r="I1027" s="125"/>
      <c r="J1027" s="123"/>
      <c r="K1027" s="12"/>
      <c r="L1027" s="117"/>
      <c r="M1027" s="12"/>
      <c r="N1027" s="117"/>
      <c r="O1027" s="117"/>
      <c r="P1027" s="117"/>
      <c r="Q1027" s="118"/>
      <c r="R1027" s="118"/>
      <c r="S1027" s="118"/>
      <c r="T1027" s="12"/>
      <c r="U1027" s="118"/>
      <c r="V1027" s="118"/>
      <c r="W1027" s="12"/>
      <c r="X1027" s="119"/>
      <c r="Y1027" s="120"/>
      <c r="Z1027" s="12"/>
      <c r="BA1027" s="70" t="s">
        <v>205</v>
      </c>
      <c r="BB1027" s="71" t="s">
        <v>210</v>
      </c>
      <c r="BC1027" s="71" t="s">
        <v>207</v>
      </c>
      <c r="BD1027" s="71">
        <v>15</v>
      </c>
      <c r="BE1027" s="71">
        <v>36</v>
      </c>
      <c r="BF1027" s="71">
        <v>390</v>
      </c>
      <c r="BG1027" s="71">
        <v>212</v>
      </c>
      <c r="BH1027" s="71">
        <v>5</v>
      </c>
      <c r="BI1027" s="71">
        <v>10</v>
      </c>
      <c r="BJ1027" s="12" t="str" cm="1">
        <f t="array" ref="BJ1027">_xll.Dce_Name_SectI(BF1027, BF1027, BG1027, BH1027, BI1027, "x", "-", $AX$11)</f>
        <v>390x212x5x10</v>
      </c>
      <c r="BK1027" s="77" cm="1">
        <f t="array" ref="BK1027">_xll.DCEPropSectI(BF1027, BH1027, BG1027, BI1027, BG1027, BI1027, "A")/100</f>
        <v>60.9</v>
      </c>
      <c r="BL1027" s="70" t="s">
        <v>226</v>
      </c>
      <c r="BM1027" s="70">
        <v>36.904648315340992</v>
      </c>
      <c r="BN1027" s="71">
        <v>0.9</v>
      </c>
      <c r="BO1027" s="77">
        <f t="shared" si="131"/>
        <v>32.4</v>
      </c>
      <c r="BP1027" s="71">
        <v>0.9</v>
      </c>
      <c r="BQ1027" s="77">
        <f t="shared" si="132"/>
        <v>32.4</v>
      </c>
      <c r="BR1027" s="77" cm="1">
        <f t="array" ref="BR1027">_xll.DCEPropSectI(BF1027, BH1027, BG1027, BI1027, BG1027, BI1027, "rx")/10</f>
        <v>16.91131201300167</v>
      </c>
      <c r="BS1027" s="77" cm="1">
        <f t="array" ref="BS1027">_xll.DCEPropSectI(BF1027, BH1027, BG1027, BI1027, BG1027, BI1027, "ry")/10</f>
        <v>5.1070747638622018</v>
      </c>
      <c r="BT1027" s="5">
        <f t="shared" si="133"/>
        <v>191.58773710218577</v>
      </c>
      <c r="BU1027" s="5">
        <f t="shared" si="134"/>
        <v>634.41405301647956</v>
      </c>
      <c r="BV1027" s="5">
        <f t="shared" si="135"/>
        <v>634.41405301647956</v>
      </c>
      <c r="BW1027" s="71">
        <f t="shared" si="136"/>
        <v>400</v>
      </c>
      <c r="BX1027" s="78" cm="1">
        <f t="array" ref="BX1027">IF(BM1027&gt;0,1,_xll.DCETCVN5575FactorPhi7121(BV1027*SQRT($K$17/206000),"b"))</f>
        <v>1</v>
      </c>
      <c r="BY1027" s="64">
        <f t="shared" si="137"/>
        <v>2.8856555098397841E-2</v>
      </c>
      <c r="BZ1027" s="3" t="str">
        <f t="shared" si="138"/>
        <v>Check</v>
      </c>
    </row>
    <row r="1028" spans="1:78">
      <c r="A1028" s="76"/>
      <c r="B1028" s="76"/>
      <c r="C1028" s="125"/>
      <c r="D1028" s="125"/>
      <c r="E1028" s="71"/>
      <c r="F1028" s="71"/>
      <c r="G1028" s="71"/>
      <c r="H1028" s="126"/>
      <c r="I1028" s="125"/>
      <c r="J1028" s="123"/>
      <c r="K1028" s="12"/>
      <c r="L1028" s="117"/>
      <c r="M1028" s="12"/>
      <c r="N1028" s="117"/>
      <c r="O1028" s="117"/>
      <c r="P1028" s="117"/>
      <c r="Q1028" s="118"/>
      <c r="R1028" s="118"/>
      <c r="S1028" s="118"/>
      <c r="T1028" s="12"/>
      <c r="U1028" s="118"/>
      <c r="V1028" s="118"/>
      <c r="W1028" s="12"/>
      <c r="X1028" s="119"/>
      <c r="Y1028" s="120"/>
      <c r="Z1028" s="12"/>
      <c r="BA1028" s="70" t="s">
        <v>205</v>
      </c>
      <c r="BB1028" s="71" t="s">
        <v>210</v>
      </c>
      <c r="BC1028" s="71" t="s">
        <v>207</v>
      </c>
      <c r="BD1028" s="71">
        <v>15.5</v>
      </c>
      <c r="BE1028" s="71">
        <v>36</v>
      </c>
      <c r="BF1028" s="71">
        <v>390</v>
      </c>
      <c r="BG1028" s="71">
        <v>212</v>
      </c>
      <c r="BH1028" s="71">
        <v>5</v>
      </c>
      <c r="BI1028" s="71">
        <v>10</v>
      </c>
      <c r="BJ1028" s="12" t="str" cm="1">
        <f t="array" ref="BJ1028">_xll.Dce_Name_SectI(BF1028, BF1028, BG1028, BH1028, BI1028, "x", "-", $AX$11)</f>
        <v>390x212x5x10</v>
      </c>
      <c r="BK1028" s="77" cm="1">
        <f t="array" ref="BK1028">_xll.DCEPropSectI(BF1028, BH1028, BG1028, BI1028, BG1028, BI1028, "A")/100</f>
        <v>60.9</v>
      </c>
      <c r="BL1028" s="70" t="s">
        <v>226</v>
      </c>
      <c r="BM1028" s="70">
        <v>36.904648315340992</v>
      </c>
      <c r="BN1028" s="71">
        <v>0.9</v>
      </c>
      <c r="BO1028" s="77">
        <f t="shared" si="131"/>
        <v>32.4</v>
      </c>
      <c r="BP1028" s="71">
        <v>0.9</v>
      </c>
      <c r="BQ1028" s="77">
        <f t="shared" si="132"/>
        <v>32.4</v>
      </c>
      <c r="BR1028" s="77" cm="1">
        <f t="array" ref="BR1028">_xll.DCEPropSectI(BF1028, BH1028, BG1028, BI1028, BG1028, BI1028, "rx")/10</f>
        <v>16.91131201300167</v>
      </c>
      <c r="BS1028" s="77" cm="1">
        <f t="array" ref="BS1028">_xll.DCEPropSectI(BF1028, BH1028, BG1028, BI1028, BG1028, BI1028, "ry")/10</f>
        <v>5.1070747638622018</v>
      </c>
      <c r="BT1028" s="5">
        <f t="shared" si="133"/>
        <v>191.58773710218577</v>
      </c>
      <c r="BU1028" s="5">
        <f t="shared" si="134"/>
        <v>634.41405301647956</v>
      </c>
      <c r="BV1028" s="5">
        <f t="shared" si="135"/>
        <v>634.41405301647956</v>
      </c>
      <c r="BW1028" s="71">
        <f t="shared" si="136"/>
        <v>400</v>
      </c>
      <c r="BX1028" s="78" cm="1">
        <f t="array" ref="BX1028">IF(BM1028&gt;0,1,_xll.DCETCVN5575FactorPhi7121(BV1028*SQRT($K$17/206000),"b"))</f>
        <v>1</v>
      </c>
      <c r="BY1028" s="64">
        <f t="shared" si="137"/>
        <v>2.8856555098397841E-2</v>
      </c>
      <c r="BZ1028" s="3" t="str">
        <f t="shared" si="138"/>
        <v>Check</v>
      </c>
    </row>
    <row r="1029" spans="1:78">
      <c r="A1029" s="76"/>
      <c r="B1029" s="76"/>
      <c r="C1029" s="125"/>
      <c r="D1029" s="125"/>
      <c r="E1029" s="71"/>
      <c r="F1029" s="71"/>
      <c r="G1029" s="71"/>
      <c r="H1029" s="126"/>
      <c r="I1029" s="125"/>
      <c r="J1029" s="123"/>
      <c r="K1029" s="12"/>
      <c r="L1029" s="117"/>
      <c r="M1029" s="12"/>
      <c r="N1029" s="117"/>
      <c r="O1029" s="117"/>
      <c r="P1029" s="117"/>
      <c r="Q1029" s="118"/>
      <c r="R1029" s="118"/>
      <c r="S1029" s="118"/>
      <c r="T1029" s="12"/>
      <c r="U1029" s="118"/>
      <c r="V1029" s="118"/>
      <c r="W1029" s="12"/>
      <c r="X1029" s="119"/>
      <c r="Y1029" s="120"/>
      <c r="Z1029" s="12"/>
      <c r="BA1029" s="70" t="s">
        <v>205</v>
      </c>
      <c r="BB1029" s="71" t="s">
        <v>210</v>
      </c>
      <c r="BC1029" s="71" t="s">
        <v>207</v>
      </c>
      <c r="BD1029" s="71">
        <v>16</v>
      </c>
      <c r="BE1029" s="71">
        <v>36</v>
      </c>
      <c r="BF1029" s="71">
        <v>390</v>
      </c>
      <c r="BG1029" s="71">
        <v>212</v>
      </c>
      <c r="BH1029" s="71">
        <v>5</v>
      </c>
      <c r="BI1029" s="71">
        <v>10</v>
      </c>
      <c r="BJ1029" s="12" t="str" cm="1">
        <f t="array" ref="BJ1029">_xll.Dce_Name_SectI(BF1029, BF1029, BG1029, BH1029, BI1029, "x", "-", $AX$11)</f>
        <v>390x212x5x10</v>
      </c>
      <c r="BK1029" s="77" cm="1">
        <f t="array" ref="BK1029">_xll.DCEPropSectI(BF1029, BH1029, BG1029, BI1029, BG1029, BI1029, "A")/100</f>
        <v>60.9</v>
      </c>
      <c r="BL1029" s="70" t="s">
        <v>226</v>
      </c>
      <c r="BM1029" s="70">
        <v>36.904648315340992</v>
      </c>
      <c r="BN1029" s="71">
        <v>0.9</v>
      </c>
      <c r="BO1029" s="77">
        <f t="shared" si="131"/>
        <v>32.4</v>
      </c>
      <c r="BP1029" s="71">
        <v>0.9</v>
      </c>
      <c r="BQ1029" s="77">
        <f t="shared" si="132"/>
        <v>32.4</v>
      </c>
      <c r="BR1029" s="77" cm="1">
        <f t="array" ref="BR1029">_xll.DCEPropSectI(BF1029, BH1029, BG1029, BI1029, BG1029, BI1029, "rx")/10</f>
        <v>16.91131201300167</v>
      </c>
      <c r="BS1029" s="77" cm="1">
        <f t="array" ref="BS1029">_xll.DCEPropSectI(BF1029, BH1029, BG1029, BI1029, BG1029, BI1029, "ry")/10</f>
        <v>5.1070747638622018</v>
      </c>
      <c r="BT1029" s="5">
        <f t="shared" si="133"/>
        <v>191.58773710218577</v>
      </c>
      <c r="BU1029" s="5">
        <f t="shared" si="134"/>
        <v>634.41405301647956</v>
      </c>
      <c r="BV1029" s="5">
        <f t="shared" si="135"/>
        <v>634.41405301647956</v>
      </c>
      <c r="BW1029" s="71">
        <f t="shared" si="136"/>
        <v>400</v>
      </c>
      <c r="BX1029" s="78" cm="1">
        <f t="array" ref="BX1029">IF(BM1029&gt;0,1,_xll.DCETCVN5575FactorPhi7121(BV1029*SQRT($K$17/206000),"b"))</f>
        <v>1</v>
      </c>
      <c r="BY1029" s="64">
        <f t="shared" si="137"/>
        <v>2.8856555098397841E-2</v>
      </c>
      <c r="BZ1029" s="3" t="str">
        <f t="shared" si="138"/>
        <v>Check</v>
      </c>
    </row>
    <row r="1030" spans="1:78">
      <c r="A1030" s="76"/>
      <c r="B1030" s="76"/>
      <c r="C1030" s="125"/>
      <c r="D1030" s="125"/>
      <c r="E1030" s="71"/>
      <c r="F1030" s="71"/>
      <c r="G1030" s="71"/>
      <c r="H1030" s="126"/>
      <c r="I1030" s="125"/>
      <c r="J1030" s="123"/>
      <c r="K1030" s="12"/>
      <c r="L1030" s="117"/>
      <c r="M1030" s="12"/>
      <c r="N1030" s="117"/>
      <c r="O1030" s="117"/>
      <c r="P1030" s="117"/>
      <c r="Q1030" s="118"/>
      <c r="R1030" s="118"/>
      <c r="S1030" s="118"/>
      <c r="T1030" s="12"/>
      <c r="U1030" s="118"/>
      <c r="V1030" s="118"/>
      <c r="W1030" s="12"/>
      <c r="X1030" s="119"/>
      <c r="Y1030" s="120"/>
      <c r="Z1030" s="12"/>
      <c r="BA1030" s="70" t="s">
        <v>205</v>
      </c>
      <c r="BB1030" s="71" t="s">
        <v>210</v>
      </c>
      <c r="BC1030" s="71" t="s">
        <v>207</v>
      </c>
      <c r="BD1030" s="71">
        <v>16.5</v>
      </c>
      <c r="BE1030" s="71">
        <v>36</v>
      </c>
      <c r="BF1030" s="71">
        <v>390</v>
      </c>
      <c r="BG1030" s="71">
        <v>212</v>
      </c>
      <c r="BH1030" s="71">
        <v>5</v>
      </c>
      <c r="BI1030" s="71">
        <v>10</v>
      </c>
      <c r="BJ1030" s="12" t="str" cm="1">
        <f t="array" ref="BJ1030">_xll.Dce_Name_SectI(BF1030, BF1030, BG1030, BH1030, BI1030, "x", "-", $AX$11)</f>
        <v>390x212x5x10</v>
      </c>
      <c r="BK1030" s="77" cm="1">
        <f t="array" ref="BK1030">_xll.DCEPropSectI(BF1030, BH1030, BG1030, BI1030, BG1030, BI1030, "A")/100</f>
        <v>60.9</v>
      </c>
      <c r="BL1030" s="70" t="s">
        <v>226</v>
      </c>
      <c r="BM1030" s="70">
        <v>36.904648315340992</v>
      </c>
      <c r="BN1030" s="71">
        <v>0.9</v>
      </c>
      <c r="BO1030" s="77">
        <f t="shared" si="131"/>
        <v>32.4</v>
      </c>
      <c r="BP1030" s="71">
        <v>0.9</v>
      </c>
      <c r="BQ1030" s="77">
        <f t="shared" si="132"/>
        <v>32.4</v>
      </c>
      <c r="BR1030" s="77" cm="1">
        <f t="array" ref="BR1030">_xll.DCEPropSectI(BF1030, BH1030, BG1030, BI1030, BG1030, BI1030, "rx")/10</f>
        <v>16.91131201300167</v>
      </c>
      <c r="BS1030" s="77" cm="1">
        <f t="array" ref="BS1030">_xll.DCEPropSectI(BF1030, BH1030, BG1030, BI1030, BG1030, BI1030, "ry")/10</f>
        <v>5.1070747638622018</v>
      </c>
      <c r="BT1030" s="5">
        <f t="shared" si="133"/>
        <v>191.58773710218577</v>
      </c>
      <c r="BU1030" s="5">
        <f t="shared" si="134"/>
        <v>634.41405301647956</v>
      </c>
      <c r="BV1030" s="5">
        <f t="shared" si="135"/>
        <v>634.41405301647956</v>
      </c>
      <c r="BW1030" s="71">
        <f t="shared" si="136"/>
        <v>400</v>
      </c>
      <c r="BX1030" s="78" cm="1">
        <f t="array" ref="BX1030">IF(BM1030&gt;0,1,_xll.DCETCVN5575FactorPhi7121(BV1030*SQRT($K$17/206000),"b"))</f>
        <v>1</v>
      </c>
      <c r="BY1030" s="64">
        <f t="shared" si="137"/>
        <v>2.8856555098397841E-2</v>
      </c>
      <c r="BZ1030" s="3" t="str">
        <f t="shared" si="138"/>
        <v>Check</v>
      </c>
    </row>
    <row r="1031" spans="1:78">
      <c r="A1031" s="76"/>
      <c r="B1031" s="76"/>
      <c r="C1031" s="125"/>
      <c r="D1031" s="125"/>
      <c r="E1031" s="71"/>
      <c r="F1031" s="71"/>
      <c r="G1031" s="71"/>
      <c r="H1031" s="126"/>
      <c r="I1031" s="125"/>
      <c r="J1031" s="123"/>
      <c r="K1031" s="12"/>
      <c r="L1031" s="117"/>
      <c r="M1031" s="12"/>
      <c r="N1031" s="117"/>
      <c r="O1031" s="117"/>
      <c r="P1031" s="117"/>
      <c r="Q1031" s="118"/>
      <c r="R1031" s="118"/>
      <c r="S1031" s="118"/>
      <c r="T1031" s="12"/>
      <c r="U1031" s="118"/>
      <c r="V1031" s="118"/>
      <c r="W1031" s="12"/>
      <c r="X1031" s="119"/>
      <c r="Y1031" s="120"/>
      <c r="Z1031" s="12"/>
      <c r="BA1031" s="70" t="s">
        <v>205</v>
      </c>
      <c r="BB1031" s="71" t="s">
        <v>210</v>
      </c>
      <c r="BC1031" s="71" t="s">
        <v>207</v>
      </c>
      <c r="BD1031" s="71">
        <v>17</v>
      </c>
      <c r="BE1031" s="71">
        <v>36</v>
      </c>
      <c r="BF1031" s="71">
        <v>390</v>
      </c>
      <c r="BG1031" s="71">
        <v>212</v>
      </c>
      <c r="BH1031" s="71">
        <v>5</v>
      </c>
      <c r="BI1031" s="71">
        <v>10</v>
      </c>
      <c r="BJ1031" s="12" t="str" cm="1">
        <f t="array" ref="BJ1031">_xll.Dce_Name_SectI(BF1031, BF1031, BG1031, BH1031, BI1031, "x", "-", $AX$11)</f>
        <v>390x212x5x10</v>
      </c>
      <c r="BK1031" s="77" cm="1">
        <f t="array" ref="BK1031">_xll.DCEPropSectI(BF1031, BH1031, BG1031, BI1031, BG1031, BI1031, "A")/100</f>
        <v>60.9</v>
      </c>
      <c r="BL1031" s="70" t="s">
        <v>226</v>
      </c>
      <c r="BM1031" s="70">
        <v>36.904648315340992</v>
      </c>
      <c r="BN1031" s="71">
        <v>0.9</v>
      </c>
      <c r="BO1031" s="77">
        <f t="shared" si="131"/>
        <v>32.4</v>
      </c>
      <c r="BP1031" s="71">
        <v>0.9</v>
      </c>
      <c r="BQ1031" s="77">
        <f t="shared" si="132"/>
        <v>32.4</v>
      </c>
      <c r="BR1031" s="77" cm="1">
        <f t="array" ref="BR1031">_xll.DCEPropSectI(BF1031, BH1031, BG1031, BI1031, BG1031, BI1031, "rx")/10</f>
        <v>16.91131201300167</v>
      </c>
      <c r="BS1031" s="77" cm="1">
        <f t="array" ref="BS1031">_xll.DCEPropSectI(BF1031, BH1031, BG1031, BI1031, BG1031, BI1031, "ry")/10</f>
        <v>5.1070747638622018</v>
      </c>
      <c r="BT1031" s="5">
        <f t="shared" si="133"/>
        <v>191.58773710218577</v>
      </c>
      <c r="BU1031" s="5">
        <f t="shared" si="134"/>
        <v>634.41405301647956</v>
      </c>
      <c r="BV1031" s="5">
        <f t="shared" si="135"/>
        <v>634.41405301647956</v>
      </c>
      <c r="BW1031" s="71">
        <f t="shared" si="136"/>
        <v>400</v>
      </c>
      <c r="BX1031" s="78" cm="1">
        <f t="array" ref="BX1031">IF(BM1031&gt;0,1,_xll.DCETCVN5575FactorPhi7121(BV1031*SQRT($K$17/206000),"b"))</f>
        <v>1</v>
      </c>
      <c r="BY1031" s="64">
        <f t="shared" si="137"/>
        <v>2.8856555098397841E-2</v>
      </c>
      <c r="BZ1031" s="3" t="str">
        <f t="shared" si="138"/>
        <v>Check</v>
      </c>
    </row>
    <row r="1032" spans="1:78">
      <c r="A1032" s="76"/>
      <c r="B1032" s="76"/>
      <c r="C1032" s="125"/>
      <c r="D1032" s="125"/>
      <c r="E1032" s="71"/>
      <c r="F1032" s="71"/>
      <c r="G1032" s="71"/>
      <c r="H1032" s="126"/>
      <c r="I1032" s="125"/>
      <c r="J1032" s="123"/>
      <c r="K1032" s="12"/>
      <c r="L1032" s="117"/>
      <c r="M1032" s="12"/>
      <c r="N1032" s="117"/>
      <c r="O1032" s="117"/>
      <c r="P1032" s="117"/>
      <c r="Q1032" s="118"/>
      <c r="R1032" s="118"/>
      <c r="S1032" s="118"/>
      <c r="T1032" s="12"/>
      <c r="U1032" s="118"/>
      <c r="V1032" s="118"/>
      <c r="W1032" s="12"/>
      <c r="X1032" s="119"/>
      <c r="Y1032" s="120"/>
      <c r="Z1032" s="12"/>
      <c r="BA1032" s="70" t="s">
        <v>205</v>
      </c>
      <c r="BB1032" s="71" t="s">
        <v>210</v>
      </c>
      <c r="BC1032" s="71" t="s">
        <v>207</v>
      </c>
      <c r="BD1032" s="71">
        <v>17.5</v>
      </c>
      <c r="BE1032" s="71">
        <v>36</v>
      </c>
      <c r="BF1032" s="71">
        <v>390</v>
      </c>
      <c r="BG1032" s="71">
        <v>212</v>
      </c>
      <c r="BH1032" s="71">
        <v>5</v>
      </c>
      <c r="BI1032" s="71">
        <v>10</v>
      </c>
      <c r="BJ1032" s="12" t="str" cm="1">
        <f t="array" ref="BJ1032">_xll.Dce_Name_SectI(BF1032, BF1032, BG1032, BH1032, BI1032, "x", "-", $AX$11)</f>
        <v>390x212x5x10</v>
      </c>
      <c r="BK1032" s="77" cm="1">
        <f t="array" ref="BK1032">_xll.DCEPropSectI(BF1032, BH1032, BG1032, BI1032, BG1032, BI1032, "A")/100</f>
        <v>60.9</v>
      </c>
      <c r="BL1032" s="70" t="s">
        <v>226</v>
      </c>
      <c r="BM1032" s="70">
        <v>36.904648315340992</v>
      </c>
      <c r="BN1032" s="71">
        <v>0.9</v>
      </c>
      <c r="BO1032" s="77">
        <f t="shared" si="131"/>
        <v>32.4</v>
      </c>
      <c r="BP1032" s="71">
        <v>0.9</v>
      </c>
      <c r="BQ1032" s="77">
        <f t="shared" si="132"/>
        <v>32.4</v>
      </c>
      <c r="BR1032" s="77" cm="1">
        <f t="array" ref="BR1032">_xll.DCEPropSectI(BF1032, BH1032, BG1032, BI1032, BG1032, BI1032, "rx")/10</f>
        <v>16.91131201300167</v>
      </c>
      <c r="BS1032" s="77" cm="1">
        <f t="array" ref="BS1032">_xll.DCEPropSectI(BF1032, BH1032, BG1032, BI1032, BG1032, BI1032, "ry")/10</f>
        <v>5.1070747638622018</v>
      </c>
      <c r="BT1032" s="5">
        <f t="shared" si="133"/>
        <v>191.58773710218577</v>
      </c>
      <c r="BU1032" s="5">
        <f t="shared" si="134"/>
        <v>634.41405301647956</v>
      </c>
      <c r="BV1032" s="5">
        <f t="shared" si="135"/>
        <v>634.41405301647956</v>
      </c>
      <c r="BW1032" s="71">
        <f t="shared" si="136"/>
        <v>400</v>
      </c>
      <c r="BX1032" s="78" cm="1">
        <f t="array" ref="BX1032">IF(BM1032&gt;0,1,_xll.DCETCVN5575FactorPhi7121(BV1032*SQRT($K$17/206000),"b"))</f>
        <v>1</v>
      </c>
      <c r="BY1032" s="64">
        <f t="shared" si="137"/>
        <v>2.8856555098397841E-2</v>
      </c>
      <c r="BZ1032" s="3" t="str">
        <f t="shared" si="138"/>
        <v>Check</v>
      </c>
    </row>
    <row r="1033" spans="1:78">
      <c r="A1033" s="76"/>
      <c r="B1033" s="76"/>
      <c r="C1033" s="125"/>
      <c r="D1033" s="125"/>
      <c r="E1033" s="71"/>
      <c r="F1033" s="71"/>
      <c r="G1033" s="71"/>
      <c r="H1033" s="126"/>
      <c r="I1033" s="125"/>
      <c r="J1033" s="123"/>
      <c r="K1033" s="12"/>
      <c r="L1033" s="117"/>
      <c r="M1033" s="12"/>
      <c r="N1033" s="117"/>
      <c r="O1033" s="117"/>
      <c r="P1033" s="117"/>
      <c r="Q1033" s="118"/>
      <c r="R1033" s="118"/>
      <c r="S1033" s="118"/>
      <c r="T1033" s="12"/>
      <c r="U1033" s="118"/>
      <c r="V1033" s="118"/>
      <c r="W1033" s="12"/>
      <c r="X1033" s="119"/>
      <c r="Y1033" s="120"/>
      <c r="Z1033" s="12"/>
      <c r="BA1033" s="70" t="s">
        <v>205</v>
      </c>
      <c r="BB1033" s="71" t="s">
        <v>210</v>
      </c>
      <c r="BC1033" s="71" t="s">
        <v>207</v>
      </c>
      <c r="BD1033" s="71">
        <v>18</v>
      </c>
      <c r="BE1033" s="71">
        <v>36</v>
      </c>
      <c r="BF1033" s="71">
        <v>390</v>
      </c>
      <c r="BG1033" s="71">
        <v>212</v>
      </c>
      <c r="BH1033" s="71">
        <v>5</v>
      </c>
      <c r="BI1033" s="71">
        <v>10</v>
      </c>
      <c r="BJ1033" s="12" t="str" cm="1">
        <f t="array" ref="BJ1033">_xll.Dce_Name_SectI(BF1033, BF1033, BG1033, BH1033, BI1033, "x", "-", $AX$11)</f>
        <v>390x212x5x10</v>
      </c>
      <c r="BK1033" s="77" cm="1">
        <f t="array" ref="BK1033">_xll.DCEPropSectI(BF1033, BH1033, BG1033, BI1033, BG1033, BI1033, "A")/100</f>
        <v>60.9</v>
      </c>
      <c r="BL1033" s="70" t="s">
        <v>226</v>
      </c>
      <c r="BM1033" s="70">
        <v>36.904648315340992</v>
      </c>
      <c r="BN1033" s="71">
        <v>0.9</v>
      </c>
      <c r="BO1033" s="77">
        <f t="shared" si="131"/>
        <v>32.4</v>
      </c>
      <c r="BP1033" s="71">
        <v>0.9</v>
      </c>
      <c r="BQ1033" s="77">
        <f t="shared" si="132"/>
        <v>32.4</v>
      </c>
      <c r="BR1033" s="77" cm="1">
        <f t="array" ref="BR1033">_xll.DCEPropSectI(BF1033, BH1033, BG1033, BI1033, BG1033, BI1033, "rx")/10</f>
        <v>16.91131201300167</v>
      </c>
      <c r="BS1033" s="77" cm="1">
        <f t="array" ref="BS1033">_xll.DCEPropSectI(BF1033, BH1033, BG1033, BI1033, BG1033, BI1033, "ry")/10</f>
        <v>5.1070747638622018</v>
      </c>
      <c r="BT1033" s="5">
        <f t="shared" si="133"/>
        <v>191.58773710218577</v>
      </c>
      <c r="BU1033" s="5">
        <f t="shared" si="134"/>
        <v>634.41405301647956</v>
      </c>
      <c r="BV1033" s="5">
        <f t="shared" si="135"/>
        <v>634.41405301647956</v>
      </c>
      <c r="BW1033" s="71">
        <f t="shared" si="136"/>
        <v>400</v>
      </c>
      <c r="BX1033" s="78" cm="1">
        <f t="array" ref="BX1033">IF(BM1033&gt;0,1,_xll.DCETCVN5575FactorPhi7121(BV1033*SQRT($K$17/206000),"b"))</f>
        <v>1</v>
      </c>
      <c r="BY1033" s="64">
        <f t="shared" si="137"/>
        <v>2.8856555098397841E-2</v>
      </c>
      <c r="BZ1033" s="3" t="str">
        <f t="shared" si="138"/>
        <v>Check</v>
      </c>
    </row>
    <row r="1034" spans="1:78">
      <c r="A1034" s="76"/>
      <c r="B1034" s="76"/>
      <c r="C1034" s="125"/>
      <c r="D1034" s="125"/>
      <c r="E1034" s="71"/>
      <c r="F1034" s="71"/>
      <c r="G1034" s="71"/>
      <c r="H1034" s="126"/>
      <c r="I1034" s="125"/>
      <c r="J1034" s="123"/>
      <c r="K1034" s="12"/>
      <c r="L1034" s="117"/>
      <c r="M1034" s="12"/>
      <c r="N1034" s="117"/>
      <c r="O1034" s="117"/>
      <c r="P1034" s="117"/>
      <c r="Q1034" s="118"/>
      <c r="R1034" s="118"/>
      <c r="S1034" s="118"/>
      <c r="T1034" s="12"/>
      <c r="U1034" s="118"/>
      <c r="V1034" s="118"/>
      <c r="W1034" s="12"/>
      <c r="X1034" s="119"/>
      <c r="Y1034" s="120"/>
      <c r="Z1034" s="12"/>
      <c r="BA1034" s="70" t="s">
        <v>205</v>
      </c>
      <c r="BB1034" s="71" t="s">
        <v>210</v>
      </c>
      <c r="BC1034" s="71" t="s">
        <v>207</v>
      </c>
      <c r="BD1034" s="71">
        <v>18.5</v>
      </c>
      <c r="BE1034" s="71">
        <v>36</v>
      </c>
      <c r="BF1034" s="71">
        <v>390</v>
      </c>
      <c r="BG1034" s="71">
        <v>212</v>
      </c>
      <c r="BH1034" s="71">
        <v>5</v>
      </c>
      <c r="BI1034" s="71">
        <v>10</v>
      </c>
      <c r="BJ1034" s="12" t="str" cm="1">
        <f t="array" ref="BJ1034">_xll.Dce_Name_SectI(BF1034, BF1034, BG1034, BH1034, BI1034, "x", "-", $AX$11)</f>
        <v>390x212x5x10</v>
      </c>
      <c r="BK1034" s="77" cm="1">
        <f t="array" ref="BK1034">_xll.DCEPropSectI(BF1034, BH1034, BG1034, BI1034, BG1034, BI1034, "A")/100</f>
        <v>60.9</v>
      </c>
      <c r="BL1034" s="70" t="s">
        <v>226</v>
      </c>
      <c r="BM1034" s="70">
        <v>36.904648315340992</v>
      </c>
      <c r="BN1034" s="71">
        <v>0.9</v>
      </c>
      <c r="BO1034" s="77">
        <f t="shared" si="131"/>
        <v>32.4</v>
      </c>
      <c r="BP1034" s="71">
        <v>0.9</v>
      </c>
      <c r="BQ1034" s="77">
        <f t="shared" si="132"/>
        <v>32.4</v>
      </c>
      <c r="BR1034" s="77" cm="1">
        <f t="array" ref="BR1034">_xll.DCEPropSectI(BF1034, BH1034, BG1034, BI1034, BG1034, BI1034, "rx")/10</f>
        <v>16.91131201300167</v>
      </c>
      <c r="BS1034" s="77" cm="1">
        <f t="array" ref="BS1034">_xll.DCEPropSectI(BF1034, BH1034, BG1034, BI1034, BG1034, BI1034, "ry")/10</f>
        <v>5.1070747638622018</v>
      </c>
      <c r="BT1034" s="5">
        <f t="shared" si="133"/>
        <v>191.58773710218577</v>
      </c>
      <c r="BU1034" s="5">
        <f t="shared" si="134"/>
        <v>634.41405301647956</v>
      </c>
      <c r="BV1034" s="5">
        <f t="shared" si="135"/>
        <v>634.41405301647956</v>
      </c>
      <c r="BW1034" s="71">
        <f t="shared" si="136"/>
        <v>400</v>
      </c>
      <c r="BX1034" s="78" cm="1">
        <f t="array" ref="BX1034">IF(BM1034&gt;0,1,_xll.DCETCVN5575FactorPhi7121(BV1034*SQRT($K$17/206000),"b"))</f>
        <v>1</v>
      </c>
      <c r="BY1034" s="64">
        <f t="shared" si="137"/>
        <v>2.8856555098397841E-2</v>
      </c>
      <c r="BZ1034" s="3" t="str">
        <f t="shared" si="138"/>
        <v>Check</v>
      </c>
    </row>
    <row r="1035" spans="1:78">
      <c r="A1035" s="76"/>
      <c r="B1035" s="76"/>
      <c r="C1035" s="125"/>
      <c r="D1035" s="125"/>
      <c r="E1035" s="71"/>
      <c r="F1035" s="71"/>
      <c r="G1035" s="71"/>
      <c r="H1035" s="126"/>
      <c r="I1035" s="125"/>
      <c r="J1035" s="123"/>
      <c r="K1035" s="12"/>
      <c r="L1035" s="117"/>
      <c r="M1035" s="12"/>
      <c r="N1035" s="117"/>
      <c r="O1035" s="117"/>
      <c r="P1035" s="117"/>
      <c r="Q1035" s="118"/>
      <c r="R1035" s="118"/>
      <c r="S1035" s="118"/>
      <c r="T1035" s="12"/>
      <c r="U1035" s="118"/>
      <c r="V1035" s="118"/>
      <c r="W1035" s="12"/>
      <c r="X1035" s="119"/>
      <c r="Y1035" s="120"/>
      <c r="Z1035" s="12"/>
      <c r="BA1035" s="70" t="s">
        <v>205</v>
      </c>
      <c r="BB1035" s="71" t="s">
        <v>210</v>
      </c>
      <c r="BC1035" s="71" t="s">
        <v>207</v>
      </c>
      <c r="BD1035" s="71">
        <v>19</v>
      </c>
      <c r="BE1035" s="71">
        <v>36</v>
      </c>
      <c r="BF1035" s="71">
        <v>390</v>
      </c>
      <c r="BG1035" s="71">
        <v>212</v>
      </c>
      <c r="BH1035" s="71">
        <v>5</v>
      </c>
      <c r="BI1035" s="71">
        <v>10</v>
      </c>
      <c r="BJ1035" s="12" t="str" cm="1">
        <f t="array" ref="BJ1035">_xll.Dce_Name_SectI(BF1035, BF1035, BG1035, BH1035, BI1035, "x", "-", $AX$11)</f>
        <v>390x212x5x10</v>
      </c>
      <c r="BK1035" s="77" cm="1">
        <f t="array" ref="BK1035">_xll.DCEPropSectI(BF1035, BH1035, BG1035, BI1035, BG1035, BI1035, "A")/100</f>
        <v>60.9</v>
      </c>
      <c r="BL1035" s="70" t="s">
        <v>226</v>
      </c>
      <c r="BM1035" s="70">
        <v>36.904648315340992</v>
      </c>
      <c r="BN1035" s="71">
        <v>0.9</v>
      </c>
      <c r="BO1035" s="77">
        <f t="shared" si="131"/>
        <v>32.4</v>
      </c>
      <c r="BP1035" s="71">
        <v>0.9</v>
      </c>
      <c r="BQ1035" s="77">
        <f t="shared" si="132"/>
        <v>32.4</v>
      </c>
      <c r="BR1035" s="77" cm="1">
        <f t="array" ref="BR1035">_xll.DCEPropSectI(BF1035, BH1035, BG1035, BI1035, BG1035, BI1035, "rx")/10</f>
        <v>16.91131201300167</v>
      </c>
      <c r="BS1035" s="77" cm="1">
        <f t="array" ref="BS1035">_xll.DCEPropSectI(BF1035, BH1035, BG1035, BI1035, BG1035, BI1035, "ry")/10</f>
        <v>5.1070747638622018</v>
      </c>
      <c r="BT1035" s="5">
        <f t="shared" si="133"/>
        <v>191.58773710218577</v>
      </c>
      <c r="BU1035" s="5">
        <f t="shared" si="134"/>
        <v>634.41405301647956</v>
      </c>
      <c r="BV1035" s="5">
        <f t="shared" si="135"/>
        <v>634.41405301647956</v>
      </c>
      <c r="BW1035" s="71">
        <f t="shared" si="136"/>
        <v>400</v>
      </c>
      <c r="BX1035" s="78" cm="1">
        <f t="array" ref="BX1035">IF(BM1035&gt;0,1,_xll.DCETCVN5575FactorPhi7121(BV1035*SQRT($K$17/206000),"b"))</f>
        <v>1</v>
      </c>
      <c r="BY1035" s="64">
        <f t="shared" si="137"/>
        <v>2.8856555098397841E-2</v>
      </c>
      <c r="BZ1035" s="3" t="str">
        <f t="shared" si="138"/>
        <v>Check</v>
      </c>
    </row>
    <row r="1036" spans="1:78">
      <c r="A1036" s="76"/>
      <c r="B1036" s="76"/>
      <c r="C1036" s="125"/>
      <c r="D1036" s="125"/>
      <c r="E1036" s="71"/>
      <c r="F1036" s="71"/>
      <c r="G1036" s="71"/>
      <c r="H1036" s="126"/>
      <c r="I1036" s="125"/>
      <c r="J1036" s="123"/>
      <c r="K1036" s="12"/>
      <c r="L1036" s="117"/>
      <c r="M1036" s="12"/>
      <c r="N1036" s="117"/>
      <c r="O1036" s="117"/>
      <c r="P1036" s="117"/>
      <c r="Q1036" s="118"/>
      <c r="R1036" s="118"/>
      <c r="S1036" s="118"/>
      <c r="T1036" s="12"/>
      <c r="U1036" s="118"/>
      <c r="V1036" s="118"/>
      <c r="W1036" s="12"/>
      <c r="X1036" s="119"/>
      <c r="Y1036" s="120"/>
      <c r="Z1036" s="12"/>
      <c r="BA1036" s="70" t="s">
        <v>205</v>
      </c>
      <c r="BB1036" s="71" t="s">
        <v>210</v>
      </c>
      <c r="BC1036" s="71" t="s">
        <v>207</v>
      </c>
      <c r="BD1036" s="71">
        <v>19.5</v>
      </c>
      <c r="BE1036" s="71">
        <v>36</v>
      </c>
      <c r="BF1036" s="71">
        <v>390</v>
      </c>
      <c r="BG1036" s="71">
        <v>212</v>
      </c>
      <c r="BH1036" s="71">
        <v>5</v>
      </c>
      <c r="BI1036" s="71">
        <v>10</v>
      </c>
      <c r="BJ1036" s="12" t="str" cm="1">
        <f t="array" ref="BJ1036">_xll.Dce_Name_SectI(BF1036, BF1036, BG1036, BH1036, BI1036, "x", "-", $AX$11)</f>
        <v>390x212x5x10</v>
      </c>
      <c r="BK1036" s="77" cm="1">
        <f t="array" ref="BK1036">_xll.DCEPropSectI(BF1036, BH1036, BG1036, BI1036, BG1036, BI1036, "A")/100</f>
        <v>60.9</v>
      </c>
      <c r="BL1036" s="70" t="s">
        <v>226</v>
      </c>
      <c r="BM1036" s="70">
        <v>36.904648315340992</v>
      </c>
      <c r="BN1036" s="71">
        <v>0.9</v>
      </c>
      <c r="BO1036" s="77">
        <f t="shared" si="131"/>
        <v>32.4</v>
      </c>
      <c r="BP1036" s="71">
        <v>0.9</v>
      </c>
      <c r="BQ1036" s="77">
        <f t="shared" si="132"/>
        <v>32.4</v>
      </c>
      <c r="BR1036" s="77" cm="1">
        <f t="array" ref="BR1036">_xll.DCEPropSectI(BF1036, BH1036, BG1036, BI1036, BG1036, BI1036, "rx")/10</f>
        <v>16.91131201300167</v>
      </c>
      <c r="BS1036" s="77" cm="1">
        <f t="array" ref="BS1036">_xll.DCEPropSectI(BF1036, BH1036, BG1036, BI1036, BG1036, BI1036, "ry")/10</f>
        <v>5.1070747638622018</v>
      </c>
      <c r="BT1036" s="5">
        <f t="shared" si="133"/>
        <v>191.58773710218577</v>
      </c>
      <c r="BU1036" s="5">
        <f t="shared" si="134"/>
        <v>634.41405301647956</v>
      </c>
      <c r="BV1036" s="5">
        <f t="shared" si="135"/>
        <v>634.41405301647956</v>
      </c>
      <c r="BW1036" s="71">
        <f t="shared" si="136"/>
        <v>400</v>
      </c>
      <c r="BX1036" s="78" cm="1">
        <f t="array" ref="BX1036">IF(BM1036&gt;0,1,_xll.DCETCVN5575FactorPhi7121(BV1036*SQRT($K$17/206000),"b"))</f>
        <v>1</v>
      </c>
      <c r="BY1036" s="64">
        <f t="shared" si="137"/>
        <v>2.8856555098397841E-2</v>
      </c>
      <c r="BZ1036" s="3" t="str">
        <f t="shared" si="138"/>
        <v>Check</v>
      </c>
    </row>
    <row r="1037" spans="1:78">
      <c r="A1037" s="76"/>
      <c r="B1037" s="76"/>
      <c r="C1037" s="125"/>
      <c r="D1037" s="125"/>
      <c r="E1037" s="71"/>
      <c r="F1037" s="71"/>
      <c r="G1037" s="71"/>
      <c r="H1037" s="126"/>
      <c r="I1037" s="125"/>
      <c r="J1037" s="123"/>
      <c r="K1037" s="12"/>
      <c r="L1037" s="117"/>
      <c r="M1037" s="12"/>
      <c r="N1037" s="117"/>
      <c r="O1037" s="117"/>
      <c r="P1037" s="117"/>
      <c r="Q1037" s="118"/>
      <c r="R1037" s="118"/>
      <c r="S1037" s="118"/>
      <c r="T1037" s="12"/>
      <c r="U1037" s="118"/>
      <c r="V1037" s="118"/>
      <c r="W1037" s="12"/>
      <c r="X1037" s="119"/>
      <c r="Y1037" s="120"/>
      <c r="Z1037" s="12"/>
      <c r="BA1037" s="70" t="s">
        <v>205</v>
      </c>
      <c r="BB1037" s="71" t="s">
        <v>210</v>
      </c>
      <c r="BC1037" s="71" t="s">
        <v>207</v>
      </c>
      <c r="BD1037" s="71">
        <v>20</v>
      </c>
      <c r="BE1037" s="71">
        <v>36</v>
      </c>
      <c r="BF1037" s="71">
        <v>390</v>
      </c>
      <c r="BG1037" s="71">
        <v>212</v>
      </c>
      <c r="BH1037" s="71">
        <v>5</v>
      </c>
      <c r="BI1037" s="71">
        <v>10</v>
      </c>
      <c r="BJ1037" s="12" t="str" cm="1">
        <f t="array" ref="BJ1037">_xll.Dce_Name_SectI(BF1037, BF1037, BG1037, BH1037, BI1037, "x", "-", $AX$11)</f>
        <v>390x212x5x10</v>
      </c>
      <c r="BK1037" s="77" cm="1">
        <f t="array" ref="BK1037">_xll.DCEPropSectI(BF1037, BH1037, BG1037, BI1037, BG1037, BI1037, "A")/100</f>
        <v>60.9</v>
      </c>
      <c r="BL1037" s="70" t="s">
        <v>226</v>
      </c>
      <c r="BM1037" s="70">
        <v>36.904648315340992</v>
      </c>
      <c r="BN1037" s="71">
        <v>0.9</v>
      </c>
      <c r="BO1037" s="77">
        <f t="shared" ref="BO1037:BO1100" si="139">BN1037*BE1037</f>
        <v>32.4</v>
      </c>
      <c r="BP1037" s="71">
        <v>0.9</v>
      </c>
      <c r="BQ1037" s="77">
        <f t="shared" ref="BQ1037:BQ1100" si="140">BP1037*BE1037</f>
        <v>32.4</v>
      </c>
      <c r="BR1037" s="77" cm="1">
        <f t="array" ref="BR1037">_xll.DCEPropSectI(BF1037, BH1037, BG1037, BI1037, BG1037, BI1037, "rx")/10</f>
        <v>16.91131201300167</v>
      </c>
      <c r="BS1037" s="77" cm="1">
        <f t="array" ref="BS1037">_xll.DCEPropSectI(BF1037, BH1037, BG1037, BI1037, BG1037, BI1037, "ry")/10</f>
        <v>5.1070747638622018</v>
      </c>
      <c r="BT1037" s="5">
        <f t="shared" ref="BT1037:BT1100" si="141">BO1037*100/BR1037</f>
        <v>191.58773710218577</v>
      </c>
      <c r="BU1037" s="5">
        <f t="shared" ref="BU1037:BU1100" si="142">BQ1037*100/BS1037</f>
        <v>634.41405301647956</v>
      </c>
      <c r="BV1037" s="5">
        <f t="shared" ref="BV1037:BV1100" si="143">MAX(BT1037,BU1037)</f>
        <v>634.41405301647956</v>
      </c>
      <c r="BW1037" s="71">
        <f t="shared" ref="BW1037:BW1100" si="144">IF(BM1037&lt;0,$AY$14,$AY$15)</f>
        <v>400</v>
      </c>
      <c r="BX1037" s="78" cm="1">
        <f t="array" ref="BX1037">IF(BM1037&gt;0,1,_xll.DCETCVN5575FactorPhi7121(BV1037*SQRT($K$17/206000),"b"))</f>
        <v>1</v>
      </c>
      <c r="BY1037" s="64">
        <f t="shared" ref="BY1037:BY1100" si="145">ABS(BM1037)/(BX1037*BK1037*$K$17*$K$19)*10</f>
        <v>2.8856555098397841E-2</v>
      </c>
      <c r="BZ1037" s="3" t="str">
        <f t="shared" ref="BZ1037:BZ1100" si="146">IF(AND(BV1037&lt;=BW1037,BY1037&lt;=1),"OK","Check")</f>
        <v>Check</v>
      </c>
    </row>
    <row r="1038" spans="1:78">
      <c r="A1038" s="76"/>
      <c r="B1038" s="76"/>
      <c r="C1038" s="125"/>
      <c r="D1038" s="125"/>
      <c r="E1038" s="71"/>
      <c r="F1038" s="71"/>
      <c r="G1038" s="71"/>
      <c r="H1038" s="126"/>
      <c r="I1038" s="125"/>
      <c r="J1038" s="123"/>
      <c r="K1038" s="12"/>
      <c r="L1038" s="117"/>
      <c r="M1038" s="12"/>
      <c r="N1038" s="117"/>
      <c r="O1038" s="117"/>
      <c r="P1038" s="117"/>
      <c r="Q1038" s="118"/>
      <c r="R1038" s="118"/>
      <c r="S1038" s="118"/>
      <c r="T1038" s="12"/>
      <c r="U1038" s="118"/>
      <c r="V1038" s="118"/>
      <c r="W1038" s="12"/>
      <c r="X1038" s="119"/>
      <c r="Y1038" s="120"/>
      <c r="Z1038" s="12"/>
      <c r="BA1038" s="70" t="s">
        <v>205</v>
      </c>
      <c r="BB1038" s="71" t="s">
        <v>210</v>
      </c>
      <c r="BC1038" s="71" t="s">
        <v>207</v>
      </c>
      <c r="BD1038" s="71">
        <v>20.5</v>
      </c>
      <c r="BE1038" s="71">
        <v>36</v>
      </c>
      <c r="BF1038" s="71">
        <v>390</v>
      </c>
      <c r="BG1038" s="71">
        <v>212</v>
      </c>
      <c r="BH1038" s="71">
        <v>5</v>
      </c>
      <c r="BI1038" s="71">
        <v>10</v>
      </c>
      <c r="BJ1038" s="12" t="str" cm="1">
        <f t="array" ref="BJ1038">_xll.Dce_Name_SectI(BF1038, BF1038, BG1038, BH1038, BI1038, "x", "-", $AX$11)</f>
        <v>390x212x5x10</v>
      </c>
      <c r="BK1038" s="77" cm="1">
        <f t="array" ref="BK1038">_xll.DCEPropSectI(BF1038, BH1038, BG1038, BI1038, BG1038, BI1038, "A")/100</f>
        <v>60.9</v>
      </c>
      <c r="BL1038" s="70" t="s">
        <v>226</v>
      </c>
      <c r="BM1038" s="70">
        <v>36.904648315340992</v>
      </c>
      <c r="BN1038" s="71">
        <v>0.9</v>
      </c>
      <c r="BO1038" s="77">
        <f t="shared" si="139"/>
        <v>32.4</v>
      </c>
      <c r="BP1038" s="71">
        <v>0.9</v>
      </c>
      <c r="BQ1038" s="77">
        <f t="shared" si="140"/>
        <v>32.4</v>
      </c>
      <c r="BR1038" s="77" cm="1">
        <f t="array" ref="BR1038">_xll.DCEPropSectI(BF1038, BH1038, BG1038, BI1038, BG1038, BI1038, "rx")/10</f>
        <v>16.91131201300167</v>
      </c>
      <c r="BS1038" s="77" cm="1">
        <f t="array" ref="BS1038">_xll.DCEPropSectI(BF1038, BH1038, BG1038, BI1038, BG1038, BI1038, "ry")/10</f>
        <v>5.1070747638622018</v>
      </c>
      <c r="BT1038" s="5">
        <f t="shared" si="141"/>
        <v>191.58773710218577</v>
      </c>
      <c r="BU1038" s="5">
        <f t="shared" si="142"/>
        <v>634.41405301647956</v>
      </c>
      <c r="BV1038" s="5">
        <f t="shared" si="143"/>
        <v>634.41405301647956</v>
      </c>
      <c r="BW1038" s="71">
        <f t="shared" si="144"/>
        <v>400</v>
      </c>
      <c r="BX1038" s="78" cm="1">
        <f t="array" ref="BX1038">IF(BM1038&gt;0,1,_xll.DCETCVN5575FactorPhi7121(BV1038*SQRT($K$17/206000),"b"))</f>
        <v>1</v>
      </c>
      <c r="BY1038" s="64">
        <f t="shared" si="145"/>
        <v>2.8856555098397841E-2</v>
      </c>
      <c r="BZ1038" s="3" t="str">
        <f t="shared" si="146"/>
        <v>Check</v>
      </c>
    </row>
    <row r="1039" spans="1:78">
      <c r="A1039" s="76"/>
      <c r="B1039" s="76"/>
      <c r="C1039" s="125"/>
      <c r="D1039" s="125"/>
      <c r="E1039" s="71"/>
      <c r="F1039" s="71"/>
      <c r="G1039" s="71"/>
      <c r="H1039" s="126"/>
      <c r="I1039" s="125"/>
      <c r="J1039" s="123"/>
      <c r="K1039" s="12"/>
      <c r="L1039" s="117"/>
      <c r="M1039" s="12"/>
      <c r="N1039" s="117"/>
      <c r="O1039" s="117"/>
      <c r="P1039" s="117"/>
      <c r="Q1039" s="118"/>
      <c r="R1039" s="118"/>
      <c r="S1039" s="118"/>
      <c r="T1039" s="12"/>
      <c r="U1039" s="118"/>
      <c r="V1039" s="118"/>
      <c r="W1039" s="12"/>
      <c r="X1039" s="119"/>
      <c r="Y1039" s="120"/>
      <c r="Z1039" s="12"/>
      <c r="BA1039" s="70" t="s">
        <v>205</v>
      </c>
      <c r="BB1039" s="71" t="s">
        <v>210</v>
      </c>
      <c r="BC1039" s="71" t="s">
        <v>207</v>
      </c>
      <c r="BD1039" s="71">
        <v>21</v>
      </c>
      <c r="BE1039" s="71">
        <v>36</v>
      </c>
      <c r="BF1039" s="71">
        <v>390</v>
      </c>
      <c r="BG1039" s="71">
        <v>212</v>
      </c>
      <c r="BH1039" s="71">
        <v>5</v>
      </c>
      <c r="BI1039" s="71">
        <v>10</v>
      </c>
      <c r="BJ1039" s="12" t="str" cm="1">
        <f t="array" ref="BJ1039">_xll.Dce_Name_SectI(BF1039, BF1039, BG1039, BH1039, BI1039, "x", "-", $AX$11)</f>
        <v>390x212x5x10</v>
      </c>
      <c r="BK1039" s="77" cm="1">
        <f t="array" ref="BK1039">_xll.DCEPropSectI(BF1039, BH1039, BG1039, BI1039, BG1039, BI1039, "A")/100</f>
        <v>60.9</v>
      </c>
      <c r="BL1039" s="70" t="s">
        <v>226</v>
      </c>
      <c r="BM1039" s="70">
        <v>36.904648315340992</v>
      </c>
      <c r="BN1039" s="71">
        <v>0.9</v>
      </c>
      <c r="BO1039" s="77">
        <f t="shared" si="139"/>
        <v>32.4</v>
      </c>
      <c r="BP1039" s="71">
        <v>0.9</v>
      </c>
      <c r="BQ1039" s="77">
        <f t="shared" si="140"/>
        <v>32.4</v>
      </c>
      <c r="BR1039" s="77" cm="1">
        <f t="array" ref="BR1039">_xll.DCEPropSectI(BF1039, BH1039, BG1039, BI1039, BG1039, BI1039, "rx")/10</f>
        <v>16.91131201300167</v>
      </c>
      <c r="BS1039" s="77" cm="1">
        <f t="array" ref="BS1039">_xll.DCEPropSectI(BF1039, BH1039, BG1039, BI1039, BG1039, BI1039, "ry")/10</f>
        <v>5.1070747638622018</v>
      </c>
      <c r="BT1039" s="5">
        <f t="shared" si="141"/>
        <v>191.58773710218577</v>
      </c>
      <c r="BU1039" s="5">
        <f t="shared" si="142"/>
        <v>634.41405301647956</v>
      </c>
      <c r="BV1039" s="5">
        <f t="shared" si="143"/>
        <v>634.41405301647956</v>
      </c>
      <c r="BW1039" s="71">
        <f t="shared" si="144"/>
        <v>400</v>
      </c>
      <c r="BX1039" s="78" cm="1">
        <f t="array" ref="BX1039">IF(BM1039&gt;0,1,_xll.DCETCVN5575FactorPhi7121(BV1039*SQRT($K$17/206000),"b"))</f>
        <v>1</v>
      </c>
      <c r="BY1039" s="64">
        <f t="shared" si="145"/>
        <v>2.8856555098397841E-2</v>
      </c>
      <c r="BZ1039" s="3" t="str">
        <f t="shared" si="146"/>
        <v>Check</v>
      </c>
    </row>
    <row r="1040" spans="1:78">
      <c r="A1040" s="76"/>
      <c r="B1040" s="76"/>
      <c r="C1040" s="125"/>
      <c r="D1040" s="125"/>
      <c r="E1040" s="71"/>
      <c r="F1040" s="71"/>
      <c r="G1040" s="71"/>
      <c r="H1040" s="126"/>
      <c r="I1040" s="125"/>
      <c r="J1040" s="123"/>
      <c r="K1040" s="12"/>
      <c r="L1040" s="117"/>
      <c r="M1040" s="12"/>
      <c r="N1040" s="117"/>
      <c r="O1040" s="117"/>
      <c r="P1040" s="117"/>
      <c r="Q1040" s="118"/>
      <c r="R1040" s="118"/>
      <c r="S1040" s="118"/>
      <c r="T1040" s="12"/>
      <c r="U1040" s="118"/>
      <c r="V1040" s="118"/>
      <c r="W1040" s="12"/>
      <c r="X1040" s="119"/>
      <c r="Y1040" s="120"/>
      <c r="Z1040" s="12"/>
      <c r="BA1040" s="70" t="s">
        <v>205</v>
      </c>
      <c r="BB1040" s="71" t="s">
        <v>210</v>
      </c>
      <c r="BC1040" s="71" t="s">
        <v>207</v>
      </c>
      <c r="BD1040" s="71">
        <v>21.5</v>
      </c>
      <c r="BE1040" s="71">
        <v>36</v>
      </c>
      <c r="BF1040" s="71">
        <v>390</v>
      </c>
      <c r="BG1040" s="71">
        <v>212</v>
      </c>
      <c r="BH1040" s="71">
        <v>5</v>
      </c>
      <c r="BI1040" s="71">
        <v>10</v>
      </c>
      <c r="BJ1040" s="12" t="str" cm="1">
        <f t="array" ref="BJ1040">_xll.Dce_Name_SectI(BF1040, BF1040, BG1040, BH1040, BI1040, "x", "-", $AX$11)</f>
        <v>390x212x5x10</v>
      </c>
      <c r="BK1040" s="77" cm="1">
        <f t="array" ref="BK1040">_xll.DCEPropSectI(BF1040, BH1040, BG1040, BI1040, BG1040, BI1040, "A")/100</f>
        <v>60.9</v>
      </c>
      <c r="BL1040" s="70" t="s">
        <v>226</v>
      </c>
      <c r="BM1040" s="70">
        <v>36.904648315340992</v>
      </c>
      <c r="BN1040" s="71">
        <v>0.9</v>
      </c>
      <c r="BO1040" s="77">
        <f t="shared" si="139"/>
        <v>32.4</v>
      </c>
      <c r="BP1040" s="71">
        <v>0.9</v>
      </c>
      <c r="BQ1040" s="77">
        <f t="shared" si="140"/>
        <v>32.4</v>
      </c>
      <c r="BR1040" s="77" cm="1">
        <f t="array" ref="BR1040">_xll.DCEPropSectI(BF1040, BH1040, BG1040, BI1040, BG1040, BI1040, "rx")/10</f>
        <v>16.91131201300167</v>
      </c>
      <c r="BS1040" s="77" cm="1">
        <f t="array" ref="BS1040">_xll.DCEPropSectI(BF1040, BH1040, BG1040, BI1040, BG1040, BI1040, "ry")/10</f>
        <v>5.1070747638622018</v>
      </c>
      <c r="BT1040" s="5">
        <f t="shared" si="141"/>
        <v>191.58773710218577</v>
      </c>
      <c r="BU1040" s="5">
        <f t="shared" si="142"/>
        <v>634.41405301647956</v>
      </c>
      <c r="BV1040" s="5">
        <f t="shared" si="143"/>
        <v>634.41405301647956</v>
      </c>
      <c r="BW1040" s="71">
        <f t="shared" si="144"/>
        <v>400</v>
      </c>
      <c r="BX1040" s="78" cm="1">
        <f t="array" ref="BX1040">IF(BM1040&gt;0,1,_xll.DCETCVN5575FactorPhi7121(BV1040*SQRT($K$17/206000),"b"))</f>
        <v>1</v>
      </c>
      <c r="BY1040" s="64">
        <f t="shared" si="145"/>
        <v>2.8856555098397841E-2</v>
      </c>
      <c r="BZ1040" s="3" t="str">
        <f t="shared" si="146"/>
        <v>Check</v>
      </c>
    </row>
    <row r="1041" spans="1:78">
      <c r="A1041" s="76"/>
      <c r="B1041" s="76"/>
      <c r="C1041" s="125"/>
      <c r="D1041" s="125"/>
      <c r="E1041" s="71"/>
      <c r="F1041" s="71"/>
      <c r="G1041" s="71"/>
      <c r="H1041" s="126"/>
      <c r="I1041" s="125"/>
      <c r="J1041" s="123"/>
      <c r="K1041" s="12"/>
      <c r="L1041" s="117"/>
      <c r="M1041" s="12"/>
      <c r="N1041" s="117"/>
      <c r="O1041" s="117"/>
      <c r="P1041" s="117"/>
      <c r="Q1041" s="118"/>
      <c r="R1041" s="118"/>
      <c r="S1041" s="118"/>
      <c r="T1041" s="12"/>
      <c r="U1041" s="118"/>
      <c r="V1041" s="118"/>
      <c r="W1041" s="12"/>
      <c r="X1041" s="119"/>
      <c r="Y1041" s="120"/>
      <c r="Z1041" s="12"/>
      <c r="BA1041" s="70" t="s">
        <v>205</v>
      </c>
      <c r="BB1041" s="71" t="s">
        <v>210</v>
      </c>
      <c r="BC1041" s="71" t="s">
        <v>207</v>
      </c>
      <c r="BD1041" s="71">
        <v>22</v>
      </c>
      <c r="BE1041" s="71">
        <v>36</v>
      </c>
      <c r="BF1041" s="71">
        <v>390</v>
      </c>
      <c r="BG1041" s="71">
        <v>212</v>
      </c>
      <c r="BH1041" s="71">
        <v>5</v>
      </c>
      <c r="BI1041" s="71">
        <v>10</v>
      </c>
      <c r="BJ1041" s="12" t="str" cm="1">
        <f t="array" ref="BJ1041">_xll.Dce_Name_SectI(BF1041, BF1041, BG1041, BH1041, BI1041, "x", "-", $AX$11)</f>
        <v>390x212x5x10</v>
      </c>
      <c r="BK1041" s="77" cm="1">
        <f t="array" ref="BK1041">_xll.DCEPropSectI(BF1041, BH1041, BG1041, BI1041, BG1041, BI1041, "A")/100</f>
        <v>60.9</v>
      </c>
      <c r="BL1041" s="70" t="s">
        <v>226</v>
      </c>
      <c r="BM1041" s="70">
        <v>36.904648315340992</v>
      </c>
      <c r="BN1041" s="71">
        <v>0.9</v>
      </c>
      <c r="BO1041" s="77">
        <f t="shared" si="139"/>
        <v>32.4</v>
      </c>
      <c r="BP1041" s="71">
        <v>0.9</v>
      </c>
      <c r="BQ1041" s="77">
        <f t="shared" si="140"/>
        <v>32.4</v>
      </c>
      <c r="BR1041" s="77" cm="1">
        <f t="array" ref="BR1041">_xll.DCEPropSectI(BF1041, BH1041, BG1041, BI1041, BG1041, BI1041, "rx")/10</f>
        <v>16.91131201300167</v>
      </c>
      <c r="BS1041" s="77" cm="1">
        <f t="array" ref="BS1041">_xll.DCEPropSectI(BF1041, BH1041, BG1041, BI1041, BG1041, BI1041, "ry")/10</f>
        <v>5.1070747638622018</v>
      </c>
      <c r="BT1041" s="5">
        <f t="shared" si="141"/>
        <v>191.58773710218577</v>
      </c>
      <c r="BU1041" s="5">
        <f t="shared" si="142"/>
        <v>634.41405301647956</v>
      </c>
      <c r="BV1041" s="5">
        <f t="shared" si="143"/>
        <v>634.41405301647956</v>
      </c>
      <c r="BW1041" s="71">
        <f t="shared" si="144"/>
        <v>400</v>
      </c>
      <c r="BX1041" s="78" cm="1">
        <f t="array" ref="BX1041">IF(BM1041&gt;0,1,_xll.DCETCVN5575FactorPhi7121(BV1041*SQRT($K$17/206000),"b"))</f>
        <v>1</v>
      </c>
      <c r="BY1041" s="64">
        <f t="shared" si="145"/>
        <v>2.8856555098397841E-2</v>
      </c>
      <c r="BZ1041" s="3" t="str">
        <f t="shared" si="146"/>
        <v>Check</v>
      </c>
    </row>
    <row r="1042" spans="1:78">
      <c r="A1042" s="76"/>
      <c r="B1042" s="76"/>
      <c r="C1042" s="125"/>
      <c r="D1042" s="125"/>
      <c r="E1042" s="71"/>
      <c r="F1042" s="71"/>
      <c r="G1042" s="71"/>
      <c r="H1042" s="126"/>
      <c r="I1042" s="125"/>
      <c r="J1042" s="123"/>
      <c r="K1042" s="12"/>
      <c r="L1042" s="117"/>
      <c r="M1042" s="12"/>
      <c r="N1042" s="117"/>
      <c r="O1042" s="117"/>
      <c r="P1042" s="117"/>
      <c r="Q1042" s="118"/>
      <c r="R1042" s="118"/>
      <c r="S1042" s="118"/>
      <c r="T1042" s="12"/>
      <c r="U1042" s="118"/>
      <c r="V1042" s="118"/>
      <c r="W1042" s="12"/>
      <c r="X1042" s="119"/>
      <c r="Y1042" s="120"/>
      <c r="Z1042" s="12"/>
      <c r="BA1042" s="70" t="s">
        <v>205</v>
      </c>
      <c r="BB1042" s="71" t="s">
        <v>210</v>
      </c>
      <c r="BC1042" s="71" t="s">
        <v>207</v>
      </c>
      <c r="BD1042" s="71">
        <v>22.5</v>
      </c>
      <c r="BE1042" s="71">
        <v>36</v>
      </c>
      <c r="BF1042" s="71">
        <v>390</v>
      </c>
      <c r="BG1042" s="71">
        <v>212</v>
      </c>
      <c r="BH1042" s="71">
        <v>5</v>
      </c>
      <c r="BI1042" s="71">
        <v>10</v>
      </c>
      <c r="BJ1042" s="12" t="str" cm="1">
        <f t="array" ref="BJ1042">_xll.Dce_Name_SectI(BF1042, BF1042, BG1042, BH1042, BI1042, "x", "-", $AX$11)</f>
        <v>390x212x5x10</v>
      </c>
      <c r="BK1042" s="77" cm="1">
        <f t="array" ref="BK1042">_xll.DCEPropSectI(BF1042, BH1042, BG1042, BI1042, BG1042, BI1042, "A")/100</f>
        <v>60.9</v>
      </c>
      <c r="BL1042" s="70" t="s">
        <v>226</v>
      </c>
      <c r="BM1042" s="70">
        <v>36.904648315340992</v>
      </c>
      <c r="BN1042" s="71">
        <v>0.9</v>
      </c>
      <c r="BO1042" s="77">
        <f t="shared" si="139"/>
        <v>32.4</v>
      </c>
      <c r="BP1042" s="71">
        <v>0.9</v>
      </c>
      <c r="BQ1042" s="77">
        <f t="shared" si="140"/>
        <v>32.4</v>
      </c>
      <c r="BR1042" s="77" cm="1">
        <f t="array" ref="BR1042">_xll.DCEPropSectI(BF1042, BH1042, BG1042, BI1042, BG1042, BI1042, "rx")/10</f>
        <v>16.91131201300167</v>
      </c>
      <c r="BS1042" s="77" cm="1">
        <f t="array" ref="BS1042">_xll.DCEPropSectI(BF1042, BH1042, BG1042, BI1042, BG1042, BI1042, "ry")/10</f>
        <v>5.1070747638622018</v>
      </c>
      <c r="BT1042" s="5">
        <f t="shared" si="141"/>
        <v>191.58773710218577</v>
      </c>
      <c r="BU1042" s="5">
        <f t="shared" si="142"/>
        <v>634.41405301647956</v>
      </c>
      <c r="BV1042" s="5">
        <f t="shared" si="143"/>
        <v>634.41405301647956</v>
      </c>
      <c r="BW1042" s="71">
        <f t="shared" si="144"/>
        <v>400</v>
      </c>
      <c r="BX1042" s="78" cm="1">
        <f t="array" ref="BX1042">IF(BM1042&gt;0,1,_xll.DCETCVN5575FactorPhi7121(BV1042*SQRT($K$17/206000),"b"))</f>
        <v>1</v>
      </c>
      <c r="BY1042" s="64">
        <f t="shared" si="145"/>
        <v>2.8856555098397841E-2</v>
      </c>
      <c r="BZ1042" s="3" t="str">
        <f t="shared" si="146"/>
        <v>Check</v>
      </c>
    </row>
    <row r="1043" spans="1:78">
      <c r="A1043" s="76"/>
      <c r="B1043" s="76"/>
      <c r="C1043" s="125"/>
      <c r="D1043" s="125"/>
      <c r="E1043" s="71"/>
      <c r="F1043" s="71"/>
      <c r="G1043" s="71"/>
      <c r="H1043" s="126"/>
      <c r="I1043" s="125"/>
      <c r="J1043" s="123"/>
      <c r="K1043" s="12"/>
      <c r="L1043" s="117"/>
      <c r="M1043" s="12"/>
      <c r="N1043" s="117"/>
      <c r="O1043" s="117"/>
      <c r="P1043" s="117"/>
      <c r="Q1043" s="118"/>
      <c r="R1043" s="118"/>
      <c r="S1043" s="118"/>
      <c r="T1043" s="12"/>
      <c r="U1043" s="118"/>
      <c r="V1043" s="118"/>
      <c r="W1043" s="12"/>
      <c r="X1043" s="119"/>
      <c r="Y1043" s="120"/>
      <c r="Z1043" s="12"/>
      <c r="BA1043" s="70" t="s">
        <v>205</v>
      </c>
      <c r="BB1043" s="71" t="s">
        <v>210</v>
      </c>
      <c r="BC1043" s="71" t="s">
        <v>207</v>
      </c>
      <c r="BD1043" s="71">
        <v>22.5</v>
      </c>
      <c r="BE1043" s="71">
        <v>36</v>
      </c>
      <c r="BF1043" s="71">
        <v>390</v>
      </c>
      <c r="BG1043" s="71">
        <v>212</v>
      </c>
      <c r="BH1043" s="71">
        <v>5</v>
      </c>
      <c r="BI1043" s="71">
        <v>10</v>
      </c>
      <c r="BJ1043" s="12" t="str" cm="1">
        <f t="array" ref="BJ1043">_xll.Dce_Name_SectI(BF1043, BF1043, BG1043, BH1043, BI1043, "x", "-", $AX$11)</f>
        <v>390x212x5x10</v>
      </c>
      <c r="BK1043" s="77" cm="1">
        <f t="array" ref="BK1043">_xll.DCEPropSectI(BF1043, BH1043, BG1043, BI1043, BG1043, BI1043, "A")/100</f>
        <v>60.9</v>
      </c>
      <c r="BL1043" s="70" t="s">
        <v>226</v>
      </c>
      <c r="BM1043" s="70">
        <v>52.327662964713255</v>
      </c>
      <c r="BN1043" s="71">
        <v>0.9</v>
      </c>
      <c r="BO1043" s="77">
        <f t="shared" si="139"/>
        <v>32.4</v>
      </c>
      <c r="BP1043" s="71">
        <v>0.9</v>
      </c>
      <c r="BQ1043" s="77">
        <f t="shared" si="140"/>
        <v>32.4</v>
      </c>
      <c r="BR1043" s="77" cm="1">
        <f t="array" ref="BR1043">_xll.DCEPropSectI(BF1043, BH1043, BG1043, BI1043, BG1043, BI1043, "rx")/10</f>
        <v>16.91131201300167</v>
      </c>
      <c r="BS1043" s="77" cm="1">
        <f t="array" ref="BS1043">_xll.DCEPropSectI(BF1043, BH1043, BG1043, BI1043, BG1043, BI1043, "ry")/10</f>
        <v>5.1070747638622018</v>
      </c>
      <c r="BT1043" s="5">
        <f t="shared" si="141"/>
        <v>191.58773710218577</v>
      </c>
      <c r="BU1043" s="5">
        <f t="shared" si="142"/>
        <v>634.41405301647956</v>
      </c>
      <c r="BV1043" s="5">
        <f t="shared" si="143"/>
        <v>634.41405301647956</v>
      </c>
      <c r="BW1043" s="71">
        <f t="shared" si="144"/>
        <v>400</v>
      </c>
      <c r="BX1043" s="78" cm="1">
        <f t="array" ref="BX1043">IF(BM1043&gt;0,1,_xll.DCETCVN5575FactorPhi7121(BV1043*SQRT($K$17/206000),"b"))</f>
        <v>1</v>
      </c>
      <c r="BY1043" s="64">
        <f t="shared" si="145"/>
        <v>4.0916149006734903E-2</v>
      </c>
      <c r="BZ1043" s="3" t="str">
        <f t="shared" si="146"/>
        <v>Check</v>
      </c>
    </row>
    <row r="1044" spans="1:78">
      <c r="A1044" s="76"/>
      <c r="B1044" s="76"/>
      <c r="C1044" s="125"/>
      <c r="D1044" s="125"/>
      <c r="E1044" s="71"/>
      <c r="F1044" s="71"/>
      <c r="G1044" s="71"/>
      <c r="H1044" s="126"/>
      <c r="I1044" s="125"/>
      <c r="J1044" s="123"/>
      <c r="K1044" s="12"/>
      <c r="L1044" s="117"/>
      <c r="M1044" s="12"/>
      <c r="N1044" s="117"/>
      <c r="O1044" s="117"/>
      <c r="P1044" s="117"/>
      <c r="Q1044" s="118"/>
      <c r="R1044" s="118"/>
      <c r="S1044" s="118"/>
      <c r="T1044" s="12"/>
      <c r="U1044" s="118"/>
      <c r="V1044" s="118"/>
      <c r="W1044" s="12"/>
      <c r="X1044" s="119"/>
      <c r="Y1044" s="120"/>
      <c r="Z1044" s="12"/>
      <c r="BA1044" s="70" t="s">
        <v>205</v>
      </c>
      <c r="BB1044" s="71" t="s">
        <v>210</v>
      </c>
      <c r="BC1044" s="71" t="s">
        <v>207</v>
      </c>
      <c r="BD1044" s="71">
        <v>23</v>
      </c>
      <c r="BE1044" s="71">
        <v>36</v>
      </c>
      <c r="BF1044" s="71">
        <v>390</v>
      </c>
      <c r="BG1044" s="71">
        <v>212</v>
      </c>
      <c r="BH1044" s="71">
        <v>5</v>
      </c>
      <c r="BI1044" s="71">
        <v>10</v>
      </c>
      <c r="BJ1044" s="12" t="str" cm="1">
        <f t="array" ref="BJ1044">_xll.Dce_Name_SectI(BF1044, BF1044, BG1044, BH1044, BI1044, "x", "-", $AX$11)</f>
        <v>390x212x5x10</v>
      </c>
      <c r="BK1044" s="77" cm="1">
        <f t="array" ref="BK1044">_xll.DCEPropSectI(BF1044, BH1044, BG1044, BI1044, BG1044, BI1044, "A")/100</f>
        <v>60.9</v>
      </c>
      <c r="BL1044" s="70" t="s">
        <v>226</v>
      </c>
      <c r="BM1044" s="70">
        <v>52.327662964713255</v>
      </c>
      <c r="BN1044" s="71">
        <v>0.9</v>
      </c>
      <c r="BO1044" s="77">
        <f t="shared" si="139"/>
        <v>32.4</v>
      </c>
      <c r="BP1044" s="71">
        <v>0.9</v>
      </c>
      <c r="BQ1044" s="77">
        <f t="shared" si="140"/>
        <v>32.4</v>
      </c>
      <c r="BR1044" s="77" cm="1">
        <f t="array" ref="BR1044">_xll.DCEPropSectI(BF1044, BH1044, BG1044, BI1044, BG1044, BI1044, "rx")/10</f>
        <v>16.91131201300167</v>
      </c>
      <c r="BS1044" s="77" cm="1">
        <f t="array" ref="BS1044">_xll.DCEPropSectI(BF1044, BH1044, BG1044, BI1044, BG1044, BI1044, "ry")/10</f>
        <v>5.1070747638622018</v>
      </c>
      <c r="BT1044" s="5">
        <f t="shared" si="141"/>
        <v>191.58773710218577</v>
      </c>
      <c r="BU1044" s="5">
        <f t="shared" si="142"/>
        <v>634.41405301647956</v>
      </c>
      <c r="BV1044" s="5">
        <f t="shared" si="143"/>
        <v>634.41405301647956</v>
      </c>
      <c r="BW1044" s="71">
        <f t="shared" si="144"/>
        <v>400</v>
      </c>
      <c r="BX1044" s="78" cm="1">
        <f t="array" ref="BX1044">IF(BM1044&gt;0,1,_xll.DCETCVN5575FactorPhi7121(BV1044*SQRT($K$17/206000),"b"))</f>
        <v>1</v>
      </c>
      <c r="BY1044" s="64">
        <f t="shared" si="145"/>
        <v>4.0916149006734903E-2</v>
      </c>
      <c r="BZ1044" s="3" t="str">
        <f t="shared" si="146"/>
        <v>Check</v>
      </c>
    </row>
    <row r="1045" spans="1:78">
      <c r="A1045" s="76"/>
      <c r="B1045" s="76"/>
      <c r="C1045" s="125"/>
      <c r="D1045" s="125"/>
      <c r="E1045" s="71"/>
      <c r="F1045" s="71"/>
      <c r="G1045" s="71"/>
      <c r="H1045" s="126"/>
      <c r="I1045" s="125"/>
      <c r="J1045" s="123"/>
      <c r="K1045" s="12"/>
      <c r="L1045" s="117"/>
      <c r="M1045" s="12"/>
      <c r="N1045" s="117"/>
      <c r="O1045" s="117"/>
      <c r="P1045" s="117"/>
      <c r="Q1045" s="118"/>
      <c r="R1045" s="118"/>
      <c r="S1045" s="118"/>
      <c r="T1045" s="12"/>
      <c r="U1045" s="118"/>
      <c r="V1045" s="118"/>
      <c r="W1045" s="12"/>
      <c r="X1045" s="119"/>
      <c r="Y1045" s="120"/>
      <c r="Z1045" s="12"/>
      <c r="BA1045" s="70" t="s">
        <v>205</v>
      </c>
      <c r="BB1045" s="71" t="s">
        <v>210</v>
      </c>
      <c r="BC1045" s="71" t="s">
        <v>207</v>
      </c>
      <c r="BD1045" s="71">
        <v>23.5</v>
      </c>
      <c r="BE1045" s="71">
        <v>36</v>
      </c>
      <c r="BF1045" s="71">
        <v>390</v>
      </c>
      <c r="BG1045" s="71">
        <v>212</v>
      </c>
      <c r="BH1045" s="71">
        <v>5</v>
      </c>
      <c r="BI1045" s="71">
        <v>10</v>
      </c>
      <c r="BJ1045" s="12" t="str" cm="1">
        <f t="array" ref="BJ1045">_xll.Dce_Name_SectI(BF1045, BF1045, BG1045, BH1045, BI1045, "x", "-", $AX$11)</f>
        <v>390x212x5x10</v>
      </c>
      <c r="BK1045" s="77" cm="1">
        <f t="array" ref="BK1045">_xll.DCEPropSectI(BF1045, BH1045, BG1045, BI1045, BG1045, BI1045, "A")/100</f>
        <v>60.9</v>
      </c>
      <c r="BL1045" s="70" t="s">
        <v>226</v>
      </c>
      <c r="BM1045" s="70">
        <v>52.327662964713255</v>
      </c>
      <c r="BN1045" s="71">
        <v>0.9</v>
      </c>
      <c r="BO1045" s="77">
        <f t="shared" si="139"/>
        <v>32.4</v>
      </c>
      <c r="BP1045" s="71">
        <v>0.9</v>
      </c>
      <c r="BQ1045" s="77">
        <f t="shared" si="140"/>
        <v>32.4</v>
      </c>
      <c r="BR1045" s="77" cm="1">
        <f t="array" ref="BR1045">_xll.DCEPropSectI(BF1045, BH1045, BG1045, BI1045, BG1045, BI1045, "rx")/10</f>
        <v>16.91131201300167</v>
      </c>
      <c r="BS1045" s="77" cm="1">
        <f t="array" ref="BS1045">_xll.DCEPropSectI(BF1045, BH1045, BG1045, BI1045, BG1045, BI1045, "ry")/10</f>
        <v>5.1070747638622018</v>
      </c>
      <c r="BT1045" s="5">
        <f t="shared" si="141"/>
        <v>191.58773710218577</v>
      </c>
      <c r="BU1045" s="5">
        <f t="shared" si="142"/>
        <v>634.41405301647956</v>
      </c>
      <c r="BV1045" s="5">
        <f t="shared" si="143"/>
        <v>634.41405301647956</v>
      </c>
      <c r="BW1045" s="71">
        <f t="shared" si="144"/>
        <v>400</v>
      </c>
      <c r="BX1045" s="78" cm="1">
        <f t="array" ref="BX1045">IF(BM1045&gt;0,1,_xll.DCETCVN5575FactorPhi7121(BV1045*SQRT($K$17/206000),"b"))</f>
        <v>1</v>
      </c>
      <c r="BY1045" s="64">
        <f t="shared" si="145"/>
        <v>4.0916149006734903E-2</v>
      </c>
      <c r="BZ1045" s="3" t="str">
        <f t="shared" si="146"/>
        <v>Check</v>
      </c>
    </row>
    <row r="1046" spans="1:78">
      <c r="A1046" s="76"/>
      <c r="B1046" s="76"/>
      <c r="C1046" s="125"/>
      <c r="D1046" s="125"/>
      <c r="E1046" s="71"/>
      <c r="F1046" s="71"/>
      <c r="G1046" s="71"/>
      <c r="H1046" s="126"/>
      <c r="I1046" s="125"/>
      <c r="J1046" s="123"/>
      <c r="K1046" s="12"/>
      <c r="L1046" s="117"/>
      <c r="M1046" s="12"/>
      <c r="N1046" s="117"/>
      <c r="O1046" s="117"/>
      <c r="P1046" s="117"/>
      <c r="Q1046" s="118"/>
      <c r="R1046" s="118"/>
      <c r="S1046" s="118"/>
      <c r="T1046" s="12"/>
      <c r="U1046" s="118"/>
      <c r="V1046" s="118"/>
      <c r="W1046" s="12"/>
      <c r="X1046" s="119"/>
      <c r="Y1046" s="120"/>
      <c r="Z1046" s="12"/>
      <c r="BA1046" s="70" t="s">
        <v>205</v>
      </c>
      <c r="BB1046" s="71" t="s">
        <v>210</v>
      </c>
      <c r="BC1046" s="71" t="s">
        <v>207</v>
      </c>
      <c r="BD1046" s="71">
        <v>24</v>
      </c>
      <c r="BE1046" s="71">
        <v>36</v>
      </c>
      <c r="BF1046" s="71">
        <v>390</v>
      </c>
      <c r="BG1046" s="71">
        <v>212</v>
      </c>
      <c r="BH1046" s="71">
        <v>5</v>
      </c>
      <c r="BI1046" s="71">
        <v>10</v>
      </c>
      <c r="BJ1046" s="12" t="str" cm="1">
        <f t="array" ref="BJ1046">_xll.Dce_Name_SectI(BF1046, BF1046, BG1046, BH1046, BI1046, "x", "-", $AX$11)</f>
        <v>390x212x5x10</v>
      </c>
      <c r="BK1046" s="77" cm="1">
        <f t="array" ref="BK1046">_xll.DCEPropSectI(BF1046, BH1046, BG1046, BI1046, BG1046, BI1046, "A")/100</f>
        <v>60.9</v>
      </c>
      <c r="BL1046" s="70" t="s">
        <v>226</v>
      </c>
      <c r="BM1046" s="70">
        <v>52.327662964713255</v>
      </c>
      <c r="BN1046" s="71">
        <v>0.9</v>
      </c>
      <c r="BO1046" s="77">
        <f t="shared" si="139"/>
        <v>32.4</v>
      </c>
      <c r="BP1046" s="71">
        <v>0.9</v>
      </c>
      <c r="BQ1046" s="77">
        <f t="shared" si="140"/>
        <v>32.4</v>
      </c>
      <c r="BR1046" s="77" cm="1">
        <f t="array" ref="BR1046">_xll.DCEPropSectI(BF1046, BH1046, BG1046, BI1046, BG1046, BI1046, "rx")/10</f>
        <v>16.91131201300167</v>
      </c>
      <c r="BS1046" s="77" cm="1">
        <f t="array" ref="BS1046">_xll.DCEPropSectI(BF1046, BH1046, BG1046, BI1046, BG1046, BI1046, "ry")/10</f>
        <v>5.1070747638622018</v>
      </c>
      <c r="BT1046" s="5">
        <f t="shared" si="141"/>
        <v>191.58773710218577</v>
      </c>
      <c r="BU1046" s="5">
        <f t="shared" si="142"/>
        <v>634.41405301647956</v>
      </c>
      <c r="BV1046" s="5">
        <f t="shared" si="143"/>
        <v>634.41405301647956</v>
      </c>
      <c r="BW1046" s="71">
        <f t="shared" si="144"/>
        <v>400</v>
      </c>
      <c r="BX1046" s="78" cm="1">
        <f t="array" ref="BX1046">IF(BM1046&gt;0,1,_xll.DCETCVN5575FactorPhi7121(BV1046*SQRT($K$17/206000),"b"))</f>
        <v>1</v>
      </c>
      <c r="BY1046" s="64">
        <f t="shared" si="145"/>
        <v>4.0916149006734903E-2</v>
      </c>
      <c r="BZ1046" s="3" t="str">
        <f t="shared" si="146"/>
        <v>Check</v>
      </c>
    </row>
    <row r="1047" spans="1:78">
      <c r="A1047" s="76"/>
      <c r="B1047" s="76"/>
      <c r="C1047" s="125"/>
      <c r="D1047" s="125"/>
      <c r="E1047" s="71"/>
      <c r="F1047" s="71"/>
      <c r="G1047" s="71"/>
      <c r="H1047" s="126"/>
      <c r="I1047" s="125"/>
      <c r="J1047" s="123"/>
      <c r="K1047" s="12"/>
      <c r="L1047" s="117"/>
      <c r="M1047" s="12"/>
      <c r="N1047" s="117"/>
      <c r="O1047" s="117"/>
      <c r="P1047" s="117"/>
      <c r="Q1047" s="118"/>
      <c r="R1047" s="118"/>
      <c r="S1047" s="118"/>
      <c r="T1047" s="12"/>
      <c r="U1047" s="118"/>
      <c r="V1047" s="118"/>
      <c r="W1047" s="12"/>
      <c r="X1047" s="119"/>
      <c r="Y1047" s="120"/>
      <c r="Z1047" s="12"/>
      <c r="BA1047" s="70" t="s">
        <v>205</v>
      </c>
      <c r="BB1047" s="71" t="s">
        <v>210</v>
      </c>
      <c r="BC1047" s="71" t="s">
        <v>207</v>
      </c>
      <c r="BD1047" s="71">
        <v>24.5</v>
      </c>
      <c r="BE1047" s="71">
        <v>36</v>
      </c>
      <c r="BF1047" s="71">
        <v>390</v>
      </c>
      <c r="BG1047" s="71">
        <v>212</v>
      </c>
      <c r="BH1047" s="71">
        <v>5</v>
      </c>
      <c r="BI1047" s="71">
        <v>10</v>
      </c>
      <c r="BJ1047" s="12" t="str" cm="1">
        <f t="array" ref="BJ1047">_xll.Dce_Name_SectI(BF1047, BF1047, BG1047, BH1047, BI1047, "x", "-", $AX$11)</f>
        <v>390x212x5x10</v>
      </c>
      <c r="BK1047" s="77" cm="1">
        <f t="array" ref="BK1047">_xll.DCEPropSectI(BF1047, BH1047, BG1047, BI1047, BG1047, BI1047, "A")/100</f>
        <v>60.9</v>
      </c>
      <c r="BL1047" s="70" t="s">
        <v>226</v>
      </c>
      <c r="BM1047" s="70">
        <v>52.327662964713255</v>
      </c>
      <c r="BN1047" s="71">
        <v>0.9</v>
      </c>
      <c r="BO1047" s="77">
        <f t="shared" si="139"/>
        <v>32.4</v>
      </c>
      <c r="BP1047" s="71">
        <v>0.9</v>
      </c>
      <c r="BQ1047" s="77">
        <f t="shared" si="140"/>
        <v>32.4</v>
      </c>
      <c r="BR1047" s="77" cm="1">
        <f t="array" ref="BR1047">_xll.DCEPropSectI(BF1047, BH1047, BG1047, BI1047, BG1047, BI1047, "rx")/10</f>
        <v>16.91131201300167</v>
      </c>
      <c r="BS1047" s="77" cm="1">
        <f t="array" ref="BS1047">_xll.DCEPropSectI(BF1047, BH1047, BG1047, BI1047, BG1047, BI1047, "ry")/10</f>
        <v>5.1070747638622018</v>
      </c>
      <c r="BT1047" s="5">
        <f t="shared" si="141"/>
        <v>191.58773710218577</v>
      </c>
      <c r="BU1047" s="5">
        <f t="shared" si="142"/>
        <v>634.41405301647956</v>
      </c>
      <c r="BV1047" s="5">
        <f t="shared" si="143"/>
        <v>634.41405301647956</v>
      </c>
      <c r="BW1047" s="71">
        <f t="shared" si="144"/>
        <v>400</v>
      </c>
      <c r="BX1047" s="78" cm="1">
        <f t="array" ref="BX1047">IF(BM1047&gt;0,1,_xll.DCETCVN5575FactorPhi7121(BV1047*SQRT($K$17/206000),"b"))</f>
        <v>1</v>
      </c>
      <c r="BY1047" s="64">
        <f t="shared" si="145"/>
        <v>4.0916149006734903E-2</v>
      </c>
      <c r="BZ1047" s="3" t="str">
        <f t="shared" si="146"/>
        <v>Check</v>
      </c>
    </row>
    <row r="1048" spans="1:78">
      <c r="A1048" s="76"/>
      <c r="B1048" s="76"/>
      <c r="C1048" s="125"/>
      <c r="D1048" s="125"/>
      <c r="E1048" s="71"/>
      <c r="F1048" s="71"/>
      <c r="G1048" s="71"/>
      <c r="H1048" s="126"/>
      <c r="I1048" s="125"/>
      <c r="J1048" s="123"/>
      <c r="K1048" s="12"/>
      <c r="L1048" s="117"/>
      <c r="M1048" s="12"/>
      <c r="N1048" s="117"/>
      <c r="O1048" s="117"/>
      <c r="P1048" s="117"/>
      <c r="Q1048" s="118"/>
      <c r="R1048" s="118"/>
      <c r="S1048" s="118"/>
      <c r="T1048" s="12"/>
      <c r="U1048" s="118"/>
      <c r="V1048" s="118"/>
      <c r="W1048" s="12"/>
      <c r="X1048" s="119"/>
      <c r="Y1048" s="120"/>
      <c r="Z1048" s="12"/>
      <c r="BA1048" s="70" t="s">
        <v>205</v>
      </c>
      <c r="BB1048" s="71" t="s">
        <v>210</v>
      </c>
      <c r="BC1048" s="71" t="s">
        <v>207</v>
      </c>
      <c r="BD1048" s="71">
        <v>25</v>
      </c>
      <c r="BE1048" s="71">
        <v>36</v>
      </c>
      <c r="BF1048" s="71">
        <v>390</v>
      </c>
      <c r="BG1048" s="71">
        <v>212</v>
      </c>
      <c r="BH1048" s="71">
        <v>5</v>
      </c>
      <c r="BI1048" s="71">
        <v>10</v>
      </c>
      <c r="BJ1048" s="12" t="str" cm="1">
        <f t="array" ref="BJ1048">_xll.Dce_Name_SectI(BF1048, BF1048, BG1048, BH1048, BI1048, "x", "-", $AX$11)</f>
        <v>390x212x5x10</v>
      </c>
      <c r="BK1048" s="77" cm="1">
        <f t="array" ref="BK1048">_xll.DCEPropSectI(BF1048, BH1048, BG1048, BI1048, BG1048, BI1048, "A")/100</f>
        <v>60.9</v>
      </c>
      <c r="BL1048" s="70" t="s">
        <v>226</v>
      </c>
      <c r="BM1048" s="70">
        <v>52.327662964713255</v>
      </c>
      <c r="BN1048" s="71">
        <v>0.9</v>
      </c>
      <c r="BO1048" s="77">
        <f t="shared" si="139"/>
        <v>32.4</v>
      </c>
      <c r="BP1048" s="71">
        <v>0.9</v>
      </c>
      <c r="BQ1048" s="77">
        <f t="shared" si="140"/>
        <v>32.4</v>
      </c>
      <c r="BR1048" s="77" cm="1">
        <f t="array" ref="BR1048">_xll.DCEPropSectI(BF1048, BH1048, BG1048, BI1048, BG1048, BI1048, "rx")/10</f>
        <v>16.91131201300167</v>
      </c>
      <c r="BS1048" s="77" cm="1">
        <f t="array" ref="BS1048">_xll.DCEPropSectI(BF1048, BH1048, BG1048, BI1048, BG1048, BI1048, "ry")/10</f>
        <v>5.1070747638622018</v>
      </c>
      <c r="BT1048" s="5">
        <f t="shared" si="141"/>
        <v>191.58773710218577</v>
      </c>
      <c r="BU1048" s="5">
        <f t="shared" si="142"/>
        <v>634.41405301647956</v>
      </c>
      <c r="BV1048" s="5">
        <f t="shared" si="143"/>
        <v>634.41405301647956</v>
      </c>
      <c r="BW1048" s="71">
        <f t="shared" si="144"/>
        <v>400</v>
      </c>
      <c r="BX1048" s="78" cm="1">
        <f t="array" ref="BX1048">IF(BM1048&gt;0,1,_xll.DCETCVN5575FactorPhi7121(BV1048*SQRT($K$17/206000),"b"))</f>
        <v>1</v>
      </c>
      <c r="BY1048" s="64">
        <f t="shared" si="145"/>
        <v>4.0916149006734903E-2</v>
      </c>
      <c r="BZ1048" s="3" t="str">
        <f t="shared" si="146"/>
        <v>Check</v>
      </c>
    </row>
    <row r="1049" spans="1:78">
      <c r="A1049" s="76"/>
      <c r="B1049" s="76"/>
      <c r="C1049" s="125"/>
      <c r="D1049" s="125"/>
      <c r="E1049" s="71"/>
      <c r="F1049" s="71"/>
      <c r="G1049" s="71"/>
      <c r="H1049" s="126"/>
      <c r="I1049" s="125"/>
      <c r="J1049" s="123"/>
      <c r="K1049" s="12"/>
      <c r="L1049" s="117"/>
      <c r="M1049" s="12"/>
      <c r="N1049" s="117"/>
      <c r="O1049" s="117"/>
      <c r="P1049" s="117"/>
      <c r="Q1049" s="118"/>
      <c r="R1049" s="118"/>
      <c r="S1049" s="118"/>
      <c r="T1049" s="12"/>
      <c r="U1049" s="118"/>
      <c r="V1049" s="118"/>
      <c r="W1049" s="12"/>
      <c r="X1049" s="119"/>
      <c r="Y1049" s="120"/>
      <c r="Z1049" s="12"/>
      <c r="BA1049" s="70" t="s">
        <v>205</v>
      </c>
      <c r="BB1049" s="71" t="s">
        <v>210</v>
      </c>
      <c r="BC1049" s="71" t="s">
        <v>207</v>
      </c>
      <c r="BD1049" s="71">
        <v>25.5</v>
      </c>
      <c r="BE1049" s="71">
        <v>36</v>
      </c>
      <c r="BF1049" s="71">
        <v>390</v>
      </c>
      <c r="BG1049" s="71">
        <v>212</v>
      </c>
      <c r="BH1049" s="71">
        <v>5</v>
      </c>
      <c r="BI1049" s="71">
        <v>10</v>
      </c>
      <c r="BJ1049" s="12" t="str" cm="1">
        <f t="array" ref="BJ1049">_xll.Dce_Name_SectI(BF1049, BF1049, BG1049, BH1049, BI1049, "x", "-", $AX$11)</f>
        <v>390x212x5x10</v>
      </c>
      <c r="BK1049" s="77" cm="1">
        <f t="array" ref="BK1049">_xll.DCEPropSectI(BF1049, BH1049, BG1049, BI1049, BG1049, BI1049, "A")/100</f>
        <v>60.9</v>
      </c>
      <c r="BL1049" s="70" t="s">
        <v>226</v>
      </c>
      <c r="BM1049" s="70">
        <v>52.327662964713255</v>
      </c>
      <c r="BN1049" s="71">
        <v>0.9</v>
      </c>
      <c r="BO1049" s="77">
        <f t="shared" si="139"/>
        <v>32.4</v>
      </c>
      <c r="BP1049" s="71">
        <v>0.9</v>
      </c>
      <c r="BQ1049" s="77">
        <f t="shared" si="140"/>
        <v>32.4</v>
      </c>
      <c r="BR1049" s="77" cm="1">
        <f t="array" ref="BR1049">_xll.DCEPropSectI(BF1049, BH1049, BG1049, BI1049, BG1049, BI1049, "rx")/10</f>
        <v>16.91131201300167</v>
      </c>
      <c r="BS1049" s="77" cm="1">
        <f t="array" ref="BS1049">_xll.DCEPropSectI(BF1049, BH1049, BG1049, BI1049, BG1049, BI1049, "ry")/10</f>
        <v>5.1070747638622018</v>
      </c>
      <c r="BT1049" s="5">
        <f t="shared" si="141"/>
        <v>191.58773710218577</v>
      </c>
      <c r="BU1049" s="5">
        <f t="shared" si="142"/>
        <v>634.41405301647956</v>
      </c>
      <c r="BV1049" s="5">
        <f t="shared" si="143"/>
        <v>634.41405301647956</v>
      </c>
      <c r="BW1049" s="71">
        <f t="shared" si="144"/>
        <v>400</v>
      </c>
      <c r="BX1049" s="78" cm="1">
        <f t="array" ref="BX1049">IF(BM1049&gt;0,1,_xll.DCETCVN5575FactorPhi7121(BV1049*SQRT($K$17/206000),"b"))</f>
        <v>1</v>
      </c>
      <c r="BY1049" s="64">
        <f t="shared" si="145"/>
        <v>4.0916149006734903E-2</v>
      </c>
      <c r="BZ1049" s="3" t="str">
        <f t="shared" si="146"/>
        <v>Check</v>
      </c>
    </row>
    <row r="1050" spans="1:78">
      <c r="A1050" s="76"/>
      <c r="B1050" s="76"/>
      <c r="C1050" s="125"/>
      <c r="D1050" s="125"/>
      <c r="E1050" s="71"/>
      <c r="F1050" s="71"/>
      <c r="G1050" s="71"/>
      <c r="H1050" s="126"/>
      <c r="I1050" s="125"/>
      <c r="J1050" s="123"/>
      <c r="K1050" s="12"/>
      <c r="L1050" s="117"/>
      <c r="M1050" s="12"/>
      <c r="N1050" s="117"/>
      <c r="O1050" s="117"/>
      <c r="P1050" s="117"/>
      <c r="Q1050" s="118"/>
      <c r="R1050" s="118"/>
      <c r="S1050" s="118"/>
      <c r="T1050" s="12"/>
      <c r="U1050" s="118"/>
      <c r="V1050" s="118"/>
      <c r="W1050" s="12"/>
      <c r="X1050" s="119"/>
      <c r="Y1050" s="120"/>
      <c r="Z1050" s="12"/>
      <c r="BA1050" s="70" t="s">
        <v>205</v>
      </c>
      <c r="BB1050" s="71" t="s">
        <v>210</v>
      </c>
      <c r="BC1050" s="71" t="s">
        <v>207</v>
      </c>
      <c r="BD1050" s="71">
        <v>26</v>
      </c>
      <c r="BE1050" s="71">
        <v>36</v>
      </c>
      <c r="BF1050" s="71">
        <v>390</v>
      </c>
      <c r="BG1050" s="71">
        <v>212</v>
      </c>
      <c r="BH1050" s="71">
        <v>5</v>
      </c>
      <c r="BI1050" s="71">
        <v>10</v>
      </c>
      <c r="BJ1050" s="12" t="str" cm="1">
        <f t="array" ref="BJ1050">_xll.Dce_Name_SectI(BF1050, BF1050, BG1050, BH1050, BI1050, "x", "-", $AX$11)</f>
        <v>390x212x5x10</v>
      </c>
      <c r="BK1050" s="77" cm="1">
        <f t="array" ref="BK1050">_xll.DCEPropSectI(BF1050, BH1050, BG1050, BI1050, BG1050, BI1050, "A")/100</f>
        <v>60.9</v>
      </c>
      <c r="BL1050" s="70" t="s">
        <v>226</v>
      </c>
      <c r="BM1050" s="70">
        <v>52.327662964713255</v>
      </c>
      <c r="BN1050" s="71">
        <v>0.9</v>
      </c>
      <c r="BO1050" s="77">
        <f t="shared" si="139"/>
        <v>32.4</v>
      </c>
      <c r="BP1050" s="71">
        <v>0.9</v>
      </c>
      <c r="BQ1050" s="77">
        <f t="shared" si="140"/>
        <v>32.4</v>
      </c>
      <c r="BR1050" s="77" cm="1">
        <f t="array" ref="BR1050">_xll.DCEPropSectI(BF1050, BH1050, BG1050, BI1050, BG1050, BI1050, "rx")/10</f>
        <v>16.91131201300167</v>
      </c>
      <c r="BS1050" s="77" cm="1">
        <f t="array" ref="BS1050">_xll.DCEPropSectI(BF1050, BH1050, BG1050, BI1050, BG1050, BI1050, "ry")/10</f>
        <v>5.1070747638622018</v>
      </c>
      <c r="BT1050" s="5">
        <f t="shared" si="141"/>
        <v>191.58773710218577</v>
      </c>
      <c r="BU1050" s="5">
        <f t="shared" si="142"/>
        <v>634.41405301647956</v>
      </c>
      <c r="BV1050" s="5">
        <f t="shared" si="143"/>
        <v>634.41405301647956</v>
      </c>
      <c r="BW1050" s="71">
        <f t="shared" si="144"/>
        <v>400</v>
      </c>
      <c r="BX1050" s="78" cm="1">
        <f t="array" ref="BX1050">IF(BM1050&gt;0,1,_xll.DCETCVN5575FactorPhi7121(BV1050*SQRT($K$17/206000),"b"))</f>
        <v>1</v>
      </c>
      <c r="BY1050" s="64">
        <f t="shared" si="145"/>
        <v>4.0916149006734903E-2</v>
      </c>
      <c r="BZ1050" s="3" t="str">
        <f t="shared" si="146"/>
        <v>Check</v>
      </c>
    </row>
    <row r="1051" spans="1:78">
      <c r="A1051" s="76"/>
      <c r="B1051" s="76"/>
      <c r="C1051" s="125"/>
      <c r="D1051" s="125"/>
      <c r="E1051" s="71"/>
      <c r="F1051" s="71"/>
      <c r="G1051" s="71"/>
      <c r="H1051" s="126"/>
      <c r="I1051" s="125"/>
      <c r="J1051" s="123"/>
      <c r="K1051" s="12"/>
      <c r="L1051" s="117"/>
      <c r="M1051" s="12"/>
      <c r="N1051" s="117"/>
      <c r="O1051" s="117"/>
      <c r="P1051" s="117"/>
      <c r="Q1051" s="118"/>
      <c r="R1051" s="118"/>
      <c r="S1051" s="118"/>
      <c r="T1051" s="12"/>
      <c r="U1051" s="118"/>
      <c r="V1051" s="118"/>
      <c r="W1051" s="12"/>
      <c r="X1051" s="119"/>
      <c r="Y1051" s="120"/>
      <c r="Z1051" s="12"/>
      <c r="BA1051" s="70" t="s">
        <v>205</v>
      </c>
      <c r="BB1051" s="71" t="s">
        <v>210</v>
      </c>
      <c r="BC1051" s="71" t="s">
        <v>207</v>
      </c>
      <c r="BD1051" s="71">
        <v>26.5</v>
      </c>
      <c r="BE1051" s="71">
        <v>36</v>
      </c>
      <c r="BF1051" s="71">
        <v>390</v>
      </c>
      <c r="BG1051" s="71">
        <v>212</v>
      </c>
      <c r="BH1051" s="71">
        <v>5</v>
      </c>
      <c r="BI1051" s="71">
        <v>10</v>
      </c>
      <c r="BJ1051" s="12" t="str" cm="1">
        <f t="array" ref="BJ1051">_xll.Dce_Name_SectI(BF1051, BF1051, BG1051, BH1051, BI1051, "x", "-", $AX$11)</f>
        <v>390x212x5x10</v>
      </c>
      <c r="BK1051" s="77" cm="1">
        <f t="array" ref="BK1051">_xll.DCEPropSectI(BF1051, BH1051, BG1051, BI1051, BG1051, BI1051, "A")/100</f>
        <v>60.9</v>
      </c>
      <c r="BL1051" s="70" t="s">
        <v>226</v>
      </c>
      <c r="BM1051" s="70">
        <v>52.327662964713255</v>
      </c>
      <c r="BN1051" s="71">
        <v>0.9</v>
      </c>
      <c r="BO1051" s="77">
        <f t="shared" si="139"/>
        <v>32.4</v>
      </c>
      <c r="BP1051" s="71">
        <v>0.9</v>
      </c>
      <c r="BQ1051" s="77">
        <f t="shared" si="140"/>
        <v>32.4</v>
      </c>
      <c r="BR1051" s="77" cm="1">
        <f t="array" ref="BR1051">_xll.DCEPropSectI(BF1051, BH1051, BG1051, BI1051, BG1051, BI1051, "rx")/10</f>
        <v>16.91131201300167</v>
      </c>
      <c r="BS1051" s="77" cm="1">
        <f t="array" ref="BS1051">_xll.DCEPropSectI(BF1051, BH1051, BG1051, BI1051, BG1051, BI1051, "ry")/10</f>
        <v>5.1070747638622018</v>
      </c>
      <c r="BT1051" s="5">
        <f t="shared" si="141"/>
        <v>191.58773710218577</v>
      </c>
      <c r="BU1051" s="5">
        <f t="shared" si="142"/>
        <v>634.41405301647956</v>
      </c>
      <c r="BV1051" s="5">
        <f t="shared" si="143"/>
        <v>634.41405301647956</v>
      </c>
      <c r="BW1051" s="71">
        <f t="shared" si="144"/>
        <v>400</v>
      </c>
      <c r="BX1051" s="78" cm="1">
        <f t="array" ref="BX1051">IF(BM1051&gt;0,1,_xll.DCETCVN5575FactorPhi7121(BV1051*SQRT($K$17/206000),"b"))</f>
        <v>1</v>
      </c>
      <c r="BY1051" s="64">
        <f t="shared" si="145"/>
        <v>4.0916149006734903E-2</v>
      </c>
      <c r="BZ1051" s="3" t="str">
        <f t="shared" si="146"/>
        <v>Check</v>
      </c>
    </row>
    <row r="1052" spans="1:78">
      <c r="A1052" s="76"/>
      <c r="B1052" s="76"/>
      <c r="C1052" s="125"/>
      <c r="D1052" s="125"/>
      <c r="E1052" s="71"/>
      <c r="F1052" s="71"/>
      <c r="G1052" s="71"/>
      <c r="H1052" s="126"/>
      <c r="I1052" s="125"/>
      <c r="J1052" s="123"/>
      <c r="K1052" s="12"/>
      <c r="L1052" s="117"/>
      <c r="M1052" s="12"/>
      <c r="N1052" s="117"/>
      <c r="O1052" s="117"/>
      <c r="P1052" s="117"/>
      <c r="Q1052" s="118"/>
      <c r="R1052" s="118"/>
      <c r="S1052" s="118"/>
      <c r="T1052" s="12"/>
      <c r="U1052" s="118"/>
      <c r="V1052" s="118"/>
      <c r="W1052" s="12"/>
      <c r="X1052" s="119"/>
      <c r="Y1052" s="120"/>
      <c r="Z1052" s="12"/>
      <c r="BA1052" s="70" t="s">
        <v>205</v>
      </c>
      <c r="BB1052" s="71" t="s">
        <v>210</v>
      </c>
      <c r="BC1052" s="71" t="s">
        <v>207</v>
      </c>
      <c r="BD1052" s="71">
        <v>27</v>
      </c>
      <c r="BE1052" s="71">
        <v>36</v>
      </c>
      <c r="BF1052" s="71">
        <v>390</v>
      </c>
      <c r="BG1052" s="71">
        <v>212</v>
      </c>
      <c r="BH1052" s="71">
        <v>5</v>
      </c>
      <c r="BI1052" s="71">
        <v>10</v>
      </c>
      <c r="BJ1052" s="12" t="str" cm="1">
        <f t="array" ref="BJ1052">_xll.Dce_Name_SectI(BF1052, BF1052, BG1052, BH1052, BI1052, "x", "-", $AX$11)</f>
        <v>390x212x5x10</v>
      </c>
      <c r="BK1052" s="77" cm="1">
        <f t="array" ref="BK1052">_xll.DCEPropSectI(BF1052, BH1052, BG1052, BI1052, BG1052, BI1052, "A")/100</f>
        <v>60.9</v>
      </c>
      <c r="BL1052" s="70" t="s">
        <v>226</v>
      </c>
      <c r="BM1052" s="70">
        <v>52.327662964713255</v>
      </c>
      <c r="BN1052" s="71">
        <v>0.9</v>
      </c>
      <c r="BO1052" s="77">
        <f t="shared" si="139"/>
        <v>32.4</v>
      </c>
      <c r="BP1052" s="71">
        <v>0.9</v>
      </c>
      <c r="BQ1052" s="77">
        <f t="shared" si="140"/>
        <v>32.4</v>
      </c>
      <c r="BR1052" s="77" cm="1">
        <f t="array" ref="BR1052">_xll.DCEPropSectI(BF1052, BH1052, BG1052, BI1052, BG1052, BI1052, "rx")/10</f>
        <v>16.91131201300167</v>
      </c>
      <c r="BS1052" s="77" cm="1">
        <f t="array" ref="BS1052">_xll.DCEPropSectI(BF1052, BH1052, BG1052, BI1052, BG1052, BI1052, "ry")/10</f>
        <v>5.1070747638622018</v>
      </c>
      <c r="BT1052" s="5">
        <f t="shared" si="141"/>
        <v>191.58773710218577</v>
      </c>
      <c r="BU1052" s="5">
        <f t="shared" si="142"/>
        <v>634.41405301647956</v>
      </c>
      <c r="BV1052" s="5">
        <f t="shared" si="143"/>
        <v>634.41405301647956</v>
      </c>
      <c r="BW1052" s="71">
        <f t="shared" si="144"/>
        <v>400</v>
      </c>
      <c r="BX1052" s="78" cm="1">
        <f t="array" ref="BX1052">IF(BM1052&gt;0,1,_xll.DCETCVN5575FactorPhi7121(BV1052*SQRT($K$17/206000),"b"))</f>
        <v>1</v>
      </c>
      <c r="BY1052" s="64">
        <f t="shared" si="145"/>
        <v>4.0916149006734903E-2</v>
      </c>
      <c r="BZ1052" s="3" t="str">
        <f t="shared" si="146"/>
        <v>Check</v>
      </c>
    </row>
    <row r="1053" spans="1:78">
      <c r="A1053" s="76"/>
      <c r="B1053" s="76"/>
      <c r="C1053" s="125"/>
      <c r="D1053" s="125"/>
      <c r="E1053" s="71"/>
      <c r="F1053" s="71"/>
      <c r="G1053" s="71"/>
      <c r="H1053" s="126"/>
      <c r="I1053" s="125"/>
      <c r="J1053" s="123"/>
      <c r="K1053" s="12"/>
      <c r="L1053" s="117"/>
      <c r="M1053" s="12"/>
      <c r="N1053" s="117"/>
      <c r="O1053" s="117"/>
      <c r="P1053" s="117"/>
      <c r="Q1053" s="118"/>
      <c r="R1053" s="118"/>
      <c r="S1053" s="118"/>
      <c r="T1053" s="12"/>
      <c r="U1053" s="118"/>
      <c r="V1053" s="118"/>
      <c r="W1053" s="12"/>
      <c r="X1053" s="119"/>
      <c r="Y1053" s="120"/>
      <c r="Z1053" s="12"/>
      <c r="BA1053" s="70" t="s">
        <v>205</v>
      </c>
      <c r="BB1053" s="71" t="s">
        <v>210</v>
      </c>
      <c r="BC1053" s="71" t="s">
        <v>207</v>
      </c>
      <c r="BD1053" s="71">
        <v>27.5</v>
      </c>
      <c r="BE1053" s="71">
        <v>36</v>
      </c>
      <c r="BF1053" s="71">
        <v>390</v>
      </c>
      <c r="BG1053" s="71">
        <v>212</v>
      </c>
      <c r="BH1053" s="71">
        <v>5</v>
      </c>
      <c r="BI1053" s="71">
        <v>10</v>
      </c>
      <c r="BJ1053" s="12" t="str" cm="1">
        <f t="array" ref="BJ1053">_xll.Dce_Name_SectI(BF1053, BF1053, BG1053, BH1053, BI1053, "x", "-", $AX$11)</f>
        <v>390x212x5x10</v>
      </c>
      <c r="BK1053" s="77" cm="1">
        <f t="array" ref="BK1053">_xll.DCEPropSectI(BF1053, BH1053, BG1053, BI1053, BG1053, BI1053, "A")/100</f>
        <v>60.9</v>
      </c>
      <c r="BL1053" s="70" t="s">
        <v>226</v>
      </c>
      <c r="BM1053" s="70">
        <v>52.327662964713255</v>
      </c>
      <c r="BN1053" s="71">
        <v>0.9</v>
      </c>
      <c r="BO1053" s="77">
        <f t="shared" si="139"/>
        <v>32.4</v>
      </c>
      <c r="BP1053" s="71">
        <v>0.9</v>
      </c>
      <c r="BQ1053" s="77">
        <f t="shared" si="140"/>
        <v>32.4</v>
      </c>
      <c r="BR1053" s="77" cm="1">
        <f t="array" ref="BR1053">_xll.DCEPropSectI(BF1053, BH1053, BG1053, BI1053, BG1053, BI1053, "rx")/10</f>
        <v>16.91131201300167</v>
      </c>
      <c r="BS1053" s="77" cm="1">
        <f t="array" ref="BS1053">_xll.DCEPropSectI(BF1053, BH1053, BG1053, BI1053, BG1053, BI1053, "ry")/10</f>
        <v>5.1070747638622018</v>
      </c>
      <c r="BT1053" s="5">
        <f t="shared" si="141"/>
        <v>191.58773710218577</v>
      </c>
      <c r="BU1053" s="5">
        <f t="shared" si="142"/>
        <v>634.41405301647956</v>
      </c>
      <c r="BV1053" s="5">
        <f t="shared" si="143"/>
        <v>634.41405301647956</v>
      </c>
      <c r="BW1053" s="71">
        <f t="shared" si="144"/>
        <v>400</v>
      </c>
      <c r="BX1053" s="78" cm="1">
        <f t="array" ref="BX1053">IF(BM1053&gt;0,1,_xll.DCETCVN5575FactorPhi7121(BV1053*SQRT($K$17/206000),"b"))</f>
        <v>1</v>
      </c>
      <c r="BY1053" s="64">
        <f t="shared" si="145"/>
        <v>4.0916149006734903E-2</v>
      </c>
      <c r="BZ1053" s="3" t="str">
        <f t="shared" si="146"/>
        <v>Check</v>
      </c>
    </row>
    <row r="1054" spans="1:78">
      <c r="A1054" s="76"/>
      <c r="B1054" s="76"/>
      <c r="C1054" s="125"/>
      <c r="D1054" s="125"/>
      <c r="E1054" s="71"/>
      <c r="F1054" s="71"/>
      <c r="G1054" s="71"/>
      <c r="H1054" s="126"/>
      <c r="I1054" s="125"/>
      <c r="J1054" s="123"/>
      <c r="K1054" s="12"/>
      <c r="L1054" s="117"/>
      <c r="M1054" s="12"/>
      <c r="N1054" s="117"/>
      <c r="O1054" s="117"/>
      <c r="P1054" s="117"/>
      <c r="Q1054" s="118"/>
      <c r="R1054" s="118"/>
      <c r="S1054" s="118"/>
      <c r="T1054" s="12"/>
      <c r="U1054" s="118"/>
      <c r="V1054" s="118"/>
      <c r="W1054" s="12"/>
      <c r="X1054" s="119"/>
      <c r="Y1054" s="120"/>
      <c r="Z1054" s="12"/>
      <c r="BA1054" s="70" t="s">
        <v>205</v>
      </c>
      <c r="BB1054" s="71" t="s">
        <v>210</v>
      </c>
      <c r="BC1054" s="71" t="s">
        <v>207</v>
      </c>
      <c r="BD1054" s="71">
        <v>28</v>
      </c>
      <c r="BE1054" s="71">
        <v>36</v>
      </c>
      <c r="BF1054" s="71">
        <v>390</v>
      </c>
      <c r="BG1054" s="71">
        <v>212</v>
      </c>
      <c r="BH1054" s="71">
        <v>5</v>
      </c>
      <c r="BI1054" s="71">
        <v>10</v>
      </c>
      <c r="BJ1054" s="12" t="str" cm="1">
        <f t="array" ref="BJ1054">_xll.Dce_Name_SectI(BF1054, BF1054, BG1054, BH1054, BI1054, "x", "-", $AX$11)</f>
        <v>390x212x5x10</v>
      </c>
      <c r="BK1054" s="77" cm="1">
        <f t="array" ref="BK1054">_xll.DCEPropSectI(BF1054, BH1054, BG1054, BI1054, BG1054, BI1054, "A")/100</f>
        <v>60.9</v>
      </c>
      <c r="BL1054" s="70" t="s">
        <v>226</v>
      </c>
      <c r="BM1054" s="70">
        <v>52.327662964713255</v>
      </c>
      <c r="BN1054" s="71">
        <v>0.9</v>
      </c>
      <c r="BO1054" s="77">
        <f t="shared" si="139"/>
        <v>32.4</v>
      </c>
      <c r="BP1054" s="71">
        <v>0.9</v>
      </c>
      <c r="BQ1054" s="77">
        <f t="shared" si="140"/>
        <v>32.4</v>
      </c>
      <c r="BR1054" s="77" cm="1">
        <f t="array" ref="BR1054">_xll.DCEPropSectI(BF1054, BH1054, BG1054, BI1054, BG1054, BI1054, "rx")/10</f>
        <v>16.91131201300167</v>
      </c>
      <c r="BS1054" s="77" cm="1">
        <f t="array" ref="BS1054">_xll.DCEPropSectI(BF1054, BH1054, BG1054, BI1054, BG1054, BI1054, "ry")/10</f>
        <v>5.1070747638622018</v>
      </c>
      <c r="BT1054" s="5">
        <f t="shared" si="141"/>
        <v>191.58773710218577</v>
      </c>
      <c r="BU1054" s="5">
        <f t="shared" si="142"/>
        <v>634.41405301647956</v>
      </c>
      <c r="BV1054" s="5">
        <f t="shared" si="143"/>
        <v>634.41405301647956</v>
      </c>
      <c r="BW1054" s="71">
        <f t="shared" si="144"/>
        <v>400</v>
      </c>
      <c r="BX1054" s="78" cm="1">
        <f t="array" ref="BX1054">IF(BM1054&gt;0,1,_xll.DCETCVN5575FactorPhi7121(BV1054*SQRT($K$17/206000),"b"))</f>
        <v>1</v>
      </c>
      <c r="BY1054" s="64">
        <f t="shared" si="145"/>
        <v>4.0916149006734903E-2</v>
      </c>
      <c r="BZ1054" s="3" t="str">
        <f t="shared" si="146"/>
        <v>Check</v>
      </c>
    </row>
    <row r="1055" spans="1:78">
      <c r="A1055" s="76"/>
      <c r="B1055" s="76"/>
      <c r="C1055" s="125"/>
      <c r="D1055" s="125"/>
      <c r="E1055" s="71"/>
      <c r="F1055" s="71"/>
      <c r="G1055" s="71"/>
      <c r="H1055" s="126"/>
      <c r="I1055" s="125"/>
      <c r="J1055" s="123"/>
      <c r="K1055" s="12"/>
      <c r="L1055" s="117"/>
      <c r="M1055" s="12"/>
      <c r="N1055" s="117"/>
      <c r="O1055" s="117"/>
      <c r="P1055" s="117"/>
      <c r="Q1055" s="118"/>
      <c r="R1055" s="118"/>
      <c r="S1055" s="118"/>
      <c r="T1055" s="12"/>
      <c r="U1055" s="118"/>
      <c r="V1055" s="118"/>
      <c r="W1055" s="12"/>
      <c r="X1055" s="119"/>
      <c r="Y1055" s="120"/>
      <c r="Z1055" s="12"/>
      <c r="BA1055" s="70" t="s">
        <v>205</v>
      </c>
      <c r="BB1055" s="71" t="s">
        <v>210</v>
      </c>
      <c r="BC1055" s="71" t="s">
        <v>207</v>
      </c>
      <c r="BD1055" s="71">
        <v>28.5</v>
      </c>
      <c r="BE1055" s="71">
        <v>36</v>
      </c>
      <c r="BF1055" s="71">
        <v>390</v>
      </c>
      <c r="BG1055" s="71">
        <v>212</v>
      </c>
      <c r="BH1055" s="71">
        <v>5</v>
      </c>
      <c r="BI1055" s="71">
        <v>10</v>
      </c>
      <c r="BJ1055" s="12" t="str" cm="1">
        <f t="array" ref="BJ1055">_xll.Dce_Name_SectI(BF1055, BF1055, BG1055, BH1055, BI1055, "x", "-", $AX$11)</f>
        <v>390x212x5x10</v>
      </c>
      <c r="BK1055" s="77" cm="1">
        <f t="array" ref="BK1055">_xll.DCEPropSectI(BF1055, BH1055, BG1055, BI1055, BG1055, BI1055, "A")/100</f>
        <v>60.9</v>
      </c>
      <c r="BL1055" s="70" t="s">
        <v>226</v>
      </c>
      <c r="BM1055" s="70">
        <v>52.327662964713255</v>
      </c>
      <c r="BN1055" s="71">
        <v>0.9</v>
      </c>
      <c r="BO1055" s="77">
        <f t="shared" si="139"/>
        <v>32.4</v>
      </c>
      <c r="BP1055" s="71">
        <v>0.9</v>
      </c>
      <c r="BQ1055" s="77">
        <f t="shared" si="140"/>
        <v>32.4</v>
      </c>
      <c r="BR1055" s="77" cm="1">
        <f t="array" ref="BR1055">_xll.DCEPropSectI(BF1055, BH1055, BG1055, BI1055, BG1055, BI1055, "rx")/10</f>
        <v>16.91131201300167</v>
      </c>
      <c r="BS1055" s="77" cm="1">
        <f t="array" ref="BS1055">_xll.DCEPropSectI(BF1055, BH1055, BG1055, BI1055, BG1055, BI1055, "ry")/10</f>
        <v>5.1070747638622018</v>
      </c>
      <c r="BT1055" s="5">
        <f t="shared" si="141"/>
        <v>191.58773710218577</v>
      </c>
      <c r="BU1055" s="5">
        <f t="shared" si="142"/>
        <v>634.41405301647956</v>
      </c>
      <c r="BV1055" s="5">
        <f t="shared" si="143"/>
        <v>634.41405301647956</v>
      </c>
      <c r="BW1055" s="71">
        <f t="shared" si="144"/>
        <v>400</v>
      </c>
      <c r="BX1055" s="78" cm="1">
        <f t="array" ref="BX1055">IF(BM1055&gt;0,1,_xll.DCETCVN5575FactorPhi7121(BV1055*SQRT($K$17/206000),"b"))</f>
        <v>1</v>
      </c>
      <c r="BY1055" s="64">
        <f t="shared" si="145"/>
        <v>4.0916149006734903E-2</v>
      </c>
      <c r="BZ1055" s="3" t="str">
        <f t="shared" si="146"/>
        <v>Check</v>
      </c>
    </row>
    <row r="1056" spans="1:78">
      <c r="A1056" s="76"/>
      <c r="B1056" s="76"/>
      <c r="C1056" s="125"/>
      <c r="D1056" s="125"/>
      <c r="E1056" s="71"/>
      <c r="F1056" s="71"/>
      <c r="G1056" s="71"/>
      <c r="H1056" s="126"/>
      <c r="I1056" s="125"/>
      <c r="J1056" s="123"/>
      <c r="K1056" s="12"/>
      <c r="L1056" s="117"/>
      <c r="M1056" s="12"/>
      <c r="N1056" s="117"/>
      <c r="O1056" s="117"/>
      <c r="P1056" s="117"/>
      <c r="Q1056" s="118"/>
      <c r="R1056" s="118"/>
      <c r="S1056" s="118"/>
      <c r="T1056" s="12"/>
      <c r="U1056" s="118"/>
      <c r="V1056" s="118"/>
      <c r="W1056" s="12"/>
      <c r="X1056" s="119"/>
      <c r="Y1056" s="120"/>
      <c r="Z1056" s="12"/>
      <c r="BA1056" s="70" t="s">
        <v>205</v>
      </c>
      <c r="BB1056" s="71" t="s">
        <v>210</v>
      </c>
      <c r="BC1056" s="71" t="s">
        <v>207</v>
      </c>
      <c r="BD1056" s="71">
        <v>29</v>
      </c>
      <c r="BE1056" s="71">
        <v>36</v>
      </c>
      <c r="BF1056" s="71">
        <v>390</v>
      </c>
      <c r="BG1056" s="71">
        <v>212</v>
      </c>
      <c r="BH1056" s="71">
        <v>5</v>
      </c>
      <c r="BI1056" s="71">
        <v>10</v>
      </c>
      <c r="BJ1056" s="12" t="str" cm="1">
        <f t="array" ref="BJ1056">_xll.Dce_Name_SectI(BF1056, BF1056, BG1056, BH1056, BI1056, "x", "-", $AX$11)</f>
        <v>390x212x5x10</v>
      </c>
      <c r="BK1056" s="77" cm="1">
        <f t="array" ref="BK1056">_xll.DCEPropSectI(BF1056, BH1056, BG1056, BI1056, BG1056, BI1056, "A")/100</f>
        <v>60.9</v>
      </c>
      <c r="BL1056" s="70" t="s">
        <v>226</v>
      </c>
      <c r="BM1056" s="70">
        <v>52.327662964713255</v>
      </c>
      <c r="BN1056" s="71">
        <v>0.9</v>
      </c>
      <c r="BO1056" s="77">
        <f t="shared" si="139"/>
        <v>32.4</v>
      </c>
      <c r="BP1056" s="71">
        <v>0.9</v>
      </c>
      <c r="BQ1056" s="77">
        <f t="shared" si="140"/>
        <v>32.4</v>
      </c>
      <c r="BR1056" s="77" cm="1">
        <f t="array" ref="BR1056">_xll.DCEPropSectI(BF1056, BH1056, BG1056, BI1056, BG1056, BI1056, "rx")/10</f>
        <v>16.91131201300167</v>
      </c>
      <c r="BS1056" s="77" cm="1">
        <f t="array" ref="BS1056">_xll.DCEPropSectI(BF1056, BH1056, BG1056, BI1056, BG1056, BI1056, "ry")/10</f>
        <v>5.1070747638622018</v>
      </c>
      <c r="BT1056" s="5">
        <f t="shared" si="141"/>
        <v>191.58773710218577</v>
      </c>
      <c r="BU1056" s="5">
        <f t="shared" si="142"/>
        <v>634.41405301647956</v>
      </c>
      <c r="BV1056" s="5">
        <f t="shared" si="143"/>
        <v>634.41405301647956</v>
      </c>
      <c r="BW1056" s="71">
        <f t="shared" si="144"/>
        <v>400</v>
      </c>
      <c r="BX1056" s="78" cm="1">
        <f t="array" ref="BX1056">IF(BM1056&gt;0,1,_xll.DCETCVN5575FactorPhi7121(BV1056*SQRT($K$17/206000),"b"))</f>
        <v>1</v>
      </c>
      <c r="BY1056" s="64">
        <f t="shared" si="145"/>
        <v>4.0916149006734903E-2</v>
      </c>
      <c r="BZ1056" s="3" t="str">
        <f t="shared" si="146"/>
        <v>Check</v>
      </c>
    </row>
    <row r="1057" spans="1:78">
      <c r="A1057" s="76"/>
      <c r="B1057" s="76"/>
      <c r="C1057" s="125"/>
      <c r="D1057" s="125"/>
      <c r="E1057" s="71"/>
      <c r="F1057" s="71"/>
      <c r="G1057" s="71"/>
      <c r="H1057" s="126"/>
      <c r="I1057" s="125"/>
      <c r="J1057" s="123"/>
      <c r="K1057" s="12"/>
      <c r="L1057" s="117"/>
      <c r="M1057" s="12"/>
      <c r="N1057" s="117"/>
      <c r="O1057" s="117"/>
      <c r="P1057" s="117"/>
      <c r="Q1057" s="118"/>
      <c r="R1057" s="118"/>
      <c r="S1057" s="118"/>
      <c r="T1057" s="12"/>
      <c r="U1057" s="118"/>
      <c r="V1057" s="118"/>
      <c r="W1057" s="12"/>
      <c r="X1057" s="119"/>
      <c r="Y1057" s="120"/>
      <c r="Z1057" s="12"/>
      <c r="BA1057" s="70" t="s">
        <v>205</v>
      </c>
      <c r="BB1057" s="71" t="s">
        <v>210</v>
      </c>
      <c r="BC1057" s="71" t="s">
        <v>207</v>
      </c>
      <c r="BD1057" s="71">
        <v>29.5</v>
      </c>
      <c r="BE1057" s="71">
        <v>36</v>
      </c>
      <c r="BF1057" s="71">
        <v>390</v>
      </c>
      <c r="BG1057" s="71">
        <v>212</v>
      </c>
      <c r="BH1057" s="71">
        <v>5</v>
      </c>
      <c r="BI1057" s="71">
        <v>10</v>
      </c>
      <c r="BJ1057" s="12" t="str" cm="1">
        <f t="array" ref="BJ1057">_xll.Dce_Name_SectI(BF1057, BF1057, BG1057, BH1057, BI1057, "x", "-", $AX$11)</f>
        <v>390x212x5x10</v>
      </c>
      <c r="BK1057" s="77" cm="1">
        <f t="array" ref="BK1057">_xll.DCEPropSectI(BF1057, BH1057, BG1057, BI1057, BG1057, BI1057, "A")/100</f>
        <v>60.9</v>
      </c>
      <c r="BL1057" s="70" t="s">
        <v>226</v>
      </c>
      <c r="BM1057" s="70">
        <v>52.327662964713255</v>
      </c>
      <c r="BN1057" s="71">
        <v>0.9</v>
      </c>
      <c r="BO1057" s="77">
        <f t="shared" si="139"/>
        <v>32.4</v>
      </c>
      <c r="BP1057" s="71">
        <v>0.9</v>
      </c>
      <c r="BQ1057" s="77">
        <f t="shared" si="140"/>
        <v>32.4</v>
      </c>
      <c r="BR1057" s="77" cm="1">
        <f t="array" ref="BR1057">_xll.DCEPropSectI(BF1057, BH1057, BG1057, BI1057, BG1057, BI1057, "rx")/10</f>
        <v>16.91131201300167</v>
      </c>
      <c r="BS1057" s="77" cm="1">
        <f t="array" ref="BS1057">_xll.DCEPropSectI(BF1057, BH1057, BG1057, BI1057, BG1057, BI1057, "ry")/10</f>
        <v>5.1070747638622018</v>
      </c>
      <c r="BT1057" s="5">
        <f t="shared" si="141"/>
        <v>191.58773710218577</v>
      </c>
      <c r="BU1057" s="5">
        <f t="shared" si="142"/>
        <v>634.41405301647956</v>
      </c>
      <c r="BV1057" s="5">
        <f t="shared" si="143"/>
        <v>634.41405301647956</v>
      </c>
      <c r="BW1057" s="71">
        <f t="shared" si="144"/>
        <v>400</v>
      </c>
      <c r="BX1057" s="78" cm="1">
        <f t="array" ref="BX1057">IF(BM1057&gt;0,1,_xll.DCETCVN5575FactorPhi7121(BV1057*SQRT($K$17/206000),"b"))</f>
        <v>1</v>
      </c>
      <c r="BY1057" s="64">
        <f t="shared" si="145"/>
        <v>4.0916149006734903E-2</v>
      </c>
      <c r="BZ1057" s="3" t="str">
        <f t="shared" si="146"/>
        <v>Check</v>
      </c>
    </row>
    <row r="1058" spans="1:78">
      <c r="A1058" s="76"/>
      <c r="B1058" s="76"/>
      <c r="C1058" s="125"/>
      <c r="D1058" s="125"/>
      <c r="E1058" s="71"/>
      <c r="F1058" s="71"/>
      <c r="G1058" s="71"/>
      <c r="H1058" s="126"/>
      <c r="I1058" s="125"/>
      <c r="J1058" s="123"/>
      <c r="K1058" s="12"/>
      <c r="L1058" s="117"/>
      <c r="M1058" s="12"/>
      <c r="N1058" s="117"/>
      <c r="O1058" s="117"/>
      <c r="P1058" s="117"/>
      <c r="Q1058" s="118"/>
      <c r="R1058" s="118"/>
      <c r="S1058" s="118"/>
      <c r="T1058" s="12"/>
      <c r="U1058" s="118"/>
      <c r="V1058" s="118"/>
      <c r="W1058" s="12"/>
      <c r="X1058" s="119"/>
      <c r="Y1058" s="120"/>
      <c r="Z1058" s="12"/>
      <c r="BA1058" s="70" t="s">
        <v>205</v>
      </c>
      <c r="BB1058" s="71" t="s">
        <v>210</v>
      </c>
      <c r="BC1058" s="71" t="s">
        <v>207</v>
      </c>
      <c r="BD1058" s="71">
        <v>30</v>
      </c>
      <c r="BE1058" s="71">
        <v>36</v>
      </c>
      <c r="BF1058" s="71">
        <v>390</v>
      </c>
      <c r="BG1058" s="71">
        <v>212</v>
      </c>
      <c r="BH1058" s="71">
        <v>5</v>
      </c>
      <c r="BI1058" s="71">
        <v>10</v>
      </c>
      <c r="BJ1058" s="12" t="str" cm="1">
        <f t="array" ref="BJ1058">_xll.Dce_Name_SectI(BF1058, BF1058, BG1058, BH1058, BI1058, "x", "-", $AX$11)</f>
        <v>390x212x5x10</v>
      </c>
      <c r="BK1058" s="77" cm="1">
        <f t="array" ref="BK1058">_xll.DCEPropSectI(BF1058, BH1058, BG1058, BI1058, BG1058, BI1058, "A")/100</f>
        <v>60.9</v>
      </c>
      <c r="BL1058" s="70" t="s">
        <v>226</v>
      </c>
      <c r="BM1058" s="70">
        <v>52.327662964713255</v>
      </c>
      <c r="BN1058" s="71">
        <v>0.9</v>
      </c>
      <c r="BO1058" s="77">
        <f t="shared" si="139"/>
        <v>32.4</v>
      </c>
      <c r="BP1058" s="71">
        <v>0.9</v>
      </c>
      <c r="BQ1058" s="77">
        <f t="shared" si="140"/>
        <v>32.4</v>
      </c>
      <c r="BR1058" s="77" cm="1">
        <f t="array" ref="BR1058">_xll.DCEPropSectI(BF1058, BH1058, BG1058, BI1058, BG1058, BI1058, "rx")/10</f>
        <v>16.91131201300167</v>
      </c>
      <c r="BS1058" s="77" cm="1">
        <f t="array" ref="BS1058">_xll.DCEPropSectI(BF1058, BH1058, BG1058, BI1058, BG1058, BI1058, "ry")/10</f>
        <v>5.1070747638622018</v>
      </c>
      <c r="BT1058" s="5">
        <f t="shared" si="141"/>
        <v>191.58773710218577</v>
      </c>
      <c r="BU1058" s="5">
        <f t="shared" si="142"/>
        <v>634.41405301647956</v>
      </c>
      <c r="BV1058" s="5">
        <f t="shared" si="143"/>
        <v>634.41405301647956</v>
      </c>
      <c r="BW1058" s="71">
        <f t="shared" si="144"/>
        <v>400</v>
      </c>
      <c r="BX1058" s="78" cm="1">
        <f t="array" ref="BX1058">IF(BM1058&gt;0,1,_xll.DCETCVN5575FactorPhi7121(BV1058*SQRT($K$17/206000),"b"))</f>
        <v>1</v>
      </c>
      <c r="BY1058" s="64">
        <f t="shared" si="145"/>
        <v>4.0916149006734903E-2</v>
      </c>
      <c r="BZ1058" s="3" t="str">
        <f t="shared" si="146"/>
        <v>Check</v>
      </c>
    </row>
    <row r="1059" spans="1:78">
      <c r="A1059" s="76"/>
      <c r="B1059" s="76"/>
      <c r="C1059" s="125"/>
      <c r="D1059" s="125"/>
      <c r="E1059" s="71"/>
      <c r="F1059" s="71"/>
      <c r="G1059" s="71"/>
      <c r="H1059" s="126"/>
      <c r="I1059" s="125"/>
      <c r="J1059" s="123"/>
      <c r="K1059" s="12"/>
      <c r="L1059" s="117"/>
      <c r="M1059" s="12"/>
      <c r="N1059" s="117"/>
      <c r="O1059" s="117"/>
      <c r="P1059" s="117"/>
      <c r="Q1059" s="118"/>
      <c r="R1059" s="118"/>
      <c r="S1059" s="118"/>
      <c r="T1059" s="12"/>
      <c r="U1059" s="118"/>
      <c r="V1059" s="118"/>
      <c r="W1059" s="12"/>
      <c r="X1059" s="119"/>
      <c r="Y1059" s="120"/>
      <c r="Z1059" s="12"/>
      <c r="BA1059" s="70" t="s">
        <v>205</v>
      </c>
      <c r="BB1059" s="71" t="s">
        <v>210</v>
      </c>
      <c r="BC1059" s="71" t="s">
        <v>207</v>
      </c>
      <c r="BD1059" s="71">
        <v>30</v>
      </c>
      <c r="BE1059" s="71">
        <v>36</v>
      </c>
      <c r="BF1059" s="71">
        <v>390</v>
      </c>
      <c r="BG1059" s="71">
        <v>212</v>
      </c>
      <c r="BH1059" s="71">
        <v>5</v>
      </c>
      <c r="BI1059" s="71">
        <v>10</v>
      </c>
      <c r="BJ1059" s="12" t="str" cm="1">
        <f t="array" ref="BJ1059">_xll.Dce_Name_SectI(BF1059, BF1059, BG1059, BH1059, BI1059, "x", "-", $AX$11)</f>
        <v>390x212x5x10</v>
      </c>
      <c r="BK1059" s="77" cm="1">
        <f t="array" ref="BK1059">_xll.DCEPropSectI(BF1059, BH1059, BG1059, BI1059, BG1059, BI1059, "A")/100</f>
        <v>60.9</v>
      </c>
      <c r="BL1059" s="70" t="s">
        <v>226</v>
      </c>
      <c r="BM1059" s="70">
        <v>32.398291003482925</v>
      </c>
      <c r="BN1059" s="71">
        <v>0.9</v>
      </c>
      <c r="BO1059" s="77">
        <f t="shared" si="139"/>
        <v>32.4</v>
      </c>
      <c r="BP1059" s="71">
        <v>0.9</v>
      </c>
      <c r="BQ1059" s="77">
        <f t="shared" si="140"/>
        <v>32.4</v>
      </c>
      <c r="BR1059" s="77" cm="1">
        <f t="array" ref="BR1059">_xll.DCEPropSectI(BF1059, BH1059, BG1059, BI1059, BG1059, BI1059, "rx")/10</f>
        <v>16.91131201300167</v>
      </c>
      <c r="BS1059" s="77" cm="1">
        <f t="array" ref="BS1059">_xll.DCEPropSectI(BF1059, BH1059, BG1059, BI1059, BG1059, BI1059, "ry")/10</f>
        <v>5.1070747638622018</v>
      </c>
      <c r="BT1059" s="5">
        <f t="shared" si="141"/>
        <v>191.58773710218577</v>
      </c>
      <c r="BU1059" s="5">
        <f t="shared" si="142"/>
        <v>634.41405301647956</v>
      </c>
      <c r="BV1059" s="5">
        <f t="shared" si="143"/>
        <v>634.41405301647956</v>
      </c>
      <c r="BW1059" s="71">
        <f t="shared" si="144"/>
        <v>400</v>
      </c>
      <c r="BX1059" s="78" cm="1">
        <f t="array" ref="BX1059">IF(BM1059&gt;0,1,_xll.DCETCVN5575FactorPhi7121(BV1059*SQRT($K$17/206000),"b"))</f>
        <v>1</v>
      </c>
      <c r="BY1059" s="64">
        <f t="shared" si="145"/>
        <v>2.5332935337776943E-2</v>
      </c>
      <c r="BZ1059" s="3" t="str">
        <f t="shared" si="146"/>
        <v>Check</v>
      </c>
    </row>
    <row r="1060" spans="1:78">
      <c r="A1060" s="76"/>
      <c r="B1060" s="76"/>
      <c r="C1060" s="125"/>
      <c r="D1060" s="125"/>
      <c r="E1060" s="71"/>
      <c r="F1060" s="71"/>
      <c r="G1060" s="71"/>
      <c r="H1060" s="126"/>
      <c r="I1060" s="125"/>
      <c r="J1060" s="123"/>
      <c r="K1060" s="12"/>
      <c r="L1060" s="117"/>
      <c r="M1060" s="12"/>
      <c r="N1060" s="117"/>
      <c r="O1060" s="117"/>
      <c r="P1060" s="117"/>
      <c r="Q1060" s="118"/>
      <c r="R1060" s="118"/>
      <c r="S1060" s="118"/>
      <c r="T1060" s="12"/>
      <c r="U1060" s="118"/>
      <c r="V1060" s="118"/>
      <c r="W1060" s="12"/>
      <c r="X1060" s="119"/>
      <c r="Y1060" s="120"/>
      <c r="Z1060" s="12"/>
      <c r="BA1060" s="70" t="s">
        <v>205</v>
      </c>
      <c r="BB1060" s="71" t="s">
        <v>210</v>
      </c>
      <c r="BC1060" s="71" t="s">
        <v>207</v>
      </c>
      <c r="BD1060" s="71">
        <v>30.5</v>
      </c>
      <c r="BE1060" s="71">
        <v>36</v>
      </c>
      <c r="BF1060" s="71">
        <v>390</v>
      </c>
      <c r="BG1060" s="71">
        <v>212</v>
      </c>
      <c r="BH1060" s="71">
        <v>5</v>
      </c>
      <c r="BI1060" s="71">
        <v>10</v>
      </c>
      <c r="BJ1060" s="12" t="str" cm="1">
        <f t="array" ref="BJ1060">_xll.Dce_Name_SectI(BF1060, BF1060, BG1060, BH1060, BI1060, "x", "-", $AX$11)</f>
        <v>390x212x5x10</v>
      </c>
      <c r="BK1060" s="77" cm="1">
        <f t="array" ref="BK1060">_xll.DCEPropSectI(BF1060, BH1060, BG1060, BI1060, BG1060, BI1060, "A")/100</f>
        <v>60.9</v>
      </c>
      <c r="BL1060" s="70" t="s">
        <v>226</v>
      </c>
      <c r="BM1060" s="70">
        <v>32.398291003482925</v>
      </c>
      <c r="BN1060" s="71">
        <v>0.9</v>
      </c>
      <c r="BO1060" s="77">
        <f t="shared" si="139"/>
        <v>32.4</v>
      </c>
      <c r="BP1060" s="71">
        <v>0.9</v>
      </c>
      <c r="BQ1060" s="77">
        <f t="shared" si="140"/>
        <v>32.4</v>
      </c>
      <c r="BR1060" s="77" cm="1">
        <f t="array" ref="BR1060">_xll.DCEPropSectI(BF1060, BH1060, BG1060, BI1060, BG1060, BI1060, "rx")/10</f>
        <v>16.91131201300167</v>
      </c>
      <c r="BS1060" s="77" cm="1">
        <f t="array" ref="BS1060">_xll.DCEPropSectI(BF1060, BH1060, BG1060, BI1060, BG1060, BI1060, "ry")/10</f>
        <v>5.1070747638622018</v>
      </c>
      <c r="BT1060" s="5">
        <f t="shared" si="141"/>
        <v>191.58773710218577</v>
      </c>
      <c r="BU1060" s="5">
        <f t="shared" si="142"/>
        <v>634.41405301647956</v>
      </c>
      <c r="BV1060" s="5">
        <f t="shared" si="143"/>
        <v>634.41405301647956</v>
      </c>
      <c r="BW1060" s="71">
        <f t="shared" si="144"/>
        <v>400</v>
      </c>
      <c r="BX1060" s="78" cm="1">
        <f t="array" ref="BX1060">IF(BM1060&gt;0,1,_xll.DCETCVN5575FactorPhi7121(BV1060*SQRT($K$17/206000),"b"))</f>
        <v>1</v>
      </c>
      <c r="BY1060" s="64">
        <f t="shared" si="145"/>
        <v>2.5332935337776943E-2</v>
      </c>
      <c r="BZ1060" s="3" t="str">
        <f t="shared" si="146"/>
        <v>Check</v>
      </c>
    </row>
    <row r="1061" spans="1:78">
      <c r="A1061" s="76"/>
      <c r="B1061" s="76"/>
      <c r="C1061" s="125"/>
      <c r="D1061" s="125"/>
      <c r="E1061" s="71"/>
      <c r="F1061" s="71"/>
      <c r="G1061" s="71"/>
      <c r="H1061" s="126"/>
      <c r="I1061" s="125"/>
      <c r="J1061" s="123"/>
      <c r="K1061" s="12"/>
      <c r="L1061" s="117"/>
      <c r="M1061" s="12"/>
      <c r="N1061" s="117"/>
      <c r="O1061" s="117"/>
      <c r="P1061" s="117"/>
      <c r="Q1061" s="118"/>
      <c r="R1061" s="118"/>
      <c r="S1061" s="118"/>
      <c r="T1061" s="12"/>
      <c r="U1061" s="118"/>
      <c r="V1061" s="118"/>
      <c r="W1061" s="12"/>
      <c r="X1061" s="119"/>
      <c r="Y1061" s="120"/>
      <c r="Z1061" s="12"/>
      <c r="BA1061" s="70" t="s">
        <v>205</v>
      </c>
      <c r="BB1061" s="71" t="s">
        <v>210</v>
      </c>
      <c r="BC1061" s="71" t="s">
        <v>207</v>
      </c>
      <c r="BD1061" s="71">
        <v>31</v>
      </c>
      <c r="BE1061" s="71">
        <v>36</v>
      </c>
      <c r="BF1061" s="71">
        <v>390</v>
      </c>
      <c r="BG1061" s="71">
        <v>212</v>
      </c>
      <c r="BH1061" s="71">
        <v>5</v>
      </c>
      <c r="BI1061" s="71">
        <v>10</v>
      </c>
      <c r="BJ1061" s="12" t="str" cm="1">
        <f t="array" ref="BJ1061">_xll.Dce_Name_SectI(BF1061, BF1061, BG1061, BH1061, BI1061, "x", "-", $AX$11)</f>
        <v>390x212x5x10</v>
      </c>
      <c r="BK1061" s="77" cm="1">
        <f t="array" ref="BK1061">_xll.DCEPropSectI(BF1061, BH1061, BG1061, BI1061, BG1061, BI1061, "A")/100</f>
        <v>60.9</v>
      </c>
      <c r="BL1061" s="70" t="s">
        <v>226</v>
      </c>
      <c r="BM1061" s="70">
        <v>32.398291003482925</v>
      </c>
      <c r="BN1061" s="71">
        <v>0.9</v>
      </c>
      <c r="BO1061" s="77">
        <f t="shared" si="139"/>
        <v>32.4</v>
      </c>
      <c r="BP1061" s="71">
        <v>0.9</v>
      </c>
      <c r="BQ1061" s="77">
        <f t="shared" si="140"/>
        <v>32.4</v>
      </c>
      <c r="BR1061" s="77" cm="1">
        <f t="array" ref="BR1061">_xll.DCEPropSectI(BF1061, BH1061, BG1061, BI1061, BG1061, BI1061, "rx")/10</f>
        <v>16.91131201300167</v>
      </c>
      <c r="BS1061" s="77" cm="1">
        <f t="array" ref="BS1061">_xll.DCEPropSectI(BF1061, BH1061, BG1061, BI1061, BG1061, BI1061, "ry")/10</f>
        <v>5.1070747638622018</v>
      </c>
      <c r="BT1061" s="5">
        <f t="shared" si="141"/>
        <v>191.58773710218577</v>
      </c>
      <c r="BU1061" s="5">
        <f t="shared" si="142"/>
        <v>634.41405301647956</v>
      </c>
      <c r="BV1061" s="5">
        <f t="shared" si="143"/>
        <v>634.41405301647956</v>
      </c>
      <c r="BW1061" s="71">
        <f t="shared" si="144"/>
        <v>400</v>
      </c>
      <c r="BX1061" s="78" cm="1">
        <f t="array" ref="BX1061">IF(BM1061&gt;0,1,_xll.DCETCVN5575FactorPhi7121(BV1061*SQRT($K$17/206000),"b"))</f>
        <v>1</v>
      </c>
      <c r="BY1061" s="64">
        <f t="shared" si="145"/>
        <v>2.5332935337776943E-2</v>
      </c>
      <c r="BZ1061" s="3" t="str">
        <f t="shared" si="146"/>
        <v>Check</v>
      </c>
    </row>
    <row r="1062" spans="1:78">
      <c r="A1062" s="76"/>
      <c r="B1062" s="76"/>
      <c r="C1062" s="125"/>
      <c r="D1062" s="125"/>
      <c r="E1062" s="71"/>
      <c r="F1062" s="71"/>
      <c r="G1062" s="71"/>
      <c r="H1062" s="126"/>
      <c r="I1062" s="125"/>
      <c r="J1062" s="123"/>
      <c r="K1062" s="12"/>
      <c r="L1062" s="117"/>
      <c r="M1062" s="12"/>
      <c r="N1062" s="117"/>
      <c r="O1062" s="117"/>
      <c r="P1062" s="117"/>
      <c r="Q1062" s="118"/>
      <c r="R1062" s="118"/>
      <c r="S1062" s="118"/>
      <c r="T1062" s="12"/>
      <c r="U1062" s="118"/>
      <c r="V1062" s="118"/>
      <c r="W1062" s="12"/>
      <c r="X1062" s="119"/>
      <c r="Y1062" s="120"/>
      <c r="Z1062" s="12"/>
      <c r="BA1062" s="70" t="s">
        <v>205</v>
      </c>
      <c r="BB1062" s="71" t="s">
        <v>210</v>
      </c>
      <c r="BC1062" s="71" t="s">
        <v>207</v>
      </c>
      <c r="BD1062" s="71">
        <v>31.5</v>
      </c>
      <c r="BE1062" s="71">
        <v>36</v>
      </c>
      <c r="BF1062" s="71">
        <v>390</v>
      </c>
      <c r="BG1062" s="71">
        <v>212</v>
      </c>
      <c r="BH1062" s="71">
        <v>5</v>
      </c>
      <c r="BI1062" s="71">
        <v>10</v>
      </c>
      <c r="BJ1062" s="12" t="str" cm="1">
        <f t="array" ref="BJ1062">_xll.Dce_Name_SectI(BF1062, BF1062, BG1062, BH1062, BI1062, "x", "-", $AX$11)</f>
        <v>390x212x5x10</v>
      </c>
      <c r="BK1062" s="77" cm="1">
        <f t="array" ref="BK1062">_xll.DCEPropSectI(BF1062, BH1062, BG1062, BI1062, BG1062, BI1062, "A")/100</f>
        <v>60.9</v>
      </c>
      <c r="BL1062" s="70" t="s">
        <v>226</v>
      </c>
      <c r="BM1062" s="70">
        <v>32.398291003482925</v>
      </c>
      <c r="BN1062" s="71">
        <v>0.9</v>
      </c>
      <c r="BO1062" s="77">
        <f t="shared" si="139"/>
        <v>32.4</v>
      </c>
      <c r="BP1062" s="71">
        <v>0.9</v>
      </c>
      <c r="BQ1062" s="77">
        <f t="shared" si="140"/>
        <v>32.4</v>
      </c>
      <c r="BR1062" s="77" cm="1">
        <f t="array" ref="BR1062">_xll.DCEPropSectI(BF1062, BH1062, BG1062, BI1062, BG1062, BI1062, "rx")/10</f>
        <v>16.91131201300167</v>
      </c>
      <c r="BS1062" s="77" cm="1">
        <f t="array" ref="BS1062">_xll.DCEPropSectI(BF1062, BH1062, BG1062, BI1062, BG1062, BI1062, "ry")/10</f>
        <v>5.1070747638622018</v>
      </c>
      <c r="BT1062" s="5">
        <f t="shared" si="141"/>
        <v>191.58773710218577</v>
      </c>
      <c r="BU1062" s="5">
        <f t="shared" si="142"/>
        <v>634.41405301647956</v>
      </c>
      <c r="BV1062" s="5">
        <f t="shared" si="143"/>
        <v>634.41405301647956</v>
      </c>
      <c r="BW1062" s="71">
        <f t="shared" si="144"/>
        <v>400</v>
      </c>
      <c r="BX1062" s="78" cm="1">
        <f t="array" ref="BX1062">IF(BM1062&gt;0,1,_xll.DCETCVN5575FactorPhi7121(BV1062*SQRT($K$17/206000),"b"))</f>
        <v>1</v>
      </c>
      <c r="BY1062" s="64">
        <f t="shared" si="145"/>
        <v>2.5332935337776943E-2</v>
      </c>
      <c r="BZ1062" s="3" t="str">
        <f t="shared" si="146"/>
        <v>Check</v>
      </c>
    </row>
    <row r="1063" spans="1:78">
      <c r="A1063" s="76"/>
      <c r="B1063" s="76"/>
      <c r="C1063" s="125"/>
      <c r="D1063" s="125"/>
      <c r="E1063" s="71"/>
      <c r="F1063" s="71"/>
      <c r="G1063" s="71"/>
      <c r="H1063" s="126"/>
      <c r="I1063" s="125"/>
      <c r="J1063" s="123"/>
      <c r="K1063" s="12"/>
      <c r="L1063" s="117"/>
      <c r="M1063" s="12"/>
      <c r="N1063" s="117"/>
      <c r="O1063" s="117"/>
      <c r="P1063" s="117"/>
      <c r="Q1063" s="118"/>
      <c r="R1063" s="118"/>
      <c r="S1063" s="118"/>
      <c r="T1063" s="12"/>
      <c r="U1063" s="118"/>
      <c r="V1063" s="118"/>
      <c r="W1063" s="12"/>
      <c r="X1063" s="119"/>
      <c r="Y1063" s="120"/>
      <c r="Z1063" s="12"/>
      <c r="BA1063" s="70" t="s">
        <v>205</v>
      </c>
      <c r="BB1063" s="71" t="s">
        <v>210</v>
      </c>
      <c r="BC1063" s="71" t="s">
        <v>207</v>
      </c>
      <c r="BD1063" s="71">
        <v>32</v>
      </c>
      <c r="BE1063" s="71">
        <v>36</v>
      </c>
      <c r="BF1063" s="71">
        <v>390</v>
      </c>
      <c r="BG1063" s="71">
        <v>212</v>
      </c>
      <c r="BH1063" s="71">
        <v>5</v>
      </c>
      <c r="BI1063" s="71">
        <v>10</v>
      </c>
      <c r="BJ1063" s="12" t="str" cm="1">
        <f t="array" ref="BJ1063">_xll.Dce_Name_SectI(BF1063, BF1063, BG1063, BH1063, BI1063, "x", "-", $AX$11)</f>
        <v>390x212x5x10</v>
      </c>
      <c r="BK1063" s="77" cm="1">
        <f t="array" ref="BK1063">_xll.DCEPropSectI(BF1063, BH1063, BG1063, BI1063, BG1063, BI1063, "A")/100</f>
        <v>60.9</v>
      </c>
      <c r="BL1063" s="70" t="s">
        <v>226</v>
      </c>
      <c r="BM1063" s="70">
        <v>32.398291003482925</v>
      </c>
      <c r="BN1063" s="71">
        <v>0.9</v>
      </c>
      <c r="BO1063" s="77">
        <f t="shared" si="139"/>
        <v>32.4</v>
      </c>
      <c r="BP1063" s="71">
        <v>0.9</v>
      </c>
      <c r="BQ1063" s="77">
        <f t="shared" si="140"/>
        <v>32.4</v>
      </c>
      <c r="BR1063" s="77" cm="1">
        <f t="array" ref="BR1063">_xll.DCEPropSectI(BF1063, BH1063, BG1063, BI1063, BG1063, BI1063, "rx")/10</f>
        <v>16.91131201300167</v>
      </c>
      <c r="BS1063" s="77" cm="1">
        <f t="array" ref="BS1063">_xll.DCEPropSectI(BF1063, BH1063, BG1063, BI1063, BG1063, BI1063, "ry")/10</f>
        <v>5.1070747638622018</v>
      </c>
      <c r="BT1063" s="5">
        <f t="shared" si="141"/>
        <v>191.58773710218577</v>
      </c>
      <c r="BU1063" s="5">
        <f t="shared" si="142"/>
        <v>634.41405301647956</v>
      </c>
      <c r="BV1063" s="5">
        <f t="shared" si="143"/>
        <v>634.41405301647956</v>
      </c>
      <c r="BW1063" s="71">
        <f t="shared" si="144"/>
        <v>400</v>
      </c>
      <c r="BX1063" s="78" cm="1">
        <f t="array" ref="BX1063">IF(BM1063&gt;0,1,_xll.DCETCVN5575FactorPhi7121(BV1063*SQRT($K$17/206000),"b"))</f>
        <v>1</v>
      </c>
      <c r="BY1063" s="64">
        <f t="shared" si="145"/>
        <v>2.5332935337776943E-2</v>
      </c>
      <c r="BZ1063" s="3" t="str">
        <f t="shared" si="146"/>
        <v>Check</v>
      </c>
    </row>
    <row r="1064" spans="1:78">
      <c r="A1064" s="76"/>
      <c r="B1064" s="76"/>
      <c r="C1064" s="125"/>
      <c r="D1064" s="125"/>
      <c r="E1064" s="71"/>
      <c r="F1064" s="71"/>
      <c r="G1064" s="71"/>
      <c r="H1064" s="126"/>
      <c r="I1064" s="125"/>
      <c r="J1064" s="123"/>
      <c r="K1064" s="12"/>
      <c r="L1064" s="117"/>
      <c r="M1064" s="12"/>
      <c r="N1064" s="117"/>
      <c r="O1064" s="117"/>
      <c r="P1064" s="117"/>
      <c r="Q1064" s="118"/>
      <c r="R1064" s="118"/>
      <c r="S1064" s="118"/>
      <c r="T1064" s="12"/>
      <c r="U1064" s="118"/>
      <c r="V1064" s="118"/>
      <c r="W1064" s="12"/>
      <c r="X1064" s="119"/>
      <c r="Y1064" s="120"/>
      <c r="Z1064" s="12"/>
      <c r="BA1064" s="70" t="s">
        <v>205</v>
      </c>
      <c r="BB1064" s="71" t="s">
        <v>210</v>
      </c>
      <c r="BC1064" s="71" t="s">
        <v>207</v>
      </c>
      <c r="BD1064" s="71">
        <v>32.5</v>
      </c>
      <c r="BE1064" s="71">
        <v>36</v>
      </c>
      <c r="BF1064" s="71">
        <v>390</v>
      </c>
      <c r="BG1064" s="71">
        <v>212</v>
      </c>
      <c r="BH1064" s="71">
        <v>5</v>
      </c>
      <c r="BI1064" s="71">
        <v>10</v>
      </c>
      <c r="BJ1064" s="12" t="str" cm="1">
        <f t="array" ref="BJ1064">_xll.Dce_Name_SectI(BF1064, BF1064, BG1064, BH1064, BI1064, "x", "-", $AX$11)</f>
        <v>390x212x5x10</v>
      </c>
      <c r="BK1064" s="77" cm="1">
        <f t="array" ref="BK1064">_xll.DCEPropSectI(BF1064, BH1064, BG1064, BI1064, BG1064, BI1064, "A")/100</f>
        <v>60.9</v>
      </c>
      <c r="BL1064" s="70" t="s">
        <v>226</v>
      </c>
      <c r="BM1064" s="70">
        <v>32.398291003482925</v>
      </c>
      <c r="BN1064" s="71">
        <v>0.9</v>
      </c>
      <c r="BO1064" s="77">
        <f t="shared" si="139"/>
        <v>32.4</v>
      </c>
      <c r="BP1064" s="71">
        <v>0.9</v>
      </c>
      <c r="BQ1064" s="77">
        <f t="shared" si="140"/>
        <v>32.4</v>
      </c>
      <c r="BR1064" s="77" cm="1">
        <f t="array" ref="BR1064">_xll.DCEPropSectI(BF1064, BH1064, BG1064, BI1064, BG1064, BI1064, "rx")/10</f>
        <v>16.91131201300167</v>
      </c>
      <c r="BS1064" s="77" cm="1">
        <f t="array" ref="BS1064">_xll.DCEPropSectI(BF1064, BH1064, BG1064, BI1064, BG1064, BI1064, "ry")/10</f>
        <v>5.1070747638622018</v>
      </c>
      <c r="BT1064" s="5">
        <f t="shared" si="141"/>
        <v>191.58773710218577</v>
      </c>
      <c r="BU1064" s="5">
        <f t="shared" si="142"/>
        <v>634.41405301647956</v>
      </c>
      <c r="BV1064" s="5">
        <f t="shared" si="143"/>
        <v>634.41405301647956</v>
      </c>
      <c r="BW1064" s="71">
        <f t="shared" si="144"/>
        <v>400</v>
      </c>
      <c r="BX1064" s="78" cm="1">
        <f t="array" ref="BX1064">IF(BM1064&gt;0,1,_xll.DCETCVN5575FactorPhi7121(BV1064*SQRT($K$17/206000),"b"))</f>
        <v>1</v>
      </c>
      <c r="BY1064" s="64">
        <f t="shared" si="145"/>
        <v>2.5332935337776943E-2</v>
      </c>
      <c r="BZ1064" s="3" t="str">
        <f t="shared" si="146"/>
        <v>Check</v>
      </c>
    </row>
    <row r="1065" spans="1:78">
      <c r="A1065" s="76"/>
      <c r="B1065" s="76"/>
      <c r="C1065" s="125"/>
      <c r="D1065" s="125"/>
      <c r="E1065" s="71"/>
      <c r="F1065" s="71"/>
      <c r="G1065" s="71"/>
      <c r="H1065" s="126"/>
      <c r="I1065" s="125"/>
      <c r="J1065" s="123"/>
      <c r="K1065" s="12"/>
      <c r="L1065" s="117"/>
      <c r="M1065" s="12"/>
      <c r="N1065" s="117"/>
      <c r="O1065" s="117"/>
      <c r="P1065" s="117"/>
      <c r="Q1065" s="118"/>
      <c r="R1065" s="118"/>
      <c r="S1065" s="118"/>
      <c r="T1065" s="12"/>
      <c r="U1065" s="118"/>
      <c r="V1065" s="118"/>
      <c r="W1065" s="12"/>
      <c r="X1065" s="119"/>
      <c r="Y1065" s="120"/>
      <c r="Z1065" s="12"/>
      <c r="BA1065" s="70" t="s">
        <v>205</v>
      </c>
      <c r="BB1065" s="71" t="s">
        <v>210</v>
      </c>
      <c r="BC1065" s="71" t="s">
        <v>207</v>
      </c>
      <c r="BD1065" s="71">
        <v>33</v>
      </c>
      <c r="BE1065" s="71">
        <v>36</v>
      </c>
      <c r="BF1065" s="71">
        <v>390</v>
      </c>
      <c r="BG1065" s="71">
        <v>212</v>
      </c>
      <c r="BH1065" s="71">
        <v>5</v>
      </c>
      <c r="BI1065" s="71">
        <v>10</v>
      </c>
      <c r="BJ1065" s="12" t="str" cm="1">
        <f t="array" ref="BJ1065">_xll.Dce_Name_SectI(BF1065, BF1065, BG1065, BH1065, BI1065, "x", "-", $AX$11)</f>
        <v>390x212x5x10</v>
      </c>
      <c r="BK1065" s="77" cm="1">
        <f t="array" ref="BK1065">_xll.DCEPropSectI(BF1065, BH1065, BG1065, BI1065, BG1065, BI1065, "A")/100</f>
        <v>60.9</v>
      </c>
      <c r="BL1065" s="70" t="s">
        <v>226</v>
      </c>
      <c r="BM1065" s="70">
        <v>32.398291003482925</v>
      </c>
      <c r="BN1065" s="71">
        <v>0.9</v>
      </c>
      <c r="BO1065" s="77">
        <f t="shared" si="139"/>
        <v>32.4</v>
      </c>
      <c r="BP1065" s="71">
        <v>0.9</v>
      </c>
      <c r="BQ1065" s="77">
        <f t="shared" si="140"/>
        <v>32.4</v>
      </c>
      <c r="BR1065" s="77" cm="1">
        <f t="array" ref="BR1065">_xll.DCEPropSectI(BF1065, BH1065, BG1065, BI1065, BG1065, BI1065, "rx")/10</f>
        <v>16.91131201300167</v>
      </c>
      <c r="BS1065" s="77" cm="1">
        <f t="array" ref="BS1065">_xll.DCEPropSectI(BF1065, BH1065, BG1065, BI1065, BG1065, BI1065, "ry")/10</f>
        <v>5.1070747638622018</v>
      </c>
      <c r="BT1065" s="5">
        <f t="shared" si="141"/>
        <v>191.58773710218577</v>
      </c>
      <c r="BU1065" s="5">
        <f t="shared" si="142"/>
        <v>634.41405301647956</v>
      </c>
      <c r="BV1065" s="5">
        <f t="shared" si="143"/>
        <v>634.41405301647956</v>
      </c>
      <c r="BW1065" s="71">
        <f t="shared" si="144"/>
        <v>400</v>
      </c>
      <c r="BX1065" s="78" cm="1">
        <f t="array" ref="BX1065">IF(BM1065&gt;0,1,_xll.DCETCVN5575FactorPhi7121(BV1065*SQRT($K$17/206000),"b"))</f>
        <v>1</v>
      </c>
      <c r="BY1065" s="64">
        <f t="shared" si="145"/>
        <v>2.5332935337776943E-2</v>
      </c>
      <c r="BZ1065" s="3" t="str">
        <f t="shared" si="146"/>
        <v>Check</v>
      </c>
    </row>
    <row r="1066" spans="1:78">
      <c r="A1066" s="76"/>
      <c r="B1066" s="76"/>
      <c r="C1066" s="125"/>
      <c r="D1066" s="125"/>
      <c r="E1066" s="71"/>
      <c r="F1066" s="71"/>
      <c r="G1066" s="71"/>
      <c r="H1066" s="126"/>
      <c r="I1066" s="125"/>
      <c r="J1066" s="123"/>
      <c r="K1066" s="12"/>
      <c r="L1066" s="117"/>
      <c r="M1066" s="12"/>
      <c r="N1066" s="117"/>
      <c r="O1066" s="117"/>
      <c r="P1066" s="117"/>
      <c r="Q1066" s="118"/>
      <c r="R1066" s="118"/>
      <c r="S1066" s="118"/>
      <c r="T1066" s="12"/>
      <c r="U1066" s="118"/>
      <c r="V1066" s="118"/>
      <c r="W1066" s="12"/>
      <c r="X1066" s="119"/>
      <c r="Y1066" s="120"/>
      <c r="Z1066" s="12"/>
      <c r="BA1066" s="70" t="s">
        <v>205</v>
      </c>
      <c r="BB1066" s="71" t="s">
        <v>210</v>
      </c>
      <c r="BC1066" s="71" t="s">
        <v>207</v>
      </c>
      <c r="BD1066" s="71">
        <v>33.5</v>
      </c>
      <c r="BE1066" s="71">
        <v>36</v>
      </c>
      <c r="BF1066" s="71">
        <v>390</v>
      </c>
      <c r="BG1066" s="71">
        <v>212</v>
      </c>
      <c r="BH1066" s="71">
        <v>5</v>
      </c>
      <c r="BI1066" s="71">
        <v>10</v>
      </c>
      <c r="BJ1066" s="12" t="str" cm="1">
        <f t="array" ref="BJ1066">_xll.Dce_Name_SectI(BF1066, BF1066, BG1066, BH1066, BI1066, "x", "-", $AX$11)</f>
        <v>390x212x5x10</v>
      </c>
      <c r="BK1066" s="77" cm="1">
        <f t="array" ref="BK1066">_xll.DCEPropSectI(BF1066, BH1066, BG1066, BI1066, BG1066, BI1066, "A")/100</f>
        <v>60.9</v>
      </c>
      <c r="BL1066" s="70" t="s">
        <v>226</v>
      </c>
      <c r="BM1066" s="70">
        <v>32.398291003482925</v>
      </c>
      <c r="BN1066" s="71">
        <v>0.9</v>
      </c>
      <c r="BO1066" s="77">
        <f t="shared" si="139"/>
        <v>32.4</v>
      </c>
      <c r="BP1066" s="71">
        <v>0.9</v>
      </c>
      <c r="BQ1066" s="77">
        <f t="shared" si="140"/>
        <v>32.4</v>
      </c>
      <c r="BR1066" s="77" cm="1">
        <f t="array" ref="BR1066">_xll.DCEPropSectI(BF1066, BH1066, BG1066, BI1066, BG1066, BI1066, "rx")/10</f>
        <v>16.91131201300167</v>
      </c>
      <c r="BS1066" s="77" cm="1">
        <f t="array" ref="BS1066">_xll.DCEPropSectI(BF1066, BH1066, BG1066, BI1066, BG1066, BI1066, "ry")/10</f>
        <v>5.1070747638622018</v>
      </c>
      <c r="BT1066" s="5">
        <f t="shared" si="141"/>
        <v>191.58773710218577</v>
      </c>
      <c r="BU1066" s="5">
        <f t="shared" si="142"/>
        <v>634.41405301647956</v>
      </c>
      <c r="BV1066" s="5">
        <f t="shared" si="143"/>
        <v>634.41405301647956</v>
      </c>
      <c r="BW1066" s="71">
        <f t="shared" si="144"/>
        <v>400</v>
      </c>
      <c r="BX1066" s="78" cm="1">
        <f t="array" ref="BX1066">IF(BM1066&gt;0,1,_xll.DCETCVN5575FactorPhi7121(BV1066*SQRT($K$17/206000),"b"))</f>
        <v>1</v>
      </c>
      <c r="BY1066" s="64">
        <f t="shared" si="145"/>
        <v>2.5332935337776943E-2</v>
      </c>
      <c r="BZ1066" s="3" t="str">
        <f t="shared" si="146"/>
        <v>Check</v>
      </c>
    </row>
    <row r="1067" spans="1:78">
      <c r="A1067" s="76"/>
      <c r="B1067" s="76"/>
      <c r="C1067" s="125"/>
      <c r="D1067" s="125"/>
      <c r="E1067" s="71"/>
      <c r="F1067" s="71"/>
      <c r="G1067" s="71"/>
      <c r="H1067" s="126"/>
      <c r="I1067" s="125"/>
      <c r="J1067" s="123"/>
      <c r="K1067" s="12"/>
      <c r="L1067" s="117"/>
      <c r="M1067" s="12"/>
      <c r="N1067" s="117"/>
      <c r="O1067" s="117"/>
      <c r="P1067" s="117"/>
      <c r="Q1067" s="118"/>
      <c r="R1067" s="118"/>
      <c r="S1067" s="118"/>
      <c r="T1067" s="12"/>
      <c r="U1067" s="118"/>
      <c r="V1067" s="118"/>
      <c r="W1067" s="12"/>
      <c r="X1067" s="119"/>
      <c r="Y1067" s="120"/>
      <c r="Z1067" s="12"/>
      <c r="BA1067" s="70" t="s">
        <v>205</v>
      </c>
      <c r="BB1067" s="71" t="s">
        <v>210</v>
      </c>
      <c r="BC1067" s="71" t="s">
        <v>207</v>
      </c>
      <c r="BD1067" s="71">
        <v>34</v>
      </c>
      <c r="BE1067" s="71">
        <v>36</v>
      </c>
      <c r="BF1067" s="71">
        <v>390</v>
      </c>
      <c r="BG1067" s="71">
        <v>212</v>
      </c>
      <c r="BH1067" s="71">
        <v>5</v>
      </c>
      <c r="BI1067" s="71">
        <v>10</v>
      </c>
      <c r="BJ1067" s="12" t="str" cm="1">
        <f t="array" ref="BJ1067">_xll.Dce_Name_SectI(BF1067, BF1067, BG1067, BH1067, BI1067, "x", "-", $AX$11)</f>
        <v>390x212x5x10</v>
      </c>
      <c r="BK1067" s="77" cm="1">
        <f t="array" ref="BK1067">_xll.DCEPropSectI(BF1067, BH1067, BG1067, BI1067, BG1067, BI1067, "A")/100</f>
        <v>60.9</v>
      </c>
      <c r="BL1067" s="70" t="s">
        <v>226</v>
      </c>
      <c r="BM1067" s="70">
        <v>32.398291003482925</v>
      </c>
      <c r="BN1067" s="71">
        <v>0.9</v>
      </c>
      <c r="BO1067" s="77">
        <f t="shared" si="139"/>
        <v>32.4</v>
      </c>
      <c r="BP1067" s="71">
        <v>0.9</v>
      </c>
      <c r="BQ1067" s="77">
        <f t="shared" si="140"/>
        <v>32.4</v>
      </c>
      <c r="BR1067" s="77" cm="1">
        <f t="array" ref="BR1067">_xll.DCEPropSectI(BF1067, BH1067, BG1067, BI1067, BG1067, BI1067, "rx")/10</f>
        <v>16.91131201300167</v>
      </c>
      <c r="BS1067" s="77" cm="1">
        <f t="array" ref="BS1067">_xll.DCEPropSectI(BF1067, BH1067, BG1067, BI1067, BG1067, BI1067, "ry")/10</f>
        <v>5.1070747638622018</v>
      </c>
      <c r="BT1067" s="5">
        <f t="shared" si="141"/>
        <v>191.58773710218577</v>
      </c>
      <c r="BU1067" s="5">
        <f t="shared" si="142"/>
        <v>634.41405301647956</v>
      </c>
      <c r="BV1067" s="5">
        <f t="shared" si="143"/>
        <v>634.41405301647956</v>
      </c>
      <c r="BW1067" s="71">
        <f t="shared" si="144"/>
        <v>400</v>
      </c>
      <c r="BX1067" s="78" cm="1">
        <f t="array" ref="BX1067">IF(BM1067&gt;0,1,_xll.DCETCVN5575FactorPhi7121(BV1067*SQRT($K$17/206000),"b"))</f>
        <v>1</v>
      </c>
      <c r="BY1067" s="64">
        <f t="shared" si="145"/>
        <v>2.5332935337776943E-2</v>
      </c>
      <c r="BZ1067" s="3" t="str">
        <f t="shared" si="146"/>
        <v>Check</v>
      </c>
    </row>
    <row r="1068" spans="1:78">
      <c r="A1068" s="76"/>
      <c r="B1068" s="76"/>
      <c r="C1068" s="125"/>
      <c r="D1068" s="125"/>
      <c r="E1068" s="71"/>
      <c r="F1068" s="71"/>
      <c r="G1068" s="71"/>
      <c r="H1068" s="126"/>
      <c r="I1068" s="125"/>
      <c r="J1068" s="123"/>
      <c r="K1068" s="12"/>
      <c r="L1068" s="117"/>
      <c r="M1068" s="12"/>
      <c r="N1068" s="117"/>
      <c r="O1068" s="117"/>
      <c r="P1068" s="117"/>
      <c r="Q1068" s="118"/>
      <c r="R1068" s="118"/>
      <c r="S1068" s="118"/>
      <c r="T1068" s="12"/>
      <c r="U1068" s="118"/>
      <c r="V1068" s="118"/>
      <c r="W1068" s="12"/>
      <c r="X1068" s="119"/>
      <c r="Y1068" s="120"/>
      <c r="Z1068" s="12"/>
      <c r="BA1068" s="70" t="s">
        <v>205</v>
      </c>
      <c r="BB1068" s="71" t="s">
        <v>210</v>
      </c>
      <c r="BC1068" s="71" t="s">
        <v>207</v>
      </c>
      <c r="BD1068" s="71">
        <v>34.5</v>
      </c>
      <c r="BE1068" s="71">
        <v>36</v>
      </c>
      <c r="BF1068" s="71">
        <v>390</v>
      </c>
      <c r="BG1068" s="71">
        <v>212</v>
      </c>
      <c r="BH1068" s="71">
        <v>5</v>
      </c>
      <c r="BI1068" s="71">
        <v>10</v>
      </c>
      <c r="BJ1068" s="12" t="str" cm="1">
        <f t="array" ref="BJ1068">_xll.Dce_Name_SectI(BF1068, BF1068, BG1068, BH1068, BI1068, "x", "-", $AX$11)</f>
        <v>390x212x5x10</v>
      </c>
      <c r="BK1068" s="77" cm="1">
        <f t="array" ref="BK1068">_xll.DCEPropSectI(BF1068, BH1068, BG1068, BI1068, BG1068, BI1068, "A")/100</f>
        <v>60.9</v>
      </c>
      <c r="BL1068" s="70" t="s">
        <v>226</v>
      </c>
      <c r="BM1068" s="70">
        <v>32.398291003482925</v>
      </c>
      <c r="BN1068" s="71">
        <v>0.9</v>
      </c>
      <c r="BO1068" s="77">
        <f t="shared" si="139"/>
        <v>32.4</v>
      </c>
      <c r="BP1068" s="71">
        <v>0.9</v>
      </c>
      <c r="BQ1068" s="77">
        <f t="shared" si="140"/>
        <v>32.4</v>
      </c>
      <c r="BR1068" s="77" cm="1">
        <f t="array" ref="BR1068">_xll.DCEPropSectI(BF1068, BH1068, BG1068, BI1068, BG1068, BI1068, "rx")/10</f>
        <v>16.91131201300167</v>
      </c>
      <c r="BS1068" s="77" cm="1">
        <f t="array" ref="BS1068">_xll.DCEPropSectI(BF1068, BH1068, BG1068, BI1068, BG1068, BI1068, "ry")/10</f>
        <v>5.1070747638622018</v>
      </c>
      <c r="BT1068" s="5">
        <f t="shared" si="141"/>
        <v>191.58773710218577</v>
      </c>
      <c r="BU1068" s="5">
        <f t="shared" si="142"/>
        <v>634.41405301647956</v>
      </c>
      <c r="BV1068" s="5">
        <f t="shared" si="143"/>
        <v>634.41405301647956</v>
      </c>
      <c r="BW1068" s="71">
        <f t="shared" si="144"/>
        <v>400</v>
      </c>
      <c r="BX1068" s="78" cm="1">
        <f t="array" ref="BX1068">IF(BM1068&gt;0,1,_xll.DCETCVN5575FactorPhi7121(BV1068*SQRT($K$17/206000),"b"))</f>
        <v>1</v>
      </c>
      <c r="BY1068" s="64">
        <f t="shared" si="145"/>
        <v>2.5332935337776943E-2</v>
      </c>
      <c r="BZ1068" s="3" t="str">
        <f t="shared" si="146"/>
        <v>Check</v>
      </c>
    </row>
    <row r="1069" spans="1:78">
      <c r="A1069" s="76"/>
      <c r="B1069" s="76"/>
      <c r="C1069" s="125"/>
      <c r="D1069" s="125"/>
      <c r="E1069" s="71"/>
      <c r="F1069" s="71"/>
      <c r="G1069" s="71"/>
      <c r="H1069" s="126"/>
      <c r="I1069" s="125"/>
      <c r="J1069" s="123"/>
      <c r="K1069" s="12"/>
      <c r="L1069" s="117"/>
      <c r="M1069" s="12"/>
      <c r="N1069" s="117"/>
      <c r="O1069" s="117"/>
      <c r="P1069" s="117"/>
      <c r="Q1069" s="118"/>
      <c r="R1069" s="118"/>
      <c r="S1069" s="118"/>
      <c r="T1069" s="12"/>
      <c r="U1069" s="118"/>
      <c r="V1069" s="118"/>
      <c r="W1069" s="12"/>
      <c r="X1069" s="119"/>
      <c r="Y1069" s="120"/>
      <c r="Z1069" s="12"/>
      <c r="BA1069" s="70" t="s">
        <v>205</v>
      </c>
      <c r="BB1069" s="71" t="s">
        <v>210</v>
      </c>
      <c r="BC1069" s="71" t="s">
        <v>207</v>
      </c>
      <c r="BD1069" s="71">
        <v>35</v>
      </c>
      <c r="BE1069" s="71">
        <v>36</v>
      </c>
      <c r="BF1069" s="71">
        <v>390</v>
      </c>
      <c r="BG1069" s="71">
        <v>212</v>
      </c>
      <c r="BH1069" s="71">
        <v>5</v>
      </c>
      <c r="BI1069" s="71">
        <v>10</v>
      </c>
      <c r="BJ1069" s="12" t="str" cm="1">
        <f t="array" ref="BJ1069">_xll.Dce_Name_SectI(BF1069, BF1069, BG1069, BH1069, BI1069, "x", "-", $AX$11)</f>
        <v>390x212x5x10</v>
      </c>
      <c r="BK1069" s="77" cm="1">
        <f t="array" ref="BK1069">_xll.DCEPropSectI(BF1069, BH1069, BG1069, BI1069, BG1069, BI1069, "A")/100</f>
        <v>60.9</v>
      </c>
      <c r="BL1069" s="70" t="s">
        <v>226</v>
      </c>
      <c r="BM1069" s="70">
        <v>32.398291003482925</v>
      </c>
      <c r="BN1069" s="71">
        <v>0.9</v>
      </c>
      <c r="BO1069" s="77">
        <f t="shared" si="139"/>
        <v>32.4</v>
      </c>
      <c r="BP1069" s="71">
        <v>0.9</v>
      </c>
      <c r="BQ1069" s="77">
        <f t="shared" si="140"/>
        <v>32.4</v>
      </c>
      <c r="BR1069" s="77" cm="1">
        <f t="array" ref="BR1069">_xll.DCEPropSectI(BF1069, BH1069, BG1069, BI1069, BG1069, BI1069, "rx")/10</f>
        <v>16.91131201300167</v>
      </c>
      <c r="BS1069" s="77" cm="1">
        <f t="array" ref="BS1069">_xll.DCEPropSectI(BF1069, BH1069, BG1069, BI1069, BG1069, BI1069, "ry")/10</f>
        <v>5.1070747638622018</v>
      </c>
      <c r="BT1069" s="5">
        <f t="shared" si="141"/>
        <v>191.58773710218577</v>
      </c>
      <c r="BU1069" s="5">
        <f t="shared" si="142"/>
        <v>634.41405301647956</v>
      </c>
      <c r="BV1069" s="5">
        <f t="shared" si="143"/>
        <v>634.41405301647956</v>
      </c>
      <c r="BW1069" s="71">
        <f t="shared" si="144"/>
        <v>400</v>
      </c>
      <c r="BX1069" s="78" cm="1">
        <f t="array" ref="BX1069">IF(BM1069&gt;0,1,_xll.DCETCVN5575FactorPhi7121(BV1069*SQRT($K$17/206000),"b"))</f>
        <v>1</v>
      </c>
      <c r="BY1069" s="64">
        <f t="shared" si="145"/>
        <v>2.5332935337776943E-2</v>
      </c>
      <c r="BZ1069" s="3" t="str">
        <f t="shared" si="146"/>
        <v>Check</v>
      </c>
    </row>
    <row r="1070" spans="1:78">
      <c r="A1070" s="76"/>
      <c r="B1070" s="76"/>
      <c r="C1070" s="125"/>
      <c r="D1070" s="125"/>
      <c r="E1070" s="71"/>
      <c r="F1070" s="71"/>
      <c r="G1070" s="71"/>
      <c r="H1070" s="126"/>
      <c r="I1070" s="125"/>
      <c r="J1070" s="123"/>
      <c r="K1070" s="12"/>
      <c r="L1070" s="117"/>
      <c r="M1070" s="12"/>
      <c r="N1070" s="117"/>
      <c r="O1070" s="117"/>
      <c r="P1070" s="117"/>
      <c r="Q1070" s="118"/>
      <c r="R1070" s="118"/>
      <c r="S1070" s="118"/>
      <c r="T1070" s="12"/>
      <c r="U1070" s="118"/>
      <c r="V1070" s="118"/>
      <c r="W1070" s="12"/>
      <c r="X1070" s="119"/>
      <c r="Y1070" s="120"/>
      <c r="Z1070" s="12"/>
      <c r="BA1070" s="70" t="s">
        <v>205</v>
      </c>
      <c r="BB1070" s="71" t="s">
        <v>210</v>
      </c>
      <c r="BC1070" s="71" t="s">
        <v>207</v>
      </c>
      <c r="BD1070" s="71">
        <v>35.5</v>
      </c>
      <c r="BE1070" s="71">
        <v>36</v>
      </c>
      <c r="BF1070" s="71">
        <v>390</v>
      </c>
      <c r="BG1070" s="71">
        <v>212</v>
      </c>
      <c r="BH1070" s="71">
        <v>5</v>
      </c>
      <c r="BI1070" s="71">
        <v>10</v>
      </c>
      <c r="BJ1070" s="12" t="str" cm="1">
        <f t="array" ref="BJ1070">_xll.Dce_Name_SectI(BF1070, BF1070, BG1070, BH1070, BI1070, "x", "-", $AX$11)</f>
        <v>390x212x5x10</v>
      </c>
      <c r="BK1070" s="77" cm="1">
        <f t="array" ref="BK1070">_xll.DCEPropSectI(BF1070, BH1070, BG1070, BI1070, BG1070, BI1070, "A")/100</f>
        <v>60.9</v>
      </c>
      <c r="BL1070" s="70" t="s">
        <v>226</v>
      </c>
      <c r="BM1070" s="70">
        <v>32.398291003482925</v>
      </c>
      <c r="BN1070" s="71">
        <v>0.9</v>
      </c>
      <c r="BO1070" s="77">
        <f t="shared" si="139"/>
        <v>32.4</v>
      </c>
      <c r="BP1070" s="71">
        <v>0.9</v>
      </c>
      <c r="BQ1070" s="77">
        <f t="shared" si="140"/>
        <v>32.4</v>
      </c>
      <c r="BR1070" s="77" cm="1">
        <f t="array" ref="BR1070">_xll.DCEPropSectI(BF1070, BH1070, BG1070, BI1070, BG1070, BI1070, "rx")/10</f>
        <v>16.91131201300167</v>
      </c>
      <c r="BS1070" s="77" cm="1">
        <f t="array" ref="BS1070">_xll.DCEPropSectI(BF1070, BH1070, BG1070, BI1070, BG1070, BI1070, "ry")/10</f>
        <v>5.1070747638622018</v>
      </c>
      <c r="BT1070" s="5">
        <f t="shared" si="141"/>
        <v>191.58773710218577</v>
      </c>
      <c r="BU1070" s="5">
        <f t="shared" si="142"/>
        <v>634.41405301647956</v>
      </c>
      <c r="BV1070" s="5">
        <f t="shared" si="143"/>
        <v>634.41405301647956</v>
      </c>
      <c r="BW1070" s="71">
        <f t="shared" si="144"/>
        <v>400</v>
      </c>
      <c r="BX1070" s="78" cm="1">
        <f t="array" ref="BX1070">IF(BM1070&gt;0,1,_xll.DCETCVN5575FactorPhi7121(BV1070*SQRT($K$17/206000),"b"))</f>
        <v>1</v>
      </c>
      <c r="BY1070" s="64">
        <f t="shared" si="145"/>
        <v>2.5332935337776943E-2</v>
      </c>
      <c r="BZ1070" s="3" t="str">
        <f t="shared" si="146"/>
        <v>Check</v>
      </c>
    </row>
    <row r="1071" spans="1:78">
      <c r="A1071" s="76"/>
      <c r="B1071" s="76"/>
      <c r="C1071" s="125"/>
      <c r="D1071" s="125"/>
      <c r="E1071" s="71"/>
      <c r="F1071" s="71"/>
      <c r="G1071" s="71"/>
      <c r="H1071" s="126"/>
      <c r="I1071" s="125"/>
      <c r="J1071" s="123"/>
      <c r="K1071" s="12"/>
      <c r="L1071" s="117"/>
      <c r="M1071" s="12"/>
      <c r="N1071" s="117"/>
      <c r="O1071" s="117"/>
      <c r="P1071" s="117"/>
      <c r="Q1071" s="118"/>
      <c r="R1071" s="118"/>
      <c r="S1071" s="118"/>
      <c r="T1071" s="12"/>
      <c r="U1071" s="118"/>
      <c r="V1071" s="118"/>
      <c r="W1071" s="12"/>
      <c r="X1071" s="119"/>
      <c r="Y1071" s="120"/>
      <c r="Z1071" s="12"/>
      <c r="BA1071" s="70" t="s">
        <v>205</v>
      </c>
      <c r="BB1071" s="71" t="s">
        <v>210</v>
      </c>
      <c r="BC1071" s="71" t="s">
        <v>207</v>
      </c>
      <c r="BD1071" s="71">
        <v>36</v>
      </c>
      <c r="BE1071" s="71">
        <v>36</v>
      </c>
      <c r="BF1071" s="71">
        <v>390</v>
      </c>
      <c r="BG1071" s="71">
        <v>212</v>
      </c>
      <c r="BH1071" s="71">
        <v>5</v>
      </c>
      <c r="BI1071" s="71">
        <v>10</v>
      </c>
      <c r="BJ1071" s="12" t="str" cm="1">
        <f t="array" ref="BJ1071">_xll.Dce_Name_SectI(BF1071, BF1071, BG1071, BH1071, BI1071, "x", "-", $AX$11)</f>
        <v>390x212x5x10</v>
      </c>
      <c r="BK1071" s="77" cm="1">
        <f t="array" ref="BK1071">_xll.DCEPropSectI(BF1071, BH1071, BG1071, BI1071, BG1071, BI1071, "A")/100</f>
        <v>60.9</v>
      </c>
      <c r="BL1071" s="70" t="s">
        <v>226</v>
      </c>
      <c r="BM1071" s="70">
        <v>32.398291003482925</v>
      </c>
      <c r="BN1071" s="71">
        <v>0.9</v>
      </c>
      <c r="BO1071" s="77">
        <f t="shared" si="139"/>
        <v>32.4</v>
      </c>
      <c r="BP1071" s="71">
        <v>0.9</v>
      </c>
      <c r="BQ1071" s="77">
        <f t="shared" si="140"/>
        <v>32.4</v>
      </c>
      <c r="BR1071" s="77" cm="1">
        <f t="array" ref="BR1071">_xll.DCEPropSectI(BF1071, BH1071, BG1071, BI1071, BG1071, BI1071, "rx")/10</f>
        <v>16.91131201300167</v>
      </c>
      <c r="BS1071" s="77" cm="1">
        <f t="array" ref="BS1071">_xll.DCEPropSectI(BF1071, BH1071, BG1071, BI1071, BG1071, BI1071, "ry")/10</f>
        <v>5.1070747638622018</v>
      </c>
      <c r="BT1071" s="5">
        <f t="shared" si="141"/>
        <v>191.58773710218577</v>
      </c>
      <c r="BU1071" s="5">
        <f t="shared" si="142"/>
        <v>634.41405301647956</v>
      </c>
      <c r="BV1071" s="5">
        <f t="shared" si="143"/>
        <v>634.41405301647956</v>
      </c>
      <c r="BW1071" s="71">
        <f t="shared" si="144"/>
        <v>400</v>
      </c>
      <c r="BX1071" s="78" cm="1">
        <f t="array" ref="BX1071">IF(BM1071&gt;0,1,_xll.DCETCVN5575FactorPhi7121(BV1071*SQRT($K$17/206000),"b"))</f>
        <v>1</v>
      </c>
      <c r="BY1071" s="64">
        <f t="shared" si="145"/>
        <v>2.5332935337776943E-2</v>
      </c>
      <c r="BZ1071" s="3" t="str">
        <f t="shared" si="146"/>
        <v>Check</v>
      </c>
    </row>
    <row r="1072" spans="1:78">
      <c r="A1072" s="76"/>
      <c r="B1072" s="76"/>
      <c r="C1072" s="125"/>
      <c r="D1072" s="125"/>
      <c r="E1072" s="71"/>
      <c r="F1072" s="71"/>
      <c r="G1072" s="71"/>
      <c r="H1072" s="126"/>
      <c r="I1072" s="125"/>
      <c r="J1072" s="123"/>
      <c r="K1072" s="12"/>
      <c r="L1072" s="117"/>
      <c r="M1072" s="12"/>
      <c r="N1072" s="117"/>
      <c r="O1072" s="117"/>
      <c r="P1072" s="117"/>
      <c r="Q1072" s="118"/>
      <c r="R1072" s="118"/>
      <c r="S1072" s="118"/>
      <c r="T1072" s="12"/>
      <c r="U1072" s="118"/>
      <c r="V1072" s="118"/>
      <c r="W1072" s="12"/>
      <c r="X1072" s="119"/>
      <c r="Y1072" s="120"/>
      <c r="Z1072" s="12"/>
      <c r="BA1072" s="70" t="s">
        <v>205</v>
      </c>
      <c r="BB1072" s="71" t="s">
        <v>211</v>
      </c>
      <c r="BC1072" s="71" t="s">
        <v>207</v>
      </c>
      <c r="BD1072" s="71">
        <v>0</v>
      </c>
      <c r="BE1072" s="71">
        <v>6.85</v>
      </c>
      <c r="BF1072" s="71">
        <v>268</v>
      </c>
      <c r="BG1072" s="71">
        <v>212</v>
      </c>
      <c r="BH1072" s="71">
        <v>5</v>
      </c>
      <c r="BI1072" s="71">
        <v>10</v>
      </c>
      <c r="BJ1072" s="12" t="str" cm="1">
        <f t="array" ref="BJ1072">_xll.Dce_Name_SectI(BF1072, BF1072, BG1072, BH1072, BI1072, "x", "-", $AX$11)</f>
        <v>268x212x5x10</v>
      </c>
      <c r="BK1072" s="77" cm="1">
        <f t="array" ref="BK1072">_xll.DCEPropSectI(BF1072, BH1072, BG1072, BI1072, BG1072, BI1072, "A")/100</f>
        <v>54.8</v>
      </c>
      <c r="BL1072" s="70" t="s">
        <v>217</v>
      </c>
      <c r="BM1072" s="70">
        <v>-59.280503716448948</v>
      </c>
      <c r="BN1072" s="71">
        <v>0.9</v>
      </c>
      <c r="BO1072" s="77">
        <f t="shared" si="139"/>
        <v>6.165</v>
      </c>
      <c r="BP1072" s="71">
        <v>0.9</v>
      </c>
      <c r="BQ1072" s="77">
        <f t="shared" si="140"/>
        <v>6.165</v>
      </c>
      <c r="BR1072" s="77" cm="1">
        <f t="array" ref="BR1072">_xll.DCEPropSectI(BF1072, BH1072, BG1072, BI1072, BG1072, BI1072, "rx")/10</f>
        <v>11.847052463297633</v>
      </c>
      <c r="BS1072" s="77" cm="1">
        <f t="array" ref="BS1072">_xll.DCEPropSectI(BF1072, BH1072, BG1072, BI1072, BG1072, BI1072, "ry")/10</f>
        <v>5.3836052600564113</v>
      </c>
      <c r="BT1072" s="5">
        <f t="shared" si="141"/>
        <v>52.038260310733605</v>
      </c>
      <c r="BU1072" s="5">
        <f t="shared" si="142"/>
        <v>114.5143394100815</v>
      </c>
      <c r="BV1072" s="5">
        <f t="shared" si="143"/>
        <v>114.5143394100815</v>
      </c>
      <c r="BW1072" s="71">
        <f t="shared" si="144"/>
        <v>200</v>
      </c>
      <c r="BX1072" s="78" cm="1">
        <f t="array" ref="BX1072">IF(BM1072&gt;0,1,_xll.DCETCVN5575FactorPhi7121(BV1072*SQRT($K$17/206000),"b"))</f>
        <v>0.47786839095804584</v>
      </c>
      <c r="BY1072" s="64">
        <f t="shared" si="145"/>
        <v>0.10779626847574694</v>
      </c>
      <c r="BZ1072" s="3" t="str">
        <f t="shared" si="146"/>
        <v>OK</v>
      </c>
    </row>
    <row r="1073" spans="1:78">
      <c r="A1073" s="76"/>
      <c r="B1073" s="76"/>
      <c r="C1073" s="125"/>
      <c r="D1073" s="125"/>
      <c r="E1073" s="71"/>
      <c r="F1073" s="71"/>
      <c r="G1073" s="71"/>
      <c r="H1073" s="126"/>
      <c r="I1073" s="125"/>
      <c r="J1073" s="123"/>
      <c r="K1073" s="12"/>
      <c r="L1073" s="117"/>
      <c r="M1073" s="12"/>
      <c r="N1073" s="117"/>
      <c r="O1073" s="117"/>
      <c r="P1073" s="117"/>
      <c r="Q1073" s="118"/>
      <c r="R1073" s="118"/>
      <c r="S1073" s="118"/>
      <c r="T1073" s="12"/>
      <c r="U1073" s="118"/>
      <c r="V1073" s="118"/>
      <c r="W1073" s="12"/>
      <c r="X1073" s="119"/>
      <c r="Y1073" s="120"/>
      <c r="Z1073" s="12"/>
      <c r="BA1073" s="70" t="s">
        <v>205</v>
      </c>
      <c r="BB1073" s="71" t="s">
        <v>211</v>
      </c>
      <c r="BC1073" s="71" t="s">
        <v>207</v>
      </c>
      <c r="BD1073" s="71">
        <v>0.86</v>
      </c>
      <c r="BE1073" s="71">
        <v>6.85</v>
      </c>
      <c r="BF1073" s="71">
        <v>268</v>
      </c>
      <c r="BG1073" s="71">
        <v>212</v>
      </c>
      <c r="BH1073" s="71">
        <v>5</v>
      </c>
      <c r="BI1073" s="71">
        <v>10</v>
      </c>
      <c r="BJ1073" s="12" t="str" cm="1">
        <f t="array" ref="BJ1073">_xll.Dce_Name_SectI(BF1073, BF1073, BG1073, BH1073, BI1073, "x", "-", $AX$11)</f>
        <v>268x212x5x10</v>
      </c>
      <c r="BK1073" s="77" cm="1">
        <f t="array" ref="BK1073">_xll.DCEPropSectI(BF1073, BH1073, BG1073, BI1073, BG1073, BI1073, "A")/100</f>
        <v>54.8</v>
      </c>
      <c r="BL1073" s="70" t="s">
        <v>217</v>
      </c>
      <c r="BM1073" s="70">
        <v>-59.641679637282039</v>
      </c>
      <c r="BN1073" s="71">
        <v>0.9</v>
      </c>
      <c r="BO1073" s="77">
        <f t="shared" si="139"/>
        <v>6.165</v>
      </c>
      <c r="BP1073" s="71">
        <v>0.9</v>
      </c>
      <c r="BQ1073" s="77">
        <f t="shared" si="140"/>
        <v>6.165</v>
      </c>
      <c r="BR1073" s="77" cm="1">
        <f t="array" ref="BR1073">_xll.DCEPropSectI(BF1073, BH1073, BG1073, BI1073, BG1073, BI1073, "rx")/10</f>
        <v>11.847052463297633</v>
      </c>
      <c r="BS1073" s="77" cm="1">
        <f t="array" ref="BS1073">_xll.DCEPropSectI(BF1073, BH1073, BG1073, BI1073, BG1073, BI1073, "ry")/10</f>
        <v>5.3836052600564113</v>
      </c>
      <c r="BT1073" s="5">
        <f t="shared" si="141"/>
        <v>52.038260310733605</v>
      </c>
      <c r="BU1073" s="5">
        <f t="shared" si="142"/>
        <v>114.5143394100815</v>
      </c>
      <c r="BV1073" s="5">
        <f t="shared" si="143"/>
        <v>114.5143394100815</v>
      </c>
      <c r="BW1073" s="71">
        <f t="shared" si="144"/>
        <v>200</v>
      </c>
      <c r="BX1073" s="78" cm="1">
        <f t="array" ref="BX1073">IF(BM1073&gt;0,1,_xll.DCETCVN5575FactorPhi7121(BV1073*SQRT($K$17/206000),"b"))</f>
        <v>0.47786839095804584</v>
      </c>
      <c r="BY1073" s="64">
        <f t="shared" si="145"/>
        <v>0.10845303442894003</v>
      </c>
      <c r="BZ1073" s="3" t="str">
        <f t="shared" si="146"/>
        <v>OK</v>
      </c>
    </row>
    <row r="1074" spans="1:78">
      <c r="A1074" s="76"/>
      <c r="B1074" s="76"/>
      <c r="C1074" s="125"/>
      <c r="D1074" s="125"/>
      <c r="E1074" s="71"/>
      <c r="F1074" s="71"/>
      <c r="G1074" s="71"/>
      <c r="H1074" s="126"/>
      <c r="I1074" s="125"/>
      <c r="J1074" s="123"/>
      <c r="K1074" s="12"/>
      <c r="L1074" s="117"/>
      <c r="M1074" s="12"/>
      <c r="N1074" s="117"/>
      <c r="O1074" s="117"/>
      <c r="P1074" s="117"/>
      <c r="Q1074" s="118"/>
      <c r="R1074" s="118"/>
      <c r="S1074" s="118"/>
      <c r="T1074" s="12"/>
      <c r="U1074" s="118"/>
      <c r="V1074" s="118"/>
      <c r="W1074" s="12"/>
      <c r="X1074" s="119"/>
      <c r="Y1074" s="120"/>
      <c r="Z1074" s="12"/>
      <c r="BA1074" s="70" t="s">
        <v>205</v>
      </c>
      <c r="BB1074" s="71" t="s">
        <v>211</v>
      </c>
      <c r="BC1074" s="71" t="s">
        <v>207</v>
      </c>
      <c r="BD1074" s="71">
        <v>1.71</v>
      </c>
      <c r="BE1074" s="71">
        <v>6.85</v>
      </c>
      <c r="BF1074" s="71">
        <v>268</v>
      </c>
      <c r="BG1074" s="71">
        <v>212</v>
      </c>
      <c r="BH1074" s="71">
        <v>5</v>
      </c>
      <c r="BI1074" s="71">
        <v>10</v>
      </c>
      <c r="BJ1074" s="12" t="str" cm="1">
        <f t="array" ref="BJ1074">_xll.Dce_Name_SectI(BF1074, BF1074, BG1074, BH1074, BI1074, "x", "-", $AX$11)</f>
        <v>268x212x5x10</v>
      </c>
      <c r="BK1074" s="77" cm="1">
        <f t="array" ref="BK1074">_xll.DCEPropSectI(BF1074, BH1074, BG1074, BI1074, BG1074, BI1074, "A")/100</f>
        <v>54.8</v>
      </c>
      <c r="BL1074" s="70" t="s">
        <v>217</v>
      </c>
      <c r="BM1074" s="70">
        <v>-60.002855558115129</v>
      </c>
      <c r="BN1074" s="71">
        <v>0.9</v>
      </c>
      <c r="BO1074" s="77">
        <f t="shared" si="139"/>
        <v>6.165</v>
      </c>
      <c r="BP1074" s="71">
        <v>0.9</v>
      </c>
      <c r="BQ1074" s="77">
        <f t="shared" si="140"/>
        <v>6.165</v>
      </c>
      <c r="BR1074" s="77" cm="1">
        <f t="array" ref="BR1074">_xll.DCEPropSectI(BF1074, BH1074, BG1074, BI1074, BG1074, BI1074, "rx")/10</f>
        <v>11.847052463297633</v>
      </c>
      <c r="BS1074" s="77" cm="1">
        <f t="array" ref="BS1074">_xll.DCEPropSectI(BF1074, BH1074, BG1074, BI1074, BG1074, BI1074, "ry")/10</f>
        <v>5.3836052600564113</v>
      </c>
      <c r="BT1074" s="5">
        <f t="shared" si="141"/>
        <v>52.038260310733605</v>
      </c>
      <c r="BU1074" s="5">
        <f t="shared" si="142"/>
        <v>114.5143394100815</v>
      </c>
      <c r="BV1074" s="5">
        <f t="shared" si="143"/>
        <v>114.5143394100815</v>
      </c>
      <c r="BW1074" s="71">
        <f t="shared" si="144"/>
        <v>200</v>
      </c>
      <c r="BX1074" s="78" cm="1">
        <f t="array" ref="BX1074">IF(BM1074&gt;0,1,_xll.DCETCVN5575FactorPhi7121(BV1074*SQRT($K$17/206000),"b"))</f>
        <v>0.47786839095804584</v>
      </c>
      <c r="BY1074" s="64">
        <f t="shared" si="145"/>
        <v>0.1091098003821331</v>
      </c>
      <c r="BZ1074" s="3" t="str">
        <f t="shared" si="146"/>
        <v>OK</v>
      </c>
    </row>
    <row r="1075" spans="1:78">
      <c r="A1075" s="76"/>
      <c r="B1075" s="76"/>
      <c r="C1075" s="125"/>
      <c r="D1075" s="125"/>
      <c r="E1075" s="71"/>
      <c r="F1075" s="71"/>
      <c r="G1075" s="71"/>
      <c r="H1075" s="126"/>
      <c r="I1075" s="125"/>
      <c r="J1075" s="123"/>
      <c r="K1075" s="12"/>
      <c r="L1075" s="117"/>
      <c r="M1075" s="12"/>
      <c r="N1075" s="117"/>
      <c r="O1075" s="117"/>
      <c r="P1075" s="117"/>
      <c r="Q1075" s="118"/>
      <c r="R1075" s="118"/>
      <c r="S1075" s="118"/>
      <c r="T1075" s="12"/>
      <c r="U1075" s="118"/>
      <c r="V1075" s="118"/>
      <c r="W1075" s="12"/>
      <c r="X1075" s="119"/>
      <c r="Y1075" s="120"/>
      <c r="Z1075" s="12"/>
      <c r="BA1075" s="70" t="s">
        <v>205</v>
      </c>
      <c r="BB1075" s="71" t="s">
        <v>211</v>
      </c>
      <c r="BC1075" s="71" t="s">
        <v>207</v>
      </c>
      <c r="BD1075" s="71">
        <v>2.57</v>
      </c>
      <c r="BE1075" s="71">
        <v>6.85</v>
      </c>
      <c r="BF1075" s="71">
        <v>268</v>
      </c>
      <c r="BG1075" s="71">
        <v>212</v>
      </c>
      <c r="BH1075" s="71">
        <v>5</v>
      </c>
      <c r="BI1075" s="71">
        <v>10</v>
      </c>
      <c r="BJ1075" s="12" t="str" cm="1">
        <f t="array" ref="BJ1075">_xll.Dce_Name_SectI(BF1075, BF1075, BG1075, BH1075, BI1075, "x", "-", $AX$11)</f>
        <v>268x212x5x10</v>
      </c>
      <c r="BK1075" s="77" cm="1">
        <f t="array" ref="BK1075">_xll.DCEPropSectI(BF1075, BH1075, BG1075, BI1075, BG1075, BI1075, "A")/100</f>
        <v>54.8</v>
      </c>
      <c r="BL1075" s="70" t="s">
        <v>217</v>
      </c>
      <c r="BM1075" s="70">
        <v>-60.36403147894822</v>
      </c>
      <c r="BN1075" s="71">
        <v>0.9</v>
      </c>
      <c r="BO1075" s="77">
        <f t="shared" si="139"/>
        <v>6.165</v>
      </c>
      <c r="BP1075" s="71">
        <v>0.9</v>
      </c>
      <c r="BQ1075" s="77">
        <f t="shared" si="140"/>
        <v>6.165</v>
      </c>
      <c r="BR1075" s="77" cm="1">
        <f t="array" ref="BR1075">_xll.DCEPropSectI(BF1075, BH1075, BG1075, BI1075, BG1075, BI1075, "rx")/10</f>
        <v>11.847052463297633</v>
      </c>
      <c r="BS1075" s="77" cm="1">
        <f t="array" ref="BS1075">_xll.DCEPropSectI(BF1075, BH1075, BG1075, BI1075, BG1075, BI1075, "ry")/10</f>
        <v>5.3836052600564113</v>
      </c>
      <c r="BT1075" s="5">
        <f t="shared" si="141"/>
        <v>52.038260310733605</v>
      </c>
      <c r="BU1075" s="5">
        <f t="shared" si="142"/>
        <v>114.5143394100815</v>
      </c>
      <c r="BV1075" s="5">
        <f t="shared" si="143"/>
        <v>114.5143394100815</v>
      </c>
      <c r="BW1075" s="71">
        <f t="shared" si="144"/>
        <v>200</v>
      </c>
      <c r="BX1075" s="78" cm="1">
        <f t="array" ref="BX1075">IF(BM1075&gt;0,1,_xll.DCETCVN5575FactorPhi7121(BV1075*SQRT($K$17/206000),"b"))</f>
        <v>0.47786839095804584</v>
      </c>
      <c r="BY1075" s="64">
        <f t="shared" si="145"/>
        <v>0.10976656633532617</v>
      </c>
      <c r="BZ1075" s="3" t="str">
        <f t="shared" si="146"/>
        <v>OK</v>
      </c>
    </row>
    <row r="1076" spans="1:78">
      <c r="A1076" s="76"/>
      <c r="B1076" s="76"/>
      <c r="C1076" s="125"/>
      <c r="D1076" s="125"/>
      <c r="E1076" s="71"/>
      <c r="F1076" s="71"/>
      <c r="G1076" s="71"/>
      <c r="H1076" s="126"/>
      <c r="I1076" s="125"/>
      <c r="J1076" s="123"/>
      <c r="K1076" s="12"/>
      <c r="L1076" s="117"/>
      <c r="M1076" s="12"/>
      <c r="N1076" s="117"/>
      <c r="O1076" s="117"/>
      <c r="P1076" s="117"/>
      <c r="Q1076" s="118"/>
      <c r="R1076" s="118"/>
      <c r="S1076" s="118"/>
      <c r="T1076" s="12"/>
      <c r="U1076" s="118"/>
      <c r="V1076" s="118"/>
      <c r="W1076" s="12"/>
      <c r="X1076" s="119"/>
      <c r="Y1076" s="120"/>
      <c r="Z1076" s="12"/>
      <c r="BA1076" s="70" t="s">
        <v>205</v>
      </c>
      <c r="BB1076" s="71" t="s">
        <v>211</v>
      </c>
      <c r="BC1076" s="71" t="s">
        <v>207</v>
      </c>
      <c r="BD1076" s="71">
        <v>3.42</v>
      </c>
      <c r="BE1076" s="71">
        <v>6.85</v>
      </c>
      <c r="BF1076" s="71">
        <v>268</v>
      </c>
      <c r="BG1076" s="71">
        <v>212</v>
      </c>
      <c r="BH1076" s="71">
        <v>5</v>
      </c>
      <c r="BI1076" s="71">
        <v>10</v>
      </c>
      <c r="BJ1076" s="12" t="str" cm="1">
        <f t="array" ref="BJ1076">_xll.Dce_Name_SectI(BF1076, BF1076, BG1076, BH1076, BI1076, "x", "-", $AX$11)</f>
        <v>268x212x5x10</v>
      </c>
      <c r="BK1076" s="77" cm="1">
        <f t="array" ref="BK1076">_xll.DCEPropSectI(BF1076, BH1076, BG1076, BI1076, BG1076, BI1076, "A")/100</f>
        <v>54.8</v>
      </c>
      <c r="BL1076" s="70" t="s">
        <v>217</v>
      </c>
      <c r="BM1076" s="70">
        <v>-60.725207399781318</v>
      </c>
      <c r="BN1076" s="71">
        <v>0.9</v>
      </c>
      <c r="BO1076" s="77">
        <f t="shared" si="139"/>
        <v>6.165</v>
      </c>
      <c r="BP1076" s="71">
        <v>0.9</v>
      </c>
      <c r="BQ1076" s="77">
        <f t="shared" si="140"/>
        <v>6.165</v>
      </c>
      <c r="BR1076" s="77" cm="1">
        <f t="array" ref="BR1076">_xll.DCEPropSectI(BF1076, BH1076, BG1076, BI1076, BG1076, BI1076, "rx")/10</f>
        <v>11.847052463297633</v>
      </c>
      <c r="BS1076" s="77" cm="1">
        <f t="array" ref="BS1076">_xll.DCEPropSectI(BF1076, BH1076, BG1076, BI1076, BG1076, BI1076, "ry")/10</f>
        <v>5.3836052600564113</v>
      </c>
      <c r="BT1076" s="5">
        <f t="shared" si="141"/>
        <v>52.038260310733605</v>
      </c>
      <c r="BU1076" s="5">
        <f t="shared" si="142"/>
        <v>114.5143394100815</v>
      </c>
      <c r="BV1076" s="5">
        <f t="shared" si="143"/>
        <v>114.5143394100815</v>
      </c>
      <c r="BW1076" s="71">
        <f t="shared" si="144"/>
        <v>200</v>
      </c>
      <c r="BX1076" s="78" cm="1">
        <f t="array" ref="BX1076">IF(BM1076&gt;0,1,_xll.DCETCVN5575FactorPhi7121(BV1076*SQRT($K$17/206000),"b"))</f>
        <v>0.47786839095804584</v>
      </c>
      <c r="BY1076" s="64">
        <f t="shared" si="145"/>
        <v>0.11042333228851925</v>
      </c>
      <c r="BZ1076" s="3" t="str">
        <f t="shared" si="146"/>
        <v>OK</v>
      </c>
    </row>
    <row r="1077" spans="1:78">
      <c r="A1077" s="76"/>
      <c r="B1077" s="76"/>
      <c r="C1077" s="125"/>
      <c r="D1077" s="125"/>
      <c r="E1077" s="71"/>
      <c r="F1077" s="71"/>
      <c r="G1077" s="71"/>
      <c r="H1077" s="126"/>
      <c r="I1077" s="125"/>
      <c r="J1077" s="123"/>
      <c r="K1077" s="12"/>
      <c r="L1077" s="117"/>
      <c r="M1077" s="12"/>
      <c r="N1077" s="117"/>
      <c r="O1077" s="117"/>
      <c r="P1077" s="117"/>
      <c r="Q1077" s="118"/>
      <c r="R1077" s="118"/>
      <c r="S1077" s="118"/>
      <c r="T1077" s="12"/>
      <c r="U1077" s="118"/>
      <c r="V1077" s="118"/>
      <c r="W1077" s="12"/>
      <c r="X1077" s="119"/>
      <c r="Y1077" s="120"/>
      <c r="Z1077" s="12"/>
      <c r="BA1077" s="70" t="s">
        <v>205</v>
      </c>
      <c r="BB1077" s="71" t="s">
        <v>211</v>
      </c>
      <c r="BC1077" s="71" t="s">
        <v>207</v>
      </c>
      <c r="BD1077" s="71">
        <v>4.28</v>
      </c>
      <c r="BE1077" s="71">
        <v>6.85</v>
      </c>
      <c r="BF1077" s="71">
        <v>268</v>
      </c>
      <c r="BG1077" s="71">
        <v>212</v>
      </c>
      <c r="BH1077" s="71">
        <v>5</v>
      </c>
      <c r="BI1077" s="71">
        <v>10</v>
      </c>
      <c r="BJ1077" s="12" t="str" cm="1">
        <f t="array" ref="BJ1077">_xll.Dce_Name_SectI(BF1077, BF1077, BG1077, BH1077, BI1077, "x", "-", $AX$11)</f>
        <v>268x212x5x10</v>
      </c>
      <c r="BK1077" s="77" cm="1">
        <f t="array" ref="BK1077">_xll.DCEPropSectI(BF1077, BH1077, BG1077, BI1077, BG1077, BI1077, "A")/100</f>
        <v>54.8</v>
      </c>
      <c r="BL1077" s="70" t="s">
        <v>217</v>
      </c>
      <c r="BM1077" s="70">
        <v>-61.086383320614409</v>
      </c>
      <c r="BN1077" s="71">
        <v>0.9</v>
      </c>
      <c r="BO1077" s="77">
        <f t="shared" si="139"/>
        <v>6.165</v>
      </c>
      <c r="BP1077" s="71">
        <v>0.9</v>
      </c>
      <c r="BQ1077" s="77">
        <f t="shared" si="140"/>
        <v>6.165</v>
      </c>
      <c r="BR1077" s="77" cm="1">
        <f t="array" ref="BR1077">_xll.DCEPropSectI(BF1077, BH1077, BG1077, BI1077, BG1077, BI1077, "rx")/10</f>
        <v>11.847052463297633</v>
      </c>
      <c r="BS1077" s="77" cm="1">
        <f t="array" ref="BS1077">_xll.DCEPropSectI(BF1077, BH1077, BG1077, BI1077, BG1077, BI1077, "ry")/10</f>
        <v>5.3836052600564113</v>
      </c>
      <c r="BT1077" s="5">
        <f t="shared" si="141"/>
        <v>52.038260310733605</v>
      </c>
      <c r="BU1077" s="5">
        <f t="shared" si="142"/>
        <v>114.5143394100815</v>
      </c>
      <c r="BV1077" s="5">
        <f t="shared" si="143"/>
        <v>114.5143394100815</v>
      </c>
      <c r="BW1077" s="71">
        <f t="shared" si="144"/>
        <v>200</v>
      </c>
      <c r="BX1077" s="78" cm="1">
        <f t="array" ref="BX1077">IF(BM1077&gt;0,1,_xll.DCETCVN5575FactorPhi7121(BV1077*SQRT($K$17/206000),"b"))</f>
        <v>0.47786839095804584</v>
      </c>
      <c r="BY1077" s="64">
        <f t="shared" si="145"/>
        <v>0.11108009824171232</v>
      </c>
      <c r="BZ1077" s="3" t="str">
        <f t="shared" si="146"/>
        <v>OK</v>
      </c>
    </row>
    <row r="1078" spans="1:78">
      <c r="A1078" s="76"/>
      <c r="B1078" s="76"/>
      <c r="C1078" s="125"/>
      <c r="D1078" s="125"/>
      <c r="E1078" s="71"/>
      <c r="F1078" s="71"/>
      <c r="G1078" s="71"/>
      <c r="H1078" s="126"/>
      <c r="I1078" s="125"/>
      <c r="J1078" s="123"/>
      <c r="K1078" s="12"/>
      <c r="L1078" s="117"/>
      <c r="M1078" s="12"/>
      <c r="N1078" s="117"/>
      <c r="O1078" s="117"/>
      <c r="P1078" s="117"/>
      <c r="Q1078" s="118"/>
      <c r="R1078" s="118"/>
      <c r="S1078" s="118"/>
      <c r="T1078" s="12"/>
      <c r="U1078" s="118"/>
      <c r="V1078" s="118"/>
      <c r="W1078" s="12"/>
      <c r="X1078" s="119"/>
      <c r="Y1078" s="120"/>
      <c r="Z1078" s="12"/>
      <c r="BA1078" s="70" t="s">
        <v>205</v>
      </c>
      <c r="BB1078" s="71" t="s">
        <v>211</v>
      </c>
      <c r="BC1078" s="71" t="s">
        <v>207</v>
      </c>
      <c r="BD1078" s="71">
        <v>5.14</v>
      </c>
      <c r="BE1078" s="71">
        <v>6.85</v>
      </c>
      <c r="BF1078" s="71">
        <v>268</v>
      </c>
      <c r="BG1078" s="71">
        <v>212</v>
      </c>
      <c r="BH1078" s="71">
        <v>5</v>
      </c>
      <c r="BI1078" s="71">
        <v>10</v>
      </c>
      <c r="BJ1078" s="12" t="str" cm="1">
        <f t="array" ref="BJ1078">_xll.Dce_Name_SectI(BF1078, BF1078, BG1078, BH1078, BI1078, "x", "-", $AX$11)</f>
        <v>268x212x5x10</v>
      </c>
      <c r="BK1078" s="77" cm="1">
        <f t="array" ref="BK1078">_xll.DCEPropSectI(BF1078, BH1078, BG1078, BI1078, BG1078, BI1078, "A")/100</f>
        <v>54.8</v>
      </c>
      <c r="BL1078" s="70" t="s">
        <v>217</v>
      </c>
      <c r="BM1078" s="70">
        <v>-61.4475592414475</v>
      </c>
      <c r="BN1078" s="71">
        <v>0.9</v>
      </c>
      <c r="BO1078" s="77">
        <f t="shared" si="139"/>
        <v>6.165</v>
      </c>
      <c r="BP1078" s="71">
        <v>0.9</v>
      </c>
      <c r="BQ1078" s="77">
        <f t="shared" si="140"/>
        <v>6.165</v>
      </c>
      <c r="BR1078" s="77" cm="1">
        <f t="array" ref="BR1078">_xll.DCEPropSectI(BF1078, BH1078, BG1078, BI1078, BG1078, BI1078, "rx")/10</f>
        <v>11.847052463297633</v>
      </c>
      <c r="BS1078" s="77" cm="1">
        <f t="array" ref="BS1078">_xll.DCEPropSectI(BF1078, BH1078, BG1078, BI1078, BG1078, BI1078, "ry")/10</f>
        <v>5.3836052600564113</v>
      </c>
      <c r="BT1078" s="5">
        <f t="shared" si="141"/>
        <v>52.038260310733605</v>
      </c>
      <c r="BU1078" s="5">
        <f t="shared" si="142"/>
        <v>114.5143394100815</v>
      </c>
      <c r="BV1078" s="5">
        <f t="shared" si="143"/>
        <v>114.5143394100815</v>
      </c>
      <c r="BW1078" s="71">
        <f t="shared" si="144"/>
        <v>200</v>
      </c>
      <c r="BX1078" s="78" cm="1">
        <f t="array" ref="BX1078">IF(BM1078&gt;0,1,_xll.DCETCVN5575FactorPhi7121(BV1078*SQRT($K$17/206000),"b"))</f>
        <v>0.47786839095804584</v>
      </c>
      <c r="BY1078" s="64">
        <f t="shared" si="145"/>
        <v>0.1117368641949054</v>
      </c>
      <c r="BZ1078" s="3" t="str">
        <f t="shared" si="146"/>
        <v>OK</v>
      </c>
    </row>
    <row r="1079" spans="1:78">
      <c r="A1079" s="76"/>
      <c r="B1079" s="76"/>
      <c r="C1079" s="125"/>
      <c r="D1079" s="125"/>
      <c r="E1079" s="71"/>
      <c r="F1079" s="71"/>
      <c r="G1079" s="71"/>
      <c r="H1079" s="126"/>
      <c r="I1079" s="125"/>
      <c r="J1079" s="123"/>
      <c r="K1079" s="12"/>
      <c r="L1079" s="117"/>
      <c r="M1079" s="12"/>
      <c r="N1079" s="117"/>
      <c r="O1079" s="117"/>
      <c r="P1079" s="117"/>
      <c r="Q1079" s="118"/>
      <c r="R1079" s="118"/>
      <c r="S1079" s="118"/>
      <c r="T1079" s="12"/>
      <c r="U1079" s="118"/>
      <c r="V1079" s="118"/>
      <c r="W1079" s="12"/>
      <c r="X1079" s="119"/>
      <c r="Y1079" s="120"/>
      <c r="Z1079" s="12"/>
      <c r="BA1079" s="70" t="s">
        <v>205</v>
      </c>
      <c r="BB1079" s="71" t="s">
        <v>211</v>
      </c>
      <c r="BC1079" s="71" t="s">
        <v>207</v>
      </c>
      <c r="BD1079" s="71">
        <v>5.99</v>
      </c>
      <c r="BE1079" s="71">
        <v>6.85</v>
      </c>
      <c r="BF1079" s="71">
        <v>268</v>
      </c>
      <c r="BG1079" s="71">
        <v>212</v>
      </c>
      <c r="BH1079" s="71">
        <v>5</v>
      </c>
      <c r="BI1079" s="71">
        <v>10</v>
      </c>
      <c r="BJ1079" s="12" t="str" cm="1">
        <f t="array" ref="BJ1079">_xll.Dce_Name_SectI(BF1079, BF1079, BG1079, BH1079, BI1079, "x", "-", $AX$11)</f>
        <v>268x212x5x10</v>
      </c>
      <c r="BK1079" s="77" cm="1">
        <f t="array" ref="BK1079">_xll.DCEPropSectI(BF1079, BH1079, BG1079, BI1079, BG1079, BI1079, "A")/100</f>
        <v>54.8</v>
      </c>
      <c r="BL1079" s="70" t="s">
        <v>217</v>
      </c>
      <c r="BM1079" s="70">
        <v>-61.808735162280591</v>
      </c>
      <c r="BN1079" s="71">
        <v>0.9</v>
      </c>
      <c r="BO1079" s="77">
        <f t="shared" si="139"/>
        <v>6.165</v>
      </c>
      <c r="BP1079" s="71">
        <v>0.9</v>
      </c>
      <c r="BQ1079" s="77">
        <f t="shared" si="140"/>
        <v>6.165</v>
      </c>
      <c r="BR1079" s="77" cm="1">
        <f t="array" ref="BR1079">_xll.DCEPropSectI(BF1079, BH1079, BG1079, BI1079, BG1079, BI1079, "rx")/10</f>
        <v>11.847052463297633</v>
      </c>
      <c r="BS1079" s="77" cm="1">
        <f t="array" ref="BS1079">_xll.DCEPropSectI(BF1079, BH1079, BG1079, BI1079, BG1079, BI1079, "ry")/10</f>
        <v>5.3836052600564113</v>
      </c>
      <c r="BT1079" s="5">
        <f t="shared" si="141"/>
        <v>52.038260310733605</v>
      </c>
      <c r="BU1079" s="5">
        <f t="shared" si="142"/>
        <v>114.5143394100815</v>
      </c>
      <c r="BV1079" s="5">
        <f t="shared" si="143"/>
        <v>114.5143394100815</v>
      </c>
      <c r="BW1079" s="71">
        <f t="shared" si="144"/>
        <v>200</v>
      </c>
      <c r="BX1079" s="78" cm="1">
        <f t="array" ref="BX1079">IF(BM1079&gt;0,1,_xll.DCETCVN5575FactorPhi7121(BV1079*SQRT($K$17/206000),"b"))</f>
        <v>0.47786839095804584</v>
      </c>
      <c r="BY1079" s="64">
        <f t="shared" si="145"/>
        <v>0.11239363014809847</v>
      </c>
      <c r="BZ1079" s="3" t="str">
        <f t="shared" si="146"/>
        <v>OK</v>
      </c>
    </row>
    <row r="1080" spans="1:78">
      <c r="A1080" s="76"/>
      <c r="B1080" s="76"/>
      <c r="C1080" s="125"/>
      <c r="D1080" s="125"/>
      <c r="E1080" s="71"/>
      <c r="F1080" s="71"/>
      <c r="G1080" s="71"/>
      <c r="H1080" s="126"/>
      <c r="I1080" s="125"/>
      <c r="J1080" s="123"/>
      <c r="K1080" s="12"/>
      <c r="L1080" s="117"/>
      <c r="M1080" s="12"/>
      <c r="N1080" s="117"/>
      <c r="O1080" s="117"/>
      <c r="P1080" s="117"/>
      <c r="Q1080" s="118"/>
      <c r="R1080" s="118"/>
      <c r="S1080" s="118"/>
      <c r="T1080" s="12"/>
      <c r="U1080" s="118"/>
      <c r="V1080" s="118"/>
      <c r="W1080" s="12"/>
      <c r="X1080" s="119"/>
      <c r="Y1080" s="120"/>
      <c r="Z1080" s="12"/>
      <c r="BA1080" s="70" t="s">
        <v>205</v>
      </c>
      <c r="BB1080" s="71" t="s">
        <v>211</v>
      </c>
      <c r="BC1080" s="71" t="s">
        <v>207</v>
      </c>
      <c r="BD1080" s="71">
        <v>6.85</v>
      </c>
      <c r="BE1080" s="71">
        <v>6.85</v>
      </c>
      <c r="BF1080" s="71">
        <v>268</v>
      </c>
      <c r="BG1080" s="71">
        <v>212</v>
      </c>
      <c r="BH1080" s="71">
        <v>5</v>
      </c>
      <c r="BI1080" s="71">
        <v>10</v>
      </c>
      <c r="BJ1080" s="12" t="str" cm="1">
        <f t="array" ref="BJ1080">_xll.Dce_Name_SectI(BF1080, BF1080, BG1080, BH1080, BI1080, "x", "-", $AX$11)</f>
        <v>268x212x5x10</v>
      </c>
      <c r="BK1080" s="77" cm="1">
        <f t="array" ref="BK1080">_xll.DCEPropSectI(BF1080, BH1080, BG1080, BI1080, BG1080, BI1080, "A")/100</f>
        <v>54.8</v>
      </c>
      <c r="BL1080" s="70" t="s">
        <v>217</v>
      </c>
      <c r="BM1080" s="70">
        <v>-62.169911083113682</v>
      </c>
      <c r="BN1080" s="71">
        <v>0.9</v>
      </c>
      <c r="BO1080" s="77">
        <f t="shared" si="139"/>
        <v>6.165</v>
      </c>
      <c r="BP1080" s="71">
        <v>0.9</v>
      </c>
      <c r="BQ1080" s="77">
        <f t="shared" si="140"/>
        <v>6.165</v>
      </c>
      <c r="BR1080" s="77" cm="1">
        <f t="array" ref="BR1080">_xll.DCEPropSectI(BF1080, BH1080, BG1080, BI1080, BG1080, BI1080, "rx")/10</f>
        <v>11.847052463297633</v>
      </c>
      <c r="BS1080" s="77" cm="1">
        <f t="array" ref="BS1080">_xll.DCEPropSectI(BF1080, BH1080, BG1080, BI1080, BG1080, BI1080, "ry")/10</f>
        <v>5.3836052600564113</v>
      </c>
      <c r="BT1080" s="5">
        <f t="shared" si="141"/>
        <v>52.038260310733605</v>
      </c>
      <c r="BU1080" s="5">
        <f t="shared" si="142"/>
        <v>114.5143394100815</v>
      </c>
      <c r="BV1080" s="5">
        <f t="shared" si="143"/>
        <v>114.5143394100815</v>
      </c>
      <c r="BW1080" s="71">
        <f t="shared" si="144"/>
        <v>200</v>
      </c>
      <c r="BX1080" s="78" cm="1">
        <f t="array" ref="BX1080">IF(BM1080&gt;0,1,_xll.DCETCVN5575FactorPhi7121(BV1080*SQRT($K$17/206000),"b"))</f>
        <v>0.47786839095804584</v>
      </c>
      <c r="BY1080" s="64">
        <f t="shared" si="145"/>
        <v>0.11305039610129153</v>
      </c>
      <c r="BZ1080" s="3" t="str">
        <f t="shared" si="146"/>
        <v>OK</v>
      </c>
    </row>
    <row r="1081" spans="1:78">
      <c r="A1081" s="76"/>
      <c r="B1081" s="76"/>
      <c r="C1081" s="125"/>
      <c r="D1081" s="125"/>
      <c r="E1081" s="71"/>
      <c r="F1081" s="71"/>
      <c r="G1081" s="71"/>
      <c r="H1081" s="126"/>
      <c r="I1081" s="125"/>
      <c r="J1081" s="123"/>
      <c r="K1081" s="12"/>
      <c r="L1081" s="117"/>
      <c r="M1081" s="12"/>
      <c r="N1081" s="117"/>
      <c r="O1081" s="117"/>
      <c r="P1081" s="117"/>
      <c r="Q1081" s="118"/>
      <c r="R1081" s="118"/>
      <c r="S1081" s="118"/>
      <c r="T1081" s="12"/>
      <c r="U1081" s="118"/>
      <c r="V1081" s="118"/>
      <c r="W1081" s="12"/>
      <c r="X1081" s="119"/>
      <c r="Y1081" s="120"/>
      <c r="Z1081" s="12"/>
      <c r="BA1081" s="70" t="s">
        <v>205</v>
      </c>
      <c r="BB1081" s="71" t="s">
        <v>211</v>
      </c>
      <c r="BC1081" s="71" t="s">
        <v>207</v>
      </c>
      <c r="BD1081" s="71">
        <v>0</v>
      </c>
      <c r="BE1081" s="71">
        <v>6.85</v>
      </c>
      <c r="BF1081" s="71">
        <v>268</v>
      </c>
      <c r="BG1081" s="71">
        <v>212</v>
      </c>
      <c r="BH1081" s="71">
        <v>5</v>
      </c>
      <c r="BI1081" s="71">
        <v>10</v>
      </c>
      <c r="BJ1081" s="12" t="str" cm="1">
        <f t="array" ref="BJ1081">_xll.Dce_Name_SectI(BF1081, BF1081, BG1081, BH1081, BI1081, "x", "-", $AX$11)</f>
        <v>268x212x5x10</v>
      </c>
      <c r="BK1081" s="77" cm="1">
        <f t="array" ref="BK1081">_xll.DCEPropSectI(BF1081, BH1081, BG1081, BI1081, BG1081, BI1081, "A")/100</f>
        <v>54.8</v>
      </c>
      <c r="BL1081" s="70" t="s">
        <v>218</v>
      </c>
      <c r="BM1081" s="70">
        <v>-135.48188957103218</v>
      </c>
      <c r="BN1081" s="71">
        <v>0.9</v>
      </c>
      <c r="BO1081" s="77">
        <f t="shared" si="139"/>
        <v>6.165</v>
      </c>
      <c r="BP1081" s="71">
        <v>0.9</v>
      </c>
      <c r="BQ1081" s="77">
        <f t="shared" si="140"/>
        <v>6.165</v>
      </c>
      <c r="BR1081" s="77" cm="1">
        <f t="array" ref="BR1081">_xll.DCEPropSectI(BF1081, BH1081, BG1081, BI1081, BG1081, BI1081, "rx")/10</f>
        <v>11.847052463297633</v>
      </c>
      <c r="BS1081" s="77" cm="1">
        <f t="array" ref="BS1081">_xll.DCEPropSectI(BF1081, BH1081, BG1081, BI1081, BG1081, BI1081, "ry")/10</f>
        <v>5.3836052600564113</v>
      </c>
      <c r="BT1081" s="5">
        <f t="shared" si="141"/>
        <v>52.038260310733605</v>
      </c>
      <c r="BU1081" s="5">
        <f t="shared" si="142"/>
        <v>114.5143394100815</v>
      </c>
      <c r="BV1081" s="5">
        <f t="shared" si="143"/>
        <v>114.5143394100815</v>
      </c>
      <c r="BW1081" s="71">
        <f t="shared" si="144"/>
        <v>200</v>
      </c>
      <c r="BX1081" s="78" cm="1">
        <f t="array" ref="BX1081">IF(BM1081&gt;0,1,_xll.DCETCVN5575FactorPhi7121(BV1081*SQRT($K$17/206000),"b"))</f>
        <v>0.47786839095804584</v>
      </c>
      <c r="BY1081" s="64">
        <f t="shared" si="145"/>
        <v>0.24636164044179837</v>
      </c>
      <c r="BZ1081" s="3" t="str">
        <f t="shared" si="146"/>
        <v>OK</v>
      </c>
    </row>
    <row r="1082" spans="1:78">
      <c r="A1082" s="76"/>
      <c r="B1082" s="76"/>
      <c r="C1082" s="125"/>
      <c r="D1082" s="125"/>
      <c r="E1082" s="71"/>
      <c r="F1082" s="71"/>
      <c r="G1082" s="71"/>
      <c r="H1082" s="126"/>
      <c r="I1082" s="125"/>
      <c r="J1082" s="123"/>
      <c r="K1082" s="12"/>
      <c r="L1082" s="117"/>
      <c r="M1082" s="12"/>
      <c r="N1082" s="117"/>
      <c r="O1082" s="117"/>
      <c r="P1082" s="117"/>
      <c r="Q1082" s="118"/>
      <c r="R1082" s="118"/>
      <c r="S1082" s="118"/>
      <c r="T1082" s="12"/>
      <c r="U1082" s="118"/>
      <c r="V1082" s="118"/>
      <c r="W1082" s="12"/>
      <c r="X1082" s="119"/>
      <c r="Y1082" s="120"/>
      <c r="Z1082" s="12"/>
      <c r="BA1082" s="70" t="s">
        <v>205</v>
      </c>
      <c r="BB1082" s="71" t="s">
        <v>211</v>
      </c>
      <c r="BC1082" s="71" t="s">
        <v>207</v>
      </c>
      <c r="BD1082" s="71">
        <v>0.86</v>
      </c>
      <c r="BE1082" s="71">
        <v>6.85</v>
      </c>
      <c r="BF1082" s="71">
        <v>268</v>
      </c>
      <c r="BG1082" s="71">
        <v>212</v>
      </c>
      <c r="BH1082" s="71">
        <v>5</v>
      </c>
      <c r="BI1082" s="71">
        <v>10</v>
      </c>
      <c r="BJ1082" s="12" t="str" cm="1">
        <f t="array" ref="BJ1082">_xll.Dce_Name_SectI(BF1082, BF1082, BG1082, BH1082, BI1082, "x", "-", $AX$11)</f>
        <v>268x212x5x10</v>
      </c>
      <c r="BK1082" s="77" cm="1">
        <f t="array" ref="BK1082">_xll.DCEPropSectI(BF1082, BH1082, BG1082, BI1082, BG1082, BI1082, "A")/100</f>
        <v>54.8</v>
      </c>
      <c r="BL1082" s="70" t="s">
        <v>218</v>
      </c>
      <c r="BM1082" s="70">
        <v>-135.84306549186527</v>
      </c>
      <c r="BN1082" s="71">
        <v>0.9</v>
      </c>
      <c r="BO1082" s="77">
        <f t="shared" si="139"/>
        <v>6.165</v>
      </c>
      <c r="BP1082" s="71">
        <v>0.9</v>
      </c>
      <c r="BQ1082" s="77">
        <f t="shared" si="140"/>
        <v>6.165</v>
      </c>
      <c r="BR1082" s="77" cm="1">
        <f t="array" ref="BR1082">_xll.DCEPropSectI(BF1082, BH1082, BG1082, BI1082, BG1082, BI1082, "rx")/10</f>
        <v>11.847052463297633</v>
      </c>
      <c r="BS1082" s="77" cm="1">
        <f t="array" ref="BS1082">_xll.DCEPropSectI(BF1082, BH1082, BG1082, BI1082, BG1082, BI1082, "ry")/10</f>
        <v>5.3836052600564113</v>
      </c>
      <c r="BT1082" s="5">
        <f t="shared" si="141"/>
        <v>52.038260310733605</v>
      </c>
      <c r="BU1082" s="5">
        <f t="shared" si="142"/>
        <v>114.5143394100815</v>
      </c>
      <c r="BV1082" s="5">
        <f t="shared" si="143"/>
        <v>114.5143394100815</v>
      </c>
      <c r="BW1082" s="71">
        <f t="shared" si="144"/>
        <v>200</v>
      </c>
      <c r="BX1082" s="78" cm="1">
        <f t="array" ref="BX1082">IF(BM1082&gt;0,1,_xll.DCETCVN5575FactorPhi7121(BV1082*SQRT($K$17/206000),"b"))</f>
        <v>0.47786839095804584</v>
      </c>
      <c r="BY1082" s="64">
        <f t="shared" si="145"/>
        <v>0.24701840639499145</v>
      </c>
      <c r="BZ1082" s="3" t="str">
        <f t="shared" si="146"/>
        <v>OK</v>
      </c>
    </row>
    <row r="1083" spans="1:78">
      <c r="A1083" s="76"/>
      <c r="B1083" s="76"/>
      <c r="C1083" s="125"/>
      <c r="D1083" s="125"/>
      <c r="E1083" s="71"/>
      <c r="F1083" s="71"/>
      <c r="G1083" s="71"/>
      <c r="H1083" s="126"/>
      <c r="I1083" s="125"/>
      <c r="J1083" s="123"/>
      <c r="K1083" s="12"/>
      <c r="L1083" s="117"/>
      <c r="M1083" s="12"/>
      <c r="N1083" s="117"/>
      <c r="O1083" s="117"/>
      <c r="P1083" s="117"/>
      <c r="Q1083" s="118"/>
      <c r="R1083" s="118"/>
      <c r="S1083" s="118"/>
      <c r="T1083" s="12"/>
      <c r="U1083" s="118"/>
      <c r="V1083" s="118"/>
      <c r="W1083" s="12"/>
      <c r="X1083" s="119"/>
      <c r="Y1083" s="120"/>
      <c r="Z1083" s="12"/>
      <c r="BA1083" s="70" t="s">
        <v>205</v>
      </c>
      <c r="BB1083" s="71" t="s">
        <v>211</v>
      </c>
      <c r="BC1083" s="71" t="s">
        <v>207</v>
      </c>
      <c r="BD1083" s="71">
        <v>1.71</v>
      </c>
      <c r="BE1083" s="71">
        <v>6.85</v>
      </c>
      <c r="BF1083" s="71">
        <v>268</v>
      </c>
      <c r="BG1083" s="71">
        <v>212</v>
      </c>
      <c r="BH1083" s="71">
        <v>5</v>
      </c>
      <c r="BI1083" s="71">
        <v>10</v>
      </c>
      <c r="BJ1083" s="12" t="str" cm="1">
        <f t="array" ref="BJ1083">_xll.Dce_Name_SectI(BF1083, BF1083, BG1083, BH1083, BI1083, "x", "-", $AX$11)</f>
        <v>268x212x5x10</v>
      </c>
      <c r="BK1083" s="77" cm="1">
        <f t="array" ref="BK1083">_xll.DCEPropSectI(BF1083, BH1083, BG1083, BI1083, BG1083, BI1083, "A")/100</f>
        <v>54.8</v>
      </c>
      <c r="BL1083" s="70" t="s">
        <v>218</v>
      </c>
      <c r="BM1083" s="70">
        <v>-136.20424141269837</v>
      </c>
      <c r="BN1083" s="71">
        <v>0.9</v>
      </c>
      <c r="BO1083" s="77">
        <f t="shared" si="139"/>
        <v>6.165</v>
      </c>
      <c r="BP1083" s="71">
        <v>0.9</v>
      </c>
      <c r="BQ1083" s="77">
        <f t="shared" si="140"/>
        <v>6.165</v>
      </c>
      <c r="BR1083" s="77" cm="1">
        <f t="array" ref="BR1083">_xll.DCEPropSectI(BF1083, BH1083, BG1083, BI1083, BG1083, BI1083, "rx")/10</f>
        <v>11.847052463297633</v>
      </c>
      <c r="BS1083" s="77" cm="1">
        <f t="array" ref="BS1083">_xll.DCEPropSectI(BF1083, BH1083, BG1083, BI1083, BG1083, BI1083, "ry")/10</f>
        <v>5.3836052600564113</v>
      </c>
      <c r="BT1083" s="5">
        <f t="shared" si="141"/>
        <v>52.038260310733605</v>
      </c>
      <c r="BU1083" s="5">
        <f t="shared" si="142"/>
        <v>114.5143394100815</v>
      </c>
      <c r="BV1083" s="5">
        <f t="shared" si="143"/>
        <v>114.5143394100815</v>
      </c>
      <c r="BW1083" s="71">
        <f t="shared" si="144"/>
        <v>200</v>
      </c>
      <c r="BX1083" s="78" cm="1">
        <f t="array" ref="BX1083">IF(BM1083&gt;0,1,_xll.DCETCVN5575FactorPhi7121(BV1083*SQRT($K$17/206000),"b"))</f>
        <v>0.47786839095804584</v>
      </c>
      <c r="BY1083" s="64">
        <f t="shared" si="145"/>
        <v>0.24767517234818448</v>
      </c>
      <c r="BZ1083" s="3" t="str">
        <f t="shared" si="146"/>
        <v>OK</v>
      </c>
    </row>
    <row r="1084" spans="1:78">
      <c r="A1084" s="76"/>
      <c r="B1084" s="76"/>
      <c r="C1084" s="125"/>
      <c r="D1084" s="125"/>
      <c r="E1084" s="71"/>
      <c r="F1084" s="71"/>
      <c r="G1084" s="71"/>
      <c r="H1084" s="126"/>
      <c r="I1084" s="125"/>
      <c r="J1084" s="123"/>
      <c r="K1084" s="12"/>
      <c r="L1084" s="117"/>
      <c r="M1084" s="12"/>
      <c r="N1084" s="117"/>
      <c r="O1084" s="117"/>
      <c r="P1084" s="117"/>
      <c r="Q1084" s="118"/>
      <c r="R1084" s="118"/>
      <c r="S1084" s="118"/>
      <c r="T1084" s="12"/>
      <c r="U1084" s="118"/>
      <c r="V1084" s="118"/>
      <c r="W1084" s="12"/>
      <c r="X1084" s="119"/>
      <c r="Y1084" s="120"/>
      <c r="Z1084" s="12"/>
      <c r="BA1084" s="70" t="s">
        <v>205</v>
      </c>
      <c r="BB1084" s="71" t="s">
        <v>211</v>
      </c>
      <c r="BC1084" s="71" t="s">
        <v>207</v>
      </c>
      <c r="BD1084" s="71">
        <v>2.57</v>
      </c>
      <c r="BE1084" s="71">
        <v>6.85</v>
      </c>
      <c r="BF1084" s="71">
        <v>268</v>
      </c>
      <c r="BG1084" s="71">
        <v>212</v>
      </c>
      <c r="BH1084" s="71">
        <v>5</v>
      </c>
      <c r="BI1084" s="71">
        <v>10</v>
      </c>
      <c r="BJ1084" s="12" t="str" cm="1">
        <f t="array" ref="BJ1084">_xll.Dce_Name_SectI(BF1084, BF1084, BG1084, BH1084, BI1084, "x", "-", $AX$11)</f>
        <v>268x212x5x10</v>
      </c>
      <c r="BK1084" s="77" cm="1">
        <f t="array" ref="BK1084">_xll.DCEPropSectI(BF1084, BH1084, BG1084, BI1084, BG1084, BI1084, "A")/100</f>
        <v>54.8</v>
      </c>
      <c r="BL1084" s="70" t="s">
        <v>218</v>
      </c>
      <c r="BM1084" s="70">
        <v>-136.56541733353146</v>
      </c>
      <c r="BN1084" s="71">
        <v>0.9</v>
      </c>
      <c r="BO1084" s="77">
        <f t="shared" si="139"/>
        <v>6.165</v>
      </c>
      <c r="BP1084" s="71">
        <v>0.9</v>
      </c>
      <c r="BQ1084" s="77">
        <f t="shared" si="140"/>
        <v>6.165</v>
      </c>
      <c r="BR1084" s="77" cm="1">
        <f t="array" ref="BR1084">_xll.DCEPropSectI(BF1084, BH1084, BG1084, BI1084, BG1084, BI1084, "rx")/10</f>
        <v>11.847052463297633</v>
      </c>
      <c r="BS1084" s="77" cm="1">
        <f t="array" ref="BS1084">_xll.DCEPropSectI(BF1084, BH1084, BG1084, BI1084, BG1084, BI1084, "ry")/10</f>
        <v>5.3836052600564113</v>
      </c>
      <c r="BT1084" s="5">
        <f t="shared" si="141"/>
        <v>52.038260310733605</v>
      </c>
      <c r="BU1084" s="5">
        <f t="shared" si="142"/>
        <v>114.5143394100815</v>
      </c>
      <c r="BV1084" s="5">
        <f t="shared" si="143"/>
        <v>114.5143394100815</v>
      </c>
      <c r="BW1084" s="71">
        <f t="shared" si="144"/>
        <v>200</v>
      </c>
      <c r="BX1084" s="78" cm="1">
        <f t="array" ref="BX1084">IF(BM1084&gt;0,1,_xll.DCETCVN5575FactorPhi7121(BV1084*SQRT($K$17/206000),"b"))</f>
        <v>0.47786839095804584</v>
      </c>
      <c r="BY1084" s="64">
        <f t="shared" si="145"/>
        <v>0.24833193830137756</v>
      </c>
      <c r="BZ1084" s="3" t="str">
        <f t="shared" si="146"/>
        <v>OK</v>
      </c>
    </row>
    <row r="1085" spans="1:78">
      <c r="A1085" s="76"/>
      <c r="B1085" s="76"/>
      <c r="C1085" s="125"/>
      <c r="D1085" s="125"/>
      <c r="E1085" s="71"/>
      <c r="F1085" s="71"/>
      <c r="G1085" s="71"/>
      <c r="H1085" s="126"/>
      <c r="I1085" s="125"/>
      <c r="J1085" s="123"/>
      <c r="K1085" s="12"/>
      <c r="L1085" s="117"/>
      <c r="M1085" s="12"/>
      <c r="N1085" s="117"/>
      <c r="O1085" s="117"/>
      <c r="P1085" s="117"/>
      <c r="Q1085" s="118"/>
      <c r="R1085" s="118"/>
      <c r="S1085" s="118"/>
      <c r="T1085" s="12"/>
      <c r="U1085" s="118"/>
      <c r="V1085" s="118"/>
      <c r="W1085" s="12"/>
      <c r="X1085" s="119"/>
      <c r="Y1085" s="120"/>
      <c r="Z1085" s="12"/>
      <c r="BA1085" s="70" t="s">
        <v>205</v>
      </c>
      <c r="BB1085" s="71" t="s">
        <v>211</v>
      </c>
      <c r="BC1085" s="71" t="s">
        <v>207</v>
      </c>
      <c r="BD1085" s="71">
        <v>3.42</v>
      </c>
      <c r="BE1085" s="71">
        <v>6.85</v>
      </c>
      <c r="BF1085" s="71">
        <v>268</v>
      </c>
      <c r="BG1085" s="71">
        <v>212</v>
      </c>
      <c r="BH1085" s="71">
        <v>5</v>
      </c>
      <c r="BI1085" s="71">
        <v>10</v>
      </c>
      <c r="BJ1085" s="12" t="str" cm="1">
        <f t="array" ref="BJ1085">_xll.Dce_Name_SectI(BF1085, BF1085, BG1085, BH1085, BI1085, "x", "-", $AX$11)</f>
        <v>268x212x5x10</v>
      </c>
      <c r="BK1085" s="77" cm="1">
        <f t="array" ref="BK1085">_xll.DCEPropSectI(BF1085, BH1085, BG1085, BI1085, BG1085, BI1085, "A")/100</f>
        <v>54.8</v>
      </c>
      <c r="BL1085" s="70" t="s">
        <v>218</v>
      </c>
      <c r="BM1085" s="70">
        <v>-136.92659325436455</v>
      </c>
      <c r="BN1085" s="71">
        <v>0.9</v>
      </c>
      <c r="BO1085" s="77">
        <f t="shared" si="139"/>
        <v>6.165</v>
      </c>
      <c r="BP1085" s="71">
        <v>0.9</v>
      </c>
      <c r="BQ1085" s="77">
        <f t="shared" si="140"/>
        <v>6.165</v>
      </c>
      <c r="BR1085" s="77" cm="1">
        <f t="array" ref="BR1085">_xll.DCEPropSectI(BF1085, BH1085, BG1085, BI1085, BG1085, BI1085, "rx")/10</f>
        <v>11.847052463297633</v>
      </c>
      <c r="BS1085" s="77" cm="1">
        <f t="array" ref="BS1085">_xll.DCEPropSectI(BF1085, BH1085, BG1085, BI1085, BG1085, BI1085, "ry")/10</f>
        <v>5.3836052600564113</v>
      </c>
      <c r="BT1085" s="5">
        <f t="shared" si="141"/>
        <v>52.038260310733605</v>
      </c>
      <c r="BU1085" s="5">
        <f t="shared" si="142"/>
        <v>114.5143394100815</v>
      </c>
      <c r="BV1085" s="5">
        <f t="shared" si="143"/>
        <v>114.5143394100815</v>
      </c>
      <c r="BW1085" s="71">
        <f t="shared" si="144"/>
        <v>200</v>
      </c>
      <c r="BX1085" s="78" cm="1">
        <f t="array" ref="BX1085">IF(BM1085&gt;0,1,_xll.DCETCVN5575FactorPhi7121(BV1085*SQRT($K$17/206000),"b"))</f>
        <v>0.47786839095804584</v>
      </c>
      <c r="BY1085" s="64">
        <f t="shared" si="145"/>
        <v>0.24898870425457062</v>
      </c>
      <c r="BZ1085" s="3" t="str">
        <f t="shared" si="146"/>
        <v>OK</v>
      </c>
    </row>
    <row r="1086" spans="1:78">
      <c r="A1086" s="76"/>
      <c r="B1086" s="76"/>
      <c r="C1086" s="125"/>
      <c r="D1086" s="125"/>
      <c r="E1086" s="71"/>
      <c r="F1086" s="71"/>
      <c r="G1086" s="71"/>
      <c r="H1086" s="126"/>
      <c r="I1086" s="125"/>
      <c r="J1086" s="123"/>
      <c r="K1086" s="12"/>
      <c r="L1086" s="117"/>
      <c r="M1086" s="12"/>
      <c r="N1086" s="117"/>
      <c r="O1086" s="117"/>
      <c r="P1086" s="117"/>
      <c r="Q1086" s="118"/>
      <c r="R1086" s="118"/>
      <c r="S1086" s="118"/>
      <c r="T1086" s="12"/>
      <c r="U1086" s="118"/>
      <c r="V1086" s="118"/>
      <c r="W1086" s="12"/>
      <c r="X1086" s="119"/>
      <c r="Y1086" s="120"/>
      <c r="Z1086" s="12"/>
      <c r="BA1086" s="70" t="s">
        <v>205</v>
      </c>
      <c r="BB1086" s="71" t="s">
        <v>211</v>
      </c>
      <c r="BC1086" s="71" t="s">
        <v>207</v>
      </c>
      <c r="BD1086" s="71">
        <v>4.28</v>
      </c>
      <c r="BE1086" s="71">
        <v>6.85</v>
      </c>
      <c r="BF1086" s="71">
        <v>268</v>
      </c>
      <c r="BG1086" s="71">
        <v>212</v>
      </c>
      <c r="BH1086" s="71">
        <v>5</v>
      </c>
      <c r="BI1086" s="71">
        <v>10</v>
      </c>
      <c r="BJ1086" s="12" t="str" cm="1">
        <f t="array" ref="BJ1086">_xll.Dce_Name_SectI(BF1086, BF1086, BG1086, BH1086, BI1086, "x", "-", $AX$11)</f>
        <v>268x212x5x10</v>
      </c>
      <c r="BK1086" s="77" cm="1">
        <f t="array" ref="BK1086">_xll.DCEPropSectI(BF1086, BH1086, BG1086, BI1086, BG1086, BI1086, "A")/100</f>
        <v>54.8</v>
      </c>
      <c r="BL1086" s="70" t="s">
        <v>218</v>
      </c>
      <c r="BM1086" s="70">
        <v>-137.28776917519764</v>
      </c>
      <c r="BN1086" s="71">
        <v>0.9</v>
      </c>
      <c r="BO1086" s="77">
        <f t="shared" si="139"/>
        <v>6.165</v>
      </c>
      <c r="BP1086" s="71">
        <v>0.9</v>
      </c>
      <c r="BQ1086" s="77">
        <f t="shared" si="140"/>
        <v>6.165</v>
      </c>
      <c r="BR1086" s="77" cm="1">
        <f t="array" ref="BR1086">_xll.DCEPropSectI(BF1086, BH1086, BG1086, BI1086, BG1086, BI1086, "rx")/10</f>
        <v>11.847052463297633</v>
      </c>
      <c r="BS1086" s="77" cm="1">
        <f t="array" ref="BS1086">_xll.DCEPropSectI(BF1086, BH1086, BG1086, BI1086, BG1086, BI1086, "ry")/10</f>
        <v>5.3836052600564113</v>
      </c>
      <c r="BT1086" s="5">
        <f t="shared" si="141"/>
        <v>52.038260310733605</v>
      </c>
      <c r="BU1086" s="5">
        <f t="shared" si="142"/>
        <v>114.5143394100815</v>
      </c>
      <c r="BV1086" s="5">
        <f t="shared" si="143"/>
        <v>114.5143394100815</v>
      </c>
      <c r="BW1086" s="71">
        <f t="shared" si="144"/>
        <v>200</v>
      </c>
      <c r="BX1086" s="78" cm="1">
        <f t="array" ref="BX1086">IF(BM1086&gt;0,1,_xll.DCETCVN5575FactorPhi7121(BV1086*SQRT($K$17/206000),"b"))</f>
        <v>0.47786839095804584</v>
      </c>
      <c r="BY1086" s="64">
        <f t="shared" si="145"/>
        <v>0.2496454702077637</v>
      </c>
      <c r="BZ1086" s="3" t="str">
        <f t="shared" si="146"/>
        <v>OK</v>
      </c>
    </row>
    <row r="1087" spans="1:78">
      <c r="A1087" s="76"/>
      <c r="B1087" s="76"/>
      <c r="C1087" s="125"/>
      <c r="D1087" s="125"/>
      <c r="E1087" s="71"/>
      <c r="F1087" s="71"/>
      <c r="G1087" s="71"/>
      <c r="H1087" s="126"/>
      <c r="I1087" s="125"/>
      <c r="J1087" s="123"/>
      <c r="K1087" s="12"/>
      <c r="L1087" s="117"/>
      <c r="M1087" s="12"/>
      <c r="N1087" s="117"/>
      <c r="O1087" s="117"/>
      <c r="P1087" s="117"/>
      <c r="Q1087" s="118"/>
      <c r="R1087" s="118"/>
      <c r="S1087" s="118"/>
      <c r="T1087" s="12"/>
      <c r="U1087" s="118"/>
      <c r="V1087" s="118"/>
      <c r="W1087" s="12"/>
      <c r="X1087" s="119"/>
      <c r="Y1087" s="120"/>
      <c r="Z1087" s="12"/>
      <c r="BA1087" s="70" t="s">
        <v>205</v>
      </c>
      <c r="BB1087" s="71" t="s">
        <v>211</v>
      </c>
      <c r="BC1087" s="71" t="s">
        <v>207</v>
      </c>
      <c r="BD1087" s="71">
        <v>5.14</v>
      </c>
      <c r="BE1087" s="71">
        <v>6.85</v>
      </c>
      <c r="BF1087" s="71">
        <v>268</v>
      </c>
      <c r="BG1087" s="71">
        <v>212</v>
      </c>
      <c r="BH1087" s="71">
        <v>5</v>
      </c>
      <c r="BI1087" s="71">
        <v>10</v>
      </c>
      <c r="BJ1087" s="12" t="str" cm="1">
        <f t="array" ref="BJ1087">_xll.Dce_Name_SectI(BF1087, BF1087, BG1087, BH1087, BI1087, "x", "-", $AX$11)</f>
        <v>268x212x5x10</v>
      </c>
      <c r="BK1087" s="77" cm="1">
        <f t="array" ref="BK1087">_xll.DCEPropSectI(BF1087, BH1087, BG1087, BI1087, BG1087, BI1087, "A")/100</f>
        <v>54.8</v>
      </c>
      <c r="BL1087" s="70" t="s">
        <v>218</v>
      </c>
      <c r="BM1087" s="70">
        <v>-137.64894509603073</v>
      </c>
      <c r="BN1087" s="71">
        <v>0.9</v>
      </c>
      <c r="BO1087" s="77">
        <f t="shared" si="139"/>
        <v>6.165</v>
      </c>
      <c r="BP1087" s="71">
        <v>0.9</v>
      </c>
      <c r="BQ1087" s="77">
        <f t="shared" si="140"/>
        <v>6.165</v>
      </c>
      <c r="BR1087" s="77" cm="1">
        <f t="array" ref="BR1087">_xll.DCEPropSectI(BF1087, BH1087, BG1087, BI1087, BG1087, BI1087, "rx")/10</f>
        <v>11.847052463297633</v>
      </c>
      <c r="BS1087" s="77" cm="1">
        <f t="array" ref="BS1087">_xll.DCEPropSectI(BF1087, BH1087, BG1087, BI1087, BG1087, BI1087, "ry")/10</f>
        <v>5.3836052600564113</v>
      </c>
      <c r="BT1087" s="5">
        <f t="shared" si="141"/>
        <v>52.038260310733605</v>
      </c>
      <c r="BU1087" s="5">
        <f t="shared" si="142"/>
        <v>114.5143394100815</v>
      </c>
      <c r="BV1087" s="5">
        <f t="shared" si="143"/>
        <v>114.5143394100815</v>
      </c>
      <c r="BW1087" s="71">
        <f t="shared" si="144"/>
        <v>200</v>
      </c>
      <c r="BX1087" s="78" cm="1">
        <f t="array" ref="BX1087">IF(BM1087&gt;0,1,_xll.DCETCVN5575FactorPhi7121(BV1087*SQRT($K$17/206000),"b"))</f>
        <v>0.47786839095804584</v>
      </c>
      <c r="BY1087" s="64">
        <f t="shared" si="145"/>
        <v>0.25030223616095681</v>
      </c>
      <c r="BZ1087" s="3" t="str">
        <f t="shared" si="146"/>
        <v>OK</v>
      </c>
    </row>
    <row r="1088" spans="1:78">
      <c r="A1088" s="76"/>
      <c r="B1088" s="76"/>
      <c r="C1088" s="125"/>
      <c r="D1088" s="125"/>
      <c r="E1088" s="71"/>
      <c r="F1088" s="71"/>
      <c r="G1088" s="71"/>
      <c r="H1088" s="126"/>
      <c r="I1088" s="125"/>
      <c r="J1088" s="123"/>
      <c r="K1088" s="12"/>
      <c r="L1088" s="117"/>
      <c r="M1088" s="12"/>
      <c r="N1088" s="117"/>
      <c r="O1088" s="117"/>
      <c r="P1088" s="117"/>
      <c r="Q1088" s="118"/>
      <c r="R1088" s="118"/>
      <c r="S1088" s="118"/>
      <c r="T1088" s="12"/>
      <c r="U1088" s="118"/>
      <c r="V1088" s="118"/>
      <c r="W1088" s="12"/>
      <c r="X1088" s="119"/>
      <c r="Y1088" s="120"/>
      <c r="Z1088" s="12"/>
      <c r="BA1088" s="70" t="s">
        <v>205</v>
      </c>
      <c r="BB1088" s="71" t="s">
        <v>211</v>
      </c>
      <c r="BC1088" s="71" t="s">
        <v>207</v>
      </c>
      <c r="BD1088" s="71">
        <v>5.99</v>
      </c>
      <c r="BE1088" s="71">
        <v>6.85</v>
      </c>
      <c r="BF1088" s="71">
        <v>268</v>
      </c>
      <c r="BG1088" s="71">
        <v>212</v>
      </c>
      <c r="BH1088" s="71">
        <v>5</v>
      </c>
      <c r="BI1088" s="71">
        <v>10</v>
      </c>
      <c r="BJ1088" s="12" t="str" cm="1">
        <f t="array" ref="BJ1088">_xll.Dce_Name_SectI(BF1088, BF1088, BG1088, BH1088, BI1088, "x", "-", $AX$11)</f>
        <v>268x212x5x10</v>
      </c>
      <c r="BK1088" s="77" cm="1">
        <f t="array" ref="BK1088">_xll.DCEPropSectI(BF1088, BH1088, BG1088, BI1088, BG1088, BI1088, "A")/100</f>
        <v>54.8</v>
      </c>
      <c r="BL1088" s="70" t="s">
        <v>218</v>
      </c>
      <c r="BM1088" s="70">
        <v>-138.01012101686382</v>
      </c>
      <c r="BN1088" s="71">
        <v>0.9</v>
      </c>
      <c r="BO1088" s="77">
        <f t="shared" si="139"/>
        <v>6.165</v>
      </c>
      <c r="BP1088" s="71">
        <v>0.9</v>
      </c>
      <c r="BQ1088" s="77">
        <f t="shared" si="140"/>
        <v>6.165</v>
      </c>
      <c r="BR1088" s="77" cm="1">
        <f t="array" ref="BR1088">_xll.DCEPropSectI(BF1088, BH1088, BG1088, BI1088, BG1088, BI1088, "rx")/10</f>
        <v>11.847052463297633</v>
      </c>
      <c r="BS1088" s="77" cm="1">
        <f t="array" ref="BS1088">_xll.DCEPropSectI(BF1088, BH1088, BG1088, BI1088, BG1088, BI1088, "ry")/10</f>
        <v>5.3836052600564113</v>
      </c>
      <c r="BT1088" s="5">
        <f t="shared" si="141"/>
        <v>52.038260310733605</v>
      </c>
      <c r="BU1088" s="5">
        <f t="shared" si="142"/>
        <v>114.5143394100815</v>
      </c>
      <c r="BV1088" s="5">
        <f t="shared" si="143"/>
        <v>114.5143394100815</v>
      </c>
      <c r="BW1088" s="71">
        <f t="shared" si="144"/>
        <v>200</v>
      </c>
      <c r="BX1088" s="78" cm="1">
        <f t="array" ref="BX1088">IF(BM1088&gt;0,1,_xll.DCETCVN5575FactorPhi7121(BV1088*SQRT($K$17/206000),"b"))</f>
        <v>0.47786839095804584</v>
      </c>
      <c r="BY1088" s="64">
        <f t="shared" si="145"/>
        <v>0.25095900211414984</v>
      </c>
      <c r="BZ1088" s="3" t="str">
        <f t="shared" si="146"/>
        <v>OK</v>
      </c>
    </row>
    <row r="1089" spans="1:78">
      <c r="A1089" s="76"/>
      <c r="B1089" s="76"/>
      <c r="C1089" s="125"/>
      <c r="D1089" s="125"/>
      <c r="E1089" s="71"/>
      <c r="F1089" s="71"/>
      <c r="G1089" s="71"/>
      <c r="H1089" s="126"/>
      <c r="I1089" s="125"/>
      <c r="J1089" s="123"/>
      <c r="K1089" s="12"/>
      <c r="L1089" s="117"/>
      <c r="M1089" s="12"/>
      <c r="N1089" s="117"/>
      <c r="O1089" s="117"/>
      <c r="P1089" s="117"/>
      <c r="Q1089" s="118"/>
      <c r="R1089" s="118"/>
      <c r="S1089" s="118"/>
      <c r="T1089" s="12"/>
      <c r="U1089" s="118"/>
      <c r="V1089" s="118"/>
      <c r="W1089" s="12"/>
      <c r="X1089" s="119"/>
      <c r="Y1089" s="120"/>
      <c r="Z1089" s="12"/>
      <c r="BA1089" s="70" t="s">
        <v>205</v>
      </c>
      <c r="BB1089" s="71" t="s">
        <v>211</v>
      </c>
      <c r="BC1089" s="71" t="s">
        <v>207</v>
      </c>
      <c r="BD1089" s="71">
        <v>6.85</v>
      </c>
      <c r="BE1089" s="71">
        <v>6.85</v>
      </c>
      <c r="BF1089" s="71">
        <v>268</v>
      </c>
      <c r="BG1089" s="71">
        <v>212</v>
      </c>
      <c r="BH1089" s="71">
        <v>5</v>
      </c>
      <c r="BI1089" s="71">
        <v>10</v>
      </c>
      <c r="BJ1089" s="12" t="str" cm="1">
        <f t="array" ref="BJ1089">_xll.Dce_Name_SectI(BF1089, BF1089, BG1089, BH1089, BI1089, "x", "-", $AX$11)</f>
        <v>268x212x5x10</v>
      </c>
      <c r="BK1089" s="77" cm="1">
        <f t="array" ref="BK1089">_xll.DCEPropSectI(BF1089, BH1089, BG1089, BI1089, BG1089, BI1089, "A")/100</f>
        <v>54.8</v>
      </c>
      <c r="BL1089" s="70" t="s">
        <v>218</v>
      </c>
      <c r="BM1089" s="70">
        <v>-138.37129693769691</v>
      </c>
      <c r="BN1089" s="71">
        <v>0.9</v>
      </c>
      <c r="BO1089" s="77">
        <f t="shared" si="139"/>
        <v>6.165</v>
      </c>
      <c r="BP1089" s="71">
        <v>0.9</v>
      </c>
      <c r="BQ1089" s="77">
        <f t="shared" si="140"/>
        <v>6.165</v>
      </c>
      <c r="BR1089" s="77" cm="1">
        <f t="array" ref="BR1089">_xll.DCEPropSectI(BF1089, BH1089, BG1089, BI1089, BG1089, BI1089, "rx")/10</f>
        <v>11.847052463297633</v>
      </c>
      <c r="BS1089" s="77" cm="1">
        <f t="array" ref="BS1089">_xll.DCEPropSectI(BF1089, BH1089, BG1089, BI1089, BG1089, BI1089, "ry")/10</f>
        <v>5.3836052600564113</v>
      </c>
      <c r="BT1089" s="5">
        <f t="shared" si="141"/>
        <v>52.038260310733605</v>
      </c>
      <c r="BU1089" s="5">
        <f t="shared" si="142"/>
        <v>114.5143394100815</v>
      </c>
      <c r="BV1089" s="5">
        <f t="shared" si="143"/>
        <v>114.5143394100815</v>
      </c>
      <c r="BW1089" s="71">
        <f t="shared" si="144"/>
        <v>200</v>
      </c>
      <c r="BX1089" s="78" cm="1">
        <f t="array" ref="BX1089">IF(BM1089&gt;0,1,_xll.DCETCVN5575FactorPhi7121(BV1089*SQRT($K$17/206000),"b"))</f>
        <v>0.47786839095804584</v>
      </c>
      <c r="BY1089" s="64">
        <f t="shared" si="145"/>
        <v>0.25161576806734293</v>
      </c>
      <c r="BZ1089" s="3" t="str">
        <f t="shared" si="146"/>
        <v>OK</v>
      </c>
    </row>
    <row r="1090" spans="1:78">
      <c r="A1090" s="76"/>
      <c r="B1090" s="76"/>
      <c r="C1090" s="125"/>
      <c r="D1090" s="125"/>
      <c r="E1090" s="71"/>
      <c r="F1090" s="71"/>
      <c r="G1090" s="71"/>
      <c r="H1090" s="126"/>
      <c r="I1090" s="125"/>
      <c r="J1090" s="123"/>
      <c r="K1090" s="12"/>
      <c r="L1090" s="117"/>
      <c r="M1090" s="12"/>
      <c r="N1090" s="117"/>
      <c r="O1090" s="117"/>
      <c r="P1090" s="117"/>
      <c r="Q1090" s="118"/>
      <c r="R1090" s="118"/>
      <c r="S1090" s="118"/>
      <c r="T1090" s="12"/>
      <c r="U1090" s="118"/>
      <c r="V1090" s="118"/>
      <c r="W1090" s="12"/>
      <c r="X1090" s="119"/>
      <c r="Y1090" s="120"/>
      <c r="Z1090" s="12"/>
      <c r="BA1090" s="70" t="s">
        <v>205</v>
      </c>
      <c r="BB1090" s="71" t="s">
        <v>211</v>
      </c>
      <c r="BC1090" s="71" t="s">
        <v>207</v>
      </c>
      <c r="BD1090" s="71">
        <v>0</v>
      </c>
      <c r="BE1090" s="71">
        <v>6.85</v>
      </c>
      <c r="BF1090" s="71">
        <v>268</v>
      </c>
      <c r="BG1090" s="71">
        <v>212</v>
      </c>
      <c r="BH1090" s="71">
        <v>5</v>
      </c>
      <c r="BI1090" s="71">
        <v>10</v>
      </c>
      <c r="BJ1090" s="12" t="str" cm="1">
        <f t="array" ref="BJ1090">_xll.Dce_Name_SectI(BF1090, BF1090, BG1090, BH1090, BI1090, "x", "-", $AX$11)</f>
        <v>268x212x5x10</v>
      </c>
      <c r="BK1090" s="77" cm="1">
        <f t="array" ref="BK1090">_xll.DCEPropSectI(BF1090, BH1090, BG1090, BI1090, BG1090, BI1090, "A")/100</f>
        <v>54.8</v>
      </c>
      <c r="BL1090" s="70" t="s">
        <v>219</v>
      </c>
      <c r="BM1090" s="70">
        <v>-48.124174367169047</v>
      </c>
      <c r="BN1090" s="71">
        <v>0.9</v>
      </c>
      <c r="BO1090" s="77">
        <f t="shared" si="139"/>
        <v>6.165</v>
      </c>
      <c r="BP1090" s="71">
        <v>0.9</v>
      </c>
      <c r="BQ1090" s="77">
        <f t="shared" si="140"/>
        <v>6.165</v>
      </c>
      <c r="BR1090" s="77" cm="1">
        <f t="array" ref="BR1090">_xll.DCEPropSectI(BF1090, BH1090, BG1090, BI1090, BG1090, BI1090, "rx")/10</f>
        <v>11.847052463297633</v>
      </c>
      <c r="BS1090" s="77" cm="1">
        <f t="array" ref="BS1090">_xll.DCEPropSectI(BF1090, BH1090, BG1090, BI1090, BG1090, BI1090, "ry")/10</f>
        <v>5.3836052600564113</v>
      </c>
      <c r="BT1090" s="5">
        <f t="shared" si="141"/>
        <v>52.038260310733605</v>
      </c>
      <c r="BU1090" s="5">
        <f t="shared" si="142"/>
        <v>114.5143394100815</v>
      </c>
      <c r="BV1090" s="5">
        <f t="shared" si="143"/>
        <v>114.5143394100815</v>
      </c>
      <c r="BW1090" s="71">
        <f t="shared" si="144"/>
        <v>200</v>
      </c>
      <c r="BX1090" s="78" cm="1">
        <f t="array" ref="BX1090">IF(BM1090&gt;0,1,_xll.DCETCVN5575FactorPhi7121(BV1090*SQRT($K$17/206000),"b"))</f>
        <v>0.47786839095804584</v>
      </c>
      <c r="BY1090" s="64">
        <f t="shared" si="145"/>
        <v>8.7509486172223178E-2</v>
      </c>
      <c r="BZ1090" s="3" t="str">
        <f t="shared" si="146"/>
        <v>OK</v>
      </c>
    </row>
    <row r="1091" spans="1:78">
      <c r="A1091" s="76"/>
      <c r="B1091" s="76"/>
      <c r="C1091" s="125"/>
      <c r="D1091" s="125"/>
      <c r="E1091" s="71"/>
      <c r="F1091" s="71"/>
      <c r="G1091" s="71"/>
      <c r="H1091" s="126"/>
      <c r="I1091" s="125"/>
      <c r="J1091" s="123"/>
      <c r="K1091" s="12"/>
      <c r="L1091" s="117"/>
      <c r="M1091" s="12"/>
      <c r="N1091" s="117"/>
      <c r="O1091" s="117"/>
      <c r="P1091" s="117"/>
      <c r="Q1091" s="118"/>
      <c r="R1091" s="118"/>
      <c r="S1091" s="118"/>
      <c r="T1091" s="12"/>
      <c r="U1091" s="118"/>
      <c r="V1091" s="118"/>
      <c r="W1091" s="12"/>
      <c r="X1091" s="119"/>
      <c r="Y1091" s="120"/>
      <c r="Z1091" s="12"/>
      <c r="BA1091" s="70" t="s">
        <v>205</v>
      </c>
      <c r="BB1091" s="71" t="s">
        <v>211</v>
      </c>
      <c r="BC1091" s="71" t="s">
        <v>207</v>
      </c>
      <c r="BD1091" s="71">
        <v>0.86</v>
      </c>
      <c r="BE1091" s="71">
        <v>6.85</v>
      </c>
      <c r="BF1091" s="71">
        <v>268</v>
      </c>
      <c r="BG1091" s="71">
        <v>212</v>
      </c>
      <c r="BH1091" s="71">
        <v>5</v>
      </c>
      <c r="BI1091" s="71">
        <v>10</v>
      </c>
      <c r="BJ1091" s="12" t="str" cm="1">
        <f t="array" ref="BJ1091">_xll.Dce_Name_SectI(BF1091, BF1091, BG1091, BH1091, BI1091, "x", "-", $AX$11)</f>
        <v>268x212x5x10</v>
      </c>
      <c r="BK1091" s="77" cm="1">
        <f t="array" ref="BK1091">_xll.DCEPropSectI(BF1091, BH1091, BG1091, BI1091, BG1091, BI1091, "A")/100</f>
        <v>54.8</v>
      </c>
      <c r="BL1091" s="70" t="s">
        <v>219</v>
      </c>
      <c r="BM1091" s="70">
        <v>-48.485350288002138</v>
      </c>
      <c r="BN1091" s="71">
        <v>0.9</v>
      </c>
      <c r="BO1091" s="77">
        <f t="shared" si="139"/>
        <v>6.165</v>
      </c>
      <c r="BP1091" s="71">
        <v>0.9</v>
      </c>
      <c r="BQ1091" s="77">
        <f t="shared" si="140"/>
        <v>6.165</v>
      </c>
      <c r="BR1091" s="77" cm="1">
        <f t="array" ref="BR1091">_xll.DCEPropSectI(BF1091, BH1091, BG1091, BI1091, BG1091, BI1091, "rx")/10</f>
        <v>11.847052463297633</v>
      </c>
      <c r="BS1091" s="77" cm="1">
        <f t="array" ref="BS1091">_xll.DCEPropSectI(BF1091, BH1091, BG1091, BI1091, BG1091, BI1091, "ry")/10</f>
        <v>5.3836052600564113</v>
      </c>
      <c r="BT1091" s="5">
        <f t="shared" si="141"/>
        <v>52.038260310733605</v>
      </c>
      <c r="BU1091" s="5">
        <f t="shared" si="142"/>
        <v>114.5143394100815</v>
      </c>
      <c r="BV1091" s="5">
        <f t="shared" si="143"/>
        <v>114.5143394100815</v>
      </c>
      <c r="BW1091" s="71">
        <f t="shared" si="144"/>
        <v>200</v>
      </c>
      <c r="BX1091" s="78" cm="1">
        <f t="array" ref="BX1091">IF(BM1091&gt;0,1,_xll.DCETCVN5575FactorPhi7121(BV1091*SQRT($K$17/206000),"b"))</f>
        <v>0.47786839095804584</v>
      </c>
      <c r="BY1091" s="64">
        <f t="shared" si="145"/>
        <v>8.8166252125416261E-2</v>
      </c>
      <c r="BZ1091" s="3" t="str">
        <f t="shared" si="146"/>
        <v>OK</v>
      </c>
    </row>
    <row r="1092" spans="1:78">
      <c r="A1092" s="76"/>
      <c r="B1092" s="76"/>
      <c r="C1092" s="125"/>
      <c r="D1092" s="125"/>
      <c r="E1092" s="71"/>
      <c r="F1092" s="71"/>
      <c r="G1092" s="71"/>
      <c r="H1092" s="126"/>
      <c r="I1092" s="125"/>
      <c r="J1092" s="123"/>
      <c r="K1092" s="12"/>
      <c r="L1092" s="117"/>
      <c r="M1092" s="12"/>
      <c r="N1092" s="117"/>
      <c r="O1092" s="117"/>
      <c r="P1092" s="117"/>
      <c r="Q1092" s="118"/>
      <c r="R1092" s="118"/>
      <c r="S1092" s="118"/>
      <c r="T1092" s="12"/>
      <c r="U1092" s="118"/>
      <c r="V1092" s="118"/>
      <c r="W1092" s="12"/>
      <c r="X1092" s="119"/>
      <c r="Y1092" s="120"/>
      <c r="Z1092" s="12"/>
      <c r="BA1092" s="70" t="s">
        <v>205</v>
      </c>
      <c r="BB1092" s="71" t="s">
        <v>211</v>
      </c>
      <c r="BC1092" s="71" t="s">
        <v>207</v>
      </c>
      <c r="BD1092" s="71">
        <v>1.71</v>
      </c>
      <c r="BE1092" s="71">
        <v>6.85</v>
      </c>
      <c r="BF1092" s="71">
        <v>268</v>
      </c>
      <c r="BG1092" s="71">
        <v>212</v>
      </c>
      <c r="BH1092" s="71">
        <v>5</v>
      </c>
      <c r="BI1092" s="71">
        <v>10</v>
      </c>
      <c r="BJ1092" s="12" t="str" cm="1">
        <f t="array" ref="BJ1092">_xll.Dce_Name_SectI(BF1092, BF1092, BG1092, BH1092, BI1092, "x", "-", $AX$11)</f>
        <v>268x212x5x10</v>
      </c>
      <c r="BK1092" s="77" cm="1">
        <f t="array" ref="BK1092">_xll.DCEPropSectI(BF1092, BH1092, BG1092, BI1092, BG1092, BI1092, "A")/100</f>
        <v>54.8</v>
      </c>
      <c r="BL1092" s="70" t="s">
        <v>219</v>
      </c>
      <c r="BM1092" s="70">
        <v>-48.846526208835229</v>
      </c>
      <c r="BN1092" s="71">
        <v>0.9</v>
      </c>
      <c r="BO1092" s="77">
        <f t="shared" si="139"/>
        <v>6.165</v>
      </c>
      <c r="BP1092" s="71">
        <v>0.9</v>
      </c>
      <c r="BQ1092" s="77">
        <f t="shared" si="140"/>
        <v>6.165</v>
      </c>
      <c r="BR1092" s="77" cm="1">
        <f t="array" ref="BR1092">_xll.DCEPropSectI(BF1092, BH1092, BG1092, BI1092, BG1092, BI1092, "rx")/10</f>
        <v>11.847052463297633</v>
      </c>
      <c r="BS1092" s="77" cm="1">
        <f t="array" ref="BS1092">_xll.DCEPropSectI(BF1092, BH1092, BG1092, BI1092, BG1092, BI1092, "ry")/10</f>
        <v>5.3836052600564113</v>
      </c>
      <c r="BT1092" s="5">
        <f t="shared" si="141"/>
        <v>52.038260310733605</v>
      </c>
      <c r="BU1092" s="5">
        <f t="shared" si="142"/>
        <v>114.5143394100815</v>
      </c>
      <c r="BV1092" s="5">
        <f t="shared" si="143"/>
        <v>114.5143394100815</v>
      </c>
      <c r="BW1092" s="71">
        <f t="shared" si="144"/>
        <v>200</v>
      </c>
      <c r="BX1092" s="78" cm="1">
        <f t="array" ref="BX1092">IF(BM1092&gt;0,1,_xll.DCETCVN5575FactorPhi7121(BV1092*SQRT($K$17/206000),"b"))</f>
        <v>0.47786839095804584</v>
      </c>
      <c r="BY1092" s="64">
        <f t="shared" si="145"/>
        <v>8.8823018078609331E-2</v>
      </c>
      <c r="BZ1092" s="3" t="str">
        <f t="shared" si="146"/>
        <v>OK</v>
      </c>
    </row>
    <row r="1093" spans="1:78">
      <c r="A1093" s="76"/>
      <c r="B1093" s="76"/>
      <c r="C1093" s="125"/>
      <c r="D1093" s="125"/>
      <c r="E1093" s="71"/>
      <c r="F1093" s="71"/>
      <c r="G1093" s="71"/>
      <c r="H1093" s="126"/>
      <c r="I1093" s="125"/>
      <c r="J1093" s="123"/>
      <c r="K1093" s="12"/>
      <c r="L1093" s="117"/>
      <c r="M1093" s="12"/>
      <c r="N1093" s="117"/>
      <c r="O1093" s="117"/>
      <c r="P1093" s="117"/>
      <c r="Q1093" s="118"/>
      <c r="R1093" s="118"/>
      <c r="S1093" s="118"/>
      <c r="T1093" s="12"/>
      <c r="U1093" s="118"/>
      <c r="V1093" s="118"/>
      <c r="W1093" s="12"/>
      <c r="X1093" s="119"/>
      <c r="Y1093" s="120"/>
      <c r="Z1093" s="12"/>
      <c r="BA1093" s="70" t="s">
        <v>205</v>
      </c>
      <c r="BB1093" s="71" t="s">
        <v>211</v>
      </c>
      <c r="BC1093" s="71" t="s">
        <v>207</v>
      </c>
      <c r="BD1093" s="71">
        <v>2.57</v>
      </c>
      <c r="BE1093" s="71">
        <v>6.85</v>
      </c>
      <c r="BF1093" s="71">
        <v>268</v>
      </c>
      <c r="BG1093" s="71">
        <v>212</v>
      </c>
      <c r="BH1093" s="71">
        <v>5</v>
      </c>
      <c r="BI1093" s="71">
        <v>10</v>
      </c>
      <c r="BJ1093" s="12" t="str" cm="1">
        <f t="array" ref="BJ1093">_xll.Dce_Name_SectI(BF1093, BF1093, BG1093, BH1093, BI1093, "x", "-", $AX$11)</f>
        <v>268x212x5x10</v>
      </c>
      <c r="BK1093" s="77" cm="1">
        <f t="array" ref="BK1093">_xll.DCEPropSectI(BF1093, BH1093, BG1093, BI1093, BG1093, BI1093, "A")/100</f>
        <v>54.8</v>
      </c>
      <c r="BL1093" s="70" t="s">
        <v>219</v>
      </c>
      <c r="BM1093" s="70">
        <v>-49.20770212966832</v>
      </c>
      <c r="BN1093" s="71">
        <v>0.9</v>
      </c>
      <c r="BO1093" s="77">
        <f t="shared" si="139"/>
        <v>6.165</v>
      </c>
      <c r="BP1093" s="71">
        <v>0.9</v>
      </c>
      <c r="BQ1093" s="77">
        <f t="shared" si="140"/>
        <v>6.165</v>
      </c>
      <c r="BR1093" s="77" cm="1">
        <f t="array" ref="BR1093">_xll.DCEPropSectI(BF1093, BH1093, BG1093, BI1093, BG1093, BI1093, "rx")/10</f>
        <v>11.847052463297633</v>
      </c>
      <c r="BS1093" s="77" cm="1">
        <f t="array" ref="BS1093">_xll.DCEPropSectI(BF1093, BH1093, BG1093, BI1093, BG1093, BI1093, "ry")/10</f>
        <v>5.3836052600564113</v>
      </c>
      <c r="BT1093" s="5">
        <f t="shared" si="141"/>
        <v>52.038260310733605</v>
      </c>
      <c r="BU1093" s="5">
        <f t="shared" si="142"/>
        <v>114.5143394100815</v>
      </c>
      <c r="BV1093" s="5">
        <f t="shared" si="143"/>
        <v>114.5143394100815</v>
      </c>
      <c r="BW1093" s="71">
        <f t="shared" si="144"/>
        <v>200</v>
      </c>
      <c r="BX1093" s="78" cm="1">
        <f t="array" ref="BX1093">IF(BM1093&gt;0,1,_xll.DCETCVN5575FactorPhi7121(BV1093*SQRT($K$17/206000),"b"))</f>
        <v>0.47786839095804584</v>
      </c>
      <c r="BY1093" s="64">
        <f t="shared" si="145"/>
        <v>8.9479784031802401E-2</v>
      </c>
      <c r="BZ1093" s="3" t="str">
        <f t="shared" si="146"/>
        <v>OK</v>
      </c>
    </row>
    <row r="1094" spans="1:78">
      <c r="A1094" s="76"/>
      <c r="B1094" s="76"/>
      <c r="C1094" s="125"/>
      <c r="D1094" s="125"/>
      <c r="E1094" s="71"/>
      <c r="F1094" s="71"/>
      <c r="G1094" s="71"/>
      <c r="H1094" s="126"/>
      <c r="I1094" s="125"/>
      <c r="J1094" s="123"/>
      <c r="K1094" s="12"/>
      <c r="L1094" s="117"/>
      <c r="M1094" s="12"/>
      <c r="N1094" s="117"/>
      <c r="O1094" s="117"/>
      <c r="P1094" s="117"/>
      <c r="Q1094" s="118"/>
      <c r="R1094" s="118"/>
      <c r="S1094" s="118"/>
      <c r="T1094" s="12"/>
      <c r="U1094" s="118"/>
      <c r="V1094" s="118"/>
      <c r="W1094" s="12"/>
      <c r="X1094" s="119"/>
      <c r="Y1094" s="120"/>
      <c r="Z1094" s="12"/>
      <c r="BA1094" s="70" t="s">
        <v>205</v>
      </c>
      <c r="BB1094" s="71" t="s">
        <v>211</v>
      </c>
      <c r="BC1094" s="71" t="s">
        <v>207</v>
      </c>
      <c r="BD1094" s="71">
        <v>3.42</v>
      </c>
      <c r="BE1094" s="71">
        <v>6.85</v>
      </c>
      <c r="BF1094" s="71">
        <v>268</v>
      </c>
      <c r="BG1094" s="71">
        <v>212</v>
      </c>
      <c r="BH1094" s="71">
        <v>5</v>
      </c>
      <c r="BI1094" s="71">
        <v>10</v>
      </c>
      <c r="BJ1094" s="12" t="str" cm="1">
        <f t="array" ref="BJ1094">_xll.Dce_Name_SectI(BF1094, BF1094, BG1094, BH1094, BI1094, "x", "-", $AX$11)</f>
        <v>268x212x5x10</v>
      </c>
      <c r="BK1094" s="77" cm="1">
        <f t="array" ref="BK1094">_xll.DCEPropSectI(BF1094, BH1094, BG1094, BI1094, BG1094, BI1094, "A")/100</f>
        <v>54.8</v>
      </c>
      <c r="BL1094" s="70" t="s">
        <v>219</v>
      </c>
      <c r="BM1094" s="70">
        <v>-49.568878050501418</v>
      </c>
      <c r="BN1094" s="71">
        <v>0.9</v>
      </c>
      <c r="BO1094" s="77">
        <f t="shared" si="139"/>
        <v>6.165</v>
      </c>
      <c r="BP1094" s="71">
        <v>0.9</v>
      </c>
      <c r="BQ1094" s="77">
        <f t="shared" si="140"/>
        <v>6.165</v>
      </c>
      <c r="BR1094" s="77" cm="1">
        <f t="array" ref="BR1094">_xll.DCEPropSectI(BF1094, BH1094, BG1094, BI1094, BG1094, BI1094, "rx")/10</f>
        <v>11.847052463297633</v>
      </c>
      <c r="BS1094" s="77" cm="1">
        <f t="array" ref="BS1094">_xll.DCEPropSectI(BF1094, BH1094, BG1094, BI1094, BG1094, BI1094, "ry")/10</f>
        <v>5.3836052600564113</v>
      </c>
      <c r="BT1094" s="5">
        <f t="shared" si="141"/>
        <v>52.038260310733605</v>
      </c>
      <c r="BU1094" s="5">
        <f t="shared" si="142"/>
        <v>114.5143394100815</v>
      </c>
      <c r="BV1094" s="5">
        <f t="shared" si="143"/>
        <v>114.5143394100815</v>
      </c>
      <c r="BW1094" s="71">
        <f t="shared" si="144"/>
        <v>200</v>
      </c>
      <c r="BX1094" s="78" cm="1">
        <f t="array" ref="BX1094">IF(BM1094&gt;0,1,_xll.DCETCVN5575FactorPhi7121(BV1094*SQRT($K$17/206000),"b"))</f>
        <v>0.47786839095804584</v>
      </c>
      <c r="BY1094" s="64">
        <f t="shared" si="145"/>
        <v>9.0136549984995484E-2</v>
      </c>
      <c r="BZ1094" s="3" t="str">
        <f t="shared" si="146"/>
        <v>OK</v>
      </c>
    </row>
    <row r="1095" spans="1:78">
      <c r="A1095" s="76"/>
      <c r="B1095" s="76"/>
      <c r="C1095" s="125"/>
      <c r="D1095" s="125"/>
      <c r="E1095" s="71"/>
      <c r="F1095" s="71"/>
      <c r="G1095" s="71"/>
      <c r="H1095" s="126"/>
      <c r="I1095" s="125"/>
      <c r="J1095" s="123"/>
      <c r="K1095" s="12"/>
      <c r="L1095" s="117"/>
      <c r="M1095" s="12"/>
      <c r="N1095" s="117"/>
      <c r="O1095" s="117"/>
      <c r="P1095" s="117"/>
      <c r="Q1095" s="118"/>
      <c r="R1095" s="118"/>
      <c r="S1095" s="118"/>
      <c r="T1095" s="12"/>
      <c r="U1095" s="118"/>
      <c r="V1095" s="118"/>
      <c r="W1095" s="12"/>
      <c r="X1095" s="119"/>
      <c r="Y1095" s="120"/>
      <c r="Z1095" s="12"/>
      <c r="BA1095" s="70" t="s">
        <v>205</v>
      </c>
      <c r="BB1095" s="71" t="s">
        <v>211</v>
      </c>
      <c r="BC1095" s="71" t="s">
        <v>207</v>
      </c>
      <c r="BD1095" s="71">
        <v>4.28</v>
      </c>
      <c r="BE1095" s="71">
        <v>6.85</v>
      </c>
      <c r="BF1095" s="71">
        <v>268</v>
      </c>
      <c r="BG1095" s="71">
        <v>212</v>
      </c>
      <c r="BH1095" s="71">
        <v>5</v>
      </c>
      <c r="BI1095" s="71">
        <v>10</v>
      </c>
      <c r="BJ1095" s="12" t="str" cm="1">
        <f t="array" ref="BJ1095">_xll.Dce_Name_SectI(BF1095, BF1095, BG1095, BH1095, BI1095, "x", "-", $AX$11)</f>
        <v>268x212x5x10</v>
      </c>
      <c r="BK1095" s="77" cm="1">
        <f t="array" ref="BK1095">_xll.DCEPropSectI(BF1095, BH1095, BG1095, BI1095, BG1095, BI1095, "A")/100</f>
        <v>54.8</v>
      </c>
      <c r="BL1095" s="70" t="s">
        <v>219</v>
      </c>
      <c r="BM1095" s="70">
        <v>-49.930053971334509</v>
      </c>
      <c r="BN1095" s="71">
        <v>0.9</v>
      </c>
      <c r="BO1095" s="77">
        <f t="shared" si="139"/>
        <v>6.165</v>
      </c>
      <c r="BP1095" s="71">
        <v>0.9</v>
      </c>
      <c r="BQ1095" s="77">
        <f t="shared" si="140"/>
        <v>6.165</v>
      </c>
      <c r="BR1095" s="77" cm="1">
        <f t="array" ref="BR1095">_xll.DCEPropSectI(BF1095, BH1095, BG1095, BI1095, BG1095, BI1095, "rx")/10</f>
        <v>11.847052463297633</v>
      </c>
      <c r="BS1095" s="77" cm="1">
        <f t="array" ref="BS1095">_xll.DCEPropSectI(BF1095, BH1095, BG1095, BI1095, BG1095, BI1095, "ry")/10</f>
        <v>5.3836052600564113</v>
      </c>
      <c r="BT1095" s="5">
        <f t="shared" si="141"/>
        <v>52.038260310733605</v>
      </c>
      <c r="BU1095" s="5">
        <f t="shared" si="142"/>
        <v>114.5143394100815</v>
      </c>
      <c r="BV1095" s="5">
        <f t="shared" si="143"/>
        <v>114.5143394100815</v>
      </c>
      <c r="BW1095" s="71">
        <f t="shared" si="144"/>
        <v>200</v>
      </c>
      <c r="BX1095" s="78" cm="1">
        <f t="array" ref="BX1095">IF(BM1095&gt;0,1,_xll.DCETCVN5575FactorPhi7121(BV1095*SQRT($K$17/206000),"b"))</f>
        <v>0.47786839095804584</v>
      </c>
      <c r="BY1095" s="64">
        <f t="shared" si="145"/>
        <v>9.079331593818854E-2</v>
      </c>
      <c r="BZ1095" s="3" t="str">
        <f t="shared" si="146"/>
        <v>OK</v>
      </c>
    </row>
    <row r="1096" spans="1:78">
      <c r="A1096" s="76"/>
      <c r="B1096" s="76"/>
      <c r="C1096" s="125"/>
      <c r="D1096" s="125"/>
      <c r="E1096" s="71"/>
      <c r="F1096" s="71"/>
      <c r="G1096" s="71"/>
      <c r="H1096" s="126"/>
      <c r="I1096" s="125"/>
      <c r="J1096" s="123"/>
      <c r="K1096" s="12"/>
      <c r="L1096" s="117"/>
      <c r="M1096" s="12"/>
      <c r="N1096" s="117"/>
      <c r="O1096" s="117"/>
      <c r="P1096" s="117"/>
      <c r="Q1096" s="118"/>
      <c r="R1096" s="118"/>
      <c r="S1096" s="118"/>
      <c r="T1096" s="12"/>
      <c r="U1096" s="118"/>
      <c r="V1096" s="118"/>
      <c r="W1096" s="12"/>
      <c r="X1096" s="119"/>
      <c r="Y1096" s="120"/>
      <c r="Z1096" s="12"/>
      <c r="BA1096" s="70" t="s">
        <v>205</v>
      </c>
      <c r="BB1096" s="71" t="s">
        <v>211</v>
      </c>
      <c r="BC1096" s="71" t="s">
        <v>207</v>
      </c>
      <c r="BD1096" s="71">
        <v>5.14</v>
      </c>
      <c r="BE1096" s="71">
        <v>6.85</v>
      </c>
      <c r="BF1096" s="71">
        <v>268</v>
      </c>
      <c r="BG1096" s="71">
        <v>212</v>
      </c>
      <c r="BH1096" s="71">
        <v>5</v>
      </c>
      <c r="BI1096" s="71">
        <v>10</v>
      </c>
      <c r="BJ1096" s="12" t="str" cm="1">
        <f t="array" ref="BJ1096">_xll.Dce_Name_SectI(BF1096, BF1096, BG1096, BH1096, BI1096, "x", "-", $AX$11)</f>
        <v>268x212x5x10</v>
      </c>
      <c r="BK1096" s="77" cm="1">
        <f t="array" ref="BK1096">_xll.DCEPropSectI(BF1096, BH1096, BG1096, BI1096, BG1096, BI1096, "A")/100</f>
        <v>54.8</v>
      </c>
      <c r="BL1096" s="70" t="s">
        <v>219</v>
      </c>
      <c r="BM1096" s="70">
        <v>-50.2912298921676</v>
      </c>
      <c r="BN1096" s="71">
        <v>0.9</v>
      </c>
      <c r="BO1096" s="77">
        <f t="shared" si="139"/>
        <v>6.165</v>
      </c>
      <c r="BP1096" s="71">
        <v>0.9</v>
      </c>
      <c r="BQ1096" s="77">
        <f t="shared" si="140"/>
        <v>6.165</v>
      </c>
      <c r="BR1096" s="77" cm="1">
        <f t="array" ref="BR1096">_xll.DCEPropSectI(BF1096, BH1096, BG1096, BI1096, BG1096, BI1096, "rx")/10</f>
        <v>11.847052463297633</v>
      </c>
      <c r="BS1096" s="77" cm="1">
        <f t="array" ref="BS1096">_xll.DCEPropSectI(BF1096, BH1096, BG1096, BI1096, BG1096, BI1096, "ry")/10</f>
        <v>5.3836052600564113</v>
      </c>
      <c r="BT1096" s="5">
        <f t="shared" si="141"/>
        <v>52.038260310733605</v>
      </c>
      <c r="BU1096" s="5">
        <f t="shared" si="142"/>
        <v>114.5143394100815</v>
      </c>
      <c r="BV1096" s="5">
        <f t="shared" si="143"/>
        <v>114.5143394100815</v>
      </c>
      <c r="BW1096" s="71">
        <f t="shared" si="144"/>
        <v>200</v>
      </c>
      <c r="BX1096" s="78" cm="1">
        <f t="array" ref="BX1096">IF(BM1096&gt;0,1,_xll.DCETCVN5575FactorPhi7121(BV1096*SQRT($K$17/206000),"b"))</f>
        <v>0.47786839095804584</v>
      </c>
      <c r="BY1096" s="64">
        <f t="shared" si="145"/>
        <v>9.1450081891381624E-2</v>
      </c>
      <c r="BZ1096" s="3" t="str">
        <f t="shared" si="146"/>
        <v>OK</v>
      </c>
    </row>
    <row r="1097" spans="1:78">
      <c r="A1097" s="76"/>
      <c r="B1097" s="76"/>
      <c r="C1097" s="125"/>
      <c r="D1097" s="125"/>
      <c r="E1097" s="71"/>
      <c r="F1097" s="71"/>
      <c r="G1097" s="71"/>
      <c r="H1097" s="126"/>
      <c r="I1097" s="125"/>
      <c r="J1097" s="123"/>
      <c r="K1097" s="12"/>
      <c r="L1097" s="117"/>
      <c r="M1097" s="12"/>
      <c r="N1097" s="117"/>
      <c r="O1097" s="117"/>
      <c r="P1097" s="117"/>
      <c r="Q1097" s="118"/>
      <c r="R1097" s="118"/>
      <c r="S1097" s="118"/>
      <c r="T1097" s="12"/>
      <c r="U1097" s="118"/>
      <c r="V1097" s="118"/>
      <c r="W1097" s="12"/>
      <c r="X1097" s="119"/>
      <c r="Y1097" s="120"/>
      <c r="Z1097" s="12"/>
      <c r="BA1097" s="70" t="s">
        <v>205</v>
      </c>
      <c r="BB1097" s="71" t="s">
        <v>211</v>
      </c>
      <c r="BC1097" s="71" t="s">
        <v>207</v>
      </c>
      <c r="BD1097" s="71">
        <v>5.99</v>
      </c>
      <c r="BE1097" s="71">
        <v>6.85</v>
      </c>
      <c r="BF1097" s="71">
        <v>268</v>
      </c>
      <c r="BG1097" s="71">
        <v>212</v>
      </c>
      <c r="BH1097" s="71">
        <v>5</v>
      </c>
      <c r="BI1097" s="71">
        <v>10</v>
      </c>
      <c r="BJ1097" s="12" t="str" cm="1">
        <f t="array" ref="BJ1097">_xll.Dce_Name_SectI(BF1097, BF1097, BG1097, BH1097, BI1097, "x", "-", $AX$11)</f>
        <v>268x212x5x10</v>
      </c>
      <c r="BK1097" s="77" cm="1">
        <f t="array" ref="BK1097">_xll.DCEPropSectI(BF1097, BH1097, BG1097, BI1097, BG1097, BI1097, "A")/100</f>
        <v>54.8</v>
      </c>
      <c r="BL1097" s="70" t="s">
        <v>219</v>
      </c>
      <c r="BM1097" s="70">
        <v>-50.652405813000691</v>
      </c>
      <c r="BN1097" s="71">
        <v>0.9</v>
      </c>
      <c r="BO1097" s="77">
        <f t="shared" si="139"/>
        <v>6.165</v>
      </c>
      <c r="BP1097" s="71">
        <v>0.9</v>
      </c>
      <c r="BQ1097" s="77">
        <f t="shared" si="140"/>
        <v>6.165</v>
      </c>
      <c r="BR1097" s="77" cm="1">
        <f t="array" ref="BR1097">_xll.DCEPropSectI(BF1097, BH1097, BG1097, BI1097, BG1097, BI1097, "rx")/10</f>
        <v>11.847052463297633</v>
      </c>
      <c r="BS1097" s="77" cm="1">
        <f t="array" ref="BS1097">_xll.DCEPropSectI(BF1097, BH1097, BG1097, BI1097, BG1097, BI1097, "ry")/10</f>
        <v>5.3836052600564113</v>
      </c>
      <c r="BT1097" s="5">
        <f t="shared" si="141"/>
        <v>52.038260310733605</v>
      </c>
      <c r="BU1097" s="5">
        <f t="shared" si="142"/>
        <v>114.5143394100815</v>
      </c>
      <c r="BV1097" s="5">
        <f t="shared" si="143"/>
        <v>114.5143394100815</v>
      </c>
      <c r="BW1097" s="71">
        <f t="shared" si="144"/>
        <v>200</v>
      </c>
      <c r="BX1097" s="78" cm="1">
        <f t="array" ref="BX1097">IF(BM1097&gt;0,1,_xll.DCETCVN5575FactorPhi7121(BV1097*SQRT($K$17/206000),"b"))</f>
        <v>0.47786839095804584</v>
      </c>
      <c r="BY1097" s="64">
        <f t="shared" si="145"/>
        <v>9.2106847844574694E-2</v>
      </c>
      <c r="BZ1097" s="3" t="str">
        <f t="shared" si="146"/>
        <v>OK</v>
      </c>
    </row>
    <row r="1098" spans="1:78">
      <c r="A1098" s="76"/>
      <c r="B1098" s="76"/>
      <c r="C1098" s="125"/>
      <c r="D1098" s="125"/>
      <c r="E1098" s="71"/>
      <c r="F1098" s="71"/>
      <c r="G1098" s="71"/>
      <c r="H1098" s="126"/>
      <c r="I1098" s="125"/>
      <c r="J1098" s="123"/>
      <c r="K1098" s="12"/>
      <c r="L1098" s="117"/>
      <c r="M1098" s="12"/>
      <c r="N1098" s="117"/>
      <c r="O1098" s="117"/>
      <c r="P1098" s="117"/>
      <c r="Q1098" s="118"/>
      <c r="R1098" s="118"/>
      <c r="S1098" s="118"/>
      <c r="T1098" s="12"/>
      <c r="U1098" s="118"/>
      <c r="V1098" s="118"/>
      <c r="W1098" s="12"/>
      <c r="X1098" s="119"/>
      <c r="Y1098" s="120"/>
      <c r="Z1098" s="12"/>
      <c r="BA1098" s="70" t="s">
        <v>205</v>
      </c>
      <c r="BB1098" s="71" t="s">
        <v>211</v>
      </c>
      <c r="BC1098" s="71" t="s">
        <v>207</v>
      </c>
      <c r="BD1098" s="71">
        <v>6.85</v>
      </c>
      <c r="BE1098" s="71">
        <v>6.85</v>
      </c>
      <c r="BF1098" s="71">
        <v>268</v>
      </c>
      <c r="BG1098" s="71">
        <v>212</v>
      </c>
      <c r="BH1098" s="71">
        <v>5</v>
      </c>
      <c r="BI1098" s="71">
        <v>10</v>
      </c>
      <c r="BJ1098" s="12" t="str" cm="1">
        <f t="array" ref="BJ1098">_xll.Dce_Name_SectI(BF1098, BF1098, BG1098, BH1098, BI1098, "x", "-", $AX$11)</f>
        <v>268x212x5x10</v>
      </c>
      <c r="BK1098" s="77" cm="1">
        <f t="array" ref="BK1098">_xll.DCEPropSectI(BF1098, BH1098, BG1098, BI1098, BG1098, BI1098, "A")/100</f>
        <v>54.8</v>
      </c>
      <c r="BL1098" s="70" t="s">
        <v>219</v>
      </c>
      <c r="BM1098" s="70">
        <v>-51.013581733833782</v>
      </c>
      <c r="BN1098" s="71">
        <v>0.9</v>
      </c>
      <c r="BO1098" s="77">
        <f t="shared" si="139"/>
        <v>6.165</v>
      </c>
      <c r="BP1098" s="71">
        <v>0.9</v>
      </c>
      <c r="BQ1098" s="77">
        <f t="shared" si="140"/>
        <v>6.165</v>
      </c>
      <c r="BR1098" s="77" cm="1">
        <f t="array" ref="BR1098">_xll.DCEPropSectI(BF1098, BH1098, BG1098, BI1098, BG1098, BI1098, "rx")/10</f>
        <v>11.847052463297633</v>
      </c>
      <c r="BS1098" s="77" cm="1">
        <f t="array" ref="BS1098">_xll.DCEPropSectI(BF1098, BH1098, BG1098, BI1098, BG1098, BI1098, "ry")/10</f>
        <v>5.3836052600564113</v>
      </c>
      <c r="BT1098" s="5">
        <f t="shared" si="141"/>
        <v>52.038260310733605</v>
      </c>
      <c r="BU1098" s="5">
        <f t="shared" si="142"/>
        <v>114.5143394100815</v>
      </c>
      <c r="BV1098" s="5">
        <f t="shared" si="143"/>
        <v>114.5143394100815</v>
      </c>
      <c r="BW1098" s="71">
        <f t="shared" si="144"/>
        <v>200</v>
      </c>
      <c r="BX1098" s="78" cm="1">
        <f t="array" ref="BX1098">IF(BM1098&gt;0,1,_xll.DCETCVN5575FactorPhi7121(BV1098*SQRT($K$17/206000),"b"))</f>
        <v>0.47786839095804584</v>
      </c>
      <c r="BY1098" s="64">
        <f t="shared" si="145"/>
        <v>9.2763613797767763E-2</v>
      </c>
      <c r="BZ1098" s="3" t="str">
        <f t="shared" si="146"/>
        <v>OK</v>
      </c>
    </row>
    <row r="1099" spans="1:78">
      <c r="A1099" s="76"/>
      <c r="B1099" s="76"/>
      <c r="C1099" s="125"/>
      <c r="D1099" s="125"/>
      <c r="E1099" s="71"/>
      <c r="F1099" s="71"/>
      <c r="G1099" s="71"/>
      <c r="H1099" s="126"/>
      <c r="I1099" s="125"/>
      <c r="J1099" s="123"/>
      <c r="K1099" s="12"/>
      <c r="L1099" s="117"/>
      <c r="M1099" s="12"/>
      <c r="N1099" s="117"/>
      <c r="O1099" s="117"/>
      <c r="P1099" s="117"/>
      <c r="Q1099" s="118"/>
      <c r="R1099" s="118"/>
      <c r="S1099" s="118"/>
      <c r="T1099" s="12"/>
      <c r="U1099" s="118"/>
      <c r="V1099" s="118"/>
      <c r="W1099" s="12"/>
      <c r="X1099" s="119"/>
      <c r="Y1099" s="120"/>
      <c r="Z1099" s="12"/>
      <c r="BA1099" s="70" t="s">
        <v>205</v>
      </c>
      <c r="BB1099" s="71" t="s">
        <v>211</v>
      </c>
      <c r="BC1099" s="71" t="s">
        <v>207</v>
      </c>
      <c r="BD1099" s="71">
        <v>0</v>
      </c>
      <c r="BE1099" s="71">
        <v>6.85</v>
      </c>
      <c r="BF1099" s="71">
        <v>268</v>
      </c>
      <c r="BG1099" s="71">
        <v>212</v>
      </c>
      <c r="BH1099" s="71">
        <v>5</v>
      </c>
      <c r="BI1099" s="71">
        <v>10</v>
      </c>
      <c r="BJ1099" s="12" t="str" cm="1">
        <f t="array" ref="BJ1099">_xll.Dce_Name_SectI(BF1099, BF1099, BG1099, BH1099, BI1099, "x", "-", $AX$11)</f>
        <v>268x212x5x10</v>
      </c>
      <c r="BK1099" s="77" cm="1">
        <f t="array" ref="BK1099">_xll.DCEPropSectI(BF1099, BH1099, BG1099, BI1099, BG1099, BI1099, "A")/100</f>
        <v>54.8</v>
      </c>
      <c r="BL1099" s="70" t="s">
        <v>220</v>
      </c>
      <c r="BM1099" s="70">
        <v>-102.42857866013412</v>
      </c>
      <c r="BN1099" s="71">
        <v>0.9</v>
      </c>
      <c r="BO1099" s="77">
        <f t="shared" si="139"/>
        <v>6.165</v>
      </c>
      <c r="BP1099" s="71">
        <v>0.9</v>
      </c>
      <c r="BQ1099" s="77">
        <f t="shared" si="140"/>
        <v>6.165</v>
      </c>
      <c r="BR1099" s="77" cm="1">
        <f t="array" ref="BR1099">_xll.DCEPropSectI(BF1099, BH1099, BG1099, BI1099, BG1099, BI1099, "rx")/10</f>
        <v>11.847052463297633</v>
      </c>
      <c r="BS1099" s="77" cm="1">
        <f t="array" ref="BS1099">_xll.DCEPropSectI(BF1099, BH1099, BG1099, BI1099, BG1099, BI1099, "ry")/10</f>
        <v>5.3836052600564113</v>
      </c>
      <c r="BT1099" s="5">
        <f t="shared" si="141"/>
        <v>52.038260310733605</v>
      </c>
      <c r="BU1099" s="5">
        <f t="shared" si="142"/>
        <v>114.5143394100815</v>
      </c>
      <c r="BV1099" s="5">
        <f t="shared" si="143"/>
        <v>114.5143394100815</v>
      </c>
      <c r="BW1099" s="71">
        <f t="shared" si="144"/>
        <v>200</v>
      </c>
      <c r="BX1099" s="78" cm="1">
        <f t="array" ref="BX1099">IF(BM1099&gt;0,1,_xll.DCETCVN5575FactorPhi7121(BV1099*SQRT($K$17/206000),"b"))</f>
        <v>0.47786839095804584</v>
      </c>
      <c r="BY1099" s="64">
        <f t="shared" si="145"/>
        <v>0.186257165047895</v>
      </c>
      <c r="BZ1099" s="3" t="str">
        <f t="shared" si="146"/>
        <v>OK</v>
      </c>
    </row>
    <row r="1100" spans="1:78">
      <c r="A1100" s="76"/>
      <c r="B1100" s="76"/>
      <c r="C1100" s="125"/>
      <c r="D1100" s="125"/>
      <c r="E1100" s="71"/>
      <c r="F1100" s="71"/>
      <c r="G1100" s="71"/>
      <c r="H1100" s="126"/>
      <c r="I1100" s="125"/>
      <c r="J1100" s="123"/>
      <c r="K1100" s="12"/>
      <c r="L1100" s="117"/>
      <c r="M1100" s="12"/>
      <c r="N1100" s="117"/>
      <c r="O1100" s="117"/>
      <c r="P1100" s="117"/>
      <c r="Q1100" s="118"/>
      <c r="R1100" s="118"/>
      <c r="S1100" s="118"/>
      <c r="T1100" s="12"/>
      <c r="U1100" s="118"/>
      <c r="V1100" s="118"/>
      <c r="W1100" s="12"/>
      <c r="X1100" s="119"/>
      <c r="Y1100" s="120"/>
      <c r="Z1100" s="12"/>
      <c r="BA1100" s="70" t="s">
        <v>205</v>
      </c>
      <c r="BB1100" s="71" t="s">
        <v>211</v>
      </c>
      <c r="BC1100" s="71" t="s">
        <v>207</v>
      </c>
      <c r="BD1100" s="71">
        <v>0.86</v>
      </c>
      <c r="BE1100" s="71">
        <v>6.85</v>
      </c>
      <c r="BF1100" s="71">
        <v>268</v>
      </c>
      <c r="BG1100" s="71">
        <v>212</v>
      </c>
      <c r="BH1100" s="71">
        <v>5</v>
      </c>
      <c r="BI1100" s="71">
        <v>10</v>
      </c>
      <c r="BJ1100" s="12" t="str" cm="1">
        <f t="array" ref="BJ1100">_xll.Dce_Name_SectI(BF1100, BF1100, BG1100, BH1100, BI1100, "x", "-", $AX$11)</f>
        <v>268x212x5x10</v>
      </c>
      <c r="BK1100" s="77" cm="1">
        <f t="array" ref="BK1100">_xll.DCEPropSectI(BF1100, BH1100, BG1100, BI1100, BG1100, BI1100, "A")/100</f>
        <v>54.8</v>
      </c>
      <c r="BL1100" s="70" t="s">
        <v>220</v>
      </c>
      <c r="BM1100" s="70">
        <v>-102.78975458096721</v>
      </c>
      <c r="BN1100" s="71">
        <v>0.9</v>
      </c>
      <c r="BO1100" s="77">
        <f t="shared" si="139"/>
        <v>6.165</v>
      </c>
      <c r="BP1100" s="71">
        <v>0.9</v>
      </c>
      <c r="BQ1100" s="77">
        <f t="shared" si="140"/>
        <v>6.165</v>
      </c>
      <c r="BR1100" s="77" cm="1">
        <f t="array" ref="BR1100">_xll.DCEPropSectI(BF1100, BH1100, BG1100, BI1100, BG1100, BI1100, "rx")/10</f>
        <v>11.847052463297633</v>
      </c>
      <c r="BS1100" s="77" cm="1">
        <f t="array" ref="BS1100">_xll.DCEPropSectI(BF1100, BH1100, BG1100, BI1100, BG1100, BI1100, "ry")/10</f>
        <v>5.3836052600564113</v>
      </c>
      <c r="BT1100" s="5">
        <f t="shared" si="141"/>
        <v>52.038260310733605</v>
      </c>
      <c r="BU1100" s="5">
        <f t="shared" si="142"/>
        <v>114.5143394100815</v>
      </c>
      <c r="BV1100" s="5">
        <f t="shared" si="143"/>
        <v>114.5143394100815</v>
      </c>
      <c r="BW1100" s="71">
        <f t="shared" si="144"/>
        <v>200</v>
      </c>
      <c r="BX1100" s="78" cm="1">
        <f t="array" ref="BX1100">IF(BM1100&gt;0,1,_xll.DCETCVN5575FactorPhi7121(BV1100*SQRT($K$17/206000),"b"))</f>
        <v>0.47786839095804584</v>
      </c>
      <c r="BY1100" s="64">
        <f t="shared" si="145"/>
        <v>0.18691393100108805</v>
      </c>
      <c r="BZ1100" s="3" t="str">
        <f t="shared" si="146"/>
        <v>OK</v>
      </c>
    </row>
    <row r="1101" spans="1:78">
      <c r="A1101" s="76"/>
      <c r="B1101" s="76"/>
      <c r="C1101" s="125"/>
      <c r="D1101" s="125"/>
      <c r="E1101" s="71"/>
      <c r="F1101" s="71"/>
      <c r="G1101" s="71"/>
      <c r="H1101" s="126"/>
      <c r="I1101" s="125"/>
      <c r="J1101" s="123"/>
      <c r="K1101" s="12"/>
      <c r="L1101" s="117"/>
      <c r="M1101" s="12"/>
      <c r="N1101" s="117"/>
      <c r="O1101" s="117"/>
      <c r="P1101" s="117"/>
      <c r="Q1101" s="118"/>
      <c r="R1101" s="118"/>
      <c r="S1101" s="118"/>
      <c r="T1101" s="12"/>
      <c r="U1101" s="118"/>
      <c r="V1101" s="118"/>
      <c r="W1101" s="12"/>
      <c r="X1101" s="119"/>
      <c r="Y1101" s="120"/>
      <c r="Z1101" s="12"/>
      <c r="BA1101" s="70" t="s">
        <v>205</v>
      </c>
      <c r="BB1101" s="71" t="s">
        <v>211</v>
      </c>
      <c r="BC1101" s="71" t="s">
        <v>207</v>
      </c>
      <c r="BD1101" s="71">
        <v>1.71</v>
      </c>
      <c r="BE1101" s="71">
        <v>6.85</v>
      </c>
      <c r="BF1101" s="71">
        <v>268</v>
      </c>
      <c r="BG1101" s="71">
        <v>212</v>
      </c>
      <c r="BH1101" s="71">
        <v>5</v>
      </c>
      <c r="BI1101" s="71">
        <v>10</v>
      </c>
      <c r="BJ1101" s="12" t="str" cm="1">
        <f t="array" ref="BJ1101">_xll.Dce_Name_SectI(BF1101, BF1101, BG1101, BH1101, BI1101, "x", "-", $AX$11)</f>
        <v>268x212x5x10</v>
      </c>
      <c r="BK1101" s="77" cm="1">
        <f t="array" ref="BK1101">_xll.DCEPropSectI(BF1101, BH1101, BG1101, BI1101, BG1101, BI1101, "A")/100</f>
        <v>54.8</v>
      </c>
      <c r="BL1101" s="70" t="s">
        <v>220</v>
      </c>
      <c r="BM1101" s="70">
        <v>-103.1509305018003</v>
      </c>
      <c r="BN1101" s="71">
        <v>0.9</v>
      </c>
      <c r="BO1101" s="77">
        <f t="shared" ref="BO1101:BO1164" si="147">BN1101*BE1101</f>
        <v>6.165</v>
      </c>
      <c r="BP1101" s="71">
        <v>0.9</v>
      </c>
      <c r="BQ1101" s="77">
        <f t="shared" ref="BQ1101:BQ1164" si="148">BP1101*BE1101</f>
        <v>6.165</v>
      </c>
      <c r="BR1101" s="77" cm="1">
        <f t="array" ref="BR1101">_xll.DCEPropSectI(BF1101, BH1101, BG1101, BI1101, BG1101, BI1101, "rx")/10</f>
        <v>11.847052463297633</v>
      </c>
      <c r="BS1101" s="77" cm="1">
        <f t="array" ref="BS1101">_xll.DCEPropSectI(BF1101, BH1101, BG1101, BI1101, BG1101, BI1101, "ry")/10</f>
        <v>5.3836052600564113</v>
      </c>
      <c r="BT1101" s="5">
        <f t="shared" ref="BT1101:BT1164" si="149">BO1101*100/BR1101</f>
        <v>52.038260310733605</v>
      </c>
      <c r="BU1101" s="5">
        <f t="shared" ref="BU1101:BU1164" si="150">BQ1101*100/BS1101</f>
        <v>114.5143394100815</v>
      </c>
      <c r="BV1101" s="5">
        <f t="shared" ref="BV1101:BV1164" si="151">MAX(BT1101,BU1101)</f>
        <v>114.5143394100815</v>
      </c>
      <c r="BW1101" s="71">
        <f t="shared" ref="BW1101:BW1164" si="152">IF(BM1101&lt;0,$AY$14,$AY$15)</f>
        <v>200</v>
      </c>
      <c r="BX1101" s="78" cm="1">
        <f t="array" ref="BX1101">IF(BM1101&gt;0,1,_xll.DCETCVN5575FactorPhi7121(BV1101*SQRT($K$17/206000),"b"))</f>
        <v>0.47786839095804584</v>
      </c>
      <c r="BY1101" s="64">
        <f t="shared" ref="BY1101:BY1164" si="153">ABS(BM1101)/(BX1101*BK1101*$K$17*$K$19)*10</f>
        <v>0.18757069695428114</v>
      </c>
      <c r="BZ1101" s="3" t="str">
        <f t="shared" ref="BZ1101:BZ1164" si="154">IF(AND(BV1101&lt;=BW1101,BY1101&lt;=1),"OK","Check")</f>
        <v>OK</v>
      </c>
    </row>
    <row r="1102" spans="1:78">
      <c r="A1102" s="76"/>
      <c r="B1102" s="76"/>
      <c r="C1102" s="125"/>
      <c r="D1102" s="125"/>
      <c r="E1102" s="71"/>
      <c r="F1102" s="71"/>
      <c r="G1102" s="71"/>
      <c r="H1102" s="126"/>
      <c r="I1102" s="125"/>
      <c r="J1102" s="123"/>
      <c r="K1102" s="12"/>
      <c r="L1102" s="117"/>
      <c r="M1102" s="12"/>
      <c r="N1102" s="117"/>
      <c r="O1102" s="117"/>
      <c r="P1102" s="117"/>
      <c r="Q1102" s="118"/>
      <c r="R1102" s="118"/>
      <c r="S1102" s="118"/>
      <c r="T1102" s="12"/>
      <c r="U1102" s="118"/>
      <c r="V1102" s="118"/>
      <c r="W1102" s="12"/>
      <c r="X1102" s="119"/>
      <c r="Y1102" s="120"/>
      <c r="Z1102" s="12"/>
      <c r="BA1102" s="70" t="s">
        <v>205</v>
      </c>
      <c r="BB1102" s="71" t="s">
        <v>211</v>
      </c>
      <c r="BC1102" s="71" t="s">
        <v>207</v>
      </c>
      <c r="BD1102" s="71">
        <v>2.57</v>
      </c>
      <c r="BE1102" s="71">
        <v>6.85</v>
      </c>
      <c r="BF1102" s="71">
        <v>268</v>
      </c>
      <c r="BG1102" s="71">
        <v>212</v>
      </c>
      <c r="BH1102" s="71">
        <v>5</v>
      </c>
      <c r="BI1102" s="71">
        <v>10</v>
      </c>
      <c r="BJ1102" s="12" t="str" cm="1">
        <f t="array" ref="BJ1102">_xll.Dce_Name_SectI(BF1102, BF1102, BG1102, BH1102, BI1102, "x", "-", $AX$11)</f>
        <v>268x212x5x10</v>
      </c>
      <c r="BK1102" s="77" cm="1">
        <f t="array" ref="BK1102">_xll.DCEPropSectI(BF1102, BH1102, BG1102, BI1102, BG1102, BI1102, "A")/100</f>
        <v>54.8</v>
      </c>
      <c r="BL1102" s="70" t="s">
        <v>220</v>
      </c>
      <c r="BM1102" s="70">
        <v>-103.51210642263339</v>
      </c>
      <c r="BN1102" s="71">
        <v>0.9</v>
      </c>
      <c r="BO1102" s="77">
        <f t="shared" si="147"/>
        <v>6.165</v>
      </c>
      <c r="BP1102" s="71">
        <v>0.9</v>
      </c>
      <c r="BQ1102" s="77">
        <f t="shared" si="148"/>
        <v>6.165</v>
      </c>
      <c r="BR1102" s="77" cm="1">
        <f t="array" ref="BR1102">_xll.DCEPropSectI(BF1102, BH1102, BG1102, BI1102, BG1102, BI1102, "rx")/10</f>
        <v>11.847052463297633</v>
      </c>
      <c r="BS1102" s="77" cm="1">
        <f t="array" ref="BS1102">_xll.DCEPropSectI(BF1102, BH1102, BG1102, BI1102, BG1102, BI1102, "ry")/10</f>
        <v>5.3836052600564113</v>
      </c>
      <c r="BT1102" s="5">
        <f t="shared" si="149"/>
        <v>52.038260310733605</v>
      </c>
      <c r="BU1102" s="5">
        <f t="shared" si="150"/>
        <v>114.5143394100815</v>
      </c>
      <c r="BV1102" s="5">
        <f t="shared" si="151"/>
        <v>114.5143394100815</v>
      </c>
      <c r="BW1102" s="71">
        <f t="shared" si="152"/>
        <v>200</v>
      </c>
      <c r="BX1102" s="78" cm="1">
        <f t="array" ref="BX1102">IF(BM1102&gt;0,1,_xll.DCETCVN5575FactorPhi7121(BV1102*SQRT($K$17/206000),"b"))</f>
        <v>0.47786839095804584</v>
      </c>
      <c r="BY1102" s="64">
        <f t="shared" si="153"/>
        <v>0.18822746290747416</v>
      </c>
      <c r="BZ1102" s="3" t="str">
        <f t="shared" si="154"/>
        <v>OK</v>
      </c>
    </row>
    <row r="1103" spans="1:78">
      <c r="A1103" s="76"/>
      <c r="B1103" s="76"/>
      <c r="C1103" s="125"/>
      <c r="D1103" s="125"/>
      <c r="E1103" s="71"/>
      <c r="F1103" s="71"/>
      <c r="G1103" s="71"/>
      <c r="H1103" s="126"/>
      <c r="I1103" s="125"/>
      <c r="J1103" s="123"/>
      <c r="K1103" s="12"/>
      <c r="L1103" s="117"/>
      <c r="M1103" s="12"/>
      <c r="N1103" s="117"/>
      <c r="O1103" s="117"/>
      <c r="P1103" s="117"/>
      <c r="Q1103" s="118"/>
      <c r="R1103" s="118"/>
      <c r="S1103" s="118"/>
      <c r="T1103" s="12"/>
      <c r="U1103" s="118"/>
      <c r="V1103" s="118"/>
      <c r="W1103" s="12"/>
      <c r="X1103" s="119"/>
      <c r="Y1103" s="120"/>
      <c r="Z1103" s="12"/>
      <c r="BA1103" s="70" t="s">
        <v>205</v>
      </c>
      <c r="BB1103" s="71" t="s">
        <v>211</v>
      </c>
      <c r="BC1103" s="71" t="s">
        <v>207</v>
      </c>
      <c r="BD1103" s="71">
        <v>3.42</v>
      </c>
      <c r="BE1103" s="71">
        <v>6.85</v>
      </c>
      <c r="BF1103" s="71">
        <v>268</v>
      </c>
      <c r="BG1103" s="71">
        <v>212</v>
      </c>
      <c r="BH1103" s="71">
        <v>5</v>
      </c>
      <c r="BI1103" s="71">
        <v>10</v>
      </c>
      <c r="BJ1103" s="12" t="str" cm="1">
        <f t="array" ref="BJ1103">_xll.Dce_Name_SectI(BF1103, BF1103, BG1103, BH1103, BI1103, "x", "-", $AX$11)</f>
        <v>268x212x5x10</v>
      </c>
      <c r="BK1103" s="77" cm="1">
        <f t="array" ref="BK1103">_xll.DCEPropSectI(BF1103, BH1103, BG1103, BI1103, BG1103, BI1103, "A")/100</f>
        <v>54.8</v>
      </c>
      <c r="BL1103" s="70" t="s">
        <v>220</v>
      </c>
      <c r="BM1103" s="70">
        <v>-103.87328234346649</v>
      </c>
      <c r="BN1103" s="71">
        <v>0.9</v>
      </c>
      <c r="BO1103" s="77">
        <f t="shared" si="147"/>
        <v>6.165</v>
      </c>
      <c r="BP1103" s="71">
        <v>0.9</v>
      </c>
      <c r="BQ1103" s="77">
        <f t="shared" si="148"/>
        <v>6.165</v>
      </c>
      <c r="BR1103" s="77" cm="1">
        <f t="array" ref="BR1103">_xll.DCEPropSectI(BF1103, BH1103, BG1103, BI1103, BG1103, BI1103, "rx")/10</f>
        <v>11.847052463297633</v>
      </c>
      <c r="BS1103" s="77" cm="1">
        <f t="array" ref="BS1103">_xll.DCEPropSectI(BF1103, BH1103, BG1103, BI1103, BG1103, BI1103, "ry")/10</f>
        <v>5.3836052600564113</v>
      </c>
      <c r="BT1103" s="5">
        <f t="shared" si="149"/>
        <v>52.038260310733605</v>
      </c>
      <c r="BU1103" s="5">
        <f t="shared" si="150"/>
        <v>114.5143394100815</v>
      </c>
      <c r="BV1103" s="5">
        <f t="shared" si="151"/>
        <v>114.5143394100815</v>
      </c>
      <c r="BW1103" s="71">
        <f t="shared" si="152"/>
        <v>200</v>
      </c>
      <c r="BX1103" s="78" cm="1">
        <f t="array" ref="BX1103">IF(BM1103&gt;0,1,_xll.DCETCVN5575FactorPhi7121(BV1103*SQRT($K$17/206000),"b"))</f>
        <v>0.47786839095804584</v>
      </c>
      <c r="BY1103" s="64">
        <f t="shared" si="153"/>
        <v>0.18888422886066725</v>
      </c>
      <c r="BZ1103" s="3" t="str">
        <f t="shared" si="154"/>
        <v>OK</v>
      </c>
    </row>
    <row r="1104" spans="1:78">
      <c r="A1104" s="76"/>
      <c r="B1104" s="76"/>
      <c r="C1104" s="125"/>
      <c r="D1104" s="125"/>
      <c r="E1104" s="71"/>
      <c r="F1104" s="71"/>
      <c r="G1104" s="71"/>
      <c r="H1104" s="126"/>
      <c r="I1104" s="125"/>
      <c r="J1104" s="123"/>
      <c r="K1104" s="12"/>
      <c r="L1104" s="117"/>
      <c r="M1104" s="12"/>
      <c r="N1104" s="117"/>
      <c r="O1104" s="117"/>
      <c r="P1104" s="117"/>
      <c r="Q1104" s="118"/>
      <c r="R1104" s="118"/>
      <c r="S1104" s="118"/>
      <c r="T1104" s="12"/>
      <c r="U1104" s="118"/>
      <c r="V1104" s="118"/>
      <c r="W1104" s="12"/>
      <c r="X1104" s="119"/>
      <c r="Y1104" s="120"/>
      <c r="Z1104" s="12"/>
      <c r="BA1104" s="70" t="s">
        <v>205</v>
      </c>
      <c r="BB1104" s="71" t="s">
        <v>211</v>
      </c>
      <c r="BC1104" s="71" t="s">
        <v>207</v>
      </c>
      <c r="BD1104" s="71">
        <v>4.28</v>
      </c>
      <c r="BE1104" s="71">
        <v>6.85</v>
      </c>
      <c r="BF1104" s="71">
        <v>268</v>
      </c>
      <c r="BG1104" s="71">
        <v>212</v>
      </c>
      <c r="BH1104" s="71">
        <v>5</v>
      </c>
      <c r="BI1104" s="71">
        <v>10</v>
      </c>
      <c r="BJ1104" s="12" t="str" cm="1">
        <f t="array" ref="BJ1104">_xll.Dce_Name_SectI(BF1104, BF1104, BG1104, BH1104, BI1104, "x", "-", $AX$11)</f>
        <v>268x212x5x10</v>
      </c>
      <c r="BK1104" s="77" cm="1">
        <f t="array" ref="BK1104">_xll.DCEPropSectI(BF1104, BH1104, BG1104, BI1104, BG1104, BI1104, "A")/100</f>
        <v>54.8</v>
      </c>
      <c r="BL1104" s="70" t="s">
        <v>220</v>
      </c>
      <c r="BM1104" s="70">
        <v>-104.23445826429958</v>
      </c>
      <c r="BN1104" s="71">
        <v>0.9</v>
      </c>
      <c r="BO1104" s="77">
        <f t="shared" si="147"/>
        <v>6.165</v>
      </c>
      <c r="BP1104" s="71">
        <v>0.9</v>
      </c>
      <c r="BQ1104" s="77">
        <f t="shared" si="148"/>
        <v>6.165</v>
      </c>
      <c r="BR1104" s="77" cm="1">
        <f t="array" ref="BR1104">_xll.DCEPropSectI(BF1104, BH1104, BG1104, BI1104, BG1104, BI1104, "rx")/10</f>
        <v>11.847052463297633</v>
      </c>
      <c r="BS1104" s="77" cm="1">
        <f t="array" ref="BS1104">_xll.DCEPropSectI(BF1104, BH1104, BG1104, BI1104, BG1104, BI1104, "ry")/10</f>
        <v>5.3836052600564113</v>
      </c>
      <c r="BT1104" s="5">
        <f t="shared" si="149"/>
        <v>52.038260310733605</v>
      </c>
      <c r="BU1104" s="5">
        <f t="shared" si="150"/>
        <v>114.5143394100815</v>
      </c>
      <c r="BV1104" s="5">
        <f t="shared" si="151"/>
        <v>114.5143394100815</v>
      </c>
      <c r="BW1104" s="71">
        <f t="shared" si="152"/>
        <v>200</v>
      </c>
      <c r="BX1104" s="78" cm="1">
        <f t="array" ref="BX1104">IF(BM1104&gt;0,1,_xll.DCETCVN5575FactorPhi7121(BV1104*SQRT($K$17/206000),"b"))</f>
        <v>0.47786839095804584</v>
      </c>
      <c r="BY1104" s="64">
        <f t="shared" si="153"/>
        <v>0.18954099481386033</v>
      </c>
      <c r="BZ1104" s="3" t="str">
        <f t="shared" si="154"/>
        <v>OK</v>
      </c>
    </row>
    <row r="1105" spans="1:78">
      <c r="A1105" s="76"/>
      <c r="B1105" s="76"/>
      <c r="C1105" s="125"/>
      <c r="D1105" s="125"/>
      <c r="E1105" s="71"/>
      <c r="F1105" s="71"/>
      <c r="G1105" s="71"/>
      <c r="H1105" s="126"/>
      <c r="I1105" s="125"/>
      <c r="J1105" s="123"/>
      <c r="K1105" s="12"/>
      <c r="L1105" s="117"/>
      <c r="M1105" s="12"/>
      <c r="N1105" s="117"/>
      <c r="O1105" s="117"/>
      <c r="P1105" s="117"/>
      <c r="Q1105" s="118"/>
      <c r="R1105" s="118"/>
      <c r="S1105" s="118"/>
      <c r="T1105" s="12"/>
      <c r="U1105" s="118"/>
      <c r="V1105" s="118"/>
      <c r="W1105" s="12"/>
      <c r="X1105" s="119"/>
      <c r="Y1105" s="120"/>
      <c r="Z1105" s="12"/>
      <c r="BA1105" s="70" t="s">
        <v>205</v>
      </c>
      <c r="BB1105" s="71" t="s">
        <v>211</v>
      </c>
      <c r="BC1105" s="71" t="s">
        <v>207</v>
      </c>
      <c r="BD1105" s="71">
        <v>5.14</v>
      </c>
      <c r="BE1105" s="71">
        <v>6.85</v>
      </c>
      <c r="BF1105" s="71">
        <v>268</v>
      </c>
      <c r="BG1105" s="71">
        <v>212</v>
      </c>
      <c r="BH1105" s="71">
        <v>5</v>
      </c>
      <c r="BI1105" s="71">
        <v>10</v>
      </c>
      <c r="BJ1105" s="12" t="str" cm="1">
        <f t="array" ref="BJ1105">_xll.Dce_Name_SectI(BF1105, BF1105, BG1105, BH1105, BI1105, "x", "-", $AX$11)</f>
        <v>268x212x5x10</v>
      </c>
      <c r="BK1105" s="77" cm="1">
        <f t="array" ref="BK1105">_xll.DCEPropSectI(BF1105, BH1105, BG1105, BI1105, BG1105, BI1105, "A")/100</f>
        <v>54.8</v>
      </c>
      <c r="BL1105" s="70" t="s">
        <v>220</v>
      </c>
      <c r="BM1105" s="70">
        <v>-104.59563418513267</v>
      </c>
      <c r="BN1105" s="71">
        <v>0.9</v>
      </c>
      <c r="BO1105" s="77">
        <f t="shared" si="147"/>
        <v>6.165</v>
      </c>
      <c r="BP1105" s="71">
        <v>0.9</v>
      </c>
      <c r="BQ1105" s="77">
        <f t="shared" si="148"/>
        <v>6.165</v>
      </c>
      <c r="BR1105" s="77" cm="1">
        <f t="array" ref="BR1105">_xll.DCEPropSectI(BF1105, BH1105, BG1105, BI1105, BG1105, BI1105, "rx")/10</f>
        <v>11.847052463297633</v>
      </c>
      <c r="BS1105" s="77" cm="1">
        <f t="array" ref="BS1105">_xll.DCEPropSectI(BF1105, BH1105, BG1105, BI1105, BG1105, BI1105, "ry")/10</f>
        <v>5.3836052600564113</v>
      </c>
      <c r="BT1105" s="5">
        <f t="shared" si="149"/>
        <v>52.038260310733605</v>
      </c>
      <c r="BU1105" s="5">
        <f t="shared" si="150"/>
        <v>114.5143394100815</v>
      </c>
      <c r="BV1105" s="5">
        <f t="shared" si="151"/>
        <v>114.5143394100815</v>
      </c>
      <c r="BW1105" s="71">
        <f t="shared" si="152"/>
        <v>200</v>
      </c>
      <c r="BX1105" s="78" cm="1">
        <f t="array" ref="BX1105">IF(BM1105&gt;0,1,_xll.DCETCVN5575FactorPhi7121(BV1105*SQRT($K$17/206000),"b"))</f>
        <v>0.47786839095804584</v>
      </c>
      <c r="BY1105" s="64">
        <f t="shared" si="153"/>
        <v>0.19019776076705339</v>
      </c>
      <c r="BZ1105" s="3" t="str">
        <f t="shared" si="154"/>
        <v>OK</v>
      </c>
    </row>
    <row r="1106" spans="1:78">
      <c r="A1106" s="76"/>
      <c r="B1106" s="76"/>
      <c r="C1106" s="125"/>
      <c r="D1106" s="125"/>
      <c r="E1106" s="71"/>
      <c r="F1106" s="71"/>
      <c r="G1106" s="71"/>
      <c r="H1106" s="126"/>
      <c r="I1106" s="125"/>
      <c r="J1106" s="123"/>
      <c r="K1106" s="12"/>
      <c r="L1106" s="117"/>
      <c r="M1106" s="12"/>
      <c r="N1106" s="117"/>
      <c r="O1106" s="117"/>
      <c r="P1106" s="117"/>
      <c r="Q1106" s="118"/>
      <c r="R1106" s="118"/>
      <c r="S1106" s="118"/>
      <c r="T1106" s="12"/>
      <c r="U1106" s="118"/>
      <c r="V1106" s="118"/>
      <c r="W1106" s="12"/>
      <c r="X1106" s="119"/>
      <c r="Y1106" s="120"/>
      <c r="Z1106" s="12"/>
      <c r="BA1106" s="70" t="s">
        <v>205</v>
      </c>
      <c r="BB1106" s="71" t="s">
        <v>211</v>
      </c>
      <c r="BC1106" s="71" t="s">
        <v>207</v>
      </c>
      <c r="BD1106" s="71">
        <v>5.99</v>
      </c>
      <c r="BE1106" s="71">
        <v>6.85</v>
      </c>
      <c r="BF1106" s="71">
        <v>268</v>
      </c>
      <c r="BG1106" s="71">
        <v>212</v>
      </c>
      <c r="BH1106" s="71">
        <v>5</v>
      </c>
      <c r="BI1106" s="71">
        <v>10</v>
      </c>
      <c r="BJ1106" s="12" t="str" cm="1">
        <f t="array" ref="BJ1106">_xll.Dce_Name_SectI(BF1106, BF1106, BG1106, BH1106, BI1106, "x", "-", $AX$11)</f>
        <v>268x212x5x10</v>
      </c>
      <c r="BK1106" s="77" cm="1">
        <f t="array" ref="BK1106">_xll.DCEPropSectI(BF1106, BH1106, BG1106, BI1106, BG1106, BI1106, "A")/100</f>
        <v>54.8</v>
      </c>
      <c r="BL1106" s="70" t="s">
        <v>220</v>
      </c>
      <c r="BM1106" s="70">
        <v>-104.95681010596576</v>
      </c>
      <c r="BN1106" s="71">
        <v>0.9</v>
      </c>
      <c r="BO1106" s="77">
        <f t="shared" si="147"/>
        <v>6.165</v>
      </c>
      <c r="BP1106" s="71">
        <v>0.9</v>
      </c>
      <c r="BQ1106" s="77">
        <f t="shared" si="148"/>
        <v>6.165</v>
      </c>
      <c r="BR1106" s="77" cm="1">
        <f t="array" ref="BR1106">_xll.DCEPropSectI(BF1106, BH1106, BG1106, BI1106, BG1106, BI1106, "rx")/10</f>
        <v>11.847052463297633</v>
      </c>
      <c r="BS1106" s="77" cm="1">
        <f t="array" ref="BS1106">_xll.DCEPropSectI(BF1106, BH1106, BG1106, BI1106, BG1106, BI1106, "ry")/10</f>
        <v>5.3836052600564113</v>
      </c>
      <c r="BT1106" s="5">
        <f t="shared" si="149"/>
        <v>52.038260310733605</v>
      </c>
      <c r="BU1106" s="5">
        <f t="shared" si="150"/>
        <v>114.5143394100815</v>
      </c>
      <c r="BV1106" s="5">
        <f t="shared" si="151"/>
        <v>114.5143394100815</v>
      </c>
      <c r="BW1106" s="71">
        <f t="shared" si="152"/>
        <v>200</v>
      </c>
      <c r="BX1106" s="78" cm="1">
        <f t="array" ref="BX1106">IF(BM1106&gt;0,1,_xll.DCETCVN5575FactorPhi7121(BV1106*SQRT($K$17/206000),"b"))</f>
        <v>0.47786839095804584</v>
      </c>
      <c r="BY1106" s="64">
        <f t="shared" si="153"/>
        <v>0.19085452672024647</v>
      </c>
      <c r="BZ1106" s="3" t="str">
        <f t="shared" si="154"/>
        <v>OK</v>
      </c>
    </row>
    <row r="1107" spans="1:78">
      <c r="A1107" s="76"/>
      <c r="B1107" s="76"/>
      <c r="C1107" s="125"/>
      <c r="D1107" s="125"/>
      <c r="E1107" s="71"/>
      <c r="F1107" s="71"/>
      <c r="G1107" s="71"/>
      <c r="H1107" s="126"/>
      <c r="I1107" s="125"/>
      <c r="J1107" s="123"/>
      <c r="K1107" s="12"/>
      <c r="L1107" s="117"/>
      <c r="M1107" s="12"/>
      <c r="N1107" s="117"/>
      <c r="O1107" s="117"/>
      <c r="P1107" s="117"/>
      <c r="Q1107" s="118"/>
      <c r="R1107" s="118"/>
      <c r="S1107" s="118"/>
      <c r="T1107" s="12"/>
      <c r="U1107" s="118"/>
      <c r="V1107" s="118"/>
      <c r="W1107" s="12"/>
      <c r="X1107" s="119"/>
      <c r="Y1107" s="120"/>
      <c r="Z1107" s="12"/>
      <c r="BA1107" s="70" t="s">
        <v>205</v>
      </c>
      <c r="BB1107" s="71" t="s">
        <v>211</v>
      </c>
      <c r="BC1107" s="71" t="s">
        <v>207</v>
      </c>
      <c r="BD1107" s="71">
        <v>6.85</v>
      </c>
      <c r="BE1107" s="71">
        <v>6.85</v>
      </c>
      <c r="BF1107" s="71">
        <v>268</v>
      </c>
      <c r="BG1107" s="71">
        <v>212</v>
      </c>
      <c r="BH1107" s="71">
        <v>5</v>
      </c>
      <c r="BI1107" s="71">
        <v>10</v>
      </c>
      <c r="BJ1107" s="12" t="str" cm="1">
        <f t="array" ref="BJ1107">_xll.Dce_Name_SectI(BF1107, BF1107, BG1107, BH1107, BI1107, "x", "-", $AX$11)</f>
        <v>268x212x5x10</v>
      </c>
      <c r="BK1107" s="77" cm="1">
        <f t="array" ref="BK1107">_xll.DCEPropSectI(BF1107, BH1107, BG1107, BI1107, BG1107, BI1107, "A")/100</f>
        <v>54.8</v>
      </c>
      <c r="BL1107" s="70" t="s">
        <v>220</v>
      </c>
      <c r="BM1107" s="70">
        <v>-105.31798602679885</v>
      </c>
      <c r="BN1107" s="71">
        <v>0.9</v>
      </c>
      <c r="BO1107" s="77">
        <f t="shared" si="147"/>
        <v>6.165</v>
      </c>
      <c r="BP1107" s="71">
        <v>0.9</v>
      </c>
      <c r="BQ1107" s="77">
        <f t="shared" si="148"/>
        <v>6.165</v>
      </c>
      <c r="BR1107" s="77" cm="1">
        <f t="array" ref="BR1107">_xll.DCEPropSectI(BF1107, BH1107, BG1107, BI1107, BG1107, BI1107, "rx")/10</f>
        <v>11.847052463297633</v>
      </c>
      <c r="BS1107" s="77" cm="1">
        <f t="array" ref="BS1107">_xll.DCEPropSectI(BF1107, BH1107, BG1107, BI1107, BG1107, BI1107, "ry")/10</f>
        <v>5.3836052600564113</v>
      </c>
      <c r="BT1107" s="5">
        <f t="shared" si="149"/>
        <v>52.038260310733605</v>
      </c>
      <c r="BU1107" s="5">
        <f t="shared" si="150"/>
        <v>114.5143394100815</v>
      </c>
      <c r="BV1107" s="5">
        <f t="shared" si="151"/>
        <v>114.5143394100815</v>
      </c>
      <c r="BW1107" s="71">
        <f t="shared" si="152"/>
        <v>200</v>
      </c>
      <c r="BX1107" s="78" cm="1">
        <f t="array" ref="BX1107">IF(BM1107&gt;0,1,_xll.DCETCVN5575FactorPhi7121(BV1107*SQRT($K$17/206000),"b"))</f>
        <v>0.47786839095804584</v>
      </c>
      <c r="BY1107" s="64">
        <f t="shared" si="153"/>
        <v>0.19151129267343955</v>
      </c>
      <c r="BZ1107" s="3" t="str">
        <f t="shared" si="154"/>
        <v>OK</v>
      </c>
    </row>
    <row r="1108" spans="1:78">
      <c r="A1108" s="76"/>
      <c r="B1108" s="76"/>
      <c r="C1108" s="125"/>
      <c r="D1108" s="125"/>
      <c r="E1108" s="71"/>
      <c r="F1108" s="71"/>
      <c r="G1108" s="71"/>
      <c r="H1108" s="126"/>
      <c r="I1108" s="125"/>
      <c r="J1108" s="123"/>
      <c r="K1108" s="12"/>
      <c r="L1108" s="117"/>
      <c r="M1108" s="12"/>
      <c r="N1108" s="117"/>
      <c r="O1108" s="117"/>
      <c r="P1108" s="117"/>
      <c r="Q1108" s="118"/>
      <c r="R1108" s="118"/>
      <c r="S1108" s="118"/>
      <c r="T1108" s="12"/>
      <c r="U1108" s="118"/>
      <c r="V1108" s="118"/>
      <c r="W1108" s="12"/>
      <c r="X1108" s="119"/>
      <c r="Y1108" s="120"/>
      <c r="Z1108" s="12"/>
      <c r="BA1108" s="70" t="s">
        <v>205</v>
      </c>
      <c r="BB1108" s="71" t="s">
        <v>211</v>
      </c>
      <c r="BC1108" s="71" t="s">
        <v>207</v>
      </c>
      <c r="BD1108" s="71">
        <v>0</v>
      </c>
      <c r="BE1108" s="71">
        <v>6.85</v>
      </c>
      <c r="BF1108" s="71">
        <v>268</v>
      </c>
      <c r="BG1108" s="71">
        <v>212</v>
      </c>
      <c r="BH1108" s="71">
        <v>5</v>
      </c>
      <c r="BI1108" s="71">
        <v>10</v>
      </c>
      <c r="BJ1108" s="12" t="str" cm="1">
        <f t="array" ref="BJ1108">_xll.Dce_Name_SectI(BF1108, BF1108, BG1108, BH1108, BI1108, "x", "-", $AX$11)</f>
        <v>268x212x5x10</v>
      </c>
      <c r="BK1108" s="77" cm="1">
        <f t="array" ref="BK1108">_xll.DCEPropSectI(BF1108, BH1108, BG1108, BI1108, BG1108, BI1108, "A")/100</f>
        <v>54.8</v>
      </c>
      <c r="BL1108" s="70" t="s">
        <v>221</v>
      </c>
      <c r="BM1108" s="70">
        <v>-102.66428500435484</v>
      </c>
      <c r="BN1108" s="71">
        <v>0.9</v>
      </c>
      <c r="BO1108" s="77">
        <f t="shared" si="147"/>
        <v>6.165</v>
      </c>
      <c r="BP1108" s="71">
        <v>0.9</v>
      </c>
      <c r="BQ1108" s="77">
        <f t="shared" si="148"/>
        <v>6.165</v>
      </c>
      <c r="BR1108" s="77" cm="1">
        <f t="array" ref="BR1108">_xll.DCEPropSectI(BF1108, BH1108, BG1108, BI1108, BG1108, BI1108, "rx")/10</f>
        <v>11.847052463297633</v>
      </c>
      <c r="BS1108" s="77" cm="1">
        <f t="array" ref="BS1108">_xll.DCEPropSectI(BF1108, BH1108, BG1108, BI1108, BG1108, BI1108, "ry")/10</f>
        <v>5.3836052600564113</v>
      </c>
      <c r="BT1108" s="5">
        <f t="shared" si="149"/>
        <v>52.038260310733605</v>
      </c>
      <c r="BU1108" s="5">
        <f t="shared" si="150"/>
        <v>114.5143394100815</v>
      </c>
      <c r="BV1108" s="5">
        <f t="shared" si="151"/>
        <v>114.5143394100815</v>
      </c>
      <c r="BW1108" s="71">
        <f t="shared" si="152"/>
        <v>200</v>
      </c>
      <c r="BX1108" s="78" cm="1">
        <f t="array" ref="BX1108">IF(BM1108&gt;0,1,_xll.DCETCVN5575FactorPhi7121(BV1108*SQRT($K$17/206000),"b"))</f>
        <v>0.47786839095804584</v>
      </c>
      <c r="BY1108" s="64">
        <f t="shared" si="153"/>
        <v>0.18668577585195606</v>
      </c>
      <c r="BZ1108" s="3" t="str">
        <f t="shared" si="154"/>
        <v>OK</v>
      </c>
    </row>
    <row r="1109" spans="1:78">
      <c r="A1109" s="76"/>
      <c r="B1109" s="76"/>
      <c r="C1109" s="125"/>
      <c r="D1109" s="125"/>
      <c r="E1109" s="71"/>
      <c r="F1109" s="71"/>
      <c r="G1109" s="71"/>
      <c r="H1109" s="126"/>
      <c r="I1109" s="125"/>
      <c r="J1109" s="123"/>
      <c r="K1109" s="12"/>
      <c r="L1109" s="117"/>
      <c r="M1109" s="12"/>
      <c r="N1109" s="117"/>
      <c r="O1109" s="117"/>
      <c r="P1109" s="117"/>
      <c r="Q1109" s="118"/>
      <c r="R1109" s="118"/>
      <c r="S1109" s="118"/>
      <c r="T1109" s="12"/>
      <c r="U1109" s="118"/>
      <c r="V1109" s="118"/>
      <c r="W1109" s="12"/>
      <c r="X1109" s="119"/>
      <c r="Y1109" s="120"/>
      <c r="Z1109" s="12"/>
      <c r="BA1109" s="70" t="s">
        <v>205</v>
      </c>
      <c r="BB1109" s="71" t="s">
        <v>211</v>
      </c>
      <c r="BC1109" s="71" t="s">
        <v>207</v>
      </c>
      <c r="BD1109" s="71">
        <v>0.86</v>
      </c>
      <c r="BE1109" s="71">
        <v>6.85</v>
      </c>
      <c r="BF1109" s="71">
        <v>268</v>
      </c>
      <c r="BG1109" s="71">
        <v>212</v>
      </c>
      <c r="BH1109" s="71">
        <v>5</v>
      </c>
      <c r="BI1109" s="71">
        <v>10</v>
      </c>
      <c r="BJ1109" s="12" t="str" cm="1">
        <f t="array" ref="BJ1109">_xll.Dce_Name_SectI(BF1109, BF1109, BG1109, BH1109, BI1109, "x", "-", $AX$11)</f>
        <v>268x212x5x10</v>
      </c>
      <c r="BK1109" s="77" cm="1">
        <f t="array" ref="BK1109">_xll.DCEPropSectI(BF1109, BH1109, BG1109, BI1109, BG1109, BI1109, "A")/100</f>
        <v>54.8</v>
      </c>
      <c r="BL1109" s="70" t="s">
        <v>221</v>
      </c>
      <c r="BM1109" s="70">
        <v>-103.02546092518793</v>
      </c>
      <c r="BN1109" s="71">
        <v>0.9</v>
      </c>
      <c r="BO1109" s="77">
        <f t="shared" si="147"/>
        <v>6.165</v>
      </c>
      <c r="BP1109" s="71">
        <v>0.9</v>
      </c>
      <c r="BQ1109" s="77">
        <f t="shared" si="148"/>
        <v>6.165</v>
      </c>
      <c r="BR1109" s="77" cm="1">
        <f t="array" ref="BR1109">_xll.DCEPropSectI(BF1109, BH1109, BG1109, BI1109, BG1109, BI1109, "rx")/10</f>
        <v>11.847052463297633</v>
      </c>
      <c r="BS1109" s="77" cm="1">
        <f t="array" ref="BS1109">_xll.DCEPropSectI(BF1109, BH1109, BG1109, BI1109, BG1109, BI1109, "ry")/10</f>
        <v>5.3836052600564113</v>
      </c>
      <c r="BT1109" s="5">
        <f t="shared" si="149"/>
        <v>52.038260310733605</v>
      </c>
      <c r="BU1109" s="5">
        <f t="shared" si="150"/>
        <v>114.5143394100815</v>
      </c>
      <c r="BV1109" s="5">
        <f t="shared" si="151"/>
        <v>114.5143394100815</v>
      </c>
      <c r="BW1109" s="71">
        <f t="shared" si="152"/>
        <v>200</v>
      </c>
      <c r="BX1109" s="78" cm="1">
        <f t="array" ref="BX1109">IF(BM1109&gt;0,1,_xll.DCETCVN5575FactorPhi7121(BV1109*SQRT($K$17/206000),"b"))</f>
        <v>0.47786839095804584</v>
      </c>
      <c r="BY1109" s="64">
        <f t="shared" si="153"/>
        <v>0.18734254180514912</v>
      </c>
      <c r="BZ1109" s="3" t="str">
        <f t="shared" si="154"/>
        <v>OK</v>
      </c>
    </row>
    <row r="1110" spans="1:78">
      <c r="A1110" s="76"/>
      <c r="B1110" s="76"/>
      <c r="C1110" s="125"/>
      <c r="D1110" s="125"/>
      <c r="E1110" s="71"/>
      <c r="F1110" s="71"/>
      <c r="G1110" s="71"/>
      <c r="H1110" s="126"/>
      <c r="I1110" s="125"/>
      <c r="J1110" s="123"/>
      <c r="K1110" s="12"/>
      <c r="L1110" s="117"/>
      <c r="M1110" s="12"/>
      <c r="N1110" s="117"/>
      <c r="O1110" s="117"/>
      <c r="P1110" s="117"/>
      <c r="Q1110" s="118"/>
      <c r="R1110" s="118"/>
      <c r="S1110" s="118"/>
      <c r="T1110" s="12"/>
      <c r="U1110" s="118"/>
      <c r="V1110" s="118"/>
      <c r="W1110" s="12"/>
      <c r="X1110" s="119"/>
      <c r="Y1110" s="120"/>
      <c r="Z1110" s="12"/>
      <c r="BA1110" s="70" t="s">
        <v>205</v>
      </c>
      <c r="BB1110" s="71" t="s">
        <v>211</v>
      </c>
      <c r="BC1110" s="71" t="s">
        <v>207</v>
      </c>
      <c r="BD1110" s="71">
        <v>1.71</v>
      </c>
      <c r="BE1110" s="71">
        <v>6.85</v>
      </c>
      <c r="BF1110" s="71">
        <v>268</v>
      </c>
      <c r="BG1110" s="71">
        <v>212</v>
      </c>
      <c r="BH1110" s="71">
        <v>5</v>
      </c>
      <c r="BI1110" s="71">
        <v>10</v>
      </c>
      <c r="BJ1110" s="12" t="str" cm="1">
        <f t="array" ref="BJ1110">_xll.Dce_Name_SectI(BF1110, BF1110, BG1110, BH1110, BI1110, "x", "-", $AX$11)</f>
        <v>268x212x5x10</v>
      </c>
      <c r="BK1110" s="77" cm="1">
        <f t="array" ref="BK1110">_xll.DCEPropSectI(BF1110, BH1110, BG1110, BI1110, BG1110, BI1110, "A")/100</f>
        <v>54.8</v>
      </c>
      <c r="BL1110" s="70" t="s">
        <v>221</v>
      </c>
      <c r="BM1110" s="70">
        <v>-103.38663684602102</v>
      </c>
      <c r="BN1110" s="71">
        <v>0.9</v>
      </c>
      <c r="BO1110" s="77">
        <f t="shared" si="147"/>
        <v>6.165</v>
      </c>
      <c r="BP1110" s="71">
        <v>0.9</v>
      </c>
      <c r="BQ1110" s="77">
        <f t="shared" si="148"/>
        <v>6.165</v>
      </c>
      <c r="BR1110" s="77" cm="1">
        <f t="array" ref="BR1110">_xll.DCEPropSectI(BF1110, BH1110, BG1110, BI1110, BG1110, BI1110, "rx")/10</f>
        <v>11.847052463297633</v>
      </c>
      <c r="BS1110" s="77" cm="1">
        <f t="array" ref="BS1110">_xll.DCEPropSectI(BF1110, BH1110, BG1110, BI1110, BG1110, BI1110, "ry")/10</f>
        <v>5.3836052600564113</v>
      </c>
      <c r="BT1110" s="5">
        <f t="shared" si="149"/>
        <v>52.038260310733605</v>
      </c>
      <c r="BU1110" s="5">
        <f t="shared" si="150"/>
        <v>114.5143394100815</v>
      </c>
      <c r="BV1110" s="5">
        <f t="shared" si="151"/>
        <v>114.5143394100815</v>
      </c>
      <c r="BW1110" s="71">
        <f t="shared" si="152"/>
        <v>200</v>
      </c>
      <c r="BX1110" s="78" cm="1">
        <f t="array" ref="BX1110">IF(BM1110&gt;0,1,_xll.DCETCVN5575FactorPhi7121(BV1110*SQRT($K$17/206000),"b"))</f>
        <v>0.47786839095804584</v>
      </c>
      <c r="BY1110" s="64">
        <f t="shared" si="153"/>
        <v>0.1879993077583422</v>
      </c>
      <c r="BZ1110" s="3" t="str">
        <f t="shared" si="154"/>
        <v>OK</v>
      </c>
    </row>
    <row r="1111" spans="1:78">
      <c r="A1111" s="76"/>
      <c r="B1111" s="76"/>
      <c r="C1111" s="125"/>
      <c r="D1111" s="125"/>
      <c r="E1111" s="71"/>
      <c r="F1111" s="71"/>
      <c r="G1111" s="71"/>
      <c r="H1111" s="126"/>
      <c r="I1111" s="125"/>
      <c r="J1111" s="123"/>
      <c r="K1111" s="12"/>
      <c r="L1111" s="117"/>
      <c r="M1111" s="12"/>
      <c r="N1111" s="117"/>
      <c r="O1111" s="117"/>
      <c r="P1111" s="117"/>
      <c r="Q1111" s="118"/>
      <c r="R1111" s="118"/>
      <c r="S1111" s="118"/>
      <c r="T1111" s="12"/>
      <c r="U1111" s="118"/>
      <c r="V1111" s="118"/>
      <c r="W1111" s="12"/>
      <c r="X1111" s="119"/>
      <c r="Y1111" s="120"/>
      <c r="Z1111" s="12"/>
      <c r="BA1111" s="70" t="s">
        <v>205</v>
      </c>
      <c r="BB1111" s="71" t="s">
        <v>211</v>
      </c>
      <c r="BC1111" s="71" t="s">
        <v>207</v>
      </c>
      <c r="BD1111" s="71">
        <v>2.57</v>
      </c>
      <c r="BE1111" s="71">
        <v>6.85</v>
      </c>
      <c r="BF1111" s="71">
        <v>268</v>
      </c>
      <c r="BG1111" s="71">
        <v>212</v>
      </c>
      <c r="BH1111" s="71">
        <v>5</v>
      </c>
      <c r="BI1111" s="71">
        <v>10</v>
      </c>
      <c r="BJ1111" s="12" t="str" cm="1">
        <f t="array" ref="BJ1111">_xll.Dce_Name_SectI(BF1111, BF1111, BG1111, BH1111, BI1111, "x", "-", $AX$11)</f>
        <v>268x212x5x10</v>
      </c>
      <c r="BK1111" s="77" cm="1">
        <f t="array" ref="BK1111">_xll.DCEPropSectI(BF1111, BH1111, BG1111, BI1111, BG1111, BI1111, "A")/100</f>
        <v>54.8</v>
      </c>
      <c r="BL1111" s="70" t="s">
        <v>221</v>
      </c>
      <c r="BM1111" s="70">
        <v>-103.74781276685411</v>
      </c>
      <c r="BN1111" s="71">
        <v>0.9</v>
      </c>
      <c r="BO1111" s="77">
        <f t="shared" si="147"/>
        <v>6.165</v>
      </c>
      <c r="BP1111" s="71">
        <v>0.9</v>
      </c>
      <c r="BQ1111" s="77">
        <f t="shared" si="148"/>
        <v>6.165</v>
      </c>
      <c r="BR1111" s="77" cm="1">
        <f t="array" ref="BR1111">_xll.DCEPropSectI(BF1111, BH1111, BG1111, BI1111, BG1111, BI1111, "rx")/10</f>
        <v>11.847052463297633</v>
      </c>
      <c r="BS1111" s="77" cm="1">
        <f t="array" ref="BS1111">_xll.DCEPropSectI(BF1111, BH1111, BG1111, BI1111, BG1111, BI1111, "ry")/10</f>
        <v>5.3836052600564113</v>
      </c>
      <c r="BT1111" s="5">
        <f t="shared" si="149"/>
        <v>52.038260310733605</v>
      </c>
      <c r="BU1111" s="5">
        <f t="shared" si="150"/>
        <v>114.5143394100815</v>
      </c>
      <c r="BV1111" s="5">
        <f t="shared" si="151"/>
        <v>114.5143394100815</v>
      </c>
      <c r="BW1111" s="71">
        <f t="shared" si="152"/>
        <v>200</v>
      </c>
      <c r="BX1111" s="78" cm="1">
        <f t="array" ref="BX1111">IF(BM1111&gt;0,1,_xll.DCETCVN5575FactorPhi7121(BV1111*SQRT($K$17/206000),"b"))</f>
        <v>0.47786839095804584</v>
      </c>
      <c r="BY1111" s="64">
        <f t="shared" si="153"/>
        <v>0.18865607371153528</v>
      </c>
      <c r="BZ1111" s="3" t="str">
        <f t="shared" si="154"/>
        <v>OK</v>
      </c>
    </row>
    <row r="1112" spans="1:78">
      <c r="A1112" s="76"/>
      <c r="B1112" s="76"/>
      <c r="C1112" s="125"/>
      <c r="D1112" s="125"/>
      <c r="E1112" s="71"/>
      <c r="F1112" s="71"/>
      <c r="G1112" s="71"/>
      <c r="H1112" s="126"/>
      <c r="I1112" s="125"/>
      <c r="J1112" s="123"/>
      <c r="K1112" s="12"/>
      <c r="L1112" s="117"/>
      <c r="M1112" s="12"/>
      <c r="N1112" s="117"/>
      <c r="O1112" s="117"/>
      <c r="P1112" s="117"/>
      <c r="Q1112" s="118"/>
      <c r="R1112" s="118"/>
      <c r="S1112" s="118"/>
      <c r="T1112" s="12"/>
      <c r="U1112" s="118"/>
      <c r="V1112" s="118"/>
      <c r="W1112" s="12"/>
      <c r="X1112" s="119"/>
      <c r="Y1112" s="120"/>
      <c r="Z1112" s="12"/>
      <c r="BA1112" s="70" t="s">
        <v>205</v>
      </c>
      <c r="BB1112" s="71" t="s">
        <v>211</v>
      </c>
      <c r="BC1112" s="71" t="s">
        <v>207</v>
      </c>
      <c r="BD1112" s="71">
        <v>3.42</v>
      </c>
      <c r="BE1112" s="71">
        <v>6.85</v>
      </c>
      <c r="BF1112" s="71">
        <v>268</v>
      </c>
      <c r="BG1112" s="71">
        <v>212</v>
      </c>
      <c r="BH1112" s="71">
        <v>5</v>
      </c>
      <c r="BI1112" s="71">
        <v>10</v>
      </c>
      <c r="BJ1112" s="12" t="str" cm="1">
        <f t="array" ref="BJ1112">_xll.Dce_Name_SectI(BF1112, BF1112, BG1112, BH1112, BI1112, "x", "-", $AX$11)</f>
        <v>268x212x5x10</v>
      </c>
      <c r="BK1112" s="77" cm="1">
        <f t="array" ref="BK1112">_xll.DCEPropSectI(BF1112, BH1112, BG1112, BI1112, BG1112, BI1112, "A")/100</f>
        <v>54.8</v>
      </c>
      <c r="BL1112" s="70" t="s">
        <v>221</v>
      </c>
      <c r="BM1112" s="70">
        <v>-104.1089886876872</v>
      </c>
      <c r="BN1112" s="71">
        <v>0.9</v>
      </c>
      <c r="BO1112" s="77">
        <f t="shared" si="147"/>
        <v>6.165</v>
      </c>
      <c r="BP1112" s="71">
        <v>0.9</v>
      </c>
      <c r="BQ1112" s="77">
        <f t="shared" si="148"/>
        <v>6.165</v>
      </c>
      <c r="BR1112" s="77" cm="1">
        <f t="array" ref="BR1112">_xll.DCEPropSectI(BF1112, BH1112, BG1112, BI1112, BG1112, BI1112, "rx")/10</f>
        <v>11.847052463297633</v>
      </c>
      <c r="BS1112" s="77" cm="1">
        <f t="array" ref="BS1112">_xll.DCEPropSectI(BF1112, BH1112, BG1112, BI1112, BG1112, BI1112, "ry")/10</f>
        <v>5.3836052600564113</v>
      </c>
      <c r="BT1112" s="5">
        <f t="shared" si="149"/>
        <v>52.038260310733605</v>
      </c>
      <c r="BU1112" s="5">
        <f t="shared" si="150"/>
        <v>114.5143394100815</v>
      </c>
      <c r="BV1112" s="5">
        <f t="shared" si="151"/>
        <v>114.5143394100815</v>
      </c>
      <c r="BW1112" s="71">
        <f t="shared" si="152"/>
        <v>200</v>
      </c>
      <c r="BX1112" s="78" cm="1">
        <f t="array" ref="BX1112">IF(BM1112&gt;0,1,_xll.DCETCVN5575FactorPhi7121(BV1112*SQRT($K$17/206000),"b"))</f>
        <v>0.47786839095804584</v>
      </c>
      <c r="BY1112" s="64">
        <f t="shared" si="153"/>
        <v>0.18931283966472834</v>
      </c>
      <c r="BZ1112" s="3" t="str">
        <f t="shared" si="154"/>
        <v>OK</v>
      </c>
    </row>
    <row r="1113" spans="1:78">
      <c r="A1113" s="76"/>
      <c r="B1113" s="76"/>
      <c r="C1113" s="125"/>
      <c r="D1113" s="125"/>
      <c r="E1113" s="71"/>
      <c r="F1113" s="71"/>
      <c r="G1113" s="71"/>
      <c r="H1113" s="126"/>
      <c r="I1113" s="125"/>
      <c r="J1113" s="123"/>
      <c r="K1113" s="12"/>
      <c r="L1113" s="117"/>
      <c r="M1113" s="12"/>
      <c r="N1113" s="117"/>
      <c r="O1113" s="117"/>
      <c r="P1113" s="117"/>
      <c r="Q1113" s="118"/>
      <c r="R1113" s="118"/>
      <c r="S1113" s="118"/>
      <c r="T1113" s="12"/>
      <c r="U1113" s="118"/>
      <c r="V1113" s="118"/>
      <c r="W1113" s="12"/>
      <c r="X1113" s="119"/>
      <c r="Y1113" s="120"/>
      <c r="Z1113" s="12"/>
      <c r="BA1113" s="70" t="s">
        <v>205</v>
      </c>
      <c r="BB1113" s="71" t="s">
        <v>211</v>
      </c>
      <c r="BC1113" s="71" t="s">
        <v>207</v>
      </c>
      <c r="BD1113" s="71">
        <v>4.28</v>
      </c>
      <c r="BE1113" s="71">
        <v>6.85</v>
      </c>
      <c r="BF1113" s="71">
        <v>268</v>
      </c>
      <c r="BG1113" s="71">
        <v>212</v>
      </c>
      <c r="BH1113" s="71">
        <v>5</v>
      </c>
      <c r="BI1113" s="71">
        <v>10</v>
      </c>
      <c r="BJ1113" s="12" t="str" cm="1">
        <f t="array" ref="BJ1113">_xll.Dce_Name_SectI(BF1113, BF1113, BG1113, BH1113, BI1113, "x", "-", $AX$11)</f>
        <v>268x212x5x10</v>
      </c>
      <c r="BK1113" s="77" cm="1">
        <f t="array" ref="BK1113">_xll.DCEPropSectI(BF1113, BH1113, BG1113, BI1113, BG1113, BI1113, "A")/100</f>
        <v>54.8</v>
      </c>
      <c r="BL1113" s="70" t="s">
        <v>221</v>
      </c>
      <c r="BM1113" s="70">
        <v>-104.47016460852029</v>
      </c>
      <c r="BN1113" s="71">
        <v>0.9</v>
      </c>
      <c r="BO1113" s="77">
        <f t="shared" si="147"/>
        <v>6.165</v>
      </c>
      <c r="BP1113" s="71">
        <v>0.9</v>
      </c>
      <c r="BQ1113" s="77">
        <f t="shared" si="148"/>
        <v>6.165</v>
      </c>
      <c r="BR1113" s="77" cm="1">
        <f t="array" ref="BR1113">_xll.DCEPropSectI(BF1113, BH1113, BG1113, BI1113, BG1113, BI1113, "rx")/10</f>
        <v>11.847052463297633</v>
      </c>
      <c r="BS1113" s="77" cm="1">
        <f t="array" ref="BS1113">_xll.DCEPropSectI(BF1113, BH1113, BG1113, BI1113, BG1113, BI1113, "ry")/10</f>
        <v>5.3836052600564113</v>
      </c>
      <c r="BT1113" s="5">
        <f t="shared" si="149"/>
        <v>52.038260310733605</v>
      </c>
      <c r="BU1113" s="5">
        <f t="shared" si="150"/>
        <v>114.5143394100815</v>
      </c>
      <c r="BV1113" s="5">
        <f t="shared" si="151"/>
        <v>114.5143394100815</v>
      </c>
      <c r="BW1113" s="71">
        <f t="shared" si="152"/>
        <v>200</v>
      </c>
      <c r="BX1113" s="78" cm="1">
        <f t="array" ref="BX1113">IF(BM1113&gt;0,1,_xll.DCETCVN5575FactorPhi7121(BV1113*SQRT($K$17/206000),"b"))</f>
        <v>0.47786839095804584</v>
      </c>
      <c r="BY1113" s="64">
        <f t="shared" si="153"/>
        <v>0.18996960561792142</v>
      </c>
      <c r="BZ1113" s="3" t="str">
        <f t="shared" si="154"/>
        <v>OK</v>
      </c>
    </row>
    <row r="1114" spans="1:78">
      <c r="A1114" s="76"/>
      <c r="B1114" s="76"/>
      <c r="C1114" s="125"/>
      <c r="D1114" s="125"/>
      <c r="E1114" s="71"/>
      <c r="F1114" s="71"/>
      <c r="G1114" s="71"/>
      <c r="H1114" s="126"/>
      <c r="I1114" s="125"/>
      <c r="J1114" s="123"/>
      <c r="K1114" s="12"/>
      <c r="L1114" s="117"/>
      <c r="M1114" s="12"/>
      <c r="N1114" s="117"/>
      <c r="O1114" s="117"/>
      <c r="P1114" s="117"/>
      <c r="Q1114" s="118"/>
      <c r="R1114" s="118"/>
      <c r="S1114" s="118"/>
      <c r="T1114" s="12"/>
      <c r="U1114" s="118"/>
      <c r="V1114" s="118"/>
      <c r="W1114" s="12"/>
      <c r="X1114" s="119"/>
      <c r="Y1114" s="120"/>
      <c r="Z1114" s="12"/>
      <c r="BA1114" s="70" t="s">
        <v>205</v>
      </c>
      <c r="BB1114" s="71" t="s">
        <v>211</v>
      </c>
      <c r="BC1114" s="71" t="s">
        <v>207</v>
      </c>
      <c r="BD1114" s="71">
        <v>5.14</v>
      </c>
      <c r="BE1114" s="71">
        <v>6.85</v>
      </c>
      <c r="BF1114" s="71">
        <v>268</v>
      </c>
      <c r="BG1114" s="71">
        <v>212</v>
      </c>
      <c r="BH1114" s="71">
        <v>5</v>
      </c>
      <c r="BI1114" s="71">
        <v>10</v>
      </c>
      <c r="BJ1114" s="12" t="str" cm="1">
        <f t="array" ref="BJ1114">_xll.Dce_Name_SectI(BF1114, BF1114, BG1114, BH1114, BI1114, "x", "-", $AX$11)</f>
        <v>268x212x5x10</v>
      </c>
      <c r="BK1114" s="77" cm="1">
        <f t="array" ref="BK1114">_xll.DCEPropSectI(BF1114, BH1114, BG1114, BI1114, BG1114, BI1114, "A")/100</f>
        <v>54.8</v>
      </c>
      <c r="BL1114" s="70" t="s">
        <v>221</v>
      </c>
      <c r="BM1114" s="70">
        <v>-104.83134052935338</v>
      </c>
      <c r="BN1114" s="71">
        <v>0.9</v>
      </c>
      <c r="BO1114" s="77">
        <f t="shared" si="147"/>
        <v>6.165</v>
      </c>
      <c r="BP1114" s="71">
        <v>0.9</v>
      </c>
      <c r="BQ1114" s="77">
        <f t="shared" si="148"/>
        <v>6.165</v>
      </c>
      <c r="BR1114" s="77" cm="1">
        <f t="array" ref="BR1114">_xll.DCEPropSectI(BF1114, BH1114, BG1114, BI1114, BG1114, BI1114, "rx")/10</f>
        <v>11.847052463297633</v>
      </c>
      <c r="BS1114" s="77" cm="1">
        <f t="array" ref="BS1114">_xll.DCEPropSectI(BF1114, BH1114, BG1114, BI1114, BG1114, BI1114, "ry")/10</f>
        <v>5.3836052600564113</v>
      </c>
      <c r="BT1114" s="5">
        <f t="shared" si="149"/>
        <v>52.038260310733605</v>
      </c>
      <c r="BU1114" s="5">
        <f t="shared" si="150"/>
        <v>114.5143394100815</v>
      </c>
      <c r="BV1114" s="5">
        <f t="shared" si="151"/>
        <v>114.5143394100815</v>
      </c>
      <c r="BW1114" s="71">
        <f t="shared" si="152"/>
        <v>200</v>
      </c>
      <c r="BX1114" s="78" cm="1">
        <f t="array" ref="BX1114">IF(BM1114&gt;0,1,_xll.DCETCVN5575FactorPhi7121(BV1114*SQRT($K$17/206000),"b"))</f>
        <v>0.47786839095804584</v>
      </c>
      <c r="BY1114" s="64">
        <f t="shared" si="153"/>
        <v>0.19062637157111451</v>
      </c>
      <c r="BZ1114" s="3" t="str">
        <f t="shared" si="154"/>
        <v>OK</v>
      </c>
    </row>
    <row r="1115" spans="1:78">
      <c r="A1115" s="76"/>
      <c r="B1115" s="76"/>
      <c r="C1115" s="125"/>
      <c r="D1115" s="125"/>
      <c r="E1115" s="71"/>
      <c r="F1115" s="71"/>
      <c r="G1115" s="71"/>
      <c r="H1115" s="126"/>
      <c r="I1115" s="125"/>
      <c r="J1115" s="123"/>
      <c r="K1115" s="12"/>
      <c r="L1115" s="117"/>
      <c r="M1115" s="12"/>
      <c r="N1115" s="117"/>
      <c r="O1115" s="117"/>
      <c r="P1115" s="117"/>
      <c r="Q1115" s="118"/>
      <c r="R1115" s="118"/>
      <c r="S1115" s="118"/>
      <c r="T1115" s="12"/>
      <c r="U1115" s="118"/>
      <c r="V1115" s="118"/>
      <c r="W1115" s="12"/>
      <c r="X1115" s="119"/>
      <c r="Y1115" s="120"/>
      <c r="Z1115" s="12"/>
      <c r="BA1115" s="70" t="s">
        <v>205</v>
      </c>
      <c r="BB1115" s="71" t="s">
        <v>211</v>
      </c>
      <c r="BC1115" s="71" t="s">
        <v>207</v>
      </c>
      <c r="BD1115" s="71">
        <v>5.99</v>
      </c>
      <c r="BE1115" s="71">
        <v>6.85</v>
      </c>
      <c r="BF1115" s="71">
        <v>268</v>
      </c>
      <c r="BG1115" s="71">
        <v>212</v>
      </c>
      <c r="BH1115" s="71">
        <v>5</v>
      </c>
      <c r="BI1115" s="71">
        <v>10</v>
      </c>
      <c r="BJ1115" s="12" t="str" cm="1">
        <f t="array" ref="BJ1115">_xll.Dce_Name_SectI(BF1115, BF1115, BG1115, BH1115, BI1115, "x", "-", $AX$11)</f>
        <v>268x212x5x10</v>
      </c>
      <c r="BK1115" s="77" cm="1">
        <f t="array" ref="BK1115">_xll.DCEPropSectI(BF1115, BH1115, BG1115, BI1115, BG1115, BI1115, "A")/100</f>
        <v>54.8</v>
      </c>
      <c r="BL1115" s="70" t="s">
        <v>221</v>
      </c>
      <c r="BM1115" s="70">
        <v>-105.19251645018647</v>
      </c>
      <c r="BN1115" s="71">
        <v>0.9</v>
      </c>
      <c r="BO1115" s="77">
        <f t="shared" si="147"/>
        <v>6.165</v>
      </c>
      <c r="BP1115" s="71">
        <v>0.9</v>
      </c>
      <c r="BQ1115" s="77">
        <f t="shared" si="148"/>
        <v>6.165</v>
      </c>
      <c r="BR1115" s="77" cm="1">
        <f t="array" ref="BR1115">_xll.DCEPropSectI(BF1115, BH1115, BG1115, BI1115, BG1115, BI1115, "rx")/10</f>
        <v>11.847052463297633</v>
      </c>
      <c r="BS1115" s="77" cm="1">
        <f t="array" ref="BS1115">_xll.DCEPropSectI(BF1115, BH1115, BG1115, BI1115, BG1115, BI1115, "ry")/10</f>
        <v>5.3836052600564113</v>
      </c>
      <c r="BT1115" s="5">
        <f t="shared" si="149"/>
        <v>52.038260310733605</v>
      </c>
      <c r="BU1115" s="5">
        <f t="shared" si="150"/>
        <v>114.5143394100815</v>
      </c>
      <c r="BV1115" s="5">
        <f t="shared" si="151"/>
        <v>114.5143394100815</v>
      </c>
      <c r="BW1115" s="71">
        <f t="shared" si="152"/>
        <v>200</v>
      </c>
      <c r="BX1115" s="78" cm="1">
        <f t="array" ref="BX1115">IF(BM1115&gt;0,1,_xll.DCETCVN5575FactorPhi7121(BV1115*SQRT($K$17/206000),"b"))</f>
        <v>0.47786839095804584</v>
      </c>
      <c r="BY1115" s="64">
        <f t="shared" si="153"/>
        <v>0.19128313752430753</v>
      </c>
      <c r="BZ1115" s="3" t="str">
        <f t="shared" si="154"/>
        <v>OK</v>
      </c>
    </row>
    <row r="1116" spans="1:78">
      <c r="A1116" s="76"/>
      <c r="B1116" s="76"/>
      <c r="C1116" s="125"/>
      <c r="D1116" s="125"/>
      <c r="E1116" s="71"/>
      <c r="F1116" s="71"/>
      <c r="G1116" s="71"/>
      <c r="H1116" s="126"/>
      <c r="I1116" s="125"/>
      <c r="J1116" s="123"/>
      <c r="K1116" s="12"/>
      <c r="L1116" s="117"/>
      <c r="M1116" s="12"/>
      <c r="N1116" s="117"/>
      <c r="O1116" s="117"/>
      <c r="P1116" s="117"/>
      <c r="Q1116" s="118"/>
      <c r="R1116" s="118"/>
      <c r="S1116" s="118"/>
      <c r="T1116" s="12"/>
      <c r="U1116" s="118"/>
      <c r="V1116" s="118"/>
      <c r="W1116" s="12"/>
      <c r="X1116" s="119"/>
      <c r="Y1116" s="120"/>
      <c r="Z1116" s="12"/>
      <c r="BA1116" s="70" t="s">
        <v>205</v>
      </c>
      <c r="BB1116" s="71" t="s">
        <v>211</v>
      </c>
      <c r="BC1116" s="71" t="s">
        <v>207</v>
      </c>
      <c r="BD1116" s="71">
        <v>6.85</v>
      </c>
      <c r="BE1116" s="71">
        <v>6.85</v>
      </c>
      <c r="BF1116" s="71">
        <v>268</v>
      </c>
      <c r="BG1116" s="71">
        <v>212</v>
      </c>
      <c r="BH1116" s="71">
        <v>5</v>
      </c>
      <c r="BI1116" s="71">
        <v>10</v>
      </c>
      <c r="BJ1116" s="12" t="str" cm="1">
        <f t="array" ref="BJ1116">_xll.Dce_Name_SectI(BF1116, BF1116, BG1116, BH1116, BI1116, "x", "-", $AX$11)</f>
        <v>268x212x5x10</v>
      </c>
      <c r="BK1116" s="77" cm="1">
        <f t="array" ref="BK1116">_xll.DCEPropSectI(BF1116, BH1116, BG1116, BI1116, BG1116, BI1116, "A")/100</f>
        <v>54.8</v>
      </c>
      <c r="BL1116" s="70" t="s">
        <v>221</v>
      </c>
      <c r="BM1116" s="70">
        <v>-105.55369237101957</v>
      </c>
      <c r="BN1116" s="71">
        <v>0.9</v>
      </c>
      <c r="BO1116" s="77">
        <f t="shared" si="147"/>
        <v>6.165</v>
      </c>
      <c r="BP1116" s="71">
        <v>0.9</v>
      </c>
      <c r="BQ1116" s="77">
        <f t="shared" si="148"/>
        <v>6.165</v>
      </c>
      <c r="BR1116" s="77" cm="1">
        <f t="array" ref="BR1116">_xll.DCEPropSectI(BF1116, BH1116, BG1116, BI1116, BG1116, BI1116, "rx")/10</f>
        <v>11.847052463297633</v>
      </c>
      <c r="BS1116" s="77" cm="1">
        <f t="array" ref="BS1116">_xll.DCEPropSectI(BF1116, BH1116, BG1116, BI1116, BG1116, BI1116, "ry")/10</f>
        <v>5.3836052600564113</v>
      </c>
      <c r="BT1116" s="5">
        <f t="shared" si="149"/>
        <v>52.038260310733605</v>
      </c>
      <c r="BU1116" s="5">
        <f t="shared" si="150"/>
        <v>114.5143394100815</v>
      </c>
      <c r="BV1116" s="5">
        <f t="shared" si="151"/>
        <v>114.5143394100815</v>
      </c>
      <c r="BW1116" s="71">
        <f t="shared" si="152"/>
        <v>200</v>
      </c>
      <c r="BX1116" s="78" cm="1">
        <f t="array" ref="BX1116">IF(BM1116&gt;0,1,_xll.DCETCVN5575FactorPhi7121(BV1116*SQRT($K$17/206000),"b"))</f>
        <v>0.47786839095804584</v>
      </c>
      <c r="BY1116" s="64">
        <f t="shared" si="153"/>
        <v>0.19193990347750062</v>
      </c>
      <c r="BZ1116" s="3" t="str">
        <f t="shared" si="154"/>
        <v>OK</v>
      </c>
    </row>
    <row r="1117" spans="1:78">
      <c r="A1117" s="76"/>
      <c r="B1117" s="76"/>
      <c r="C1117" s="125"/>
      <c r="D1117" s="125"/>
      <c r="E1117" s="71"/>
      <c r="F1117" s="71"/>
      <c r="G1117" s="71"/>
      <c r="H1117" s="126"/>
      <c r="I1117" s="125"/>
      <c r="J1117" s="123"/>
      <c r="K1117" s="12"/>
      <c r="L1117" s="117"/>
      <c r="M1117" s="12"/>
      <c r="N1117" s="117"/>
      <c r="O1117" s="117"/>
      <c r="P1117" s="117"/>
      <c r="Q1117" s="118"/>
      <c r="R1117" s="118"/>
      <c r="S1117" s="118"/>
      <c r="T1117" s="12"/>
      <c r="U1117" s="118"/>
      <c r="V1117" s="118"/>
      <c r="W1117" s="12"/>
      <c r="X1117" s="119"/>
      <c r="Y1117" s="120"/>
      <c r="Z1117" s="12"/>
      <c r="BA1117" s="70" t="s">
        <v>205</v>
      </c>
      <c r="BB1117" s="71" t="s">
        <v>211</v>
      </c>
      <c r="BC1117" s="71" t="s">
        <v>207</v>
      </c>
      <c r="BD1117" s="71">
        <v>0</v>
      </c>
      <c r="BE1117" s="71">
        <v>6.85</v>
      </c>
      <c r="BF1117" s="71">
        <v>268</v>
      </c>
      <c r="BG1117" s="71">
        <v>212</v>
      </c>
      <c r="BH1117" s="71">
        <v>5</v>
      </c>
      <c r="BI1117" s="71">
        <v>10</v>
      </c>
      <c r="BJ1117" s="12" t="str" cm="1">
        <f t="array" ref="BJ1117">_xll.Dce_Name_SectI(BF1117, BF1117, BG1117, BH1117, BI1117, "x", "-", $AX$11)</f>
        <v>268x212x5x10</v>
      </c>
      <c r="BK1117" s="77" cm="1">
        <f t="array" ref="BK1117">_xll.DCEPropSectI(BF1117, BH1117, BG1117, BI1117, BG1117, BI1117, "A")/100</f>
        <v>54.8</v>
      </c>
      <c r="BL1117" s="70" t="s">
        <v>222</v>
      </c>
      <c r="BM1117" s="70">
        <v>-90.926375600606264</v>
      </c>
      <c r="BN1117" s="71">
        <v>0.9</v>
      </c>
      <c r="BO1117" s="77">
        <f t="shared" si="147"/>
        <v>6.165</v>
      </c>
      <c r="BP1117" s="71">
        <v>0.9</v>
      </c>
      <c r="BQ1117" s="77">
        <f t="shared" si="148"/>
        <v>6.165</v>
      </c>
      <c r="BR1117" s="77" cm="1">
        <f t="array" ref="BR1117">_xll.DCEPropSectI(BF1117, BH1117, BG1117, BI1117, BG1117, BI1117, "rx")/10</f>
        <v>11.847052463297633</v>
      </c>
      <c r="BS1117" s="77" cm="1">
        <f t="array" ref="BS1117">_xll.DCEPropSectI(BF1117, BH1117, BG1117, BI1117, BG1117, BI1117, "ry")/10</f>
        <v>5.3836052600564113</v>
      </c>
      <c r="BT1117" s="5">
        <f t="shared" si="149"/>
        <v>52.038260310733605</v>
      </c>
      <c r="BU1117" s="5">
        <f t="shared" si="150"/>
        <v>114.5143394100815</v>
      </c>
      <c r="BV1117" s="5">
        <f t="shared" si="151"/>
        <v>114.5143394100815</v>
      </c>
      <c r="BW1117" s="71">
        <f t="shared" si="152"/>
        <v>200</v>
      </c>
      <c r="BX1117" s="78" cm="1">
        <f t="array" ref="BX1117">IF(BM1117&gt;0,1,_xll.DCETCVN5575FactorPhi7121(BV1117*SQRT($K$17/206000),"b"))</f>
        <v>0.47786839095804584</v>
      </c>
      <c r="BY1117" s="64">
        <f t="shared" si="153"/>
        <v>0.16534144248591914</v>
      </c>
      <c r="BZ1117" s="3" t="str">
        <f t="shared" si="154"/>
        <v>OK</v>
      </c>
    </row>
    <row r="1118" spans="1:78">
      <c r="A1118" s="76"/>
      <c r="B1118" s="76"/>
      <c r="C1118" s="125"/>
      <c r="D1118" s="125"/>
      <c r="E1118" s="71"/>
      <c r="F1118" s="71"/>
      <c r="G1118" s="71"/>
      <c r="H1118" s="126"/>
      <c r="I1118" s="125"/>
      <c r="J1118" s="123"/>
      <c r="K1118" s="12"/>
      <c r="L1118" s="117"/>
      <c r="M1118" s="12"/>
      <c r="N1118" s="117"/>
      <c r="O1118" s="117"/>
      <c r="P1118" s="117"/>
      <c r="Q1118" s="118"/>
      <c r="R1118" s="118"/>
      <c r="S1118" s="118"/>
      <c r="T1118" s="12"/>
      <c r="U1118" s="118"/>
      <c r="V1118" s="118"/>
      <c r="W1118" s="12"/>
      <c r="X1118" s="119"/>
      <c r="Y1118" s="120"/>
      <c r="Z1118" s="12"/>
      <c r="BA1118" s="70" t="s">
        <v>205</v>
      </c>
      <c r="BB1118" s="71" t="s">
        <v>211</v>
      </c>
      <c r="BC1118" s="71" t="s">
        <v>207</v>
      </c>
      <c r="BD1118" s="71">
        <v>0.86</v>
      </c>
      <c r="BE1118" s="71">
        <v>6.85</v>
      </c>
      <c r="BF1118" s="71">
        <v>268</v>
      </c>
      <c r="BG1118" s="71">
        <v>212</v>
      </c>
      <c r="BH1118" s="71">
        <v>5</v>
      </c>
      <c r="BI1118" s="71">
        <v>10</v>
      </c>
      <c r="BJ1118" s="12" t="str" cm="1">
        <f t="array" ref="BJ1118">_xll.Dce_Name_SectI(BF1118, BF1118, BG1118, BH1118, BI1118, "x", "-", $AX$11)</f>
        <v>268x212x5x10</v>
      </c>
      <c r="BK1118" s="77" cm="1">
        <f t="array" ref="BK1118">_xll.DCEPropSectI(BF1118, BH1118, BG1118, BI1118, BG1118, BI1118, "A")/100</f>
        <v>54.8</v>
      </c>
      <c r="BL1118" s="70" t="s">
        <v>222</v>
      </c>
      <c r="BM1118" s="70">
        <v>-91.287551521439354</v>
      </c>
      <c r="BN1118" s="71">
        <v>0.9</v>
      </c>
      <c r="BO1118" s="77">
        <f t="shared" si="147"/>
        <v>6.165</v>
      </c>
      <c r="BP1118" s="71">
        <v>0.9</v>
      </c>
      <c r="BQ1118" s="77">
        <f t="shared" si="148"/>
        <v>6.165</v>
      </c>
      <c r="BR1118" s="77" cm="1">
        <f t="array" ref="BR1118">_xll.DCEPropSectI(BF1118, BH1118, BG1118, BI1118, BG1118, BI1118, "rx")/10</f>
        <v>11.847052463297633</v>
      </c>
      <c r="BS1118" s="77" cm="1">
        <f t="array" ref="BS1118">_xll.DCEPropSectI(BF1118, BH1118, BG1118, BI1118, BG1118, BI1118, "ry")/10</f>
        <v>5.3836052600564113</v>
      </c>
      <c r="BT1118" s="5">
        <f t="shared" si="149"/>
        <v>52.038260310733605</v>
      </c>
      <c r="BU1118" s="5">
        <f t="shared" si="150"/>
        <v>114.5143394100815</v>
      </c>
      <c r="BV1118" s="5">
        <f t="shared" si="151"/>
        <v>114.5143394100815</v>
      </c>
      <c r="BW1118" s="71">
        <f t="shared" si="152"/>
        <v>200</v>
      </c>
      <c r="BX1118" s="78" cm="1">
        <f t="array" ref="BX1118">IF(BM1118&gt;0,1,_xll.DCETCVN5575FactorPhi7121(BV1118*SQRT($K$17/206000),"b"))</f>
        <v>0.47786839095804584</v>
      </c>
      <c r="BY1118" s="64">
        <f t="shared" si="153"/>
        <v>0.16599820843911223</v>
      </c>
      <c r="BZ1118" s="3" t="str">
        <f t="shared" si="154"/>
        <v>OK</v>
      </c>
    </row>
    <row r="1119" spans="1:78">
      <c r="A1119" s="76"/>
      <c r="B1119" s="76"/>
      <c r="C1119" s="125"/>
      <c r="D1119" s="125"/>
      <c r="E1119" s="71"/>
      <c r="F1119" s="71"/>
      <c r="G1119" s="71"/>
      <c r="H1119" s="126"/>
      <c r="I1119" s="125"/>
      <c r="J1119" s="123"/>
      <c r="K1119" s="12"/>
      <c r="L1119" s="117"/>
      <c r="M1119" s="12"/>
      <c r="N1119" s="117"/>
      <c r="O1119" s="117"/>
      <c r="P1119" s="117"/>
      <c r="Q1119" s="118"/>
      <c r="R1119" s="118"/>
      <c r="S1119" s="118"/>
      <c r="T1119" s="12"/>
      <c r="U1119" s="118"/>
      <c r="V1119" s="118"/>
      <c r="W1119" s="12"/>
      <c r="X1119" s="119"/>
      <c r="Y1119" s="120"/>
      <c r="Z1119" s="12"/>
      <c r="BA1119" s="70" t="s">
        <v>205</v>
      </c>
      <c r="BB1119" s="71" t="s">
        <v>211</v>
      </c>
      <c r="BC1119" s="71" t="s">
        <v>207</v>
      </c>
      <c r="BD1119" s="71">
        <v>1.71</v>
      </c>
      <c r="BE1119" s="71">
        <v>6.85</v>
      </c>
      <c r="BF1119" s="71">
        <v>268</v>
      </c>
      <c r="BG1119" s="71">
        <v>212</v>
      </c>
      <c r="BH1119" s="71">
        <v>5</v>
      </c>
      <c r="BI1119" s="71">
        <v>10</v>
      </c>
      <c r="BJ1119" s="12" t="str" cm="1">
        <f t="array" ref="BJ1119">_xll.Dce_Name_SectI(BF1119, BF1119, BG1119, BH1119, BI1119, "x", "-", $AX$11)</f>
        <v>268x212x5x10</v>
      </c>
      <c r="BK1119" s="77" cm="1">
        <f t="array" ref="BK1119">_xll.DCEPropSectI(BF1119, BH1119, BG1119, BI1119, BG1119, BI1119, "A")/100</f>
        <v>54.8</v>
      </c>
      <c r="BL1119" s="70" t="s">
        <v>222</v>
      </c>
      <c r="BM1119" s="70">
        <v>-91.648727442272445</v>
      </c>
      <c r="BN1119" s="71">
        <v>0.9</v>
      </c>
      <c r="BO1119" s="77">
        <f t="shared" si="147"/>
        <v>6.165</v>
      </c>
      <c r="BP1119" s="71">
        <v>0.9</v>
      </c>
      <c r="BQ1119" s="77">
        <f t="shared" si="148"/>
        <v>6.165</v>
      </c>
      <c r="BR1119" s="77" cm="1">
        <f t="array" ref="BR1119">_xll.DCEPropSectI(BF1119, BH1119, BG1119, BI1119, BG1119, BI1119, "rx")/10</f>
        <v>11.847052463297633</v>
      </c>
      <c r="BS1119" s="77" cm="1">
        <f t="array" ref="BS1119">_xll.DCEPropSectI(BF1119, BH1119, BG1119, BI1119, BG1119, BI1119, "ry")/10</f>
        <v>5.3836052600564113</v>
      </c>
      <c r="BT1119" s="5">
        <f t="shared" si="149"/>
        <v>52.038260310733605</v>
      </c>
      <c r="BU1119" s="5">
        <f t="shared" si="150"/>
        <v>114.5143394100815</v>
      </c>
      <c r="BV1119" s="5">
        <f t="shared" si="151"/>
        <v>114.5143394100815</v>
      </c>
      <c r="BW1119" s="71">
        <f t="shared" si="152"/>
        <v>200</v>
      </c>
      <c r="BX1119" s="78" cm="1">
        <f t="array" ref="BX1119">IF(BM1119&gt;0,1,_xll.DCETCVN5575FactorPhi7121(BV1119*SQRT($K$17/206000),"b"))</f>
        <v>0.47786839095804584</v>
      </c>
      <c r="BY1119" s="64">
        <f t="shared" si="153"/>
        <v>0.16665497439230528</v>
      </c>
      <c r="BZ1119" s="3" t="str">
        <f t="shared" si="154"/>
        <v>OK</v>
      </c>
    </row>
    <row r="1120" spans="1:78">
      <c r="A1120" s="76"/>
      <c r="B1120" s="76"/>
      <c r="C1120" s="125"/>
      <c r="D1120" s="125"/>
      <c r="E1120" s="71"/>
      <c r="F1120" s="71"/>
      <c r="G1120" s="71"/>
      <c r="H1120" s="126"/>
      <c r="I1120" s="125"/>
      <c r="J1120" s="123"/>
      <c r="K1120" s="12"/>
      <c r="L1120" s="117"/>
      <c r="M1120" s="12"/>
      <c r="N1120" s="117"/>
      <c r="O1120" s="117"/>
      <c r="P1120" s="117"/>
      <c r="Q1120" s="118"/>
      <c r="R1120" s="118"/>
      <c r="S1120" s="118"/>
      <c r="T1120" s="12"/>
      <c r="U1120" s="118"/>
      <c r="V1120" s="118"/>
      <c r="W1120" s="12"/>
      <c r="X1120" s="119"/>
      <c r="Y1120" s="120"/>
      <c r="Z1120" s="12"/>
      <c r="BA1120" s="70" t="s">
        <v>205</v>
      </c>
      <c r="BB1120" s="71" t="s">
        <v>211</v>
      </c>
      <c r="BC1120" s="71" t="s">
        <v>207</v>
      </c>
      <c r="BD1120" s="71">
        <v>2.57</v>
      </c>
      <c r="BE1120" s="71">
        <v>6.85</v>
      </c>
      <c r="BF1120" s="71">
        <v>268</v>
      </c>
      <c r="BG1120" s="71">
        <v>212</v>
      </c>
      <c r="BH1120" s="71">
        <v>5</v>
      </c>
      <c r="BI1120" s="71">
        <v>10</v>
      </c>
      <c r="BJ1120" s="12" t="str" cm="1">
        <f t="array" ref="BJ1120">_xll.Dce_Name_SectI(BF1120, BF1120, BG1120, BH1120, BI1120, "x", "-", $AX$11)</f>
        <v>268x212x5x10</v>
      </c>
      <c r="BK1120" s="77" cm="1">
        <f t="array" ref="BK1120">_xll.DCEPropSectI(BF1120, BH1120, BG1120, BI1120, BG1120, BI1120, "A")/100</f>
        <v>54.8</v>
      </c>
      <c r="BL1120" s="70" t="s">
        <v>222</v>
      </c>
      <c r="BM1120" s="70">
        <v>-92.009903363105536</v>
      </c>
      <c r="BN1120" s="71">
        <v>0.9</v>
      </c>
      <c r="BO1120" s="77">
        <f t="shared" si="147"/>
        <v>6.165</v>
      </c>
      <c r="BP1120" s="71">
        <v>0.9</v>
      </c>
      <c r="BQ1120" s="77">
        <f t="shared" si="148"/>
        <v>6.165</v>
      </c>
      <c r="BR1120" s="77" cm="1">
        <f t="array" ref="BR1120">_xll.DCEPropSectI(BF1120, BH1120, BG1120, BI1120, BG1120, BI1120, "rx")/10</f>
        <v>11.847052463297633</v>
      </c>
      <c r="BS1120" s="77" cm="1">
        <f t="array" ref="BS1120">_xll.DCEPropSectI(BF1120, BH1120, BG1120, BI1120, BG1120, BI1120, "ry")/10</f>
        <v>5.3836052600564113</v>
      </c>
      <c r="BT1120" s="5">
        <f t="shared" si="149"/>
        <v>52.038260310733605</v>
      </c>
      <c r="BU1120" s="5">
        <f t="shared" si="150"/>
        <v>114.5143394100815</v>
      </c>
      <c r="BV1120" s="5">
        <f t="shared" si="151"/>
        <v>114.5143394100815</v>
      </c>
      <c r="BW1120" s="71">
        <f t="shared" si="152"/>
        <v>200</v>
      </c>
      <c r="BX1120" s="78" cm="1">
        <f t="array" ref="BX1120">IF(BM1120&gt;0,1,_xll.DCETCVN5575FactorPhi7121(BV1120*SQRT($K$17/206000),"b"))</f>
        <v>0.47786839095804584</v>
      </c>
      <c r="BY1120" s="64">
        <f t="shared" si="153"/>
        <v>0.16731174034549837</v>
      </c>
      <c r="BZ1120" s="3" t="str">
        <f t="shared" si="154"/>
        <v>OK</v>
      </c>
    </row>
    <row r="1121" spans="1:78">
      <c r="A1121" s="76"/>
      <c r="B1121" s="76"/>
      <c r="C1121" s="125"/>
      <c r="D1121" s="125"/>
      <c r="E1121" s="71"/>
      <c r="F1121" s="71"/>
      <c r="G1121" s="71"/>
      <c r="H1121" s="126"/>
      <c r="I1121" s="125"/>
      <c r="J1121" s="123"/>
      <c r="K1121" s="12"/>
      <c r="L1121" s="117"/>
      <c r="M1121" s="12"/>
      <c r="N1121" s="117"/>
      <c r="O1121" s="117"/>
      <c r="P1121" s="117"/>
      <c r="Q1121" s="118"/>
      <c r="R1121" s="118"/>
      <c r="S1121" s="118"/>
      <c r="T1121" s="12"/>
      <c r="U1121" s="118"/>
      <c r="V1121" s="118"/>
      <c r="W1121" s="12"/>
      <c r="X1121" s="119"/>
      <c r="Y1121" s="120"/>
      <c r="Z1121" s="12"/>
      <c r="BA1121" s="70" t="s">
        <v>205</v>
      </c>
      <c r="BB1121" s="71" t="s">
        <v>211</v>
      </c>
      <c r="BC1121" s="71" t="s">
        <v>207</v>
      </c>
      <c r="BD1121" s="71">
        <v>3.42</v>
      </c>
      <c r="BE1121" s="71">
        <v>6.85</v>
      </c>
      <c r="BF1121" s="71">
        <v>268</v>
      </c>
      <c r="BG1121" s="71">
        <v>212</v>
      </c>
      <c r="BH1121" s="71">
        <v>5</v>
      </c>
      <c r="BI1121" s="71">
        <v>10</v>
      </c>
      <c r="BJ1121" s="12" t="str" cm="1">
        <f t="array" ref="BJ1121">_xll.Dce_Name_SectI(BF1121, BF1121, BG1121, BH1121, BI1121, "x", "-", $AX$11)</f>
        <v>268x212x5x10</v>
      </c>
      <c r="BK1121" s="77" cm="1">
        <f t="array" ref="BK1121">_xll.DCEPropSectI(BF1121, BH1121, BG1121, BI1121, BG1121, BI1121, "A")/100</f>
        <v>54.8</v>
      </c>
      <c r="BL1121" s="70" t="s">
        <v>222</v>
      </c>
      <c r="BM1121" s="70">
        <v>-92.371079283938627</v>
      </c>
      <c r="BN1121" s="71">
        <v>0.9</v>
      </c>
      <c r="BO1121" s="77">
        <f t="shared" si="147"/>
        <v>6.165</v>
      </c>
      <c r="BP1121" s="71">
        <v>0.9</v>
      </c>
      <c r="BQ1121" s="77">
        <f t="shared" si="148"/>
        <v>6.165</v>
      </c>
      <c r="BR1121" s="77" cm="1">
        <f t="array" ref="BR1121">_xll.DCEPropSectI(BF1121, BH1121, BG1121, BI1121, BG1121, BI1121, "rx")/10</f>
        <v>11.847052463297633</v>
      </c>
      <c r="BS1121" s="77" cm="1">
        <f t="array" ref="BS1121">_xll.DCEPropSectI(BF1121, BH1121, BG1121, BI1121, BG1121, BI1121, "ry")/10</f>
        <v>5.3836052600564113</v>
      </c>
      <c r="BT1121" s="5">
        <f t="shared" si="149"/>
        <v>52.038260310733605</v>
      </c>
      <c r="BU1121" s="5">
        <f t="shared" si="150"/>
        <v>114.5143394100815</v>
      </c>
      <c r="BV1121" s="5">
        <f t="shared" si="151"/>
        <v>114.5143394100815</v>
      </c>
      <c r="BW1121" s="71">
        <f t="shared" si="152"/>
        <v>200</v>
      </c>
      <c r="BX1121" s="78" cm="1">
        <f t="array" ref="BX1121">IF(BM1121&gt;0,1,_xll.DCETCVN5575FactorPhi7121(BV1121*SQRT($K$17/206000),"b"))</f>
        <v>0.47786839095804584</v>
      </c>
      <c r="BY1121" s="64">
        <f t="shared" si="153"/>
        <v>0.16796850629869142</v>
      </c>
      <c r="BZ1121" s="3" t="str">
        <f t="shared" si="154"/>
        <v>OK</v>
      </c>
    </row>
    <row r="1122" spans="1:78">
      <c r="A1122" s="76"/>
      <c r="B1122" s="76"/>
      <c r="C1122" s="125"/>
      <c r="D1122" s="125"/>
      <c r="E1122" s="71"/>
      <c r="F1122" s="71"/>
      <c r="G1122" s="71"/>
      <c r="H1122" s="126"/>
      <c r="I1122" s="125"/>
      <c r="J1122" s="123"/>
      <c r="K1122" s="12"/>
      <c r="L1122" s="117"/>
      <c r="M1122" s="12"/>
      <c r="N1122" s="117"/>
      <c r="O1122" s="117"/>
      <c r="P1122" s="117"/>
      <c r="Q1122" s="118"/>
      <c r="R1122" s="118"/>
      <c r="S1122" s="118"/>
      <c r="T1122" s="12"/>
      <c r="U1122" s="118"/>
      <c r="V1122" s="118"/>
      <c r="W1122" s="12"/>
      <c r="X1122" s="119"/>
      <c r="Y1122" s="120"/>
      <c r="Z1122" s="12"/>
      <c r="BA1122" s="70" t="s">
        <v>205</v>
      </c>
      <c r="BB1122" s="71" t="s">
        <v>211</v>
      </c>
      <c r="BC1122" s="71" t="s">
        <v>207</v>
      </c>
      <c r="BD1122" s="71">
        <v>4.28</v>
      </c>
      <c r="BE1122" s="71">
        <v>6.85</v>
      </c>
      <c r="BF1122" s="71">
        <v>268</v>
      </c>
      <c r="BG1122" s="71">
        <v>212</v>
      </c>
      <c r="BH1122" s="71">
        <v>5</v>
      </c>
      <c r="BI1122" s="71">
        <v>10</v>
      </c>
      <c r="BJ1122" s="12" t="str" cm="1">
        <f t="array" ref="BJ1122">_xll.Dce_Name_SectI(BF1122, BF1122, BG1122, BH1122, BI1122, "x", "-", $AX$11)</f>
        <v>268x212x5x10</v>
      </c>
      <c r="BK1122" s="77" cm="1">
        <f t="array" ref="BK1122">_xll.DCEPropSectI(BF1122, BH1122, BG1122, BI1122, BG1122, BI1122, "A")/100</f>
        <v>54.8</v>
      </c>
      <c r="BL1122" s="70" t="s">
        <v>222</v>
      </c>
      <c r="BM1122" s="70">
        <v>-92.732255204771718</v>
      </c>
      <c r="BN1122" s="71">
        <v>0.9</v>
      </c>
      <c r="BO1122" s="77">
        <f t="shared" si="147"/>
        <v>6.165</v>
      </c>
      <c r="BP1122" s="71">
        <v>0.9</v>
      </c>
      <c r="BQ1122" s="77">
        <f t="shared" si="148"/>
        <v>6.165</v>
      </c>
      <c r="BR1122" s="77" cm="1">
        <f t="array" ref="BR1122">_xll.DCEPropSectI(BF1122, BH1122, BG1122, BI1122, BG1122, BI1122, "rx")/10</f>
        <v>11.847052463297633</v>
      </c>
      <c r="BS1122" s="77" cm="1">
        <f t="array" ref="BS1122">_xll.DCEPropSectI(BF1122, BH1122, BG1122, BI1122, BG1122, BI1122, "ry")/10</f>
        <v>5.3836052600564113</v>
      </c>
      <c r="BT1122" s="5">
        <f t="shared" si="149"/>
        <v>52.038260310733605</v>
      </c>
      <c r="BU1122" s="5">
        <f t="shared" si="150"/>
        <v>114.5143394100815</v>
      </c>
      <c r="BV1122" s="5">
        <f t="shared" si="151"/>
        <v>114.5143394100815</v>
      </c>
      <c r="BW1122" s="71">
        <f t="shared" si="152"/>
        <v>200</v>
      </c>
      <c r="BX1122" s="78" cm="1">
        <f t="array" ref="BX1122">IF(BM1122&gt;0,1,_xll.DCETCVN5575FactorPhi7121(BV1122*SQRT($K$17/206000),"b"))</f>
        <v>0.47786839095804584</v>
      </c>
      <c r="BY1122" s="64">
        <f t="shared" si="153"/>
        <v>0.16862527225188451</v>
      </c>
      <c r="BZ1122" s="3" t="str">
        <f t="shared" si="154"/>
        <v>OK</v>
      </c>
    </row>
    <row r="1123" spans="1:78">
      <c r="A1123" s="76"/>
      <c r="B1123" s="76"/>
      <c r="C1123" s="125"/>
      <c r="D1123" s="125"/>
      <c r="E1123" s="71"/>
      <c r="F1123" s="71"/>
      <c r="G1123" s="71"/>
      <c r="H1123" s="126"/>
      <c r="I1123" s="125"/>
      <c r="J1123" s="123"/>
      <c r="K1123" s="12"/>
      <c r="L1123" s="117"/>
      <c r="M1123" s="12"/>
      <c r="N1123" s="117"/>
      <c r="O1123" s="117"/>
      <c r="P1123" s="117"/>
      <c r="Q1123" s="118"/>
      <c r="R1123" s="118"/>
      <c r="S1123" s="118"/>
      <c r="T1123" s="12"/>
      <c r="U1123" s="118"/>
      <c r="V1123" s="118"/>
      <c r="W1123" s="12"/>
      <c r="X1123" s="119"/>
      <c r="Y1123" s="120"/>
      <c r="Z1123" s="12"/>
      <c r="BA1123" s="70" t="s">
        <v>205</v>
      </c>
      <c r="BB1123" s="71" t="s">
        <v>211</v>
      </c>
      <c r="BC1123" s="71" t="s">
        <v>207</v>
      </c>
      <c r="BD1123" s="71">
        <v>5.14</v>
      </c>
      <c r="BE1123" s="71">
        <v>6.85</v>
      </c>
      <c r="BF1123" s="71">
        <v>268</v>
      </c>
      <c r="BG1123" s="71">
        <v>212</v>
      </c>
      <c r="BH1123" s="71">
        <v>5</v>
      </c>
      <c r="BI1123" s="71">
        <v>10</v>
      </c>
      <c r="BJ1123" s="12" t="str" cm="1">
        <f t="array" ref="BJ1123">_xll.Dce_Name_SectI(BF1123, BF1123, BG1123, BH1123, BI1123, "x", "-", $AX$11)</f>
        <v>268x212x5x10</v>
      </c>
      <c r="BK1123" s="77" cm="1">
        <f t="array" ref="BK1123">_xll.DCEPropSectI(BF1123, BH1123, BG1123, BI1123, BG1123, BI1123, "A")/100</f>
        <v>54.8</v>
      </c>
      <c r="BL1123" s="70" t="s">
        <v>222</v>
      </c>
      <c r="BM1123" s="70">
        <v>-93.093431125604809</v>
      </c>
      <c r="BN1123" s="71">
        <v>0.9</v>
      </c>
      <c r="BO1123" s="77">
        <f t="shared" si="147"/>
        <v>6.165</v>
      </c>
      <c r="BP1123" s="71">
        <v>0.9</v>
      </c>
      <c r="BQ1123" s="77">
        <f t="shared" si="148"/>
        <v>6.165</v>
      </c>
      <c r="BR1123" s="77" cm="1">
        <f t="array" ref="BR1123">_xll.DCEPropSectI(BF1123, BH1123, BG1123, BI1123, BG1123, BI1123, "rx")/10</f>
        <v>11.847052463297633</v>
      </c>
      <c r="BS1123" s="77" cm="1">
        <f t="array" ref="BS1123">_xll.DCEPropSectI(BF1123, BH1123, BG1123, BI1123, BG1123, BI1123, "ry")/10</f>
        <v>5.3836052600564113</v>
      </c>
      <c r="BT1123" s="5">
        <f t="shared" si="149"/>
        <v>52.038260310733605</v>
      </c>
      <c r="BU1123" s="5">
        <f t="shared" si="150"/>
        <v>114.5143394100815</v>
      </c>
      <c r="BV1123" s="5">
        <f t="shared" si="151"/>
        <v>114.5143394100815</v>
      </c>
      <c r="BW1123" s="71">
        <f t="shared" si="152"/>
        <v>200</v>
      </c>
      <c r="BX1123" s="78" cm="1">
        <f t="array" ref="BX1123">IF(BM1123&gt;0,1,_xll.DCETCVN5575FactorPhi7121(BV1123*SQRT($K$17/206000),"b"))</f>
        <v>0.47786839095804584</v>
      </c>
      <c r="BY1123" s="64">
        <f t="shared" si="153"/>
        <v>0.16928203820507759</v>
      </c>
      <c r="BZ1123" s="3" t="str">
        <f t="shared" si="154"/>
        <v>OK</v>
      </c>
    </row>
    <row r="1124" spans="1:78">
      <c r="A1124" s="76"/>
      <c r="B1124" s="76"/>
      <c r="C1124" s="125"/>
      <c r="D1124" s="125"/>
      <c r="E1124" s="71"/>
      <c r="F1124" s="71"/>
      <c r="G1124" s="71"/>
      <c r="H1124" s="126"/>
      <c r="I1124" s="125"/>
      <c r="J1124" s="123"/>
      <c r="K1124" s="12"/>
      <c r="L1124" s="117"/>
      <c r="M1124" s="12"/>
      <c r="N1124" s="117"/>
      <c r="O1124" s="117"/>
      <c r="P1124" s="117"/>
      <c r="Q1124" s="118"/>
      <c r="R1124" s="118"/>
      <c r="S1124" s="118"/>
      <c r="T1124" s="12"/>
      <c r="U1124" s="118"/>
      <c r="V1124" s="118"/>
      <c r="W1124" s="12"/>
      <c r="X1124" s="119"/>
      <c r="Y1124" s="120"/>
      <c r="Z1124" s="12"/>
      <c r="BA1124" s="70" t="s">
        <v>205</v>
      </c>
      <c r="BB1124" s="71" t="s">
        <v>211</v>
      </c>
      <c r="BC1124" s="71" t="s">
        <v>207</v>
      </c>
      <c r="BD1124" s="71">
        <v>5.99</v>
      </c>
      <c r="BE1124" s="71">
        <v>6.85</v>
      </c>
      <c r="BF1124" s="71">
        <v>268</v>
      </c>
      <c r="BG1124" s="71">
        <v>212</v>
      </c>
      <c r="BH1124" s="71">
        <v>5</v>
      </c>
      <c r="BI1124" s="71">
        <v>10</v>
      </c>
      <c r="BJ1124" s="12" t="str" cm="1">
        <f t="array" ref="BJ1124">_xll.Dce_Name_SectI(BF1124, BF1124, BG1124, BH1124, BI1124, "x", "-", $AX$11)</f>
        <v>268x212x5x10</v>
      </c>
      <c r="BK1124" s="77" cm="1">
        <f t="array" ref="BK1124">_xll.DCEPropSectI(BF1124, BH1124, BG1124, BI1124, BG1124, BI1124, "A")/100</f>
        <v>54.8</v>
      </c>
      <c r="BL1124" s="70" t="s">
        <v>222</v>
      </c>
      <c r="BM1124" s="70">
        <v>-93.4546070464379</v>
      </c>
      <c r="BN1124" s="71">
        <v>0.9</v>
      </c>
      <c r="BO1124" s="77">
        <f t="shared" si="147"/>
        <v>6.165</v>
      </c>
      <c r="BP1124" s="71">
        <v>0.9</v>
      </c>
      <c r="BQ1124" s="77">
        <f t="shared" si="148"/>
        <v>6.165</v>
      </c>
      <c r="BR1124" s="77" cm="1">
        <f t="array" ref="BR1124">_xll.DCEPropSectI(BF1124, BH1124, BG1124, BI1124, BG1124, BI1124, "rx")/10</f>
        <v>11.847052463297633</v>
      </c>
      <c r="BS1124" s="77" cm="1">
        <f t="array" ref="BS1124">_xll.DCEPropSectI(BF1124, BH1124, BG1124, BI1124, BG1124, BI1124, "ry")/10</f>
        <v>5.3836052600564113</v>
      </c>
      <c r="BT1124" s="5">
        <f t="shared" si="149"/>
        <v>52.038260310733605</v>
      </c>
      <c r="BU1124" s="5">
        <f t="shared" si="150"/>
        <v>114.5143394100815</v>
      </c>
      <c r="BV1124" s="5">
        <f t="shared" si="151"/>
        <v>114.5143394100815</v>
      </c>
      <c r="BW1124" s="71">
        <f t="shared" si="152"/>
        <v>200</v>
      </c>
      <c r="BX1124" s="78" cm="1">
        <f t="array" ref="BX1124">IF(BM1124&gt;0,1,_xll.DCETCVN5575FactorPhi7121(BV1124*SQRT($K$17/206000),"b"))</f>
        <v>0.47786839095804584</v>
      </c>
      <c r="BY1124" s="64">
        <f t="shared" si="153"/>
        <v>0.16993880415827062</v>
      </c>
      <c r="BZ1124" s="3" t="str">
        <f t="shared" si="154"/>
        <v>OK</v>
      </c>
    </row>
    <row r="1125" spans="1:78">
      <c r="A1125" s="76"/>
      <c r="B1125" s="76"/>
      <c r="C1125" s="125"/>
      <c r="D1125" s="125"/>
      <c r="E1125" s="71"/>
      <c r="F1125" s="71"/>
      <c r="G1125" s="71"/>
      <c r="H1125" s="126"/>
      <c r="I1125" s="125"/>
      <c r="J1125" s="123"/>
      <c r="K1125" s="12"/>
      <c r="L1125" s="117"/>
      <c r="M1125" s="12"/>
      <c r="N1125" s="117"/>
      <c r="O1125" s="117"/>
      <c r="P1125" s="117"/>
      <c r="Q1125" s="118"/>
      <c r="R1125" s="118"/>
      <c r="S1125" s="118"/>
      <c r="T1125" s="12"/>
      <c r="U1125" s="118"/>
      <c r="V1125" s="118"/>
      <c r="W1125" s="12"/>
      <c r="X1125" s="119"/>
      <c r="Y1125" s="120"/>
      <c r="Z1125" s="12"/>
      <c r="BA1125" s="70" t="s">
        <v>205</v>
      </c>
      <c r="BB1125" s="71" t="s">
        <v>211</v>
      </c>
      <c r="BC1125" s="71" t="s">
        <v>207</v>
      </c>
      <c r="BD1125" s="71">
        <v>6.85</v>
      </c>
      <c r="BE1125" s="71">
        <v>6.85</v>
      </c>
      <c r="BF1125" s="71">
        <v>268</v>
      </c>
      <c r="BG1125" s="71">
        <v>212</v>
      </c>
      <c r="BH1125" s="71">
        <v>5</v>
      </c>
      <c r="BI1125" s="71">
        <v>10</v>
      </c>
      <c r="BJ1125" s="12" t="str" cm="1">
        <f t="array" ref="BJ1125">_xll.Dce_Name_SectI(BF1125, BF1125, BG1125, BH1125, BI1125, "x", "-", $AX$11)</f>
        <v>268x212x5x10</v>
      </c>
      <c r="BK1125" s="77" cm="1">
        <f t="array" ref="BK1125">_xll.DCEPropSectI(BF1125, BH1125, BG1125, BI1125, BG1125, BI1125, "A")/100</f>
        <v>54.8</v>
      </c>
      <c r="BL1125" s="70" t="s">
        <v>222</v>
      </c>
      <c r="BM1125" s="70">
        <v>-93.815782967270991</v>
      </c>
      <c r="BN1125" s="71">
        <v>0.9</v>
      </c>
      <c r="BO1125" s="77">
        <f t="shared" si="147"/>
        <v>6.165</v>
      </c>
      <c r="BP1125" s="71">
        <v>0.9</v>
      </c>
      <c r="BQ1125" s="77">
        <f t="shared" si="148"/>
        <v>6.165</v>
      </c>
      <c r="BR1125" s="77" cm="1">
        <f t="array" ref="BR1125">_xll.DCEPropSectI(BF1125, BH1125, BG1125, BI1125, BG1125, BI1125, "rx")/10</f>
        <v>11.847052463297633</v>
      </c>
      <c r="BS1125" s="77" cm="1">
        <f t="array" ref="BS1125">_xll.DCEPropSectI(BF1125, BH1125, BG1125, BI1125, BG1125, BI1125, "ry")/10</f>
        <v>5.3836052600564113</v>
      </c>
      <c r="BT1125" s="5">
        <f t="shared" si="149"/>
        <v>52.038260310733605</v>
      </c>
      <c r="BU1125" s="5">
        <f t="shared" si="150"/>
        <v>114.5143394100815</v>
      </c>
      <c r="BV1125" s="5">
        <f t="shared" si="151"/>
        <v>114.5143394100815</v>
      </c>
      <c r="BW1125" s="71">
        <f t="shared" si="152"/>
        <v>200</v>
      </c>
      <c r="BX1125" s="78" cm="1">
        <f t="array" ref="BX1125">IF(BM1125&gt;0,1,_xll.DCETCVN5575FactorPhi7121(BV1125*SQRT($K$17/206000),"b"))</f>
        <v>0.47786839095804584</v>
      </c>
      <c r="BY1125" s="64">
        <f t="shared" si="153"/>
        <v>0.1705955701114637</v>
      </c>
      <c r="BZ1125" s="3" t="str">
        <f t="shared" si="154"/>
        <v>OK</v>
      </c>
    </row>
    <row r="1126" spans="1:78">
      <c r="A1126" s="76"/>
      <c r="B1126" s="76"/>
      <c r="C1126" s="125"/>
      <c r="D1126" s="125"/>
      <c r="E1126" s="71"/>
      <c r="F1126" s="71"/>
      <c r="G1126" s="71"/>
      <c r="H1126" s="126"/>
      <c r="I1126" s="125"/>
      <c r="J1126" s="123"/>
      <c r="K1126" s="12"/>
      <c r="L1126" s="117"/>
      <c r="M1126" s="12"/>
      <c r="N1126" s="117"/>
      <c r="O1126" s="117"/>
      <c r="P1126" s="117"/>
      <c r="Q1126" s="118"/>
      <c r="R1126" s="118"/>
      <c r="S1126" s="118"/>
      <c r="T1126" s="12"/>
      <c r="U1126" s="118"/>
      <c r="V1126" s="118"/>
      <c r="W1126" s="12"/>
      <c r="X1126" s="119"/>
      <c r="Y1126" s="120"/>
      <c r="Z1126" s="12"/>
      <c r="BA1126" s="70" t="s">
        <v>205</v>
      </c>
      <c r="BB1126" s="71" t="s">
        <v>211</v>
      </c>
      <c r="BC1126" s="71" t="s">
        <v>207</v>
      </c>
      <c r="BD1126" s="71">
        <v>0</v>
      </c>
      <c r="BE1126" s="71">
        <v>6.85</v>
      </c>
      <c r="BF1126" s="71">
        <v>268</v>
      </c>
      <c r="BG1126" s="71">
        <v>212</v>
      </c>
      <c r="BH1126" s="71">
        <v>5</v>
      </c>
      <c r="BI1126" s="71">
        <v>10</v>
      </c>
      <c r="BJ1126" s="12" t="str" cm="1">
        <f t="array" ref="BJ1126">_xll.Dce_Name_SectI(BF1126, BF1126, BG1126, BH1126, BI1126, "x", "-", $AX$11)</f>
        <v>268x212x5x10</v>
      </c>
      <c r="BK1126" s="77" cm="1">
        <f t="array" ref="BK1126">_xll.DCEPropSectI(BF1126, BH1126, BG1126, BI1126, BG1126, BI1126, "A")/100</f>
        <v>54.8</v>
      </c>
      <c r="BL1126" s="70" t="s">
        <v>223</v>
      </c>
      <c r="BM1126" s="70">
        <v>-59.30534136846687</v>
      </c>
      <c r="BN1126" s="71">
        <v>0.9</v>
      </c>
      <c r="BO1126" s="77">
        <f t="shared" si="147"/>
        <v>6.165</v>
      </c>
      <c r="BP1126" s="71">
        <v>0.9</v>
      </c>
      <c r="BQ1126" s="77">
        <f t="shared" si="148"/>
        <v>6.165</v>
      </c>
      <c r="BR1126" s="77" cm="1">
        <f t="array" ref="BR1126">_xll.DCEPropSectI(BF1126, BH1126, BG1126, BI1126, BG1126, BI1126, "rx")/10</f>
        <v>11.847052463297633</v>
      </c>
      <c r="BS1126" s="77" cm="1">
        <f t="array" ref="BS1126">_xll.DCEPropSectI(BF1126, BH1126, BG1126, BI1126, BG1126, BI1126, "ry")/10</f>
        <v>5.3836052600564113</v>
      </c>
      <c r="BT1126" s="5">
        <f t="shared" si="149"/>
        <v>52.038260310733605</v>
      </c>
      <c r="BU1126" s="5">
        <f t="shared" si="150"/>
        <v>114.5143394100815</v>
      </c>
      <c r="BV1126" s="5">
        <f t="shared" si="151"/>
        <v>114.5143394100815</v>
      </c>
      <c r="BW1126" s="71">
        <f t="shared" si="152"/>
        <v>200</v>
      </c>
      <c r="BX1126" s="78" cm="1">
        <f t="array" ref="BX1126">IF(BM1126&gt;0,1,_xll.DCETCVN5575FactorPhi7121(BV1126*SQRT($K$17/206000),"b"))</f>
        <v>0.47786839095804584</v>
      </c>
      <c r="BY1126" s="64">
        <f t="shared" si="153"/>
        <v>0.10784143351378438</v>
      </c>
      <c r="BZ1126" s="3" t="str">
        <f t="shared" si="154"/>
        <v>OK</v>
      </c>
    </row>
    <row r="1127" spans="1:78">
      <c r="A1127" s="76"/>
      <c r="B1127" s="76"/>
      <c r="C1127" s="125"/>
      <c r="D1127" s="125"/>
      <c r="E1127" s="71"/>
      <c r="F1127" s="71"/>
      <c r="G1127" s="71"/>
      <c r="H1127" s="126"/>
      <c r="I1127" s="125"/>
      <c r="J1127" s="123"/>
      <c r="K1127" s="12"/>
      <c r="L1127" s="117"/>
      <c r="M1127" s="12"/>
      <c r="N1127" s="117"/>
      <c r="O1127" s="117"/>
      <c r="P1127" s="117"/>
      <c r="Q1127" s="118"/>
      <c r="R1127" s="118"/>
      <c r="S1127" s="118"/>
      <c r="T1127" s="12"/>
      <c r="U1127" s="118"/>
      <c r="V1127" s="118"/>
      <c r="W1127" s="12"/>
      <c r="X1127" s="119"/>
      <c r="Y1127" s="120"/>
      <c r="Z1127" s="12"/>
      <c r="BA1127" s="70" t="s">
        <v>205</v>
      </c>
      <c r="BB1127" s="71" t="s">
        <v>211</v>
      </c>
      <c r="BC1127" s="71" t="s">
        <v>207</v>
      </c>
      <c r="BD1127" s="71">
        <v>0.86</v>
      </c>
      <c r="BE1127" s="71">
        <v>6.85</v>
      </c>
      <c r="BF1127" s="71">
        <v>268</v>
      </c>
      <c r="BG1127" s="71">
        <v>212</v>
      </c>
      <c r="BH1127" s="71">
        <v>5</v>
      </c>
      <c r="BI1127" s="71">
        <v>10</v>
      </c>
      <c r="BJ1127" s="12" t="str" cm="1">
        <f t="array" ref="BJ1127">_xll.Dce_Name_SectI(BF1127, BF1127, BG1127, BH1127, BI1127, "x", "-", $AX$11)</f>
        <v>268x212x5x10</v>
      </c>
      <c r="BK1127" s="77" cm="1">
        <f t="array" ref="BK1127">_xll.DCEPropSectI(BF1127, BH1127, BG1127, BI1127, BG1127, BI1127, "A")/100</f>
        <v>54.8</v>
      </c>
      <c r="BL1127" s="70" t="s">
        <v>223</v>
      </c>
      <c r="BM1127" s="70">
        <v>-59.666517289299961</v>
      </c>
      <c r="BN1127" s="71">
        <v>0.9</v>
      </c>
      <c r="BO1127" s="77">
        <f t="shared" si="147"/>
        <v>6.165</v>
      </c>
      <c r="BP1127" s="71">
        <v>0.9</v>
      </c>
      <c r="BQ1127" s="77">
        <f t="shared" si="148"/>
        <v>6.165</v>
      </c>
      <c r="BR1127" s="77" cm="1">
        <f t="array" ref="BR1127">_xll.DCEPropSectI(BF1127, BH1127, BG1127, BI1127, BG1127, BI1127, "rx")/10</f>
        <v>11.847052463297633</v>
      </c>
      <c r="BS1127" s="77" cm="1">
        <f t="array" ref="BS1127">_xll.DCEPropSectI(BF1127, BH1127, BG1127, BI1127, BG1127, BI1127, "ry")/10</f>
        <v>5.3836052600564113</v>
      </c>
      <c r="BT1127" s="5">
        <f t="shared" si="149"/>
        <v>52.038260310733605</v>
      </c>
      <c r="BU1127" s="5">
        <f t="shared" si="150"/>
        <v>114.5143394100815</v>
      </c>
      <c r="BV1127" s="5">
        <f t="shared" si="151"/>
        <v>114.5143394100815</v>
      </c>
      <c r="BW1127" s="71">
        <f t="shared" si="152"/>
        <v>200</v>
      </c>
      <c r="BX1127" s="78" cm="1">
        <f t="array" ref="BX1127">IF(BM1127&gt;0,1,_xll.DCETCVN5575FactorPhi7121(BV1127*SQRT($K$17/206000),"b"))</f>
        <v>0.47786839095804584</v>
      </c>
      <c r="BY1127" s="64">
        <f t="shared" si="153"/>
        <v>0.10849819946697745</v>
      </c>
      <c r="BZ1127" s="3" t="str">
        <f t="shared" si="154"/>
        <v>OK</v>
      </c>
    </row>
    <row r="1128" spans="1:78">
      <c r="A1128" s="76"/>
      <c r="B1128" s="76"/>
      <c r="C1128" s="125"/>
      <c r="D1128" s="125"/>
      <c r="E1128" s="71"/>
      <c r="F1128" s="71"/>
      <c r="G1128" s="71"/>
      <c r="H1128" s="126"/>
      <c r="I1128" s="125"/>
      <c r="J1128" s="123"/>
      <c r="K1128" s="12"/>
      <c r="L1128" s="117"/>
      <c r="M1128" s="12"/>
      <c r="N1128" s="117"/>
      <c r="O1128" s="117"/>
      <c r="P1128" s="117"/>
      <c r="Q1128" s="118"/>
      <c r="R1128" s="118"/>
      <c r="S1128" s="118"/>
      <c r="T1128" s="12"/>
      <c r="U1128" s="118"/>
      <c r="V1128" s="118"/>
      <c r="W1128" s="12"/>
      <c r="X1128" s="119"/>
      <c r="Y1128" s="120"/>
      <c r="Z1128" s="12"/>
      <c r="BA1128" s="70" t="s">
        <v>205</v>
      </c>
      <c r="BB1128" s="71" t="s">
        <v>211</v>
      </c>
      <c r="BC1128" s="71" t="s">
        <v>207</v>
      </c>
      <c r="BD1128" s="71">
        <v>1.71</v>
      </c>
      <c r="BE1128" s="71">
        <v>6.85</v>
      </c>
      <c r="BF1128" s="71">
        <v>268</v>
      </c>
      <c r="BG1128" s="71">
        <v>212</v>
      </c>
      <c r="BH1128" s="71">
        <v>5</v>
      </c>
      <c r="BI1128" s="71">
        <v>10</v>
      </c>
      <c r="BJ1128" s="12" t="str" cm="1">
        <f t="array" ref="BJ1128">_xll.Dce_Name_SectI(BF1128, BF1128, BG1128, BH1128, BI1128, "x", "-", $AX$11)</f>
        <v>268x212x5x10</v>
      </c>
      <c r="BK1128" s="77" cm="1">
        <f t="array" ref="BK1128">_xll.DCEPropSectI(BF1128, BH1128, BG1128, BI1128, BG1128, BI1128, "A")/100</f>
        <v>54.8</v>
      </c>
      <c r="BL1128" s="70" t="s">
        <v>223</v>
      </c>
      <c r="BM1128" s="70">
        <v>-60.027693210133052</v>
      </c>
      <c r="BN1128" s="71">
        <v>0.9</v>
      </c>
      <c r="BO1128" s="77">
        <f t="shared" si="147"/>
        <v>6.165</v>
      </c>
      <c r="BP1128" s="71">
        <v>0.9</v>
      </c>
      <c r="BQ1128" s="77">
        <f t="shared" si="148"/>
        <v>6.165</v>
      </c>
      <c r="BR1128" s="77" cm="1">
        <f t="array" ref="BR1128">_xll.DCEPropSectI(BF1128, BH1128, BG1128, BI1128, BG1128, BI1128, "rx")/10</f>
        <v>11.847052463297633</v>
      </c>
      <c r="BS1128" s="77" cm="1">
        <f t="array" ref="BS1128">_xll.DCEPropSectI(BF1128, BH1128, BG1128, BI1128, BG1128, BI1128, "ry")/10</f>
        <v>5.3836052600564113</v>
      </c>
      <c r="BT1128" s="5">
        <f t="shared" si="149"/>
        <v>52.038260310733605</v>
      </c>
      <c r="BU1128" s="5">
        <f t="shared" si="150"/>
        <v>114.5143394100815</v>
      </c>
      <c r="BV1128" s="5">
        <f t="shared" si="151"/>
        <v>114.5143394100815</v>
      </c>
      <c r="BW1128" s="71">
        <f t="shared" si="152"/>
        <v>200</v>
      </c>
      <c r="BX1128" s="78" cm="1">
        <f t="array" ref="BX1128">IF(BM1128&gt;0,1,_xll.DCETCVN5575FactorPhi7121(BV1128*SQRT($K$17/206000),"b"))</f>
        <v>0.47786839095804584</v>
      </c>
      <c r="BY1128" s="64">
        <f t="shared" si="153"/>
        <v>0.10915496542017052</v>
      </c>
      <c r="BZ1128" s="3" t="str">
        <f t="shared" si="154"/>
        <v>OK</v>
      </c>
    </row>
    <row r="1129" spans="1:78">
      <c r="A1129" s="76"/>
      <c r="B1129" s="76"/>
      <c r="C1129" s="125"/>
      <c r="D1129" s="125"/>
      <c r="E1129" s="71"/>
      <c r="F1129" s="71"/>
      <c r="G1129" s="71"/>
      <c r="H1129" s="126"/>
      <c r="I1129" s="125"/>
      <c r="J1129" s="123"/>
      <c r="K1129" s="12"/>
      <c r="L1129" s="117"/>
      <c r="M1129" s="12"/>
      <c r="N1129" s="117"/>
      <c r="O1129" s="117"/>
      <c r="P1129" s="117"/>
      <c r="Q1129" s="118"/>
      <c r="R1129" s="118"/>
      <c r="S1129" s="118"/>
      <c r="T1129" s="12"/>
      <c r="U1129" s="118"/>
      <c r="V1129" s="118"/>
      <c r="W1129" s="12"/>
      <c r="X1129" s="119"/>
      <c r="Y1129" s="120"/>
      <c r="Z1129" s="12"/>
      <c r="BA1129" s="70" t="s">
        <v>205</v>
      </c>
      <c r="BB1129" s="71" t="s">
        <v>211</v>
      </c>
      <c r="BC1129" s="71" t="s">
        <v>207</v>
      </c>
      <c r="BD1129" s="71">
        <v>2.57</v>
      </c>
      <c r="BE1129" s="71">
        <v>6.85</v>
      </c>
      <c r="BF1129" s="71">
        <v>268</v>
      </c>
      <c r="BG1129" s="71">
        <v>212</v>
      </c>
      <c r="BH1129" s="71">
        <v>5</v>
      </c>
      <c r="BI1129" s="71">
        <v>10</v>
      </c>
      <c r="BJ1129" s="12" t="str" cm="1">
        <f t="array" ref="BJ1129">_xll.Dce_Name_SectI(BF1129, BF1129, BG1129, BH1129, BI1129, "x", "-", $AX$11)</f>
        <v>268x212x5x10</v>
      </c>
      <c r="BK1129" s="77" cm="1">
        <f t="array" ref="BK1129">_xll.DCEPropSectI(BF1129, BH1129, BG1129, BI1129, BG1129, BI1129, "A")/100</f>
        <v>54.8</v>
      </c>
      <c r="BL1129" s="70" t="s">
        <v>223</v>
      </c>
      <c r="BM1129" s="70">
        <v>-60.388869130966143</v>
      </c>
      <c r="BN1129" s="71">
        <v>0.9</v>
      </c>
      <c r="BO1129" s="77">
        <f t="shared" si="147"/>
        <v>6.165</v>
      </c>
      <c r="BP1129" s="71">
        <v>0.9</v>
      </c>
      <c r="BQ1129" s="77">
        <f t="shared" si="148"/>
        <v>6.165</v>
      </c>
      <c r="BR1129" s="77" cm="1">
        <f t="array" ref="BR1129">_xll.DCEPropSectI(BF1129, BH1129, BG1129, BI1129, BG1129, BI1129, "rx")/10</f>
        <v>11.847052463297633</v>
      </c>
      <c r="BS1129" s="77" cm="1">
        <f t="array" ref="BS1129">_xll.DCEPropSectI(BF1129, BH1129, BG1129, BI1129, BG1129, BI1129, "ry")/10</f>
        <v>5.3836052600564113</v>
      </c>
      <c r="BT1129" s="5">
        <f t="shared" si="149"/>
        <v>52.038260310733605</v>
      </c>
      <c r="BU1129" s="5">
        <f t="shared" si="150"/>
        <v>114.5143394100815</v>
      </c>
      <c r="BV1129" s="5">
        <f t="shared" si="151"/>
        <v>114.5143394100815</v>
      </c>
      <c r="BW1129" s="71">
        <f t="shared" si="152"/>
        <v>200</v>
      </c>
      <c r="BX1129" s="78" cm="1">
        <f t="array" ref="BX1129">IF(BM1129&gt;0,1,_xll.DCETCVN5575FactorPhi7121(BV1129*SQRT($K$17/206000),"b"))</f>
        <v>0.47786839095804584</v>
      </c>
      <c r="BY1129" s="64">
        <f t="shared" si="153"/>
        <v>0.1098117313733636</v>
      </c>
      <c r="BZ1129" s="3" t="str">
        <f t="shared" si="154"/>
        <v>OK</v>
      </c>
    </row>
    <row r="1130" spans="1:78">
      <c r="A1130" s="76"/>
      <c r="B1130" s="76"/>
      <c r="C1130" s="125"/>
      <c r="D1130" s="125"/>
      <c r="E1130" s="71"/>
      <c r="F1130" s="71"/>
      <c r="G1130" s="71"/>
      <c r="H1130" s="126"/>
      <c r="I1130" s="125"/>
      <c r="J1130" s="123"/>
      <c r="K1130" s="12"/>
      <c r="L1130" s="117"/>
      <c r="M1130" s="12"/>
      <c r="N1130" s="117"/>
      <c r="O1130" s="117"/>
      <c r="P1130" s="117"/>
      <c r="Q1130" s="118"/>
      <c r="R1130" s="118"/>
      <c r="S1130" s="118"/>
      <c r="T1130" s="12"/>
      <c r="U1130" s="118"/>
      <c r="V1130" s="118"/>
      <c r="W1130" s="12"/>
      <c r="X1130" s="119"/>
      <c r="Y1130" s="120"/>
      <c r="Z1130" s="12"/>
      <c r="BA1130" s="70" t="s">
        <v>205</v>
      </c>
      <c r="BB1130" s="71" t="s">
        <v>211</v>
      </c>
      <c r="BC1130" s="71" t="s">
        <v>207</v>
      </c>
      <c r="BD1130" s="71">
        <v>3.42</v>
      </c>
      <c r="BE1130" s="71">
        <v>6.85</v>
      </c>
      <c r="BF1130" s="71">
        <v>268</v>
      </c>
      <c r="BG1130" s="71">
        <v>212</v>
      </c>
      <c r="BH1130" s="71">
        <v>5</v>
      </c>
      <c r="BI1130" s="71">
        <v>10</v>
      </c>
      <c r="BJ1130" s="12" t="str" cm="1">
        <f t="array" ref="BJ1130">_xll.Dce_Name_SectI(BF1130, BF1130, BG1130, BH1130, BI1130, "x", "-", $AX$11)</f>
        <v>268x212x5x10</v>
      </c>
      <c r="BK1130" s="77" cm="1">
        <f t="array" ref="BK1130">_xll.DCEPropSectI(BF1130, BH1130, BG1130, BI1130, BG1130, BI1130, "A")/100</f>
        <v>54.8</v>
      </c>
      <c r="BL1130" s="70" t="s">
        <v>223</v>
      </c>
      <c r="BM1130" s="70">
        <v>-60.750045051799241</v>
      </c>
      <c r="BN1130" s="71">
        <v>0.9</v>
      </c>
      <c r="BO1130" s="77">
        <f t="shared" si="147"/>
        <v>6.165</v>
      </c>
      <c r="BP1130" s="71">
        <v>0.9</v>
      </c>
      <c r="BQ1130" s="77">
        <f t="shared" si="148"/>
        <v>6.165</v>
      </c>
      <c r="BR1130" s="77" cm="1">
        <f t="array" ref="BR1130">_xll.DCEPropSectI(BF1130, BH1130, BG1130, BI1130, BG1130, BI1130, "rx")/10</f>
        <v>11.847052463297633</v>
      </c>
      <c r="BS1130" s="77" cm="1">
        <f t="array" ref="BS1130">_xll.DCEPropSectI(BF1130, BH1130, BG1130, BI1130, BG1130, BI1130, "ry")/10</f>
        <v>5.3836052600564113</v>
      </c>
      <c r="BT1130" s="5">
        <f t="shared" si="149"/>
        <v>52.038260310733605</v>
      </c>
      <c r="BU1130" s="5">
        <f t="shared" si="150"/>
        <v>114.5143394100815</v>
      </c>
      <c r="BV1130" s="5">
        <f t="shared" si="151"/>
        <v>114.5143394100815</v>
      </c>
      <c r="BW1130" s="71">
        <f t="shared" si="152"/>
        <v>200</v>
      </c>
      <c r="BX1130" s="78" cm="1">
        <f t="array" ref="BX1130">IF(BM1130&gt;0,1,_xll.DCETCVN5575FactorPhi7121(BV1130*SQRT($K$17/206000),"b"))</f>
        <v>0.47786839095804584</v>
      </c>
      <c r="BY1130" s="64">
        <f t="shared" si="153"/>
        <v>0.11046849732655668</v>
      </c>
      <c r="BZ1130" s="3" t="str">
        <f t="shared" si="154"/>
        <v>OK</v>
      </c>
    </row>
    <row r="1131" spans="1:78">
      <c r="A1131" s="76"/>
      <c r="B1131" s="76"/>
      <c r="C1131" s="125"/>
      <c r="D1131" s="125"/>
      <c r="E1131" s="71"/>
      <c r="F1131" s="71"/>
      <c r="G1131" s="71"/>
      <c r="H1131" s="126"/>
      <c r="I1131" s="125"/>
      <c r="J1131" s="123"/>
      <c r="K1131" s="12"/>
      <c r="L1131" s="117"/>
      <c r="M1131" s="12"/>
      <c r="N1131" s="117"/>
      <c r="O1131" s="117"/>
      <c r="P1131" s="117"/>
      <c r="Q1131" s="118"/>
      <c r="R1131" s="118"/>
      <c r="S1131" s="118"/>
      <c r="T1131" s="12"/>
      <c r="U1131" s="118"/>
      <c r="V1131" s="118"/>
      <c r="W1131" s="12"/>
      <c r="X1131" s="119"/>
      <c r="Y1131" s="120"/>
      <c r="Z1131" s="12"/>
      <c r="BA1131" s="70" t="s">
        <v>205</v>
      </c>
      <c r="BB1131" s="71" t="s">
        <v>211</v>
      </c>
      <c r="BC1131" s="71" t="s">
        <v>207</v>
      </c>
      <c r="BD1131" s="71">
        <v>4.28</v>
      </c>
      <c r="BE1131" s="71">
        <v>6.85</v>
      </c>
      <c r="BF1131" s="71">
        <v>268</v>
      </c>
      <c r="BG1131" s="71">
        <v>212</v>
      </c>
      <c r="BH1131" s="71">
        <v>5</v>
      </c>
      <c r="BI1131" s="71">
        <v>10</v>
      </c>
      <c r="BJ1131" s="12" t="str" cm="1">
        <f t="array" ref="BJ1131">_xll.Dce_Name_SectI(BF1131, BF1131, BG1131, BH1131, BI1131, "x", "-", $AX$11)</f>
        <v>268x212x5x10</v>
      </c>
      <c r="BK1131" s="77" cm="1">
        <f t="array" ref="BK1131">_xll.DCEPropSectI(BF1131, BH1131, BG1131, BI1131, BG1131, BI1131, "A")/100</f>
        <v>54.8</v>
      </c>
      <c r="BL1131" s="70" t="s">
        <v>223</v>
      </c>
      <c r="BM1131" s="70">
        <v>-61.111220972632331</v>
      </c>
      <c r="BN1131" s="71">
        <v>0.9</v>
      </c>
      <c r="BO1131" s="77">
        <f t="shared" si="147"/>
        <v>6.165</v>
      </c>
      <c r="BP1131" s="71">
        <v>0.9</v>
      </c>
      <c r="BQ1131" s="77">
        <f t="shared" si="148"/>
        <v>6.165</v>
      </c>
      <c r="BR1131" s="77" cm="1">
        <f t="array" ref="BR1131">_xll.DCEPropSectI(BF1131, BH1131, BG1131, BI1131, BG1131, BI1131, "rx")/10</f>
        <v>11.847052463297633</v>
      </c>
      <c r="BS1131" s="77" cm="1">
        <f t="array" ref="BS1131">_xll.DCEPropSectI(BF1131, BH1131, BG1131, BI1131, BG1131, BI1131, "ry")/10</f>
        <v>5.3836052600564113</v>
      </c>
      <c r="BT1131" s="5">
        <f t="shared" si="149"/>
        <v>52.038260310733605</v>
      </c>
      <c r="BU1131" s="5">
        <f t="shared" si="150"/>
        <v>114.5143394100815</v>
      </c>
      <c r="BV1131" s="5">
        <f t="shared" si="151"/>
        <v>114.5143394100815</v>
      </c>
      <c r="BW1131" s="71">
        <f t="shared" si="152"/>
        <v>200</v>
      </c>
      <c r="BX1131" s="78" cm="1">
        <f t="array" ref="BX1131">IF(BM1131&gt;0,1,_xll.DCETCVN5575FactorPhi7121(BV1131*SQRT($K$17/206000),"b"))</f>
        <v>0.47786839095804584</v>
      </c>
      <c r="BY1131" s="64">
        <f t="shared" si="153"/>
        <v>0.11112526327974975</v>
      </c>
      <c r="BZ1131" s="3" t="str">
        <f t="shared" si="154"/>
        <v>OK</v>
      </c>
    </row>
    <row r="1132" spans="1:78">
      <c r="A1132" s="76"/>
      <c r="B1132" s="76"/>
      <c r="C1132" s="125"/>
      <c r="D1132" s="125"/>
      <c r="E1132" s="71"/>
      <c r="F1132" s="71"/>
      <c r="G1132" s="71"/>
      <c r="H1132" s="126"/>
      <c r="I1132" s="125"/>
      <c r="J1132" s="123"/>
      <c r="K1132" s="12"/>
      <c r="L1132" s="117"/>
      <c r="M1132" s="12"/>
      <c r="N1132" s="117"/>
      <c r="O1132" s="117"/>
      <c r="P1132" s="117"/>
      <c r="Q1132" s="118"/>
      <c r="R1132" s="118"/>
      <c r="S1132" s="118"/>
      <c r="T1132" s="12"/>
      <c r="U1132" s="118"/>
      <c r="V1132" s="118"/>
      <c r="W1132" s="12"/>
      <c r="X1132" s="119"/>
      <c r="Y1132" s="120"/>
      <c r="Z1132" s="12"/>
      <c r="BA1132" s="70" t="s">
        <v>205</v>
      </c>
      <c r="BB1132" s="71" t="s">
        <v>211</v>
      </c>
      <c r="BC1132" s="71" t="s">
        <v>207</v>
      </c>
      <c r="BD1132" s="71">
        <v>5.14</v>
      </c>
      <c r="BE1132" s="71">
        <v>6.85</v>
      </c>
      <c r="BF1132" s="71">
        <v>268</v>
      </c>
      <c r="BG1132" s="71">
        <v>212</v>
      </c>
      <c r="BH1132" s="71">
        <v>5</v>
      </c>
      <c r="BI1132" s="71">
        <v>10</v>
      </c>
      <c r="BJ1132" s="12" t="str" cm="1">
        <f t="array" ref="BJ1132">_xll.Dce_Name_SectI(BF1132, BF1132, BG1132, BH1132, BI1132, "x", "-", $AX$11)</f>
        <v>268x212x5x10</v>
      </c>
      <c r="BK1132" s="77" cm="1">
        <f t="array" ref="BK1132">_xll.DCEPropSectI(BF1132, BH1132, BG1132, BI1132, BG1132, BI1132, "A")/100</f>
        <v>54.8</v>
      </c>
      <c r="BL1132" s="70" t="s">
        <v>223</v>
      </c>
      <c r="BM1132" s="70">
        <v>-61.472396893465422</v>
      </c>
      <c r="BN1132" s="71">
        <v>0.9</v>
      </c>
      <c r="BO1132" s="77">
        <f t="shared" si="147"/>
        <v>6.165</v>
      </c>
      <c r="BP1132" s="71">
        <v>0.9</v>
      </c>
      <c r="BQ1132" s="77">
        <f t="shared" si="148"/>
        <v>6.165</v>
      </c>
      <c r="BR1132" s="77" cm="1">
        <f t="array" ref="BR1132">_xll.DCEPropSectI(BF1132, BH1132, BG1132, BI1132, BG1132, BI1132, "rx")/10</f>
        <v>11.847052463297633</v>
      </c>
      <c r="BS1132" s="77" cm="1">
        <f t="array" ref="BS1132">_xll.DCEPropSectI(BF1132, BH1132, BG1132, BI1132, BG1132, BI1132, "ry")/10</f>
        <v>5.3836052600564113</v>
      </c>
      <c r="BT1132" s="5">
        <f t="shared" si="149"/>
        <v>52.038260310733605</v>
      </c>
      <c r="BU1132" s="5">
        <f t="shared" si="150"/>
        <v>114.5143394100815</v>
      </c>
      <c r="BV1132" s="5">
        <f t="shared" si="151"/>
        <v>114.5143394100815</v>
      </c>
      <c r="BW1132" s="71">
        <f t="shared" si="152"/>
        <v>200</v>
      </c>
      <c r="BX1132" s="78" cm="1">
        <f t="array" ref="BX1132">IF(BM1132&gt;0,1,_xll.DCETCVN5575FactorPhi7121(BV1132*SQRT($K$17/206000),"b"))</f>
        <v>0.47786839095804584</v>
      </c>
      <c r="BY1132" s="64">
        <f t="shared" si="153"/>
        <v>0.11178202923294281</v>
      </c>
      <c r="BZ1132" s="3" t="str">
        <f t="shared" si="154"/>
        <v>OK</v>
      </c>
    </row>
    <row r="1133" spans="1:78">
      <c r="A1133" s="76"/>
      <c r="B1133" s="76"/>
      <c r="C1133" s="125"/>
      <c r="D1133" s="125"/>
      <c r="E1133" s="71"/>
      <c r="F1133" s="71"/>
      <c r="G1133" s="71"/>
      <c r="H1133" s="126"/>
      <c r="I1133" s="125"/>
      <c r="J1133" s="123"/>
      <c r="K1133" s="12"/>
      <c r="L1133" s="117"/>
      <c r="M1133" s="12"/>
      <c r="N1133" s="117"/>
      <c r="O1133" s="117"/>
      <c r="P1133" s="117"/>
      <c r="Q1133" s="118"/>
      <c r="R1133" s="118"/>
      <c r="S1133" s="118"/>
      <c r="T1133" s="12"/>
      <c r="U1133" s="118"/>
      <c r="V1133" s="118"/>
      <c r="W1133" s="12"/>
      <c r="X1133" s="119"/>
      <c r="Y1133" s="120"/>
      <c r="Z1133" s="12"/>
      <c r="BA1133" s="70" t="s">
        <v>205</v>
      </c>
      <c r="BB1133" s="71" t="s">
        <v>211</v>
      </c>
      <c r="BC1133" s="71" t="s">
        <v>207</v>
      </c>
      <c r="BD1133" s="71">
        <v>5.99</v>
      </c>
      <c r="BE1133" s="71">
        <v>6.85</v>
      </c>
      <c r="BF1133" s="71">
        <v>268</v>
      </c>
      <c r="BG1133" s="71">
        <v>212</v>
      </c>
      <c r="BH1133" s="71">
        <v>5</v>
      </c>
      <c r="BI1133" s="71">
        <v>10</v>
      </c>
      <c r="BJ1133" s="12" t="str" cm="1">
        <f t="array" ref="BJ1133">_xll.Dce_Name_SectI(BF1133, BF1133, BG1133, BH1133, BI1133, "x", "-", $AX$11)</f>
        <v>268x212x5x10</v>
      </c>
      <c r="BK1133" s="77" cm="1">
        <f t="array" ref="BK1133">_xll.DCEPropSectI(BF1133, BH1133, BG1133, BI1133, BG1133, BI1133, "A")/100</f>
        <v>54.8</v>
      </c>
      <c r="BL1133" s="70" t="s">
        <v>223</v>
      </c>
      <c r="BM1133" s="70">
        <v>-61.833572814298513</v>
      </c>
      <c r="BN1133" s="71">
        <v>0.9</v>
      </c>
      <c r="BO1133" s="77">
        <f t="shared" si="147"/>
        <v>6.165</v>
      </c>
      <c r="BP1133" s="71">
        <v>0.9</v>
      </c>
      <c r="BQ1133" s="77">
        <f t="shared" si="148"/>
        <v>6.165</v>
      </c>
      <c r="BR1133" s="77" cm="1">
        <f t="array" ref="BR1133">_xll.DCEPropSectI(BF1133, BH1133, BG1133, BI1133, BG1133, BI1133, "rx")/10</f>
        <v>11.847052463297633</v>
      </c>
      <c r="BS1133" s="77" cm="1">
        <f t="array" ref="BS1133">_xll.DCEPropSectI(BF1133, BH1133, BG1133, BI1133, BG1133, BI1133, "ry")/10</f>
        <v>5.3836052600564113</v>
      </c>
      <c r="BT1133" s="5">
        <f t="shared" si="149"/>
        <v>52.038260310733605</v>
      </c>
      <c r="BU1133" s="5">
        <f t="shared" si="150"/>
        <v>114.5143394100815</v>
      </c>
      <c r="BV1133" s="5">
        <f t="shared" si="151"/>
        <v>114.5143394100815</v>
      </c>
      <c r="BW1133" s="71">
        <f t="shared" si="152"/>
        <v>200</v>
      </c>
      <c r="BX1133" s="78" cm="1">
        <f t="array" ref="BX1133">IF(BM1133&gt;0,1,_xll.DCETCVN5575FactorPhi7121(BV1133*SQRT($K$17/206000),"b"))</f>
        <v>0.47786839095804584</v>
      </c>
      <c r="BY1133" s="64">
        <f t="shared" si="153"/>
        <v>0.11243879518613589</v>
      </c>
      <c r="BZ1133" s="3" t="str">
        <f t="shared" si="154"/>
        <v>OK</v>
      </c>
    </row>
    <row r="1134" spans="1:78">
      <c r="A1134" s="76"/>
      <c r="B1134" s="76"/>
      <c r="C1134" s="125"/>
      <c r="D1134" s="125"/>
      <c r="E1134" s="71"/>
      <c r="F1134" s="71"/>
      <c r="G1134" s="71"/>
      <c r="H1134" s="126"/>
      <c r="I1134" s="125"/>
      <c r="J1134" s="123"/>
      <c r="K1134" s="12"/>
      <c r="L1134" s="117"/>
      <c r="M1134" s="12"/>
      <c r="N1134" s="117"/>
      <c r="O1134" s="117"/>
      <c r="P1134" s="117"/>
      <c r="Q1134" s="118"/>
      <c r="R1134" s="118"/>
      <c r="S1134" s="118"/>
      <c r="T1134" s="12"/>
      <c r="U1134" s="118"/>
      <c r="V1134" s="118"/>
      <c r="W1134" s="12"/>
      <c r="X1134" s="119"/>
      <c r="Y1134" s="120"/>
      <c r="Z1134" s="12"/>
      <c r="BA1134" s="70" t="s">
        <v>205</v>
      </c>
      <c r="BB1134" s="71" t="s">
        <v>211</v>
      </c>
      <c r="BC1134" s="71" t="s">
        <v>207</v>
      </c>
      <c r="BD1134" s="71">
        <v>6.85</v>
      </c>
      <c r="BE1134" s="71">
        <v>6.85</v>
      </c>
      <c r="BF1134" s="71">
        <v>268</v>
      </c>
      <c r="BG1134" s="71">
        <v>212</v>
      </c>
      <c r="BH1134" s="71">
        <v>5</v>
      </c>
      <c r="BI1134" s="71">
        <v>10</v>
      </c>
      <c r="BJ1134" s="12" t="str" cm="1">
        <f t="array" ref="BJ1134">_xll.Dce_Name_SectI(BF1134, BF1134, BG1134, BH1134, BI1134, "x", "-", $AX$11)</f>
        <v>268x212x5x10</v>
      </c>
      <c r="BK1134" s="77" cm="1">
        <f t="array" ref="BK1134">_xll.DCEPropSectI(BF1134, BH1134, BG1134, BI1134, BG1134, BI1134, "A")/100</f>
        <v>54.8</v>
      </c>
      <c r="BL1134" s="70" t="s">
        <v>223</v>
      </c>
      <c r="BM1134" s="70">
        <v>-62.194748735131604</v>
      </c>
      <c r="BN1134" s="71">
        <v>0.9</v>
      </c>
      <c r="BO1134" s="77">
        <f t="shared" si="147"/>
        <v>6.165</v>
      </c>
      <c r="BP1134" s="71">
        <v>0.9</v>
      </c>
      <c r="BQ1134" s="77">
        <f t="shared" si="148"/>
        <v>6.165</v>
      </c>
      <c r="BR1134" s="77" cm="1">
        <f t="array" ref="BR1134">_xll.DCEPropSectI(BF1134, BH1134, BG1134, BI1134, BG1134, BI1134, "rx")/10</f>
        <v>11.847052463297633</v>
      </c>
      <c r="BS1134" s="77" cm="1">
        <f t="array" ref="BS1134">_xll.DCEPropSectI(BF1134, BH1134, BG1134, BI1134, BG1134, BI1134, "ry")/10</f>
        <v>5.3836052600564113</v>
      </c>
      <c r="BT1134" s="5">
        <f t="shared" si="149"/>
        <v>52.038260310733605</v>
      </c>
      <c r="BU1134" s="5">
        <f t="shared" si="150"/>
        <v>114.5143394100815</v>
      </c>
      <c r="BV1134" s="5">
        <f t="shared" si="151"/>
        <v>114.5143394100815</v>
      </c>
      <c r="BW1134" s="71">
        <f t="shared" si="152"/>
        <v>200</v>
      </c>
      <c r="BX1134" s="78" cm="1">
        <f t="array" ref="BX1134">IF(BM1134&gt;0,1,_xll.DCETCVN5575FactorPhi7121(BV1134*SQRT($K$17/206000),"b"))</f>
        <v>0.47786839095804584</v>
      </c>
      <c r="BY1134" s="64">
        <f t="shared" si="153"/>
        <v>0.11309556113932896</v>
      </c>
      <c r="BZ1134" s="3" t="str">
        <f t="shared" si="154"/>
        <v>OK</v>
      </c>
    </row>
    <row r="1135" spans="1:78">
      <c r="A1135" s="76"/>
      <c r="B1135" s="76"/>
      <c r="C1135" s="125"/>
      <c r="D1135" s="125"/>
      <c r="E1135" s="71"/>
      <c r="F1135" s="71"/>
      <c r="G1135" s="71"/>
      <c r="H1135" s="126"/>
      <c r="I1135" s="125"/>
      <c r="J1135" s="123"/>
      <c r="K1135" s="12"/>
      <c r="L1135" s="117"/>
      <c r="M1135" s="12"/>
      <c r="N1135" s="117"/>
      <c r="O1135" s="117"/>
      <c r="P1135" s="117"/>
      <c r="Q1135" s="118"/>
      <c r="R1135" s="118"/>
      <c r="S1135" s="118"/>
      <c r="T1135" s="12"/>
      <c r="U1135" s="118"/>
      <c r="V1135" s="118"/>
      <c r="W1135" s="12"/>
      <c r="X1135" s="119"/>
      <c r="Y1135" s="120"/>
      <c r="Z1135" s="12"/>
      <c r="BA1135" s="70" t="s">
        <v>205</v>
      </c>
      <c r="BB1135" s="71" t="s">
        <v>211</v>
      </c>
      <c r="BC1135" s="71" t="s">
        <v>207</v>
      </c>
      <c r="BD1135" s="71">
        <v>0</v>
      </c>
      <c r="BE1135" s="71">
        <v>6.85</v>
      </c>
      <c r="BF1135" s="71">
        <v>268</v>
      </c>
      <c r="BG1135" s="71">
        <v>212</v>
      </c>
      <c r="BH1135" s="71">
        <v>5</v>
      </c>
      <c r="BI1135" s="71">
        <v>10</v>
      </c>
      <c r="BJ1135" s="12" t="str" cm="1">
        <f t="array" ref="BJ1135">_xll.Dce_Name_SectI(BF1135, BF1135, BG1135, BH1135, BI1135, "x", "-", $AX$11)</f>
        <v>268x212x5x10</v>
      </c>
      <c r="BK1135" s="77" cm="1">
        <f t="array" ref="BK1135">_xll.DCEPropSectI(BF1135, BH1135, BG1135, BI1135, BG1135, BI1135, "A")/100</f>
        <v>54.8</v>
      </c>
      <c r="BL1135" s="70" t="s">
        <v>224</v>
      </c>
      <c r="BM1135" s="70">
        <v>26.637361024482061</v>
      </c>
      <c r="BN1135" s="71">
        <v>0.9</v>
      </c>
      <c r="BO1135" s="77">
        <f t="shared" si="147"/>
        <v>6.165</v>
      </c>
      <c r="BP1135" s="71">
        <v>0.9</v>
      </c>
      <c r="BQ1135" s="77">
        <f t="shared" si="148"/>
        <v>6.165</v>
      </c>
      <c r="BR1135" s="77" cm="1">
        <f t="array" ref="BR1135">_xll.DCEPropSectI(BF1135, BH1135, BG1135, BI1135, BG1135, BI1135, "rx")/10</f>
        <v>11.847052463297633</v>
      </c>
      <c r="BS1135" s="77" cm="1">
        <f t="array" ref="BS1135">_xll.DCEPropSectI(BF1135, BH1135, BG1135, BI1135, BG1135, BI1135, "ry")/10</f>
        <v>5.3836052600564113</v>
      </c>
      <c r="BT1135" s="5">
        <f t="shared" si="149"/>
        <v>52.038260310733605</v>
      </c>
      <c r="BU1135" s="5">
        <f t="shared" si="150"/>
        <v>114.5143394100815</v>
      </c>
      <c r="BV1135" s="5">
        <f t="shared" si="151"/>
        <v>114.5143394100815</v>
      </c>
      <c r="BW1135" s="71">
        <f t="shared" si="152"/>
        <v>400</v>
      </c>
      <c r="BX1135" s="78" cm="1">
        <f t="array" ref="BX1135">IF(BM1135&gt;0,1,_xll.DCETCVN5575FactorPhi7121(BV1135*SQRT($K$17/206000),"b"))</f>
        <v>1</v>
      </c>
      <c r="BY1135" s="64">
        <f t="shared" si="153"/>
        <v>2.3146820493988585E-2</v>
      </c>
      <c r="BZ1135" s="3" t="str">
        <f t="shared" si="154"/>
        <v>OK</v>
      </c>
    </row>
    <row r="1136" spans="1:78">
      <c r="A1136" s="76"/>
      <c r="B1136" s="76"/>
      <c r="C1136" s="125"/>
      <c r="D1136" s="125"/>
      <c r="E1136" s="71"/>
      <c r="F1136" s="71"/>
      <c r="G1136" s="71"/>
      <c r="H1136" s="126"/>
      <c r="I1136" s="125"/>
      <c r="J1136" s="123"/>
      <c r="K1136" s="12"/>
      <c r="L1136" s="117"/>
      <c r="M1136" s="12"/>
      <c r="N1136" s="117"/>
      <c r="O1136" s="117"/>
      <c r="P1136" s="117"/>
      <c r="Q1136" s="118"/>
      <c r="R1136" s="118"/>
      <c r="S1136" s="118"/>
      <c r="T1136" s="12"/>
      <c r="U1136" s="118"/>
      <c r="V1136" s="118"/>
      <c r="W1136" s="12"/>
      <c r="X1136" s="119"/>
      <c r="Y1136" s="120"/>
      <c r="Z1136" s="12"/>
      <c r="BA1136" s="70" t="s">
        <v>205</v>
      </c>
      <c r="BB1136" s="71" t="s">
        <v>211</v>
      </c>
      <c r="BC1136" s="71" t="s">
        <v>207</v>
      </c>
      <c r="BD1136" s="71">
        <v>0.86</v>
      </c>
      <c r="BE1136" s="71">
        <v>6.85</v>
      </c>
      <c r="BF1136" s="71">
        <v>268</v>
      </c>
      <c r="BG1136" s="71">
        <v>212</v>
      </c>
      <c r="BH1136" s="71">
        <v>5</v>
      </c>
      <c r="BI1136" s="71">
        <v>10</v>
      </c>
      <c r="BJ1136" s="12" t="str" cm="1">
        <f t="array" ref="BJ1136">_xll.Dce_Name_SectI(BF1136, BF1136, BG1136, BH1136, BI1136, "x", "-", $AX$11)</f>
        <v>268x212x5x10</v>
      </c>
      <c r="BK1136" s="77" cm="1">
        <f t="array" ref="BK1136">_xll.DCEPropSectI(BF1136, BH1136, BG1136, BI1136, BG1136, BI1136, "A")/100</f>
        <v>54.8</v>
      </c>
      <c r="BL1136" s="70" t="s">
        <v>224</v>
      </c>
      <c r="BM1136" s="70">
        <v>26.27618510364897</v>
      </c>
      <c r="BN1136" s="71">
        <v>0.9</v>
      </c>
      <c r="BO1136" s="77">
        <f t="shared" si="147"/>
        <v>6.165</v>
      </c>
      <c r="BP1136" s="71">
        <v>0.9</v>
      </c>
      <c r="BQ1136" s="77">
        <f t="shared" si="148"/>
        <v>6.165</v>
      </c>
      <c r="BR1136" s="77" cm="1">
        <f t="array" ref="BR1136">_xll.DCEPropSectI(BF1136, BH1136, BG1136, BI1136, BG1136, BI1136, "rx")/10</f>
        <v>11.847052463297633</v>
      </c>
      <c r="BS1136" s="77" cm="1">
        <f t="array" ref="BS1136">_xll.DCEPropSectI(BF1136, BH1136, BG1136, BI1136, BG1136, BI1136, "ry")/10</f>
        <v>5.3836052600564113</v>
      </c>
      <c r="BT1136" s="5">
        <f t="shared" si="149"/>
        <v>52.038260310733605</v>
      </c>
      <c r="BU1136" s="5">
        <f t="shared" si="150"/>
        <v>114.5143394100815</v>
      </c>
      <c r="BV1136" s="5">
        <f t="shared" si="151"/>
        <v>114.5143394100815</v>
      </c>
      <c r="BW1136" s="71">
        <f t="shared" si="152"/>
        <v>400</v>
      </c>
      <c r="BX1136" s="78" cm="1">
        <f t="array" ref="BX1136">IF(BM1136&gt;0,1,_xll.DCETCVN5575FactorPhi7121(BV1136*SQRT($K$17/206000),"b"))</f>
        <v>1</v>
      </c>
      <c r="BY1136" s="64">
        <f t="shared" si="153"/>
        <v>2.2832972804700188E-2</v>
      </c>
      <c r="BZ1136" s="3" t="str">
        <f t="shared" si="154"/>
        <v>OK</v>
      </c>
    </row>
    <row r="1137" spans="1:78">
      <c r="A1137" s="76"/>
      <c r="B1137" s="76"/>
      <c r="C1137" s="125"/>
      <c r="D1137" s="125"/>
      <c r="E1137" s="71"/>
      <c r="F1137" s="71"/>
      <c r="G1137" s="71"/>
      <c r="H1137" s="126"/>
      <c r="I1137" s="125"/>
      <c r="J1137" s="123"/>
      <c r="K1137" s="12"/>
      <c r="L1137" s="117"/>
      <c r="M1137" s="12"/>
      <c r="N1137" s="117"/>
      <c r="O1137" s="117"/>
      <c r="P1137" s="117"/>
      <c r="Q1137" s="118"/>
      <c r="R1137" s="118"/>
      <c r="S1137" s="118"/>
      <c r="T1137" s="12"/>
      <c r="U1137" s="118"/>
      <c r="V1137" s="118"/>
      <c r="W1137" s="12"/>
      <c r="X1137" s="119"/>
      <c r="Y1137" s="120"/>
      <c r="Z1137" s="12"/>
      <c r="BA1137" s="70" t="s">
        <v>205</v>
      </c>
      <c r="BB1137" s="71" t="s">
        <v>211</v>
      </c>
      <c r="BC1137" s="71" t="s">
        <v>207</v>
      </c>
      <c r="BD1137" s="71">
        <v>1.71</v>
      </c>
      <c r="BE1137" s="71">
        <v>6.85</v>
      </c>
      <c r="BF1137" s="71">
        <v>268</v>
      </c>
      <c r="BG1137" s="71">
        <v>212</v>
      </c>
      <c r="BH1137" s="71">
        <v>5</v>
      </c>
      <c r="BI1137" s="71">
        <v>10</v>
      </c>
      <c r="BJ1137" s="12" t="str" cm="1">
        <f t="array" ref="BJ1137">_xll.Dce_Name_SectI(BF1137, BF1137, BG1137, BH1137, BI1137, "x", "-", $AX$11)</f>
        <v>268x212x5x10</v>
      </c>
      <c r="BK1137" s="77" cm="1">
        <f t="array" ref="BK1137">_xll.DCEPropSectI(BF1137, BH1137, BG1137, BI1137, BG1137, BI1137, "A")/100</f>
        <v>54.8</v>
      </c>
      <c r="BL1137" s="70" t="s">
        <v>224</v>
      </c>
      <c r="BM1137" s="70">
        <v>25.915009182815879</v>
      </c>
      <c r="BN1137" s="71">
        <v>0.9</v>
      </c>
      <c r="BO1137" s="77">
        <f t="shared" si="147"/>
        <v>6.165</v>
      </c>
      <c r="BP1137" s="71">
        <v>0.9</v>
      </c>
      <c r="BQ1137" s="77">
        <f t="shared" si="148"/>
        <v>6.165</v>
      </c>
      <c r="BR1137" s="77" cm="1">
        <f t="array" ref="BR1137">_xll.DCEPropSectI(BF1137, BH1137, BG1137, BI1137, BG1137, BI1137, "rx")/10</f>
        <v>11.847052463297633</v>
      </c>
      <c r="BS1137" s="77" cm="1">
        <f t="array" ref="BS1137">_xll.DCEPropSectI(BF1137, BH1137, BG1137, BI1137, BG1137, BI1137, "ry")/10</f>
        <v>5.3836052600564113</v>
      </c>
      <c r="BT1137" s="5">
        <f t="shared" si="149"/>
        <v>52.038260310733605</v>
      </c>
      <c r="BU1137" s="5">
        <f t="shared" si="150"/>
        <v>114.5143394100815</v>
      </c>
      <c r="BV1137" s="5">
        <f t="shared" si="151"/>
        <v>114.5143394100815</v>
      </c>
      <c r="BW1137" s="71">
        <f t="shared" si="152"/>
        <v>400</v>
      </c>
      <c r="BX1137" s="78" cm="1">
        <f t="array" ref="BX1137">IF(BM1137&gt;0,1,_xll.DCETCVN5575FactorPhi7121(BV1137*SQRT($K$17/206000),"b"))</f>
        <v>1</v>
      </c>
      <c r="BY1137" s="64">
        <f t="shared" si="153"/>
        <v>2.2519125115411789E-2</v>
      </c>
      <c r="BZ1137" s="3" t="str">
        <f t="shared" si="154"/>
        <v>OK</v>
      </c>
    </row>
    <row r="1138" spans="1:78">
      <c r="A1138" s="76"/>
      <c r="B1138" s="76"/>
      <c r="C1138" s="125"/>
      <c r="D1138" s="125"/>
      <c r="E1138" s="71"/>
      <c r="F1138" s="71"/>
      <c r="G1138" s="71"/>
      <c r="H1138" s="126"/>
      <c r="I1138" s="125"/>
      <c r="J1138" s="123"/>
      <c r="K1138" s="12"/>
      <c r="L1138" s="117"/>
      <c r="M1138" s="12"/>
      <c r="N1138" s="117"/>
      <c r="O1138" s="117"/>
      <c r="P1138" s="117"/>
      <c r="Q1138" s="118"/>
      <c r="R1138" s="118"/>
      <c r="S1138" s="118"/>
      <c r="T1138" s="12"/>
      <c r="U1138" s="118"/>
      <c r="V1138" s="118"/>
      <c r="W1138" s="12"/>
      <c r="X1138" s="119"/>
      <c r="Y1138" s="120"/>
      <c r="Z1138" s="12"/>
      <c r="BA1138" s="70" t="s">
        <v>205</v>
      </c>
      <c r="BB1138" s="71" t="s">
        <v>211</v>
      </c>
      <c r="BC1138" s="71" t="s">
        <v>207</v>
      </c>
      <c r="BD1138" s="71">
        <v>2.57</v>
      </c>
      <c r="BE1138" s="71">
        <v>6.85</v>
      </c>
      <c r="BF1138" s="71">
        <v>268</v>
      </c>
      <c r="BG1138" s="71">
        <v>212</v>
      </c>
      <c r="BH1138" s="71">
        <v>5</v>
      </c>
      <c r="BI1138" s="71">
        <v>10</v>
      </c>
      <c r="BJ1138" s="12" t="str" cm="1">
        <f t="array" ref="BJ1138">_xll.Dce_Name_SectI(BF1138, BF1138, BG1138, BH1138, BI1138, "x", "-", $AX$11)</f>
        <v>268x212x5x10</v>
      </c>
      <c r="BK1138" s="77" cm="1">
        <f t="array" ref="BK1138">_xll.DCEPropSectI(BF1138, BH1138, BG1138, BI1138, BG1138, BI1138, "A")/100</f>
        <v>54.8</v>
      </c>
      <c r="BL1138" s="70" t="s">
        <v>224</v>
      </c>
      <c r="BM1138" s="70">
        <v>25.553833261982788</v>
      </c>
      <c r="BN1138" s="71">
        <v>0.9</v>
      </c>
      <c r="BO1138" s="77">
        <f t="shared" si="147"/>
        <v>6.165</v>
      </c>
      <c r="BP1138" s="71">
        <v>0.9</v>
      </c>
      <c r="BQ1138" s="77">
        <f t="shared" si="148"/>
        <v>6.165</v>
      </c>
      <c r="BR1138" s="77" cm="1">
        <f t="array" ref="BR1138">_xll.DCEPropSectI(BF1138, BH1138, BG1138, BI1138, BG1138, BI1138, "rx")/10</f>
        <v>11.847052463297633</v>
      </c>
      <c r="BS1138" s="77" cm="1">
        <f t="array" ref="BS1138">_xll.DCEPropSectI(BF1138, BH1138, BG1138, BI1138, BG1138, BI1138, "ry")/10</f>
        <v>5.3836052600564113</v>
      </c>
      <c r="BT1138" s="5">
        <f t="shared" si="149"/>
        <v>52.038260310733605</v>
      </c>
      <c r="BU1138" s="5">
        <f t="shared" si="150"/>
        <v>114.5143394100815</v>
      </c>
      <c r="BV1138" s="5">
        <f t="shared" si="151"/>
        <v>114.5143394100815</v>
      </c>
      <c r="BW1138" s="71">
        <f t="shared" si="152"/>
        <v>400</v>
      </c>
      <c r="BX1138" s="78" cm="1">
        <f t="array" ref="BX1138">IF(BM1138&gt;0,1,_xll.DCETCVN5575FactorPhi7121(BV1138*SQRT($K$17/206000),"b"))</f>
        <v>1</v>
      </c>
      <c r="BY1138" s="64">
        <f t="shared" si="153"/>
        <v>2.2205277426123389E-2</v>
      </c>
      <c r="BZ1138" s="3" t="str">
        <f t="shared" si="154"/>
        <v>OK</v>
      </c>
    </row>
    <row r="1139" spans="1:78">
      <c r="A1139" s="76"/>
      <c r="B1139" s="76"/>
      <c r="C1139" s="125"/>
      <c r="D1139" s="125"/>
      <c r="E1139" s="71"/>
      <c r="F1139" s="71"/>
      <c r="G1139" s="71"/>
      <c r="H1139" s="126"/>
      <c r="I1139" s="125"/>
      <c r="J1139" s="123"/>
      <c r="K1139" s="12"/>
      <c r="L1139" s="117"/>
      <c r="M1139" s="12"/>
      <c r="N1139" s="117"/>
      <c r="O1139" s="117"/>
      <c r="P1139" s="117"/>
      <c r="Q1139" s="118"/>
      <c r="R1139" s="118"/>
      <c r="S1139" s="118"/>
      <c r="T1139" s="12"/>
      <c r="U1139" s="118"/>
      <c r="V1139" s="118"/>
      <c r="W1139" s="12"/>
      <c r="X1139" s="119"/>
      <c r="Y1139" s="120"/>
      <c r="Z1139" s="12"/>
      <c r="BA1139" s="70" t="s">
        <v>205</v>
      </c>
      <c r="BB1139" s="71" t="s">
        <v>211</v>
      </c>
      <c r="BC1139" s="71" t="s">
        <v>207</v>
      </c>
      <c r="BD1139" s="71">
        <v>3.42</v>
      </c>
      <c r="BE1139" s="71">
        <v>6.85</v>
      </c>
      <c r="BF1139" s="71">
        <v>268</v>
      </c>
      <c r="BG1139" s="71">
        <v>212</v>
      </c>
      <c r="BH1139" s="71">
        <v>5</v>
      </c>
      <c r="BI1139" s="71">
        <v>10</v>
      </c>
      <c r="BJ1139" s="12" t="str" cm="1">
        <f t="array" ref="BJ1139">_xll.Dce_Name_SectI(BF1139, BF1139, BG1139, BH1139, BI1139, "x", "-", $AX$11)</f>
        <v>268x212x5x10</v>
      </c>
      <c r="BK1139" s="77" cm="1">
        <f t="array" ref="BK1139">_xll.DCEPropSectI(BF1139, BH1139, BG1139, BI1139, BG1139, BI1139, "A")/100</f>
        <v>54.8</v>
      </c>
      <c r="BL1139" s="70" t="s">
        <v>224</v>
      </c>
      <c r="BM1139" s="70">
        <v>25.19265734114969</v>
      </c>
      <c r="BN1139" s="71">
        <v>0.9</v>
      </c>
      <c r="BO1139" s="77">
        <f t="shared" si="147"/>
        <v>6.165</v>
      </c>
      <c r="BP1139" s="71">
        <v>0.9</v>
      </c>
      <c r="BQ1139" s="77">
        <f t="shared" si="148"/>
        <v>6.165</v>
      </c>
      <c r="BR1139" s="77" cm="1">
        <f t="array" ref="BR1139">_xll.DCEPropSectI(BF1139, BH1139, BG1139, BI1139, BG1139, BI1139, "rx")/10</f>
        <v>11.847052463297633</v>
      </c>
      <c r="BS1139" s="77" cm="1">
        <f t="array" ref="BS1139">_xll.DCEPropSectI(BF1139, BH1139, BG1139, BI1139, BG1139, BI1139, "ry")/10</f>
        <v>5.3836052600564113</v>
      </c>
      <c r="BT1139" s="5">
        <f t="shared" si="149"/>
        <v>52.038260310733605</v>
      </c>
      <c r="BU1139" s="5">
        <f t="shared" si="150"/>
        <v>114.5143394100815</v>
      </c>
      <c r="BV1139" s="5">
        <f t="shared" si="151"/>
        <v>114.5143394100815</v>
      </c>
      <c r="BW1139" s="71">
        <f t="shared" si="152"/>
        <v>400</v>
      </c>
      <c r="BX1139" s="78" cm="1">
        <f t="array" ref="BX1139">IF(BM1139&gt;0,1,_xll.DCETCVN5575FactorPhi7121(BV1139*SQRT($K$17/206000),"b"))</f>
        <v>1</v>
      </c>
      <c r="BY1139" s="64">
        <f t="shared" si="153"/>
        <v>2.1891429736834979E-2</v>
      </c>
      <c r="BZ1139" s="3" t="str">
        <f t="shared" si="154"/>
        <v>OK</v>
      </c>
    </row>
    <row r="1140" spans="1:78">
      <c r="A1140" s="76"/>
      <c r="B1140" s="76"/>
      <c r="C1140" s="125"/>
      <c r="D1140" s="125"/>
      <c r="E1140" s="71"/>
      <c r="F1140" s="71"/>
      <c r="G1140" s="71"/>
      <c r="H1140" s="126"/>
      <c r="I1140" s="125"/>
      <c r="J1140" s="123"/>
      <c r="K1140" s="12"/>
      <c r="L1140" s="117"/>
      <c r="M1140" s="12"/>
      <c r="N1140" s="117"/>
      <c r="O1140" s="117"/>
      <c r="P1140" s="117"/>
      <c r="Q1140" s="118"/>
      <c r="R1140" s="118"/>
      <c r="S1140" s="118"/>
      <c r="T1140" s="12"/>
      <c r="U1140" s="118"/>
      <c r="V1140" s="118"/>
      <c r="W1140" s="12"/>
      <c r="X1140" s="119"/>
      <c r="Y1140" s="120"/>
      <c r="Z1140" s="12"/>
      <c r="BA1140" s="70" t="s">
        <v>205</v>
      </c>
      <c r="BB1140" s="71" t="s">
        <v>211</v>
      </c>
      <c r="BC1140" s="71" t="s">
        <v>207</v>
      </c>
      <c r="BD1140" s="71">
        <v>4.28</v>
      </c>
      <c r="BE1140" s="71">
        <v>6.85</v>
      </c>
      <c r="BF1140" s="71">
        <v>268</v>
      </c>
      <c r="BG1140" s="71">
        <v>212</v>
      </c>
      <c r="BH1140" s="71">
        <v>5</v>
      </c>
      <c r="BI1140" s="71">
        <v>10</v>
      </c>
      <c r="BJ1140" s="12" t="str" cm="1">
        <f t="array" ref="BJ1140">_xll.Dce_Name_SectI(BF1140, BF1140, BG1140, BH1140, BI1140, "x", "-", $AX$11)</f>
        <v>268x212x5x10</v>
      </c>
      <c r="BK1140" s="77" cm="1">
        <f t="array" ref="BK1140">_xll.DCEPropSectI(BF1140, BH1140, BG1140, BI1140, BG1140, BI1140, "A")/100</f>
        <v>54.8</v>
      </c>
      <c r="BL1140" s="70" t="s">
        <v>224</v>
      </c>
      <c r="BM1140" s="70">
        <v>24.831481420316599</v>
      </c>
      <c r="BN1140" s="71">
        <v>0.9</v>
      </c>
      <c r="BO1140" s="77">
        <f t="shared" si="147"/>
        <v>6.165</v>
      </c>
      <c r="BP1140" s="71">
        <v>0.9</v>
      </c>
      <c r="BQ1140" s="77">
        <f t="shared" si="148"/>
        <v>6.165</v>
      </c>
      <c r="BR1140" s="77" cm="1">
        <f t="array" ref="BR1140">_xll.DCEPropSectI(BF1140, BH1140, BG1140, BI1140, BG1140, BI1140, "rx")/10</f>
        <v>11.847052463297633</v>
      </c>
      <c r="BS1140" s="77" cm="1">
        <f t="array" ref="BS1140">_xll.DCEPropSectI(BF1140, BH1140, BG1140, BI1140, BG1140, BI1140, "ry")/10</f>
        <v>5.3836052600564113</v>
      </c>
      <c r="BT1140" s="5">
        <f t="shared" si="149"/>
        <v>52.038260310733605</v>
      </c>
      <c r="BU1140" s="5">
        <f t="shared" si="150"/>
        <v>114.5143394100815</v>
      </c>
      <c r="BV1140" s="5">
        <f t="shared" si="151"/>
        <v>114.5143394100815</v>
      </c>
      <c r="BW1140" s="71">
        <f t="shared" si="152"/>
        <v>400</v>
      </c>
      <c r="BX1140" s="78" cm="1">
        <f t="array" ref="BX1140">IF(BM1140&gt;0,1,_xll.DCETCVN5575FactorPhi7121(BV1140*SQRT($K$17/206000),"b"))</f>
        <v>1</v>
      </c>
      <c r="BY1140" s="64">
        <f t="shared" si="153"/>
        <v>2.1577582047546576E-2</v>
      </c>
      <c r="BZ1140" s="3" t="str">
        <f t="shared" si="154"/>
        <v>OK</v>
      </c>
    </row>
    <row r="1141" spans="1:78">
      <c r="A1141" s="76"/>
      <c r="B1141" s="76"/>
      <c r="C1141" s="125"/>
      <c r="D1141" s="125"/>
      <c r="E1141" s="71"/>
      <c r="F1141" s="71"/>
      <c r="G1141" s="71"/>
      <c r="H1141" s="126"/>
      <c r="I1141" s="125"/>
      <c r="J1141" s="123"/>
      <c r="K1141" s="12"/>
      <c r="L1141" s="117"/>
      <c r="M1141" s="12"/>
      <c r="N1141" s="117"/>
      <c r="O1141" s="117"/>
      <c r="P1141" s="117"/>
      <c r="Q1141" s="118"/>
      <c r="R1141" s="118"/>
      <c r="S1141" s="118"/>
      <c r="T1141" s="12"/>
      <c r="U1141" s="118"/>
      <c r="V1141" s="118"/>
      <c r="W1141" s="12"/>
      <c r="X1141" s="119"/>
      <c r="Y1141" s="120"/>
      <c r="Z1141" s="12"/>
      <c r="BA1141" s="70" t="s">
        <v>205</v>
      </c>
      <c r="BB1141" s="71" t="s">
        <v>211</v>
      </c>
      <c r="BC1141" s="71" t="s">
        <v>207</v>
      </c>
      <c r="BD1141" s="71">
        <v>5.14</v>
      </c>
      <c r="BE1141" s="71">
        <v>6.85</v>
      </c>
      <c r="BF1141" s="71">
        <v>268</v>
      </c>
      <c r="BG1141" s="71">
        <v>212</v>
      </c>
      <c r="BH1141" s="71">
        <v>5</v>
      </c>
      <c r="BI1141" s="71">
        <v>10</v>
      </c>
      <c r="BJ1141" s="12" t="str" cm="1">
        <f t="array" ref="BJ1141">_xll.Dce_Name_SectI(BF1141, BF1141, BG1141, BH1141, BI1141, "x", "-", $AX$11)</f>
        <v>268x212x5x10</v>
      </c>
      <c r="BK1141" s="77" cm="1">
        <f t="array" ref="BK1141">_xll.DCEPropSectI(BF1141, BH1141, BG1141, BI1141, BG1141, BI1141, "A")/100</f>
        <v>54.8</v>
      </c>
      <c r="BL1141" s="70" t="s">
        <v>224</v>
      </c>
      <c r="BM1141" s="70">
        <v>24.470305499483509</v>
      </c>
      <c r="BN1141" s="71">
        <v>0.9</v>
      </c>
      <c r="BO1141" s="77">
        <f t="shared" si="147"/>
        <v>6.165</v>
      </c>
      <c r="BP1141" s="71">
        <v>0.9</v>
      </c>
      <c r="BQ1141" s="77">
        <f t="shared" si="148"/>
        <v>6.165</v>
      </c>
      <c r="BR1141" s="77" cm="1">
        <f t="array" ref="BR1141">_xll.DCEPropSectI(BF1141, BH1141, BG1141, BI1141, BG1141, BI1141, "rx")/10</f>
        <v>11.847052463297633</v>
      </c>
      <c r="BS1141" s="77" cm="1">
        <f t="array" ref="BS1141">_xll.DCEPropSectI(BF1141, BH1141, BG1141, BI1141, BG1141, BI1141, "ry")/10</f>
        <v>5.3836052600564113</v>
      </c>
      <c r="BT1141" s="5">
        <f t="shared" si="149"/>
        <v>52.038260310733605</v>
      </c>
      <c r="BU1141" s="5">
        <f t="shared" si="150"/>
        <v>114.5143394100815</v>
      </c>
      <c r="BV1141" s="5">
        <f t="shared" si="151"/>
        <v>114.5143394100815</v>
      </c>
      <c r="BW1141" s="71">
        <f t="shared" si="152"/>
        <v>400</v>
      </c>
      <c r="BX1141" s="78" cm="1">
        <f t="array" ref="BX1141">IF(BM1141&gt;0,1,_xll.DCETCVN5575FactorPhi7121(BV1141*SQRT($K$17/206000),"b"))</f>
        <v>1</v>
      </c>
      <c r="BY1141" s="64">
        <f t="shared" si="153"/>
        <v>2.1263734358258176E-2</v>
      </c>
      <c r="BZ1141" s="3" t="str">
        <f t="shared" si="154"/>
        <v>OK</v>
      </c>
    </row>
    <row r="1142" spans="1:78">
      <c r="A1142" s="76"/>
      <c r="B1142" s="76"/>
      <c r="C1142" s="125"/>
      <c r="D1142" s="125"/>
      <c r="E1142" s="71"/>
      <c r="F1142" s="71"/>
      <c r="G1142" s="71"/>
      <c r="H1142" s="126"/>
      <c r="I1142" s="125"/>
      <c r="J1142" s="123"/>
      <c r="K1142" s="12"/>
      <c r="L1142" s="117"/>
      <c r="M1142" s="12"/>
      <c r="N1142" s="117"/>
      <c r="O1142" s="117"/>
      <c r="P1142" s="117"/>
      <c r="Q1142" s="118"/>
      <c r="R1142" s="118"/>
      <c r="S1142" s="118"/>
      <c r="T1142" s="12"/>
      <c r="U1142" s="118"/>
      <c r="V1142" s="118"/>
      <c r="W1142" s="12"/>
      <c r="X1142" s="119"/>
      <c r="Y1142" s="120"/>
      <c r="Z1142" s="12"/>
      <c r="BA1142" s="70" t="s">
        <v>205</v>
      </c>
      <c r="BB1142" s="71" t="s">
        <v>211</v>
      </c>
      <c r="BC1142" s="71" t="s">
        <v>207</v>
      </c>
      <c r="BD1142" s="71">
        <v>5.99</v>
      </c>
      <c r="BE1142" s="71">
        <v>6.85</v>
      </c>
      <c r="BF1142" s="71">
        <v>268</v>
      </c>
      <c r="BG1142" s="71">
        <v>212</v>
      </c>
      <c r="BH1142" s="71">
        <v>5</v>
      </c>
      <c r="BI1142" s="71">
        <v>10</v>
      </c>
      <c r="BJ1142" s="12" t="str" cm="1">
        <f t="array" ref="BJ1142">_xll.Dce_Name_SectI(BF1142, BF1142, BG1142, BH1142, BI1142, "x", "-", $AX$11)</f>
        <v>268x212x5x10</v>
      </c>
      <c r="BK1142" s="77" cm="1">
        <f t="array" ref="BK1142">_xll.DCEPropSectI(BF1142, BH1142, BG1142, BI1142, BG1142, BI1142, "A")/100</f>
        <v>54.8</v>
      </c>
      <c r="BL1142" s="70" t="s">
        <v>224</v>
      </c>
      <c r="BM1142" s="70">
        <v>24.109129578650418</v>
      </c>
      <c r="BN1142" s="71">
        <v>0.9</v>
      </c>
      <c r="BO1142" s="77">
        <f t="shared" si="147"/>
        <v>6.165</v>
      </c>
      <c r="BP1142" s="71">
        <v>0.9</v>
      </c>
      <c r="BQ1142" s="77">
        <f t="shared" si="148"/>
        <v>6.165</v>
      </c>
      <c r="BR1142" s="77" cm="1">
        <f t="array" ref="BR1142">_xll.DCEPropSectI(BF1142, BH1142, BG1142, BI1142, BG1142, BI1142, "rx")/10</f>
        <v>11.847052463297633</v>
      </c>
      <c r="BS1142" s="77" cm="1">
        <f t="array" ref="BS1142">_xll.DCEPropSectI(BF1142, BH1142, BG1142, BI1142, BG1142, BI1142, "ry")/10</f>
        <v>5.3836052600564113</v>
      </c>
      <c r="BT1142" s="5">
        <f t="shared" si="149"/>
        <v>52.038260310733605</v>
      </c>
      <c r="BU1142" s="5">
        <f t="shared" si="150"/>
        <v>114.5143394100815</v>
      </c>
      <c r="BV1142" s="5">
        <f t="shared" si="151"/>
        <v>114.5143394100815</v>
      </c>
      <c r="BW1142" s="71">
        <f t="shared" si="152"/>
        <v>400</v>
      </c>
      <c r="BX1142" s="78" cm="1">
        <f t="array" ref="BX1142">IF(BM1142&gt;0,1,_xll.DCETCVN5575FactorPhi7121(BV1142*SQRT($K$17/206000),"b"))</f>
        <v>1</v>
      </c>
      <c r="BY1142" s="64">
        <f t="shared" si="153"/>
        <v>2.094988666896978E-2</v>
      </c>
      <c r="BZ1142" s="3" t="str">
        <f t="shared" si="154"/>
        <v>OK</v>
      </c>
    </row>
    <row r="1143" spans="1:78">
      <c r="A1143" s="76"/>
      <c r="B1143" s="76"/>
      <c r="C1143" s="125"/>
      <c r="D1143" s="125"/>
      <c r="E1143" s="71"/>
      <c r="F1143" s="71"/>
      <c r="G1143" s="71"/>
      <c r="H1143" s="126"/>
      <c r="I1143" s="125"/>
      <c r="J1143" s="123"/>
      <c r="K1143" s="12"/>
      <c r="L1143" s="117"/>
      <c r="M1143" s="12"/>
      <c r="N1143" s="117"/>
      <c r="O1143" s="117"/>
      <c r="P1143" s="117"/>
      <c r="Q1143" s="118"/>
      <c r="R1143" s="118"/>
      <c r="S1143" s="118"/>
      <c r="T1143" s="12"/>
      <c r="U1143" s="118"/>
      <c r="V1143" s="118"/>
      <c r="W1143" s="12"/>
      <c r="X1143" s="119"/>
      <c r="Y1143" s="120"/>
      <c r="Z1143" s="12"/>
      <c r="BA1143" s="70" t="s">
        <v>205</v>
      </c>
      <c r="BB1143" s="71" t="s">
        <v>211</v>
      </c>
      <c r="BC1143" s="71" t="s">
        <v>207</v>
      </c>
      <c r="BD1143" s="71">
        <v>6.85</v>
      </c>
      <c r="BE1143" s="71">
        <v>6.85</v>
      </c>
      <c r="BF1143" s="71">
        <v>268</v>
      </c>
      <c r="BG1143" s="71">
        <v>212</v>
      </c>
      <c r="BH1143" s="71">
        <v>5</v>
      </c>
      <c r="BI1143" s="71">
        <v>10</v>
      </c>
      <c r="BJ1143" s="12" t="str" cm="1">
        <f t="array" ref="BJ1143">_xll.Dce_Name_SectI(BF1143, BF1143, BG1143, BH1143, BI1143, "x", "-", $AX$11)</f>
        <v>268x212x5x10</v>
      </c>
      <c r="BK1143" s="77" cm="1">
        <f t="array" ref="BK1143">_xll.DCEPropSectI(BF1143, BH1143, BG1143, BI1143, BG1143, BI1143, "A")/100</f>
        <v>54.8</v>
      </c>
      <c r="BL1143" s="70" t="s">
        <v>224</v>
      </c>
      <c r="BM1143" s="70">
        <v>23.747953657817327</v>
      </c>
      <c r="BN1143" s="71">
        <v>0.9</v>
      </c>
      <c r="BO1143" s="77">
        <f t="shared" si="147"/>
        <v>6.165</v>
      </c>
      <c r="BP1143" s="71">
        <v>0.9</v>
      </c>
      <c r="BQ1143" s="77">
        <f t="shared" si="148"/>
        <v>6.165</v>
      </c>
      <c r="BR1143" s="77" cm="1">
        <f t="array" ref="BR1143">_xll.DCEPropSectI(BF1143, BH1143, BG1143, BI1143, BG1143, BI1143, "rx")/10</f>
        <v>11.847052463297633</v>
      </c>
      <c r="BS1143" s="77" cm="1">
        <f t="array" ref="BS1143">_xll.DCEPropSectI(BF1143, BH1143, BG1143, BI1143, BG1143, BI1143, "ry")/10</f>
        <v>5.3836052600564113</v>
      </c>
      <c r="BT1143" s="5">
        <f t="shared" si="149"/>
        <v>52.038260310733605</v>
      </c>
      <c r="BU1143" s="5">
        <f t="shared" si="150"/>
        <v>114.5143394100815</v>
      </c>
      <c r="BV1143" s="5">
        <f t="shared" si="151"/>
        <v>114.5143394100815</v>
      </c>
      <c r="BW1143" s="71">
        <f t="shared" si="152"/>
        <v>400</v>
      </c>
      <c r="BX1143" s="78" cm="1">
        <f t="array" ref="BX1143">IF(BM1143&gt;0,1,_xll.DCETCVN5575FactorPhi7121(BV1143*SQRT($K$17/206000),"b"))</f>
        <v>1</v>
      </c>
      <c r="BY1143" s="64">
        <f t="shared" si="153"/>
        <v>2.063603897968138E-2</v>
      </c>
      <c r="BZ1143" s="3" t="str">
        <f t="shared" si="154"/>
        <v>OK</v>
      </c>
    </row>
    <row r="1144" spans="1:78">
      <c r="A1144" s="76"/>
      <c r="B1144" s="76"/>
      <c r="C1144" s="125"/>
      <c r="D1144" s="125"/>
      <c r="E1144" s="71"/>
      <c r="F1144" s="71"/>
      <c r="G1144" s="71"/>
      <c r="H1144" s="126"/>
      <c r="I1144" s="125"/>
      <c r="J1144" s="123"/>
      <c r="K1144" s="12"/>
      <c r="L1144" s="117"/>
      <c r="M1144" s="12"/>
      <c r="N1144" s="117"/>
      <c r="O1144" s="117"/>
      <c r="P1144" s="117"/>
      <c r="Q1144" s="118"/>
      <c r="R1144" s="118"/>
      <c r="S1144" s="118"/>
      <c r="T1144" s="12"/>
      <c r="U1144" s="118"/>
      <c r="V1144" s="118"/>
      <c r="W1144" s="12"/>
      <c r="X1144" s="119"/>
      <c r="Y1144" s="120"/>
      <c r="Z1144" s="12"/>
      <c r="BA1144" s="70" t="s">
        <v>205</v>
      </c>
      <c r="BB1144" s="71" t="s">
        <v>211</v>
      </c>
      <c r="BC1144" s="71" t="s">
        <v>207</v>
      </c>
      <c r="BD1144" s="71">
        <v>0</v>
      </c>
      <c r="BE1144" s="71">
        <v>6.85</v>
      </c>
      <c r="BF1144" s="71">
        <v>268</v>
      </c>
      <c r="BG1144" s="71">
        <v>212</v>
      </c>
      <c r="BH1144" s="71">
        <v>5</v>
      </c>
      <c r="BI1144" s="71">
        <v>10</v>
      </c>
      <c r="BJ1144" s="12" t="str" cm="1">
        <f t="array" ref="BJ1144">_xll.Dce_Name_SectI(BF1144, BF1144, BG1144, BH1144, BI1144, "x", "-", $AX$11)</f>
        <v>268x212x5x10</v>
      </c>
      <c r="BK1144" s="77" cm="1">
        <f t="array" ref="BK1144">_xll.DCEPropSectI(BF1144, BH1144, BG1144, BI1144, BG1144, BI1144, "A")/100</f>
        <v>54.8</v>
      </c>
      <c r="BL1144" s="70" t="s">
        <v>225</v>
      </c>
      <c r="BM1144" s="70">
        <v>-11.996896817504421</v>
      </c>
      <c r="BN1144" s="71">
        <v>0.9</v>
      </c>
      <c r="BO1144" s="77">
        <f t="shared" si="147"/>
        <v>6.165</v>
      </c>
      <c r="BP1144" s="71">
        <v>0.9</v>
      </c>
      <c r="BQ1144" s="77">
        <f t="shared" si="148"/>
        <v>6.165</v>
      </c>
      <c r="BR1144" s="77" cm="1">
        <f t="array" ref="BR1144">_xll.DCEPropSectI(BF1144, BH1144, BG1144, BI1144, BG1144, BI1144, "rx")/10</f>
        <v>11.847052463297633</v>
      </c>
      <c r="BS1144" s="77" cm="1">
        <f t="array" ref="BS1144">_xll.DCEPropSectI(BF1144, BH1144, BG1144, BI1144, BG1144, BI1144, "ry")/10</f>
        <v>5.3836052600564113</v>
      </c>
      <c r="BT1144" s="5">
        <f t="shared" si="149"/>
        <v>52.038260310733605</v>
      </c>
      <c r="BU1144" s="5">
        <f t="shared" si="150"/>
        <v>114.5143394100815</v>
      </c>
      <c r="BV1144" s="5">
        <f t="shared" si="151"/>
        <v>114.5143394100815</v>
      </c>
      <c r="BW1144" s="71">
        <f t="shared" si="152"/>
        <v>200</v>
      </c>
      <c r="BX1144" s="78" cm="1">
        <f t="array" ref="BX1144">IF(BM1144&gt;0,1,_xll.DCETCVN5575FactorPhi7121(BV1144*SQRT($K$17/206000),"b"))</f>
        <v>0.47786839095804584</v>
      </c>
      <c r="BY1144" s="64">
        <f t="shared" si="153"/>
        <v>2.1815278702780362E-2</v>
      </c>
      <c r="BZ1144" s="3" t="str">
        <f t="shared" si="154"/>
        <v>OK</v>
      </c>
    </row>
    <row r="1145" spans="1:78">
      <c r="A1145" s="76"/>
      <c r="B1145" s="76"/>
      <c r="C1145" s="125"/>
      <c r="D1145" s="125"/>
      <c r="E1145" s="71"/>
      <c r="F1145" s="71"/>
      <c r="G1145" s="71"/>
      <c r="H1145" s="126"/>
      <c r="I1145" s="125"/>
      <c r="J1145" s="123"/>
      <c r="K1145" s="12"/>
      <c r="L1145" s="117"/>
      <c r="M1145" s="12"/>
      <c r="N1145" s="117"/>
      <c r="O1145" s="117"/>
      <c r="P1145" s="117"/>
      <c r="Q1145" s="118"/>
      <c r="R1145" s="118"/>
      <c r="S1145" s="118"/>
      <c r="T1145" s="12"/>
      <c r="U1145" s="118"/>
      <c r="V1145" s="118"/>
      <c r="W1145" s="12"/>
      <c r="X1145" s="119"/>
      <c r="Y1145" s="120"/>
      <c r="Z1145" s="12"/>
      <c r="BA1145" s="70" t="s">
        <v>205</v>
      </c>
      <c r="BB1145" s="71" t="s">
        <v>211</v>
      </c>
      <c r="BC1145" s="71" t="s">
        <v>207</v>
      </c>
      <c r="BD1145" s="71">
        <v>0.86</v>
      </c>
      <c r="BE1145" s="71">
        <v>6.85</v>
      </c>
      <c r="BF1145" s="71">
        <v>268</v>
      </c>
      <c r="BG1145" s="71">
        <v>212</v>
      </c>
      <c r="BH1145" s="71">
        <v>5</v>
      </c>
      <c r="BI1145" s="71">
        <v>10</v>
      </c>
      <c r="BJ1145" s="12" t="str" cm="1">
        <f t="array" ref="BJ1145">_xll.Dce_Name_SectI(BF1145, BF1145, BG1145, BH1145, BI1145, "x", "-", $AX$11)</f>
        <v>268x212x5x10</v>
      </c>
      <c r="BK1145" s="77" cm="1">
        <f t="array" ref="BK1145">_xll.DCEPropSectI(BF1145, BH1145, BG1145, BI1145, BG1145, BI1145, "A")/100</f>
        <v>54.8</v>
      </c>
      <c r="BL1145" s="70" t="s">
        <v>225</v>
      </c>
      <c r="BM1145" s="70">
        <v>-12.358072738337512</v>
      </c>
      <c r="BN1145" s="71">
        <v>0.9</v>
      </c>
      <c r="BO1145" s="77">
        <f t="shared" si="147"/>
        <v>6.165</v>
      </c>
      <c r="BP1145" s="71">
        <v>0.9</v>
      </c>
      <c r="BQ1145" s="77">
        <f t="shared" si="148"/>
        <v>6.165</v>
      </c>
      <c r="BR1145" s="77" cm="1">
        <f t="array" ref="BR1145">_xll.DCEPropSectI(BF1145, BH1145, BG1145, BI1145, BG1145, BI1145, "rx")/10</f>
        <v>11.847052463297633</v>
      </c>
      <c r="BS1145" s="77" cm="1">
        <f t="array" ref="BS1145">_xll.DCEPropSectI(BF1145, BH1145, BG1145, BI1145, BG1145, BI1145, "ry")/10</f>
        <v>5.3836052600564113</v>
      </c>
      <c r="BT1145" s="5">
        <f t="shared" si="149"/>
        <v>52.038260310733605</v>
      </c>
      <c r="BU1145" s="5">
        <f t="shared" si="150"/>
        <v>114.5143394100815</v>
      </c>
      <c r="BV1145" s="5">
        <f t="shared" si="151"/>
        <v>114.5143394100815</v>
      </c>
      <c r="BW1145" s="71">
        <f t="shared" si="152"/>
        <v>200</v>
      </c>
      <c r="BX1145" s="78" cm="1">
        <f t="array" ref="BX1145">IF(BM1145&gt;0,1,_xll.DCETCVN5575FactorPhi7121(BV1145*SQRT($K$17/206000),"b"))</f>
        <v>0.47786839095804584</v>
      </c>
      <c r="BY1145" s="64">
        <f t="shared" si="153"/>
        <v>2.2472044655973432E-2</v>
      </c>
      <c r="BZ1145" s="3" t="str">
        <f t="shared" si="154"/>
        <v>OK</v>
      </c>
    </row>
    <row r="1146" spans="1:78">
      <c r="A1146" s="76"/>
      <c r="B1146" s="76"/>
      <c r="C1146" s="125"/>
      <c r="D1146" s="125"/>
      <c r="E1146" s="71"/>
      <c r="F1146" s="71"/>
      <c r="G1146" s="71"/>
      <c r="H1146" s="126"/>
      <c r="I1146" s="125"/>
      <c r="J1146" s="123"/>
      <c r="K1146" s="12"/>
      <c r="L1146" s="117"/>
      <c r="M1146" s="12"/>
      <c r="N1146" s="117"/>
      <c r="O1146" s="117"/>
      <c r="P1146" s="117"/>
      <c r="Q1146" s="118"/>
      <c r="R1146" s="118"/>
      <c r="S1146" s="118"/>
      <c r="T1146" s="12"/>
      <c r="U1146" s="118"/>
      <c r="V1146" s="118"/>
      <c r="W1146" s="12"/>
      <c r="X1146" s="119"/>
      <c r="Y1146" s="120"/>
      <c r="Z1146" s="12"/>
      <c r="BA1146" s="70" t="s">
        <v>205</v>
      </c>
      <c r="BB1146" s="71" t="s">
        <v>211</v>
      </c>
      <c r="BC1146" s="71" t="s">
        <v>207</v>
      </c>
      <c r="BD1146" s="71">
        <v>1.71</v>
      </c>
      <c r="BE1146" s="71">
        <v>6.85</v>
      </c>
      <c r="BF1146" s="71">
        <v>268</v>
      </c>
      <c r="BG1146" s="71">
        <v>212</v>
      </c>
      <c r="BH1146" s="71">
        <v>5</v>
      </c>
      <c r="BI1146" s="71">
        <v>10</v>
      </c>
      <c r="BJ1146" s="12" t="str" cm="1">
        <f t="array" ref="BJ1146">_xll.Dce_Name_SectI(BF1146, BF1146, BG1146, BH1146, BI1146, "x", "-", $AX$11)</f>
        <v>268x212x5x10</v>
      </c>
      <c r="BK1146" s="77" cm="1">
        <f t="array" ref="BK1146">_xll.DCEPropSectI(BF1146, BH1146, BG1146, BI1146, BG1146, BI1146, "A")/100</f>
        <v>54.8</v>
      </c>
      <c r="BL1146" s="70" t="s">
        <v>225</v>
      </c>
      <c r="BM1146" s="70">
        <v>-12.719248659170603</v>
      </c>
      <c r="BN1146" s="71">
        <v>0.9</v>
      </c>
      <c r="BO1146" s="77">
        <f t="shared" si="147"/>
        <v>6.165</v>
      </c>
      <c r="BP1146" s="71">
        <v>0.9</v>
      </c>
      <c r="BQ1146" s="77">
        <f t="shared" si="148"/>
        <v>6.165</v>
      </c>
      <c r="BR1146" s="77" cm="1">
        <f t="array" ref="BR1146">_xll.DCEPropSectI(BF1146, BH1146, BG1146, BI1146, BG1146, BI1146, "rx")/10</f>
        <v>11.847052463297633</v>
      </c>
      <c r="BS1146" s="77" cm="1">
        <f t="array" ref="BS1146">_xll.DCEPropSectI(BF1146, BH1146, BG1146, BI1146, BG1146, BI1146, "ry")/10</f>
        <v>5.3836052600564113</v>
      </c>
      <c r="BT1146" s="5">
        <f t="shared" si="149"/>
        <v>52.038260310733605</v>
      </c>
      <c r="BU1146" s="5">
        <f t="shared" si="150"/>
        <v>114.5143394100815</v>
      </c>
      <c r="BV1146" s="5">
        <f t="shared" si="151"/>
        <v>114.5143394100815</v>
      </c>
      <c r="BW1146" s="71">
        <f t="shared" si="152"/>
        <v>200</v>
      </c>
      <c r="BX1146" s="78" cm="1">
        <f t="array" ref="BX1146">IF(BM1146&gt;0,1,_xll.DCETCVN5575FactorPhi7121(BV1146*SQRT($K$17/206000),"b"))</f>
        <v>0.47786839095804584</v>
      </c>
      <c r="BY1146" s="64">
        <f t="shared" si="153"/>
        <v>2.3128810609166502E-2</v>
      </c>
      <c r="BZ1146" s="3" t="str">
        <f t="shared" si="154"/>
        <v>OK</v>
      </c>
    </row>
    <row r="1147" spans="1:78">
      <c r="A1147" s="76"/>
      <c r="B1147" s="76"/>
      <c r="C1147" s="125"/>
      <c r="D1147" s="125"/>
      <c r="E1147" s="71"/>
      <c r="F1147" s="71"/>
      <c r="G1147" s="71"/>
      <c r="H1147" s="126"/>
      <c r="I1147" s="125"/>
      <c r="J1147" s="123"/>
      <c r="K1147" s="12"/>
      <c r="L1147" s="117"/>
      <c r="M1147" s="12"/>
      <c r="N1147" s="117"/>
      <c r="O1147" s="117"/>
      <c r="P1147" s="117"/>
      <c r="Q1147" s="118"/>
      <c r="R1147" s="118"/>
      <c r="S1147" s="118"/>
      <c r="T1147" s="12"/>
      <c r="U1147" s="118"/>
      <c r="V1147" s="118"/>
      <c r="W1147" s="12"/>
      <c r="X1147" s="119"/>
      <c r="Y1147" s="120"/>
      <c r="Z1147" s="12"/>
      <c r="BA1147" s="70" t="s">
        <v>205</v>
      </c>
      <c r="BB1147" s="71" t="s">
        <v>211</v>
      </c>
      <c r="BC1147" s="71" t="s">
        <v>207</v>
      </c>
      <c r="BD1147" s="71">
        <v>2.57</v>
      </c>
      <c r="BE1147" s="71">
        <v>6.85</v>
      </c>
      <c r="BF1147" s="71">
        <v>268</v>
      </c>
      <c r="BG1147" s="71">
        <v>212</v>
      </c>
      <c r="BH1147" s="71">
        <v>5</v>
      </c>
      <c r="BI1147" s="71">
        <v>10</v>
      </c>
      <c r="BJ1147" s="12" t="str" cm="1">
        <f t="array" ref="BJ1147">_xll.Dce_Name_SectI(BF1147, BF1147, BG1147, BH1147, BI1147, "x", "-", $AX$11)</f>
        <v>268x212x5x10</v>
      </c>
      <c r="BK1147" s="77" cm="1">
        <f t="array" ref="BK1147">_xll.DCEPropSectI(BF1147, BH1147, BG1147, BI1147, BG1147, BI1147, "A")/100</f>
        <v>54.8</v>
      </c>
      <c r="BL1147" s="70" t="s">
        <v>225</v>
      </c>
      <c r="BM1147" s="70">
        <v>-13.080424580003694</v>
      </c>
      <c r="BN1147" s="71">
        <v>0.9</v>
      </c>
      <c r="BO1147" s="77">
        <f t="shared" si="147"/>
        <v>6.165</v>
      </c>
      <c r="BP1147" s="71">
        <v>0.9</v>
      </c>
      <c r="BQ1147" s="77">
        <f t="shared" si="148"/>
        <v>6.165</v>
      </c>
      <c r="BR1147" s="77" cm="1">
        <f t="array" ref="BR1147">_xll.DCEPropSectI(BF1147, BH1147, BG1147, BI1147, BG1147, BI1147, "rx")/10</f>
        <v>11.847052463297633</v>
      </c>
      <c r="BS1147" s="77" cm="1">
        <f t="array" ref="BS1147">_xll.DCEPropSectI(BF1147, BH1147, BG1147, BI1147, BG1147, BI1147, "ry")/10</f>
        <v>5.3836052600564113</v>
      </c>
      <c r="BT1147" s="5">
        <f t="shared" si="149"/>
        <v>52.038260310733605</v>
      </c>
      <c r="BU1147" s="5">
        <f t="shared" si="150"/>
        <v>114.5143394100815</v>
      </c>
      <c r="BV1147" s="5">
        <f t="shared" si="151"/>
        <v>114.5143394100815</v>
      </c>
      <c r="BW1147" s="71">
        <f t="shared" si="152"/>
        <v>200</v>
      </c>
      <c r="BX1147" s="78" cm="1">
        <f t="array" ref="BX1147">IF(BM1147&gt;0,1,_xll.DCETCVN5575FactorPhi7121(BV1147*SQRT($K$17/206000),"b"))</f>
        <v>0.47786839095804584</v>
      </c>
      <c r="BY1147" s="64">
        <f t="shared" si="153"/>
        <v>2.3785576562359575E-2</v>
      </c>
      <c r="BZ1147" s="3" t="str">
        <f t="shared" si="154"/>
        <v>OK</v>
      </c>
    </row>
    <row r="1148" spans="1:78">
      <c r="A1148" s="76"/>
      <c r="B1148" s="76"/>
      <c r="C1148" s="125"/>
      <c r="D1148" s="125"/>
      <c r="E1148" s="71"/>
      <c r="F1148" s="71"/>
      <c r="G1148" s="71"/>
      <c r="H1148" s="126"/>
      <c r="I1148" s="125"/>
      <c r="J1148" s="123"/>
      <c r="K1148" s="12"/>
      <c r="L1148" s="117"/>
      <c r="M1148" s="12"/>
      <c r="N1148" s="117"/>
      <c r="O1148" s="117"/>
      <c r="P1148" s="117"/>
      <c r="Q1148" s="118"/>
      <c r="R1148" s="118"/>
      <c r="S1148" s="118"/>
      <c r="T1148" s="12"/>
      <c r="U1148" s="118"/>
      <c r="V1148" s="118"/>
      <c r="W1148" s="12"/>
      <c r="X1148" s="119"/>
      <c r="Y1148" s="120"/>
      <c r="Z1148" s="12"/>
      <c r="BA1148" s="70" t="s">
        <v>205</v>
      </c>
      <c r="BB1148" s="71" t="s">
        <v>211</v>
      </c>
      <c r="BC1148" s="71" t="s">
        <v>207</v>
      </c>
      <c r="BD1148" s="71">
        <v>3.42</v>
      </c>
      <c r="BE1148" s="71">
        <v>6.85</v>
      </c>
      <c r="BF1148" s="71">
        <v>268</v>
      </c>
      <c r="BG1148" s="71">
        <v>212</v>
      </c>
      <c r="BH1148" s="71">
        <v>5</v>
      </c>
      <c r="BI1148" s="71">
        <v>10</v>
      </c>
      <c r="BJ1148" s="12" t="str" cm="1">
        <f t="array" ref="BJ1148">_xll.Dce_Name_SectI(BF1148, BF1148, BG1148, BH1148, BI1148, "x", "-", $AX$11)</f>
        <v>268x212x5x10</v>
      </c>
      <c r="BK1148" s="77" cm="1">
        <f t="array" ref="BK1148">_xll.DCEPropSectI(BF1148, BH1148, BG1148, BI1148, BG1148, BI1148, "A")/100</f>
        <v>54.8</v>
      </c>
      <c r="BL1148" s="70" t="s">
        <v>225</v>
      </c>
      <c r="BM1148" s="70">
        <v>-13.441600500836792</v>
      </c>
      <c r="BN1148" s="71">
        <v>0.9</v>
      </c>
      <c r="BO1148" s="77">
        <f t="shared" si="147"/>
        <v>6.165</v>
      </c>
      <c r="BP1148" s="71">
        <v>0.9</v>
      </c>
      <c r="BQ1148" s="77">
        <f t="shared" si="148"/>
        <v>6.165</v>
      </c>
      <c r="BR1148" s="77" cm="1">
        <f t="array" ref="BR1148">_xll.DCEPropSectI(BF1148, BH1148, BG1148, BI1148, BG1148, BI1148, "rx")/10</f>
        <v>11.847052463297633</v>
      </c>
      <c r="BS1148" s="77" cm="1">
        <f t="array" ref="BS1148">_xll.DCEPropSectI(BF1148, BH1148, BG1148, BI1148, BG1148, BI1148, "ry")/10</f>
        <v>5.3836052600564113</v>
      </c>
      <c r="BT1148" s="5">
        <f t="shared" si="149"/>
        <v>52.038260310733605</v>
      </c>
      <c r="BU1148" s="5">
        <f t="shared" si="150"/>
        <v>114.5143394100815</v>
      </c>
      <c r="BV1148" s="5">
        <f t="shared" si="151"/>
        <v>114.5143394100815</v>
      </c>
      <c r="BW1148" s="71">
        <f t="shared" si="152"/>
        <v>200</v>
      </c>
      <c r="BX1148" s="78" cm="1">
        <f t="array" ref="BX1148">IF(BM1148&gt;0,1,_xll.DCETCVN5575FactorPhi7121(BV1148*SQRT($K$17/206000),"b"))</f>
        <v>0.47786839095804584</v>
      </c>
      <c r="BY1148" s="64">
        <f t="shared" si="153"/>
        <v>2.4442342515552658E-2</v>
      </c>
      <c r="BZ1148" s="3" t="str">
        <f t="shared" si="154"/>
        <v>OK</v>
      </c>
    </row>
    <row r="1149" spans="1:78">
      <c r="A1149" s="76"/>
      <c r="B1149" s="76"/>
      <c r="C1149" s="125"/>
      <c r="D1149" s="125"/>
      <c r="E1149" s="71"/>
      <c r="F1149" s="71"/>
      <c r="G1149" s="71"/>
      <c r="H1149" s="126"/>
      <c r="I1149" s="125"/>
      <c r="J1149" s="123"/>
      <c r="K1149" s="12"/>
      <c r="L1149" s="117"/>
      <c r="M1149" s="12"/>
      <c r="N1149" s="117"/>
      <c r="O1149" s="117"/>
      <c r="P1149" s="117"/>
      <c r="Q1149" s="118"/>
      <c r="R1149" s="118"/>
      <c r="S1149" s="118"/>
      <c r="T1149" s="12"/>
      <c r="U1149" s="118"/>
      <c r="V1149" s="118"/>
      <c r="W1149" s="12"/>
      <c r="X1149" s="119"/>
      <c r="Y1149" s="120"/>
      <c r="Z1149" s="12"/>
      <c r="BA1149" s="70" t="s">
        <v>205</v>
      </c>
      <c r="BB1149" s="71" t="s">
        <v>211</v>
      </c>
      <c r="BC1149" s="71" t="s">
        <v>207</v>
      </c>
      <c r="BD1149" s="71">
        <v>4.28</v>
      </c>
      <c r="BE1149" s="71">
        <v>6.85</v>
      </c>
      <c r="BF1149" s="71">
        <v>268</v>
      </c>
      <c r="BG1149" s="71">
        <v>212</v>
      </c>
      <c r="BH1149" s="71">
        <v>5</v>
      </c>
      <c r="BI1149" s="71">
        <v>10</v>
      </c>
      <c r="BJ1149" s="12" t="str" cm="1">
        <f t="array" ref="BJ1149">_xll.Dce_Name_SectI(BF1149, BF1149, BG1149, BH1149, BI1149, "x", "-", $AX$11)</f>
        <v>268x212x5x10</v>
      </c>
      <c r="BK1149" s="77" cm="1">
        <f t="array" ref="BK1149">_xll.DCEPropSectI(BF1149, BH1149, BG1149, BI1149, BG1149, BI1149, "A")/100</f>
        <v>54.8</v>
      </c>
      <c r="BL1149" s="70" t="s">
        <v>225</v>
      </c>
      <c r="BM1149" s="70">
        <v>-13.802776421669883</v>
      </c>
      <c r="BN1149" s="71">
        <v>0.9</v>
      </c>
      <c r="BO1149" s="77">
        <f t="shared" si="147"/>
        <v>6.165</v>
      </c>
      <c r="BP1149" s="71">
        <v>0.9</v>
      </c>
      <c r="BQ1149" s="77">
        <f t="shared" si="148"/>
        <v>6.165</v>
      </c>
      <c r="BR1149" s="77" cm="1">
        <f t="array" ref="BR1149">_xll.DCEPropSectI(BF1149, BH1149, BG1149, BI1149, BG1149, BI1149, "rx")/10</f>
        <v>11.847052463297633</v>
      </c>
      <c r="BS1149" s="77" cm="1">
        <f t="array" ref="BS1149">_xll.DCEPropSectI(BF1149, BH1149, BG1149, BI1149, BG1149, BI1149, "ry")/10</f>
        <v>5.3836052600564113</v>
      </c>
      <c r="BT1149" s="5">
        <f t="shared" si="149"/>
        <v>52.038260310733605</v>
      </c>
      <c r="BU1149" s="5">
        <f t="shared" si="150"/>
        <v>114.5143394100815</v>
      </c>
      <c r="BV1149" s="5">
        <f t="shared" si="151"/>
        <v>114.5143394100815</v>
      </c>
      <c r="BW1149" s="71">
        <f t="shared" si="152"/>
        <v>200</v>
      </c>
      <c r="BX1149" s="78" cm="1">
        <f t="array" ref="BX1149">IF(BM1149&gt;0,1,_xll.DCETCVN5575FactorPhi7121(BV1149*SQRT($K$17/206000),"b"))</f>
        <v>0.47786839095804584</v>
      </c>
      <c r="BY1149" s="64">
        <f t="shared" si="153"/>
        <v>2.5099108468745728E-2</v>
      </c>
      <c r="BZ1149" s="3" t="str">
        <f t="shared" si="154"/>
        <v>OK</v>
      </c>
    </row>
    <row r="1150" spans="1:78">
      <c r="A1150" s="76"/>
      <c r="B1150" s="76"/>
      <c r="C1150" s="125"/>
      <c r="D1150" s="125"/>
      <c r="E1150" s="71"/>
      <c r="F1150" s="71"/>
      <c r="G1150" s="71"/>
      <c r="H1150" s="126"/>
      <c r="I1150" s="125"/>
      <c r="J1150" s="123"/>
      <c r="K1150" s="12"/>
      <c r="L1150" s="117"/>
      <c r="M1150" s="12"/>
      <c r="N1150" s="117"/>
      <c r="O1150" s="117"/>
      <c r="P1150" s="117"/>
      <c r="Q1150" s="118"/>
      <c r="R1150" s="118"/>
      <c r="S1150" s="118"/>
      <c r="T1150" s="12"/>
      <c r="U1150" s="118"/>
      <c r="V1150" s="118"/>
      <c r="W1150" s="12"/>
      <c r="X1150" s="119"/>
      <c r="Y1150" s="120"/>
      <c r="Z1150" s="12"/>
      <c r="BA1150" s="70" t="s">
        <v>205</v>
      </c>
      <c r="BB1150" s="71" t="s">
        <v>211</v>
      </c>
      <c r="BC1150" s="71" t="s">
        <v>207</v>
      </c>
      <c r="BD1150" s="71">
        <v>5.14</v>
      </c>
      <c r="BE1150" s="71">
        <v>6.85</v>
      </c>
      <c r="BF1150" s="71">
        <v>268</v>
      </c>
      <c r="BG1150" s="71">
        <v>212</v>
      </c>
      <c r="BH1150" s="71">
        <v>5</v>
      </c>
      <c r="BI1150" s="71">
        <v>10</v>
      </c>
      <c r="BJ1150" s="12" t="str" cm="1">
        <f t="array" ref="BJ1150">_xll.Dce_Name_SectI(BF1150, BF1150, BG1150, BH1150, BI1150, "x", "-", $AX$11)</f>
        <v>268x212x5x10</v>
      </c>
      <c r="BK1150" s="77" cm="1">
        <f t="array" ref="BK1150">_xll.DCEPropSectI(BF1150, BH1150, BG1150, BI1150, BG1150, BI1150, "A")/100</f>
        <v>54.8</v>
      </c>
      <c r="BL1150" s="70" t="s">
        <v>225</v>
      </c>
      <c r="BM1150" s="70">
        <v>-14.163952342502974</v>
      </c>
      <c r="BN1150" s="71">
        <v>0.9</v>
      </c>
      <c r="BO1150" s="77">
        <f t="shared" si="147"/>
        <v>6.165</v>
      </c>
      <c r="BP1150" s="71">
        <v>0.9</v>
      </c>
      <c r="BQ1150" s="77">
        <f t="shared" si="148"/>
        <v>6.165</v>
      </c>
      <c r="BR1150" s="77" cm="1">
        <f t="array" ref="BR1150">_xll.DCEPropSectI(BF1150, BH1150, BG1150, BI1150, BG1150, BI1150, "rx")/10</f>
        <v>11.847052463297633</v>
      </c>
      <c r="BS1150" s="77" cm="1">
        <f t="array" ref="BS1150">_xll.DCEPropSectI(BF1150, BH1150, BG1150, BI1150, BG1150, BI1150, "ry")/10</f>
        <v>5.3836052600564113</v>
      </c>
      <c r="BT1150" s="5">
        <f t="shared" si="149"/>
        <v>52.038260310733605</v>
      </c>
      <c r="BU1150" s="5">
        <f t="shared" si="150"/>
        <v>114.5143394100815</v>
      </c>
      <c r="BV1150" s="5">
        <f t="shared" si="151"/>
        <v>114.5143394100815</v>
      </c>
      <c r="BW1150" s="71">
        <f t="shared" si="152"/>
        <v>200</v>
      </c>
      <c r="BX1150" s="78" cm="1">
        <f t="array" ref="BX1150">IF(BM1150&gt;0,1,_xll.DCETCVN5575FactorPhi7121(BV1150*SQRT($K$17/206000),"b"))</f>
        <v>0.47786839095804584</v>
      </c>
      <c r="BY1150" s="64">
        <f t="shared" si="153"/>
        <v>2.5755874421938801E-2</v>
      </c>
      <c r="BZ1150" s="3" t="str">
        <f t="shared" si="154"/>
        <v>OK</v>
      </c>
    </row>
    <row r="1151" spans="1:78">
      <c r="A1151" s="76"/>
      <c r="B1151" s="76"/>
      <c r="C1151" s="125"/>
      <c r="D1151" s="125"/>
      <c r="E1151" s="71"/>
      <c r="F1151" s="71"/>
      <c r="G1151" s="71"/>
      <c r="H1151" s="126"/>
      <c r="I1151" s="125"/>
      <c r="J1151" s="123"/>
      <c r="K1151" s="12"/>
      <c r="L1151" s="117"/>
      <c r="M1151" s="12"/>
      <c r="N1151" s="117"/>
      <c r="O1151" s="117"/>
      <c r="P1151" s="117"/>
      <c r="Q1151" s="118"/>
      <c r="R1151" s="118"/>
      <c r="S1151" s="118"/>
      <c r="T1151" s="12"/>
      <c r="U1151" s="118"/>
      <c r="V1151" s="118"/>
      <c r="W1151" s="12"/>
      <c r="X1151" s="119"/>
      <c r="Y1151" s="120"/>
      <c r="Z1151" s="12"/>
      <c r="BA1151" s="70" t="s">
        <v>205</v>
      </c>
      <c r="BB1151" s="71" t="s">
        <v>211</v>
      </c>
      <c r="BC1151" s="71" t="s">
        <v>207</v>
      </c>
      <c r="BD1151" s="71">
        <v>5.99</v>
      </c>
      <c r="BE1151" s="71">
        <v>6.85</v>
      </c>
      <c r="BF1151" s="71">
        <v>268</v>
      </c>
      <c r="BG1151" s="71">
        <v>212</v>
      </c>
      <c r="BH1151" s="71">
        <v>5</v>
      </c>
      <c r="BI1151" s="71">
        <v>10</v>
      </c>
      <c r="BJ1151" s="12" t="str" cm="1">
        <f t="array" ref="BJ1151">_xll.Dce_Name_SectI(BF1151, BF1151, BG1151, BH1151, BI1151, "x", "-", $AX$11)</f>
        <v>268x212x5x10</v>
      </c>
      <c r="BK1151" s="77" cm="1">
        <f t="array" ref="BK1151">_xll.DCEPropSectI(BF1151, BH1151, BG1151, BI1151, BG1151, BI1151, "A")/100</f>
        <v>54.8</v>
      </c>
      <c r="BL1151" s="70" t="s">
        <v>225</v>
      </c>
      <c r="BM1151" s="70">
        <v>-14.525128263336065</v>
      </c>
      <c r="BN1151" s="71">
        <v>0.9</v>
      </c>
      <c r="BO1151" s="77">
        <f t="shared" si="147"/>
        <v>6.165</v>
      </c>
      <c r="BP1151" s="71">
        <v>0.9</v>
      </c>
      <c r="BQ1151" s="77">
        <f t="shared" si="148"/>
        <v>6.165</v>
      </c>
      <c r="BR1151" s="77" cm="1">
        <f t="array" ref="BR1151">_xll.DCEPropSectI(BF1151, BH1151, BG1151, BI1151, BG1151, BI1151, "rx")/10</f>
        <v>11.847052463297633</v>
      </c>
      <c r="BS1151" s="77" cm="1">
        <f t="array" ref="BS1151">_xll.DCEPropSectI(BF1151, BH1151, BG1151, BI1151, BG1151, BI1151, "ry")/10</f>
        <v>5.3836052600564113</v>
      </c>
      <c r="BT1151" s="5">
        <f t="shared" si="149"/>
        <v>52.038260310733605</v>
      </c>
      <c r="BU1151" s="5">
        <f t="shared" si="150"/>
        <v>114.5143394100815</v>
      </c>
      <c r="BV1151" s="5">
        <f t="shared" si="151"/>
        <v>114.5143394100815</v>
      </c>
      <c r="BW1151" s="71">
        <f t="shared" si="152"/>
        <v>200</v>
      </c>
      <c r="BX1151" s="78" cm="1">
        <f t="array" ref="BX1151">IF(BM1151&gt;0,1,_xll.DCETCVN5575FactorPhi7121(BV1151*SQRT($K$17/206000),"b"))</f>
        <v>0.47786839095804584</v>
      </c>
      <c r="BY1151" s="64">
        <f t="shared" si="153"/>
        <v>2.6412640375131875E-2</v>
      </c>
      <c r="BZ1151" s="3" t="str">
        <f t="shared" si="154"/>
        <v>OK</v>
      </c>
    </row>
    <row r="1152" spans="1:78">
      <c r="A1152" s="76"/>
      <c r="B1152" s="76"/>
      <c r="C1152" s="125"/>
      <c r="D1152" s="125"/>
      <c r="E1152" s="71"/>
      <c r="F1152" s="71"/>
      <c r="G1152" s="71"/>
      <c r="H1152" s="126"/>
      <c r="I1152" s="125"/>
      <c r="J1152" s="123"/>
      <c r="K1152" s="12"/>
      <c r="L1152" s="117"/>
      <c r="M1152" s="12"/>
      <c r="N1152" s="117"/>
      <c r="O1152" s="117"/>
      <c r="P1152" s="117"/>
      <c r="Q1152" s="118"/>
      <c r="R1152" s="118"/>
      <c r="S1152" s="118"/>
      <c r="T1152" s="12"/>
      <c r="U1152" s="118"/>
      <c r="V1152" s="118"/>
      <c r="W1152" s="12"/>
      <c r="X1152" s="119"/>
      <c r="Y1152" s="120"/>
      <c r="Z1152" s="12"/>
      <c r="BA1152" s="70" t="s">
        <v>205</v>
      </c>
      <c r="BB1152" s="71" t="s">
        <v>211</v>
      </c>
      <c r="BC1152" s="71" t="s">
        <v>207</v>
      </c>
      <c r="BD1152" s="71">
        <v>6.85</v>
      </c>
      <c r="BE1152" s="71">
        <v>6.85</v>
      </c>
      <c r="BF1152" s="71">
        <v>268</v>
      </c>
      <c r="BG1152" s="71">
        <v>212</v>
      </c>
      <c r="BH1152" s="71">
        <v>5</v>
      </c>
      <c r="BI1152" s="71">
        <v>10</v>
      </c>
      <c r="BJ1152" s="12" t="str" cm="1">
        <f t="array" ref="BJ1152">_xll.Dce_Name_SectI(BF1152, BF1152, BG1152, BH1152, BI1152, "x", "-", $AX$11)</f>
        <v>268x212x5x10</v>
      </c>
      <c r="BK1152" s="77" cm="1">
        <f t="array" ref="BK1152">_xll.DCEPropSectI(BF1152, BH1152, BG1152, BI1152, BG1152, BI1152, "A")/100</f>
        <v>54.8</v>
      </c>
      <c r="BL1152" s="70" t="s">
        <v>225</v>
      </c>
      <c r="BM1152" s="70">
        <v>-14.886304184169155</v>
      </c>
      <c r="BN1152" s="71">
        <v>0.9</v>
      </c>
      <c r="BO1152" s="77">
        <f t="shared" si="147"/>
        <v>6.165</v>
      </c>
      <c r="BP1152" s="71">
        <v>0.9</v>
      </c>
      <c r="BQ1152" s="77">
        <f t="shared" si="148"/>
        <v>6.165</v>
      </c>
      <c r="BR1152" s="77" cm="1">
        <f t="array" ref="BR1152">_xll.DCEPropSectI(BF1152, BH1152, BG1152, BI1152, BG1152, BI1152, "rx")/10</f>
        <v>11.847052463297633</v>
      </c>
      <c r="BS1152" s="77" cm="1">
        <f t="array" ref="BS1152">_xll.DCEPropSectI(BF1152, BH1152, BG1152, BI1152, BG1152, BI1152, "ry")/10</f>
        <v>5.3836052600564113</v>
      </c>
      <c r="BT1152" s="5">
        <f t="shared" si="149"/>
        <v>52.038260310733605</v>
      </c>
      <c r="BU1152" s="5">
        <f t="shared" si="150"/>
        <v>114.5143394100815</v>
      </c>
      <c r="BV1152" s="5">
        <f t="shared" si="151"/>
        <v>114.5143394100815</v>
      </c>
      <c r="BW1152" s="71">
        <f t="shared" si="152"/>
        <v>200</v>
      </c>
      <c r="BX1152" s="78" cm="1">
        <f t="array" ref="BX1152">IF(BM1152&gt;0,1,_xll.DCETCVN5575FactorPhi7121(BV1152*SQRT($K$17/206000),"b"))</f>
        <v>0.47786839095804584</v>
      </c>
      <c r="BY1152" s="64">
        <f t="shared" si="153"/>
        <v>2.7069406328324944E-2</v>
      </c>
      <c r="BZ1152" s="3" t="str">
        <f t="shared" si="154"/>
        <v>OK</v>
      </c>
    </row>
    <row r="1153" spans="1:78">
      <c r="A1153" s="76"/>
      <c r="B1153" s="76"/>
      <c r="C1153" s="125"/>
      <c r="D1153" s="125"/>
      <c r="E1153" s="71"/>
      <c r="F1153" s="71"/>
      <c r="G1153" s="71"/>
      <c r="H1153" s="126"/>
      <c r="I1153" s="125"/>
      <c r="J1153" s="123"/>
      <c r="K1153" s="12"/>
      <c r="L1153" s="117"/>
      <c r="M1153" s="12"/>
      <c r="N1153" s="117"/>
      <c r="O1153" s="117"/>
      <c r="P1153" s="117"/>
      <c r="Q1153" s="118"/>
      <c r="R1153" s="118"/>
      <c r="S1153" s="118"/>
      <c r="T1153" s="12"/>
      <c r="U1153" s="118"/>
      <c r="V1153" s="118"/>
      <c r="W1153" s="12"/>
      <c r="X1153" s="119"/>
      <c r="Y1153" s="120"/>
      <c r="Z1153" s="12"/>
      <c r="BA1153" s="70" t="s">
        <v>205</v>
      </c>
      <c r="BB1153" s="71" t="s">
        <v>211</v>
      </c>
      <c r="BC1153" s="71" t="s">
        <v>207</v>
      </c>
      <c r="BD1153" s="71">
        <v>0</v>
      </c>
      <c r="BE1153" s="71">
        <v>6.85</v>
      </c>
      <c r="BF1153" s="71">
        <v>268</v>
      </c>
      <c r="BG1153" s="71">
        <v>212</v>
      </c>
      <c r="BH1153" s="71">
        <v>5</v>
      </c>
      <c r="BI1153" s="71">
        <v>10</v>
      </c>
      <c r="BJ1153" s="12" t="str" cm="1">
        <f t="array" ref="BJ1153">_xll.Dce_Name_SectI(BF1153, BF1153, BG1153, BH1153, BI1153, "x", "-", $AX$11)</f>
        <v>268x212x5x10</v>
      </c>
      <c r="BK1153" s="77" cm="1">
        <f t="array" ref="BK1153">_xll.DCEPropSectI(BF1153, BH1153, BG1153, BI1153, BG1153, BI1153, "A")/100</f>
        <v>54.8</v>
      </c>
      <c r="BL1153" s="70" t="s">
        <v>226</v>
      </c>
      <c r="BM1153" s="70">
        <v>14.732102038060177</v>
      </c>
      <c r="BN1153" s="71">
        <v>0.9</v>
      </c>
      <c r="BO1153" s="77">
        <f t="shared" si="147"/>
        <v>6.165</v>
      </c>
      <c r="BP1153" s="71">
        <v>0.9</v>
      </c>
      <c r="BQ1153" s="77">
        <f t="shared" si="148"/>
        <v>6.165</v>
      </c>
      <c r="BR1153" s="77" cm="1">
        <f t="array" ref="BR1153">_xll.DCEPropSectI(BF1153, BH1153, BG1153, BI1153, BG1153, BI1153, "rx")/10</f>
        <v>11.847052463297633</v>
      </c>
      <c r="BS1153" s="77" cm="1">
        <f t="array" ref="BS1153">_xll.DCEPropSectI(BF1153, BH1153, BG1153, BI1153, BG1153, BI1153, "ry")/10</f>
        <v>5.3836052600564113</v>
      </c>
      <c r="BT1153" s="5">
        <f t="shared" si="149"/>
        <v>52.038260310733605</v>
      </c>
      <c r="BU1153" s="5">
        <f t="shared" si="150"/>
        <v>114.5143394100815</v>
      </c>
      <c r="BV1153" s="5">
        <f t="shared" si="151"/>
        <v>114.5143394100815</v>
      </c>
      <c r="BW1153" s="71">
        <f t="shared" si="152"/>
        <v>400</v>
      </c>
      <c r="BX1153" s="78" cm="1">
        <f t="array" ref="BX1153">IF(BM1153&gt;0,1,_xll.DCETCVN5575FactorPhi7121(BV1153*SQRT($K$17/206000),"b"))</f>
        <v>1</v>
      </c>
      <c r="BY1153" s="64">
        <f t="shared" si="153"/>
        <v>1.2801618037938981E-2</v>
      </c>
      <c r="BZ1153" s="3" t="str">
        <f t="shared" si="154"/>
        <v>OK</v>
      </c>
    </row>
    <row r="1154" spans="1:78">
      <c r="A1154" s="76"/>
      <c r="B1154" s="76"/>
      <c r="C1154" s="125"/>
      <c r="D1154" s="125"/>
      <c r="E1154" s="71"/>
      <c r="F1154" s="71"/>
      <c r="G1154" s="71"/>
      <c r="H1154" s="126"/>
      <c r="I1154" s="125"/>
      <c r="J1154" s="123"/>
      <c r="K1154" s="12"/>
      <c r="L1154" s="117"/>
      <c r="M1154" s="12"/>
      <c r="N1154" s="117"/>
      <c r="O1154" s="117"/>
      <c r="P1154" s="117"/>
      <c r="Q1154" s="118"/>
      <c r="R1154" s="118"/>
      <c r="S1154" s="118"/>
      <c r="T1154" s="12"/>
      <c r="U1154" s="118"/>
      <c r="V1154" s="118"/>
      <c r="W1154" s="12"/>
      <c r="X1154" s="119"/>
      <c r="Y1154" s="120"/>
      <c r="Z1154" s="12"/>
      <c r="BA1154" s="70" t="s">
        <v>205</v>
      </c>
      <c r="BB1154" s="71" t="s">
        <v>211</v>
      </c>
      <c r="BC1154" s="71" t="s">
        <v>207</v>
      </c>
      <c r="BD1154" s="71">
        <v>0.86</v>
      </c>
      <c r="BE1154" s="71">
        <v>6.85</v>
      </c>
      <c r="BF1154" s="71">
        <v>268</v>
      </c>
      <c r="BG1154" s="71">
        <v>212</v>
      </c>
      <c r="BH1154" s="71">
        <v>5</v>
      </c>
      <c r="BI1154" s="71">
        <v>10</v>
      </c>
      <c r="BJ1154" s="12" t="str" cm="1">
        <f t="array" ref="BJ1154">_xll.Dce_Name_SectI(BF1154, BF1154, BG1154, BH1154, BI1154, "x", "-", $AX$11)</f>
        <v>268x212x5x10</v>
      </c>
      <c r="BK1154" s="77" cm="1">
        <f t="array" ref="BK1154">_xll.DCEPropSectI(BF1154, BH1154, BG1154, BI1154, BG1154, BI1154, "A")/100</f>
        <v>54.8</v>
      </c>
      <c r="BL1154" s="70" t="s">
        <v>226</v>
      </c>
      <c r="BM1154" s="70">
        <v>14.370926117227086</v>
      </c>
      <c r="BN1154" s="71">
        <v>0.9</v>
      </c>
      <c r="BO1154" s="77">
        <f t="shared" si="147"/>
        <v>6.165</v>
      </c>
      <c r="BP1154" s="71">
        <v>0.9</v>
      </c>
      <c r="BQ1154" s="77">
        <f t="shared" si="148"/>
        <v>6.165</v>
      </c>
      <c r="BR1154" s="77" cm="1">
        <f t="array" ref="BR1154">_xll.DCEPropSectI(BF1154, BH1154, BG1154, BI1154, BG1154, BI1154, "rx")/10</f>
        <v>11.847052463297633</v>
      </c>
      <c r="BS1154" s="77" cm="1">
        <f t="array" ref="BS1154">_xll.DCEPropSectI(BF1154, BH1154, BG1154, BI1154, BG1154, BI1154, "ry")/10</f>
        <v>5.3836052600564113</v>
      </c>
      <c r="BT1154" s="5">
        <f t="shared" si="149"/>
        <v>52.038260310733605</v>
      </c>
      <c r="BU1154" s="5">
        <f t="shared" si="150"/>
        <v>114.5143394100815</v>
      </c>
      <c r="BV1154" s="5">
        <f t="shared" si="151"/>
        <v>114.5143394100815</v>
      </c>
      <c r="BW1154" s="71">
        <f t="shared" si="152"/>
        <v>400</v>
      </c>
      <c r="BX1154" s="78" cm="1">
        <f t="array" ref="BX1154">IF(BM1154&gt;0,1,_xll.DCETCVN5575FactorPhi7121(BV1154*SQRT($K$17/206000),"b"))</f>
        <v>1</v>
      </c>
      <c r="BY1154" s="64">
        <f t="shared" si="153"/>
        <v>1.2487770348650581E-2</v>
      </c>
      <c r="BZ1154" s="3" t="str">
        <f t="shared" si="154"/>
        <v>OK</v>
      </c>
    </row>
    <row r="1155" spans="1:78">
      <c r="A1155" s="76"/>
      <c r="B1155" s="76"/>
      <c r="C1155" s="125"/>
      <c r="D1155" s="125"/>
      <c r="E1155" s="71"/>
      <c r="F1155" s="71"/>
      <c r="G1155" s="71"/>
      <c r="H1155" s="126"/>
      <c r="I1155" s="125"/>
      <c r="J1155" s="123"/>
      <c r="K1155" s="12"/>
      <c r="L1155" s="117"/>
      <c r="M1155" s="12"/>
      <c r="N1155" s="117"/>
      <c r="O1155" s="117"/>
      <c r="P1155" s="117"/>
      <c r="Q1155" s="118"/>
      <c r="R1155" s="118"/>
      <c r="S1155" s="118"/>
      <c r="T1155" s="12"/>
      <c r="U1155" s="118"/>
      <c r="V1155" s="118"/>
      <c r="W1155" s="12"/>
      <c r="X1155" s="119"/>
      <c r="Y1155" s="120"/>
      <c r="Z1155" s="12"/>
      <c r="BA1155" s="70" t="s">
        <v>205</v>
      </c>
      <c r="BB1155" s="71" t="s">
        <v>211</v>
      </c>
      <c r="BC1155" s="71" t="s">
        <v>207</v>
      </c>
      <c r="BD1155" s="71">
        <v>1.71</v>
      </c>
      <c r="BE1155" s="71">
        <v>6.85</v>
      </c>
      <c r="BF1155" s="71">
        <v>268</v>
      </c>
      <c r="BG1155" s="71">
        <v>212</v>
      </c>
      <c r="BH1155" s="71">
        <v>5</v>
      </c>
      <c r="BI1155" s="71">
        <v>10</v>
      </c>
      <c r="BJ1155" s="12" t="str" cm="1">
        <f t="array" ref="BJ1155">_xll.Dce_Name_SectI(BF1155, BF1155, BG1155, BH1155, BI1155, "x", "-", $AX$11)</f>
        <v>268x212x5x10</v>
      </c>
      <c r="BK1155" s="77" cm="1">
        <f t="array" ref="BK1155">_xll.DCEPropSectI(BF1155, BH1155, BG1155, BI1155, BG1155, BI1155, "A")/100</f>
        <v>54.8</v>
      </c>
      <c r="BL1155" s="70" t="s">
        <v>226</v>
      </c>
      <c r="BM1155" s="70">
        <v>14.009750196393995</v>
      </c>
      <c r="BN1155" s="71">
        <v>0.9</v>
      </c>
      <c r="BO1155" s="77">
        <f t="shared" si="147"/>
        <v>6.165</v>
      </c>
      <c r="BP1155" s="71">
        <v>0.9</v>
      </c>
      <c r="BQ1155" s="77">
        <f t="shared" si="148"/>
        <v>6.165</v>
      </c>
      <c r="BR1155" s="77" cm="1">
        <f t="array" ref="BR1155">_xll.DCEPropSectI(BF1155, BH1155, BG1155, BI1155, BG1155, BI1155, "rx")/10</f>
        <v>11.847052463297633</v>
      </c>
      <c r="BS1155" s="77" cm="1">
        <f t="array" ref="BS1155">_xll.DCEPropSectI(BF1155, BH1155, BG1155, BI1155, BG1155, BI1155, "ry")/10</f>
        <v>5.3836052600564113</v>
      </c>
      <c r="BT1155" s="5">
        <f t="shared" si="149"/>
        <v>52.038260310733605</v>
      </c>
      <c r="BU1155" s="5">
        <f t="shared" si="150"/>
        <v>114.5143394100815</v>
      </c>
      <c r="BV1155" s="5">
        <f t="shared" si="151"/>
        <v>114.5143394100815</v>
      </c>
      <c r="BW1155" s="71">
        <f t="shared" si="152"/>
        <v>400</v>
      </c>
      <c r="BX1155" s="78" cm="1">
        <f t="array" ref="BX1155">IF(BM1155&gt;0,1,_xll.DCETCVN5575FactorPhi7121(BV1155*SQRT($K$17/206000),"b"))</f>
        <v>1</v>
      </c>
      <c r="BY1155" s="64">
        <f t="shared" si="153"/>
        <v>1.217392265936218E-2</v>
      </c>
      <c r="BZ1155" s="3" t="str">
        <f t="shared" si="154"/>
        <v>OK</v>
      </c>
    </row>
    <row r="1156" spans="1:78">
      <c r="A1156" s="76"/>
      <c r="B1156" s="76"/>
      <c r="C1156" s="125"/>
      <c r="D1156" s="125"/>
      <c r="E1156" s="71"/>
      <c r="F1156" s="71"/>
      <c r="G1156" s="71"/>
      <c r="H1156" s="126"/>
      <c r="I1156" s="125"/>
      <c r="J1156" s="123"/>
      <c r="K1156" s="12"/>
      <c r="L1156" s="117"/>
      <c r="M1156" s="12"/>
      <c r="N1156" s="117"/>
      <c r="O1156" s="117"/>
      <c r="P1156" s="117"/>
      <c r="Q1156" s="118"/>
      <c r="R1156" s="118"/>
      <c r="S1156" s="118"/>
      <c r="T1156" s="12"/>
      <c r="U1156" s="118"/>
      <c r="V1156" s="118"/>
      <c r="W1156" s="12"/>
      <c r="X1156" s="119"/>
      <c r="Y1156" s="120"/>
      <c r="Z1156" s="12"/>
      <c r="BA1156" s="70" t="s">
        <v>205</v>
      </c>
      <c r="BB1156" s="71" t="s">
        <v>211</v>
      </c>
      <c r="BC1156" s="71" t="s">
        <v>207</v>
      </c>
      <c r="BD1156" s="71">
        <v>2.57</v>
      </c>
      <c r="BE1156" s="71">
        <v>6.85</v>
      </c>
      <c r="BF1156" s="71">
        <v>268</v>
      </c>
      <c r="BG1156" s="71">
        <v>212</v>
      </c>
      <c r="BH1156" s="71">
        <v>5</v>
      </c>
      <c r="BI1156" s="71">
        <v>10</v>
      </c>
      <c r="BJ1156" s="12" t="str" cm="1">
        <f t="array" ref="BJ1156">_xll.Dce_Name_SectI(BF1156, BF1156, BG1156, BH1156, BI1156, "x", "-", $AX$11)</f>
        <v>268x212x5x10</v>
      </c>
      <c r="BK1156" s="77" cm="1">
        <f t="array" ref="BK1156">_xll.DCEPropSectI(BF1156, BH1156, BG1156, BI1156, BG1156, BI1156, "A")/100</f>
        <v>54.8</v>
      </c>
      <c r="BL1156" s="70" t="s">
        <v>226</v>
      </c>
      <c r="BM1156" s="70">
        <v>13.648574275560904</v>
      </c>
      <c r="BN1156" s="71">
        <v>0.9</v>
      </c>
      <c r="BO1156" s="77">
        <f t="shared" si="147"/>
        <v>6.165</v>
      </c>
      <c r="BP1156" s="71">
        <v>0.9</v>
      </c>
      <c r="BQ1156" s="77">
        <f t="shared" si="148"/>
        <v>6.165</v>
      </c>
      <c r="BR1156" s="77" cm="1">
        <f t="array" ref="BR1156">_xll.DCEPropSectI(BF1156, BH1156, BG1156, BI1156, BG1156, BI1156, "rx")/10</f>
        <v>11.847052463297633</v>
      </c>
      <c r="BS1156" s="77" cm="1">
        <f t="array" ref="BS1156">_xll.DCEPropSectI(BF1156, BH1156, BG1156, BI1156, BG1156, BI1156, "ry")/10</f>
        <v>5.3836052600564113</v>
      </c>
      <c r="BT1156" s="5">
        <f t="shared" si="149"/>
        <v>52.038260310733605</v>
      </c>
      <c r="BU1156" s="5">
        <f t="shared" si="150"/>
        <v>114.5143394100815</v>
      </c>
      <c r="BV1156" s="5">
        <f t="shared" si="151"/>
        <v>114.5143394100815</v>
      </c>
      <c r="BW1156" s="71">
        <f t="shared" si="152"/>
        <v>400</v>
      </c>
      <c r="BX1156" s="78" cm="1">
        <f t="array" ref="BX1156">IF(BM1156&gt;0,1,_xll.DCETCVN5575FactorPhi7121(BV1156*SQRT($K$17/206000),"b"))</f>
        <v>1</v>
      </c>
      <c r="BY1156" s="64">
        <f t="shared" si="153"/>
        <v>1.186007497007378E-2</v>
      </c>
      <c r="BZ1156" s="3" t="str">
        <f t="shared" si="154"/>
        <v>OK</v>
      </c>
    </row>
    <row r="1157" spans="1:78">
      <c r="A1157" s="76"/>
      <c r="B1157" s="76"/>
      <c r="C1157" s="125"/>
      <c r="D1157" s="125"/>
      <c r="E1157" s="71"/>
      <c r="F1157" s="71"/>
      <c r="G1157" s="71"/>
      <c r="H1157" s="126"/>
      <c r="I1157" s="125"/>
      <c r="J1157" s="123"/>
      <c r="K1157" s="12"/>
      <c r="L1157" s="117"/>
      <c r="M1157" s="12"/>
      <c r="N1157" s="117"/>
      <c r="O1157" s="117"/>
      <c r="P1157" s="117"/>
      <c r="Q1157" s="118"/>
      <c r="R1157" s="118"/>
      <c r="S1157" s="118"/>
      <c r="T1157" s="12"/>
      <c r="U1157" s="118"/>
      <c r="V1157" s="118"/>
      <c r="W1157" s="12"/>
      <c r="X1157" s="119"/>
      <c r="Y1157" s="120"/>
      <c r="Z1157" s="12"/>
      <c r="BA1157" s="70" t="s">
        <v>205</v>
      </c>
      <c r="BB1157" s="71" t="s">
        <v>211</v>
      </c>
      <c r="BC1157" s="71" t="s">
        <v>207</v>
      </c>
      <c r="BD1157" s="71">
        <v>3.42</v>
      </c>
      <c r="BE1157" s="71">
        <v>6.85</v>
      </c>
      <c r="BF1157" s="71">
        <v>268</v>
      </c>
      <c r="BG1157" s="71">
        <v>212</v>
      </c>
      <c r="BH1157" s="71">
        <v>5</v>
      </c>
      <c r="BI1157" s="71">
        <v>10</v>
      </c>
      <c r="BJ1157" s="12" t="str" cm="1">
        <f t="array" ref="BJ1157">_xll.Dce_Name_SectI(BF1157, BF1157, BG1157, BH1157, BI1157, "x", "-", $AX$11)</f>
        <v>268x212x5x10</v>
      </c>
      <c r="BK1157" s="77" cm="1">
        <f t="array" ref="BK1157">_xll.DCEPropSectI(BF1157, BH1157, BG1157, BI1157, BG1157, BI1157, "A")/100</f>
        <v>54.8</v>
      </c>
      <c r="BL1157" s="70" t="s">
        <v>226</v>
      </c>
      <c r="BM1157" s="70">
        <v>13.287398354727806</v>
      </c>
      <c r="BN1157" s="71">
        <v>0.9</v>
      </c>
      <c r="BO1157" s="77">
        <f t="shared" si="147"/>
        <v>6.165</v>
      </c>
      <c r="BP1157" s="71">
        <v>0.9</v>
      </c>
      <c r="BQ1157" s="77">
        <f t="shared" si="148"/>
        <v>6.165</v>
      </c>
      <c r="BR1157" s="77" cm="1">
        <f t="array" ref="BR1157">_xll.DCEPropSectI(BF1157, BH1157, BG1157, BI1157, BG1157, BI1157, "rx")/10</f>
        <v>11.847052463297633</v>
      </c>
      <c r="BS1157" s="77" cm="1">
        <f t="array" ref="BS1157">_xll.DCEPropSectI(BF1157, BH1157, BG1157, BI1157, BG1157, BI1157, "ry")/10</f>
        <v>5.3836052600564113</v>
      </c>
      <c r="BT1157" s="5">
        <f t="shared" si="149"/>
        <v>52.038260310733605</v>
      </c>
      <c r="BU1157" s="5">
        <f t="shared" si="150"/>
        <v>114.5143394100815</v>
      </c>
      <c r="BV1157" s="5">
        <f t="shared" si="151"/>
        <v>114.5143394100815</v>
      </c>
      <c r="BW1157" s="71">
        <f t="shared" si="152"/>
        <v>400</v>
      </c>
      <c r="BX1157" s="78" cm="1">
        <f t="array" ref="BX1157">IF(BM1157&gt;0,1,_xll.DCETCVN5575FactorPhi7121(BV1157*SQRT($K$17/206000),"b"))</f>
        <v>1</v>
      </c>
      <c r="BY1157" s="64">
        <f t="shared" si="153"/>
        <v>1.1546227280785375E-2</v>
      </c>
      <c r="BZ1157" s="3" t="str">
        <f t="shared" si="154"/>
        <v>OK</v>
      </c>
    </row>
    <row r="1158" spans="1:78">
      <c r="A1158" s="76"/>
      <c r="B1158" s="76"/>
      <c r="C1158" s="125"/>
      <c r="D1158" s="125"/>
      <c r="E1158" s="71"/>
      <c r="F1158" s="71"/>
      <c r="G1158" s="71"/>
      <c r="H1158" s="126"/>
      <c r="I1158" s="125"/>
      <c r="J1158" s="123"/>
      <c r="K1158" s="12"/>
      <c r="L1158" s="117"/>
      <c r="M1158" s="12"/>
      <c r="N1158" s="117"/>
      <c r="O1158" s="117"/>
      <c r="P1158" s="117"/>
      <c r="Q1158" s="118"/>
      <c r="R1158" s="118"/>
      <c r="S1158" s="118"/>
      <c r="T1158" s="12"/>
      <c r="U1158" s="118"/>
      <c r="V1158" s="118"/>
      <c r="W1158" s="12"/>
      <c r="X1158" s="119"/>
      <c r="Y1158" s="120"/>
      <c r="Z1158" s="12"/>
      <c r="BA1158" s="70" t="s">
        <v>205</v>
      </c>
      <c r="BB1158" s="71" t="s">
        <v>211</v>
      </c>
      <c r="BC1158" s="71" t="s">
        <v>207</v>
      </c>
      <c r="BD1158" s="71">
        <v>4.28</v>
      </c>
      <c r="BE1158" s="71">
        <v>6.85</v>
      </c>
      <c r="BF1158" s="71">
        <v>268</v>
      </c>
      <c r="BG1158" s="71">
        <v>212</v>
      </c>
      <c r="BH1158" s="71">
        <v>5</v>
      </c>
      <c r="BI1158" s="71">
        <v>10</v>
      </c>
      <c r="BJ1158" s="12" t="str" cm="1">
        <f t="array" ref="BJ1158">_xll.Dce_Name_SectI(BF1158, BF1158, BG1158, BH1158, BI1158, "x", "-", $AX$11)</f>
        <v>268x212x5x10</v>
      </c>
      <c r="BK1158" s="77" cm="1">
        <f t="array" ref="BK1158">_xll.DCEPropSectI(BF1158, BH1158, BG1158, BI1158, BG1158, BI1158, "A")/100</f>
        <v>54.8</v>
      </c>
      <c r="BL1158" s="70" t="s">
        <v>226</v>
      </c>
      <c r="BM1158" s="70">
        <v>12.926222433894715</v>
      </c>
      <c r="BN1158" s="71">
        <v>0.9</v>
      </c>
      <c r="BO1158" s="77">
        <f t="shared" si="147"/>
        <v>6.165</v>
      </c>
      <c r="BP1158" s="71">
        <v>0.9</v>
      </c>
      <c r="BQ1158" s="77">
        <f t="shared" si="148"/>
        <v>6.165</v>
      </c>
      <c r="BR1158" s="77" cm="1">
        <f t="array" ref="BR1158">_xll.DCEPropSectI(BF1158, BH1158, BG1158, BI1158, BG1158, BI1158, "rx")/10</f>
        <v>11.847052463297633</v>
      </c>
      <c r="BS1158" s="77" cm="1">
        <f t="array" ref="BS1158">_xll.DCEPropSectI(BF1158, BH1158, BG1158, BI1158, BG1158, BI1158, "ry")/10</f>
        <v>5.3836052600564113</v>
      </c>
      <c r="BT1158" s="5">
        <f t="shared" si="149"/>
        <v>52.038260310733605</v>
      </c>
      <c r="BU1158" s="5">
        <f t="shared" si="150"/>
        <v>114.5143394100815</v>
      </c>
      <c r="BV1158" s="5">
        <f t="shared" si="151"/>
        <v>114.5143394100815</v>
      </c>
      <c r="BW1158" s="71">
        <f t="shared" si="152"/>
        <v>400</v>
      </c>
      <c r="BX1158" s="78" cm="1">
        <f t="array" ref="BX1158">IF(BM1158&gt;0,1,_xll.DCETCVN5575FactorPhi7121(BV1158*SQRT($K$17/206000),"b"))</f>
        <v>1</v>
      </c>
      <c r="BY1158" s="64">
        <f t="shared" si="153"/>
        <v>1.1232379591496974E-2</v>
      </c>
      <c r="BZ1158" s="3" t="str">
        <f t="shared" si="154"/>
        <v>OK</v>
      </c>
    </row>
    <row r="1159" spans="1:78">
      <c r="A1159" s="76"/>
      <c r="B1159" s="76"/>
      <c r="C1159" s="125"/>
      <c r="D1159" s="125"/>
      <c r="E1159" s="71"/>
      <c r="F1159" s="71"/>
      <c r="G1159" s="71"/>
      <c r="H1159" s="126"/>
      <c r="I1159" s="125"/>
      <c r="J1159" s="123"/>
      <c r="K1159" s="12"/>
      <c r="L1159" s="117"/>
      <c r="M1159" s="12"/>
      <c r="N1159" s="117"/>
      <c r="O1159" s="117"/>
      <c r="P1159" s="117"/>
      <c r="Q1159" s="118"/>
      <c r="R1159" s="118"/>
      <c r="S1159" s="118"/>
      <c r="T1159" s="12"/>
      <c r="U1159" s="118"/>
      <c r="V1159" s="118"/>
      <c r="W1159" s="12"/>
      <c r="X1159" s="119"/>
      <c r="Y1159" s="120"/>
      <c r="Z1159" s="12"/>
      <c r="BA1159" s="70" t="s">
        <v>205</v>
      </c>
      <c r="BB1159" s="71" t="s">
        <v>211</v>
      </c>
      <c r="BC1159" s="71" t="s">
        <v>207</v>
      </c>
      <c r="BD1159" s="71">
        <v>5.14</v>
      </c>
      <c r="BE1159" s="71">
        <v>6.85</v>
      </c>
      <c r="BF1159" s="71">
        <v>268</v>
      </c>
      <c r="BG1159" s="71">
        <v>212</v>
      </c>
      <c r="BH1159" s="71">
        <v>5</v>
      </c>
      <c r="BI1159" s="71">
        <v>10</v>
      </c>
      <c r="BJ1159" s="12" t="str" cm="1">
        <f t="array" ref="BJ1159">_xll.Dce_Name_SectI(BF1159, BF1159, BG1159, BH1159, BI1159, "x", "-", $AX$11)</f>
        <v>268x212x5x10</v>
      </c>
      <c r="BK1159" s="77" cm="1">
        <f t="array" ref="BK1159">_xll.DCEPropSectI(BF1159, BH1159, BG1159, BI1159, BG1159, BI1159, "A")/100</f>
        <v>54.8</v>
      </c>
      <c r="BL1159" s="70" t="s">
        <v>226</v>
      </c>
      <c r="BM1159" s="70">
        <v>12.565046513061624</v>
      </c>
      <c r="BN1159" s="71">
        <v>0.9</v>
      </c>
      <c r="BO1159" s="77">
        <f t="shared" si="147"/>
        <v>6.165</v>
      </c>
      <c r="BP1159" s="71">
        <v>0.9</v>
      </c>
      <c r="BQ1159" s="77">
        <f t="shared" si="148"/>
        <v>6.165</v>
      </c>
      <c r="BR1159" s="77" cm="1">
        <f t="array" ref="BR1159">_xll.DCEPropSectI(BF1159, BH1159, BG1159, BI1159, BG1159, BI1159, "rx")/10</f>
        <v>11.847052463297633</v>
      </c>
      <c r="BS1159" s="77" cm="1">
        <f t="array" ref="BS1159">_xll.DCEPropSectI(BF1159, BH1159, BG1159, BI1159, BG1159, BI1159, "ry")/10</f>
        <v>5.3836052600564113</v>
      </c>
      <c r="BT1159" s="5">
        <f t="shared" si="149"/>
        <v>52.038260310733605</v>
      </c>
      <c r="BU1159" s="5">
        <f t="shared" si="150"/>
        <v>114.5143394100815</v>
      </c>
      <c r="BV1159" s="5">
        <f t="shared" si="151"/>
        <v>114.5143394100815</v>
      </c>
      <c r="BW1159" s="71">
        <f t="shared" si="152"/>
        <v>400</v>
      </c>
      <c r="BX1159" s="78" cm="1">
        <f t="array" ref="BX1159">IF(BM1159&gt;0,1,_xll.DCETCVN5575FactorPhi7121(BV1159*SQRT($K$17/206000),"b"))</f>
        <v>1</v>
      </c>
      <c r="BY1159" s="64">
        <f t="shared" si="153"/>
        <v>1.0918531902208574E-2</v>
      </c>
      <c r="BZ1159" s="3" t="str">
        <f t="shared" si="154"/>
        <v>OK</v>
      </c>
    </row>
    <row r="1160" spans="1:78">
      <c r="A1160" s="76"/>
      <c r="B1160" s="76"/>
      <c r="C1160" s="125"/>
      <c r="D1160" s="125"/>
      <c r="E1160" s="71"/>
      <c r="F1160" s="71"/>
      <c r="G1160" s="71"/>
      <c r="H1160" s="126"/>
      <c r="I1160" s="125"/>
      <c r="J1160" s="123"/>
      <c r="K1160" s="12"/>
      <c r="L1160" s="117"/>
      <c r="M1160" s="12"/>
      <c r="N1160" s="117"/>
      <c r="O1160" s="117"/>
      <c r="P1160" s="117"/>
      <c r="Q1160" s="118"/>
      <c r="R1160" s="118"/>
      <c r="S1160" s="118"/>
      <c r="T1160" s="12"/>
      <c r="U1160" s="118"/>
      <c r="V1160" s="118"/>
      <c r="W1160" s="12"/>
      <c r="X1160" s="119"/>
      <c r="Y1160" s="120"/>
      <c r="Z1160" s="12"/>
      <c r="BA1160" s="70" t="s">
        <v>205</v>
      </c>
      <c r="BB1160" s="71" t="s">
        <v>211</v>
      </c>
      <c r="BC1160" s="71" t="s">
        <v>207</v>
      </c>
      <c r="BD1160" s="71">
        <v>5.99</v>
      </c>
      <c r="BE1160" s="71">
        <v>6.85</v>
      </c>
      <c r="BF1160" s="71">
        <v>268</v>
      </c>
      <c r="BG1160" s="71">
        <v>212</v>
      </c>
      <c r="BH1160" s="71">
        <v>5</v>
      </c>
      <c r="BI1160" s="71">
        <v>10</v>
      </c>
      <c r="BJ1160" s="12" t="str" cm="1">
        <f t="array" ref="BJ1160">_xll.Dce_Name_SectI(BF1160, BF1160, BG1160, BH1160, BI1160, "x", "-", $AX$11)</f>
        <v>268x212x5x10</v>
      </c>
      <c r="BK1160" s="77" cm="1">
        <f t="array" ref="BK1160">_xll.DCEPropSectI(BF1160, BH1160, BG1160, BI1160, BG1160, BI1160, "A")/100</f>
        <v>54.8</v>
      </c>
      <c r="BL1160" s="70" t="s">
        <v>226</v>
      </c>
      <c r="BM1160" s="70">
        <v>12.203870592228533</v>
      </c>
      <c r="BN1160" s="71">
        <v>0.9</v>
      </c>
      <c r="BO1160" s="77">
        <f t="shared" si="147"/>
        <v>6.165</v>
      </c>
      <c r="BP1160" s="71">
        <v>0.9</v>
      </c>
      <c r="BQ1160" s="77">
        <f t="shared" si="148"/>
        <v>6.165</v>
      </c>
      <c r="BR1160" s="77" cm="1">
        <f t="array" ref="BR1160">_xll.DCEPropSectI(BF1160, BH1160, BG1160, BI1160, BG1160, BI1160, "rx")/10</f>
        <v>11.847052463297633</v>
      </c>
      <c r="BS1160" s="77" cm="1">
        <f t="array" ref="BS1160">_xll.DCEPropSectI(BF1160, BH1160, BG1160, BI1160, BG1160, BI1160, "ry")/10</f>
        <v>5.3836052600564113</v>
      </c>
      <c r="BT1160" s="5">
        <f t="shared" si="149"/>
        <v>52.038260310733605</v>
      </c>
      <c r="BU1160" s="5">
        <f t="shared" si="150"/>
        <v>114.5143394100815</v>
      </c>
      <c r="BV1160" s="5">
        <f t="shared" si="151"/>
        <v>114.5143394100815</v>
      </c>
      <c r="BW1160" s="71">
        <f t="shared" si="152"/>
        <v>400</v>
      </c>
      <c r="BX1160" s="78" cm="1">
        <f t="array" ref="BX1160">IF(BM1160&gt;0,1,_xll.DCETCVN5575FactorPhi7121(BV1160*SQRT($K$17/206000),"b"))</f>
        <v>1</v>
      </c>
      <c r="BY1160" s="64">
        <f t="shared" si="153"/>
        <v>1.0604684212920172E-2</v>
      </c>
      <c r="BZ1160" s="3" t="str">
        <f t="shared" si="154"/>
        <v>OK</v>
      </c>
    </row>
    <row r="1161" spans="1:78">
      <c r="A1161" s="76"/>
      <c r="B1161" s="76"/>
      <c r="C1161" s="125"/>
      <c r="D1161" s="125"/>
      <c r="E1161" s="71"/>
      <c r="F1161" s="71"/>
      <c r="G1161" s="71"/>
      <c r="H1161" s="126"/>
      <c r="I1161" s="125"/>
      <c r="J1161" s="123"/>
      <c r="K1161" s="12"/>
      <c r="L1161" s="117"/>
      <c r="M1161" s="12"/>
      <c r="N1161" s="117"/>
      <c r="O1161" s="117"/>
      <c r="P1161" s="117"/>
      <c r="Q1161" s="118"/>
      <c r="R1161" s="118"/>
      <c r="S1161" s="118"/>
      <c r="T1161" s="12"/>
      <c r="U1161" s="118"/>
      <c r="V1161" s="118"/>
      <c r="W1161" s="12"/>
      <c r="X1161" s="119"/>
      <c r="Y1161" s="120"/>
      <c r="Z1161" s="12"/>
      <c r="BA1161" s="70" t="s">
        <v>205</v>
      </c>
      <c r="BB1161" s="71" t="s">
        <v>211</v>
      </c>
      <c r="BC1161" s="71" t="s">
        <v>207</v>
      </c>
      <c r="BD1161" s="71">
        <v>6.85</v>
      </c>
      <c r="BE1161" s="71">
        <v>6.85</v>
      </c>
      <c r="BF1161" s="71">
        <v>268</v>
      </c>
      <c r="BG1161" s="71">
        <v>212</v>
      </c>
      <c r="BH1161" s="71">
        <v>5</v>
      </c>
      <c r="BI1161" s="71">
        <v>10</v>
      </c>
      <c r="BJ1161" s="12" t="str" cm="1">
        <f t="array" ref="BJ1161">_xll.Dce_Name_SectI(BF1161, BF1161, BG1161, BH1161, BI1161, "x", "-", $AX$11)</f>
        <v>268x212x5x10</v>
      </c>
      <c r="BK1161" s="77" cm="1">
        <f t="array" ref="BK1161">_xll.DCEPropSectI(BF1161, BH1161, BG1161, BI1161, BG1161, BI1161, "A")/100</f>
        <v>54.8</v>
      </c>
      <c r="BL1161" s="70" t="s">
        <v>226</v>
      </c>
      <c r="BM1161" s="70">
        <v>11.842694671395442</v>
      </c>
      <c r="BN1161" s="71">
        <v>0.9</v>
      </c>
      <c r="BO1161" s="77">
        <f t="shared" si="147"/>
        <v>6.165</v>
      </c>
      <c r="BP1161" s="71">
        <v>0.9</v>
      </c>
      <c r="BQ1161" s="77">
        <f t="shared" si="148"/>
        <v>6.165</v>
      </c>
      <c r="BR1161" s="77" cm="1">
        <f t="array" ref="BR1161">_xll.DCEPropSectI(BF1161, BH1161, BG1161, BI1161, BG1161, BI1161, "rx")/10</f>
        <v>11.847052463297633</v>
      </c>
      <c r="BS1161" s="77" cm="1">
        <f t="array" ref="BS1161">_xll.DCEPropSectI(BF1161, BH1161, BG1161, BI1161, BG1161, BI1161, "ry")/10</f>
        <v>5.3836052600564113</v>
      </c>
      <c r="BT1161" s="5">
        <f t="shared" si="149"/>
        <v>52.038260310733605</v>
      </c>
      <c r="BU1161" s="5">
        <f t="shared" si="150"/>
        <v>114.5143394100815</v>
      </c>
      <c r="BV1161" s="5">
        <f t="shared" si="151"/>
        <v>114.5143394100815</v>
      </c>
      <c r="BW1161" s="71">
        <f t="shared" si="152"/>
        <v>400</v>
      </c>
      <c r="BX1161" s="78" cm="1">
        <f t="array" ref="BX1161">IF(BM1161&gt;0,1,_xll.DCETCVN5575FactorPhi7121(BV1161*SQRT($K$17/206000),"b"))</f>
        <v>1</v>
      </c>
      <c r="BY1161" s="64">
        <f t="shared" si="153"/>
        <v>1.0290836523631773E-2</v>
      </c>
      <c r="BZ1161" s="3" t="str">
        <f t="shared" si="154"/>
        <v>OK</v>
      </c>
    </row>
    <row r="1162" spans="1:78">
      <c r="A1162" s="76"/>
      <c r="B1162" s="76"/>
      <c r="C1162" s="125"/>
      <c r="D1162" s="125"/>
      <c r="E1162" s="71"/>
      <c r="F1162" s="71"/>
      <c r="G1162" s="71"/>
      <c r="H1162" s="126"/>
      <c r="I1162" s="125"/>
      <c r="J1162" s="123"/>
      <c r="K1162" s="12"/>
      <c r="L1162" s="117"/>
      <c r="M1162" s="12"/>
      <c r="N1162" s="117"/>
      <c r="O1162" s="117"/>
      <c r="P1162" s="117"/>
      <c r="Q1162" s="118"/>
      <c r="R1162" s="118"/>
      <c r="S1162" s="118"/>
      <c r="T1162" s="12"/>
      <c r="U1162" s="118"/>
      <c r="V1162" s="118"/>
      <c r="W1162" s="12"/>
      <c r="X1162" s="119"/>
      <c r="Y1162" s="120"/>
      <c r="Z1162" s="12"/>
      <c r="BA1162" s="70" t="s">
        <v>205</v>
      </c>
      <c r="BB1162" s="71" t="s">
        <v>212</v>
      </c>
      <c r="BC1162" s="71" t="s">
        <v>207</v>
      </c>
      <c r="BD1162" s="71">
        <v>0</v>
      </c>
      <c r="BE1162" s="71">
        <v>9.2100000000000009</v>
      </c>
      <c r="BF1162" s="71">
        <v>264</v>
      </c>
      <c r="BG1162" s="71">
        <v>212</v>
      </c>
      <c r="BH1162" s="71">
        <v>5</v>
      </c>
      <c r="BI1162" s="71">
        <v>8</v>
      </c>
      <c r="BJ1162" s="12" t="str" cm="1">
        <f t="array" ref="BJ1162">_xll.Dce_Name_SectI(BF1162, BF1162, BG1162, BH1162, BI1162, "x", "-", $AX$11)</f>
        <v>264x212x5x8</v>
      </c>
      <c r="BK1162" s="77" cm="1">
        <f t="array" ref="BK1162">_xll.DCEPropSectI(BF1162, BH1162, BG1162, BI1162, BG1162, BI1162, "A")/100</f>
        <v>46.32</v>
      </c>
      <c r="BL1162" s="70" t="s">
        <v>217</v>
      </c>
      <c r="BM1162" s="70">
        <v>144.34770592504952</v>
      </c>
      <c r="BN1162" s="71">
        <v>0.9</v>
      </c>
      <c r="BO1162" s="77">
        <f t="shared" si="147"/>
        <v>8.2890000000000015</v>
      </c>
      <c r="BP1162" s="71">
        <v>0.9</v>
      </c>
      <c r="BQ1162" s="77">
        <f t="shared" si="148"/>
        <v>8.2890000000000015</v>
      </c>
      <c r="BR1162" s="77" cm="1">
        <f t="array" ref="BR1162">_xll.DCEPropSectI(BF1162, BH1162, BG1162, BI1162, BG1162, BI1162, "rx")/10</f>
        <v>11.562881075579337</v>
      </c>
      <c r="BS1162" s="77" cm="1">
        <f t="array" ref="BS1162">_xll.DCEPropSectI(BF1162, BH1162, BG1162, BI1162, BG1162, BI1162, "ry")/10</f>
        <v>5.237608536144422</v>
      </c>
      <c r="BT1162" s="5">
        <f t="shared" si="149"/>
        <v>71.686286020066973</v>
      </c>
      <c r="BU1162" s="5">
        <f t="shared" si="150"/>
        <v>158.25925024365813</v>
      </c>
      <c r="BV1162" s="5">
        <f t="shared" si="151"/>
        <v>158.25925024365813</v>
      </c>
      <c r="BW1162" s="71">
        <f t="shared" si="152"/>
        <v>400</v>
      </c>
      <c r="BX1162" s="78" cm="1">
        <f t="array" ref="BX1162">IF(BM1162&gt;0,1,_xll.DCETCVN5575FactorPhi7121(BV1162*SQRT($K$17/206000),"b"))</f>
        <v>1</v>
      </c>
      <c r="BY1162" s="64">
        <f t="shared" si="153"/>
        <v>0.14839594736928358</v>
      </c>
      <c r="BZ1162" s="3" t="str">
        <f t="shared" si="154"/>
        <v>OK</v>
      </c>
    </row>
    <row r="1163" spans="1:78">
      <c r="A1163" s="76"/>
      <c r="B1163" s="76"/>
      <c r="C1163" s="125"/>
      <c r="D1163" s="125"/>
      <c r="E1163" s="71"/>
      <c r="F1163" s="71"/>
      <c r="G1163" s="71"/>
      <c r="H1163" s="126"/>
      <c r="I1163" s="125"/>
      <c r="J1163" s="123"/>
      <c r="K1163" s="12"/>
      <c r="L1163" s="117"/>
      <c r="M1163" s="12"/>
      <c r="N1163" s="117"/>
      <c r="O1163" s="117"/>
      <c r="P1163" s="117"/>
      <c r="Q1163" s="118"/>
      <c r="R1163" s="118"/>
      <c r="S1163" s="118"/>
      <c r="T1163" s="12"/>
      <c r="U1163" s="118"/>
      <c r="V1163" s="118"/>
      <c r="W1163" s="12"/>
      <c r="X1163" s="119"/>
      <c r="Y1163" s="120"/>
      <c r="Z1163" s="12"/>
      <c r="BA1163" s="70" t="s">
        <v>205</v>
      </c>
      <c r="BB1163" s="71" t="s">
        <v>212</v>
      </c>
      <c r="BC1163" s="71" t="s">
        <v>207</v>
      </c>
      <c r="BD1163" s="71">
        <v>4.6100000000000003</v>
      </c>
      <c r="BE1163" s="71">
        <v>9.2100000000000009</v>
      </c>
      <c r="BF1163" s="71">
        <v>264</v>
      </c>
      <c r="BG1163" s="71">
        <v>212</v>
      </c>
      <c r="BH1163" s="71">
        <v>5</v>
      </c>
      <c r="BI1163" s="71">
        <v>8</v>
      </c>
      <c r="BJ1163" s="12" t="str" cm="1">
        <f t="array" ref="BJ1163">_xll.Dce_Name_SectI(BF1163, BF1163, BG1163, BH1163, BI1163, "x", "-", $AX$11)</f>
        <v>264x212x5x8</v>
      </c>
      <c r="BK1163" s="77" cm="1">
        <f t="array" ref="BK1163">_xll.DCEPropSectI(BF1163, BH1163, BG1163, BI1163, BG1163, BI1163, "A")/100</f>
        <v>46.32</v>
      </c>
      <c r="BL1163" s="70" t="s">
        <v>217</v>
      </c>
      <c r="BM1163" s="70">
        <v>143.39396595708649</v>
      </c>
      <c r="BN1163" s="71">
        <v>0.9</v>
      </c>
      <c r="BO1163" s="77">
        <f t="shared" si="147"/>
        <v>8.2890000000000015</v>
      </c>
      <c r="BP1163" s="71">
        <v>0.9</v>
      </c>
      <c r="BQ1163" s="77">
        <f t="shared" si="148"/>
        <v>8.2890000000000015</v>
      </c>
      <c r="BR1163" s="77" cm="1">
        <f t="array" ref="BR1163">_xll.DCEPropSectI(BF1163, BH1163, BG1163, BI1163, BG1163, BI1163, "rx")/10</f>
        <v>11.562881075579337</v>
      </c>
      <c r="BS1163" s="77" cm="1">
        <f t="array" ref="BS1163">_xll.DCEPropSectI(BF1163, BH1163, BG1163, BI1163, BG1163, BI1163, "ry")/10</f>
        <v>5.237608536144422</v>
      </c>
      <c r="BT1163" s="5">
        <f t="shared" si="149"/>
        <v>71.686286020066973</v>
      </c>
      <c r="BU1163" s="5">
        <f t="shared" si="150"/>
        <v>158.25925024365813</v>
      </c>
      <c r="BV1163" s="5">
        <f t="shared" si="151"/>
        <v>158.25925024365813</v>
      </c>
      <c r="BW1163" s="71">
        <f t="shared" si="152"/>
        <v>400</v>
      </c>
      <c r="BX1163" s="78" cm="1">
        <f t="array" ref="BX1163">IF(BM1163&gt;0,1,_xll.DCETCVN5575FactorPhi7121(BV1163*SQRT($K$17/206000),"b"))</f>
        <v>1</v>
      </c>
      <c r="BY1163" s="64">
        <f t="shared" si="153"/>
        <v>0.14741545969763806</v>
      </c>
      <c r="BZ1163" s="3" t="str">
        <f t="shared" si="154"/>
        <v>OK</v>
      </c>
    </row>
    <row r="1164" spans="1:78">
      <c r="A1164" s="76"/>
      <c r="B1164" s="76"/>
      <c r="C1164" s="125"/>
      <c r="D1164" s="125"/>
      <c r="E1164" s="71"/>
      <c r="F1164" s="71"/>
      <c r="G1164" s="71"/>
      <c r="H1164" s="126"/>
      <c r="I1164" s="125"/>
      <c r="J1164" s="123"/>
      <c r="K1164" s="12"/>
      <c r="L1164" s="117"/>
      <c r="M1164" s="12"/>
      <c r="N1164" s="117"/>
      <c r="O1164" s="117"/>
      <c r="P1164" s="117"/>
      <c r="Q1164" s="118"/>
      <c r="R1164" s="118"/>
      <c r="S1164" s="118"/>
      <c r="T1164" s="12"/>
      <c r="U1164" s="118"/>
      <c r="V1164" s="118"/>
      <c r="W1164" s="12"/>
      <c r="X1164" s="119"/>
      <c r="Y1164" s="120"/>
      <c r="Z1164" s="12"/>
      <c r="BA1164" s="70" t="s">
        <v>205</v>
      </c>
      <c r="BB1164" s="71" t="s">
        <v>212</v>
      </c>
      <c r="BC1164" s="71" t="s">
        <v>207</v>
      </c>
      <c r="BD1164" s="71">
        <v>9.2100000000000009</v>
      </c>
      <c r="BE1164" s="71">
        <v>9.2100000000000009</v>
      </c>
      <c r="BF1164" s="71">
        <v>264</v>
      </c>
      <c r="BG1164" s="71">
        <v>212</v>
      </c>
      <c r="BH1164" s="71">
        <v>5</v>
      </c>
      <c r="BI1164" s="71">
        <v>8</v>
      </c>
      <c r="BJ1164" s="12" t="str" cm="1">
        <f t="array" ref="BJ1164">_xll.Dce_Name_SectI(BF1164, BF1164, BG1164, BH1164, BI1164, "x", "-", $AX$11)</f>
        <v>264x212x5x8</v>
      </c>
      <c r="BK1164" s="77" cm="1">
        <f t="array" ref="BK1164">_xll.DCEPropSectI(BF1164, BH1164, BG1164, BI1164, BG1164, BI1164, "A")/100</f>
        <v>46.32</v>
      </c>
      <c r="BL1164" s="70" t="s">
        <v>217</v>
      </c>
      <c r="BM1164" s="70">
        <v>142.44022598912346</v>
      </c>
      <c r="BN1164" s="71">
        <v>0.9</v>
      </c>
      <c r="BO1164" s="77">
        <f t="shared" si="147"/>
        <v>8.2890000000000015</v>
      </c>
      <c r="BP1164" s="71">
        <v>0.9</v>
      </c>
      <c r="BQ1164" s="77">
        <f t="shared" si="148"/>
        <v>8.2890000000000015</v>
      </c>
      <c r="BR1164" s="77" cm="1">
        <f t="array" ref="BR1164">_xll.DCEPropSectI(BF1164, BH1164, BG1164, BI1164, BG1164, BI1164, "rx")/10</f>
        <v>11.562881075579337</v>
      </c>
      <c r="BS1164" s="77" cm="1">
        <f t="array" ref="BS1164">_xll.DCEPropSectI(BF1164, BH1164, BG1164, BI1164, BG1164, BI1164, "ry")/10</f>
        <v>5.237608536144422</v>
      </c>
      <c r="BT1164" s="5">
        <f t="shared" si="149"/>
        <v>71.686286020066973</v>
      </c>
      <c r="BU1164" s="5">
        <f t="shared" si="150"/>
        <v>158.25925024365813</v>
      </c>
      <c r="BV1164" s="5">
        <f t="shared" si="151"/>
        <v>158.25925024365813</v>
      </c>
      <c r="BW1164" s="71">
        <f t="shared" si="152"/>
        <v>400</v>
      </c>
      <c r="BX1164" s="78" cm="1">
        <f t="array" ref="BX1164">IF(BM1164&gt;0,1,_xll.DCETCVN5575FactorPhi7121(BV1164*SQRT($K$17/206000),"b"))</f>
        <v>1</v>
      </c>
      <c r="BY1164" s="64">
        <f t="shared" si="153"/>
        <v>0.14643497202599254</v>
      </c>
      <c r="BZ1164" s="3" t="str">
        <f t="shared" si="154"/>
        <v>OK</v>
      </c>
    </row>
    <row r="1165" spans="1:78">
      <c r="A1165" s="76"/>
      <c r="B1165" s="76"/>
      <c r="C1165" s="125"/>
      <c r="D1165" s="125"/>
      <c r="E1165" s="71"/>
      <c r="F1165" s="71"/>
      <c r="G1165" s="71"/>
      <c r="H1165" s="126"/>
      <c r="I1165" s="125"/>
      <c r="J1165" s="123"/>
      <c r="K1165" s="12"/>
      <c r="L1165" s="117"/>
      <c r="M1165" s="12"/>
      <c r="N1165" s="117"/>
      <c r="O1165" s="117"/>
      <c r="P1165" s="117"/>
      <c r="Q1165" s="118"/>
      <c r="R1165" s="118"/>
      <c r="S1165" s="118"/>
      <c r="T1165" s="12"/>
      <c r="U1165" s="118"/>
      <c r="V1165" s="118"/>
      <c r="W1165" s="12"/>
      <c r="X1165" s="119"/>
      <c r="Y1165" s="120"/>
      <c r="Z1165" s="12"/>
      <c r="BA1165" s="70" t="s">
        <v>205</v>
      </c>
      <c r="BB1165" s="71" t="s">
        <v>212</v>
      </c>
      <c r="BC1165" s="71" t="s">
        <v>207</v>
      </c>
      <c r="BD1165" s="71">
        <v>0</v>
      </c>
      <c r="BE1165" s="71">
        <v>9.2100000000000009</v>
      </c>
      <c r="BF1165" s="71">
        <v>264</v>
      </c>
      <c r="BG1165" s="71">
        <v>212</v>
      </c>
      <c r="BH1165" s="71">
        <v>5</v>
      </c>
      <c r="BI1165" s="71">
        <v>8</v>
      </c>
      <c r="BJ1165" s="12" t="str" cm="1">
        <f t="array" ref="BJ1165">_xll.Dce_Name_SectI(BF1165, BF1165, BG1165, BH1165, BI1165, "x", "-", $AX$11)</f>
        <v>264x212x5x8</v>
      </c>
      <c r="BK1165" s="77" cm="1">
        <f t="array" ref="BK1165">_xll.DCEPropSectI(BF1165, BH1165, BG1165, BI1165, BG1165, BI1165, "A")/100</f>
        <v>46.32</v>
      </c>
      <c r="BL1165" s="70" t="s">
        <v>218</v>
      </c>
      <c r="BM1165" s="70">
        <v>320.01685717892701</v>
      </c>
      <c r="BN1165" s="71">
        <v>0.9</v>
      </c>
      <c r="BO1165" s="77">
        <f t="shared" ref="BO1165:BO1228" si="155">BN1165*BE1165</f>
        <v>8.2890000000000015</v>
      </c>
      <c r="BP1165" s="71">
        <v>0.9</v>
      </c>
      <c r="BQ1165" s="77">
        <f t="shared" ref="BQ1165:BQ1228" si="156">BP1165*BE1165</f>
        <v>8.2890000000000015</v>
      </c>
      <c r="BR1165" s="77" cm="1">
        <f t="array" ref="BR1165">_xll.DCEPropSectI(BF1165, BH1165, BG1165, BI1165, BG1165, BI1165, "rx")/10</f>
        <v>11.562881075579337</v>
      </c>
      <c r="BS1165" s="77" cm="1">
        <f t="array" ref="BS1165">_xll.DCEPropSectI(BF1165, BH1165, BG1165, BI1165, BG1165, BI1165, "ry")/10</f>
        <v>5.237608536144422</v>
      </c>
      <c r="BT1165" s="5">
        <f t="shared" ref="BT1165:BT1228" si="157">BO1165*100/BR1165</f>
        <v>71.686286020066973</v>
      </c>
      <c r="BU1165" s="5">
        <f t="shared" ref="BU1165:BU1228" si="158">BQ1165*100/BS1165</f>
        <v>158.25925024365813</v>
      </c>
      <c r="BV1165" s="5">
        <f t="shared" ref="BV1165:BV1228" si="159">MAX(BT1165,BU1165)</f>
        <v>158.25925024365813</v>
      </c>
      <c r="BW1165" s="71">
        <f t="shared" ref="BW1165:BW1228" si="160">IF(BM1165&lt;0,$AY$14,$AY$15)</f>
        <v>400</v>
      </c>
      <c r="BX1165" s="78" cm="1">
        <f t="array" ref="BX1165">IF(BM1165&gt;0,1,_xll.DCETCVN5575FactorPhi7121(BV1165*SQRT($K$17/206000),"b"))</f>
        <v>1</v>
      </c>
      <c r="BY1165" s="64">
        <f t="shared" ref="BY1165:BY1228" si="161">ABS(BM1165)/(BX1165*BK1165*$K$17*$K$19)*10</f>
        <v>0.32899175217835247</v>
      </c>
      <c r="BZ1165" s="3" t="str">
        <f t="shared" ref="BZ1165:BZ1228" si="162">IF(AND(BV1165&lt;=BW1165,BY1165&lt;=1),"OK","Check")</f>
        <v>OK</v>
      </c>
    </row>
    <row r="1166" spans="1:78">
      <c r="A1166" s="76"/>
      <c r="B1166" s="76"/>
      <c r="C1166" s="125"/>
      <c r="D1166" s="125"/>
      <c r="E1166" s="71"/>
      <c r="F1166" s="71"/>
      <c r="G1166" s="71"/>
      <c r="H1166" s="126"/>
      <c r="I1166" s="125"/>
      <c r="J1166" s="123"/>
      <c r="K1166" s="12"/>
      <c r="L1166" s="117"/>
      <c r="M1166" s="12"/>
      <c r="N1166" s="117"/>
      <c r="O1166" s="117"/>
      <c r="P1166" s="117"/>
      <c r="Q1166" s="118"/>
      <c r="R1166" s="118"/>
      <c r="S1166" s="118"/>
      <c r="T1166" s="12"/>
      <c r="U1166" s="118"/>
      <c r="V1166" s="118"/>
      <c r="W1166" s="12"/>
      <c r="X1166" s="119"/>
      <c r="Y1166" s="120"/>
      <c r="Z1166" s="12"/>
      <c r="BA1166" s="70" t="s">
        <v>205</v>
      </c>
      <c r="BB1166" s="71" t="s">
        <v>212</v>
      </c>
      <c r="BC1166" s="71" t="s">
        <v>207</v>
      </c>
      <c r="BD1166" s="71">
        <v>4.6100000000000003</v>
      </c>
      <c r="BE1166" s="71">
        <v>9.2100000000000009</v>
      </c>
      <c r="BF1166" s="71">
        <v>264</v>
      </c>
      <c r="BG1166" s="71">
        <v>212</v>
      </c>
      <c r="BH1166" s="71">
        <v>5</v>
      </c>
      <c r="BI1166" s="71">
        <v>8</v>
      </c>
      <c r="BJ1166" s="12" t="str" cm="1">
        <f t="array" ref="BJ1166">_xll.Dce_Name_SectI(BF1166, BF1166, BG1166, BH1166, BI1166, "x", "-", $AX$11)</f>
        <v>264x212x5x8</v>
      </c>
      <c r="BK1166" s="77" cm="1">
        <f t="array" ref="BK1166">_xll.DCEPropSectI(BF1166, BH1166, BG1166, BI1166, BG1166, BI1166, "A")/100</f>
        <v>46.32</v>
      </c>
      <c r="BL1166" s="70" t="s">
        <v>218</v>
      </c>
      <c r="BM1166" s="70">
        <v>319.06311721096392</v>
      </c>
      <c r="BN1166" s="71">
        <v>0.9</v>
      </c>
      <c r="BO1166" s="77">
        <f t="shared" si="155"/>
        <v>8.2890000000000015</v>
      </c>
      <c r="BP1166" s="71">
        <v>0.9</v>
      </c>
      <c r="BQ1166" s="77">
        <f t="shared" si="156"/>
        <v>8.2890000000000015</v>
      </c>
      <c r="BR1166" s="77" cm="1">
        <f t="array" ref="BR1166">_xll.DCEPropSectI(BF1166, BH1166, BG1166, BI1166, BG1166, BI1166, "rx")/10</f>
        <v>11.562881075579337</v>
      </c>
      <c r="BS1166" s="77" cm="1">
        <f t="array" ref="BS1166">_xll.DCEPropSectI(BF1166, BH1166, BG1166, BI1166, BG1166, BI1166, "ry")/10</f>
        <v>5.237608536144422</v>
      </c>
      <c r="BT1166" s="5">
        <f t="shared" si="157"/>
        <v>71.686286020066973</v>
      </c>
      <c r="BU1166" s="5">
        <f t="shared" si="158"/>
        <v>158.25925024365813</v>
      </c>
      <c r="BV1166" s="5">
        <f t="shared" si="159"/>
        <v>158.25925024365813</v>
      </c>
      <c r="BW1166" s="71">
        <f t="shared" si="160"/>
        <v>400</v>
      </c>
      <c r="BX1166" s="78" cm="1">
        <f t="array" ref="BX1166">IF(BM1166&gt;0,1,_xll.DCETCVN5575FactorPhi7121(BV1166*SQRT($K$17/206000),"b"))</f>
        <v>1</v>
      </c>
      <c r="BY1166" s="64">
        <f t="shared" si="161"/>
        <v>0.32801126450670687</v>
      </c>
      <c r="BZ1166" s="3" t="str">
        <f t="shared" si="162"/>
        <v>OK</v>
      </c>
    </row>
    <row r="1167" spans="1:78">
      <c r="A1167" s="76"/>
      <c r="B1167" s="76"/>
      <c r="C1167" s="125"/>
      <c r="D1167" s="125"/>
      <c r="E1167" s="71"/>
      <c r="F1167" s="71"/>
      <c r="G1167" s="71"/>
      <c r="H1167" s="126"/>
      <c r="I1167" s="125"/>
      <c r="J1167" s="123"/>
      <c r="K1167" s="12"/>
      <c r="L1167" s="117"/>
      <c r="M1167" s="12"/>
      <c r="N1167" s="117"/>
      <c r="O1167" s="117"/>
      <c r="P1167" s="117"/>
      <c r="Q1167" s="118"/>
      <c r="R1167" s="118"/>
      <c r="S1167" s="118"/>
      <c r="T1167" s="12"/>
      <c r="U1167" s="118"/>
      <c r="V1167" s="118"/>
      <c r="W1167" s="12"/>
      <c r="X1167" s="119"/>
      <c r="Y1167" s="120"/>
      <c r="Z1167" s="12"/>
      <c r="BA1167" s="70" t="s">
        <v>205</v>
      </c>
      <c r="BB1167" s="71" t="s">
        <v>212</v>
      </c>
      <c r="BC1167" s="71" t="s">
        <v>207</v>
      </c>
      <c r="BD1167" s="71">
        <v>9.2100000000000009</v>
      </c>
      <c r="BE1167" s="71">
        <v>9.2100000000000009</v>
      </c>
      <c r="BF1167" s="71">
        <v>264</v>
      </c>
      <c r="BG1167" s="71">
        <v>212</v>
      </c>
      <c r="BH1167" s="71">
        <v>5</v>
      </c>
      <c r="BI1167" s="71">
        <v>8</v>
      </c>
      <c r="BJ1167" s="12" t="str" cm="1">
        <f t="array" ref="BJ1167">_xll.Dce_Name_SectI(BF1167, BF1167, BG1167, BH1167, BI1167, "x", "-", $AX$11)</f>
        <v>264x212x5x8</v>
      </c>
      <c r="BK1167" s="77" cm="1">
        <f t="array" ref="BK1167">_xll.DCEPropSectI(BF1167, BH1167, BG1167, BI1167, BG1167, BI1167, "A")/100</f>
        <v>46.32</v>
      </c>
      <c r="BL1167" s="70" t="s">
        <v>218</v>
      </c>
      <c r="BM1167" s="70">
        <v>318.10937724300095</v>
      </c>
      <c r="BN1167" s="71">
        <v>0.9</v>
      </c>
      <c r="BO1167" s="77">
        <f t="shared" si="155"/>
        <v>8.2890000000000015</v>
      </c>
      <c r="BP1167" s="71">
        <v>0.9</v>
      </c>
      <c r="BQ1167" s="77">
        <f t="shared" si="156"/>
        <v>8.2890000000000015</v>
      </c>
      <c r="BR1167" s="77" cm="1">
        <f t="array" ref="BR1167">_xll.DCEPropSectI(BF1167, BH1167, BG1167, BI1167, BG1167, BI1167, "rx")/10</f>
        <v>11.562881075579337</v>
      </c>
      <c r="BS1167" s="77" cm="1">
        <f t="array" ref="BS1167">_xll.DCEPropSectI(BF1167, BH1167, BG1167, BI1167, BG1167, BI1167, "ry")/10</f>
        <v>5.237608536144422</v>
      </c>
      <c r="BT1167" s="5">
        <f t="shared" si="157"/>
        <v>71.686286020066973</v>
      </c>
      <c r="BU1167" s="5">
        <f t="shared" si="158"/>
        <v>158.25925024365813</v>
      </c>
      <c r="BV1167" s="5">
        <f t="shared" si="159"/>
        <v>158.25925024365813</v>
      </c>
      <c r="BW1167" s="71">
        <f t="shared" si="160"/>
        <v>400</v>
      </c>
      <c r="BX1167" s="78" cm="1">
        <f t="array" ref="BX1167">IF(BM1167&gt;0,1,_xll.DCETCVN5575FactorPhi7121(BV1167*SQRT($K$17/206000),"b"))</f>
        <v>1</v>
      </c>
      <c r="BY1167" s="64">
        <f t="shared" si="161"/>
        <v>0.32703077683506138</v>
      </c>
      <c r="BZ1167" s="3" t="str">
        <f t="shared" si="162"/>
        <v>OK</v>
      </c>
    </row>
    <row r="1168" spans="1:78">
      <c r="A1168" s="76"/>
      <c r="B1168" s="76"/>
      <c r="C1168" s="125"/>
      <c r="D1168" s="125"/>
      <c r="E1168" s="71"/>
      <c r="F1168" s="71"/>
      <c r="G1168" s="71"/>
      <c r="H1168" s="126"/>
      <c r="I1168" s="125"/>
      <c r="J1168" s="123"/>
      <c r="K1168" s="12"/>
      <c r="L1168" s="117"/>
      <c r="M1168" s="12"/>
      <c r="N1168" s="117"/>
      <c r="O1168" s="117"/>
      <c r="P1168" s="117"/>
      <c r="Q1168" s="118"/>
      <c r="R1168" s="118"/>
      <c r="S1168" s="118"/>
      <c r="T1168" s="12"/>
      <c r="U1168" s="118"/>
      <c r="V1168" s="118"/>
      <c r="W1168" s="12"/>
      <c r="X1168" s="119"/>
      <c r="Y1168" s="120"/>
      <c r="Z1168" s="12"/>
      <c r="BA1168" s="70" t="s">
        <v>205</v>
      </c>
      <c r="BB1168" s="71" t="s">
        <v>212</v>
      </c>
      <c r="BC1168" s="71" t="s">
        <v>207</v>
      </c>
      <c r="BD1168" s="71">
        <v>0</v>
      </c>
      <c r="BE1168" s="71">
        <v>9.2100000000000009</v>
      </c>
      <c r="BF1168" s="71">
        <v>264</v>
      </c>
      <c r="BG1168" s="71">
        <v>212</v>
      </c>
      <c r="BH1168" s="71">
        <v>5</v>
      </c>
      <c r="BI1168" s="71">
        <v>8</v>
      </c>
      <c r="BJ1168" s="12" t="str" cm="1">
        <f t="array" ref="BJ1168">_xll.Dce_Name_SectI(BF1168, BF1168, BG1168, BH1168, BI1168, "x", "-", $AX$11)</f>
        <v>264x212x5x8</v>
      </c>
      <c r="BK1168" s="77" cm="1">
        <f t="array" ref="BK1168">_xll.DCEPropSectI(BF1168, BH1168, BG1168, BI1168, BG1168, BI1168, "A")/100</f>
        <v>46.32</v>
      </c>
      <c r="BL1168" s="70" t="s">
        <v>219</v>
      </c>
      <c r="BM1168" s="70">
        <v>140.73298587153198</v>
      </c>
      <c r="BN1168" s="71">
        <v>0.9</v>
      </c>
      <c r="BO1168" s="77">
        <f t="shared" si="155"/>
        <v>8.2890000000000015</v>
      </c>
      <c r="BP1168" s="71">
        <v>0.9</v>
      </c>
      <c r="BQ1168" s="77">
        <f t="shared" si="156"/>
        <v>8.2890000000000015</v>
      </c>
      <c r="BR1168" s="77" cm="1">
        <f t="array" ref="BR1168">_xll.DCEPropSectI(BF1168, BH1168, BG1168, BI1168, BG1168, BI1168, "rx")/10</f>
        <v>11.562881075579337</v>
      </c>
      <c r="BS1168" s="77" cm="1">
        <f t="array" ref="BS1168">_xll.DCEPropSectI(BF1168, BH1168, BG1168, BI1168, BG1168, BI1168, "ry")/10</f>
        <v>5.237608536144422</v>
      </c>
      <c r="BT1168" s="5">
        <f t="shared" si="157"/>
        <v>71.686286020066973</v>
      </c>
      <c r="BU1168" s="5">
        <f t="shared" si="158"/>
        <v>158.25925024365813</v>
      </c>
      <c r="BV1168" s="5">
        <f t="shared" si="159"/>
        <v>158.25925024365813</v>
      </c>
      <c r="BW1168" s="71">
        <f t="shared" si="160"/>
        <v>400</v>
      </c>
      <c r="BX1168" s="78" cm="1">
        <f t="array" ref="BX1168">IF(BM1168&gt;0,1,_xll.DCETCVN5575FactorPhi7121(BV1168*SQRT($K$17/206000),"b"))</f>
        <v>1</v>
      </c>
      <c r="BY1168" s="64">
        <f t="shared" si="161"/>
        <v>0.1446798522406571</v>
      </c>
      <c r="BZ1168" s="3" t="str">
        <f t="shared" si="162"/>
        <v>OK</v>
      </c>
    </row>
    <row r="1169" spans="1:78">
      <c r="A1169" s="76"/>
      <c r="B1169" s="76"/>
      <c r="C1169" s="125"/>
      <c r="D1169" s="125"/>
      <c r="E1169" s="71"/>
      <c r="F1169" s="71"/>
      <c r="G1169" s="71"/>
      <c r="H1169" s="126"/>
      <c r="I1169" s="125"/>
      <c r="J1169" s="123"/>
      <c r="K1169" s="12"/>
      <c r="L1169" s="117"/>
      <c r="M1169" s="12"/>
      <c r="N1169" s="117"/>
      <c r="O1169" s="117"/>
      <c r="P1169" s="117"/>
      <c r="Q1169" s="118"/>
      <c r="R1169" s="118"/>
      <c r="S1169" s="118"/>
      <c r="T1169" s="12"/>
      <c r="U1169" s="118"/>
      <c r="V1169" s="118"/>
      <c r="W1169" s="12"/>
      <c r="X1169" s="119"/>
      <c r="Y1169" s="120"/>
      <c r="Z1169" s="12"/>
      <c r="BA1169" s="70" t="s">
        <v>205</v>
      </c>
      <c r="BB1169" s="71" t="s">
        <v>212</v>
      </c>
      <c r="BC1169" s="71" t="s">
        <v>207</v>
      </c>
      <c r="BD1169" s="71">
        <v>4.6100000000000003</v>
      </c>
      <c r="BE1169" s="71">
        <v>9.2100000000000009</v>
      </c>
      <c r="BF1169" s="71">
        <v>264</v>
      </c>
      <c r="BG1169" s="71">
        <v>212</v>
      </c>
      <c r="BH1169" s="71">
        <v>5</v>
      </c>
      <c r="BI1169" s="71">
        <v>8</v>
      </c>
      <c r="BJ1169" s="12" t="str" cm="1">
        <f t="array" ref="BJ1169">_xll.Dce_Name_SectI(BF1169, BF1169, BG1169, BH1169, BI1169, "x", "-", $AX$11)</f>
        <v>264x212x5x8</v>
      </c>
      <c r="BK1169" s="77" cm="1">
        <f t="array" ref="BK1169">_xll.DCEPropSectI(BF1169, BH1169, BG1169, BI1169, BG1169, BI1169, "A")/100</f>
        <v>46.32</v>
      </c>
      <c r="BL1169" s="70" t="s">
        <v>219</v>
      </c>
      <c r="BM1169" s="70">
        <v>139.77924590356895</v>
      </c>
      <c r="BN1169" s="71">
        <v>0.9</v>
      </c>
      <c r="BO1169" s="77">
        <f t="shared" si="155"/>
        <v>8.2890000000000015</v>
      </c>
      <c r="BP1169" s="71">
        <v>0.9</v>
      </c>
      <c r="BQ1169" s="77">
        <f t="shared" si="156"/>
        <v>8.2890000000000015</v>
      </c>
      <c r="BR1169" s="77" cm="1">
        <f t="array" ref="BR1169">_xll.DCEPropSectI(BF1169, BH1169, BG1169, BI1169, BG1169, BI1169, "rx")/10</f>
        <v>11.562881075579337</v>
      </c>
      <c r="BS1169" s="77" cm="1">
        <f t="array" ref="BS1169">_xll.DCEPropSectI(BF1169, BH1169, BG1169, BI1169, BG1169, BI1169, "ry")/10</f>
        <v>5.237608536144422</v>
      </c>
      <c r="BT1169" s="5">
        <f t="shared" si="157"/>
        <v>71.686286020066973</v>
      </c>
      <c r="BU1169" s="5">
        <f t="shared" si="158"/>
        <v>158.25925024365813</v>
      </c>
      <c r="BV1169" s="5">
        <f t="shared" si="159"/>
        <v>158.25925024365813</v>
      </c>
      <c r="BW1169" s="71">
        <f t="shared" si="160"/>
        <v>400</v>
      </c>
      <c r="BX1169" s="78" cm="1">
        <f t="array" ref="BX1169">IF(BM1169&gt;0,1,_xll.DCETCVN5575FactorPhi7121(BV1169*SQRT($K$17/206000),"b"))</f>
        <v>1</v>
      </c>
      <c r="BY1169" s="64">
        <f t="shared" si="161"/>
        <v>0.14369936456901158</v>
      </c>
      <c r="BZ1169" s="3" t="str">
        <f t="shared" si="162"/>
        <v>OK</v>
      </c>
    </row>
    <row r="1170" spans="1:78">
      <c r="A1170" s="76"/>
      <c r="B1170" s="76"/>
      <c r="C1170" s="125"/>
      <c r="D1170" s="125"/>
      <c r="E1170" s="71"/>
      <c r="F1170" s="71"/>
      <c r="G1170" s="71"/>
      <c r="H1170" s="126"/>
      <c r="I1170" s="125"/>
      <c r="J1170" s="123"/>
      <c r="K1170" s="12"/>
      <c r="L1170" s="117"/>
      <c r="M1170" s="12"/>
      <c r="N1170" s="117"/>
      <c r="O1170" s="117"/>
      <c r="P1170" s="117"/>
      <c r="Q1170" s="118"/>
      <c r="R1170" s="118"/>
      <c r="S1170" s="118"/>
      <c r="T1170" s="12"/>
      <c r="U1170" s="118"/>
      <c r="V1170" s="118"/>
      <c r="W1170" s="12"/>
      <c r="X1170" s="119"/>
      <c r="Y1170" s="120"/>
      <c r="Z1170" s="12"/>
      <c r="BA1170" s="70" t="s">
        <v>205</v>
      </c>
      <c r="BB1170" s="71" t="s">
        <v>212</v>
      </c>
      <c r="BC1170" s="71" t="s">
        <v>207</v>
      </c>
      <c r="BD1170" s="71">
        <v>9.2100000000000009</v>
      </c>
      <c r="BE1170" s="71">
        <v>9.2100000000000009</v>
      </c>
      <c r="BF1170" s="71">
        <v>264</v>
      </c>
      <c r="BG1170" s="71">
        <v>212</v>
      </c>
      <c r="BH1170" s="71">
        <v>5</v>
      </c>
      <c r="BI1170" s="71">
        <v>8</v>
      </c>
      <c r="BJ1170" s="12" t="str" cm="1">
        <f t="array" ref="BJ1170">_xll.Dce_Name_SectI(BF1170, BF1170, BG1170, BH1170, BI1170, "x", "-", $AX$11)</f>
        <v>264x212x5x8</v>
      </c>
      <c r="BK1170" s="77" cm="1">
        <f t="array" ref="BK1170">_xll.DCEPropSectI(BF1170, BH1170, BG1170, BI1170, BG1170, BI1170, "A")/100</f>
        <v>46.32</v>
      </c>
      <c r="BL1170" s="70" t="s">
        <v>219</v>
      </c>
      <c r="BM1170" s="70">
        <v>138.82550593560592</v>
      </c>
      <c r="BN1170" s="71">
        <v>0.9</v>
      </c>
      <c r="BO1170" s="77">
        <f t="shared" si="155"/>
        <v>8.2890000000000015</v>
      </c>
      <c r="BP1170" s="71">
        <v>0.9</v>
      </c>
      <c r="BQ1170" s="77">
        <f t="shared" si="156"/>
        <v>8.2890000000000015</v>
      </c>
      <c r="BR1170" s="77" cm="1">
        <f t="array" ref="BR1170">_xll.DCEPropSectI(BF1170, BH1170, BG1170, BI1170, BG1170, BI1170, "rx")/10</f>
        <v>11.562881075579337</v>
      </c>
      <c r="BS1170" s="77" cm="1">
        <f t="array" ref="BS1170">_xll.DCEPropSectI(BF1170, BH1170, BG1170, BI1170, BG1170, BI1170, "ry")/10</f>
        <v>5.237608536144422</v>
      </c>
      <c r="BT1170" s="5">
        <f t="shared" si="157"/>
        <v>71.686286020066973</v>
      </c>
      <c r="BU1170" s="5">
        <f t="shared" si="158"/>
        <v>158.25925024365813</v>
      </c>
      <c r="BV1170" s="5">
        <f t="shared" si="159"/>
        <v>158.25925024365813</v>
      </c>
      <c r="BW1170" s="71">
        <f t="shared" si="160"/>
        <v>400</v>
      </c>
      <c r="BX1170" s="78" cm="1">
        <f t="array" ref="BX1170">IF(BM1170&gt;0,1,_xll.DCETCVN5575FactorPhi7121(BV1170*SQRT($K$17/206000),"b"))</f>
        <v>1</v>
      </c>
      <c r="BY1170" s="64">
        <f t="shared" si="161"/>
        <v>0.14271887689736606</v>
      </c>
      <c r="BZ1170" s="3" t="str">
        <f t="shared" si="162"/>
        <v>OK</v>
      </c>
    </row>
    <row r="1171" spans="1:78">
      <c r="A1171" s="76"/>
      <c r="B1171" s="76"/>
      <c r="C1171" s="125"/>
      <c r="D1171" s="125"/>
      <c r="E1171" s="71"/>
      <c r="F1171" s="71"/>
      <c r="G1171" s="71"/>
      <c r="H1171" s="126"/>
      <c r="I1171" s="125"/>
      <c r="J1171" s="123"/>
      <c r="K1171" s="12"/>
      <c r="L1171" s="117"/>
      <c r="M1171" s="12"/>
      <c r="N1171" s="117"/>
      <c r="O1171" s="117"/>
      <c r="P1171" s="117"/>
      <c r="Q1171" s="118"/>
      <c r="R1171" s="118"/>
      <c r="S1171" s="118"/>
      <c r="T1171" s="12"/>
      <c r="U1171" s="118"/>
      <c r="V1171" s="118"/>
      <c r="W1171" s="12"/>
      <c r="X1171" s="119"/>
      <c r="Y1171" s="120"/>
      <c r="Z1171" s="12"/>
      <c r="BA1171" s="70" t="s">
        <v>205</v>
      </c>
      <c r="BB1171" s="71" t="s">
        <v>212</v>
      </c>
      <c r="BC1171" s="71" t="s">
        <v>207</v>
      </c>
      <c r="BD1171" s="71">
        <v>0</v>
      </c>
      <c r="BE1171" s="71">
        <v>9.2100000000000009</v>
      </c>
      <c r="BF1171" s="71">
        <v>264</v>
      </c>
      <c r="BG1171" s="71">
        <v>212</v>
      </c>
      <c r="BH1171" s="71">
        <v>5</v>
      </c>
      <c r="BI1171" s="71">
        <v>8</v>
      </c>
      <c r="BJ1171" s="12" t="str" cm="1">
        <f t="array" ref="BJ1171">_xll.Dce_Name_SectI(BF1171, BF1171, BG1171, BH1171, BI1171, "x", "-", $AX$11)</f>
        <v>264x212x5x8</v>
      </c>
      <c r="BK1171" s="77" cm="1">
        <f t="array" ref="BK1171">_xll.DCEPropSectI(BF1171, BH1171, BG1171, BI1171, BG1171, BI1171, "A")/100</f>
        <v>46.32</v>
      </c>
      <c r="BL1171" s="70" t="s">
        <v>220</v>
      </c>
      <c r="BM1171" s="70">
        <v>206.40152781772582</v>
      </c>
      <c r="BN1171" s="71">
        <v>0.9</v>
      </c>
      <c r="BO1171" s="77">
        <f t="shared" si="155"/>
        <v>8.2890000000000015</v>
      </c>
      <c r="BP1171" s="71">
        <v>0.9</v>
      </c>
      <c r="BQ1171" s="77">
        <f t="shared" si="156"/>
        <v>8.2890000000000015</v>
      </c>
      <c r="BR1171" s="77" cm="1">
        <f t="array" ref="BR1171">_xll.DCEPropSectI(BF1171, BH1171, BG1171, BI1171, BG1171, BI1171, "rx")/10</f>
        <v>11.562881075579337</v>
      </c>
      <c r="BS1171" s="77" cm="1">
        <f t="array" ref="BS1171">_xll.DCEPropSectI(BF1171, BH1171, BG1171, BI1171, BG1171, BI1171, "ry")/10</f>
        <v>5.237608536144422</v>
      </c>
      <c r="BT1171" s="5">
        <f t="shared" si="157"/>
        <v>71.686286020066973</v>
      </c>
      <c r="BU1171" s="5">
        <f t="shared" si="158"/>
        <v>158.25925024365813</v>
      </c>
      <c r="BV1171" s="5">
        <f t="shared" si="159"/>
        <v>158.25925024365813</v>
      </c>
      <c r="BW1171" s="71">
        <f t="shared" si="160"/>
        <v>400</v>
      </c>
      <c r="BX1171" s="78" cm="1">
        <f t="array" ref="BX1171">IF(BM1171&gt;0,1,_xll.DCETCVN5575FactorPhi7121(BV1171*SQRT($K$17/206000),"b"))</f>
        <v>1</v>
      </c>
      <c r="BY1171" s="64">
        <f t="shared" si="161"/>
        <v>0.21219007300942286</v>
      </c>
      <c r="BZ1171" s="3" t="str">
        <f t="shared" si="162"/>
        <v>OK</v>
      </c>
    </row>
    <row r="1172" spans="1:78">
      <c r="A1172" s="76"/>
      <c r="B1172" s="76"/>
      <c r="C1172" s="125"/>
      <c r="D1172" s="125"/>
      <c r="E1172" s="71"/>
      <c r="F1172" s="71"/>
      <c r="G1172" s="71"/>
      <c r="H1172" s="126"/>
      <c r="I1172" s="125"/>
      <c r="J1172" s="123"/>
      <c r="K1172" s="12"/>
      <c r="L1172" s="117"/>
      <c r="M1172" s="12"/>
      <c r="N1172" s="117"/>
      <c r="O1172" s="117"/>
      <c r="P1172" s="117"/>
      <c r="Q1172" s="118"/>
      <c r="R1172" s="118"/>
      <c r="S1172" s="118"/>
      <c r="T1172" s="12"/>
      <c r="U1172" s="118"/>
      <c r="V1172" s="118"/>
      <c r="W1172" s="12"/>
      <c r="X1172" s="119"/>
      <c r="Y1172" s="120"/>
      <c r="Z1172" s="12"/>
      <c r="BA1172" s="70" t="s">
        <v>205</v>
      </c>
      <c r="BB1172" s="71" t="s">
        <v>212</v>
      </c>
      <c r="BC1172" s="71" t="s">
        <v>207</v>
      </c>
      <c r="BD1172" s="71">
        <v>4.6100000000000003</v>
      </c>
      <c r="BE1172" s="71">
        <v>9.2100000000000009</v>
      </c>
      <c r="BF1172" s="71">
        <v>264</v>
      </c>
      <c r="BG1172" s="71">
        <v>212</v>
      </c>
      <c r="BH1172" s="71">
        <v>5</v>
      </c>
      <c r="BI1172" s="71">
        <v>8</v>
      </c>
      <c r="BJ1172" s="12" t="str" cm="1">
        <f t="array" ref="BJ1172">_xll.Dce_Name_SectI(BF1172, BF1172, BG1172, BH1172, BI1172, "x", "-", $AX$11)</f>
        <v>264x212x5x8</v>
      </c>
      <c r="BK1172" s="77" cm="1">
        <f t="array" ref="BK1172">_xll.DCEPropSectI(BF1172, BH1172, BG1172, BI1172, BG1172, BI1172, "A")/100</f>
        <v>46.32</v>
      </c>
      <c r="BL1172" s="70" t="s">
        <v>220</v>
      </c>
      <c r="BM1172" s="70">
        <v>205.44778784976279</v>
      </c>
      <c r="BN1172" s="71">
        <v>0.9</v>
      </c>
      <c r="BO1172" s="77">
        <f t="shared" si="155"/>
        <v>8.2890000000000015</v>
      </c>
      <c r="BP1172" s="71">
        <v>0.9</v>
      </c>
      <c r="BQ1172" s="77">
        <f t="shared" si="156"/>
        <v>8.2890000000000015</v>
      </c>
      <c r="BR1172" s="77" cm="1">
        <f t="array" ref="BR1172">_xll.DCEPropSectI(BF1172, BH1172, BG1172, BI1172, BG1172, BI1172, "rx")/10</f>
        <v>11.562881075579337</v>
      </c>
      <c r="BS1172" s="77" cm="1">
        <f t="array" ref="BS1172">_xll.DCEPropSectI(BF1172, BH1172, BG1172, BI1172, BG1172, BI1172, "ry")/10</f>
        <v>5.237608536144422</v>
      </c>
      <c r="BT1172" s="5">
        <f t="shared" si="157"/>
        <v>71.686286020066973</v>
      </c>
      <c r="BU1172" s="5">
        <f t="shared" si="158"/>
        <v>158.25925024365813</v>
      </c>
      <c r="BV1172" s="5">
        <f t="shared" si="159"/>
        <v>158.25925024365813</v>
      </c>
      <c r="BW1172" s="71">
        <f t="shared" si="160"/>
        <v>400</v>
      </c>
      <c r="BX1172" s="78" cm="1">
        <f t="array" ref="BX1172">IF(BM1172&gt;0,1,_xll.DCETCVN5575FactorPhi7121(BV1172*SQRT($K$17/206000),"b"))</f>
        <v>1</v>
      </c>
      <c r="BY1172" s="64">
        <f t="shared" si="161"/>
        <v>0.21120958533777734</v>
      </c>
      <c r="BZ1172" s="3" t="str">
        <f t="shared" si="162"/>
        <v>OK</v>
      </c>
    </row>
    <row r="1173" spans="1:78">
      <c r="A1173" s="76"/>
      <c r="B1173" s="76"/>
      <c r="C1173" s="125"/>
      <c r="D1173" s="125"/>
      <c r="E1173" s="71"/>
      <c r="F1173" s="71"/>
      <c r="G1173" s="71"/>
      <c r="H1173" s="126"/>
      <c r="I1173" s="125"/>
      <c r="J1173" s="123"/>
      <c r="K1173" s="12"/>
      <c r="L1173" s="117"/>
      <c r="M1173" s="12"/>
      <c r="N1173" s="117"/>
      <c r="O1173" s="117"/>
      <c r="P1173" s="117"/>
      <c r="Q1173" s="118"/>
      <c r="R1173" s="118"/>
      <c r="S1173" s="118"/>
      <c r="T1173" s="12"/>
      <c r="U1173" s="118"/>
      <c r="V1173" s="118"/>
      <c r="W1173" s="12"/>
      <c r="X1173" s="119"/>
      <c r="Y1173" s="120"/>
      <c r="Z1173" s="12"/>
      <c r="BA1173" s="70" t="s">
        <v>205</v>
      </c>
      <c r="BB1173" s="71" t="s">
        <v>212</v>
      </c>
      <c r="BC1173" s="71" t="s">
        <v>207</v>
      </c>
      <c r="BD1173" s="71">
        <v>9.2100000000000009</v>
      </c>
      <c r="BE1173" s="71">
        <v>9.2100000000000009</v>
      </c>
      <c r="BF1173" s="71">
        <v>264</v>
      </c>
      <c r="BG1173" s="71">
        <v>212</v>
      </c>
      <c r="BH1173" s="71">
        <v>5</v>
      </c>
      <c r="BI1173" s="71">
        <v>8</v>
      </c>
      <c r="BJ1173" s="12" t="str" cm="1">
        <f t="array" ref="BJ1173">_xll.Dce_Name_SectI(BF1173, BF1173, BG1173, BH1173, BI1173, "x", "-", $AX$11)</f>
        <v>264x212x5x8</v>
      </c>
      <c r="BK1173" s="77" cm="1">
        <f t="array" ref="BK1173">_xll.DCEPropSectI(BF1173, BH1173, BG1173, BI1173, BG1173, BI1173, "A")/100</f>
        <v>46.32</v>
      </c>
      <c r="BL1173" s="70" t="s">
        <v>220</v>
      </c>
      <c r="BM1173" s="70">
        <v>204.49404788179976</v>
      </c>
      <c r="BN1173" s="71">
        <v>0.9</v>
      </c>
      <c r="BO1173" s="77">
        <f t="shared" si="155"/>
        <v>8.2890000000000015</v>
      </c>
      <c r="BP1173" s="71">
        <v>0.9</v>
      </c>
      <c r="BQ1173" s="77">
        <f t="shared" si="156"/>
        <v>8.2890000000000015</v>
      </c>
      <c r="BR1173" s="77" cm="1">
        <f t="array" ref="BR1173">_xll.DCEPropSectI(BF1173, BH1173, BG1173, BI1173, BG1173, BI1173, "rx")/10</f>
        <v>11.562881075579337</v>
      </c>
      <c r="BS1173" s="77" cm="1">
        <f t="array" ref="BS1173">_xll.DCEPropSectI(BF1173, BH1173, BG1173, BI1173, BG1173, BI1173, "ry")/10</f>
        <v>5.237608536144422</v>
      </c>
      <c r="BT1173" s="5">
        <f t="shared" si="157"/>
        <v>71.686286020066973</v>
      </c>
      <c r="BU1173" s="5">
        <f t="shared" si="158"/>
        <v>158.25925024365813</v>
      </c>
      <c r="BV1173" s="5">
        <f t="shared" si="159"/>
        <v>158.25925024365813</v>
      </c>
      <c r="BW1173" s="71">
        <f t="shared" si="160"/>
        <v>400</v>
      </c>
      <c r="BX1173" s="78" cm="1">
        <f t="array" ref="BX1173">IF(BM1173&gt;0,1,_xll.DCETCVN5575FactorPhi7121(BV1173*SQRT($K$17/206000),"b"))</f>
        <v>1</v>
      </c>
      <c r="BY1173" s="64">
        <f t="shared" si="161"/>
        <v>0.21022909766613182</v>
      </c>
      <c r="BZ1173" s="3" t="str">
        <f t="shared" si="162"/>
        <v>OK</v>
      </c>
    </row>
    <row r="1174" spans="1:78">
      <c r="A1174" s="76"/>
      <c r="B1174" s="76"/>
      <c r="C1174" s="125"/>
      <c r="D1174" s="125"/>
      <c r="E1174" s="71"/>
      <c r="F1174" s="71"/>
      <c r="G1174" s="71"/>
      <c r="H1174" s="126"/>
      <c r="I1174" s="125"/>
      <c r="J1174" s="123"/>
      <c r="K1174" s="12"/>
      <c r="L1174" s="117"/>
      <c r="M1174" s="12"/>
      <c r="N1174" s="117"/>
      <c r="O1174" s="117"/>
      <c r="P1174" s="117"/>
      <c r="Q1174" s="118"/>
      <c r="R1174" s="118"/>
      <c r="S1174" s="118"/>
      <c r="T1174" s="12"/>
      <c r="U1174" s="118"/>
      <c r="V1174" s="118"/>
      <c r="W1174" s="12"/>
      <c r="X1174" s="119"/>
      <c r="Y1174" s="120"/>
      <c r="Z1174" s="12"/>
      <c r="BA1174" s="70" t="s">
        <v>205</v>
      </c>
      <c r="BB1174" s="71" t="s">
        <v>212</v>
      </c>
      <c r="BC1174" s="71" t="s">
        <v>207</v>
      </c>
      <c r="BD1174" s="71">
        <v>0</v>
      </c>
      <c r="BE1174" s="71">
        <v>9.2100000000000009</v>
      </c>
      <c r="BF1174" s="71">
        <v>264</v>
      </c>
      <c r="BG1174" s="71">
        <v>212</v>
      </c>
      <c r="BH1174" s="71">
        <v>5</v>
      </c>
      <c r="BI1174" s="71">
        <v>8</v>
      </c>
      <c r="BJ1174" s="12" t="str" cm="1">
        <f t="array" ref="BJ1174">_xll.Dce_Name_SectI(BF1174, BF1174, BG1174, BH1174, BI1174, "x", "-", $AX$11)</f>
        <v>264x212x5x8</v>
      </c>
      <c r="BK1174" s="77" cm="1">
        <f t="array" ref="BK1174">_xll.DCEPropSectI(BF1174, BH1174, BG1174, BI1174, BG1174, BI1174, "A")/100</f>
        <v>46.32</v>
      </c>
      <c r="BL1174" s="70" t="s">
        <v>221</v>
      </c>
      <c r="BM1174" s="70">
        <v>205.90273940407386</v>
      </c>
      <c r="BN1174" s="71">
        <v>0.9</v>
      </c>
      <c r="BO1174" s="77">
        <f t="shared" si="155"/>
        <v>8.2890000000000015</v>
      </c>
      <c r="BP1174" s="71">
        <v>0.9</v>
      </c>
      <c r="BQ1174" s="77">
        <f t="shared" si="156"/>
        <v>8.2890000000000015</v>
      </c>
      <c r="BR1174" s="77" cm="1">
        <f t="array" ref="BR1174">_xll.DCEPropSectI(BF1174, BH1174, BG1174, BI1174, BG1174, BI1174, "rx")/10</f>
        <v>11.562881075579337</v>
      </c>
      <c r="BS1174" s="77" cm="1">
        <f t="array" ref="BS1174">_xll.DCEPropSectI(BF1174, BH1174, BG1174, BI1174, BG1174, BI1174, "ry")/10</f>
        <v>5.237608536144422</v>
      </c>
      <c r="BT1174" s="5">
        <f t="shared" si="157"/>
        <v>71.686286020066973</v>
      </c>
      <c r="BU1174" s="5">
        <f t="shared" si="158"/>
        <v>158.25925024365813</v>
      </c>
      <c r="BV1174" s="5">
        <f t="shared" si="159"/>
        <v>158.25925024365813</v>
      </c>
      <c r="BW1174" s="71">
        <f t="shared" si="160"/>
        <v>400</v>
      </c>
      <c r="BX1174" s="78" cm="1">
        <f t="array" ref="BX1174">IF(BM1174&gt;0,1,_xll.DCETCVN5575FactorPhi7121(BV1174*SQRT($K$17/206000),"b"))</f>
        <v>1</v>
      </c>
      <c r="BY1174" s="64">
        <f t="shared" si="161"/>
        <v>0.21167729604004631</v>
      </c>
      <c r="BZ1174" s="3" t="str">
        <f t="shared" si="162"/>
        <v>OK</v>
      </c>
    </row>
    <row r="1175" spans="1:78">
      <c r="A1175" s="76"/>
      <c r="B1175" s="76"/>
      <c r="C1175" s="125"/>
      <c r="D1175" s="125"/>
      <c r="E1175" s="71"/>
      <c r="F1175" s="71"/>
      <c r="G1175" s="71"/>
      <c r="H1175" s="126"/>
      <c r="I1175" s="125"/>
      <c r="J1175" s="123"/>
      <c r="K1175" s="12"/>
      <c r="L1175" s="117"/>
      <c r="M1175" s="12"/>
      <c r="N1175" s="117"/>
      <c r="O1175" s="117"/>
      <c r="P1175" s="117"/>
      <c r="Q1175" s="118"/>
      <c r="R1175" s="118"/>
      <c r="S1175" s="118"/>
      <c r="T1175" s="12"/>
      <c r="U1175" s="118"/>
      <c r="V1175" s="118"/>
      <c r="W1175" s="12"/>
      <c r="X1175" s="119"/>
      <c r="Y1175" s="120"/>
      <c r="Z1175" s="12"/>
      <c r="BA1175" s="70" t="s">
        <v>205</v>
      </c>
      <c r="BB1175" s="71" t="s">
        <v>212</v>
      </c>
      <c r="BC1175" s="71" t="s">
        <v>207</v>
      </c>
      <c r="BD1175" s="71">
        <v>4.6100000000000003</v>
      </c>
      <c r="BE1175" s="71">
        <v>9.2100000000000009</v>
      </c>
      <c r="BF1175" s="71">
        <v>264</v>
      </c>
      <c r="BG1175" s="71">
        <v>212</v>
      </c>
      <c r="BH1175" s="71">
        <v>5</v>
      </c>
      <c r="BI1175" s="71">
        <v>8</v>
      </c>
      <c r="BJ1175" s="12" t="str" cm="1">
        <f t="array" ref="BJ1175">_xll.Dce_Name_SectI(BF1175, BF1175, BG1175, BH1175, BI1175, "x", "-", $AX$11)</f>
        <v>264x212x5x8</v>
      </c>
      <c r="BK1175" s="77" cm="1">
        <f t="array" ref="BK1175">_xll.DCEPropSectI(BF1175, BH1175, BG1175, BI1175, BG1175, BI1175, "A")/100</f>
        <v>46.32</v>
      </c>
      <c r="BL1175" s="70" t="s">
        <v>221</v>
      </c>
      <c r="BM1175" s="70">
        <v>204.94899943611082</v>
      </c>
      <c r="BN1175" s="71">
        <v>0.9</v>
      </c>
      <c r="BO1175" s="77">
        <f t="shared" si="155"/>
        <v>8.2890000000000015</v>
      </c>
      <c r="BP1175" s="71">
        <v>0.9</v>
      </c>
      <c r="BQ1175" s="77">
        <f t="shared" si="156"/>
        <v>8.2890000000000015</v>
      </c>
      <c r="BR1175" s="77" cm="1">
        <f t="array" ref="BR1175">_xll.DCEPropSectI(BF1175, BH1175, BG1175, BI1175, BG1175, BI1175, "rx")/10</f>
        <v>11.562881075579337</v>
      </c>
      <c r="BS1175" s="77" cm="1">
        <f t="array" ref="BS1175">_xll.DCEPropSectI(BF1175, BH1175, BG1175, BI1175, BG1175, BI1175, "ry")/10</f>
        <v>5.237608536144422</v>
      </c>
      <c r="BT1175" s="5">
        <f t="shared" si="157"/>
        <v>71.686286020066973</v>
      </c>
      <c r="BU1175" s="5">
        <f t="shared" si="158"/>
        <v>158.25925024365813</v>
      </c>
      <c r="BV1175" s="5">
        <f t="shared" si="159"/>
        <v>158.25925024365813</v>
      </c>
      <c r="BW1175" s="71">
        <f t="shared" si="160"/>
        <v>400</v>
      </c>
      <c r="BX1175" s="78" cm="1">
        <f t="array" ref="BX1175">IF(BM1175&gt;0,1,_xll.DCETCVN5575FactorPhi7121(BV1175*SQRT($K$17/206000),"b"))</f>
        <v>1</v>
      </c>
      <c r="BY1175" s="64">
        <f t="shared" si="161"/>
        <v>0.21069680836840077</v>
      </c>
      <c r="BZ1175" s="3" t="str">
        <f t="shared" si="162"/>
        <v>OK</v>
      </c>
    </row>
    <row r="1176" spans="1:78">
      <c r="A1176" s="76"/>
      <c r="B1176" s="76"/>
      <c r="C1176" s="125"/>
      <c r="D1176" s="125"/>
      <c r="E1176" s="71"/>
      <c r="F1176" s="71"/>
      <c r="G1176" s="71"/>
      <c r="H1176" s="126"/>
      <c r="I1176" s="125"/>
      <c r="J1176" s="123"/>
      <c r="K1176" s="12"/>
      <c r="L1176" s="117"/>
      <c r="M1176" s="12"/>
      <c r="N1176" s="117"/>
      <c r="O1176" s="117"/>
      <c r="P1176" s="117"/>
      <c r="Q1176" s="118"/>
      <c r="R1176" s="118"/>
      <c r="S1176" s="118"/>
      <c r="T1176" s="12"/>
      <c r="U1176" s="118"/>
      <c r="V1176" s="118"/>
      <c r="W1176" s="12"/>
      <c r="X1176" s="119"/>
      <c r="Y1176" s="120"/>
      <c r="Z1176" s="12"/>
      <c r="BA1176" s="70" t="s">
        <v>205</v>
      </c>
      <c r="BB1176" s="71" t="s">
        <v>212</v>
      </c>
      <c r="BC1176" s="71" t="s">
        <v>207</v>
      </c>
      <c r="BD1176" s="71">
        <v>9.2100000000000009</v>
      </c>
      <c r="BE1176" s="71">
        <v>9.2100000000000009</v>
      </c>
      <c r="BF1176" s="71">
        <v>264</v>
      </c>
      <c r="BG1176" s="71">
        <v>212</v>
      </c>
      <c r="BH1176" s="71">
        <v>5</v>
      </c>
      <c r="BI1176" s="71">
        <v>8</v>
      </c>
      <c r="BJ1176" s="12" t="str" cm="1">
        <f t="array" ref="BJ1176">_xll.Dce_Name_SectI(BF1176, BF1176, BG1176, BH1176, BI1176, "x", "-", $AX$11)</f>
        <v>264x212x5x8</v>
      </c>
      <c r="BK1176" s="77" cm="1">
        <f t="array" ref="BK1176">_xll.DCEPropSectI(BF1176, BH1176, BG1176, BI1176, BG1176, BI1176, "A")/100</f>
        <v>46.32</v>
      </c>
      <c r="BL1176" s="70" t="s">
        <v>221</v>
      </c>
      <c r="BM1176" s="70">
        <v>203.99525946814779</v>
      </c>
      <c r="BN1176" s="71">
        <v>0.9</v>
      </c>
      <c r="BO1176" s="77">
        <f t="shared" si="155"/>
        <v>8.2890000000000015</v>
      </c>
      <c r="BP1176" s="71">
        <v>0.9</v>
      </c>
      <c r="BQ1176" s="77">
        <f t="shared" si="156"/>
        <v>8.2890000000000015</v>
      </c>
      <c r="BR1176" s="77" cm="1">
        <f t="array" ref="BR1176">_xll.DCEPropSectI(BF1176, BH1176, BG1176, BI1176, BG1176, BI1176, "rx")/10</f>
        <v>11.562881075579337</v>
      </c>
      <c r="BS1176" s="77" cm="1">
        <f t="array" ref="BS1176">_xll.DCEPropSectI(BF1176, BH1176, BG1176, BI1176, BG1176, BI1176, "ry")/10</f>
        <v>5.237608536144422</v>
      </c>
      <c r="BT1176" s="5">
        <f t="shared" si="157"/>
        <v>71.686286020066973</v>
      </c>
      <c r="BU1176" s="5">
        <f t="shared" si="158"/>
        <v>158.25925024365813</v>
      </c>
      <c r="BV1176" s="5">
        <f t="shared" si="159"/>
        <v>158.25925024365813</v>
      </c>
      <c r="BW1176" s="71">
        <f t="shared" si="160"/>
        <v>400</v>
      </c>
      <c r="BX1176" s="78" cm="1">
        <f t="array" ref="BX1176">IF(BM1176&gt;0,1,_xll.DCETCVN5575FactorPhi7121(BV1176*SQRT($K$17/206000),"b"))</f>
        <v>1</v>
      </c>
      <c r="BY1176" s="64">
        <f t="shared" si="161"/>
        <v>0.20971632069675528</v>
      </c>
      <c r="BZ1176" s="3" t="str">
        <f t="shared" si="162"/>
        <v>OK</v>
      </c>
    </row>
    <row r="1177" spans="1:78">
      <c r="A1177" s="76"/>
      <c r="B1177" s="76"/>
      <c r="C1177" s="125"/>
      <c r="D1177" s="125"/>
      <c r="E1177" s="71"/>
      <c r="F1177" s="71"/>
      <c r="G1177" s="71"/>
      <c r="H1177" s="126"/>
      <c r="I1177" s="125"/>
      <c r="J1177" s="123"/>
      <c r="K1177" s="12"/>
      <c r="L1177" s="117"/>
      <c r="M1177" s="12"/>
      <c r="N1177" s="117"/>
      <c r="O1177" s="117"/>
      <c r="P1177" s="117"/>
      <c r="Q1177" s="118"/>
      <c r="R1177" s="118"/>
      <c r="S1177" s="118"/>
      <c r="T1177" s="12"/>
      <c r="U1177" s="118"/>
      <c r="V1177" s="118"/>
      <c r="W1177" s="12"/>
      <c r="X1177" s="119"/>
      <c r="Y1177" s="120"/>
      <c r="Z1177" s="12"/>
      <c r="BA1177" s="70" t="s">
        <v>205</v>
      </c>
      <c r="BB1177" s="71" t="s">
        <v>212</v>
      </c>
      <c r="BC1177" s="71" t="s">
        <v>207</v>
      </c>
      <c r="BD1177" s="71">
        <v>0</v>
      </c>
      <c r="BE1177" s="71">
        <v>9.2100000000000009</v>
      </c>
      <c r="BF1177" s="71">
        <v>264</v>
      </c>
      <c r="BG1177" s="71">
        <v>212</v>
      </c>
      <c r="BH1177" s="71">
        <v>5</v>
      </c>
      <c r="BI1177" s="71">
        <v>8</v>
      </c>
      <c r="BJ1177" s="12" t="str" cm="1">
        <f t="array" ref="BJ1177">_xll.Dce_Name_SectI(BF1177, BF1177, BG1177, BH1177, BI1177, "x", "-", $AX$11)</f>
        <v>264x212x5x8</v>
      </c>
      <c r="BK1177" s="77" cm="1">
        <f t="array" ref="BK1177">_xll.DCEPropSectI(BF1177, BH1177, BG1177, BI1177, BG1177, BI1177, "A")/100</f>
        <v>46.32</v>
      </c>
      <c r="BL1177" s="70" t="s">
        <v>222</v>
      </c>
      <c r="BM1177" s="70">
        <v>203.54447519349648</v>
      </c>
      <c r="BN1177" s="71">
        <v>0.9</v>
      </c>
      <c r="BO1177" s="77">
        <f t="shared" si="155"/>
        <v>8.2890000000000015</v>
      </c>
      <c r="BP1177" s="71">
        <v>0.9</v>
      </c>
      <c r="BQ1177" s="77">
        <f t="shared" si="156"/>
        <v>8.2890000000000015</v>
      </c>
      <c r="BR1177" s="77" cm="1">
        <f t="array" ref="BR1177">_xll.DCEPropSectI(BF1177, BH1177, BG1177, BI1177, BG1177, BI1177, "rx")/10</f>
        <v>11.562881075579337</v>
      </c>
      <c r="BS1177" s="77" cm="1">
        <f t="array" ref="BS1177">_xll.DCEPropSectI(BF1177, BH1177, BG1177, BI1177, BG1177, BI1177, "ry")/10</f>
        <v>5.237608536144422</v>
      </c>
      <c r="BT1177" s="5">
        <f t="shared" si="157"/>
        <v>71.686286020066973</v>
      </c>
      <c r="BU1177" s="5">
        <f t="shared" si="158"/>
        <v>158.25925024365813</v>
      </c>
      <c r="BV1177" s="5">
        <f t="shared" si="159"/>
        <v>158.25925024365813</v>
      </c>
      <c r="BW1177" s="71">
        <f t="shared" si="160"/>
        <v>400</v>
      </c>
      <c r="BX1177" s="78" cm="1">
        <f t="array" ref="BX1177">IF(BM1177&gt;0,1,_xll.DCETCVN5575FactorPhi7121(BV1177*SQRT($K$17/206000),"b"))</f>
        <v>1</v>
      </c>
      <c r="BY1177" s="64">
        <f t="shared" si="161"/>
        <v>0.20925289414579371</v>
      </c>
      <c r="BZ1177" s="3" t="str">
        <f t="shared" si="162"/>
        <v>OK</v>
      </c>
    </row>
    <row r="1178" spans="1:78">
      <c r="A1178" s="76"/>
      <c r="B1178" s="76"/>
      <c r="C1178" s="125"/>
      <c r="D1178" s="125"/>
      <c r="E1178" s="71"/>
      <c r="F1178" s="71"/>
      <c r="G1178" s="71"/>
      <c r="H1178" s="126"/>
      <c r="I1178" s="125"/>
      <c r="J1178" s="123"/>
      <c r="K1178" s="12"/>
      <c r="L1178" s="117"/>
      <c r="M1178" s="12"/>
      <c r="N1178" s="117"/>
      <c r="O1178" s="117"/>
      <c r="P1178" s="117"/>
      <c r="Q1178" s="118"/>
      <c r="R1178" s="118"/>
      <c r="S1178" s="118"/>
      <c r="T1178" s="12"/>
      <c r="U1178" s="118"/>
      <c r="V1178" s="118"/>
      <c r="W1178" s="12"/>
      <c r="X1178" s="119"/>
      <c r="Y1178" s="120"/>
      <c r="Z1178" s="12"/>
      <c r="BA1178" s="70" t="s">
        <v>205</v>
      </c>
      <c r="BB1178" s="71" t="s">
        <v>212</v>
      </c>
      <c r="BC1178" s="71" t="s">
        <v>207</v>
      </c>
      <c r="BD1178" s="71">
        <v>4.6100000000000003</v>
      </c>
      <c r="BE1178" s="71">
        <v>9.2100000000000009</v>
      </c>
      <c r="BF1178" s="71">
        <v>264</v>
      </c>
      <c r="BG1178" s="71">
        <v>212</v>
      </c>
      <c r="BH1178" s="71">
        <v>5</v>
      </c>
      <c r="BI1178" s="71">
        <v>8</v>
      </c>
      <c r="BJ1178" s="12" t="str" cm="1">
        <f t="array" ref="BJ1178">_xll.Dce_Name_SectI(BF1178, BF1178, BG1178, BH1178, BI1178, "x", "-", $AX$11)</f>
        <v>264x212x5x8</v>
      </c>
      <c r="BK1178" s="77" cm="1">
        <f t="array" ref="BK1178">_xll.DCEPropSectI(BF1178, BH1178, BG1178, BI1178, BG1178, BI1178, "A")/100</f>
        <v>46.32</v>
      </c>
      <c r="BL1178" s="70" t="s">
        <v>222</v>
      </c>
      <c r="BM1178" s="70">
        <v>202.59073522553345</v>
      </c>
      <c r="BN1178" s="71">
        <v>0.9</v>
      </c>
      <c r="BO1178" s="77">
        <f t="shared" si="155"/>
        <v>8.2890000000000015</v>
      </c>
      <c r="BP1178" s="71">
        <v>0.9</v>
      </c>
      <c r="BQ1178" s="77">
        <f t="shared" si="156"/>
        <v>8.2890000000000015</v>
      </c>
      <c r="BR1178" s="77" cm="1">
        <f t="array" ref="BR1178">_xll.DCEPropSectI(BF1178, BH1178, BG1178, BI1178, BG1178, BI1178, "rx")/10</f>
        <v>11.562881075579337</v>
      </c>
      <c r="BS1178" s="77" cm="1">
        <f t="array" ref="BS1178">_xll.DCEPropSectI(BF1178, BH1178, BG1178, BI1178, BG1178, BI1178, "ry")/10</f>
        <v>5.237608536144422</v>
      </c>
      <c r="BT1178" s="5">
        <f t="shared" si="157"/>
        <v>71.686286020066973</v>
      </c>
      <c r="BU1178" s="5">
        <f t="shared" si="158"/>
        <v>158.25925024365813</v>
      </c>
      <c r="BV1178" s="5">
        <f t="shared" si="159"/>
        <v>158.25925024365813</v>
      </c>
      <c r="BW1178" s="71">
        <f t="shared" si="160"/>
        <v>400</v>
      </c>
      <c r="BX1178" s="78" cm="1">
        <f t="array" ref="BX1178">IF(BM1178&gt;0,1,_xll.DCETCVN5575FactorPhi7121(BV1178*SQRT($K$17/206000),"b"))</f>
        <v>1</v>
      </c>
      <c r="BY1178" s="64">
        <f t="shared" si="161"/>
        <v>0.20827240647414819</v>
      </c>
      <c r="BZ1178" s="3" t="str">
        <f t="shared" si="162"/>
        <v>OK</v>
      </c>
    </row>
    <row r="1179" spans="1:78">
      <c r="A1179" s="76"/>
      <c r="B1179" s="76"/>
      <c r="C1179" s="125"/>
      <c r="D1179" s="125"/>
      <c r="E1179" s="71"/>
      <c r="F1179" s="71"/>
      <c r="G1179" s="71"/>
      <c r="H1179" s="126"/>
      <c r="I1179" s="125"/>
      <c r="J1179" s="123"/>
      <c r="K1179" s="12"/>
      <c r="L1179" s="117"/>
      <c r="M1179" s="12"/>
      <c r="N1179" s="117"/>
      <c r="O1179" s="117"/>
      <c r="P1179" s="117"/>
      <c r="Q1179" s="118"/>
      <c r="R1179" s="118"/>
      <c r="S1179" s="118"/>
      <c r="T1179" s="12"/>
      <c r="U1179" s="118"/>
      <c r="V1179" s="118"/>
      <c r="W1179" s="12"/>
      <c r="X1179" s="119"/>
      <c r="Y1179" s="120"/>
      <c r="Z1179" s="12"/>
      <c r="BA1179" s="70" t="s">
        <v>205</v>
      </c>
      <c r="BB1179" s="71" t="s">
        <v>212</v>
      </c>
      <c r="BC1179" s="71" t="s">
        <v>207</v>
      </c>
      <c r="BD1179" s="71">
        <v>9.2100000000000009</v>
      </c>
      <c r="BE1179" s="71">
        <v>9.2100000000000009</v>
      </c>
      <c r="BF1179" s="71">
        <v>264</v>
      </c>
      <c r="BG1179" s="71">
        <v>212</v>
      </c>
      <c r="BH1179" s="71">
        <v>5</v>
      </c>
      <c r="BI1179" s="71">
        <v>8</v>
      </c>
      <c r="BJ1179" s="12" t="str" cm="1">
        <f t="array" ref="BJ1179">_xll.Dce_Name_SectI(BF1179, BF1179, BG1179, BH1179, BI1179, "x", "-", $AX$11)</f>
        <v>264x212x5x8</v>
      </c>
      <c r="BK1179" s="77" cm="1">
        <f t="array" ref="BK1179">_xll.DCEPropSectI(BF1179, BH1179, BG1179, BI1179, BG1179, BI1179, "A")/100</f>
        <v>46.32</v>
      </c>
      <c r="BL1179" s="70" t="s">
        <v>222</v>
      </c>
      <c r="BM1179" s="70">
        <v>201.63699525757042</v>
      </c>
      <c r="BN1179" s="71">
        <v>0.9</v>
      </c>
      <c r="BO1179" s="77">
        <f t="shared" si="155"/>
        <v>8.2890000000000015</v>
      </c>
      <c r="BP1179" s="71">
        <v>0.9</v>
      </c>
      <c r="BQ1179" s="77">
        <f t="shared" si="156"/>
        <v>8.2890000000000015</v>
      </c>
      <c r="BR1179" s="77" cm="1">
        <f t="array" ref="BR1179">_xll.DCEPropSectI(BF1179, BH1179, BG1179, BI1179, BG1179, BI1179, "rx")/10</f>
        <v>11.562881075579337</v>
      </c>
      <c r="BS1179" s="77" cm="1">
        <f t="array" ref="BS1179">_xll.DCEPropSectI(BF1179, BH1179, BG1179, BI1179, BG1179, BI1179, "ry")/10</f>
        <v>5.237608536144422</v>
      </c>
      <c r="BT1179" s="5">
        <f t="shared" si="157"/>
        <v>71.686286020066973</v>
      </c>
      <c r="BU1179" s="5">
        <f t="shared" si="158"/>
        <v>158.25925024365813</v>
      </c>
      <c r="BV1179" s="5">
        <f t="shared" si="159"/>
        <v>158.25925024365813</v>
      </c>
      <c r="BW1179" s="71">
        <f t="shared" si="160"/>
        <v>400</v>
      </c>
      <c r="BX1179" s="78" cm="1">
        <f t="array" ref="BX1179">IF(BM1179&gt;0,1,_xll.DCETCVN5575FactorPhi7121(BV1179*SQRT($K$17/206000),"b"))</f>
        <v>1</v>
      </c>
      <c r="BY1179" s="64">
        <f t="shared" si="161"/>
        <v>0.20729191880250267</v>
      </c>
      <c r="BZ1179" s="3" t="str">
        <f t="shared" si="162"/>
        <v>OK</v>
      </c>
    </row>
    <row r="1180" spans="1:78">
      <c r="A1180" s="76"/>
      <c r="B1180" s="76"/>
      <c r="C1180" s="125"/>
      <c r="D1180" s="125"/>
      <c r="E1180" s="71"/>
      <c r="F1180" s="71"/>
      <c r="G1180" s="71"/>
      <c r="H1180" s="126"/>
      <c r="I1180" s="125"/>
      <c r="J1180" s="123"/>
      <c r="K1180" s="12"/>
      <c r="L1180" s="117"/>
      <c r="M1180" s="12"/>
      <c r="N1180" s="117"/>
      <c r="O1180" s="117"/>
      <c r="P1180" s="117"/>
      <c r="Q1180" s="118"/>
      <c r="R1180" s="118"/>
      <c r="S1180" s="118"/>
      <c r="T1180" s="12"/>
      <c r="U1180" s="118"/>
      <c r="V1180" s="118"/>
      <c r="W1180" s="12"/>
      <c r="X1180" s="119"/>
      <c r="Y1180" s="120"/>
      <c r="Z1180" s="12"/>
      <c r="BA1180" s="70" t="s">
        <v>205</v>
      </c>
      <c r="BB1180" s="71" t="s">
        <v>212</v>
      </c>
      <c r="BC1180" s="71" t="s">
        <v>207</v>
      </c>
      <c r="BD1180" s="71">
        <v>0</v>
      </c>
      <c r="BE1180" s="71">
        <v>9.2100000000000009</v>
      </c>
      <c r="BF1180" s="71">
        <v>264</v>
      </c>
      <c r="BG1180" s="71">
        <v>212</v>
      </c>
      <c r="BH1180" s="71">
        <v>5</v>
      </c>
      <c r="BI1180" s="71">
        <v>8</v>
      </c>
      <c r="BJ1180" s="12" t="str" cm="1">
        <f t="array" ref="BJ1180">_xll.Dce_Name_SectI(BF1180, BF1180, BG1180, BH1180, BI1180, "x", "-", $AX$11)</f>
        <v>264x212x5x8</v>
      </c>
      <c r="BK1180" s="77" cm="1">
        <f t="array" ref="BK1180">_xll.DCEPropSectI(BF1180, BH1180, BG1180, BI1180, BG1180, BI1180, "A")/100</f>
        <v>46.32</v>
      </c>
      <c r="BL1180" s="70" t="s">
        <v>223</v>
      </c>
      <c r="BM1180" s="70">
        <v>144.29614413303463</v>
      </c>
      <c r="BN1180" s="71">
        <v>0.9</v>
      </c>
      <c r="BO1180" s="77">
        <f t="shared" si="155"/>
        <v>8.2890000000000015</v>
      </c>
      <c r="BP1180" s="71">
        <v>0.9</v>
      </c>
      <c r="BQ1180" s="77">
        <f t="shared" si="156"/>
        <v>8.2890000000000015</v>
      </c>
      <c r="BR1180" s="77" cm="1">
        <f t="array" ref="BR1180">_xll.DCEPropSectI(BF1180, BH1180, BG1180, BI1180, BG1180, BI1180, "rx")/10</f>
        <v>11.562881075579337</v>
      </c>
      <c r="BS1180" s="77" cm="1">
        <f t="array" ref="BS1180">_xll.DCEPropSectI(BF1180, BH1180, BG1180, BI1180, BG1180, BI1180, "ry")/10</f>
        <v>5.237608536144422</v>
      </c>
      <c r="BT1180" s="5">
        <f t="shared" si="157"/>
        <v>71.686286020066973</v>
      </c>
      <c r="BU1180" s="5">
        <f t="shared" si="158"/>
        <v>158.25925024365813</v>
      </c>
      <c r="BV1180" s="5">
        <f t="shared" si="159"/>
        <v>158.25925024365813</v>
      </c>
      <c r="BW1180" s="71">
        <f t="shared" si="160"/>
        <v>400</v>
      </c>
      <c r="BX1180" s="78" cm="1">
        <f t="array" ref="BX1180">IF(BM1180&gt;0,1,_xll.DCETCVN5575FactorPhi7121(BV1180*SQRT($K$17/206000),"b"))</f>
        <v>1</v>
      </c>
      <c r="BY1180" s="64">
        <f t="shared" si="161"/>
        <v>0.14834293952322827</v>
      </c>
      <c r="BZ1180" s="3" t="str">
        <f t="shared" si="162"/>
        <v>OK</v>
      </c>
    </row>
    <row r="1181" spans="1:78">
      <c r="A1181" s="76"/>
      <c r="B1181" s="76"/>
      <c r="C1181" s="125"/>
      <c r="D1181" s="125"/>
      <c r="E1181" s="71"/>
      <c r="F1181" s="71"/>
      <c r="G1181" s="71"/>
      <c r="H1181" s="126"/>
      <c r="I1181" s="125"/>
      <c r="J1181" s="123"/>
      <c r="K1181" s="12"/>
      <c r="L1181" s="117"/>
      <c r="M1181" s="12"/>
      <c r="N1181" s="117"/>
      <c r="O1181" s="117"/>
      <c r="P1181" s="117"/>
      <c r="Q1181" s="118"/>
      <c r="R1181" s="118"/>
      <c r="S1181" s="118"/>
      <c r="T1181" s="12"/>
      <c r="U1181" s="118"/>
      <c r="V1181" s="118"/>
      <c r="W1181" s="12"/>
      <c r="X1181" s="119"/>
      <c r="Y1181" s="120"/>
      <c r="Z1181" s="12"/>
      <c r="BA1181" s="70" t="s">
        <v>205</v>
      </c>
      <c r="BB1181" s="71" t="s">
        <v>212</v>
      </c>
      <c r="BC1181" s="71" t="s">
        <v>207</v>
      </c>
      <c r="BD1181" s="71">
        <v>4.6100000000000003</v>
      </c>
      <c r="BE1181" s="71">
        <v>9.2100000000000009</v>
      </c>
      <c r="BF1181" s="71">
        <v>264</v>
      </c>
      <c r="BG1181" s="71">
        <v>212</v>
      </c>
      <c r="BH1181" s="71">
        <v>5</v>
      </c>
      <c r="BI1181" s="71">
        <v>8</v>
      </c>
      <c r="BJ1181" s="12" t="str" cm="1">
        <f t="array" ref="BJ1181">_xll.Dce_Name_SectI(BF1181, BF1181, BG1181, BH1181, BI1181, "x", "-", $AX$11)</f>
        <v>264x212x5x8</v>
      </c>
      <c r="BK1181" s="77" cm="1">
        <f t="array" ref="BK1181">_xll.DCEPropSectI(BF1181, BH1181, BG1181, BI1181, BG1181, BI1181, "A")/100</f>
        <v>46.32</v>
      </c>
      <c r="BL1181" s="70" t="s">
        <v>223</v>
      </c>
      <c r="BM1181" s="70">
        <v>143.3424041650716</v>
      </c>
      <c r="BN1181" s="71">
        <v>0.9</v>
      </c>
      <c r="BO1181" s="77">
        <f t="shared" si="155"/>
        <v>8.2890000000000015</v>
      </c>
      <c r="BP1181" s="71">
        <v>0.9</v>
      </c>
      <c r="BQ1181" s="77">
        <f t="shared" si="156"/>
        <v>8.2890000000000015</v>
      </c>
      <c r="BR1181" s="77" cm="1">
        <f t="array" ref="BR1181">_xll.DCEPropSectI(BF1181, BH1181, BG1181, BI1181, BG1181, BI1181, "rx")/10</f>
        <v>11.562881075579337</v>
      </c>
      <c r="BS1181" s="77" cm="1">
        <f t="array" ref="BS1181">_xll.DCEPropSectI(BF1181, BH1181, BG1181, BI1181, BG1181, BI1181, "ry")/10</f>
        <v>5.237608536144422</v>
      </c>
      <c r="BT1181" s="5">
        <f t="shared" si="157"/>
        <v>71.686286020066973</v>
      </c>
      <c r="BU1181" s="5">
        <f t="shared" si="158"/>
        <v>158.25925024365813</v>
      </c>
      <c r="BV1181" s="5">
        <f t="shared" si="159"/>
        <v>158.25925024365813</v>
      </c>
      <c r="BW1181" s="71">
        <f t="shared" si="160"/>
        <v>400</v>
      </c>
      <c r="BX1181" s="78" cm="1">
        <f t="array" ref="BX1181">IF(BM1181&gt;0,1,_xll.DCETCVN5575FactorPhi7121(BV1181*SQRT($K$17/206000),"b"))</f>
        <v>1</v>
      </c>
      <c r="BY1181" s="64">
        <f t="shared" si="161"/>
        <v>0.14736245185158275</v>
      </c>
      <c r="BZ1181" s="3" t="str">
        <f t="shared" si="162"/>
        <v>OK</v>
      </c>
    </row>
    <row r="1182" spans="1:78">
      <c r="A1182" s="76"/>
      <c r="B1182" s="76"/>
      <c r="C1182" s="125"/>
      <c r="D1182" s="125"/>
      <c r="E1182" s="71"/>
      <c r="F1182" s="71"/>
      <c r="G1182" s="71"/>
      <c r="H1182" s="126"/>
      <c r="I1182" s="125"/>
      <c r="J1182" s="123"/>
      <c r="K1182" s="12"/>
      <c r="L1182" s="117"/>
      <c r="M1182" s="12"/>
      <c r="N1182" s="117"/>
      <c r="O1182" s="117"/>
      <c r="P1182" s="117"/>
      <c r="Q1182" s="118"/>
      <c r="R1182" s="118"/>
      <c r="S1182" s="118"/>
      <c r="T1182" s="12"/>
      <c r="U1182" s="118"/>
      <c r="V1182" s="118"/>
      <c r="W1182" s="12"/>
      <c r="X1182" s="119"/>
      <c r="Y1182" s="120"/>
      <c r="Z1182" s="12"/>
      <c r="BA1182" s="70" t="s">
        <v>205</v>
      </c>
      <c r="BB1182" s="71" t="s">
        <v>212</v>
      </c>
      <c r="BC1182" s="71" t="s">
        <v>207</v>
      </c>
      <c r="BD1182" s="71">
        <v>9.2100000000000009</v>
      </c>
      <c r="BE1182" s="71">
        <v>9.2100000000000009</v>
      </c>
      <c r="BF1182" s="71">
        <v>264</v>
      </c>
      <c r="BG1182" s="71">
        <v>212</v>
      </c>
      <c r="BH1182" s="71">
        <v>5</v>
      </c>
      <c r="BI1182" s="71">
        <v>8</v>
      </c>
      <c r="BJ1182" s="12" t="str" cm="1">
        <f t="array" ref="BJ1182">_xll.Dce_Name_SectI(BF1182, BF1182, BG1182, BH1182, BI1182, "x", "-", $AX$11)</f>
        <v>264x212x5x8</v>
      </c>
      <c r="BK1182" s="77" cm="1">
        <f t="array" ref="BK1182">_xll.DCEPropSectI(BF1182, BH1182, BG1182, BI1182, BG1182, BI1182, "A")/100</f>
        <v>46.32</v>
      </c>
      <c r="BL1182" s="70" t="s">
        <v>223</v>
      </c>
      <c r="BM1182" s="70">
        <v>142.38866419710857</v>
      </c>
      <c r="BN1182" s="71">
        <v>0.9</v>
      </c>
      <c r="BO1182" s="77">
        <f t="shared" si="155"/>
        <v>8.2890000000000015</v>
      </c>
      <c r="BP1182" s="71">
        <v>0.9</v>
      </c>
      <c r="BQ1182" s="77">
        <f t="shared" si="156"/>
        <v>8.2890000000000015</v>
      </c>
      <c r="BR1182" s="77" cm="1">
        <f t="array" ref="BR1182">_xll.DCEPropSectI(BF1182, BH1182, BG1182, BI1182, BG1182, BI1182, "rx")/10</f>
        <v>11.562881075579337</v>
      </c>
      <c r="BS1182" s="77" cm="1">
        <f t="array" ref="BS1182">_xll.DCEPropSectI(BF1182, BH1182, BG1182, BI1182, BG1182, BI1182, "ry")/10</f>
        <v>5.237608536144422</v>
      </c>
      <c r="BT1182" s="5">
        <f t="shared" si="157"/>
        <v>71.686286020066973</v>
      </c>
      <c r="BU1182" s="5">
        <f t="shared" si="158"/>
        <v>158.25925024365813</v>
      </c>
      <c r="BV1182" s="5">
        <f t="shared" si="159"/>
        <v>158.25925024365813</v>
      </c>
      <c r="BW1182" s="71">
        <f t="shared" si="160"/>
        <v>400</v>
      </c>
      <c r="BX1182" s="78" cm="1">
        <f t="array" ref="BX1182">IF(BM1182&gt;0,1,_xll.DCETCVN5575FactorPhi7121(BV1182*SQRT($K$17/206000),"b"))</f>
        <v>1</v>
      </c>
      <c r="BY1182" s="64">
        <f t="shared" si="161"/>
        <v>0.14638196417993724</v>
      </c>
      <c r="BZ1182" s="3" t="str">
        <f t="shared" si="162"/>
        <v>OK</v>
      </c>
    </row>
    <row r="1183" spans="1:78">
      <c r="A1183" s="76"/>
      <c r="B1183" s="76"/>
      <c r="C1183" s="125"/>
      <c r="D1183" s="125"/>
      <c r="E1183" s="71"/>
      <c r="F1183" s="71"/>
      <c r="G1183" s="71"/>
      <c r="H1183" s="126"/>
      <c r="I1183" s="125"/>
      <c r="J1183" s="123"/>
      <c r="K1183" s="12"/>
      <c r="L1183" s="117"/>
      <c r="M1183" s="12"/>
      <c r="N1183" s="117"/>
      <c r="O1183" s="117"/>
      <c r="P1183" s="117"/>
      <c r="Q1183" s="118"/>
      <c r="R1183" s="118"/>
      <c r="S1183" s="118"/>
      <c r="T1183" s="12"/>
      <c r="U1183" s="118"/>
      <c r="V1183" s="118"/>
      <c r="W1183" s="12"/>
      <c r="X1183" s="119"/>
      <c r="Y1183" s="120"/>
      <c r="Z1183" s="12"/>
      <c r="BA1183" s="70" t="s">
        <v>205</v>
      </c>
      <c r="BB1183" s="71" t="s">
        <v>212</v>
      </c>
      <c r="BC1183" s="71" t="s">
        <v>207</v>
      </c>
      <c r="BD1183" s="71">
        <v>0</v>
      </c>
      <c r="BE1183" s="71">
        <v>9.2100000000000009</v>
      </c>
      <c r="BF1183" s="71">
        <v>264</v>
      </c>
      <c r="BG1183" s="71">
        <v>212</v>
      </c>
      <c r="BH1183" s="71">
        <v>5</v>
      </c>
      <c r="BI1183" s="71">
        <v>8</v>
      </c>
      <c r="BJ1183" s="12" t="str" cm="1">
        <f t="array" ref="BJ1183">_xll.Dce_Name_SectI(BF1183, BF1183, BG1183, BH1183, BI1183, "x", "-", $AX$11)</f>
        <v>264x212x5x8</v>
      </c>
      <c r="BK1183" s="77" cm="1">
        <f t="array" ref="BK1183">_xll.DCEPropSectI(BF1183, BH1183, BG1183, BI1183, BG1183, BI1183, "A")/100</f>
        <v>46.32</v>
      </c>
      <c r="BL1183" s="70" t="s">
        <v>224</v>
      </c>
      <c r="BM1183" s="70">
        <v>-44.244112762188792</v>
      </c>
      <c r="BN1183" s="71">
        <v>0.9</v>
      </c>
      <c r="BO1183" s="77">
        <f t="shared" si="155"/>
        <v>8.2890000000000015</v>
      </c>
      <c r="BP1183" s="71">
        <v>0.9</v>
      </c>
      <c r="BQ1183" s="77">
        <f t="shared" si="156"/>
        <v>8.2890000000000015</v>
      </c>
      <c r="BR1183" s="77" cm="1">
        <f t="array" ref="BR1183">_xll.DCEPropSectI(BF1183, BH1183, BG1183, BI1183, BG1183, BI1183, "rx")/10</f>
        <v>11.562881075579337</v>
      </c>
      <c r="BS1183" s="77" cm="1">
        <f t="array" ref="BS1183">_xll.DCEPropSectI(BF1183, BH1183, BG1183, BI1183, BG1183, BI1183, "ry")/10</f>
        <v>5.237608536144422</v>
      </c>
      <c r="BT1183" s="5">
        <f t="shared" si="157"/>
        <v>71.686286020066973</v>
      </c>
      <c r="BU1183" s="5">
        <f t="shared" si="158"/>
        <v>158.25925024365813</v>
      </c>
      <c r="BV1183" s="5">
        <f t="shared" si="159"/>
        <v>158.25925024365813</v>
      </c>
      <c r="BW1183" s="71">
        <f t="shared" si="160"/>
        <v>200</v>
      </c>
      <c r="BX1183" s="78" cm="1">
        <f t="array" ref="BX1183">IF(BM1183&gt;0,1,_xll.DCETCVN5575FactorPhi7121(BV1183*SQRT($K$17/206000),"b"))</f>
        <v>0.26789574732900351</v>
      </c>
      <c r="BY1183" s="64">
        <f t="shared" si="161"/>
        <v>0.16978597993019379</v>
      </c>
      <c r="BZ1183" s="3" t="str">
        <f t="shared" si="162"/>
        <v>OK</v>
      </c>
    </row>
    <row r="1184" spans="1:78">
      <c r="A1184" s="76"/>
      <c r="B1184" s="76"/>
      <c r="C1184" s="125"/>
      <c r="D1184" s="125"/>
      <c r="E1184" s="71"/>
      <c r="F1184" s="71"/>
      <c r="G1184" s="71"/>
      <c r="H1184" s="126"/>
      <c r="I1184" s="125"/>
      <c r="J1184" s="123"/>
      <c r="K1184" s="12"/>
      <c r="L1184" s="117"/>
      <c r="M1184" s="12"/>
      <c r="N1184" s="117"/>
      <c r="O1184" s="117"/>
      <c r="P1184" s="117"/>
      <c r="Q1184" s="118"/>
      <c r="R1184" s="118"/>
      <c r="S1184" s="118"/>
      <c r="T1184" s="12"/>
      <c r="U1184" s="118"/>
      <c r="V1184" s="118"/>
      <c r="W1184" s="12"/>
      <c r="X1184" s="119"/>
      <c r="Y1184" s="120"/>
      <c r="Z1184" s="12"/>
      <c r="BA1184" s="70" t="s">
        <v>205</v>
      </c>
      <c r="BB1184" s="71" t="s">
        <v>212</v>
      </c>
      <c r="BC1184" s="71" t="s">
        <v>207</v>
      </c>
      <c r="BD1184" s="71">
        <v>4.6100000000000003</v>
      </c>
      <c r="BE1184" s="71">
        <v>9.2100000000000009</v>
      </c>
      <c r="BF1184" s="71">
        <v>264</v>
      </c>
      <c r="BG1184" s="71">
        <v>212</v>
      </c>
      <c r="BH1184" s="71">
        <v>5</v>
      </c>
      <c r="BI1184" s="71">
        <v>8</v>
      </c>
      <c r="BJ1184" s="12" t="str" cm="1">
        <f t="array" ref="BJ1184">_xll.Dce_Name_SectI(BF1184, BF1184, BG1184, BH1184, BI1184, "x", "-", $AX$11)</f>
        <v>264x212x5x8</v>
      </c>
      <c r="BK1184" s="77" cm="1">
        <f t="array" ref="BK1184">_xll.DCEPropSectI(BF1184, BH1184, BG1184, BI1184, BG1184, BI1184, "A")/100</f>
        <v>46.32</v>
      </c>
      <c r="BL1184" s="70" t="s">
        <v>224</v>
      </c>
      <c r="BM1184" s="70">
        <v>-45.197852730151823</v>
      </c>
      <c r="BN1184" s="71">
        <v>0.9</v>
      </c>
      <c r="BO1184" s="77">
        <f t="shared" si="155"/>
        <v>8.2890000000000015</v>
      </c>
      <c r="BP1184" s="71">
        <v>0.9</v>
      </c>
      <c r="BQ1184" s="77">
        <f t="shared" si="156"/>
        <v>8.2890000000000015</v>
      </c>
      <c r="BR1184" s="77" cm="1">
        <f t="array" ref="BR1184">_xll.DCEPropSectI(BF1184, BH1184, BG1184, BI1184, BG1184, BI1184, "rx")/10</f>
        <v>11.562881075579337</v>
      </c>
      <c r="BS1184" s="77" cm="1">
        <f t="array" ref="BS1184">_xll.DCEPropSectI(BF1184, BH1184, BG1184, BI1184, BG1184, BI1184, "ry")/10</f>
        <v>5.237608536144422</v>
      </c>
      <c r="BT1184" s="5">
        <f t="shared" si="157"/>
        <v>71.686286020066973</v>
      </c>
      <c r="BU1184" s="5">
        <f t="shared" si="158"/>
        <v>158.25925024365813</v>
      </c>
      <c r="BV1184" s="5">
        <f t="shared" si="159"/>
        <v>158.25925024365813</v>
      </c>
      <c r="BW1184" s="71">
        <f t="shared" si="160"/>
        <v>200</v>
      </c>
      <c r="BX1184" s="78" cm="1">
        <f t="array" ref="BX1184">IF(BM1184&gt;0,1,_xll.DCETCVN5575FactorPhi7121(BV1184*SQRT($K$17/206000),"b"))</f>
        <v>0.26789574732900351</v>
      </c>
      <c r="BY1184" s="64">
        <f t="shared" si="161"/>
        <v>0.17344593975195752</v>
      </c>
      <c r="BZ1184" s="3" t="str">
        <f t="shared" si="162"/>
        <v>OK</v>
      </c>
    </row>
    <row r="1185" spans="1:78">
      <c r="A1185" s="76"/>
      <c r="B1185" s="76"/>
      <c r="C1185" s="125"/>
      <c r="D1185" s="125"/>
      <c r="E1185" s="71"/>
      <c r="F1185" s="71"/>
      <c r="G1185" s="71"/>
      <c r="H1185" s="126"/>
      <c r="I1185" s="125"/>
      <c r="J1185" s="123"/>
      <c r="K1185" s="12"/>
      <c r="L1185" s="117"/>
      <c r="M1185" s="12"/>
      <c r="N1185" s="117"/>
      <c r="O1185" s="117"/>
      <c r="P1185" s="117"/>
      <c r="Q1185" s="118"/>
      <c r="R1185" s="118"/>
      <c r="S1185" s="118"/>
      <c r="T1185" s="12"/>
      <c r="U1185" s="118"/>
      <c r="V1185" s="118"/>
      <c r="W1185" s="12"/>
      <c r="X1185" s="119"/>
      <c r="Y1185" s="120"/>
      <c r="Z1185" s="12"/>
      <c r="BA1185" s="70" t="s">
        <v>205</v>
      </c>
      <c r="BB1185" s="71" t="s">
        <v>212</v>
      </c>
      <c r="BC1185" s="71" t="s">
        <v>207</v>
      </c>
      <c r="BD1185" s="71">
        <v>9.2100000000000009</v>
      </c>
      <c r="BE1185" s="71">
        <v>9.2100000000000009</v>
      </c>
      <c r="BF1185" s="71">
        <v>264</v>
      </c>
      <c r="BG1185" s="71">
        <v>212</v>
      </c>
      <c r="BH1185" s="71">
        <v>5</v>
      </c>
      <c r="BI1185" s="71">
        <v>8</v>
      </c>
      <c r="BJ1185" s="12" t="str" cm="1">
        <f t="array" ref="BJ1185">_xll.Dce_Name_SectI(BF1185, BF1185, BG1185, BH1185, BI1185, "x", "-", $AX$11)</f>
        <v>264x212x5x8</v>
      </c>
      <c r="BK1185" s="77" cm="1">
        <f t="array" ref="BK1185">_xll.DCEPropSectI(BF1185, BH1185, BG1185, BI1185, BG1185, BI1185, "A")/100</f>
        <v>46.32</v>
      </c>
      <c r="BL1185" s="70" t="s">
        <v>224</v>
      </c>
      <c r="BM1185" s="70">
        <v>-46.151592698114854</v>
      </c>
      <c r="BN1185" s="71">
        <v>0.9</v>
      </c>
      <c r="BO1185" s="77">
        <f t="shared" si="155"/>
        <v>8.2890000000000015</v>
      </c>
      <c r="BP1185" s="71">
        <v>0.9</v>
      </c>
      <c r="BQ1185" s="77">
        <f t="shared" si="156"/>
        <v>8.2890000000000015</v>
      </c>
      <c r="BR1185" s="77" cm="1">
        <f t="array" ref="BR1185">_xll.DCEPropSectI(BF1185, BH1185, BG1185, BI1185, BG1185, BI1185, "rx")/10</f>
        <v>11.562881075579337</v>
      </c>
      <c r="BS1185" s="77" cm="1">
        <f t="array" ref="BS1185">_xll.DCEPropSectI(BF1185, BH1185, BG1185, BI1185, BG1185, BI1185, "ry")/10</f>
        <v>5.237608536144422</v>
      </c>
      <c r="BT1185" s="5">
        <f t="shared" si="157"/>
        <v>71.686286020066973</v>
      </c>
      <c r="BU1185" s="5">
        <f t="shared" si="158"/>
        <v>158.25925024365813</v>
      </c>
      <c r="BV1185" s="5">
        <f t="shared" si="159"/>
        <v>158.25925024365813</v>
      </c>
      <c r="BW1185" s="71">
        <f t="shared" si="160"/>
        <v>200</v>
      </c>
      <c r="BX1185" s="78" cm="1">
        <f t="array" ref="BX1185">IF(BM1185&gt;0,1,_xll.DCETCVN5575FactorPhi7121(BV1185*SQRT($K$17/206000),"b"))</f>
        <v>0.26789574732900351</v>
      </c>
      <c r="BY1185" s="64">
        <f t="shared" si="161"/>
        <v>0.17710589957372125</v>
      </c>
      <c r="BZ1185" s="3" t="str">
        <f t="shared" si="162"/>
        <v>OK</v>
      </c>
    </row>
    <row r="1186" spans="1:78">
      <c r="A1186" s="76"/>
      <c r="B1186" s="76"/>
      <c r="C1186" s="125"/>
      <c r="D1186" s="125"/>
      <c r="E1186" s="71"/>
      <c r="F1186" s="71"/>
      <c r="G1186" s="71"/>
      <c r="H1186" s="126"/>
      <c r="I1186" s="125"/>
      <c r="J1186" s="123"/>
      <c r="K1186" s="12"/>
      <c r="L1186" s="117"/>
      <c r="M1186" s="12"/>
      <c r="N1186" s="117"/>
      <c r="O1186" s="117"/>
      <c r="P1186" s="117"/>
      <c r="Q1186" s="118"/>
      <c r="R1186" s="118"/>
      <c r="S1186" s="118"/>
      <c r="T1186" s="12"/>
      <c r="U1186" s="118"/>
      <c r="V1186" s="118"/>
      <c r="W1186" s="12"/>
      <c r="X1186" s="119"/>
      <c r="Y1186" s="120"/>
      <c r="Z1186" s="12"/>
      <c r="BA1186" s="70" t="s">
        <v>205</v>
      </c>
      <c r="BB1186" s="71" t="s">
        <v>212</v>
      </c>
      <c r="BC1186" s="71" t="s">
        <v>207</v>
      </c>
      <c r="BD1186" s="71">
        <v>0</v>
      </c>
      <c r="BE1186" s="71">
        <v>9.2100000000000009</v>
      </c>
      <c r="BF1186" s="71">
        <v>264</v>
      </c>
      <c r="BG1186" s="71">
        <v>212</v>
      </c>
      <c r="BH1186" s="71">
        <v>5</v>
      </c>
      <c r="BI1186" s="71">
        <v>8</v>
      </c>
      <c r="BJ1186" s="12" t="str" cm="1">
        <f t="array" ref="BJ1186">_xll.Dce_Name_SectI(BF1186, BF1186, BG1186, BH1186, BI1186, "x", "-", $AX$11)</f>
        <v>264x212x5x8</v>
      </c>
      <c r="BK1186" s="77" cm="1">
        <f t="array" ref="BK1186">_xll.DCEPropSectI(BF1186, BH1186, BG1186, BI1186, BG1186, BI1186, "A")/100</f>
        <v>46.32</v>
      </c>
      <c r="BL1186" s="70" t="s">
        <v>225</v>
      </c>
      <c r="BM1186" s="70">
        <v>29.335703284791464</v>
      </c>
      <c r="BN1186" s="71">
        <v>0.9</v>
      </c>
      <c r="BO1186" s="77">
        <f t="shared" si="155"/>
        <v>8.2890000000000015</v>
      </c>
      <c r="BP1186" s="71">
        <v>0.9</v>
      </c>
      <c r="BQ1186" s="77">
        <f t="shared" si="156"/>
        <v>8.2890000000000015</v>
      </c>
      <c r="BR1186" s="77" cm="1">
        <f t="array" ref="BR1186">_xll.DCEPropSectI(BF1186, BH1186, BG1186, BI1186, BG1186, BI1186, "rx")/10</f>
        <v>11.562881075579337</v>
      </c>
      <c r="BS1186" s="77" cm="1">
        <f t="array" ref="BS1186">_xll.DCEPropSectI(BF1186, BH1186, BG1186, BI1186, BG1186, BI1186, "ry")/10</f>
        <v>5.237608536144422</v>
      </c>
      <c r="BT1186" s="5">
        <f t="shared" si="157"/>
        <v>71.686286020066973</v>
      </c>
      <c r="BU1186" s="5">
        <f t="shared" si="158"/>
        <v>158.25925024365813</v>
      </c>
      <c r="BV1186" s="5">
        <f t="shared" si="159"/>
        <v>158.25925024365813</v>
      </c>
      <c r="BW1186" s="71">
        <f t="shared" si="160"/>
        <v>400</v>
      </c>
      <c r="BX1186" s="78" cm="1">
        <f t="array" ref="BX1186">IF(BM1186&gt;0,1,_xll.DCETCVN5575FactorPhi7121(BV1186*SQRT($K$17/206000),"b"))</f>
        <v>1</v>
      </c>
      <c r="BY1186" s="64">
        <f t="shared" si="161"/>
        <v>3.0158425122122978E-2</v>
      </c>
      <c r="BZ1186" s="3" t="str">
        <f t="shared" si="162"/>
        <v>OK</v>
      </c>
    </row>
    <row r="1187" spans="1:78">
      <c r="A1187" s="76"/>
      <c r="B1187" s="76"/>
      <c r="C1187" s="125"/>
      <c r="D1187" s="125"/>
      <c r="E1187" s="71"/>
      <c r="F1187" s="71"/>
      <c r="G1187" s="71"/>
      <c r="H1187" s="126"/>
      <c r="I1187" s="125"/>
      <c r="J1187" s="123"/>
      <c r="K1187" s="12"/>
      <c r="L1187" s="117"/>
      <c r="M1187" s="12"/>
      <c r="N1187" s="117"/>
      <c r="O1187" s="117"/>
      <c r="P1187" s="117"/>
      <c r="Q1187" s="118"/>
      <c r="R1187" s="118"/>
      <c r="S1187" s="118"/>
      <c r="T1187" s="12"/>
      <c r="U1187" s="118"/>
      <c r="V1187" s="118"/>
      <c r="W1187" s="12"/>
      <c r="X1187" s="119"/>
      <c r="Y1187" s="120"/>
      <c r="Z1187" s="12"/>
      <c r="BA1187" s="70" t="s">
        <v>205</v>
      </c>
      <c r="BB1187" s="71" t="s">
        <v>212</v>
      </c>
      <c r="BC1187" s="71" t="s">
        <v>207</v>
      </c>
      <c r="BD1187" s="71">
        <v>4.6100000000000003</v>
      </c>
      <c r="BE1187" s="71">
        <v>9.2100000000000009</v>
      </c>
      <c r="BF1187" s="71">
        <v>264</v>
      </c>
      <c r="BG1187" s="71">
        <v>212</v>
      </c>
      <c r="BH1187" s="71">
        <v>5</v>
      </c>
      <c r="BI1187" s="71">
        <v>8</v>
      </c>
      <c r="BJ1187" s="12" t="str" cm="1">
        <f t="array" ref="BJ1187">_xll.Dce_Name_SectI(BF1187, BF1187, BG1187, BH1187, BI1187, "x", "-", $AX$11)</f>
        <v>264x212x5x8</v>
      </c>
      <c r="BK1187" s="77" cm="1">
        <f t="array" ref="BK1187">_xll.DCEPropSectI(BF1187, BH1187, BG1187, BI1187, BG1187, BI1187, "A")/100</f>
        <v>46.32</v>
      </c>
      <c r="BL1187" s="70" t="s">
        <v>225</v>
      </c>
      <c r="BM1187" s="70">
        <v>28.381963316828433</v>
      </c>
      <c r="BN1187" s="71">
        <v>0.9</v>
      </c>
      <c r="BO1187" s="77">
        <f t="shared" si="155"/>
        <v>8.2890000000000015</v>
      </c>
      <c r="BP1187" s="71">
        <v>0.9</v>
      </c>
      <c r="BQ1187" s="77">
        <f t="shared" si="156"/>
        <v>8.2890000000000015</v>
      </c>
      <c r="BR1187" s="77" cm="1">
        <f t="array" ref="BR1187">_xll.DCEPropSectI(BF1187, BH1187, BG1187, BI1187, BG1187, BI1187, "rx")/10</f>
        <v>11.562881075579337</v>
      </c>
      <c r="BS1187" s="77" cm="1">
        <f t="array" ref="BS1187">_xll.DCEPropSectI(BF1187, BH1187, BG1187, BI1187, BG1187, BI1187, "ry")/10</f>
        <v>5.237608536144422</v>
      </c>
      <c r="BT1187" s="5">
        <f t="shared" si="157"/>
        <v>71.686286020066973</v>
      </c>
      <c r="BU1187" s="5">
        <f t="shared" si="158"/>
        <v>158.25925024365813</v>
      </c>
      <c r="BV1187" s="5">
        <f t="shared" si="159"/>
        <v>158.25925024365813</v>
      </c>
      <c r="BW1187" s="71">
        <f t="shared" si="160"/>
        <v>400</v>
      </c>
      <c r="BX1187" s="78" cm="1">
        <f t="array" ref="BX1187">IF(BM1187&gt;0,1,_xll.DCETCVN5575FactorPhi7121(BV1187*SQRT($K$17/206000),"b"))</f>
        <v>1</v>
      </c>
      <c r="BY1187" s="64">
        <f t="shared" si="161"/>
        <v>2.9177937450477455E-2</v>
      </c>
      <c r="BZ1187" s="3" t="str">
        <f t="shared" si="162"/>
        <v>OK</v>
      </c>
    </row>
    <row r="1188" spans="1:78">
      <c r="A1188" s="76"/>
      <c r="B1188" s="76"/>
      <c r="C1188" s="125"/>
      <c r="D1188" s="125"/>
      <c r="E1188" s="71"/>
      <c r="F1188" s="71"/>
      <c r="G1188" s="71"/>
      <c r="H1188" s="126"/>
      <c r="I1188" s="125"/>
      <c r="J1188" s="123"/>
      <c r="K1188" s="12"/>
      <c r="L1188" s="117"/>
      <c r="M1188" s="12"/>
      <c r="N1188" s="117"/>
      <c r="O1188" s="117"/>
      <c r="P1188" s="117"/>
      <c r="Q1188" s="118"/>
      <c r="R1188" s="118"/>
      <c r="S1188" s="118"/>
      <c r="T1188" s="12"/>
      <c r="U1188" s="118"/>
      <c r="V1188" s="118"/>
      <c r="W1188" s="12"/>
      <c r="X1188" s="119"/>
      <c r="Y1188" s="120"/>
      <c r="Z1188" s="12"/>
      <c r="BA1188" s="70" t="s">
        <v>205</v>
      </c>
      <c r="BB1188" s="71" t="s">
        <v>212</v>
      </c>
      <c r="BC1188" s="71" t="s">
        <v>207</v>
      </c>
      <c r="BD1188" s="71">
        <v>9.2100000000000009</v>
      </c>
      <c r="BE1188" s="71">
        <v>9.2100000000000009</v>
      </c>
      <c r="BF1188" s="71">
        <v>264</v>
      </c>
      <c r="BG1188" s="71">
        <v>212</v>
      </c>
      <c r="BH1188" s="71">
        <v>5</v>
      </c>
      <c r="BI1188" s="71">
        <v>8</v>
      </c>
      <c r="BJ1188" s="12" t="str" cm="1">
        <f t="array" ref="BJ1188">_xll.Dce_Name_SectI(BF1188, BF1188, BG1188, BH1188, BI1188, "x", "-", $AX$11)</f>
        <v>264x212x5x8</v>
      </c>
      <c r="BK1188" s="77" cm="1">
        <f t="array" ref="BK1188">_xll.DCEPropSectI(BF1188, BH1188, BG1188, BI1188, BG1188, BI1188, "A")/100</f>
        <v>46.32</v>
      </c>
      <c r="BL1188" s="70" t="s">
        <v>225</v>
      </c>
      <c r="BM1188" s="70">
        <v>27.428223348865401</v>
      </c>
      <c r="BN1188" s="71">
        <v>0.9</v>
      </c>
      <c r="BO1188" s="77">
        <f t="shared" si="155"/>
        <v>8.2890000000000015</v>
      </c>
      <c r="BP1188" s="71">
        <v>0.9</v>
      </c>
      <c r="BQ1188" s="77">
        <f t="shared" si="156"/>
        <v>8.2890000000000015</v>
      </c>
      <c r="BR1188" s="77" cm="1">
        <f t="array" ref="BR1188">_xll.DCEPropSectI(BF1188, BH1188, BG1188, BI1188, BG1188, BI1188, "rx")/10</f>
        <v>11.562881075579337</v>
      </c>
      <c r="BS1188" s="77" cm="1">
        <f t="array" ref="BS1188">_xll.DCEPropSectI(BF1188, BH1188, BG1188, BI1188, BG1188, BI1188, "ry")/10</f>
        <v>5.237608536144422</v>
      </c>
      <c r="BT1188" s="5">
        <f t="shared" si="157"/>
        <v>71.686286020066973</v>
      </c>
      <c r="BU1188" s="5">
        <f t="shared" si="158"/>
        <v>158.25925024365813</v>
      </c>
      <c r="BV1188" s="5">
        <f t="shared" si="159"/>
        <v>158.25925024365813</v>
      </c>
      <c r="BW1188" s="71">
        <f t="shared" si="160"/>
        <v>400</v>
      </c>
      <c r="BX1188" s="78" cm="1">
        <f t="array" ref="BX1188">IF(BM1188&gt;0,1,_xll.DCETCVN5575FactorPhi7121(BV1188*SQRT($K$17/206000),"b"))</f>
        <v>1</v>
      </c>
      <c r="BY1188" s="64">
        <f t="shared" si="161"/>
        <v>2.8197449778831936E-2</v>
      </c>
      <c r="BZ1188" s="3" t="str">
        <f t="shared" si="162"/>
        <v>OK</v>
      </c>
    </row>
    <row r="1189" spans="1:78">
      <c r="A1189" s="76"/>
      <c r="B1189" s="76"/>
      <c r="C1189" s="125"/>
      <c r="D1189" s="125"/>
      <c r="E1189" s="71"/>
      <c r="F1189" s="71"/>
      <c r="G1189" s="71"/>
      <c r="H1189" s="126"/>
      <c r="I1189" s="125"/>
      <c r="J1189" s="123"/>
      <c r="K1189" s="12"/>
      <c r="L1189" s="117"/>
      <c r="M1189" s="12"/>
      <c r="N1189" s="117"/>
      <c r="O1189" s="117"/>
      <c r="P1189" s="117"/>
      <c r="Q1189" s="118"/>
      <c r="R1189" s="118"/>
      <c r="S1189" s="118"/>
      <c r="T1189" s="12"/>
      <c r="U1189" s="118"/>
      <c r="V1189" s="118"/>
      <c r="W1189" s="12"/>
      <c r="X1189" s="119"/>
      <c r="Y1189" s="120"/>
      <c r="Z1189" s="12"/>
      <c r="BA1189" s="70" t="s">
        <v>205</v>
      </c>
      <c r="BB1189" s="71" t="s">
        <v>212</v>
      </c>
      <c r="BC1189" s="71" t="s">
        <v>207</v>
      </c>
      <c r="BD1189" s="71">
        <v>0</v>
      </c>
      <c r="BE1189" s="71">
        <v>9.2100000000000009</v>
      </c>
      <c r="BF1189" s="71">
        <v>264</v>
      </c>
      <c r="BG1189" s="71">
        <v>212</v>
      </c>
      <c r="BH1189" s="71">
        <v>5</v>
      </c>
      <c r="BI1189" s="71">
        <v>8</v>
      </c>
      <c r="BJ1189" s="12" t="str" cm="1">
        <f t="array" ref="BJ1189">_xll.Dce_Name_SectI(BF1189, BF1189, BG1189, BH1189, BI1189, "x", "-", $AX$11)</f>
        <v>264x212x5x8</v>
      </c>
      <c r="BK1189" s="77" cm="1">
        <f t="array" ref="BK1189">_xll.DCEPropSectI(BF1189, BH1189, BG1189, BI1189, BG1189, BI1189, "A")/100</f>
        <v>46.32</v>
      </c>
      <c r="BL1189" s="70" t="s">
        <v>226</v>
      </c>
      <c r="BM1189" s="70">
        <v>79.470288898071942</v>
      </c>
      <c r="BN1189" s="71">
        <v>0.9</v>
      </c>
      <c r="BO1189" s="77">
        <f t="shared" si="155"/>
        <v>8.2890000000000015</v>
      </c>
      <c r="BP1189" s="71">
        <v>0.9</v>
      </c>
      <c r="BQ1189" s="77">
        <f t="shared" si="156"/>
        <v>8.2890000000000015</v>
      </c>
      <c r="BR1189" s="77" cm="1">
        <f t="array" ref="BR1189">_xll.DCEPropSectI(BF1189, BH1189, BG1189, BI1189, BG1189, BI1189, "rx")/10</f>
        <v>11.562881075579337</v>
      </c>
      <c r="BS1189" s="77" cm="1">
        <f t="array" ref="BS1189">_xll.DCEPropSectI(BF1189, BH1189, BG1189, BI1189, BG1189, BI1189, "ry")/10</f>
        <v>5.237608536144422</v>
      </c>
      <c r="BT1189" s="5">
        <f t="shared" si="157"/>
        <v>71.686286020066973</v>
      </c>
      <c r="BU1189" s="5">
        <f t="shared" si="158"/>
        <v>158.25925024365813</v>
      </c>
      <c r="BV1189" s="5">
        <f t="shared" si="159"/>
        <v>158.25925024365813</v>
      </c>
      <c r="BW1189" s="71">
        <f t="shared" si="160"/>
        <v>400</v>
      </c>
      <c r="BX1189" s="78" cm="1">
        <f t="array" ref="BX1189">IF(BM1189&gt;0,1,_xll.DCETCVN5575FactorPhi7121(BV1189*SQRT($K$17/206000),"b"))</f>
        <v>1</v>
      </c>
      <c r="BY1189" s="64">
        <f t="shared" si="161"/>
        <v>8.1699038673073376E-2</v>
      </c>
      <c r="BZ1189" s="3" t="str">
        <f t="shared" si="162"/>
        <v>OK</v>
      </c>
    </row>
    <row r="1190" spans="1:78">
      <c r="A1190" s="76"/>
      <c r="B1190" s="76"/>
      <c r="C1190" s="125"/>
      <c r="D1190" s="125"/>
      <c r="E1190" s="71"/>
      <c r="F1190" s="71"/>
      <c r="G1190" s="71"/>
      <c r="H1190" s="126"/>
      <c r="I1190" s="125"/>
      <c r="J1190" s="123"/>
      <c r="K1190" s="12"/>
      <c r="L1190" s="117"/>
      <c r="M1190" s="12"/>
      <c r="N1190" s="117"/>
      <c r="O1190" s="117"/>
      <c r="P1190" s="117"/>
      <c r="Q1190" s="118"/>
      <c r="R1190" s="118"/>
      <c r="S1190" s="118"/>
      <c r="T1190" s="12"/>
      <c r="U1190" s="118"/>
      <c r="V1190" s="118"/>
      <c r="W1190" s="12"/>
      <c r="X1190" s="119"/>
      <c r="Y1190" s="120"/>
      <c r="Z1190" s="12"/>
      <c r="BA1190" s="70" t="s">
        <v>205</v>
      </c>
      <c r="BB1190" s="71" t="s">
        <v>212</v>
      </c>
      <c r="BC1190" s="71" t="s">
        <v>207</v>
      </c>
      <c r="BD1190" s="71">
        <v>4.6100000000000003</v>
      </c>
      <c r="BE1190" s="71">
        <v>9.2100000000000009</v>
      </c>
      <c r="BF1190" s="71">
        <v>264</v>
      </c>
      <c r="BG1190" s="71">
        <v>212</v>
      </c>
      <c r="BH1190" s="71">
        <v>5</v>
      </c>
      <c r="BI1190" s="71">
        <v>8</v>
      </c>
      <c r="BJ1190" s="12" t="str" cm="1">
        <f t="array" ref="BJ1190">_xll.Dce_Name_SectI(BF1190, BF1190, BG1190, BH1190, BI1190, "x", "-", $AX$11)</f>
        <v>264x212x5x8</v>
      </c>
      <c r="BK1190" s="77" cm="1">
        <f t="array" ref="BK1190">_xll.DCEPropSectI(BF1190, BH1190, BG1190, BI1190, BG1190, BI1190, "A")/100</f>
        <v>46.32</v>
      </c>
      <c r="BL1190" s="70" t="s">
        <v>226</v>
      </c>
      <c r="BM1190" s="70">
        <v>78.516548930108911</v>
      </c>
      <c r="BN1190" s="71">
        <v>0.9</v>
      </c>
      <c r="BO1190" s="77">
        <f t="shared" si="155"/>
        <v>8.2890000000000015</v>
      </c>
      <c r="BP1190" s="71">
        <v>0.9</v>
      </c>
      <c r="BQ1190" s="77">
        <f t="shared" si="156"/>
        <v>8.2890000000000015</v>
      </c>
      <c r="BR1190" s="77" cm="1">
        <f t="array" ref="BR1190">_xll.DCEPropSectI(BF1190, BH1190, BG1190, BI1190, BG1190, BI1190, "rx")/10</f>
        <v>11.562881075579337</v>
      </c>
      <c r="BS1190" s="77" cm="1">
        <f t="array" ref="BS1190">_xll.DCEPropSectI(BF1190, BH1190, BG1190, BI1190, BG1190, BI1190, "ry")/10</f>
        <v>5.237608536144422</v>
      </c>
      <c r="BT1190" s="5">
        <f t="shared" si="157"/>
        <v>71.686286020066973</v>
      </c>
      <c r="BU1190" s="5">
        <f t="shared" si="158"/>
        <v>158.25925024365813</v>
      </c>
      <c r="BV1190" s="5">
        <f t="shared" si="159"/>
        <v>158.25925024365813</v>
      </c>
      <c r="BW1190" s="71">
        <f t="shared" si="160"/>
        <v>400</v>
      </c>
      <c r="BX1190" s="78" cm="1">
        <f t="array" ref="BX1190">IF(BM1190&gt;0,1,_xll.DCETCVN5575FactorPhi7121(BV1190*SQRT($K$17/206000),"b"))</f>
        <v>1</v>
      </c>
      <c r="BY1190" s="64">
        <f t="shared" si="161"/>
        <v>8.0718551001427857E-2</v>
      </c>
      <c r="BZ1190" s="3" t="str">
        <f t="shared" si="162"/>
        <v>OK</v>
      </c>
    </row>
    <row r="1191" spans="1:78">
      <c r="A1191" s="76"/>
      <c r="B1191" s="76"/>
      <c r="C1191" s="125"/>
      <c r="D1191" s="125"/>
      <c r="E1191" s="71"/>
      <c r="F1191" s="71"/>
      <c r="G1191" s="71"/>
      <c r="H1191" s="126"/>
      <c r="I1191" s="125"/>
      <c r="J1191" s="123"/>
      <c r="K1191" s="12"/>
      <c r="L1191" s="117"/>
      <c r="M1191" s="12"/>
      <c r="N1191" s="117"/>
      <c r="O1191" s="117"/>
      <c r="P1191" s="117"/>
      <c r="Q1191" s="118"/>
      <c r="R1191" s="118"/>
      <c r="S1191" s="118"/>
      <c r="T1191" s="12"/>
      <c r="U1191" s="118"/>
      <c r="V1191" s="118"/>
      <c r="W1191" s="12"/>
      <c r="X1191" s="119"/>
      <c r="Y1191" s="120"/>
      <c r="Z1191" s="12"/>
      <c r="BA1191" s="70" t="s">
        <v>205</v>
      </c>
      <c r="BB1191" s="71" t="s">
        <v>212</v>
      </c>
      <c r="BC1191" s="71" t="s">
        <v>207</v>
      </c>
      <c r="BD1191" s="71">
        <v>9.2100000000000009</v>
      </c>
      <c r="BE1191" s="71">
        <v>9.2100000000000009</v>
      </c>
      <c r="BF1191" s="71">
        <v>264</v>
      </c>
      <c r="BG1191" s="71">
        <v>212</v>
      </c>
      <c r="BH1191" s="71">
        <v>5</v>
      </c>
      <c r="BI1191" s="71">
        <v>8</v>
      </c>
      <c r="BJ1191" s="12" t="str" cm="1">
        <f t="array" ref="BJ1191">_xll.Dce_Name_SectI(BF1191, BF1191, BG1191, BH1191, BI1191, "x", "-", $AX$11)</f>
        <v>264x212x5x8</v>
      </c>
      <c r="BK1191" s="77" cm="1">
        <f t="array" ref="BK1191">_xll.DCEPropSectI(BF1191, BH1191, BG1191, BI1191, BG1191, BI1191, "A")/100</f>
        <v>46.32</v>
      </c>
      <c r="BL1191" s="70" t="s">
        <v>226</v>
      </c>
      <c r="BM1191" s="70">
        <v>77.56280896214588</v>
      </c>
      <c r="BN1191" s="71">
        <v>0.9</v>
      </c>
      <c r="BO1191" s="77">
        <f t="shared" si="155"/>
        <v>8.2890000000000015</v>
      </c>
      <c r="BP1191" s="71">
        <v>0.9</v>
      </c>
      <c r="BQ1191" s="77">
        <f t="shared" si="156"/>
        <v>8.2890000000000015</v>
      </c>
      <c r="BR1191" s="77" cm="1">
        <f t="array" ref="BR1191">_xll.DCEPropSectI(BF1191, BH1191, BG1191, BI1191, BG1191, BI1191, "rx")/10</f>
        <v>11.562881075579337</v>
      </c>
      <c r="BS1191" s="77" cm="1">
        <f t="array" ref="BS1191">_xll.DCEPropSectI(BF1191, BH1191, BG1191, BI1191, BG1191, BI1191, "ry")/10</f>
        <v>5.237608536144422</v>
      </c>
      <c r="BT1191" s="5">
        <f t="shared" si="157"/>
        <v>71.686286020066973</v>
      </c>
      <c r="BU1191" s="5">
        <f t="shared" si="158"/>
        <v>158.25925024365813</v>
      </c>
      <c r="BV1191" s="5">
        <f t="shared" si="159"/>
        <v>158.25925024365813</v>
      </c>
      <c r="BW1191" s="71">
        <f t="shared" si="160"/>
        <v>400</v>
      </c>
      <c r="BX1191" s="78" cm="1">
        <f t="array" ref="BX1191">IF(BM1191&gt;0,1,_xll.DCETCVN5575FactorPhi7121(BV1191*SQRT($K$17/206000),"b"))</f>
        <v>1</v>
      </c>
      <c r="BY1191" s="64">
        <f t="shared" si="161"/>
        <v>7.9738063329782338E-2</v>
      </c>
      <c r="BZ1191" s="3" t="str">
        <f t="shared" si="162"/>
        <v>OK</v>
      </c>
    </row>
    <row r="1192" spans="1:78">
      <c r="A1192" s="76"/>
      <c r="B1192" s="76"/>
      <c r="C1192" s="125"/>
      <c r="D1192" s="125"/>
      <c r="E1192" s="71"/>
      <c r="F1192" s="71"/>
      <c r="G1192" s="71"/>
      <c r="H1192" s="126"/>
      <c r="I1192" s="125"/>
      <c r="J1192" s="123"/>
      <c r="K1192" s="12"/>
      <c r="L1192" s="117"/>
      <c r="M1192" s="12"/>
      <c r="N1192" s="117"/>
      <c r="O1192" s="117"/>
      <c r="P1192" s="117"/>
      <c r="Q1192" s="118"/>
      <c r="R1192" s="118"/>
      <c r="S1192" s="118"/>
      <c r="T1192" s="12"/>
      <c r="U1192" s="118"/>
      <c r="V1192" s="118"/>
      <c r="W1192" s="12"/>
      <c r="X1192" s="119"/>
      <c r="Y1192" s="120"/>
      <c r="Z1192" s="12"/>
      <c r="BA1192" s="70" t="s">
        <v>205</v>
      </c>
      <c r="BB1192" s="71" t="s">
        <v>213</v>
      </c>
      <c r="BC1192" s="71" t="s">
        <v>207</v>
      </c>
      <c r="BD1192" s="71">
        <v>0</v>
      </c>
      <c r="BE1192" s="71">
        <v>9.67</v>
      </c>
      <c r="BF1192" s="71">
        <v>264</v>
      </c>
      <c r="BG1192" s="71">
        <v>212</v>
      </c>
      <c r="BH1192" s="71">
        <v>5</v>
      </c>
      <c r="BI1192" s="71">
        <v>8</v>
      </c>
      <c r="BJ1192" s="12" t="str" cm="1">
        <f t="array" ref="BJ1192">_xll.Dce_Name_SectI(BF1192, BF1192, BG1192, BH1192, BI1192, "x", "-", $AX$11)</f>
        <v>264x212x5x8</v>
      </c>
      <c r="BK1192" s="77" cm="1">
        <f t="array" ref="BK1192">_xll.DCEPropSectI(BF1192, BH1192, BG1192, BI1192, BG1192, BI1192, "A")/100</f>
        <v>46.32</v>
      </c>
      <c r="BL1192" s="70" t="s">
        <v>217</v>
      </c>
      <c r="BM1192" s="70">
        <v>-22.983945071018184</v>
      </c>
      <c r="BN1192" s="71">
        <v>0.9</v>
      </c>
      <c r="BO1192" s="77">
        <f t="shared" si="155"/>
        <v>8.7029999999999994</v>
      </c>
      <c r="BP1192" s="71">
        <v>0.9</v>
      </c>
      <c r="BQ1192" s="77">
        <f t="shared" si="156"/>
        <v>8.7029999999999994</v>
      </c>
      <c r="BR1192" s="77" cm="1">
        <f t="array" ref="BR1192">_xll.DCEPropSectI(BF1192, BH1192, BG1192, BI1192, BG1192, BI1192, "rx")/10</f>
        <v>11.562881075579337</v>
      </c>
      <c r="BS1192" s="77" cm="1">
        <f t="array" ref="BS1192">_xll.DCEPropSectI(BF1192, BH1192, BG1192, BI1192, BG1192, BI1192, "ry")/10</f>
        <v>5.237608536144422</v>
      </c>
      <c r="BT1192" s="5">
        <f t="shared" si="157"/>
        <v>75.26670855744274</v>
      </c>
      <c r="BU1192" s="5">
        <f t="shared" si="158"/>
        <v>166.16362104844453</v>
      </c>
      <c r="BV1192" s="5">
        <f t="shared" si="159"/>
        <v>166.16362104844453</v>
      </c>
      <c r="BW1192" s="71">
        <f t="shared" si="160"/>
        <v>200</v>
      </c>
      <c r="BX1192" s="78" cm="1">
        <f t="array" ref="BX1192">IF(BM1192&gt;0,1,_xll.DCETCVN5575FactorPhi7121(BV1192*SQRT($K$17/206000),"b"))</f>
        <v>0.24301446879398786</v>
      </c>
      <c r="BY1192" s="64">
        <f t="shared" si="161"/>
        <v>9.7230965403357794E-2</v>
      </c>
      <c r="BZ1192" s="3" t="str">
        <f t="shared" si="162"/>
        <v>OK</v>
      </c>
    </row>
    <row r="1193" spans="1:78">
      <c r="A1193" s="76"/>
      <c r="B1193" s="76"/>
      <c r="C1193" s="125"/>
      <c r="D1193" s="125"/>
      <c r="E1193" s="71"/>
      <c r="F1193" s="71"/>
      <c r="G1193" s="71"/>
      <c r="H1193" s="126"/>
      <c r="I1193" s="125"/>
      <c r="J1193" s="123"/>
      <c r="K1193" s="12"/>
      <c r="L1193" s="117"/>
      <c r="M1193" s="12"/>
      <c r="N1193" s="117"/>
      <c r="O1193" s="117"/>
      <c r="P1193" s="117"/>
      <c r="Q1193" s="118"/>
      <c r="R1193" s="118"/>
      <c r="S1193" s="118"/>
      <c r="T1193" s="12"/>
      <c r="U1193" s="118"/>
      <c r="V1193" s="118"/>
      <c r="W1193" s="12"/>
      <c r="X1193" s="119"/>
      <c r="Y1193" s="120"/>
      <c r="Z1193" s="12"/>
      <c r="BA1193" s="70" t="s">
        <v>205</v>
      </c>
      <c r="BB1193" s="71" t="s">
        <v>213</v>
      </c>
      <c r="BC1193" s="71" t="s">
        <v>207</v>
      </c>
      <c r="BD1193" s="71">
        <v>4.83</v>
      </c>
      <c r="BE1193" s="71">
        <v>9.67</v>
      </c>
      <c r="BF1193" s="71">
        <v>264</v>
      </c>
      <c r="BG1193" s="71">
        <v>212</v>
      </c>
      <c r="BH1193" s="71">
        <v>5</v>
      </c>
      <c r="BI1193" s="71">
        <v>8</v>
      </c>
      <c r="BJ1193" s="12" t="str" cm="1">
        <f t="array" ref="BJ1193">_xll.Dce_Name_SectI(BF1193, BF1193, BG1193, BH1193, BI1193, "x", "-", $AX$11)</f>
        <v>264x212x5x8</v>
      </c>
      <c r="BK1193" s="77" cm="1">
        <f t="array" ref="BK1193">_xll.DCEPropSectI(BF1193, BH1193, BG1193, BI1193, BG1193, BI1193, "A")/100</f>
        <v>46.32</v>
      </c>
      <c r="BL1193" s="70" t="s">
        <v>217</v>
      </c>
      <c r="BM1193" s="70">
        <v>-24.071386903648925</v>
      </c>
      <c r="BN1193" s="71">
        <v>0.9</v>
      </c>
      <c r="BO1193" s="77">
        <f t="shared" si="155"/>
        <v>8.7029999999999994</v>
      </c>
      <c r="BP1193" s="71">
        <v>0.9</v>
      </c>
      <c r="BQ1193" s="77">
        <f t="shared" si="156"/>
        <v>8.7029999999999994</v>
      </c>
      <c r="BR1193" s="77" cm="1">
        <f t="array" ref="BR1193">_xll.DCEPropSectI(BF1193, BH1193, BG1193, BI1193, BG1193, BI1193, "rx")/10</f>
        <v>11.562881075579337</v>
      </c>
      <c r="BS1193" s="77" cm="1">
        <f t="array" ref="BS1193">_xll.DCEPropSectI(BF1193, BH1193, BG1193, BI1193, BG1193, BI1193, "ry")/10</f>
        <v>5.237608536144422</v>
      </c>
      <c r="BT1193" s="5">
        <f t="shared" si="157"/>
        <v>75.26670855744274</v>
      </c>
      <c r="BU1193" s="5">
        <f t="shared" si="158"/>
        <v>166.16362104844453</v>
      </c>
      <c r="BV1193" s="5">
        <f t="shared" si="159"/>
        <v>166.16362104844453</v>
      </c>
      <c r="BW1193" s="71">
        <f t="shared" si="160"/>
        <v>200</v>
      </c>
      <c r="BX1193" s="78" cm="1">
        <f t="array" ref="BX1193">IF(BM1193&gt;0,1,_xll.DCETCVN5575FactorPhi7121(BV1193*SQRT($K$17/206000),"b"))</f>
        <v>0.24301446879398786</v>
      </c>
      <c r="BY1193" s="64">
        <f t="shared" si="161"/>
        <v>0.10183126438945347</v>
      </c>
      <c r="BZ1193" s="3" t="str">
        <f t="shared" si="162"/>
        <v>OK</v>
      </c>
    </row>
    <row r="1194" spans="1:78">
      <c r="A1194" s="76"/>
      <c r="B1194" s="76"/>
      <c r="C1194" s="125"/>
      <c r="D1194" s="125"/>
      <c r="E1194" s="71"/>
      <c r="F1194" s="71"/>
      <c r="G1194" s="71"/>
      <c r="H1194" s="126"/>
      <c r="I1194" s="125"/>
      <c r="J1194" s="123"/>
      <c r="K1194" s="12"/>
      <c r="L1194" s="117"/>
      <c r="M1194" s="12"/>
      <c r="N1194" s="117"/>
      <c r="O1194" s="117"/>
      <c r="P1194" s="117"/>
      <c r="Q1194" s="118"/>
      <c r="R1194" s="118"/>
      <c r="S1194" s="118"/>
      <c r="T1194" s="12"/>
      <c r="U1194" s="118"/>
      <c r="V1194" s="118"/>
      <c r="W1194" s="12"/>
      <c r="X1194" s="119"/>
      <c r="Y1194" s="120"/>
      <c r="Z1194" s="12"/>
      <c r="BA1194" s="70" t="s">
        <v>205</v>
      </c>
      <c r="BB1194" s="71" t="s">
        <v>213</v>
      </c>
      <c r="BC1194" s="71" t="s">
        <v>207</v>
      </c>
      <c r="BD1194" s="71">
        <v>9.67</v>
      </c>
      <c r="BE1194" s="71">
        <v>9.67</v>
      </c>
      <c r="BF1194" s="71">
        <v>264</v>
      </c>
      <c r="BG1194" s="71">
        <v>212</v>
      </c>
      <c r="BH1194" s="71">
        <v>5</v>
      </c>
      <c r="BI1194" s="71">
        <v>8</v>
      </c>
      <c r="BJ1194" s="12" t="str" cm="1">
        <f t="array" ref="BJ1194">_xll.Dce_Name_SectI(BF1194, BF1194, BG1194, BH1194, BI1194, "x", "-", $AX$11)</f>
        <v>264x212x5x8</v>
      </c>
      <c r="BK1194" s="77" cm="1">
        <f t="array" ref="BK1194">_xll.DCEPropSectI(BF1194, BH1194, BG1194, BI1194, BG1194, BI1194, "A")/100</f>
        <v>46.32</v>
      </c>
      <c r="BL1194" s="70" t="s">
        <v>217</v>
      </c>
      <c r="BM1194" s="70">
        <v>-25.158828736279663</v>
      </c>
      <c r="BN1194" s="71">
        <v>0.9</v>
      </c>
      <c r="BO1194" s="77">
        <f t="shared" si="155"/>
        <v>8.7029999999999994</v>
      </c>
      <c r="BP1194" s="71">
        <v>0.9</v>
      </c>
      <c r="BQ1194" s="77">
        <f t="shared" si="156"/>
        <v>8.7029999999999994</v>
      </c>
      <c r="BR1194" s="77" cm="1">
        <f t="array" ref="BR1194">_xll.DCEPropSectI(BF1194, BH1194, BG1194, BI1194, BG1194, BI1194, "rx")/10</f>
        <v>11.562881075579337</v>
      </c>
      <c r="BS1194" s="77" cm="1">
        <f t="array" ref="BS1194">_xll.DCEPropSectI(BF1194, BH1194, BG1194, BI1194, BG1194, BI1194, "ry")/10</f>
        <v>5.237608536144422</v>
      </c>
      <c r="BT1194" s="5">
        <f t="shared" si="157"/>
        <v>75.26670855744274</v>
      </c>
      <c r="BU1194" s="5">
        <f t="shared" si="158"/>
        <v>166.16362104844453</v>
      </c>
      <c r="BV1194" s="5">
        <f t="shared" si="159"/>
        <v>166.16362104844453</v>
      </c>
      <c r="BW1194" s="71">
        <f t="shared" si="160"/>
        <v>200</v>
      </c>
      <c r="BX1194" s="78" cm="1">
        <f t="array" ref="BX1194">IF(BM1194&gt;0,1,_xll.DCETCVN5575FactorPhi7121(BV1194*SQRT($K$17/206000),"b"))</f>
        <v>0.24301446879398786</v>
      </c>
      <c r="BY1194" s="64">
        <f t="shared" si="161"/>
        <v>0.10643156337554914</v>
      </c>
      <c r="BZ1194" s="3" t="str">
        <f t="shared" si="162"/>
        <v>OK</v>
      </c>
    </row>
    <row r="1195" spans="1:78">
      <c r="A1195" s="76"/>
      <c r="B1195" s="76"/>
      <c r="C1195" s="125"/>
      <c r="D1195" s="125"/>
      <c r="E1195" s="71"/>
      <c r="F1195" s="71"/>
      <c r="G1195" s="71"/>
      <c r="H1195" s="126"/>
      <c r="I1195" s="125"/>
      <c r="J1195" s="123"/>
      <c r="K1195" s="12"/>
      <c r="L1195" s="117"/>
      <c r="M1195" s="12"/>
      <c r="N1195" s="117"/>
      <c r="O1195" s="117"/>
      <c r="P1195" s="117"/>
      <c r="Q1195" s="118"/>
      <c r="R1195" s="118"/>
      <c r="S1195" s="118"/>
      <c r="T1195" s="12"/>
      <c r="U1195" s="118"/>
      <c r="V1195" s="118"/>
      <c r="W1195" s="12"/>
      <c r="X1195" s="119"/>
      <c r="Y1195" s="120"/>
      <c r="Z1195" s="12"/>
      <c r="BA1195" s="70" t="s">
        <v>205</v>
      </c>
      <c r="BB1195" s="71" t="s">
        <v>213</v>
      </c>
      <c r="BC1195" s="71" t="s">
        <v>207</v>
      </c>
      <c r="BD1195" s="71">
        <v>0</v>
      </c>
      <c r="BE1195" s="71">
        <v>9.67</v>
      </c>
      <c r="BF1195" s="71">
        <v>264</v>
      </c>
      <c r="BG1195" s="71">
        <v>212</v>
      </c>
      <c r="BH1195" s="71">
        <v>5</v>
      </c>
      <c r="BI1195" s="71">
        <v>8</v>
      </c>
      <c r="BJ1195" s="12" t="str" cm="1">
        <f t="array" ref="BJ1195">_xll.Dce_Name_SectI(BF1195, BF1195, BG1195, BH1195, BI1195, "x", "-", $AX$11)</f>
        <v>264x212x5x8</v>
      </c>
      <c r="BK1195" s="77" cm="1">
        <f t="array" ref="BK1195">_xll.DCEPropSectI(BF1195, BH1195, BG1195, BI1195, BG1195, BI1195, "A")/100</f>
        <v>46.32</v>
      </c>
      <c r="BL1195" s="70" t="s">
        <v>218</v>
      </c>
      <c r="BM1195" s="70">
        <v>-51.67455412989932</v>
      </c>
      <c r="BN1195" s="71">
        <v>0.9</v>
      </c>
      <c r="BO1195" s="77">
        <f t="shared" si="155"/>
        <v>8.7029999999999994</v>
      </c>
      <c r="BP1195" s="71">
        <v>0.9</v>
      </c>
      <c r="BQ1195" s="77">
        <f t="shared" si="156"/>
        <v>8.7029999999999994</v>
      </c>
      <c r="BR1195" s="77" cm="1">
        <f t="array" ref="BR1195">_xll.DCEPropSectI(BF1195, BH1195, BG1195, BI1195, BG1195, BI1195, "rx")/10</f>
        <v>11.562881075579337</v>
      </c>
      <c r="BS1195" s="77" cm="1">
        <f t="array" ref="BS1195">_xll.DCEPropSectI(BF1195, BH1195, BG1195, BI1195, BG1195, BI1195, "ry")/10</f>
        <v>5.237608536144422</v>
      </c>
      <c r="BT1195" s="5">
        <f t="shared" si="157"/>
        <v>75.26670855744274</v>
      </c>
      <c r="BU1195" s="5">
        <f t="shared" si="158"/>
        <v>166.16362104844453</v>
      </c>
      <c r="BV1195" s="5">
        <f t="shared" si="159"/>
        <v>166.16362104844453</v>
      </c>
      <c r="BW1195" s="71">
        <f t="shared" si="160"/>
        <v>200</v>
      </c>
      <c r="BX1195" s="78" cm="1">
        <f t="array" ref="BX1195">IF(BM1195&gt;0,1,_xll.DCETCVN5575FactorPhi7121(BV1195*SQRT($K$17/206000),"b"))</f>
        <v>0.24301446879398786</v>
      </c>
      <c r="BY1195" s="64">
        <f t="shared" si="161"/>
        <v>0.21860332372503372</v>
      </c>
      <c r="BZ1195" s="3" t="str">
        <f t="shared" si="162"/>
        <v>OK</v>
      </c>
    </row>
    <row r="1196" spans="1:78">
      <c r="A1196" s="76"/>
      <c r="B1196" s="76"/>
      <c r="C1196" s="125"/>
      <c r="D1196" s="125"/>
      <c r="E1196" s="71"/>
      <c r="F1196" s="71"/>
      <c r="G1196" s="71"/>
      <c r="H1196" s="126"/>
      <c r="I1196" s="125"/>
      <c r="J1196" s="123"/>
      <c r="K1196" s="12"/>
      <c r="L1196" s="117"/>
      <c r="M1196" s="12"/>
      <c r="N1196" s="117"/>
      <c r="O1196" s="117"/>
      <c r="P1196" s="117"/>
      <c r="Q1196" s="118"/>
      <c r="R1196" s="118"/>
      <c r="S1196" s="118"/>
      <c r="T1196" s="12"/>
      <c r="U1196" s="118"/>
      <c r="V1196" s="118"/>
      <c r="W1196" s="12"/>
      <c r="X1196" s="119"/>
      <c r="Y1196" s="120"/>
      <c r="Z1196" s="12"/>
      <c r="BA1196" s="70" t="s">
        <v>205</v>
      </c>
      <c r="BB1196" s="71" t="s">
        <v>213</v>
      </c>
      <c r="BC1196" s="71" t="s">
        <v>207</v>
      </c>
      <c r="BD1196" s="71">
        <v>4.83</v>
      </c>
      <c r="BE1196" s="71">
        <v>9.67</v>
      </c>
      <c r="BF1196" s="71">
        <v>264</v>
      </c>
      <c r="BG1196" s="71">
        <v>212</v>
      </c>
      <c r="BH1196" s="71">
        <v>5</v>
      </c>
      <c r="BI1196" s="71">
        <v>8</v>
      </c>
      <c r="BJ1196" s="12" t="str" cm="1">
        <f t="array" ref="BJ1196">_xll.Dce_Name_SectI(BF1196, BF1196, BG1196, BH1196, BI1196, "x", "-", $AX$11)</f>
        <v>264x212x5x8</v>
      </c>
      <c r="BK1196" s="77" cm="1">
        <f t="array" ref="BK1196">_xll.DCEPropSectI(BF1196, BH1196, BG1196, BI1196, BG1196, BI1196, "A")/100</f>
        <v>46.32</v>
      </c>
      <c r="BL1196" s="70" t="s">
        <v>218</v>
      </c>
      <c r="BM1196" s="70">
        <v>-52.761995962530065</v>
      </c>
      <c r="BN1196" s="71">
        <v>0.9</v>
      </c>
      <c r="BO1196" s="77">
        <f t="shared" si="155"/>
        <v>8.7029999999999994</v>
      </c>
      <c r="BP1196" s="71">
        <v>0.9</v>
      </c>
      <c r="BQ1196" s="77">
        <f t="shared" si="156"/>
        <v>8.7029999999999994</v>
      </c>
      <c r="BR1196" s="77" cm="1">
        <f t="array" ref="BR1196">_xll.DCEPropSectI(BF1196, BH1196, BG1196, BI1196, BG1196, BI1196, "rx")/10</f>
        <v>11.562881075579337</v>
      </c>
      <c r="BS1196" s="77" cm="1">
        <f t="array" ref="BS1196">_xll.DCEPropSectI(BF1196, BH1196, BG1196, BI1196, BG1196, BI1196, "ry")/10</f>
        <v>5.237608536144422</v>
      </c>
      <c r="BT1196" s="5">
        <f t="shared" si="157"/>
        <v>75.26670855744274</v>
      </c>
      <c r="BU1196" s="5">
        <f t="shared" si="158"/>
        <v>166.16362104844453</v>
      </c>
      <c r="BV1196" s="5">
        <f t="shared" si="159"/>
        <v>166.16362104844453</v>
      </c>
      <c r="BW1196" s="71">
        <f t="shared" si="160"/>
        <v>200</v>
      </c>
      <c r="BX1196" s="78" cm="1">
        <f t="array" ref="BX1196">IF(BM1196&gt;0,1,_xll.DCETCVN5575FactorPhi7121(BV1196*SQRT($K$17/206000),"b"))</f>
        <v>0.24301446879398786</v>
      </c>
      <c r="BY1196" s="64">
        <f t="shared" si="161"/>
        <v>0.22320362271112942</v>
      </c>
      <c r="BZ1196" s="3" t="str">
        <f t="shared" si="162"/>
        <v>OK</v>
      </c>
    </row>
    <row r="1197" spans="1:78">
      <c r="A1197" s="76"/>
      <c r="B1197" s="76"/>
      <c r="C1197" s="125"/>
      <c r="D1197" s="125"/>
      <c r="E1197" s="71"/>
      <c r="F1197" s="71"/>
      <c r="G1197" s="71"/>
      <c r="H1197" s="126"/>
      <c r="I1197" s="125"/>
      <c r="J1197" s="123"/>
      <c r="K1197" s="12"/>
      <c r="L1197" s="117"/>
      <c r="M1197" s="12"/>
      <c r="N1197" s="117"/>
      <c r="O1197" s="117"/>
      <c r="P1197" s="117"/>
      <c r="Q1197" s="118"/>
      <c r="R1197" s="118"/>
      <c r="S1197" s="118"/>
      <c r="T1197" s="12"/>
      <c r="U1197" s="118"/>
      <c r="V1197" s="118"/>
      <c r="W1197" s="12"/>
      <c r="X1197" s="119"/>
      <c r="Y1197" s="120"/>
      <c r="Z1197" s="12"/>
      <c r="BA1197" s="70" t="s">
        <v>205</v>
      </c>
      <c r="BB1197" s="71" t="s">
        <v>213</v>
      </c>
      <c r="BC1197" s="71" t="s">
        <v>207</v>
      </c>
      <c r="BD1197" s="71">
        <v>9.67</v>
      </c>
      <c r="BE1197" s="71">
        <v>9.67</v>
      </c>
      <c r="BF1197" s="71">
        <v>264</v>
      </c>
      <c r="BG1197" s="71">
        <v>212</v>
      </c>
      <c r="BH1197" s="71">
        <v>5</v>
      </c>
      <c r="BI1197" s="71">
        <v>8</v>
      </c>
      <c r="BJ1197" s="12" t="str" cm="1">
        <f t="array" ref="BJ1197">_xll.Dce_Name_SectI(BF1197, BF1197, BG1197, BH1197, BI1197, "x", "-", $AX$11)</f>
        <v>264x212x5x8</v>
      </c>
      <c r="BK1197" s="77" cm="1">
        <f t="array" ref="BK1197">_xll.DCEPropSectI(BF1197, BH1197, BG1197, BI1197, BG1197, BI1197, "A")/100</f>
        <v>46.32</v>
      </c>
      <c r="BL1197" s="70" t="s">
        <v>218</v>
      </c>
      <c r="BM1197" s="70">
        <v>-53.849437795160796</v>
      </c>
      <c r="BN1197" s="71">
        <v>0.9</v>
      </c>
      <c r="BO1197" s="77">
        <f t="shared" si="155"/>
        <v>8.7029999999999994</v>
      </c>
      <c r="BP1197" s="71">
        <v>0.9</v>
      </c>
      <c r="BQ1197" s="77">
        <f t="shared" si="156"/>
        <v>8.7029999999999994</v>
      </c>
      <c r="BR1197" s="77" cm="1">
        <f t="array" ref="BR1197">_xll.DCEPropSectI(BF1197, BH1197, BG1197, BI1197, BG1197, BI1197, "rx")/10</f>
        <v>11.562881075579337</v>
      </c>
      <c r="BS1197" s="77" cm="1">
        <f t="array" ref="BS1197">_xll.DCEPropSectI(BF1197, BH1197, BG1197, BI1197, BG1197, BI1197, "ry")/10</f>
        <v>5.237608536144422</v>
      </c>
      <c r="BT1197" s="5">
        <f t="shared" si="157"/>
        <v>75.26670855744274</v>
      </c>
      <c r="BU1197" s="5">
        <f t="shared" si="158"/>
        <v>166.16362104844453</v>
      </c>
      <c r="BV1197" s="5">
        <f t="shared" si="159"/>
        <v>166.16362104844453</v>
      </c>
      <c r="BW1197" s="71">
        <f t="shared" si="160"/>
        <v>200</v>
      </c>
      <c r="BX1197" s="78" cm="1">
        <f t="array" ref="BX1197">IF(BM1197&gt;0,1,_xll.DCETCVN5575FactorPhi7121(BV1197*SQRT($K$17/206000),"b"))</f>
        <v>0.24301446879398786</v>
      </c>
      <c r="BY1197" s="64">
        <f t="shared" si="161"/>
        <v>0.22780392169722502</v>
      </c>
      <c r="BZ1197" s="3" t="str">
        <f t="shared" si="162"/>
        <v>OK</v>
      </c>
    </row>
    <row r="1198" spans="1:78">
      <c r="A1198" s="76"/>
      <c r="B1198" s="76"/>
      <c r="C1198" s="125"/>
      <c r="D1198" s="125"/>
      <c r="E1198" s="71"/>
      <c r="F1198" s="71"/>
      <c r="G1198" s="71"/>
      <c r="H1198" s="126"/>
      <c r="I1198" s="125"/>
      <c r="J1198" s="123"/>
      <c r="K1198" s="12"/>
      <c r="L1198" s="117"/>
      <c r="M1198" s="12"/>
      <c r="N1198" s="117"/>
      <c r="O1198" s="117"/>
      <c r="P1198" s="117"/>
      <c r="Q1198" s="118"/>
      <c r="R1198" s="118"/>
      <c r="S1198" s="118"/>
      <c r="T1198" s="12"/>
      <c r="U1198" s="118"/>
      <c r="V1198" s="118"/>
      <c r="W1198" s="12"/>
      <c r="X1198" s="119"/>
      <c r="Y1198" s="120"/>
      <c r="Z1198" s="12"/>
      <c r="BA1198" s="70" t="s">
        <v>205</v>
      </c>
      <c r="BB1198" s="71" t="s">
        <v>213</v>
      </c>
      <c r="BC1198" s="71" t="s">
        <v>207</v>
      </c>
      <c r="BD1198" s="71">
        <v>0</v>
      </c>
      <c r="BE1198" s="71">
        <v>9.67</v>
      </c>
      <c r="BF1198" s="71">
        <v>264</v>
      </c>
      <c r="BG1198" s="71">
        <v>212</v>
      </c>
      <c r="BH1198" s="71">
        <v>5</v>
      </c>
      <c r="BI1198" s="71">
        <v>8</v>
      </c>
      <c r="BJ1198" s="12" t="str" cm="1">
        <f t="array" ref="BJ1198">_xll.Dce_Name_SectI(BF1198, BF1198, BG1198, BH1198, BI1198, "x", "-", $AX$11)</f>
        <v>264x212x5x8</v>
      </c>
      <c r="BK1198" s="77" cm="1">
        <f t="array" ref="BK1198">_xll.DCEPropSectI(BF1198, BH1198, BG1198, BI1198, BG1198, BI1198, "A")/100</f>
        <v>46.32</v>
      </c>
      <c r="BL1198" s="70" t="s">
        <v>219</v>
      </c>
      <c r="BM1198" s="70">
        <v>-26.005776708339098</v>
      </c>
      <c r="BN1198" s="71">
        <v>0.9</v>
      </c>
      <c r="BO1198" s="77">
        <f t="shared" si="155"/>
        <v>8.7029999999999994</v>
      </c>
      <c r="BP1198" s="71">
        <v>0.9</v>
      </c>
      <c r="BQ1198" s="77">
        <f t="shared" si="156"/>
        <v>8.7029999999999994</v>
      </c>
      <c r="BR1198" s="77" cm="1">
        <f t="array" ref="BR1198">_xll.DCEPropSectI(BF1198, BH1198, BG1198, BI1198, BG1198, BI1198, "rx")/10</f>
        <v>11.562881075579337</v>
      </c>
      <c r="BS1198" s="77" cm="1">
        <f t="array" ref="BS1198">_xll.DCEPropSectI(BF1198, BH1198, BG1198, BI1198, BG1198, BI1198, "ry")/10</f>
        <v>5.237608536144422</v>
      </c>
      <c r="BT1198" s="5">
        <f t="shared" si="157"/>
        <v>75.26670855744274</v>
      </c>
      <c r="BU1198" s="5">
        <f t="shared" si="158"/>
        <v>166.16362104844453</v>
      </c>
      <c r="BV1198" s="5">
        <f t="shared" si="159"/>
        <v>166.16362104844453</v>
      </c>
      <c r="BW1198" s="71">
        <f t="shared" si="160"/>
        <v>200</v>
      </c>
      <c r="BX1198" s="78" cm="1">
        <f t="array" ref="BX1198">IF(BM1198&gt;0,1,_xll.DCETCVN5575FactorPhi7121(BV1198*SQRT($K$17/206000),"b"))</f>
        <v>0.24301446879398786</v>
      </c>
      <c r="BY1198" s="64">
        <f t="shared" si="161"/>
        <v>0.11001448043853822</v>
      </c>
      <c r="BZ1198" s="3" t="str">
        <f t="shared" si="162"/>
        <v>OK</v>
      </c>
    </row>
    <row r="1199" spans="1:78">
      <c r="A1199" s="76"/>
      <c r="B1199" s="76"/>
      <c r="C1199" s="125"/>
      <c r="D1199" s="125"/>
      <c r="E1199" s="71"/>
      <c r="F1199" s="71"/>
      <c r="G1199" s="71"/>
      <c r="H1199" s="126"/>
      <c r="I1199" s="125"/>
      <c r="J1199" s="123"/>
      <c r="K1199" s="12"/>
      <c r="L1199" s="117"/>
      <c r="M1199" s="12"/>
      <c r="N1199" s="117"/>
      <c r="O1199" s="117"/>
      <c r="P1199" s="117"/>
      <c r="Q1199" s="118"/>
      <c r="R1199" s="118"/>
      <c r="S1199" s="118"/>
      <c r="T1199" s="12"/>
      <c r="U1199" s="118"/>
      <c r="V1199" s="118"/>
      <c r="W1199" s="12"/>
      <c r="X1199" s="119"/>
      <c r="Y1199" s="120"/>
      <c r="Z1199" s="12"/>
      <c r="BA1199" s="70" t="s">
        <v>205</v>
      </c>
      <c r="BB1199" s="71" t="s">
        <v>213</v>
      </c>
      <c r="BC1199" s="71" t="s">
        <v>207</v>
      </c>
      <c r="BD1199" s="71">
        <v>4.83</v>
      </c>
      <c r="BE1199" s="71">
        <v>9.67</v>
      </c>
      <c r="BF1199" s="71">
        <v>264</v>
      </c>
      <c r="BG1199" s="71">
        <v>212</v>
      </c>
      <c r="BH1199" s="71">
        <v>5</v>
      </c>
      <c r="BI1199" s="71">
        <v>8</v>
      </c>
      <c r="BJ1199" s="12" t="str" cm="1">
        <f t="array" ref="BJ1199">_xll.Dce_Name_SectI(BF1199, BF1199, BG1199, BH1199, BI1199, "x", "-", $AX$11)</f>
        <v>264x212x5x8</v>
      </c>
      <c r="BK1199" s="77" cm="1">
        <f t="array" ref="BK1199">_xll.DCEPropSectI(BF1199, BH1199, BG1199, BI1199, BG1199, BI1199, "A")/100</f>
        <v>46.32</v>
      </c>
      <c r="BL1199" s="70" t="s">
        <v>219</v>
      </c>
      <c r="BM1199" s="70">
        <v>-27.09321854096984</v>
      </c>
      <c r="BN1199" s="71">
        <v>0.9</v>
      </c>
      <c r="BO1199" s="77">
        <f t="shared" si="155"/>
        <v>8.7029999999999994</v>
      </c>
      <c r="BP1199" s="71">
        <v>0.9</v>
      </c>
      <c r="BQ1199" s="77">
        <f t="shared" si="156"/>
        <v>8.7029999999999994</v>
      </c>
      <c r="BR1199" s="77" cm="1">
        <f t="array" ref="BR1199">_xll.DCEPropSectI(BF1199, BH1199, BG1199, BI1199, BG1199, BI1199, "rx")/10</f>
        <v>11.562881075579337</v>
      </c>
      <c r="BS1199" s="77" cm="1">
        <f t="array" ref="BS1199">_xll.DCEPropSectI(BF1199, BH1199, BG1199, BI1199, BG1199, BI1199, "ry")/10</f>
        <v>5.237608536144422</v>
      </c>
      <c r="BT1199" s="5">
        <f t="shared" si="157"/>
        <v>75.26670855744274</v>
      </c>
      <c r="BU1199" s="5">
        <f t="shared" si="158"/>
        <v>166.16362104844453</v>
      </c>
      <c r="BV1199" s="5">
        <f t="shared" si="159"/>
        <v>166.16362104844453</v>
      </c>
      <c r="BW1199" s="71">
        <f t="shared" si="160"/>
        <v>200</v>
      </c>
      <c r="BX1199" s="78" cm="1">
        <f t="array" ref="BX1199">IF(BM1199&gt;0,1,_xll.DCETCVN5575FactorPhi7121(BV1199*SQRT($K$17/206000),"b"))</f>
        <v>0.24301446879398786</v>
      </c>
      <c r="BY1199" s="64">
        <f t="shared" si="161"/>
        <v>0.1146147794246339</v>
      </c>
      <c r="BZ1199" s="3" t="str">
        <f t="shared" si="162"/>
        <v>OK</v>
      </c>
    </row>
    <row r="1200" spans="1:78">
      <c r="A1200" s="76"/>
      <c r="B1200" s="76"/>
      <c r="C1200" s="125"/>
      <c r="D1200" s="125"/>
      <c r="E1200" s="71"/>
      <c r="F1200" s="71"/>
      <c r="G1200" s="71"/>
      <c r="H1200" s="126"/>
      <c r="I1200" s="125"/>
      <c r="J1200" s="123"/>
      <c r="K1200" s="12"/>
      <c r="L1200" s="117"/>
      <c r="M1200" s="12"/>
      <c r="N1200" s="117"/>
      <c r="O1200" s="117"/>
      <c r="P1200" s="117"/>
      <c r="Q1200" s="118"/>
      <c r="R1200" s="118"/>
      <c r="S1200" s="118"/>
      <c r="T1200" s="12"/>
      <c r="U1200" s="118"/>
      <c r="V1200" s="118"/>
      <c r="W1200" s="12"/>
      <c r="X1200" s="119"/>
      <c r="Y1200" s="120"/>
      <c r="Z1200" s="12"/>
      <c r="BA1200" s="70" t="s">
        <v>205</v>
      </c>
      <c r="BB1200" s="71" t="s">
        <v>213</v>
      </c>
      <c r="BC1200" s="71" t="s">
        <v>207</v>
      </c>
      <c r="BD1200" s="71">
        <v>9.67</v>
      </c>
      <c r="BE1200" s="71">
        <v>9.67</v>
      </c>
      <c r="BF1200" s="71">
        <v>264</v>
      </c>
      <c r="BG1200" s="71">
        <v>212</v>
      </c>
      <c r="BH1200" s="71">
        <v>5</v>
      </c>
      <c r="BI1200" s="71">
        <v>8</v>
      </c>
      <c r="BJ1200" s="12" t="str" cm="1">
        <f t="array" ref="BJ1200">_xll.Dce_Name_SectI(BF1200, BF1200, BG1200, BH1200, BI1200, "x", "-", $AX$11)</f>
        <v>264x212x5x8</v>
      </c>
      <c r="BK1200" s="77" cm="1">
        <f t="array" ref="BK1200">_xll.DCEPropSectI(BF1200, BH1200, BG1200, BI1200, BG1200, BI1200, "A")/100</f>
        <v>46.32</v>
      </c>
      <c r="BL1200" s="70" t="s">
        <v>219</v>
      </c>
      <c r="BM1200" s="70">
        <v>-28.180660373600578</v>
      </c>
      <c r="BN1200" s="71">
        <v>0.9</v>
      </c>
      <c r="BO1200" s="77">
        <f t="shared" si="155"/>
        <v>8.7029999999999994</v>
      </c>
      <c r="BP1200" s="71">
        <v>0.9</v>
      </c>
      <c r="BQ1200" s="77">
        <f t="shared" si="156"/>
        <v>8.7029999999999994</v>
      </c>
      <c r="BR1200" s="77" cm="1">
        <f t="array" ref="BR1200">_xll.DCEPropSectI(BF1200, BH1200, BG1200, BI1200, BG1200, BI1200, "rx")/10</f>
        <v>11.562881075579337</v>
      </c>
      <c r="BS1200" s="77" cm="1">
        <f t="array" ref="BS1200">_xll.DCEPropSectI(BF1200, BH1200, BG1200, BI1200, BG1200, BI1200, "ry")/10</f>
        <v>5.237608536144422</v>
      </c>
      <c r="BT1200" s="5">
        <f t="shared" si="157"/>
        <v>75.26670855744274</v>
      </c>
      <c r="BU1200" s="5">
        <f t="shared" si="158"/>
        <v>166.16362104844453</v>
      </c>
      <c r="BV1200" s="5">
        <f t="shared" si="159"/>
        <v>166.16362104844453</v>
      </c>
      <c r="BW1200" s="71">
        <f t="shared" si="160"/>
        <v>200</v>
      </c>
      <c r="BX1200" s="78" cm="1">
        <f t="array" ref="BX1200">IF(BM1200&gt;0,1,_xll.DCETCVN5575FactorPhi7121(BV1200*SQRT($K$17/206000),"b"))</f>
        <v>0.24301446879398786</v>
      </c>
      <c r="BY1200" s="64">
        <f t="shared" si="161"/>
        <v>0.11921507841072956</v>
      </c>
      <c r="BZ1200" s="3" t="str">
        <f t="shared" si="162"/>
        <v>OK</v>
      </c>
    </row>
    <row r="1201" spans="1:78">
      <c r="A1201" s="76"/>
      <c r="B1201" s="76"/>
      <c r="C1201" s="125"/>
      <c r="D1201" s="125"/>
      <c r="E1201" s="71"/>
      <c r="F1201" s="71"/>
      <c r="G1201" s="71"/>
      <c r="H1201" s="126"/>
      <c r="I1201" s="125"/>
      <c r="J1201" s="123"/>
      <c r="K1201" s="12"/>
      <c r="L1201" s="117"/>
      <c r="M1201" s="12"/>
      <c r="N1201" s="117"/>
      <c r="O1201" s="117"/>
      <c r="P1201" s="117"/>
      <c r="Q1201" s="118"/>
      <c r="R1201" s="118"/>
      <c r="S1201" s="118"/>
      <c r="T1201" s="12"/>
      <c r="U1201" s="118"/>
      <c r="V1201" s="118"/>
      <c r="W1201" s="12"/>
      <c r="X1201" s="119"/>
      <c r="Y1201" s="120"/>
      <c r="Z1201" s="12"/>
      <c r="BA1201" s="70" t="s">
        <v>205</v>
      </c>
      <c r="BB1201" s="71" t="s">
        <v>213</v>
      </c>
      <c r="BC1201" s="71" t="s">
        <v>207</v>
      </c>
      <c r="BD1201" s="71">
        <v>0</v>
      </c>
      <c r="BE1201" s="71">
        <v>9.67</v>
      </c>
      <c r="BF1201" s="71">
        <v>264</v>
      </c>
      <c r="BG1201" s="71">
        <v>212</v>
      </c>
      <c r="BH1201" s="71">
        <v>5</v>
      </c>
      <c r="BI1201" s="71">
        <v>8</v>
      </c>
      <c r="BJ1201" s="12" t="str" cm="1">
        <f t="array" ref="BJ1201">_xll.Dce_Name_SectI(BF1201, BF1201, BG1201, BH1201, BI1201, "x", "-", $AX$11)</f>
        <v>264x212x5x8</v>
      </c>
      <c r="BK1201" s="77" cm="1">
        <f t="array" ref="BK1201">_xll.DCEPropSectI(BF1201, BH1201, BG1201, BI1201, BG1201, BI1201, "A")/100</f>
        <v>46.32</v>
      </c>
      <c r="BL1201" s="70" t="s">
        <v>220</v>
      </c>
      <c r="BM1201" s="70">
        <v>-32.154613914346442</v>
      </c>
      <c r="BN1201" s="71">
        <v>0.9</v>
      </c>
      <c r="BO1201" s="77">
        <f t="shared" si="155"/>
        <v>8.7029999999999994</v>
      </c>
      <c r="BP1201" s="71">
        <v>0.9</v>
      </c>
      <c r="BQ1201" s="77">
        <f t="shared" si="156"/>
        <v>8.7029999999999994</v>
      </c>
      <c r="BR1201" s="77" cm="1">
        <f t="array" ref="BR1201">_xll.DCEPropSectI(BF1201, BH1201, BG1201, BI1201, BG1201, BI1201, "rx")/10</f>
        <v>11.562881075579337</v>
      </c>
      <c r="BS1201" s="77" cm="1">
        <f t="array" ref="BS1201">_xll.DCEPropSectI(BF1201, BH1201, BG1201, BI1201, BG1201, BI1201, "ry")/10</f>
        <v>5.237608536144422</v>
      </c>
      <c r="BT1201" s="5">
        <f t="shared" si="157"/>
        <v>75.26670855744274</v>
      </c>
      <c r="BU1201" s="5">
        <f t="shared" si="158"/>
        <v>166.16362104844453</v>
      </c>
      <c r="BV1201" s="5">
        <f t="shared" si="159"/>
        <v>166.16362104844453</v>
      </c>
      <c r="BW1201" s="71">
        <f t="shared" si="160"/>
        <v>200</v>
      </c>
      <c r="BX1201" s="78" cm="1">
        <f t="array" ref="BX1201">IF(BM1201&gt;0,1,_xll.DCETCVN5575FactorPhi7121(BV1201*SQRT($K$17/206000),"b"))</f>
        <v>0.24301446879398786</v>
      </c>
      <c r="BY1201" s="64">
        <f t="shared" si="161"/>
        <v>0.13602643686294044</v>
      </c>
      <c r="BZ1201" s="3" t="str">
        <f t="shared" si="162"/>
        <v>OK</v>
      </c>
    </row>
    <row r="1202" spans="1:78">
      <c r="A1202" s="76"/>
      <c r="B1202" s="76"/>
      <c r="C1202" s="125"/>
      <c r="D1202" s="125"/>
      <c r="E1202" s="71"/>
      <c r="F1202" s="71"/>
      <c r="G1202" s="71"/>
      <c r="H1202" s="126"/>
      <c r="I1202" s="125"/>
      <c r="J1202" s="123"/>
      <c r="K1202" s="12"/>
      <c r="L1202" s="117"/>
      <c r="M1202" s="12"/>
      <c r="N1202" s="117"/>
      <c r="O1202" s="117"/>
      <c r="P1202" s="117"/>
      <c r="Q1202" s="118"/>
      <c r="R1202" s="118"/>
      <c r="S1202" s="118"/>
      <c r="T1202" s="12"/>
      <c r="U1202" s="118"/>
      <c r="V1202" s="118"/>
      <c r="W1202" s="12"/>
      <c r="X1202" s="119"/>
      <c r="Y1202" s="120"/>
      <c r="Z1202" s="12"/>
      <c r="BA1202" s="70" t="s">
        <v>205</v>
      </c>
      <c r="BB1202" s="71" t="s">
        <v>213</v>
      </c>
      <c r="BC1202" s="71" t="s">
        <v>207</v>
      </c>
      <c r="BD1202" s="71">
        <v>4.83</v>
      </c>
      <c r="BE1202" s="71">
        <v>9.67</v>
      </c>
      <c r="BF1202" s="71">
        <v>264</v>
      </c>
      <c r="BG1202" s="71">
        <v>212</v>
      </c>
      <c r="BH1202" s="71">
        <v>5</v>
      </c>
      <c r="BI1202" s="71">
        <v>8</v>
      </c>
      <c r="BJ1202" s="12" t="str" cm="1">
        <f t="array" ref="BJ1202">_xll.Dce_Name_SectI(BF1202, BF1202, BG1202, BH1202, BI1202, "x", "-", $AX$11)</f>
        <v>264x212x5x8</v>
      </c>
      <c r="BK1202" s="77" cm="1">
        <f t="array" ref="BK1202">_xll.DCEPropSectI(BF1202, BH1202, BG1202, BI1202, BG1202, BI1202, "A")/100</f>
        <v>46.32</v>
      </c>
      <c r="BL1202" s="70" t="s">
        <v>220</v>
      </c>
      <c r="BM1202" s="70">
        <v>-33.242055746977186</v>
      </c>
      <c r="BN1202" s="71">
        <v>0.9</v>
      </c>
      <c r="BO1202" s="77">
        <f t="shared" si="155"/>
        <v>8.7029999999999994</v>
      </c>
      <c r="BP1202" s="71">
        <v>0.9</v>
      </c>
      <c r="BQ1202" s="77">
        <f t="shared" si="156"/>
        <v>8.7029999999999994</v>
      </c>
      <c r="BR1202" s="77" cm="1">
        <f t="array" ref="BR1202">_xll.DCEPropSectI(BF1202, BH1202, BG1202, BI1202, BG1202, BI1202, "rx")/10</f>
        <v>11.562881075579337</v>
      </c>
      <c r="BS1202" s="77" cm="1">
        <f t="array" ref="BS1202">_xll.DCEPropSectI(BF1202, BH1202, BG1202, BI1202, BG1202, BI1202, "ry")/10</f>
        <v>5.237608536144422</v>
      </c>
      <c r="BT1202" s="5">
        <f t="shared" si="157"/>
        <v>75.26670855744274</v>
      </c>
      <c r="BU1202" s="5">
        <f t="shared" si="158"/>
        <v>166.16362104844453</v>
      </c>
      <c r="BV1202" s="5">
        <f t="shared" si="159"/>
        <v>166.16362104844453</v>
      </c>
      <c r="BW1202" s="71">
        <f t="shared" si="160"/>
        <v>200</v>
      </c>
      <c r="BX1202" s="78" cm="1">
        <f t="array" ref="BX1202">IF(BM1202&gt;0,1,_xll.DCETCVN5575FactorPhi7121(BV1202*SQRT($K$17/206000),"b"))</f>
        <v>0.24301446879398786</v>
      </c>
      <c r="BY1202" s="64">
        <f t="shared" si="161"/>
        <v>0.14062673584903615</v>
      </c>
      <c r="BZ1202" s="3" t="str">
        <f t="shared" si="162"/>
        <v>OK</v>
      </c>
    </row>
    <row r="1203" spans="1:78">
      <c r="A1203" s="76"/>
      <c r="B1203" s="76"/>
      <c r="C1203" s="125"/>
      <c r="D1203" s="125"/>
      <c r="E1203" s="71"/>
      <c r="F1203" s="71"/>
      <c r="G1203" s="71"/>
      <c r="H1203" s="126"/>
      <c r="I1203" s="125"/>
      <c r="J1203" s="123"/>
      <c r="K1203" s="12"/>
      <c r="L1203" s="117"/>
      <c r="M1203" s="12"/>
      <c r="N1203" s="117"/>
      <c r="O1203" s="117"/>
      <c r="P1203" s="117"/>
      <c r="Q1203" s="118"/>
      <c r="R1203" s="118"/>
      <c r="S1203" s="118"/>
      <c r="T1203" s="12"/>
      <c r="U1203" s="118"/>
      <c r="V1203" s="118"/>
      <c r="W1203" s="12"/>
      <c r="X1203" s="119"/>
      <c r="Y1203" s="120"/>
      <c r="Z1203" s="12"/>
      <c r="BA1203" s="70" t="s">
        <v>205</v>
      </c>
      <c r="BB1203" s="71" t="s">
        <v>213</v>
      </c>
      <c r="BC1203" s="71" t="s">
        <v>207</v>
      </c>
      <c r="BD1203" s="71">
        <v>9.67</v>
      </c>
      <c r="BE1203" s="71">
        <v>9.67</v>
      </c>
      <c r="BF1203" s="71">
        <v>264</v>
      </c>
      <c r="BG1203" s="71">
        <v>212</v>
      </c>
      <c r="BH1203" s="71">
        <v>5</v>
      </c>
      <c r="BI1203" s="71">
        <v>8</v>
      </c>
      <c r="BJ1203" s="12" t="str" cm="1">
        <f t="array" ref="BJ1203">_xll.Dce_Name_SectI(BF1203, BF1203, BG1203, BH1203, BI1203, "x", "-", $AX$11)</f>
        <v>264x212x5x8</v>
      </c>
      <c r="BK1203" s="77" cm="1">
        <f t="array" ref="BK1203">_xll.DCEPropSectI(BF1203, BH1203, BG1203, BI1203, BG1203, BI1203, "A")/100</f>
        <v>46.32</v>
      </c>
      <c r="BL1203" s="70" t="s">
        <v>220</v>
      </c>
      <c r="BM1203" s="70">
        <v>-34.329497579607917</v>
      </c>
      <c r="BN1203" s="71">
        <v>0.9</v>
      </c>
      <c r="BO1203" s="77">
        <f t="shared" si="155"/>
        <v>8.7029999999999994</v>
      </c>
      <c r="BP1203" s="71">
        <v>0.9</v>
      </c>
      <c r="BQ1203" s="77">
        <f t="shared" si="156"/>
        <v>8.7029999999999994</v>
      </c>
      <c r="BR1203" s="77" cm="1">
        <f t="array" ref="BR1203">_xll.DCEPropSectI(BF1203, BH1203, BG1203, BI1203, BG1203, BI1203, "rx")/10</f>
        <v>11.562881075579337</v>
      </c>
      <c r="BS1203" s="77" cm="1">
        <f t="array" ref="BS1203">_xll.DCEPropSectI(BF1203, BH1203, BG1203, BI1203, BG1203, BI1203, "ry")/10</f>
        <v>5.237608536144422</v>
      </c>
      <c r="BT1203" s="5">
        <f t="shared" si="157"/>
        <v>75.26670855744274</v>
      </c>
      <c r="BU1203" s="5">
        <f t="shared" si="158"/>
        <v>166.16362104844453</v>
      </c>
      <c r="BV1203" s="5">
        <f t="shared" si="159"/>
        <v>166.16362104844453</v>
      </c>
      <c r="BW1203" s="71">
        <f t="shared" si="160"/>
        <v>200</v>
      </c>
      <c r="BX1203" s="78" cm="1">
        <f t="array" ref="BX1203">IF(BM1203&gt;0,1,_xll.DCETCVN5575FactorPhi7121(BV1203*SQRT($K$17/206000),"b"))</f>
        <v>0.24301446879398786</v>
      </c>
      <c r="BY1203" s="64">
        <f t="shared" si="161"/>
        <v>0.14522703483513177</v>
      </c>
      <c r="BZ1203" s="3" t="str">
        <f t="shared" si="162"/>
        <v>OK</v>
      </c>
    </row>
    <row r="1204" spans="1:78">
      <c r="A1204" s="76"/>
      <c r="B1204" s="76"/>
      <c r="C1204" s="125"/>
      <c r="D1204" s="125"/>
      <c r="E1204" s="71"/>
      <c r="F1204" s="71"/>
      <c r="G1204" s="71"/>
      <c r="H1204" s="126"/>
      <c r="I1204" s="125"/>
      <c r="J1204" s="123"/>
      <c r="K1204" s="12"/>
      <c r="L1204" s="117"/>
      <c r="M1204" s="12"/>
      <c r="N1204" s="117"/>
      <c r="O1204" s="117"/>
      <c r="P1204" s="117"/>
      <c r="Q1204" s="118"/>
      <c r="R1204" s="118"/>
      <c r="S1204" s="118"/>
      <c r="T1204" s="12"/>
      <c r="U1204" s="118"/>
      <c r="V1204" s="118"/>
      <c r="W1204" s="12"/>
      <c r="X1204" s="119"/>
      <c r="Y1204" s="120"/>
      <c r="Z1204" s="12"/>
      <c r="BA1204" s="70" t="s">
        <v>205</v>
      </c>
      <c r="BB1204" s="71" t="s">
        <v>213</v>
      </c>
      <c r="BC1204" s="71" t="s">
        <v>207</v>
      </c>
      <c r="BD1204" s="71">
        <v>0</v>
      </c>
      <c r="BE1204" s="71">
        <v>9.67</v>
      </c>
      <c r="BF1204" s="71">
        <v>264</v>
      </c>
      <c r="BG1204" s="71">
        <v>212</v>
      </c>
      <c r="BH1204" s="71">
        <v>5</v>
      </c>
      <c r="BI1204" s="71">
        <v>8</v>
      </c>
      <c r="BJ1204" s="12" t="str" cm="1">
        <f t="array" ref="BJ1204">_xll.Dce_Name_SectI(BF1204, BF1204, BG1204, BH1204, BI1204, "x", "-", $AX$11)</f>
        <v>264x212x5x8</v>
      </c>
      <c r="BK1204" s="77" cm="1">
        <f t="array" ref="BK1204">_xll.DCEPropSectI(BF1204, BH1204, BG1204, BI1204, BG1204, BI1204, "A")/100</f>
        <v>46.32</v>
      </c>
      <c r="BL1204" s="70" t="s">
        <v>221</v>
      </c>
      <c r="BM1204" s="70">
        <v>-32.504220547525676</v>
      </c>
      <c r="BN1204" s="71">
        <v>0.9</v>
      </c>
      <c r="BO1204" s="77">
        <f t="shared" si="155"/>
        <v>8.7029999999999994</v>
      </c>
      <c r="BP1204" s="71">
        <v>0.9</v>
      </c>
      <c r="BQ1204" s="77">
        <f t="shared" si="156"/>
        <v>8.7029999999999994</v>
      </c>
      <c r="BR1204" s="77" cm="1">
        <f t="array" ref="BR1204">_xll.DCEPropSectI(BF1204, BH1204, BG1204, BI1204, BG1204, BI1204, "rx")/10</f>
        <v>11.562881075579337</v>
      </c>
      <c r="BS1204" s="77" cm="1">
        <f t="array" ref="BS1204">_xll.DCEPropSectI(BF1204, BH1204, BG1204, BI1204, BG1204, BI1204, "ry")/10</f>
        <v>5.237608536144422</v>
      </c>
      <c r="BT1204" s="5">
        <f t="shared" si="157"/>
        <v>75.26670855744274</v>
      </c>
      <c r="BU1204" s="5">
        <f t="shared" si="158"/>
        <v>166.16362104844453</v>
      </c>
      <c r="BV1204" s="5">
        <f t="shared" si="159"/>
        <v>166.16362104844453</v>
      </c>
      <c r="BW1204" s="71">
        <f t="shared" si="160"/>
        <v>200</v>
      </c>
      <c r="BX1204" s="78" cm="1">
        <f t="array" ref="BX1204">IF(BM1204&gt;0,1,_xll.DCETCVN5575FactorPhi7121(BV1204*SQRT($K$17/206000),"b"))</f>
        <v>0.24301446879398786</v>
      </c>
      <c r="BY1204" s="64">
        <f t="shared" si="161"/>
        <v>0.13750540795995625</v>
      </c>
      <c r="BZ1204" s="3" t="str">
        <f t="shared" si="162"/>
        <v>OK</v>
      </c>
    </row>
    <row r="1205" spans="1:78">
      <c r="A1205" s="76"/>
      <c r="B1205" s="76"/>
      <c r="C1205" s="125"/>
      <c r="D1205" s="125"/>
      <c r="E1205" s="71"/>
      <c r="F1205" s="71"/>
      <c r="G1205" s="71"/>
      <c r="H1205" s="126"/>
      <c r="I1205" s="125"/>
      <c r="J1205" s="123"/>
      <c r="K1205" s="12"/>
      <c r="L1205" s="117"/>
      <c r="M1205" s="12"/>
      <c r="N1205" s="117"/>
      <c r="O1205" s="117"/>
      <c r="P1205" s="117"/>
      <c r="Q1205" s="118"/>
      <c r="R1205" s="118"/>
      <c r="S1205" s="118"/>
      <c r="T1205" s="12"/>
      <c r="U1205" s="118"/>
      <c r="V1205" s="118"/>
      <c r="W1205" s="12"/>
      <c r="X1205" s="119"/>
      <c r="Y1205" s="120"/>
      <c r="Z1205" s="12"/>
      <c r="BA1205" s="70" t="s">
        <v>205</v>
      </c>
      <c r="BB1205" s="71" t="s">
        <v>213</v>
      </c>
      <c r="BC1205" s="71" t="s">
        <v>207</v>
      </c>
      <c r="BD1205" s="71">
        <v>4.83</v>
      </c>
      <c r="BE1205" s="71">
        <v>9.67</v>
      </c>
      <c r="BF1205" s="71">
        <v>264</v>
      </c>
      <c r="BG1205" s="71">
        <v>212</v>
      </c>
      <c r="BH1205" s="71">
        <v>5</v>
      </c>
      <c r="BI1205" s="71">
        <v>8</v>
      </c>
      <c r="BJ1205" s="12" t="str" cm="1">
        <f t="array" ref="BJ1205">_xll.Dce_Name_SectI(BF1205, BF1205, BG1205, BH1205, BI1205, "x", "-", $AX$11)</f>
        <v>264x212x5x8</v>
      </c>
      <c r="BK1205" s="77" cm="1">
        <f t="array" ref="BK1205">_xll.DCEPropSectI(BF1205, BH1205, BG1205, BI1205, BG1205, BI1205, "A")/100</f>
        <v>46.32</v>
      </c>
      <c r="BL1205" s="70" t="s">
        <v>221</v>
      </c>
      <c r="BM1205" s="70">
        <v>-33.591662380156421</v>
      </c>
      <c r="BN1205" s="71">
        <v>0.9</v>
      </c>
      <c r="BO1205" s="77">
        <f t="shared" si="155"/>
        <v>8.7029999999999994</v>
      </c>
      <c r="BP1205" s="71">
        <v>0.9</v>
      </c>
      <c r="BQ1205" s="77">
        <f t="shared" si="156"/>
        <v>8.7029999999999994</v>
      </c>
      <c r="BR1205" s="77" cm="1">
        <f t="array" ref="BR1205">_xll.DCEPropSectI(BF1205, BH1205, BG1205, BI1205, BG1205, BI1205, "rx")/10</f>
        <v>11.562881075579337</v>
      </c>
      <c r="BS1205" s="77" cm="1">
        <f t="array" ref="BS1205">_xll.DCEPropSectI(BF1205, BH1205, BG1205, BI1205, BG1205, BI1205, "ry")/10</f>
        <v>5.237608536144422</v>
      </c>
      <c r="BT1205" s="5">
        <f t="shared" si="157"/>
        <v>75.26670855744274</v>
      </c>
      <c r="BU1205" s="5">
        <f t="shared" si="158"/>
        <v>166.16362104844453</v>
      </c>
      <c r="BV1205" s="5">
        <f t="shared" si="159"/>
        <v>166.16362104844453</v>
      </c>
      <c r="BW1205" s="71">
        <f t="shared" si="160"/>
        <v>200</v>
      </c>
      <c r="BX1205" s="78" cm="1">
        <f t="array" ref="BX1205">IF(BM1205&gt;0,1,_xll.DCETCVN5575FactorPhi7121(BV1205*SQRT($K$17/206000),"b"))</f>
        <v>0.24301446879398786</v>
      </c>
      <c r="BY1205" s="64">
        <f t="shared" si="161"/>
        <v>0.14210570694605193</v>
      </c>
      <c r="BZ1205" s="3" t="str">
        <f t="shared" si="162"/>
        <v>OK</v>
      </c>
    </row>
    <row r="1206" spans="1:78">
      <c r="A1206" s="76"/>
      <c r="B1206" s="76"/>
      <c r="C1206" s="125"/>
      <c r="D1206" s="125"/>
      <c r="E1206" s="71"/>
      <c r="F1206" s="71"/>
      <c r="G1206" s="71"/>
      <c r="H1206" s="126"/>
      <c r="I1206" s="125"/>
      <c r="J1206" s="123"/>
      <c r="K1206" s="12"/>
      <c r="L1206" s="117"/>
      <c r="M1206" s="12"/>
      <c r="N1206" s="117"/>
      <c r="O1206" s="117"/>
      <c r="P1206" s="117"/>
      <c r="Q1206" s="118"/>
      <c r="R1206" s="118"/>
      <c r="S1206" s="118"/>
      <c r="T1206" s="12"/>
      <c r="U1206" s="118"/>
      <c r="V1206" s="118"/>
      <c r="W1206" s="12"/>
      <c r="X1206" s="119"/>
      <c r="Y1206" s="120"/>
      <c r="Z1206" s="12"/>
      <c r="BA1206" s="70" t="s">
        <v>205</v>
      </c>
      <c r="BB1206" s="71" t="s">
        <v>213</v>
      </c>
      <c r="BC1206" s="71" t="s">
        <v>207</v>
      </c>
      <c r="BD1206" s="71">
        <v>9.67</v>
      </c>
      <c r="BE1206" s="71">
        <v>9.67</v>
      </c>
      <c r="BF1206" s="71">
        <v>264</v>
      </c>
      <c r="BG1206" s="71">
        <v>212</v>
      </c>
      <c r="BH1206" s="71">
        <v>5</v>
      </c>
      <c r="BI1206" s="71">
        <v>8</v>
      </c>
      <c r="BJ1206" s="12" t="str" cm="1">
        <f t="array" ref="BJ1206">_xll.Dce_Name_SectI(BF1206, BF1206, BG1206, BH1206, BI1206, "x", "-", $AX$11)</f>
        <v>264x212x5x8</v>
      </c>
      <c r="BK1206" s="77" cm="1">
        <f t="array" ref="BK1206">_xll.DCEPropSectI(BF1206, BH1206, BG1206, BI1206, BG1206, BI1206, "A")/100</f>
        <v>46.32</v>
      </c>
      <c r="BL1206" s="70" t="s">
        <v>221</v>
      </c>
      <c r="BM1206" s="70">
        <v>-34.679104212787152</v>
      </c>
      <c r="BN1206" s="71">
        <v>0.9</v>
      </c>
      <c r="BO1206" s="77">
        <f t="shared" si="155"/>
        <v>8.7029999999999994</v>
      </c>
      <c r="BP1206" s="71">
        <v>0.9</v>
      </c>
      <c r="BQ1206" s="77">
        <f t="shared" si="156"/>
        <v>8.7029999999999994</v>
      </c>
      <c r="BR1206" s="77" cm="1">
        <f t="array" ref="BR1206">_xll.DCEPropSectI(BF1206, BH1206, BG1206, BI1206, BG1206, BI1206, "rx")/10</f>
        <v>11.562881075579337</v>
      </c>
      <c r="BS1206" s="77" cm="1">
        <f t="array" ref="BS1206">_xll.DCEPropSectI(BF1206, BH1206, BG1206, BI1206, BG1206, BI1206, "ry")/10</f>
        <v>5.237608536144422</v>
      </c>
      <c r="BT1206" s="5">
        <f t="shared" si="157"/>
        <v>75.26670855744274</v>
      </c>
      <c r="BU1206" s="5">
        <f t="shared" si="158"/>
        <v>166.16362104844453</v>
      </c>
      <c r="BV1206" s="5">
        <f t="shared" si="159"/>
        <v>166.16362104844453</v>
      </c>
      <c r="BW1206" s="71">
        <f t="shared" si="160"/>
        <v>200</v>
      </c>
      <c r="BX1206" s="78" cm="1">
        <f t="array" ref="BX1206">IF(BM1206&gt;0,1,_xll.DCETCVN5575FactorPhi7121(BV1206*SQRT($K$17/206000),"b"))</f>
        <v>0.24301446879398786</v>
      </c>
      <c r="BY1206" s="64">
        <f t="shared" si="161"/>
        <v>0.14670600593214755</v>
      </c>
      <c r="BZ1206" s="3" t="str">
        <f t="shared" si="162"/>
        <v>OK</v>
      </c>
    </row>
    <row r="1207" spans="1:78">
      <c r="A1207" s="76"/>
      <c r="B1207" s="76"/>
      <c r="C1207" s="125"/>
      <c r="D1207" s="125"/>
      <c r="E1207" s="71"/>
      <c r="F1207" s="71"/>
      <c r="G1207" s="71"/>
      <c r="H1207" s="126"/>
      <c r="I1207" s="125"/>
      <c r="J1207" s="123"/>
      <c r="K1207" s="12"/>
      <c r="L1207" s="117"/>
      <c r="M1207" s="12"/>
      <c r="N1207" s="117"/>
      <c r="O1207" s="117"/>
      <c r="P1207" s="117"/>
      <c r="Q1207" s="118"/>
      <c r="R1207" s="118"/>
      <c r="S1207" s="118"/>
      <c r="T1207" s="12"/>
      <c r="U1207" s="118"/>
      <c r="V1207" s="118"/>
      <c r="W1207" s="12"/>
      <c r="X1207" s="119"/>
      <c r="Y1207" s="120"/>
      <c r="Z1207" s="12"/>
      <c r="BA1207" s="70" t="s">
        <v>205</v>
      </c>
      <c r="BB1207" s="71" t="s">
        <v>213</v>
      </c>
      <c r="BC1207" s="71" t="s">
        <v>207</v>
      </c>
      <c r="BD1207" s="71">
        <v>0</v>
      </c>
      <c r="BE1207" s="71">
        <v>9.67</v>
      </c>
      <c r="BF1207" s="71">
        <v>264</v>
      </c>
      <c r="BG1207" s="71">
        <v>212</v>
      </c>
      <c r="BH1207" s="71">
        <v>5</v>
      </c>
      <c r="BI1207" s="71">
        <v>8</v>
      </c>
      <c r="BJ1207" s="12" t="str" cm="1">
        <f t="array" ref="BJ1207">_xll.Dce_Name_SectI(BF1207, BF1207, BG1207, BH1207, BI1207, "x", "-", $AX$11)</f>
        <v>264x212x5x8</v>
      </c>
      <c r="BK1207" s="77" cm="1">
        <f t="array" ref="BK1207">_xll.DCEPropSectI(BF1207, BH1207, BG1207, BI1207, BG1207, BI1207, "A")/100</f>
        <v>46.32</v>
      </c>
      <c r="BL1207" s="70" t="s">
        <v>222</v>
      </c>
      <c r="BM1207" s="70">
        <v>-34.634445836036861</v>
      </c>
      <c r="BN1207" s="71">
        <v>0.9</v>
      </c>
      <c r="BO1207" s="77">
        <f t="shared" si="155"/>
        <v>8.7029999999999994</v>
      </c>
      <c r="BP1207" s="71">
        <v>0.9</v>
      </c>
      <c r="BQ1207" s="77">
        <f t="shared" si="156"/>
        <v>8.7029999999999994</v>
      </c>
      <c r="BR1207" s="77" cm="1">
        <f t="array" ref="BR1207">_xll.DCEPropSectI(BF1207, BH1207, BG1207, BI1207, BG1207, BI1207, "rx")/10</f>
        <v>11.562881075579337</v>
      </c>
      <c r="BS1207" s="77" cm="1">
        <f t="array" ref="BS1207">_xll.DCEPropSectI(BF1207, BH1207, BG1207, BI1207, BG1207, BI1207, "ry")/10</f>
        <v>5.237608536144422</v>
      </c>
      <c r="BT1207" s="5">
        <f t="shared" si="157"/>
        <v>75.26670855744274</v>
      </c>
      <c r="BU1207" s="5">
        <f t="shared" si="158"/>
        <v>166.16362104844453</v>
      </c>
      <c r="BV1207" s="5">
        <f t="shared" si="159"/>
        <v>166.16362104844453</v>
      </c>
      <c r="BW1207" s="71">
        <f t="shared" si="160"/>
        <v>200</v>
      </c>
      <c r="BX1207" s="78" cm="1">
        <f t="array" ref="BX1207">IF(BM1207&gt;0,1,_xll.DCETCVN5575FactorPhi7121(BV1207*SQRT($K$17/206000),"b"))</f>
        <v>0.24301446879398786</v>
      </c>
      <c r="BY1207" s="64">
        <f t="shared" si="161"/>
        <v>0.14651708374879913</v>
      </c>
      <c r="BZ1207" s="3" t="str">
        <f t="shared" si="162"/>
        <v>OK</v>
      </c>
    </row>
    <row r="1208" spans="1:78">
      <c r="A1208" s="76"/>
      <c r="B1208" s="76"/>
      <c r="C1208" s="125"/>
      <c r="D1208" s="125"/>
      <c r="E1208" s="71"/>
      <c r="F1208" s="71"/>
      <c r="G1208" s="71"/>
      <c r="H1208" s="126"/>
      <c r="I1208" s="125"/>
      <c r="J1208" s="123"/>
      <c r="K1208" s="12"/>
      <c r="L1208" s="117"/>
      <c r="M1208" s="12"/>
      <c r="N1208" s="117"/>
      <c r="O1208" s="117"/>
      <c r="P1208" s="117"/>
      <c r="Q1208" s="118"/>
      <c r="R1208" s="118"/>
      <c r="S1208" s="118"/>
      <c r="T1208" s="12"/>
      <c r="U1208" s="118"/>
      <c r="V1208" s="118"/>
      <c r="W1208" s="12"/>
      <c r="X1208" s="119"/>
      <c r="Y1208" s="120"/>
      <c r="Z1208" s="12"/>
      <c r="BA1208" s="70" t="s">
        <v>205</v>
      </c>
      <c r="BB1208" s="71" t="s">
        <v>213</v>
      </c>
      <c r="BC1208" s="71" t="s">
        <v>207</v>
      </c>
      <c r="BD1208" s="71">
        <v>4.83</v>
      </c>
      <c r="BE1208" s="71">
        <v>9.67</v>
      </c>
      <c r="BF1208" s="71">
        <v>264</v>
      </c>
      <c r="BG1208" s="71">
        <v>212</v>
      </c>
      <c r="BH1208" s="71">
        <v>5</v>
      </c>
      <c r="BI1208" s="71">
        <v>8</v>
      </c>
      <c r="BJ1208" s="12" t="str" cm="1">
        <f t="array" ref="BJ1208">_xll.Dce_Name_SectI(BF1208, BF1208, BG1208, BH1208, BI1208, "x", "-", $AX$11)</f>
        <v>264x212x5x8</v>
      </c>
      <c r="BK1208" s="77" cm="1">
        <f t="array" ref="BK1208">_xll.DCEPropSectI(BF1208, BH1208, BG1208, BI1208, BG1208, BI1208, "A")/100</f>
        <v>46.32</v>
      </c>
      <c r="BL1208" s="70" t="s">
        <v>222</v>
      </c>
      <c r="BM1208" s="70">
        <v>-35.721887668667605</v>
      </c>
      <c r="BN1208" s="71">
        <v>0.9</v>
      </c>
      <c r="BO1208" s="77">
        <f t="shared" si="155"/>
        <v>8.7029999999999994</v>
      </c>
      <c r="BP1208" s="71">
        <v>0.9</v>
      </c>
      <c r="BQ1208" s="77">
        <f t="shared" si="156"/>
        <v>8.7029999999999994</v>
      </c>
      <c r="BR1208" s="77" cm="1">
        <f t="array" ref="BR1208">_xll.DCEPropSectI(BF1208, BH1208, BG1208, BI1208, BG1208, BI1208, "rx")/10</f>
        <v>11.562881075579337</v>
      </c>
      <c r="BS1208" s="77" cm="1">
        <f t="array" ref="BS1208">_xll.DCEPropSectI(BF1208, BH1208, BG1208, BI1208, BG1208, BI1208, "ry")/10</f>
        <v>5.237608536144422</v>
      </c>
      <c r="BT1208" s="5">
        <f t="shared" si="157"/>
        <v>75.26670855744274</v>
      </c>
      <c r="BU1208" s="5">
        <f t="shared" si="158"/>
        <v>166.16362104844453</v>
      </c>
      <c r="BV1208" s="5">
        <f t="shared" si="159"/>
        <v>166.16362104844453</v>
      </c>
      <c r="BW1208" s="71">
        <f t="shared" si="160"/>
        <v>200</v>
      </c>
      <c r="BX1208" s="78" cm="1">
        <f t="array" ref="BX1208">IF(BM1208&gt;0,1,_xll.DCETCVN5575FactorPhi7121(BV1208*SQRT($K$17/206000),"b"))</f>
        <v>0.24301446879398786</v>
      </c>
      <c r="BY1208" s="64">
        <f t="shared" si="161"/>
        <v>0.15111738273489481</v>
      </c>
      <c r="BZ1208" s="3" t="str">
        <f t="shared" si="162"/>
        <v>OK</v>
      </c>
    </row>
    <row r="1209" spans="1:78">
      <c r="A1209" s="76"/>
      <c r="B1209" s="76"/>
      <c r="C1209" s="125"/>
      <c r="D1209" s="125"/>
      <c r="E1209" s="71"/>
      <c r="F1209" s="71"/>
      <c r="G1209" s="71"/>
      <c r="H1209" s="126"/>
      <c r="I1209" s="125"/>
      <c r="J1209" s="123"/>
      <c r="K1209" s="12"/>
      <c r="L1209" s="117"/>
      <c r="M1209" s="12"/>
      <c r="N1209" s="117"/>
      <c r="O1209" s="117"/>
      <c r="P1209" s="117"/>
      <c r="Q1209" s="118"/>
      <c r="R1209" s="118"/>
      <c r="S1209" s="118"/>
      <c r="T1209" s="12"/>
      <c r="U1209" s="118"/>
      <c r="V1209" s="118"/>
      <c r="W1209" s="12"/>
      <c r="X1209" s="119"/>
      <c r="Y1209" s="120"/>
      <c r="Z1209" s="12"/>
      <c r="BA1209" s="70" t="s">
        <v>205</v>
      </c>
      <c r="BB1209" s="71" t="s">
        <v>213</v>
      </c>
      <c r="BC1209" s="71" t="s">
        <v>207</v>
      </c>
      <c r="BD1209" s="71">
        <v>9.67</v>
      </c>
      <c r="BE1209" s="71">
        <v>9.67</v>
      </c>
      <c r="BF1209" s="71">
        <v>264</v>
      </c>
      <c r="BG1209" s="71">
        <v>212</v>
      </c>
      <c r="BH1209" s="71">
        <v>5</v>
      </c>
      <c r="BI1209" s="71">
        <v>8</v>
      </c>
      <c r="BJ1209" s="12" t="str" cm="1">
        <f t="array" ref="BJ1209">_xll.Dce_Name_SectI(BF1209, BF1209, BG1209, BH1209, BI1209, "x", "-", $AX$11)</f>
        <v>264x212x5x8</v>
      </c>
      <c r="BK1209" s="77" cm="1">
        <f t="array" ref="BK1209">_xll.DCEPropSectI(BF1209, BH1209, BG1209, BI1209, BG1209, BI1209, "A")/100</f>
        <v>46.32</v>
      </c>
      <c r="BL1209" s="70" t="s">
        <v>222</v>
      </c>
      <c r="BM1209" s="70">
        <v>-36.809329501298336</v>
      </c>
      <c r="BN1209" s="71">
        <v>0.9</v>
      </c>
      <c r="BO1209" s="77">
        <f t="shared" si="155"/>
        <v>8.7029999999999994</v>
      </c>
      <c r="BP1209" s="71">
        <v>0.9</v>
      </c>
      <c r="BQ1209" s="77">
        <f t="shared" si="156"/>
        <v>8.7029999999999994</v>
      </c>
      <c r="BR1209" s="77" cm="1">
        <f t="array" ref="BR1209">_xll.DCEPropSectI(BF1209, BH1209, BG1209, BI1209, BG1209, BI1209, "rx")/10</f>
        <v>11.562881075579337</v>
      </c>
      <c r="BS1209" s="77" cm="1">
        <f t="array" ref="BS1209">_xll.DCEPropSectI(BF1209, BH1209, BG1209, BI1209, BG1209, BI1209, "ry")/10</f>
        <v>5.237608536144422</v>
      </c>
      <c r="BT1209" s="5">
        <f t="shared" si="157"/>
        <v>75.26670855744274</v>
      </c>
      <c r="BU1209" s="5">
        <f t="shared" si="158"/>
        <v>166.16362104844453</v>
      </c>
      <c r="BV1209" s="5">
        <f t="shared" si="159"/>
        <v>166.16362104844453</v>
      </c>
      <c r="BW1209" s="71">
        <f t="shared" si="160"/>
        <v>200</v>
      </c>
      <c r="BX1209" s="78" cm="1">
        <f t="array" ref="BX1209">IF(BM1209&gt;0,1,_xll.DCETCVN5575FactorPhi7121(BV1209*SQRT($K$17/206000),"b"))</f>
        <v>0.24301446879398786</v>
      </c>
      <c r="BY1209" s="64">
        <f t="shared" si="161"/>
        <v>0.15571768172099043</v>
      </c>
      <c r="BZ1209" s="3" t="str">
        <f t="shared" si="162"/>
        <v>OK</v>
      </c>
    </row>
    <row r="1210" spans="1:78">
      <c r="A1210" s="76"/>
      <c r="B1210" s="76"/>
      <c r="C1210" s="125"/>
      <c r="D1210" s="125"/>
      <c r="E1210" s="71"/>
      <c r="F1210" s="71"/>
      <c r="G1210" s="71"/>
      <c r="H1210" s="126"/>
      <c r="I1210" s="125"/>
      <c r="J1210" s="123"/>
      <c r="K1210" s="12"/>
      <c r="L1210" s="117"/>
      <c r="M1210" s="12"/>
      <c r="N1210" s="117"/>
      <c r="O1210" s="117"/>
      <c r="P1210" s="117"/>
      <c r="Q1210" s="118"/>
      <c r="R1210" s="118"/>
      <c r="S1210" s="118"/>
      <c r="T1210" s="12"/>
      <c r="U1210" s="118"/>
      <c r="V1210" s="118"/>
      <c r="W1210" s="12"/>
      <c r="X1210" s="119"/>
      <c r="Y1210" s="120"/>
      <c r="Z1210" s="12"/>
      <c r="BA1210" s="70" t="s">
        <v>205</v>
      </c>
      <c r="BB1210" s="71" t="s">
        <v>213</v>
      </c>
      <c r="BC1210" s="71" t="s">
        <v>207</v>
      </c>
      <c r="BD1210" s="71">
        <v>0</v>
      </c>
      <c r="BE1210" s="71">
        <v>9.67</v>
      </c>
      <c r="BF1210" s="71">
        <v>264</v>
      </c>
      <c r="BG1210" s="71">
        <v>212</v>
      </c>
      <c r="BH1210" s="71">
        <v>5</v>
      </c>
      <c r="BI1210" s="71">
        <v>8</v>
      </c>
      <c r="BJ1210" s="12" t="str" cm="1">
        <f t="array" ref="BJ1210">_xll.Dce_Name_SectI(BF1210, BF1210, BG1210, BH1210, BI1210, "x", "-", $AX$11)</f>
        <v>264x212x5x8</v>
      </c>
      <c r="BK1210" s="77" cm="1">
        <f t="array" ref="BK1210">_xll.DCEPropSectI(BF1210, BH1210, BG1210, BI1210, BG1210, BI1210, "A")/100</f>
        <v>46.32</v>
      </c>
      <c r="BL1210" s="70" t="s">
        <v>223</v>
      </c>
      <c r="BM1210" s="70">
        <v>-23.032332292768469</v>
      </c>
      <c r="BN1210" s="71">
        <v>0.9</v>
      </c>
      <c r="BO1210" s="77">
        <f t="shared" si="155"/>
        <v>8.7029999999999994</v>
      </c>
      <c r="BP1210" s="71">
        <v>0.9</v>
      </c>
      <c r="BQ1210" s="77">
        <f t="shared" si="156"/>
        <v>8.7029999999999994</v>
      </c>
      <c r="BR1210" s="77" cm="1">
        <f t="array" ref="BR1210">_xll.DCEPropSectI(BF1210, BH1210, BG1210, BI1210, BG1210, BI1210, "rx")/10</f>
        <v>11.562881075579337</v>
      </c>
      <c r="BS1210" s="77" cm="1">
        <f t="array" ref="BS1210">_xll.DCEPropSectI(BF1210, BH1210, BG1210, BI1210, BG1210, BI1210, "ry")/10</f>
        <v>5.237608536144422</v>
      </c>
      <c r="BT1210" s="5">
        <f t="shared" si="157"/>
        <v>75.26670855744274</v>
      </c>
      <c r="BU1210" s="5">
        <f t="shared" si="158"/>
        <v>166.16362104844453</v>
      </c>
      <c r="BV1210" s="5">
        <f t="shared" si="159"/>
        <v>166.16362104844453</v>
      </c>
      <c r="BW1210" s="71">
        <f t="shared" si="160"/>
        <v>200</v>
      </c>
      <c r="BX1210" s="78" cm="1">
        <f t="array" ref="BX1210">IF(BM1210&gt;0,1,_xll.DCETCVN5575FactorPhi7121(BV1210*SQRT($K$17/206000),"b"))</f>
        <v>0.24301446879398786</v>
      </c>
      <c r="BY1210" s="64">
        <f t="shared" si="161"/>
        <v>9.7435662041355731E-2</v>
      </c>
      <c r="BZ1210" s="3" t="str">
        <f t="shared" si="162"/>
        <v>OK</v>
      </c>
    </row>
    <row r="1211" spans="1:78">
      <c r="A1211" s="76"/>
      <c r="B1211" s="76"/>
      <c r="C1211" s="125"/>
      <c r="D1211" s="125"/>
      <c r="E1211" s="71"/>
      <c r="F1211" s="71"/>
      <c r="G1211" s="71"/>
      <c r="H1211" s="126"/>
      <c r="I1211" s="125"/>
      <c r="J1211" s="123"/>
      <c r="K1211" s="12"/>
      <c r="L1211" s="117"/>
      <c r="M1211" s="12"/>
      <c r="N1211" s="117"/>
      <c r="O1211" s="117"/>
      <c r="P1211" s="117"/>
      <c r="Q1211" s="118"/>
      <c r="R1211" s="118"/>
      <c r="S1211" s="118"/>
      <c r="T1211" s="12"/>
      <c r="U1211" s="118"/>
      <c r="V1211" s="118"/>
      <c r="W1211" s="12"/>
      <c r="X1211" s="119"/>
      <c r="Y1211" s="120"/>
      <c r="Z1211" s="12"/>
      <c r="BA1211" s="70" t="s">
        <v>205</v>
      </c>
      <c r="BB1211" s="71" t="s">
        <v>213</v>
      </c>
      <c r="BC1211" s="71" t="s">
        <v>207</v>
      </c>
      <c r="BD1211" s="71">
        <v>4.83</v>
      </c>
      <c r="BE1211" s="71">
        <v>9.67</v>
      </c>
      <c r="BF1211" s="71">
        <v>264</v>
      </c>
      <c r="BG1211" s="71">
        <v>212</v>
      </c>
      <c r="BH1211" s="71">
        <v>5</v>
      </c>
      <c r="BI1211" s="71">
        <v>8</v>
      </c>
      <c r="BJ1211" s="12" t="str" cm="1">
        <f t="array" ref="BJ1211">_xll.Dce_Name_SectI(BF1211, BF1211, BG1211, BH1211, BI1211, "x", "-", $AX$11)</f>
        <v>264x212x5x8</v>
      </c>
      <c r="BK1211" s="77" cm="1">
        <f t="array" ref="BK1211">_xll.DCEPropSectI(BF1211, BH1211, BG1211, BI1211, BG1211, BI1211, "A")/100</f>
        <v>46.32</v>
      </c>
      <c r="BL1211" s="70" t="s">
        <v>223</v>
      </c>
      <c r="BM1211" s="70">
        <v>-24.119774125399211</v>
      </c>
      <c r="BN1211" s="71">
        <v>0.9</v>
      </c>
      <c r="BO1211" s="77">
        <f t="shared" si="155"/>
        <v>8.7029999999999994</v>
      </c>
      <c r="BP1211" s="71">
        <v>0.9</v>
      </c>
      <c r="BQ1211" s="77">
        <f t="shared" si="156"/>
        <v>8.7029999999999994</v>
      </c>
      <c r="BR1211" s="77" cm="1">
        <f t="array" ref="BR1211">_xll.DCEPropSectI(BF1211, BH1211, BG1211, BI1211, BG1211, BI1211, "rx")/10</f>
        <v>11.562881075579337</v>
      </c>
      <c r="BS1211" s="77" cm="1">
        <f t="array" ref="BS1211">_xll.DCEPropSectI(BF1211, BH1211, BG1211, BI1211, BG1211, BI1211, "ry")/10</f>
        <v>5.237608536144422</v>
      </c>
      <c r="BT1211" s="5">
        <f t="shared" si="157"/>
        <v>75.26670855744274</v>
      </c>
      <c r="BU1211" s="5">
        <f t="shared" si="158"/>
        <v>166.16362104844453</v>
      </c>
      <c r="BV1211" s="5">
        <f t="shared" si="159"/>
        <v>166.16362104844453</v>
      </c>
      <c r="BW1211" s="71">
        <f t="shared" si="160"/>
        <v>200</v>
      </c>
      <c r="BX1211" s="78" cm="1">
        <f t="array" ref="BX1211">IF(BM1211&gt;0,1,_xll.DCETCVN5575FactorPhi7121(BV1211*SQRT($K$17/206000),"b"))</f>
        <v>0.24301446879398786</v>
      </c>
      <c r="BY1211" s="64">
        <f t="shared" si="161"/>
        <v>0.10203596102745141</v>
      </c>
      <c r="BZ1211" s="3" t="str">
        <f t="shared" si="162"/>
        <v>OK</v>
      </c>
    </row>
    <row r="1212" spans="1:78">
      <c r="A1212" s="76"/>
      <c r="B1212" s="76"/>
      <c r="C1212" s="125"/>
      <c r="D1212" s="125"/>
      <c r="E1212" s="71"/>
      <c r="F1212" s="71"/>
      <c r="G1212" s="71"/>
      <c r="H1212" s="126"/>
      <c r="I1212" s="125"/>
      <c r="J1212" s="123"/>
      <c r="K1212" s="12"/>
      <c r="L1212" s="117"/>
      <c r="M1212" s="12"/>
      <c r="N1212" s="117"/>
      <c r="O1212" s="117"/>
      <c r="P1212" s="117"/>
      <c r="Q1212" s="118"/>
      <c r="R1212" s="118"/>
      <c r="S1212" s="118"/>
      <c r="T1212" s="12"/>
      <c r="U1212" s="118"/>
      <c r="V1212" s="118"/>
      <c r="W1212" s="12"/>
      <c r="X1212" s="119"/>
      <c r="Y1212" s="120"/>
      <c r="Z1212" s="12"/>
      <c r="BA1212" s="70" t="s">
        <v>205</v>
      </c>
      <c r="BB1212" s="71" t="s">
        <v>213</v>
      </c>
      <c r="BC1212" s="71" t="s">
        <v>207</v>
      </c>
      <c r="BD1212" s="71">
        <v>9.67</v>
      </c>
      <c r="BE1212" s="71">
        <v>9.67</v>
      </c>
      <c r="BF1212" s="71">
        <v>264</v>
      </c>
      <c r="BG1212" s="71">
        <v>212</v>
      </c>
      <c r="BH1212" s="71">
        <v>5</v>
      </c>
      <c r="BI1212" s="71">
        <v>8</v>
      </c>
      <c r="BJ1212" s="12" t="str" cm="1">
        <f t="array" ref="BJ1212">_xll.Dce_Name_SectI(BF1212, BF1212, BG1212, BH1212, BI1212, "x", "-", $AX$11)</f>
        <v>264x212x5x8</v>
      </c>
      <c r="BK1212" s="77" cm="1">
        <f t="array" ref="BK1212">_xll.DCEPropSectI(BF1212, BH1212, BG1212, BI1212, BG1212, BI1212, "A")/100</f>
        <v>46.32</v>
      </c>
      <c r="BL1212" s="70" t="s">
        <v>223</v>
      </c>
      <c r="BM1212" s="70">
        <v>-25.207215958029948</v>
      </c>
      <c r="BN1212" s="71">
        <v>0.9</v>
      </c>
      <c r="BO1212" s="77">
        <f t="shared" si="155"/>
        <v>8.7029999999999994</v>
      </c>
      <c r="BP1212" s="71">
        <v>0.9</v>
      </c>
      <c r="BQ1212" s="77">
        <f t="shared" si="156"/>
        <v>8.7029999999999994</v>
      </c>
      <c r="BR1212" s="77" cm="1">
        <f t="array" ref="BR1212">_xll.DCEPropSectI(BF1212, BH1212, BG1212, BI1212, BG1212, BI1212, "rx")/10</f>
        <v>11.562881075579337</v>
      </c>
      <c r="BS1212" s="77" cm="1">
        <f t="array" ref="BS1212">_xll.DCEPropSectI(BF1212, BH1212, BG1212, BI1212, BG1212, BI1212, "ry")/10</f>
        <v>5.237608536144422</v>
      </c>
      <c r="BT1212" s="5">
        <f t="shared" si="157"/>
        <v>75.26670855744274</v>
      </c>
      <c r="BU1212" s="5">
        <f t="shared" si="158"/>
        <v>166.16362104844453</v>
      </c>
      <c r="BV1212" s="5">
        <f t="shared" si="159"/>
        <v>166.16362104844453</v>
      </c>
      <c r="BW1212" s="71">
        <f t="shared" si="160"/>
        <v>200</v>
      </c>
      <c r="BX1212" s="78" cm="1">
        <f t="array" ref="BX1212">IF(BM1212&gt;0,1,_xll.DCETCVN5575FactorPhi7121(BV1212*SQRT($K$17/206000),"b"))</f>
        <v>0.24301446879398786</v>
      </c>
      <c r="BY1212" s="64">
        <f t="shared" si="161"/>
        <v>0.10663626001354706</v>
      </c>
      <c r="BZ1212" s="3" t="str">
        <f t="shared" si="162"/>
        <v>OK</v>
      </c>
    </row>
    <row r="1213" spans="1:78">
      <c r="A1213" s="76"/>
      <c r="B1213" s="76"/>
      <c r="C1213" s="125"/>
      <c r="D1213" s="125"/>
      <c r="E1213" s="71"/>
      <c r="F1213" s="71"/>
      <c r="G1213" s="71"/>
      <c r="H1213" s="126"/>
      <c r="I1213" s="125"/>
      <c r="J1213" s="123"/>
      <c r="K1213" s="12"/>
      <c r="L1213" s="117"/>
      <c r="M1213" s="12"/>
      <c r="N1213" s="117"/>
      <c r="O1213" s="117"/>
      <c r="P1213" s="117"/>
      <c r="Q1213" s="118"/>
      <c r="R1213" s="118"/>
      <c r="S1213" s="118"/>
      <c r="T1213" s="12"/>
      <c r="U1213" s="118"/>
      <c r="V1213" s="118"/>
      <c r="W1213" s="12"/>
      <c r="X1213" s="119"/>
      <c r="Y1213" s="120"/>
      <c r="Z1213" s="12"/>
      <c r="BA1213" s="70" t="s">
        <v>205</v>
      </c>
      <c r="BB1213" s="71" t="s">
        <v>213</v>
      </c>
      <c r="BC1213" s="71" t="s">
        <v>207</v>
      </c>
      <c r="BD1213" s="71">
        <v>0</v>
      </c>
      <c r="BE1213" s="71">
        <v>9.67</v>
      </c>
      <c r="BF1213" s="71">
        <v>264</v>
      </c>
      <c r="BG1213" s="71">
        <v>212</v>
      </c>
      <c r="BH1213" s="71">
        <v>5</v>
      </c>
      <c r="BI1213" s="71">
        <v>8</v>
      </c>
      <c r="BJ1213" s="12" t="str" cm="1">
        <f t="array" ref="BJ1213">_xll.Dce_Name_SectI(BF1213, BF1213, BG1213, BH1213, BI1213, "x", "-", $AX$11)</f>
        <v>264x212x5x8</v>
      </c>
      <c r="BK1213" s="77" cm="1">
        <f t="array" ref="BK1213">_xll.DCEPropSectI(BF1213, BH1213, BG1213, BI1213, BG1213, BI1213, "A")/100</f>
        <v>46.32</v>
      </c>
      <c r="BL1213" s="70" t="s">
        <v>224</v>
      </c>
      <c r="BM1213" s="70">
        <v>-1.6949590490318442</v>
      </c>
      <c r="BN1213" s="71">
        <v>0.9</v>
      </c>
      <c r="BO1213" s="77">
        <f t="shared" si="155"/>
        <v>8.7029999999999994</v>
      </c>
      <c r="BP1213" s="71">
        <v>0.9</v>
      </c>
      <c r="BQ1213" s="77">
        <f t="shared" si="156"/>
        <v>8.7029999999999994</v>
      </c>
      <c r="BR1213" s="77" cm="1">
        <f t="array" ref="BR1213">_xll.DCEPropSectI(BF1213, BH1213, BG1213, BI1213, BG1213, BI1213, "rx")/10</f>
        <v>11.562881075579337</v>
      </c>
      <c r="BS1213" s="77" cm="1">
        <f t="array" ref="BS1213">_xll.DCEPropSectI(BF1213, BH1213, BG1213, BI1213, BG1213, BI1213, "ry")/10</f>
        <v>5.237608536144422</v>
      </c>
      <c r="BT1213" s="5">
        <f t="shared" si="157"/>
        <v>75.26670855744274</v>
      </c>
      <c r="BU1213" s="5">
        <f t="shared" si="158"/>
        <v>166.16362104844453</v>
      </c>
      <c r="BV1213" s="5">
        <f t="shared" si="159"/>
        <v>166.16362104844453</v>
      </c>
      <c r="BW1213" s="71">
        <f t="shared" si="160"/>
        <v>200</v>
      </c>
      <c r="BX1213" s="78" cm="1">
        <f t="array" ref="BX1213">IF(BM1213&gt;0,1,_xll.DCETCVN5575FactorPhi7121(BV1213*SQRT($K$17/206000),"b"))</f>
        <v>0.24301446879398786</v>
      </c>
      <c r="BY1213" s="64">
        <f t="shared" si="161"/>
        <v>7.1703314703937711E-3</v>
      </c>
      <c r="BZ1213" s="3" t="str">
        <f t="shared" si="162"/>
        <v>OK</v>
      </c>
    </row>
    <row r="1214" spans="1:78">
      <c r="A1214" s="76"/>
      <c r="B1214" s="76"/>
      <c r="C1214" s="125"/>
      <c r="D1214" s="125"/>
      <c r="E1214" s="71"/>
      <c r="F1214" s="71"/>
      <c r="G1214" s="71"/>
      <c r="H1214" s="126"/>
      <c r="I1214" s="125"/>
      <c r="J1214" s="123"/>
      <c r="K1214" s="12"/>
      <c r="L1214" s="117"/>
      <c r="M1214" s="12"/>
      <c r="N1214" s="117"/>
      <c r="O1214" s="117"/>
      <c r="P1214" s="117"/>
      <c r="Q1214" s="118"/>
      <c r="R1214" s="118"/>
      <c r="S1214" s="118"/>
      <c r="T1214" s="12"/>
      <c r="U1214" s="118"/>
      <c r="V1214" s="118"/>
      <c r="W1214" s="12"/>
      <c r="X1214" s="119"/>
      <c r="Y1214" s="120"/>
      <c r="Z1214" s="12"/>
      <c r="BA1214" s="70" t="s">
        <v>205</v>
      </c>
      <c r="BB1214" s="71" t="s">
        <v>213</v>
      </c>
      <c r="BC1214" s="71" t="s">
        <v>207</v>
      </c>
      <c r="BD1214" s="71">
        <v>4.83</v>
      </c>
      <c r="BE1214" s="71">
        <v>9.67</v>
      </c>
      <c r="BF1214" s="71">
        <v>264</v>
      </c>
      <c r="BG1214" s="71">
        <v>212</v>
      </c>
      <c r="BH1214" s="71">
        <v>5</v>
      </c>
      <c r="BI1214" s="71">
        <v>8</v>
      </c>
      <c r="BJ1214" s="12" t="str" cm="1">
        <f t="array" ref="BJ1214">_xll.Dce_Name_SectI(BF1214, BF1214, BG1214, BH1214, BI1214, "x", "-", $AX$11)</f>
        <v>264x212x5x8</v>
      </c>
      <c r="BK1214" s="77" cm="1">
        <f t="array" ref="BK1214">_xll.DCEPropSectI(BF1214, BH1214, BG1214, BI1214, BG1214, BI1214, "A")/100</f>
        <v>46.32</v>
      </c>
      <c r="BL1214" s="70" t="s">
        <v>224</v>
      </c>
      <c r="BM1214" s="70">
        <v>-2.7824008816625856</v>
      </c>
      <c r="BN1214" s="71">
        <v>0.9</v>
      </c>
      <c r="BO1214" s="77">
        <f t="shared" si="155"/>
        <v>8.7029999999999994</v>
      </c>
      <c r="BP1214" s="71">
        <v>0.9</v>
      </c>
      <c r="BQ1214" s="77">
        <f t="shared" si="156"/>
        <v>8.7029999999999994</v>
      </c>
      <c r="BR1214" s="77" cm="1">
        <f t="array" ref="BR1214">_xll.DCEPropSectI(BF1214, BH1214, BG1214, BI1214, BG1214, BI1214, "rx")/10</f>
        <v>11.562881075579337</v>
      </c>
      <c r="BS1214" s="77" cm="1">
        <f t="array" ref="BS1214">_xll.DCEPropSectI(BF1214, BH1214, BG1214, BI1214, BG1214, BI1214, "ry")/10</f>
        <v>5.237608536144422</v>
      </c>
      <c r="BT1214" s="5">
        <f t="shared" si="157"/>
        <v>75.26670855744274</v>
      </c>
      <c r="BU1214" s="5">
        <f t="shared" si="158"/>
        <v>166.16362104844453</v>
      </c>
      <c r="BV1214" s="5">
        <f t="shared" si="159"/>
        <v>166.16362104844453</v>
      </c>
      <c r="BW1214" s="71">
        <f t="shared" si="160"/>
        <v>200</v>
      </c>
      <c r="BX1214" s="78" cm="1">
        <f t="array" ref="BX1214">IF(BM1214&gt;0,1,_xll.DCETCVN5575FactorPhi7121(BV1214*SQRT($K$17/206000),"b"))</f>
        <v>0.24301446879398786</v>
      </c>
      <c r="BY1214" s="64">
        <f t="shared" si="161"/>
        <v>1.1770630456489446E-2</v>
      </c>
      <c r="BZ1214" s="3" t="str">
        <f t="shared" si="162"/>
        <v>OK</v>
      </c>
    </row>
    <row r="1215" spans="1:78">
      <c r="A1215" s="76"/>
      <c r="B1215" s="76"/>
      <c r="C1215" s="125"/>
      <c r="D1215" s="125"/>
      <c r="E1215" s="71"/>
      <c r="F1215" s="71"/>
      <c r="G1215" s="71"/>
      <c r="H1215" s="126"/>
      <c r="I1215" s="125"/>
      <c r="J1215" s="123"/>
      <c r="K1215" s="12"/>
      <c r="L1215" s="117"/>
      <c r="M1215" s="12"/>
      <c r="N1215" s="117"/>
      <c r="O1215" s="117"/>
      <c r="P1215" s="117"/>
      <c r="Q1215" s="118"/>
      <c r="R1215" s="118"/>
      <c r="S1215" s="118"/>
      <c r="T1215" s="12"/>
      <c r="U1215" s="118"/>
      <c r="V1215" s="118"/>
      <c r="W1215" s="12"/>
      <c r="X1215" s="119"/>
      <c r="Y1215" s="120"/>
      <c r="Z1215" s="12"/>
      <c r="BA1215" s="70" t="s">
        <v>205</v>
      </c>
      <c r="BB1215" s="71" t="s">
        <v>213</v>
      </c>
      <c r="BC1215" s="71" t="s">
        <v>207</v>
      </c>
      <c r="BD1215" s="71">
        <v>9.67</v>
      </c>
      <c r="BE1215" s="71">
        <v>9.67</v>
      </c>
      <c r="BF1215" s="71">
        <v>264</v>
      </c>
      <c r="BG1215" s="71">
        <v>212</v>
      </c>
      <c r="BH1215" s="71">
        <v>5</v>
      </c>
      <c r="BI1215" s="71">
        <v>8</v>
      </c>
      <c r="BJ1215" s="12" t="str" cm="1">
        <f t="array" ref="BJ1215">_xll.Dce_Name_SectI(BF1215, BF1215, BG1215, BH1215, BI1215, "x", "-", $AX$11)</f>
        <v>264x212x5x8</v>
      </c>
      <c r="BK1215" s="77" cm="1">
        <f t="array" ref="BK1215">_xll.DCEPropSectI(BF1215, BH1215, BG1215, BI1215, BG1215, BI1215, "A")/100</f>
        <v>46.32</v>
      </c>
      <c r="BL1215" s="70" t="s">
        <v>224</v>
      </c>
      <c r="BM1215" s="70">
        <v>-3.8698427142933234</v>
      </c>
      <c r="BN1215" s="71">
        <v>0.9</v>
      </c>
      <c r="BO1215" s="77">
        <f t="shared" si="155"/>
        <v>8.7029999999999994</v>
      </c>
      <c r="BP1215" s="71">
        <v>0.9</v>
      </c>
      <c r="BQ1215" s="77">
        <f t="shared" si="156"/>
        <v>8.7029999999999994</v>
      </c>
      <c r="BR1215" s="77" cm="1">
        <f t="array" ref="BR1215">_xll.DCEPropSectI(BF1215, BH1215, BG1215, BI1215, BG1215, BI1215, "rx")/10</f>
        <v>11.562881075579337</v>
      </c>
      <c r="BS1215" s="77" cm="1">
        <f t="array" ref="BS1215">_xll.DCEPropSectI(BF1215, BH1215, BG1215, BI1215, BG1215, BI1215, "ry")/10</f>
        <v>5.237608536144422</v>
      </c>
      <c r="BT1215" s="5">
        <f t="shared" si="157"/>
        <v>75.26670855744274</v>
      </c>
      <c r="BU1215" s="5">
        <f t="shared" si="158"/>
        <v>166.16362104844453</v>
      </c>
      <c r="BV1215" s="5">
        <f t="shared" si="159"/>
        <v>166.16362104844453</v>
      </c>
      <c r="BW1215" s="71">
        <f t="shared" si="160"/>
        <v>200</v>
      </c>
      <c r="BX1215" s="78" cm="1">
        <f t="array" ref="BX1215">IF(BM1215&gt;0,1,_xll.DCETCVN5575FactorPhi7121(BV1215*SQRT($K$17/206000),"b"))</f>
        <v>0.24301446879398786</v>
      </c>
      <c r="BY1215" s="64">
        <f t="shared" si="161"/>
        <v>1.6370929442585107E-2</v>
      </c>
      <c r="BZ1215" s="3" t="str">
        <f t="shared" si="162"/>
        <v>OK</v>
      </c>
    </row>
    <row r="1216" spans="1:78">
      <c r="A1216" s="76"/>
      <c r="B1216" s="76"/>
      <c r="C1216" s="125"/>
      <c r="D1216" s="125"/>
      <c r="E1216" s="71"/>
      <c r="F1216" s="71"/>
      <c r="G1216" s="71"/>
      <c r="H1216" s="126"/>
      <c r="I1216" s="125"/>
      <c r="J1216" s="123"/>
      <c r="K1216" s="12"/>
      <c r="L1216" s="117"/>
      <c r="M1216" s="12"/>
      <c r="N1216" s="117"/>
      <c r="O1216" s="117"/>
      <c r="P1216" s="117"/>
      <c r="Q1216" s="118"/>
      <c r="R1216" s="118"/>
      <c r="S1216" s="118"/>
      <c r="T1216" s="12"/>
      <c r="U1216" s="118"/>
      <c r="V1216" s="118"/>
      <c r="W1216" s="12"/>
      <c r="X1216" s="119"/>
      <c r="Y1216" s="120"/>
      <c r="Z1216" s="12"/>
      <c r="BA1216" s="70" t="s">
        <v>205</v>
      </c>
      <c r="BB1216" s="71" t="s">
        <v>213</v>
      </c>
      <c r="BC1216" s="71" t="s">
        <v>207</v>
      </c>
      <c r="BD1216" s="71">
        <v>0</v>
      </c>
      <c r="BE1216" s="71">
        <v>9.67</v>
      </c>
      <c r="BF1216" s="71">
        <v>264</v>
      </c>
      <c r="BG1216" s="71">
        <v>212</v>
      </c>
      <c r="BH1216" s="71">
        <v>5</v>
      </c>
      <c r="BI1216" s="71">
        <v>8</v>
      </c>
      <c r="BJ1216" s="12" t="str" cm="1">
        <f t="array" ref="BJ1216">_xll.Dce_Name_SectI(BF1216, BF1216, BG1216, BH1216, BI1216, "x", "-", $AX$11)</f>
        <v>264x212x5x8</v>
      </c>
      <c r="BK1216" s="77" cm="1">
        <f t="array" ref="BK1216">_xll.DCEPropSectI(BF1216, BH1216, BG1216, BI1216, BG1216, BI1216, "A")/100</f>
        <v>46.32</v>
      </c>
      <c r="BL1216" s="70" t="s">
        <v>225</v>
      </c>
      <c r="BM1216" s="70">
        <v>-10.573254698842517</v>
      </c>
      <c r="BN1216" s="71">
        <v>0.9</v>
      </c>
      <c r="BO1216" s="77">
        <f t="shared" si="155"/>
        <v>8.7029999999999994</v>
      </c>
      <c r="BP1216" s="71">
        <v>0.9</v>
      </c>
      <c r="BQ1216" s="77">
        <f t="shared" si="156"/>
        <v>8.7029999999999994</v>
      </c>
      <c r="BR1216" s="77" cm="1">
        <f t="array" ref="BR1216">_xll.DCEPropSectI(BF1216, BH1216, BG1216, BI1216, BG1216, BI1216, "rx")/10</f>
        <v>11.562881075579337</v>
      </c>
      <c r="BS1216" s="77" cm="1">
        <f t="array" ref="BS1216">_xll.DCEPropSectI(BF1216, BH1216, BG1216, BI1216, BG1216, BI1216, "ry")/10</f>
        <v>5.237608536144422</v>
      </c>
      <c r="BT1216" s="5">
        <f t="shared" si="157"/>
        <v>75.26670855744274</v>
      </c>
      <c r="BU1216" s="5">
        <f t="shared" si="158"/>
        <v>166.16362104844453</v>
      </c>
      <c r="BV1216" s="5">
        <f t="shared" si="159"/>
        <v>166.16362104844453</v>
      </c>
      <c r="BW1216" s="71">
        <f t="shared" si="160"/>
        <v>200</v>
      </c>
      <c r="BX1216" s="78" cm="1">
        <f t="array" ref="BX1216">IF(BM1216&gt;0,1,_xll.DCETCVN5575FactorPhi7121(BV1216*SQRT($K$17/206000),"b"))</f>
        <v>0.24301446879398786</v>
      </c>
      <c r="BY1216" s="64">
        <f t="shared" si="161"/>
        <v>4.4728951389653868E-2</v>
      </c>
      <c r="BZ1216" s="3" t="str">
        <f t="shared" si="162"/>
        <v>OK</v>
      </c>
    </row>
    <row r="1217" spans="1:78">
      <c r="A1217" s="76"/>
      <c r="B1217" s="76"/>
      <c r="C1217" s="125"/>
      <c r="D1217" s="125"/>
      <c r="E1217" s="71"/>
      <c r="F1217" s="71"/>
      <c r="G1217" s="71"/>
      <c r="H1217" s="126"/>
      <c r="I1217" s="125"/>
      <c r="J1217" s="123"/>
      <c r="K1217" s="12"/>
      <c r="L1217" s="117"/>
      <c r="M1217" s="12"/>
      <c r="N1217" s="117"/>
      <c r="O1217" s="117"/>
      <c r="P1217" s="117"/>
      <c r="Q1217" s="118"/>
      <c r="R1217" s="118"/>
      <c r="S1217" s="118"/>
      <c r="T1217" s="12"/>
      <c r="U1217" s="118"/>
      <c r="V1217" s="118"/>
      <c r="W1217" s="12"/>
      <c r="X1217" s="119"/>
      <c r="Y1217" s="120"/>
      <c r="Z1217" s="12"/>
      <c r="BA1217" s="70" t="s">
        <v>205</v>
      </c>
      <c r="BB1217" s="71" t="s">
        <v>213</v>
      </c>
      <c r="BC1217" s="71" t="s">
        <v>207</v>
      </c>
      <c r="BD1217" s="71">
        <v>4.83</v>
      </c>
      <c r="BE1217" s="71">
        <v>9.67</v>
      </c>
      <c r="BF1217" s="71">
        <v>264</v>
      </c>
      <c r="BG1217" s="71">
        <v>212</v>
      </c>
      <c r="BH1217" s="71">
        <v>5</v>
      </c>
      <c r="BI1217" s="71">
        <v>8</v>
      </c>
      <c r="BJ1217" s="12" t="str" cm="1">
        <f t="array" ref="BJ1217">_xll.Dce_Name_SectI(BF1217, BF1217, BG1217, BH1217, BI1217, "x", "-", $AX$11)</f>
        <v>264x212x5x8</v>
      </c>
      <c r="BK1217" s="77" cm="1">
        <f t="array" ref="BK1217">_xll.DCEPropSectI(BF1217, BH1217, BG1217, BI1217, BG1217, BI1217, "A")/100</f>
        <v>46.32</v>
      </c>
      <c r="BL1217" s="70" t="s">
        <v>225</v>
      </c>
      <c r="BM1217" s="70">
        <v>-11.660696531473258</v>
      </c>
      <c r="BN1217" s="71">
        <v>0.9</v>
      </c>
      <c r="BO1217" s="77">
        <f t="shared" si="155"/>
        <v>8.7029999999999994</v>
      </c>
      <c r="BP1217" s="71">
        <v>0.9</v>
      </c>
      <c r="BQ1217" s="77">
        <f t="shared" si="156"/>
        <v>8.7029999999999994</v>
      </c>
      <c r="BR1217" s="77" cm="1">
        <f t="array" ref="BR1217">_xll.DCEPropSectI(BF1217, BH1217, BG1217, BI1217, BG1217, BI1217, "rx")/10</f>
        <v>11.562881075579337</v>
      </c>
      <c r="BS1217" s="77" cm="1">
        <f t="array" ref="BS1217">_xll.DCEPropSectI(BF1217, BH1217, BG1217, BI1217, BG1217, BI1217, "ry")/10</f>
        <v>5.237608536144422</v>
      </c>
      <c r="BT1217" s="5">
        <f t="shared" si="157"/>
        <v>75.26670855744274</v>
      </c>
      <c r="BU1217" s="5">
        <f t="shared" si="158"/>
        <v>166.16362104844453</v>
      </c>
      <c r="BV1217" s="5">
        <f t="shared" si="159"/>
        <v>166.16362104844453</v>
      </c>
      <c r="BW1217" s="71">
        <f t="shared" si="160"/>
        <v>200</v>
      </c>
      <c r="BX1217" s="78" cm="1">
        <f t="array" ref="BX1217">IF(BM1217&gt;0,1,_xll.DCETCVN5575FactorPhi7121(BV1217*SQRT($K$17/206000),"b"))</f>
        <v>0.24301446879398786</v>
      </c>
      <c r="BY1217" s="64">
        <f t="shared" si="161"/>
        <v>4.9329250375749548E-2</v>
      </c>
      <c r="BZ1217" s="3" t="str">
        <f t="shared" si="162"/>
        <v>OK</v>
      </c>
    </row>
    <row r="1218" spans="1:78">
      <c r="A1218" s="76"/>
      <c r="B1218" s="76"/>
      <c r="C1218" s="125"/>
      <c r="D1218" s="125"/>
      <c r="E1218" s="71"/>
      <c r="F1218" s="71"/>
      <c r="G1218" s="71"/>
      <c r="H1218" s="126"/>
      <c r="I1218" s="125"/>
      <c r="J1218" s="123"/>
      <c r="K1218" s="12"/>
      <c r="L1218" s="117"/>
      <c r="M1218" s="12"/>
      <c r="N1218" s="117"/>
      <c r="O1218" s="117"/>
      <c r="P1218" s="117"/>
      <c r="Q1218" s="118"/>
      <c r="R1218" s="118"/>
      <c r="S1218" s="118"/>
      <c r="T1218" s="12"/>
      <c r="U1218" s="118"/>
      <c r="V1218" s="118"/>
      <c r="W1218" s="12"/>
      <c r="X1218" s="119"/>
      <c r="Y1218" s="120"/>
      <c r="Z1218" s="12"/>
      <c r="BA1218" s="70" t="s">
        <v>205</v>
      </c>
      <c r="BB1218" s="71" t="s">
        <v>213</v>
      </c>
      <c r="BC1218" s="71" t="s">
        <v>207</v>
      </c>
      <c r="BD1218" s="71">
        <v>9.67</v>
      </c>
      <c r="BE1218" s="71">
        <v>9.67</v>
      </c>
      <c r="BF1218" s="71">
        <v>264</v>
      </c>
      <c r="BG1218" s="71">
        <v>212</v>
      </c>
      <c r="BH1218" s="71">
        <v>5</v>
      </c>
      <c r="BI1218" s="71">
        <v>8</v>
      </c>
      <c r="BJ1218" s="12" t="str" cm="1">
        <f t="array" ref="BJ1218">_xll.Dce_Name_SectI(BF1218, BF1218, BG1218, BH1218, BI1218, "x", "-", $AX$11)</f>
        <v>264x212x5x8</v>
      </c>
      <c r="BK1218" s="77" cm="1">
        <f t="array" ref="BK1218">_xll.DCEPropSectI(BF1218, BH1218, BG1218, BI1218, BG1218, BI1218, "A")/100</f>
        <v>46.32</v>
      </c>
      <c r="BL1218" s="70" t="s">
        <v>225</v>
      </c>
      <c r="BM1218" s="70">
        <v>-12.748138364103996</v>
      </c>
      <c r="BN1218" s="71">
        <v>0.9</v>
      </c>
      <c r="BO1218" s="77">
        <f t="shared" si="155"/>
        <v>8.7029999999999994</v>
      </c>
      <c r="BP1218" s="71">
        <v>0.9</v>
      </c>
      <c r="BQ1218" s="77">
        <f t="shared" si="156"/>
        <v>8.7029999999999994</v>
      </c>
      <c r="BR1218" s="77" cm="1">
        <f t="array" ref="BR1218">_xll.DCEPropSectI(BF1218, BH1218, BG1218, BI1218, BG1218, BI1218, "rx")/10</f>
        <v>11.562881075579337</v>
      </c>
      <c r="BS1218" s="77" cm="1">
        <f t="array" ref="BS1218">_xll.DCEPropSectI(BF1218, BH1218, BG1218, BI1218, BG1218, BI1218, "ry")/10</f>
        <v>5.237608536144422</v>
      </c>
      <c r="BT1218" s="5">
        <f t="shared" si="157"/>
        <v>75.26670855744274</v>
      </c>
      <c r="BU1218" s="5">
        <f t="shared" si="158"/>
        <v>166.16362104844453</v>
      </c>
      <c r="BV1218" s="5">
        <f t="shared" si="159"/>
        <v>166.16362104844453</v>
      </c>
      <c r="BW1218" s="71">
        <f t="shared" si="160"/>
        <v>200</v>
      </c>
      <c r="BX1218" s="78" cm="1">
        <f t="array" ref="BX1218">IF(BM1218&gt;0,1,_xll.DCETCVN5575FactorPhi7121(BV1218*SQRT($K$17/206000),"b"))</f>
        <v>0.24301446879398786</v>
      </c>
      <c r="BY1218" s="64">
        <f t="shared" si="161"/>
        <v>5.3929549361845207E-2</v>
      </c>
      <c r="BZ1218" s="3" t="str">
        <f t="shared" si="162"/>
        <v>OK</v>
      </c>
    </row>
    <row r="1219" spans="1:78">
      <c r="A1219" s="76"/>
      <c r="B1219" s="76"/>
      <c r="C1219" s="125"/>
      <c r="D1219" s="125"/>
      <c r="E1219" s="71"/>
      <c r="F1219" s="71"/>
      <c r="G1219" s="71"/>
      <c r="H1219" s="126"/>
      <c r="I1219" s="125"/>
      <c r="J1219" s="123"/>
      <c r="K1219" s="12"/>
      <c r="L1219" s="117"/>
      <c r="M1219" s="12"/>
      <c r="N1219" s="117"/>
      <c r="O1219" s="117"/>
      <c r="P1219" s="117"/>
      <c r="Q1219" s="118"/>
      <c r="R1219" s="118"/>
      <c r="S1219" s="118"/>
      <c r="T1219" s="12"/>
      <c r="U1219" s="118"/>
      <c r="V1219" s="118"/>
      <c r="W1219" s="12"/>
      <c r="X1219" s="119"/>
      <c r="Y1219" s="120"/>
      <c r="Z1219" s="12"/>
      <c r="BA1219" s="70" t="s">
        <v>205</v>
      </c>
      <c r="BB1219" s="71" t="s">
        <v>213</v>
      </c>
      <c r="BC1219" s="71" t="s">
        <v>207</v>
      </c>
      <c r="BD1219" s="71">
        <v>0</v>
      </c>
      <c r="BE1219" s="71">
        <v>9.67</v>
      </c>
      <c r="BF1219" s="71">
        <v>264</v>
      </c>
      <c r="BG1219" s="71">
        <v>212</v>
      </c>
      <c r="BH1219" s="71">
        <v>5</v>
      </c>
      <c r="BI1219" s="71">
        <v>8</v>
      </c>
      <c r="BJ1219" s="12" t="str" cm="1">
        <f t="array" ref="BJ1219">_xll.Dce_Name_SectI(BF1219, BF1219, BG1219, BH1219, BI1219, "x", "-", $AX$11)</f>
        <v>264x212x5x8</v>
      </c>
      <c r="BK1219" s="77" cm="1">
        <f t="array" ref="BK1219">_xll.DCEPropSectI(BF1219, BH1219, BG1219, BI1219, BG1219, BI1219, "A")/100</f>
        <v>46.32</v>
      </c>
      <c r="BL1219" s="70" t="s">
        <v>226</v>
      </c>
      <c r="BM1219" s="70">
        <v>22.8444080051325</v>
      </c>
      <c r="BN1219" s="71">
        <v>0.9</v>
      </c>
      <c r="BO1219" s="77">
        <f t="shared" si="155"/>
        <v>8.7029999999999994</v>
      </c>
      <c r="BP1219" s="71">
        <v>0.9</v>
      </c>
      <c r="BQ1219" s="77">
        <f t="shared" si="156"/>
        <v>8.7029999999999994</v>
      </c>
      <c r="BR1219" s="77" cm="1">
        <f t="array" ref="BR1219">_xll.DCEPropSectI(BF1219, BH1219, BG1219, BI1219, BG1219, BI1219, "rx")/10</f>
        <v>11.562881075579337</v>
      </c>
      <c r="BS1219" s="77" cm="1">
        <f t="array" ref="BS1219">_xll.DCEPropSectI(BF1219, BH1219, BG1219, BI1219, BG1219, BI1219, "ry")/10</f>
        <v>5.237608536144422</v>
      </c>
      <c r="BT1219" s="5">
        <f t="shared" si="157"/>
        <v>75.26670855744274</v>
      </c>
      <c r="BU1219" s="5">
        <f t="shared" si="158"/>
        <v>166.16362104844453</v>
      </c>
      <c r="BV1219" s="5">
        <f t="shared" si="159"/>
        <v>166.16362104844453</v>
      </c>
      <c r="BW1219" s="71">
        <f t="shared" si="160"/>
        <v>400</v>
      </c>
      <c r="BX1219" s="78" cm="1">
        <f t="array" ref="BX1219">IF(BM1219&gt;0,1,_xll.DCETCVN5575FactorPhi7121(BV1219*SQRT($K$17/206000),"b"))</f>
        <v>1</v>
      </c>
      <c r="BY1219" s="64">
        <f t="shared" si="161"/>
        <v>2.3485081015227914E-2</v>
      </c>
      <c r="BZ1219" s="3" t="str">
        <f t="shared" si="162"/>
        <v>OK</v>
      </c>
    </row>
    <row r="1220" spans="1:78">
      <c r="A1220" s="76"/>
      <c r="B1220" s="76"/>
      <c r="C1220" s="125"/>
      <c r="D1220" s="125"/>
      <c r="E1220" s="71"/>
      <c r="F1220" s="71"/>
      <c r="G1220" s="71"/>
      <c r="H1220" s="126"/>
      <c r="I1220" s="125"/>
      <c r="J1220" s="123"/>
      <c r="K1220" s="12"/>
      <c r="L1220" s="117"/>
      <c r="M1220" s="12"/>
      <c r="N1220" s="117"/>
      <c r="O1220" s="117"/>
      <c r="P1220" s="117"/>
      <c r="Q1220" s="118"/>
      <c r="R1220" s="118"/>
      <c r="S1220" s="118"/>
      <c r="T1220" s="12"/>
      <c r="U1220" s="118"/>
      <c r="V1220" s="118"/>
      <c r="W1220" s="12"/>
      <c r="X1220" s="119"/>
      <c r="Y1220" s="120"/>
      <c r="Z1220" s="12"/>
      <c r="BA1220" s="70" t="s">
        <v>205</v>
      </c>
      <c r="BB1220" s="71" t="s">
        <v>213</v>
      </c>
      <c r="BC1220" s="71" t="s">
        <v>207</v>
      </c>
      <c r="BD1220" s="71">
        <v>4.83</v>
      </c>
      <c r="BE1220" s="71">
        <v>9.67</v>
      </c>
      <c r="BF1220" s="71">
        <v>264</v>
      </c>
      <c r="BG1220" s="71">
        <v>212</v>
      </c>
      <c r="BH1220" s="71">
        <v>5</v>
      </c>
      <c r="BI1220" s="71">
        <v>8</v>
      </c>
      <c r="BJ1220" s="12" t="str" cm="1">
        <f t="array" ref="BJ1220">_xll.Dce_Name_SectI(BF1220, BF1220, BG1220, BH1220, BI1220, "x", "-", $AX$11)</f>
        <v>264x212x5x8</v>
      </c>
      <c r="BK1220" s="77" cm="1">
        <f t="array" ref="BK1220">_xll.DCEPropSectI(BF1220, BH1220, BG1220, BI1220, BG1220, BI1220, "A")/100</f>
        <v>46.32</v>
      </c>
      <c r="BL1220" s="70" t="s">
        <v>226</v>
      </c>
      <c r="BM1220" s="70">
        <v>21.756966172501759</v>
      </c>
      <c r="BN1220" s="71">
        <v>0.9</v>
      </c>
      <c r="BO1220" s="77">
        <f t="shared" si="155"/>
        <v>8.7029999999999994</v>
      </c>
      <c r="BP1220" s="71">
        <v>0.9</v>
      </c>
      <c r="BQ1220" s="77">
        <f t="shared" si="156"/>
        <v>8.7029999999999994</v>
      </c>
      <c r="BR1220" s="77" cm="1">
        <f t="array" ref="BR1220">_xll.DCEPropSectI(BF1220, BH1220, BG1220, BI1220, BG1220, BI1220, "rx")/10</f>
        <v>11.562881075579337</v>
      </c>
      <c r="BS1220" s="77" cm="1">
        <f t="array" ref="BS1220">_xll.DCEPropSectI(BF1220, BH1220, BG1220, BI1220, BG1220, BI1220, "ry")/10</f>
        <v>5.237608536144422</v>
      </c>
      <c r="BT1220" s="5">
        <f t="shared" si="157"/>
        <v>75.26670855744274</v>
      </c>
      <c r="BU1220" s="5">
        <f t="shared" si="158"/>
        <v>166.16362104844453</v>
      </c>
      <c r="BV1220" s="5">
        <f t="shared" si="159"/>
        <v>166.16362104844453</v>
      </c>
      <c r="BW1220" s="71">
        <f t="shared" si="160"/>
        <v>400</v>
      </c>
      <c r="BX1220" s="78" cm="1">
        <f t="array" ref="BX1220">IF(BM1220&gt;0,1,_xll.DCETCVN5575FactorPhi7121(BV1220*SQRT($K$17/206000),"b"))</f>
        <v>1</v>
      </c>
      <c r="BY1220" s="64">
        <f t="shared" si="161"/>
        <v>2.2367141800828355E-2</v>
      </c>
      <c r="BZ1220" s="3" t="str">
        <f t="shared" si="162"/>
        <v>OK</v>
      </c>
    </row>
    <row r="1221" spans="1:78">
      <c r="A1221" s="76"/>
      <c r="B1221" s="76"/>
      <c r="C1221" s="125"/>
      <c r="D1221" s="125"/>
      <c r="E1221" s="71"/>
      <c r="F1221" s="71"/>
      <c r="G1221" s="71"/>
      <c r="H1221" s="126"/>
      <c r="I1221" s="125"/>
      <c r="J1221" s="123"/>
      <c r="K1221" s="12"/>
      <c r="L1221" s="117"/>
      <c r="M1221" s="12"/>
      <c r="N1221" s="117"/>
      <c r="O1221" s="117"/>
      <c r="P1221" s="117"/>
      <c r="Q1221" s="118"/>
      <c r="R1221" s="118"/>
      <c r="S1221" s="118"/>
      <c r="T1221" s="12"/>
      <c r="U1221" s="118"/>
      <c r="V1221" s="118"/>
      <c r="W1221" s="12"/>
      <c r="X1221" s="119"/>
      <c r="Y1221" s="120"/>
      <c r="Z1221" s="12"/>
      <c r="BA1221" s="70" t="s">
        <v>205</v>
      </c>
      <c r="BB1221" s="71" t="s">
        <v>213</v>
      </c>
      <c r="BC1221" s="71" t="s">
        <v>207</v>
      </c>
      <c r="BD1221" s="71">
        <v>9.67</v>
      </c>
      <c r="BE1221" s="71">
        <v>9.67</v>
      </c>
      <c r="BF1221" s="71">
        <v>264</v>
      </c>
      <c r="BG1221" s="71">
        <v>212</v>
      </c>
      <c r="BH1221" s="71">
        <v>5</v>
      </c>
      <c r="BI1221" s="71">
        <v>8</v>
      </c>
      <c r="BJ1221" s="12" t="str" cm="1">
        <f t="array" ref="BJ1221">_xll.Dce_Name_SectI(BF1221, BF1221, BG1221, BH1221, BI1221, "x", "-", $AX$11)</f>
        <v>264x212x5x8</v>
      </c>
      <c r="BK1221" s="77" cm="1">
        <f t="array" ref="BK1221">_xll.DCEPropSectI(BF1221, BH1221, BG1221, BI1221, BG1221, BI1221, "A")/100</f>
        <v>46.32</v>
      </c>
      <c r="BL1221" s="70" t="s">
        <v>226</v>
      </c>
      <c r="BM1221" s="70">
        <v>20.669524339871021</v>
      </c>
      <c r="BN1221" s="71">
        <v>0.9</v>
      </c>
      <c r="BO1221" s="77">
        <f t="shared" si="155"/>
        <v>8.7029999999999994</v>
      </c>
      <c r="BP1221" s="71">
        <v>0.9</v>
      </c>
      <c r="BQ1221" s="77">
        <f t="shared" si="156"/>
        <v>8.7029999999999994</v>
      </c>
      <c r="BR1221" s="77" cm="1">
        <f t="array" ref="BR1221">_xll.DCEPropSectI(BF1221, BH1221, BG1221, BI1221, BG1221, BI1221, "rx")/10</f>
        <v>11.562881075579337</v>
      </c>
      <c r="BS1221" s="77" cm="1">
        <f t="array" ref="BS1221">_xll.DCEPropSectI(BF1221, BH1221, BG1221, BI1221, BG1221, BI1221, "ry")/10</f>
        <v>5.237608536144422</v>
      </c>
      <c r="BT1221" s="5">
        <f t="shared" si="157"/>
        <v>75.26670855744274</v>
      </c>
      <c r="BU1221" s="5">
        <f t="shared" si="158"/>
        <v>166.16362104844453</v>
      </c>
      <c r="BV1221" s="5">
        <f t="shared" si="159"/>
        <v>166.16362104844453</v>
      </c>
      <c r="BW1221" s="71">
        <f t="shared" si="160"/>
        <v>400</v>
      </c>
      <c r="BX1221" s="78" cm="1">
        <f t="array" ref="BX1221">IF(BM1221&gt;0,1,_xll.DCETCVN5575FactorPhi7121(BV1221*SQRT($K$17/206000),"b"))</f>
        <v>1</v>
      </c>
      <c r="BY1221" s="64">
        <f t="shared" si="161"/>
        <v>2.12492025864288E-2</v>
      </c>
      <c r="BZ1221" s="3" t="str">
        <f t="shared" si="162"/>
        <v>OK</v>
      </c>
    </row>
    <row r="1222" spans="1:78">
      <c r="A1222" s="76"/>
      <c r="B1222" s="76"/>
      <c r="C1222" s="125"/>
      <c r="D1222" s="125"/>
      <c r="E1222" s="71"/>
      <c r="F1222" s="71"/>
      <c r="G1222" s="71"/>
      <c r="H1222" s="126"/>
      <c r="I1222" s="125"/>
      <c r="J1222" s="123"/>
      <c r="K1222" s="12"/>
      <c r="L1222" s="117"/>
      <c r="M1222" s="12"/>
      <c r="N1222" s="117"/>
      <c r="O1222" s="117"/>
      <c r="P1222" s="117"/>
      <c r="Q1222" s="118"/>
      <c r="R1222" s="118"/>
      <c r="S1222" s="118"/>
      <c r="T1222" s="12"/>
      <c r="U1222" s="118"/>
      <c r="V1222" s="118"/>
      <c r="W1222" s="12"/>
      <c r="X1222" s="119"/>
      <c r="Y1222" s="120"/>
      <c r="Z1222" s="12"/>
      <c r="BA1222" s="70" t="s">
        <v>205</v>
      </c>
      <c r="BB1222" s="71" t="s">
        <v>214</v>
      </c>
      <c r="BC1222" s="71" t="s">
        <v>207</v>
      </c>
      <c r="BD1222" s="71">
        <v>0</v>
      </c>
      <c r="BE1222" s="71">
        <v>10.16</v>
      </c>
      <c r="BF1222" s="71">
        <v>264</v>
      </c>
      <c r="BG1222" s="71">
        <v>212</v>
      </c>
      <c r="BH1222" s="71">
        <v>5</v>
      </c>
      <c r="BI1222" s="71">
        <v>8</v>
      </c>
      <c r="BJ1222" s="12" t="str" cm="1">
        <f t="array" ref="BJ1222">_xll.Dce_Name_SectI(BF1222, BF1222, BG1222, BH1222, BI1222, "x", "-", $AX$11)</f>
        <v>264x212x5x8</v>
      </c>
      <c r="BK1222" s="77" cm="1">
        <f t="array" ref="BK1222">_xll.DCEPropSectI(BF1222, BH1222, BG1222, BI1222, BG1222, BI1222, "A")/100</f>
        <v>46.32</v>
      </c>
      <c r="BL1222" s="70" t="s">
        <v>217</v>
      </c>
      <c r="BM1222" s="70">
        <v>95.941036916456369</v>
      </c>
      <c r="BN1222" s="71">
        <v>0.9</v>
      </c>
      <c r="BO1222" s="77">
        <f t="shared" si="155"/>
        <v>9.1440000000000001</v>
      </c>
      <c r="BP1222" s="71">
        <v>0.9</v>
      </c>
      <c r="BQ1222" s="77">
        <f t="shared" si="156"/>
        <v>9.1440000000000001</v>
      </c>
      <c r="BR1222" s="77" cm="1">
        <f t="array" ref="BR1222">_xll.DCEPropSectI(BF1222, BH1222, BG1222, BI1222, BG1222, BI1222, "rx")/10</f>
        <v>11.562881075579337</v>
      </c>
      <c r="BS1222" s="77" cm="1">
        <f t="array" ref="BS1222">_xll.DCEPropSectI(BF1222, BH1222, BG1222, BI1222, BG1222, BI1222, "ry")/10</f>
        <v>5.237608536144422</v>
      </c>
      <c r="BT1222" s="5">
        <f t="shared" si="157"/>
        <v>79.080636912473437</v>
      </c>
      <c r="BU1222" s="5">
        <f t="shared" si="158"/>
        <v>174.58349429702133</v>
      </c>
      <c r="BV1222" s="5">
        <f t="shared" si="159"/>
        <v>174.58349429702133</v>
      </c>
      <c r="BW1222" s="71">
        <f t="shared" si="160"/>
        <v>400</v>
      </c>
      <c r="BX1222" s="78" cm="1">
        <f t="array" ref="BX1222">IF(BM1222&gt;0,1,_xll.DCETCVN5575FactorPhi7121(BV1222*SQRT($K$17/206000),"b"))</f>
        <v>1</v>
      </c>
      <c r="BY1222" s="64">
        <f t="shared" si="161"/>
        <v>9.8631709964281972E-2</v>
      </c>
      <c r="BZ1222" s="3" t="str">
        <f t="shared" si="162"/>
        <v>OK</v>
      </c>
    </row>
    <row r="1223" spans="1:78">
      <c r="A1223" s="76"/>
      <c r="B1223" s="76"/>
      <c r="C1223" s="125"/>
      <c r="D1223" s="125"/>
      <c r="E1223" s="71"/>
      <c r="F1223" s="71"/>
      <c r="G1223" s="71"/>
      <c r="H1223" s="126"/>
      <c r="I1223" s="125"/>
      <c r="J1223" s="123"/>
      <c r="K1223" s="12"/>
      <c r="L1223" s="117"/>
      <c r="M1223" s="12"/>
      <c r="N1223" s="117"/>
      <c r="O1223" s="117"/>
      <c r="P1223" s="117"/>
      <c r="Q1223" s="118"/>
      <c r="R1223" s="118"/>
      <c r="S1223" s="118"/>
      <c r="T1223" s="12"/>
      <c r="U1223" s="118"/>
      <c r="V1223" s="118"/>
      <c r="W1223" s="12"/>
      <c r="X1223" s="119"/>
      <c r="Y1223" s="120"/>
      <c r="Z1223" s="12"/>
      <c r="BA1223" s="70" t="s">
        <v>205</v>
      </c>
      <c r="BB1223" s="71" t="s">
        <v>214</v>
      </c>
      <c r="BC1223" s="71" t="s">
        <v>207</v>
      </c>
      <c r="BD1223" s="71">
        <v>5.08</v>
      </c>
      <c r="BE1223" s="71">
        <v>10.16</v>
      </c>
      <c r="BF1223" s="71">
        <v>264</v>
      </c>
      <c r="BG1223" s="71">
        <v>212</v>
      </c>
      <c r="BH1223" s="71">
        <v>5</v>
      </c>
      <c r="BI1223" s="71">
        <v>8</v>
      </c>
      <c r="BJ1223" s="12" t="str" cm="1">
        <f t="array" ref="BJ1223">_xll.Dce_Name_SectI(BF1223, BF1223, BG1223, BH1223, BI1223, "x", "-", $AX$11)</f>
        <v>264x212x5x8</v>
      </c>
      <c r="BK1223" s="77" cm="1">
        <f t="array" ref="BK1223">_xll.DCEPropSectI(BF1223, BH1223, BG1223, BI1223, BG1223, BI1223, "A")/100</f>
        <v>46.32</v>
      </c>
      <c r="BL1223" s="70" t="s">
        <v>217</v>
      </c>
      <c r="BM1223" s="70">
        <v>97.162180613754828</v>
      </c>
      <c r="BN1223" s="71">
        <v>0.9</v>
      </c>
      <c r="BO1223" s="77">
        <f t="shared" si="155"/>
        <v>9.1440000000000001</v>
      </c>
      <c r="BP1223" s="71">
        <v>0.9</v>
      </c>
      <c r="BQ1223" s="77">
        <f t="shared" si="156"/>
        <v>9.1440000000000001</v>
      </c>
      <c r="BR1223" s="77" cm="1">
        <f t="array" ref="BR1223">_xll.DCEPropSectI(BF1223, BH1223, BG1223, BI1223, BG1223, BI1223, "rx")/10</f>
        <v>11.562881075579337</v>
      </c>
      <c r="BS1223" s="77" cm="1">
        <f t="array" ref="BS1223">_xll.DCEPropSectI(BF1223, BH1223, BG1223, BI1223, BG1223, BI1223, "ry")/10</f>
        <v>5.237608536144422</v>
      </c>
      <c r="BT1223" s="5">
        <f t="shared" si="157"/>
        <v>79.080636912473437</v>
      </c>
      <c r="BU1223" s="5">
        <f t="shared" si="158"/>
        <v>174.58349429702133</v>
      </c>
      <c r="BV1223" s="5">
        <f t="shared" si="159"/>
        <v>174.58349429702133</v>
      </c>
      <c r="BW1223" s="71">
        <f t="shared" si="160"/>
        <v>400</v>
      </c>
      <c r="BX1223" s="78" cm="1">
        <f t="array" ref="BX1223">IF(BM1223&gt;0,1,_xll.DCETCVN5575FactorPhi7121(BV1223*SQRT($K$17/206000),"b"))</f>
        <v>1</v>
      </c>
      <c r="BY1223" s="64">
        <f t="shared" si="161"/>
        <v>9.9887100721435584E-2</v>
      </c>
      <c r="BZ1223" s="3" t="str">
        <f t="shared" si="162"/>
        <v>OK</v>
      </c>
    </row>
    <row r="1224" spans="1:78">
      <c r="A1224" s="76"/>
      <c r="B1224" s="76"/>
      <c r="C1224" s="125"/>
      <c r="D1224" s="125"/>
      <c r="E1224" s="71"/>
      <c r="F1224" s="71"/>
      <c r="G1224" s="71"/>
      <c r="H1224" s="126"/>
      <c r="I1224" s="125"/>
      <c r="J1224" s="123"/>
      <c r="K1224" s="12"/>
      <c r="L1224" s="117"/>
      <c r="M1224" s="12"/>
      <c r="N1224" s="117"/>
      <c r="O1224" s="117"/>
      <c r="P1224" s="117"/>
      <c r="Q1224" s="118"/>
      <c r="R1224" s="118"/>
      <c r="S1224" s="118"/>
      <c r="T1224" s="12"/>
      <c r="U1224" s="118"/>
      <c r="V1224" s="118"/>
      <c r="W1224" s="12"/>
      <c r="X1224" s="119"/>
      <c r="Y1224" s="120"/>
      <c r="Z1224" s="12"/>
      <c r="BA1224" s="70" t="s">
        <v>205</v>
      </c>
      <c r="BB1224" s="71" t="s">
        <v>214</v>
      </c>
      <c r="BC1224" s="71" t="s">
        <v>207</v>
      </c>
      <c r="BD1224" s="71">
        <v>10.16</v>
      </c>
      <c r="BE1224" s="71">
        <v>10.16</v>
      </c>
      <c r="BF1224" s="71">
        <v>264</v>
      </c>
      <c r="BG1224" s="71">
        <v>212</v>
      </c>
      <c r="BH1224" s="71">
        <v>5</v>
      </c>
      <c r="BI1224" s="71">
        <v>8</v>
      </c>
      <c r="BJ1224" s="12" t="str" cm="1">
        <f t="array" ref="BJ1224">_xll.Dce_Name_SectI(BF1224, BF1224, BG1224, BH1224, BI1224, "x", "-", $AX$11)</f>
        <v>264x212x5x8</v>
      </c>
      <c r="BK1224" s="77" cm="1">
        <f t="array" ref="BK1224">_xll.DCEPropSectI(BF1224, BH1224, BG1224, BI1224, BG1224, BI1224, "A")/100</f>
        <v>46.32</v>
      </c>
      <c r="BL1224" s="70" t="s">
        <v>217</v>
      </c>
      <c r="BM1224" s="70">
        <v>98.383324311053272</v>
      </c>
      <c r="BN1224" s="71">
        <v>0.9</v>
      </c>
      <c r="BO1224" s="77">
        <f t="shared" si="155"/>
        <v>9.1440000000000001</v>
      </c>
      <c r="BP1224" s="71">
        <v>0.9</v>
      </c>
      <c r="BQ1224" s="77">
        <f t="shared" si="156"/>
        <v>9.1440000000000001</v>
      </c>
      <c r="BR1224" s="77" cm="1">
        <f t="array" ref="BR1224">_xll.DCEPropSectI(BF1224, BH1224, BG1224, BI1224, BG1224, BI1224, "rx")/10</f>
        <v>11.562881075579337</v>
      </c>
      <c r="BS1224" s="77" cm="1">
        <f t="array" ref="BS1224">_xll.DCEPropSectI(BF1224, BH1224, BG1224, BI1224, BG1224, BI1224, "ry")/10</f>
        <v>5.237608536144422</v>
      </c>
      <c r="BT1224" s="5">
        <f t="shared" si="157"/>
        <v>79.080636912473437</v>
      </c>
      <c r="BU1224" s="5">
        <f t="shared" si="158"/>
        <v>174.58349429702133</v>
      </c>
      <c r="BV1224" s="5">
        <f t="shared" si="159"/>
        <v>174.58349429702133</v>
      </c>
      <c r="BW1224" s="71">
        <f t="shared" si="160"/>
        <v>400</v>
      </c>
      <c r="BX1224" s="78" cm="1">
        <f t="array" ref="BX1224">IF(BM1224&gt;0,1,_xll.DCETCVN5575FactorPhi7121(BV1224*SQRT($K$17/206000),"b"))</f>
        <v>1</v>
      </c>
      <c r="BY1224" s="64">
        <f t="shared" si="161"/>
        <v>0.10114249147858918</v>
      </c>
      <c r="BZ1224" s="3" t="str">
        <f t="shared" si="162"/>
        <v>OK</v>
      </c>
    </row>
    <row r="1225" spans="1:78">
      <c r="A1225" s="76"/>
      <c r="B1225" s="76"/>
      <c r="C1225" s="125"/>
      <c r="D1225" s="125"/>
      <c r="E1225" s="71"/>
      <c r="F1225" s="71"/>
      <c r="G1225" s="71"/>
      <c r="H1225" s="126"/>
      <c r="I1225" s="125"/>
      <c r="J1225" s="123"/>
      <c r="K1225" s="12"/>
      <c r="L1225" s="117"/>
      <c r="M1225" s="12"/>
      <c r="N1225" s="117"/>
      <c r="O1225" s="117"/>
      <c r="P1225" s="117"/>
      <c r="Q1225" s="118"/>
      <c r="R1225" s="118"/>
      <c r="S1225" s="118"/>
      <c r="T1225" s="12"/>
      <c r="U1225" s="118"/>
      <c r="V1225" s="118"/>
      <c r="W1225" s="12"/>
      <c r="X1225" s="119"/>
      <c r="Y1225" s="120"/>
      <c r="Z1225" s="12"/>
      <c r="BA1225" s="70" t="s">
        <v>205</v>
      </c>
      <c r="BB1225" s="71" t="s">
        <v>214</v>
      </c>
      <c r="BC1225" s="71" t="s">
        <v>207</v>
      </c>
      <c r="BD1225" s="71">
        <v>0</v>
      </c>
      <c r="BE1225" s="71">
        <v>10.16</v>
      </c>
      <c r="BF1225" s="71">
        <v>264</v>
      </c>
      <c r="BG1225" s="71">
        <v>212</v>
      </c>
      <c r="BH1225" s="71">
        <v>5</v>
      </c>
      <c r="BI1225" s="71">
        <v>8</v>
      </c>
      <c r="BJ1225" s="12" t="str" cm="1">
        <f t="array" ref="BJ1225">_xll.Dce_Name_SectI(BF1225, BF1225, BG1225, BH1225, BI1225, "x", "-", $AX$11)</f>
        <v>264x212x5x8</v>
      </c>
      <c r="BK1225" s="77" cm="1">
        <f t="array" ref="BK1225">_xll.DCEPropSectI(BF1225, BH1225, BG1225, BI1225, BG1225, BI1225, "A")/100</f>
        <v>46.32</v>
      </c>
      <c r="BL1225" s="70" t="s">
        <v>218</v>
      </c>
      <c r="BM1225" s="70">
        <v>214.44506715476274</v>
      </c>
      <c r="BN1225" s="71">
        <v>0.9</v>
      </c>
      <c r="BO1225" s="77">
        <f t="shared" si="155"/>
        <v>9.1440000000000001</v>
      </c>
      <c r="BP1225" s="71">
        <v>0.9</v>
      </c>
      <c r="BQ1225" s="77">
        <f t="shared" si="156"/>
        <v>9.1440000000000001</v>
      </c>
      <c r="BR1225" s="77" cm="1">
        <f t="array" ref="BR1225">_xll.DCEPropSectI(BF1225, BH1225, BG1225, BI1225, BG1225, BI1225, "rx")/10</f>
        <v>11.562881075579337</v>
      </c>
      <c r="BS1225" s="77" cm="1">
        <f t="array" ref="BS1225">_xll.DCEPropSectI(BF1225, BH1225, BG1225, BI1225, BG1225, BI1225, "ry")/10</f>
        <v>5.237608536144422</v>
      </c>
      <c r="BT1225" s="5">
        <f t="shared" si="157"/>
        <v>79.080636912473437</v>
      </c>
      <c r="BU1225" s="5">
        <f t="shared" si="158"/>
        <v>174.58349429702133</v>
      </c>
      <c r="BV1225" s="5">
        <f t="shared" si="159"/>
        <v>174.58349429702133</v>
      </c>
      <c r="BW1225" s="71">
        <f t="shared" si="160"/>
        <v>400</v>
      </c>
      <c r="BX1225" s="78" cm="1">
        <f t="array" ref="BX1225">IF(BM1225&gt;0,1,_xll.DCETCVN5575FactorPhi7121(BV1225*SQRT($K$17/206000),"b"))</f>
        <v>1</v>
      </c>
      <c r="BY1225" s="64">
        <f t="shared" si="161"/>
        <v>0.22045919396615957</v>
      </c>
      <c r="BZ1225" s="3" t="str">
        <f t="shared" si="162"/>
        <v>OK</v>
      </c>
    </row>
    <row r="1226" spans="1:78">
      <c r="A1226" s="76"/>
      <c r="B1226" s="76"/>
      <c r="C1226" s="125"/>
      <c r="D1226" s="125"/>
      <c r="E1226" s="71"/>
      <c r="F1226" s="71"/>
      <c r="G1226" s="71"/>
      <c r="H1226" s="126"/>
      <c r="I1226" s="125"/>
      <c r="J1226" s="123"/>
      <c r="K1226" s="12"/>
      <c r="L1226" s="117"/>
      <c r="M1226" s="12"/>
      <c r="N1226" s="117"/>
      <c r="O1226" s="117"/>
      <c r="P1226" s="117"/>
      <c r="Q1226" s="118"/>
      <c r="R1226" s="118"/>
      <c r="S1226" s="118"/>
      <c r="T1226" s="12"/>
      <c r="U1226" s="118"/>
      <c r="V1226" s="118"/>
      <c r="W1226" s="12"/>
      <c r="X1226" s="119"/>
      <c r="Y1226" s="120"/>
      <c r="Z1226" s="12"/>
      <c r="BA1226" s="70" t="s">
        <v>205</v>
      </c>
      <c r="BB1226" s="71" t="s">
        <v>214</v>
      </c>
      <c r="BC1226" s="71" t="s">
        <v>207</v>
      </c>
      <c r="BD1226" s="71">
        <v>5.08</v>
      </c>
      <c r="BE1226" s="71">
        <v>10.16</v>
      </c>
      <c r="BF1226" s="71">
        <v>264</v>
      </c>
      <c r="BG1226" s="71">
        <v>212</v>
      </c>
      <c r="BH1226" s="71">
        <v>5</v>
      </c>
      <c r="BI1226" s="71">
        <v>8</v>
      </c>
      <c r="BJ1226" s="12" t="str" cm="1">
        <f t="array" ref="BJ1226">_xll.Dce_Name_SectI(BF1226, BF1226, BG1226, BH1226, BI1226, "x", "-", $AX$11)</f>
        <v>264x212x5x8</v>
      </c>
      <c r="BK1226" s="77" cm="1">
        <f t="array" ref="BK1226">_xll.DCEPropSectI(BF1226, BH1226, BG1226, BI1226, BG1226, BI1226, "A")/100</f>
        <v>46.32</v>
      </c>
      <c r="BL1226" s="70" t="s">
        <v>218</v>
      </c>
      <c r="BM1226" s="70">
        <v>215.6662108520612</v>
      </c>
      <c r="BN1226" s="71">
        <v>0.9</v>
      </c>
      <c r="BO1226" s="77">
        <f t="shared" si="155"/>
        <v>9.1440000000000001</v>
      </c>
      <c r="BP1226" s="71">
        <v>0.9</v>
      </c>
      <c r="BQ1226" s="77">
        <f t="shared" si="156"/>
        <v>9.1440000000000001</v>
      </c>
      <c r="BR1226" s="77" cm="1">
        <f t="array" ref="BR1226">_xll.DCEPropSectI(BF1226, BH1226, BG1226, BI1226, BG1226, BI1226, "rx")/10</f>
        <v>11.562881075579337</v>
      </c>
      <c r="BS1226" s="77" cm="1">
        <f t="array" ref="BS1226">_xll.DCEPropSectI(BF1226, BH1226, BG1226, BI1226, BG1226, BI1226, "ry")/10</f>
        <v>5.237608536144422</v>
      </c>
      <c r="BT1226" s="5">
        <f t="shared" si="157"/>
        <v>79.080636912473437</v>
      </c>
      <c r="BU1226" s="5">
        <f t="shared" si="158"/>
        <v>174.58349429702133</v>
      </c>
      <c r="BV1226" s="5">
        <f t="shared" si="159"/>
        <v>174.58349429702133</v>
      </c>
      <c r="BW1226" s="71">
        <f t="shared" si="160"/>
        <v>400</v>
      </c>
      <c r="BX1226" s="78" cm="1">
        <f t="array" ref="BX1226">IF(BM1226&gt;0,1,_xll.DCETCVN5575FactorPhi7121(BV1226*SQRT($K$17/206000),"b"))</f>
        <v>1</v>
      </c>
      <c r="BY1226" s="64">
        <f t="shared" si="161"/>
        <v>0.22171458472331318</v>
      </c>
      <c r="BZ1226" s="3" t="str">
        <f t="shared" si="162"/>
        <v>OK</v>
      </c>
    </row>
    <row r="1227" spans="1:78">
      <c r="A1227" s="76"/>
      <c r="B1227" s="76"/>
      <c r="C1227" s="125"/>
      <c r="D1227" s="125"/>
      <c r="E1227" s="71"/>
      <c r="F1227" s="71"/>
      <c r="G1227" s="71"/>
      <c r="H1227" s="126"/>
      <c r="I1227" s="125"/>
      <c r="J1227" s="123"/>
      <c r="K1227" s="12"/>
      <c r="L1227" s="117"/>
      <c r="M1227" s="12"/>
      <c r="N1227" s="117"/>
      <c r="O1227" s="117"/>
      <c r="P1227" s="117"/>
      <c r="Q1227" s="118"/>
      <c r="R1227" s="118"/>
      <c r="S1227" s="118"/>
      <c r="T1227" s="12"/>
      <c r="U1227" s="118"/>
      <c r="V1227" s="118"/>
      <c r="W1227" s="12"/>
      <c r="X1227" s="119"/>
      <c r="Y1227" s="120"/>
      <c r="Z1227" s="12"/>
      <c r="BA1227" s="70" t="s">
        <v>205</v>
      </c>
      <c r="BB1227" s="71" t="s">
        <v>214</v>
      </c>
      <c r="BC1227" s="71" t="s">
        <v>207</v>
      </c>
      <c r="BD1227" s="71">
        <v>10.16</v>
      </c>
      <c r="BE1227" s="71">
        <v>10.16</v>
      </c>
      <c r="BF1227" s="71">
        <v>264</v>
      </c>
      <c r="BG1227" s="71">
        <v>212</v>
      </c>
      <c r="BH1227" s="71">
        <v>5</v>
      </c>
      <c r="BI1227" s="71">
        <v>8</v>
      </c>
      <c r="BJ1227" s="12" t="str" cm="1">
        <f t="array" ref="BJ1227">_xll.Dce_Name_SectI(BF1227, BF1227, BG1227, BH1227, BI1227, "x", "-", $AX$11)</f>
        <v>264x212x5x8</v>
      </c>
      <c r="BK1227" s="77" cm="1">
        <f t="array" ref="BK1227">_xll.DCEPropSectI(BF1227, BH1227, BG1227, BI1227, BG1227, BI1227, "A")/100</f>
        <v>46.32</v>
      </c>
      <c r="BL1227" s="70" t="s">
        <v>218</v>
      </c>
      <c r="BM1227" s="70">
        <v>216.88735454935966</v>
      </c>
      <c r="BN1227" s="71">
        <v>0.9</v>
      </c>
      <c r="BO1227" s="77">
        <f t="shared" si="155"/>
        <v>9.1440000000000001</v>
      </c>
      <c r="BP1227" s="71">
        <v>0.9</v>
      </c>
      <c r="BQ1227" s="77">
        <f t="shared" si="156"/>
        <v>9.1440000000000001</v>
      </c>
      <c r="BR1227" s="77" cm="1">
        <f t="array" ref="BR1227">_xll.DCEPropSectI(BF1227, BH1227, BG1227, BI1227, BG1227, BI1227, "rx")/10</f>
        <v>11.562881075579337</v>
      </c>
      <c r="BS1227" s="77" cm="1">
        <f t="array" ref="BS1227">_xll.DCEPropSectI(BF1227, BH1227, BG1227, BI1227, BG1227, BI1227, "ry")/10</f>
        <v>5.237608536144422</v>
      </c>
      <c r="BT1227" s="5">
        <f t="shared" si="157"/>
        <v>79.080636912473437</v>
      </c>
      <c r="BU1227" s="5">
        <f t="shared" si="158"/>
        <v>174.58349429702133</v>
      </c>
      <c r="BV1227" s="5">
        <f t="shared" si="159"/>
        <v>174.58349429702133</v>
      </c>
      <c r="BW1227" s="71">
        <f t="shared" si="160"/>
        <v>400</v>
      </c>
      <c r="BX1227" s="78" cm="1">
        <f t="array" ref="BX1227">IF(BM1227&gt;0,1,_xll.DCETCVN5575FactorPhi7121(BV1227*SQRT($K$17/206000),"b"))</f>
        <v>1</v>
      </c>
      <c r="BY1227" s="64">
        <f t="shared" si="161"/>
        <v>0.22296997548046676</v>
      </c>
      <c r="BZ1227" s="3" t="str">
        <f t="shared" si="162"/>
        <v>OK</v>
      </c>
    </row>
    <row r="1228" spans="1:78">
      <c r="A1228" s="76"/>
      <c r="B1228" s="76"/>
      <c r="C1228" s="125"/>
      <c r="D1228" s="125"/>
      <c r="E1228" s="71"/>
      <c r="F1228" s="71"/>
      <c r="G1228" s="71"/>
      <c r="H1228" s="126"/>
      <c r="I1228" s="125"/>
      <c r="J1228" s="123"/>
      <c r="K1228" s="12"/>
      <c r="L1228" s="117"/>
      <c r="M1228" s="12"/>
      <c r="N1228" s="117"/>
      <c r="O1228" s="117"/>
      <c r="P1228" s="117"/>
      <c r="Q1228" s="118"/>
      <c r="R1228" s="118"/>
      <c r="S1228" s="118"/>
      <c r="T1228" s="12"/>
      <c r="U1228" s="118"/>
      <c r="V1228" s="118"/>
      <c r="W1228" s="12"/>
      <c r="X1228" s="119"/>
      <c r="Y1228" s="120"/>
      <c r="Z1228" s="12"/>
      <c r="BA1228" s="70" t="s">
        <v>205</v>
      </c>
      <c r="BB1228" s="71" t="s">
        <v>214</v>
      </c>
      <c r="BC1228" s="71" t="s">
        <v>207</v>
      </c>
      <c r="BD1228" s="71">
        <v>0</v>
      </c>
      <c r="BE1228" s="71">
        <v>10.16</v>
      </c>
      <c r="BF1228" s="71">
        <v>264</v>
      </c>
      <c r="BG1228" s="71">
        <v>212</v>
      </c>
      <c r="BH1228" s="71">
        <v>5</v>
      </c>
      <c r="BI1228" s="71">
        <v>8</v>
      </c>
      <c r="BJ1228" s="12" t="str" cm="1">
        <f t="array" ref="BJ1228">_xll.Dce_Name_SectI(BF1228, BF1228, BG1228, BH1228, BI1228, "x", "-", $AX$11)</f>
        <v>264x212x5x8</v>
      </c>
      <c r="BK1228" s="77" cm="1">
        <f t="array" ref="BK1228">_xll.DCEPropSectI(BF1228, BH1228, BG1228, BI1228, BG1228, BI1228, "A")/100</f>
        <v>46.32</v>
      </c>
      <c r="BL1228" s="70" t="s">
        <v>219</v>
      </c>
      <c r="BM1228" s="70">
        <v>100.83446013952192</v>
      </c>
      <c r="BN1228" s="71">
        <v>0.9</v>
      </c>
      <c r="BO1228" s="77">
        <f t="shared" si="155"/>
        <v>9.1440000000000001</v>
      </c>
      <c r="BP1228" s="71">
        <v>0.9</v>
      </c>
      <c r="BQ1228" s="77">
        <f t="shared" si="156"/>
        <v>9.1440000000000001</v>
      </c>
      <c r="BR1228" s="77" cm="1">
        <f t="array" ref="BR1228">_xll.DCEPropSectI(BF1228, BH1228, BG1228, BI1228, BG1228, BI1228, "rx")/10</f>
        <v>11.562881075579337</v>
      </c>
      <c r="BS1228" s="77" cm="1">
        <f t="array" ref="BS1228">_xll.DCEPropSectI(BF1228, BH1228, BG1228, BI1228, BG1228, BI1228, "ry")/10</f>
        <v>5.237608536144422</v>
      </c>
      <c r="BT1228" s="5">
        <f t="shared" si="157"/>
        <v>79.080636912473437</v>
      </c>
      <c r="BU1228" s="5">
        <f t="shared" si="158"/>
        <v>174.58349429702133</v>
      </c>
      <c r="BV1228" s="5">
        <f t="shared" si="159"/>
        <v>174.58349429702133</v>
      </c>
      <c r="BW1228" s="71">
        <f t="shared" si="160"/>
        <v>400</v>
      </c>
      <c r="BX1228" s="78" cm="1">
        <f t="array" ref="BX1228">IF(BM1228&gt;0,1,_xll.DCETCVN5575FactorPhi7121(BV1228*SQRT($K$17/206000),"b"))</f>
        <v>1</v>
      </c>
      <c r="BY1228" s="64">
        <f t="shared" si="161"/>
        <v>0.10366236958171099</v>
      </c>
      <c r="BZ1228" s="3" t="str">
        <f t="shared" si="162"/>
        <v>OK</v>
      </c>
    </row>
    <row r="1229" spans="1:78">
      <c r="A1229" s="76"/>
      <c r="B1229" s="76"/>
      <c r="C1229" s="125"/>
      <c r="D1229" s="125"/>
      <c r="E1229" s="71"/>
      <c r="F1229" s="71"/>
      <c r="G1229" s="71"/>
      <c r="H1229" s="126"/>
      <c r="I1229" s="125"/>
      <c r="J1229" s="123"/>
      <c r="K1229" s="12"/>
      <c r="L1229" s="117"/>
      <c r="M1229" s="12"/>
      <c r="N1229" s="117"/>
      <c r="O1229" s="117"/>
      <c r="P1229" s="117"/>
      <c r="Q1229" s="118"/>
      <c r="R1229" s="118"/>
      <c r="S1229" s="118"/>
      <c r="T1229" s="12"/>
      <c r="U1229" s="118"/>
      <c r="V1229" s="118"/>
      <c r="W1229" s="12"/>
      <c r="X1229" s="119"/>
      <c r="Y1229" s="120"/>
      <c r="Z1229" s="12"/>
      <c r="BA1229" s="70" t="s">
        <v>205</v>
      </c>
      <c r="BB1229" s="71" t="s">
        <v>214</v>
      </c>
      <c r="BC1229" s="71" t="s">
        <v>207</v>
      </c>
      <c r="BD1229" s="71">
        <v>5.08</v>
      </c>
      <c r="BE1229" s="71">
        <v>10.16</v>
      </c>
      <c r="BF1229" s="71">
        <v>264</v>
      </c>
      <c r="BG1229" s="71">
        <v>212</v>
      </c>
      <c r="BH1229" s="71">
        <v>5</v>
      </c>
      <c r="BI1229" s="71">
        <v>8</v>
      </c>
      <c r="BJ1229" s="12" t="str" cm="1">
        <f t="array" ref="BJ1229">_xll.Dce_Name_SectI(BF1229, BF1229, BG1229, BH1229, BI1229, "x", "-", $AX$11)</f>
        <v>264x212x5x8</v>
      </c>
      <c r="BK1229" s="77" cm="1">
        <f t="array" ref="BK1229">_xll.DCEPropSectI(BF1229, BH1229, BG1229, BI1229, BG1229, BI1229, "A")/100</f>
        <v>46.32</v>
      </c>
      <c r="BL1229" s="70" t="s">
        <v>219</v>
      </c>
      <c r="BM1229" s="70">
        <v>102.05560383682038</v>
      </c>
      <c r="BN1229" s="71">
        <v>0.9</v>
      </c>
      <c r="BO1229" s="77">
        <f t="shared" ref="BO1229:BO1292" si="163">BN1229*BE1229</f>
        <v>9.1440000000000001</v>
      </c>
      <c r="BP1229" s="71">
        <v>0.9</v>
      </c>
      <c r="BQ1229" s="77">
        <f t="shared" ref="BQ1229:BQ1292" si="164">BP1229*BE1229</f>
        <v>9.1440000000000001</v>
      </c>
      <c r="BR1229" s="77" cm="1">
        <f t="array" ref="BR1229">_xll.DCEPropSectI(BF1229, BH1229, BG1229, BI1229, BG1229, BI1229, "rx")/10</f>
        <v>11.562881075579337</v>
      </c>
      <c r="BS1229" s="77" cm="1">
        <f t="array" ref="BS1229">_xll.DCEPropSectI(BF1229, BH1229, BG1229, BI1229, BG1229, BI1229, "ry")/10</f>
        <v>5.237608536144422</v>
      </c>
      <c r="BT1229" s="5">
        <f t="shared" ref="BT1229:BT1292" si="165">BO1229*100/BR1229</f>
        <v>79.080636912473437</v>
      </c>
      <c r="BU1229" s="5">
        <f t="shared" ref="BU1229:BU1292" si="166">BQ1229*100/BS1229</f>
        <v>174.58349429702133</v>
      </c>
      <c r="BV1229" s="5">
        <f t="shared" ref="BV1229:BV1292" si="167">MAX(BT1229,BU1229)</f>
        <v>174.58349429702133</v>
      </c>
      <c r="BW1229" s="71">
        <f t="shared" ref="BW1229:BW1292" si="168">IF(BM1229&lt;0,$AY$14,$AY$15)</f>
        <v>400</v>
      </c>
      <c r="BX1229" s="78" cm="1">
        <f t="array" ref="BX1229">IF(BM1229&gt;0,1,_xll.DCETCVN5575FactorPhi7121(BV1229*SQRT($K$17/206000),"b"))</f>
        <v>1</v>
      </c>
      <c r="BY1229" s="64">
        <f t="shared" ref="BY1229:BY1292" si="169">ABS(BM1229)/(BX1229*BK1229*$K$17*$K$19)*10</f>
        <v>0.1049177603388646</v>
      </c>
      <c r="BZ1229" s="3" t="str">
        <f t="shared" ref="BZ1229:BZ1292" si="170">IF(AND(BV1229&lt;=BW1229,BY1229&lt;=1),"OK","Check")</f>
        <v>OK</v>
      </c>
    </row>
    <row r="1230" spans="1:78">
      <c r="A1230" s="76"/>
      <c r="B1230" s="76"/>
      <c r="C1230" s="125"/>
      <c r="D1230" s="125"/>
      <c r="E1230" s="71"/>
      <c r="F1230" s="71"/>
      <c r="G1230" s="71"/>
      <c r="H1230" s="126"/>
      <c r="I1230" s="125"/>
      <c r="J1230" s="123"/>
      <c r="K1230" s="12"/>
      <c r="L1230" s="117"/>
      <c r="M1230" s="12"/>
      <c r="N1230" s="117"/>
      <c r="O1230" s="117"/>
      <c r="P1230" s="117"/>
      <c r="Q1230" s="118"/>
      <c r="R1230" s="118"/>
      <c r="S1230" s="118"/>
      <c r="T1230" s="12"/>
      <c r="U1230" s="118"/>
      <c r="V1230" s="118"/>
      <c r="W1230" s="12"/>
      <c r="X1230" s="119"/>
      <c r="Y1230" s="120"/>
      <c r="Z1230" s="12"/>
      <c r="BA1230" s="70" t="s">
        <v>205</v>
      </c>
      <c r="BB1230" s="71" t="s">
        <v>214</v>
      </c>
      <c r="BC1230" s="71" t="s">
        <v>207</v>
      </c>
      <c r="BD1230" s="71">
        <v>10.16</v>
      </c>
      <c r="BE1230" s="71">
        <v>10.16</v>
      </c>
      <c r="BF1230" s="71">
        <v>264</v>
      </c>
      <c r="BG1230" s="71">
        <v>212</v>
      </c>
      <c r="BH1230" s="71">
        <v>5</v>
      </c>
      <c r="BI1230" s="71">
        <v>8</v>
      </c>
      <c r="BJ1230" s="12" t="str" cm="1">
        <f t="array" ref="BJ1230">_xll.Dce_Name_SectI(BF1230, BF1230, BG1230, BH1230, BI1230, "x", "-", $AX$11)</f>
        <v>264x212x5x8</v>
      </c>
      <c r="BK1230" s="77" cm="1">
        <f t="array" ref="BK1230">_xll.DCEPropSectI(BF1230, BH1230, BG1230, BI1230, BG1230, BI1230, "A")/100</f>
        <v>46.32</v>
      </c>
      <c r="BL1230" s="70" t="s">
        <v>219</v>
      </c>
      <c r="BM1230" s="70">
        <v>103.27674753411883</v>
      </c>
      <c r="BN1230" s="71">
        <v>0.9</v>
      </c>
      <c r="BO1230" s="77">
        <f t="shared" si="163"/>
        <v>9.1440000000000001</v>
      </c>
      <c r="BP1230" s="71">
        <v>0.9</v>
      </c>
      <c r="BQ1230" s="77">
        <f t="shared" si="164"/>
        <v>9.1440000000000001</v>
      </c>
      <c r="BR1230" s="77" cm="1">
        <f t="array" ref="BR1230">_xll.DCEPropSectI(BF1230, BH1230, BG1230, BI1230, BG1230, BI1230, "rx")/10</f>
        <v>11.562881075579337</v>
      </c>
      <c r="BS1230" s="77" cm="1">
        <f t="array" ref="BS1230">_xll.DCEPropSectI(BF1230, BH1230, BG1230, BI1230, BG1230, BI1230, "ry")/10</f>
        <v>5.237608536144422</v>
      </c>
      <c r="BT1230" s="5">
        <f t="shared" si="165"/>
        <v>79.080636912473437</v>
      </c>
      <c r="BU1230" s="5">
        <f t="shared" si="166"/>
        <v>174.58349429702133</v>
      </c>
      <c r="BV1230" s="5">
        <f t="shared" si="167"/>
        <v>174.58349429702133</v>
      </c>
      <c r="BW1230" s="71">
        <f t="shared" si="168"/>
        <v>400</v>
      </c>
      <c r="BX1230" s="78" cm="1">
        <f t="array" ref="BX1230">IF(BM1230&gt;0,1,_xll.DCETCVN5575FactorPhi7121(BV1230*SQRT($K$17/206000),"b"))</f>
        <v>1</v>
      </c>
      <c r="BY1230" s="64">
        <f t="shared" si="169"/>
        <v>0.10617315109601819</v>
      </c>
      <c r="BZ1230" s="3" t="str">
        <f t="shared" si="170"/>
        <v>OK</v>
      </c>
    </row>
    <row r="1231" spans="1:78">
      <c r="A1231" s="76"/>
      <c r="B1231" s="76"/>
      <c r="C1231" s="125"/>
      <c r="D1231" s="125"/>
      <c r="E1231" s="71"/>
      <c r="F1231" s="71"/>
      <c r="G1231" s="71"/>
      <c r="H1231" s="126"/>
      <c r="I1231" s="125"/>
      <c r="J1231" s="123"/>
      <c r="K1231" s="12"/>
      <c r="L1231" s="117"/>
      <c r="M1231" s="12"/>
      <c r="N1231" s="117"/>
      <c r="O1231" s="117"/>
      <c r="P1231" s="117"/>
      <c r="Q1231" s="118"/>
      <c r="R1231" s="118"/>
      <c r="S1231" s="118"/>
      <c r="T1231" s="12"/>
      <c r="U1231" s="118"/>
      <c r="V1231" s="118"/>
      <c r="W1231" s="12"/>
      <c r="X1231" s="119"/>
      <c r="Y1231" s="120"/>
      <c r="Z1231" s="12"/>
      <c r="BA1231" s="70" t="s">
        <v>205</v>
      </c>
      <c r="BB1231" s="71" t="s">
        <v>214</v>
      </c>
      <c r="BC1231" s="71" t="s">
        <v>207</v>
      </c>
      <c r="BD1231" s="71">
        <v>0</v>
      </c>
      <c r="BE1231" s="71">
        <v>10.16</v>
      </c>
      <c r="BF1231" s="71">
        <v>264</v>
      </c>
      <c r="BG1231" s="71">
        <v>212</v>
      </c>
      <c r="BH1231" s="71">
        <v>5</v>
      </c>
      <c r="BI1231" s="71">
        <v>8</v>
      </c>
      <c r="BJ1231" s="12" t="str" cm="1">
        <f t="array" ref="BJ1231">_xll.Dce_Name_SectI(BF1231, BF1231, BG1231, BH1231, BI1231, "x", "-", $AX$11)</f>
        <v>264x212x5x8</v>
      </c>
      <c r="BK1231" s="77" cm="1">
        <f t="array" ref="BK1231">_xll.DCEPropSectI(BF1231, BH1231, BG1231, BI1231, BG1231, BI1231, "A")/100</f>
        <v>46.32</v>
      </c>
      <c r="BL1231" s="70" t="s">
        <v>220</v>
      </c>
      <c r="BM1231" s="70">
        <v>135.35273424343725</v>
      </c>
      <c r="BN1231" s="71">
        <v>0.9</v>
      </c>
      <c r="BO1231" s="77">
        <f t="shared" si="163"/>
        <v>9.1440000000000001</v>
      </c>
      <c r="BP1231" s="71">
        <v>0.9</v>
      </c>
      <c r="BQ1231" s="77">
        <f t="shared" si="164"/>
        <v>9.1440000000000001</v>
      </c>
      <c r="BR1231" s="77" cm="1">
        <f t="array" ref="BR1231">_xll.DCEPropSectI(BF1231, BH1231, BG1231, BI1231, BG1231, BI1231, "rx")/10</f>
        <v>11.562881075579337</v>
      </c>
      <c r="BS1231" s="77" cm="1">
        <f t="array" ref="BS1231">_xll.DCEPropSectI(BF1231, BH1231, BG1231, BI1231, BG1231, BI1231, "ry")/10</f>
        <v>5.237608536144422</v>
      </c>
      <c r="BT1231" s="5">
        <f t="shared" si="165"/>
        <v>79.080636912473437</v>
      </c>
      <c r="BU1231" s="5">
        <f t="shared" si="166"/>
        <v>174.58349429702133</v>
      </c>
      <c r="BV1231" s="5">
        <f t="shared" si="167"/>
        <v>174.58349429702133</v>
      </c>
      <c r="BW1231" s="71">
        <f t="shared" si="168"/>
        <v>400</v>
      </c>
      <c r="BX1231" s="78" cm="1">
        <f t="array" ref="BX1231">IF(BM1231&gt;0,1,_xll.DCETCVN5575FactorPhi7121(BV1231*SQRT($K$17/206000),"b"))</f>
        <v>1</v>
      </c>
      <c r="BY1231" s="64">
        <f t="shared" si="169"/>
        <v>0.13914871108174731</v>
      </c>
      <c r="BZ1231" s="3" t="str">
        <f t="shared" si="170"/>
        <v>OK</v>
      </c>
    </row>
    <row r="1232" spans="1:78">
      <c r="A1232" s="76"/>
      <c r="B1232" s="76"/>
      <c r="C1232" s="125"/>
      <c r="D1232" s="125"/>
      <c r="E1232" s="71"/>
      <c r="F1232" s="71"/>
      <c r="G1232" s="71"/>
      <c r="H1232" s="126"/>
      <c r="I1232" s="125"/>
      <c r="J1232" s="123"/>
      <c r="K1232" s="12"/>
      <c r="L1232" s="117"/>
      <c r="M1232" s="12"/>
      <c r="N1232" s="117"/>
      <c r="O1232" s="117"/>
      <c r="P1232" s="117"/>
      <c r="Q1232" s="118"/>
      <c r="R1232" s="118"/>
      <c r="S1232" s="118"/>
      <c r="T1232" s="12"/>
      <c r="U1232" s="118"/>
      <c r="V1232" s="118"/>
      <c r="W1232" s="12"/>
      <c r="X1232" s="119"/>
      <c r="Y1232" s="120"/>
      <c r="Z1232" s="12"/>
      <c r="BA1232" s="70" t="s">
        <v>205</v>
      </c>
      <c r="BB1232" s="71" t="s">
        <v>214</v>
      </c>
      <c r="BC1232" s="71" t="s">
        <v>207</v>
      </c>
      <c r="BD1232" s="71">
        <v>5.08</v>
      </c>
      <c r="BE1232" s="71">
        <v>10.16</v>
      </c>
      <c r="BF1232" s="71">
        <v>264</v>
      </c>
      <c r="BG1232" s="71">
        <v>212</v>
      </c>
      <c r="BH1232" s="71">
        <v>5</v>
      </c>
      <c r="BI1232" s="71">
        <v>8</v>
      </c>
      <c r="BJ1232" s="12" t="str" cm="1">
        <f t="array" ref="BJ1232">_xll.Dce_Name_SectI(BF1232, BF1232, BG1232, BH1232, BI1232, "x", "-", $AX$11)</f>
        <v>264x212x5x8</v>
      </c>
      <c r="BK1232" s="77" cm="1">
        <f t="array" ref="BK1232">_xll.DCEPropSectI(BF1232, BH1232, BG1232, BI1232, BG1232, BI1232, "A")/100</f>
        <v>46.32</v>
      </c>
      <c r="BL1232" s="70" t="s">
        <v>220</v>
      </c>
      <c r="BM1232" s="70">
        <v>136.57387794073571</v>
      </c>
      <c r="BN1232" s="71">
        <v>0.9</v>
      </c>
      <c r="BO1232" s="77">
        <f t="shared" si="163"/>
        <v>9.1440000000000001</v>
      </c>
      <c r="BP1232" s="71">
        <v>0.9</v>
      </c>
      <c r="BQ1232" s="77">
        <f t="shared" si="164"/>
        <v>9.1440000000000001</v>
      </c>
      <c r="BR1232" s="77" cm="1">
        <f t="array" ref="BR1232">_xll.DCEPropSectI(BF1232, BH1232, BG1232, BI1232, BG1232, BI1232, "rx")/10</f>
        <v>11.562881075579337</v>
      </c>
      <c r="BS1232" s="77" cm="1">
        <f t="array" ref="BS1232">_xll.DCEPropSectI(BF1232, BH1232, BG1232, BI1232, BG1232, BI1232, "ry")/10</f>
        <v>5.237608536144422</v>
      </c>
      <c r="BT1232" s="5">
        <f t="shared" si="165"/>
        <v>79.080636912473437</v>
      </c>
      <c r="BU1232" s="5">
        <f t="shared" si="166"/>
        <v>174.58349429702133</v>
      </c>
      <c r="BV1232" s="5">
        <f t="shared" si="167"/>
        <v>174.58349429702133</v>
      </c>
      <c r="BW1232" s="71">
        <f t="shared" si="168"/>
        <v>400</v>
      </c>
      <c r="BX1232" s="78" cm="1">
        <f t="array" ref="BX1232">IF(BM1232&gt;0,1,_xll.DCETCVN5575FactorPhi7121(BV1232*SQRT($K$17/206000),"b"))</f>
        <v>1</v>
      </c>
      <c r="BY1232" s="64">
        <f t="shared" si="169"/>
        <v>0.14040410183890092</v>
      </c>
      <c r="BZ1232" s="3" t="str">
        <f t="shared" si="170"/>
        <v>OK</v>
      </c>
    </row>
    <row r="1233" spans="1:78">
      <c r="A1233" s="76"/>
      <c r="B1233" s="76"/>
      <c r="C1233" s="125"/>
      <c r="D1233" s="125"/>
      <c r="E1233" s="71"/>
      <c r="F1233" s="71"/>
      <c r="G1233" s="71"/>
      <c r="H1233" s="126"/>
      <c r="I1233" s="125"/>
      <c r="J1233" s="123"/>
      <c r="K1233" s="12"/>
      <c r="L1233" s="117"/>
      <c r="M1233" s="12"/>
      <c r="N1233" s="117"/>
      <c r="O1233" s="117"/>
      <c r="P1233" s="117"/>
      <c r="Q1233" s="118"/>
      <c r="R1233" s="118"/>
      <c r="S1233" s="118"/>
      <c r="T1233" s="12"/>
      <c r="U1233" s="118"/>
      <c r="V1233" s="118"/>
      <c r="W1233" s="12"/>
      <c r="X1233" s="119"/>
      <c r="Y1233" s="120"/>
      <c r="Z1233" s="12"/>
      <c r="BA1233" s="70" t="s">
        <v>205</v>
      </c>
      <c r="BB1233" s="71" t="s">
        <v>214</v>
      </c>
      <c r="BC1233" s="71" t="s">
        <v>207</v>
      </c>
      <c r="BD1233" s="71">
        <v>10.16</v>
      </c>
      <c r="BE1233" s="71">
        <v>10.16</v>
      </c>
      <c r="BF1233" s="71">
        <v>264</v>
      </c>
      <c r="BG1233" s="71">
        <v>212</v>
      </c>
      <c r="BH1233" s="71">
        <v>5</v>
      </c>
      <c r="BI1233" s="71">
        <v>8</v>
      </c>
      <c r="BJ1233" s="12" t="str" cm="1">
        <f t="array" ref="BJ1233">_xll.Dce_Name_SectI(BF1233, BF1233, BG1233, BH1233, BI1233, "x", "-", $AX$11)</f>
        <v>264x212x5x8</v>
      </c>
      <c r="BK1233" s="77" cm="1">
        <f t="array" ref="BK1233">_xll.DCEPropSectI(BF1233, BH1233, BG1233, BI1233, BG1233, BI1233, "A")/100</f>
        <v>46.32</v>
      </c>
      <c r="BL1233" s="70" t="s">
        <v>220</v>
      </c>
      <c r="BM1233" s="70">
        <v>137.79502163803414</v>
      </c>
      <c r="BN1233" s="71">
        <v>0.9</v>
      </c>
      <c r="BO1233" s="77">
        <f t="shared" si="163"/>
        <v>9.1440000000000001</v>
      </c>
      <c r="BP1233" s="71">
        <v>0.9</v>
      </c>
      <c r="BQ1233" s="77">
        <f t="shared" si="164"/>
        <v>9.1440000000000001</v>
      </c>
      <c r="BR1233" s="77" cm="1">
        <f t="array" ref="BR1233">_xll.DCEPropSectI(BF1233, BH1233, BG1233, BI1233, BG1233, BI1233, "rx")/10</f>
        <v>11.562881075579337</v>
      </c>
      <c r="BS1233" s="77" cm="1">
        <f t="array" ref="BS1233">_xll.DCEPropSectI(BF1233, BH1233, BG1233, BI1233, BG1233, BI1233, "ry")/10</f>
        <v>5.237608536144422</v>
      </c>
      <c r="BT1233" s="5">
        <f t="shared" si="165"/>
        <v>79.080636912473437</v>
      </c>
      <c r="BU1233" s="5">
        <f t="shared" si="166"/>
        <v>174.58349429702133</v>
      </c>
      <c r="BV1233" s="5">
        <f t="shared" si="167"/>
        <v>174.58349429702133</v>
      </c>
      <c r="BW1233" s="71">
        <f t="shared" si="168"/>
        <v>400</v>
      </c>
      <c r="BX1233" s="78" cm="1">
        <f t="array" ref="BX1233">IF(BM1233&gt;0,1,_xll.DCETCVN5575FactorPhi7121(BV1233*SQRT($K$17/206000),"b"))</f>
        <v>1</v>
      </c>
      <c r="BY1233" s="64">
        <f t="shared" si="169"/>
        <v>0.14165949259605451</v>
      </c>
      <c r="BZ1233" s="3" t="str">
        <f t="shared" si="170"/>
        <v>OK</v>
      </c>
    </row>
    <row r="1234" spans="1:78">
      <c r="A1234" s="76"/>
      <c r="B1234" s="76"/>
      <c r="C1234" s="125"/>
      <c r="D1234" s="125"/>
      <c r="E1234" s="71"/>
      <c r="F1234" s="71"/>
      <c r="G1234" s="71"/>
      <c r="H1234" s="126"/>
      <c r="I1234" s="125"/>
      <c r="J1234" s="123"/>
      <c r="K1234" s="12"/>
      <c r="L1234" s="117"/>
      <c r="M1234" s="12"/>
      <c r="N1234" s="117"/>
      <c r="O1234" s="117"/>
      <c r="P1234" s="117"/>
      <c r="Q1234" s="118"/>
      <c r="R1234" s="118"/>
      <c r="S1234" s="118"/>
      <c r="T1234" s="12"/>
      <c r="U1234" s="118"/>
      <c r="V1234" s="118"/>
      <c r="W1234" s="12"/>
      <c r="X1234" s="119"/>
      <c r="Y1234" s="120"/>
      <c r="Z1234" s="12"/>
      <c r="BA1234" s="70" t="s">
        <v>205</v>
      </c>
      <c r="BB1234" s="71" t="s">
        <v>214</v>
      </c>
      <c r="BC1234" s="71" t="s">
        <v>207</v>
      </c>
      <c r="BD1234" s="71">
        <v>0</v>
      </c>
      <c r="BE1234" s="71">
        <v>10.16</v>
      </c>
      <c r="BF1234" s="71">
        <v>264</v>
      </c>
      <c r="BG1234" s="71">
        <v>212</v>
      </c>
      <c r="BH1234" s="71">
        <v>5</v>
      </c>
      <c r="BI1234" s="71">
        <v>8</v>
      </c>
      <c r="BJ1234" s="12" t="str" cm="1">
        <f t="array" ref="BJ1234">_xll.Dce_Name_SectI(BF1234, BF1234, BG1234, BH1234, BI1234, "x", "-", $AX$11)</f>
        <v>264x212x5x8</v>
      </c>
      <c r="BK1234" s="77" cm="1">
        <f t="array" ref="BK1234">_xll.DCEPropSectI(BF1234, BH1234, BG1234, BI1234, BG1234, BI1234, "A")/100</f>
        <v>46.32</v>
      </c>
      <c r="BL1234" s="70" t="s">
        <v>221</v>
      </c>
      <c r="BM1234" s="70">
        <v>135.68116789305478</v>
      </c>
      <c r="BN1234" s="71">
        <v>0.9</v>
      </c>
      <c r="BO1234" s="77">
        <f t="shared" si="163"/>
        <v>9.1440000000000001</v>
      </c>
      <c r="BP1234" s="71">
        <v>0.9</v>
      </c>
      <c r="BQ1234" s="77">
        <f t="shared" si="164"/>
        <v>9.1440000000000001</v>
      </c>
      <c r="BR1234" s="77" cm="1">
        <f t="array" ref="BR1234">_xll.DCEPropSectI(BF1234, BH1234, BG1234, BI1234, BG1234, BI1234, "rx")/10</f>
        <v>11.562881075579337</v>
      </c>
      <c r="BS1234" s="77" cm="1">
        <f t="array" ref="BS1234">_xll.DCEPropSectI(BF1234, BH1234, BG1234, BI1234, BG1234, BI1234, "ry")/10</f>
        <v>5.237608536144422</v>
      </c>
      <c r="BT1234" s="5">
        <f t="shared" si="165"/>
        <v>79.080636912473437</v>
      </c>
      <c r="BU1234" s="5">
        <f t="shared" si="166"/>
        <v>174.58349429702133</v>
      </c>
      <c r="BV1234" s="5">
        <f t="shared" si="167"/>
        <v>174.58349429702133</v>
      </c>
      <c r="BW1234" s="71">
        <f t="shared" si="168"/>
        <v>400</v>
      </c>
      <c r="BX1234" s="78" cm="1">
        <f t="array" ref="BX1234">IF(BM1234&gt;0,1,_xll.DCETCVN5575FactorPhi7121(BV1234*SQRT($K$17/206000),"b"))</f>
        <v>1</v>
      </c>
      <c r="BY1234" s="64">
        <f t="shared" si="169"/>
        <v>0.13948635567589313</v>
      </c>
      <c r="BZ1234" s="3" t="str">
        <f t="shared" si="170"/>
        <v>OK</v>
      </c>
    </row>
    <row r="1235" spans="1:78">
      <c r="A1235" s="76"/>
      <c r="B1235" s="76"/>
      <c r="C1235" s="125"/>
      <c r="D1235" s="125"/>
      <c r="E1235" s="71"/>
      <c r="F1235" s="71"/>
      <c r="G1235" s="71"/>
      <c r="H1235" s="126"/>
      <c r="I1235" s="125"/>
      <c r="J1235" s="123"/>
      <c r="K1235" s="12"/>
      <c r="L1235" s="117"/>
      <c r="M1235" s="12"/>
      <c r="N1235" s="117"/>
      <c r="O1235" s="117"/>
      <c r="P1235" s="117"/>
      <c r="Q1235" s="118"/>
      <c r="R1235" s="118"/>
      <c r="S1235" s="118"/>
      <c r="T1235" s="12"/>
      <c r="U1235" s="118"/>
      <c r="V1235" s="118"/>
      <c r="W1235" s="12"/>
      <c r="X1235" s="119"/>
      <c r="Y1235" s="120"/>
      <c r="Z1235" s="12"/>
      <c r="BA1235" s="70" t="s">
        <v>205</v>
      </c>
      <c r="BB1235" s="71" t="s">
        <v>214</v>
      </c>
      <c r="BC1235" s="71" t="s">
        <v>207</v>
      </c>
      <c r="BD1235" s="71">
        <v>5.08</v>
      </c>
      <c r="BE1235" s="71">
        <v>10.16</v>
      </c>
      <c r="BF1235" s="71">
        <v>264</v>
      </c>
      <c r="BG1235" s="71">
        <v>212</v>
      </c>
      <c r="BH1235" s="71">
        <v>5</v>
      </c>
      <c r="BI1235" s="71">
        <v>8</v>
      </c>
      <c r="BJ1235" s="12" t="str" cm="1">
        <f t="array" ref="BJ1235">_xll.Dce_Name_SectI(BF1235, BF1235, BG1235, BH1235, BI1235, "x", "-", $AX$11)</f>
        <v>264x212x5x8</v>
      </c>
      <c r="BK1235" s="77" cm="1">
        <f t="array" ref="BK1235">_xll.DCEPropSectI(BF1235, BH1235, BG1235, BI1235, BG1235, BI1235, "A")/100</f>
        <v>46.32</v>
      </c>
      <c r="BL1235" s="70" t="s">
        <v>221</v>
      </c>
      <c r="BM1235" s="70">
        <v>136.90231159035324</v>
      </c>
      <c r="BN1235" s="71">
        <v>0.9</v>
      </c>
      <c r="BO1235" s="77">
        <f t="shared" si="163"/>
        <v>9.1440000000000001</v>
      </c>
      <c r="BP1235" s="71">
        <v>0.9</v>
      </c>
      <c r="BQ1235" s="77">
        <f t="shared" si="164"/>
        <v>9.1440000000000001</v>
      </c>
      <c r="BR1235" s="77" cm="1">
        <f t="array" ref="BR1235">_xll.DCEPropSectI(BF1235, BH1235, BG1235, BI1235, BG1235, BI1235, "rx")/10</f>
        <v>11.562881075579337</v>
      </c>
      <c r="BS1235" s="77" cm="1">
        <f t="array" ref="BS1235">_xll.DCEPropSectI(BF1235, BH1235, BG1235, BI1235, BG1235, BI1235, "ry")/10</f>
        <v>5.237608536144422</v>
      </c>
      <c r="BT1235" s="5">
        <f t="shared" si="165"/>
        <v>79.080636912473437</v>
      </c>
      <c r="BU1235" s="5">
        <f t="shared" si="166"/>
        <v>174.58349429702133</v>
      </c>
      <c r="BV1235" s="5">
        <f t="shared" si="167"/>
        <v>174.58349429702133</v>
      </c>
      <c r="BW1235" s="71">
        <f t="shared" si="168"/>
        <v>400</v>
      </c>
      <c r="BX1235" s="78" cm="1">
        <f t="array" ref="BX1235">IF(BM1235&gt;0,1,_xll.DCETCVN5575FactorPhi7121(BV1235*SQRT($K$17/206000),"b"))</f>
        <v>1</v>
      </c>
      <c r="BY1235" s="64">
        <f t="shared" si="169"/>
        <v>0.14074174643304674</v>
      </c>
      <c r="BZ1235" s="3" t="str">
        <f t="shared" si="170"/>
        <v>OK</v>
      </c>
    </row>
    <row r="1236" spans="1:78">
      <c r="A1236" s="76"/>
      <c r="B1236" s="76"/>
      <c r="C1236" s="125"/>
      <c r="D1236" s="125"/>
      <c r="E1236" s="71"/>
      <c r="F1236" s="71"/>
      <c r="G1236" s="71"/>
      <c r="H1236" s="126"/>
      <c r="I1236" s="125"/>
      <c r="J1236" s="123"/>
      <c r="K1236" s="12"/>
      <c r="L1236" s="117"/>
      <c r="M1236" s="12"/>
      <c r="N1236" s="117"/>
      <c r="O1236" s="117"/>
      <c r="P1236" s="117"/>
      <c r="Q1236" s="118"/>
      <c r="R1236" s="118"/>
      <c r="S1236" s="118"/>
      <c r="T1236" s="12"/>
      <c r="U1236" s="118"/>
      <c r="V1236" s="118"/>
      <c r="W1236" s="12"/>
      <c r="X1236" s="119"/>
      <c r="Y1236" s="120"/>
      <c r="Z1236" s="12"/>
      <c r="BA1236" s="70" t="s">
        <v>205</v>
      </c>
      <c r="BB1236" s="71" t="s">
        <v>214</v>
      </c>
      <c r="BC1236" s="71" t="s">
        <v>207</v>
      </c>
      <c r="BD1236" s="71">
        <v>10.16</v>
      </c>
      <c r="BE1236" s="71">
        <v>10.16</v>
      </c>
      <c r="BF1236" s="71">
        <v>264</v>
      </c>
      <c r="BG1236" s="71">
        <v>212</v>
      </c>
      <c r="BH1236" s="71">
        <v>5</v>
      </c>
      <c r="BI1236" s="71">
        <v>8</v>
      </c>
      <c r="BJ1236" s="12" t="str" cm="1">
        <f t="array" ref="BJ1236">_xll.Dce_Name_SectI(BF1236, BF1236, BG1236, BH1236, BI1236, "x", "-", $AX$11)</f>
        <v>264x212x5x8</v>
      </c>
      <c r="BK1236" s="77" cm="1">
        <f t="array" ref="BK1236">_xll.DCEPropSectI(BF1236, BH1236, BG1236, BI1236, BG1236, BI1236, "A")/100</f>
        <v>46.32</v>
      </c>
      <c r="BL1236" s="70" t="s">
        <v>221</v>
      </c>
      <c r="BM1236" s="70">
        <v>138.12345528765167</v>
      </c>
      <c r="BN1236" s="71">
        <v>0.9</v>
      </c>
      <c r="BO1236" s="77">
        <f t="shared" si="163"/>
        <v>9.1440000000000001</v>
      </c>
      <c r="BP1236" s="71">
        <v>0.9</v>
      </c>
      <c r="BQ1236" s="77">
        <f t="shared" si="164"/>
        <v>9.1440000000000001</v>
      </c>
      <c r="BR1236" s="77" cm="1">
        <f t="array" ref="BR1236">_xll.DCEPropSectI(BF1236, BH1236, BG1236, BI1236, BG1236, BI1236, "rx")/10</f>
        <v>11.562881075579337</v>
      </c>
      <c r="BS1236" s="77" cm="1">
        <f t="array" ref="BS1236">_xll.DCEPropSectI(BF1236, BH1236, BG1236, BI1236, BG1236, BI1236, "ry")/10</f>
        <v>5.237608536144422</v>
      </c>
      <c r="BT1236" s="5">
        <f t="shared" si="165"/>
        <v>79.080636912473437</v>
      </c>
      <c r="BU1236" s="5">
        <f t="shared" si="166"/>
        <v>174.58349429702133</v>
      </c>
      <c r="BV1236" s="5">
        <f t="shared" si="167"/>
        <v>174.58349429702133</v>
      </c>
      <c r="BW1236" s="71">
        <f t="shared" si="168"/>
        <v>400</v>
      </c>
      <c r="BX1236" s="78" cm="1">
        <f t="array" ref="BX1236">IF(BM1236&gt;0,1,_xll.DCETCVN5575FactorPhi7121(BV1236*SQRT($K$17/206000),"b"))</f>
        <v>1</v>
      </c>
      <c r="BY1236" s="64">
        <f t="shared" si="169"/>
        <v>0.14199713719020032</v>
      </c>
      <c r="BZ1236" s="3" t="str">
        <f t="shared" si="170"/>
        <v>OK</v>
      </c>
    </row>
    <row r="1237" spans="1:78">
      <c r="A1237" s="76"/>
      <c r="B1237" s="76"/>
      <c r="C1237" s="125"/>
      <c r="D1237" s="125"/>
      <c r="E1237" s="71"/>
      <c r="F1237" s="71"/>
      <c r="G1237" s="71"/>
      <c r="H1237" s="126"/>
      <c r="I1237" s="125"/>
      <c r="J1237" s="123"/>
      <c r="K1237" s="12"/>
      <c r="L1237" s="117"/>
      <c r="M1237" s="12"/>
      <c r="N1237" s="117"/>
      <c r="O1237" s="117"/>
      <c r="P1237" s="117"/>
      <c r="Q1237" s="118"/>
      <c r="R1237" s="118"/>
      <c r="S1237" s="118"/>
      <c r="T1237" s="12"/>
      <c r="U1237" s="118"/>
      <c r="V1237" s="118"/>
      <c r="W1237" s="12"/>
      <c r="X1237" s="119"/>
      <c r="Y1237" s="120"/>
      <c r="Z1237" s="12"/>
      <c r="BA1237" s="70" t="s">
        <v>205</v>
      </c>
      <c r="BB1237" s="71" t="s">
        <v>214</v>
      </c>
      <c r="BC1237" s="71" t="s">
        <v>207</v>
      </c>
      <c r="BD1237" s="71">
        <v>0</v>
      </c>
      <c r="BE1237" s="71">
        <v>10.16</v>
      </c>
      <c r="BF1237" s="71">
        <v>264</v>
      </c>
      <c r="BG1237" s="71">
        <v>212</v>
      </c>
      <c r="BH1237" s="71">
        <v>5</v>
      </c>
      <c r="BI1237" s="71">
        <v>8</v>
      </c>
      <c r="BJ1237" s="12" t="str" cm="1">
        <f t="array" ref="BJ1237">_xll.Dce_Name_SectI(BF1237, BF1237, BG1237, BH1237, BI1237, "x", "-", $AX$11)</f>
        <v>264x212x5x8</v>
      </c>
      <c r="BK1237" s="77" cm="1">
        <f t="array" ref="BK1237">_xll.DCEPropSectI(BF1237, BH1237, BG1237, BI1237, BG1237, BI1237, "A")/100</f>
        <v>46.32</v>
      </c>
      <c r="BL1237" s="70" t="s">
        <v>222</v>
      </c>
      <c r="BM1237" s="70">
        <v>139.76086544958594</v>
      </c>
      <c r="BN1237" s="71">
        <v>0.9</v>
      </c>
      <c r="BO1237" s="77">
        <f t="shared" si="163"/>
        <v>9.1440000000000001</v>
      </c>
      <c r="BP1237" s="71">
        <v>0.9</v>
      </c>
      <c r="BQ1237" s="77">
        <f t="shared" si="164"/>
        <v>9.1440000000000001</v>
      </c>
      <c r="BR1237" s="77" cm="1">
        <f t="array" ref="BR1237">_xll.DCEPropSectI(BF1237, BH1237, BG1237, BI1237, BG1237, BI1237, "rx")/10</f>
        <v>11.562881075579337</v>
      </c>
      <c r="BS1237" s="77" cm="1">
        <f t="array" ref="BS1237">_xll.DCEPropSectI(BF1237, BH1237, BG1237, BI1237, BG1237, BI1237, "ry")/10</f>
        <v>5.237608536144422</v>
      </c>
      <c r="BT1237" s="5">
        <f t="shared" si="165"/>
        <v>79.080636912473437</v>
      </c>
      <c r="BU1237" s="5">
        <f t="shared" si="166"/>
        <v>174.58349429702133</v>
      </c>
      <c r="BV1237" s="5">
        <f t="shared" si="167"/>
        <v>174.58349429702133</v>
      </c>
      <c r="BW1237" s="71">
        <f t="shared" si="168"/>
        <v>400</v>
      </c>
      <c r="BX1237" s="78" cm="1">
        <f t="array" ref="BX1237">IF(BM1237&gt;0,1,_xll.DCETCVN5575FactorPhi7121(BV1237*SQRT($K$17/206000),"b"))</f>
        <v>1</v>
      </c>
      <c r="BY1237" s="64">
        <f t="shared" si="169"/>
        <v>0.14368046863391926</v>
      </c>
      <c r="BZ1237" s="3" t="str">
        <f t="shared" si="170"/>
        <v>OK</v>
      </c>
    </row>
    <row r="1238" spans="1:78">
      <c r="A1238" s="76"/>
      <c r="B1238" s="76"/>
      <c r="C1238" s="125"/>
      <c r="D1238" s="125"/>
      <c r="E1238" s="71"/>
      <c r="F1238" s="71"/>
      <c r="G1238" s="71"/>
      <c r="H1238" s="126"/>
      <c r="I1238" s="125"/>
      <c r="J1238" s="123"/>
      <c r="K1238" s="12"/>
      <c r="L1238" s="117"/>
      <c r="M1238" s="12"/>
      <c r="N1238" s="117"/>
      <c r="O1238" s="117"/>
      <c r="P1238" s="117"/>
      <c r="Q1238" s="118"/>
      <c r="R1238" s="118"/>
      <c r="S1238" s="118"/>
      <c r="T1238" s="12"/>
      <c r="U1238" s="118"/>
      <c r="V1238" s="118"/>
      <c r="W1238" s="12"/>
      <c r="X1238" s="119"/>
      <c r="Y1238" s="120"/>
      <c r="Z1238" s="12"/>
      <c r="BA1238" s="70" t="s">
        <v>205</v>
      </c>
      <c r="BB1238" s="71" t="s">
        <v>214</v>
      </c>
      <c r="BC1238" s="71" t="s">
        <v>207</v>
      </c>
      <c r="BD1238" s="71">
        <v>5.08</v>
      </c>
      <c r="BE1238" s="71">
        <v>10.16</v>
      </c>
      <c r="BF1238" s="71">
        <v>264</v>
      </c>
      <c r="BG1238" s="71">
        <v>212</v>
      </c>
      <c r="BH1238" s="71">
        <v>5</v>
      </c>
      <c r="BI1238" s="71">
        <v>8</v>
      </c>
      <c r="BJ1238" s="12" t="str" cm="1">
        <f t="array" ref="BJ1238">_xll.Dce_Name_SectI(BF1238, BF1238, BG1238, BH1238, BI1238, "x", "-", $AX$11)</f>
        <v>264x212x5x8</v>
      </c>
      <c r="BK1238" s="77" cm="1">
        <f t="array" ref="BK1238">_xll.DCEPropSectI(BF1238, BH1238, BG1238, BI1238, BG1238, BI1238, "A")/100</f>
        <v>46.32</v>
      </c>
      <c r="BL1238" s="70" t="s">
        <v>222</v>
      </c>
      <c r="BM1238" s="70">
        <v>140.98200914688439</v>
      </c>
      <c r="BN1238" s="71">
        <v>0.9</v>
      </c>
      <c r="BO1238" s="77">
        <f t="shared" si="163"/>
        <v>9.1440000000000001</v>
      </c>
      <c r="BP1238" s="71">
        <v>0.9</v>
      </c>
      <c r="BQ1238" s="77">
        <f t="shared" si="164"/>
        <v>9.1440000000000001</v>
      </c>
      <c r="BR1238" s="77" cm="1">
        <f t="array" ref="BR1238">_xll.DCEPropSectI(BF1238, BH1238, BG1238, BI1238, BG1238, BI1238, "rx")/10</f>
        <v>11.562881075579337</v>
      </c>
      <c r="BS1238" s="77" cm="1">
        <f t="array" ref="BS1238">_xll.DCEPropSectI(BF1238, BH1238, BG1238, BI1238, BG1238, BI1238, "ry")/10</f>
        <v>5.237608536144422</v>
      </c>
      <c r="BT1238" s="5">
        <f t="shared" si="165"/>
        <v>79.080636912473437</v>
      </c>
      <c r="BU1238" s="5">
        <f t="shared" si="166"/>
        <v>174.58349429702133</v>
      </c>
      <c r="BV1238" s="5">
        <f t="shared" si="167"/>
        <v>174.58349429702133</v>
      </c>
      <c r="BW1238" s="71">
        <f t="shared" si="168"/>
        <v>400</v>
      </c>
      <c r="BX1238" s="78" cm="1">
        <f t="array" ref="BX1238">IF(BM1238&gt;0,1,_xll.DCETCVN5575FactorPhi7121(BV1238*SQRT($K$17/206000),"b"))</f>
        <v>1</v>
      </c>
      <c r="BY1238" s="64">
        <f t="shared" si="169"/>
        <v>0.14493585939107284</v>
      </c>
      <c r="BZ1238" s="3" t="str">
        <f t="shared" si="170"/>
        <v>OK</v>
      </c>
    </row>
    <row r="1239" spans="1:78">
      <c r="A1239" s="76"/>
      <c r="B1239" s="76"/>
      <c r="C1239" s="125"/>
      <c r="D1239" s="125"/>
      <c r="E1239" s="71"/>
      <c r="F1239" s="71"/>
      <c r="G1239" s="71"/>
      <c r="H1239" s="126"/>
      <c r="I1239" s="125"/>
      <c r="J1239" s="123"/>
      <c r="K1239" s="12"/>
      <c r="L1239" s="117"/>
      <c r="M1239" s="12"/>
      <c r="N1239" s="117"/>
      <c r="O1239" s="117"/>
      <c r="P1239" s="117"/>
      <c r="Q1239" s="118"/>
      <c r="R1239" s="118"/>
      <c r="S1239" s="118"/>
      <c r="T1239" s="12"/>
      <c r="U1239" s="118"/>
      <c r="V1239" s="118"/>
      <c r="W1239" s="12"/>
      <c r="X1239" s="119"/>
      <c r="Y1239" s="120"/>
      <c r="Z1239" s="12"/>
      <c r="BA1239" s="70" t="s">
        <v>205</v>
      </c>
      <c r="BB1239" s="71" t="s">
        <v>214</v>
      </c>
      <c r="BC1239" s="71" t="s">
        <v>207</v>
      </c>
      <c r="BD1239" s="71">
        <v>10.16</v>
      </c>
      <c r="BE1239" s="71">
        <v>10.16</v>
      </c>
      <c r="BF1239" s="71">
        <v>264</v>
      </c>
      <c r="BG1239" s="71">
        <v>212</v>
      </c>
      <c r="BH1239" s="71">
        <v>5</v>
      </c>
      <c r="BI1239" s="71">
        <v>8</v>
      </c>
      <c r="BJ1239" s="12" t="str" cm="1">
        <f t="array" ref="BJ1239">_xll.Dce_Name_SectI(BF1239, BF1239, BG1239, BH1239, BI1239, "x", "-", $AX$11)</f>
        <v>264x212x5x8</v>
      </c>
      <c r="BK1239" s="77" cm="1">
        <f t="array" ref="BK1239">_xll.DCEPropSectI(BF1239, BH1239, BG1239, BI1239, BG1239, BI1239, "A")/100</f>
        <v>46.32</v>
      </c>
      <c r="BL1239" s="70" t="s">
        <v>222</v>
      </c>
      <c r="BM1239" s="70">
        <v>142.20315284418285</v>
      </c>
      <c r="BN1239" s="71">
        <v>0.9</v>
      </c>
      <c r="BO1239" s="77">
        <f t="shared" si="163"/>
        <v>9.1440000000000001</v>
      </c>
      <c r="BP1239" s="71">
        <v>0.9</v>
      </c>
      <c r="BQ1239" s="77">
        <f t="shared" si="164"/>
        <v>9.1440000000000001</v>
      </c>
      <c r="BR1239" s="77" cm="1">
        <f t="array" ref="BR1239">_xll.DCEPropSectI(BF1239, BH1239, BG1239, BI1239, BG1239, BI1239, "rx")/10</f>
        <v>11.562881075579337</v>
      </c>
      <c r="BS1239" s="77" cm="1">
        <f t="array" ref="BS1239">_xll.DCEPropSectI(BF1239, BH1239, BG1239, BI1239, BG1239, BI1239, "ry")/10</f>
        <v>5.237608536144422</v>
      </c>
      <c r="BT1239" s="5">
        <f t="shared" si="165"/>
        <v>79.080636912473437</v>
      </c>
      <c r="BU1239" s="5">
        <f t="shared" si="166"/>
        <v>174.58349429702133</v>
      </c>
      <c r="BV1239" s="5">
        <f t="shared" si="167"/>
        <v>174.58349429702133</v>
      </c>
      <c r="BW1239" s="71">
        <f t="shared" si="168"/>
        <v>400</v>
      </c>
      <c r="BX1239" s="78" cm="1">
        <f t="array" ref="BX1239">IF(BM1239&gt;0,1,_xll.DCETCVN5575FactorPhi7121(BV1239*SQRT($K$17/206000),"b"))</f>
        <v>1</v>
      </c>
      <c r="BY1239" s="64">
        <f t="shared" si="169"/>
        <v>0.14619125014822648</v>
      </c>
      <c r="BZ1239" s="3" t="str">
        <f t="shared" si="170"/>
        <v>OK</v>
      </c>
    </row>
    <row r="1240" spans="1:78">
      <c r="A1240" s="76"/>
      <c r="B1240" s="76"/>
      <c r="C1240" s="125"/>
      <c r="D1240" s="125"/>
      <c r="E1240" s="71"/>
      <c r="F1240" s="71"/>
      <c r="G1240" s="71"/>
      <c r="H1240" s="126"/>
      <c r="I1240" s="125"/>
      <c r="J1240" s="123"/>
      <c r="K1240" s="12"/>
      <c r="L1240" s="117"/>
      <c r="M1240" s="12"/>
      <c r="N1240" s="117"/>
      <c r="O1240" s="117"/>
      <c r="P1240" s="117"/>
      <c r="Q1240" s="118"/>
      <c r="R1240" s="118"/>
      <c r="S1240" s="118"/>
      <c r="T1240" s="12"/>
      <c r="U1240" s="118"/>
      <c r="V1240" s="118"/>
      <c r="W1240" s="12"/>
      <c r="X1240" s="119"/>
      <c r="Y1240" s="120"/>
      <c r="Z1240" s="12"/>
      <c r="BA1240" s="70" t="s">
        <v>205</v>
      </c>
      <c r="BB1240" s="71" t="s">
        <v>214</v>
      </c>
      <c r="BC1240" s="71" t="s">
        <v>207</v>
      </c>
      <c r="BD1240" s="71">
        <v>0</v>
      </c>
      <c r="BE1240" s="71">
        <v>10.16</v>
      </c>
      <c r="BF1240" s="71">
        <v>264</v>
      </c>
      <c r="BG1240" s="71">
        <v>212</v>
      </c>
      <c r="BH1240" s="71">
        <v>5</v>
      </c>
      <c r="BI1240" s="71">
        <v>8</v>
      </c>
      <c r="BJ1240" s="12" t="str" cm="1">
        <f t="array" ref="BJ1240">_xll.Dce_Name_SectI(BF1240, BF1240, BG1240, BH1240, BI1240, "x", "-", $AX$11)</f>
        <v>264x212x5x8</v>
      </c>
      <c r="BK1240" s="77" cm="1">
        <f t="array" ref="BK1240">_xll.DCEPropSectI(BF1240, BH1240, BG1240, BI1240, BG1240, BI1240, "A")/100</f>
        <v>46.32</v>
      </c>
      <c r="BL1240" s="70" t="s">
        <v>223</v>
      </c>
      <c r="BM1240" s="70">
        <v>95.986087343545549</v>
      </c>
      <c r="BN1240" s="71">
        <v>0.9</v>
      </c>
      <c r="BO1240" s="77">
        <f t="shared" si="163"/>
        <v>9.1440000000000001</v>
      </c>
      <c r="BP1240" s="71">
        <v>0.9</v>
      </c>
      <c r="BQ1240" s="77">
        <f t="shared" si="164"/>
        <v>9.1440000000000001</v>
      </c>
      <c r="BR1240" s="77" cm="1">
        <f t="array" ref="BR1240">_xll.DCEPropSectI(BF1240, BH1240, BG1240, BI1240, BG1240, BI1240, "rx")/10</f>
        <v>11.562881075579337</v>
      </c>
      <c r="BS1240" s="77" cm="1">
        <f t="array" ref="BS1240">_xll.DCEPropSectI(BF1240, BH1240, BG1240, BI1240, BG1240, BI1240, "ry")/10</f>
        <v>5.237608536144422</v>
      </c>
      <c r="BT1240" s="5">
        <f t="shared" si="165"/>
        <v>79.080636912473437</v>
      </c>
      <c r="BU1240" s="5">
        <f t="shared" si="166"/>
        <v>174.58349429702133</v>
      </c>
      <c r="BV1240" s="5">
        <f t="shared" si="167"/>
        <v>174.58349429702133</v>
      </c>
      <c r="BW1240" s="71">
        <f t="shared" si="168"/>
        <v>400</v>
      </c>
      <c r="BX1240" s="78" cm="1">
        <f t="array" ref="BX1240">IF(BM1240&gt;0,1,_xll.DCETCVN5575FactorPhi7121(BV1240*SQRT($K$17/206000),"b"))</f>
        <v>1</v>
      </c>
      <c r="BY1240" s="64">
        <f t="shared" si="169"/>
        <v>9.8678023833729686E-2</v>
      </c>
      <c r="BZ1240" s="3" t="str">
        <f t="shared" si="170"/>
        <v>OK</v>
      </c>
    </row>
    <row r="1241" spans="1:78">
      <c r="A1241" s="76"/>
      <c r="B1241" s="76"/>
      <c r="C1241" s="125"/>
      <c r="D1241" s="125"/>
      <c r="E1241" s="71"/>
      <c r="F1241" s="71"/>
      <c r="G1241" s="71"/>
      <c r="H1241" s="126"/>
      <c r="I1241" s="125"/>
      <c r="J1241" s="123"/>
      <c r="K1241" s="12"/>
      <c r="L1241" s="117"/>
      <c r="M1241" s="12"/>
      <c r="N1241" s="117"/>
      <c r="O1241" s="117"/>
      <c r="P1241" s="117"/>
      <c r="Q1241" s="118"/>
      <c r="R1241" s="118"/>
      <c r="S1241" s="118"/>
      <c r="T1241" s="12"/>
      <c r="U1241" s="118"/>
      <c r="V1241" s="118"/>
      <c r="W1241" s="12"/>
      <c r="X1241" s="119"/>
      <c r="Y1241" s="120"/>
      <c r="Z1241" s="12"/>
      <c r="BA1241" s="70" t="s">
        <v>205</v>
      </c>
      <c r="BB1241" s="71" t="s">
        <v>214</v>
      </c>
      <c r="BC1241" s="71" t="s">
        <v>207</v>
      </c>
      <c r="BD1241" s="71">
        <v>5.08</v>
      </c>
      <c r="BE1241" s="71">
        <v>10.16</v>
      </c>
      <c r="BF1241" s="71">
        <v>264</v>
      </c>
      <c r="BG1241" s="71">
        <v>212</v>
      </c>
      <c r="BH1241" s="71">
        <v>5</v>
      </c>
      <c r="BI1241" s="71">
        <v>8</v>
      </c>
      <c r="BJ1241" s="12" t="str" cm="1">
        <f t="array" ref="BJ1241">_xll.Dce_Name_SectI(BF1241, BF1241, BG1241, BH1241, BI1241, "x", "-", $AX$11)</f>
        <v>264x212x5x8</v>
      </c>
      <c r="BK1241" s="77" cm="1">
        <f t="array" ref="BK1241">_xll.DCEPropSectI(BF1241, BH1241, BG1241, BI1241, BG1241, BI1241, "A")/100</f>
        <v>46.32</v>
      </c>
      <c r="BL1241" s="70" t="s">
        <v>223</v>
      </c>
      <c r="BM1241" s="70">
        <v>97.207231040844007</v>
      </c>
      <c r="BN1241" s="71">
        <v>0.9</v>
      </c>
      <c r="BO1241" s="77">
        <f t="shared" si="163"/>
        <v>9.1440000000000001</v>
      </c>
      <c r="BP1241" s="71">
        <v>0.9</v>
      </c>
      <c r="BQ1241" s="77">
        <f t="shared" si="164"/>
        <v>9.1440000000000001</v>
      </c>
      <c r="BR1241" s="77" cm="1">
        <f t="array" ref="BR1241">_xll.DCEPropSectI(BF1241, BH1241, BG1241, BI1241, BG1241, BI1241, "rx")/10</f>
        <v>11.562881075579337</v>
      </c>
      <c r="BS1241" s="77" cm="1">
        <f t="array" ref="BS1241">_xll.DCEPropSectI(BF1241, BH1241, BG1241, BI1241, BG1241, BI1241, "ry")/10</f>
        <v>5.237608536144422</v>
      </c>
      <c r="BT1241" s="5">
        <f t="shared" si="165"/>
        <v>79.080636912473437</v>
      </c>
      <c r="BU1241" s="5">
        <f t="shared" si="166"/>
        <v>174.58349429702133</v>
      </c>
      <c r="BV1241" s="5">
        <f t="shared" si="167"/>
        <v>174.58349429702133</v>
      </c>
      <c r="BW1241" s="71">
        <f t="shared" si="168"/>
        <v>400</v>
      </c>
      <c r="BX1241" s="78" cm="1">
        <f t="array" ref="BX1241">IF(BM1241&gt;0,1,_xll.DCETCVN5575FactorPhi7121(BV1241*SQRT($K$17/206000),"b"))</f>
        <v>1</v>
      </c>
      <c r="BY1241" s="64">
        <f t="shared" si="169"/>
        <v>9.9933414590883285E-2</v>
      </c>
      <c r="BZ1241" s="3" t="str">
        <f t="shared" si="170"/>
        <v>OK</v>
      </c>
    </row>
    <row r="1242" spans="1:78">
      <c r="A1242" s="76"/>
      <c r="B1242" s="76"/>
      <c r="C1242" s="125"/>
      <c r="D1242" s="125"/>
      <c r="E1242" s="71"/>
      <c r="F1242" s="71"/>
      <c r="G1242" s="71"/>
      <c r="H1242" s="126"/>
      <c r="I1242" s="125"/>
      <c r="J1242" s="123"/>
      <c r="K1242" s="12"/>
      <c r="L1242" s="117"/>
      <c r="M1242" s="12"/>
      <c r="N1242" s="117"/>
      <c r="O1242" s="117"/>
      <c r="P1242" s="117"/>
      <c r="Q1242" s="118"/>
      <c r="R1242" s="118"/>
      <c r="S1242" s="118"/>
      <c r="T1242" s="12"/>
      <c r="U1242" s="118"/>
      <c r="V1242" s="118"/>
      <c r="W1242" s="12"/>
      <c r="X1242" s="119"/>
      <c r="Y1242" s="120"/>
      <c r="Z1242" s="12"/>
      <c r="BA1242" s="70" t="s">
        <v>205</v>
      </c>
      <c r="BB1242" s="71" t="s">
        <v>214</v>
      </c>
      <c r="BC1242" s="71" t="s">
        <v>207</v>
      </c>
      <c r="BD1242" s="71">
        <v>10.16</v>
      </c>
      <c r="BE1242" s="71">
        <v>10.16</v>
      </c>
      <c r="BF1242" s="71">
        <v>264</v>
      </c>
      <c r="BG1242" s="71">
        <v>212</v>
      </c>
      <c r="BH1242" s="71">
        <v>5</v>
      </c>
      <c r="BI1242" s="71">
        <v>8</v>
      </c>
      <c r="BJ1242" s="12" t="str" cm="1">
        <f t="array" ref="BJ1242">_xll.Dce_Name_SectI(BF1242, BF1242, BG1242, BH1242, BI1242, "x", "-", $AX$11)</f>
        <v>264x212x5x8</v>
      </c>
      <c r="BK1242" s="77" cm="1">
        <f t="array" ref="BK1242">_xll.DCEPropSectI(BF1242, BH1242, BG1242, BI1242, BG1242, BI1242, "A")/100</f>
        <v>46.32</v>
      </c>
      <c r="BL1242" s="70" t="s">
        <v>223</v>
      </c>
      <c r="BM1242" s="70">
        <v>98.428374738142452</v>
      </c>
      <c r="BN1242" s="71">
        <v>0.9</v>
      </c>
      <c r="BO1242" s="77">
        <f t="shared" si="163"/>
        <v>9.1440000000000001</v>
      </c>
      <c r="BP1242" s="71">
        <v>0.9</v>
      </c>
      <c r="BQ1242" s="77">
        <f t="shared" si="164"/>
        <v>9.1440000000000001</v>
      </c>
      <c r="BR1242" s="77" cm="1">
        <f t="array" ref="BR1242">_xll.DCEPropSectI(BF1242, BH1242, BG1242, BI1242, BG1242, BI1242, "rx")/10</f>
        <v>11.562881075579337</v>
      </c>
      <c r="BS1242" s="77" cm="1">
        <f t="array" ref="BS1242">_xll.DCEPropSectI(BF1242, BH1242, BG1242, BI1242, BG1242, BI1242, "ry")/10</f>
        <v>5.237608536144422</v>
      </c>
      <c r="BT1242" s="5">
        <f t="shared" si="165"/>
        <v>79.080636912473437</v>
      </c>
      <c r="BU1242" s="5">
        <f t="shared" si="166"/>
        <v>174.58349429702133</v>
      </c>
      <c r="BV1242" s="5">
        <f t="shared" si="167"/>
        <v>174.58349429702133</v>
      </c>
      <c r="BW1242" s="71">
        <f t="shared" si="168"/>
        <v>400</v>
      </c>
      <c r="BX1242" s="78" cm="1">
        <f t="array" ref="BX1242">IF(BM1242&gt;0,1,_xll.DCETCVN5575FactorPhi7121(BV1242*SQRT($K$17/206000),"b"))</f>
        <v>1</v>
      </c>
      <c r="BY1242" s="64">
        <f t="shared" si="169"/>
        <v>0.1011888053480369</v>
      </c>
      <c r="BZ1242" s="3" t="str">
        <f t="shared" si="170"/>
        <v>OK</v>
      </c>
    </row>
    <row r="1243" spans="1:78">
      <c r="A1243" s="76"/>
      <c r="B1243" s="76"/>
      <c r="C1243" s="125"/>
      <c r="D1243" s="125"/>
      <c r="E1243" s="71"/>
      <c r="F1243" s="71"/>
      <c r="G1243" s="71"/>
      <c r="H1243" s="126"/>
      <c r="I1243" s="125"/>
      <c r="J1243" s="123"/>
      <c r="K1243" s="12"/>
      <c r="L1243" s="117"/>
      <c r="M1243" s="12"/>
      <c r="N1243" s="117"/>
      <c r="O1243" s="117"/>
      <c r="P1243" s="117"/>
      <c r="Q1243" s="118"/>
      <c r="R1243" s="118"/>
      <c r="S1243" s="118"/>
      <c r="T1243" s="12"/>
      <c r="U1243" s="118"/>
      <c r="V1243" s="118"/>
      <c r="W1243" s="12"/>
      <c r="X1243" s="119"/>
      <c r="Y1243" s="120"/>
      <c r="Z1243" s="12"/>
      <c r="BA1243" s="70" t="s">
        <v>205</v>
      </c>
      <c r="BB1243" s="71" t="s">
        <v>214</v>
      </c>
      <c r="BC1243" s="71" t="s">
        <v>207</v>
      </c>
      <c r="BD1243" s="71">
        <v>0</v>
      </c>
      <c r="BE1243" s="71">
        <v>10.16</v>
      </c>
      <c r="BF1243" s="71">
        <v>264</v>
      </c>
      <c r="BG1243" s="71">
        <v>212</v>
      </c>
      <c r="BH1243" s="71">
        <v>5</v>
      </c>
      <c r="BI1243" s="71">
        <v>8</v>
      </c>
      <c r="BJ1243" s="12" t="str" cm="1">
        <f t="array" ref="BJ1243">_xll.Dce_Name_SectI(BF1243, BF1243, BG1243, BH1243, BI1243, "x", "-", $AX$11)</f>
        <v>264x212x5x8</v>
      </c>
      <c r="BK1243" s="77" cm="1">
        <f t="array" ref="BK1243">_xll.DCEPropSectI(BF1243, BH1243, BG1243, BI1243, BG1243, BI1243, "A")/100</f>
        <v>46.32</v>
      </c>
      <c r="BL1243" s="70" t="s">
        <v>224</v>
      </c>
      <c r="BM1243" s="70">
        <v>-14.752992955245048</v>
      </c>
      <c r="BN1243" s="71">
        <v>0.9</v>
      </c>
      <c r="BO1243" s="77">
        <f t="shared" si="163"/>
        <v>9.1440000000000001</v>
      </c>
      <c r="BP1243" s="71">
        <v>0.9</v>
      </c>
      <c r="BQ1243" s="77">
        <f t="shared" si="164"/>
        <v>9.1440000000000001</v>
      </c>
      <c r="BR1243" s="77" cm="1">
        <f t="array" ref="BR1243">_xll.DCEPropSectI(BF1243, BH1243, BG1243, BI1243, BG1243, BI1243, "rx")/10</f>
        <v>11.562881075579337</v>
      </c>
      <c r="BS1243" s="77" cm="1">
        <f t="array" ref="BS1243">_xll.DCEPropSectI(BF1243, BH1243, BG1243, BI1243, BG1243, BI1243, "ry")/10</f>
        <v>5.237608536144422</v>
      </c>
      <c r="BT1243" s="5">
        <f t="shared" si="165"/>
        <v>79.080636912473437</v>
      </c>
      <c r="BU1243" s="5">
        <f t="shared" si="166"/>
        <v>174.58349429702133</v>
      </c>
      <c r="BV1243" s="5">
        <f t="shared" si="167"/>
        <v>174.58349429702133</v>
      </c>
      <c r="BW1243" s="71">
        <f t="shared" si="168"/>
        <v>200</v>
      </c>
      <c r="BX1243" s="78" cm="1">
        <f t="array" ref="BX1243">IF(BM1243&gt;0,1,_xll.DCETCVN5575FactorPhi7121(BV1243*SQRT($K$17/206000),"b"))</f>
        <v>0.22013934199471966</v>
      </c>
      <c r="BY1243" s="64">
        <f t="shared" si="169"/>
        <v>6.8896097946501672E-2</v>
      </c>
      <c r="BZ1243" s="3" t="str">
        <f t="shared" si="170"/>
        <v>OK</v>
      </c>
    </row>
    <row r="1244" spans="1:78">
      <c r="A1244" s="76"/>
      <c r="B1244" s="76"/>
      <c r="C1244" s="125"/>
      <c r="D1244" s="125"/>
      <c r="E1244" s="71"/>
      <c r="F1244" s="71"/>
      <c r="G1244" s="71"/>
      <c r="H1244" s="126"/>
      <c r="I1244" s="125"/>
      <c r="J1244" s="123"/>
      <c r="K1244" s="12"/>
      <c r="L1244" s="117"/>
      <c r="M1244" s="12"/>
      <c r="N1244" s="117"/>
      <c r="O1244" s="117"/>
      <c r="P1244" s="117"/>
      <c r="Q1244" s="118"/>
      <c r="R1244" s="118"/>
      <c r="S1244" s="118"/>
      <c r="T1244" s="12"/>
      <c r="U1244" s="118"/>
      <c r="V1244" s="118"/>
      <c r="W1244" s="12"/>
      <c r="X1244" s="119"/>
      <c r="Y1244" s="120"/>
      <c r="Z1244" s="12"/>
      <c r="BA1244" s="70" t="s">
        <v>205</v>
      </c>
      <c r="BB1244" s="71" t="s">
        <v>214</v>
      </c>
      <c r="BC1244" s="71" t="s">
        <v>207</v>
      </c>
      <c r="BD1244" s="71">
        <v>5.08</v>
      </c>
      <c r="BE1244" s="71">
        <v>10.16</v>
      </c>
      <c r="BF1244" s="71">
        <v>264</v>
      </c>
      <c r="BG1244" s="71">
        <v>212</v>
      </c>
      <c r="BH1244" s="71">
        <v>5</v>
      </c>
      <c r="BI1244" s="71">
        <v>8</v>
      </c>
      <c r="BJ1244" s="12" t="str" cm="1">
        <f t="array" ref="BJ1244">_xll.Dce_Name_SectI(BF1244, BF1244, BG1244, BH1244, BI1244, "x", "-", $AX$11)</f>
        <v>264x212x5x8</v>
      </c>
      <c r="BK1244" s="77" cm="1">
        <f t="array" ref="BK1244">_xll.DCEPropSectI(BF1244, BH1244, BG1244, BI1244, BG1244, BI1244, "A")/100</f>
        <v>46.32</v>
      </c>
      <c r="BL1244" s="70" t="s">
        <v>224</v>
      </c>
      <c r="BM1244" s="70">
        <v>-13.53184925794659</v>
      </c>
      <c r="BN1244" s="71">
        <v>0.9</v>
      </c>
      <c r="BO1244" s="77">
        <f t="shared" si="163"/>
        <v>9.1440000000000001</v>
      </c>
      <c r="BP1244" s="71">
        <v>0.9</v>
      </c>
      <c r="BQ1244" s="77">
        <f t="shared" si="164"/>
        <v>9.1440000000000001</v>
      </c>
      <c r="BR1244" s="77" cm="1">
        <f t="array" ref="BR1244">_xll.DCEPropSectI(BF1244, BH1244, BG1244, BI1244, BG1244, BI1244, "rx")/10</f>
        <v>11.562881075579337</v>
      </c>
      <c r="BS1244" s="77" cm="1">
        <f t="array" ref="BS1244">_xll.DCEPropSectI(BF1244, BH1244, BG1244, BI1244, BG1244, BI1244, "ry")/10</f>
        <v>5.237608536144422</v>
      </c>
      <c r="BT1244" s="5">
        <f t="shared" si="165"/>
        <v>79.080636912473437</v>
      </c>
      <c r="BU1244" s="5">
        <f t="shared" si="166"/>
        <v>174.58349429702133</v>
      </c>
      <c r="BV1244" s="5">
        <f t="shared" si="167"/>
        <v>174.58349429702133</v>
      </c>
      <c r="BW1244" s="71">
        <f t="shared" si="168"/>
        <v>200</v>
      </c>
      <c r="BX1244" s="78" cm="1">
        <f t="array" ref="BX1244">IF(BM1244&gt;0,1,_xll.DCETCVN5575FactorPhi7121(BV1244*SQRT($K$17/206000),"b"))</f>
        <v>0.22013934199471966</v>
      </c>
      <c r="BY1244" s="64">
        <f t="shared" si="169"/>
        <v>6.3193388263723921E-2</v>
      </c>
      <c r="BZ1244" s="3" t="str">
        <f t="shared" si="170"/>
        <v>OK</v>
      </c>
    </row>
    <row r="1245" spans="1:78">
      <c r="A1245" s="76"/>
      <c r="B1245" s="76"/>
      <c r="C1245" s="125"/>
      <c r="D1245" s="125"/>
      <c r="E1245" s="71"/>
      <c r="F1245" s="71"/>
      <c r="G1245" s="71"/>
      <c r="H1245" s="126"/>
      <c r="I1245" s="125"/>
      <c r="J1245" s="123"/>
      <c r="K1245" s="12"/>
      <c r="L1245" s="117"/>
      <c r="M1245" s="12"/>
      <c r="N1245" s="117"/>
      <c r="O1245" s="117"/>
      <c r="P1245" s="117"/>
      <c r="Q1245" s="118"/>
      <c r="R1245" s="118"/>
      <c r="S1245" s="118"/>
      <c r="T1245" s="12"/>
      <c r="U1245" s="118"/>
      <c r="V1245" s="118"/>
      <c r="W1245" s="12"/>
      <c r="X1245" s="119"/>
      <c r="Y1245" s="120"/>
      <c r="Z1245" s="12"/>
      <c r="BA1245" s="70" t="s">
        <v>205</v>
      </c>
      <c r="BB1245" s="71" t="s">
        <v>214</v>
      </c>
      <c r="BC1245" s="71" t="s">
        <v>207</v>
      </c>
      <c r="BD1245" s="71">
        <v>10.16</v>
      </c>
      <c r="BE1245" s="71">
        <v>10.16</v>
      </c>
      <c r="BF1245" s="71">
        <v>264</v>
      </c>
      <c r="BG1245" s="71">
        <v>212</v>
      </c>
      <c r="BH1245" s="71">
        <v>5</v>
      </c>
      <c r="BI1245" s="71">
        <v>8</v>
      </c>
      <c r="BJ1245" s="12" t="str" cm="1">
        <f t="array" ref="BJ1245">_xll.Dce_Name_SectI(BF1245, BF1245, BG1245, BH1245, BI1245, "x", "-", $AX$11)</f>
        <v>264x212x5x8</v>
      </c>
      <c r="BK1245" s="77" cm="1">
        <f t="array" ref="BK1245">_xll.DCEPropSectI(BF1245, BH1245, BG1245, BI1245, BG1245, BI1245, "A")/100</f>
        <v>46.32</v>
      </c>
      <c r="BL1245" s="70" t="s">
        <v>224</v>
      </c>
      <c r="BM1245" s="70">
        <v>-12.310705560648145</v>
      </c>
      <c r="BN1245" s="71">
        <v>0.9</v>
      </c>
      <c r="BO1245" s="77">
        <f t="shared" si="163"/>
        <v>9.1440000000000001</v>
      </c>
      <c r="BP1245" s="71">
        <v>0.9</v>
      </c>
      <c r="BQ1245" s="77">
        <f t="shared" si="164"/>
        <v>9.1440000000000001</v>
      </c>
      <c r="BR1245" s="77" cm="1">
        <f t="array" ref="BR1245">_xll.DCEPropSectI(BF1245, BH1245, BG1245, BI1245, BG1245, BI1245, "rx")/10</f>
        <v>11.562881075579337</v>
      </c>
      <c r="BS1245" s="77" cm="1">
        <f t="array" ref="BS1245">_xll.DCEPropSectI(BF1245, BH1245, BG1245, BI1245, BG1245, BI1245, "ry")/10</f>
        <v>5.237608536144422</v>
      </c>
      <c r="BT1245" s="5">
        <f t="shared" si="165"/>
        <v>79.080636912473437</v>
      </c>
      <c r="BU1245" s="5">
        <f t="shared" si="166"/>
        <v>174.58349429702133</v>
      </c>
      <c r="BV1245" s="5">
        <f t="shared" si="167"/>
        <v>174.58349429702133</v>
      </c>
      <c r="BW1245" s="71">
        <f t="shared" si="168"/>
        <v>200</v>
      </c>
      <c r="BX1245" s="78" cm="1">
        <f t="array" ref="BX1245">IF(BM1245&gt;0,1,_xll.DCETCVN5575FactorPhi7121(BV1245*SQRT($K$17/206000),"b"))</f>
        <v>0.22013934199471966</v>
      </c>
      <c r="BY1245" s="64">
        <f t="shared" si="169"/>
        <v>5.7490678580946239E-2</v>
      </c>
      <c r="BZ1245" s="3" t="str">
        <f t="shared" si="170"/>
        <v>OK</v>
      </c>
    </row>
    <row r="1246" spans="1:78">
      <c r="A1246" s="76"/>
      <c r="B1246" s="76"/>
      <c r="C1246" s="125"/>
      <c r="D1246" s="125"/>
      <c r="E1246" s="71"/>
      <c r="F1246" s="71"/>
      <c r="G1246" s="71"/>
      <c r="H1246" s="126"/>
      <c r="I1246" s="125"/>
      <c r="J1246" s="123"/>
      <c r="K1246" s="12"/>
      <c r="L1246" s="117"/>
      <c r="M1246" s="12"/>
      <c r="N1246" s="117"/>
      <c r="O1246" s="117"/>
      <c r="P1246" s="117"/>
      <c r="Q1246" s="118"/>
      <c r="R1246" s="118"/>
      <c r="S1246" s="118"/>
      <c r="T1246" s="12"/>
      <c r="U1246" s="118"/>
      <c r="V1246" s="118"/>
      <c r="W1246" s="12"/>
      <c r="X1246" s="119"/>
      <c r="Y1246" s="120"/>
      <c r="Z1246" s="12"/>
      <c r="BA1246" s="70" t="s">
        <v>205</v>
      </c>
      <c r="BB1246" s="71" t="s">
        <v>214</v>
      </c>
      <c r="BC1246" s="71" t="s">
        <v>207</v>
      </c>
      <c r="BD1246" s="71">
        <v>0</v>
      </c>
      <c r="BE1246" s="71">
        <v>10.16</v>
      </c>
      <c r="BF1246" s="71">
        <v>264</v>
      </c>
      <c r="BG1246" s="71">
        <v>212</v>
      </c>
      <c r="BH1246" s="71">
        <v>5</v>
      </c>
      <c r="BI1246" s="71">
        <v>8</v>
      </c>
      <c r="BJ1246" s="12" t="str" cm="1">
        <f t="array" ref="BJ1246">_xll.Dce_Name_SectI(BF1246, BF1246, BG1246, BH1246, BI1246, "x", "-", $AX$11)</f>
        <v>264x212x5x8</v>
      </c>
      <c r="BK1246" s="77" cm="1">
        <f t="array" ref="BK1246">_xll.DCEPropSectI(BF1246, BH1246, BG1246, BI1246, BG1246, BI1246, "A")/100</f>
        <v>46.32</v>
      </c>
      <c r="BL1246" s="70" t="s">
        <v>225</v>
      </c>
      <c r="BM1246" s="70">
        <v>31.399261474248178</v>
      </c>
      <c r="BN1246" s="71">
        <v>0.9</v>
      </c>
      <c r="BO1246" s="77">
        <f t="shared" si="163"/>
        <v>9.1440000000000001</v>
      </c>
      <c r="BP1246" s="71">
        <v>0.9</v>
      </c>
      <c r="BQ1246" s="77">
        <f t="shared" si="164"/>
        <v>9.1440000000000001</v>
      </c>
      <c r="BR1246" s="77" cm="1">
        <f t="array" ref="BR1246">_xll.DCEPropSectI(BF1246, BH1246, BG1246, BI1246, BG1246, BI1246, "rx")/10</f>
        <v>11.562881075579337</v>
      </c>
      <c r="BS1246" s="77" cm="1">
        <f t="array" ref="BS1246">_xll.DCEPropSectI(BF1246, BH1246, BG1246, BI1246, BG1246, BI1246, "ry")/10</f>
        <v>5.237608536144422</v>
      </c>
      <c r="BT1246" s="5">
        <f t="shared" si="165"/>
        <v>79.080636912473437</v>
      </c>
      <c r="BU1246" s="5">
        <f t="shared" si="166"/>
        <v>174.58349429702133</v>
      </c>
      <c r="BV1246" s="5">
        <f t="shared" si="167"/>
        <v>174.58349429702133</v>
      </c>
      <c r="BW1246" s="71">
        <f t="shared" si="168"/>
        <v>400</v>
      </c>
      <c r="BX1246" s="78" cm="1">
        <f t="array" ref="BX1246">IF(BM1246&gt;0,1,_xll.DCETCVN5575FactorPhi7121(BV1246*SQRT($K$17/206000),"b"))</f>
        <v>1</v>
      </c>
      <c r="BY1246" s="64">
        <f t="shared" si="169"/>
        <v>3.2279855944411726E-2</v>
      </c>
      <c r="BZ1246" s="3" t="str">
        <f t="shared" si="170"/>
        <v>OK</v>
      </c>
    </row>
    <row r="1247" spans="1:78">
      <c r="A1247" s="76"/>
      <c r="B1247" s="76"/>
      <c r="C1247" s="125"/>
      <c r="D1247" s="125"/>
      <c r="E1247" s="71"/>
      <c r="F1247" s="71"/>
      <c r="G1247" s="71"/>
      <c r="H1247" s="126"/>
      <c r="I1247" s="125"/>
      <c r="J1247" s="123"/>
      <c r="K1247" s="12"/>
      <c r="L1247" s="117"/>
      <c r="M1247" s="12"/>
      <c r="N1247" s="117"/>
      <c r="O1247" s="117"/>
      <c r="P1247" s="117"/>
      <c r="Q1247" s="118"/>
      <c r="R1247" s="118"/>
      <c r="S1247" s="118"/>
      <c r="T1247" s="12"/>
      <c r="U1247" s="118"/>
      <c r="V1247" s="118"/>
      <c r="W1247" s="12"/>
      <c r="X1247" s="119"/>
      <c r="Y1247" s="120"/>
      <c r="Z1247" s="12"/>
      <c r="BA1247" s="70" t="s">
        <v>205</v>
      </c>
      <c r="BB1247" s="71" t="s">
        <v>214</v>
      </c>
      <c r="BC1247" s="71" t="s">
        <v>207</v>
      </c>
      <c r="BD1247" s="71">
        <v>5.08</v>
      </c>
      <c r="BE1247" s="71">
        <v>10.16</v>
      </c>
      <c r="BF1247" s="71">
        <v>264</v>
      </c>
      <c r="BG1247" s="71">
        <v>212</v>
      </c>
      <c r="BH1247" s="71">
        <v>5</v>
      </c>
      <c r="BI1247" s="71">
        <v>8</v>
      </c>
      <c r="BJ1247" s="12" t="str" cm="1">
        <f t="array" ref="BJ1247">_xll.Dce_Name_SectI(BF1247, BF1247, BG1247, BH1247, BI1247, "x", "-", $AX$11)</f>
        <v>264x212x5x8</v>
      </c>
      <c r="BK1247" s="77" cm="1">
        <f t="array" ref="BK1247">_xll.DCEPropSectI(BF1247, BH1247, BG1247, BI1247, BG1247, BI1247, "A")/100</f>
        <v>46.32</v>
      </c>
      <c r="BL1247" s="70" t="s">
        <v>225</v>
      </c>
      <c r="BM1247" s="70">
        <v>32.620405171546636</v>
      </c>
      <c r="BN1247" s="71">
        <v>0.9</v>
      </c>
      <c r="BO1247" s="77">
        <f t="shared" si="163"/>
        <v>9.1440000000000001</v>
      </c>
      <c r="BP1247" s="71">
        <v>0.9</v>
      </c>
      <c r="BQ1247" s="77">
        <f t="shared" si="164"/>
        <v>9.1440000000000001</v>
      </c>
      <c r="BR1247" s="77" cm="1">
        <f t="array" ref="BR1247">_xll.DCEPropSectI(BF1247, BH1247, BG1247, BI1247, BG1247, BI1247, "rx")/10</f>
        <v>11.562881075579337</v>
      </c>
      <c r="BS1247" s="77" cm="1">
        <f t="array" ref="BS1247">_xll.DCEPropSectI(BF1247, BH1247, BG1247, BI1247, BG1247, BI1247, "ry")/10</f>
        <v>5.237608536144422</v>
      </c>
      <c r="BT1247" s="5">
        <f t="shared" si="165"/>
        <v>79.080636912473437</v>
      </c>
      <c r="BU1247" s="5">
        <f t="shared" si="166"/>
        <v>174.58349429702133</v>
      </c>
      <c r="BV1247" s="5">
        <f t="shared" si="167"/>
        <v>174.58349429702133</v>
      </c>
      <c r="BW1247" s="71">
        <f t="shared" si="168"/>
        <v>400</v>
      </c>
      <c r="BX1247" s="78" cm="1">
        <f t="array" ref="BX1247">IF(BM1247&gt;0,1,_xll.DCETCVN5575FactorPhi7121(BV1247*SQRT($K$17/206000),"b"))</f>
        <v>1</v>
      </c>
      <c r="BY1247" s="64">
        <f t="shared" si="169"/>
        <v>3.3535246701565338E-2</v>
      </c>
      <c r="BZ1247" s="3" t="str">
        <f t="shared" si="170"/>
        <v>OK</v>
      </c>
    </row>
    <row r="1248" spans="1:78">
      <c r="A1248" s="76"/>
      <c r="B1248" s="76"/>
      <c r="C1248" s="125"/>
      <c r="D1248" s="125"/>
      <c r="E1248" s="71"/>
      <c r="F1248" s="71"/>
      <c r="G1248" s="71"/>
      <c r="H1248" s="126"/>
      <c r="I1248" s="125"/>
      <c r="J1248" s="123"/>
      <c r="K1248" s="12"/>
      <c r="L1248" s="117"/>
      <c r="M1248" s="12"/>
      <c r="N1248" s="117"/>
      <c r="O1248" s="117"/>
      <c r="P1248" s="117"/>
      <c r="Q1248" s="118"/>
      <c r="R1248" s="118"/>
      <c r="S1248" s="118"/>
      <c r="T1248" s="12"/>
      <c r="U1248" s="118"/>
      <c r="V1248" s="118"/>
      <c r="W1248" s="12"/>
      <c r="X1248" s="119"/>
      <c r="Y1248" s="120"/>
      <c r="Z1248" s="12"/>
      <c r="BA1248" s="70" t="s">
        <v>205</v>
      </c>
      <c r="BB1248" s="71" t="s">
        <v>214</v>
      </c>
      <c r="BC1248" s="71" t="s">
        <v>207</v>
      </c>
      <c r="BD1248" s="71">
        <v>10.16</v>
      </c>
      <c r="BE1248" s="71">
        <v>10.16</v>
      </c>
      <c r="BF1248" s="71">
        <v>264</v>
      </c>
      <c r="BG1248" s="71">
        <v>212</v>
      </c>
      <c r="BH1248" s="71">
        <v>5</v>
      </c>
      <c r="BI1248" s="71">
        <v>8</v>
      </c>
      <c r="BJ1248" s="12" t="str" cm="1">
        <f t="array" ref="BJ1248">_xll.Dce_Name_SectI(BF1248, BF1248, BG1248, BH1248, BI1248, "x", "-", $AX$11)</f>
        <v>264x212x5x8</v>
      </c>
      <c r="BK1248" s="77" cm="1">
        <f t="array" ref="BK1248">_xll.DCEPropSectI(BF1248, BH1248, BG1248, BI1248, BG1248, BI1248, "A")/100</f>
        <v>46.32</v>
      </c>
      <c r="BL1248" s="70" t="s">
        <v>225</v>
      </c>
      <c r="BM1248" s="70">
        <v>33.841548868845081</v>
      </c>
      <c r="BN1248" s="71">
        <v>0.9</v>
      </c>
      <c r="BO1248" s="77">
        <f t="shared" si="163"/>
        <v>9.1440000000000001</v>
      </c>
      <c r="BP1248" s="71">
        <v>0.9</v>
      </c>
      <c r="BQ1248" s="77">
        <f t="shared" si="164"/>
        <v>9.1440000000000001</v>
      </c>
      <c r="BR1248" s="77" cm="1">
        <f t="array" ref="BR1248">_xll.DCEPropSectI(BF1248, BH1248, BG1248, BI1248, BG1248, BI1248, "rx")/10</f>
        <v>11.562881075579337</v>
      </c>
      <c r="BS1248" s="77" cm="1">
        <f t="array" ref="BS1248">_xll.DCEPropSectI(BF1248, BH1248, BG1248, BI1248, BG1248, BI1248, "ry")/10</f>
        <v>5.237608536144422</v>
      </c>
      <c r="BT1248" s="5">
        <f t="shared" si="165"/>
        <v>79.080636912473437</v>
      </c>
      <c r="BU1248" s="5">
        <f t="shared" si="166"/>
        <v>174.58349429702133</v>
      </c>
      <c r="BV1248" s="5">
        <f t="shared" si="167"/>
        <v>174.58349429702133</v>
      </c>
      <c r="BW1248" s="71">
        <f t="shared" si="168"/>
        <v>400</v>
      </c>
      <c r="BX1248" s="78" cm="1">
        <f t="array" ref="BX1248">IF(BM1248&gt;0,1,_xll.DCETCVN5575FactorPhi7121(BV1248*SQRT($K$17/206000),"b"))</f>
        <v>1</v>
      </c>
      <c r="BY1248" s="64">
        <f t="shared" si="169"/>
        <v>3.479063745871893E-2</v>
      </c>
      <c r="BZ1248" s="3" t="str">
        <f t="shared" si="170"/>
        <v>OK</v>
      </c>
    </row>
    <row r="1249" spans="1:78">
      <c r="A1249" s="76"/>
      <c r="B1249" s="76"/>
      <c r="C1249" s="125"/>
      <c r="D1249" s="125"/>
      <c r="E1249" s="71"/>
      <c r="F1249" s="71"/>
      <c r="G1249" s="71"/>
      <c r="H1249" s="126"/>
      <c r="I1249" s="125"/>
      <c r="J1249" s="123"/>
      <c r="K1249" s="12"/>
      <c r="L1249" s="117"/>
      <c r="M1249" s="12"/>
      <c r="N1249" s="117"/>
      <c r="O1249" s="117"/>
      <c r="P1249" s="117"/>
      <c r="Q1249" s="118"/>
      <c r="R1249" s="118"/>
      <c r="S1249" s="118"/>
      <c r="T1249" s="12"/>
      <c r="U1249" s="118"/>
      <c r="V1249" s="118"/>
      <c r="W1249" s="12"/>
      <c r="X1249" s="119"/>
      <c r="Y1249" s="120"/>
      <c r="Z1249" s="12"/>
      <c r="BA1249" s="70" t="s">
        <v>205</v>
      </c>
      <c r="BB1249" s="71" t="s">
        <v>214</v>
      </c>
      <c r="BC1249" s="71" t="s">
        <v>207</v>
      </c>
      <c r="BD1249" s="71">
        <v>0</v>
      </c>
      <c r="BE1249" s="71">
        <v>10.16</v>
      </c>
      <c r="BF1249" s="71">
        <v>264</v>
      </c>
      <c r="BG1249" s="71">
        <v>212</v>
      </c>
      <c r="BH1249" s="71">
        <v>5</v>
      </c>
      <c r="BI1249" s="71">
        <v>8</v>
      </c>
      <c r="BJ1249" s="12" t="str" cm="1">
        <f t="array" ref="BJ1249">_xll.Dce_Name_SectI(BF1249, BF1249, BG1249, BH1249, BI1249, "x", "-", $AX$11)</f>
        <v>264x212x5x8</v>
      </c>
      <c r="BK1249" s="77" cm="1">
        <f t="array" ref="BK1249">_xll.DCEPropSectI(BF1249, BH1249, BG1249, BI1249, BG1249, BI1249, "A")/100</f>
        <v>46.32</v>
      </c>
      <c r="BL1249" s="70" t="s">
        <v>226</v>
      </c>
      <c r="BM1249" s="70">
        <v>-8.1895159435524789</v>
      </c>
      <c r="BN1249" s="71">
        <v>0.9</v>
      </c>
      <c r="BO1249" s="77">
        <f t="shared" si="163"/>
        <v>9.1440000000000001</v>
      </c>
      <c r="BP1249" s="71">
        <v>0.9</v>
      </c>
      <c r="BQ1249" s="77">
        <f t="shared" si="164"/>
        <v>9.1440000000000001</v>
      </c>
      <c r="BR1249" s="77" cm="1">
        <f t="array" ref="BR1249">_xll.DCEPropSectI(BF1249, BH1249, BG1249, BI1249, BG1249, BI1249, "rx")/10</f>
        <v>11.562881075579337</v>
      </c>
      <c r="BS1249" s="77" cm="1">
        <f t="array" ref="BS1249">_xll.DCEPropSectI(BF1249, BH1249, BG1249, BI1249, BG1249, BI1249, "ry")/10</f>
        <v>5.237608536144422</v>
      </c>
      <c r="BT1249" s="5">
        <f t="shared" si="165"/>
        <v>79.080636912473437</v>
      </c>
      <c r="BU1249" s="5">
        <f t="shared" si="166"/>
        <v>174.58349429702133</v>
      </c>
      <c r="BV1249" s="5">
        <f t="shared" si="167"/>
        <v>174.58349429702133</v>
      </c>
      <c r="BW1249" s="71">
        <f t="shared" si="168"/>
        <v>200</v>
      </c>
      <c r="BX1249" s="78" cm="1">
        <f t="array" ref="BX1249">IF(BM1249&gt;0,1,_xll.DCETCVN5575FactorPhi7121(BV1249*SQRT($K$17/206000),"b"))</f>
        <v>0.22013934199471966</v>
      </c>
      <c r="BY1249" s="64">
        <f t="shared" si="169"/>
        <v>3.824482898440161E-2</v>
      </c>
      <c r="BZ1249" s="3" t="str">
        <f t="shared" si="170"/>
        <v>OK</v>
      </c>
    </row>
    <row r="1250" spans="1:78">
      <c r="A1250" s="76"/>
      <c r="B1250" s="76"/>
      <c r="C1250" s="125"/>
      <c r="D1250" s="125"/>
      <c r="E1250" s="71"/>
      <c r="F1250" s="71"/>
      <c r="G1250" s="71"/>
      <c r="H1250" s="126"/>
      <c r="I1250" s="125"/>
      <c r="J1250" s="123"/>
      <c r="K1250" s="12"/>
      <c r="L1250" s="117"/>
      <c r="M1250" s="12"/>
      <c r="N1250" s="117"/>
      <c r="O1250" s="117"/>
      <c r="P1250" s="117"/>
      <c r="Q1250" s="118"/>
      <c r="R1250" s="118"/>
      <c r="S1250" s="118"/>
      <c r="T1250" s="12"/>
      <c r="U1250" s="118"/>
      <c r="V1250" s="118"/>
      <c r="W1250" s="12"/>
      <c r="X1250" s="119"/>
      <c r="Y1250" s="120"/>
      <c r="Z1250" s="12"/>
      <c r="BA1250" s="70" t="s">
        <v>205</v>
      </c>
      <c r="BB1250" s="71" t="s">
        <v>214</v>
      </c>
      <c r="BC1250" s="71" t="s">
        <v>207</v>
      </c>
      <c r="BD1250" s="71">
        <v>5.08</v>
      </c>
      <c r="BE1250" s="71">
        <v>10.16</v>
      </c>
      <c r="BF1250" s="71">
        <v>264</v>
      </c>
      <c r="BG1250" s="71">
        <v>212</v>
      </c>
      <c r="BH1250" s="71">
        <v>5</v>
      </c>
      <c r="BI1250" s="71">
        <v>8</v>
      </c>
      <c r="BJ1250" s="12" t="str" cm="1">
        <f t="array" ref="BJ1250">_xll.Dce_Name_SectI(BF1250, BF1250, BG1250, BH1250, BI1250, "x", "-", $AX$11)</f>
        <v>264x212x5x8</v>
      </c>
      <c r="BK1250" s="77" cm="1">
        <f t="array" ref="BK1250">_xll.DCEPropSectI(BF1250, BH1250, BG1250, BI1250, BG1250, BI1250, "A")/100</f>
        <v>46.32</v>
      </c>
      <c r="BL1250" s="70" t="s">
        <v>226</v>
      </c>
      <c r="BM1250" s="70">
        <v>-6.9683722462540203</v>
      </c>
      <c r="BN1250" s="71">
        <v>0.9</v>
      </c>
      <c r="BO1250" s="77">
        <f t="shared" si="163"/>
        <v>9.1440000000000001</v>
      </c>
      <c r="BP1250" s="71">
        <v>0.9</v>
      </c>
      <c r="BQ1250" s="77">
        <f t="shared" si="164"/>
        <v>9.1440000000000001</v>
      </c>
      <c r="BR1250" s="77" cm="1">
        <f t="array" ref="BR1250">_xll.DCEPropSectI(BF1250, BH1250, BG1250, BI1250, BG1250, BI1250, "rx")/10</f>
        <v>11.562881075579337</v>
      </c>
      <c r="BS1250" s="77" cm="1">
        <f t="array" ref="BS1250">_xll.DCEPropSectI(BF1250, BH1250, BG1250, BI1250, BG1250, BI1250, "ry")/10</f>
        <v>5.237608536144422</v>
      </c>
      <c r="BT1250" s="5">
        <f t="shared" si="165"/>
        <v>79.080636912473437</v>
      </c>
      <c r="BU1250" s="5">
        <f t="shared" si="166"/>
        <v>174.58349429702133</v>
      </c>
      <c r="BV1250" s="5">
        <f t="shared" si="167"/>
        <v>174.58349429702133</v>
      </c>
      <c r="BW1250" s="71">
        <f t="shared" si="168"/>
        <v>200</v>
      </c>
      <c r="BX1250" s="78" cm="1">
        <f t="array" ref="BX1250">IF(BM1250&gt;0,1,_xll.DCETCVN5575FactorPhi7121(BV1250*SQRT($K$17/206000),"b"))</f>
        <v>0.22013934199471966</v>
      </c>
      <c r="BY1250" s="64">
        <f t="shared" si="169"/>
        <v>3.2542119301623866E-2</v>
      </c>
      <c r="BZ1250" s="3" t="str">
        <f t="shared" si="170"/>
        <v>OK</v>
      </c>
    </row>
    <row r="1251" spans="1:78">
      <c r="A1251" s="76"/>
      <c r="B1251" s="76"/>
      <c r="C1251" s="125"/>
      <c r="D1251" s="125"/>
      <c r="E1251" s="71"/>
      <c r="F1251" s="71"/>
      <c r="G1251" s="71"/>
      <c r="H1251" s="126"/>
      <c r="I1251" s="125"/>
      <c r="J1251" s="123"/>
      <c r="K1251" s="12"/>
      <c r="L1251" s="117"/>
      <c r="M1251" s="12"/>
      <c r="N1251" s="117"/>
      <c r="O1251" s="117"/>
      <c r="P1251" s="117"/>
      <c r="Q1251" s="118"/>
      <c r="R1251" s="118"/>
      <c r="S1251" s="118"/>
      <c r="T1251" s="12"/>
      <c r="U1251" s="118"/>
      <c r="V1251" s="118"/>
      <c r="W1251" s="12"/>
      <c r="X1251" s="119"/>
      <c r="Y1251" s="120"/>
      <c r="Z1251" s="12"/>
      <c r="BA1251" s="70" t="s">
        <v>205</v>
      </c>
      <c r="BB1251" s="71" t="s">
        <v>214</v>
      </c>
      <c r="BC1251" s="71" t="s">
        <v>207</v>
      </c>
      <c r="BD1251" s="71">
        <v>10.16</v>
      </c>
      <c r="BE1251" s="71">
        <v>10.16</v>
      </c>
      <c r="BF1251" s="71">
        <v>264</v>
      </c>
      <c r="BG1251" s="71">
        <v>212</v>
      </c>
      <c r="BH1251" s="71">
        <v>5</v>
      </c>
      <c r="BI1251" s="71">
        <v>8</v>
      </c>
      <c r="BJ1251" s="12" t="str" cm="1">
        <f t="array" ref="BJ1251">_xll.Dce_Name_SectI(BF1251, BF1251, BG1251, BH1251, BI1251, "x", "-", $AX$11)</f>
        <v>264x212x5x8</v>
      </c>
      <c r="BK1251" s="77" cm="1">
        <f t="array" ref="BK1251">_xll.DCEPropSectI(BF1251, BH1251, BG1251, BI1251, BG1251, BI1251, "A")/100</f>
        <v>46.32</v>
      </c>
      <c r="BL1251" s="70" t="s">
        <v>226</v>
      </c>
      <c r="BM1251" s="70">
        <v>-5.7472285489555759</v>
      </c>
      <c r="BN1251" s="71">
        <v>0.9</v>
      </c>
      <c r="BO1251" s="77">
        <f t="shared" si="163"/>
        <v>9.1440000000000001</v>
      </c>
      <c r="BP1251" s="71">
        <v>0.9</v>
      </c>
      <c r="BQ1251" s="77">
        <f t="shared" si="164"/>
        <v>9.1440000000000001</v>
      </c>
      <c r="BR1251" s="77" cm="1">
        <f t="array" ref="BR1251">_xll.DCEPropSectI(BF1251, BH1251, BG1251, BI1251, BG1251, BI1251, "rx")/10</f>
        <v>11.562881075579337</v>
      </c>
      <c r="BS1251" s="77" cm="1">
        <f t="array" ref="BS1251">_xll.DCEPropSectI(BF1251, BH1251, BG1251, BI1251, BG1251, BI1251, "ry")/10</f>
        <v>5.237608536144422</v>
      </c>
      <c r="BT1251" s="5">
        <f t="shared" si="165"/>
        <v>79.080636912473437</v>
      </c>
      <c r="BU1251" s="5">
        <f t="shared" si="166"/>
        <v>174.58349429702133</v>
      </c>
      <c r="BV1251" s="5">
        <f t="shared" si="167"/>
        <v>174.58349429702133</v>
      </c>
      <c r="BW1251" s="71">
        <f t="shared" si="168"/>
        <v>200</v>
      </c>
      <c r="BX1251" s="78" cm="1">
        <f t="array" ref="BX1251">IF(BM1251&gt;0,1,_xll.DCETCVN5575FactorPhi7121(BV1251*SQRT($K$17/206000),"b"))</f>
        <v>0.22013934199471966</v>
      </c>
      <c r="BY1251" s="64">
        <f t="shared" si="169"/>
        <v>2.6839409618846191E-2</v>
      </c>
      <c r="BZ1251" s="3" t="str">
        <f t="shared" si="170"/>
        <v>OK</v>
      </c>
    </row>
    <row r="1252" spans="1:78">
      <c r="A1252" s="76"/>
      <c r="B1252" s="76"/>
      <c r="C1252" s="125"/>
      <c r="D1252" s="125"/>
      <c r="E1252" s="71"/>
      <c r="F1252" s="71"/>
      <c r="G1252" s="71"/>
      <c r="H1252" s="126"/>
      <c r="I1252" s="125"/>
      <c r="J1252" s="123"/>
      <c r="K1252" s="12"/>
      <c r="L1252" s="117"/>
      <c r="M1252" s="12"/>
      <c r="N1252" s="117"/>
      <c r="O1252" s="117"/>
      <c r="P1252" s="117"/>
      <c r="Q1252" s="118"/>
      <c r="R1252" s="118"/>
      <c r="S1252" s="118"/>
      <c r="T1252" s="12"/>
      <c r="U1252" s="118"/>
      <c r="V1252" s="118"/>
      <c r="W1252" s="12"/>
      <c r="X1252" s="119"/>
      <c r="Y1252" s="120"/>
      <c r="Z1252" s="12"/>
      <c r="BA1252" s="70" t="s">
        <v>205</v>
      </c>
      <c r="BB1252" s="71" t="s">
        <v>215</v>
      </c>
      <c r="BC1252" s="71" t="s">
        <v>207</v>
      </c>
      <c r="BD1252" s="71">
        <v>0</v>
      </c>
      <c r="BE1252" s="71">
        <v>9.33</v>
      </c>
      <c r="BF1252" s="71">
        <v>264</v>
      </c>
      <c r="BG1252" s="71">
        <v>212</v>
      </c>
      <c r="BH1252" s="71">
        <v>5</v>
      </c>
      <c r="BI1252" s="71">
        <v>8</v>
      </c>
      <c r="BJ1252" s="12" t="str" cm="1">
        <f t="array" ref="BJ1252">_xll.Dce_Name_SectI(BF1252, BF1252, BG1252, BH1252, BI1252, "x", "-", $AX$11)</f>
        <v>264x212x5x8</v>
      </c>
      <c r="BK1252" s="77" cm="1">
        <f t="array" ref="BK1252">_xll.DCEPropSectI(BF1252, BH1252, BG1252, BI1252, BG1252, BI1252, "A")/100</f>
        <v>46.32</v>
      </c>
      <c r="BL1252" s="70" t="s">
        <v>217</v>
      </c>
      <c r="BM1252" s="70">
        <v>116.29155151489419</v>
      </c>
      <c r="BN1252" s="71">
        <v>0.9</v>
      </c>
      <c r="BO1252" s="77">
        <f t="shared" si="163"/>
        <v>8.3970000000000002</v>
      </c>
      <c r="BP1252" s="71">
        <v>0.9</v>
      </c>
      <c r="BQ1252" s="77">
        <f t="shared" si="164"/>
        <v>8.3970000000000002</v>
      </c>
      <c r="BR1252" s="77" cm="1">
        <f t="array" ref="BR1252">_xll.DCEPropSectI(BF1252, BH1252, BG1252, BI1252, BG1252, BI1252, "rx")/10</f>
        <v>11.562881075579337</v>
      </c>
      <c r="BS1252" s="77" cm="1">
        <f t="array" ref="BS1252">_xll.DCEPropSectI(BF1252, BH1252, BG1252, BI1252, BG1252, BI1252, "ry")/10</f>
        <v>5.237608536144422</v>
      </c>
      <c r="BT1252" s="5">
        <f t="shared" si="165"/>
        <v>72.620309290686734</v>
      </c>
      <c r="BU1252" s="5">
        <f t="shared" si="166"/>
        <v>160.3212600188198</v>
      </c>
      <c r="BV1252" s="5">
        <f t="shared" si="167"/>
        <v>160.3212600188198</v>
      </c>
      <c r="BW1252" s="71">
        <f t="shared" si="168"/>
        <v>400</v>
      </c>
      <c r="BX1252" s="78" cm="1">
        <f t="array" ref="BX1252">IF(BM1252&gt;0,1,_xll.DCETCVN5575FactorPhi7121(BV1252*SQRT($K$17/206000),"b"))</f>
        <v>1</v>
      </c>
      <c r="BY1252" s="64">
        <f t="shared" si="169"/>
        <v>0.11955295615890923</v>
      </c>
      <c r="BZ1252" s="3" t="str">
        <f t="shared" si="170"/>
        <v>OK</v>
      </c>
    </row>
    <row r="1253" spans="1:78">
      <c r="A1253" s="76"/>
      <c r="B1253" s="76"/>
      <c r="C1253" s="125"/>
      <c r="D1253" s="125"/>
      <c r="E1253" s="71"/>
      <c r="F1253" s="71"/>
      <c r="G1253" s="71"/>
      <c r="H1253" s="126"/>
      <c r="I1253" s="125"/>
      <c r="J1253" s="123"/>
      <c r="K1253" s="12"/>
      <c r="L1253" s="117"/>
      <c r="M1253" s="12"/>
      <c r="N1253" s="117"/>
      <c r="O1253" s="117"/>
      <c r="P1253" s="117"/>
      <c r="Q1253" s="118"/>
      <c r="R1253" s="118"/>
      <c r="S1253" s="118"/>
      <c r="T1253" s="12"/>
      <c r="U1253" s="118"/>
      <c r="V1253" s="118"/>
      <c r="W1253" s="12"/>
      <c r="X1253" s="119"/>
      <c r="Y1253" s="120"/>
      <c r="Z1253" s="12"/>
      <c r="BA1253" s="70" t="s">
        <v>205</v>
      </c>
      <c r="BB1253" s="71" t="s">
        <v>215</v>
      </c>
      <c r="BC1253" s="71" t="s">
        <v>207</v>
      </c>
      <c r="BD1253" s="71">
        <v>4.67</v>
      </c>
      <c r="BE1253" s="71">
        <v>9.33</v>
      </c>
      <c r="BF1253" s="71">
        <v>264</v>
      </c>
      <c r="BG1253" s="71">
        <v>212</v>
      </c>
      <c r="BH1253" s="71">
        <v>5</v>
      </c>
      <c r="BI1253" s="71">
        <v>8</v>
      </c>
      <c r="BJ1253" s="12" t="str" cm="1">
        <f t="array" ref="BJ1253">_xll.Dce_Name_SectI(BF1253, BF1253, BG1253, BH1253, BI1253, "x", "-", $AX$11)</f>
        <v>264x212x5x8</v>
      </c>
      <c r="BK1253" s="77" cm="1">
        <f t="array" ref="BK1253">_xll.DCEPropSectI(BF1253, BH1253, BG1253, BI1253, BG1253, BI1253, "A")/100</f>
        <v>46.32</v>
      </c>
      <c r="BL1253" s="70" t="s">
        <v>217</v>
      </c>
      <c r="BM1253" s="70">
        <v>117.56617595805973</v>
      </c>
      <c r="BN1253" s="71">
        <v>0.9</v>
      </c>
      <c r="BO1253" s="77">
        <f t="shared" si="163"/>
        <v>8.3970000000000002</v>
      </c>
      <c r="BP1253" s="71">
        <v>0.9</v>
      </c>
      <c r="BQ1253" s="77">
        <f t="shared" si="164"/>
        <v>8.3970000000000002</v>
      </c>
      <c r="BR1253" s="77" cm="1">
        <f t="array" ref="BR1253">_xll.DCEPropSectI(BF1253, BH1253, BG1253, BI1253, BG1253, BI1253, "rx")/10</f>
        <v>11.562881075579337</v>
      </c>
      <c r="BS1253" s="77" cm="1">
        <f t="array" ref="BS1253">_xll.DCEPropSectI(BF1253, BH1253, BG1253, BI1253, BG1253, BI1253, "ry")/10</f>
        <v>5.237608536144422</v>
      </c>
      <c r="BT1253" s="5">
        <f t="shared" si="165"/>
        <v>72.620309290686734</v>
      </c>
      <c r="BU1253" s="5">
        <f t="shared" si="166"/>
        <v>160.3212600188198</v>
      </c>
      <c r="BV1253" s="5">
        <f t="shared" si="167"/>
        <v>160.3212600188198</v>
      </c>
      <c r="BW1253" s="71">
        <f t="shared" si="168"/>
        <v>400</v>
      </c>
      <c r="BX1253" s="78" cm="1">
        <f t="array" ref="BX1253">IF(BM1253&gt;0,1,_xll.DCETCVN5575FactorPhi7121(BV1253*SQRT($K$17/206000),"b"))</f>
        <v>1</v>
      </c>
      <c r="BY1253" s="64">
        <f t="shared" si="169"/>
        <v>0.12086332753316444</v>
      </c>
      <c r="BZ1253" s="3" t="str">
        <f t="shared" si="170"/>
        <v>OK</v>
      </c>
    </row>
    <row r="1254" spans="1:78">
      <c r="A1254" s="76"/>
      <c r="B1254" s="76"/>
      <c r="C1254" s="125"/>
      <c r="D1254" s="125"/>
      <c r="E1254" s="71"/>
      <c r="F1254" s="71"/>
      <c r="G1254" s="71"/>
      <c r="H1254" s="126"/>
      <c r="I1254" s="125"/>
      <c r="J1254" s="123"/>
      <c r="K1254" s="12"/>
      <c r="L1254" s="117"/>
      <c r="M1254" s="12"/>
      <c r="N1254" s="117"/>
      <c r="O1254" s="117"/>
      <c r="P1254" s="117"/>
      <c r="Q1254" s="118"/>
      <c r="R1254" s="118"/>
      <c r="S1254" s="118"/>
      <c r="T1254" s="12"/>
      <c r="U1254" s="118"/>
      <c r="V1254" s="118"/>
      <c r="W1254" s="12"/>
      <c r="X1254" s="119"/>
      <c r="Y1254" s="120"/>
      <c r="Z1254" s="12"/>
      <c r="BA1254" s="70" t="s">
        <v>205</v>
      </c>
      <c r="BB1254" s="71" t="s">
        <v>215</v>
      </c>
      <c r="BC1254" s="71" t="s">
        <v>207</v>
      </c>
      <c r="BD1254" s="71">
        <v>9.33</v>
      </c>
      <c r="BE1254" s="71">
        <v>9.33</v>
      </c>
      <c r="BF1254" s="71">
        <v>264</v>
      </c>
      <c r="BG1254" s="71">
        <v>212</v>
      </c>
      <c r="BH1254" s="71">
        <v>5</v>
      </c>
      <c r="BI1254" s="71">
        <v>8</v>
      </c>
      <c r="BJ1254" s="12" t="str" cm="1">
        <f t="array" ref="BJ1254">_xll.Dce_Name_SectI(BF1254, BF1254, BG1254, BH1254, BI1254, "x", "-", $AX$11)</f>
        <v>264x212x5x8</v>
      </c>
      <c r="BK1254" s="77" cm="1">
        <f t="array" ref="BK1254">_xll.DCEPropSectI(BF1254, BH1254, BG1254, BI1254, BG1254, BI1254, "A")/100</f>
        <v>46.32</v>
      </c>
      <c r="BL1254" s="70" t="s">
        <v>217</v>
      </c>
      <c r="BM1254" s="70">
        <v>118.84080040122528</v>
      </c>
      <c r="BN1254" s="71">
        <v>0.9</v>
      </c>
      <c r="BO1254" s="77">
        <f t="shared" si="163"/>
        <v>8.3970000000000002</v>
      </c>
      <c r="BP1254" s="71">
        <v>0.9</v>
      </c>
      <c r="BQ1254" s="77">
        <f t="shared" si="164"/>
        <v>8.3970000000000002</v>
      </c>
      <c r="BR1254" s="77" cm="1">
        <f t="array" ref="BR1254">_xll.DCEPropSectI(BF1254, BH1254, BG1254, BI1254, BG1254, BI1254, "rx")/10</f>
        <v>11.562881075579337</v>
      </c>
      <c r="BS1254" s="77" cm="1">
        <f t="array" ref="BS1254">_xll.DCEPropSectI(BF1254, BH1254, BG1254, BI1254, BG1254, BI1254, "ry")/10</f>
        <v>5.237608536144422</v>
      </c>
      <c r="BT1254" s="5">
        <f t="shared" si="165"/>
        <v>72.620309290686734</v>
      </c>
      <c r="BU1254" s="5">
        <f t="shared" si="166"/>
        <v>160.3212600188198</v>
      </c>
      <c r="BV1254" s="5">
        <f t="shared" si="167"/>
        <v>160.3212600188198</v>
      </c>
      <c r="BW1254" s="71">
        <f t="shared" si="168"/>
        <v>400</v>
      </c>
      <c r="BX1254" s="78" cm="1">
        <f t="array" ref="BX1254">IF(BM1254&gt;0,1,_xll.DCETCVN5575FactorPhi7121(BV1254*SQRT($K$17/206000),"b"))</f>
        <v>1</v>
      </c>
      <c r="BY1254" s="64">
        <f t="shared" si="169"/>
        <v>0.12217369890741969</v>
      </c>
      <c r="BZ1254" s="3" t="str">
        <f t="shared" si="170"/>
        <v>OK</v>
      </c>
    </row>
    <row r="1255" spans="1:78">
      <c r="A1255" s="76"/>
      <c r="B1255" s="76"/>
      <c r="C1255" s="125"/>
      <c r="D1255" s="125"/>
      <c r="E1255" s="71"/>
      <c r="F1255" s="71"/>
      <c r="G1255" s="71"/>
      <c r="H1255" s="126"/>
      <c r="I1255" s="125"/>
      <c r="J1255" s="123"/>
      <c r="K1255" s="12"/>
      <c r="L1255" s="117"/>
      <c r="M1255" s="12"/>
      <c r="N1255" s="117"/>
      <c r="O1255" s="117"/>
      <c r="P1255" s="117"/>
      <c r="Q1255" s="118"/>
      <c r="R1255" s="118"/>
      <c r="S1255" s="118"/>
      <c r="T1255" s="12"/>
      <c r="U1255" s="118"/>
      <c r="V1255" s="118"/>
      <c r="W1255" s="12"/>
      <c r="X1255" s="119"/>
      <c r="Y1255" s="120"/>
      <c r="Z1255" s="12"/>
      <c r="BA1255" s="70" t="s">
        <v>205</v>
      </c>
      <c r="BB1255" s="71" t="s">
        <v>215</v>
      </c>
      <c r="BC1255" s="71" t="s">
        <v>207</v>
      </c>
      <c r="BD1255" s="71">
        <v>0</v>
      </c>
      <c r="BE1255" s="71">
        <v>9.33</v>
      </c>
      <c r="BF1255" s="71">
        <v>264</v>
      </c>
      <c r="BG1255" s="71">
        <v>212</v>
      </c>
      <c r="BH1255" s="71">
        <v>5</v>
      </c>
      <c r="BI1255" s="71">
        <v>8</v>
      </c>
      <c r="BJ1255" s="12" t="str" cm="1">
        <f t="array" ref="BJ1255">_xll.Dce_Name_SectI(BF1255, BF1255, BG1255, BH1255, BI1255, "x", "-", $AX$11)</f>
        <v>264x212x5x8</v>
      </c>
      <c r="BK1255" s="77" cm="1">
        <f t="array" ref="BK1255">_xll.DCEPropSectI(BF1255, BH1255, BG1255, BI1255, BG1255, BI1255, "A")/100</f>
        <v>46.32</v>
      </c>
      <c r="BL1255" s="70" t="s">
        <v>218</v>
      </c>
      <c r="BM1255" s="70">
        <v>262.94026919032973</v>
      </c>
      <c r="BN1255" s="71">
        <v>0.9</v>
      </c>
      <c r="BO1255" s="77">
        <f t="shared" si="163"/>
        <v>8.3970000000000002</v>
      </c>
      <c r="BP1255" s="71">
        <v>0.9</v>
      </c>
      <c r="BQ1255" s="77">
        <f t="shared" si="164"/>
        <v>8.3970000000000002</v>
      </c>
      <c r="BR1255" s="77" cm="1">
        <f t="array" ref="BR1255">_xll.DCEPropSectI(BF1255, BH1255, BG1255, BI1255, BG1255, BI1255, "rx")/10</f>
        <v>11.562881075579337</v>
      </c>
      <c r="BS1255" s="77" cm="1">
        <f t="array" ref="BS1255">_xll.DCEPropSectI(BF1255, BH1255, BG1255, BI1255, BG1255, BI1255, "ry")/10</f>
        <v>5.237608536144422</v>
      </c>
      <c r="BT1255" s="5">
        <f t="shared" si="165"/>
        <v>72.620309290686734</v>
      </c>
      <c r="BU1255" s="5">
        <f t="shared" si="166"/>
        <v>160.3212600188198</v>
      </c>
      <c r="BV1255" s="5">
        <f t="shared" si="167"/>
        <v>160.3212600188198</v>
      </c>
      <c r="BW1255" s="71">
        <f t="shared" si="168"/>
        <v>400</v>
      </c>
      <c r="BX1255" s="78" cm="1">
        <f t="array" ref="BX1255">IF(BM1255&gt;0,1,_xll.DCETCVN5575FactorPhi7121(BV1255*SQRT($K$17/206000),"b"))</f>
        <v>1</v>
      </c>
      <c r="BY1255" s="64">
        <f t="shared" si="169"/>
        <v>0.27031444731302917</v>
      </c>
      <c r="BZ1255" s="3" t="str">
        <f t="shared" si="170"/>
        <v>OK</v>
      </c>
    </row>
    <row r="1256" spans="1:78">
      <c r="A1256" s="76"/>
      <c r="B1256" s="76"/>
      <c r="C1256" s="125"/>
      <c r="D1256" s="125"/>
      <c r="E1256" s="71"/>
      <c r="F1256" s="71"/>
      <c r="G1256" s="71"/>
      <c r="H1256" s="126"/>
      <c r="I1256" s="125"/>
      <c r="J1256" s="123"/>
      <c r="K1256" s="12"/>
      <c r="L1256" s="117"/>
      <c r="M1256" s="12"/>
      <c r="N1256" s="117"/>
      <c r="O1256" s="117"/>
      <c r="P1256" s="117"/>
      <c r="Q1256" s="118"/>
      <c r="R1256" s="118"/>
      <c r="S1256" s="118"/>
      <c r="T1256" s="12"/>
      <c r="U1256" s="118"/>
      <c r="V1256" s="118"/>
      <c r="W1256" s="12"/>
      <c r="X1256" s="119"/>
      <c r="Y1256" s="120"/>
      <c r="Z1256" s="12"/>
      <c r="BA1256" s="70" t="s">
        <v>205</v>
      </c>
      <c r="BB1256" s="71" t="s">
        <v>215</v>
      </c>
      <c r="BC1256" s="71" t="s">
        <v>207</v>
      </c>
      <c r="BD1256" s="71">
        <v>4.67</v>
      </c>
      <c r="BE1256" s="71">
        <v>9.33</v>
      </c>
      <c r="BF1256" s="71">
        <v>264</v>
      </c>
      <c r="BG1256" s="71">
        <v>212</v>
      </c>
      <c r="BH1256" s="71">
        <v>5</v>
      </c>
      <c r="BI1256" s="71">
        <v>8</v>
      </c>
      <c r="BJ1256" s="12" t="str" cm="1">
        <f t="array" ref="BJ1256">_xll.Dce_Name_SectI(BF1256, BF1256, BG1256, BH1256, BI1256, "x", "-", $AX$11)</f>
        <v>264x212x5x8</v>
      </c>
      <c r="BK1256" s="77" cm="1">
        <f t="array" ref="BK1256">_xll.DCEPropSectI(BF1256, BH1256, BG1256, BI1256, BG1256, BI1256, "A")/100</f>
        <v>46.32</v>
      </c>
      <c r="BL1256" s="70" t="s">
        <v>218</v>
      </c>
      <c r="BM1256" s="70">
        <v>264.21489363349525</v>
      </c>
      <c r="BN1256" s="71">
        <v>0.9</v>
      </c>
      <c r="BO1256" s="77">
        <f t="shared" si="163"/>
        <v>8.3970000000000002</v>
      </c>
      <c r="BP1256" s="71">
        <v>0.9</v>
      </c>
      <c r="BQ1256" s="77">
        <f t="shared" si="164"/>
        <v>8.3970000000000002</v>
      </c>
      <c r="BR1256" s="77" cm="1">
        <f t="array" ref="BR1256">_xll.DCEPropSectI(BF1256, BH1256, BG1256, BI1256, BG1256, BI1256, "rx")/10</f>
        <v>11.562881075579337</v>
      </c>
      <c r="BS1256" s="77" cm="1">
        <f t="array" ref="BS1256">_xll.DCEPropSectI(BF1256, BH1256, BG1256, BI1256, BG1256, BI1256, "ry")/10</f>
        <v>5.237608536144422</v>
      </c>
      <c r="BT1256" s="5">
        <f t="shared" si="165"/>
        <v>72.620309290686734</v>
      </c>
      <c r="BU1256" s="5">
        <f t="shared" si="166"/>
        <v>160.3212600188198</v>
      </c>
      <c r="BV1256" s="5">
        <f t="shared" si="167"/>
        <v>160.3212600188198</v>
      </c>
      <c r="BW1256" s="71">
        <f t="shared" si="168"/>
        <v>400</v>
      </c>
      <c r="BX1256" s="78" cm="1">
        <f t="array" ref="BX1256">IF(BM1256&gt;0,1,_xll.DCETCVN5575FactorPhi7121(BV1256*SQRT($K$17/206000),"b"))</f>
        <v>1</v>
      </c>
      <c r="BY1256" s="64">
        <f t="shared" si="169"/>
        <v>0.27162481868728433</v>
      </c>
      <c r="BZ1256" s="3" t="str">
        <f t="shared" si="170"/>
        <v>OK</v>
      </c>
    </row>
    <row r="1257" spans="1:78">
      <c r="A1257" s="76"/>
      <c r="B1257" s="76"/>
      <c r="C1257" s="125"/>
      <c r="D1257" s="125"/>
      <c r="E1257" s="71"/>
      <c r="F1257" s="71"/>
      <c r="G1257" s="71"/>
      <c r="H1257" s="126"/>
      <c r="I1257" s="125"/>
      <c r="J1257" s="123"/>
      <c r="K1257" s="12"/>
      <c r="L1257" s="117"/>
      <c r="M1257" s="12"/>
      <c r="N1257" s="117"/>
      <c r="O1257" s="117"/>
      <c r="P1257" s="117"/>
      <c r="Q1257" s="118"/>
      <c r="R1257" s="118"/>
      <c r="S1257" s="118"/>
      <c r="T1257" s="12"/>
      <c r="U1257" s="118"/>
      <c r="V1257" s="118"/>
      <c r="W1257" s="12"/>
      <c r="X1257" s="119"/>
      <c r="Y1257" s="120"/>
      <c r="Z1257" s="12"/>
      <c r="BA1257" s="70" t="s">
        <v>205</v>
      </c>
      <c r="BB1257" s="71" t="s">
        <v>215</v>
      </c>
      <c r="BC1257" s="71" t="s">
        <v>207</v>
      </c>
      <c r="BD1257" s="71">
        <v>9.33</v>
      </c>
      <c r="BE1257" s="71">
        <v>9.33</v>
      </c>
      <c r="BF1257" s="71">
        <v>264</v>
      </c>
      <c r="BG1257" s="71">
        <v>212</v>
      </c>
      <c r="BH1257" s="71">
        <v>5</v>
      </c>
      <c r="BI1257" s="71">
        <v>8</v>
      </c>
      <c r="BJ1257" s="12" t="str" cm="1">
        <f t="array" ref="BJ1257">_xll.Dce_Name_SectI(BF1257, BF1257, BG1257, BH1257, BI1257, "x", "-", $AX$11)</f>
        <v>264x212x5x8</v>
      </c>
      <c r="BK1257" s="77" cm="1">
        <f t="array" ref="BK1257">_xll.DCEPropSectI(BF1257, BH1257, BG1257, BI1257, BG1257, BI1257, "A")/100</f>
        <v>46.32</v>
      </c>
      <c r="BL1257" s="70" t="s">
        <v>218</v>
      </c>
      <c r="BM1257" s="70">
        <v>265.48951807666083</v>
      </c>
      <c r="BN1257" s="71">
        <v>0.9</v>
      </c>
      <c r="BO1257" s="77">
        <f t="shared" si="163"/>
        <v>8.3970000000000002</v>
      </c>
      <c r="BP1257" s="71">
        <v>0.9</v>
      </c>
      <c r="BQ1257" s="77">
        <f t="shared" si="164"/>
        <v>8.3970000000000002</v>
      </c>
      <c r="BR1257" s="77" cm="1">
        <f t="array" ref="BR1257">_xll.DCEPropSectI(BF1257, BH1257, BG1257, BI1257, BG1257, BI1257, "rx")/10</f>
        <v>11.562881075579337</v>
      </c>
      <c r="BS1257" s="77" cm="1">
        <f t="array" ref="BS1257">_xll.DCEPropSectI(BF1257, BH1257, BG1257, BI1257, BG1257, BI1257, "ry")/10</f>
        <v>5.237608536144422</v>
      </c>
      <c r="BT1257" s="5">
        <f t="shared" si="165"/>
        <v>72.620309290686734</v>
      </c>
      <c r="BU1257" s="5">
        <f t="shared" si="166"/>
        <v>160.3212600188198</v>
      </c>
      <c r="BV1257" s="5">
        <f t="shared" si="167"/>
        <v>160.3212600188198</v>
      </c>
      <c r="BW1257" s="71">
        <f t="shared" si="168"/>
        <v>400</v>
      </c>
      <c r="BX1257" s="78" cm="1">
        <f t="array" ref="BX1257">IF(BM1257&gt;0,1,_xll.DCETCVN5575FactorPhi7121(BV1257*SQRT($K$17/206000),"b"))</f>
        <v>1</v>
      </c>
      <c r="BY1257" s="64">
        <f t="shared" si="169"/>
        <v>0.2729351900615396</v>
      </c>
      <c r="BZ1257" s="3" t="str">
        <f t="shared" si="170"/>
        <v>OK</v>
      </c>
    </row>
    <row r="1258" spans="1:78">
      <c r="A1258" s="76"/>
      <c r="B1258" s="76"/>
      <c r="C1258" s="125"/>
      <c r="D1258" s="125"/>
      <c r="E1258" s="71"/>
      <c r="F1258" s="71"/>
      <c r="G1258" s="71"/>
      <c r="H1258" s="126"/>
      <c r="I1258" s="125"/>
      <c r="J1258" s="123"/>
      <c r="K1258" s="12"/>
      <c r="L1258" s="117"/>
      <c r="M1258" s="12"/>
      <c r="N1258" s="117"/>
      <c r="O1258" s="117"/>
      <c r="P1258" s="117"/>
      <c r="Q1258" s="118"/>
      <c r="R1258" s="118"/>
      <c r="S1258" s="118"/>
      <c r="T1258" s="12"/>
      <c r="U1258" s="118"/>
      <c r="V1258" s="118"/>
      <c r="W1258" s="12"/>
      <c r="X1258" s="119"/>
      <c r="Y1258" s="120"/>
      <c r="Z1258" s="12"/>
      <c r="BA1258" s="70" t="s">
        <v>205</v>
      </c>
      <c r="BB1258" s="71" t="s">
        <v>215</v>
      </c>
      <c r="BC1258" s="71" t="s">
        <v>207</v>
      </c>
      <c r="BD1258" s="71">
        <v>0</v>
      </c>
      <c r="BE1258" s="71">
        <v>9.33</v>
      </c>
      <c r="BF1258" s="71">
        <v>264</v>
      </c>
      <c r="BG1258" s="71">
        <v>212</v>
      </c>
      <c r="BH1258" s="71">
        <v>5</v>
      </c>
      <c r="BI1258" s="71">
        <v>8</v>
      </c>
      <c r="BJ1258" s="12" t="str" cm="1">
        <f t="array" ref="BJ1258">_xll.Dce_Name_SectI(BF1258, BF1258, BG1258, BH1258, BI1258, "x", "-", $AX$11)</f>
        <v>264x212x5x8</v>
      </c>
      <c r="BK1258" s="77" cm="1">
        <f t="array" ref="BK1258">_xll.DCEPropSectI(BF1258, BH1258, BG1258, BI1258, BG1258, BI1258, "A")/100</f>
        <v>46.32</v>
      </c>
      <c r="BL1258" s="70" t="s">
        <v>219</v>
      </c>
      <c r="BM1258" s="70">
        <v>101.8318972790794</v>
      </c>
      <c r="BN1258" s="71">
        <v>0.9</v>
      </c>
      <c r="BO1258" s="77">
        <f t="shared" si="163"/>
        <v>8.3970000000000002</v>
      </c>
      <c r="BP1258" s="71">
        <v>0.9</v>
      </c>
      <c r="BQ1258" s="77">
        <f t="shared" si="164"/>
        <v>8.3970000000000002</v>
      </c>
      <c r="BR1258" s="77" cm="1">
        <f t="array" ref="BR1258">_xll.DCEPropSectI(BF1258, BH1258, BG1258, BI1258, BG1258, BI1258, "rx")/10</f>
        <v>11.562881075579337</v>
      </c>
      <c r="BS1258" s="77" cm="1">
        <f t="array" ref="BS1258">_xll.DCEPropSectI(BF1258, BH1258, BG1258, BI1258, BG1258, BI1258, "ry")/10</f>
        <v>5.237608536144422</v>
      </c>
      <c r="BT1258" s="5">
        <f t="shared" si="165"/>
        <v>72.620309290686734</v>
      </c>
      <c r="BU1258" s="5">
        <f t="shared" si="166"/>
        <v>160.3212600188198</v>
      </c>
      <c r="BV1258" s="5">
        <f t="shared" si="167"/>
        <v>160.3212600188198</v>
      </c>
      <c r="BW1258" s="71">
        <f t="shared" si="168"/>
        <v>400</v>
      </c>
      <c r="BX1258" s="78" cm="1">
        <f t="array" ref="BX1258">IF(BM1258&gt;0,1,_xll.DCETCVN5575FactorPhi7121(BV1258*SQRT($K$17/206000),"b"))</f>
        <v>1</v>
      </c>
      <c r="BY1258" s="64">
        <f t="shared" si="169"/>
        <v>0.10468777991516509</v>
      </c>
      <c r="BZ1258" s="3" t="str">
        <f t="shared" si="170"/>
        <v>OK</v>
      </c>
    </row>
    <row r="1259" spans="1:78">
      <c r="A1259" s="76"/>
      <c r="B1259" s="76"/>
      <c r="C1259" s="125"/>
      <c r="D1259" s="125"/>
      <c r="E1259" s="71"/>
      <c r="F1259" s="71"/>
      <c r="G1259" s="71"/>
      <c r="H1259" s="126"/>
      <c r="I1259" s="125"/>
      <c r="J1259" s="123"/>
      <c r="K1259" s="12"/>
      <c r="L1259" s="117"/>
      <c r="M1259" s="12"/>
      <c r="N1259" s="117"/>
      <c r="O1259" s="117"/>
      <c r="P1259" s="117"/>
      <c r="Q1259" s="118"/>
      <c r="R1259" s="118"/>
      <c r="S1259" s="118"/>
      <c r="T1259" s="12"/>
      <c r="U1259" s="118"/>
      <c r="V1259" s="118"/>
      <c r="W1259" s="12"/>
      <c r="X1259" s="119"/>
      <c r="Y1259" s="120"/>
      <c r="Z1259" s="12"/>
      <c r="BA1259" s="70" t="s">
        <v>205</v>
      </c>
      <c r="BB1259" s="71" t="s">
        <v>215</v>
      </c>
      <c r="BC1259" s="71" t="s">
        <v>207</v>
      </c>
      <c r="BD1259" s="71">
        <v>4.67</v>
      </c>
      <c r="BE1259" s="71">
        <v>9.33</v>
      </c>
      <c r="BF1259" s="71">
        <v>264</v>
      </c>
      <c r="BG1259" s="71">
        <v>212</v>
      </c>
      <c r="BH1259" s="71">
        <v>5</v>
      </c>
      <c r="BI1259" s="71">
        <v>8</v>
      </c>
      <c r="BJ1259" s="12" t="str" cm="1">
        <f t="array" ref="BJ1259">_xll.Dce_Name_SectI(BF1259, BF1259, BG1259, BH1259, BI1259, "x", "-", $AX$11)</f>
        <v>264x212x5x8</v>
      </c>
      <c r="BK1259" s="77" cm="1">
        <f t="array" ref="BK1259">_xll.DCEPropSectI(BF1259, BH1259, BG1259, BI1259, BG1259, BI1259, "A")/100</f>
        <v>46.32</v>
      </c>
      <c r="BL1259" s="70" t="s">
        <v>219</v>
      </c>
      <c r="BM1259" s="70">
        <v>103.10652172224493</v>
      </c>
      <c r="BN1259" s="71">
        <v>0.9</v>
      </c>
      <c r="BO1259" s="77">
        <f t="shared" si="163"/>
        <v>8.3970000000000002</v>
      </c>
      <c r="BP1259" s="71">
        <v>0.9</v>
      </c>
      <c r="BQ1259" s="77">
        <f t="shared" si="164"/>
        <v>8.3970000000000002</v>
      </c>
      <c r="BR1259" s="77" cm="1">
        <f t="array" ref="BR1259">_xll.DCEPropSectI(BF1259, BH1259, BG1259, BI1259, BG1259, BI1259, "rx")/10</f>
        <v>11.562881075579337</v>
      </c>
      <c r="BS1259" s="77" cm="1">
        <f t="array" ref="BS1259">_xll.DCEPropSectI(BF1259, BH1259, BG1259, BI1259, BG1259, BI1259, "ry")/10</f>
        <v>5.237608536144422</v>
      </c>
      <c r="BT1259" s="5">
        <f t="shared" si="165"/>
        <v>72.620309290686734</v>
      </c>
      <c r="BU1259" s="5">
        <f t="shared" si="166"/>
        <v>160.3212600188198</v>
      </c>
      <c r="BV1259" s="5">
        <f t="shared" si="167"/>
        <v>160.3212600188198</v>
      </c>
      <c r="BW1259" s="71">
        <f t="shared" si="168"/>
        <v>400</v>
      </c>
      <c r="BX1259" s="78" cm="1">
        <f t="array" ref="BX1259">IF(BM1259&gt;0,1,_xll.DCETCVN5575FactorPhi7121(BV1259*SQRT($K$17/206000),"b"))</f>
        <v>1</v>
      </c>
      <c r="BY1259" s="64">
        <f t="shared" si="169"/>
        <v>0.10599815128942031</v>
      </c>
      <c r="BZ1259" s="3" t="str">
        <f t="shared" si="170"/>
        <v>OK</v>
      </c>
    </row>
    <row r="1260" spans="1:78">
      <c r="A1260" s="76"/>
      <c r="B1260" s="76"/>
      <c r="C1260" s="125"/>
      <c r="D1260" s="125"/>
      <c r="E1260" s="71"/>
      <c r="F1260" s="71"/>
      <c r="G1260" s="71"/>
      <c r="H1260" s="126"/>
      <c r="I1260" s="125"/>
      <c r="J1260" s="123"/>
      <c r="K1260" s="12"/>
      <c r="L1260" s="117"/>
      <c r="M1260" s="12"/>
      <c r="N1260" s="117"/>
      <c r="O1260" s="117"/>
      <c r="P1260" s="117"/>
      <c r="Q1260" s="118"/>
      <c r="R1260" s="118"/>
      <c r="S1260" s="118"/>
      <c r="T1260" s="12"/>
      <c r="U1260" s="118"/>
      <c r="V1260" s="118"/>
      <c r="W1260" s="12"/>
      <c r="X1260" s="119"/>
      <c r="Y1260" s="120"/>
      <c r="Z1260" s="12"/>
      <c r="BA1260" s="70" t="s">
        <v>205</v>
      </c>
      <c r="BB1260" s="71" t="s">
        <v>215</v>
      </c>
      <c r="BC1260" s="71" t="s">
        <v>207</v>
      </c>
      <c r="BD1260" s="71">
        <v>9.33</v>
      </c>
      <c r="BE1260" s="71">
        <v>9.33</v>
      </c>
      <c r="BF1260" s="71">
        <v>264</v>
      </c>
      <c r="BG1260" s="71">
        <v>212</v>
      </c>
      <c r="BH1260" s="71">
        <v>5</v>
      </c>
      <c r="BI1260" s="71">
        <v>8</v>
      </c>
      <c r="BJ1260" s="12" t="str" cm="1">
        <f t="array" ref="BJ1260">_xll.Dce_Name_SectI(BF1260, BF1260, BG1260, BH1260, BI1260, "x", "-", $AX$11)</f>
        <v>264x212x5x8</v>
      </c>
      <c r="BK1260" s="77" cm="1">
        <f t="array" ref="BK1260">_xll.DCEPropSectI(BF1260, BH1260, BG1260, BI1260, BG1260, BI1260, "A")/100</f>
        <v>46.32</v>
      </c>
      <c r="BL1260" s="70" t="s">
        <v>219</v>
      </c>
      <c r="BM1260" s="70">
        <v>104.38114616541048</v>
      </c>
      <c r="BN1260" s="71">
        <v>0.9</v>
      </c>
      <c r="BO1260" s="77">
        <f t="shared" si="163"/>
        <v>8.3970000000000002</v>
      </c>
      <c r="BP1260" s="71">
        <v>0.9</v>
      </c>
      <c r="BQ1260" s="77">
        <f t="shared" si="164"/>
        <v>8.3970000000000002</v>
      </c>
      <c r="BR1260" s="77" cm="1">
        <f t="array" ref="BR1260">_xll.DCEPropSectI(BF1260, BH1260, BG1260, BI1260, BG1260, BI1260, "rx")/10</f>
        <v>11.562881075579337</v>
      </c>
      <c r="BS1260" s="77" cm="1">
        <f t="array" ref="BS1260">_xll.DCEPropSectI(BF1260, BH1260, BG1260, BI1260, BG1260, BI1260, "ry")/10</f>
        <v>5.237608536144422</v>
      </c>
      <c r="BT1260" s="5">
        <f t="shared" si="165"/>
        <v>72.620309290686734</v>
      </c>
      <c r="BU1260" s="5">
        <f t="shared" si="166"/>
        <v>160.3212600188198</v>
      </c>
      <c r="BV1260" s="5">
        <f t="shared" si="167"/>
        <v>160.3212600188198</v>
      </c>
      <c r="BW1260" s="71">
        <f t="shared" si="168"/>
        <v>400</v>
      </c>
      <c r="BX1260" s="78" cm="1">
        <f t="array" ref="BX1260">IF(BM1260&gt;0,1,_xll.DCETCVN5575FactorPhi7121(BV1260*SQRT($K$17/206000),"b"))</f>
        <v>1</v>
      </c>
      <c r="BY1260" s="64">
        <f t="shared" si="169"/>
        <v>0.10730852266367553</v>
      </c>
      <c r="BZ1260" s="3" t="str">
        <f t="shared" si="170"/>
        <v>OK</v>
      </c>
    </row>
    <row r="1261" spans="1:78">
      <c r="A1261" s="76"/>
      <c r="B1261" s="76"/>
      <c r="C1261" s="125"/>
      <c r="D1261" s="125"/>
      <c r="E1261" s="71"/>
      <c r="F1261" s="71"/>
      <c r="G1261" s="71"/>
      <c r="H1261" s="126"/>
      <c r="I1261" s="125"/>
      <c r="J1261" s="123"/>
      <c r="K1261" s="12"/>
      <c r="L1261" s="117"/>
      <c r="M1261" s="12"/>
      <c r="N1261" s="117"/>
      <c r="O1261" s="117"/>
      <c r="P1261" s="117"/>
      <c r="Q1261" s="118"/>
      <c r="R1261" s="118"/>
      <c r="S1261" s="118"/>
      <c r="T1261" s="12"/>
      <c r="U1261" s="118"/>
      <c r="V1261" s="118"/>
      <c r="W1261" s="12"/>
      <c r="X1261" s="119"/>
      <c r="Y1261" s="120"/>
      <c r="Z1261" s="12"/>
      <c r="BA1261" s="70" t="s">
        <v>205</v>
      </c>
      <c r="BB1261" s="71" t="s">
        <v>215</v>
      </c>
      <c r="BC1261" s="71" t="s">
        <v>207</v>
      </c>
      <c r="BD1261" s="71">
        <v>0</v>
      </c>
      <c r="BE1261" s="71">
        <v>9.33</v>
      </c>
      <c r="BF1261" s="71">
        <v>264</v>
      </c>
      <c r="BG1261" s="71">
        <v>212</v>
      </c>
      <c r="BH1261" s="71">
        <v>5</v>
      </c>
      <c r="BI1261" s="71">
        <v>8</v>
      </c>
      <c r="BJ1261" s="12" t="str" cm="1">
        <f t="array" ref="BJ1261">_xll.Dce_Name_SectI(BF1261, BF1261, BG1261, BH1261, BI1261, "x", "-", $AX$11)</f>
        <v>264x212x5x8</v>
      </c>
      <c r="BK1261" s="77" cm="1">
        <f t="array" ref="BK1261">_xll.DCEPropSectI(BF1261, BH1261, BG1261, BI1261, BG1261, BI1261, "A")/100</f>
        <v>46.32</v>
      </c>
      <c r="BL1261" s="70" t="s">
        <v>220</v>
      </c>
      <c r="BM1261" s="70">
        <v>172.75289403892219</v>
      </c>
      <c r="BN1261" s="71">
        <v>0.9</v>
      </c>
      <c r="BO1261" s="77">
        <f t="shared" si="163"/>
        <v>8.3970000000000002</v>
      </c>
      <c r="BP1261" s="71">
        <v>0.9</v>
      </c>
      <c r="BQ1261" s="77">
        <f t="shared" si="164"/>
        <v>8.3970000000000002</v>
      </c>
      <c r="BR1261" s="77" cm="1">
        <f t="array" ref="BR1261">_xll.DCEPropSectI(BF1261, BH1261, BG1261, BI1261, BG1261, BI1261, "rx")/10</f>
        <v>11.562881075579337</v>
      </c>
      <c r="BS1261" s="77" cm="1">
        <f t="array" ref="BS1261">_xll.DCEPropSectI(BF1261, BH1261, BG1261, BI1261, BG1261, BI1261, "ry")/10</f>
        <v>5.237608536144422</v>
      </c>
      <c r="BT1261" s="5">
        <f t="shared" si="165"/>
        <v>72.620309290686734</v>
      </c>
      <c r="BU1261" s="5">
        <f t="shared" si="166"/>
        <v>160.3212600188198</v>
      </c>
      <c r="BV1261" s="5">
        <f t="shared" si="167"/>
        <v>160.3212600188198</v>
      </c>
      <c r="BW1261" s="71">
        <f t="shared" si="168"/>
        <v>400</v>
      </c>
      <c r="BX1261" s="78" cm="1">
        <f t="array" ref="BX1261">IF(BM1261&gt;0,1,_xll.DCETCVN5575FactorPhi7121(BV1261*SQRT($K$17/206000),"b"))</f>
        <v>1</v>
      </c>
      <c r="BY1261" s="64">
        <f t="shared" si="169"/>
        <v>0.1775977609578524</v>
      </c>
      <c r="BZ1261" s="3" t="str">
        <f t="shared" si="170"/>
        <v>OK</v>
      </c>
    </row>
    <row r="1262" spans="1:78">
      <c r="A1262" s="76"/>
      <c r="B1262" s="76"/>
      <c r="C1262" s="125"/>
      <c r="D1262" s="125"/>
      <c r="E1262" s="71"/>
      <c r="F1262" s="71"/>
      <c r="G1262" s="71"/>
      <c r="H1262" s="126"/>
      <c r="I1262" s="125"/>
      <c r="J1262" s="123"/>
      <c r="K1262" s="12"/>
      <c r="L1262" s="117"/>
      <c r="M1262" s="12"/>
      <c r="N1262" s="117"/>
      <c r="O1262" s="117"/>
      <c r="P1262" s="117"/>
      <c r="Q1262" s="118"/>
      <c r="R1262" s="118"/>
      <c r="S1262" s="118"/>
      <c r="T1262" s="12"/>
      <c r="U1262" s="118"/>
      <c r="V1262" s="118"/>
      <c r="W1262" s="12"/>
      <c r="X1262" s="119"/>
      <c r="Y1262" s="120"/>
      <c r="Z1262" s="12"/>
      <c r="BA1262" s="70" t="s">
        <v>205</v>
      </c>
      <c r="BB1262" s="71" t="s">
        <v>215</v>
      </c>
      <c r="BC1262" s="71" t="s">
        <v>207</v>
      </c>
      <c r="BD1262" s="71">
        <v>4.67</v>
      </c>
      <c r="BE1262" s="71">
        <v>9.33</v>
      </c>
      <c r="BF1262" s="71">
        <v>264</v>
      </c>
      <c r="BG1262" s="71">
        <v>212</v>
      </c>
      <c r="BH1262" s="71">
        <v>5</v>
      </c>
      <c r="BI1262" s="71">
        <v>8</v>
      </c>
      <c r="BJ1262" s="12" t="str" cm="1">
        <f t="array" ref="BJ1262">_xll.Dce_Name_SectI(BF1262, BF1262, BG1262, BH1262, BI1262, "x", "-", $AX$11)</f>
        <v>264x212x5x8</v>
      </c>
      <c r="BK1262" s="77" cm="1">
        <f t="array" ref="BK1262">_xll.DCEPropSectI(BF1262, BH1262, BG1262, BI1262, BG1262, BI1262, "A")/100</f>
        <v>46.32</v>
      </c>
      <c r="BL1262" s="70" t="s">
        <v>220</v>
      </c>
      <c r="BM1262" s="70">
        <v>174.02751848208771</v>
      </c>
      <c r="BN1262" s="71">
        <v>0.9</v>
      </c>
      <c r="BO1262" s="77">
        <f t="shared" si="163"/>
        <v>8.3970000000000002</v>
      </c>
      <c r="BP1262" s="71">
        <v>0.9</v>
      </c>
      <c r="BQ1262" s="77">
        <f t="shared" si="164"/>
        <v>8.3970000000000002</v>
      </c>
      <c r="BR1262" s="77" cm="1">
        <f t="array" ref="BR1262">_xll.DCEPropSectI(BF1262, BH1262, BG1262, BI1262, BG1262, BI1262, "rx")/10</f>
        <v>11.562881075579337</v>
      </c>
      <c r="BS1262" s="77" cm="1">
        <f t="array" ref="BS1262">_xll.DCEPropSectI(BF1262, BH1262, BG1262, BI1262, BG1262, BI1262, "ry")/10</f>
        <v>5.237608536144422</v>
      </c>
      <c r="BT1262" s="5">
        <f t="shared" si="165"/>
        <v>72.620309290686734</v>
      </c>
      <c r="BU1262" s="5">
        <f t="shared" si="166"/>
        <v>160.3212600188198</v>
      </c>
      <c r="BV1262" s="5">
        <f t="shared" si="167"/>
        <v>160.3212600188198</v>
      </c>
      <c r="BW1262" s="71">
        <f t="shared" si="168"/>
        <v>400</v>
      </c>
      <c r="BX1262" s="78" cm="1">
        <f t="array" ref="BX1262">IF(BM1262&gt;0,1,_xll.DCETCVN5575FactorPhi7121(BV1262*SQRT($K$17/206000),"b"))</f>
        <v>1</v>
      </c>
      <c r="BY1262" s="64">
        <f t="shared" si="169"/>
        <v>0.17890813233210759</v>
      </c>
      <c r="BZ1262" s="3" t="str">
        <f t="shared" si="170"/>
        <v>OK</v>
      </c>
    </row>
    <row r="1263" spans="1:78">
      <c r="A1263" s="76"/>
      <c r="B1263" s="76"/>
      <c r="C1263" s="125"/>
      <c r="D1263" s="125"/>
      <c r="E1263" s="71"/>
      <c r="F1263" s="71"/>
      <c r="G1263" s="71"/>
      <c r="H1263" s="126"/>
      <c r="I1263" s="125"/>
      <c r="J1263" s="123"/>
      <c r="K1263" s="12"/>
      <c r="L1263" s="117"/>
      <c r="M1263" s="12"/>
      <c r="N1263" s="117"/>
      <c r="O1263" s="117"/>
      <c r="P1263" s="117"/>
      <c r="Q1263" s="118"/>
      <c r="R1263" s="118"/>
      <c r="S1263" s="118"/>
      <c r="T1263" s="12"/>
      <c r="U1263" s="118"/>
      <c r="V1263" s="118"/>
      <c r="W1263" s="12"/>
      <c r="X1263" s="119"/>
      <c r="Y1263" s="120"/>
      <c r="Z1263" s="12"/>
      <c r="BA1263" s="70" t="s">
        <v>205</v>
      </c>
      <c r="BB1263" s="71" t="s">
        <v>215</v>
      </c>
      <c r="BC1263" s="71" t="s">
        <v>207</v>
      </c>
      <c r="BD1263" s="71">
        <v>9.33</v>
      </c>
      <c r="BE1263" s="71">
        <v>9.33</v>
      </c>
      <c r="BF1263" s="71">
        <v>264</v>
      </c>
      <c r="BG1263" s="71">
        <v>212</v>
      </c>
      <c r="BH1263" s="71">
        <v>5</v>
      </c>
      <c r="BI1263" s="71">
        <v>8</v>
      </c>
      <c r="BJ1263" s="12" t="str" cm="1">
        <f t="array" ref="BJ1263">_xll.Dce_Name_SectI(BF1263, BF1263, BG1263, BH1263, BI1263, "x", "-", $AX$11)</f>
        <v>264x212x5x8</v>
      </c>
      <c r="BK1263" s="77" cm="1">
        <f t="array" ref="BK1263">_xll.DCEPropSectI(BF1263, BH1263, BG1263, BI1263, BG1263, BI1263, "A")/100</f>
        <v>46.32</v>
      </c>
      <c r="BL1263" s="70" t="s">
        <v>220</v>
      </c>
      <c r="BM1263" s="70">
        <v>175.30214292525326</v>
      </c>
      <c r="BN1263" s="71">
        <v>0.9</v>
      </c>
      <c r="BO1263" s="77">
        <f t="shared" si="163"/>
        <v>8.3970000000000002</v>
      </c>
      <c r="BP1263" s="71">
        <v>0.9</v>
      </c>
      <c r="BQ1263" s="77">
        <f t="shared" si="164"/>
        <v>8.3970000000000002</v>
      </c>
      <c r="BR1263" s="77" cm="1">
        <f t="array" ref="BR1263">_xll.DCEPropSectI(BF1263, BH1263, BG1263, BI1263, BG1263, BI1263, "rx")/10</f>
        <v>11.562881075579337</v>
      </c>
      <c r="BS1263" s="77" cm="1">
        <f t="array" ref="BS1263">_xll.DCEPropSectI(BF1263, BH1263, BG1263, BI1263, BG1263, BI1263, "ry")/10</f>
        <v>5.237608536144422</v>
      </c>
      <c r="BT1263" s="5">
        <f t="shared" si="165"/>
        <v>72.620309290686734</v>
      </c>
      <c r="BU1263" s="5">
        <f t="shared" si="166"/>
        <v>160.3212600188198</v>
      </c>
      <c r="BV1263" s="5">
        <f t="shared" si="167"/>
        <v>160.3212600188198</v>
      </c>
      <c r="BW1263" s="71">
        <f t="shared" si="168"/>
        <v>400</v>
      </c>
      <c r="BX1263" s="78" cm="1">
        <f t="array" ref="BX1263">IF(BM1263&gt;0,1,_xll.DCETCVN5575FactorPhi7121(BV1263*SQRT($K$17/206000),"b"))</f>
        <v>1</v>
      </c>
      <c r="BY1263" s="64">
        <f t="shared" si="169"/>
        <v>0.18021850370636283</v>
      </c>
      <c r="BZ1263" s="3" t="str">
        <f t="shared" si="170"/>
        <v>OK</v>
      </c>
    </row>
    <row r="1264" spans="1:78">
      <c r="A1264" s="76"/>
      <c r="B1264" s="76"/>
      <c r="C1264" s="125"/>
      <c r="D1264" s="125"/>
      <c r="E1264" s="71"/>
      <c r="F1264" s="71"/>
      <c r="G1264" s="71"/>
      <c r="H1264" s="126"/>
      <c r="I1264" s="125"/>
      <c r="J1264" s="123"/>
      <c r="K1264" s="12"/>
      <c r="L1264" s="117"/>
      <c r="M1264" s="12"/>
      <c r="N1264" s="117"/>
      <c r="O1264" s="117"/>
      <c r="P1264" s="117"/>
      <c r="Q1264" s="118"/>
      <c r="R1264" s="118"/>
      <c r="S1264" s="118"/>
      <c r="T1264" s="12"/>
      <c r="U1264" s="118"/>
      <c r="V1264" s="118"/>
      <c r="W1264" s="12"/>
      <c r="X1264" s="119"/>
      <c r="Y1264" s="120"/>
      <c r="Z1264" s="12"/>
      <c r="BA1264" s="70" t="s">
        <v>205</v>
      </c>
      <c r="BB1264" s="71" t="s">
        <v>215</v>
      </c>
      <c r="BC1264" s="71" t="s">
        <v>207</v>
      </c>
      <c r="BD1264" s="71">
        <v>0</v>
      </c>
      <c r="BE1264" s="71">
        <v>9.33</v>
      </c>
      <c r="BF1264" s="71">
        <v>264</v>
      </c>
      <c r="BG1264" s="71">
        <v>212</v>
      </c>
      <c r="BH1264" s="71">
        <v>5</v>
      </c>
      <c r="BI1264" s="71">
        <v>8</v>
      </c>
      <c r="BJ1264" s="12" t="str" cm="1">
        <f t="array" ref="BJ1264">_xll.Dce_Name_SectI(BF1264, BF1264, BG1264, BH1264, BI1264, "x", "-", $AX$11)</f>
        <v>264x212x5x8</v>
      </c>
      <c r="BK1264" s="77" cm="1">
        <f t="array" ref="BK1264">_xll.DCEPropSectI(BF1264, BH1264, BG1264, BI1264, BG1264, BI1264, "A")/100</f>
        <v>46.32</v>
      </c>
      <c r="BL1264" s="70" t="s">
        <v>221</v>
      </c>
      <c r="BM1264" s="70">
        <v>173.05951394394179</v>
      </c>
      <c r="BN1264" s="71">
        <v>0.9</v>
      </c>
      <c r="BO1264" s="77">
        <f t="shared" si="163"/>
        <v>8.3970000000000002</v>
      </c>
      <c r="BP1264" s="71">
        <v>0.9</v>
      </c>
      <c r="BQ1264" s="77">
        <f t="shared" si="164"/>
        <v>8.3970000000000002</v>
      </c>
      <c r="BR1264" s="77" cm="1">
        <f t="array" ref="BR1264">_xll.DCEPropSectI(BF1264, BH1264, BG1264, BI1264, BG1264, BI1264, "rx")/10</f>
        <v>11.562881075579337</v>
      </c>
      <c r="BS1264" s="77" cm="1">
        <f t="array" ref="BS1264">_xll.DCEPropSectI(BF1264, BH1264, BG1264, BI1264, BG1264, BI1264, "ry")/10</f>
        <v>5.237608536144422</v>
      </c>
      <c r="BT1264" s="5">
        <f t="shared" si="165"/>
        <v>72.620309290686734</v>
      </c>
      <c r="BU1264" s="5">
        <f t="shared" si="166"/>
        <v>160.3212600188198</v>
      </c>
      <c r="BV1264" s="5">
        <f t="shared" si="167"/>
        <v>160.3212600188198</v>
      </c>
      <c r="BW1264" s="71">
        <f t="shared" si="168"/>
        <v>400</v>
      </c>
      <c r="BX1264" s="78" cm="1">
        <f t="array" ref="BX1264">IF(BM1264&gt;0,1,_xll.DCETCVN5575FactorPhi7121(BV1264*SQRT($K$17/206000),"b"))</f>
        <v>1</v>
      </c>
      <c r="BY1264" s="64">
        <f t="shared" si="169"/>
        <v>0.17791298003941708</v>
      </c>
      <c r="BZ1264" s="3" t="str">
        <f t="shared" si="170"/>
        <v>OK</v>
      </c>
    </row>
    <row r="1265" spans="1:78">
      <c r="A1265" s="76"/>
      <c r="B1265" s="76"/>
      <c r="C1265" s="125"/>
      <c r="D1265" s="125"/>
      <c r="E1265" s="71"/>
      <c r="F1265" s="71"/>
      <c r="G1265" s="71"/>
      <c r="H1265" s="126"/>
      <c r="I1265" s="125"/>
      <c r="J1265" s="123"/>
      <c r="K1265" s="12"/>
      <c r="L1265" s="117"/>
      <c r="M1265" s="12"/>
      <c r="N1265" s="117"/>
      <c r="O1265" s="117"/>
      <c r="P1265" s="117"/>
      <c r="Q1265" s="118"/>
      <c r="R1265" s="118"/>
      <c r="S1265" s="118"/>
      <c r="T1265" s="12"/>
      <c r="U1265" s="118"/>
      <c r="V1265" s="118"/>
      <c r="W1265" s="12"/>
      <c r="X1265" s="119"/>
      <c r="Y1265" s="120"/>
      <c r="Z1265" s="12"/>
      <c r="BA1265" s="70" t="s">
        <v>205</v>
      </c>
      <c r="BB1265" s="71" t="s">
        <v>215</v>
      </c>
      <c r="BC1265" s="71" t="s">
        <v>207</v>
      </c>
      <c r="BD1265" s="71">
        <v>4.67</v>
      </c>
      <c r="BE1265" s="71">
        <v>9.33</v>
      </c>
      <c r="BF1265" s="71">
        <v>264</v>
      </c>
      <c r="BG1265" s="71">
        <v>212</v>
      </c>
      <c r="BH1265" s="71">
        <v>5</v>
      </c>
      <c r="BI1265" s="71">
        <v>8</v>
      </c>
      <c r="BJ1265" s="12" t="str" cm="1">
        <f t="array" ref="BJ1265">_xll.Dce_Name_SectI(BF1265, BF1265, BG1265, BH1265, BI1265, "x", "-", $AX$11)</f>
        <v>264x212x5x8</v>
      </c>
      <c r="BK1265" s="77" cm="1">
        <f t="array" ref="BK1265">_xll.DCEPropSectI(BF1265, BH1265, BG1265, BI1265, BG1265, BI1265, "A")/100</f>
        <v>46.32</v>
      </c>
      <c r="BL1265" s="70" t="s">
        <v>221</v>
      </c>
      <c r="BM1265" s="70">
        <v>174.33413838710734</v>
      </c>
      <c r="BN1265" s="71">
        <v>0.9</v>
      </c>
      <c r="BO1265" s="77">
        <f t="shared" si="163"/>
        <v>8.3970000000000002</v>
      </c>
      <c r="BP1265" s="71">
        <v>0.9</v>
      </c>
      <c r="BQ1265" s="77">
        <f t="shared" si="164"/>
        <v>8.3970000000000002</v>
      </c>
      <c r="BR1265" s="77" cm="1">
        <f t="array" ref="BR1265">_xll.DCEPropSectI(BF1265, BH1265, BG1265, BI1265, BG1265, BI1265, "rx")/10</f>
        <v>11.562881075579337</v>
      </c>
      <c r="BS1265" s="77" cm="1">
        <f t="array" ref="BS1265">_xll.DCEPropSectI(BF1265, BH1265, BG1265, BI1265, BG1265, BI1265, "ry")/10</f>
        <v>5.237608536144422</v>
      </c>
      <c r="BT1265" s="5">
        <f t="shared" si="165"/>
        <v>72.620309290686734</v>
      </c>
      <c r="BU1265" s="5">
        <f t="shared" si="166"/>
        <v>160.3212600188198</v>
      </c>
      <c r="BV1265" s="5">
        <f t="shared" si="167"/>
        <v>160.3212600188198</v>
      </c>
      <c r="BW1265" s="71">
        <f t="shared" si="168"/>
        <v>400</v>
      </c>
      <c r="BX1265" s="78" cm="1">
        <f t="array" ref="BX1265">IF(BM1265&gt;0,1,_xll.DCETCVN5575FactorPhi7121(BV1265*SQRT($K$17/206000),"b"))</f>
        <v>1</v>
      </c>
      <c r="BY1265" s="64">
        <f t="shared" si="169"/>
        <v>0.17922335141367232</v>
      </c>
      <c r="BZ1265" s="3" t="str">
        <f t="shared" si="170"/>
        <v>OK</v>
      </c>
    </row>
    <row r="1266" spans="1:78">
      <c r="A1266" s="76"/>
      <c r="B1266" s="76"/>
      <c r="C1266" s="125"/>
      <c r="D1266" s="125"/>
      <c r="E1266" s="71"/>
      <c r="F1266" s="71"/>
      <c r="G1266" s="71"/>
      <c r="H1266" s="126"/>
      <c r="I1266" s="125"/>
      <c r="J1266" s="123"/>
      <c r="K1266" s="12"/>
      <c r="L1266" s="117"/>
      <c r="M1266" s="12"/>
      <c r="N1266" s="117"/>
      <c r="O1266" s="117"/>
      <c r="P1266" s="117"/>
      <c r="Q1266" s="118"/>
      <c r="R1266" s="118"/>
      <c r="S1266" s="118"/>
      <c r="T1266" s="12"/>
      <c r="U1266" s="118"/>
      <c r="V1266" s="118"/>
      <c r="W1266" s="12"/>
      <c r="X1266" s="119"/>
      <c r="Y1266" s="120"/>
      <c r="Z1266" s="12"/>
      <c r="BA1266" s="70" t="s">
        <v>205</v>
      </c>
      <c r="BB1266" s="71" t="s">
        <v>215</v>
      </c>
      <c r="BC1266" s="71" t="s">
        <v>207</v>
      </c>
      <c r="BD1266" s="71">
        <v>9.33</v>
      </c>
      <c r="BE1266" s="71">
        <v>9.33</v>
      </c>
      <c r="BF1266" s="71">
        <v>264</v>
      </c>
      <c r="BG1266" s="71">
        <v>212</v>
      </c>
      <c r="BH1266" s="71">
        <v>5</v>
      </c>
      <c r="BI1266" s="71">
        <v>8</v>
      </c>
      <c r="BJ1266" s="12" t="str" cm="1">
        <f t="array" ref="BJ1266">_xll.Dce_Name_SectI(BF1266, BF1266, BG1266, BH1266, BI1266, "x", "-", $AX$11)</f>
        <v>264x212x5x8</v>
      </c>
      <c r="BK1266" s="77" cm="1">
        <f t="array" ref="BK1266">_xll.DCEPropSectI(BF1266, BH1266, BG1266, BI1266, BG1266, BI1266, "A")/100</f>
        <v>46.32</v>
      </c>
      <c r="BL1266" s="70" t="s">
        <v>221</v>
      </c>
      <c r="BM1266" s="70">
        <v>175.60876283027289</v>
      </c>
      <c r="BN1266" s="71">
        <v>0.9</v>
      </c>
      <c r="BO1266" s="77">
        <f t="shared" si="163"/>
        <v>8.3970000000000002</v>
      </c>
      <c r="BP1266" s="71">
        <v>0.9</v>
      </c>
      <c r="BQ1266" s="77">
        <f t="shared" si="164"/>
        <v>8.3970000000000002</v>
      </c>
      <c r="BR1266" s="77" cm="1">
        <f t="array" ref="BR1266">_xll.DCEPropSectI(BF1266, BH1266, BG1266, BI1266, BG1266, BI1266, "rx")/10</f>
        <v>11.562881075579337</v>
      </c>
      <c r="BS1266" s="77" cm="1">
        <f t="array" ref="BS1266">_xll.DCEPropSectI(BF1266, BH1266, BG1266, BI1266, BG1266, BI1266, "ry")/10</f>
        <v>5.237608536144422</v>
      </c>
      <c r="BT1266" s="5">
        <f t="shared" si="165"/>
        <v>72.620309290686734</v>
      </c>
      <c r="BU1266" s="5">
        <f t="shared" si="166"/>
        <v>160.3212600188198</v>
      </c>
      <c r="BV1266" s="5">
        <f t="shared" si="167"/>
        <v>160.3212600188198</v>
      </c>
      <c r="BW1266" s="71">
        <f t="shared" si="168"/>
        <v>400</v>
      </c>
      <c r="BX1266" s="78" cm="1">
        <f t="array" ref="BX1266">IF(BM1266&gt;0,1,_xll.DCETCVN5575FactorPhi7121(BV1266*SQRT($K$17/206000),"b"))</f>
        <v>1</v>
      </c>
      <c r="BY1266" s="64">
        <f t="shared" si="169"/>
        <v>0.18053372278792754</v>
      </c>
      <c r="BZ1266" s="3" t="str">
        <f t="shared" si="170"/>
        <v>OK</v>
      </c>
    </row>
    <row r="1267" spans="1:78">
      <c r="A1267" s="76"/>
      <c r="B1267" s="76"/>
      <c r="C1267" s="125"/>
      <c r="D1267" s="125"/>
      <c r="E1267" s="71"/>
      <c r="F1267" s="71"/>
      <c r="G1267" s="71"/>
      <c r="H1267" s="126"/>
      <c r="I1267" s="125"/>
      <c r="J1267" s="123"/>
      <c r="K1267" s="12"/>
      <c r="L1267" s="117"/>
      <c r="M1267" s="12"/>
      <c r="N1267" s="117"/>
      <c r="O1267" s="117"/>
      <c r="P1267" s="117"/>
      <c r="Q1267" s="118"/>
      <c r="R1267" s="118"/>
      <c r="S1267" s="118"/>
      <c r="T1267" s="12"/>
      <c r="U1267" s="118"/>
      <c r="V1267" s="118"/>
      <c r="W1267" s="12"/>
      <c r="X1267" s="119"/>
      <c r="Y1267" s="120"/>
      <c r="Z1267" s="12"/>
      <c r="BA1267" s="70" t="s">
        <v>205</v>
      </c>
      <c r="BB1267" s="71" t="s">
        <v>215</v>
      </c>
      <c r="BC1267" s="71" t="s">
        <v>207</v>
      </c>
      <c r="BD1267" s="71">
        <v>0</v>
      </c>
      <c r="BE1267" s="71">
        <v>9.33</v>
      </c>
      <c r="BF1267" s="71">
        <v>264</v>
      </c>
      <c r="BG1267" s="71">
        <v>212</v>
      </c>
      <c r="BH1267" s="71">
        <v>5</v>
      </c>
      <c r="BI1267" s="71">
        <v>8</v>
      </c>
      <c r="BJ1267" s="12" t="str" cm="1">
        <f t="array" ref="BJ1267">_xll.Dce_Name_SectI(BF1267, BF1267, BG1267, BH1267, BI1267, "x", "-", $AX$11)</f>
        <v>264x212x5x8</v>
      </c>
      <c r="BK1267" s="77" cm="1">
        <f t="array" ref="BK1267">_xll.DCEPropSectI(BF1267, BH1267, BG1267, BI1267, BG1267, BI1267, "A")/100</f>
        <v>46.32</v>
      </c>
      <c r="BL1267" s="70" t="s">
        <v>222</v>
      </c>
      <c r="BM1267" s="70">
        <v>157.83615460551601</v>
      </c>
      <c r="BN1267" s="71">
        <v>0.9</v>
      </c>
      <c r="BO1267" s="77">
        <f t="shared" si="163"/>
        <v>8.3970000000000002</v>
      </c>
      <c r="BP1267" s="71">
        <v>0.9</v>
      </c>
      <c r="BQ1267" s="77">
        <f t="shared" si="164"/>
        <v>8.3970000000000002</v>
      </c>
      <c r="BR1267" s="77" cm="1">
        <f t="array" ref="BR1267">_xll.DCEPropSectI(BF1267, BH1267, BG1267, BI1267, BG1267, BI1267, "rx")/10</f>
        <v>11.562881075579337</v>
      </c>
      <c r="BS1267" s="77" cm="1">
        <f t="array" ref="BS1267">_xll.DCEPropSectI(BF1267, BH1267, BG1267, BI1267, BG1267, BI1267, "ry")/10</f>
        <v>5.237608536144422</v>
      </c>
      <c r="BT1267" s="5">
        <f t="shared" si="165"/>
        <v>72.620309290686734</v>
      </c>
      <c r="BU1267" s="5">
        <f t="shared" si="166"/>
        <v>160.3212600188198</v>
      </c>
      <c r="BV1267" s="5">
        <f t="shared" si="167"/>
        <v>160.3212600188198</v>
      </c>
      <c r="BW1267" s="71">
        <f t="shared" si="168"/>
        <v>400</v>
      </c>
      <c r="BX1267" s="78" cm="1">
        <f t="array" ref="BX1267">IF(BM1267&gt;0,1,_xll.DCETCVN5575FactorPhi7121(BV1267*SQRT($K$17/206000),"b"))</f>
        <v>1</v>
      </c>
      <c r="BY1267" s="64">
        <f t="shared" si="169"/>
        <v>0.1622626805303849</v>
      </c>
      <c r="BZ1267" s="3" t="str">
        <f t="shared" si="170"/>
        <v>OK</v>
      </c>
    </row>
    <row r="1268" spans="1:78">
      <c r="A1268" s="76"/>
      <c r="B1268" s="76"/>
      <c r="C1268" s="125"/>
      <c r="D1268" s="125"/>
      <c r="E1268" s="71"/>
      <c r="F1268" s="71"/>
      <c r="G1268" s="71"/>
      <c r="H1268" s="126"/>
      <c r="I1268" s="125"/>
      <c r="J1268" s="123"/>
      <c r="K1268" s="12"/>
      <c r="L1268" s="117"/>
      <c r="M1268" s="12"/>
      <c r="N1268" s="117"/>
      <c r="O1268" s="117"/>
      <c r="P1268" s="117"/>
      <c r="Q1268" s="118"/>
      <c r="R1268" s="118"/>
      <c r="S1268" s="118"/>
      <c r="T1268" s="12"/>
      <c r="U1268" s="118"/>
      <c r="V1268" s="118"/>
      <c r="W1268" s="12"/>
      <c r="X1268" s="119"/>
      <c r="Y1268" s="120"/>
      <c r="Z1268" s="12"/>
      <c r="BA1268" s="70" t="s">
        <v>205</v>
      </c>
      <c r="BB1268" s="71" t="s">
        <v>215</v>
      </c>
      <c r="BC1268" s="71" t="s">
        <v>207</v>
      </c>
      <c r="BD1268" s="71">
        <v>4.67</v>
      </c>
      <c r="BE1268" s="71">
        <v>9.33</v>
      </c>
      <c r="BF1268" s="71">
        <v>264</v>
      </c>
      <c r="BG1268" s="71">
        <v>212</v>
      </c>
      <c r="BH1268" s="71">
        <v>5</v>
      </c>
      <c r="BI1268" s="71">
        <v>8</v>
      </c>
      <c r="BJ1268" s="12" t="str" cm="1">
        <f t="array" ref="BJ1268">_xll.Dce_Name_SectI(BF1268, BF1268, BG1268, BH1268, BI1268, "x", "-", $AX$11)</f>
        <v>264x212x5x8</v>
      </c>
      <c r="BK1268" s="77" cm="1">
        <f t="array" ref="BK1268">_xll.DCEPropSectI(BF1268, BH1268, BG1268, BI1268, BG1268, BI1268, "A")/100</f>
        <v>46.32</v>
      </c>
      <c r="BL1268" s="70" t="s">
        <v>222</v>
      </c>
      <c r="BM1268" s="70">
        <v>159.11077904868154</v>
      </c>
      <c r="BN1268" s="71">
        <v>0.9</v>
      </c>
      <c r="BO1268" s="77">
        <f t="shared" si="163"/>
        <v>8.3970000000000002</v>
      </c>
      <c r="BP1268" s="71">
        <v>0.9</v>
      </c>
      <c r="BQ1268" s="77">
        <f t="shared" si="164"/>
        <v>8.3970000000000002</v>
      </c>
      <c r="BR1268" s="77" cm="1">
        <f t="array" ref="BR1268">_xll.DCEPropSectI(BF1268, BH1268, BG1268, BI1268, BG1268, BI1268, "rx")/10</f>
        <v>11.562881075579337</v>
      </c>
      <c r="BS1268" s="77" cm="1">
        <f t="array" ref="BS1268">_xll.DCEPropSectI(BF1268, BH1268, BG1268, BI1268, BG1268, BI1268, "ry")/10</f>
        <v>5.237608536144422</v>
      </c>
      <c r="BT1268" s="5">
        <f t="shared" si="165"/>
        <v>72.620309290686734</v>
      </c>
      <c r="BU1268" s="5">
        <f t="shared" si="166"/>
        <v>160.3212600188198</v>
      </c>
      <c r="BV1268" s="5">
        <f t="shared" si="167"/>
        <v>160.3212600188198</v>
      </c>
      <c r="BW1268" s="71">
        <f t="shared" si="168"/>
        <v>400</v>
      </c>
      <c r="BX1268" s="78" cm="1">
        <f t="array" ref="BX1268">IF(BM1268&gt;0,1,_xll.DCETCVN5575FactorPhi7121(BV1268*SQRT($K$17/206000),"b"))</f>
        <v>1</v>
      </c>
      <c r="BY1268" s="64">
        <f t="shared" si="169"/>
        <v>0.16357305190464011</v>
      </c>
      <c r="BZ1268" s="3" t="str">
        <f t="shared" si="170"/>
        <v>OK</v>
      </c>
    </row>
    <row r="1269" spans="1:78">
      <c r="A1269" s="76"/>
      <c r="B1269" s="76"/>
      <c r="C1269" s="125"/>
      <c r="D1269" s="125"/>
      <c r="E1269" s="71"/>
      <c r="F1269" s="71"/>
      <c r="G1269" s="71"/>
      <c r="H1269" s="126"/>
      <c r="I1269" s="125"/>
      <c r="J1269" s="123"/>
      <c r="K1269" s="12"/>
      <c r="L1269" s="117"/>
      <c r="M1269" s="12"/>
      <c r="N1269" s="117"/>
      <c r="O1269" s="117"/>
      <c r="P1269" s="117"/>
      <c r="Q1269" s="118"/>
      <c r="R1269" s="118"/>
      <c r="S1269" s="118"/>
      <c r="T1269" s="12"/>
      <c r="U1269" s="118"/>
      <c r="V1269" s="118"/>
      <c r="W1269" s="12"/>
      <c r="X1269" s="119"/>
      <c r="Y1269" s="120"/>
      <c r="Z1269" s="12"/>
      <c r="BA1269" s="70" t="s">
        <v>205</v>
      </c>
      <c r="BB1269" s="71" t="s">
        <v>215</v>
      </c>
      <c r="BC1269" s="71" t="s">
        <v>207</v>
      </c>
      <c r="BD1269" s="71">
        <v>9.33</v>
      </c>
      <c r="BE1269" s="71">
        <v>9.33</v>
      </c>
      <c r="BF1269" s="71">
        <v>264</v>
      </c>
      <c r="BG1269" s="71">
        <v>212</v>
      </c>
      <c r="BH1269" s="71">
        <v>5</v>
      </c>
      <c r="BI1269" s="71">
        <v>8</v>
      </c>
      <c r="BJ1269" s="12" t="str" cm="1">
        <f t="array" ref="BJ1269">_xll.Dce_Name_SectI(BF1269, BF1269, BG1269, BH1269, BI1269, "x", "-", $AX$11)</f>
        <v>264x212x5x8</v>
      </c>
      <c r="BK1269" s="77" cm="1">
        <f t="array" ref="BK1269">_xll.DCEPropSectI(BF1269, BH1269, BG1269, BI1269, BG1269, BI1269, "A")/100</f>
        <v>46.32</v>
      </c>
      <c r="BL1269" s="70" t="s">
        <v>222</v>
      </c>
      <c r="BM1269" s="70">
        <v>160.38540349184711</v>
      </c>
      <c r="BN1269" s="71">
        <v>0.9</v>
      </c>
      <c r="BO1269" s="77">
        <f t="shared" si="163"/>
        <v>8.3970000000000002</v>
      </c>
      <c r="BP1269" s="71">
        <v>0.9</v>
      </c>
      <c r="BQ1269" s="77">
        <f t="shared" si="164"/>
        <v>8.3970000000000002</v>
      </c>
      <c r="BR1269" s="77" cm="1">
        <f t="array" ref="BR1269">_xll.DCEPropSectI(BF1269, BH1269, BG1269, BI1269, BG1269, BI1269, "rx")/10</f>
        <v>11.562881075579337</v>
      </c>
      <c r="BS1269" s="77" cm="1">
        <f t="array" ref="BS1269">_xll.DCEPropSectI(BF1269, BH1269, BG1269, BI1269, BG1269, BI1269, "ry")/10</f>
        <v>5.237608536144422</v>
      </c>
      <c r="BT1269" s="5">
        <f t="shared" si="165"/>
        <v>72.620309290686734</v>
      </c>
      <c r="BU1269" s="5">
        <f t="shared" si="166"/>
        <v>160.3212600188198</v>
      </c>
      <c r="BV1269" s="5">
        <f t="shared" si="167"/>
        <v>160.3212600188198</v>
      </c>
      <c r="BW1269" s="71">
        <f t="shared" si="168"/>
        <v>400</v>
      </c>
      <c r="BX1269" s="78" cm="1">
        <f t="array" ref="BX1269">IF(BM1269&gt;0,1,_xll.DCETCVN5575FactorPhi7121(BV1269*SQRT($K$17/206000),"b"))</f>
        <v>1</v>
      </c>
      <c r="BY1269" s="64">
        <f t="shared" si="169"/>
        <v>0.16488342327889538</v>
      </c>
      <c r="BZ1269" s="3" t="str">
        <f t="shared" si="170"/>
        <v>OK</v>
      </c>
    </row>
    <row r="1270" spans="1:78">
      <c r="A1270" s="76"/>
      <c r="B1270" s="76"/>
      <c r="C1270" s="125"/>
      <c r="D1270" s="125"/>
      <c r="E1270" s="71"/>
      <c r="F1270" s="71"/>
      <c r="G1270" s="71"/>
      <c r="H1270" s="126"/>
      <c r="I1270" s="125"/>
      <c r="J1270" s="123"/>
      <c r="K1270" s="12"/>
      <c r="L1270" s="117"/>
      <c r="M1270" s="12"/>
      <c r="N1270" s="117"/>
      <c r="O1270" s="117"/>
      <c r="P1270" s="117"/>
      <c r="Q1270" s="118"/>
      <c r="R1270" s="118"/>
      <c r="S1270" s="118"/>
      <c r="T1270" s="12"/>
      <c r="U1270" s="118"/>
      <c r="V1270" s="118"/>
      <c r="W1270" s="12"/>
      <c r="X1270" s="119"/>
      <c r="Y1270" s="120"/>
      <c r="Z1270" s="12"/>
      <c r="BA1270" s="70" t="s">
        <v>205</v>
      </c>
      <c r="BB1270" s="71" t="s">
        <v>215</v>
      </c>
      <c r="BC1270" s="71" t="s">
        <v>207</v>
      </c>
      <c r="BD1270" s="71">
        <v>0</v>
      </c>
      <c r="BE1270" s="71">
        <v>9.33</v>
      </c>
      <c r="BF1270" s="71">
        <v>264</v>
      </c>
      <c r="BG1270" s="71">
        <v>212</v>
      </c>
      <c r="BH1270" s="71">
        <v>5</v>
      </c>
      <c r="BI1270" s="71">
        <v>8</v>
      </c>
      <c r="BJ1270" s="12" t="str" cm="1">
        <f t="array" ref="BJ1270">_xll.Dce_Name_SectI(BF1270, BF1270, BG1270, BH1270, BI1270, "x", "-", $AX$11)</f>
        <v>264x212x5x8</v>
      </c>
      <c r="BK1270" s="77" cm="1">
        <f t="array" ref="BK1270">_xll.DCEPropSectI(BF1270, BH1270, BG1270, BI1270, BG1270, BI1270, "A")/100</f>
        <v>46.32</v>
      </c>
      <c r="BL1270" s="70" t="s">
        <v>223</v>
      </c>
      <c r="BM1270" s="70">
        <v>116.32450199836404</v>
      </c>
      <c r="BN1270" s="71">
        <v>0.9</v>
      </c>
      <c r="BO1270" s="77">
        <f t="shared" si="163"/>
        <v>8.3970000000000002</v>
      </c>
      <c r="BP1270" s="71">
        <v>0.9</v>
      </c>
      <c r="BQ1270" s="77">
        <f t="shared" si="164"/>
        <v>8.3970000000000002</v>
      </c>
      <c r="BR1270" s="77" cm="1">
        <f t="array" ref="BR1270">_xll.DCEPropSectI(BF1270, BH1270, BG1270, BI1270, BG1270, BI1270, "rx")/10</f>
        <v>11.562881075579337</v>
      </c>
      <c r="BS1270" s="77" cm="1">
        <f t="array" ref="BS1270">_xll.DCEPropSectI(BF1270, BH1270, BG1270, BI1270, BG1270, BI1270, "ry")/10</f>
        <v>5.237608536144422</v>
      </c>
      <c r="BT1270" s="5">
        <f t="shared" si="165"/>
        <v>72.620309290686734</v>
      </c>
      <c r="BU1270" s="5">
        <f t="shared" si="166"/>
        <v>160.3212600188198</v>
      </c>
      <c r="BV1270" s="5">
        <f t="shared" si="167"/>
        <v>160.3212600188198</v>
      </c>
      <c r="BW1270" s="71">
        <f t="shared" si="168"/>
        <v>400</v>
      </c>
      <c r="BX1270" s="78" cm="1">
        <f t="array" ref="BX1270">IF(BM1270&gt;0,1,_xll.DCETCVN5575FactorPhi7121(BV1270*SQRT($K$17/206000),"b"))</f>
        <v>1</v>
      </c>
      <c r="BY1270" s="64">
        <f t="shared" si="169"/>
        <v>0.11958683074097792</v>
      </c>
      <c r="BZ1270" s="3" t="str">
        <f t="shared" si="170"/>
        <v>OK</v>
      </c>
    </row>
    <row r="1271" spans="1:78">
      <c r="A1271" s="76"/>
      <c r="B1271" s="76"/>
      <c r="C1271" s="125"/>
      <c r="D1271" s="125"/>
      <c r="E1271" s="71"/>
      <c r="F1271" s="71"/>
      <c r="G1271" s="71"/>
      <c r="H1271" s="126"/>
      <c r="I1271" s="125"/>
      <c r="J1271" s="123"/>
      <c r="K1271" s="12"/>
      <c r="L1271" s="117"/>
      <c r="M1271" s="12"/>
      <c r="N1271" s="117"/>
      <c r="O1271" s="117"/>
      <c r="P1271" s="117"/>
      <c r="Q1271" s="118"/>
      <c r="R1271" s="118"/>
      <c r="S1271" s="118"/>
      <c r="T1271" s="12"/>
      <c r="U1271" s="118"/>
      <c r="V1271" s="118"/>
      <c r="W1271" s="12"/>
      <c r="X1271" s="119"/>
      <c r="Y1271" s="120"/>
      <c r="Z1271" s="12"/>
      <c r="BA1271" s="70" t="s">
        <v>205</v>
      </c>
      <c r="BB1271" s="71" t="s">
        <v>215</v>
      </c>
      <c r="BC1271" s="71" t="s">
        <v>207</v>
      </c>
      <c r="BD1271" s="71">
        <v>4.67</v>
      </c>
      <c r="BE1271" s="71">
        <v>9.33</v>
      </c>
      <c r="BF1271" s="71">
        <v>264</v>
      </c>
      <c r="BG1271" s="71">
        <v>212</v>
      </c>
      <c r="BH1271" s="71">
        <v>5</v>
      </c>
      <c r="BI1271" s="71">
        <v>8</v>
      </c>
      <c r="BJ1271" s="12" t="str" cm="1">
        <f t="array" ref="BJ1271">_xll.Dce_Name_SectI(BF1271, BF1271, BG1271, BH1271, BI1271, "x", "-", $AX$11)</f>
        <v>264x212x5x8</v>
      </c>
      <c r="BK1271" s="77" cm="1">
        <f t="array" ref="BK1271">_xll.DCEPropSectI(BF1271, BH1271, BG1271, BI1271, BG1271, BI1271, "A")/100</f>
        <v>46.32</v>
      </c>
      <c r="BL1271" s="70" t="s">
        <v>223</v>
      </c>
      <c r="BM1271" s="70">
        <v>117.59912644152958</v>
      </c>
      <c r="BN1271" s="71">
        <v>0.9</v>
      </c>
      <c r="BO1271" s="77">
        <f t="shared" si="163"/>
        <v>8.3970000000000002</v>
      </c>
      <c r="BP1271" s="71">
        <v>0.9</v>
      </c>
      <c r="BQ1271" s="77">
        <f t="shared" si="164"/>
        <v>8.3970000000000002</v>
      </c>
      <c r="BR1271" s="77" cm="1">
        <f t="array" ref="BR1271">_xll.DCEPropSectI(BF1271, BH1271, BG1271, BI1271, BG1271, BI1271, "rx")/10</f>
        <v>11.562881075579337</v>
      </c>
      <c r="BS1271" s="77" cm="1">
        <f t="array" ref="BS1271">_xll.DCEPropSectI(BF1271, BH1271, BG1271, BI1271, BG1271, BI1271, "ry")/10</f>
        <v>5.237608536144422</v>
      </c>
      <c r="BT1271" s="5">
        <f t="shared" si="165"/>
        <v>72.620309290686734</v>
      </c>
      <c r="BU1271" s="5">
        <f t="shared" si="166"/>
        <v>160.3212600188198</v>
      </c>
      <c r="BV1271" s="5">
        <f t="shared" si="167"/>
        <v>160.3212600188198</v>
      </c>
      <c r="BW1271" s="71">
        <f t="shared" si="168"/>
        <v>400</v>
      </c>
      <c r="BX1271" s="78" cm="1">
        <f t="array" ref="BX1271">IF(BM1271&gt;0,1,_xll.DCETCVN5575FactorPhi7121(BV1271*SQRT($K$17/206000),"b"))</f>
        <v>1</v>
      </c>
      <c r="BY1271" s="64">
        <f t="shared" si="169"/>
        <v>0.12089720211523312</v>
      </c>
      <c r="BZ1271" s="3" t="str">
        <f t="shared" si="170"/>
        <v>OK</v>
      </c>
    </row>
    <row r="1272" spans="1:78">
      <c r="A1272" s="76"/>
      <c r="B1272" s="76"/>
      <c r="C1272" s="125"/>
      <c r="D1272" s="125"/>
      <c r="E1272" s="71"/>
      <c r="F1272" s="71"/>
      <c r="G1272" s="71"/>
      <c r="H1272" s="126"/>
      <c r="I1272" s="125"/>
      <c r="J1272" s="123"/>
      <c r="K1272" s="12"/>
      <c r="L1272" s="117"/>
      <c r="M1272" s="12"/>
      <c r="N1272" s="117"/>
      <c r="O1272" s="117"/>
      <c r="P1272" s="117"/>
      <c r="Q1272" s="118"/>
      <c r="R1272" s="118"/>
      <c r="S1272" s="118"/>
      <c r="T1272" s="12"/>
      <c r="U1272" s="118"/>
      <c r="V1272" s="118"/>
      <c r="W1272" s="12"/>
      <c r="X1272" s="119"/>
      <c r="Y1272" s="120"/>
      <c r="Z1272" s="12"/>
      <c r="BA1272" s="70" t="s">
        <v>205</v>
      </c>
      <c r="BB1272" s="71" t="s">
        <v>215</v>
      </c>
      <c r="BC1272" s="71" t="s">
        <v>207</v>
      </c>
      <c r="BD1272" s="71">
        <v>9.33</v>
      </c>
      <c r="BE1272" s="71">
        <v>9.33</v>
      </c>
      <c r="BF1272" s="71">
        <v>264</v>
      </c>
      <c r="BG1272" s="71">
        <v>212</v>
      </c>
      <c r="BH1272" s="71">
        <v>5</v>
      </c>
      <c r="BI1272" s="71">
        <v>8</v>
      </c>
      <c r="BJ1272" s="12" t="str" cm="1">
        <f t="array" ref="BJ1272">_xll.Dce_Name_SectI(BF1272, BF1272, BG1272, BH1272, BI1272, "x", "-", $AX$11)</f>
        <v>264x212x5x8</v>
      </c>
      <c r="BK1272" s="77" cm="1">
        <f t="array" ref="BK1272">_xll.DCEPropSectI(BF1272, BH1272, BG1272, BI1272, BG1272, BI1272, "A")/100</f>
        <v>46.32</v>
      </c>
      <c r="BL1272" s="70" t="s">
        <v>223</v>
      </c>
      <c r="BM1272" s="70">
        <v>118.87375088469513</v>
      </c>
      <c r="BN1272" s="71">
        <v>0.9</v>
      </c>
      <c r="BO1272" s="77">
        <f t="shared" si="163"/>
        <v>8.3970000000000002</v>
      </c>
      <c r="BP1272" s="71">
        <v>0.9</v>
      </c>
      <c r="BQ1272" s="77">
        <f t="shared" si="164"/>
        <v>8.3970000000000002</v>
      </c>
      <c r="BR1272" s="77" cm="1">
        <f t="array" ref="BR1272">_xll.DCEPropSectI(BF1272, BH1272, BG1272, BI1272, BG1272, BI1272, "rx")/10</f>
        <v>11.562881075579337</v>
      </c>
      <c r="BS1272" s="77" cm="1">
        <f t="array" ref="BS1272">_xll.DCEPropSectI(BF1272, BH1272, BG1272, BI1272, BG1272, BI1272, "ry")/10</f>
        <v>5.237608536144422</v>
      </c>
      <c r="BT1272" s="5">
        <f t="shared" si="165"/>
        <v>72.620309290686734</v>
      </c>
      <c r="BU1272" s="5">
        <f t="shared" si="166"/>
        <v>160.3212600188198</v>
      </c>
      <c r="BV1272" s="5">
        <f t="shared" si="167"/>
        <v>160.3212600188198</v>
      </c>
      <c r="BW1272" s="71">
        <f t="shared" si="168"/>
        <v>400</v>
      </c>
      <c r="BX1272" s="78" cm="1">
        <f t="array" ref="BX1272">IF(BM1272&gt;0,1,_xll.DCETCVN5575FactorPhi7121(BV1272*SQRT($K$17/206000),"b"))</f>
        <v>1</v>
      </c>
      <c r="BY1272" s="64">
        <f t="shared" si="169"/>
        <v>0.12220757348948835</v>
      </c>
      <c r="BZ1272" s="3" t="str">
        <f t="shared" si="170"/>
        <v>OK</v>
      </c>
    </row>
    <row r="1273" spans="1:78">
      <c r="A1273" s="76"/>
      <c r="B1273" s="76"/>
      <c r="C1273" s="125"/>
      <c r="D1273" s="125"/>
      <c r="E1273" s="71"/>
      <c r="F1273" s="71"/>
      <c r="G1273" s="71"/>
      <c r="H1273" s="126"/>
      <c r="I1273" s="125"/>
      <c r="J1273" s="123"/>
      <c r="K1273" s="12"/>
      <c r="L1273" s="117"/>
      <c r="M1273" s="12"/>
      <c r="N1273" s="117"/>
      <c r="O1273" s="117"/>
      <c r="P1273" s="117"/>
      <c r="Q1273" s="118"/>
      <c r="R1273" s="118"/>
      <c r="S1273" s="118"/>
      <c r="T1273" s="12"/>
      <c r="U1273" s="118"/>
      <c r="V1273" s="118"/>
      <c r="W1273" s="12"/>
      <c r="X1273" s="119"/>
      <c r="Y1273" s="120"/>
      <c r="Z1273" s="12"/>
      <c r="BA1273" s="70" t="s">
        <v>205</v>
      </c>
      <c r="BB1273" s="71" t="s">
        <v>215</v>
      </c>
      <c r="BC1273" s="71" t="s">
        <v>207</v>
      </c>
      <c r="BD1273" s="71">
        <v>0</v>
      </c>
      <c r="BE1273" s="71">
        <v>9.33</v>
      </c>
      <c r="BF1273" s="71">
        <v>264</v>
      </c>
      <c r="BG1273" s="71">
        <v>212</v>
      </c>
      <c r="BH1273" s="71">
        <v>5</v>
      </c>
      <c r="BI1273" s="71">
        <v>8</v>
      </c>
      <c r="BJ1273" s="12" t="str" cm="1">
        <f t="array" ref="BJ1273">_xll.Dce_Name_SectI(BF1273, BF1273, BG1273, BH1273, BI1273, "x", "-", $AX$11)</f>
        <v>264x212x5x8</v>
      </c>
      <c r="BK1273" s="77" cm="1">
        <f t="array" ref="BK1273">_xll.DCEPropSectI(BF1273, BH1273, BG1273, BI1273, BG1273, BI1273, "A")/100</f>
        <v>46.32</v>
      </c>
      <c r="BL1273" s="70" t="s">
        <v>224</v>
      </c>
      <c r="BM1273" s="70">
        <v>3.4737504046979524</v>
      </c>
      <c r="BN1273" s="71">
        <v>0.9</v>
      </c>
      <c r="BO1273" s="77">
        <f t="shared" si="163"/>
        <v>8.3970000000000002</v>
      </c>
      <c r="BP1273" s="71">
        <v>0.9</v>
      </c>
      <c r="BQ1273" s="77">
        <f t="shared" si="164"/>
        <v>8.3970000000000002</v>
      </c>
      <c r="BR1273" s="77" cm="1">
        <f t="array" ref="BR1273">_xll.DCEPropSectI(BF1273, BH1273, BG1273, BI1273, BG1273, BI1273, "rx")/10</f>
        <v>11.562881075579337</v>
      </c>
      <c r="BS1273" s="77" cm="1">
        <f t="array" ref="BS1273">_xll.DCEPropSectI(BF1273, BH1273, BG1273, BI1273, BG1273, BI1273, "ry")/10</f>
        <v>5.237608536144422</v>
      </c>
      <c r="BT1273" s="5">
        <f t="shared" si="165"/>
        <v>72.620309290686734</v>
      </c>
      <c r="BU1273" s="5">
        <f t="shared" si="166"/>
        <v>160.3212600188198</v>
      </c>
      <c r="BV1273" s="5">
        <f t="shared" si="167"/>
        <v>160.3212600188198</v>
      </c>
      <c r="BW1273" s="71">
        <f t="shared" si="168"/>
        <v>400</v>
      </c>
      <c r="BX1273" s="78" cm="1">
        <f t="array" ref="BX1273">IF(BM1273&gt;0,1,_xll.DCETCVN5575FactorPhi7121(BV1273*SQRT($K$17/206000),"b"))</f>
        <v>1</v>
      </c>
      <c r="BY1273" s="64">
        <f t="shared" si="169"/>
        <v>3.571171976208932E-3</v>
      </c>
      <c r="BZ1273" s="3" t="str">
        <f t="shared" si="170"/>
        <v>OK</v>
      </c>
    </row>
    <row r="1274" spans="1:78">
      <c r="A1274" s="76"/>
      <c r="B1274" s="76"/>
      <c r="C1274" s="125"/>
      <c r="D1274" s="125"/>
      <c r="E1274" s="71"/>
      <c r="F1274" s="71"/>
      <c r="G1274" s="71"/>
      <c r="H1274" s="126"/>
      <c r="I1274" s="125"/>
      <c r="J1274" s="123"/>
      <c r="K1274" s="12"/>
      <c r="L1274" s="117"/>
      <c r="M1274" s="12"/>
      <c r="N1274" s="117"/>
      <c r="O1274" s="117"/>
      <c r="P1274" s="117"/>
      <c r="Q1274" s="118"/>
      <c r="R1274" s="118"/>
      <c r="S1274" s="118"/>
      <c r="T1274" s="12"/>
      <c r="U1274" s="118"/>
      <c r="V1274" s="118"/>
      <c r="W1274" s="12"/>
      <c r="X1274" s="119"/>
      <c r="Y1274" s="120"/>
      <c r="Z1274" s="12"/>
      <c r="BA1274" s="70" t="s">
        <v>205</v>
      </c>
      <c r="BB1274" s="71" t="s">
        <v>215</v>
      </c>
      <c r="BC1274" s="71" t="s">
        <v>207</v>
      </c>
      <c r="BD1274" s="71">
        <v>4.67</v>
      </c>
      <c r="BE1274" s="71">
        <v>9.33</v>
      </c>
      <c r="BF1274" s="71">
        <v>264</v>
      </c>
      <c r="BG1274" s="71">
        <v>212</v>
      </c>
      <c r="BH1274" s="71">
        <v>5</v>
      </c>
      <c r="BI1274" s="71">
        <v>8</v>
      </c>
      <c r="BJ1274" s="12" t="str" cm="1">
        <f t="array" ref="BJ1274">_xll.Dce_Name_SectI(BF1274, BF1274, BG1274, BH1274, BI1274, "x", "-", $AX$11)</f>
        <v>264x212x5x8</v>
      </c>
      <c r="BK1274" s="77" cm="1">
        <f t="array" ref="BK1274">_xll.DCEPropSectI(BF1274, BH1274, BG1274, BI1274, BG1274, BI1274, "A")/100</f>
        <v>46.32</v>
      </c>
      <c r="BL1274" s="70" t="s">
        <v>224</v>
      </c>
      <c r="BM1274" s="70">
        <v>4.748374847863488</v>
      </c>
      <c r="BN1274" s="71">
        <v>0.9</v>
      </c>
      <c r="BO1274" s="77">
        <f t="shared" si="163"/>
        <v>8.3970000000000002</v>
      </c>
      <c r="BP1274" s="71">
        <v>0.9</v>
      </c>
      <c r="BQ1274" s="77">
        <f t="shared" si="164"/>
        <v>8.3970000000000002</v>
      </c>
      <c r="BR1274" s="77" cm="1">
        <f t="array" ref="BR1274">_xll.DCEPropSectI(BF1274, BH1274, BG1274, BI1274, BG1274, BI1274, "rx")/10</f>
        <v>11.562881075579337</v>
      </c>
      <c r="BS1274" s="77" cm="1">
        <f t="array" ref="BS1274">_xll.DCEPropSectI(BF1274, BH1274, BG1274, BI1274, BG1274, BI1274, "ry")/10</f>
        <v>5.237608536144422</v>
      </c>
      <c r="BT1274" s="5">
        <f t="shared" si="165"/>
        <v>72.620309290686734</v>
      </c>
      <c r="BU1274" s="5">
        <f t="shared" si="166"/>
        <v>160.3212600188198</v>
      </c>
      <c r="BV1274" s="5">
        <f t="shared" si="167"/>
        <v>160.3212600188198</v>
      </c>
      <c r="BW1274" s="71">
        <f t="shared" si="168"/>
        <v>400</v>
      </c>
      <c r="BX1274" s="78" cm="1">
        <f t="array" ref="BX1274">IF(BM1274&gt;0,1,_xll.DCETCVN5575FactorPhi7121(BV1274*SQRT($K$17/206000),"b"))</f>
        <v>1</v>
      </c>
      <c r="BY1274" s="64">
        <f t="shared" si="169"/>
        <v>4.8815433504641494E-3</v>
      </c>
      <c r="BZ1274" s="3" t="str">
        <f t="shared" si="170"/>
        <v>OK</v>
      </c>
    </row>
    <row r="1275" spans="1:78">
      <c r="A1275" s="76"/>
      <c r="B1275" s="76"/>
      <c r="C1275" s="125"/>
      <c r="D1275" s="125"/>
      <c r="E1275" s="71"/>
      <c r="F1275" s="71"/>
      <c r="G1275" s="71"/>
      <c r="H1275" s="126"/>
      <c r="I1275" s="125"/>
      <c r="J1275" s="123"/>
      <c r="K1275" s="12"/>
      <c r="L1275" s="117"/>
      <c r="M1275" s="12"/>
      <c r="N1275" s="117"/>
      <c r="O1275" s="117"/>
      <c r="P1275" s="117"/>
      <c r="Q1275" s="118"/>
      <c r="R1275" s="118"/>
      <c r="S1275" s="118"/>
      <c r="T1275" s="12"/>
      <c r="U1275" s="118"/>
      <c r="V1275" s="118"/>
      <c r="W1275" s="12"/>
      <c r="X1275" s="119"/>
      <c r="Y1275" s="120"/>
      <c r="Z1275" s="12"/>
      <c r="BA1275" s="70" t="s">
        <v>205</v>
      </c>
      <c r="BB1275" s="71" t="s">
        <v>215</v>
      </c>
      <c r="BC1275" s="71" t="s">
        <v>207</v>
      </c>
      <c r="BD1275" s="71">
        <v>9.33</v>
      </c>
      <c r="BE1275" s="71">
        <v>9.33</v>
      </c>
      <c r="BF1275" s="71">
        <v>264</v>
      </c>
      <c r="BG1275" s="71">
        <v>212</v>
      </c>
      <c r="BH1275" s="71">
        <v>5</v>
      </c>
      <c r="BI1275" s="71">
        <v>8</v>
      </c>
      <c r="BJ1275" s="12" t="str" cm="1">
        <f t="array" ref="BJ1275">_xll.Dce_Name_SectI(BF1275, BF1275, BG1275, BH1275, BI1275, "x", "-", $AX$11)</f>
        <v>264x212x5x8</v>
      </c>
      <c r="BK1275" s="77" cm="1">
        <f t="array" ref="BK1275">_xll.DCEPropSectI(BF1275, BH1275, BG1275, BI1275, BG1275, BI1275, "A")/100</f>
        <v>46.32</v>
      </c>
      <c r="BL1275" s="70" t="s">
        <v>224</v>
      </c>
      <c r="BM1275" s="70">
        <v>6.0229992910290377</v>
      </c>
      <c r="BN1275" s="71">
        <v>0.9</v>
      </c>
      <c r="BO1275" s="77">
        <f t="shared" si="163"/>
        <v>8.3970000000000002</v>
      </c>
      <c r="BP1275" s="71">
        <v>0.9</v>
      </c>
      <c r="BQ1275" s="77">
        <f t="shared" si="164"/>
        <v>8.3970000000000002</v>
      </c>
      <c r="BR1275" s="77" cm="1">
        <f t="array" ref="BR1275">_xll.DCEPropSectI(BF1275, BH1275, BG1275, BI1275, BG1275, BI1275, "rx")/10</f>
        <v>11.562881075579337</v>
      </c>
      <c r="BS1275" s="77" cm="1">
        <f t="array" ref="BS1275">_xll.DCEPropSectI(BF1275, BH1275, BG1275, BI1275, BG1275, BI1275, "ry")/10</f>
        <v>5.237608536144422</v>
      </c>
      <c r="BT1275" s="5">
        <f t="shared" si="165"/>
        <v>72.620309290686734</v>
      </c>
      <c r="BU1275" s="5">
        <f t="shared" si="166"/>
        <v>160.3212600188198</v>
      </c>
      <c r="BV1275" s="5">
        <f t="shared" si="167"/>
        <v>160.3212600188198</v>
      </c>
      <c r="BW1275" s="71">
        <f t="shared" si="168"/>
        <v>400</v>
      </c>
      <c r="BX1275" s="78" cm="1">
        <f t="array" ref="BX1275">IF(BM1275&gt;0,1,_xll.DCETCVN5575FactorPhi7121(BV1275*SQRT($K$17/206000),"b"))</f>
        <v>1</v>
      </c>
      <c r="BY1275" s="64">
        <f t="shared" si="169"/>
        <v>6.1919147247193823E-3</v>
      </c>
      <c r="BZ1275" s="3" t="str">
        <f t="shared" si="170"/>
        <v>OK</v>
      </c>
    </row>
    <row r="1276" spans="1:78">
      <c r="A1276" s="76"/>
      <c r="B1276" s="76"/>
      <c r="C1276" s="125"/>
      <c r="D1276" s="125"/>
      <c r="E1276" s="71"/>
      <c r="F1276" s="71"/>
      <c r="G1276" s="71"/>
      <c r="H1276" s="126"/>
      <c r="I1276" s="125"/>
      <c r="J1276" s="123"/>
      <c r="K1276" s="12"/>
      <c r="L1276" s="117"/>
      <c r="M1276" s="12"/>
      <c r="N1276" s="117"/>
      <c r="O1276" s="117"/>
      <c r="P1276" s="117"/>
      <c r="Q1276" s="118"/>
      <c r="R1276" s="118"/>
      <c r="S1276" s="118"/>
      <c r="T1276" s="12"/>
      <c r="U1276" s="118"/>
      <c r="V1276" s="118"/>
      <c r="W1276" s="12"/>
      <c r="X1276" s="119"/>
      <c r="Y1276" s="120"/>
      <c r="Z1276" s="12"/>
      <c r="BA1276" s="70" t="s">
        <v>205</v>
      </c>
      <c r="BB1276" s="71" t="s">
        <v>215</v>
      </c>
      <c r="BC1276" s="71" t="s">
        <v>207</v>
      </c>
      <c r="BD1276" s="71">
        <v>0</v>
      </c>
      <c r="BE1276" s="71">
        <v>9.33</v>
      </c>
      <c r="BF1276" s="71">
        <v>264</v>
      </c>
      <c r="BG1276" s="71">
        <v>212</v>
      </c>
      <c r="BH1276" s="71">
        <v>5</v>
      </c>
      <c r="BI1276" s="71">
        <v>8</v>
      </c>
      <c r="BJ1276" s="12" t="str" cm="1">
        <f t="array" ref="BJ1276">_xll.Dce_Name_SectI(BF1276, BF1276, BG1276, BH1276, BI1276, "x", "-", $AX$11)</f>
        <v>264x212x5x8</v>
      </c>
      <c r="BK1276" s="77" cm="1">
        <f t="array" ref="BK1276">_xll.DCEPropSectI(BF1276, BH1276, BG1276, BI1276, BG1276, BI1276, "A")/100</f>
        <v>46.32</v>
      </c>
      <c r="BL1276" s="70" t="s">
        <v>225</v>
      </c>
      <c r="BM1276" s="70">
        <v>54.170238549819601</v>
      </c>
      <c r="BN1276" s="71">
        <v>0.9</v>
      </c>
      <c r="BO1276" s="77">
        <f t="shared" si="163"/>
        <v>8.3970000000000002</v>
      </c>
      <c r="BP1276" s="71">
        <v>0.9</v>
      </c>
      <c r="BQ1276" s="77">
        <f t="shared" si="164"/>
        <v>8.3970000000000002</v>
      </c>
      <c r="BR1276" s="77" cm="1">
        <f t="array" ref="BR1276">_xll.DCEPropSectI(BF1276, BH1276, BG1276, BI1276, BG1276, BI1276, "rx")/10</f>
        <v>11.562881075579337</v>
      </c>
      <c r="BS1276" s="77" cm="1">
        <f t="array" ref="BS1276">_xll.DCEPropSectI(BF1276, BH1276, BG1276, BI1276, BG1276, BI1276, "ry")/10</f>
        <v>5.237608536144422</v>
      </c>
      <c r="BT1276" s="5">
        <f t="shared" si="165"/>
        <v>72.620309290686734</v>
      </c>
      <c r="BU1276" s="5">
        <f t="shared" si="166"/>
        <v>160.3212600188198</v>
      </c>
      <c r="BV1276" s="5">
        <f t="shared" si="167"/>
        <v>160.3212600188198</v>
      </c>
      <c r="BW1276" s="71">
        <f t="shared" si="168"/>
        <v>400</v>
      </c>
      <c r="BX1276" s="78" cm="1">
        <f t="array" ref="BX1276">IF(BM1276&gt;0,1,_xll.DCETCVN5575FactorPhi7121(BV1276*SQRT($K$17/206000),"b"))</f>
        <v>1</v>
      </c>
      <c r="BY1276" s="64">
        <f t="shared" si="169"/>
        <v>5.5689446654555885E-2</v>
      </c>
      <c r="BZ1276" s="3" t="str">
        <f t="shared" si="170"/>
        <v>OK</v>
      </c>
    </row>
    <row r="1277" spans="1:78">
      <c r="A1277" s="76"/>
      <c r="B1277" s="76"/>
      <c r="C1277" s="125"/>
      <c r="D1277" s="125"/>
      <c r="E1277" s="71"/>
      <c r="F1277" s="71"/>
      <c r="G1277" s="71"/>
      <c r="H1277" s="126"/>
      <c r="I1277" s="125"/>
      <c r="J1277" s="123"/>
      <c r="K1277" s="12"/>
      <c r="L1277" s="117"/>
      <c r="M1277" s="12"/>
      <c r="N1277" s="117"/>
      <c r="O1277" s="117"/>
      <c r="P1277" s="117"/>
      <c r="Q1277" s="118"/>
      <c r="R1277" s="118"/>
      <c r="S1277" s="118"/>
      <c r="T1277" s="12"/>
      <c r="U1277" s="118"/>
      <c r="V1277" s="118"/>
      <c r="W1277" s="12"/>
      <c r="X1277" s="119"/>
      <c r="Y1277" s="120"/>
      <c r="Z1277" s="12"/>
      <c r="BA1277" s="70" t="s">
        <v>205</v>
      </c>
      <c r="BB1277" s="71" t="s">
        <v>215</v>
      </c>
      <c r="BC1277" s="71" t="s">
        <v>207</v>
      </c>
      <c r="BD1277" s="71">
        <v>4.67</v>
      </c>
      <c r="BE1277" s="71">
        <v>9.33</v>
      </c>
      <c r="BF1277" s="71">
        <v>264</v>
      </c>
      <c r="BG1277" s="71">
        <v>212</v>
      </c>
      <c r="BH1277" s="71">
        <v>5</v>
      </c>
      <c r="BI1277" s="71">
        <v>8</v>
      </c>
      <c r="BJ1277" s="12" t="str" cm="1">
        <f t="array" ref="BJ1277">_xll.Dce_Name_SectI(BF1277, BF1277, BG1277, BH1277, BI1277, "x", "-", $AX$11)</f>
        <v>264x212x5x8</v>
      </c>
      <c r="BK1277" s="77" cm="1">
        <f t="array" ref="BK1277">_xll.DCEPropSectI(BF1277, BH1277, BG1277, BI1277, BG1277, BI1277, "A")/100</f>
        <v>46.32</v>
      </c>
      <c r="BL1277" s="70" t="s">
        <v>225</v>
      </c>
      <c r="BM1277" s="70">
        <v>55.444862992985136</v>
      </c>
      <c r="BN1277" s="71">
        <v>0.9</v>
      </c>
      <c r="BO1277" s="77">
        <f t="shared" si="163"/>
        <v>8.3970000000000002</v>
      </c>
      <c r="BP1277" s="71">
        <v>0.9</v>
      </c>
      <c r="BQ1277" s="77">
        <f t="shared" si="164"/>
        <v>8.3970000000000002</v>
      </c>
      <c r="BR1277" s="77" cm="1">
        <f t="array" ref="BR1277">_xll.DCEPropSectI(BF1277, BH1277, BG1277, BI1277, BG1277, BI1277, "rx")/10</f>
        <v>11.562881075579337</v>
      </c>
      <c r="BS1277" s="77" cm="1">
        <f t="array" ref="BS1277">_xll.DCEPropSectI(BF1277, BH1277, BG1277, BI1277, BG1277, BI1277, "ry")/10</f>
        <v>5.237608536144422</v>
      </c>
      <c r="BT1277" s="5">
        <f t="shared" si="165"/>
        <v>72.620309290686734</v>
      </c>
      <c r="BU1277" s="5">
        <f t="shared" si="166"/>
        <v>160.3212600188198</v>
      </c>
      <c r="BV1277" s="5">
        <f t="shared" si="167"/>
        <v>160.3212600188198</v>
      </c>
      <c r="BW1277" s="71">
        <f t="shared" si="168"/>
        <v>400</v>
      </c>
      <c r="BX1277" s="78" cm="1">
        <f t="array" ref="BX1277">IF(BM1277&gt;0,1,_xll.DCETCVN5575FactorPhi7121(BV1277*SQRT($K$17/206000),"b"))</f>
        <v>1</v>
      </c>
      <c r="BY1277" s="64">
        <f t="shared" si="169"/>
        <v>5.6999818028811093E-2</v>
      </c>
      <c r="BZ1277" s="3" t="str">
        <f t="shared" si="170"/>
        <v>OK</v>
      </c>
    </row>
    <row r="1278" spans="1:78">
      <c r="A1278" s="76"/>
      <c r="B1278" s="76"/>
      <c r="C1278" s="125"/>
      <c r="D1278" s="125"/>
      <c r="E1278" s="71"/>
      <c r="F1278" s="71"/>
      <c r="G1278" s="71"/>
      <c r="H1278" s="126"/>
      <c r="I1278" s="125"/>
      <c r="J1278" s="123"/>
      <c r="K1278" s="12"/>
      <c r="L1278" s="117"/>
      <c r="M1278" s="12"/>
      <c r="N1278" s="117"/>
      <c r="O1278" s="117"/>
      <c r="P1278" s="117"/>
      <c r="Q1278" s="118"/>
      <c r="R1278" s="118"/>
      <c r="S1278" s="118"/>
      <c r="T1278" s="12"/>
      <c r="U1278" s="118"/>
      <c r="V1278" s="118"/>
      <c r="W1278" s="12"/>
      <c r="X1278" s="119"/>
      <c r="Y1278" s="120"/>
      <c r="Z1278" s="12"/>
      <c r="BA1278" s="70" t="s">
        <v>205</v>
      </c>
      <c r="BB1278" s="71" t="s">
        <v>215</v>
      </c>
      <c r="BC1278" s="71" t="s">
        <v>207</v>
      </c>
      <c r="BD1278" s="71">
        <v>9.33</v>
      </c>
      <c r="BE1278" s="71">
        <v>9.33</v>
      </c>
      <c r="BF1278" s="71">
        <v>264</v>
      </c>
      <c r="BG1278" s="71">
        <v>212</v>
      </c>
      <c r="BH1278" s="71">
        <v>5</v>
      </c>
      <c r="BI1278" s="71">
        <v>8</v>
      </c>
      <c r="BJ1278" s="12" t="str" cm="1">
        <f t="array" ref="BJ1278">_xll.Dce_Name_SectI(BF1278, BF1278, BG1278, BH1278, BI1278, "x", "-", $AX$11)</f>
        <v>264x212x5x8</v>
      </c>
      <c r="BK1278" s="77" cm="1">
        <f t="array" ref="BK1278">_xll.DCEPropSectI(BF1278, BH1278, BG1278, BI1278, BG1278, BI1278, "A")/100</f>
        <v>46.32</v>
      </c>
      <c r="BL1278" s="70" t="s">
        <v>225</v>
      </c>
      <c r="BM1278" s="70">
        <v>56.719487436150686</v>
      </c>
      <c r="BN1278" s="71">
        <v>0.9</v>
      </c>
      <c r="BO1278" s="77">
        <f t="shared" si="163"/>
        <v>8.3970000000000002</v>
      </c>
      <c r="BP1278" s="71">
        <v>0.9</v>
      </c>
      <c r="BQ1278" s="77">
        <f t="shared" si="164"/>
        <v>8.3970000000000002</v>
      </c>
      <c r="BR1278" s="77" cm="1">
        <f t="array" ref="BR1278">_xll.DCEPropSectI(BF1278, BH1278, BG1278, BI1278, BG1278, BI1278, "rx")/10</f>
        <v>11.562881075579337</v>
      </c>
      <c r="BS1278" s="77" cm="1">
        <f t="array" ref="BS1278">_xll.DCEPropSectI(BF1278, BH1278, BG1278, BI1278, BG1278, BI1278, "ry")/10</f>
        <v>5.237608536144422</v>
      </c>
      <c r="BT1278" s="5">
        <f t="shared" si="165"/>
        <v>72.620309290686734</v>
      </c>
      <c r="BU1278" s="5">
        <f t="shared" si="166"/>
        <v>160.3212600188198</v>
      </c>
      <c r="BV1278" s="5">
        <f t="shared" si="167"/>
        <v>160.3212600188198</v>
      </c>
      <c r="BW1278" s="71">
        <f t="shared" si="168"/>
        <v>400</v>
      </c>
      <c r="BX1278" s="78" cm="1">
        <f t="array" ref="BX1278">IF(BM1278&gt;0,1,_xll.DCETCVN5575FactorPhi7121(BV1278*SQRT($K$17/206000),"b"))</f>
        <v>1</v>
      </c>
      <c r="BY1278" s="64">
        <f t="shared" si="169"/>
        <v>5.8310189403066329E-2</v>
      </c>
      <c r="BZ1278" s="3" t="str">
        <f t="shared" si="170"/>
        <v>OK</v>
      </c>
    </row>
    <row r="1279" spans="1:78">
      <c r="A1279" s="76"/>
      <c r="B1279" s="76"/>
      <c r="C1279" s="125"/>
      <c r="D1279" s="125"/>
      <c r="E1279" s="71"/>
      <c r="F1279" s="71"/>
      <c r="G1279" s="71"/>
      <c r="H1279" s="126"/>
      <c r="I1279" s="125"/>
      <c r="J1279" s="123"/>
      <c r="K1279" s="12"/>
      <c r="L1279" s="117"/>
      <c r="M1279" s="12"/>
      <c r="N1279" s="117"/>
      <c r="O1279" s="117"/>
      <c r="P1279" s="117"/>
      <c r="Q1279" s="118"/>
      <c r="R1279" s="118"/>
      <c r="S1279" s="118"/>
      <c r="T1279" s="12"/>
      <c r="U1279" s="118"/>
      <c r="V1279" s="118"/>
      <c r="W1279" s="12"/>
      <c r="X1279" s="119"/>
      <c r="Y1279" s="120"/>
      <c r="Z1279" s="12"/>
      <c r="BA1279" s="70" t="s">
        <v>205</v>
      </c>
      <c r="BB1279" s="71" t="s">
        <v>215</v>
      </c>
      <c r="BC1279" s="71" t="s">
        <v>207</v>
      </c>
      <c r="BD1279" s="71">
        <v>0</v>
      </c>
      <c r="BE1279" s="71">
        <v>9.33</v>
      </c>
      <c r="BF1279" s="71">
        <v>264</v>
      </c>
      <c r="BG1279" s="71">
        <v>212</v>
      </c>
      <c r="BH1279" s="71">
        <v>5</v>
      </c>
      <c r="BI1279" s="71">
        <v>8</v>
      </c>
      <c r="BJ1279" s="12" t="str" cm="1">
        <f t="array" ref="BJ1279">_xll.Dce_Name_SectI(BF1279, BF1279, BG1279, BH1279, BI1279, "x", "-", $AX$11)</f>
        <v>264x212x5x8</v>
      </c>
      <c r="BK1279" s="77" cm="1">
        <f t="array" ref="BK1279">_xll.DCEPropSectI(BF1279, BH1279, BG1279, BI1279, BG1279, BI1279, "A")/100</f>
        <v>46.32</v>
      </c>
      <c r="BL1279" s="70" t="s">
        <v>226</v>
      </c>
      <c r="BM1279" s="70">
        <v>19.22540226290046</v>
      </c>
      <c r="BN1279" s="71">
        <v>0.9</v>
      </c>
      <c r="BO1279" s="77">
        <f t="shared" si="163"/>
        <v>8.3970000000000002</v>
      </c>
      <c r="BP1279" s="71">
        <v>0.9</v>
      </c>
      <c r="BQ1279" s="77">
        <f t="shared" si="164"/>
        <v>8.3970000000000002</v>
      </c>
      <c r="BR1279" s="77" cm="1">
        <f t="array" ref="BR1279">_xll.DCEPropSectI(BF1279, BH1279, BG1279, BI1279, BG1279, BI1279, "rx")/10</f>
        <v>11.562881075579337</v>
      </c>
      <c r="BS1279" s="77" cm="1">
        <f t="array" ref="BS1279">_xll.DCEPropSectI(BF1279, BH1279, BG1279, BI1279, BG1279, BI1279, "ry")/10</f>
        <v>5.237608536144422</v>
      </c>
      <c r="BT1279" s="5">
        <f t="shared" si="165"/>
        <v>72.620309290686734</v>
      </c>
      <c r="BU1279" s="5">
        <f t="shared" si="166"/>
        <v>160.3212600188198</v>
      </c>
      <c r="BV1279" s="5">
        <f t="shared" si="167"/>
        <v>160.3212600188198</v>
      </c>
      <c r="BW1279" s="71">
        <f t="shared" si="168"/>
        <v>400</v>
      </c>
      <c r="BX1279" s="78" cm="1">
        <f t="array" ref="BX1279">IF(BM1279&gt;0,1,_xll.DCETCVN5575FactorPhi7121(BV1279*SQRT($K$17/206000),"b"))</f>
        <v>1</v>
      </c>
      <c r="BY1279" s="64">
        <f t="shared" si="169"/>
        <v>1.976458000544911E-2</v>
      </c>
      <c r="BZ1279" s="3" t="str">
        <f t="shared" si="170"/>
        <v>OK</v>
      </c>
    </row>
    <row r="1280" spans="1:78">
      <c r="A1280" s="76"/>
      <c r="B1280" s="76"/>
      <c r="C1280" s="125"/>
      <c r="D1280" s="125"/>
      <c r="E1280" s="71"/>
      <c r="F1280" s="71"/>
      <c r="G1280" s="71"/>
      <c r="H1280" s="126"/>
      <c r="I1280" s="125"/>
      <c r="J1280" s="123"/>
      <c r="K1280" s="12"/>
      <c r="L1280" s="117"/>
      <c r="M1280" s="12"/>
      <c r="N1280" s="117"/>
      <c r="O1280" s="117"/>
      <c r="P1280" s="117"/>
      <c r="Q1280" s="118"/>
      <c r="R1280" s="118"/>
      <c r="S1280" s="118"/>
      <c r="T1280" s="12"/>
      <c r="U1280" s="118"/>
      <c r="V1280" s="118"/>
      <c r="W1280" s="12"/>
      <c r="X1280" s="119"/>
      <c r="Y1280" s="120"/>
      <c r="Z1280" s="12"/>
      <c r="BA1280" s="70" t="s">
        <v>205</v>
      </c>
      <c r="BB1280" s="71" t="s">
        <v>215</v>
      </c>
      <c r="BC1280" s="71" t="s">
        <v>207</v>
      </c>
      <c r="BD1280" s="71">
        <v>4.67</v>
      </c>
      <c r="BE1280" s="71">
        <v>9.33</v>
      </c>
      <c r="BF1280" s="71">
        <v>264</v>
      </c>
      <c r="BG1280" s="71">
        <v>212</v>
      </c>
      <c r="BH1280" s="71">
        <v>5</v>
      </c>
      <c r="BI1280" s="71">
        <v>8</v>
      </c>
      <c r="BJ1280" s="12" t="str" cm="1">
        <f t="array" ref="BJ1280">_xll.Dce_Name_SectI(BF1280, BF1280, BG1280, BH1280, BI1280, "x", "-", $AX$11)</f>
        <v>264x212x5x8</v>
      </c>
      <c r="BK1280" s="77" cm="1">
        <f t="array" ref="BK1280">_xll.DCEPropSectI(BF1280, BH1280, BG1280, BI1280, BG1280, BI1280, "A")/100</f>
        <v>46.32</v>
      </c>
      <c r="BL1280" s="70" t="s">
        <v>226</v>
      </c>
      <c r="BM1280" s="70">
        <v>20.500026706065995</v>
      </c>
      <c r="BN1280" s="71">
        <v>0.9</v>
      </c>
      <c r="BO1280" s="77">
        <f t="shared" si="163"/>
        <v>8.3970000000000002</v>
      </c>
      <c r="BP1280" s="71">
        <v>0.9</v>
      </c>
      <c r="BQ1280" s="77">
        <f t="shared" si="164"/>
        <v>8.3970000000000002</v>
      </c>
      <c r="BR1280" s="77" cm="1">
        <f t="array" ref="BR1280">_xll.DCEPropSectI(BF1280, BH1280, BG1280, BI1280, BG1280, BI1280, "rx")/10</f>
        <v>11.562881075579337</v>
      </c>
      <c r="BS1280" s="77" cm="1">
        <f t="array" ref="BS1280">_xll.DCEPropSectI(BF1280, BH1280, BG1280, BI1280, BG1280, BI1280, "ry")/10</f>
        <v>5.237608536144422</v>
      </c>
      <c r="BT1280" s="5">
        <f t="shared" si="165"/>
        <v>72.620309290686734</v>
      </c>
      <c r="BU1280" s="5">
        <f t="shared" si="166"/>
        <v>160.3212600188198</v>
      </c>
      <c r="BV1280" s="5">
        <f t="shared" si="167"/>
        <v>160.3212600188198</v>
      </c>
      <c r="BW1280" s="71">
        <f t="shared" si="168"/>
        <v>400</v>
      </c>
      <c r="BX1280" s="78" cm="1">
        <f t="array" ref="BX1280">IF(BM1280&gt;0,1,_xll.DCETCVN5575FactorPhi7121(BV1280*SQRT($K$17/206000),"b"))</f>
        <v>1</v>
      </c>
      <c r="BY1280" s="64">
        <f t="shared" si="169"/>
        <v>2.1074951379704328E-2</v>
      </c>
      <c r="BZ1280" s="3" t="str">
        <f t="shared" si="170"/>
        <v>OK</v>
      </c>
    </row>
    <row r="1281" spans="1:78">
      <c r="A1281" s="76"/>
      <c r="B1281" s="76"/>
      <c r="C1281" s="125"/>
      <c r="D1281" s="125"/>
      <c r="E1281" s="71"/>
      <c r="F1281" s="71"/>
      <c r="G1281" s="71"/>
      <c r="H1281" s="126"/>
      <c r="I1281" s="125"/>
      <c r="J1281" s="123"/>
      <c r="K1281" s="12"/>
      <c r="L1281" s="117"/>
      <c r="M1281" s="12"/>
      <c r="N1281" s="117"/>
      <c r="O1281" s="117"/>
      <c r="P1281" s="117"/>
      <c r="Q1281" s="118"/>
      <c r="R1281" s="118"/>
      <c r="S1281" s="118"/>
      <c r="T1281" s="12"/>
      <c r="U1281" s="118"/>
      <c r="V1281" s="118"/>
      <c r="W1281" s="12"/>
      <c r="X1281" s="119"/>
      <c r="Y1281" s="120"/>
      <c r="Z1281" s="12"/>
      <c r="BA1281" s="70" t="s">
        <v>205</v>
      </c>
      <c r="BB1281" s="71" t="s">
        <v>215</v>
      </c>
      <c r="BC1281" s="71" t="s">
        <v>207</v>
      </c>
      <c r="BD1281" s="71">
        <v>9.33</v>
      </c>
      <c r="BE1281" s="71">
        <v>9.33</v>
      </c>
      <c r="BF1281" s="71">
        <v>264</v>
      </c>
      <c r="BG1281" s="71">
        <v>212</v>
      </c>
      <c r="BH1281" s="71">
        <v>5</v>
      </c>
      <c r="BI1281" s="71">
        <v>8</v>
      </c>
      <c r="BJ1281" s="12" t="str" cm="1">
        <f t="array" ref="BJ1281">_xll.Dce_Name_SectI(BF1281, BF1281, BG1281, BH1281, BI1281, "x", "-", $AX$11)</f>
        <v>264x212x5x8</v>
      </c>
      <c r="BK1281" s="77" cm="1">
        <f t="array" ref="BK1281">_xll.DCEPropSectI(BF1281, BH1281, BG1281, BI1281, BG1281, BI1281, "A")/100</f>
        <v>46.32</v>
      </c>
      <c r="BL1281" s="70" t="s">
        <v>226</v>
      </c>
      <c r="BM1281" s="70">
        <v>21.774651149231545</v>
      </c>
      <c r="BN1281" s="71">
        <v>0.9</v>
      </c>
      <c r="BO1281" s="77">
        <f t="shared" si="163"/>
        <v>8.3970000000000002</v>
      </c>
      <c r="BP1281" s="71">
        <v>0.9</v>
      </c>
      <c r="BQ1281" s="77">
        <f t="shared" si="164"/>
        <v>8.3970000000000002</v>
      </c>
      <c r="BR1281" s="77" cm="1">
        <f t="array" ref="BR1281">_xll.DCEPropSectI(BF1281, BH1281, BG1281, BI1281, BG1281, BI1281, "rx")/10</f>
        <v>11.562881075579337</v>
      </c>
      <c r="BS1281" s="77" cm="1">
        <f t="array" ref="BS1281">_xll.DCEPropSectI(BF1281, BH1281, BG1281, BI1281, BG1281, BI1281, "ry")/10</f>
        <v>5.237608536144422</v>
      </c>
      <c r="BT1281" s="5">
        <f t="shared" si="165"/>
        <v>72.620309290686734</v>
      </c>
      <c r="BU1281" s="5">
        <f t="shared" si="166"/>
        <v>160.3212600188198</v>
      </c>
      <c r="BV1281" s="5">
        <f t="shared" si="167"/>
        <v>160.3212600188198</v>
      </c>
      <c r="BW1281" s="71">
        <f t="shared" si="168"/>
        <v>400</v>
      </c>
      <c r="BX1281" s="78" cm="1">
        <f t="array" ref="BX1281">IF(BM1281&gt;0,1,_xll.DCETCVN5575FactorPhi7121(BV1281*SQRT($K$17/206000),"b"))</f>
        <v>1</v>
      </c>
      <c r="BY1281" s="64">
        <f t="shared" si="169"/>
        <v>2.2385322753959561E-2</v>
      </c>
      <c r="BZ1281" s="3" t="str">
        <f t="shared" si="170"/>
        <v>OK</v>
      </c>
    </row>
    <row r="1282" spans="1:78">
      <c r="A1282" s="76"/>
      <c r="B1282" s="76"/>
      <c r="C1282" s="125"/>
      <c r="D1282" s="125"/>
      <c r="E1282" s="71"/>
      <c r="F1282" s="71"/>
      <c r="G1282" s="71"/>
      <c r="H1282" s="126"/>
      <c r="I1282" s="125"/>
      <c r="J1282" s="123"/>
      <c r="K1282" s="12"/>
      <c r="L1282" s="117"/>
      <c r="M1282" s="12"/>
      <c r="N1282" s="117"/>
      <c r="O1282" s="117"/>
      <c r="P1282" s="117"/>
      <c r="Q1282" s="118"/>
      <c r="R1282" s="118"/>
      <c r="S1282" s="118"/>
      <c r="T1282" s="12"/>
      <c r="U1282" s="118"/>
      <c r="V1282" s="118"/>
      <c r="W1282" s="12"/>
      <c r="X1282" s="119"/>
      <c r="Y1282" s="120"/>
      <c r="Z1282" s="12"/>
      <c r="BA1282" s="70" t="s">
        <v>205</v>
      </c>
      <c r="BB1282" s="71" t="s">
        <v>216</v>
      </c>
      <c r="BC1282" s="71" t="s">
        <v>207</v>
      </c>
      <c r="BD1282" s="71">
        <v>0</v>
      </c>
      <c r="BE1282" s="71">
        <v>9.44</v>
      </c>
      <c r="BF1282" s="71">
        <v>264</v>
      </c>
      <c r="BG1282" s="71">
        <v>212</v>
      </c>
      <c r="BH1282" s="71">
        <v>5</v>
      </c>
      <c r="BI1282" s="71">
        <v>8</v>
      </c>
      <c r="BJ1282" s="12" t="str" cm="1">
        <f t="array" ref="BJ1282">_xll.Dce_Name_SectI(BF1282, BF1282, BG1282, BH1282, BI1282, "x", "-", $AX$11)</f>
        <v>264x212x5x8</v>
      </c>
      <c r="BK1282" s="77" cm="1">
        <f t="array" ref="BK1282">_xll.DCEPropSectI(BF1282, BH1282, BG1282, BI1282, BG1282, BI1282, "A")/100</f>
        <v>46.32</v>
      </c>
      <c r="BL1282" s="70" t="s">
        <v>217</v>
      </c>
      <c r="BM1282" s="70">
        <v>54.451941738332039</v>
      </c>
      <c r="BN1282" s="71">
        <v>0.9</v>
      </c>
      <c r="BO1282" s="77">
        <f t="shared" si="163"/>
        <v>8.4960000000000004</v>
      </c>
      <c r="BP1282" s="71">
        <v>0.9</v>
      </c>
      <c r="BQ1282" s="77">
        <f t="shared" si="164"/>
        <v>8.4960000000000004</v>
      </c>
      <c r="BR1282" s="77" cm="1">
        <f t="array" ref="BR1282">_xll.DCEPropSectI(BF1282, BH1282, BG1282, BI1282, BG1282, BI1282, "rx")/10</f>
        <v>11.562881075579337</v>
      </c>
      <c r="BS1282" s="77" cm="1">
        <f t="array" ref="BS1282">_xll.DCEPropSectI(BF1282, BH1282, BG1282, BI1282, BG1282, BI1282, "ry")/10</f>
        <v>5.237608536144422</v>
      </c>
      <c r="BT1282" s="5">
        <f t="shared" si="165"/>
        <v>73.476497288754857</v>
      </c>
      <c r="BU1282" s="5">
        <f t="shared" si="166"/>
        <v>162.21143564605134</v>
      </c>
      <c r="BV1282" s="5">
        <f t="shared" si="167"/>
        <v>162.21143564605134</v>
      </c>
      <c r="BW1282" s="71">
        <f t="shared" si="168"/>
        <v>400</v>
      </c>
      <c r="BX1282" s="78" cm="1">
        <f t="array" ref="BX1282">IF(BM1282&gt;0,1,_xll.DCETCVN5575FactorPhi7121(BV1282*SQRT($K$17/206000),"b"))</f>
        <v>1</v>
      </c>
      <c r="BY1282" s="64">
        <f t="shared" si="169"/>
        <v>5.5979050228567348E-2</v>
      </c>
      <c r="BZ1282" s="3" t="str">
        <f t="shared" si="170"/>
        <v>OK</v>
      </c>
    </row>
    <row r="1283" spans="1:78">
      <c r="A1283" s="76"/>
      <c r="B1283" s="76"/>
      <c r="C1283" s="125"/>
      <c r="D1283" s="125"/>
      <c r="E1283" s="71"/>
      <c r="F1283" s="71"/>
      <c r="G1283" s="71"/>
      <c r="H1283" s="126"/>
      <c r="I1283" s="125"/>
      <c r="J1283" s="123"/>
      <c r="K1283" s="12"/>
      <c r="L1283" s="117"/>
      <c r="M1283" s="12"/>
      <c r="N1283" s="117"/>
      <c r="O1283" s="117"/>
      <c r="P1283" s="117"/>
      <c r="Q1283" s="118"/>
      <c r="R1283" s="118"/>
      <c r="S1283" s="118"/>
      <c r="T1283" s="12"/>
      <c r="U1283" s="118"/>
      <c r="V1283" s="118"/>
      <c r="W1283" s="12"/>
      <c r="X1283" s="119"/>
      <c r="Y1283" s="120"/>
      <c r="Z1283" s="12"/>
      <c r="BA1283" s="70" t="s">
        <v>205</v>
      </c>
      <c r="BB1283" s="71" t="s">
        <v>216</v>
      </c>
      <c r="BC1283" s="71" t="s">
        <v>207</v>
      </c>
      <c r="BD1283" s="71">
        <v>4.72</v>
      </c>
      <c r="BE1283" s="71">
        <v>9.44</v>
      </c>
      <c r="BF1283" s="71">
        <v>264</v>
      </c>
      <c r="BG1283" s="71">
        <v>212</v>
      </c>
      <c r="BH1283" s="71">
        <v>5</v>
      </c>
      <c r="BI1283" s="71">
        <v>8</v>
      </c>
      <c r="BJ1283" s="12" t="str" cm="1">
        <f t="array" ref="BJ1283">_xll.Dce_Name_SectI(BF1283, BF1283, BG1283, BH1283, BI1283, "x", "-", $AX$11)</f>
        <v>264x212x5x8</v>
      </c>
      <c r="BK1283" s="77" cm="1">
        <f t="array" ref="BK1283">_xll.DCEPropSectI(BF1283, BH1283, BG1283, BI1283, BG1283, BI1283, "A")/100</f>
        <v>46.32</v>
      </c>
      <c r="BL1283" s="70" t="s">
        <v>217</v>
      </c>
      <c r="BM1283" s="70">
        <v>53.431350838035158</v>
      </c>
      <c r="BN1283" s="71">
        <v>0.9</v>
      </c>
      <c r="BO1283" s="77">
        <f t="shared" si="163"/>
        <v>8.4960000000000004</v>
      </c>
      <c r="BP1283" s="71">
        <v>0.9</v>
      </c>
      <c r="BQ1283" s="77">
        <f t="shared" si="164"/>
        <v>8.4960000000000004</v>
      </c>
      <c r="BR1283" s="77" cm="1">
        <f t="array" ref="BR1283">_xll.DCEPropSectI(BF1283, BH1283, BG1283, BI1283, BG1283, BI1283, "rx")/10</f>
        <v>11.562881075579337</v>
      </c>
      <c r="BS1283" s="77" cm="1">
        <f t="array" ref="BS1283">_xll.DCEPropSectI(BF1283, BH1283, BG1283, BI1283, BG1283, BI1283, "ry")/10</f>
        <v>5.237608536144422</v>
      </c>
      <c r="BT1283" s="5">
        <f t="shared" si="165"/>
        <v>73.476497288754857</v>
      </c>
      <c r="BU1283" s="5">
        <f t="shared" si="166"/>
        <v>162.21143564605134</v>
      </c>
      <c r="BV1283" s="5">
        <f t="shared" si="167"/>
        <v>162.21143564605134</v>
      </c>
      <c r="BW1283" s="71">
        <f t="shared" si="168"/>
        <v>400</v>
      </c>
      <c r="BX1283" s="78" cm="1">
        <f t="array" ref="BX1283">IF(BM1283&gt;0,1,_xll.DCETCVN5575FactorPhi7121(BV1283*SQRT($K$17/206000),"b"))</f>
        <v>1</v>
      </c>
      <c r="BY1283" s="64">
        <f t="shared" si="169"/>
        <v>5.4929836785544819E-2</v>
      </c>
      <c r="BZ1283" s="3" t="str">
        <f t="shared" si="170"/>
        <v>OK</v>
      </c>
    </row>
    <row r="1284" spans="1:78">
      <c r="A1284" s="76"/>
      <c r="B1284" s="76"/>
      <c r="C1284" s="125"/>
      <c r="D1284" s="125"/>
      <c r="E1284" s="71"/>
      <c r="F1284" s="71"/>
      <c r="G1284" s="71"/>
      <c r="H1284" s="126"/>
      <c r="I1284" s="125"/>
      <c r="J1284" s="123"/>
      <c r="K1284" s="12"/>
      <c r="L1284" s="117"/>
      <c r="M1284" s="12"/>
      <c r="N1284" s="117"/>
      <c r="O1284" s="117"/>
      <c r="P1284" s="117"/>
      <c r="Q1284" s="118"/>
      <c r="R1284" s="118"/>
      <c r="S1284" s="118"/>
      <c r="T1284" s="12"/>
      <c r="U1284" s="118"/>
      <c r="V1284" s="118"/>
      <c r="W1284" s="12"/>
      <c r="X1284" s="119"/>
      <c r="Y1284" s="120"/>
      <c r="Z1284" s="12"/>
      <c r="BA1284" s="70" t="s">
        <v>205</v>
      </c>
      <c r="BB1284" s="71" t="s">
        <v>216</v>
      </c>
      <c r="BC1284" s="71" t="s">
        <v>207</v>
      </c>
      <c r="BD1284" s="71">
        <v>9.44</v>
      </c>
      <c r="BE1284" s="71">
        <v>9.44</v>
      </c>
      <c r="BF1284" s="71">
        <v>264</v>
      </c>
      <c r="BG1284" s="71">
        <v>212</v>
      </c>
      <c r="BH1284" s="71">
        <v>5</v>
      </c>
      <c r="BI1284" s="71">
        <v>8</v>
      </c>
      <c r="BJ1284" s="12" t="str" cm="1">
        <f t="array" ref="BJ1284">_xll.Dce_Name_SectI(BF1284, BF1284, BG1284, BH1284, BI1284, "x", "-", $AX$11)</f>
        <v>264x212x5x8</v>
      </c>
      <c r="BK1284" s="77" cm="1">
        <f t="array" ref="BK1284">_xll.DCEPropSectI(BF1284, BH1284, BG1284, BI1284, BG1284, BI1284, "A")/100</f>
        <v>46.32</v>
      </c>
      <c r="BL1284" s="70" t="s">
        <v>217</v>
      </c>
      <c r="BM1284" s="70">
        <v>52.41075993773827</v>
      </c>
      <c r="BN1284" s="71">
        <v>0.9</v>
      </c>
      <c r="BO1284" s="77">
        <f t="shared" si="163"/>
        <v>8.4960000000000004</v>
      </c>
      <c r="BP1284" s="71">
        <v>0.9</v>
      </c>
      <c r="BQ1284" s="77">
        <f t="shared" si="164"/>
        <v>8.4960000000000004</v>
      </c>
      <c r="BR1284" s="77" cm="1">
        <f t="array" ref="BR1284">_xll.DCEPropSectI(BF1284, BH1284, BG1284, BI1284, BG1284, BI1284, "rx")/10</f>
        <v>11.562881075579337</v>
      </c>
      <c r="BS1284" s="77" cm="1">
        <f t="array" ref="BS1284">_xll.DCEPropSectI(BF1284, BH1284, BG1284, BI1284, BG1284, BI1284, "ry")/10</f>
        <v>5.237608536144422</v>
      </c>
      <c r="BT1284" s="5">
        <f t="shared" si="165"/>
        <v>73.476497288754857</v>
      </c>
      <c r="BU1284" s="5">
        <f t="shared" si="166"/>
        <v>162.21143564605134</v>
      </c>
      <c r="BV1284" s="5">
        <f t="shared" si="167"/>
        <v>162.21143564605134</v>
      </c>
      <c r="BW1284" s="71">
        <f t="shared" si="168"/>
        <v>400</v>
      </c>
      <c r="BX1284" s="78" cm="1">
        <f t="array" ref="BX1284">IF(BM1284&gt;0,1,_xll.DCETCVN5575FactorPhi7121(BV1284*SQRT($K$17/206000),"b"))</f>
        <v>1</v>
      </c>
      <c r="BY1284" s="64">
        <f t="shared" si="169"/>
        <v>5.3880623342522277E-2</v>
      </c>
      <c r="BZ1284" s="3" t="str">
        <f t="shared" si="170"/>
        <v>OK</v>
      </c>
    </row>
    <row r="1285" spans="1:78">
      <c r="A1285" s="76"/>
      <c r="B1285" s="76"/>
      <c r="C1285" s="125"/>
      <c r="D1285" s="125"/>
      <c r="E1285" s="71"/>
      <c r="F1285" s="71"/>
      <c r="G1285" s="71"/>
      <c r="H1285" s="126"/>
      <c r="I1285" s="125"/>
      <c r="J1285" s="123"/>
      <c r="K1285" s="12"/>
      <c r="L1285" s="117"/>
      <c r="M1285" s="12"/>
      <c r="N1285" s="117"/>
      <c r="O1285" s="117"/>
      <c r="P1285" s="117"/>
      <c r="Q1285" s="118"/>
      <c r="R1285" s="118"/>
      <c r="S1285" s="118"/>
      <c r="T1285" s="12"/>
      <c r="U1285" s="118"/>
      <c r="V1285" s="118"/>
      <c r="W1285" s="12"/>
      <c r="X1285" s="119"/>
      <c r="Y1285" s="120"/>
      <c r="Z1285" s="12"/>
      <c r="BA1285" s="70" t="s">
        <v>205</v>
      </c>
      <c r="BB1285" s="71" t="s">
        <v>216</v>
      </c>
      <c r="BC1285" s="71" t="s">
        <v>207</v>
      </c>
      <c r="BD1285" s="71">
        <v>0</v>
      </c>
      <c r="BE1285" s="71">
        <v>9.44</v>
      </c>
      <c r="BF1285" s="71">
        <v>264</v>
      </c>
      <c r="BG1285" s="71">
        <v>212</v>
      </c>
      <c r="BH1285" s="71">
        <v>5</v>
      </c>
      <c r="BI1285" s="71">
        <v>8</v>
      </c>
      <c r="BJ1285" s="12" t="str" cm="1">
        <f t="array" ref="BJ1285">_xll.Dce_Name_SectI(BF1285, BF1285, BG1285, BH1285, BI1285, "x", "-", $AX$11)</f>
        <v>264x212x5x8</v>
      </c>
      <c r="BK1285" s="77" cm="1">
        <f t="array" ref="BK1285">_xll.DCEPropSectI(BF1285, BH1285, BG1285, BI1285, BG1285, BI1285, "A")/100</f>
        <v>46.32</v>
      </c>
      <c r="BL1285" s="70" t="s">
        <v>218</v>
      </c>
      <c r="BM1285" s="70">
        <v>120.81755033593834</v>
      </c>
      <c r="BN1285" s="71">
        <v>0.9</v>
      </c>
      <c r="BO1285" s="77">
        <f t="shared" si="163"/>
        <v>8.4960000000000004</v>
      </c>
      <c r="BP1285" s="71">
        <v>0.9</v>
      </c>
      <c r="BQ1285" s="77">
        <f t="shared" si="164"/>
        <v>8.4960000000000004</v>
      </c>
      <c r="BR1285" s="77" cm="1">
        <f t="array" ref="BR1285">_xll.DCEPropSectI(BF1285, BH1285, BG1285, BI1285, BG1285, BI1285, "rx")/10</f>
        <v>11.562881075579337</v>
      </c>
      <c r="BS1285" s="77" cm="1">
        <f t="array" ref="BS1285">_xll.DCEPropSectI(BF1285, BH1285, BG1285, BI1285, BG1285, BI1285, "ry")/10</f>
        <v>5.237608536144422</v>
      </c>
      <c r="BT1285" s="5">
        <f t="shared" si="165"/>
        <v>73.476497288754857</v>
      </c>
      <c r="BU1285" s="5">
        <f t="shared" si="166"/>
        <v>162.21143564605134</v>
      </c>
      <c r="BV1285" s="5">
        <f t="shared" si="167"/>
        <v>162.21143564605134</v>
      </c>
      <c r="BW1285" s="71">
        <f t="shared" si="168"/>
        <v>400</v>
      </c>
      <c r="BX1285" s="78" cm="1">
        <f t="array" ref="BX1285">IF(BM1285&gt;0,1,_xll.DCETCVN5575FactorPhi7121(BV1285*SQRT($K$17/206000),"b"))</f>
        <v>1</v>
      </c>
      <c r="BY1285" s="64">
        <f t="shared" si="169"/>
        <v>0.12420588693142767</v>
      </c>
      <c r="BZ1285" s="3" t="str">
        <f t="shared" si="170"/>
        <v>OK</v>
      </c>
    </row>
    <row r="1286" spans="1:78">
      <c r="A1286" s="76"/>
      <c r="B1286" s="76"/>
      <c r="C1286" s="125"/>
      <c r="D1286" s="125"/>
      <c r="E1286" s="71"/>
      <c r="F1286" s="71"/>
      <c r="G1286" s="71"/>
      <c r="H1286" s="126"/>
      <c r="I1286" s="125"/>
      <c r="J1286" s="123"/>
      <c r="K1286" s="12"/>
      <c r="L1286" s="117"/>
      <c r="M1286" s="12"/>
      <c r="N1286" s="117"/>
      <c r="O1286" s="117"/>
      <c r="P1286" s="117"/>
      <c r="Q1286" s="118"/>
      <c r="R1286" s="118"/>
      <c r="S1286" s="118"/>
      <c r="T1286" s="12"/>
      <c r="U1286" s="118"/>
      <c r="V1286" s="118"/>
      <c r="W1286" s="12"/>
      <c r="X1286" s="119"/>
      <c r="Y1286" s="120"/>
      <c r="Z1286" s="12"/>
      <c r="BA1286" s="70" t="s">
        <v>205</v>
      </c>
      <c r="BB1286" s="71" t="s">
        <v>216</v>
      </c>
      <c r="BC1286" s="71" t="s">
        <v>207</v>
      </c>
      <c r="BD1286" s="71">
        <v>4.72</v>
      </c>
      <c r="BE1286" s="71">
        <v>9.44</v>
      </c>
      <c r="BF1286" s="71">
        <v>264</v>
      </c>
      <c r="BG1286" s="71">
        <v>212</v>
      </c>
      <c r="BH1286" s="71">
        <v>5</v>
      </c>
      <c r="BI1286" s="71">
        <v>8</v>
      </c>
      <c r="BJ1286" s="12" t="str" cm="1">
        <f t="array" ref="BJ1286">_xll.Dce_Name_SectI(BF1286, BF1286, BG1286, BH1286, BI1286, "x", "-", $AX$11)</f>
        <v>264x212x5x8</v>
      </c>
      <c r="BK1286" s="77" cm="1">
        <f t="array" ref="BK1286">_xll.DCEPropSectI(BF1286, BH1286, BG1286, BI1286, BG1286, BI1286, "A")/100</f>
        <v>46.32</v>
      </c>
      <c r="BL1286" s="70" t="s">
        <v>218</v>
      </c>
      <c r="BM1286" s="70">
        <v>119.79695943564145</v>
      </c>
      <c r="BN1286" s="71">
        <v>0.9</v>
      </c>
      <c r="BO1286" s="77">
        <f t="shared" si="163"/>
        <v>8.4960000000000004</v>
      </c>
      <c r="BP1286" s="71">
        <v>0.9</v>
      </c>
      <c r="BQ1286" s="77">
        <f t="shared" si="164"/>
        <v>8.4960000000000004</v>
      </c>
      <c r="BR1286" s="77" cm="1">
        <f t="array" ref="BR1286">_xll.DCEPropSectI(BF1286, BH1286, BG1286, BI1286, BG1286, BI1286, "rx")/10</f>
        <v>11.562881075579337</v>
      </c>
      <c r="BS1286" s="77" cm="1">
        <f t="array" ref="BS1286">_xll.DCEPropSectI(BF1286, BH1286, BG1286, BI1286, BG1286, BI1286, "ry")/10</f>
        <v>5.237608536144422</v>
      </c>
      <c r="BT1286" s="5">
        <f t="shared" si="165"/>
        <v>73.476497288754857</v>
      </c>
      <c r="BU1286" s="5">
        <f t="shared" si="166"/>
        <v>162.21143564605134</v>
      </c>
      <c r="BV1286" s="5">
        <f t="shared" si="167"/>
        <v>162.21143564605134</v>
      </c>
      <c r="BW1286" s="71">
        <f t="shared" si="168"/>
        <v>400</v>
      </c>
      <c r="BX1286" s="78" cm="1">
        <f t="array" ref="BX1286">IF(BM1286&gt;0,1,_xll.DCETCVN5575FactorPhi7121(BV1286*SQRT($K$17/206000),"b"))</f>
        <v>1</v>
      </c>
      <c r="BY1286" s="64">
        <f t="shared" si="169"/>
        <v>0.12315667348840514</v>
      </c>
      <c r="BZ1286" s="3" t="str">
        <f t="shared" si="170"/>
        <v>OK</v>
      </c>
    </row>
    <row r="1287" spans="1:78">
      <c r="A1287" s="76"/>
      <c r="B1287" s="76"/>
      <c r="C1287" s="125"/>
      <c r="D1287" s="125"/>
      <c r="E1287" s="71"/>
      <c r="F1287" s="71"/>
      <c r="G1287" s="71"/>
      <c r="H1287" s="126"/>
      <c r="I1287" s="125"/>
      <c r="J1287" s="123"/>
      <c r="K1287" s="12"/>
      <c r="L1287" s="117"/>
      <c r="M1287" s="12"/>
      <c r="N1287" s="117"/>
      <c r="O1287" s="117"/>
      <c r="P1287" s="117"/>
      <c r="Q1287" s="118"/>
      <c r="R1287" s="118"/>
      <c r="S1287" s="118"/>
      <c r="T1287" s="12"/>
      <c r="U1287" s="118"/>
      <c r="V1287" s="118"/>
      <c r="W1287" s="12"/>
      <c r="X1287" s="119"/>
      <c r="Y1287" s="120"/>
      <c r="Z1287" s="12"/>
      <c r="BA1287" s="70" t="s">
        <v>205</v>
      </c>
      <c r="BB1287" s="71" t="s">
        <v>216</v>
      </c>
      <c r="BC1287" s="71" t="s">
        <v>207</v>
      </c>
      <c r="BD1287" s="71">
        <v>9.44</v>
      </c>
      <c r="BE1287" s="71">
        <v>9.44</v>
      </c>
      <c r="BF1287" s="71">
        <v>264</v>
      </c>
      <c r="BG1287" s="71">
        <v>212</v>
      </c>
      <c r="BH1287" s="71">
        <v>5</v>
      </c>
      <c r="BI1287" s="71">
        <v>8</v>
      </c>
      <c r="BJ1287" s="12" t="str" cm="1">
        <f t="array" ref="BJ1287">_xll.Dce_Name_SectI(BF1287, BF1287, BG1287, BH1287, BI1287, "x", "-", $AX$11)</f>
        <v>264x212x5x8</v>
      </c>
      <c r="BK1287" s="77" cm="1">
        <f t="array" ref="BK1287">_xll.DCEPropSectI(BF1287, BH1287, BG1287, BI1287, BG1287, BI1287, "A")/100</f>
        <v>46.32</v>
      </c>
      <c r="BL1287" s="70" t="s">
        <v>218</v>
      </c>
      <c r="BM1287" s="70">
        <v>118.77636853534457</v>
      </c>
      <c r="BN1287" s="71">
        <v>0.9</v>
      </c>
      <c r="BO1287" s="77">
        <f t="shared" si="163"/>
        <v>8.4960000000000004</v>
      </c>
      <c r="BP1287" s="71">
        <v>0.9</v>
      </c>
      <c r="BQ1287" s="77">
        <f t="shared" si="164"/>
        <v>8.4960000000000004</v>
      </c>
      <c r="BR1287" s="77" cm="1">
        <f t="array" ref="BR1287">_xll.DCEPropSectI(BF1287, BH1287, BG1287, BI1287, BG1287, BI1287, "rx")/10</f>
        <v>11.562881075579337</v>
      </c>
      <c r="BS1287" s="77" cm="1">
        <f t="array" ref="BS1287">_xll.DCEPropSectI(BF1287, BH1287, BG1287, BI1287, BG1287, BI1287, "ry")/10</f>
        <v>5.237608536144422</v>
      </c>
      <c r="BT1287" s="5">
        <f t="shared" si="165"/>
        <v>73.476497288754857</v>
      </c>
      <c r="BU1287" s="5">
        <f t="shared" si="166"/>
        <v>162.21143564605134</v>
      </c>
      <c r="BV1287" s="5">
        <f t="shared" si="167"/>
        <v>162.21143564605134</v>
      </c>
      <c r="BW1287" s="71">
        <f t="shared" si="168"/>
        <v>400</v>
      </c>
      <c r="BX1287" s="78" cm="1">
        <f t="array" ref="BX1287">IF(BM1287&gt;0,1,_xll.DCETCVN5575FactorPhi7121(BV1287*SQRT($K$17/206000),"b"))</f>
        <v>1</v>
      </c>
      <c r="BY1287" s="64">
        <f t="shared" si="169"/>
        <v>0.1221074600453826</v>
      </c>
      <c r="BZ1287" s="3" t="str">
        <f t="shared" si="170"/>
        <v>OK</v>
      </c>
    </row>
    <row r="1288" spans="1:78">
      <c r="A1288" s="76"/>
      <c r="B1288" s="76"/>
      <c r="C1288" s="125"/>
      <c r="D1288" s="125"/>
      <c r="E1288" s="71"/>
      <c r="F1288" s="71"/>
      <c r="G1288" s="71"/>
      <c r="H1288" s="126"/>
      <c r="I1288" s="125"/>
      <c r="J1288" s="123"/>
      <c r="K1288" s="12"/>
      <c r="L1288" s="117"/>
      <c r="M1288" s="12"/>
      <c r="N1288" s="117"/>
      <c r="O1288" s="117"/>
      <c r="P1288" s="117"/>
      <c r="Q1288" s="118"/>
      <c r="R1288" s="118"/>
      <c r="S1288" s="118"/>
      <c r="T1288" s="12"/>
      <c r="U1288" s="118"/>
      <c r="V1288" s="118"/>
      <c r="W1288" s="12"/>
      <c r="X1288" s="119"/>
      <c r="Y1288" s="120"/>
      <c r="Z1288" s="12"/>
      <c r="BA1288" s="70" t="s">
        <v>205</v>
      </c>
      <c r="BB1288" s="71" t="s">
        <v>216</v>
      </c>
      <c r="BC1288" s="71" t="s">
        <v>207</v>
      </c>
      <c r="BD1288" s="71">
        <v>0</v>
      </c>
      <c r="BE1288" s="71">
        <v>9.44</v>
      </c>
      <c r="BF1288" s="71">
        <v>264</v>
      </c>
      <c r="BG1288" s="71">
        <v>212</v>
      </c>
      <c r="BH1288" s="71">
        <v>5</v>
      </c>
      <c r="BI1288" s="71">
        <v>8</v>
      </c>
      <c r="BJ1288" s="12" t="str" cm="1">
        <f t="array" ref="BJ1288">_xll.Dce_Name_SectI(BF1288, BF1288, BG1288, BH1288, BI1288, "x", "-", $AX$11)</f>
        <v>264x212x5x8</v>
      </c>
      <c r="BK1288" s="77" cm="1">
        <f t="array" ref="BK1288">_xll.DCEPropSectI(BF1288, BH1288, BG1288, BI1288, BG1288, BI1288, "A")/100</f>
        <v>46.32</v>
      </c>
      <c r="BL1288" s="70" t="s">
        <v>219</v>
      </c>
      <c r="BM1288" s="70">
        <v>50.471129986857704</v>
      </c>
      <c r="BN1288" s="71">
        <v>0.9</v>
      </c>
      <c r="BO1288" s="77">
        <f t="shared" si="163"/>
        <v>8.4960000000000004</v>
      </c>
      <c r="BP1288" s="71">
        <v>0.9</v>
      </c>
      <c r="BQ1288" s="77">
        <f t="shared" si="164"/>
        <v>8.4960000000000004</v>
      </c>
      <c r="BR1288" s="77" cm="1">
        <f t="array" ref="BR1288">_xll.DCEPropSectI(BF1288, BH1288, BG1288, BI1288, BG1288, BI1288, "rx")/10</f>
        <v>11.562881075579337</v>
      </c>
      <c r="BS1288" s="77" cm="1">
        <f t="array" ref="BS1288">_xll.DCEPropSectI(BF1288, BH1288, BG1288, BI1288, BG1288, BI1288, "ry")/10</f>
        <v>5.237608536144422</v>
      </c>
      <c r="BT1288" s="5">
        <f t="shared" si="165"/>
        <v>73.476497288754857</v>
      </c>
      <c r="BU1288" s="5">
        <f t="shared" si="166"/>
        <v>162.21143564605134</v>
      </c>
      <c r="BV1288" s="5">
        <f t="shared" si="167"/>
        <v>162.21143564605134</v>
      </c>
      <c r="BW1288" s="71">
        <f t="shared" si="168"/>
        <v>400</v>
      </c>
      <c r="BX1288" s="78" cm="1">
        <f t="array" ref="BX1288">IF(BM1288&gt;0,1,_xll.DCETCVN5575FactorPhi7121(BV1288*SQRT($K$17/206000),"b"))</f>
        <v>1</v>
      </c>
      <c r="BY1288" s="64">
        <f t="shared" si="169"/>
        <v>5.1886596334873032E-2</v>
      </c>
      <c r="BZ1288" s="3" t="str">
        <f t="shared" si="170"/>
        <v>OK</v>
      </c>
    </row>
    <row r="1289" spans="1:78">
      <c r="A1289" s="76"/>
      <c r="B1289" s="76"/>
      <c r="C1289" s="125"/>
      <c r="D1289" s="125"/>
      <c r="E1289" s="71"/>
      <c r="F1289" s="71"/>
      <c r="G1289" s="71"/>
      <c r="H1289" s="126"/>
      <c r="I1289" s="125"/>
      <c r="J1289" s="123"/>
      <c r="K1289" s="12"/>
      <c r="L1289" s="117"/>
      <c r="M1289" s="12"/>
      <c r="N1289" s="117"/>
      <c r="O1289" s="117"/>
      <c r="P1289" s="117"/>
      <c r="Q1289" s="118"/>
      <c r="R1289" s="118"/>
      <c r="S1289" s="118"/>
      <c r="T1289" s="12"/>
      <c r="U1289" s="118"/>
      <c r="V1289" s="118"/>
      <c r="W1289" s="12"/>
      <c r="X1289" s="119"/>
      <c r="Y1289" s="120"/>
      <c r="Z1289" s="12"/>
      <c r="BA1289" s="70" t="s">
        <v>205</v>
      </c>
      <c r="BB1289" s="71" t="s">
        <v>216</v>
      </c>
      <c r="BC1289" s="71" t="s">
        <v>207</v>
      </c>
      <c r="BD1289" s="71">
        <v>4.72</v>
      </c>
      <c r="BE1289" s="71">
        <v>9.44</v>
      </c>
      <c r="BF1289" s="71">
        <v>264</v>
      </c>
      <c r="BG1289" s="71">
        <v>212</v>
      </c>
      <c r="BH1289" s="71">
        <v>5</v>
      </c>
      <c r="BI1289" s="71">
        <v>8</v>
      </c>
      <c r="BJ1289" s="12" t="str" cm="1">
        <f t="array" ref="BJ1289">_xll.Dce_Name_SectI(BF1289, BF1289, BG1289, BH1289, BI1289, "x", "-", $AX$11)</f>
        <v>264x212x5x8</v>
      </c>
      <c r="BK1289" s="77" cm="1">
        <f t="array" ref="BK1289">_xll.DCEPropSectI(BF1289, BH1289, BG1289, BI1289, BG1289, BI1289, "A")/100</f>
        <v>46.32</v>
      </c>
      <c r="BL1289" s="70" t="s">
        <v>219</v>
      </c>
      <c r="BM1289" s="70">
        <v>49.450539086560823</v>
      </c>
      <c r="BN1289" s="71">
        <v>0.9</v>
      </c>
      <c r="BO1289" s="77">
        <f t="shared" si="163"/>
        <v>8.4960000000000004</v>
      </c>
      <c r="BP1289" s="71">
        <v>0.9</v>
      </c>
      <c r="BQ1289" s="77">
        <f t="shared" si="164"/>
        <v>8.4960000000000004</v>
      </c>
      <c r="BR1289" s="77" cm="1">
        <f t="array" ref="BR1289">_xll.DCEPropSectI(BF1289, BH1289, BG1289, BI1289, BG1289, BI1289, "rx")/10</f>
        <v>11.562881075579337</v>
      </c>
      <c r="BS1289" s="77" cm="1">
        <f t="array" ref="BS1289">_xll.DCEPropSectI(BF1289, BH1289, BG1289, BI1289, BG1289, BI1289, "ry")/10</f>
        <v>5.237608536144422</v>
      </c>
      <c r="BT1289" s="5">
        <f t="shared" si="165"/>
        <v>73.476497288754857</v>
      </c>
      <c r="BU1289" s="5">
        <f t="shared" si="166"/>
        <v>162.21143564605134</v>
      </c>
      <c r="BV1289" s="5">
        <f t="shared" si="167"/>
        <v>162.21143564605134</v>
      </c>
      <c r="BW1289" s="71">
        <f t="shared" si="168"/>
        <v>400</v>
      </c>
      <c r="BX1289" s="78" cm="1">
        <f t="array" ref="BX1289">IF(BM1289&gt;0,1,_xll.DCETCVN5575FactorPhi7121(BV1289*SQRT($K$17/206000),"b"))</f>
        <v>1</v>
      </c>
      <c r="BY1289" s="64">
        <f t="shared" si="169"/>
        <v>5.0837382891850497E-2</v>
      </c>
      <c r="BZ1289" s="3" t="str">
        <f t="shared" si="170"/>
        <v>OK</v>
      </c>
    </row>
    <row r="1290" spans="1:78">
      <c r="A1290" s="76"/>
      <c r="B1290" s="76"/>
      <c r="C1290" s="125"/>
      <c r="D1290" s="125"/>
      <c r="E1290" s="71"/>
      <c r="F1290" s="71"/>
      <c r="G1290" s="71"/>
      <c r="H1290" s="126"/>
      <c r="I1290" s="125"/>
      <c r="J1290" s="123"/>
      <c r="K1290" s="12"/>
      <c r="L1290" s="117"/>
      <c r="M1290" s="12"/>
      <c r="N1290" s="117"/>
      <c r="O1290" s="117"/>
      <c r="P1290" s="117"/>
      <c r="Q1290" s="118"/>
      <c r="R1290" s="118"/>
      <c r="S1290" s="118"/>
      <c r="T1290" s="12"/>
      <c r="U1290" s="118"/>
      <c r="V1290" s="118"/>
      <c r="W1290" s="12"/>
      <c r="X1290" s="119"/>
      <c r="Y1290" s="120"/>
      <c r="Z1290" s="12"/>
      <c r="BA1290" s="70" t="s">
        <v>205</v>
      </c>
      <c r="BB1290" s="71" t="s">
        <v>216</v>
      </c>
      <c r="BC1290" s="71" t="s">
        <v>207</v>
      </c>
      <c r="BD1290" s="71">
        <v>9.44</v>
      </c>
      <c r="BE1290" s="71">
        <v>9.44</v>
      </c>
      <c r="BF1290" s="71">
        <v>264</v>
      </c>
      <c r="BG1290" s="71">
        <v>212</v>
      </c>
      <c r="BH1290" s="71">
        <v>5</v>
      </c>
      <c r="BI1290" s="71">
        <v>8</v>
      </c>
      <c r="BJ1290" s="12" t="str" cm="1">
        <f t="array" ref="BJ1290">_xll.Dce_Name_SectI(BF1290, BF1290, BG1290, BH1290, BI1290, "x", "-", $AX$11)</f>
        <v>264x212x5x8</v>
      </c>
      <c r="BK1290" s="77" cm="1">
        <f t="array" ref="BK1290">_xll.DCEPropSectI(BF1290, BH1290, BG1290, BI1290, BG1290, BI1290, "A")/100</f>
        <v>46.32</v>
      </c>
      <c r="BL1290" s="70" t="s">
        <v>219</v>
      </c>
      <c r="BM1290" s="70">
        <v>48.429948186263935</v>
      </c>
      <c r="BN1290" s="71">
        <v>0.9</v>
      </c>
      <c r="BO1290" s="77">
        <f t="shared" si="163"/>
        <v>8.4960000000000004</v>
      </c>
      <c r="BP1290" s="71">
        <v>0.9</v>
      </c>
      <c r="BQ1290" s="77">
        <f t="shared" si="164"/>
        <v>8.4960000000000004</v>
      </c>
      <c r="BR1290" s="77" cm="1">
        <f t="array" ref="BR1290">_xll.DCEPropSectI(BF1290, BH1290, BG1290, BI1290, BG1290, BI1290, "rx")/10</f>
        <v>11.562881075579337</v>
      </c>
      <c r="BS1290" s="77" cm="1">
        <f t="array" ref="BS1290">_xll.DCEPropSectI(BF1290, BH1290, BG1290, BI1290, BG1290, BI1290, "ry")/10</f>
        <v>5.237608536144422</v>
      </c>
      <c r="BT1290" s="5">
        <f t="shared" si="165"/>
        <v>73.476497288754857</v>
      </c>
      <c r="BU1290" s="5">
        <f t="shared" si="166"/>
        <v>162.21143564605134</v>
      </c>
      <c r="BV1290" s="5">
        <f t="shared" si="167"/>
        <v>162.21143564605134</v>
      </c>
      <c r="BW1290" s="71">
        <f t="shared" si="168"/>
        <v>400</v>
      </c>
      <c r="BX1290" s="78" cm="1">
        <f t="array" ref="BX1290">IF(BM1290&gt;0,1,_xll.DCETCVN5575FactorPhi7121(BV1290*SQRT($K$17/206000),"b"))</f>
        <v>1</v>
      </c>
      <c r="BY1290" s="64">
        <f t="shared" si="169"/>
        <v>4.9788169448827954E-2</v>
      </c>
      <c r="BZ1290" s="3" t="str">
        <f t="shared" si="170"/>
        <v>OK</v>
      </c>
    </row>
    <row r="1291" spans="1:78">
      <c r="A1291" s="76"/>
      <c r="B1291" s="76"/>
      <c r="C1291" s="125"/>
      <c r="D1291" s="125"/>
      <c r="E1291" s="71"/>
      <c r="F1291" s="71"/>
      <c r="G1291" s="71"/>
      <c r="H1291" s="126"/>
      <c r="I1291" s="125"/>
      <c r="J1291" s="123"/>
      <c r="K1291" s="12"/>
      <c r="L1291" s="117"/>
      <c r="M1291" s="12"/>
      <c r="N1291" s="117"/>
      <c r="O1291" s="117"/>
      <c r="P1291" s="117"/>
      <c r="Q1291" s="118"/>
      <c r="R1291" s="118"/>
      <c r="S1291" s="118"/>
      <c r="T1291" s="12"/>
      <c r="U1291" s="118"/>
      <c r="V1291" s="118"/>
      <c r="W1291" s="12"/>
      <c r="X1291" s="119"/>
      <c r="Y1291" s="120"/>
      <c r="Z1291" s="12"/>
      <c r="BA1291" s="70" t="s">
        <v>205</v>
      </c>
      <c r="BB1291" s="71" t="s">
        <v>216</v>
      </c>
      <c r="BC1291" s="71" t="s">
        <v>207</v>
      </c>
      <c r="BD1291" s="71">
        <v>0</v>
      </c>
      <c r="BE1291" s="71">
        <v>9.44</v>
      </c>
      <c r="BF1291" s="71">
        <v>264</v>
      </c>
      <c r="BG1291" s="71">
        <v>212</v>
      </c>
      <c r="BH1291" s="71">
        <v>5</v>
      </c>
      <c r="BI1291" s="71">
        <v>8</v>
      </c>
      <c r="BJ1291" s="12" t="str" cm="1">
        <f t="array" ref="BJ1291">_xll.Dce_Name_SectI(BF1291, BF1291, BG1291, BH1291, BI1291, "x", "-", $AX$11)</f>
        <v>264x212x5x8</v>
      </c>
      <c r="BK1291" s="77" cm="1">
        <f t="array" ref="BK1291">_xll.DCEPropSectI(BF1291, BH1291, BG1291, BI1291, BG1291, BI1291, "A")/100</f>
        <v>46.32</v>
      </c>
      <c r="BL1291" s="70" t="s">
        <v>220</v>
      </c>
      <c r="BM1291" s="70">
        <v>78.955149710127216</v>
      </c>
      <c r="BN1291" s="71">
        <v>0.9</v>
      </c>
      <c r="BO1291" s="77">
        <f t="shared" si="163"/>
        <v>8.4960000000000004</v>
      </c>
      <c r="BP1291" s="71">
        <v>0.9</v>
      </c>
      <c r="BQ1291" s="77">
        <f t="shared" si="164"/>
        <v>8.4960000000000004</v>
      </c>
      <c r="BR1291" s="77" cm="1">
        <f t="array" ref="BR1291">_xll.DCEPropSectI(BF1291, BH1291, BG1291, BI1291, BG1291, BI1291, "rx")/10</f>
        <v>11.562881075579337</v>
      </c>
      <c r="BS1291" s="77" cm="1">
        <f t="array" ref="BS1291">_xll.DCEPropSectI(BF1291, BH1291, BG1291, BI1291, BG1291, BI1291, "ry")/10</f>
        <v>5.237608536144422</v>
      </c>
      <c r="BT1291" s="5">
        <f t="shared" si="165"/>
        <v>73.476497288754857</v>
      </c>
      <c r="BU1291" s="5">
        <f t="shared" si="166"/>
        <v>162.21143564605134</v>
      </c>
      <c r="BV1291" s="5">
        <f t="shared" si="167"/>
        <v>162.21143564605134</v>
      </c>
      <c r="BW1291" s="71">
        <f t="shared" si="168"/>
        <v>400</v>
      </c>
      <c r="BX1291" s="78" cm="1">
        <f t="array" ref="BX1291">IF(BM1291&gt;0,1,_xll.DCETCVN5575FactorPhi7121(BV1291*SQRT($K$17/206000),"b"))</f>
        <v>1</v>
      </c>
      <c r="BY1291" s="64">
        <f t="shared" si="169"/>
        <v>8.1169452370802711E-2</v>
      </c>
      <c r="BZ1291" s="3" t="str">
        <f t="shared" si="170"/>
        <v>OK</v>
      </c>
    </row>
    <row r="1292" spans="1:78">
      <c r="A1292" s="76"/>
      <c r="B1292" s="76"/>
      <c r="C1292" s="125"/>
      <c r="D1292" s="125"/>
      <c r="E1292" s="71"/>
      <c r="F1292" s="71"/>
      <c r="G1292" s="71"/>
      <c r="H1292" s="126"/>
      <c r="I1292" s="125"/>
      <c r="J1292" s="123"/>
      <c r="K1292" s="12"/>
      <c r="L1292" s="117"/>
      <c r="M1292" s="12"/>
      <c r="N1292" s="117"/>
      <c r="O1292" s="117"/>
      <c r="P1292" s="117"/>
      <c r="Q1292" s="118"/>
      <c r="R1292" s="118"/>
      <c r="S1292" s="118"/>
      <c r="T1292" s="12"/>
      <c r="U1292" s="118"/>
      <c r="V1292" s="118"/>
      <c r="W1292" s="12"/>
      <c r="X1292" s="119"/>
      <c r="Y1292" s="120"/>
      <c r="Z1292" s="12"/>
      <c r="BA1292" s="70" t="s">
        <v>205</v>
      </c>
      <c r="BB1292" s="71" t="s">
        <v>216</v>
      </c>
      <c r="BC1292" s="71" t="s">
        <v>207</v>
      </c>
      <c r="BD1292" s="71">
        <v>4.72</v>
      </c>
      <c r="BE1292" s="71">
        <v>9.44</v>
      </c>
      <c r="BF1292" s="71">
        <v>264</v>
      </c>
      <c r="BG1292" s="71">
        <v>212</v>
      </c>
      <c r="BH1292" s="71">
        <v>5</v>
      </c>
      <c r="BI1292" s="71">
        <v>8</v>
      </c>
      <c r="BJ1292" s="12" t="str" cm="1">
        <f t="array" ref="BJ1292">_xll.Dce_Name_SectI(BF1292, BF1292, BG1292, BH1292, BI1292, "x", "-", $AX$11)</f>
        <v>264x212x5x8</v>
      </c>
      <c r="BK1292" s="77" cm="1">
        <f t="array" ref="BK1292">_xll.DCEPropSectI(BF1292, BH1292, BG1292, BI1292, BG1292, BI1292, "A")/100</f>
        <v>46.32</v>
      </c>
      <c r="BL1292" s="70" t="s">
        <v>220</v>
      </c>
      <c r="BM1292" s="70">
        <v>77.934558809830335</v>
      </c>
      <c r="BN1292" s="71">
        <v>0.9</v>
      </c>
      <c r="BO1292" s="77">
        <f t="shared" si="163"/>
        <v>8.4960000000000004</v>
      </c>
      <c r="BP1292" s="71">
        <v>0.9</v>
      </c>
      <c r="BQ1292" s="77">
        <f t="shared" si="164"/>
        <v>8.4960000000000004</v>
      </c>
      <c r="BR1292" s="77" cm="1">
        <f t="array" ref="BR1292">_xll.DCEPropSectI(BF1292, BH1292, BG1292, BI1292, BG1292, BI1292, "rx")/10</f>
        <v>11.562881075579337</v>
      </c>
      <c r="BS1292" s="77" cm="1">
        <f t="array" ref="BS1292">_xll.DCEPropSectI(BF1292, BH1292, BG1292, BI1292, BG1292, BI1292, "ry")/10</f>
        <v>5.237608536144422</v>
      </c>
      <c r="BT1292" s="5">
        <f t="shared" si="165"/>
        <v>73.476497288754857</v>
      </c>
      <c r="BU1292" s="5">
        <f t="shared" si="166"/>
        <v>162.21143564605134</v>
      </c>
      <c r="BV1292" s="5">
        <f t="shared" si="167"/>
        <v>162.21143564605134</v>
      </c>
      <c r="BW1292" s="71">
        <f t="shared" si="168"/>
        <v>400</v>
      </c>
      <c r="BX1292" s="78" cm="1">
        <f t="array" ref="BX1292">IF(BM1292&gt;0,1,_xll.DCETCVN5575FactorPhi7121(BV1292*SQRT($K$17/206000),"b"))</f>
        <v>1</v>
      </c>
      <c r="BY1292" s="64">
        <f t="shared" si="169"/>
        <v>8.0120238927780169E-2</v>
      </c>
      <c r="BZ1292" s="3" t="str">
        <f t="shared" si="170"/>
        <v>OK</v>
      </c>
    </row>
    <row r="1293" spans="1:78">
      <c r="A1293" s="76"/>
      <c r="B1293" s="76"/>
      <c r="C1293" s="125"/>
      <c r="D1293" s="125"/>
      <c r="E1293" s="71"/>
      <c r="F1293" s="71"/>
      <c r="G1293" s="71"/>
      <c r="H1293" s="126"/>
      <c r="I1293" s="125"/>
      <c r="J1293" s="123"/>
      <c r="K1293" s="12"/>
      <c r="L1293" s="117"/>
      <c r="M1293" s="12"/>
      <c r="N1293" s="117"/>
      <c r="O1293" s="117"/>
      <c r="P1293" s="117"/>
      <c r="Q1293" s="118"/>
      <c r="R1293" s="118"/>
      <c r="S1293" s="118"/>
      <c r="T1293" s="12"/>
      <c r="U1293" s="118"/>
      <c r="V1293" s="118"/>
      <c r="W1293" s="12"/>
      <c r="X1293" s="119"/>
      <c r="Y1293" s="120"/>
      <c r="Z1293" s="12"/>
      <c r="BA1293" s="70" t="s">
        <v>205</v>
      </c>
      <c r="BB1293" s="71" t="s">
        <v>216</v>
      </c>
      <c r="BC1293" s="71" t="s">
        <v>207</v>
      </c>
      <c r="BD1293" s="71">
        <v>9.44</v>
      </c>
      <c r="BE1293" s="71">
        <v>9.44</v>
      </c>
      <c r="BF1293" s="71">
        <v>264</v>
      </c>
      <c r="BG1293" s="71">
        <v>212</v>
      </c>
      <c r="BH1293" s="71">
        <v>5</v>
      </c>
      <c r="BI1293" s="71">
        <v>8</v>
      </c>
      <c r="BJ1293" s="12" t="str" cm="1">
        <f t="array" ref="BJ1293">_xll.Dce_Name_SectI(BF1293, BF1293, BG1293, BH1293, BI1293, "x", "-", $AX$11)</f>
        <v>264x212x5x8</v>
      </c>
      <c r="BK1293" s="77" cm="1">
        <f t="array" ref="BK1293">_xll.DCEPropSectI(BF1293, BH1293, BG1293, BI1293, BG1293, BI1293, "A")/100</f>
        <v>46.32</v>
      </c>
      <c r="BL1293" s="70" t="s">
        <v>220</v>
      </c>
      <c r="BM1293" s="70">
        <v>76.913967909533454</v>
      </c>
      <c r="BN1293" s="71">
        <v>0.9</v>
      </c>
      <c r="BO1293" s="77">
        <f t="shared" ref="BO1293:BO1311" si="171">BN1293*BE1293</f>
        <v>8.4960000000000004</v>
      </c>
      <c r="BP1293" s="71">
        <v>0.9</v>
      </c>
      <c r="BQ1293" s="77">
        <f t="shared" ref="BQ1293:BQ1311" si="172">BP1293*BE1293</f>
        <v>8.4960000000000004</v>
      </c>
      <c r="BR1293" s="77" cm="1">
        <f t="array" ref="BR1293">_xll.DCEPropSectI(BF1293, BH1293, BG1293, BI1293, BG1293, BI1293, "rx")/10</f>
        <v>11.562881075579337</v>
      </c>
      <c r="BS1293" s="77" cm="1">
        <f t="array" ref="BS1293">_xll.DCEPropSectI(BF1293, BH1293, BG1293, BI1293, BG1293, BI1293, "ry")/10</f>
        <v>5.237608536144422</v>
      </c>
      <c r="BT1293" s="5">
        <f t="shared" ref="BT1293:BT1311" si="173">BO1293*100/BR1293</f>
        <v>73.476497288754857</v>
      </c>
      <c r="BU1293" s="5">
        <f t="shared" ref="BU1293:BU1311" si="174">BQ1293*100/BS1293</f>
        <v>162.21143564605134</v>
      </c>
      <c r="BV1293" s="5">
        <f t="shared" ref="BV1293:BV1311" si="175">MAX(BT1293,BU1293)</f>
        <v>162.21143564605134</v>
      </c>
      <c r="BW1293" s="71">
        <f t="shared" ref="BW1293:BW1311" si="176">IF(BM1293&lt;0,$AY$14,$AY$15)</f>
        <v>400</v>
      </c>
      <c r="BX1293" s="78" cm="1">
        <f t="array" ref="BX1293">IF(BM1293&gt;0,1,_xll.DCETCVN5575FactorPhi7121(BV1293*SQRT($K$17/206000),"b"))</f>
        <v>1</v>
      </c>
      <c r="BY1293" s="64">
        <f t="shared" ref="BY1293:BY1311" si="177">ABS(BM1293)/(BX1293*BK1293*$K$17*$K$19)*10</f>
        <v>7.907102548475764E-2</v>
      </c>
      <c r="BZ1293" s="3" t="str">
        <f t="shared" ref="BZ1293:BZ1311" si="178">IF(AND(BV1293&lt;=BW1293,BY1293&lt;=1),"OK","Check")</f>
        <v>OK</v>
      </c>
    </row>
    <row r="1294" spans="1:78">
      <c r="A1294" s="76"/>
      <c r="B1294" s="76"/>
      <c r="C1294" s="125"/>
      <c r="D1294" s="125"/>
      <c r="E1294" s="71"/>
      <c r="F1294" s="71"/>
      <c r="G1294" s="71"/>
      <c r="H1294" s="126"/>
      <c r="I1294" s="125"/>
      <c r="J1294" s="123"/>
      <c r="K1294" s="12"/>
      <c r="L1294" s="117"/>
      <c r="M1294" s="12"/>
      <c r="N1294" s="117"/>
      <c r="O1294" s="117"/>
      <c r="P1294" s="117"/>
      <c r="Q1294" s="118"/>
      <c r="R1294" s="118"/>
      <c r="S1294" s="118"/>
      <c r="T1294" s="12"/>
      <c r="U1294" s="118"/>
      <c r="V1294" s="118"/>
      <c r="W1294" s="12"/>
      <c r="X1294" s="119"/>
      <c r="Y1294" s="120"/>
      <c r="Z1294" s="12"/>
      <c r="BA1294" s="70" t="s">
        <v>205</v>
      </c>
      <c r="BB1294" s="71" t="s">
        <v>216</v>
      </c>
      <c r="BC1294" s="71" t="s">
        <v>207</v>
      </c>
      <c r="BD1294" s="71">
        <v>0</v>
      </c>
      <c r="BE1294" s="71">
        <v>9.44</v>
      </c>
      <c r="BF1294" s="71">
        <v>264</v>
      </c>
      <c r="BG1294" s="71">
        <v>212</v>
      </c>
      <c r="BH1294" s="71">
        <v>5</v>
      </c>
      <c r="BI1294" s="71">
        <v>8</v>
      </c>
      <c r="BJ1294" s="12" t="str" cm="1">
        <f t="array" ref="BJ1294">_xll.Dce_Name_SectI(BF1294, BF1294, BG1294, BH1294, BI1294, "x", "-", $AX$11)</f>
        <v>264x212x5x8</v>
      </c>
      <c r="BK1294" s="77" cm="1">
        <f t="array" ref="BK1294">_xll.DCEPropSectI(BF1294, BH1294, BG1294, BI1294, BG1294, BI1294, "A")/100</f>
        <v>46.32</v>
      </c>
      <c r="BL1294" s="70" t="s">
        <v>221</v>
      </c>
      <c r="BM1294" s="70">
        <v>78.581012203258467</v>
      </c>
      <c r="BN1294" s="71">
        <v>0.9</v>
      </c>
      <c r="BO1294" s="77">
        <f t="shared" si="171"/>
        <v>8.4960000000000004</v>
      </c>
      <c r="BP1294" s="71">
        <v>0.9</v>
      </c>
      <c r="BQ1294" s="77">
        <f t="shared" si="172"/>
        <v>8.4960000000000004</v>
      </c>
      <c r="BR1294" s="77" cm="1">
        <f t="array" ref="BR1294">_xll.DCEPropSectI(BF1294, BH1294, BG1294, BI1294, BG1294, BI1294, "rx")/10</f>
        <v>11.562881075579337</v>
      </c>
      <c r="BS1294" s="77" cm="1">
        <f t="array" ref="BS1294">_xll.DCEPropSectI(BF1294, BH1294, BG1294, BI1294, BG1294, BI1294, "ry")/10</f>
        <v>5.237608536144422</v>
      </c>
      <c r="BT1294" s="5">
        <f t="shared" si="173"/>
        <v>73.476497288754857</v>
      </c>
      <c r="BU1294" s="5">
        <f t="shared" si="174"/>
        <v>162.21143564605134</v>
      </c>
      <c r="BV1294" s="5">
        <f t="shared" si="175"/>
        <v>162.21143564605134</v>
      </c>
      <c r="BW1294" s="71">
        <f t="shared" si="176"/>
        <v>400</v>
      </c>
      <c r="BX1294" s="78" cm="1">
        <f t="array" ref="BX1294">IF(BM1294&gt;0,1,_xll.DCETCVN5575FactorPhi7121(BV1294*SQRT($K$17/206000),"b"))</f>
        <v>1</v>
      </c>
      <c r="BY1294" s="64">
        <f t="shared" si="177"/>
        <v>8.0784822151552818E-2</v>
      </c>
      <c r="BZ1294" s="3" t="str">
        <f t="shared" si="178"/>
        <v>OK</v>
      </c>
    </row>
    <row r="1295" spans="1:78">
      <c r="A1295" s="76"/>
      <c r="B1295" s="76"/>
      <c r="C1295" s="125"/>
      <c r="D1295" s="125"/>
      <c r="E1295" s="71"/>
      <c r="F1295" s="71"/>
      <c r="G1295" s="71"/>
      <c r="H1295" s="126"/>
      <c r="I1295" s="125"/>
      <c r="J1295" s="123"/>
      <c r="K1295" s="12"/>
      <c r="L1295" s="117"/>
      <c r="M1295" s="12"/>
      <c r="N1295" s="117"/>
      <c r="O1295" s="117"/>
      <c r="P1295" s="117"/>
      <c r="Q1295" s="118"/>
      <c r="R1295" s="118"/>
      <c r="S1295" s="118"/>
      <c r="T1295" s="12"/>
      <c r="U1295" s="118"/>
      <c r="V1295" s="118"/>
      <c r="W1295" s="12"/>
      <c r="X1295" s="119"/>
      <c r="Y1295" s="120"/>
      <c r="Z1295" s="12"/>
      <c r="BA1295" s="70" t="s">
        <v>205</v>
      </c>
      <c r="BB1295" s="71" t="s">
        <v>216</v>
      </c>
      <c r="BC1295" s="71" t="s">
        <v>207</v>
      </c>
      <c r="BD1295" s="71">
        <v>4.72</v>
      </c>
      <c r="BE1295" s="71">
        <v>9.44</v>
      </c>
      <c r="BF1295" s="71">
        <v>264</v>
      </c>
      <c r="BG1295" s="71">
        <v>212</v>
      </c>
      <c r="BH1295" s="71">
        <v>5</v>
      </c>
      <c r="BI1295" s="71">
        <v>8</v>
      </c>
      <c r="BJ1295" s="12" t="str" cm="1">
        <f t="array" ref="BJ1295">_xll.Dce_Name_SectI(BF1295, BF1295, BG1295, BH1295, BI1295, "x", "-", $AX$11)</f>
        <v>264x212x5x8</v>
      </c>
      <c r="BK1295" s="77" cm="1">
        <f t="array" ref="BK1295">_xll.DCEPropSectI(BF1295, BH1295, BG1295, BI1295, BG1295, BI1295, "A")/100</f>
        <v>46.32</v>
      </c>
      <c r="BL1295" s="70" t="s">
        <v>221</v>
      </c>
      <c r="BM1295" s="70">
        <v>77.560421302961586</v>
      </c>
      <c r="BN1295" s="71">
        <v>0.9</v>
      </c>
      <c r="BO1295" s="77">
        <f t="shared" si="171"/>
        <v>8.4960000000000004</v>
      </c>
      <c r="BP1295" s="71">
        <v>0.9</v>
      </c>
      <c r="BQ1295" s="77">
        <f t="shared" si="172"/>
        <v>8.4960000000000004</v>
      </c>
      <c r="BR1295" s="77" cm="1">
        <f t="array" ref="BR1295">_xll.DCEPropSectI(BF1295, BH1295, BG1295, BI1295, BG1295, BI1295, "rx")/10</f>
        <v>11.562881075579337</v>
      </c>
      <c r="BS1295" s="77" cm="1">
        <f t="array" ref="BS1295">_xll.DCEPropSectI(BF1295, BH1295, BG1295, BI1295, BG1295, BI1295, "ry")/10</f>
        <v>5.237608536144422</v>
      </c>
      <c r="BT1295" s="5">
        <f t="shared" si="173"/>
        <v>73.476497288754857</v>
      </c>
      <c r="BU1295" s="5">
        <f t="shared" si="174"/>
        <v>162.21143564605134</v>
      </c>
      <c r="BV1295" s="5">
        <f t="shared" si="175"/>
        <v>162.21143564605134</v>
      </c>
      <c r="BW1295" s="71">
        <f t="shared" si="176"/>
        <v>400</v>
      </c>
      <c r="BX1295" s="78" cm="1">
        <f t="array" ref="BX1295">IF(BM1295&gt;0,1,_xll.DCETCVN5575FactorPhi7121(BV1295*SQRT($K$17/206000),"b"))</f>
        <v>1</v>
      </c>
      <c r="BY1295" s="64">
        <f t="shared" si="177"/>
        <v>7.9735608708530276E-2</v>
      </c>
      <c r="BZ1295" s="3" t="str">
        <f t="shared" si="178"/>
        <v>OK</v>
      </c>
    </row>
    <row r="1296" spans="1:78">
      <c r="A1296" s="76"/>
      <c r="B1296" s="76"/>
      <c r="C1296" s="125"/>
      <c r="D1296" s="125"/>
      <c r="E1296" s="71"/>
      <c r="F1296" s="71"/>
      <c r="G1296" s="71"/>
      <c r="H1296" s="126"/>
      <c r="I1296" s="125"/>
      <c r="J1296" s="123"/>
      <c r="K1296" s="12"/>
      <c r="L1296" s="117"/>
      <c r="M1296" s="12"/>
      <c r="N1296" s="117"/>
      <c r="O1296" s="117"/>
      <c r="P1296" s="117"/>
      <c r="Q1296" s="118"/>
      <c r="R1296" s="118"/>
      <c r="S1296" s="118"/>
      <c r="T1296" s="12"/>
      <c r="U1296" s="118"/>
      <c r="V1296" s="118"/>
      <c r="W1296" s="12"/>
      <c r="X1296" s="119"/>
      <c r="Y1296" s="120"/>
      <c r="Z1296" s="12"/>
      <c r="BA1296" s="70" t="s">
        <v>205</v>
      </c>
      <c r="BB1296" s="71" t="s">
        <v>216</v>
      </c>
      <c r="BC1296" s="71" t="s">
        <v>207</v>
      </c>
      <c r="BD1296" s="71">
        <v>9.44</v>
      </c>
      <c r="BE1296" s="71">
        <v>9.44</v>
      </c>
      <c r="BF1296" s="71">
        <v>264</v>
      </c>
      <c r="BG1296" s="71">
        <v>212</v>
      </c>
      <c r="BH1296" s="71">
        <v>5</v>
      </c>
      <c r="BI1296" s="71">
        <v>8</v>
      </c>
      <c r="BJ1296" s="12" t="str" cm="1">
        <f t="array" ref="BJ1296">_xll.Dce_Name_SectI(BF1296, BF1296, BG1296, BH1296, BI1296, "x", "-", $AX$11)</f>
        <v>264x212x5x8</v>
      </c>
      <c r="BK1296" s="77" cm="1">
        <f t="array" ref="BK1296">_xll.DCEPropSectI(BF1296, BH1296, BG1296, BI1296, BG1296, BI1296, "A")/100</f>
        <v>46.32</v>
      </c>
      <c r="BL1296" s="70" t="s">
        <v>221</v>
      </c>
      <c r="BM1296" s="70">
        <v>76.539830402664705</v>
      </c>
      <c r="BN1296" s="71">
        <v>0.9</v>
      </c>
      <c r="BO1296" s="77">
        <f t="shared" si="171"/>
        <v>8.4960000000000004</v>
      </c>
      <c r="BP1296" s="71">
        <v>0.9</v>
      </c>
      <c r="BQ1296" s="77">
        <f t="shared" si="172"/>
        <v>8.4960000000000004</v>
      </c>
      <c r="BR1296" s="77" cm="1">
        <f t="array" ref="BR1296">_xll.DCEPropSectI(BF1296, BH1296, BG1296, BI1296, BG1296, BI1296, "rx")/10</f>
        <v>11.562881075579337</v>
      </c>
      <c r="BS1296" s="77" cm="1">
        <f t="array" ref="BS1296">_xll.DCEPropSectI(BF1296, BH1296, BG1296, BI1296, BG1296, BI1296, "ry")/10</f>
        <v>5.237608536144422</v>
      </c>
      <c r="BT1296" s="5">
        <f t="shared" si="173"/>
        <v>73.476497288754857</v>
      </c>
      <c r="BU1296" s="5">
        <f t="shared" si="174"/>
        <v>162.21143564605134</v>
      </c>
      <c r="BV1296" s="5">
        <f t="shared" si="175"/>
        <v>162.21143564605134</v>
      </c>
      <c r="BW1296" s="71">
        <f t="shared" si="176"/>
        <v>400</v>
      </c>
      <c r="BX1296" s="78" cm="1">
        <f t="array" ref="BX1296">IF(BM1296&gt;0,1,_xll.DCETCVN5575FactorPhi7121(BV1296*SQRT($K$17/206000),"b"))</f>
        <v>1</v>
      </c>
      <c r="BY1296" s="64">
        <f t="shared" si="177"/>
        <v>7.8686395265507747E-2</v>
      </c>
      <c r="BZ1296" s="3" t="str">
        <f t="shared" si="178"/>
        <v>OK</v>
      </c>
    </row>
    <row r="1297" spans="1:78">
      <c r="A1297" s="76"/>
      <c r="B1297" s="76"/>
      <c r="C1297" s="125"/>
      <c r="D1297" s="125"/>
      <c r="E1297" s="71"/>
      <c r="F1297" s="71"/>
      <c r="G1297" s="71"/>
      <c r="H1297" s="126"/>
      <c r="I1297" s="125"/>
      <c r="J1297" s="123"/>
      <c r="K1297" s="12"/>
      <c r="L1297" s="117"/>
      <c r="M1297" s="12"/>
      <c r="N1297" s="117"/>
      <c r="O1297" s="117"/>
      <c r="P1297" s="117"/>
      <c r="Q1297" s="118"/>
      <c r="R1297" s="118"/>
      <c r="S1297" s="118"/>
      <c r="T1297" s="12"/>
      <c r="U1297" s="118"/>
      <c r="V1297" s="118"/>
      <c r="W1297" s="12"/>
      <c r="X1297" s="119"/>
      <c r="Y1297" s="120"/>
      <c r="Z1297" s="12"/>
      <c r="BA1297" s="70" t="s">
        <v>205</v>
      </c>
      <c r="BB1297" s="71" t="s">
        <v>216</v>
      </c>
      <c r="BC1297" s="71" t="s">
        <v>207</v>
      </c>
      <c r="BD1297" s="71">
        <v>0</v>
      </c>
      <c r="BE1297" s="71">
        <v>9.44</v>
      </c>
      <c r="BF1297" s="71">
        <v>264</v>
      </c>
      <c r="BG1297" s="71">
        <v>212</v>
      </c>
      <c r="BH1297" s="71">
        <v>5</v>
      </c>
      <c r="BI1297" s="71">
        <v>8</v>
      </c>
      <c r="BJ1297" s="12" t="str" cm="1">
        <f t="array" ref="BJ1297">_xll.Dce_Name_SectI(BF1297, BF1297, BG1297, BH1297, BI1297, "x", "-", $AX$11)</f>
        <v>264x212x5x8</v>
      </c>
      <c r="BK1297" s="77" cm="1">
        <f t="array" ref="BK1297">_xll.DCEPropSectI(BF1297, BH1297, BG1297, BI1297, BG1297, BI1297, "A")/100</f>
        <v>46.32</v>
      </c>
      <c r="BL1297" s="70" t="s">
        <v>222</v>
      </c>
      <c r="BM1297" s="70">
        <v>75.543350364700729</v>
      </c>
      <c r="BN1297" s="71">
        <v>0.9</v>
      </c>
      <c r="BO1297" s="77">
        <f t="shared" si="171"/>
        <v>8.4960000000000004</v>
      </c>
      <c r="BP1297" s="71">
        <v>0.9</v>
      </c>
      <c r="BQ1297" s="77">
        <f t="shared" si="172"/>
        <v>8.4960000000000004</v>
      </c>
      <c r="BR1297" s="77" cm="1">
        <f t="array" ref="BR1297">_xll.DCEPropSectI(BF1297, BH1297, BG1297, BI1297, BG1297, BI1297, "rx")/10</f>
        <v>11.562881075579337</v>
      </c>
      <c r="BS1297" s="77" cm="1">
        <f t="array" ref="BS1297">_xll.DCEPropSectI(BF1297, BH1297, BG1297, BI1297, BG1297, BI1297, "ry")/10</f>
        <v>5.237608536144422</v>
      </c>
      <c r="BT1297" s="5">
        <f t="shared" si="173"/>
        <v>73.476497288754857</v>
      </c>
      <c r="BU1297" s="5">
        <f t="shared" si="174"/>
        <v>162.21143564605134</v>
      </c>
      <c r="BV1297" s="5">
        <f t="shared" si="175"/>
        <v>162.21143564605134</v>
      </c>
      <c r="BW1297" s="71">
        <f t="shared" si="176"/>
        <v>400</v>
      </c>
      <c r="BX1297" s="78" cm="1">
        <f t="array" ref="BX1297">IF(BM1297&gt;0,1,_xll.DCETCVN5575FactorPhi7121(BV1297*SQRT($K$17/206000),"b"))</f>
        <v>1</v>
      </c>
      <c r="BY1297" s="64">
        <f t="shared" si="177"/>
        <v>7.7661968875627846E-2</v>
      </c>
      <c r="BZ1297" s="3" t="str">
        <f t="shared" si="178"/>
        <v>OK</v>
      </c>
    </row>
    <row r="1298" spans="1:78">
      <c r="A1298" s="76"/>
      <c r="B1298" s="76"/>
      <c r="C1298" s="125"/>
      <c r="D1298" s="125"/>
      <c r="E1298" s="71"/>
      <c r="F1298" s="71"/>
      <c r="G1298" s="71"/>
      <c r="H1298" s="126"/>
      <c r="I1298" s="125"/>
      <c r="J1298" s="123"/>
      <c r="K1298" s="12"/>
      <c r="L1298" s="117"/>
      <c r="M1298" s="12"/>
      <c r="N1298" s="117"/>
      <c r="O1298" s="117"/>
      <c r="P1298" s="117"/>
      <c r="Q1298" s="118"/>
      <c r="R1298" s="118"/>
      <c r="S1298" s="118"/>
      <c r="T1298" s="12"/>
      <c r="U1298" s="118"/>
      <c r="V1298" s="118"/>
      <c r="W1298" s="12"/>
      <c r="X1298" s="119"/>
      <c r="Y1298" s="120"/>
      <c r="Z1298" s="12"/>
      <c r="BA1298" s="70" t="s">
        <v>205</v>
      </c>
      <c r="BB1298" s="71" t="s">
        <v>216</v>
      </c>
      <c r="BC1298" s="71" t="s">
        <v>207</v>
      </c>
      <c r="BD1298" s="71">
        <v>4.72</v>
      </c>
      <c r="BE1298" s="71">
        <v>9.44</v>
      </c>
      <c r="BF1298" s="71">
        <v>264</v>
      </c>
      <c r="BG1298" s="71">
        <v>212</v>
      </c>
      <c r="BH1298" s="71">
        <v>5</v>
      </c>
      <c r="BI1298" s="71">
        <v>8</v>
      </c>
      <c r="BJ1298" s="12" t="str" cm="1">
        <f t="array" ref="BJ1298">_xll.Dce_Name_SectI(BF1298, BF1298, BG1298, BH1298, BI1298, "x", "-", $AX$11)</f>
        <v>264x212x5x8</v>
      </c>
      <c r="BK1298" s="77" cm="1">
        <f t="array" ref="BK1298">_xll.DCEPropSectI(BF1298, BH1298, BG1298, BI1298, BG1298, BI1298, "A")/100</f>
        <v>46.32</v>
      </c>
      <c r="BL1298" s="70" t="s">
        <v>222</v>
      </c>
      <c r="BM1298" s="70">
        <v>74.522759464403848</v>
      </c>
      <c r="BN1298" s="71">
        <v>0.9</v>
      </c>
      <c r="BO1298" s="77">
        <f t="shared" si="171"/>
        <v>8.4960000000000004</v>
      </c>
      <c r="BP1298" s="71">
        <v>0.9</v>
      </c>
      <c r="BQ1298" s="77">
        <f t="shared" si="172"/>
        <v>8.4960000000000004</v>
      </c>
      <c r="BR1298" s="77" cm="1">
        <f t="array" ref="BR1298">_xll.DCEPropSectI(BF1298, BH1298, BG1298, BI1298, BG1298, BI1298, "rx")/10</f>
        <v>11.562881075579337</v>
      </c>
      <c r="BS1298" s="77" cm="1">
        <f t="array" ref="BS1298">_xll.DCEPropSectI(BF1298, BH1298, BG1298, BI1298, BG1298, BI1298, "ry")/10</f>
        <v>5.237608536144422</v>
      </c>
      <c r="BT1298" s="5">
        <f t="shared" si="173"/>
        <v>73.476497288754857</v>
      </c>
      <c r="BU1298" s="5">
        <f t="shared" si="174"/>
        <v>162.21143564605134</v>
      </c>
      <c r="BV1298" s="5">
        <f t="shared" si="175"/>
        <v>162.21143564605134</v>
      </c>
      <c r="BW1298" s="71">
        <f t="shared" si="176"/>
        <v>400</v>
      </c>
      <c r="BX1298" s="78" cm="1">
        <f t="array" ref="BX1298">IF(BM1298&gt;0,1,_xll.DCETCVN5575FactorPhi7121(BV1298*SQRT($K$17/206000),"b"))</f>
        <v>1</v>
      </c>
      <c r="BY1298" s="64">
        <f t="shared" si="177"/>
        <v>7.6612755432605317E-2</v>
      </c>
      <c r="BZ1298" s="3" t="str">
        <f t="shared" si="178"/>
        <v>OK</v>
      </c>
    </row>
    <row r="1299" spans="1:78">
      <c r="A1299" s="76"/>
      <c r="B1299" s="76"/>
      <c r="C1299" s="125"/>
      <c r="D1299" s="125"/>
      <c r="E1299" s="71"/>
      <c r="F1299" s="71"/>
      <c r="G1299" s="71"/>
      <c r="H1299" s="126"/>
      <c r="I1299" s="125"/>
      <c r="J1299" s="123"/>
      <c r="K1299" s="12"/>
      <c r="L1299" s="117"/>
      <c r="M1299" s="12"/>
      <c r="N1299" s="117"/>
      <c r="O1299" s="117"/>
      <c r="P1299" s="117"/>
      <c r="Q1299" s="118"/>
      <c r="R1299" s="118"/>
      <c r="S1299" s="118"/>
      <c r="T1299" s="12"/>
      <c r="U1299" s="118"/>
      <c r="V1299" s="118"/>
      <c r="W1299" s="12"/>
      <c r="X1299" s="119"/>
      <c r="Y1299" s="120"/>
      <c r="Z1299" s="12"/>
      <c r="BA1299" s="70" t="s">
        <v>205</v>
      </c>
      <c r="BB1299" s="71" t="s">
        <v>216</v>
      </c>
      <c r="BC1299" s="71" t="s">
        <v>207</v>
      </c>
      <c r="BD1299" s="71">
        <v>9.44</v>
      </c>
      <c r="BE1299" s="71">
        <v>9.44</v>
      </c>
      <c r="BF1299" s="71">
        <v>264</v>
      </c>
      <c r="BG1299" s="71">
        <v>212</v>
      </c>
      <c r="BH1299" s="71">
        <v>5</v>
      </c>
      <c r="BI1299" s="71">
        <v>8</v>
      </c>
      <c r="BJ1299" s="12" t="str" cm="1">
        <f t="array" ref="BJ1299">_xll.Dce_Name_SectI(BF1299, BF1299, BG1299, BH1299, BI1299, "x", "-", $AX$11)</f>
        <v>264x212x5x8</v>
      </c>
      <c r="BK1299" s="77" cm="1">
        <f t="array" ref="BK1299">_xll.DCEPropSectI(BF1299, BH1299, BG1299, BI1299, BG1299, BI1299, "A")/100</f>
        <v>46.32</v>
      </c>
      <c r="BL1299" s="70" t="s">
        <v>222</v>
      </c>
      <c r="BM1299" s="70">
        <v>73.502168564106967</v>
      </c>
      <c r="BN1299" s="71">
        <v>0.9</v>
      </c>
      <c r="BO1299" s="77">
        <f t="shared" si="171"/>
        <v>8.4960000000000004</v>
      </c>
      <c r="BP1299" s="71">
        <v>0.9</v>
      </c>
      <c r="BQ1299" s="77">
        <f t="shared" si="172"/>
        <v>8.4960000000000004</v>
      </c>
      <c r="BR1299" s="77" cm="1">
        <f t="array" ref="BR1299">_xll.DCEPropSectI(BF1299, BH1299, BG1299, BI1299, BG1299, BI1299, "rx")/10</f>
        <v>11.562881075579337</v>
      </c>
      <c r="BS1299" s="77" cm="1">
        <f t="array" ref="BS1299">_xll.DCEPropSectI(BF1299, BH1299, BG1299, BI1299, BG1299, BI1299, "ry")/10</f>
        <v>5.237608536144422</v>
      </c>
      <c r="BT1299" s="5">
        <f t="shared" si="173"/>
        <v>73.476497288754857</v>
      </c>
      <c r="BU1299" s="5">
        <f t="shared" si="174"/>
        <v>162.21143564605134</v>
      </c>
      <c r="BV1299" s="5">
        <f t="shared" si="175"/>
        <v>162.21143564605134</v>
      </c>
      <c r="BW1299" s="71">
        <f t="shared" si="176"/>
        <v>400</v>
      </c>
      <c r="BX1299" s="78" cm="1">
        <f t="array" ref="BX1299">IF(BM1299&gt;0,1,_xll.DCETCVN5575FactorPhi7121(BV1299*SQRT($K$17/206000),"b"))</f>
        <v>1</v>
      </c>
      <c r="BY1299" s="64">
        <f t="shared" si="177"/>
        <v>7.5563541989582789E-2</v>
      </c>
      <c r="BZ1299" s="3" t="str">
        <f t="shared" si="178"/>
        <v>OK</v>
      </c>
    </row>
    <row r="1300" spans="1:78">
      <c r="A1300" s="76"/>
      <c r="B1300" s="76"/>
      <c r="C1300" s="125"/>
      <c r="D1300" s="125"/>
      <c r="E1300" s="71"/>
      <c r="F1300" s="71"/>
      <c r="G1300" s="71"/>
      <c r="H1300" s="126"/>
      <c r="I1300" s="125"/>
      <c r="J1300" s="123"/>
      <c r="K1300" s="12"/>
      <c r="L1300" s="117"/>
      <c r="M1300" s="12"/>
      <c r="N1300" s="117"/>
      <c r="O1300" s="117"/>
      <c r="P1300" s="117"/>
      <c r="Q1300" s="118"/>
      <c r="R1300" s="118"/>
      <c r="S1300" s="118"/>
      <c r="T1300" s="12"/>
      <c r="U1300" s="118"/>
      <c r="V1300" s="118"/>
      <c r="W1300" s="12"/>
      <c r="X1300" s="119"/>
      <c r="Y1300" s="120"/>
      <c r="Z1300" s="12"/>
      <c r="BA1300" s="70" t="s">
        <v>205</v>
      </c>
      <c r="BB1300" s="71" t="s">
        <v>216</v>
      </c>
      <c r="BC1300" s="71" t="s">
        <v>207</v>
      </c>
      <c r="BD1300" s="71">
        <v>0</v>
      </c>
      <c r="BE1300" s="71">
        <v>9.44</v>
      </c>
      <c r="BF1300" s="71">
        <v>264</v>
      </c>
      <c r="BG1300" s="71">
        <v>212</v>
      </c>
      <c r="BH1300" s="71">
        <v>5</v>
      </c>
      <c r="BI1300" s="71">
        <v>8</v>
      </c>
      <c r="BJ1300" s="12" t="str" cm="1">
        <f t="array" ref="BJ1300">_xll.Dce_Name_SectI(BF1300, BF1300, BG1300, BH1300, BI1300, "x", "-", $AX$11)</f>
        <v>264x212x5x8</v>
      </c>
      <c r="BK1300" s="77" cm="1">
        <f t="array" ref="BK1300">_xll.DCEPropSectI(BF1300, BH1300, BG1300, BI1300, BG1300, BI1300, "A")/100</f>
        <v>46.32</v>
      </c>
      <c r="BL1300" s="70" t="s">
        <v>223</v>
      </c>
      <c r="BM1300" s="70">
        <v>54.397959758590417</v>
      </c>
      <c r="BN1300" s="71">
        <v>0.9</v>
      </c>
      <c r="BO1300" s="77">
        <f t="shared" si="171"/>
        <v>8.4960000000000004</v>
      </c>
      <c r="BP1300" s="71">
        <v>0.9</v>
      </c>
      <c r="BQ1300" s="77">
        <f t="shared" si="172"/>
        <v>8.4960000000000004</v>
      </c>
      <c r="BR1300" s="77" cm="1">
        <f t="array" ref="BR1300">_xll.DCEPropSectI(BF1300, BH1300, BG1300, BI1300, BG1300, BI1300, "rx")/10</f>
        <v>11.562881075579337</v>
      </c>
      <c r="BS1300" s="77" cm="1">
        <f t="array" ref="BS1300">_xll.DCEPropSectI(BF1300, BH1300, BG1300, BI1300, BG1300, BI1300, "ry")/10</f>
        <v>5.237608536144422</v>
      </c>
      <c r="BT1300" s="5">
        <f t="shared" si="173"/>
        <v>73.476497288754857</v>
      </c>
      <c r="BU1300" s="5">
        <f t="shared" si="174"/>
        <v>162.21143564605134</v>
      </c>
      <c r="BV1300" s="5">
        <f t="shared" si="175"/>
        <v>162.21143564605134</v>
      </c>
      <c r="BW1300" s="71">
        <f t="shared" si="176"/>
        <v>400</v>
      </c>
      <c r="BX1300" s="78" cm="1">
        <f t="array" ref="BX1300">IF(BM1300&gt;0,1,_xll.DCETCVN5575FactorPhi7121(BV1300*SQRT($K$17/206000),"b"))</f>
        <v>1</v>
      </c>
      <c r="BY1300" s="64">
        <f t="shared" si="177"/>
        <v>5.5923554320452359E-2</v>
      </c>
      <c r="BZ1300" s="3" t="str">
        <f t="shared" si="178"/>
        <v>OK</v>
      </c>
    </row>
    <row r="1301" spans="1:78">
      <c r="A1301" s="76"/>
      <c r="B1301" s="76"/>
      <c r="C1301" s="125"/>
      <c r="D1301" s="125"/>
      <c r="E1301" s="71"/>
      <c r="F1301" s="71"/>
      <c r="G1301" s="71"/>
      <c r="H1301" s="126"/>
      <c r="I1301" s="125"/>
      <c r="J1301" s="123"/>
      <c r="K1301" s="12"/>
      <c r="L1301" s="117"/>
      <c r="M1301" s="12"/>
      <c r="N1301" s="117"/>
      <c r="O1301" s="117"/>
      <c r="P1301" s="117"/>
      <c r="Q1301" s="118"/>
      <c r="R1301" s="118"/>
      <c r="S1301" s="118"/>
      <c r="T1301" s="12"/>
      <c r="U1301" s="118"/>
      <c r="V1301" s="118"/>
      <c r="W1301" s="12"/>
      <c r="X1301" s="119"/>
      <c r="Y1301" s="120"/>
      <c r="Z1301" s="12"/>
      <c r="BA1301" s="70" t="s">
        <v>205</v>
      </c>
      <c r="BB1301" s="71" t="s">
        <v>216</v>
      </c>
      <c r="BC1301" s="71" t="s">
        <v>207</v>
      </c>
      <c r="BD1301" s="71">
        <v>4.72</v>
      </c>
      <c r="BE1301" s="71">
        <v>9.44</v>
      </c>
      <c r="BF1301" s="71">
        <v>264</v>
      </c>
      <c r="BG1301" s="71">
        <v>212</v>
      </c>
      <c r="BH1301" s="71">
        <v>5</v>
      </c>
      <c r="BI1301" s="71">
        <v>8</v>
      </c>
      <c r="BJ1301" s="12" t="str" cm="1">
        <f t="array" ref="BJ1301">_xll.Dce_Name_SectI(BF1301, BF1301, BG1301, BH1301, BI1301, "x", "-", $AX$11)</f>
        <v>264x212x5x8</v>
      </c>
      <c r="BK1301" s="77" cm="1">
        <f t="array" ref="BK1301">_xll.DCEPropSectI(BF1301, BH1301, BG1301, BI1301, BG1301, BI1301, "A")/100</f>
        <v>46.32</v>
      </c>
      <c r="BL1301" s="70" t="s">
        <v>223</v>
      </c>
      <c r="BM1301" s="70">
        <v>53.377368858293536</v>
      </c>
      <c r="BN1301" s="71">
        <v>0.9</v>
      </c>
      <c r="BO1301" s="77">
        <f t="shared" si="171"/>
        <v>8.4960000000000004</v>
      </c>
      <c r="BP1301" s="71">
        <v>0.9</v>
      </c>
      <c r="BQ1301" s="77">
        <f t="shared" si="172"/>
        <v>8.4960000000000004</v>
      </c>
      <c r="BR1301" s="77" cm="1">
        <f t="array" ref="BR1301">_xll.DCEPropSectI(BF1301, BH1301, BG1301, BI1301, BG1301, BI1301, "rx")/10</f>
        <v>11.562881075579337</v>
      </c>
      <c r="BS1301" s="77" cm="1">
        <f t="array" ref="BS1301">_xll.DCEPropSectI(BF1301, BH1301, BG1301, BI1301, BG1301, BI1301, "ry")/10</f>
        <v>5.237608536144422</v>
      </c>
      <c r="BT1301" s="5">
        <f t="shared" si="173"/>
        <v>73.476497288754857</v>
      </c>
      <c r="BU1301" s="5">
        <f t="shared" si="174"/>
        <v>162.21143564605134</v>
      </c>
      <c r="BV1301" s="5">
        <f t="shared" si="175"/>
        <v>162.21143564605134</v>
      </c>
      <c r="BW1301" s="71">
        <f t="shared" si="176"/>
        <v>400</v>
      </c>
      <c r="BX1301" s="78" cm="1">
        <f t="array" ref="BX1301">IF(BM1301&gt;0,1,_xll.DCETCVN5575FactorPhi7121(BV1301*SQRT($K$17/206000),"b"))</f>
        <v>1</v>
      </c>
      <c r="BY1301" s="64">
        <f t="shared" si="177"/>
        <v>5.4874340877429817E-2</v>
      </c>
      <c r="BZ1301" s="3" t="str">
        <f t="shared" si="178"/>
        <v>OK</v>
      </c>
    </row>
    <row r="1302" spans="1:78">
      <c r="A1302" s="76"/>
      <c r="B1302" s="76"/>
      <c r="C1302" s="125"/>
      <c r="D1302" s="125"/>
      <c r="E1302" s="71"/>
      <c r="F1302" s="71"/>
      <c r="G1302" s="71"/>
      <c r="H1302" s="126"/>
      <c r="I1302" s="125"/>
      <c r="J1302" s="123"/>
      <c r="K1302" s="12"/>
      <c r="L1302" s="117"/>
      <c r="M1302" s="12"/>
      <c r="N1302" s="117"/>
      <c r="O1302" s="117"/>
      <c r="P1302" s="117"/>
      <c r="Q1302" s="118"/>
      <c r="R1302" s="118"/>
      <c r="S1302" s="118"/>
      <c r="T1302" s="12"/>
      <c r="U1302" s="118"/>
      <c r="V1302" s="118"/>
      <c r="W1302" s="12"/>
      <c r="X1302" s="119"/>
      <c r="Y1302" s="120"/>
      <c r="Z1302" s="12"/>
      <c r="BA1302" s="70" t="s">
        <v>205</v>
      </c>
      <c r="BB1302" s="71" t="s">
        <v>216</v>
      </c>
      <c r="BC1302" s="71" t="s">
        <v>207</v>
      </c>
      <c r="BD1302" s="71">
        <v>9.44</v>
      </c>
      <c r="BE1302" s="71">
        <v>9.44</v>
      </c>
      <c r="BF1302" s="71">
        <v>264</v>
      </c>
      <c r="BG1302" s="71">
        <v>212</v>
      </c>
      <c r="BH1302" s="71">
        <v>5</v>
      </c>
      <c r="BI1302" s="71">
        <v>8</v>
      </c>
      <c r="BJ1302" s="12" t="str" cm="1">
        <f t="array" ref="BJ1302">_xll.Dce_Name_SectI(BF1302, BF1302, BG1302, BH1302, BI1302, "x", "-", $AX$11)</f>
        <v>264x212x5x8</v>
      </c>
      <c r="BK1302" s="77" cm="1">
        <f t="array" ref="BK1302">_xll.DCEPropSectI(BF1302, BH1302, BG1302, BI1302, BG1302, BI1302, "A")/100</f>
        <v>46.32</v>
      </c>
      <c r="BL1302" s="70" t="s">
        <v>223</v>
      </c>
      <c r="BM1302" s="70">
        <v>52.356777957996648</v>
      </c>
      <c r="BN1302" s="71">
        <v>0.9</v>
      </c>
      <c r="BO1302" s="77">
        <f t="shared" si="171"/>
        <v>8.4960000000000004</v>
      </c>
      <c r="BP1302" s="71">
        <v>0.9</v>
      </c>
      <c r="BQ1302" s="77">
        <f t="shared" si="172"/>
        <v>8.4960000000000004</v>
      </c>
      <c r="BR1302" s="77" cm="1">
        <f t="array" ref="BR1302">_xll.DCEPropSectI(BF1302, BH1302, BG1302, BI1302, BG1302, BI1302, "rx")/10</f>
        <v>11.562881075579337</v>
      </c>
      <c r="BS1302" s="77" cm="1">
        <f t="array" ref="BS1302">_xll.DCEPropSectI(BF1302, BH1302, BG1302, BI1302, BG1302, BI1302, "ry")/10</f>
        <v>5.237608536144422</v>
      </c>
      <c r="BT1302" s="5">
        <f t="shared" si="173"/>
        <v>73.476497288754857</v>
      </c>
      <c r="BU1302" s="5">
        <f t="shared" si="174"/>
        <v>162.21143564605134</v>
      </c>
      <c r="BV1302" s="5">
        <f t="shared" si="175"/>
        <v>162.21143564605134</v>
      </c>
      <c r="BW1302" s="71">
        <f t="shared" si="176"/>
        <v>400</v>
      </c>
      <c r="BX1302" s="78" cm="1">
        <f t="array" ref="BX1302">IF(BM1302&gt;0,1,_xll.DCETCVN5575FactorPhi7121(BV1302*SQRT($K$17/206000),"b"))</f>
        <v>1</v>
      </c>
      <c r="BY1302" s="64">
        <f t="shared" si="177"/>
        <v>5.3825127434407274E-2</v>
      </c>
      <c r="BZ1302" s="3" t="str">
        <f t="shared" si="178"/>
        <v>OK</v>
      </c>
    </row>
    <row r="1303" spans="1:78">
      <c r="A1303" s="76"/>
      <c r="B1303" s="76"/>
      <c r="C1303" s="125"/>
      <c r="D1303" s="125"/>
      <c r="E1303" s="71"/>
      <c r="F1303" s="71"/>
      <c r="G1303" s="71"/>
      <c r="H1303" s="126"/>
      <c r="I1303" s="125"/>
      <c r="J1303" s="123"/>
      <c r="K1303" s="12"/>
      <c r="L1303" s="117"/>
      <c r="M1303" s="12"/>
      <c r="N1303" s="117"/>
      <c r="O1303" s="117"/>
      <c r="P1303" s="117"/>
      <c r="Q1303" s="118"/>
      <c r="R1303" s="118"/>
      <c r="S1303" s="118"/>
      <c r="T1303" s="12"/>
      <c r="U1303" s="118"/>
      <c r="V1303" s="118"/>
      <c r="W1303" s="12"/>
      <c r="X1303" s="119"/>
      <c r="Y1303" s="120"/>
      <c r="Z1303" s="12"/>
      <c r="BA1303" s="70" t="s">
        <v>205</v>
      </c>
      <c r="BB1303" s="71" t="s">
        <v>216</v>
      </c>
      <c r="BC1303" s="71" t="s">
        <v>207</v>
      </c>
      <c r="BD1303" s="71">
        <v>0</v>
      </c>
      <c r="BE1303" s="71">
        <v>9.44</v>
      </c>
      <c r="BF1303" s="71">
        <v>264</v>
      </c>
      <c r="BG1303" s="71">
        <v>212</v>
      </c>
      <c r="BH1303" s="71">
        <v>5</v>
      </c>
      <c r="BI1303" s="71">
        <v>8</v>
      </c>
      <c r="BJ1303" s="12" t="str" cm="1">
        <f t="array" ref="BJ1303">_xll.Dce_Name_SectI(BF1303, BF1303, BG1303, BH1303, BI1303, "x", "-", $AX$11)</f>
        <v>264x212x5x8</v>
      </c>
      <c r="BK1303" s="77" cm="1">
        <f t="array" ref="BK1303">_xll.DCEPropSectI(BF1303, BH1303, BG1303, BI1303, BG1303, BI1303, "A")/100</f>
        <v>46.32</v>
      </c>
      <c r="BL1303" s="70" t="s">
        <v>224</v>
      </c>
      <c r="BM1303" s="70">
        <v>-18.96331573608208</v>
      </c>
      <c r="BN1303" s="71">
        <v>0.9</v>
      </c>
      <c r="BO1303" s="77">
        <f t="shared" si="171"/>
        <v>8.4960000000000004</v>
      </c>
      <c r="BP1303" s="71">
        <v>0.9</v>
      </c>
      <c r="BQ1303" s="77">
        <f t="shared" si="172"/>
        <v>8.4960000000000004</v>
      </c>
      <c r="BR1303" s="77" cm="1">
        <f t="array" ref="BR1303">_xll.DCEPropSectI(BF1303, BH1303, BG1303, BI1303, BG1303, BI1303, "rx")/10</f>
        <v>11.562881075579337</v>
      </c>
      <c r="BS1303" s="77" cm="1">
        <f t="array" ref="BS1303">_xll.DCEPropSectI(BF1303, BH1303, BG1303, BI1303, BG1303, BI1303, "ry")/10</f>
        <v>5.237608536144422</v>
      </c>
      <c r="BT1303" s="5">
        <f t="shared" si="173"/>
        <v>73.476497288754857</v>
      </c>
      <c r="BU1303" s="5">
        <f t="shared" si="174"/>
        <v>162.21143564605134</v>
      </c>
      <c r="BV1303" s="5">
        <f t="shared" si="175"/>
        <v>162.21143564605134</v>
      </c>
      <c r="BW1303" s="71">
        <f t="shared" si="176"/>
        <v>200</v>
      </c>
      <c r="BX1303" s="78" cm="1">
        <f t="array" ref="BX1303">IF(BM1303&gt;0,1,_xll.DCETCVN5575FactorPhi7121(BV1303*SQRT($K$17/206000),"b"))</f>
        <v>0.25500053483430279</v>
      </c>
      <c r="BY1303" s="64">
        <f t="shared" si="177"/>
        <v>7.6451381784120434E-2</v>
      </c>
      <c r="BZ1303" s="3" t="str">
        <f t="shared" si="178"/>
        <v>OK</v>
      </c>
    </row>
    <row r="1304" spans="1:78">
      <c r="A1304" s="76"/>
      <c r="B1304" s="76"/>
      <c r="C1304" s="125"/>
      <c r="D1304" s="125"/>
      <c r="E1304" s="71"/>
      <c r="F1304" s="71"/>
      <c r="G1304" s="71"/>
      <c r="H1304" s="126"/>
      <c r="I1304" s="125"/>
      <c r="J1304" s="123"/>
      <c r="K1304" s="12"/>
      <c r="L1304" s="117"/>
      <c r="M1304" s="12"/>
      <c r="N1304" s="117"/>
      <c r="O1304" s="117"/>
      <c r="P1304" s="117"/>
      <c r="Q1304" s="118"/>
      <c r="R1304" s="118"/>
      <c r="S1304" s="118"/>
      <c r="T1304" s="12"/>
      <c r="U1304" s="118"/>
      <c r="V1304" s="118"/>
      <c r="W1304" s="12"/>
      <c r="X1304" s="119"/>
      <c r="Y1304" s="120"/>
      <c r="Z1304" s="12"/>
      <c r="BA1304" s="70" t="s">
        <v>205</v>
      </c>
      <c r="BB1304" s="71" t="s">
        <v>216</v>
      </c>
      <c r="BC1304" s="71" t="s">
        <v>207</v>
      </c>
      <c r="BD1304" s="71">
        <v>4.72</v>
      </c>
      <c r="BE1304" s="71">
        <v>9.44</v>
      </c>
      <c r="BF1304" s="71">
        <v>264</v>
      </c>
      <c r="BG1304" s="71">
        <v>212</v>
      </c>
      <c r="BH1304" s="71">
        <v>5</v>
      </c>
      <c r="BI1304" s="71">
        <v>8</v>
      </c>
      <c r="BJ1304" s="12" t="str" cm="1">
        <f t="array" ref="BJ1304">_xll.Dce_Name_SectI(BF1304, BF1304, BG1304, BH1304, BI1304, "x", "-", $AX$11)</f>
        <v>264x212x5x8</v>
      </c>
      <c r="BK1304" s="77" cm="1">
        <f t="array" ref="BK1304">_xll.DCEPropSectI(BF1304, BH1304, BG1304, BI1304, BG1304, BI1304, "A")/100</f>
        <v>46.32</v>
      </c>
      <c r="BL1304" s="70" t="s">
        <v>224</v>
      </c>
      <c r="BM1304" s="70">
        <v>-19.983906636378961</v>
      </c>
      <c r="BN1304" s="71">
        <v>0.9</v>
      </c>
      <c r="BO1304" s="77">
        <f t="shared" si="171"/>
        <v>8.4960000000000004</v>
      </c>
      <c r="BP1304" s="71">
        <v>0.9</v>
      </c>
      <c r="BQ1304" s="77">
        <f t="shared" si="172"/>
        <v>8.4960000000000004</v>
      </c>
      <c r="BR1304" s="77" cm="1">
        <f t="array" ref="BR1304">_xll.DCEPropSectI(BF1304, BH1304, BG1304, BI1304, BG1304, BI1304, "rx")/10</f>
        <v>11.562881075579337</v>
      </c>
      <c r="BS1304" s="77" cm="1">
        <f t="array" ref="BS1304">_xll.DCEPropSectI(BF1304, BH1304, BG1304, BI1304, BG1304, BI1304, "ry")/10</f>
        <v>5.237608536144422</v>
      </c>
      <c r="BT1304" s="5">
        <f t="shared" si="173"/>
        <v>73.476497288754857</v>
      </c>
      <c r="BU1304" s="5">
        <f t="shared" si="174"/>
        <v>162.21143564605134</v>
      </c>
      <c r="BV1304" s="5">
        <f t="shared" si="175"/>
        <v>162.21143564605134</v>
      </c>
      <c r="BW1304" s="71">
        <f t="shared" si="176"/>
        <v>200</v>
      </c>
      <c r="BX1304" s="78" cm="1">
        <f t="array" ref="BX1304">IF(BM1304&gt;0,1,_xll.DCETCVN5575FactorPhi7121(BV1304*SQRT($K$17/206000),"b"))</f>
        <v>0.25500053483430279</v>
      </c>
      <c r="BY1304" s="64">
        <f t="shared" si="177"/>
        <v>8.056593567595563E-2</v>
      </c>
      <c r="BZ1304" s="3" t="str">
        <f t="shared" si="178"/>
        <v>OK</v>
      </c>
    </row>
    <row r="1305" spans="1:78">
      <c r="A1305" s="76"/>
      <c r="B1305" s="76"/>
      <c r="C1305" s="125"/>
      <c r="D1305" s="125"/>
      <c r="E1305" s="71"/>
      <c r="F1305" s="71"/>
      <c r="G1305" s="71"/>
      <c r="H1305" s="126"/>
      <c r="I1305" s="125"/>
      <c r="J1305" s="123"/>
      <c r="K1305" s="12"/>
      <c r="L1305" s="117"/>
      <c r="M1305" s="12"/>
      <c r="N1305" s="117"/>
      <c r="O1305" s="117"/>
      <c r="P1305" s="117"/>
      <c r="Q1305" s="118"/>
      <c r="R1305" s="118"/>
      <c r="S1305" s="118"/>
      <c r="T1305" s="12"/>
      <c r="U1305" s="118"/>
      <c r="V1305" s="118"/>
      <c r="W1305" s="12"/>
      <c r="X1305" s="119"/>
      <c r="Y1305" s="120"/>
      <c r="Z1305" s="12"/>
      <c r="BA1305" s="70" t="s">
        <v>205</v>
      </c>
      <c r="BB1305" s="71" t="s">
        <v>216</v>
      </c>
      <c r="BC1305" s="71" t="s">
        <v>207</v>
      </c>
      <c r="BD1305" s="71">
        <v>9.44</v>
      </c>
      <c r="BE1305" s="71">
        <v>9.44</v>
      </c>
      <c r="BF1305" s="71">
        <v>264</v>
      </c>
      <c r="BG1305" s="71">
        <v>212</v>
      </c>
      <c r="BH1305" s="71">
        <v>5</v>
      </c>
      <c r="BI1305" s="71">
        <v>8</v>
      </c>
      <c r="BJ1305" s="12" t="str" cm="1">
        <f t="array" ref="BJ1305">_xll.Dce_Name_SectI(BF1305, BF1305, BG1305, BH1305, BI1305, "x", "-", $AX$11)</f>
        <v>264x212x5x8</v>
      </c>
      <c r="BK1305" s="77" cm="1">
        <f t="array" ref="BK1305">_xll.DCEPropSectI(BF1305, BH1305, BG1305, BI1305, BG1305, BI1305, "A")/100</f>
        <v>46.32</v>
      </c>
      <c r="BL1305" s="70" t="s">
        <v>224</v>
      </c>
      <c r="BM1305" s="70">
        <v>-21.004497536675849</v>
      </c>
      <c r="BN1305" s="71">
        <v>0.9</v>
      </c>
      <c r="BO1305" s="77">
        <f t="shared" si="171"/>
        <v>8.4960000000000004</v>
      </c>
      <c r="BP1305" s="71">
        <v>0.9</v>
      </c>
      <c r="BQ1305" s="77">
        <f t="shared" si="172"/>
        <v>8.4960000000000004</v>
      </c>
      <c r="BR1305" s="77" cm="1">
        <f t="array" ref="BR1305">_xll.DCEPropSectI(BF1305, BH1305, BG1305, BI1305, BG1305, BI1305, "rx")/10</f>
        <v>11.562881075579337</v>
      </c>
      <c r="BS1305" s="77" cm="1">
        <f t="array" ref="BS1305">_xll.DCEPropSectI(BF1305, BH1305, BG1305, BI1305, BG1305, BI1305, "ry")/10</f>
        <v>5.237608536144422</v>
      </c>
      <c r="BT1305" s="5">
        <f t="shared" si="173"/>
        <v>73.476497288754857</v>
      </c>
      <c r="BU1305" s="5">
        <f t="shared" si="174"/>
        <v>162.21143564605134</v>
      </c>
      <c r="BV1305" s="5">
        <f t="shared" si="175"/>
        <v>162.21143564605134</v>
      </c>
      <c r="BW1305" s="71">
        <f t="shared" si="176"/>
        <v>200</v>
      </c>
      <c r="BX1305" s="78" cm="1">
        <f t="array" ref="BX1305">IF(BM1305&gt;0,1,_xll.DCETCVN5575FactorPhi7121(BV1305*SQRT($K$17/206000),"b"))</f>
        <v>0.25500053483430279</v>
      </c>
      <c r="BY1305" s="64">
        <f t="shared" si="177"/>
        <v>8.4680489567790854E-2</v>
      </c>
      <c r="BZ1305" s="3" t="str">
        <f t="shared" si="178"/>
        <v>OK</v>
      </c>
    </row>
    <row r="1306" spans="1:78">
      <c r="A1306" s="76"/>
      <c r="B1306" s="76"/>
      <c r="C1306" s="125"/>
      <c r="D1306" s="125"/>
      <c r="E1306" s="71"/>
      <c r="F1306" s="71"/>
      <c r="G1306" s="71"/>
      <c r="H1306" s="126"/>
      <c r="I1306" s="125"/>
      <c r="J1306" s="123"/>
      <c r="K1306" s="12"/>
      <c r="L1306" s="117"/>
      <c r="M1306" s="12"/>
      <c r="N1306" s="117"/>
      <c r="O1306" s="117"/>
      <c r="P1306" s="117"/>
      <c r="Q1306" s="118"/>
      <c r="R1306" s="118"/>
      <c r="S1306" s="118"/>
      <c r="T1306" s="12"/>
      <c r="U1306" s="118"/>
      <c r="V1306" s="118"/>
      <c r="W1306" s="12"/>
      <c r="X1306" s="119"/>
      <c r="Y1306" s="120"/>
      <c r="Z1306" s="12"/>
      <c r="BA1306" s="70" t="s">
        <v>205</v>
      </c>
      <c r="BB1306" s="71" t="s">
        <v>216</v>
      </c>
      <c r="BC1306" s="71" t="s">
        <v>207</v>
      </c>
      <c r="BD1306" s="71">
        <v>0</v>
      </c>
      <c r="BE1306" s="71">
        <v>9.44</v>
      </c>
      <c r="BF1306" s="71">
        <v>264</v>
      </c>
      <c r="BG1306" s="71">
        <v>212</v>
      </c>
      <c r="BH1306" s="71">
        <v>5</v>
      </c>
      <c r="BI1306" s="71">
        <v>8</v>
      </c>
      <c r="BJ1306" s="12" t="str" cm="1">
        <f t="array" ref="BJ1306">_xll.Dce_Name_SectI(BF1306, BF1306, BG1306, BH1306, BI1306, "x", "-", $AX$11)</f>
        <v>264x212x5x8</v>
      </c>
      <c r="BK1306" s="77" cm="1">
        <f t="array" ref="BK1306">_xll.DCEPropSectI(BF1306, BH1306, BG1306, BI1306, BG1306, BI1306, "A")/100</f>
        <v>46.32</v>
      </c>
      <c r="BL1306" s="70" t="s">
        <v>225</v>
      </c>
      <c r="BM1306" s="70">
        <v>12.090477305361382</v>
      </c>
      <c r="BN1306" s="71">
        <v>0.9</v>
      </c>
      <c r="BO1306" s="77">
        <f t="shared" si="171"/>
        <v>8.4960000000000004</v>
      </c>
      <c r="BP1306" s="71">
        <v>0.9</v>
      </c>
      <c r="BQ1306" s="77">
        <f t="shared" si="172"/>
        <v>8.4960000000000004</v>
      </c>
      <c r="BR1306" s="77" cm="1">
        <f t="array" ref="BR1306">_xll.DCEPropSectI(BF1306, BH1306, BG1306, BI1306, BG1306, BI1306, "rx")/10</f>
        <v>11.562881075579337</v>
      </c>
      <c r="BS1306" s="77" cm="1">
        <f t="array" ref="BS1306">_xll.DCEPropSectI(BF1306, BH1306, BG1306, BI1306, BG1306, BI1306, "ry")/10</f>
        <v>5.237608536144422</v>
      </c>
      <c r="BT1306" s="5">
        <f t="shared" si="173"/>
        <v>73.476497288754857</v>
      </c>
      <c r="BU1306" s="5">
        <f t="shared" si="174"/>
        <v>162.21143564605134</v>
      </c>
      <c r="BV1306" s="5">
        <f t="shared" si="175"/>
        <v>162.21143564605134</v>
      </c>
      <c r="BW1306" s="71">
        <f t="shared" si="176"/>
        <v>400</v>
      </c>
      <c r="BX1306" s="78" cm="1">
        <f t="array" ref="BX1306">IF(BM1306&gt;0,1,_xll.DCETCVN5575FactorPhi7121(BV1306*SQRT($K$17/206000),"b"))</f>
        <v>1</v>
      </c>
      <c r="BY1306" s="64">
        <f t="shared" si="177"/>
        <v>1.2429555581628199E-2</v>
      </c>
      <c r="BZ1306" s="3" t="str">
        <f t="shared" si="178"/>
        <v>OK</v>
      </c>
    </row>
    <row r="1307" spans="1:78">
      <c r="A1307" s="76"/>
      <c r="B1307" s="76"/>
      <c r="C1307" s="125"/>
      <c r="D1307" s="125"/>
      <c r="E1307" s="71"/>
      <c r="F1307" s="71"/>
      <c r="G1307" s="71"/>
      <c r="H1307" s="126"/>
      <c r="I1307" s="125"/>
      <c r="J1307" s="123"/>
      <c r="K1307" s="12"/>
      <c r="L1307" s="117"/>
      <c r="M1307" s="12"/>
      <c r="N1307" s="117"/>
      <c r="O1307" s="117"/>
      <c r="P1307" s="117"/>
      <c r="Q1307" s="118"/>
      <c r="R1307" s="118"/>
      <c r="S1307" s="118"/>
      <c r="T1307" s="12"/>
      <c r="U1307" s="118"/>
      <c r="V1307" s="118"/>
      <c r="W1307" s="12"/>
      <c r="X1307" s="119"/>
      <c r="Y1307" s="120"/>
      <c r="Z1307" s="12"/>
      <c r="BA1307" s="70" t="s">
        <v>205</v>
      </c>
      <c r="BB1307" s="71" t="s">
        <v>216</v>
      </c>
      <c r="BC1307" s="71" t="s">
        <v>207</v>
      </c>
      <c r="BD1307" s="71">
        <v>4.72</v>
      </c>
      <c r="BE1307" s="71">
        <v>9.44</v>
      </c>
      <c r="BF1307" s="71">
        <v>264</v>
      </c>
      <c r="BG1307" s="71">
        <v>212</v>
      </c>
      <c r="BH1307" s="71">
        <v>5</v>
      </c>
      <c r="BI1307" s="71">
        <v>8</v>
      </c>
      <c r="BJ1307" s="12" t="str" cm="1">
        <f t="array" ref="BJ1307">_xll.Dce_Name_SectI(BF1307, BF1307, BG1307, BH1307, BI1307, "x", "-", $AX$11)</f>
        <v>264x212x5x8</v>
      </c>
      <c r="BK1307" s="77" cm="1">
        <f t="array" ref="BK1307">_xll.DCEPropSectI(BF1307, BH1307, BG1307, BI1307, BG1307, BI1307, "A")/100</f>
        <v>46.32</v>
      </c>
      <c r="BL1307" s="70" t="s">
        <v>225</v>
      </c>
      <c r="BM1307" s="70">
        <v>11.069886405064501</v>
      </c>
      <c r="BN1307" s="71">
        <v>0.9</v>
      </c>
      <c r="BO1307" s="77">
        <f t="shared" si="171"/>
        <v>8.4960000000000004</v>
      </c>
      <c r="BP1307" s="71">
        <v>0.9</v>
      </c>
      <c r="BQ1307" s="77">
        <f t="shared" si="172"/>
        <v>8.4960000000000004</v>
      </c>
      <c r="BR1307" s="77" cm="1">
        <f t="array" ref="BR1307">_xll.DCEPropSectI(BF1307, BH1307, BG1307, BI1307, BG1307, BI1307, "rx")/10</f>
        <v>11.562881075579337</v>
      </c>
      <c r="BS1307" s="77" cm="1">
        <f t="array" ref="BS1307">_xll.DCEPropSectI(BF1307, BH1307, BG1307, BI1307, BG1307, BI1307, "ry")/10</f>
        <v>5.237608536144422</v>
      </c>
      <c r="BT1307" s="5">
        <f t="shared" si="173"/>
        <v>73.476497288754857</v>
      </c>
      <c r="BU1307" s="5">
        <f t="shared" si="174"/>
        <v>162.21143564605134</v>
      </c>
      <c r="BV1307" s="5">
        <f t="shared" si="175"/>
        <v>162.21143564605134</v>
      </c>
      <c r="BW1307" s="71">
        <f t="shared" si="176"/>
        <v>400</v>
      </c>
      <c r="BX1307" s="78" cm="1">
        <f t="array" ref="BX1307">IF(BM1307&gt;0,1,_xll.DCETCVN5575FactorPhi7121(BV1307*SQRT($K$17/206000),"b"))</f>
        <v>1</v>
      </c>
      <c r="BY1307" s="64">
        <f t="shared" si="177"/>
        <v>1.1380342138605662E-2</v>
      </c>
      <c r="BZ1307" s="3" t="str">
        <f t="shared" si="178"/>
        <v>OK</v>
      </c>
    </row>
    <row r="1308" spans="1:78">
      <c r="A1308" s="76"/>
      <c r="B1308" s="76"/>
      <c r="C1308" s="125"/>
      <c r="D1308" s="125"/>
      <c r="E1308" s="71"/>
      <c r="F1308" s="71"/>
      <c r="G1308" s="71"/>
      <c r="H1308" s="126"/>
      <c r="I1308" s="125"/>
      <c r="J1308" s="123"/>
      <c r="K1308" s="12"/>
      <c r="L1308" s="117"/>
      <c r="M1308" s="12"/>
      <c r="N1308" s="117"/>
      <c r="O1308" s="117"/>
      <c r="P1308" s="117"/>
      <c r="Q1308" s="118"/>
      <c r="R1308" s="118"/>
      <c r="S1308" s="118"/>
      <c r="T1308" s="12"/>
      <c r="U1308" s="118"/>
      <c r="V1308" s="118"/>
      <c r="W1308" s="12"/>
      <c r="X1308" s="119"/>
      <c r="Y1308" s="120"/>
      <c r="Z1308" s="12"/>
      <c r="BA1308" s="70" t="s">
        <v>205</v>
      </c>
      <c r="BB1308" s="71" t="s">
        <v>216</v>
      </c>
      <c r="BC1308" s="71" t="s">
        <v>207</v>
      </c>
      <c r="BD1308" s="71">
        <v>9.44</v>
      </c>
      <c r="BE1308" s="71">
        <v>9.44</v>
      </c>
      <c r="BF1308" s="71">
        <v>264</v>
      </c>
      <c r="BG1308" s="71">
        <v>212</v>
      </c>
      <c r="BH1308" s="71">
        <v>5</v>
      </c>
      <c r="BI1308" s="71">
        <v>8</v>
      </c>
      <c r="BJ1308" s="12" t="str" cm="1">
        <f t="array" ref="BJ1308">_xll.Dce_Name_SectI(BF1308, BF1308, BG1308, BH1308, BI1308, "x", "-", $AX$11)</f>
        <v>264x212x5x8</v>
      </c>
      <c r="BK1308" s="77" cm="1">
        <f t="array" ref="BK1308">_xll.DCEPropSectI(BF1308, BH1308, BG1308, BI1308, BG1308, BI1308, "A")/100</f>
        <v>46.32</v>
      </c>
      <c r="BL1308" s="70" t="s">
        <v>225</v>
      </c>
      <c r="BM1308" s="70">
        <v>10.049295504767613</v>
      </c>
      <c r="BN1308" s="71">
        <v>0.9</v>
      </c>
      <c r="BO1308" s="77">
        <f t="shared" si="171"/>
        <v>8.4960000000000004</v>
      </c>
      <c r="BP1308" s="71">
        <v>0.9</v>
      </c>
      <c r="BQ1308" s="77">
        <f t="shared" si="172"/>
        <v>8.4960000000000004</v>
      </c>
      <c r="BR1308" s="77" cm="1">
        <f t="array" ref="BR1308">_xll.DCEPropSectI(BF1308, BH1308, BG1308, BI1308, BG1308, BI1308, "rx")/10</f>
        <v>11.562881075579337</v>
      </c>
      <c r="BS1308" s="77" cm="1">
        <f t="array" ref="BS1308">_xll.DCEPropSectI(BF1308, BH1308, BG1308, BI1308, BG1308, BI1308, "ry")/10</f>
        <v>5.237608536144422</v>
      </c>
      <c r="BT1308" s="5">
        <f t="shared" si="173"/>
        <v>73.476497288754857</v>
      </c>
      <c r="BU1308" s="5">
        <f t="shared" si="174"/>
        <v>162.21143564605134</v>
      </c>
      <c r="BV1308" s="5">
        <f t="shared" si="175"/>
        <v>162.21143564605134</v>
      </c>
      <c r="BW1308" s="71">
        <f t="shared" si="176"/>
        <v>400</v>
      </c>
      <c r="BX1308" s="78" cm="1">
        <f t="array" ref="BX1308">IF(BM1308&gt;0,1,_xll.DCETCVN5575FactorPhi7121(BV1308*SQRT($K$17/206000),"b"))</f>
        <v>1</v>
      </c>
      <c r="BY1308" s="64">
        <f t="shared" si="177"/>
        <v>1.0331128695583119E-2</v>
      </c>
      <c r="BZ1308" s="3" t="str">
        <f t="shared" si="178"/>
        <v>OK</v>
      </c>
    </row>
    <row r="1309" spans="1:78">
      <c r="A1309" s="76"/>
      <c r="B1309" s="76"/>
      <c r="C1309" s="125"/>
      <c r="D1309" s="125"/>
      <c r="E1309" s="71"/>
      <c r="F1309" s="71"/>
      <c r="G1309" s="71"/>
      <c r="H1309" s="126"/>
      <c r="I1309" s="125"/>
      <c r="J1309" s="123"/>
      <c r="K1309" s="12"/>
      <c r="L1309" s="117"/>
      <c r="M1309" s="12"/>
      <c r="N1309" s="117"/>
      <c r="O1309" s="117"/>
      <c r="P1309" s="117"/>
      <c r="Q1309" s="118"/>
      <c r="R1309" s="118"/>
      <c r="S1309" s="118"/>
      <c r="T1309" s="12"/>
      <c r="U1309" s="118"/>
      <c r="V1309" s="118"/>
      <c r="W1309" s="12"/>
      <c r="X1309" s="119"/>
      <c r="Y1309" s="120"/>
      <c r="Z1309" s="12"/>
      <c r="BA1309" s="70" t="s">
        <v>205</v>
      </c>
      <c r="BB1309" s="71" t="s">
        <v>216</v>
      </c>
      <c r="BC1309" s="71" t="s">
        <v>207</v>
      </c>
      <c r="BD1309" s="71">
        <v>0</v>
      </c>
      <c r="BE1309" s="71">
        <v>9.44</v>
      </c>
      <c r="BF1309" s="71">
        <v>264</v>
      </c>
      <c r="BG1309" s="71">
        <v>212</v>
      </c>
      <c r="BH1309" s="71">
        <v>5</v>
      </c>
      <c r="BI1309" s="71">
        <v>8</v>
      </c>
      <c r="BJ1309" s="12" t="str" cm="1">
        <f t="array" ref="BJ1309">_xll.Dce_Name_SectI(BF1309, BF1309, BG1309, BH1309, BI1309, "x", "-", $AX$11)</f>
        <v>264x212x5x8</v>
      </c>
      <c r="BK1309" s="77" cm="1">
        <f t="array" ref="BK1309">_xll.DCEPropSectI(BF1309, BH1309, BG1309, BI1309, BG1309, BI1309, "A")/100</f>
        <v>46.32</v>
      </c>
      <c r="BL1309" s="70" t="s">
        <v>226</v>
      </c>
      <c r="BM1309" s="70">
        <v>42.239928683513675</v>
      </c>
      <c r="BN1309" s="71">
        <v>0.9</v>
      </c>
      <c r="BO1309" s="77">
        <f t="shared" si="171"/>
        <v>8.4960000000000004</v>
      </c>
      <c r="BP1309" s="71">
        <v>0.9</v>
      </c>
      <c r="BQ1309" s="77">
        <f t="shared" si="172"/>
        <v>8.4960000000000004</v>
      </c>
      <c r="BR1309" s="77" cm="1">
        <f t="array" ref="BR1309">_xll.DCEPropSectI(BF1309, BH1309, BG1309, BI1309, BG1309, BI1309, "rx")/10</f>
        <v>11.562881075579337</v>
      </c>
      <c r="BS1309" s="77" cm="1">
        <f t="array" ref="BS1309">_xll.DCEPropSectI(BF1309, BH1309, BG1309, BI1309, BG1309, BI1309, "ry")/10</f>
        <v>5.237608536144422</v>
      </c>
      <c r="BT1309" s="5">
        <f t="shared" si="173"/>
        <v>73.476497288754857</v>
      </c>
      <c r="BU1309" s="5">
        <f t="shared" si="174"/>
        <v>162.21143564605134</v>
      </c>
      <c r="BV1309" s="5">
        <f t="shared" si="175"/>
        <v>162.21143564605134</v>
      </c>
      <c r="BW1309" s="71">
        <f t="shared" si="176"/>
        <v>400</v>
      </c>
      <c r="BX1309" s="78" cm="1">
        <f t="array" ref="BX1309">IF(BM1309&gt;0,1,_xll.DCETCVN5575FactorPhi7121(BV1309*SQRT($K$17/206000),"b"))</f>
        <v>1</v>
      </c>
      <c r="BY1309" s="64">
        <f t="shared" si="177"/>
        <v>4.3424550418942415E-2</v>
      </c>
      <c r="BZ1309" s="3" t="str">
        <f t="shared" si="178"/>
        <v>OK</v>
      </c>
    </row>
    <row r="1310" spans="1:78">
      <c r="A1310" s="76"/>
      <c r="B1310" s="76"/>
      <c r="C1310" s="125"/>
      <c r="D1310" s="125"/>
      <c r="E1310" s="71"/>
      <c r="F1310" s="71"/>
      <c r="G1310" s="71"/>
      <c r="H1310" s="126"/>
      <c r="I1310" s="125"/>
      <c r="J1310" s="123"/>
      <c r="K1310" s="12"/>
      <c r="L1310" s="117"/>
      <c r="M1310" s="12"/>
      <c r="N1310" s="117"/>
      <c r="O1310" s="117"/>
      <c r="P1310" s="117"/>
      <c r="Q1310" s="118"/>
      <c r="R1310" s="118"/>
      <c r="S1310" s="118"/>
      <c r="T1310" s="12"/>
      <c r="U1310" s="118"/>
      <c r="V1310" s="118"/>
      <c r="W1310" s="12"/>
      <c r="X1310" s="119"/>
      <c r="Y1310" s="120"/>
      <c r="Z1310" s="12"/>
      <c r="BA1310" s="70" t="s">
        <v>205</v>
      </c>
      <c r="BB1310" s="71" t="s">
        <v>216</v>
      </c>
      <c r="BC1310" s="71" t="s">
        <v>207</v>
      </c>
      <c r="BD1310" s="71">
        <v>4.72</v>
      </c>
      <c r="BE1310" s="71">
        <v>9.44</v>
      </c>
      <c r="BF1310" s="71">
        <v>264</v>
      </c>
      <c r="BG1310" s="71">
        <v>212</v>
      </c>
      <c r="BH1310" s="71">
        <v>5</v>
      </c>
      <c r="BI1310" s="71">
        <v>8</v>
      </c>
      <c r="BJ1310" s="12" t="str" cm="1">
        <f t="array" ref="BJ1310">_xll.Dce_Name_SectI(BF1310, BF1310, BG1310, BH1310, BI1310, "x", "-", $AX$11)</f>
        <v>264x212x5x8</v>
      </c>
      <c r="BK1310" s="77" cm="1">
        <f t="array" ref="BK1310">_xll.DCEPropSectI(BF1310, BH1310, BG1310, BI1310, BG1310, BI1310, "A")/100</f>
        <v>46.32</v>
      </c>
      <c r="BL1310" s="70" t="s">
        <v>226</v>
      </c>
      <c r="BM1310" s="70">
        <v>41.219337783216794</v>
      </c>
      <c r="BN1310" s="71">
        <v>0.9</v>
      </c>
      <c r="BO1310" s="77">
        <f t="shared" si="171"/>
        <v>8.4960000000000004</v>
      </c>
      <c r="BP1310" s="71">
        <v>0.9</v>
      </c>
      <c r="BQ1310" s="77">
        <f t="shared" si="172"/>
        <v>8.4960000000000004</v>
      </c>
      <c r="BR1310" s="77" cm="1">
        <f t="array" ref="BR1310">_xll.DCEPropSectI(BF1310, BH1310, BG1310, BI1310, BG1310, BI1310, "rx")/10</f>
        <v>11.562881075579337</v>
      </c>
      <c r="BS1310" s="77" cm="1">
        <f t="array" ref="BS1310">_xll.DCEPropSectI(BF1310, BH1310, BG1310, BI1310, BG1310, BI1310, "ry")/10</f>
        <v>5.237608536144422</v>
      </c>
      <c r="BT1310" s="5">
        <f t="shared" si="173"/>
        <v>73.476497288754857</v>
      </c>
      <c r="BU1310" s="5">
        <f t="shared" si="174"/>
        <v>162.21143564605134</v>
      </c>
      <c r="BV1310" s="5">
        <f t="shared" si="175"/>
        <v>162.21143564605134</v>
      </c>
      <c r="BW1310" s="71">
        <f t="shared" si="176"/>
        <v>400</v>
      </c>
      <c r="BX1310" s="78" cm="1">
        <f t="array" ref="BX1310">IF(BM1310&gt;0,1,_xll.DCETCVN5575FactorPhi7121(BV1310*SQRT($K$17/206000),"b"))</f>
        <v>1</v>
      </c>
      <c r="BY1310" s="64">
        <f t="shared" si="177"/>
        <v>4.2375336975919886E-2</v>
      </c>
      <c r="BZ1310" s="3" t="str">
        <f t="shared" si="178"/>
        <v>OK</v>
      </c>
    </row>
    <row r="1311" spans="1:78">
      <c r="A1311" s="76"/>
      <c r="B1311" s="76"/>
      <c r="C1311" s="125"/>
      <c r="D1311" s="125"/>
      <c r="E1311" s="71"/>
      <c r="F1311" s="71"/>
      <c r="G1311" s="71"/>
      <c r="H1311" s="126"/>
      <c r="I1311" s="125"/>
      <c r="J1311" s="123"/>
      <c r="K1311" s="12"/>
      <c r="L1311" s="117"/>
      <c r="M1311" s="12"/>
      <c r="N1311" s="117"/>
      <c r="O1311" s="117"/>
      <c r="P1311" s="117"/>
      <c r="Q1311" s="118"/>
      <c r="R1311" s="118"/>
      <c r="S1311" s="118"/>
      <c r="T1311" s="12"/>
      <c r="U1311" s="118"/>
      <c r="V1311" s="118"/>
      <c r="W1311" s="12"/>
      <c r="X1311" s="119"/>
      <c r="Y1311" s="120"/>
      <c r="Z1311" s="12"/>
      <c r="BA1311" s="70" t="s">
        <v>205</v>
      </c>
      <c r="BB1311" s="71" t="s">
        <v>216</v>
      </c>
      <c r="BC1311" s="71" t="s">
        <v>207</v>
      </c>
      <c r="BD1311" s="71">
        <v>9.44</v>
      </c>
      <c r="BE1311" s="71">
        <v>9.44</v>
      </c>
      <c r="BF1311" s="71">
        <v>264</v>
      </c>
      <c r="BG1311" s="71">
        <v>212</v>
      </c>
      <c r="BH1311" s="71">
        <v>5</v>
      </c>
      <c r="BI1311" s="71">
        <v>8</v>
      </c>
      <c r="BJ1311" s="12" t="str" cm="1">
        <f t="array" ref="BJ1311">_xll.Dce_Name_SectI(BF1311, BF1311, BG1311, BH1311, BI1311, "x", "-", $AX$11)</f>
        <v>264x212x5x8</v>
      </c>
      <c r="BK1311" s="77" cm="1">
        <f t="array" ref="BK1311">_xll.DCEPropSectI(BF1311, BH1311, BG1311, BI1311, BG1311, BI1311, "A")/100</f>
        <v>46.32</v>
      </c>
      <c r="BL1311" s="70" t="s">
        <v>226</v>
      </c>
      <c r="BM1311" s="70">
        <v>40.198746882919906</v>
      </c>
      <c r="BN1311" s="71">
        <v>0.9</v>
      </c>
      <c r="BO1311" s="77">
        <f t="shared" si="171"/>
        <v>8.4960000000000004</v>
      </c>
      <c r="BP1311" s="71">
        <v>0.9</v>
      </c>
      <c r="BQ1311" s="77">
        <f t="shared" si="172"/>
        <v>8.4960000000000004</v>
      </c>
      <c r="BR1311" s="77" cm="1">
        <f t="array" ref="BR1311">_xll.DCEPropSectI(BF1311, BH1311, BG1311, BI1311, BG1311, BI1311, "rx")/10</f>
        <v>11.562881075579337</v>
      </c>
      <c r="BS1311" s="77" cm="1">
        <f t="array" ref="BS1311">_xll.DCEPropSectI(BF1311, BH1311, BG1311, BI1311, BG1311, BI1311, "ry")/10</f>
        <v>5.237608536144422</v>
      </c>
      <c r="BT1311" s="5">
        <f t="shared" si="173"/>
        <v>73.476497288754857</v>
      </c>
      <c r="BU1311" s="5">
        <f t="shared" si="174"/>
        <v>162.21143564605134</v>
      </c>
      <c r="BV1311" s="5">
        <f t="shared" si="175"/>
        <v>162.21143564605134</v>
      </c>
      <c r="BW1311" s="71">
        <f t="shared" si="176"/>
        <v>400</v>
      </c>
      <c r="BX1311" s="78" cm="1">
        <f t="array" ref="BX1311">IF(BM1311&gt;0,1,_xll.DCETCVN5575FactorPhi7121(BV1311*SQRT($K$17/206000),"b"))</f>
        <v>1</v>
      </c>
      <c r="BY1311" s="64">
        <f t="shared" si="177"/>
        <v>4.1326123532897344E-2</v>
      </c>
      <c r="BZ1311" s="3" t="str">
        <f t="shared" si="178"/>
        <v>OK</v>
      </c>
    </row>
    <row r="1312" spans="1:78">
      <c r="A1312" s="76"/>
      <c r="B1312" s="76"/>
      <c r="C1312" s="125"/>
      <c r="D1312" s="125"/>
      <c r="E1312" s="71"/>
      <c r="F1312" s="71"/>
      <c r="G1312" s="71"/>
      <c r="H1312" s="126"/>
      <c r="I1312" s="125"/>
      <c r="J1312" s="123"/>
      <c r="K1312" s="12"/>
      <c r="L1312" s="117"/>
      <c r="M1312" s="12"/>
      <c r="N1312" s="117"/>
      <c r="O1312" s="117"/>
      <c r="P1312" s="117"/>
      <c r="Q1312" s="118"/>
      <c r="R1312" s="118"/>
      <c r="S1312" s="118"/>
      <c r="T1312" s="12"/>
      <c r="U1312" s="118"/>
      <c r="V1312" s="118"/>
      <c r="W1312" s="12"/>
      <c r="X1312" s="119"/>
      <c r="Y1312" s="120"/>
      <c r="Z1312" s="12"/>
      <c r="BK1312" s="77"/>
      <c r="BO1312" s="77"/>
      <c r="BQ1312" s="77"/>
      <c r="BT1312" s="5"/>
      <c r="BU1312" s="5"/>
      <c r="BV1312" s="5"/>
      <c r="BW1312" s="71"/>
      <c r="BX1312" s="78"/>
      <c r="BY1312" s="64"/>
      <c r="BZ1312" s="3"/>
    </row>
    <row r="1313" spans="1:78">
      <c r="A1313" s="76"/>
      <c r="B1313" s="76"/>
      <c r="C1313" s="125"/>
      <c r="D1313" s="125"/>
      <c r="E1313" s="71"/>
      <c r="F1313" s="71"/>
      <c r="G1313" s="71"/>
      <c r="H1313" s="126"/>
      <c r="I1313" s="125"/>
      <c r="J1313" s="123"/>
      <c r="K1313" s="12"/>
      <c r="L1313" s="117"/>
      <c r="M1313" s="12"/>
      <c r="N1313" s="117"/>
      <c r="O1313" s="117"/>
      <c r="P1313" s="117"/>
      <c r="Q1313" s="118"/>
      <c r="R1313" s="118"/>
      <c r="S1313" s="118"/>
      <c r="T1313" s="12"/>
      <c r="U1313" s="118"/>
      <c r="V1313" s="118"/>
      <c r="W1313" s="12"/>
      <c r="X1313" s="119"/>
      <c r="Y1313" s="120"/>
      <c r="Z1313" s="12"/>
      <c r="BK1313" s="77"/>
      <c r="BO1313" s="77"/>
      <c r="BQ1313" s="77"/>
      <c r="BT1313" s="5"/>
      <c r="BU1313" s="5"/>
      <c r="BV1313" s="5"/>
      <c r="BW1313" s="71"/>
      <c r="BX1313" s="78"/>
      <c r="BY1313" s="64"/>
      <c r="BZ1313" s="3"/>
    </row>
    <row r="1314" spans="1:78">
      <c r="A1314" s="76"/>
      <c r="B1314" s="76"/>
      <c r="C1314" s="125"/>
      <c r="D1314" s="125"/>
      <c r="E1314" s="71"/>
      <c r="F1314" s="71"/>
      <c r="G1314" s="71"/>
      <c r="H1314" s="126"/>
      <c r="I1314" s="125"/>
      <c r="J1314" s="123"/>
      <c r="K1314" s="12"/>
      <c r="L1314" s="117"/>
      <c r="M1314" s="12"/>
      <c r="N1314" s="117"/>
      <c r="O1314" s="117"/>
      <c r="P1314" s="117"/>
      <c r="Q1314" s="118"/>
      <c r="R1314" s="118"/>
      <c r="S1314" s="118"/>
      <c r="T1314" s="12"/>
      <c r="U1314" s="118"/>
      <c r="V1314" s="118"/>
      <c r="W1314" s="12"/>
      <c r="X1314" s="119"/>
      <c r="Y1314" s="120"/>
      <c r="Z1314" s="12"/>
      <c r="BK1314" s="77"/>
      <c r="BO1314" s="77"/>
      <c r="BQ1314" s="77"/>
      <c r="BT1314" s="5"/>
      <c r="BU1314" s="5"/>
      <c r="BV1314" s="5"/>
      <c r="BW1314" s="71"/>
      <c r="BX1314" s="78"/>
      <c r="BY1314" s="64"/>
      <c r="BZ1314" s="3"/>
    </row>
    <row r="1315" spans="1:78">
      <c r="A1315" s="76"/>
      <c r="B1315" s="76"/>
      <c r="C1315" s="125"/>
      <c r="D1315" s="125"/>
      <c r="E1315" s="71"/>
      <c r="F1315" s="71"/>
      <c r="G1315" s="71"/>
      <c r="H1315" s="126"/>
      <c r="I1315" s="125"/>
      <c r="J1315" s="123"/>
      <c r="K1315" s="12"/>
      <c r="L1315" s="117"/>
      <c r="M1315" s="12"/>
      <c r="N1315" s="117"/>
      <c r="O1315" s="117"/>
      <c r="P1315" s="117"/>
      <c r="Q1315" s="118"/>
      <c r="R1315" s="118"/>
      <c r="S1315" s="118"/>
      <c r="T1315" s="12"/>
      <c r="U1315" s="118"/>
      <c r="V1315" s="118"/>
      <c r="W1315" s="12"/>
      <c r="X1315" s="119"/>
      <c r="Y1315" s="120"/>
      <c r="Z1315" s="12"/>
      <c r="BK1315" s="77"/>
      <c r="BO1315" s="77"/>
      <c r="BQ1315" s="77"/>
      <c r="BT1315" s="5"/>
      <c r="BU1315" s="5"/>
      <c r="BV1315" s="5"/>
      <c r="BW1315" s="71"/>
      <c r="BX1315" s="78"/>
      <c r="BY1315" s="64"/>
      <c r="BZ1315" s="3"/>
    </row>
    <row r="1316" spans="1:78">
      <c r="A1316" s="76"/>
      <c r="B1316" s="76"/>
      <c r="C1316" s="125"/>
      <c r="D1316" s="125"/>
      <c r="E1316" s="71"/>
      <c r="F1316" s="71"/>
      <c r="G1316" s="71"/>
      <c r="H1316" s="126"/>
      <c r="I1316" s="125"/>
      <c r="J1316" s="123"/>
      <c r="K1316" s="12"/>
      <c r="L1316" s="117"/>
      <c r="M1316" s="12"/>
      <c r="N1316" s="117"/>
      <c r="O1316" s="117"/>
      <c r="P1316" s="117"/>
      <c r="Q1316" s="118"/>
      <c r="R1316" s="118"/>
      <c r="S1316" s="118"/>
      <c r="T1316" s="12"/>
      <c r="U1316" s="118"/>
      <c r="V1316" s="118"/>
      <c r="W1316" s="12"/>
      <c r="X1316" s="119"/>
      <c r="Y1316" s="120"/>
      <c r="Z1316" s="12"/>
      <c r="BK1316" s="77"/>
      <c r="BO1316" s="77"/>
      <c r="BQ1316" s="77"/>
      <c r="BT1316" s="5"/>
      <c r="BU1316" s="5"/>
      <c r="BV1316" s="5"/>
      <c r="BW1316" s="71"/>
      <c r="BX1316" s="78"/>
      <c r="BY1316" s="64"/>
      <c r="BZ1316" s="3"/>
    </row>
    <row r="1317" spans="1:78">
      <c r="A1317" s="76"/>
      <c r="B1317" s="76"/>
      <c r="C1317" s="125"/>
      <c r="D1317" s="125"/>
      <c r="E1317" s="71"/>
      <c r="F1317" s="71"/>
      <c r="G1317" s="71"/>
      <c r="H1317" s="126"/>
      <c r="I1317" s="125"/>
      <c r="J1317" s="123"/>
      <c r="K1317" s="12"/>
      <c r="L1317" s="117"/>
      <c r="M1317" s="12"/>
      <c r="N1317" s="117"/>
      <c r="O1317" s="117"/>
      <c r="P1317" s="117"/>
      <c r="Q1317" s="118"/>
      <c r="R1317" s="118"/>
      <c r="S1317" s="118"/>
      <c r="T1317" s="12"/>
      <c r="U1317" s="118"/>
      <c r="V1317" s="118"/>
      <c r="W1317" s="12"/>
      <c r="X1317" s="119"/>
      <c r="Y1317" s="120"/>
      <c r="Z1317" s="12"/>
      <c r="BK1317" s="77"/>
      <c r="BO1317" s="77"/>
      <c r="BQ1317" s="77"/>
      <c r="BT1317" s="5"/>
      <c r="BU1317" s="5"/>
      <c r="BV1317" s="5"/>
      <c r="BW1317" s="71"/>
      <c r="BX1317" s="78"/>
      <c r="BY1317" s="64"/>
      <c r="BZ1317" s="3"/>
    </row>
    <row r="1318" spans="1:78">
      <c r="A1318" s="76"/>
      <c r="B1318" s="76"/>
      <c r="C1318" s="125"/>
      <c r="D1318" s="125"/>
      <c r="E1318" s="71"/>
      <c r="F1318" s="71"/>
      <c r="G1318" s="71"/>
      <c r="H1318" s="126"/>
      <c r="I1318" s="125"/>
      <c r="J1318" s="123"/>
      <c r="K1318" s="12"/>
      <c r="L1318" s="117"/>
      <c r="M1318" s="12"/>
      <c r="N1318" s="117"/>
      <c r="O1318" s="117"/>
      <c r="P1318" s="117"/>
      <c r="Q1318" s="118"/>
      <c r="R1318" s="118"/>
      <c r="S1318" s="118"/>
      <c r="T1318" s="12"/>
      <c r="U1318" s="118"/>
      <c r="V1318" s="118"/>
      <c r="W1318" s="12"/>
      <c r="X1318" s="119"/>
      <c r="Y1318" s="120"/>
      <c r="Z1318" s="12"/>
      <c r="BK1318" s="77"/>
      <c r="BO1318" s="77"/>
      <c r="BQ1318" s="77"/>
      <c r="BT1318" s="5"/>
      <c r="BU1318" s="5"/>
      <c r="BV1318" s="5"/>
      <c r="BW1318" s="71"/>
      <c r="BX1318" s="78"/>
      <c r="BY1318" s="64"/>
      <c r="BZ1318" s="3"/>
    </row>
    <row r="1319" spans="1:78">
      <c r="A1319" s="76"/>
      <c r="B1319" s="76"/>
      <c r="C1319" s="125"/>
      <c r="D1319" s="125"/>
      <c r="E1319" s="71"/>
      <c r="F1319" s="71"/>
      <c r="G1319" s="71"/>
      <c r="H1319" s="126"/>
      <c r="I1319" s="125"/>
      <c r="J1319" s="123"/>
      <c r="K1319" s="12"/>
      <c r="L1319" s="117"/>
      <c r="M1319" s="12"/>
      <c r="N1319" s="117"/>
      <c r="O1319" s="117"/>
      <c r="P1319" s="117"/>
      <c r="Q1319" s="118"/>
      <c r="R1319" s="118"/>
      <c r="S1319" s="118"/>
      <c r="T1319" s="12"/>
      <c r="U1319" s="118"/>
      <c r="V1319" s="118"/>
      <c r="W1319" s="12"/>
      <c r="X1319" s="119"/>
      <c r="Y1319" s="120"/>
      <c r="Z1319" s="12"/>
      <c r="BK1319" s="77"/>
      <c r="BO1319" s="77"/>
      <c r="BQ1319" s="77"/>
      <c r="BT1319" s="5"/>
      <c r="BU1319" s="5"/>
      <c r="BV1319" s="5"/>
      <c r="BW1319" s="71"/>
      <c r="BX1319" s="78"/>
      <c r="BY1319" s="64"/>
      <c r="BZ1319" s="3"/>
    </row>
    <row r="1320" spans="1:78">
      <c r="A1320" s="76"/>
      <c r="B1320" s="76"/>
      <c r="C1320" s="125"/>
      <c r="D1320" s="125"/>
      <c r="E1320" s="71"/>
      <c r="F1320" s="71"/>
      <c r="G1320" s="71"/>
      <c r="H1320" s="126"/>
      <c r="I1320" s="125"/>
      <c r="J1320" s="123"/>
      <c r="K1320" s="12"/>
      <c r="L1320" s="117"/>
      <c r="M1320" s="12"/>
      <c r="N1320" s="117"/>
      <c r="O1320" s="117"/>
      <c r="P1320" s="117"/>
      <c r="Q1320" s="118"/>
      <c r="R1320" s="118"/>
      <c r="S1320" s="118"/>
      <c r="T1320" s="12"/>
      <c r="U1320" s="118"/>
      <c r="V1320" s="118"/>
      <c r="W1320" s="12"/>
      <c r="X1320" s="119"/>
      <c r="Y1320" s="120"/>
      <c r="Z1320" s="12"/>
      <c r="BK1320" s="77"/>
      <c r="BO1320" s="77"/>
      <c r="BQ1320" s="77"/>
      <c r="BT1320" s="5"/>
      <c r="BU1320" s="5"/>
      <c r="BV1320" s="5"/>
      <c r="BW1320" s="71"/>
      <c r="BX1320" s="78"/>
      <c r="BY1320" s="64"/>
      <c r="BZ1320" s="3"/>
    </row>
    <row r="1321" spans="1:78">
      <c r="A1321" s="76"/>
      <c r="B1321" s="76"/>
      <c r="C1321" s="125"/>
      <c r="D1321" s="125"/>
      <c r="E1321" s="71"/>
      <c r="F1321" s="71"/>
      <c r="G1321" s="71"/>
      <c r="H1321" s="126"/>
      <c r="I1321" s="125"/>
      <c r="J1321" s="123"/>
      <c r="K1321" s="12"/>
      <c r="L1321" s="117"/>
      <c r="M1321" s="12"/>
      <c r="N1321" s="117"/>
      <c r="O1321" s="117"/>
      <c r="P1321" s="117"/>
      <c r="Q1321" s="118"/>
      <c r="R1321" s="118"/>
      <c r="S1321" s="118"/>
      <c r="T1321" s="12"/>
      <c r="U1321" s="118"/>
      <c r="V1321" s="118"/>
      <c r="W1321" s="12"/>
      <c r="X1321" s="119"/>
      <c r="Y1321" s="120"/>
      <c r="Z1321" s="12"/>
      <c r="BK1321" s="77"/>
      <c r="BO1321" s="77"/>
      <c r="BQ1321" s="77"/>
      <c r="BT1321" s="5"/>
      <c r="BU1321" s="5"/>
      <c r="BV1321" s="5"/>
      <c r="BW1321" s="71"/>
      <c r="BX1321" s="78"/>
      <c r="BY1321" s="64"/>
      <c r="BZ1321" s="3"/>
    </row>
    <row r="1322" spans="1:78">
      <c r="A1322" s="76"/>
      <c r="B1322" s="76"/>
      <c r="C1322" s="125"/>
      <c r="D1322" s="125"/>
      <c r="E1322" s="71"/>
      <c r="F1322" s="71"/>
      <c r="G1322" s="71"/>
      <c r="H1322" s="126"/>
      <c r="I1322" s="125"/>
      <c r="J1322" s="123"/>
      <c r="K1322" s="12"/>
      <c r="L1322" s="117"/>
      <c r="M1322" s="12"/>
      <c r="N1322" s="117"/>
      <c r="O1322" s="117"/>
      <c r="P1322" s="117"/>
      <c r="Q1322" s="118"/>
      <c r="R1322" s="118"/>
      <c r="S1322" s="118"/>
      <c r="T1322" s="12"/>
      <c r="U1322" s="118"/>
      <c r="V1322" s="118"/>
      <c r="W1322" s="12"/>
      <c r="X1322" s="119"/>
      <c r="Y1322" s="120"/>
      <c r="Z1322" s="12"/>
      <c r="BK1322" s="77"/>
      <c r="BO1322" s="77"/>
      <c r="BQ1322" s="77"/>
      <c r="BT1322" s="5"/>
      <c r="BU1322" s="5"/>
      <c r="BV1322" s="5"/>
      <c r="BW1322" s="71"/>
      <c r="BX1322" s="78"/>
      <c r="BY1322" s="64"/>
      <c r="BZ1322" s="3"/>
    </row>
    <row r="1323" spans="1:78">
      <c r="A1323" s="76"/>
      <c r="B1323" s="76"/>
      <c r="C1323" s="125"/>
      <c r="D1323" s="125"/>
      <c r="E1323" s="71"/>
      <c r="F1323" s="71"/>
      <c r="G1323" s="71"/>
      <c r="H1323" s="126"/>
      <c r="I1323" s="125"/>
      <c r="J1323" s="123"/>
      <c r="K1323" s="12"/>
      <c r="L1323" s="117"/>
      <c r="M1323" s="12"/>
      <c r="N1323" s="117"/>
      <c r="O1323" s="117"/>
      <c r="P1323" s="117"/>
      <c r="Q1323" s="118"/>
      <c r="R1323" s="118"/>
      <c r="S1323" s="118"/>
      <c r="T1323" s="12"/>
      <c r="U1323" s="118"/>
      <c r="V1323" s="118"/>
      <c r="W1323" s="12"/>
      <c r="X1323" s="119"/>
      <c r="Y1323" s="120"/>
      <c r="Z1323" s="12"/>
      <c r="BK1323" s="77"/>
      <c r="BO1323" s="77"/>
      <c r="BQ1323" s="77"/>
      <c r="BT1323" s="5"/>
      <c r="BU1323" s="5"/>
      <c r="BV1323" s="5"/>
      <c r="BW1323" s="71"/>
      <c r="BX1323" s="78"/>
      <c r="BY1323" s="64"/>
      <c r="BZ1323" s="3"/>
    </row>
    <row r="1324" spans="1:78">
      <c r="A1324" s="76"/>
      <c r="B1324" s="76"/>
      <c r="C1324" s="125"/>
      <c r="D1324" s="125"/>
      <c r="E1324" s="71"/>
      <c r="F1324" s="71"/>
      <c r="G1324" s="71"/>
      <c r="H1324" s="126"/>
      <c r="I1324" s="125"/>
      <c r="J1324" s="123"/>
      <c r="K1324" s="12"/>
      <c r="L1324" s="117"/>
      <c r="M1324" s="12"/>
      <c r="N1324" s="117"/>
      <c r="O1324" s="117"/>
      <c r="P1324" s="117"/>
      <c r="Q1324" s="118"/>
      <c r="R1324" s="118"/>
      <c r="S1324" s="118"/>
      <c r="T1324" s="12"/>
      <c r="U1324" s="118"/>
      <c r="V1324" s="118"/>
      <c r="W1324" s="12"/>
      <c r="X1324" s="119"/>
      <c r="Y1324" s="120"/>
      <c r="Z1324" s="12"/>
      <c r="BK1324" s="77"/>
      <c r="BO1324" s="77"/>
      <c r="BQ1324" s="77"/>
      <c r="BT1324" s="5"/>
      <c r="BU1324" s="5"/>
      <c r="BV1324" s="5"/>
      <c r="BW1324" s="71"/>
      <c r="BX1324" s="78"/>
      <c r="BY1324" s="64"/>
      <c r="BZ1324" s="3"/>
    </row>
    <row r="1325" spans="1:78">
      <c r="A1325" s="76"/>
      <c r="B1325" s="76"/>
      <c r="C1325" s="125"/>
      <c r="D1325" s="125"/>
      <c r="E1325" s="71"/>
      <c r="F1325" s="71"/>
      <c r="G1325" s="71"/>
      <c r="H1325" s="126"/>
      <c r="I1325" s="125"/>
      <c r="J1325" s="123"/>
      <c r="K1325" s="12"/>
      <c r="L1325" s="117"/>
      <c r="M1325" s="12"/>
      <c r="N1325" s="117"/>
      <c r="O1325" s="117"/>
      <c r="P1325" s="117"/>
      <c r="Q1325" s="118"/>
      <c r="R1325" s="118"/>
      <c r="S1325" s="118"/>
      <c r="T1325" s="12"/>
      <c r="U1325" s="118"/>
      <c r="V1325" s="118"/>
      <c r="W1325" s="12"/>
      <c r="X1325" s="119"/>
      <c r="Y1325" s="120"/>
      <c r="Z1325" s="12"/>
      <c r="BK1325" s="77"/>
      <c r="BO1325" s="77"/>
      <c r="BQ1325" s="77"/>
      <c r="BT1325" s="5"/>
      <c r="BU1325" s="5"/>
      <c r="BV1325" s="5"/>
      <c r="BW1325" s="71"/>
      <c r="BX1325" s="78"/>
      <c r="BY1325" s="64"/>
      <c r="BZ1325" s="3"/>
    </row>
    <row r="1326" spans="1:78">
      <c r="A1326" s="76"/>
      <c r="B1326" s="76"/>
      <c r="C1326" s="125"/>
      <c r="D1326" s="125"/>
      <c r="E1326" s="71"/>
      <c r="F1326" s="71"/>
      <c r="G1326" s="71"/>
      <c r="H1326" s="126"/>
      <c r="I1326" s="125"/>
      <c r="J1326" s="123"/>
      <c r="K1326" s="12"/>
      <c r="L1326" s="117"/>
      <c r="M1326" s="12"/>
      <c r="N1326" s="117"/>
      <c r="O1326" s="117"/>
      <c r="P1326" s="117"/>
      <c r="Q1326" s="118"/>
      <c r="R1326" s="118"/>
      <c r="S1326" s="118"/>
      <c r="T1326" s="12"/>
      <c r="U1326" s="118"/>
      <c r="V1326" s="118"/>
      <c r="W1326" s="12"/>
      <c r="X1326" s="119"/>
      <c r="Y1326" s="120"/>
      <c r="Z1326" s="12"/>
      <c r="BK1326" s="77"/>
      <c r="BO1326" s="77"/>
      <c r="BQ1326" s="77"/>
      <c r="BT1326" s="5"/>
      <c r="BU1326" s="5"/>
      <c r="BV1326" s="5"/>
      <c r="BW1326" s="71"/>
      <c r="BX1326" s="78"/>
      <c r="BY1326" s="64"/>
      <c r="BZ1326" s="3"/>
    </row>
    <row r="1327" spans="1:78">
      <c r="A1327" s="76"/>
      <c r="B1327" s="76"/>
      <c r="C1327" s="125"/>
      <c r="D1327" s="125"/>
      <c r="E1327" s="71"/>
      <c r="F1327" s="71"/>
      <c r="G1327" s="71"/>
      <c r="H1327" s="126"/>
      <c r="I1327" s="125"/>
      <c r="J1327" s="123"/>
      <c r="K1327" s="12"/>
      <c r="L1327" s="117"/>
      <c r="M1327" s="12"/>
      <c r="N1327" s="117"/>
      <c r="O1327" s="117"/>
      <c r="P1327" s="117"/>
      <c r="Q1327" s="118"/>
      <c r="R1327" s="118"/>
      <c r="S1327" s="118"/>
      <c r="T1327" s="12"/>
      <c r="U1327" s="118"/>
      <c r="V1327" s="118"/>
      <c r="W1327" s="12"/>
      <c r="X1327" s="119"/>
      <c r="Y1327" s="120"/>
      <c r="Z1327" s="12"/>
      <c r="BK1327" s="77"/>
      <c r="BO1327" s="77"/>
      <c r="BQ1327" s="77"/>
      <c r="BT1327" s="5"/>
      <c r="BU1327" s="5"/>
      <c r="BV1327" s="5"/>
      <c r="BW1327" s="71"/>
      <c r="BX1327" s="78"/>
      <c r="BY1327" s="64"/>
      <c r="BZ1327" s="3"/>
    </row>
    <row r="1328" spans="1:78">
      <c r="A1328" s="76"/>
      <c r="B1328" s="76"/>
      <c r="C1328" s="125"/>
      <c r="D1328" s="125"/>
      <c r="E1328" s="71"/>
      <c r="F1328" s="71"/>
      <c r="G1328" s="71"/>
      <c r="H1328" s="126"/>
      <c r="I1328" s="125"/>
      <c r="J1328" s="123"/>
      <c r="K1328" s="12"/>
      <c r="L1328" s="117"/>
      <c r="M1328" s="12"/>
      <c r="N1328" s="117"/>
      <c r="O1328" s="117"/>
      <c r="P1328" s="117"/>
      <c r="Q1328" s="118"/>
      <c r="R1328" s="118"/>
      <c r="S1328" s="118"/>
      <c r="T1328" s="12"/>
      <c r="U1328" s="118"/>
      <c r="V1328" s="118"/>
      <c r="W1328" s="12"/>
      <c r="X1328" s="119"/>
      <c r="Y1328" s="120"/>
      <c r="Z1328" s="12"/>
      <c r="BK1328" s="77"/>
      <c r="BO1328" s="77"/>
      <c r="BQ1328" s="77"/>
      <c r="BT1328" s="5"/>
      <c r="BU1328" s="5"/>
      <c r="BV1328" s="5"/>
      <c r="BW1328" s="71"/>
      <c r="BX1328" s="78"/>
      <c r="BY1328" s="64"/>
      <c r="BZ1328" s="3"/>
    </row>
    <row r="1329" spans="1:78">
      <c r="A1329" s="76"/>
      <c r="B1329" s="76"/>
      <c r="C1329" s="125"/>
      <c r="D1329" s="125"/>
      <c r="E1329" s="71"/>
      <c r="F1329" s="71"/>
      <c r="G1329" s="71"/>
      <c r="H1329" s="126"/>
      <c r="I1329" s="125"/>
      <c r="J1329" s="123"/>
      <c r="K1329" s="12"/>
      <c r="L1329" s="117"/>
      <c r="M1329" s="12"/>
      <c r="N1329" s="117"/>
      <c r="O1329" s="117"/>
      <c r="P1329" s="117"/>
      <c r="Q1329" s="118"/>
      <c r="R1329" s="118"/>
      <c r="S1329" s="118"/>
      <c r="T1329" s="12"/>
      <c r="U1329" s="118"/>
      <c r="V1329" s="118"/>
      <c r="W1329" s="12"/>
      <c r="X1329" s="119"/>
      <c r="Y1329" s="120"/>
      <c r="Z1329" s="12"/>
      <c r="BK1329" s="77"/>
      <c r="BO1329" s="77"/>
      <c r="BQ1329" s="77"/>
      <c r="BT1329" s="5"/>
      <c r="BU1329" s="5"/>
      <c r="BV1329" s="5"/>
      <c r="BW1329" s="71"/>
      <c r="BX1329" s="78"/>
      <c r="BY1329" s="64"/>
      <c r="BZ1329" s="3"/>
    </row>
    <row r="1330" spans="1:78">
      <c r="A1330" s="76"/>
      <c r="B1330" s="76"/>
      <c r="C1330" s="125"/>
      <c r="D1330" s="125"/>
      <c r="E1330" s="71"/>
      <c r="F1330" s="71"/>
      <c r="G1330" s="71"/>
      <c r="H1330" s="126"/>
      <c r="I1330" s="125"/>
      <c r="J1330" s="123"/>
      <c r="K1330" s="12"/>
      <c r="L1330" s="117"/>
      <c r="M1330" s="12"/>
      <c r="N1330" s="117"/>
      <c r="O1330" s="117"/>
      <c r="P1330" s="117"/>
      <c r="Q1330" s="118"/>
      <c r="R1330" s="118"/>
      <c r="S1330" s="118"/>
      <c r="T1330" s="12"/>
      <c r="U1330" s="118"/>
      <c r="V1330" s="118"/>
      <c r="W1330" s="12"/>
      <c r="X1330" s="119"/>
      <c r="Y1330" s="120"/>
      <c r="Z1330" s="12"/>
      <c r="BK1330" s="77"/>
      <c r="BO1330" s="77"/>
      <c r="BQ1330" s="77"/>
      <c r="BT1330" s="5"/>
      <c r="BU1330" s="5"/>
      <c r="BV1330" s="5"/>
      <c r="BW1330" s="71"/>
      <c r="BX1330" s="78"/>
      <c r="BY1330" s="64"/>
      <c r="BZ1330" s="3"/>
    </row>
    <row r="1331" spans="1:78">
      <c r="A1331" s="76"/>
      <c r="B1331" s="76"/>
      <c r="C1331" s="125"/>
      <c r="D1331" s="125"/>
      <c r="E1331" s="71"/>
      <c r="F1331" s="71"/>
      <c r="G1331" s="71"/>
      <c r="H1331" s="126"/>
      <c r="I1331" s="125"/>
      <c r="J1331" s="123"/>
      <c r="K1331" s="12"/>
      <c r="L1331" s="117"/>
      <c r="M1331" s="12"/>
      <c r="N1331" s="117"/>
      <c r="O1331" s="117"/>
      <c r="P1331" s="117"/>
      <c r="Q1331" s="118"/>
      <c r="R1331" s="118"/>
      <c r="S1331" s="118"/>
      <c r="T1331" s="12"/>
      <c r="U1331" s="118"/>
      <c r="V1331" s="118"/>
      <c r="W1331" s="12"/>
      <c r="X1331" s="119"/>
      <c r="Y1331" s="120"/>
      <c r="Z1331" s="12"/>
      <c r="BK1331" s="77"/>
      <c r="BO1331" s="77"/>
      <c r="BQ1331" s="77"/>
      <c r="BT1331" s="5"/>
      <c r="BU1331" s="5"/>
      <c r="BV1331" s="5"/>
      <c r="BW1331" s="71"/>
      <c r="BX1331" s="78"/>
      <c r="BY1331" s="64"/>
      <c r="BZ1331" s="3"/>
    </row>
    <row r="1332" spans="1:78">
      <c r="A1332" s="76"/>
      <c r="B1332" s="76"/>
      <c r="C1332" s="125"/>
      <c r="D1332" s="125"/>
      <c r="E1332" s="71"/>
      <c r="F1332" s="71"/>
      <c r="G1332" s="71"/>
      <c r="H1332" s="126"/>
      <c r="I1332" s="125"/>
      <c r="J1332" s="123"/>
      <c r="K1332" s="12"/>
      <c r="L1332" s="117"/>
      <c r="M1332" s="12"/>
      <c r="N1332" s="117"/>
      <c r="O1332" s="117"/>
      <c r="P1332" s="117"/>
      <c r="Q1332" s="118"/>
      <c r="R1332" s="118"/>
      <c r="S1332" s="118"/>
      <c r="T1332" s="12"/>
      <c r="U1332" s="118"/>
      <c r="V1332" s="118"/>
      <c r="W1332" s="12"/>
      <c r="X1332" s="119"/>
      <c r="Y1332" s="120"/>
      <c r="Z1332" s="12"/>
      <c r="BK1332" s="77"/>
      <c r="BO1332" s="77"/>
      <c r="BQ1332" s="77"/>
      <c r="BT1332" s="5"/>
      <c r="BU1332" s="5"/>
      <c r="BV1332" s="5"/>
      <c r="BW1332" s="71"/>
      <c r="BX1332" s="78"/>
      <c r="BY1332" s="64"/>
      <c r="BZ1332" s="3"/>
    </row>
    <row r="1333" spans="1:78">
      <c r="A1333" s="76"/>
      <c r="B1333" s="76"/>
      <c r="C1333" s="125"/>
      <c r="D1333" s="125"/>
      <c r="E1333" s="71"/>
      <c r="F1333" s="71"/>
      <c r="G1333" s="71"/>
      <c r="H1333" s="126"/>
      <c r="I1333" s="125"/>
      <c r="J1333" s="123"/>
      <c r="K1333" s="12"/>
      <c r="L1333" s="117"/>
      <c r="M1333" s="12"/>
      <c r="N1333" s="117"/>
      <c r="O1333" s="117"/>
      <c r="P1333" s="117"/>
      <c r="Q1333" s="118"/>
      <c r="R1333" s="118"/>
      <c r="S1333" s="118"/>
      <c r="T1333" s="12"/>
      <c r="U1333" s="118"/>
      <c r="V1333" s="118"/>
      <c r="W1333" s="12"/>
      <c r="X1333" s="119"/>
      <c r="Y1333" s="120"/>
      <c r="Z1333" s="12"/>
      <c r="BK1333" s="77"/>
      <c r="BO1333" s="77"/>
      <c r="BQ1333" s="77"/>
      <c r="BT1333" s="5"/>
      <c r="BU1333" s="5"/>
      <c r="BV1333" s="5"/>
      <c r="BW1333" s="71"/>
      <c r="BX1333" s="78"/>
      <c r="BY1333" s="64"/>
      <c r="BZ1333" s="3"/>
    </row>
    <row r="1334" spans="1:78">
      <c r="A1334" s="76"/>
      <c r="B1334" s="76"/>
      <c r="C1334" s="125"/>
      <c r="D1334" s="125"/>
      <c r="E1334" s="71"/>
      <c r="F1334" s="71"/>
      <c r="G1334" s="71"/>
      <c r="H1334" s="126"/>
      <c r="I1334" s="125"/>
      <c r="J1334" s="123"/>
      <c r="K1334" s="12"/>
      <c r="L1334" s="117"/>
      <c r="M1334" s="12"/>
      <c r="N1334" s="117"/>
      <c r="O1334" s="117"/>
      <c r="P1334" s="117"/>
      <c r="Q1334" s="118"/>
      <c r="R1334" s="118"/>
      <c r="S1334" s="118"/>
      <c r="T1334" s="12"/>
      <c r="U1334" s="118"/>
      <c r="V1334" s="118"/>
      <c r="W1334" s="12"/>
      <c r="X1334" s="119"/>
      <c r="Y1334" s="120"/>
      <c r="Z1334" s="12"/>
      <c r="BK1334" s="77"/>
      <c r="BO1334" s="77"/>
      <c r="BQ1334" s="77"/>
      <c r="BT1334" s="5"/>
      <c r="BU1334" s="5"/>
      <c r="BV1334" s="5"/>
      <c r="BW1334" s="71"/>
      <c r="BX1334" s="78"/>
      <c r="BY1334" s="64"/>
      <c r="BZ1334" s="3"/>
    </row>
    <row r="1335" spans="1:78">
      <c r="A1335" s="76"/>
      <c r="B1335" s="76"/>
      <c r="C1335" s="125"/>
      <c r="D1335" s="125"/>
      <c r="E1335" s="71"/>
      <c r="F1335" s="71"/>
      <c r="G1335" s="71"/>
      <c r="H1335" s="126"/>
      <c r="I1335" s="125"/>
      <c r="J1335" s="123"/>
      <c r="K1335" s="12"/>
      <c r="L1335" s="117"/>
      <c r="M1335" s="12"/>
      <c r="N1335" s="117"/>
      <c r="O1335" s="117"/>
      <c r="P1335" s="117"/>
      <c r="Q1335" s="118"/>
      <c r="R1335" s="118"/>
      <c r="S1335" s="118"/>
      <c r="T1335" s="12"/>
      <c r="U1335" s="118"/>
      <c r="V1335" s="118"/>
      <c r="W1335" s="12"/>
      <c r="X1335" s="119"/>
      <c r="Y1335" s="120"/>
      <c r="Z1335" s="12"/>
      <c r="BK1335" s="77"/>
      <c r="BO1335" s="77"/>
      <c r="BQ1335" s="77"/>
      <c r="BT1335" s="5"/>
      <c r="BU1335" s="5"/>
      <c r="BV1335" s="5"/>
      <c r="BW1335" s="71"/>
      <c r="BX1335" s="78"/>
      <c r="BY1335" s="64"/>
      <c r="BZ1335" s="3"/>
    </row>
    <row r="1336" spans="1:78">
      <c r="A1336" s="76"/>
      <c r="B1336" s="76"/>
      <c r="C1336" s="125"/>
      <c r="D1336" s="125"/>
      <c r="E1336" s="71"/>
      <c r="F1336" s="71"/>
      <c r="G1336" s="71"/>
      <c r="H1336" s="126"/>
      <c r="I1336" s="125"/>
      <c r="J1336" s="123"/>
      <c r="K1336" s="12"/>
      <c r="L1336" s="117"/>
      <c r="M1336" s="12"/>
      <c r="N1336" s="117"/>
      <c r="O1336" s="117"/>
      <c r="P1336" s="117"/>
      <c r="Q1336" s="118"/>
      <c r="R1336" s="118"/>
      <c r="S1336" s="118"/>
      <c r="T1336" s="12"/>
      <c r="U1336" s="118"/>
      <c r="V1336" s="118"/>
      <c r="W1336" s="12"/>
      <c r="X1336" s="119"/>
      <c r="Y1336" s="120"/>
      <c r="Z1336" s="12"/>
      <c r="BK1336" s="77"/>
      <c r="BO1336" s="77"/>
      <c r="BQ1336" s="77"/>
      <c r="BT1336" s="5"/>
      <c r="BU1336" s="5"/>
      <c r="BV1336" s="5"/>
      <c r="BW1336" s="71"/>
      <c r="BX1336" s="78"/>
      <c r="BY1336" s="64"/>
      <c r="BZ1336" s="3"/>
    </row>
    <row r="1337" spans="1:78">
      <c r="A1337" s="76"/>
      <c r="B1337" s="76"/>
      <c r="C1337" s="125"/>
      <c r="D1337" s="125"/>
      <c r="E1337" s="71"/>
      <c r="F1337" s="71"/>
      <c r="G1337" s="71"/>
      <c r="H1337" s="126"/>
      <c r="I1337" s="125"/>
      <c r="J1337" s="123"/>
      <c r="K1337" s="12"/>
      <c r="L1337" s="117"/>
      <c r="M1337" s="12"/>
      <c r="N1337" s="117"/>
      <c r="O1337" s="117"/>
      <c r="P1337" s="117"/>
      <c r="Q1337" s="118"/>
      <c r="R1337" s="118"/>
      <c r="S1337" s="118"/>
      <c r="T1337" s="12"/>
      <c r="U1337" s="118"/>
      <c r="V1337" s="118"/>
      <c r="W1337" s="12"/>
      <c r="X1337" s="119"/>
      <c r="Y1337" s="120"/>
      <c r="Z1337" s="12"/>
      <c r="BK1337" s="77"/>
      <c r="BO1337" s="77"/>
      <c r="BQ1337" s="77"/>
      <c r="BT1337" s="5"/>
      <c r="BU1337" s="5"/>
      <c r="BV1337" s="5"/>
      <c r="BW1337" s="71"/>
      <c r="BX1337" s="78"/>
      <c r="BY1337" s="64"/>
      <c r="BZ1337" s="3"/>
    </row>
    <row r="1338" spans="1:78">
      <c r="A1338" s="76"/>
      <c r="B1338" s="76"/>
      <c r="C1338" s="125"/>
      <c r="D1338" s="125"/>
      <c r="E1338" s="71"/>
      <c r="F1338" s="71"/>
      <c r="G1338" s="71"/>
      <c r="H1338" s="126"/>
      <c r="I1338" s="125"/>
      <c r="J1338" s="123"/>
      <c r="K1338" s="12"/>
      <c r="L1338" s="117"/>
      <c r="M1338" s="12"/>
      <c r="N1338" s="117"/>
      <c r="O1338" s="117"/>
      <c r="P1338" s="117"/>
      <c r="Q1338" s="118"/>
      <c r="R1338" s="118"/>
      <c r="S1338" s="118"/>
      <c r="T1338" s="12"/>
      <c r="U1338" s="118"/>
      <c r="V1338" s="118"/>
      <c r="W1338" s="12"/>
      <c r="X1338" s="119"/>
      <c r="Y1338" s="120"/>
      <c r="Z1338" s="12"/>
      <c r="BK1338" s="77"/>
      <c r="BO1338" s="77"/>
      <c r="BQ1338" s="77"/>
      <c r="BT1338" s="5"/>
      <c r="BU1338" s="5"/>
      <c r="BV1338" s="5"/>
      <c r="BW1338" s="71"/>
      <c r="BX1338" s="78"/>
      <c r="BY1338" s="64"/>
      <c r="BZ1338" s="3"/>
    </row>
    <row r="1339" spans="1:78">
      <c r="A1339" s="76"/>
      <c r="B1339" s="76"/>
      <c r="C1339" s="125"/>
      <c r="D1339" s="125"/>
      <c r="E1339" s="71"/>
      <c r="F1339" s="71"/>
      <c r="G1339" s="71"/>
      <c r="H1339" s="126"/>
      <c r="I1339" s="125"/>
      <c r="J1339" s="123"/>
      <c r="K1339" s="12"/>
      <c r="L1339" s="117"/>
      <c r="M1339" s="12"/>
      <c r="N1339" s="117"/>
      <c r="O1339" s="117"/>
      <c r="P1339" s="117"/>
      <c r="Q1339" s="118"/>
      <c r="R1339" s="118"/>
      <c r="S1339" s="118"/>
      <c r="T1339" s="12"/>
      <c r="U1339" s="118"/>
      <c r="V1339" s="118"/>
      <c r="W1339" s="12"/>
      <c r="X1339" s="119"/>
      <c r="Y1339" s="120"/>
      <c r="Z1339" s="12"/>
      <c r="BK1339" s="77"/>
      <c r="BO1339" s="77"/>
      <c r="BQ1339" s="77"/>
      <c r="BT1339" s="5"/>
      <c r="BU1339" s="5"/>
      <c r="BV1339" s="5"/>
      <c r="BW1339" s="71"/>
      <c r="BX1339" s="78"/>
      <c r="BY1339" s="64"/>
      <c r="BZ1339" s="3"/>
    </row>
    <row r="1340" spans="1:78">
      <c r="A1340" s="76"/>
      <c r="B1340" s="76"/>
      <c r="C1340" s="125"/>
      <c r="D1340" s="125"/>
      <c r="E1340" s="71"/>
      <c r="F1340" s="71"/>
      <c r="G1340" s="71"/>
      <c r="H1340" s="126"/>
      <c r="I1340" s="125"/>
      <c r="J1340" s="123"/>
      <c r="K1340" s="12"/>
      <c r="L1340" s="117"/>
      <c r="M1340" s="12"/>
      <c r="N1340" s="117"/>
      <c r="O1340" s="117"/>
      <c r="P1340" s="117"/>
      <c r="Q1340" s="118"/>
      <c r="R1340" s="118"/>
      <c r="S1340" s="118"/>
      <c r="T1340" s="12"/>
      <c r="U1340" s="118"/>
      <c r="V1340" s="118"/>
      <c r="W1340" s="12"/>
      <c r="X1340" s="119"/>
      <c r="Y1340" s="120"/>
      <c r="Z1340" s="12"/>
      <c r="BK1340" s="77"/>
      <c r="BO1340" s="77"/>
      <c r="BQ1340" s="77"/>
      <c r="BT1340" s="5"/>
      <c r="BU1340" s="5"/>
      <c r="BV1340" s="5"/>
      <c r="BW1340" s="71"/>
      <c r="BX1340" s="78"/>
      <c r="BY1340" s="64"/>
      <c r="BZ1340" s="3"/>
    </row>
    <row r="1341" spans="1:78">
      <c r="A1341" s="76"/>
      <c r="B1341" s="76"/>
      <c r="C1341" s="125"/>
      <c r="D1341" s="125"/>
      <c r="E1341" s="71"/>
      <c r="F1341" s="71"/>
      <c r="G1341" s="71"/>
      <c r="H1341" s="126"/>
      <c r="I1341" s="125"/>
      <c r="J1341" s="123"/>
      <c r="K1341" s="12"/>
      <c r="L1341" s="117"/>
      <c r="M1341" s="12"/>
      <c r="N1341" s="117"/>
      <c r="O1341" s="117"/>
      <c r="P1341" s="117"/>
      <c r="Q1341" s="118"/>
      <c r="R1341" s="118"/>
      <c r="S1341" s="118"/>
      <c r="T1341" s="12"/>
      <c r="U1341" s="118"/>
      <c r="V1341" s="118"/>
      <c r="W1341" s="12"/>
      <c r="X1341" s="119"/>
      <c r="Y1341" s="120"/>
      <c r="Z1341" s="12"/>
      <c r="BK1341" s="77"/>
      <c r="BO1341" s="77"/>
      <c r="BQ1341" s="77"/>
      <c r="BT1341" s="5"/>
      <c r="BU1341" s="5"/>
      <c r="BV1341" s="5"/>
      <c r="BW1341" s="71"/>
      <c r="BX1341" s="78"/>
      <c r="BY1341" s="64"/>
      <c r="BZ1341" s="3"/>
    </row>
    <row r="1342" spans="1:78">
      <c r="A1342" s="76"/>
      <c r="B1342" s="76"/>
      <c r="C1342" s="125"/>
      <c r="D1342" s="125"/>
      <c r="E1342" s="71"/>
      <c r="F1342" s="71"/>
      <c r="G1342" s="71"/>
      <c r="H1342" s="126"/>
      <c r="I1342" s="125"/>
      <c r="J1342" s="123"/>
      <c r="K1342" s="12"/>
      <c r="L1342" s="117"/>
      <c r="M1342" s="12"/>
      <c r="N1342" s="117"/>
      <c r="O1342" s="117"/>
      <c r="P1342" s="117"/>
      <c r="Q1342" s="118"/>
      <c r="R1342" s="118"/>
      <c r="S1342" s="118"/>
      <c r="T1342" s="12"/>
      <c r="U1342" s="118"/>
      <c r="V1342" s="118"/>
      <c r="W1342" s="12"/>
      <c r="X1342" s="119"/>
      <c r="Y1342" s="120"/>
      <c r="Z1342" s="12"/>
      <c r="BK1342" s="77"/>
      <c r="BO1342" s="77"/>
      <c r="BQ1342" s="77"/>
      <c r="BT1342" s="5"/>
      <c r="BU1342" s="5"/>
      <c r="BV1342" s="5"/>
      <c r="BW1342" s="71"/>
      <c r="BX1342" s="78"/>
      <c r="BY1342" s="64"/>
      <c r="BZ1342" s="3"/>
    </row>
    <row r="1343" spans="1:78">
      <c r="A1343" s="76"/>
      <c r="B1343" s="76"/>
      <c r="C1343" s="125"/>
      <c r="D1343" s="125"/>
      <c r="E1343" s="71"/>
      <c r="F1343" s="71"/>
      <c r="G1343" s="71"/>
      <c r="H1343" s="126"/>
      <c r="I1343" s="125"/>
      <c r="J1343" s="123"/>
      <c r="K1343" s="12"/>
      <c r="L1343" s="117"/>
      <c r="M1343" s="12"/>
      <c r="N1343" s="117"/>
      <c r="O1343" s="117"/>
      <c r="P1343" s="117"/>
      <c r="Q1343" s="118"/>
      <c r="R1343" s="118"/>
      <c r="S1343" s="118"/>
      <c r="T1343" s="12"/>
      <c r="U1343" s="118"/>
      <c r="V1343" s="118"/>
      <c r="W1343" s="12"/>
      <c r="X1343" s="119"/>
      <c r="Y1343" s="120"/>
      <c r="Z1343" s="12"/>
      <c r="BK1343" s="77"/>
      <c r="BO1343" s="77"/>
      <c r="BQ1343" s="77"/>
      <c r="BT1343" s="5"/>
      <c r="BU1343" s="5"/>
      <c r="BV1343" s="5"/>
      <c r="BW1343" s="71"/>
      <c r="BX1343" s="78"/>
      <c r="BY1343" s="64"/>
      <c r="BZ1343" s="3"/>
    </row>
    <row r="1344" spans="1:78">
      <c r="A1344" s="76"/>
      <c r="B1344" s="76"/>
      <c r="C1344" s="125"/>
      <c r="D1344" s="125"/>
      <c r="E1344" s="71"/>
      <c r="F1344" s="71"/>
      <c r="G1344" s="71"/>
      <c r="H1344" s="126"/>
      <c r="I1344" s="125"/>
      <c r="J1344" s="123"/>
      <c r="K1344" s="12"/>
      <c r="L1344" s="117"/>
      <c r="M1344" s="12"/>
      <c r="N1344" s="117"/>
      <c r="O1344" s="117"/>
      <c r="P1344" s="117"/>
      <c r="Q1344" s="118"/>
      <c r="R1344" s="118"/>
      <c r="S1344" s="118"/>
      <c r="T1344" s="12"/>
      <c r="U1344" s="118"/>
      <c r="V1344" s="118"/>
      <c r="W1344" s="12"/>
      <c r="X1344" s="119"/>
      <c r="Y1344" s="120"/>
      <c r="Z1344" s="12"/>
      <c r="BK1344" s="77"/>
      <c r="BO1344" s="77"/>
      <c r="BQ1344" s="77"/>
      <c r="BT1344" s="5"/>
      <c r="BU1344" s="5"/>
      <c r="BV1344" s="5"/>
      <c r="BW1344" s="71"/>
      <c r="BX1344" s="78"/>
      <c r="BY1344" s="64"/>
      <c r="BZ1344" s="3"/>
    </row>
    <row r="1345" spans="1:78">
      <c r="A1345" s="76"/>
      <c r="B1345" s="76"/>
      <c r="C1345" s="125"/>
      <c r="D1345" s="125"/>
      <c r="E1345" s="71"/>
      <c r="F1345" s="71"/>
      <c r="G1345" s="71"/>
      <c r="H1345" s="126"/>
      <c r="I1345" s="125"/>
      <c r="J1345" s="123"/>
      <c r="K1345" s="12"/>
      <c r="L1345" s="117"/>
      <c r="M1345" s="12"/>
      <c r="N1345" s="117"/>
      <c r="O1345" s="117"/>
      <c r="P1345" s="117"/>
      <c r="Q1345" s="118"/>
      <c r="R1345" s="118"/>
      <c r="S1345" s="118"/>
      <c r="T1345" s="12"/>
      <c r="U1345" s="118"/>
      <c r="V1345" s="118"/>
      <c r="W1345" s="12"/>
      <c r="X1345" s="119"/>
      <c r="Y1345" s="120"/>
      <c r="Z1345" s="12"/>
      <c r="BK1345" s="77"/>
      <c r="BO1345" s="77"/>
      <c r="BQ1345" s="77"/>
      <c r="BT1345" s="5"/>
      <c r="BU1345" s="5"/>
      <c r="BV1345" s="5"/>
      <c r="BW1345" s="71"/>
      <c r="BX1345" s="78"/>
      <c r="BY1345" s="64"/>
      <c r="BZ1345" s="3"/>
    </row>
    <row r="1346" spans="1:78">
      <c r="A1346" s="76"/>
      <c r="B1346" s="76"/>
      <c r="C1346" s="125"/>
      <c r="D1346" s="125"/>
      <c r="E1346" s="71"/>
      <c r="F1346" s="71"/>
      <c r="G1346" s="71"/>
      <c r="H1346" s="126"/>
      <c r="I1346" s="125"/>
      <c r="J1346" s="123"/>
      <c r="K1346" s="12"/>
      <c r="L1346" s="117"/>
      <c r="M1346" s="12"/>
      <c r="N1346" s="117"/>
      <c r="O1346" s="117"/>
      <c r="P1346" s="117"/>
      <c r="Q1346" s="118"/>
      <c r="R1346" s="118"/>
      <c r="S1346" s="118"/>
      <c r="T1346" s="12"/>
      <c r="U1346" s="118"/>
      <c r="V1346" s="118"/>
      <c r="W1346" s="12"/>
      <c r="X1346" s="119"/>
      <c r="Y1346" s="120"/>
      <c r="Z1346" s="12"/>
      <c r="BK1346" s="77"/>
      <c r="BO1346" s="77"/>
      <c r="BQ1346" s="77"/>
      <c r="BT1346" s="5"/>
      <c r="BU1346" s="5"/>
      <c r="BV1346" s="5"/>
      <c r="BW1346" s="71"/>
      <c r="BX1346" s="78"/>
      <c r="BY1346" s="64"/>
      <c r="BZ1346" s="3"/>
    </row>
    <row r="1347" spans="1:78">
      <c r="A1347" s="76"/>
      <c r="B1347" s="76"/>
      <c r="C1347" s="125"/>
      <c r="D1347" s="125"/>
      <c r="E1347" s="71"/>
      <c r="F1347" s="71"/>
      <c r="G1347" s="71"/>
      <c r="H1347" s="126"/>
      <c r="I1347" s="125"/>
      <c r="J1347" s="123"/>
      <c r="K1347" s="12"/>
      <c r="L1347" s="117"/>
      <c r="M1347" s="12"/>
      <c r="N1347" s="117"/>
      <c r="O1347" s="117"/>
      <c r="P1347" s="117"/>
      <c r="Q1347" s="118"/>
      <c r="R1347" s="118"/>
      <c r="S1347" s="118"/>
      <c r="T1347" s="12"/>
      <c r="U1347" s="118"/>
      <c r="V1347" s="118"/>
      <c r="W1347" s="12"/>
      <c r="X1347" s="119"/>
      <c r="Y1347" s="120"/>
      <c r="Z1347" s="12"/>
      <c r="BK1347" s="77"/>
      <c r="BO1347" s="77"/>
      <c r="BQ1347" s="77"/>
      <c r="BT1347" s="5"/>
      <c r="BU1347" s="5"/>
      <c r="BV1347" s="5"/>
      <c r="BW1347" s="71"/>
      <c r="BX1347" s="78"/>
      <c r="BY1347" s="64"/>
      <c r="BZ1347" s="3"/>
    </row>
    <row r="1348" spans="1:78">
      <c r="A1348" s="76"/>
      <c r="B1348" s="76"/>
      <c r="C1348" s="125"/>
      <c r="D1348" s="125"/>
      <c r="E1348" s="71"/>
      <c r="F1348" s="71"/>
      <c r="G1348" s="71"/>
      <c r="H1348" s="126"/>
      <c r="I1348" s="125"/>
      <c r="J1348" s="123"/>
      <c r="K1348" s="12"/>
      <c r="L1348" s="117"/>
      <c r="M1348" s="12"/>
      <c r="N1348" s="117"/>
      <c r="O1348" s="117"/>
      <c r="P1348" s="117"/>
      <c r="Q1348" s="118"/>
      <c r="R1348" s="118"/>
      <c r="S1348" s="118"/>
      <c r="T1348" s="12"/>
      <c r="U1348" s="118"/>
      <c r="V1348" s="118"/>
      <c r="W1348" s="12"/>
      <c r="X1348" s="119"/>
      <c r="Y1348" s="120"/>
      <c r="Z1348" s="12"/>
      <c r="BK1348" s="77"/>
      <c r="BO1348" s="77"/>
      <c r="BQ1348" s="77"/>
      <c r="BT1348" s="5"/>
      <c r="BU1348" s="5"/>
      <c r="BV1348" s="5"/>
      <c r="BW1348" s="71"/>
      <c r="BX1348" s="78"/>
      <c r="BY1348" s="64"/>
      <c r="BZ1348" s="3"/>
    </row>
    <row r="1349" spans="1:78">
      <c r="A1349" s="76"/>
      <c r="B1349" s="76"/>
      <c r="C1349" s="125"/>
      <c r="D1349" s="125"/>
      <c r="E1349" s="71"/>
      <c r="F1349" s="71"/>
      <c r="G1349" s="71"/>
      <c r="H1349" s="126"/>
      <c r="I1349" s="125"/>
      <c r="J1349" s="123"/>
      <c r="K1349" s="12"/>
      <c r="L1349" s="117"/>
      <c r="M1349" s="12"/>
      <c r="N1349" s="117"/>
      <c r="O1349" s="117"/>
      <c r="P1349" s="117"/>
      <c r="Q1349" s="118"/>
      <c r="R1349" s="118"/>
      <c r="S1349" s="118"/>
      <c r="T1349" s="12"/>
      <c r="U1349" s="118"/>
      <c r="V1349" s="118"/>
      <c r="W1349" s="12"/>
      <c r="X1349" s="119"/>
      <c r="Y1349" s="120"/>
      <c r="Z1349" s="12"/>
      <c r="BK1349" s="77"/>
      <c r="BO1349" s="77"/>
      <c r="BQ1349" s="77"/>
      <c r="BT1349" s="5"/>
      <c r="BU1349" s="5"/>
      <c r="BV1349" s="5"/>
      <c r="BW1349" s="71"/>
      <c r="BX1349" s="78"/>
      <c r="BY1349" s="64"/>
      <c r="BZ1349" s="3"/>
    </row>
    <row r="1350" spans="1:78">
      <c r="A1350" s="76"/>
      <c r="B1350" s="76"/>
      <c r="C1350" s="125"/>
      <c r="D1350" s="125"/>
      <c r="E1350" s="71"/>
      <c r="F1350" s="71"/>
      <c r="G1350" s="71"/>
      <c r="H1350" s="126"/>
      <c r="I1350" s="125"/>
      <c r="J1350" s="123"/>
      <c r="K1350" s="12"/>
      <c r="L1350" s="117"/>
      <c r="M1350" s="12"/>
      <c r="N1350" s="117"/>
      <c r="O1350" s="117"/>
      <c r="P1350" s="117"/>
      <c r="Q1350" s="118"/>
      <c r="R1350" s="118"/>
      <c r="S1350" s="118"/>
      <c r="T1350" s="12"/>
      <c r="U1350" s="118"/>
      <c r="V1350" s="118"/>
      <c r="W1350" s="12"/>
      <c r="X1350" s="119"/>
      <c r="Y1350" s="120"/>
      <c r="Z1350" s="12"/>
      <c r="BK1350" s="77"/>
      <c r="BO1350" s="77"/>
      <c r="BQ1350" s="77"/>
      <c r="BT1350" s="5"/>
      <c r="BU1350" s="5"/>
      <c r="BV1350" s="5"/>
      <c r="BW1350" s="71"/>
      <c r="BX1350" s="78"/>
      <c r="BY1350" s="64"/>
      <c r="BZ1350" s="3"/>
    </row>
    <row r="1351" spans="1:78">
      <c r="A1351" s="76"/>
      <c r="B1351" s="76"/>
      <c r="C1351" s="125"/>
      <c r="D1351" s="125"/>
      <c r="E1351" s="71"/>
      <c r="F1351" s="71"/>
      <c r="G1351" s="71"/>
      <c r="H1351" s="126"/>
      <c r="I1351" s="125"/>
      <c r="J1351" s="123"/>
      <c r="K1351" s="12"/>
      <c r="L1351" s="117"/>
      <c r="M1351" s="12"/>
      <c r="N1351" s="117"/>
      <c r="O1351" s="117"/>
      <c r="P1351" s="117"/>
      <c r="Q1351" s="118"/>
      <c r="R1351" s="118"/>
      <c r="S1351" s="118"/>
      <c r="T1351" s="12"/>
      <c r="U1351" s="118"/>
      <c r="V1351" s="118"/>
      <c r="W1351" s="12"/>
      <c r="X1351" s="119"/>
      <c r="Y1351" s="120"/>
      <c r="Z1351" s="12"/>
      <c r="BK1351" s="77"/>
      <c r="BO1351" s="77"/>
      <c r="BQ1351" s="77"/>
      <c r="BT1351" s="5"/>
      <c r="BU1351" s="5"/>
      <c r="BV1351" s="5"/>
      <c r="BW1351" s="71"/>
      <c r="BX1351" s="78"/>
      <c r="BY1351" s="64"/>
      <c r="BZ1351" s="3"/>
    </row>
    <row r="1352" spans="1:78">
      <c r="A1352" s="76"/>
      <c r="B1352" s="76"/>
      <c r="C1352" s="125"/>
      <c r="D1352" s="125"/>
      <c r="E1352" s="71"/>
      <c r="F1352" s="71"/>
      <c r="G1352" s="71"/>
      <c r="H1352" s="126"/>
      <c r="I1352" s="125"/>
      <c r="J1352" s="123"/>
      <c r="K1352" s="12"/>
      <c r="L1352" s="117"/>
      <c r="M1352" s="12"/>
      <c r="N1352" s="117"/>
      <c r="O1352" s="117"/>
      <c r="P1352" s="117"/>
      <c r="Q1352" s="118"/>
      <c r="R1352" s="118"/>
      <c r="S1352" s="118"/>
      <c r="T1352" s="12"/>
      <c r="U1352" s="118"/>
      <c r="V1352" s="118"/>
      <c r="W1352" s="12"/>
      <c r="X1352" s="119"/>
      <c r="Y1352" s="120"/>
      <c r="Z1352" s="12"/>
      <c r="BK1352" s="77"/>
      <c r="BO1352" s="77"/>
      <c r="BQ1352" s="77"/>
      <c r="BT1352" s="5"/>
      <c r="BU1352" s="5"/>
      <c r="BV1352" s="5"/>
      <c r="BW1352" s="71"/>
      <c r="BX1352" s="78"/>
      <c r="BY1352" s="64"/>
      <c r="BZ1352" s="3"/>
    </row>
    <row r="1353" spans="1:78">
      <c r="A1353" s="76"/>
      <c r="B1353" s="76"/>
      <c r="C1353" s="125"/>
      <c r="D1353" s="125"/>
      <c r="E1353" s="71"/>
      <c r="F1353" s="71"/>
      <c r="G1353" s="71"/>
      <c r="H1353" s="126"/>
      <c r="I1353" s="125"/>
      <c r="J1353" s="123"/>
      <c r="K1353" s="12"/>
      <c r="L1353" s="117"/>
      <c r="M1353" s="12"/>
      <c r="N1353" s="117"/>
      <c r="O1353" s="117"/>
      <c r="P1353" s="117"/>
      <c r="Q1353" s="118"/>
      <c r="R1353" s="118"/>
      <c r="S1353" s="118"/>
      <c r="T1353" s="12"/>
      <c r="U1353" s="118"/>
      <c r="V1353" s="118"/>
      <c r="W1353" s="12"/>
      <c r="X1353" s="119"/>
      <c r="Y1353" s="120"/>
      <c r="Z1353" s="12"/>
      <c r="BK1353" s="77"/>
      <c r="BO1353" s="77"/>
      <c r="BQ1353" s="77"/>
      <c r="BT1353" s="5"/>
      <c r="BU1353" s="5"/>
      <c r="BV1353" s="5"/>
      <c r="BW1353" s="71"/>
      <c r="BX1353" s="78"/>
      <c r="BY1353" s="64"/>
      <c r="BZ1353" s="3"/>
    </row>
    <row r="1354" spans="1:78">
      <c r="A1354" s="76"/>
      <c r="B1354" s="76"/>
      <c r="C1354" s="125"/>
      <c r="D1354" s="125"/>
      <c r="E1354" s="71"/>
      <c r="F1354" s="71"/>
      <c r="G1354" s="71"/>
      <c r="H1354" s="126"/>
      <c r="I1354" s="125"/>
      <c r="J1354" s="123"/>
      <c r="K1354" s="12"/>
      <c r="L1354" s="117"/>
      <c r="M1354" s="12"/>
      <c r="N1354" s="117"/>
      <c r="O1354" s="117"/>
      <c r="P1354" s="117"/>
      <c r="Q1354" s="118"/>
      <c r="R1354" s="118"/>
      <c r="S1354" s="118"/>
      <c r="T1354" s="12"/>
      <c r="U1354" s="118"/>
      <c r="V1354" s="118"/>
      <c r="W1354" s="12"/>
      <c r="X1354" s="119"/>
      <c r="Y1354" s="120"/>
      <c r="Z1354" s="12"/>
      <c r="BK1354" s="77"/>
      <c r="BO1354" s="77"/>
      <c r="BQ1354" s="77"/>
      <c r="BT1354" s="5"/>
      <c r="BU1354" s="5"/>
      <c r="BV1354" s="5"/>
      <c r="BW1354" s="71"/>
      <c r="BX1354" s="78"/>
      <c r="BY1354" s="64"/>
      <c r="BZ1354" s="3"/>
    </row>
    <row r="1355" spans="1:78">
      <c r="A1355" s="76"/>
      <c r="B1355" s="76"/>
      <c r="C1355" s="125"/>
      <c r="D1355" s="125"/>
      <c r="E1355" s="71"/>
      <c r="F1355" s="71"/>
      <c r="G1355" s="71"/>
      <c r="H1355" s="126"/>
      <c r="I1355" s="125"/>
      <c r="J1355" s="123"/>
      <c r="K1355" s="12"/>
      <c r="L1355" s="117"/>
      <c r="M1355" s="12"/>
      <c r="N1355" s="117"/>
      <c r="O1355" s="117"/>
      <c r="P1355" s="117"/>
      <c r="Q1355" s="118"/>
      <c r="R1355" s="118"/>
      <c r="S1355" s="118"/>
      <c r="T1355" s="12"/>
      <c r="U1355" s="118"/>
      <c r="V1355" s="118"/>
      <c r="W1355" s="12"/>
      <c r="X1355" s="119"/>
      <c r="Y1355" s="120"/>
      <c r="Z1355" s="12"/>
      <c r="BK1355" s="77"/>
      <c r="BO1355" s="77"/>
      <c r="BQ1355" s="77"/>
      <c r="BT1355" s="5"/>
      <c r="BU1355" s="5"/>
      <c r="BV1355" s="5"/>
      <c r="BW1355" s="71"/>
      <c r="BX1355" s="78"/>
      <c r="BY1355" s="64"/>
      <c r="BZ1355" s="3"/>
    </row>
    <row r="1356" spans="1:78">
      <c r="A1356" s="76"/>
      <c r="B1356" s="76"/>
      <c r="C1356" s="125"/>
      <c r="D1356" s="125"/>
      <c r="E1356" s="71"/>
      <c r="F1356" s="71"/>
      <c r="G1356" s="71"/>
      <c r="H1356" s="126"/>
      <c r="I1356" s="125"/>
      <c r="J1356" s="123"/>
      <c r="K1356" s="12"/>
      <c r="L1356" s="117"/>
      <c r="M1356" s="12"/>
      <c r="N1356" s="117"/>
      <c r="O1356" s="117"/>
      <c r="P1356" s="117"/>
      <c r="Q1356" s="118"/>
      <c r="R1356" s="118"/>
      <c r="S1356" s="118"/>
      <c r="T1356" s="12"/>
      <c r="U1356" s="118"/>
      <c r="V1356" s="118"/>
      <c r="W1356" s="12"/>
      <c r="X1356" s="119"/>
      <c r="Y1356" s="120"/>
      <c r="Z1356" s="12"/>
      <c r="BK1356" s="77"/>
      <c r="BO1356" s="77"/>
      <c r="BQ1356" s="77"/>
      <c r="BT1356" s="5"/>
      <c r="BU1356" s="5"/>
      <c r="BV1356" s="5"/>
      <c r="BW1356" s="71"/>
      <c r="BX1356" s="78"/>
      <c r="BY1356" s="64"/>
      <c r="BZ1356" s="3"/>
    </row>
    <row r="1357" spans="1:78">
      <c r="A1357" s="76"/>
      <c r="B1357" s="76"/>
      <c r="C1357" s="125"/>
      <c r="D1357" s="125"/>
      <c r="E1357" s="71"/>
      <c r="F1357" s="71"/>
      <c r="G1357" s="71"/>
      <c r="H1357" s="126"/>
      <c r="I1357" s="125"/>
      <c r="J1357" s="123"/>
      <c r="K1357" s="12"/>
      <c r="L1357" s="117"/>
      <c r="M1357" s="12"/>
      <c r="N1357" s="117"/>
      <c r="O1357" s="117"/>
      <c r="P1357" s="117"/>
      <c r="Q1357" s="118"/>
      <c r="R1357" s="118"/>
      <c r="S1357" s="118"/>
      <c r="T1357" s="12"/>
      <c r="U1357" s="118"/>
      <c r="V1357" s="118"/>
      <c r="W1357" s="12"/>
      <c r="X1357" s="119"/>
      <c r="Y1357" s="120"/>
      <c r="Z1357" s="12"/>
      <c r="BK1357" s="77"/>
      <c r="BO1357" s="77"/>
      <c r="BQ1357" s="77"/>
      <c r="BT1357" s="5"/>
      <c r="BU1357" s="5"/>
      <c r="BV1357" s="5"/>
      <c r="BW1357" s="71"/>
      <c r="BX1357" s="78"/>
      <c r="BY1357" s="64"/>
      <c r="BZ1357" s="3"/>
    </row>
    <row r="1358" spans="1:78">
      <c r="A1358" s="76"/>
      <c r="B1358" s="76"/>
      <c r="C1358" s="125"/>
      <c r="D1358" s="125"/>
      <c r="E1358" s="71"/>
      <c r="F1358" s="71"/>
      <c r="G1358" s="71"/>
      <c r="H1358" s="126"/>
      <c r="I1358" s="125"/>
      <c r="J1358" s="123"/>
      <c r="K1358" s="12"/>
      <c r="L1358" s="117"/>
      <c r="M1358" s="12"/>
      <c r="N1358" s="117"/>
      <c r="O1358" s="117"/>
      <c r="P1358" s="117"/>
      <c r="Q1358" s="118"/>
      <c r="R1358" s="118"/>
      <c r="S1358" s="118"/>
      <c r="T1358" s="12"/>
      <c r="U1358" s="118"/>
      <c r="V1358" s="118"/>
      <c r="W1358" s="12"/>
      <c r="X1358" s="119"/>
      <c r="Y1358" s="120"/>
      <c r="Z1358" s="12"/>
      <c r="BK1358" s="77"/>
      <c r="BO1358" s="77"/>
      <c r="BQ1358" s="77"/>
      <c r="BT1358" s="5"/>
      <c r="BU1358" s="5"/>
      <c r="BV1358" s="5"/>
      <c r="BW1358" s="71"/>
      <c r="BX1358" s="78"/>
      <c r="BY1358" s="64"/>
      <c r="BZ1358" s="3"/>
    </row>
    <row r="1359" spans="1:78">
      <c r="A1359" s="76"/>
      <c r="B1359" s="76"/>
      <c r="C1359" s="125"/>
      <c r="D1359" s="125"/>
      <c r="E1359" s="71"/>
      <c r="F1359" s="71"/>
      <c r="G1359" s="71"/>
      <c r="H1359" s="126"/>
      <c r="I1359" s="125"/>
      <c r="J1359" s="123"/>
      <c r="K1359" s="12"/>
      <c r="L1359" s="117"/>
      <c r="M1359" s="12"/>
      <c r="N1359" s="117"/>
      <c r="O1359" s="117"/>
      <c r="P1359" s="117"/>
      <c r="Q1359" s="118"/>
      <c r="R1359" s="118"/>
      <c r="S1359" s="118"/>
      <c r="T1359" s="12"/>
      <c r="U1359" s="118"/>
      <c r="V1359" s="118"/>
      <c r="W1359" s="12"/>
      <c r="X1359" s="119"/>
      <c r="Y1359" s="120"/>
      <c r="Z1359" s="12"/>
      <c r="BK1359" s="77"/>
      <c r="BO1359" s="77"/>
      <c r="BQ1359" s="77"/>
      <c r="BT1359" s="5"/>
      <c r="BU1359" s="5"/>
      <c r="BV1359" s="5"/>
      <c r="BW1359" s="71"/>
      <c r="BX1359" s="78"/>
      <c r="BY1359" s="64"/>
      <c r="BZ1359" s="3"/>
    </row>
    <row r="1360" spans="1:78">
      <c r="A1360" s="76"/>
      <c r="B1360" s="76"/>
      <c r="C1360" s="125"/>
      <c r="D1360" s="125"/>
      <c r="E1360" s="71"/>
      <c r="F1360" s="71"/>
      <c r="G1360" s="71"/>
      <c r="H1360" s="126"/>
      <c r="I1360" s="125"/>
      <c r="J1360" s="123"/>
      <c r="K1360" s="12"/>
      <c r="L1360" s="117"/>
      <c r="M1360" s="12"/>
      <c r="N1360" s="117"/>
      <c r="O1360" s="117"/>
      <c r="P1360" s="117"/>
      <c r="Q1360" s="118"/>
      <c r="R1360" s="118"/>
      <c r="S1360" s="118"/>
      <c r="T1360" s="12"/>
      <c r="U1360" s="118"/>
      <c r="V1360" s="118"/>
      <c r="W1360" s="12"/>
      <c r="X1360" s="119"/>
      <c r="Y1360" s="120"/>
      <c r="Z1360" s="12"/>
      <c r="BK1360" s="77"/>
      <c r="BO1360" s="77"/>
      <c r="BQ1360" s="77"/>
      <c r="BT1360" s="5"/>
      <c r="BU1360" s="5"/>
      <c r="BV1360" s="5"/>
      <c r="BW1360" s="71"/>
      <c r="BX1360" s="78"/>
      <c r="BY1360" s="64"/>
      <c r="BZ1360" s="3"/>
    </row>
    <row r="1361" spans="1:78">
      <c r="A1361" s="76"/>
      <c r="B1361" s="76"/>
      <c r="C1361" s="125"/>
      <c r="D1361" s="125"/>
      <c r="E1361" s="71"/>
      <c r="F1361" s="71"/>
      <c r="G1361" s="71"/>
      <c r="H1361" s="126"/>
      <c r="I1361" s="125"/>
      <c r="J1361" s="123"/>
      <c r="K1361" s="12"/>
      <c r="L1361" s="117"/>
      <c r="M1361" s="12"/>
      <c r="N1361" s="117"/>
      <c r="O1361" s="117"/>
      <c r="P1361" s="117"/>
      <c r="Q1361" s="118"/>
      <c r="R1361" s="118"/>
      <c r="S1361" s="118"/>
      <c r="T1361" s="12"/>
      <c r="U1361" s="118"/>
      <c r="V1361" s="118"/>
      <c r="W1361" s="12"/>
      <c r="X1361" s="119"/>
      <c r="Y1361" s="120"/>
      <c r="Z1361" s="12"/>
      <c r="BK1361" s="77"/>
      <c r="BO1361" s="77"/>
      <c r="BQ1361" s="77"/>
      <c r="BT1361" s="5"/>
      <c r="BU1361" s="5"/>
      <c r="BV1361" s="5"/>
      <c r="BW1361" s="71"/>
      <c r="BX1361" s="78"/>
      <c r="BY1361" s="64"/>
      <c r="BZ1361" s="3"/>
    </row>
    <row r="1362" spans="1:78">
      <c r="A1362" s="76"/>
      <c r="B1362" s="76"/>
      <c r="C1362" s="125"/>
      <c r="D1362" s="125"/>
      <c r="E1362" s="71"/>
      <c r="F1362" s="71"/>
      <c r="G1362" s="71"/>
      <c r="H1362" s="126"/>
      <c r="I1362" s="125"/>
      <c r="J1362" s="123"/>
      <c r="K1362" s="12"/>
      <c r="L1362" s="117"/>
      <c r="M1362" s="12"/>
      <c r="N1362" s="117"/>
      <c r="O1362" s="117"/>
      <c r="P1362" s="117"/>
      <c r="Q1362" s="118"/>
      <c r="R1362" s="118"/>
      <c r="S1362" s="118"/>
      <c r="T1362" s="12"/>
      <c r="U1362" s="118"/>
      <c r="V1362" s="118"/>
      <c r="W1362" s="12"/>
      <c r="X1362" s="119"/>
      <c r="Y1362" s="120"/>
      <c r="Z1362" s="12"/>
      <c r="BK1362" s="77"/>
      <c r="BO1362" s="77"/>
      <c r="BQ1362" s="77"/>
      <c r="BT1362" s="5"/>
      <c r="BU1362" s="5"/>
      <c r="BV1362" s="5"/>
      <c r="BW1362" s="71"/>
      <c r="BX1362" s="78"/>
      <c r="BY1362" s="64"/>
      <c r="BZ1362" s="3"/>
    </row>
    <row r="1363" spans="1:78">
      <c r="A1363" s="76"/>
      <c r="B1363" s="76"/>
      <c r="C1363" s="125"/>
      <c r="D1363" s="125"/>
      <c r="E1363" s="71"/>
      <c r="F1363" s="71"/>
      <c r="G1363" s="71"/>
      <c r="H1363" s="126"/>
      <c r="I1363" s="125"/>
      <c r="J1363" s="123"/>
      <c r="K1363" s="12"/>
      <c r="L1363" s="117"/>
      <c r="M1363" s="12"/>
      <c r="N1363" s="117"/>
      <c r="O1363" s="117"/>
      <c r="P1363" s="117"/>
      <c r="Q1363" s="118"/>
      <c r="R1363" s="118"/>
      <c r="S1363" s="118"/>
      <c r="T1363" s="12"/>
      <c r="U1363" s="118"/>
      <c r="V1363" s="118"/>
      <c r="W1363" s="12"/>
      <c r="X1363" s="119"/>
      <c r="Y1363" s="120"/>
      <c r="Z1363" s="12"/>
      <c r="BK1363" s="77"/>
      <c r="BO1363" s="77"/>
      <c r="BQ1363" s="77"/>
      <c r="BT1363" s="5"/>
      <c r="BU1363" s="5"/>
      <c r="BV1363" s="5"/>
      <c r="BW1363" s="71"/>
      <c r="BX1363" s="78"/>
      <c r="BY1363" s="64"/>
      <c r="BZ1363" s="3"/>
    </row>
    <row r="1364" spans="1:78">
      <c r="A1364" s="76"/>
      <c r="B1364" s="76"/>
      <c r="C1364" s="125"/>
      <c r="D1364" s="125"/>
      <c r="E1364" s="71"/>
      <c r="F1364" s="71"/>
      <c r="G1364" s="71"/>
      <c r="H1364" s="126"/>
      <c r="I1364" s="125"/>
      <c r="J1364" s="123"/>
      <c r="K1364" s="12"/>
      <c r="L1364" s="117"/>
      <c r="M1364" s="12"/>
      <c r="N1364" s="117"/>
      <c r="O1364" s="117"/>
      <c r="P1364" s="117"/>
      <c r="Q1364" s="118"/>
      <c r="R1364" s="118"/>
      <c r="S1364" s="118"/>
      <c r="T1364" s="12"/>
      <c r="U1364" s="118"/>
      <c r="V1364" s="118"/>
      <c r="W1364" s="12"/>
      <c r="X1364" s="119"/>
      <c r="Y1364" s="120"/>
      <c r="Z1364" s="12"/>
      <c r="BK1364" s="77"/>
      <c r="BO1364" s="77"/>
      <c r="BQ1364" s="77"/>
      <c r="BT1364" s="5"/>
      <c r="BU1364" s="5"/>
      <c r="BV1364" s="5"/>
      <c r="BW1364" s="71"/>
      <c r="BX1364" s="78"/>
      <c r="BY1364" s="64"/>
      <c r="BZ1364" s="3"/>
    </row>
    <row r="1365" spans="1:78">
      <c r="A1365" s="76"/>
      <c r="B1365" s="76"/>
      <c r="C1365" s="125"/>
      <c r="D1365" s="125"/>
      <c r="E1365" s="71"/>
      <c r="F1365" s="71"/>
      <c r="G1365" s="71"/>
      <c r="H1365" s="126"/>
      <c r="I1365" s="125"/>
      <c r="J1365" s="123"/>
      <c r="K1365" s="12"/>
      <c r="L1365" s="117"/>
      <c r="M1365" s="12"/>
      <c r="N1365" s="117"/>
      <c r="O1365" s="117"/>
      <c r="P1365" s="117"/>
      <c r="Q1365" s="118"/>
      <c r="R1365" s="118"/>
      <c r="S1365" s="118"/>
      <c r="T1365" s="12"/>
      <c r="U1365" s="118"/>
      <c r="V1365" s="118"/>
      <c r="W1365" s="12"/>
      <c r="X1365" s="119"/>
      <c r="Y1365" s="120"/>
      <c r="Z1365" s="12"/>
      <c r="BK1365" s="77"/>
      <c r="BO1365" s="77"/>
      <c r="BQ1365" s="77"/>
      <c r="BT1365" s="5"/>
      <c r="BU1365" s="5"/>
      <c r="BV1365" s="5"/>
      <c r="BW1365" s="71"/>
      <c r="BX1365" s="78"/>
      <c r="BY1365" s="64"/>
      <c r="BZ1365" s="3"/>
    </row>
    <row r="1366" spans="1:78">
      <c r="A1366" s="76"/>
      <c r="B1366" s="76"/>
      <c r="C1366" s="125"/>
      <c r="D1366" s="125"/>
      <c r="E1366" s="71"/>
      <c r="F1366" s="71"/>
      <c r="G1366" s="71"/>
      <c r="H1366" s="126"/>
      <c r="I1366" s="125"/>
      <c r="J1366" s="123"/>
      <c r="K1366" s="12"/>
      <c r="L1366" s="117"/>
      <c r="M1366" s="12"/>
      <c r="N1366" s="117"/>
      <c r="O1366" s="117"/>
      <c r="P1366" s="117"/>
      <c r="Q1366" s="118"/>
      <c r="R1366" s="118"/>
      <c r="S1366" s="118"/>
      <c r="T1366" s="12"/>
      <c r="U1366" s="118"/>
      <c r="V1366" s="118"/>
      <c r="W1366" s="12"/>
      <c r="X1366" s="119"/>
      <c r="Y1366" s="120"/>
      <c r="Z1366" s="12"/>
      <c r="BK1366" s="77"/>
      <c r="BO1366" s="77"/>
      <c r="BQ1366" s="77"/>
      <c r="BT1366" s="5"/>
      <c r="BU1366" s="5"/>
      <c r="BV1366" s="5"/>
      <c r="BW1366" s="71"/>
      <c r="BX1366" s="78"/>
      <c r="BY1366" s="64"/>
      <c r="BZ1366" s="3"/>
    </row>
    <row r="1367" spans="1:78">
      <c r="A1367" s="76"/>
      <c r="B1367" s="76"/>
      <c r="C1367" s="125"/>
      <c r="D1367" s="125"/>
      <c r="E1367" s="71"/>
      <c r="F1367" s="71"/>
      <c r="G1367" s="71"/>
      <c r="H1367" s="126"/>
      <c r="I1367" s="125"/>
      <c r="J1367" s="123"/>
      <c r="K1367" s="12"/>
      <c r="L1367" s="117"/>
      <c r="M1367" s="12"/>
      <c r="N1367" s="117"/>
      <c r="O1367" s="117"/>
      <c r="P1367" s="117"/>
      <c r="Q1367" s="118"/>
      <c r="R1367" s="118"/>
      <c r="S1367" s="118"/>
      <c r="T1367" s="12"/>
      <c r="U1367" s="118"/>
      <c r="V1367" s="118"/>
      <c r="W1367" s="12"/>
      <c r="X1367" s="119"/>
      <c r="Y1367" s="120"/>
      <c r="Z1367" s="12"/>
      <c r="BK1367" s="77"/>
      <c r="BO1367" s="77"/>
      <c r="BQ1367" s="77"/>
      <c r="BT1367" s="5"/>
      <c r="BU1367" s="5"/>
      <c r="BV1367" s="5"/>
      <c r="BW1367" s="71"/>
      <c r="BX1367" s="78"/>
      <c r="BY1367" s="64"/>
      <c r="BZ1367" s="3"/>
    </row>
    <row r="1368" spans="1:78">
      <c r="A1368" s="76"/>
      <c r="B1368" s="76"/>
      <c r="C1368" s="125"/>
      <c r="D1368" s="125"/>
      <c r="E1368" s="71"/>
      <c r="F1368" s="71"/>
      <c r="G1368" s="71"/>
      <c r="H1368" s="126"/>
      <c r="I1368" s="125"/>
      <c r="J1368" s="123"/>
      <c r="K1368" s="12"/>
      <c r="L1368" s="117"/>
      <c r="M1368" s="12"/>
      <c r="N1368" s="117"/>
      <c r="O1368" s="117"/>
      <c r="P1368" s="117"/>
      <c r="Q1368" s="118"/>
      <c r="R1368" s="118"/>
      <c r="S1368" s="118"/>
      <c r="T1368" s="12"/>
      <c r="U1368" s="118"/>
      <c r="V1368" s="118"/>
      <c r="W1368" s="12"/>
      <c r="X1368" s="119"/>
      <c r="Y1368" s="120"/>
      <c r="Z1368" s="12"/>
      <c r="BK1368" s="77"/>
      <c r="BO1368" s="77"/>
      <c r="BQ1368" s="77"/>
      <c r="BT1368" s="5"/>
      <c r="BU1368" s="5"/>
      <c r="BV1368" s="5"/>
      <c r="BW1368" s="71"/>
      <c r="BX1368" s="78"/>
      <c r="BY1368" s="64"/>
      <c r="BZ1368" s="3"/>
    </row>
    <row r="1369" spans="1:78">
      <c r="A1369" s="76"/>
      <c r="B1369" s="76"/>
      <c r="C1369" s="125"/>
      <c r="D1369" s="125"/>
      <c r="E1369" s="71"/>
      <c r="F1369" s="71"/>
      <c r="G1369" s="71"/>
      <c r="H1369" s="126"/>
      <c r="I1369" s="125"/>
      <c r="J1369" s="123"/>
      <c r="K1369" s="12"/>
      <c r="L1369" s="117"/>
      <c r="M1369" s="12"/>
      <c r="N1369" s="117"/>
      <c r="O1369" s="117"/>
      <c r="P1369" s="117"/>
      <c r="Q1369" s="118"/>
      <c r="R1369" s="118"/>
      <c r="S1369" s="118"/>
      <c r="T1369" s="12"/>
      <c r="U1369" s="118"/>
      <c r="V1369" s="118"/>
      <c r="W1369" s="12"/>
      <c r="X1369" s="119"/>
      <c r="Y1369" s="120"/>
      <c r="Z1369" s="12"/>
      <c r="BK1369" s="77"/>
      <c r="BO1369" s="77"/>
      <c r="BQ1369" s="77"/>
      <c r="BT1369" s="5"/>
      <c r="BU1369" s="5"/>
      <c r="BV1369" s="5"/>
      <c r="BW1369" s="71"/>
      <c r="BX1369" s="78"/>
      <c r="BY1369" s="64"/>
      <c r="BZ1369" s="3"/>
    </row>
    <row r="1370" spans="1:78">
      <c r="A1370" s="76"/>
      <c r="B1370" s="76"/>
      <c r="C1370" s="125"/>
      <c r="D1370" s="125"/>
      <c r="E1370" s="71"/>
      <c r="F1370" s="71"/>
      <c r="G1370" s="71"/>
      <c r="H1370" s="126"/>
      <c r="I1370" s="125"/>
      <c r="J1370" s="123"/>
      <c r="K1370" s="12"/>
      <c r="L1370" s="117"/>
      <c r="M1370" s="12"/>
      <c r="N1370" s="117"/>
      <c r="O1370" s="117"/>
      <c r="P1370" s="117"/>
      <c r="Q1370" s="118"/>
      <c r="R1370" s="118"/>
      <c r="S1370" s="118"/>
      <c r="T1370" s="12"/>
      <c r="U1370" s="118"/>
      <c r="V1370" s="118"/>
      <c r="W1370" s="12"/>
      <c r="X1370" s="119"/>
      <c r="Y1370" s="120"/>
      <c r="Z1370" s="12"/>
      <c r="BK1370" s="77"/>
      <c r="BO1370" s="77"/>
      <c r="BQ1370" s="77"/>
      <c r="BT1370" s="5"/>
      <c r="BU1370" s="5"/>
      <c r="BV1370" s="5"/>
      <c r="BW1370" s="71"/>
      <c r="BX1370" s="78"/>
      <c r="BY1370" s="64"/>
      <c r="BZ1370" s="3"/>
    </row>
    <row r="1371" spans="1:78">
      <c r="A1371" s="76"/>
      <c r="B1371" s="76"/>
      <c r="C1371" s="125"/>
      <c r="D1371" s="125"/>
      <c r="E1371" s="71"/>
      <c r="F1371" s="71"/>
      <c r="G1371" s="71"/>
      <c r="H1371" s="126"/>
      <c r="I1371" s="125"/>
      <c r="J1371" s="123"/>
      <c r="K1371" s="12"/>
      <c r="L1371" s="117"/>
      <c r="M1371" s="12"/>
      <c r="N1371" s="117"/>
      <c r="O1371" s="117"/>
      <c r="P1371" s="117"/>
      <c r="Q1371" s="118"/>
      <c r="R1371" s="118"/>
      <c r="S1371" s="118"/>
      <c r="T1371" s="12"/>
      <c r="U1371" s="118"/>
      <c r="V1371" s="118"/>
      <c r="W1371" s="12"/>
      <c r="X1371" s="119"/>
      <c r="Y1371" s="120"/>
      <c r="Z1371" s="12"/>
      <c r="BK1371" s="77"/>
      <c r="BO1371" s="77"/>
      <c r="BQ1371" s="77"/>
      <c r="BT1371" s="5"/>
      <c r="BU1371" s="5"/>
      <c r="BV1371" s="5"/>
      <c r="BW1371" s="71"/>
      <c r="BX1371" s="78"/>
      <c r="BY1371" s="64"/>
      <c r="BZ1371" s="3"/>
    </row>
    <row r="1372" spans="1:78">
      <c r="A1372" s="76"/>
      <c r="B1372" s="76"/>
      <c r="C1372" s="125"/>
      <c r="D1372" s="125"/>
      <c r="E1372" s="71"/>
      <c r="F1372" s="71"/>
      <c r="G1372" s="71"/>
      <c r="H1372" s="126"/>
      <c r="I1372" s="125"/>
      <c r="J1372" s="123"/>
      <c r="K1372" s="12"/>
      <c r="L1372" s="117"/>
      <c r="M1372" s="12"/>
      <c r="N1372" s="117"/>
      <c r="O1372" s="117"/>
      <c r="P1372" s="117"/>
      <c r="Q1372" s="118"/>
      <c r="R1372" s="118"/>
      <c r="S1372" s="118"/>
      <c r="T1372" s="12"/>
      <c r="U1372" s="118"/>
      <c r="V1372" s="118"/>
      <c r="W1372" s="12"/>
      <c r="X1372" s="119"/>
      <c r="Y1372" s="120"/>
      <c r="Z1372" s="12"/>
      <c r="BK1372" s="77"/>
      <c r="BO1372" s="77"/>
      <c r="BQ1372" s="77"/>
      <c r="BT1372" s="5"/>
      <c r="BU1372" s="5"/>
      <c r="BV1372" s="5"/>
      <c r="BW1372" s="71"/>
      <c r="BX1372" s="78"/>
      <c r="BY1372" s="64"/>
      <c r="BZ1372" s="3"/>
    </row>
    <row r="1373" spans="1:78">
      <c r="A1373" s="76"/>
      <c r="B1373" s="76"/>
      <c r="C1373" s="125"/>
      <c r="D1373" s="125"/>
      <c r="E1373" s="71"/>
      <c r="F1373" s="71"/>
      <c r="G1373" s="71"/>
      <c r="H1373" s="126"/>
      <c r="I1373" s="125"/>
      <c r="J1373" s="123"/>
      <c r="K1373" s="12"/>
      <c r="L1373" s="117"/>
      <c r="M1373" s="12"/>
      <c r="N1373" s="117"/>
      <c r="O1373" s="117"/>
      <c r="P1373" s="117"/>
      <c r="Q1373" s="118"/>
      <c r="R1373" s="118"/>
      <c r="S1373" s="118"/>
      <c r="T1373" s="12"/>
      <c r="U1373" s="118"/>
      <c r="V1373" s="118"/>
      <c r="W1373" s="12"/>
      <c r="X1373" s="119"/>
      <c r="Y1373" s="120"/>
      <c r="Z1373" s="12"/>
      <c r="BK1373" s="77"/>
      <c r="BO1373" s="77"/>
      <c r="BQ1373" s="77"/>
      <c r="BT1373" s="5"/>
      <c r="BU1373" s="5"/>
      <c r="BV1373" s="5"/>
      <c r="BW1373" s="71"/>
      <c r="BX1373" s="78"/>
      <c r="BY1373" s="64"/>
      <c r="BZ1373" s="3"/>
    </row>
    <row r="1374" spans="1:78">
      <c r="A1374" s="76"/>
      <c r="B1374" s="76"/>
      <c r="C1374" s="125"/>
      <c r="D1374" s="125"/>
      <c r="E1374" s="71"/>
      <c r="F1374" s="71"/>
      <c r="G1374" s="71"/>
      <c r="H1374" s="126"/>
      <c r="I1374" s="125"/>
      <c r="J1374" s="123"/>
      <c r="K1374" s="12"/>
      <c r="L1374" s="117"/>
      <c r="M1374" s="12"/>
      <c r="N1374" s="117"/>
      <c r="O1374" s="117"/>
      <c r="P1374" s="117"/>
      <c r="Q1374" s="118"/>
      <c r="R1374" s="118"/>
      <c r="S1374" s="118"/>
      <c r="T1374" s="12"/>
      <c r="U1374" s="118"/>
      <c r="V1374" s="118"/>
      <c r="W1374" s="12"/>
      <c r="X1374" s="119"/>
      <c r="Y1374" s="120"/>
      <c r="Z1374" s="12"/>
      <c r="BK1374" s="77"/>
      <c r="BO1374" s="77"/>
      <c r="BQ1374" s="77"/>
      <c r="BT1374" s="5"/>
      <c r="BU1374" s="5"/>
      <c r="BV1374" s="5"/>
      <c r="BW1374" s="71"/>
      <c r="BX1374" s="78"/>
      <c r="BY1374" s="64"/>
      <c r="BZ1374" s="3"/>
    </row>
    <row r="1375" spans="1:78">
      <c r="A1375" s="76"/>
      <c r="B1375" s="76"/>
      <c r="C1375" s="125"/>
      <c r="D1375" s="125"/>
      <c r="E1375" s="71"/>
      <c r="F1375" s="71"/>
      <c r="G1375" s="71"/>
      <c r="H1375" s="126"/>
      <c r="I1375" s="125"/>
      <c r="J1375" s="123"/>
      <c r="K1375" s="12"/>
      <c r="L1375" s="117"/>
      <c r="M1375" s="12"/>
      <c r="N1375" s="117"/>
      <c r="O1375" s="117"/>
      <c r="P1375" s="117"/>
      <c r="Q1375" s="118"/>
      <c r="R1375" s="118"/>
      <c r="S1375" s="118"/>
      <c r="T1375" s="12"/>
      <c r="U1375" s="118"/>
      <c r="V1375" s="118"/>
      <c r="W1375" s="12"/>
      <c r="X1375" s="119"/>
      <c r="Y1375" s="120"/>
      <c r="Z1375" s="12"/>
      <c r="BK1375" s="77"/>
      <c r="BO1375" s="77"/>
      <c r="BQ1375" s="77"/>
      <c r="BT1375" s="5"/>
      <c r="BU1375" s="5"/>
      <c r="BV1375" s="5"/>
      <c r="BW1375" s="71"/>
      <c r="BX1375" s="78"/>
      <c r="BY1375" s="64"/>
      <c r="BZ1375" s="3"/>
    </row>
    <row r="1376" spans="1:78">
      <c r="A1376" s="76"/>
      <c r="B1376" s="76"/>
      <c r="C1376" s="125"/>
      <c r="D1376" s="125"/>
      <c r="E1376" s="71"/>
      <c r="F1376" s="71"/>
      <c r="G1376" s="71"/>
      <c r="H1376" s="126"/>
      <c r="I1376" s="125"/>
      <c r="J1376" s="123"/>
      <c r="K1376" s="12"/>
      <c r="L1376" s="117"/>
      <c r="M1376" s="12"/>
      <c r="N1376" s="117"/>
      <c r="O1376" s="117"/>
      <c r="P1376" s="117"/>
      <c r="Q1376" s="118"/>
      <c r="R1376" s="118"/>
      <c r="S1376" s="118"/>
      <c r="T1376" s="12"/>
      <c r="U1376" s="118"/>
      <c r="V1376" s="118"/>
      <c r="W1376" s="12"/>
      <c r="X1376" s="119"/>
      <c r="Y1376" s="120"/>
      <c r="Z1376" s="12"/>
      <c r="BK1376" s="77"/>
      <c r="BO1376" s="77"/>
      <c r="BQ1376" s="77"/>
      <c r="BT1376" s="5"/>
      <c r="BU1376" s="5"/>
      <c r="BV1376" s="5"/>
      <c r="BW1376" s="71"/>
      <c r="BX1376" s="78"/>
      <c r="BY1376" s="64"/>
      <c r="BZ1376" s="3"/>
    </row>
    <row r="1377" spans="1:78">
      <c r="A1377" s="76"/>
      <c r="B1377" s="76"/>
      <c r="C1377" s="125"/>
      <c r="D1377" s="125"/>
      <c r="E1377" s="71"/>
      <c r="F1377" s="71"/>
      <c r="G1377" s="71"/>
      <c r="H1377" s="126"/>
      <c r="I1377" s="125"/>
      <c r="J1377" s="123"/>
      <c r="K1377" s="12"/>
      <c r="L1377" s="117"/>
      <c r="M1377" s="12"/>
      <c r="N1377" s="117"/>
      <c r="O1377" s="117"/>
      <c r="P1377" s="117"/>
      <c r="Q1377" s="118"/>
      <c r="R1377" s="118"/>
      <c r="S1377" s="118"/>
      <c r="T1377" s="12"/>
      <c r="U1377" s="118"/>
      <c r="V1377" s="118"/>
      <c r="W1377" s="12"/>
      <c r="X1377" s="119"/>
      <c r="Y1377" s="120"/>
      <c r="Z1377" s="12"/>
      <c r="BK1377" s="77"/>
      <c r="BO1377" s="77"/>
      <c r="BQ1377" s="77"/>
      <c r="BT1377" s="5"/>
      <c r="BU1377" s="5"/>
      <c r="BV1377" s="5"/>
      <c r="BW1377" s="71"/>
      <c r="BX1377" s="78"/>
      <c r="BY1377" s="64"/>
      <c r="BZ1377" s="3"/>
    </row>
    <row r="1378" spans="1:78">
      <c r="A1378" s="76"/>
      <c r="B1378" s="76"/>
      <c r="C1378" s="125"/>
      <c r="D1378" s="125"/>
      <c r="E1378" s="71"/>
      <c r="F1378" s="71"/>
      <c r="G1378" s="71"/>
      <c r="H1378" s="126"/>
      <c r="I1378" s="125"/>
      <c r="J1378" s="123"/>
      <c r="K1378" s="12"/>
      <c r="L1378" s="117"/>
      <c r="M1378" s="12"/>
      <c r="N1378" s="117"/>
      <c r="O1378" s="117"/>
      <c r="P1378" s="117"/>
      <c r="Q1378" s="118"/>
      <c r="R1378" s="118"/>
      <c r="S1378" s="118"/>
      <c r="T1378" s="12"/>
      <c r="U1378" s="118"/>
      <c r="V1378" s="118"/>
      <c r="W1378" s="12"/>
      <c r="X1378" s="119"/>
      <c r="Y1378" s="120"/>
      <c r="Z1378" s="12"/>
      <c r="BK1378" s="77"/>
      <c r="BO1378" s="77"/>
      <c r="BQ1378" s="77"/>
      <c r="BT1378" s="5"/>
      <c r="BU1378" s="5"/>
      <c r="BV1378" s="5"/>
      <c r="BW1378" s="71"/>
      <c r="BX1378" s="78"/>
      <c r="BY1378" s="64"/>
      <c r="BZ1378" s="3"/>
    </row>
    <row r="1379" spans="1:78">
      <c r="A1379" s="76"/>
      <c r="B1379" s="76"/>
      <c r="C1379" s="125"/>
      <c r="D1379" s="125"/>
      <c r="E1379" s="71"/>
      <c r="F1379" s="71"/>
      <c r="G1379" s="71"/>
      <c r="H1379" s="126"/>
      <c r="I1379" s="125"/>
      <c r="J1379" s="123"/>
      <c r="K1379" s="12"/>
      <c r="L1379" s="117"/>
      <c r="M1379" s="12"/>
      <c r="N1379" s="117"/>
      <c r="O1379" s="117"/>
      <c r="P1379" s="117"/>
      <c r="Q1379" s="118"/>
      <c r="R1379" s="118"/>
      <c r="S1379" s="118"/>
      <c r="T1379" s="12"/>
      <c r="U1379" s="118"/>
      <c r="V1379" s="118"/>
      <c r="W1379" s="12"/>
      <c r="X1379" s="119"/>
      <c r="Y1379" s="120"/>
      <c r="Z1379" s="12"/>
      <c r="BK1379" s="77"/>
      <c r="BO1379" s="77"/>
      <c r="BQ1379" s="77"/>
      <c r="BT1379" s="5"/>
      <c r="BU1379" s="5"/>
      <c r="BV1379" s="5"/>
      <c r="BW1379" s="71"/>
      <c r="BX1379" s="78"/>
      <c r="BY1379" s="64"/>
      <c r="BZ1379" s="3"/>
    </row>
    <row r="1380" spans="1:78">
      <c r="A1380" s="76"/>
      <c r="B1380" s="76"/>
      <c r="C1380" s="125"/>
      <c r="D1380" s="125"/>
      <c r="E1380" s="71"/>
      <c r="F1380" s="71"/>
      <c r="G1380" s="71"/>
      <c r="H1380" s="126"/>
      <c r="I1380" s="125"/>
      <c r="J1380" s="123"/>
      <c r="K1380" s="12"/>
      <c r="L1380" s="117"/>
      <c r="M1380" s="12"/>
      <c r="N1380" s="117"/>
      <c r="O1380" s="117"/>
      <c r="P1380" s="117"/>
      <c r="Q1380" s="118"/>
      <c r="R1380" s="118"/>
      <c r="S1380" s="118"/>
      <c r="T1380" s="12"/>
      <c r="U1380" s="118"/>
      <c r="V1380" s="118"/>
      <c r="W1380" s="12"/>
      <c r="X1380" s="119"/>
      <c r="Y1380" s="120"/>
      <c r="Z1380" s="12"/>
      <c r="BK1380" s="77"/>
      <c r="BO1380" s="77"/>
      <c r="BQ1380" s="77"/>
      <c r="BT1380" s="5"/>
      <c r="BU1380" s="5"/>
      <c r="BV1380" s="5"/>
      <c r="BW1380" s="71"/>
      <c r="BX1380" s="78"/>
      <c r="BY1380" s="64"/>
      <c r="BZ1380" s="3"/>
    </row>
    <row r="1381" spans="1:78">
      <c r="A1381" s="76"/>
      <c r="B1381" s="76"/>
      <c r="C1381" s="125"/>
      <c r="D1381" s="125"/>
      <c r="E1381" s="71"/>
      <c r="F1381" s="71"/>
      <c r="G1381" s="71"/>
      <c r="H1381" s="126"/>
      <c r="I1381" s="125"/>
      <c r="J1381" s="123"/>
      <c r="K1381" s="12"/>
      <c r="L1381" s="117"/>
      <c r="M1381" s="12"/>
      <c r="N1381" s="117"/>
      <c r="O1381" s="117"/>
      <c r="P1381" s="117"/>
      <c r="Q1381" s="118"/>
      <c r="R1381" s="118"/>
      <c r="S1381" s="118"/>
      <c r="T1381" s="12"/>
      <c r="U1381" s="118"/>
      <c r="V1381" s="118"/>
      <c r="W1381" s="12"/>
      <c r="X1381" s="119"/>
      <c r="Y1381" s="120"/>
      <c r="Z1381" s="12"/>
      <c r="BK1381" s="77"/>
      <c r="BO1381" s="77"/>
      <c r="BQ1381" s="77"/>
      <c r="BT1381" s="5"/>
      <c r="BU1381" s="5"/>
      <c r="BV1381" s="5"/>
      <c r="BW1381" s="71"/>
      <c r="BX1381" s="78"/>
      <c r="BY1381" s="64"/>
      <c r="BZ1381" s="3"/>
    </row>
    <row r="1382" spans="1:78">
      <c r="A1382" s="76"/>
      <c r="B1382" s="76"/>
      <c r="C1382" s="125"/>
      <c r="D1382" s="125"/>
      <c r="E1382" s="71"/>
      <c r="F1382" s="71"/>
      <c r="G1382" s="71"/>
      <c r="H1382" s="126"/>
      <c r="I1382" s="125"/>
      <c r="J1382" s="123"/>
      <c r="K1382" s="12"/>
      <c r="L1382" s="117"/>
      <c r="M1382" s="12"/>
      <c r="N1382" s="117"/>
      <c r="O1382" s="117"/>
      <c r="P1382" s="117"/>
      <c r="Q1382" s="118"/>
      <c r="R1382" s="118"/>
      <c r="S1382" s="118"/>
      <c r="T1382" s="12"/>
      <c r="U1382" s="118"/>
      <c r="V1382" s="118"/>
      <c r="W1382" s="12"/>
      <c r="X1382" s="119"/>
      <c r="Y1382" s="120"/>
      <c r="Z1382" s="12"/>
      <c r="BK1382" s="77"/>
      <c r="BO1382" s="77"/>
      <c r="BQ1382" s="77"/>
      <c r="BT1382" s="5"/>
      <c r="BU1382" s="5"/>
      <c r="BV1382" s="5"/>
      <c r="BW1382" s="71"/>
      <c r="BX1382" s="78"/>
      <c r="BY1382" s="64"/>
      <c r="BZ1382" s="3"/>
    </row>
    <row r="1383" spans="1:78">
      <c r="A1383" s="76"/>
      <c r="B1383" s="76"/>
      <c r="C1383" s="125"/>
      <c r="D1383" s="125"/>
      <c r="E1383" s="71"/>
      <c r="F1383" s="71"/>
      <c r="G1383" s="71"/>
      <c r="H1383" s="126"/>
      <c r="I1383" s="125"/>
      <c r="J1383" s="123"/>
      <c r="K1383" s="12"/>
      <c r="L1383" s="117"/>
      <c r="M1383" s="12"/>
      <c r="N1383" s="117"/>
      <c r="O1383" s="117"/>
      <c r="P1383" s="117"/>
      <c r="Q1383" s="118"/>
      <c r="R1383" s="118"/>
      <c r="S1383" s="118"/>
      <c r="T1383" s="12"/>
      <c r="U1383" s="118"/>
      <c r="V1383" s="118"/>
      <c r="W1383" s="12"/>
      <c r="X1383" s="119"/>
      <c r="Y1383" s="120"/>
      <c r="Z1383" s="12"/>
      <c r="BK1383" s="77"/>
      <c r="BO1383" s="77"/>
      <c r="BQ1383" s="77"/>
      <c r="BT1383" s="5"/>
      <c r="BU1383" s="5"/>
      <c r="BV1383" s="5"/>
      <c r="BW1383" s="71"/>
      <c r="BX1383" s="78"/>
      <c r="BY1383" s="64"/>
      <c r="BZ1383" s="3"/>
    </row>
    <row r="1384" spans="1:78">
      <c r="A1384" s="76"/>
      <c r="B1384" s="76"/>
      <c r="C1384" s="125"/>
      <c r="D1384" s="125"/>
      <c r="E1384" s="71"/>
      <c r="F1384" s="71"/>
      <c r="G1384" s="71"/>
      <c r="H1384" s="126"/>
      <c r="I1384" s="125"/>
      <c r="J1384" s="123"/>
      <c r="K1384" s="12"/>
      <c r="L1384" s="117"/>
      <c r="M1384" s="12"/>
      <c r="N1384" s="117"/>
      <c r="O1384" s="117"/>
      <c r="P1384" s="117"/>
      <c r="Q1384" s="118"/>
      <c r="R1384" s="118"/>
      <c r="S1384" s="118"/>
      <c r="T1384" s="12"/>
      <c r="U1384" s="118"/>
      <c r="V1384" s="118"/>
      <c r="W1384" s="12"/>
      <c r="X1384" s="119"/>
      <c r="Y1384" s="120"/>
      <c r="Z1384" s="12"/>
      <c r="BK1384" s="77"/>
      <c r="BO1384" s="77"/>
      <c r="BQ1384" s="77"/>
      <c r="BT1384" s="5"/>
      <c r="BU1384" s="5"/>
      <c r="BV1384" s="5"/>
      <c r="BW1384" s="71"/>
      <c r="BX1384" s="78"/>
      <c r="BY1384" s="64"/>
      <c r="BZ1384" s="3"/>
    </row>
    <row r="1385" spans="1:78">
      <c r="A1385" s="76"/>
      <c r="B1385" s="76"/>
      <c r="C1385" s="125"/>
      <c r="D1385" s="125"/>
      <c r="E1385" s="71"/>
      <c r="F1385" s="71"/>
      <c r="G1385" s="71"/>
      <c r="H1385" s="126"/>
      <c r="I1385" s="125"/>
      <c r="J1385" s="123"/>
      <c r="K1385" s="12"/>
      <c r="L1385" s="117"/>
      <c r="M1385" s="12"/>
      <c r="N1385" s="117"/>
      <c r="O1385" s="117"/>
      <c r="P1385" s="117"/>
      <c r="Q1385" s="118"/>
      <c r="R1385" s="118"/>
      <c r="S1385" s="118"/>
      <c r="T1385" s="12"/>
      <c r="U1385" s="118"/>
      <c r="V1385" s="118"/>
      <c r="W1385" s="12"/>
      <c r="X1385" s="119"/>
      <c r="Y1385" s="120"/>
      <c r="Z1385" s="12"/>
      <c r="BK1385" s="77"/>
      <c r="BO1385" s="77"/>
      <c r="BQ1385" s="77"/>
      <c r="BT1385" s="5"/>
      <c r="BU1385" s="5"/>
      <c r="BV1385" s="5"/>
      <c r="BW1385" s="71"/>
      <c r="BX1385" s="78"/>
      <c r="BY1385" s="64"/>
      <c r="BZ1385" s="3"/>
    </row>
    <row r="1386" spans="1:78">
      <c r="A1386" s="76"/>
      <c r="B1386" s="76"/>
      <c r="C1386" s="125"/>
      <c r="D1386" s="125"/>
      <c r="E1386" s="71"/>
      <c r="F1386" s="71"/>
      <c r="G1386" s="71"/>
      <c r="H1386" s="126"/>
      <c r="I1386" s="125"/>
      <c r="J1386" s="123"/>
      <c r="K1386" s="12"/>
      <c r="L1386" s="117"/>
      <c r="M1386" s="12"/>
      <c r="N1386" s="117"/>
      <c r="O1386" s="117"/>
      <c r="P1386" s="117"/>
      <c r="Q1386" s="118"/>
      <c r="R1386" s="118"/>
      <c r="S1386" s="118"/>
      <c r="T1386" s="12"/>
      <c r="U1386" s="118"/>
      <c r="V1386" s="118"/>
      <c r="W1386" s="12"/>
      <c r="X1386" s="119"/>
      <c r="Y1386" s="120"/>
      <c r="Z1386" s="12"/>
      <c r="BK1386" s="77"/>
      <c r="BO1386" s="77"/>
      <c r="BQ1386" s="77"/>
      <c r="BT1386" s="5"/>
      <c r="BU1386" s="5"/>
      <c r="BV1386" s="5"/>
      <c r="BW1386" s="71"/>
      <c r="BX1386" s="78"/>
      <c r="BY1386" s="64"/>
      <c r="BZ1386" s="3"/>
    </row>
    <row r="1387" spans="1:78">
      <c r="A1387" s="76"/>
      <c r="B1387" s="76"/>
      <c r="C1387" s="125"/>
      <c r="D1387" s="125"/>
      <c r="E1387" s="71"/>
      <c r="F1387" s="71"/>
      <c r="G1387" s="71"/>
      <c r="H1387" s="126"/>
      <c r="I1387" s="125"/>
      <c r="J1387" s="123"/>
      <c r="K1387" s="12"/>
      <c r="L1387" s="117"/>
      <c r="M1387" s="12"/>
      <c r="N1387" s="117"/>
      <c r="O1387" s="117"/>
      <c r="P1387" s="117"/>
      <c r="Q1387" s="118"/>
      <c r="R1387" s="118"/>
      <c r="S1387" s="118"/>
      <c r="T1387" s="12"/>
      <c r="U1387" s="118"/>
      <c r="V1387" s="118"/>
      <c r="W1387" s="12"/>
      <c r="X1387" s="119"/>
      <c r="Y1387" s="120"/>
      <c r="Z1387" s="12"/>
      <c r="BK1387" s="77"/>
      <c r="BO1387" s="77"/>
      <c r="BQ1387" s="77"/>
      <c r="BT1387" s="5"/>
      <c r="BU1387" s="5"/>
      <c r="BV1387" s="5"/>
      <c r="BW1387" s="71"/>
      <c r="BX1387" s="78"/>
      <c r="BY1387" s="64"/>
      <c r="BZ1387" s="3"/>
    </row>
    <row r="1388" spans="1:78">
      <c r="A1388" s="76"/>
      <c r="B1388" s="76"/>
      <c r="C1388" s="125"/>
      <c r="D1388" s="125"/>
      <c r="E1388" s="71"/>
      <c r="F1388" s="71"/>
      <c r="G1388" s="71"/>
      <c r="H1388" s="126"/>
      <c r="I1388" s="125"/>
      <c r="J1388" s="123"/>
      <c r="K1388" s="12"/>
      <c r="L1388" s="117"/>
      <c r="M1388" s="12"/>
      <c r="N1388" s="117"/>
      <c r="O1388" s="117"/>
      <c r="P1388" s="117"/>
      <c r="Q1388" s="118"/>
      <c r="R1388" s="118"/>
      <c r="S1388" s="118"/>
      <c r="T1388" s="12"/>
      <c r="U1388" s="118"/>
      <c r="V1388" s="118"/>
      <c r="W1388" s="12"/>
      <c r="X1388" s="119"/>
      <c r="Y1388" s="120"/>
      <c r="Z1388" s="12"/>
      <c r="BK1388" s="77"/>
      <c r="BO1388" s="77"/>
      <c r="BQ1388" s="77"/>
      <c r="BT1388" s="5"/>
      <c r="BU1388" s="5"/>
      <c r="BV1388" s="5"/>
      <c r="BW1388" s="71"/>
      <c r="BX1388" s="78"/>
      <c r="BY1388" s="64"/>
      <c r="BZ1388" s="3"/>
    </row>
    <row r="1389" spans="1:78">
      <c r="A1389" s="76"/>
      <c r="B1389" s="76"/>
      <c r="C1389" s="125"/>
      <c r="D1389" s="125"/>
      <c r="E1389" s="71"/>
      <c r="F1389" s="71"/>
      <c r="G1389" s="71"/>
      <c r="H1389" s="126"/>
      <c r="I1389" s="125"/>
      <c r="J1389" s="123"/>
      <c r="K1389" s="12"/>
      <c r="L1389" s="117"/>
      <c r="M1389" s="12"/>
      <c r="N1389" s="117"/>
      <c r="O1389" s="117"/>
      <c r="P1389" s="117"/>
      <c r="Q1389" s="118"/>
      <c r="R1389" s="118"/>
      <c r="S1389" s="118"/>
      <c r="T1389" s="12"/>
      <c r="U1389" s="118"/>
      <c r="V1389" s="118"/>
      <c r="W1389" s="12"/>
      <c r="X1389" s="119"/>
      <c r="Y1389" s="120"/>
      <c r="Z1389" s="12"/>
      <c r="BK1389" s="77"/>
      <c r="BO1389" s="77"/>
      <c r="BQ1389" s="77"/>
      <c r="BT1389" s="5"/>
      <c r="BU1389" s="5"/>
      <c r="BV1389" s="5"/>
      <c r="BW1389" s="71"/>
      <c r="BX1389" s="78"/>
      <c r="BY1389" s="64"/>
      <c r="BZ1389" s="3"/>
    </row>
    <row r="1390" spans="1:78">
      <c r="A1390" s="76"/>
      <c r="B1390" s="76"/>
      <c r="C1390" s="125"/>
      <c r="D1390" s="125"/>
      <c r="E1390" s="71"/>
      <c r="F1390" s="71"/>
      <c r="G1390" s="71"/>
      <c r="H1390" s="126"/>
      <c r="I1390" s="125"/>
      <c r="J1390" s="123"/>
      <c r="K1390" s="12"/>
      <c r="L1390" s="117"/>
      <c r="M1390" s="12"/>
      <c r="N1390" s="117"/>
      <c r="O1390" s="117"/>
      <c r="P1390" s="117"/>
      <c r="Q1390" s="118"/>
      <c r="R1390" s="118"/>
      <c r="S1390" s="118"/>
      <c r="T1390" s="12"/>
      <c r="U1390" s="118"/>
      <c r="V1390" s="118"/>
      <c r="W1390" s="12"/>
      <c r="X1390" s="119"/>
      <c r="Y1390" s="120"/>
      <c r="Z1390" s="12"/>
      <c r="BK1390" s="77"/>
      <c r="BO1390" s="77"/>
      <c r="BQ1390" s="77"/>
      <c r="BT1390" s="5"/>
      <c r="BU1390" s="5"/>
      <c r="BV1390" s="5"/>
      <c r="BW1390" s="71"/>
      <c r="BX1390" s="78"/>
      <c r="BY1390" s="64"/>
      <c r="BZ1390" s="3"/>
    </row>
    <row r="1391" spans="1:78">
      <c r="A1391" s="76"/>
      <c r="B1391" s="76"/>
      <c r="C1391" s="125"/>
      <c r="D1391" s="125"/>
      <c r="E1391" s="71"/>
      <c r="F1391" s="71"/>
      <c r="G1391" s="71"/>
      <c r="H1391" s="126"/>
      <c r="I1391" s="125"/>
      <c r="J1391" s="123"/>
      <c r="K1391" s="12"/>
      <c r="L1391" s="117"/>
      <c r="M1391" s="12"/>
      <c r="N1391" s="117"/>
      <c r="O1391" s="117"/>
      <c r="P1391" s="117"/>
      <c r="Q1391" s="118"/>
      <c r="R1391" s="118"/>
      <c r="S1391" s="118"/>
      <c r="T1391" s="12"/>
      <c r="U1391" s="118"/>
      <c r="V1391" s="118"/>
      <c r="W1391" s="12"/>
      <c r="X1391" s="119"/>
      <c r="Y1391" s="120"/>
      <c r="Z1391" s="12"/>
      <c r="BK1391" s="77"/>
      <c r="BO1391" s="77"/>
      <c r="BQ1391" s="77"/>
      <c r="BT1391" s="5"/>
      <c r="BU1391" s="5"/>
      <c r="BV1391" s="5"/>
      <c r="BW1391" s="71"/>
      <c r="BX1391" s="78"/>
      <c r="BY1391" s="64"/>
      <c r="BZ1391" s="3"/>
    </row>
    <row r="1392" spans="1:78">
      <c r="A1392" s="76"/>
      <c r="B1392" s="76"/>
      <c r="C1392" s="125"/>
      <c r="D1392" s="125"/>
      <c r="E1392" s="71"/>
      <c r="F1392" s="71"/>
      <c r="G1392" s="71"/>
      <c r="H1392" s="126"/>
      <c r="I1392" s="125"/>
      <c r="J1392" s="123"/>
      <c r="K1392" s="12"/>
      <c r="L1392" s="117"/>
      <c r="M1392" s="12"/>
      <c r="N1392" s="117"/>
      <c r="O1392" s="117"/>
      <c r="P1392" s="117"/>
      <c r="Q1392" s="118"/>
      <c r="R1392" s="118"/>
      <c r="S1392" s="118"/>
      <c r="T1392" s="12"/>
      <c r="U1392" s="118"/>
      <c r="V1392" s="118"/>
      <c r="W1392" s="12"/>
      <c r="X1392" s="119"/>
      <c r="Y1392" s="120"/>
      <c r="Z1392" s="12"/>
      <c r="BK1392" s="77"/>
      <c r="BO1392" s="77"/>
      <c r="BQ1392" s="77"/>
      <c r="BT1392" s="5"/>
      <c r="BU1392" s="5"/>
      <c r="BV1392" s="5"/>
      <c r="BW1392" s="71"/>
      <c r="BX1392" s="78"/>
      <c r="BY1392" s="64"/>
      <c r="BZ1392" s="3"/>
    </row>
    <row r="1393" spans="1:78">
      <c r="A1393" s="76"/>
      <c r="B1393" s="76"/>
      <c r="C1393" s="125"/>
      <c r="D1393" s="125"/>
      <c r="E1393" s="71"/>
      <c r="F1393" s="71"/>
      <c r="G1393" s="71"/>
      <c r="H1393" s="126"/>
      <c r="I1393" s="125"/>
      <c r="J1393" s="123"/>
      <c r="K1393" s="12"/>
      <c r="L1393" s="117"/>
      <c r="M1393" s="12"/>
      <c r="N1393" s="117"/>
      <c r="O1393" s="117"/>
      <c r="P1393" s="117"/>
      <c r="Q1393" s="118"/>
      <c r="R1393" s="118"/>
      <c r="S1393" s="118"/>
      <c r="T1393" s="12"/>
      <c r="U1393" s="118"/>
      <c r="V1393" s="118"/>
      <c r="W1393" s="12"/>
      <c r="X1393" s="119"/>
      <c r="Y1393" s="120"/>
      <c r="Z1393" s="12"/>
      <c r="BK1393" s="77"/>
      <c r="BO1393" s="77"/>
      <c r="BQ1393" s="77"/>
      <c r="BT1393" s="5"/>
      <c r="BU1393" s="5"/>
      <c r="BV1393" s="5"/>
      <c r="BW1393" s="71"/>
      <c r="BX1393" s="78"/>
      <c r="BY1393" s="64"/>
      <c r="BZ1393" s="3"/>
    </row>
    <row r="1394" spans="1:78">
      <c r="A1394" s="76"/>
      <c r="B1394" s="76"/>
      <c r="C1394" s="125"/>
      <c r="D1394" s="125"/>
      <c r="E1394" s="71"/>
      <c r="F1394" s="71"/>
      <c r="G1394" s="71"/>
      <c r="H1394" s="126"/>
      <c r="I1394" s="125"/>
      <c r="J1394" s="123"/>
      <c r="K1394" s="12"/>
      <c r="L1394" s="117"/>
      <c r="M1394" s="12"/>
      <c r="N1394" s="117"/>
      <c r="O1394" s="117"/>
      <c r="P1394" s="117"/>
      <c r="Q1394" s="118"/>
      <c r="R1394" s="118"/>
      <c r="S1394" s="118"/>
      <c r="T1394" s="12"/>
      <c r="U1394" s="118"/>
      <c r="V1394" s="118"/>
      <c r="W1394" s="12"/>
      <c r="X1394" s="119"/>
      <c r="Y1394" s="120"/>
      <c r="Z1394" s="12"/>
      <c r="BK1394" s="77"/>
      <c r="BO1394" s="77"/>
      <c r="BQ1394" s="77"/>
      <c r="BT1394" s="5"/>
      <c r="BU1394" s="5"/>
      <c r="BV1394" s="5"/>
      <c r="BW1394" s="71"/>
      <c r="BX1394" s="78"/>
      <c r="BY1394" s="64"/>
      <c r="BZ1394" s="3"/>
    </row>
    <row r="1395" spans="1:78">
      <c r="A1395" s="76"/>
      <c r="B1395" s="76"/>
      <c r="C1395" s="125"/>
      <c r="D1395" s="125"/>
      <c r="E1395" s="71"/>
      <c r="F1395" s="71"/>
      <c r="G1395" s="71"/>
      <c r="H1395" s="126"/>
      <c r="I1395" s="125"/>
      <c r="J1395" s="123"/>
      <c r="K1395" s="12"/>
      <c r="L1395" s="117"/>
      <c r="M1395" s="12"/>
      <c r="N1395" s="117"/>
      <c r="O1395" s="117"/>
      <c r="P1395" s="117"/>
      <c r="Q1395" s="118"/>
      <c r="R1395" s="118"/>
      <c r="S1395" s="118"/>
      <c r="T1395" s="12"/>
      <c r="U1395" s="118"/>
      <c r="V1395" s="118"/>
      <c r="W1395" s="12"/>
      <c r="X1395" s="119"/>
      <c r="Y1395" s="120"/>
      <c r="Z1395" s="12"/>
      <c r="BK1395" s="77"/>
      <c r="BO1395" s="77"/>
      <c r="BQ1395" s="77"/>
      <c r="BT1395" s="5"/>
      <c r="BU1395" s="5"/>
      <c r="BV1395" s="5"/>
      <c r="BW1395" s="71"/>
      <c r="BX1395" s="78"/>
      <c r="BY1395" s="64"/>
      <c r="BZ1395" s="3"/>
    </row>
    <row r="1396" spans="1:78">
      <c r="A1396" s="76"/>
      <c r="B1396" s="76"/>
      <c r="C1396" s="125"/>
      <c r="D1396" s="125"/>
      <c r="E1396" s="71"/>
      <c r="F1396" s="71"/>
      <c r="G1396" s="71"/>
      <c r="H1396" s="126"/>
      <c r="I1396" s="125"/>
      <c r="J1396" s="123"/>
      <c r="K1396" s="12"/>
      <c r="L1396" s="117"/>
      <c r="M1396" s="12"/>
      <c r="N1396" s="117"/>
      <c r="O1396" s="117"/>
      <c r="P1396" s="117"/>
      <c r="Q1396" s="118"/>
      <c r="R1396" s="118"/>
      <c r="S1396" s="118"/>
      <c r="T1396" s="12"/>
      <c r="U1396" s="118"/>
      <c r="V1396" s="118"/>
      <c r="W1396" s="12"/>
      <c r="X1396" s="119"/>
      <c r="Y1396" s="120"/>
      <c r="Z1396" s="12"/>
      <c r="BK1396" s="77"/>
      <c r="BO1396" s="77"/>
      <c r="BQ1396" s="77"/>
      <c r="BT1396" s="5"/>
      <c r="BU1396" s="5"/>
      <c r="BV1396" s="5"/>
      <c r="BW1396" s="71"/>
      <c r="BX1396" s="78"/>
      <c r="BY1396" s="64"/>
      <c r="BZ1396" s="3"/>
    </row>
    <row r="1397" spans="1:78">
      <c r="A1397" s="76"/>
      <c r="B1397" s="76"/>
      <c r="C1397" s="125"/>
      <c r="D1397" s="125"/>
      <c r="E1397" s="71"/>
      <c r="F1397" s="71"/>
      <c r="G1397" s="71"/>
      <c r="H1397" s="126"/>
      <c r="I1397" s="125"/>
      <c r="J1397" s="123"/>
      <c r="K1397" s="12"/>
      <c r="L1397" s="117"/>
      <c r="M1397" s="12"/>
      <c r="N1397" s="117"/>
      <c r="O1397" s="117"/>
      <c r="P1397" s="117"/>
      <c r="Q1397" s="118"/>
      <c r="R1397" s="118"/>
      <c r="S1397" s="118"/>
      <c r="T1397" s="12"/>
      <c r="U1397" s="118"/>
      <c r="V1397" s="118"/>
      <c r="W1397" s="12"/>
      <c r="X1397" s="119"/>
      <c r="Y1397" s="120"/>
      <c r="Z1397" s="12"/>
      <c r="BK1397" s="77"/>
      <c r="BO1397" s="77"/>
      <c r="BQ1397" s="77"/>
      <c r="BT1397" s="5"/>
      <c r="BU1397" s="5"/>
      <c r="BV1397" s="5"/>
      <c r="BW1397" s="71"/>
      <c r="BX1397" s="78"/>
      <c r="BY1397" s="64"/>
      <c r="BZ1397" s="3"/>
    </row>
    <row r="1398" spans="1:78">
      <c r="A1398" s="76"/>
      <c r="B1398" s="76"/>
      <c r="C1398" s="125"/>
      <c r="D1398" s="125"/>
      <c r="E1398" s="71"/>
      <c r="F1398" s="71"/>
      <c r="G1398" s="71"/>
      <c r="H1398" s="126"/>
      <c r="I1398" s="125"/>
      <c r="J1398" s="123"/>
      <c r="K1398" s="12"/>
      <c r="L1398" s="117"/>
      <c r="M1398" s="12"/>
      <c r="N1398" s="117"/>
      <c r="O1398" s="117"/>
      <c r="P1398" s="117"/>
      <c r="Q1398" s="118"/>
      <c r="R1398" s="118"/>
      <c r="S1398" s="118"/>
      <c r="T1398" s="12"/>
      <c r="U1398" s="118"/>
      <c r="V1398" s="118"/>
      <c r="W1398" s="12"/>
      <c r="X1398" s="119"/>
      <c r="Y1398" s="120"/>
      <c r="Z1398" s="12"/>
      <c r="BK1398" s="77"/>
      <c r="BO1398" s="77"/>
      <c r="BQ1398" s="77"/>
      <c r="BT1398" s="5"/>
      <c r="BU1398" s="5"/>
      <c r="BV1398" s="5"/>
      <c r="BW1398" s="71"/>
      <c r="BX1398" s="78"/>
      <c r="BY1398" s="64"/>
      <c r="BZ1398" s="3"/>
    </row>
    <row r="1399" spans="1:78">
      <c r="A1399" s="76"/>
      <c r="B1399" s="76"/>
      <c r="C1399" s="125"/>
      <c r="D1399" s="125"/>
      <c r="E1399" s="71"/>
      <c r="F1399" s="71"/>
      <c r="G1399" s="71"/>
      <c r="H1399" s="126"/>
      <c r="I1399" s="125"/>
      <c r="J1399" s="123"/>
      <c r="K1399" s="12"/>
      <c r="L1399" s="117"/>
      <c r="M1399" s="12"/>
      <c r="N1399" s="117"/>
      <c r="O1399" s="117"/>
      <c r="P1399" s="117"/>
      <c r="Q1399" s="118"/>
      <c r="R1399" s="118"/>
      <c r="S1399" s="118"/>
      <c r="T1399" s="12"/>
      <c r="U1399" s="118"/>
      <c r="V1399" s="118"/>
      <c r="W1399" s="12"/>
      <c r="X1399" s="119"/>
      <c r="Y1399" s="120"/>
      <c r="Z1399" s="12"/>
      <c r="BK1399" s="77"/>
      <c r="BO1399" s="77"/>
      <c r="BQ1399" s="77"/>
      <c r="BT1399" s="5"/>
      <c r="BU1399" s="5"/>
      <c r="BV1399" s="5"/>
      <c r="BW1399" s="71"/>
      <c r="BX1399" s="78"/>
      <c r="BY1399" s="64"/>
      <c r="BZ1399" s="3"/>
    </row>
    <row r="1400" spans="1:78">
      <c r="A1400" s="76"/>
      <c r="B1400" s="76"/>
      <c r="C1400" s="125"/>
      <c r="D1400" s="125"/>
      <c r="E1400" s="71"/>
      <c r="F1400" s="71"/>
      <c r="G1400" s="71"/>
      <c r="H1400" s="126"/>
      <c r="I1400" s="125"/>
      <c r="J1400" s="123"/>
      <c r="K1400" s="12"/>
      <c r="L1400" s="117"/>
      <c r="M1400" s="12"/>
      <c r="N1400" s="117"/>
      <c r="O1400" s="117"/>
      <c r="P1400" s="117"/>
      <c r="Q1400" s="118"/>
      <c r="R1400" s="118"/>
      <c r="S1400" s="118"/>
      <c r="T1400" s="12"/>
      <c r="U1400" s="118"/>
      <c r="V1400" s="118"/>
      <c r="W1400" s="12"/>
      <c r="X1400" s="119"/>
      <c r="Y1400" s="120"/>
      <c r="Z1400" s="12"/>
      <c r="BK1400" s="77"/>
      <c r="BO1400" s="77"/>
      <c r="BQ1400" s="77"/>
      <c r="BT1400" s="5"/>
      <c r="BU1400" s="5"/>
      <c r="BV1400" s="5"/>
      <c r="BW1400" s="71"/>
      <c r="BX1400" s="78"/>
      <c r="BY1400" s="64"/>
      <c r="BZ1400" s="3"/>
    </row>
    <row r="1401" spans="1:78">
      <c r="A1401" s="76"/>
      <c r="B1401" s="76"/>
      <c r="C1401" s="125"/>
      <c r="D1401" s="125"/>
      <c r="E1401" s="71"/>
      <c r="F1401" s="71"/>
      <c r="G1401" s="71"/>
      <c r="H1401" s="126"/>
      <c r="I1401" s="125"/>
      <c r="J1401" s="123"/>
      <c r="K1401" s="12"/>
      <c r="L1401" s="117"/>
      <c r="M1401" s="12"/>
      <c r="N1401" s="117"/>
      <c r="O1401" s="117"/>
      <c r="P1401" s="117"/>
      <c r="Q1401" s="118"/>
      <c r="R1401" s="118"/>
      <c r="S1401" s="118"/>
      <c r="T1401" s="12"/>
      <c r="U1401" s="118"/>
      <c r="V1401" s="118"/>
      <c r="W1401" s="12"/>
      <c r="X1401" s="119"/>
      <c r="Y1401" s="120"/>
      <c r="Z1401" s="12"/>
      <c r="BK1401" s="77"/>
      <c r="BO1401" s="77"/>
      <c r="BQ1401" s="77"/>
      <c r="BT1401" s="5"/>
      <c r="BU1401" s="5"/>
      <c r="BV1401" s="5"/>
      <c r="BW1401" s="71"/>
      <c r="BX1401" s="78"/>
      <c r="BY1401" s="64"/>
      <c r="BZ1401" s="3"/>
    </row>
    <row r="1402" spans="1:78">
      <c r="A1402" s="76"/>
      <c r="B1402" s="76"/>
      <c r="C1402" s="125"/>
      <c r="D1402" s="125"/>
      <c r="E1402" s="71"/>
      <c r="F1402" s="71"/>
      <c r="G1402" s="71"/>
      <c r="H1402" s="126"/>
      <c r="I1402" s="125"/>
      <c r="J1402" s="123"/>
      <c r="K1402" s="12"/>
      <c r="L1402" s="117"/>
      <c r="M1402" s="12"/>
      <c r="N1402" s="117"/>
      <c r="O1402" s="117"/>
      <c r="P1402" s="117"/>
      <c r="Q1402" s="118"/>
      <c r="R1402" s="118"/>
      <c r="S1402" s="118"/>
      <c r="T1402" s="12"/>
      <c r="U1402" s="118"/>
      <c r="V1402" s="118"/>
      <c r="W1402" s="12"/>
      <c r="X1402" s="119"/>
      <c r="Y1402" s="120"/>
      <c r="Z1402" s="12"/>
      <c r="BK1402" s="77"/>
      <c r="BO1402" s="77"/>
      <c r="BQ1402" s="77"/>
      <c r="BT1402" s="5"/>
      <c r="BU1402" s="5"/>
      <c r="BV1402" s="5"/>
      <c r="BW1402" s="71"/>
      <c r="BX1402" s="78"/>
      <c r="BY1402" s="64"/>
      <c r="BZ1402" s="3"/>
    </row>
    <row r="1403" spans="1:78">
      <c r="A1403" s="76"/>
      <c r="B1403" s="76"/>
      <c r="C1403" s="125"/>
      <c r="D1403" s="125"/>
      <c r="E1403" s="71"/>
      <c r="F1403" s="71"/>
      <c r="G1403" s="71"/>
      <c r="H1403" s="126"/>
      <c r="I1403" s="125"/>
      <c r="J1403" s="123"/>
      <c r="K1403" s="12"/>
      <c r="L1403" s="117"/>
      <c r="M1403" s="12"/>
      <c r="N1403" s="117"/>
      <c r="O1403" s="117"/>
      <c r="P1403" s="117"/>
      <c r="Q1403" s="118"/>
      <c r="R1403" s="118"/>
      <c r="S1403" s="118"/>
      <c r="T1403" s="12"/>
      <c r="U1403" s="118"/>
      <c r="V1403" s="118"/>
      <c r="W1403" s="12"/>
      <c r="X1403" s="119"/>
      <c r="Y1403" s="120"/>
      <c r="Z1403" s="12"/>
      <c r="BK1403" s="77"/>
      <c r="BO1403" s="77"/>
      <c r="BQ1403" s="77"/>
      <c r="BT1403" s="5"/>
      <c r="BU1403" s="5"/>
      <c r="BV1403" s="5"/>
      <c r="BW1403" s="71"/>
      <c r="BX1403" s="78"/>
      <c r="BY1403" s="64"/>
      <c r="BZ1403" s="3"/>
    </row>
    <row r="1404" spans="1:78">
      <c r="A1404" s="76"/>
      <c r="B1404" s="76"/>
      <c r="C1404" s="125"/>
      <c r="D1404" s="125"/>
      <c r="E1404" s="71"/>
      <c r="F1404" s="71"/>
      <c r="G1404" s="71"/>
      <c r="H1404" s="126"/>
      <c r="I1404" s="125"/>
      <c r="J1404" s="123"/>
      <c r="K1404" s="12"/>
      <c r="L1404" s="117"/>
      <c r="M1404" s="12"/>
      <c r="N1404" s="117"/>
      <c r="O1404" s="117"/>
      <c r="P1404" s="117"/>
      <c r="Q1404" s="118"/>
      <c r="R1404" s="118"/>
      <c r="S1404" s="118"/>
      <c r="T1404" s="12"/>
      <c r="U1404" s="118"/>
      <c r="V1404" s="118"/>
      <c r="W1404" s="12"/>
      <c r="X1404" s="119"/>
      <c r="Y1404" s="120"/>
      <c r="Z1404" s="12"/>
      <c r="BK1404" s="77"/>
      <c r="BO1404" s="77"/>
      <c r="BQ1404" s="77"/>
      <c r="BT1404" s="5"/>
      <c r="BU1404" s="5"/>
      <c r="BV1404" s="5"/>
      <c r="BW1404" s="71"/>
      <c r="BX1404" s="78"/>
      <c r="BY1404" s="64"/>
      <c r="BZ1404" s="3"/>
    </row>
    <row r="1405" spans="1:78">
      <c r="A1405" s="76"/>
      <c r="B1405" s="76"/>
      <c r="C1405" s="125"/>
      <c r="D1405" s="125"/>
      <c r="E1405" s="71"/>
      <c r="F1405" s="71"/>
      <c r="G1405" s="71"/>
      <c r="H1405" s="126"/>
      <c r="I1405" s="125"/>
      <c r="J1405" s="123"/>
      <c r="K1405" s="12"/>
      <c r="L1405" s="117"/>
      <c r="M1405" s="12"/>
      <c r="N1405" s="117"/>
      <c r="O1405" s="117"/>
      <c r="P1405" s="117"/>
      <c r="Q1405" s="118"/>
      <c r="R1405" s="118"/>
      <c r="S1405" s="118"/>
      <c r="T1405" s="12"/>
      <c r="U1405" s="118"/>
      <c r="V1405" s="118"/>
      <c r="W1405" s="12"/>
      <c r="X1405" s="119"/>
      <c r="Y1405" s="120"/>
      <c r="Z1405" s="12"/>
      <c r="BK1405" s="77"/>
      <c r="BO1405" s="77"/>
      <c r="BQ1405" s="77"/>
      <c r="BT1405" s="5"/>
      <c r="BU1405" s="5"/>
      <c r="BV1405" s="5"/>
      <c r="BW1405" s="71"/>
      <c r="BX1405" s="78"/>
      <c r="BY1405" s="64"/>
      <c r="BZ1405" s="3"/>
    </row>
    <row r="1406" spans="1:78">
      <c r="A1406" s="76"/>
      <c r="B1406" s="76"/>
      <c r="C1406" s="125"/>
      <c r="D1406" s="125"/>
      <c r="E1406" s="71"/>
      <c r="F1406" s="71"/>
      <c r="G1406" s="71"/>
      <c r="H1406" s="126"/>
      <c r="I1406" s="125"/>
      <c r="J1406" s="123"/>
      <c r="K1406" s="12"/>
      <c r="L1406" s="117"/>
      <c r="M1406" s="12"/>
      <c r="N1406" s="117"/>
      <c r="O1406" s="117"/>
      <c r="P1406" s="117"/>
      <c r="Q1406" s="118"/>
      <c r="R1406" s="118"/>
      <c r="S1406" s="118"/>
      <c r="T1406" s="12"/>
      <c r="U1406" s="118"/>
      <c r="V1406" s="118"/>
      <c r="W1406" s="12"/>
      <c r="X1406" s="119"/>
      <c r="Y1406" s="120"/>
      <c r="Z1406" s="12"/>
      <c r="BK1406" s="77"/>
      <c r="BO1406" s="77"/>
      <c r="BQ1406" s="77"/>
      <c r="BT1406" s="5"/>
      <c r="BU1406" s="5"/>
      <c r="BV1406" s="5"/>
      <c r="BW1406" s="71"/>
      <c r="BX1406" s="78"/>
      <c r="BY1406" s="64"/>
      <c r="BZ1406" s="3"/>
    </row>
    <row r="1407" spans="1:78">
      <c r="A1407" s="76"/>
      <c r="B1407" s="76"/>
      <c r="C1407" s="125"/>
      <c r="D1407" s="125"/>
      <c r="E1407" s="71"/>
      <c r="F1407" s="71"/>
      <c r="G1407" s="71"/>
      <c r="H1407" s="126"/>
      <c r="I1407" s="125"/>
      <c r="J1407" s="123"/>
      <c r="K1407" s="12"/>
      <c r="L1407" s="117"/>
      <c r="M1407" s="12"/>
      <c r="N1407" s="117"/>
      <c r="O1407" s="117"/>
      <c r="P1407" s="117"/>
      <c r="Q1407" s="118"/>
      <c r="R1407" s="118"/>
      <c r="S1407" s="118"/>
      <c r="T1407" s="12"/>
      <c r="U1407" s="118"/>
      <c r="V1407" s="118"/>
      <c r="W1407" s="12"/>
      <c r="X1407" s="119"/>
      <c r="Y1407" s="120"/>
      <c r="Z1407" s="12"/>
      <c r="BK1407" s="77"/>
      <c r="BO1407" s="77"/>
      <c r="BQ1407" s="77"/>
      <c r="BT1407" s="5"/>
      <c r="BU1407" s="5"/>
      <c r="BV1407" s="5"/>
      <c r="BW1407" s="71"/>
      <c r="BX1407" s="78"/>
      <c r="BY1407" s="64"/>
      <c r="BZ1407" s="3"/>
    </row>
    <row r="1408" spans="1:78">
      <c r="A1408" s="76"/>
      <c r="B1408" s="76"/>
      <c r="C1408" s="125"/>
      <c r="D1408" s="125"/>
      <c r="E1408" s="71"/>
      <c r="F1408" s="71"/>
      <c r="G1408" s="71"/>
      <c r="H1408" s="126"/>
      <c r="I1408" s="125"/>
      <c r="J1408" s="123"/>
      <c r="K1408" s="12"/>
      <c r="L1408" s="117"/>
      <c r="M1408" s="12"/>
      <c r="N1408" s="117"/>
      <c r="O1408" s="117"/>
      <c r="P1408" s="117"/>
      <c r="Q1408" s="118"/>
      <c r="R1408" s="118"/>
      <c r="S1408" s="118"/>
      <c r="T1408" s="12"/>
      <c r="U1408" s="118"/>
      <c r="V1408" s="118"/>
      <c r="W1408" s="12"/>
      <c r="X1408" s="119"/>
      <c r="Y1408" s="120"/>
      <c r="Z1408" s="12"/>
      <c r="BK1408" s="77"/>
      <c r="BO1408" s="77"/>
      <c r="BQ1408" s="77"/>
      <c r="BT1408" s="5"/>
      <c r="BU1408" s="5"/>
      <c r="BV1408" s="5"/>
      <c r="BW1408" s="71"/>
      <c r="BX1408" s="78"/>
      <c r="BY1408" s="64"/>
      <c r="BZ1408" s="3"/>
    </row>
    <row r="1409" spans="1:78">
      <c r="A1409" s="76"/>
      <c r="B1409" s="76"/>
      <c r="C1409" s="125"/>
      <c r="D1409" s="125"/>
      <c r="E1409" s="71"/>
      <c r="F1409" s="71"/>
      <c r="G1409" s="71"/>
      <c r="H1409" s="126"/>
      <c r="I1409" s="125"/>
      <c r="J1409" s="123"/>
      <c r="K1409" s="12"/>
      <c r="L1409" s="117"/>
      <c r="M1409" s="12"/>
      <c r="N1409" s="117"/>
      <c r="O1409" s="117"/>
      <c r="P1409" s="117"/>
      <c r="Q1409" s="118"/>
      <c r="R1409" s="118"/>
      <c r="S1409" s="118"/>
      <c r="T1409" s="12"/>
      <c r="U1409" s="118"/>
      <c r="V1409" s="118"/>
      <c r="W1409" s="12"/>
      <c r="X1409" s="119"/>
      <c r="Y1409" s="120"/>
      <c r="Z1409" s="12"/>
      <c r="BK1409" s="77"/>
      <c r="BO1409" s="77"/>
      <c r="BQ1409" s="77"/>
      <c r="BT1409" s="5"/>
      <c r="BU1409" s="5"/>
      <c r="BV1409" s="5"/>
      <c r="BW1409" s="71"/>
      <c r="BX1409" s="78"/>
      <c r="BY1409" s="64"/>
      <c r="BZ1409" s="3"/>
    </row>
    <row r="1410" spans="1:78">
      <c r="A1410" s="76"/>
      <c r="B1410" s="76"/>
      <c r="C1410" s="125"/>
      <c r="D1410" s="125"/>
      <c r="E1410" s="71"/>
      <c r="F1410" s="71"/>
      <c r="G1410" s="71"/>
      <c r="H1410" s="126"/>
      <c r="I1410" s="125"/>
      <c r="J1410" s="123"/>
      <c r="K1410" s="12"/>
      <c r="L1410" s="117"/>
      <c r="M1410" s="12"/>
      <c r="N1410" s="117"/>
      <c r="O1410" s="117"/>
      <c r="P1410" s="117"/>
      <c r="Q1410" s="118"/>
      <c r="R1410" s="118"/>
      <c r="S1410" s="118"/>
      <c r="T1410" s="12"/>
      <c r="U1410" s="118"/>
      <c r="V1410" s="118"/>
      <c r="W1410" s="12"/>
      <c r="X1410" s="119"/>
      <c r="Y1410" s="120"/>
      <c r="Z1410" s="12"/>
      <c r="BK1410" s="77"/>
      <c r="BO1410" s="77"/>
      <c r="BQ1410" s="77"/>
      <c r="BT1410" s="5"/>
      <c r="BU1410" s="5"/>
      <c r="BV1410" s="5"/>
      <c r="BW1410" s="71"/>
      <c r="BX1410" s="78"/>
      <c r="BY1410" s="64"/>
      <c r="BZ1410" s="3"/>
    </row>
    <row r="1411" spans="1:78">
      <c r="A1411" s="76"/>
      <c r="B1411" s="76"/>
      <c r="C1411" s="125"/>
      <c r="D1411" s="125"/>
      <c r="E1411" s="71"/>
      <c r="F1411" s="71"/>
      <c r="G1411" s="71"/>
      <c r="H1411" s="126"/>
      <c r="I1411" s="125"/>
      <c r="J1411" s="123"/>
      <c r="K1411" s="12"/>
      <c r="L1411" s="117"/>
      <c r="M1411" s="12"/>
      <c r="N1411" s="117"/>
      <c r="O1411" s="117"/>
      <c r="P1411" s="117"/>
      <c r="Q1411" s="118"/>
      <c r="R1411" s="118"/>
      <c r="S1411" s="118"/>
      <c r="T1411" s="12"/>
      <c r="U1411" s="118"/>
      <c r="V1411" s="118"/>
      <c r="W1411" s="12"/>
      <c r="X1411" s="119"/>
      <c r="Y1411" s="120"/>
      <c r="Z1411" s="12"/>
      <c r="BK1411" s="77"/>
      <c r="BO1411" s="77"/>
      <c r="BQ1411" s="77"/>
      <c r="BT1411" s="5"/>
      <c r="BU1411" s="5"/>
      <c r="BV1411" s="5"/>
      <c r="BW1411" s="71"/>
      <c r="BX1411" s="78"/>
      <c r="BY1411" s="64"/>
      <c r="BZ1411" s="3"/>
    </row>
    <row r="1412" spans="1:78">
      <c r="A1412" s="76"/>
      <c r="B1412" s="76"/>
      <c r="C1412" s="125"/>
      <c r="D1412" s="125"/>
      <c r="E1412" s="71"/>
      <c r="F1412" s="71"/>
      <c r="G1412" s="71"/>
      <c r="H1412" s="126"/>
      <c r="I1412" s="125"/>
      <c r="J1412" s="123"/>
      <c r="K1412" s="12"/>
      <c r="L1412" s="117"/>
      <c r="M1412" s="12"/>
      <c r="N1412" s="117"/>
      <c r="O1412" s="117"/>
      <c r="P1412" s="117"/>
      <c r="Q1412" s="118"/>
      <c r="R1412" s="118"/>
      <c r="S1412" s="118"/>
      <c r="T1412" s="12"/>
      <c r="U1412" s="118"/>
      <c r="V1412" s="118"/>
      <c r="W1412" s="12"/>
      <c r="X1412" s="119"/>
      <c r="Y1412" s="120"/>
      <c r="Z1412" s="12"/>
      <c r="BK1412" s="77"/>
      <c r="BO1412" s="77"/>
      <c r="BQ1412" s="77"/>
      <c r="BT1412" s="5"/>
      <c r="BU1412" s="5"/>
      <c r="BV1412" s="5"/>
      <c r="BW1412" s="71"/>
      <c r="BX1412" s="78"/>
      <c r="BY1412" s="64"/>
      <c r="BZ1412" s="3"/>
    </row>
    <row r="1413" spans="1:78">
      <c r="A1413" s="76"/>
      <c r="B1413" s="76"/>
      <c r="C1413" s="125"/>
      <c r="D1413" s="125"/>
      <c r="E1413" s="71"/>
      <c r="F1413" s="71"/>
      <c r="G1413" s="71"/>
      <c r="H1413" s="126"/>
      <c r="I1413" s="125"/>
      <c r="J1413" s="123"/>
      <c r="K1413" s="12"/>
      <c r="L1413" s="117"/>
      <c r="M1413" s="12"/>
      <c r="N1413" s="117"/>
      <c r="O1413" s="117"/>
      <c r="P1413" s="117"/>
      <c r="Q1413" s="118"/>
      <c r="R1413" s="118"/>
      <c r="S1413" s="118"/>
      <c r="T1413" s="12"/>
      <c r="U1413" s="118"/>
      <c r="V1413" s="118"/>
      <c r="W1413" s="12"/>
      <c r="X1413" s="119"/>
      <c r="Y1413" s="120"/>
      <c r="Z1413" s="12"/>
      <c r="BK1413" s="77"/>
      <c r="BO1413" s="77"/>
      <c r="BQ1413" s="77"/>
      <c r="BT1413" s="5"/>
      <c r="BU1413" s="5"/>
      <c r="BV1413" s="5"/>
      <c r="BW1413" s="71"/>
      <c r="BX1413" s="78"/>
      <c r="BY1413" s="64"/>
      <c r="BZ1413" s="3"/>
    </row>
    <row r="1414" spans="1:78">
      <c r="A1414" s="76"/>
      <c r="B1414" s="76"/>
      <c r="C1414" s="125"/>
      <c r="D1414" s="125"/>
      <c r="E1414" s="71"/>
      <c r="F1414" s="71"/>
      <c r="G1414" s="71"/>
      <c r="H1414" s="126"/>
      <c r="I1414" s="125"/>
      <c r="J1414" s="123"/>
      <c r="K1414" s="12"/>
      <c r="L1414" s="117"/>
      <c r="M1414" s="12"/>
      <c r="N1414" s="117"/>
      <c r="O1414" s="117"/>
      <c r="P1414" s="117"/>
      <c r="Q1414" s="118"/>
      <c r="R1414" s="118"/>
      <c r="S1414" s="118"/>
      <c r="T1414" s="12"/>
      <c r="U1414" s="118"/>
      <c r="V1414" s="118"/>
      <c r="W1414" s="12"/>
      <c r="X1414" s="119"/>
      <c r="Y1414" s="120"/>
      <c r="Z1414" s="12"/>
      <c r="BK1414" s="77"/>
      <c r="BO1414" s="77"/>
      <c r="BQ1414" s="77"/>
      <c r="BT1414" s="5"/>
      <c r="BU1414" s="5"/>
      <c r="BV1414" s="5"/>
      <c r="BW1414" s="71"/>
      <c r="BX1414" s="78"/>
      <c r="BY1414" s="64"/>
      <c r="BZ1414" s="3"/>
    </row>
    <row r="1415" spans="1:78">
      <c r="A1415" s="76"/>
      <c r="B1415" s="76"/>
      <c r="C1415" s="125"/>
      <c r="D1415" s="125"/>
      <c r="E1415" s="71"/>
      <c r="F1415" s="71"/>
      <c r="G1415" s="71"/>
      <c r="H1415" s="126"/>
      <c r="I1415" s="125"/>
      <c r="J1415" s="123"/>
      <c r="K1415" s="12"/>
      <c r="L1415" s="117"/>
      <c r="M1415" s="12"/>
      <c r="N1415" s="117"/>
      <c r="O1415" s="117"/>
      <c r="P1415" s="117"/>
      <c r="Q1415" s="118"/>
      <c r="R1415" s="118"/>
      <c r="S1415" s="118"/>
      <c r="T1415" s="12"/>
      <c r="U1415" s="118"/>
      <c r="V1415" s="118"/>
      <c r="W1415" s="12"/>
      <c r="X1415" s="119"/>
      <c r="Y1415" s="120"/>
      <c r="Z1415" s="12"/>
      <c r="BK1415" s="77"/>
      <c r="BO1415" s="77"/>
      <c r="BQ1415" s="77"/>
      <c r="BT1415" s="5"/>
      <c r="BU1415" s="5"/>
      <c r="BV1415" s="5"/>
      <c r="BW1415" s="71"/>
      <c r="BX1415" s="78"/>
      <c r="BY1415" s="64"/>
      <c r="BZ1415" s="3"/>
    </row>
    <row r="1416" spans="1:78">
      <c r="A1416" s="76"/>
      <c r="B1416" s="76"/>
      <c r="C1416" s="125"/>
      <c r="D1416" s="125"/>
      <c r="E1416" s="71"/>
      <c r="F1416" s="71"/>
      <c r="G1416" s="71"/>
      <c r="H1416" s="126"/>
      <c r="I1416" s="125"/>
      <c r="J1416" s="123"/>
      <c r="K1416" s="12"/>
      <c r="L1416" s="117"/>
      <c r="M1416" s="12"/>
      <c r="N1416" s="117"/>
      <c r="O1416" s="117"/>
      <c r="P1416" s="117"/>
      <c r="Q1416" s="118"/>
      <c r="R1416" s="118"/>
      <c r="S1416" s="118"/>
      <c r="T1416" s="12"/>
      <c r="U1416" s="118"/>
      <c r="V1416" s="118"/>
      <c r="W1416" s="12"/>
      <c r="X1416" s="119"/>
      <c r="Y1416" s="120"/>
      <c r="Z1416" s="12"/>
      <c r="BK1416" s="77"/>
      <c r="BO1416" s="77"/>
      <c r="BQ1416" s="77"/>
      <c r="BT1416" s="5"/>
      <c r="BU1416" s="5"/>
      <c r="BV1416" s="5"/>
      <c r="BW1416" s="71"/>
      <c r="BX1416" s="78"/>
      <c r="BY1416" s="64"/>
      <c r="BZ1416" s="3"/>
    </row>
    <row r="1417" spans="1:78">
      <c r="A1417" s="76"/>
      <c r="B1417" s="76"/>
      <c r="C1417" s="125"/>
      <c r="D1417" s="125"/>
      <c r="E1417" s="71"/>
      <c r="F1417" s="71"/>
      <c r="G1417" s="71"/>
      <c r="H1417" s="126"/>
      <c r="I1417" s="125"/>
      <c r="J1417" s="123"/>
      <c r="K1417" s="12"/>
      <c r="L1417" s="117"/>
      <c r="M1417" s="12"/>
      <c r="N1417" s="117"/>
      <c r="O1417" s="117"/>
      <c r="P1417" s="117"/>
      <c r="Q1417" s="118"/>
      <c r="R1417" s="118"/>
      <c r="S1417" s="118"/>
      <c r="T1417" s="12"/>
      <c r="U1417" s="118"/>
      <c r="V1417" s="118"/>
      <c r="W1417" s="12"/>
      <c r="X1417" s="119"/>
      <c r="Y1417" s="120"/>
      <c r="Z1417" s="12"/>
      <c r="BK1417" s="77"/>
      <c r="BO1417" s="77"/>
      <c r="BQ1417" s="77"/>
      <c r="BT1417" s="5"/>
      <c r="BU1417" s="5"/>
      <c r="BV1417" s="5"/>
      <c r="BW1417" s="71"/>
      <c r="BX1417" s="78"/>
      <c r="BY1417" s="64"/>
      <c r="BZ1417" s="3"/>
    </row>
    <row r="1418" spans="1:78">
      <c r="A1418" s="76"/>
      <c r="B1418" s="76"/>
      <c r="C1418" s="125"/>
      <c r="D1418" s="125"/>
      <c r="E1418" s="71"/>
      <c r="F1418" s="71"/>
      <c r="G1418" s="71"/>
      <c r="H1418" s="126"/>
      <c r="I1418" s="125"/>
      <c r="J1418" s="123"/>
      <c r="K1418" s="12"/>
      <c r="L1418" s="117"/>
      <c r="M1418" s="12"/>
      <c r="N1418" s="117"/>
      <c r="O1418" s="117"/>
      <c r="P1418" s="117"/>
      <c r="Q1418" s="118"/>
      <c r="R1418" s="118"/>
      <c r="S1418" s="118"/>
      <c r="T1418" s="12"/>
      <c r="U1418" s="118"/>
      <c r="V1418" s="118"/>
      <c r="W1418" s="12"/>
      <c r="X1418" s="119"/>
      <c r="Y1418" s="120"/>
      <c r="Z1418" s="12"/>
      <c r="BK1418" s="77"/>
      <c r="BO1418" s="77"/>
      <c r="BQ1418" s="77"/>
      <c r="BT1418" s="5"/>
      <c r="BU1418" s="5"/>
      <c r="BV1418" s="5"/>
      <c r="BW1418" s="71"/>
      <c r="BX1418" s="78"/>
      <c r="BY1418" s="64"/>
      <c r="BZ1418" s="3"/>
    </row>
    <row r="1419" spans="1:78">
      <c r="A1419" s="76"/>
      <c r="B1419" s="76"/>
      <c r="C1419" s="125"/>
      <c r="D1419" s="125"/>
      <c r="E1419" s="71"/>
      <c r="F1419" s="71"/>
      <c r="G1419" s="71"/>
      <c r="H1419" s="126"/>
      <c r="I1419" s="125"/>
      <c r="J1419" s="123"/>
      <c r="K1419" s="12"/>
      <c r="L1419" s="117"/>
      <c r="M1419" s="12"/>
      <c r="N1419" s="117"/>
      <c r="O1419" s="117"/>
      <c r="P1419" s="117"/>
      <c r="Q1419" s="118"/>
      <c r="R1419" s="118"/>
      <c r="S1419" s="118"/>
      <c r="T1419" s="12"/>
      <c r="U1419" s="118"/>
      <c r="V1419" s="118"/>
      <c r="W1419" s="12"/>
      <c r="X1419" s="119"/>
      <c r="Y1419" s="120"/>
      <c r="Z1419" s="12"/>
      <c r="BK1419" s="77"/>
      <c r="BO1419" s="77"/>
      <c r="BQ1419" s="77"/>
      <c r="BT1419" s="5"/>
      <c r="BU1419" s="5"/>
      <c r="BV1419" s="5"/>
      <c r="BW1419" s="71"/>
      <c r="BX1419" s="78"/>
      <c r="BY1419" s="64"/>
      <c r="BZ1419" s="3"/>
    </row>
    <row r="1420" spans="1:78">
      <c r="A1420" s="76"/>
      <c r="B1420" s="76"/>
      <c r="C1420" s="125"/>
      <c r="D1420" s="125"/>
      <c r="E1420" s="71"/>
      <c r="F1420" s="71"/>
      <c r="G1420" s="71"/>
      <c r="H1420" s="126"/>
      <c r="I1420" s="125"/>
      <c r="J1420" s="123"/>
      <c r="K1420" s="12"/>
      <c r="L1420" s="117"/>
      <c r="M1420" s="12"/>
      <c r="N1420" s="117"/>
      <c r="O1420" s="117"/>
      <c r="P1420" s="117"/>
      <c r="Q1420" s="118"/>
      <c r="R1420" s="118"/>
      <c r="S1420" s="118"/>
      <c r="T1420" s="12"/>
      <c r="U1420" s="118"/>
      <c r="V1420" s="118"/>
      <c r="W1420" s="12"/>
      <c r="X1420" s="119"/>
      <c r="Y1420" s="120"/>
      <c r="Z1420" s="12"/>
      <c r="BK1420" s="77"/>
      <c r="BO1420" s="77"/>
      <c r="BQ1420" s="77"/>
      <c r="BT1420" s="5"/>
      <c r="BU1420" s="5"/>
      <c r="BV1420" s="5"/>
      <c r="BW1420" s="71"/>
      <c r="BX1420" s="78"/>
      <c r="BY1420" s="64"/>
      <c r="BZ1420" s="3"/>
    </row>
    <row r="1421" spans="1:78">
      <c r="A1421" s="76"/>
      <c r="B1421" s="76"/>
      <c r="C1421" s="125"/>
      <c r="D1421" s="125"/>
      <c r="E1421" s="71"/>
      <c r="F1421" s="71"/>
      <c r="G1421" s="71"/>
      <c r="H1421" s="126"/>
      <c r="I1421" s="125"/>
      <c r="J1421" s="123"/>
      <c r="K1421" s="12"/>
      <c r="L1421" s="117"/>
      <c r="M1421" s="12"/>
      <c r="N1421" s="117"/>
      <c r="O1421" s="117"/>
      <c r="P1421" s="117"/>
      <c r="Q1421" s="118"/>
      <c r="R1421" s="118"/>
      <c r="S1421" s="118"/>
      <c r="T1421" s="12"/>
      <c r="U1421" s="118"/>
      <c r="V1421" s="118"/>
      <c r="W1421" s="12"/>
      <c r="X1421" s="119"/>
      <c r="Y1421" s="120"/>
      <c r="Z1421" s="12"/>
      <c r="BK1421" s="77"/>
      <c r="BO1421" s="77"/>
      <c r="BQ1421" s="77"/>
      <c r="BT1421" s="5"/>
      <c r="BU1421" s="5"/>
      <c r="BV1421" s="5"/>
      <c r="BW1421" s="71"/>
      <c r="BX1421" s="78"/>
      <c r="BY1421" s="64"/>
      <c r="BZ1421" s="3"/>
    </row>
    <row r="1422" spans="1:78">
      <c r="A1422" s="76"/>
      <c r="B1422" s="76"/>
      <c r="C1422" s="125"/>
      <c r="D1422" s="125"/>
      <c r="E1422" s="71"/>
      <c r="F1422" s="71"/>
      <c r="G1422" s="71"/>
      <c r="H1422" s="126"/>
      <c r="I1422" s="125"/>
      <c r="J1422" s="123"/>
      <c r="K1422" s="12"/>
      <c r="L1422" s="117"/>
      <c r="M1422" s="12"/>
      <c r="N1422" s="117"/>
      <c r="O1422" s="117"/>
      <c r="P1422" s="117"/>
      <c r="Q1422" s="118"/>
      <c r="R1422" s="118"/>
      <c r="S1422" s="118"/>
      <c r="T1422" s="12"/>
      <c r="U1422" s="118"/>
      <c r="V1422" s="118"/>
      <c r="W1422" s="12"/>
      <c r="X1422" s="119"/>
      <c r="Y1422" s="120"/>
      <c r="Z1422" s="12"/>
      <c r="BK1422" s="77"/>
      <c r="BO1422" s="77"/>
      <c r="BQ1422" s="77"/>
      <c r="BT1422" s="5"/>
      <c r="BU1422" s="5"/>
      <c r="BV1422" s="5"/>
      <c r="BW1422" s="71"/>
      <c r="BX1422" s="78"/>
      <c r="BY1422" s="64"/>
      <c r="BZ1422" s="3"/>
    </row>
    <row r="1423" spans="1:78">
      <c r="A1423" s="76"/>
      <c r="B1423" s="76"/>
      <c r="C1423" s="125"/>
      <c r="D1423" s="125"/>
      <c r="E1423" s="71"/>
      <c r="F1423" s="71"/>
      <c r="G1423" s="71"/>
      <c r="H1423" s="126"/>
      <c r="I1423" s="125"/>
      <c r="J1423" s="123"/>
      <c r="K1423" s="12"/>
      <c r="L1423" s="117"/>
      <c r="M1423" s="12"/>
      <c r="N1423" s="117"/>
      <c r="O1423" s="117"/>
      <c r="P1423" s="117"/>
      <c r="Q1423" s="118"/>
      <c r="R1423" s="118"/>
      <c r="S1423" s="118"/>
      <c r="T1423" s="12"/>
      <c r="U1423" s="118"/>
      <c r="V1423" s="118"/>
      <c r="W1423" s="12"/>
      <c r="X1423" s="119"/>
      <c r="Y1423" s="120"/>
      <c r="Z1423" s="12"/>
      <c r="BK1423" s="77"/>
      <c r="BO1423" s="77"/>
      <c r="BQ1423" s="77"/>
      <c r="BT1423" s="5"/>
      <c r="BU1423" s="5"/>
      <c r="BV1423" s="5"/>
      <c r="BW1423" s="71"/>
      <c r="BX1423" s="78"/>
      <c r="BY1423" s="64"/>
      <c r="BZ1423" s="3"/>
    </row>
    <row r="1424" spans="1:78">
      <c r="A1424" s="76"/>
      <c r="B1424" s="76"/>
      <c r="C1424" s="125"/>
      <c r="D1424" s="125"/>
      <c r="E1424" s="71"/>
      <c r="F1424" s="71"/>
      <c r="G1424" s="71"/>
      <c r="H1424" s="126"/>
      <c r="I1424" s="125"/>
      <c r="J1424" s="123"/>
      <c r="K1424" s="12"/>
      <c r="L1424" s="117"/>
      <c r="M1424" s="12"/>
      <c r="N1424" s="117"/>
      <c r="O1424" s="117"/>
      <c r="P1424" s="117"/>
      <c r="Q1424" s="118"/>
      <c r="R1424" s="118"/>
      <c r="S1424" s="118"/>
      <c r="T1424" s="12"/>
      <c r="U1424" s="118"/>
      <c r="V1424" s="118"/>
      <c r="W1424" s="12"/>
      <c r="X1424" s="119"/>
      <c r="Y1424" s="120"/>
      <c r="Z1424" s="12"/>
      <c r="BK1424" s="77"/>
      <c r="BO1424" s="77"/>
      <c r="BQ1424" s="77"/>
      <c r="BT1424" s="5"/>
      <c r="BU1424" s="5"/>
      <c r="BV1424" s="5"/>
      <c r="BW1424" s="71"/>
      <c r="BX1424" s="78"/>
      <c r="BY1424" s="64"/>
      <c r="BZ1424" s="3"/>
    </row>
    <row r="1425" spans="1:78">
      <c r="A1425" s="76"/>
      <c r="B1425" s="76"/>
      <c r="C1425" s="125"/>
      <c r="D1425" s="125"/>
      <c r="E1425" s="71"/>
      <c r="F1425" s="71"/>
      <c r="G1425" s="71"/>
      <c r="H1425" s="126"/>
      <c r="I1425" s="125"/>
      <c r="J1425" s="123"/>
      <c r="K1425" s="12"/>
      <c r="L1425" s="117"/>
      <c r="M1425" s="12"/>
      <c r="N1425" s="117"/>
      <c r="O1425" s="117"/>
      <c r="P1425" s="117"/>
      <c r="Q1425" s="118"/>
      <c r="R1425" s="118"/>
      <c r="S1425" s="118"/>
      <c r="T1425" s="12"/>
      <c r="U1425" s="118"/>
      <c r="V1425" s="118"/>
      <c r="W1425" s="12"/>
      <c r="X1425" s="119"/>
      <c r="Y1425" s="120"/>
      <c r="Z1425" s="12"/>
      <c r="BK1425" s="77"/>
      <c r="BO1425" s="77"/>
      <c r="BQ1425" s="77"/>
      <c r="BT1425" s="5"/>
      <c r="BU1425" s="5"/>
      <c r="BV1425" s="5"/>
      <c r="BW1425" s="71"/>
      <c r="BX1425" s="78"/>
      <c r="BY1425" s="64"/>
      <c r="BZ1425" s="3"/>
    </row>
    <row r="1426" spans="1:78">
      <c r="A1426" s="76"/>
      <c r="B1426" s="76"/>
      <c r="C1426" s="125"/>
      <c r="D1426" s="125"/>
      <c r="E1426" s="71"/>
      <c r="F1426" s="71"/>
      <c r="G1426" s="71"/>
      <c r="H1426" s="126"/>
      <c r="I1426" s="125"/>
      <c r="J1426" s="123"/>
      <c r="K1426" s="12"/>
      <c r="L1426" s="117"/>
      <c r="M1426" s="12"/>
      <c r="N1426" s="117"/>
      <c r="O1426" s="117"/>
      <c r="P1426" s="117"/>
      <c r="Q1426" s="118"/>
      <c r="R1426" s="118"/>
      <c r="S1426" s="118"/>
      <c r="T1426" s="12"/>
      <c r="U1426" s="118"/>
      <c r="V1426" s="118"/>
      <c r="W1426" s="12"/>
      <c r="X1426" s="119"/>
      <c r="Y1426" s="120"/>
      <c r="Z1426" s="12"/>
      <c r="BK1426" s="77"/>
      <c r="BO1426" s="77"/>
      <c r="BQ1426" s="77"/>
      <c r="BT1426" s="5"/>
      <c r="BU1426" s="5"/>
      <c r="BV1426" s="5"/>
      <c r="BW1426" s="71"/>
      <c r="BX1426" s="78"/>
      <c r="BY1426" s="64"/>
      <c r="BZ1426" s="3"/>
    </row>
    <row r="1427" spans="1:78">
      <c r="A1427" s="76"/>
      <c r="B1427" s="76"/>
      <c r="C1427" s="125"/>
      <c r="D1427" s="125"/>
      <c r="E1427" s="71"/>
      <c r="F1427" s="71"/>
      <c r="G1427" s="71"/>
      <c r="H1427" s="126"/>
      <c r="I1427" s="125"/>
      <c r="J1427" s="123"/>
      <c r="K1427" s="12"/>
      <c r="L1427" s="117"/>
      <c r="M1427" s="12"/>
      <c r="N1427" s="117"/>
      <c r="O1427" s="117"/>
      <c r="P1427" s="117"/>
      <c r="Q1427" s="118"/>
      <c r="R1427" s="118"/>
      <c r="S1427" s="118"/>
      <c r="T1427" s="12"/>
      <c r="U1427" s="118"/>
      <c r="V1427" s="118"/>
      <c r="W1427" s="12"/>
      <c r="X1427" s="119"/>
      <c r="Y1427" s="120"/>
      <c r="Z1427" s="12"/>
      <c r="BK1427" s="77"/>
      <c r="BO1427" s="77"/>
      <c r="BQ1427" s="77"/>
      <c r="BT1427" s="5"/>
      <c r="BU1427" s="5"/>
      <c r="BV1427" s="5"/>
      <c r="BW1427" s="71"/>
      <c r="BX1427" s="78"/>
      <c r="BY1427" s="64"/>
      <c r="BZ1427" s="3"/>
    </row>
    <row r="1428" spans="1:78">
      <c r="A1428" s="76"/>
      <c r="B1428" s="76"/>
      <c r="C1428" s="125"/>
      <c r="D1428" s="125"/>
      <c r="E1428" s="71"/>
      <c r="F1428" s="71"/>
      <c r="G1428" s="71"/>
      <c r="H1428" s="126"/>
      <c r="I1428" s="125"/>
      <c r="J1428" s="123"/>
      <c r="K1428" s="12"/>
      <c r="L1428" s="117"/>
      <c r="M1428" s="12"/>
      <c r="N1428" s="117"/>
      <c r="O1428" s="117"/>
      <c r="P1428" s="117"/>
      <c r="Q1428" s="118"/>
      <c r="R1428" s="118"/>
      <c r="S1428" s="118"/>
      <c r="T1428" s="12"/>
      <c r="U1428" s="118"/>
      <c r="V1428" s="118"/>
      <c r="W1428" s="12"/>
      <c r="X1428" s="119"/>
      <c r="Y1428" s="120"/>
      <c r="Z1428" s="12"/>
      <c r="BK1428" s="77"/>
      <c r="BO1428" s="77"/>
      <c r="BQ1428" s="77"/>
      <c r="BT1428" s="5"/>
      <c r="BU1428" s="5"/>
      <c r="BV1428" s="5"/>
      <c r="BW1428" s="71"/>
      <c r="BX1428" s="78"/>
      <c r="BY1428" s="64"/>
      <c r="BZ1428" s="3"/>
    </row>
    <row r="1429" spans="1:78">
      <c r="A1429" s="76"/>
      <c r="B1429" s="76"/>
      <c r="C1429" s="125"/>
      <c r="D1429" s="125"/>
      <c r="E1429" s="71"/>
      <c r="F1429" s="71"/>
      <c r="G1429" s="71"/>
      <c r="H1429" s="126"/>
      <c r="I1429" s="125"/>
      <c r="J1429" s="123"/>
      <c r="K1429" s="12"/>
      <c r="L1429" s="117"/>
      <c r="M1429" s="12"/>
      <c r="N1429" s="117"/>
      <c r="O1429" s="117"/>
      <c r="P1429" s="117"/>
      <c r="Q1429" s="118"/>
      <c r="R1429" s="118"/>
      <c r="S1429" s="118"/>
      <c r="T1429" s="12"/>
      <c r="U1429" s="118"/>
      <c r="V1429" s="118"/>
      <c r="W1429" s="12"/>
      <c r="X1429" s="119"/>
      <c r="Y1429" s="120"/>
      <c r="Z1429" s="12"/>
      <c r="BK1429" s="77"/>
      <c r="BO1429" s="77"/>
      <c r="BQ1429" s="77"/>
      <c r="BT1429" s="5"/>
      <c r="BU1429" s="5"/>
      <c r="BV1429" s="5"/>
      <c r="BW1429" s="71"/>
      <c r="BX1429" s="78"/>
      <c r="BY1429" s="64"/>
      <c r="BZ1429" s="3"/>
    </row>
    <row r="1430" spans="1:78">
      <c r="A1430" s="76"/>
      <c r="B1430" s="76"/>
      <c r="C1430" s="125"/>
      <c r="D1430" s="125"/>
      <c r="E1430" s="71"/>
      <c r="F1430" s="71"/>
      <c r="G1430" s="71"/>
      <c r="H1430" s="126"/>
      <c r="I1430" s="125"/>
      <c r="J1430" s="123"/>
      <c r="K1430" s="12"/>
      <c r="L1430" s="117"/>
      <c r="M1430" s="12"/>
      <c r="N1430" s="117"/>
      <c r="O1430" s="117"/>
      <c r="P1430" s="117"/>
      <c r="Q1430" s="118"/>
      <c r="R1430" s="118"/>
      <c r="S1430" s="118"/>
      <c r="T1430" s="12"/>
      <c r="U1430" s="118"/>
      <c r="V1430" s="118"/>
      <c r="W1430" s="12"/>
      <c r="X1430" s="119"/>
      <c r="Y1430" s="120"/>
      <c r="Z1430" s="12"/>
      <c r="BK1430" s="77"/>
      <c r="BO1430" s="77"/>
      <c r="BQ1430" s="77"/>
      <c r="BT1430" s="5"/>
      <c r="BU1430" s="5"/>
      <c r="BV1430" s="5"/>
      <c r="BW1430" s="71"/>
      <c r="BX1430" s="78"/>
      <c r="BY1430" s="64"/>
      <c r="BZ1430" s="3"/>
    </row>
    <row r="1431" spans="1:78">
      <c r="A1431" s="76"/>
      <c r="B1431" s="76"/>
      <c r="C1431" s="125"/>
      <c r="D1431" s="125"/>
      <c r="E1431" s="71"/>
      <c r="F1431" s="71"/>
      <c r="G1431" s="71"/>
      <c r="H1431" s="126"/>
      <c r="I1431" s="125"/>
      <c r="J1431" s="123"/>
      <c r="K1431" s="12"/>
      <c r="L1431" s="117"/>
      <c r="M1431" s="12"/>
      <c r="N1431" s="117"/>
      <c r="O1431" s="117"/>
      <c r="P1431" s="117"/>
      <c r="Q1431" s="118"/>
      <c r="R1431" s="118"/>
      <c r="S1431" s="118"/>
      <c r="T1431" s="12"/>
      <c r="U1431" s="118"/>
      <c r="V1431" s="118"/>
      <c r="W1431" s="12"/>
      <c r="X1431" s="119"/>
      <c r="Y1431" s="120"/>
      <c r="Z1431" s="12"/>
      <c r="BK1431" s="77"/>
      <c r="BO1431" s="77"/>
      <c r="BQ1431" s="77"/>
      <c r="BT1431" s="5"/>
      <c r="BU1431" s="5"/>
      <c r="BV1431" s="5"/>
      <c r="BW1431" s="71"/>
      <c r="BX1431" s="78"/>
      <c r="BY1431" s="64"/>
      <c r="BZ1431" s="3"/>
    </row>
    <row r="1432" spans="1:78">
      <c r="A1432" s="76"/>
      <c r="B1432" s="76"/>
      <c r="C1432" s="125"/>
      <c r="D1432" s="125"/>
      <c r="E1432" s="71"/>
      <c r="F1432" s="71"/>
      <c r="G1432" s="71"/>
      <c r="H1432" s="126"/>
      <c r="I1432" s="125"/>
      <c r="J1432" s="123"/>
      <c r="K1432" s="12"/>
      <c r="L1432" s="117"/>
      <c r="M1432" s="12"/>
      <c r="N1432" s="117"/>
      <c r="O1432" s="117"/>
      <c r="P1432" s="117"/>
      <c r="Q1432" s="118"/>
      <c r="R1432" s="118"/>
      <c r="S1432" s="118"/>
      <c r="T1432" s="12"/>
      <c r="U1432" s="118"/>
      <c r="V1432" s="118"/>
      <c r="W1432" s="12"/>
      <c r="X1432" s="119"/>
      <c r="Y1432" s="120"/>
      <c r="Z1432" s="12"/>
      <c r="BK1432" s="77"/>
      <c r="BO1432" s="77"/>
      <c r="BQ1432" s="77"/>
      <c r="BT1432" s="5"/>
      <c r="BU1432" s="5"/>
      <c r="BV1432" s="5"/>
      <c r="BW1432" s="71"/>
      <c r="BX1432" s="78"/>
      <c r="BY1432" s="64"/>
      <c r="BZ1432" s="3"/>
    </row>
    <row r="1433" spans="1:78">
      <c r="A1433" s="76"/>
      <c r="B1433" s="76"/>
      <c r="C1433" s="125"/>
      <c r="D1433" s="125"/>
      <c r="E1433" s="71"/>
      <c r="F1433" s="71"/>
      <c r="G1433" s="71"/>
      <c r="H1433" s="126"/>
      <c r="I1433" s="125"/>
      <c r="J1433" s="123"/>
      <c r="K1433" s="12"/>
      <c r="L1433" s="117"/>
      <c r="M1433" s="12"/>
      <c r="N1433" s="117"/>
      <c r="O1433" s="117"/>
      <c r="P1433" s="117"/>
      <c r="Q1433" s="118"/>
      <c r="R1433" s="118"/>
      <c r="S1433" s="118"/>
      <c r="T1433" s="12"/>
      <c r="U1433" s="118"/>
      <c r="V1433" s="118"/>
      <c r="W1433" s="12"/>
      <c r="X1433" s="119"/>
      <c r="Y1433" s="120"/>
      <c r="Z1433" s="12"/>
      <c r="BK1433" s="77"/>
      <c r="BO1433" s="77"/>
      <c r="BQ1433" s="77"/>
      <c r="BT1433" s="5"/>
      <c r="BU1433" s="5"/>
      <c r="BV1433" s="5"/>
      <c r="BW1433" s="71"/>
      <c r="BX1433" s="78"/>
      <c r="BY1433" s="64"/>
      <c r="BZ1433" s="3"/>
    </row>
    <row r="1434" spans="1:78">
      <c r="A1434" s="76"/>
      <c r="B1434" s="76"/>
      <c r="C1434" s="125"/>
      <c r="D1434" s="125"/>
      <c r="E1434" s="71"/>
      <c r="F1434" s="71"/>
      <c r="G1434" s="71"/>
      <c r="H1434" s="126"/>
      <c r="I1434" s="125"/>
      <c r="J1434" s="123"/>
      <c r="K1434" s="12"/>
      <c r="L1434" s="117"/>
      <c r="M1434" s="12"/>
      <c r="N1434" s="117"/>
      <c r="O1434" s="117"/>
      <c r="P1434" s="117"/>
      <c r="Q1434" s="118"/>
      <c r="R1434" s="118"/>
      <c r="S1434" s="118"/>
      <c r="T1434" s="12"/>
      <c r="U1434" s="118"/>
      <c r="V1434" s="118"/>
      <c r="W1434" s="12"/>
      <c r="X1434" s="119"/>
      <c r="Y1434" s="120"/>
      <c r="Z1434" s="12"/>
      <c r="BK1434" s="77"/>
      <c r="BO1434" s="77"/>
      <c r="BQ1434" s="77"/>
      <c r="BT1434" s="5"/>
      <c r="BU1434" s="5"/>
      <c r="BV1434" s="5"/>
      <c r="BW1434" s="71"/>
      <c r="BX1434" s="78"/>
      <c r="BY1434" s="64"/>
      <c r="BZ1434" s="3"/>
    </row>
    <row r="1435" spans="1:78">
      <c r="A1435" s="76"/>
      <c r="B1435" s="76"/>
      <c r="C1435" s="125"/>
      <c r="D1435" s="125"/>
      <c r="E1435" s="71"/>
      <c r="F1435" s="71"/>
      <c r="G1435" s="71"/>
      <c r="H1435" s="126"/>
      <c r="I1435" s="125"/>
      <c r="J1435" s="123"/>
      <c r="K1435" s="12"/>
      <c r="L1435" s="117"/>
      <c r="M1435" s="12"/>
      <c r="N1435" s="117"/>
      <c r="O1435" s="117"/>
      <c r="P1435" s="117"/>
      <c r="Q1435" s="118"/>
      <c r="R1435" s="118"/>
      <c r="S1435" s="118"/>
      <c r="T1435" s="12"/>
      <c r="U1435" s="118"/>
      <c r="V1435" s="118"/>
      <c r="W1435" s="12"/>
      <c r="X1435" s="119"/>
      <c r="Y1435" s="120"/>
      <c r="Z1435" s="12"/>
      <c r="BK1435" s="77"/>
      <c r="BO1435" s="77"/>
      <c r="BQ1435" s="77"/>
      <c r="BT1435" s="5"/>
      <c r="BU1435" s="5"/>
      <c r="BV1435" s="5"/>
      <c r="BW1435" s="71"/>
      <c r="BX1435" s="78"/>
      <c r="BY1435" s="64"/>
      <c r="BZ1435" s="3"/>
    </row>
    <row r="1436" spans="1:78">
      <c r="A1436" s="76"/>
      <c r="B1436" s="76"/>
      <c r="C1436" s="125"/>
      <c r="D1436" s="125"/>
      <c r="E1436" s="71"/>
      <c r="F1436" s="71"/>
      <c r="G1436" s="71"/>
      <c r="H1436" s="126"/>
      <c r="I1436" s="125"/>
      <c r="J1436" s="123"/>
      <c r="K1436" s="12"/>
      <c r="L1436" s="117"/>
      <c r="M1436" s="12"/>
      <c r="N1436" s="117"/>
      <c r="O1436" s="117"/>
      <c r="P1436" s="117"/>
      <c r="Q1436" s="118"/>
      <c r="R1436" s="118"/>
      <c r="S1436" s="118"/>
      <c r="T1436" s="12"/>
      <c r="U1436" s="118"/>
      <c r="V1436" s="118"/>
      <c r="W1436" s="12"/>
      <c r="X1436" s="119"/>
      <c r="Y1436" s="120"/>
      <c r="Z1436" s="12"/>
      <c r="BK1436" s="77"/>
      <c r="BO1436" s="77"/>
      <c r="BQ1436" s="77"/>
      <c r="BT1436" s="5"/>
      <c r="BU1436" s="5"/>
      <c r="BV1436" s="5"/>
      <c r="BW1436" s="71"/>
      <c r="BX1436" s="78"/>
      <c r="BY1436" s="64"/>
      <c r="BZ1436" s="3"/>
    </row>
    <row r="1437" spans="1:78">
      <c r="A1437" s="76"/>
      <c r="B1437" s="76"/>
      <c r="C1437" s="125"/>
      <c r="D1437" s="125"/>
      <c r="E1437" s="71"/>
      <c r="F1437" s="71"/>
      <c r="G1437" s="71"/>
      <c r="H1437" s="126"/>
      <c r="I1437" s="125"/>
      <c r="J1437" s="123"/>
      <c r="K1437" s="12"/>
      <c r="L1437" s="117"/>
      <c r="M1437" s="12"/>
      <c r="N1437" s="117"/>
      <c r="O1437" s="117"/>
      <c r="P1437" s="117"/>
      <c r="Q1437" s="118"/>
      <c r="R1437" s="118"/>
      <c r="S1437" s="118"/>
      <c r="T1437" s="12"/>
      <c r="U1437" s="118"/>
      <c r="V1437" s="118"/>
      <c r="W1437" s="12"/>
      <c r="X1437" s="119"/>
      <c r="Y1437" s="120"/>
      <c r="Z1437" s="12"/>
      <c r="BK1437" s="77"/>
      <c r="BO1437" s="77"/>
      <c r="BQ1437" s="77"/>
      <c r="BT1437" s="5"/>
      <c r="BU1437" s="5"/>
      <c r="BV1437" s="5"/>
      <c r="BW1437" s="71"/>
      <c r="BX1437" s="78"/>
      <c r="BY1437" s="64"/>
      <c r="BZ1437" s="3"/>
    </row>
    <row r="1438" spans="1:78">
      <c r="A1438" s="76"/>
      <c r="B1438" s="76"/>
      <c r="C1438" s="125"/>
      <c r="D1438" s="125"/>
      <c r="E1438" s="71"/>
      <c r="F1438" s="71"/>
      <c r="G1438" s="71"/>
      <c r="H1438" s="126"/>
      <c r="I1438" s="125"/>
      <c r="J1438" s="123"/>
      <c r="K1438" s="12"/>
      <c r="L1438" s="117"/>
      <c r="M1438" s="12"/>
      <c r="N1438" s="117"/>
      <c r="O1438" s="117"/>
      <c r="P1438" s="117"/>
      <c r="Q1438" s="118"/>
      <c r="R1438" s="118"/>
      <c r="S1438" s="118"/>
      <c r="T1438" s="12"/>
      <c r="U1438" s="118"/>
      <c r="V1438" s="118"/>
      <c r="W1438" s="12"/>
      <c r="X1438" s="119"/>
      <c r="Y1438" s="120"/>
      <c r="Z1438" s="12"/>
      <c r="BK1438" s="77"/>
      <c r="BO1438" s="77"/>
      <c r="BQ1438" s="77"/>
      <c r="BT1438" s="5"/>
      <c r="BU1438" s="5"/>
      <c r="BV1438" s="5"/>
      <c r="BW1438" s="71"/>
      <c r="BX1438" s="78"/>
      <c r="BY1438" s="64"/>
      <c r="BZ1438" s="3"/>
    </row>
    <row r="1439" spans="1:78">
      <c r="A1439" s="76"/>
      <c r="B1439" s="76"/>
      <c r="C1439" s="125"/>
      <c r="D1439" s="125"/>
      <c r="E1439" s="71"/>
      <c r="F1439" s="71"/>
      <c r="G1439" s="71"/>
      <c r="H1439" s="126"/>
      <c r="I1439" s="125"/>
      <c r="J1439" s="123"/>
      <c r="K1439" s="12"/>
      <c r="L1439" s="117"/>
      <c r="M1439" s="12"/>
      <c r="N1439" s="117"/>
      <c r="O1439" s="117"/>
      <c r="P1439" s="117"/>
      <c r="Q1439" s="118"/>
      <c r="R1439" s="118"/>
      <c r="S1439" s="118"/>
      <c r="T1439" s="12"/>
      <c r="U1439" s="118"/>
      <c r="V1439" s="118"/>
      <c r="W1439" s="12"/>
      <c r="X1439" s="119"/>
      <c r="Y1439" s="120"/>
      <c r="Z1439" s="12"/>
      <c r="BK1439" s="77"/>
      <c r="BO1439" s="77"/>
      <c r="BQ1439" s="77"/>
      <c r="BT1439" s="5"/>
      <c r="BU1439" s="5"/>
      <c r="BV1439" s="5"/>
      <c r="BW1439" s="71"/>
      <c r="BX1439" s="78"/>
      <c r="BY1439" s="64"/>
      <c r="BZ1439" s="3"/>
    </row>
    <row r="1440" spans="1:78">
      <c r="A1440" s="76"/>
      <c r="B1440" s="76"/>
      <c r="C1440" s="125"/>
      <c r="D1440" s="125"/>
      <c r="E1440" s="71"/>
      <c r="F1440" s="71"/>
      <c r="G1440" s="71"/>
      <c r="H1440" s="126"/>
      <c r="I1440" s="125"/>
      <c r="J1440" s="123"/>
      <c r="K1440" s="12"/>
      <c r="L1440" s="117"/>
      <c r="M1440" s="12"/>
      <c r="N1440" s="117"/>
      <c r="O1440" s="117"/>
      <c r="P1440" s="117"/>
      <c r="Q1440" s="118"/>
      <c r="R1440" s="118"/>
      <c r="S1440" s="118"/>
      <c r="T1440" s="12"/>
      <c r="U1440" s="118"/>
      <c r="V1440" s="118"/>
      <c r="W1440" s="12"/>
      <c r="X1440" s="119"/>
      <c r="Y1440" s="120"/>
      <c r="Z1440" s="12"/>
      <c r="BK1440" s="77"/>
      <c r="BO1440" s="77"/>
      <c r="BQ1440" s="77"/>
      <c r="BT1440" s="5"/>
      <c r="BU1440" s="5"/>
      <c r="BV1440" s="5"/>
      <c r="BW1440" s="71"/>
      <c r="BX1440" s="78"/>
      <c r="BY1440" s="64"/>
      <c r="BZ1440" s="3"/>
    </row>
    <row r="1441" spans="1:78">
      <c r="A1441" s="76"/>
      <c r="B1441" s="76"/>
      <c r="C1441" s="125"/>
      <c r="D1441" s="125"/>
      <c r="E1441" s="71"/>
      <c r="F1441" s="71"/>
      <c r="G1441" s="71"/>
      <c r="H1441" s="126"/>
      <c r="I1441" s="125"/>
      <c r="J1441" s="123"/>
      <c r="K1441" s="12"/>
      <c r="L1441" s="117"/>
      <c r="M1441" s="12"/>
      <c r="N1441" s="117"/>
      <c r="O1441" s="117"/>
      <c r="P1441" s="117"/>
      <c r="Q1441" s="118"/>
      <c r="R1441" s="118"/>
      <c r="S1441" s="118"/>
      <c r="T1441" s="12"/>
      <c r="U1441" s="118"/>
      <c r="V1441" s="118"/>
      <c r="W1441" s="12"/>
      <c r="X1441" s="119"/>
      <c r="Y1441" s="120"/>
      <c r="Z1441" s="12"/>
      <c r="BK1441" s="77"/>
      <c r="BO1441" s="77"/>
      <c r="BQ1441" s="77"/>
      <c r="BT1441" s="5"/>
      <c r="BU1441" s="5"/>
      <c r="BV1441" s="5"/>
      <c r="BW1441" s="71"/>
      <c r="BX1441" s="78"/>
      <c r="BY1441" s="64"/>
      <c r="BZ1441" s="3"/>
    </row>
    <row r="1442" spans="1:78">
      <c r="A1442" s="76"/>
      <c r="B1442" s="76"/>
      <c r="C1442" s="125"/>
      <c r="D1442" s="125"/>
      <c r="E1442" s="71"/>
      <c r="F1442" s="71"/>
      <c r="G1442" s="71"/>
      <c r="H1442" s="126"/>
      <c r="I1442" s="125"/>
      <c r="J1442" s="123"/>
      <c r="K1442" s="12"/>
      <c r="L1442" s="117"/>
      <c r="M1442" s="12"/>
      <c r="N1442" s="117"/>
      <c r="O1442" s="117"/>
      <c r="P1442" s="117"/>
      <c r="Q1442" s="118"/>
      <c r="R1442" s="118"/>
      <c r="S1442" s="118"/>
      <c r="T1442" s="12"/>
      <c r="U1442" s="118"/>
      <c r="V1442" s="118"/>
      <c r="W1442" s="12"/>
      <c r="X1442" s="119"/>
      <c r="Y1442" s="120"/>
      <c r="Z1442" s="12"/>
      <c r="BK1442" s="77"/>
      <c r="BO1442" s="77"/>
      <c r="BQ1442" s="77"/>
      <c r="BT1442" s="5"/>
      <c r="BU1442" s="5"/>
      <c r="BV1442" s="5"/>
      <c r="BW1442" s="71"/>
      <c r="BX1442" s="78"/>
      <c r="BY1442" s="64"/>
      <c r="BZ1442" s="3"/>
    </row>
    <row r="1443" spans="1:78">
      <c r="A1443" s="76"/>
      <c r="B1443" s="76"/>
      <c r="C1443" s="125"/>
      <c r="D1443" s="125"/>
      <c r="E1443" s="71"/>
      <c r="F1443" s="71"/>
      <c r="G1443" s="71"/>
      <c r="H1443" s="126"/>
      <c r="I1443" s="125"/>
      <c r="J1443" s="123"/>
      <c r="K1443" s="12"/>
      <c r="L1443" s="117"/>
      <c r="M1443" s="12"/>
      <c r="N1443" s="117"/>
      <c r="O1443" s="117"/>
      <c r="P1443" s="117"/>
      <c r="Q1443" s="118"/>
      <c r="R1443" s="118"/>
      <c r="S1443" s="118"/>
      <c r="T1443" s="12"/>
      <c r="U1443" s="118"/>
      <c r="V1443" s="118"/>
      <c r="W1443" s="12"/>
      <c r="X1443" s="119"/>
      <c r="Y1443" s="120"/>
      <c r="Z1443" s="12"/>
      <c r="BK1443" s="77"/>
      <c r="BO1443" s="77"/>
      <c r="BQ1443" s="77"/>
      <c r="BT1443" s="5"/>
      <c r="BU1443" s="5"/>
      <c r="BV1443" s="5"/>
      <c r="BW1443" s="71"/>
      <c r="BX1443" s="78"/>
      <c r="BY1443" s="64"/>
      <c r="BZ1443" s="3"/>
    </row>
    <row r="1444" spans="1:78">
      <c r="A1444" s="76"/>
      <c r="B1444" s="76"/>
      <c r="C1444" s="125"/>
      <c r="D1444" s="125"/>
      <c r="E1444" s="71"/>
      <c r="F1444" s="71"/>
      <c r="G1444" s="71"/>
      <c r="H1444" s="126"/>
      <c r="I1444" s="125"/>
      <c r="J1444" s="123"/>
      <c r="K1444" s="12"/>
      <c r="L1444" s="117"/>
      <c r="M1444" s="12"/>
      <c r="N1444" s="117"/>
      <c r="O1444" s="117"/>
      <c r="P1444" s="117"/>
      <c r="Q1444" s="118"/>
      <c r="R1444" s="118"/>
      <c r="S1444" s="118"/>
      <c r="T1444" s="12"/>
      <c r="U1444" s="118"/>
      <c r="V1444" s="118"/>
      <c r="W1444" s="12"/>
      <c r="X1444" s="119"/>
      <c r="Y1444" s="120"/>
      <c r="Z1444" s="12"/>
      <c r="BK1444" s="77"/>
      <c r="BO1444" s="77"/>
      <c r="BQ1444" s="77"/>
      <c r="BT1444" s="5"/>
      <c r="BU1444" s="5"/>
      <c r="BV1444" s="5"/>
      <c r="BW1444" s="71"/>
      <c r="BX1444" s="78"/>
      <c r="BY1444" s="64"/>
      <c r="BZ1444" s="3"/>
    </row>
    <row r="1445" spans="1:78">
      <c r="A1445" s="76"/>
      <c r="B1445" s="76"/>
      <c r="C1445" s="125"/>
      <c r="D1445" s="125"/>
      <c r="E1445" s="71"/>
      <c r="F1445" s="71"/>
      <c r="G1445" s="71"/>
      <c r="H1445" s="126"/>
      <c r="I1445" s="125"/>
      <c r="J1445" s="123"/>
      <c r="K1445" s="12"/>
      <c r="L1445" s="117"/>
      <c r="M1445" s="12"/>
      <c r="N1445" s="117"/>
      <c r="O1445" s="117"/>
      <c r="P1445" s="117"/>
      <c r="Q1445" s="118"/>
      <c r="R1445" s="118"/>
      <c r="S1445" s="118"/>
      <c r="T1445" s="12"/>
      <c r="U1445" s="118"/>
      <c r="V1445" s="118"/>
      <c r="W1445" s="12"/>
      <c r="X1445" s="119"/>
      <c r="Y1445" s="120"/>
      <c r="Z1445" s="12"/>
      <c r="BK1445" s="77"/>
      <c r="BO1445" s="77"/>
      <c r="BQ1445" s="77"/>
      <c r="BT1445" s="5"/>
      <c r="BU1445" s="5"/>
      <c r="BV1445" s="5"/>
      <c r="BW1445" s="71"/>
      <c r="BX1445" s="78"/>
      <c r="BY1445" s="64"/>
      <c r="BZ1445" s="3"/>
    </row>
    <row r="1446" spans="1:78">
      <c r="A1446" s="76"/>
      <c r="B1446" s="76"/>
      <c r="C1446" s="125"/>
      <c r="D1446" s="125"/>
      <c r="E1446" s="71"/>
      <c r="F1446" s="71"/>
      <c r="G1446" s="71"/>
      <c r="H1446" s="126"/>
      <c r="I1446" s="125"/>
      <c r="J1446" s="123"/>
      <c r="K1446" s="12"/>
      <c r="L1446" s="117"/>
      <c r="M1446" s="12"/>
      <c r="N1446" s="117"/>
      <c r="O1446" s="117"/>
      <c r="P1446" s="117"/>
      <c r="Q1446" s="118"/>
      <c r="R1446" s="118"/>
      <c r="S1446" s="118"/>
      <c r="T1446" s="12"/>
      <c r="U1446" s="118"/>
      <c r="V1446" s="118"/>
      <c r="W1446" s="12"/>
      <c r="X1446" s="119"/>
      <c r="Y1446" s="120"/>
      <c r="Z1446" s="12"/>
      <c r="BK1446" s="77"/>
      <c r="BO1446" s="77"/>
      <c r="BQ1446" s="77"/>
      <c r="BT1446" s="5"/>
      <c r="BU1446" s="5"/>
      <c r="BV1446" s="5"/>
      <c r="BW1446" s="71"/>
      <c r="BX1446" s="78"/>
      <c r="BY1446" s="64"/>
      <c r="BZ1446" s="3"/>
    </row>
    <row r="1447" spans="1:78">
      <c r="A1447" s="76"/>
      <c r="B1447" s="76"/>
      <c r="C1447" s="125"/>
      <c r="D1447" s="125"/>
      <c r="E1447" s="71"/>
      <c r="F1447" s="71"/>
      <c r="G1447" s="71"/>
      <c r="H1447" s="126"/>
      <c r="I1447" s="125"/>
      <c r="J1447" s="123"/>
      <c r="K1447" s="12"/>
      <c r="L1447" s="117"/>
      <c r="M1447" s="12"/>
      <c r="N1447" s="117"/>
      <c r="O1447" s="117"/>
      <c r="P1447" s="117"/>
      <c r="Q1447" s="118"/>
      <c r="R1447" s="118"/>
      <c r="S1447" s="118"/>
      <c r="T1447" s="12"/>
      <c r="U1447" s="118"/>
      <c r="V1447" s="118"/>
      <c r="W1447" s="12"/>
      <c r="X1447" s="119"/>
      <c r="Y1447" s="120"/>
      <c r="Z1447" s="12"/>
      <c r="BK1447" s="77"/>
      <c r="BO1447" s="77"/>
      <c r="BQ1447" s="77"/>
      <c r="BT1447" s="5"/>
      <c r="BU1447" s="5"/>
      <c r="BV1447" s="5"/>
      <c r="BW1447" s="71"/>
      <c r="BX1447" s="78"/>
      <c r="BY1447" s="64"/>
      <c r="BZ1447" s="3"/>
    </row>
    <row r="1448" spans="1:78">
      <c r="A1448" s="76"/>
      <c r="B1448" s="76"/>
      <c r="C1448" s="125"/>
      <c r="D1448" s="125"/>
      <c r="E1448" s="71"/>
      <c r="F1448" s="71"/>
      <c r="G1448" s="71"/>
      <c r="H1448" s="126"/>
      <c r="I1448" s="125"/>
      <c r="J1448" s="123"/>
      <c r="K1448" s="12"/>
      <c r="L1448" s="117"/>
      <c r="M1448" s="12"/>
      <c r="N1448" s="117"/>
      <c r="O1448" s="117"/>
      <c r="P1448" s="117"/>
      <c r="Q1448" s="118"/>
      <c r="R1448" s="118"/>
      <c r="S1448" s="118"/>
      <c r="T1448" s="12"/>
      <c r="U1448" s="118"/>
      <c r="V1448" s="118"/>
      <c r="W1448" s="12"/>
      <c r="X1448" s="119"/>
      <c r="Y1448" s="120"/>
      <c r="Z1448" s="12"/>
      <c r="BK1448" s="77"/>
      <c r="BO1448" s="77"/>
      <c r="BQ1448" s="77"/>
      <c r="BT1448" s="5"/>
      <c r="BU1448" s="5"/>
      <c r="BV1448" s="5"/>
      <c r="BW1448" s="71"/>
      <c r="BX1448" s="78"/>
      <c r="BY1448" s="64"/>
      <c r="BZ1448" s="3"/>
    </row>
    <row r="1449" spans="1:78">
      <c r="A1449" s="76"/>
      <c r="B1449" s="76"/>
      <c r="C1449" s="125"/>
      <c r="D1449" s="125"/>
      <c r="E1449" s="71"/>
      <c r="F1449" s="71"/>
      <c r="G1449" s="71"/>
      <c r="H1449" s="126"/>
      <c r="I1449" s="125"/>
      <c r="J1449" s="123"/>
      <c r="K1449" s="12"/>
      <c r="L1449" s="117"/>
      <c r="M1449" s="12"/>
      <c r="N1449" s="117"/>
      <c r="O1449" s="117"/>
      <c r="P1449" s="117"/>
      <c r="Q1449" s="118"/>
      <c r="R1449" s="118"/>
      <c r="S1449" s="118"/>
      <c r="T1449" s="12"/>
      <c r="U1449" s="118"/>
      <c r="V1449" s="118"/>
      <c r="W1449" s="12"/>
      <c r="X1449" s="119"/>
      <c r="Y1449" s="120"/>
      <c r="Z1449" s="12"/>
      <c r="BK1449" s="77"/>
      <c r="BO1449" s="77"/>
      <c r="BQ1449" s="77"/>
      <c r="BT1449" s="5"/>
      <c r="BU1449" s="5"/>
      <c r="BV1449" s="5"/>
      <c r="BW1449" s="71"/>
      <c r="BX1449" s="78"/>
      <c r="BY1449" s="64"/>
      <c r="BZ1449" s="3"/>
    </row>
    <row r="1450" spans="1:78">
      <c r="A1450" s="76"/>
      <c r="B1450" s="76"/>
      <c r="C1450" s="125"/>
      <c r="D1450" s="125"/>
      <c r="E1450" s="71"/>
      <c r="F1450" s="71"/>
      <c r="G1450" s="71"/>
      <c r="H1450" s="126"/>
      <c r="I1450" s="125"/>
      <c r="J1450" s="123"/>
      <c r="K1450" s="12"/>
      <c r="L1450" s="117"/>
      <c r="M1450" s="12"/>
      <c r="N1450" s="117"/>
      <c r="O1450" s="117"/>
      <c r="P1450" s="117"/>
      <c r="Q1450" s="118"/>
      <c r="R1450" s="118"/>
      <c r="S1450" s="118"/>
      <c r="T1450" s="12"/>
      <c r="U1450" s="118"/>
      <c r="V1450" s="118"/>
      <c r="W1450" s="12"/>
      <c r="X1450" s="119"/>
      <c r="Y1450" s="120"/>
      <c r="Z1450" s="12"/>
      <c r="BK1450" s="77"/>
      <c r="BO1450" s="77"/>
      <c r="BQ1450" s="77"/>
      <c r="BT1450" s="5"/>
      <c r="BU1450" s="5"/>
      <c r="BV1450" s="5"/>
      <c r="BW1450" s="71"/>
      <c r="BX1450" s="78"/>
      <c r="BY1450" s="64"/>
      <c r="BZ1450" s="3"/>
    </row>
    <row r="1451" spans="1:78">
      <c r="A1451" s="76"/>
      <c r="B1451" s="76"/>
      <c r="C1451" s="125"/>
      <c r="D1451" s="125"/>
      <c r="E1451" s="71"/>
      <c r="F1451" s="71"/>
      <c r="G1451" s="71"/>
      <c r="H1451" s="126"/>
      <c r="I1451" s="125"/>
      <c r="J1451" s="123"/>
      <c r="K1451" s="12"/>
      <c r="L1451" s="117"/>
      <c r="M1451" s="12"/>
      <c r="N1451" s="117"/>
      <c r="O1451" s="117"/>
      <c r="P1451" s="117"/>
      <c r="Q1451" s="118"/>
      <c r="R1451" s="118"/>
      <c r="S1451" s="118"/>
      <c r="T1451" s="12"/>
      <c r="U1451" s="118"/>
      <c r="V1451" s="118"/>
      <c r="W1451" s="12"/>
      <c r="X1451" s="119"/>
      <c r="Y1451" s="120"/>
      <c r="Z1451" s="12"/>
      <c r="BK1451" s="77"/>
      <c r="BO1451" s="77"/>
      <c r="BQ1451" s="77"/>
      <c r="BT1451" s="5"/>
      <c r="BU1451" s="5"/>
      <c r="BV1451" s="5"/>
      <c r="BW1451" s="71"/>
      <c r="BX1451" s="78"/>
      <c r="BY1451" s="64"/>
      <c r="BZ1451" s="3"/>
    </row>
    <row r="1452" spans="1:78">
      <c r="A1452" s="76"/>
      <c r="B1452" s="76"/>
      <c r="C1452" s="125"/>
      <c r="D1452" s="125"/>
      <c r="E1452" s="71"/>
      <c r="F1452" s="71"/>
      <c r="G1452" s="71"/>
      <c r="H1452" s="126"/>
      <c r="I1452" s="125"/>
      <c r="J1452" s="123"/>
      <c r="K1452" s="12"/>
      <c r="L1452" s="117"/>
      <c r="M1452" s="12"/>
      <c r="N1452" s="117"/>
      <c r="O1452" s="117"/>
      <c r="P1452" s="117"/>
      <c r="Q1452" s="118"/>
      <c r="R1452" s="118"/>
      <c r="S1452" s="118"/>
      <c r="T1452" s="12"/>
      <c r="U1452" s="118"/>
      <c r="V1452" s="118"/>
      <c r="W1452" s="12"/>
      <c r="X1452" s="119"/>
      <c r="Y1452" s="120"/>
      <c r="Z1452" s="12"/>
      <c r="BK1452" s="77"/>
      <c r="BO1452" s="77"/>
      <c r="BQ1452" s="77"/>
      <c r="BT1452" s="5"/>
      <c r="BU1452" s="5"/>
      <c r="BV1452" s="5"/>
      <c r="BW1452" s="71"/>
      <c r="BX1452" s="78"/>
      <c r="BY1452" s="64"/>
      <c r="BZ1452" s="3"/>
    </row>
    <row r="1453" spans="1:78">
      <c r="A1453" s="76"/>
      <c r="B1453" s="76"/>
      <c r="C1453" s="125"/>
      <c r="D1453" s="125"/>
      <c r="E1453" s="71"/>
      <c r="F1453" s="71"/>
      <c r="G1453" s="71"/>
      <c r="H1453" s="126"/>
      <c r="I1453" s="125"/>
      <c r="J1453" s="123"/>
      <c r="K1453" s="12"/>
      <c r="L1453" s="117"/>
      <c r="M1453" s="12"/>
      <c r="N1453" s="117"/>
      <c r="O1453" s="117"/>
      <c r="P1453" s="117"/>
      <c r="Q1453" s="118"/>
      <c r="R1453" s="118"/>
      <c r="S1453" s="118"/>
      <c r="T1453" s="12"/>
      <c r="U1453" s="118"/>
      <c r="V1453" s="118"/>
      <c r="W1453" s="12"/>
      <c r="X1453" s="119"/>
      <c r="Y1453" s="120"/>
      <c r="Z1453" s="12"/>
      <c r="BK1453" s="77"/>
      <c r="BO1453" s="77"/>
      <c r="BQ1453" s="77"/>
      <c r="BT1453" s="5"/>
      <c r="BU1453" s="5"/>
      <c r="BV1453" s="5"/>
      <c r="BW1453" s="71"/>
      <c r="BX1453" s="78"/>
      <c r="BY1453" s="64"/>
      <c r="BZ1453" s="3"/>
    </row>
    <row r="1454" spans="1:78">
      <c r="A1454" s="76"/>
      <c r="B1454" s="76"/>
      <c r="C1454" s="125"/>
      <c r="D1454" s="125"/>
      <c r="E1454" s="71"/>
      <c r="F1454" s="71"/>
      <c r="G1454" s="71"/>
      <c r="H1454" s="126"/>
      <c r="I1454" s="125"/>
      <c r="J1454" s="123"/>
      <c r="K1454" s="12"/>
      <c r="L1454" s="117"/>
      <c r="M1454" s="12"/>
      <c r="N1454" s="117"/>
      <c r="O1454" s="117"/>
      <c r="P1454" s="117"/>
      <c r="Q1454" s="118"/>
      <c r="R1454" s="118"/>
      <c r="S1454" s="118"/>
      <c r="T1454" s="12"/>
      <c r="U1454" s="118"/>
      <c r="V1454" s="118"/>
      <c r="W1454" s="12"/>
      <c r="X1454" s="119"/>
      <c r="Y1454" s="120"/>
      <c r="Z1454" s="12"/>
      <c r="BK1454" s="77"/>
      <c r="BO1454" s="77"/>
      <c r="BQ1454" s="77"/>
      <c r="BT1454" s="5"/>
      <c r="BU1454" s="5"/>
      <c r="BV1454" s="5"/>
      <c r="BW1454" s="71"/>
      <c r="BX1454" s="78"/>
      <c r="BY1454" s="64"/>
      <c r="BZ1454" s="3"/>
    </row>
    <row r="1455" spans="1:78">
      <c r="A1455" s="76"/>
      <c r="B1455" s="76"/>
      <c r="C1455" s="125"/>
      <c r="D1455" s="125"/>
      <c r="E1455" s="71"/>
      <c r="F1455" s="71"/>
      <c r="G1455" s="71"/>
      <c r="H1455" s="126"/>
      <c r="I1455" s="125"/>
      <c r="J1455" s="123"/>
      <c r="K1455" s="12"/>
      <c r="L1455" s="117"/>
      <c r="M1455" s="12"/>
      <c r="N1455" s="117"/>
      <c r="O1455" s="117"/>
      <c r="P1455" s="117"/>
      <c r="Q1455" s="118"/>
      <c r="R1455" s="118"/>
      <c r="S1455" s="118"/>
      <c r="T1455" s="12"/>
      <c r="U1455" s="118"/>
      <c r="V1455" s="118"/>
      <c r="W1455" s="12"/>
      <c r="X1455" s="119"/>
      <c r="Y1455" s="120"/>
      <c r="Z1455" s="12"/>
      <c r="BK1455" s="77"/>
      <c r="BO1455" s="77"/>
      <c r="BQ1455" s="77"/>
      <c r="BT1455" s="5"/>
      <c r="BU1455" s="5"/>
      <c r="BV1455" s="5"/>
      <c r="BW1455" s="71"/>
      <c r="BX1455" s="78"/>
      <c r="BY1455" s="64"/>
      <c r="BZ1455" s="3"/>
    </row>
    <row r="1456" spans="1:78">
      <c r="A1456" s="76"/>
      <c r="B1456" s="76"/>
      <c r="C1456" s="125"/>
      <c r="D1456" s="125"/>
      <c r="E1456" s="71"/>
      <c r="F1456" s="71"/>
      <c r="G1456" s="71"/>
      <c r="H1456" s="126"/>
      <c r="I1456" s="125"/>
      <c r="J1456" s="123"/>
      <c r="K1456" s="12"/>
      <c r="L1456" s="117"/>
      <c r="M1456" s="12"/>
      <c r="N1456" s="117"/>
      <c r="O1456" s="117"/>
      <c r="P1456" s="117"/>
      <c r="Q1456" s="118"/>
      <c r="R1456" s="118"/>
      <c r="S1456" s="118"/>
      <c r="T1456" s="12"/>
      <c r="U1456" s="118"/>
      <c r="V1456" s="118"/>
      <c r="W1456" s="12"/>
      <c r="X1456" s="119"/>
      <c r="Y1456" s="120"/>
      <c r="Z1456" s="12"/>
      <c r="BK1456" s="77"/>
      <c r="BO1456" s="77"/>
      <c r="BQ1456" s="77"/>
      <c r="BT1456" s="5"/>
      <c r="BU1456" s="5"/>
      <c r="BV1456" s="5"/>
      <c r="BW1456" s="71"/>
      <c r="BX1456" s="78"/>
      <c r="BY1456" s="64"/>
      <c r="BZ1456" s="3"/>
    </row>
    <row r="1457" spans="1:78">
      <c r="A1457" s="76"/>
      <c r="B1457" s="76"/>
      <c r="C1457" s="125"/>
      <c r="D1457" s="125"/>
      <c r="E1457" s="71"/>
      <c r="F1457" s="71"/>
      <c r="G1457" s="71"/>
      <c r="H1457" s="126"/>
      <c r="I1457" s="125"/>
      <c r="J1457" s="123"/>
      <c r="K1457" s="12"/>
      <c r="L1457" s="117"/>
      <c r="M1457" s="12"/>
      <c r="N1457" s="117"/>
      <c r="O1457" s="117"/>
      <c r="P1457" s="117"/>
      <c r="Q1457" s="118"/>
      <c r="R1457" s="118"/>
      <c r="S1457" s="118"/>
      <c r="T1457" s="12"/>
      <c r="U1457" s="118"/>
      <c r="V1457" s="118"/>
      <c r="W1457" s="12"/>
      <c r="X1457" s="119"/>
      <c r="Y1457" s="120"/>
      <c r="Z1457" s="12"/>
      <c r="BK1457" s="77"/>
      <c r="BO1457" s="77"/>
      <c r="BQ1457" s="77"/>
      <c r="BT1457" s="5"/>
      <c r="BU1457" s="5"/>
      <c r="BV1457" s="5"/>
      <c r="BW1457" s="71"/>
      <c r="BX1457" s="78"/>
      <c r="BY1457" s="64"/>
      <c r="BZ1457" s="3"/>
    </row>
    <row r="1458" spans="1:78">
      <c r="A1458" s="76"/>
      <c r="B1458" s="76"/>
      <c r="C1458" s="125"/>
      <c r="D1458" s="125"/>
      <c r="E1458" s="71"/>
      <c r="F1458" s="71"/>
      <c r="G1458" s="71"/>
      <c r="H1458" s="126"/>
      <c r="I1458" s="125"/>
      <c r="J1458" s="123"/>
      <c r="K1458" s="12"/>
      <c r="L1458" s="117"/>
      <c r="M1458" s="12"/>
      <c r="N1458" s="117"/>
      <c r="O1458" s="117"/>
      <c r="P1458" s="117"/>
      <c r="Q1458" s="118"/>
      <c r="R1458" s="118"/>
      <c r="S1458" s="118"/>
      <c r="T1458" s="12"/>
      <c r="U1458" s="118"/>
      <c r="V1458" s="118"/>
      <c r="W1458" s="12"/>
      <c r="X1458" s="119"/>
      <c r="Y1458" s="120"/>
      <c r="Z1458" s="12"/>
      <c r="BK1458" s="77"/>
      <c r="BO1458" s="77"/>
      <c r="BQ1458" s="77"/>
      <c r="BT1458" s="5"/>
      <c r="BU1458" s="5"/>
      <c r="BV1458" s="5"/>
      <c r="BW1458" s="71"/>
      <c r="BX1458" s="78"/>
      <c r="BY1458" s="64"/>
      <c r="BZ1458" s="3"/>
    </row>
    <row r="1459" spans="1:78">
      <c r="A1459" s="76"/>
      <c r="B1459" s="76"/>
      <c r="C1459" s="125"/>
      <c r="D1459" s="125"/>
      <c r="E1459" s="71"/>
      <c r="F1459" s="71"/>
      <c r="G1459" s="71"/>
      <c r="H1459" s="126"/>
      <c r="I1459" s="125"/>
      <c r="J1459" s="123"/>
      <c r="K1459" s="12"/>
      <c r="L1459" s="117"/>
      <c r="M1459" s="12"/>
      <c r="N1459" s="117"/>
      <c r="O1459" s="117"/>
      <c r="P1459" s="117"/>
      <c r="Q1459" s="118"/>
      <c r="R1459" s="118"/>
      <c r="S1459" s="118"/>
      <c r="T1459" s="12"/>
      <c r="U1459" s="118"/>
      <c r="V1459" s="118"/>
      <c r="W1459" s="12"/>
      <c r="X1459" s="119"/>
      <c r="Y1459" s="120"/>
      <c r="Z1459" s="12"/>
      <c r="BK1459" s="77"/>
      <c r="BO1459" s="77"/>
      <c r="BQ1459" s="77"/>
      <c r="BT1459" s="5"/>
      <c r="BU1459" s="5"/>
      <c r="BV1459" s="5"/>
      <c r="BW1459" s="71"/>
      <c r="BX1459" s="78"/>
      <c r="BY1459" s="64"/>
      <c r="BZ1459" s="3"/>
    </row>
    <row r="1460" spans="1:78">
      <c r="A1460" s="76"/>
      <c r="B1460" s="76"/>
      <c r="C1460" s="125"/>
      <c r="D1460" s="125"/>
      <c r="E1460" s="71"/>
      <c r="F1460" s="71"/>
      <c r="G1460" s="71"/>
      <c r="H1460" s="126"/>
      <c r="I1460" s="125"/>
      <c r="J1460" s="123"/>
      <c r="K1460" s="12"/>
      <c r="L1460" s="117"/>
      <c r="M1460" s="12"/>
      <c r="N1460" s="117"/>
      <c r="O1460" s="117"/>
      <c r="P1460" s="117"/>
      <c r="Q1460" s="118"/>
      <c r="R1460" s="118"/>
      <c r="S1460" s="118"/>
      <c r="T1460" s="12"/>
      <c r="U1460" s="118"/>
      <c r="V1460" s="118"/>
      <c r="W1460" s="12"/>
      <c r="X1460" s="119"/>
      <c r="Y1460" s="120"/>
      <c r="Z1460" s="12"/>
      <c r="BK1460" s="77"/>
      <c r="BO1460" s="77"/>
      <c r="BQ1460" s="77"/>
      <c r="BT1460" s="5"/>
      <c r="BU1460" s="5"/>
      <c r="BV1460" s="5"/>
      <c r="BW1460" s="71"/>
      <c r="BX1460" s="78"/>
      <c r="BY1460" s="64"/>
      <c r="BZ1460" s="3"/>
    </row>
    <row r="1461" spans="1:78">
      <c r="A1461" s="76"/>
      <c r="B1461" s="76"/>
      <c r="C1461" s="125"/>
      <c r="D1461" s="125"/>
      <c r="E1461" s="71"/>
      <c r="F1461" s="71"/>
      <c r="G1461" s="71"/>
      <c r="H1461" s="126"/>
      <c r="I1461" s="125"/>
      <c r="J1461" s="123"/>
      <c r="K1461" s="12"/>
      <c r="L1461" s="117"/>
      <c r="M1461" s="12"/>
      <c r="N1461" s="117"/>
      <c r="O1461" s="117"/>
      <c r="P1461" s="117"/>
      <c r="Q1461" s="118"/>
      <c r="R1461" s="118"/>
      <c r="S1461" s="118"/>
      <c r="T1461" s="12"/>
      <c r="U1461" s="118"/>
      <c r="V1461" s="118"/>
      <c r="W1461" s="12"/>
      <c r="X1461" s="119"/>
      <c r="Y1461" s="120"/>
      <c r="Z1461" s="12"/>
      <c r="BK1461" s="77"/>
      <c r="BO1461" s="77"/>
      <c r="BQ1461" s="77"/>
      <c r="BT1461" s="5"/>
      <c r="BU1461" s="5"/>
      <c r="BV1461" s="5"/>
      <c r="BW1461" s="71"/>
      <c r="BX1461" s="78"/>
      <c r="BY1461" s="64"/>
      <c r="BZ1461" s="3"/>
    </row>
    <row r="1462" spans="1:78">
      <c r="A1462" s="76"/>
      <c r="B1462" s="76"/>
      <c r="C1462" s="125"/>
      <c r="D1462" s="125"/>
      <c r="E1462" s="71"/>
      <c r="F1462" s="71"/>
      <c r="G1462" s="71"/>
      <c r="H1462" s="126"/>
      <c r="I1462" s="125"/>
      <c r="J1462" s="123"/>
      <c r="K1462" s="12"/>
      <c r="L1462" s="117"/>
      <c r="M1462" s="12"/>
      <c r="N1462" s="117"/>
      <c r="O1462" s="117"/>
      <c r="P1462" s="117"/>
      <c r="Q1462" s="118"/>
      <c r="R1462" s="118"/>
      <c r="S1462" s="118"/>
      <c r="T1462" s="12"/>
      <c r="U1462" s="118"/>
      <c r="V1462" s="118"/>
      <c r="W1462" s="12"/>
      <c r="X1462" s="119"/>
      <c r="Y1462" s="120"/>
      <c r="Z1462" s="12"/>
      <c r="BK1462" s="77"/>
      <c r="BO1462" s="77"/>
      <c r="BQ1462" s="77"/>
      <c r="BT1462" s="5"/>
      <c r="BU1462" s="5"/>
      <c r="BV1462" s="5"/>
      <c r="BW1462" s="71"/>
      <c r="BX1462" s="78"/>
      <c r="BY1462" s="64"/>
      <c r="BZ1462" s="3"/>
    </row>
    <row r="1463" spans="1:78">
      <c r="A1463" s="76"/>
      <c r="B1463" s="76"/>
      <c r="C1463" s="125"/>
      <c r="D1463" s="125"/>
      <c r="E1463" s="71"/>
      <c r="F1463" s="71"/>
      <c r="G1463" s="71"/>
      <c r="H1463" s="126"/>
      <c r="I1463" s="125"/>
      <c r="J1463" s="123"/>
      <c r="K1463" s="12"/>
      <c r="L1463" s="117"/>
      <c r="M1463" s="12"/>
      <c r="N1463" s="117"/>
      <c r="O1463" s="117"/>
      <c r="P1463" s="117"/>
      <c r="Q1463" s="118"/>
      <c r="R1463" s="118"/>
      <c r="S1463" s="118"/>
      <c r="T1463" s="12"/>
      <c r="U1463" s="118"/>
      <c r="V1463" s="118"/>
      <c r="W1463" s="12"/>
      <c r="X1463" s="119"/>
      <c r="Y1463" s="120"/>
      <c r="Z1463" s="12"/>
      <c r="BK1463" s="77"/>
      <c r="BO1463" s="77"/>
      <c r="BQ1463" s="77"/>
      <c r="BT1463" s="5"/>
      <c r="BU1463" s="5"/>
      <c r="BV1463" s="5"/>
      <c r="BW1463" s="71"/>
      <c r="BX1463" s="78"/>
      <c r="BY1463" s="64"/>
      <c r="BZ1463" s="3"/>
    </row>
    <row r="1464" spans="1:78">
      <c r="A1464" s="76"/>
      <c r="B1464" s="76"/>
      <c r="C1464" s="125"/>
      <c r="D1464" s="125"/>
      <c r="E1464" s="71"/>
      <c r="F1464" s="71"/>
      <c r="G1464" s="71"/>
      <c r="H1464" s="126"/>
      <c r="I1464" s="125"/>
      <c r="J1464" s="123"/>
      <c r="K1464" s="12"/>
      <c r="L1464" s="117"/>
      <c r="M1464" s="12"/>
      <c r="N1464" s="117"/>
      <c r="O1464" s="117"/>
      <c r="P1464" s="117"/>
      <c r="Q1464" s="118"/>
      <c r="R1464" s="118"/>
      <c r="S1464" s="118"/>
      <c r="T1464" s="12"/>
      <c r="U1464" s="118"/>
      <c r="V1464" s="118"/>
      <c r="W1464" s="12"/>
      <c r="X1464" s="119"/>
      <c r="Y1464" s="120"/>
      <c r="Z1464" s="12"/>
      <c r="BK1464" s="77"/>
      <c r="BO1464" s="77"/>
      <c r="BQ1464" s="77"/>
      <c r="BT1464" s="5"/>
      <c r="BU1464" s="5"/>
      <c r="BV1464" s="5"/>
      <c r="BW1464" s="71"/>
      <c r="BX1464" s="78"/>
      <c r="BY1464" s="64"/>
      <c r="BZ1464" s="3"/>
    </row>
    <row r="1465" spans="1:78">
      <c r="A1465" s="76"/>
      <c r="B1465" s="76"/>
      <c r="C1465" s="125"/>
      <c r="D1465" s="125"/>
      <c r="E1465" s="71"/>
      <c r="F1465" s="71"/>
      <c r="G1465" s="71"/>
      <c r="H1465" s="126"/>
      <c r="I1465" s="125"/>
      <c r="J1465" s="123"/>
      <c r="K1465" s="12"/>
      <c r="L1465" s="117"/>
      <c r="M1465" s="12"/>
      <c r="N1465" s="117"/>
      <c r="O1465" s="117"/>
      <c r="P1465" s="117"/>
      <c r="Q1465" s="118"/>
      <c r="R1465" s="118"/>
      <c r="S1465" s="118"/>
      <c r="T1465" s="12"/>
      <c r="U1465" s="118"/>
      <c r="V1465" s="118"/>
      <c r="W1465" s="12"/>
      <c r="X1465" s="119"/>
      <c r="Y1465" s="120"/>
      <c r="Z1465" s="12"/>
      <c r="BK1465" s="77"/>
      <c r="BO1465" s="77"/>
      <c r="BQ1465" s="77"/>
      <c r="BT1465" s="5"/>
      <c r="BU1465" s="5"/>
      <c r="BV1465" s="5"/>
      <c r="BW1465" s="71"/>
      <c r="BX1465" s="78"/>
      <c r="BY1465" s="64"/>
      <c r="BZ1465" s="3"/>
    </row>
    <row r="1466" spans="1:78">
      <c r="A1466" s="76"/>
      <c r="B1466" s="76"/>
      <c r="C1466" s="125"/>
      <c r="D1466" s="125"/>
      <c r="E1466" s="71"/>
      <c r="F1466" s="71"/>
      <c r="G1466" s="71"/>
      <c r="H1466" s="126"/>
      <c r="I1466" s="125"/>
      <c r="J1466" s="123"/>
      <c r="K1466" s="12"/>
      <c r="L1466" s="117"/>
      <c r="M1466" s="12"/>
      <c r="N1466" s="117"/>
      <c r="O1466" s="117"/>
      <c r="P1466" s="117"/>
      <c r="Q1466" s="118"/>
      <c r="R1466" s="118"/>
      <c r="S1466" s="118"/>
      <c r="T1466" s="12"/>
      <c r="U1466" s="118"/>
      <c r="V1466" s="118"/>
      <c r="W1466" s="12"/>
      <c r="X1466" s="119"/>
      <c r="Y1466" s="120"/>
      <c r="Z1466" s="12"/>
      <c r="BK1466" s="77"/>
      <c r="BO1466" s="77"/>
      <c r="BQ1466" s="77"/>
      <c r="BT1466" s="5"/>
      <c r="BU1466" s="5"/>
      <c r="BV1466" s="5"/>
      <c r="BW1466" s="71"/>
      <c r="BX1466" s="78"/>
      <c r="BY1466" s="64"/>
      <c r="BZ1466" s="3"/>
    </row>
    <row r="1467" spans="1:78">
      <c r="A1467" s="76"/>
      <c r="B1467" s="76"/>
      <c r="C1467" s="125"/>
      <c r="D1467" s="125"/>
      <c r="E1467" s="71"/>
      <c r="F1467" s="71"/>
      <c r="G1467" s="71"/>
      <c r="H1467" s="126"/>
      <c r="I1467" s="125"/>
      <c r="J1467" s="123"/>
      <c r="K1467" s="12"/>
      <c r="L1467" s="117"/>
      <c r="M1467" s="12"/>
      <c r="N1467" s="117"/>
      <c r="O1467" s="117"/>
      <c r="P1467" s="117"/>
      <c r="Q1467" s="118"/>
      <c r="R1467" s="118"/>
      <c r="S1467" s="118"/>
      <c r="T1467" s="12"/>
      <c r="U1467" s="118"/>
      <c r="V1467" s="118"/>
      <c r="W1467" s="12"/>
      <c r="X1467" s="119"/>
      <c r="Y1467" s="120"/>
      <c r="Z1467" s="12"/>
      <c r="BK1467" s="77"/>
      <c r="BO1467" s="77"/>
      <c r="BQ1467" s="77"/>
      <c r="BT1467" s="5"/>
      <c r="BU1467" s="5"/>
      <c r="BV1467" s="5"/>
      <c r="BW1467" s="71"/>
      <c r="BX1467" s="78"/>
      <c r="BY1467" s="64"/>
      <c r="BZ1467" s="3"/>
    </row>
    <row r="1468" spans="1:78">
      <c r="A1468" s="76"/>
      <c r="B1468" s="76"/>
      <c r="C1468" s="125"/>
      <c r="D1468" s="125"/>
      <c r="E1468" s="71"/>
      <c r="F1468" s="71"/>
      <c r="G1468" s="71"/>
      <c r="H1468" s="126"/>
      <c r="I1468" s="125"/>
      <c r="J1468" s="123"/>
      <c r="K1468" s="12"/>
      <c r="L1468" s="117"/>
      <c r="M1468" s="12"/>
      <c r="N1468" s="117"/>
      <c r="O1468" s="117"/>
      <c r="P1468" s="117"/>
      <c r="Q1468" s="118"/>
      <c r="R1468" s="118"/>
      <c r="S1468" s="118"/>
      <c r="T1468" s="12"/>
      <c r="U1468" s="118"/>
      <c r="V1468" s="118"/>
      <c r="W1468" s="12"/>
      <c r="X1468" s="119"/>
      <c r="Y1468" s="120"/>
      <c r="Z1468" s="12"/>
      <c r="BK1468" s="77"/>
      <c r="BO1468" s="77"/>
      <c r="BQ1468" s="77"/>
      <c r="BT1468" s="5"/>
      <c r="BU1468" s="5"/>
      <c r="BV1468" s="5"/>
      <c r="BW1468" s="71"/>
      <c r="BX1468" s="78"/>
      <c r="BY1468" s="64"/>
      <c r="BZ1468" s="3"/>
    </row>
    <row r="1469" spans="1:78">
      <c r="A1469" s="76"/>
      <c r="B1469" s="76"/>
      <c r="C1469" s="125"/>
      <c r="D1469" s="125"/>
      <c r="E1469" s="71"/>
      <c r="F1469" s="71"/>
      <c r="G1469" s="71"/>
      <c r="H1469" s="126"/>
      <c r="I1469" s="125"/>
      <c r="J1469" s="123"/>
      <c r="K1469" s="12"/>
      <c r="L1469" s="117"/>
      <c r="M1469" s="12"/>
      <c r="N1469" s="117"/>
      <c r="O1469" s="117"/>
      <c r="P1469" s="117"/>
      <c r="Q1469" s="118"/>
      <c r="R1469" s="118"/>
      <c r="S1469" s="118"/>
      <c r="T1469" s="12"/>
      <c r="U1469" s="118"/>
      <c r="V1469" s="118"/>
      <c r="W1469" s="12"/>
      <c r="X1469" s="119"/>
      <c r="Y1469" s="120"/>
      <c r="Z1469" s="12"/>
      <c r="BK1469" s="77"/>
      <c r="BO1469" s="77"/>
      <c r="BQ1469" s="77"/>
      <c r="BT1469" s="5"/>
      <c r="BU1469" s="5"/>
      <c r="BV1469" s="5"/>
      <c r="BW1469" s="71"/>
      <c r="BX1469" s="78"/>
      <c r="BY1469" s="64"/>
      <c r="BZ1469" s="3"/>
    </row>
    <row r="1470" spans="1:78">
      <c r="A1470" s="76"/>
      <c r="B1470" s="76"/>
      <c r="C1470" s="125"/>
      <c r="D1470" s="125"/>
      <c r="E1470" s="71"/>
      <c r="F1470" s="71"/>
      <c r="G1470" s="71"/>
      <c r="H1470" s="126"/>
      <c r="I1470" s="125"/>
      <c r="J1470" s="123"/>
      <c r="K1470" s="12"/>
      <c r="L1470" s="117"/>
      <c r="M1470" s="12"/>
      <c r="N1470" s="117"/>
      <c r="O1470" s="117"/>
      <c r="P1470" s="117"/>
      <c r="Q1470" s="118"/>
      <c r="R1470" s="118"/>
      <c r="S1470" s="118"/>
      <c r="T1470" s="12"/>
      <c r="U1470" s="118"/>
      <c r="V1470" s="118"/>
      <c r="W1470" s="12"/>
      <c r="X1470" s="119"/>
      <c r="Y1470" s="120"/>
      <c r="Z1470" s="12"/>
      <c r="BK1470" s="77"/>
      <c r="BO1470" s="77"/>
      <c r="BQ1470" s="77"/>
      <c r="BT1470" s="5"/>
      <c r="BU1470" s="5"/>
      <c r="BV1470" s="5"/>
      <c r="BW1470" s="71"/>
      <c r="BX1470" s="78"/>
      <c r="BY1470" s="64"/>
      <c r="BZ1470" s="3"/>
    </row>
    <row r="1471" spans="1:78">
      <c r="A1471" s="76"/>
      <c r="B1471" s="76"/>
      <c r="C1471" s="125"/>
      <c r="D1471" s="125"/>
      <c r="E1471" s="71"/>
      <c r="F1471" s="71"/>
      <c r="G1471" s="71"/>
      <c r="H1471" s="126"/>
      <c r="I1471" s="125"/>
      <c r="J1471" s="123"/>
      <c r="K1471" s="12"/>
      <c r="L1471" s="117"/>
      <c r="M1471" s="12"/>
      <c r="N1471" s="117"/>
      <c r="O1471" s="117"/>
      <c r="P1471" s="117"/>
      <c r="Q1471" s="118"/>
      <c r="R1471" s="118"/>
      <c r="S1471" s="118"/>
      <c r="T1471" s="12"/>
      <c r="U1471" s="118"/>
      <c r="V1471" s="118"/>
      <c r="W1471" s="12"/>
      <c r="X1471" s="119"/>
      <c r="Y1471" s="120"/>
      <c r="Z1471" s="12"/>
      <c r="BK1471" s="77"/>
      <c r="BO1471" s="77"/>
      <c r="BQ1471" s="77"/>
      <c r="BT1471" s="5"/>
      <c r="BU1471" s="5"/>
      <c r="BV1471" s="5"/>
      <c r="BW1471" s="71"/>
      <c r="BX1471" s="78"/>
      <c r="BY1471" s="64"/>
      <c r="BZ1471" s="3"/>
    </row>
    <row r="1472" spans="1:78">
      <c r="A1472" s="76"/>
      <c r="B1472" s="76"/>
      <c r="C1472" s="125"/>
      <c r="D1472" s="125"/>
      <c r="E1472" s="71"/>
      <c r="F1472" s="71"/>
      <c r="G1472" s="71"/>
      <c r="H1472" s="126"/>
      <c r="I1472" s="125"/>
      <c r="J1472" s="123"/>
      <c r="K1472" s="12"/>
      <c r="L1472" s="117"/>
      <c r="M1472" s="12"/>
      <c r="N1472" s="117"/>
      <c r="O1472" s="117"/>
      <c r="P1472" s="117"/>
      <c r="Q1472" s="118"/>
      <c r="R1472" s="118"/>
      <c r="S1472" s="118"/>
      <c r="T1472" s="12"/>
      <c r="U1472" s="118"/>
      <c r="V1472" s="118"/>
      <c r="W1472" s="12"/>
      <c r="X1472" s="119"/>
      <c r="Y1472" s="120"/>
      <c r="Z1472" s="12"/>
      <c r="BK1472" s="77"/>
      <c r="BO1472" s="77"/>
      <c r="BQ1472" s="77"/>
      <c r="BT1472" s="5"/>
      <c r="BU1472" s="5"/>
      <c r="BV1472" s="5"/>
      <c r="BW1472" s="71"/>
      <c r="BX1472" s="78"/>
      <c r="BY1472" s="64"/>
      <c r="BZ1472" s="3"/>
    </row>
    <row r="1473" spans="1:78">
      <c r="A1473" s="76"/>
      <c r="B1473" s="76"/>
      <c r="C1473" s="125"/>
      <c r="D1473" s="125"/>
      <c r="E1473" s="71"/>
      <c r="F1473" s="71"/>
      <c r="G1473" s="71"/>
      <c r="H1473" s="126"/>
      <c r="I1473" s="125"/>
      <c r="J1473" s="123"/>
      <c r="K1473" s="12"/>
      <c r="L1473" s="117"/>
      <c r="M1473" s="12"/>
      <c r="N1473" s="117"/>
      <c r="O1473" s="117"/>
      <c r="P1473" s="117"/>
      <c r="Q1473" s="118"/>
      <c r="R1473" s="118"/>
      <c r="S1473" s="118"/>
      <c r="T1473" s="12"/>
      <c r="U1473" s="118"/>
      <c r="V1473" s="118"/>
      <c r="W1473" s="12"/>
      <c r="X1473" s="119"/>
      <c r="Y1473" s="120"/>
      <c r="Z1473" s="12"/>
      <c r="BK1473" s="77"/>
      <c r="BO1473" s="77"/>
      <c r="BQ1473" s="77"/>
      <c r="BT1473" s="5"/>
      <c r="BU1473" s="5"/>
      <c r="BV1473" s="5"/>
      <c r="BW1473" s="71"/>
      <c r="BX1473" s="78"/>
      <c r="BY1473" s="64"/>
      <c r="BZ1473" s="3"/>
    </row>
    <row r="1474" spans="1:78">
      <c r="A1474" s="76"/>
      <c r="B1474" s="76"/>
      <c r="C1474" s="125"/>
      <c r="D1474" s="125"/>
      <c r="E1474" s="71"/>
      <c r="F1474" s="71"/>
      <c r="G1474" s="71"/>
      <c r="H1474" s="126"/>
      <c r="I1474" s="125"/>
      <c r="J1474" s="123"/>
      <c r="K1474" s="12"/>
      <c r="L1474" s="117"/>
      <c r="M1474" s="12"/>
      <c r="N1474" s="117"/>
      <c r="O1474" s="117"/>
      <c r="P1474" s="117"/>
      <c r="Q1474" s="118"/>
      <c r="R1474" s="118"/>
      <c r="S1474" s="118"/>
      <c r="T1474" s="12"/>
      <c r="U1474" s="118"/>
      <c r="V1474" s="118"/>
      <c r="W1474" s="12"/>
      <c r="X1474" s="119"/>
      <c r="Y1474" s="120"/>
      <c r="Z1474" s="12"/>
      <c r="BK1474" s="77"/>
      <c r="BO1474" s="77"/>
      <c r="BQ1474" s="77"/>
      <c r="BT1474" s="5"/>
      <c r="BU1474" s="5"/>
      <c r="BV1474" s="5"/>
      <c r="BW1474" s="71"/>
      <c r="BX1474" s="78"/>
      <c r="BY1474" s="64"/>
      <c r="BZ1474" s="3"/>
    </row>
    <row r="1475" spans="1:78">
      <c r="A1475" s="76"/>
      <c r="B1475" s="76"/>
      <c r="C1475" s="125"/>
      <c r="D1475" s="125"/>
      <c r="E1475" s="71"/>
      <c r="F1475" s="71"/>
      <c r="G1475" s="71"/>
      <c r="H1475" s="126"/>
      <c r="I1475" s="125"/>
      <c r="J1475" s="123"/>
      <c r="K1475" s="12"/>
      <c r="L1475" s="117"/>
      <c r="M1475" s="12"/>
      <c r="N1475" s="117"/>
      <c r="O1475" s="117"/>
      <c r="P1475" s="117"/>
      <c r="Q1475" s="118"/>
      <c r="R1475" s="118"/>
      <c r="S1475" s="118"/>
      <c r="T1475" s="12"/>
      <c r="U1475" s="118"/>
      <c r="V1475" s="118"/>
      <c r="W1475" s="12"/>
      <c r="X1475" s="119"/>
      <c r="Y1475" s="120"/>
      <c r="Z1475" s="12"/>
      <c r="BK1475" s="77"/>
      <c r="BO1475" s="77"/>
      <c r="BQ1475" s="77"/>
      <c r="BT1475" s="5"/>
      <c r="BU1475" s="5"/>
      <c r="BV1475" s="5"/>
      <c r="BW1475" s="71"/>
      <c r="BX1475" s="78"/>
      <c r="BY1475" s="64"/>
      <c r="BZ1475" s="3"/>
    </row>
    <row r="1476" spans="1:78">
      <c r="A1476" s="76"/>
      <c r="B1476" s="76"/>
      <c r="C1476" s="125"/>
      <c r="D1476" s="125"/>
      <c r="E1476" s="71"/>
      <c r="F1476" s="71"/>
      <c r="G1476" s="71"/>
      <c r="H1476" s="126"/>
      <c r="I1476" s="125"/>
      <c r="J1476" s="123"/>
      <c r="K1476" s="12"/>
      <c r="L1476" s="117"/>
      <c r="M1476" s="12"/>
      <c r="N1476" s="117"/>
      <c r="O1476" s="117"/>
      <c r="P1476" s="117"/>
      <c r="Q1476" s="118"/>
      <c r="R1476" s="118"/>
      <c r="S1476" s="118"/>
      <c r="T1476" s="12"/>
      <c r="U1476" s="118"/>
      <c r="V1476" s="118"/>
      <c r="W1476" s="12"/>
      <c r="X1476" s="119"/>
      <c r="Y1476" s="120"/>
      <c r="Z1476" s="12"/>
      <c r="BK1476" s="77"/>
      <c r="BO1476" s="77"/>
      <c r="BQ1476" s="77"/>
      <c r="BT1476" s="5"/>
      <c r="BU1476" s="5"/>
      <c r="BV1476" s="5"/>
      <c r="BW1476" s="71"/>
      <c r="BX1476" s="78"/>
      <c r="BY1476" s="64"/>
      <c r="BZ1476" s="3"/>
    </row>
    <row r="1477" spans="1:78">
      <c r="A1477" s="76"/>
      <c r="B1477" s="76"/>
      <c r="C1477" s="125"/>
      <c r="D1477" s="125"/>
      <c r="E1477" s="71"/>
      <c r="F1477" s="71"/>
      <c r="G1477" s="71"/>
      <c r="H1477" s="126"/>
      <c r="I1477" s="125"/>
      <c r="J1477" s="123"/>
      <c r="K1477" s="12"/>
      <c r="L1477" s="117"/>
      <c r="M1477" s="12"/>
      <c r="N1477" s="117"/>
      <c r="O1477" s="117"/>
      <c r="P1477" s="117"/>
      <c r="Q1477" s="118"/>
      <c r="R1477" s="118"/>
      <c r="S1477" s="118"/>
      <c r="T1477" s="12"/>
      <c r="U1477" s="118"/>
      <c r="V1477" s="118"/>
      <c r="W1477" s="12"/>
      <c r="X1477" s="119"/>
      <c r="Y1477" s="120"/>
      <c r="Z1477" s="12"/>
      <c r="BK1477" s="77"/>
      <c r="BO1477" s="77"/>
      <c r="BQ1477" s="77"/>
      <c r="BT1477" s="5"/>
      <c r="BU1477" s="5"/>
      <c r="BV1477" s="5"/>
      <c r="BW1477" s="71"/>
      <c r="BX1477" s="78"/>
      <c r="BY1477" s="64"/>
      <c r="BZ1477" s="3"/>
    </row>
    <row r="1478" spans="1:78">
      <c r="A1478" s="76"/>
      <c r="B1478" s="76"/>
      <c r="C1478" s="125"/>
      <c r="D1478" s="125"/>
      <c r="E1478" s="71"/>
      <c r="F1478" s="71"/>
      <c r="G1478" s="71"/>
      <c r="H1478" s="126"/>
      <c r="I1478" s="125"/>
      <c r="J1478" s="123"/>
      <c r="K1478" s="12"/>
      <c r="L1478" s="117"/>
      <c r="M1478" s="12"/>
      <c r="N1478" s="117"/>
      <c r="O1478" s="117"/>
      <c r="P1478" s="117"/>
      <c r="Q1478" s="118"/>
      <c r="R1478" s="118"/>
      <c r="S1478" s="118"/>
      <c r="T1478" s="12"/>
      <c r="U1478" s="118"/>
      <c r="V1478" s="118"/>
      <c r="W1478" s="12"/>
      <c r="X1478" s="119"/>
      <c r="Y1478" s="120"/>
      <c r="Z1478" s="12"/>
      <c r="BK1478" s="77"/>
      <c r="BO1478" s="77"/>
      <c r="BQ1478" s="77"/>
      <c r="BT1478" s="5"/>
      <c r="BU1478" s="5"/>
      <c r="BV1478" s="5"/>
      <c r="BW1478" s="71"/>
      <c r="BX1478" s="78"/>
      <c r="BY1478" s="64"/>
      <c r="BZ1478" s="3"/>
    </row>
    <row r="1479" spans="1:78">
      <c r="A1479" s="76"/>
      <c r="B1479" s="76"/>
      <c r="C1479" s="125"/>
      <c r="D1479" s="125"/>
      <c r="E1479" s="71"/>
      <c r="F1479" s="71"/>
      <c r="G1479" s="71"/>
      <c r="H1479" s="126"/>
      <c r="I1479" s="125"/>
      <c r="J1479" s="123"/>
      <c r="K1479" s="12"/>
      <c r="L1479" s="117"/>
      <c r="M1479" s="12"/>
      <c r="N1479" s="117"/>
      <c r="O1479" s="117"/>
      <c r="P1479" s="117"/>
      <c r="Q1479" s="118"/>
      <c r="R1479" s="118"/>
      <c r="S1479" s="118"/>
      <c r="T1479" s="12"/>
      <c r="U1479" s="118"/>
      <c r="V1479" s="118"/>
      <c r="W1479" s="12"/>
      <c r="X1479" s="119"/>
      <c r="Y1479" s="120"/>
      <c r="Z1479" s="12"/>
      <c r="BK1479" s="77"/>
      <c r="BO1479" s="77"/>
      <c r="BQ1479" s="77"/>
      <c r="BT1479" s="5"/>
      <c r="BU1479" s="5"/>
      <c r="BV1479" s="5"/>
      <c r="BW1479" s="71"/>
      <c r="BX1479" s="78"/>
      <c r="BY1479" s="64"/>
      <c r="BZ1479" s="3"/>
    </row>
    <row r="1480" spans="1:78">
      <c r="A1480" s="76"/>
      <c r="B1480" s="76"/>
      <c r="C1480" s="125"/>
      <c r="D1480" s="125"/>
      <c r="E1480" s="71"/>
      <c r="F1480" s="71"/>
      <c r="G1480" s="71"/>
      <c r="H1480" s="126"/>
      <c r="I1480" s="125"/>
      <c r="J1480" s="123"/>
      <c r="K1480" s="12"/>
      <c r="L1480" s="117"/>
      <c r="M1480" s="12"/>
      <c r="N1480" s="117"/>
      <c r="O1480" s="117"/>
      <c r="P1480" s="117"/>
      <c r="Q1480" s="118"/>
      <c r="R1480" s="118"/>
      <c r="S1480" s="118"/>
      <c r="T1480" s="12"/>
      <c r="U1480" s="118"/>
      <c r="V1480" s="118"/>
      <c r="W1480" s="12"/>
      <c r="X1480" s="119"/>
      <c r="Y1480" s="120"/>
      <c r="Z1480" s="12"/>
      <c r="BK1480" s="77"/>
      <c r="BO1480" s="77"/>
      <c r="BQ1480" s="77"/>
      <c r="BT1480" s="5"/>
      <c r="BU1480" s="5"/>
      <c r="BV1480" s="5"/>
      <c r="BW1480" s="71"/>
      <c r="BX1480" s="78"/>
      <c r="BY1480" s="64"/>
      <c r="BZ1480" s="3"/>
    </row>
    <row r="1481" spans="1:78">
      <c r="A1481" s="76"/>
      <c r="B1481" s="76"/>
      <c r="C1481" s="125"/>
      <c r="D1481" s="125"/>
      <c r="E1481" s="71"/>
      <c r="F1481" s="71"/>
      <c r="G1481" s="71"/>
      <c r="H1481" s="126"/>
      <c r="I1481" s="125"/>
      <c r="J1481" s="123"/>
      <c r="K1481" s="12"/>
      <c r="L1481" s="117"/>
      <c r="M1481" s="12"/>
      <c r="N1481" s="117"/>
      <c r="O1481" s="117"/>
      <c r="P1481" s="117"/>
      <c r="Q1481" s="118"/>
      <c r="R1481" s="118"/>
      <c r="S1481" s="118"/>
      <c r="T1481" s="12"/>
      <c r="U1481" s="118"/>
      <c r="V1481" s="118"/>
      <c r="W1481" s="12"/>
      <c r="X1481" s="119"/>
      <c r="Y1481" s="120"/>
      <c r="Z1481" s="12"/>
      <c r="BK1481" s="77"/>
      <c r="BO1481" s="77"/>
      <c r="BQ1481" s="77"/>
      <c r="BT1481" s="5"/>
      <c r="BU1481" s="5"/>
      <c r="BV1481" s="5"/>
      <c r="BW1481" s="71"/>
      <c r="BX1481" s="78"/>
      <c r="BY1481" s="64"/>
      <c r="BZ1481" s="3"/>
    </row>
    <row r="1482" spans="1:78">
      <c r="A1482" s="76"/>
      <c r="B1482" s="76"/>
      <c r="C1482" s="125"/>
      <c r="D1482" s="125"/>
      <c r="E1482" s="71"/>
      <c r="F1482" s="71"/>
      <c r="G1482" s="71"/>
      <c r="H1482" s="126"/>
      <c r="I1482" s="125"/>
      <c r="J1482" s="123"/>
      <c r="K1482" s="12"/>
      <c r="L1482" s="117"/>
      <c r="M1482" s="12"/>
      <c r="N1482" s="117"/>
      <c r="O1482" s="117"/>
      <c r="P1482" s="117"/>
      <c r="Q1482" s="118"/>
      <c r="R1482" s="118"/>
      <c r="S1482" s="118"/>
      <c r="T1482" s="12"/>
      <c r="U1482" s="118"/>
      <c r="V1482" s="118"/>
      <c r="W1482" s="12"/>
      <c r="X1482" s="119"/>
      <c r="Y1482" s="120"/>
      <c r="Z1482" s="12"/>
      <c r="BK1482" s="77"/>
      <c r="BO1482" s="77"/>
      <c r="BQ1482" s="77"/>
      <c r="BT1482" s="5"/>
      <c r="BU1482" s="5"/>
      <c r="BV1482" s="5"/>
      <c r="BW1482" s="71"/>
      <c r="BX1482" s="78"/>
      <c r="BY1482" s="64"/>
      <c r="BZ1482" s="3"/>
    </row>
    <row r="1483" spans="1:78">
      <c r="A1483" s="76"/>
      <c r="B1483" s="76"/>
      <c r="C1483" s="125"/>
      <c r="D1483" s="125"/>
      <c r="E1483" s="71"/>
      <c r="F1483" s="71"/>
      <c r="G1483" s="71"/>
      <c r="H1483" s="126"/>
      <c r="I1483" s="125"/>
      <c r="J1483" s="123"/>
      <c r="K1483" s="12"/>
      <c r="L1483" s="117"/>
      <c r="M1483" s="12"/>
      <c r="N1483" s="117"/>
      <c r="O1483" s="117"/>
      <c r="P1483" s="117"/>
      <c r="Q1483" s="118"/>
      <c r="R1483" s="118"/>
      <c r="S1483" s="118"/>
      <c r="T1483" s="12"/>
      <c r="U1483" s="118"/>
      <c r="V1483" s="118"/>
      <c r="W1483" s="12"/>
      <c r="X1483" s="119"/>
      <c r="Y1483" s="120"/>
      <c r="Z1483" s="12"/>
      <c r="BK1483" s="77"/>
      <c r="BO1483" s="77"/>
      <c r="BQ1483" s="77"/>
      <c r="BT1483" s="5"/>
      <c r="BU1483" s="5"/>
      <c r="BV1483" s="5"/>
      <c r="BW1483" s="71"/>
      <c r="BX1483" s="78"/>
      <c r="BY1483" s="64"/>
      <c r="BZ1483" s="3"/>
    </row>
    <row r="1484" spans="1:78">
      <c r="A1484" s="76"/>
      <c r="B1484" s="76"/>
      <c r="C1484" s="125"/>
      <c r="D1484" s="125"/>
      <c r="E1484" s="71"/>
      <c r="F1484" s="71"/>
      <c r="G1484" s="71"/>
      <c r="H1484" s="126"/>
      <c r="I1484" s="125"/>
      <c r="J1484" s="123"/>
      <c r="K1484" s="12"/>
      <c r="L1484" s="117"/>
      <c r="M1484" s="12"/>
      <c r="N1484" s="117"/>
      <c r="O1484" s="117"/>
      <c r="P1484" s="117"/>
      <c r="Q1484" s="118"/>
      <c r="R1484" s="118"/>
      <c r="S1484" s="118"/>
      <c r="T1484" s="12"/>
      <c r="U1484" s="118"/>
      <c r="V1484" s="118"/>
      <c r="W1484" s="12"/>
      <c r="X1484" s="119"/>
      <c r="Y1484" s="120"/>
      <c r="Z1484" s="12"/>
      <c r="BK1484" s="77"/>
      <c r="BO1484" s="77"/>
      <c r="BQ1484" s="77"/>
      <c r="BT1484" s="5"/>
      <c r="BU1484" s="5"/>
      <c r="BV1484" s="5"/>
      <c r="BW1484" s="71"/>
      <c r="BX1484" s="78"/>
      <c r="BY1484" s="64"/>
      <c r="BZ1484" s="3"/>
    </row>
    <row r="1485" spans="1:78">
      <c r="A1485" s="76"/>
      <c r="B1485" s="76"/>
      <c r="C1485" s="125"/>
      <c r="D1485" s="125"/>
      <c r="E1485" s="71"/>
      <c r="F1485" s="71"/>
      <c r="G1485" s="71"/>
      <c r="H1485" s="126"/>
      <c r="I1485" s="125"/>
      <c r="J1485" s="123"/>
      <c r="K1485" s="12"/>
      <c r="L1485" s="117"/>
      <c r="M1485" s="12"/>
      <c r="N1485" s="117"/>
      <c r="O1485" s="117"/>
      <c r="P1485" s="117"/>
      <c r="Q1485" s="118"/>
      <c r="R1485" s="118"/>
      <c r="S1485" s="118"/>
      <c r="T1485" s="12"/>
      <c r="U1485" s="118"/>
      <c r="V1485" s="118"/>
      <c r="W1485" s="12"/>
      <c r="X1485" s="119"/>
      <c r="Y1485" s="120"/>
      <c r="Z1485" s="12"/>
      <c r="BK1485" s="77"/>
      <c r="BO1485" s="77"/>
      <c r="BQ1485" s="77"/>
      <c r="BT1485" s="5"/>
      <c r="BU1485" s="5"/>
      <c r="BV1485" s="5"/>
      <c r="BW1485" s="71"/>
      <c r="BX1485" s="78"/>
      <c r="BY1485" s="64"/>
      <c r="BZ1485" s="3"/>
    </row>
    <row r="1486" spans="1:78">
      <c r="A1486" s="76"/>
      <c r="B1486" s="76"/>
      <c r="C1486" s="125"/>
      <c r="D1486" s="125"/>
      <c r="E1486" s="71"/>
      <c r="F1486" s="71"/>
      <c r="G1486" s="71"/>
      <c r="H1486" s="126"/>
      <c r="I1486" s="125"/>
      <c r="J1486" s="123"/>
      <c r="K1486" s="12"/>
      <c r="L1486" s="117"/>
      <c r="M1486" s="12"/>
      <c r="N1486" s="117"/>
      <c r="O1486" s="117"/>
      <c r="P1486" s="117"/>
      <c r="Q1486" s="118"/>
      <c r="R1486" s="118"/>
      <c r="S1486" s="118"/>
      <c r="T1486" s="12"/>
      <c r="U1486" s="118"/>
      <c r="V1486" s="118"/>
      <c r="W1486" s="12"/>
      <c r="X1486" s="119"/>
      <c r="Y1486" s="120"/>
      <c r="Z1486" s="12"/>
      <c r="BK1486" s="77"/>
      <c r="BO1486" s="77"/>
      <c r="BQ1486" s="77"/>
      <c r="BT1486" s="5"/>
      <c r="BU1486" s="5"/>
      <c r="BV1486" s="5"/>
      <c r="BW1486" s="71"/>
      <c r="BX1486" s="78"/>
      <c r="BY1486" s="64"/>
      <c r="BZ1486" s="3"/>
    </row>
    <row r="1487" spans="1:78">
      <c r="A1487" s="76"/>
      <c r="B1487" s="76"/>
      <c r="C1487" s="125"/>
      <c r="D1487" s="125"/>
      <c r="E1487" s="71"/>
      <c r="F1487" s="71"/>
      <c r="G1487" s="71"/>
      <c r="H1487" s="126"/>
      <c r="I1487" s="125"/>
      <c r="J1487" s="123"/>
      <c r="K1487" s="12"/>
      <c r="L1487" s="117"/>
      <c r="M1487" s="12"/>
      <c r="N1487" s="117"/>
      <c r="O1487" s="117"/>
      <c r="P1487" s="117"/>
      <c r="Q1487" s="118"/>
      <c r="R1487" s="118"/>
      <c r="S1487" s="118"/>
      <c r="T1487" s="12"/>
      <c r="U1487" s="118"/>
      <c r="V1487" s="118"/>
      <c r="W1487" s="12"/>
      <c r="X1487" s="119"/>
      <c r="Y1487" s="120"/>
      <c r="Z1487" s="12"/>
      <c r="BK1487" s="77"/>
      <c r="BO1487" s="77"/>
      <c r="BQ1487" s="77"/>
      <c r="BT1487" s="5"/>
      <c r="BU1487" s="5"/>
      <c r="BV1487" s="5"/>
      <c r="BW1487" s="71"/>
      <c r="BX1487" s="78"/>
      <c r="BY1487" s="64"/>
      <c r="BZ1487" s="3"/>
    </row>
    <row r="1488" spans="1:78">
      <c r="A1488" s="76"/>
      <c r="B1488" s="76"/>
      <c r="C1488" s="125"/>
      <c r="D1488" s="125"/>
      <c r="E1488" s="71"/>
      <c r="F1488" s="71"/>
      <c r="G1488" s="71"/>
      <c r="H1488" s="126"/>
      <c r="I1488" s="125"/>
      <c r="J1488" s="123"/>
      <c r="K1488" s="12"/>
      <c r="L1488" s="117"/>
      <c r="M1488" s="12"/>
      <c r="N1488" s="117"/>
      <c r="O1488" s="117"/>
      <c r="P1488" s="117"/>
      <c r="Q1488" s="118"/>
      <c r="R1488" s="118"/>
      <c r="S1488" s="118"/>
      <c r="T1488" s="12"/>
      <c r="U1488" s="118"/>
      <c r="V1488" s="118"/>
      <c r="W1488" s="12"/>
      <c r="X1488" s="119"/>
      <c r="Y1488" s="120"/>
      <c r="Z1488" s="12"/>
      <c r="BK1488" s="77"/>
      <c r="BO1488" s="77"/>
      <c r="BQ1488" s="77"/>
      <c r="BT1488" s="5"/>
      <c r="BU1488" s="5"/>
      <c r="BV1488" s="5"/>
      <c r="BW1488" s="71"/>
      <c r="BX1488" s="78"/>
      <c r="BY1488" s="64"/>
      <c r="BZ1488" s="3"/>
    </row>
    <row r="1489" spans="1:78">
      <c r="A1489" s="76"/>
      <c r="B1489" s="76"/>
      <c r="C1489" s="125"/>
      <c r="D1489" s="125"/>
      <c r="E1489" s="71"/>
      <c r="F1489" s="71"/>
      <c r="G1489" s="71"/>
      <c r="H1489" s="126"/>
      <c r="I1489" s="125"/>
      <c r="J1489" s="123"/>
      <c r="K1489" s="12"/>
      <c r="L1489" s="117"/>
      <c r="M1489" s="12"/>
      <c r="N1489" s="117"/>
      <c r="O1489" s="117"/>
      <c r="P1489" s="117"/>
      <c r="Q1489" s="118"/>
      <c r="R1489" s="118"/>
      <c r="S1489" s="118"/>
      <c r="T1489" s="12"/>
      <c r="U1489" s="118"/>
      <c r="V1489" s="118"/>
      <c r="W1489" s="12"/>
      <c r="X1489" s="119"/>
      <c r="Y1489" s="120"/>
      <c r="Z1489" s="12"/>
      <c r="BK1489" s="77"/>
      <c r="BO1489" s="77"/>
      <c r="BQ1489" s="77"/>
      <c r="BT1489" s="5"/>
      <c r="BU1489" s="5"/>
      <c r="BV1489" s="5"/>
      <c r="BW1489" s="71"/>
      <c r="BX1489" s="78"/>
      <c r="BY1489" s="64"/>
      <c r="BZ1489" s="3"/>
    </row>
    <row r="1490" spans="1:78">
      <c r="A1490" s="76"/>
      <c r="B1490" s="76"/>
      <c r="C1490" s="125"/>
      <c r="D1490" s="125"/>
      <c r="E1490" s="71"/>
      <c r="F1490" s="71"/>
      <c r="G1490" s="71"/>
      <c r="H1490" s="126"/>
      <c r="I1490" s="125"/>
      <c r="J1490" s="123"/>
      <c r="K1490" s="12"/>
      <c r="L1490" s="117"/>
      <c r="M1490" s="12"/>
      <c r="N1490" s="117"/>
      <c r="O1490" s="117"/>
      <c r="P1490" s="117"/>
      <c r="Q1490" s="118"/>
      <c r="R1490" s="118"/>
      <c r="S1490" s="118"/>
      <c r="T1490" s="12"/>
      <c r="U1490" s="118"/>
      <c r="V1490" s="118"/>
      <c r="W1490" s="12"/>
      <c r="X1490" s="119"/>
      <c r="Y1490" s="120"/>
      <c r="Z1490" s="12"/>
      <c r="BK1490" s="77"/>
      <c r="BO1490" s="77"/>
      <c r="BQ1490" s="77"/>
      <c r="BT1490" s="5"/>
      <c r="BU1490" s="5"/>
      <c r="BV1490" s="5"/>
      <c r="BW1490" s="71"/>
      <c r="BX1490" s="78"/>
      <c r="BY1490" s="64"/>
      <c r="BZ1490" s="3"/>
    </row>
    <row r="1491" spans="1:78">
      <c r="A1491" s="76"/>
      <c r="B1491" s="76"/>
      <c r="C1491" s="125"/>
      <c r="D1491" s="125"/>
      <c r="E1491" s="71"/>
      <c r="F1491" s="71"/>
      <c r="G1491" s="71"/>
      <c r="H1491" s="126"/>
      <c r="I1491" s="125"/>
      <c r="J1491" s="123"/>
      <c r="K1491" s="12"/>
      <c r="L1491" s="117"/>
      <c r="M1491" s="12"/>
      <c r="N1491" s="117"/>
      <c r="O1491" s="117"/>
      <c r="P1491" s="117"/>
      <c r="Q1491" s="118"/>
      <c r="R1491" s="118"/>
      <c r="S1491" s="118"/>
      <c r="T1491" s="12"/>
      <c r="U1491" s="118"/>
      <c r="V1491" s="118"/>
      <c r="W1491" s="12"/>
      <c r="X1491" s="119"/>
      <c r="Y1491" s="120"/>
      <c r="Z1491" s="12"/>
      <c r="BK1491" s="77"/>
      <c r="BO1491" s="77"/>
      <c r="BQ1491" s="77"/>
      <c r="BT1491" s="5"/>
      <c r="BU1491" s="5"/>
      <c r="BV1491" s="5"/>
      <c r="BW1491" s="71"/>
      <c r="BX1491" s="78"/>
      <c r="BY1491" s="64"/>
      <c r="BZ1491" s="3"/>
    </row>
    <row r="1492" spans="1:78">
      <c r="A1492" s="76"/>
      <c r="B1492" s="76"/>
      <c r="C1492" s="125"/>
      <c r="D1492" s="125"/>
      <c r="E1492" s="71"/>
      <c r="F1492" s="71"/>
      <c r="G1492" s="71"/>
      <c r="H1492" s="126"/>
      <c r="I1492" s="125"/>
      <c r="J1492" s="123"/>
      <c r="K1492" s="12"/>
      <c r="L1492" s="117"/>
      <c r="M1492" s="12"/>
      <c r="N1492" s="117"/>
      <c r="O1492" s="117"/>
      <c r="P1492" s="117"/>
      <c r="Q1492" s="118"/>
      <c r="R1492" s="118"/>
      <c r="S1492" s="118"/>
      <c r="T1492" s="12"/>
      <c r="U1492" s="118"/>
      <c r="V1492" s="118"/>
      <c r="W1492" s="12"/>
      <c r="X1492" s="119"/>
      <c r="Y1492" s="120"/>
      <c r="Z1492" s="12"/>
      <c r="BK1492" s="77"/>
      <c r="BO1492" s="77"/>
      <c r="BQ1492" s="77"/>
      <c r="BT1492" s="5"/>
      <c r="BU1492" s="5"/>
      <c r="BV1492" s="5"/>
      <c r="BW1492" s="71"/>
      <c r="BX1492" s="78"/>
      <c r="BY1492" s="64"/>
      <c r="BZ1492" s="3"/>
    </row>
    <row r="1493" spans="1:78">
      <c r="A1493" s="76"/>
      <c r="B1493" s="76"/>
      <c r="C1493" s="125"/>
      <c r="D1493" s="125"/>
      <c r="E1493" s="71"/>
      <c r="F1493" s="71"/>
      <c r="G1493" s="71"/>
      <c r="H1493" s="126"/>
      <c r="I1493" s="125"/>
      <c r="J1493" s="123"/>
      <c r="K1493" s="12"/>
      <c r="L1493" s="117"/>
      <c r="M1493" s="12"/>
      <c r="N1493" s="117"/>
      <c r="O1493" s="117"/>
      <c r="P1493" s="117"/>
      <c r="Q1493" s="118"/>
      <c r="R1493" s="118"/>
      <c r="S1493" s="118"/>
      <c r="T1493" s="12"/>
      <c r="U1493" s="118"/>
      <c r="V1493" s="118"/>
      <c r="W1493" s="12"/>
      <c r="X1493" s="119"/>
      <c r="Y1493" s="120"/>
      <c r="Z1493" s="12"/>
      <c r="BK1493" s="77"/>
      <c r="BO1493" s="77"/>
      <c r="BQ1493" s="77"/>
      <c r="BT1493" s="5"/>
      <c r="BU1493" s="5"/>
      <c r="BV1493" s="5"/>
      <c r="BW1493" s="71"/>
      <c r="BX1493" s="78"/>
      <c r="BY1493" s="64"/>
      <c r="BZ1493" s="3"/>
    </row>
    <row r="1494" spans="1:78">
      <c r="A1494" s="76"/>
      <c r="B1494" s="76"/>
      <c r="C1494" s="125"/>
      <c r="D1494" s="125"/>
      <c r="E1494" s="71"/>
      <c r="F1494" s="71"/>
      <c r="G1494" s="71"/>
      <c r="H1494" s="126"/>
      <c r="I1494" s="125"/>
      <c r="J1494" s="123"/>
      <c r="K1494" s="12"/>
      <c r="L1494" s="117"/>
      <c r="M1494" s="12"/>
      <c r="N1494" s="117"/>
      <c r="O1494" s="117"/>
      <c r="P1494" s="117"/>
      <c r="Q1494" s="118"/>
      <c r="R1494" s="118"/>
      <c r="S1494" s="118"/>
      <c r="T1494" s="12"/>
      <c r="U1494" s="118"/>
      <c r="V1494" s="118"/>
      <c r="W1494" s="12"/>
      <c r="X1494" s="119"/>
      <c r="Y1494" s="120"/>
      <c r="Z1494" s="12"/>
      <c r="BK1494" s="77"/>
      <c r="BO1494" s="77"/>
      <c r="BQ1494" s="77"/>
      <c r="BT1494" s="5"/>
      <c r="BU1494" s="5"/>
      <c r="BV1494" s="5"/>
      <c r="BW1494" s="71"/>
      <c r="BX1494" s="78"/>
      <c r="BY1494" s="64"/>
      <c r="BZ1494" s="3"/>
    </row>
    <row r="1495" spans="1:78">
      <c r="A1495" s="76"/>
      <c r="B1495" s="76"/>
      <c r="C1495" s="125"/>
      <c r="D1495" s="125"/>
      <c r="E1495" s="71"/>
      <c r="F1495" s="71"/>
      <c r="G1495" s="71"/>
      <c r="H1495" s="126"/>
      <c r="I1495" s="125"/>
      <c r="J1495" s="123"/>
      <c r="K1495" s="12"/>
      <c r="L1495" s="117"/>
      <c r="M1495" s="12"/>
      <c r="N1495" s="117"/>
      <c r="O1495" s="117"/>
      <c r="P1495" s="117"/>
      <c r="Q1495" s="118"/>
      <c r="R1495" s="118"/>
      <c r="S1495" s="118"/>
      <c r="T1495" s="12"/>
      <c r="U1495" s="118"/>
      <c r="V1495" s="118"/>
      <c r="W1495" s="12"/>
      <c r="X1495" s="119"/>
      <c r="Y1495" s="120"/>
      <c r="Z1495" s="12"/>
      <c r="BK1495" s="77"/>
      <c r="BO1495" s="77"/>
      <c r="BQ1495" s="77"/>
      <c r="BT1495" s="5"/>
      <c r="BU1495" s="5"/>
      <c r="BV1495" s="5"/>
      <c r="BW1495" s="71"/>
      <c r="BX1495" s="78"/>
      <c r="BY1495" s="64"/>
      <c r="BZ1495" s="3"/>
    </row>
    <row r="1496" spans="1:78">
      <c r="A1496" s="76"/>
      <c r="B1496" s="76"/>
      <c r="C1496" s="125"/>
      <c r="D1496" s="125"/>
      <c r="E1496" s="71"/>
      <c r="F1496" s="71"/>
      <c r="G1496" s="71"/>
      <c r="H1496" s="126"/>
      <c r="I1496" s="125"/>
      <c r="J1496" s="123"/>
      <c r="K1496" s="12"/>
      <c r="L1496" s="117"/>
      <c r="M1496" s="12"/>
      <c r="N1496" s="117"/>
      <c r="O1496" s="117"/>
      <c r="P1496" s="117"/>
      <c r="Q1496" s="118"/>
      <c r="R1496" s="118"/>
      <c r="S1496" s="118"/>
      <c r="T1496" s="12"/>
      <c r="U1496" s="118"/>
      <c r="V1496" s="118"/>
      <c r="W1496" s="12"/>
      <c r="X1496" s="119"/>
      <c r="Y1496" s="120"/>
      <c r="Z1496" s="12"/>
      <c r="BK1496" s="77"/>
      <c r="BO1496" s="77"/>
      <c r="BQ1496" s="77"/>
      <c r="BT1496" s="5"/>
      <c r="BU1496" s="5"/>
      <c r="BV1496" s="5"/>
      <c r="BW1496" s="71"/>
      <c r="BX1496" s="78"/>
      <c r="BY1496" s="64"/>
      <c r="BZ1496" s="3"/>
    </row>
    <row r="1497" spans="1:78">
      <c r="A1497" s="76"/>
      <c r="B1497" s="76"/>
      <c r="C1497" s="125"/>
      <c r="D1497" s="125"/>
      <c r="E1497" s="71"/>
      <c r="F1497" s="71"/>
      <c r="G1497" s="71"/>
      <c r="H1497" s="126"/>
      <c r="I1497" s="125"/>
      <c r="J1497" s="123"/>
      <c r="K1497" s="12"/>
      <c r="L1497" s="117"/>
      <c r="M1497" s="12"/>
      <c r="N1497" s="117"/>
      <c r="O1497" s="117"/>
      <c r="P1497" s="117"/>
      <c r="Q1497" s="118"/>
      <c r="R1497" s="118"/>
      <c r="S1497" s="118"/>
      <c r="T1497" s="12"/>
      <c r="U1497" s="118"/>
      <c r="V1497" s="118"/>
      <c r="W1497" s="12"/>
      <c r="X1497" s="119"/>
      <c r="Y1497" s="120"/>
      <c r="Z1497" s="12"/>
      <c r="BK1497" s="77"/>
      <c r="BO1497" s="77"/>
      <c r="BQ1497" s="77"/>
      <c r="BT1497" s="5"/>
      <c r="BU1497" s="5"/>
      <c r="BV1497" s="5"/>
      <c r="BW1497" s="71"/>
      <c r="BX1497" s="78"/>
      <c r="BY1497" s="64"/>
      <c r="BZ1497" s="3"/>
    </row>
    <row r="1498" spans="1:78">
      <c r="A1498" s="76"/>
      <c r="B1498" s="76"/>
      <c r="C1498" s="125"/>
      <c r="D1498" s="125"/>
      <c r="E1498" s="71"/>
      <c r="F1498" s="71"/>
      <c r="G1498" s="71"/>
      <c r="H1498" s="126"/>
      <c r="I1498" s="125"/>
      <c r="J1498" s="123"/>
      <c r="K1498" s="12"/>
      <c r="L1498" s="117"/>
      <c r="M1498" s="12"/>
      <c r="N1498" s="117"/>
      <c r="O1498" s="117"/>
      <c r="P1498" s="117"/>
      <c r="Q1498" s="118"/>
      <c r="R1498" s="118"/>
      <c r="S1498" s="118"/>
      <c r="T1498" s="12"/>
      <c r="U1498" s="118"/>
      <c r="V1498" s="118"/>
      <c r="W1498" s="12"/>
      <c r="X1498" s="119"/>
      <c r="Y1498" s="120"/>
      <c r="Z1498" s="12"/>
      <c r="BK1498" s="77"/>
      <c r="BO1498" s="77"/>
      <c r="BQ1498" s="77"/>
      <c r="BT1498" s="5"/>
      <c r="BU1498" s="5"/>
      <c r="BV1498" s="5"/>
      <c r="BW1498" s="71"/>
      <c r="BX1498" s="78"/>
      <c r="BY1498" s="64"/>
      <c r="BZ1498" s="3"/>
    </row>
    <row r="1499" spans="1:78">
      <c r="A1499" s="76"/>
      <c r="B1499" s="76"/>
      <c r="C1499" s="125"/>
      <c r="D1499" s="125"/>
      <c r="E1499" s="71"/>
      <c r="F1499" s="71"/>
      <c r="G1499" s="71"/>
      <c r="H1499" s="126"/>
      <c r="I1499" s="125"/>
      <c r="J1499" s="123"/>
      <c r="K1499" s="12"/>
      <c r="L1499" s="117"/>
      <c r="M1499" s="12"/>
      <c r="N1499" s="117"/>
      <c r="O1499" s="117"/>
      <c r="P1499" s="117"/>
      <c r="Q1499" s="118"/>
      <c r="R1499" s="118"/>
      <c r="S1499" s="118"/>
      <c r="T1499" s="12"/>
      <c r="U1499" s="118"/>
      <c r="V1499" s="118"/>
      <c r="W1499" s="12"/>
      <c r="X1499" s="119"/>
      <c r="Y1499" s="120"/>
      <c r="Z1499" s="12"/>
      <c r="BK1499" s="77"/>
      <c r="BO1499" s="77"/>
      <c r="BQ1499" s="77"/>
      <c r="BT1499" s="5"/>
      <c r="BU1499" s="5"/>
      <c r="BV1499" s="5"/>
      <c r="BW1499" s="71"/>
      <c r="BX1499" s="78"/>
      <c r="BY1499" s="64"/>
      <c r="BZ1499" s="3"/>
    </row>
    <row r="1500" spans="1:78">
      <c r="A1500" s="76"/>
      <c r="B1500" s="76"/>
      <c r="C1500" s="125"/>
      <c r="D1500" s="125"/>
      <c r="E1500" s="71"/>
      <c r="F1500" s="71"/>
      <c r="G1500" s="71"/>
      <c r="H1500" s="126"/>
      <c r="I1500" s="125"/>
      <c r="J1500" s="123"/>
      <c r="K1500" s="12"/>
      <c r="L1500" s="117"/>
      <c r="M1500" s="12"/>
      <c r="N1500" s="117"/>
      <c r="O1500" s="117"/>
      <c r="P1500" s="117"/>
      <c r="Q1500" s="118"/>
      <c r="R1500" s="118"/>
      <c r="S1500" s="118"/>
      <c r="T1500" s="12"/>
      <c r="U1500" s="118"/>
      <c r="V1500" s="118"/>
      <c r="W1500" s="12"/>
      <c r="X1500" s="119"/>
      <c r="Y1500" s="120"/>
      <c r="Z1500" s="12"/>
      <c r="BK1500" s="77"/>
      <c r="BO1500" s="77"/>
      <c r="BQ1500" s="77"/>
      <c r="BT1500" s="5"/>
      <c r="BU1500" s="5"/>
      <c r="BV1500" s="5"/>
      <c r="BW1500" s="71"/>
      <c r="BX1500" s="78"/>
      <c r="BY1500" s="64"/>
      <c r="BZ1500" s="3"/>
    </row>
    <row r="1501" spans="1:78">
      <c r="A1501" s="76"/>
      <c r="B1501" s="76"/>
      <c r="C1501" s="125"/>
      <c r="D1501" s="125"/>
      <c r="E1501" s="71"/>
      <c r="F1501" s="71"/>
      <c r="G1501" s="71"/>
      <c r="H1501" s="126"/>
      <c r="I1501" s="125"/>
      <c r="J1501" s="123"/>
      <c r="K1501" s="12"/>
      <c r="L1501" s="117"/>
      <c r="M1501" s="12"/>
      <c r="N1501" s="117"/>
      <c r="O1501" s="117"/>
      <c r="P1501" s="117"/>
      <c r="Q1501" s="118"/>
      <c r="R1501" s="118"/>
      <c r="S1501" s="118"/>
      <c r="T1501" s="12"/>
      <c r="U1501" s="118"/>
      <c r="V1501" s="118"/>
      <c r="W1501" s="12"/>
      <c r="X1501" s="119"/>
      <c r="Y1501" s="120"/>
      <c r="Z1501" s="12"/>
      <c r="BK1501" s="77"/>
      <c r="BO1501" s="77"/>
      <c r="BQ1501" s="77"/>
      <c r="BT1501" s="5"/>
      <c r="BU1501" s="5"/>
      <c r="BV1501" s="5"/>
      <c r="BW1501" s="71"/>
      <c r="BX1501" s="78"/>
      <c r="BY1501" s="64"/>
      <c r="BZ1501" s="3"/>
    </row>
    <row r="1502" spans="1:78">
      <c r="A1502" s="76"/>
      <c r="B1502" s="76"/>
      <c r="C1502" s="125"/>
      <c r="D1502" s="125"/>
      <c r="E1502" s="71"/>
      <c r="F1502" s="71"/>
      <c r="G1502" s="71"/>
      <c r="H1502" s="126"/>
      <c r="I1502" s="125"/>
      <c r="J1502" s="123"/>
      <c r="K1502" s="12"/>
      <c r="L1502" s="117"/>
      <c r="M1502" s="12"/>
      <c r="N1502" s="117"/>
      <c r="O1502" s="117"/>
      <c r="P1502" s="117"/>
      <c r="Q1502" s="118"/>
      <c r="R1502" s="118"/>
      <c r="S1502" s="118"/>
      <c r="T1502" s="12"/>
      <c r="U1502" s="118"/>
      <c r="V1502" s="118"/>
      <c r="W1502" s="12"/>
      <c r="X1502" s="119"/>
      <c r="Y1502" s="120"/>
      <c r="Z1502" s="12"/>
      <c r="BK1502" s="77"/>
      <c r="BO1502" s="77"/>
      <c r="BQ1502" s="77"/>
      <c r="BT1502" s="5"/>
      <c r="BU1502" s="5"/>
      <c r="BV1502" s="5"/>
      <c r="BW1502" s="71"/>
      <c r="BX1502" s="78"/>
      <c r="BY1502" s="64"/>
      <c r="BZ1502" s="3"/>
    </row>
    <row r="1503" spans="1:78">
      <c r="A1503" s="76"/>
      <c r="B1503" s="76"/>
      <c r="C1503" s="125"/>
      <c r="D1503" s="125"/>
      <c r="E1503" s="71"/>
      <c r="F1503" s="71"/>
      <c r="G1503" s="71"/>
      <c r="H1503" s="126"/>
      <c r="I1503" s="125"/>
      <c r="J1503" s="123"/>
      <c r="K1503" s="12"/>
      <c r="L1503" s="117"/>
      <c r="M1503" s="12"/>
      <c r="N1503" s="117"/>
      <c r="O1503" s="117"/>
      <c r="P1503" s="117"/>
      <c r="Q1503" s="118"/>
      <c r="R1503" s="118"/>
      <c r="S1503" s="118"/>
      <c r="T1503" s="12"/>
      <c r="U1503" s="118"/>
      <c r="V1503" s="118"/>
      <c r="W1503" s="12"/>
      <c r="X1503" s="119"/>
      <c r="Y1503" s="120"/>
      <c r="Z1503" s="12"/>
      <c r="BK1503" s="77"/>
      <c r="BO1503" s="77"/>
      <c r="BQ1503" s="77"/>
      <c r="BT1503" s="5"/>
      <c r="BU1503" s="5"/>
      <c r="BV1503" s="5"/>
      <c r="BW1503" s="71"/>
      <c r="BX1503" s="78"/>
      <c r="BY1503" s="64"/>
      <c r="BZ1503" s="3"/>
    </row>
    <row r="1504" spans="1:78">
      <c r="A1504" s="76"/>
      <c r="B1504" s="76"/>
      <c r="C1504" s="125"/>
      <c r="D1504" s="125"/>
      <c r="E1504" s="71"/>
      <c r="F1504" s="71"/>
      <c r="G1504" s="71"/>
      <c r="H1504" s="126"/>
      <c r="I1504" s="125"/>
      <c r="J1504" s="123"/>
      <c r="K1504" s="12"/>
      <c r="L1504" s="117"/>
      <c r="M1504" s="12"/>
      <c r="N1504" s="117"/>
      <c r="O1504" s="117"/>
      <c r="P1504" s="117"/>
      <c r="Q1504" s="118"/>
      <c r="R1504" s="118"/>
      <c r="S1504" s="118"/>
      <c r="T1504" s="12"/>
      <c r="U1504" s="118"/>
      <c r="V1504" s="118"/>
      <c r="W1504" s="12"/>
      <c r="X1504" s="119"/>
      <c r="Y1504" s="120"/>
      <c r="Z1504" s="12"/>
      <c r="BK1504" s="77"/>
      <c r="BO1504" s="77"/>
      <c r="BQ1504" s="77"/>
      <c r="BT1504" s="5"/>
      <c r="BU1504" s="5"/>
      <c r="BV1504" s="5"/>
      <c r="BW1504" s="71"/>
      <c r="BX1504" s="78"/>
      <c r="BY1504" s="64"/>
      <c r="BZ1504" s="3"/>
    </row>
    <row r="1505" spans="1:78">
      <c r="A1505" s="76"/>
      <c r="B1505" s="76"/>
      <c r="C1505" s="125"/>
      <c r="D1505" s="125"/>
      <c r="E1505" s="71"/>
      <c r="F1505" s="71"/>
      <c r="G1505" s="71"/>
      <c r="H1505" s="126"/>
      <c r="I1505" s="125"/>
      <c r="J1505" s="123"/>
      <c r="K1505" s="12"/>
      <c r="L1505" s="117"/>
      <c r="M1505" s="12"/>
      <c r="N1505" s="117"/>
      <c r="O1505" s="117"/>
      <c r="P1505" s="117"/>
      <c r="Q1505" s="118"/>
      <c r="R1505" s="118"/>
      <c r="S1505" s="118"/>
      <c r="T1505" s="12"/>
      <c r="U1505" s="118"/>
      <c r="V1505" s="118"/>
      <c r="W1505" s="12"/>
      <c r="X1505" s="119"/>
      <c r="Y1505" s="120"/>
      <c r="Z1505" s="12"/>
      <c r="BK1505" s="77"/>
      <c r="BO1505" s="77"/>
      <c r="BQ1505" s="77"/>
      <c r="BT1505" s="5"/>
      <c r="BU1505" s="5"/>
      <c r="BV1505" s="5"/>
      <c r="BW1505" s="71"/>
      <c r="BX1505" s="78"/>
      <c r="BY1505" s="64"/>
      <c r="BZ1505" s="3"/>
    </row>
    <row r="1506" spans="1:78">
      <c r="A1506" s="76"/>
      <c r="B1506" s="76"/>
      <c r="C1506" s="125"/>
      <c r="D1506" s="125"/>
      <c r="E1506" s="71"/>
      <c r="F1506" s="71"/>
      <c r="G1506" s="71"/>
      <c r="H1506" s="126"/>
      <c r="I1506" s="125"/>
      <c r="J1506" s="123"/>
      <c r="K1506" s="12"/>
      <c r="L1506" s="117"/>
      <c r="M1506" s="12"/>
      <c r="N1506" s="117"/>
      <c r="O1506" s="117"/>
      <c r="P1506" s="117"/>
      <c r="Q1506" s="118"/>
      <c r="R1506" s="118"/>
      <c r="S1506" s="118"/>
      <c r="T1506" s="12"/>
      <c r="U1506" s="118"/>
      <c r="V1506" s="118"/>
      <c r="W1506" s="12"/>
      <c r="X1506" s="119"/>
      <c r="Y1506" s="120"/>
      <c r="Z1506" s="12"/>
      <c r="BK1506" s="77"/>
      <c r="BO1506" s="77"/>
      <c r="BQ1506" s="77"/>
      <c r="BT1506" s="5"/>
      <c r="BU1506" s="5"/>
      <c r="BV1506" s="5"/>
      <c r="BW1506" s="71"/>
      <c r="BX1506" s="78"/>
      <c r="BY1506" s="64"/>
      <c r="BZ1506" s="3"/>
    </row>
    <row r="1507" spans="1:78">
      <c r="A1507" s="76"/>
      <c r="B1507" s="76"/>
      <c r="C1507" s="125"/>
      <c r="D1507" s="125"/>
      <c r="E1507" s="71"/>
      <c r="F1507" s="71"/>
      <c r="G1507" s="71"/>
      <c r="H1507" s="126"/>
      <c r="I1507" s="125"/>
      <c r="J1507" s="123"/>
      <c r="K1507" s="12"/>
      <c r="L1507" s="117"/>
      <c r="M1507" s="12"/>
      <c r="N1507" s="117"/>
      <c r="O1507" s="117"/>
      <c r="P1507" s="117"/>
      <c r="Q1507" s="118"/>
      <c r="R1507" s="118"/>
      <c r="S1507" s="118"/>
      <c r="T1507" s="12"/>
      <c r="U1507" s="118"/>
      <c r="V1507" s="118"/>
      <c r="W1507" s="12"/>
      <c r="X1507" s="119"/>
      <c r="Y1507" s="120"/>
      <c r="Z1507" s="12"/>
      <c r="BK1507" s="77"/>
      <c r="BO1507" s="77"/>
      <c r="BQ1507" s="77"/>
      <c r="BT1507" s="5"/>
      <c r="BU1507" s="5"/>
      <c r="BV1507" s="5"/>
      <c r="BW1507" s="71"/>
      <c r="BX1507" s="78"/>
      <c r="BY1507" s="64"/>
      <c r="BZ1507" s="3"/>
    </row>
    <row r="1508" spans="1:78">
      <c r="A1508" s="76"/>
      <c r="B1508" s="76"/>
      <c r="C1508" s="125"/>
      <c r="D1508" s="125"/>
      <c r="E1508" s="71"/>
      <c r="F1508" s="71"/>
      <c r="G1508" s="71"/>
      <c r="H1508" s="126"/>
      <c r="I1508" s="125"/>
      <c r="J1508" s="123"/>
      <c r="K1508" s="12"/>
      <c r="L1508" s="117"/>
      <c r="M1508" s="12"/>
      <c r="N1508" s="117"/>
      <c r="O1508" s="117"/>
      <c r="P1508" s="117"/>
      <c r="Q1508" s="118"/>
      <c r="R1508" s="118"/>
      <c r="S1508" s="118"/>
      <c r="T1508" s="12"/>
      <c r="U1508" s="118"/>
      <c r="V1508" s="118"/>
      <c r="W1508" s="12"/>
      <c r="X1508" s="119"/>
      <c r="Y1508" s="120"/>
      <c r="Z1508" s="12"/>
      <c r="BK1508" s="77"/>
      <c r="BO1508" s="77"/>
      <c r="BQ1508" s="77"/>
      <c r="BT1508" s="5"/>
      <c r="BU1508" s="5"/>
      <c r="BV1508" s="5"/>
      <c r="BW1508" s="71"/>
      <c r="BX1508" s="78"/>
      <c r="BY1508" s="64"/>
      <c r="BZ1508" s="3"/>
    </row>
    <row r="1509" spans="1:78">
      <c r="A1509" s="76"/>
      <c r="B1509" s="76"/>
      <c r="C1509" s="125"/>
      <c r="D1509" s="125"/>
      <c r="E1509" s="71"/>
      <c r="F1509" s="71"/>
      <c r="G1509" s="71"/>
      <c r="H1509" s="126"/>
      <c r="I1509" s="125"/>
      <c r="J1509" s="123"/>
      <c r="K1509" s="12"/>
      <c r="L1509" s="117"/>
      <c r="M1509" s="12"/>
      <c r="N1509" s="117"/>
      <c r="O1509" s="117"/>
      <c r="P1509" s="117"/>
      <c r="Q1509" s="118"/>
      <c r="R1509" s="118"/>
      <c r="S1509" s="118"/>
      <c r="T1509" s="12"/>
      <c r="U1509" s="118"/>
      <c r="V1509" s="118"/>
      <c r="W1509" s="12"/>
      <c r="X1509" s="119"/>
      <c r="Y1509" s="120"/>
      <c r="Z1509" s="12"/>
      <c r="BK1509" s="77"/>
      <c r="BO1509" s="77"/>
      <c r="BQ1509" s="77"/>
      <c r="BT1509" s="5"/>
      <c r="BU1509" s="5"/>
      <c r="BV1509" s="5"/>
      <c r="BW1509" s="71"/>
      <c r="BX1509" s="78"/>
      <c r="BY1509" s="64"/>
      <c r="BZ1509" s="3"/>
    </row>
    <row r="1510" spans="1:78">
      <c r="A1510" s="76"/>
      <c r="B1510" s="76"/>
      <c r="C1510" s="125"/>
      <c r="D1510" s="125"/>
      <c r="E1510" s="71"/>
      <c r="F1510" s="71"/>
      <c r="G1510" s="71"/>
      <c r="H1510" s="126"/>
      <c r="I1510" s="125"/>
      <c r="J1510" s="123"/>
      <c r="K1510" s="12"/>
      <c r="L1510" s="117"/>
      <c r="M1510" s="12"/>
      <c r="N1510" s="117"/>
      <c r="O1510" s="117"/>
      <c r="P1510" s="117"/>
      <c r="Q1510" s="118"/>
      <c r="R1510" s="118"/>
      <c r="S1510" s="118"/>
      <c r="T1510" s="12"/>
      <c r="U1510" s="118"/>
      <c r="V1510" s="118"/>
      <c r="W1510" s="12"/>
      <c r="X1510" s="119"/>
      <c r="Y1510" s="120"/>
      <c r="Z1510" s="12"/>
      <c r="BK1510" s="77"/>
      <c r="BO1510" s="77"/>
      <c r="BQ1510" s="77"/>
      <c r="BT1510" s="5"/>
      <c r="BU1510" s="5"/>
      <c r="BV1510" s="5"/>
      <c r="BW1510" s="71"/>
      <c r="BX1510" s="78"/>
      <c r="BY1510" s="64"/>
      <c r="BZ1510" s="3"/>
    </row>
    <row r="1511" spans="1:78">
      <c r="A1511" s="76"/>
      <c r="B1511" s="76"/>
      <c r="C1511" s="125"/>
      <c r="D1511" s="125"/>
      <c r="E1511" s="71"/>
      <c r="F1511" s="71"/>
      <c r="G1511" s="71"/>
      <c r="H1511" s="126"/>
      <c r="I1511" s="125"/>
      <c r="J1511" s="123"/>
      <c r="K1511" s="12"/>
      <c r="L1511" s="117"/>
      <c r="M1511" s="12"/>
      <c r="N1511" s="117"/>
      <c r="O1511" s="117"/>
      <c r="P1511" s="117"/>
      <c r="Q1511" s="118"/>
      <c r="R1511" s="118"/>
      <c r="S1511" s="118"/>
      <c r="T1511" s="12"/>
      <c r="U1511" s="118"/>
      <c r="V1511" s="118"/>
      <c r="W1511" s="12"/>
      <c r="X1511" s="119"/>
      <c r="Y1511" s="120"/>
      <c r="Z1511" s="12"/>
      <c r="BK1511" s="77"/>
      <c r="BO1511" s="77"/>
      <c r="BQ1511" s="77"/>
      <c r="BT1511" s="5"/>
      <c r="BU1511" s="5"/>
      <c r="BV1511" s="5"/>
      <c r="BW1511" s="71"/>
      <c r="BX1511" s="78"/>
      <c r="BY1511" s="64"/>
      <c r="BZ1511" s="3"/>
    </row>
    <row r="1512" spans="1:78">
      <c r="A1512" s="76"/>
      <c r="B1512" s="76"/>
      <c r="C1512" s="125"/>
      <c r="D1512" s="125"/>
      <c r="E1512" s="71"/>
      <c r="F1512" s="71"/>
      <c r="G1512" s="71"/>
      <c r="H1512" s="126"/>
      <c r="I1512" s="125"/>
      <c r="J1512" s="123"/>
      <c r="K1512" s="12"/>
      <c r="L1512" s="117"/>
      <c r="M1512" s="12"/>
      <c r="N1512" s="117"/>
      <c r="O1512" s="117"/>
      <c r="P1512" s="117"/>
      <c r="Q1512" s="118"/>
      <c r="R1512" s="118"/>
      <c r="S1512" s="118"/>
      <c r="T1512" s="12"/>
      <c r="U1512" s="118"/>
      <c r="V1512" s="118"/>
      <c r="W1512" s="12"/>
      <c r="X1512" s="119"/>
      <c r="Y1512" s="120"/>
      <c r="Z1512" s="12"/>
      <c r="BK1512" s="77"/>
      <c r="BO1512" s="77"/>
      <c r="BQ1512" s="77"/>
      <c r="BT1512" s="5"/>
      <c r="BU1512" s="5"/>
      <c r="BV1512" s="5"/>
      <c r="BW1512" s="71"/>
      <c r="BX1512" s="78"/>
      <c r="BY1512" s="64"/>
      <c r="BZ1512" s="3"/>
    </row>
    <row r="1513" spans="1:78">
      <c r="A1513" s="76"/>
      <c r="B1513" s="76"/>
      <c r="C1513" s="125"/>
      <c r="D1513" s="125"/>
      <c r="E1513" s="71"/>
      <c r="F1513" s="71"/>
      <c r="G1513" s="71"/>
      <c r="H1513" s="126"/>
      <c r="I1513" s="125"/>
      <c r="J1513" s="123"/>
      <c r="K1513" s="12"/>
      <c r="L1513" s="117"/>
      <c r="M1513" s="12"/>
      <c r="N1513" s="117"/>
      <c r="O1513" s="117"/>
      <c r="P1513" s="117"/>
      <c r="Q1513" s="118"/>
      <c r="R1513" s="118"/>
      <c r="S1513" s="118"/>
      <c r="T1513" s="12"/>
      <c r="U1513" s="118"/>
      <c r="V1513" s="118"/>
      <c r="W1513" s="12"/>
      <c r="X1513" s="119"/>
      <c r="Y1513" s="120"/>
      <c r="Z1513" s="12"/>
      <c r="BK1513" s="77"/>
      <c r="BO1513" s="77"/>
      <c r="BQ1513" s="77"/>
      <c r="BT1513" s="5"/>
      <c r="BU1513" s="5"/>
      <c r="BV1513" s="5"/>
      <c r="BW1513" s="71"/>
      <c r="BX1513" s="78"/>
      <c r="BY1513" s="64"/>
      <c r="BZ1513" s="3"/>
    </row>
    <row r="1514" spans="1:78">
      <c r="A1514" s="76"/>
      <c r="B1514" s="76"/>
      <c r="C1514" s="125"/>
      <c r="D1514" s="125"/>
      <c r="E1514" s="71"/>
      <c r="F1514" s="71"/>
      <c r="G1514" s="71"/>
      <c r="H1514" s="126"/>
      <c r="I1514" s="125"/>
      <c r="J1514" s="123"/>
      <c r="K1514" s="12"/>
      <c r="L1514" s="117"/>
      <c r="M1514" s="12"/>
      <c r="N1514" s="117"/>
      <c r="O1514" s="117"/>
      <c r="P1514" s="117"/>
      <c r="Q1514" s="118"/>
      <c r="R1514" s="118"/>
      <c r="S1514" s="118"/>
      <c r="T1514" s="12"/>
      <c r="U1514" s="118"/>
      <c r="V1514" s="118"/>
      <c r="W1514" s="12"/>
      <c r="X1514" s="119"/>
      <c r="Y1514" s="120"/>
      <c r="Z1514" s="12"/>
      <c r="BK1514" s="77"/>
      <c r="BO1514" s="77"/>
      <c r="BQ1514" s="77"/>
      <c r="BT1514" s="5"/>
      <c r="BU1514" s="5"/>
      <c r="BV1514" s="5"/>
      <c r="BW1514" s="71"/>
      <c r="BX1514" s="78"/>
      <c r="BY1514" s="64"/>
      <c r="BZ1514" s="3"/>
    </row>
    <row r="1515" spans="1:78">
      <c r="A1515" s="76"/>
      <c r="B1515" s="76"/>
      <c r="C1515" s="125"/>
      <c r="D1515" s="125"/>
      <c r="E1515" s="71"/>
      <c r="F1515" s="71"/>
      <c r="G1515" s="71"/>
      <c r="H1515" s="126"/>
      <c r="I1515" s="125"/>
      <c r="J1515" s="123"/>
      <c r="K1515" s="12"/>
      <c r="L1515" s="117"/>
      <c r="M1515" s="12"/>
      <c r="N1515" s="117"/>
      <c r="O1515" s="117"/>
      <c r="P1515" s="117"/>
      <c r="Q1515" s="118"/>
      <c r="R1515" s="118"/>
      <c r="S1515" s="118"/>
      <c r="T1515" s="12"/>
      <c r="U1515" s="118"/>
      <c r="V1515" s="118"/>
      <c r="W1515" s="12"/>
      <c r="X1515" s="119"/>
      <c r="Y1515" s="120"/>
      <c r="Z1515" s="12"/>
      <c r="BK1515" s="77"/>
      <c r="BO1515" s="77"/>
      <c r="BQ1515" s="77"/>
      <c r="BT1515" s="5"/>
      <c r="BU1515" s="5"/>
      <c r="BV1515" s="5"/>
      <c r="BW1515" s="71"/>
      <c r="BX1515" s="78"/>
      <c r="BY1515" s="64"/>
      <c r="BZ1515" s="3"/>
    </row>
    <row r="1516" spans="1:78">
      <c r="A1516" s="76"/>
      <c r="B1516" s="76"/>
      <c r="C1516" s="125"/>
      <c r="D1516" s="125"/>
      <c r="E1516" s="71"/>
      <c r="F1516" s="71"/>
      <c r="G1516" s="71"/>
      <c r="H1516" s="126"/>
      <c r="I1516" s="125"/>
      <c r="J1516" s="123"/>
      <c r="K1516" s="12"/>
      <c r="L1516" s="117"/>
      <c r="M1516" s="12"/>
      <c r="N1516" s="117"/>
      <c r="O1516" s="117"/>
      <c r="P1516" s="117"/>
      <c r="Q1516" s="118"/>
      <c r="R1516" s="118"/>
      <c r="S1516" s="118"/>
      <c r="T1516" s="12"/>
      <c r="U1516" s="118"/>
      <c r="V1516" s="118"/>
      <c r="W1516" s="12"/>
      <c r="X1516" s="119"/>
      <c r="Y1516" s="120"/>
      <c r="Z1516" s="12"/>
      <c r="BK1516" s="77"/>
      <c r="BO1516" s="77"/>
      <c r="BQ1516" s="77"/>
      <c r="BT1516" s="5"/>
      <c r="BU1516" s="5"/>
      <c r="BV1516" s="5"/>
      <c r="BW1516" s="71"/>
      <c r="BX1516" s="78"/>
      <c r="BY1516" s="64"/>
      <c r="BZ1516" s="3"/>
    </row>
    <row r="1517" spans="1:78">
      <c r="A1517" s="76"/>
      <c r="B1517" s="76"/>
      <c r="C1517" s="125"/>
      <c r="D1517" s="125"/>
      <c r="E1517" s="71"/>
      <c r="F1517" s="71"/>
      <c r="G1517" s="71"/>
      <c r="H1517" s="126"/>
      <c r="I1517" s="125"/>
      <c r="J1517" s="123"/>
      <c r="K1517" s="12"/>
      <c r="L1517" s="117"/>
      <c r="M1517" s="12"/>
      <c r="N1517" s="117"/>
      <c r="O1517" s="117"/>
      <c r="P1517" s="117"/>
      <c r="Q1517" s="118"/>
      <c r="R1517" s="118"/>
      <c r="S1517" s="118"/>
      <c r="T1517" s="12"/>
      <c r="U1517" s="118"/>
      <c r="V1517" s="118"/>
      <c r="W1517" s="12"/>
      <c r="X1517" s="119"/>
      <c r="Y1517" s="120"/>
      <c r="Z1517" s="12"/>
      <c r="BK1517" s="77"/>
      <c r="BO1517" s="77"/>
      <c r="BQ1517" s="77"/>
      <c r="BT1517" s="5"/>
      <c r="BU1517" s="5"/>
      <c r="BV1517" s="5"/>
      <c r="BW1517" s="71"/>
      <c r="BX1517" s="78"/>
      <c r="BY1517" s="64"/>
      <c r="BZ1517" s="3"/>
    </row>
    <row r="1518" spans="1:78">
      <c r="A1518" s="76"/>
      <c r="B1518" s="76"/>
      <c r="C1518" s="125"/>
      <c r="D1518" s="125"/>
      <c r="E1518" s="71"/>
      <c r="F1518" s="71"/>
      <c r="G1518" s="71"/>
      <c r="H1518" s="126"/>
      <c r="I1518" s="125"/>
      <c r="J1518" s="123"/>
      <c r="K1518" s="12"/>
      <c r="L1518" s="117"/>
      <c r="M1518" s="12"/>
      <c r="N1518" s="117"/>
      <c r="O1518" s="117"/>
      <c r="P1518" s="117"/>
      <c r="Q1518" s="118"/>
      <c r="R1518" s="118"/>
      <c r="S1518" s="118"/>
      <c r="T1518" s="12"/>
      <c r="U1518" s="118"/>
      <c r="V1518" s="118"/>
      <c r="W1518" s="12"/>
      <c r="X1518" s="119"/>
      <c r="Y1518" s="120"/>
      <c r="Z1518" s="12"/>
      <c r="BK1518" s="77"/>
      <c r="BO1518" s="77"/>
      <c r="BQ1518" s="77"/>
      <c r="BT1518" s="5"/>
      <c r="BU1518" s="5"/>
      <c r="BV1518" s="5"/>
      <c r="BW1518" s="71"/>
      <c r="BX1518" s="78"/>
      <c r="BY1518" s="64"/>
      <c r="BZ1518" s="3"/>
    </row>
    <row r="1519" spans="1:78">
      <c r="A1519" s="76"/>
      <c r="B1519" s="76"/>
      <c r="C1519" s="125"/>
      <c r="D1519" s="125"/>
      <c r="E1519" s="71"/>
      <c r="F1519" s="71"/>
      <c r="G1519" s="71"/>
      <c r="H1519" s="126"/>
      <c r="I1519" s="125"/>
      <c r="J1519" s="123"/>
      <c r="K1519" s="12"/>
      <c r="L1519" s="117"/>
      <c r="M1519" s="12"/>
      <c r="N1519" s="117"/>
      <c r="O1519" s="117"/>
      <c r="P1519" s="117"/>
      <c r="Q1519" s="118"/>
      <c r="R1519" s="118"/>
      <c r="S1519" s="118"/>
      <c r="T1519" s="12"/>
      <c r="U1519" s="118"/>
      <c r="V1519" s="118"/>
      <c r="W1519" s="12"/>
      <c r="X1519" s="119"/>
      <c r="Y1519" s="120"/>
      <c r="Z1519" s="12"/>
      <c r="BK1519" s="77"/>
      <c r="BO1519" s="77"/>
      <c r="BQ1519" s="77"/>
      <c r="BT1519" s="5"/>
      <c r="BU1519" s="5"/>
      <c r="BV1519" s="5"/>
      <c r="BW1519" s="71"/>
      <c r="BX1519" s="78"/>
      <c r="BY1519" s="64"/>
      <c r="BZ1519" s="3"/>
    </row>
    <row r="1520" spans="1:78">
      <c r="A1520" s="76"/>
      <c r="B1520" s="76"/>
      <c r="C1520" s="125"/>
      <c r="D1520" s="125"/>
      <c r="E1520" s="71"/>
      <c r="F1520" s="71"/>
      <c r="G1520" s="71"/>
      <c r="H1520" s="126"/>
      <c r="I1520" s="125"/>
      <c r="J1520" s="123"/>
      <c r="K1520" s="12"/>
      <c r="L1520" s="117"/>
      <c r="M1520" s="12"/>
      <c r="N1520" s="117"/>
      <c r="O1520" s="117"/>
      <c r="P1520" s="117"/>
      <c r="Q1520" s="118"/>
      <c r="R1520" s="118"/>
      <c r="S1520" s="118"/>
      <c r="T1520" s="12"/>
      <c r="U1520" s="118"/>
      <c r="V1520" s="118"/>
      <c r="W1520" s="12"/>
      <c r="X1520" s="119"/>
      <c r="Y1520" s="120"/>
      <c r="Z1520" s="12"/>
      <c r="BK1520" s="77"/>
      <c r="BO1520" s="77"/>
      <c r="BQ1520" s="77"/>
      <c r="BT1520" s="5"/>
      <c r="BU1520" s="5"/>
      <c r="BV1520" s="5"/>
      <c r="BW1520" s="71"/>
      <c r="BX1520" s="78"/>
      <c r="BY1520" s="64"/>
      <c r="BZ1520" s="3"/>
    </row>
    <row r="1521" spans="1:78">
      <c r="A1521" s="76"/>
      <c r="B1521" s="76"/>
      <c r="C1521" s="125"/>
      <c r="D1521" s="125"/>
      <c r="E1521" s="71"/>
      <c r="F1521" s="71"/>
      <c r="G1521" s="71"/>
      <c r="H1521" s="126"/>
      <c r="I1521" s="125"/>
      <c r="J1521" s="123"/>
      <c r="K1521" s="12"/>
      <c r="L1521" s="117"/>
      <c r="M1521" s="12"/>
      <c r="N1521" s="117"/>
      <c r="O1521" s="117"/>
      <c r="P1521" s="117"/>
      <c r="Q1521" s="118"/>
      <c r="R1521" s="118"/>
      <c r="S1521" s="118"/>
      <c r="T1521" s="12"/>
      <c r="U1521" s="118"/>
      <c r="V1521" s="118"/>
      <c r="W1521" s="12"/>
      <c r="X1521" s="119"/>
      <c r="Y1521" s="120"/>
      <c r="Z1521" s="12"/>
      <c r="BK1521" s="77"/>
      <c r="BO1521" s="77"/>
      <c r="BQ1521" s="77"/>
      <c r="BT1521" s="5"/>
      <c r="BU1521" s="5"/>
      <c r="BV1521" s="5"/>
      <c r="BW1521" s="71"/>
      <c r="BX1521" s="78"/>
      <c r="BY1521" s="64"/>
      <c r="BZ1521" s="3"/>
    </row>
    <row r="1522" spans="1:78">
      <c r="A1522" s="76"/>
      <c r="B1522" s="76"/>
      <c r="C1522" s="125"/>
      <c r="D1522" s="125"/>
      <c r="E1522" s="71"/>
      <c r="F1522" s="71"/>
      <c r="G1522" s="71"/>
      <c r="H1522" s="126"/>
      <c r="I1522" s="125"/>
      <c r="J1522" s="123"/>
      <c r="K1522" s="12"/>
      <c r="L1522" s="117"/>
      <c r="M1522" s="12"/>
      <c r="N1522" s="117"/>
      <c r="O1522" s="117"/>
      <c r="P1522" s="117"/>
      <c r="Q1522" s="118"/>
      <c r="R1522" s="118"/>
      <c r="S1522" s="118"/>
      <c r="T1522" s="12"/>
      <c r="U1522" s="118"/>
      <c r="V1522" s="118"/>
      <c r="W1522" s="12"/>
      <c r="X1522" s="119"/>
      <c r="Y1522" s="120"/>
      <c r="Z1522" s="12"/>
      <c r="BK1522" s="77"/>
      <c r="BO1522" s="77"/>
      <c r="BQ1522" s="77"/>
      <c r="BT1522" s="5"/>
      <c r="BU1522" s="5"/>
      <c r="BV1522" s="5"/>
      <c r="BW1522" s="71"/>
      <c r="BX1522" s="78"/>
      <c r="BY1522" s="64"/>
      <c r="BZ1522" s="3"/>
    </row>
    <row r="1523" spans="1:78">
      <c r="A1523" s="76"/>
      <c r="B1523" s="76"/>
      <c r="C1523" s="125"/>
      <c r="D1523" s="125"/>
      <c r="E1523" s="71"/>
      <c r="F1523" s="71"/>
      <c r="G1523" s="71"/>
      <c r="H1523" s="126"/>
      <c r="I1523" s="125"/>
      <c r="J1523" s="123"/>
      <c r="K1523" s="12"/>
      <c r="L1523" s="117"/>
      <c r="M1523" s="12"/>
      <c r="N1523" s="117"/>
      <c r="O1523" s="117"/>
      <c r="P1523" s="117"/>
      <c r="Q1523" s="118"/>
      <c r="R1523" s="118"/>
      <c r="S1523" s="118"/>
      <c r="T1523" s="12"/>
      <c r="U1523" s="118"/>
      <c r="V1523" s="118"/>
      <c r="W1523" s="12"/>
      <c r="X1523" s="119"/>
      <c r="Y1523" s="120"/>
      <c r="Z1523" s="12"/>
      <c r="BK1523" s="77"/>
      <c r="BO1523" s="77"/>
      <c r="BQ1523" s="77"/>
      <c r="BT1523" s="5"/>
      <c r="BU1523" s="5"/>
      <c r="BV1523" s="5"/>
      <c r="BW1523" s="71"/>
      <c r="BX1523" s="78"/>
      <c r="BY1523" s="64"/>
      <c r="BZ1523" s="3"/>
    </row>
    <row r="1524" spans="1:78">
      <c r="A1524" s="76"/>
      <c r="B1524" s="76"/>
      <c r="C1524" s="125"/>
      <c r="D1524" s="125"/>
      <c r="E1524" s="71"/>
      <c r="F1524" s="71"/>
      <c r="G1524" s="71"/>
      <c r="H1524" s="126"/>
      <c r="I1524" s="125"/>
      <c r="J1524" s="123"/>
      <c r="K1524" s="12"/>
      <c r="L1524" s="117"/>
      <c r="M1524" s="12"/>
      <c r="N1524" s="117"/>
      <c r="O1524" s="117"/>
      <c r="P1524" s="117"/>
      <c r="Q1524" s="118"/>
      <c r="R1524" s="118"/>
      <c r="S1524" s="118"/>
      <c r="T1524" s="12"/>
      <c r="U1524" s="118"/>
      <c r="V1524" s="118"/>
      <c r="W1524" s="12"/>
      <c r="X1524" s="119"/>
      <c r="Y1524" s="120"/>
      <c r="Z1524" s="12"/>
      <c r="BK1524" s="77"/>
      <c r="BO1524" s="77"/>
      <c r="BQ1524" s="77"/>
      <c r="BT1524" s="5"/>
      <c r="BU1524" s="5"/>
      <c r="BV1524" s="5"/>
      <c r="BW1524" s="71"/>
      <c r="BX1524" s="78"/>
      <c r="BY1524" s="64"/>
      <c r="BZ1524" s="3"/>
    </row>
    <row r="1525" spans="1:78">
      <c r="A1525" s="76"/>
      <c r="B1525" s="76"/>
      <c r="C1525" s="125"/>
      <c r="D1525" s="125"/>
      <c r="E1525" s="71"/>
      <c r="F1525" s="71"/>
      <c r="G1525" s="71"/>
      <c r="H1525" s="126"/>
      <c r="I1525" s="125"/>
      <c r="J1525" s="123"/>
      <c r="K1525" s="12"/>
      <c r="L1525" s="117"/>
      <c r="M1525" s="12"/>
      <c r="N1525" s="117"/>
      <c r="O1525" s="117"/>
      <c r="P1525" s="117"/>
      <c r="Q1525" s="118"/>
      <c r="R1525" s="118"/>
      <c r="S1525" s="118"/>
      <c r="T1525" s="12"/>
      <c r="U1525" s="118"/>
      <c r="V1525" s="118"/>
      <c r="W1525" s="12"/>
      <c r="X1525" s="119"/>
      <c r="Y1525" s="120"/>
      <c r="Z1525" s="12"/>
      <c r="BK1525" s="77"/>
      <c r="BO1525" s="77"/>
      <c r="BQ1525" s="77"/>
      <c r="BT1525" s="5"/>
      <c r="BU1525" s="5"/>
      <c r="BV1525" s="5"/>
      <c r="BW1525" s="71"/>
      <c r="BX1525" s="78"/>
      <c r="BY1525" s="64"/>
      <c r="BZ1525" s="3"/>
    </row>
    <row r="1526" spans="1:78">
      <c r="A1526" s="76"/>
      <c r="B1526" s="76"/>
      <c r="C1526" s="125"/>
      <c r="D1526" s="125"/>
      <c r="E1526" s="71"/>
      <c r="F1526" s="71"/>
      <c r="G1526" s="71"/>
      <c r="H1526" s="126"/>
      <c r="I1526" s="125"/>
      <c r="J1526" s="123"/>
      <c r="K1526" s="12"/>
      <c r="L1526" s="117"/>
      <c r="M1526" s="12"/>
      <c r="N1526" s="117"/>
      <c r="O1526" s="117"/>
      <c r="P1526" s="117"/>
      <c r="Q1526" s="118"/>
      <c r="R1526" s="118"/>
      <c r="S1526" s="118"/>
      <c r="T1526" s="12"/>
      <c r="U1526" s="118"/>
      <c r="V1526" s="118"/>
      <c r="W1526" s="12"/>
      <c r="X1526" s="119"/>
      <c r="Y1526" s="120"/>
      <c r="Z1526" s="12"/>
      <c r="BK1526" s="77"/>
      <c r="BO1526" s="77"/>
      <c r="BQ1526" s="77"/>
      <c r="BT1526" s="5"/>
      <c r="BU1526" s="5"/>
      <c r="BV1526" s="5"/>
      <c r="BW1526" s="71"/>
      <c r="BX1526" s="78"/>
      <c r="BY1526" s="64"/>
      <c r="BZ1526" s="3"/>
    </row>
    <row r="1527" spans="1:78">
      <c r="A1527" s="76"/>
      <c r="B1527" s="76"/>
      <c r="C1527" s="125"/>
      <c r="D1527" s="125"/>
      <c r="E1527" s="71"/>
      <c r="F1527" s="71"/>
      <c r="G1527" s="71"/>
      <c r="H1527" s="126"/>
      <c r="I1527" s="125"/>
      <c r="J1527" s="123"/>
      <c r="K1527" s="12"/>
      <c r="L1527" s="117"/>
      <c r="M1527" s="12"/>
      <c r="N1527" s="117"/>
      <c r="O1527" s="117"/>
      <c r="P1527" s="117"/>
      <c r="Q1527" s="118"/>
      <c r="R1527" s="118"/>
      <c r="S1527" s="118"/>
      <c r="T1527" s="12"/>
      <c r="U1527" s="118"/>
      <c r="V1527" s="118"/>
      <c r="W1527" s="12"/>
      <c r="X1527" s="119"/>
      <c r="Y1527" s="120"/>
      <c r="Z1527" s="12"/>
      <c r="BK1527" s="77"/>
      <c r="BO1527" s="77"/>
      <c r="BQ1527" s="77"/>
      <c r="BT1527" s="5"/>
      <c r="BU1527" s="5"/>
      <c r="BV1527" s="5"/>
      <c r="BW1527" s="71"/>
      <c r="BX1527" s="78"/>
      <c r="BY1527" s="64"/>
      <c r="BZ1527" s="3"/>
    </row>
    <row r="1528" spans="1:78">
      <c r="A1528" s="76"/>
      <c r="B1528" s="76"/>
      <c r="C1528" s="125"/>
      <c r="D1528" s="125"/>
      <c r="E1528" s="71"/>
      <c r="F1528" s="71"/>
      <c r="G1528" s="71"/>
      <c r="H1528" s="126"/>
      <c r="I1528" s="125"/>
      <c r="J1528" s="123"/>
      <c r="K1528" s="12"/>
      <c r="L1528" s="117"/>
      <c r="M1528" s="12"/>
      <c r="N1528" s="117"/>
      <c r="O1528" s="117"/>
      <c r="P1528" s="117"/>
      <c r="Q1528" s="118"/>
      <c r="R1528" s="118"/>
      <c r="S1528" s="118"/>
      <c r="T1528" s="12"/>
      <c r="U1528" s="118"/>
      <c r="V1528" s="118"/>
      <c r="W1528" s="12"/>
      <c r="X1528" s="119"/>
      <c r="Y1528" s="120"/>
      <c r="Z1528" s="12"/>
      <c r="BK1528" s="77"/>
      <c r="BO1528" s="77"/>
      <c r="BQ1528" s="77"/>
      <c r="BT1528" s="5"/>
      <c r="BU1528" s="5"/>
      <c r="BV1528" s="5"/>
      <c r="BW1528" s="71"/>
      <c r="BX1528" s="78"/>
      <c r="BY1528" s="64"/>
      <c r="BZ1528" s="3"/>
    </row>
    <row r="1529" spans="1:78">
      <c r="A1529" s="76"/>
      <c r="B1529" s="76"/>
      <c r="C1529" s="125"/>
      <c r="D1529" s="125"/>
      <c r="E1529" s="71"/>
      <c r="F1529" s="71"/>
      <c r="G1529" s="71"/>
      <c r="H1529" s="126"/>
      <c r="I1529" s="125"/>
      <c r="J1529" s="123"/>
      <c r="K1529" s="12"/>
      <c r="L1529" s="117"/>
      <c r="M1529" s="12"/>
      <c r="N1529" s="117"/>
      <c r="O1529" s="117"/>
      <c r="P1529" s="117"/>
      <c r="Q1529" s="118"/>
      <c r="R1529" s="118"/>
      <c r="S1529" s="118"/>
      <c r="T1529" s="12"/>
      <c r="U1529" s="118"/>
      <c r="V1529" s="118"/>
      <c r="W1529" s="12"/>
      <c r="X1529" s="119"/>
      <c r="Y1529" s="120"/>
      <c r="Z1529" s="12"/>
      <c r="BK1529" s="77"/>
      <c r="BO1529" s="77"/>
      <c r="BQ1529" s="77"/>
      <c r="BT1529" s="5"/>
      <c r="BU1529" s="5"/>
      <c r="BV1529" s="5"/>
      <c r="BW1529" s="71"/>
      <c r="BX1529" s="78"/>
      <c r="BY1529" s="64"/>
      <c r="BZ1529" s="3"/>
    </row>
    <row r="1530" spans="1:78">
      <c r="A1530" s="76"/>
      <c r="B1530" s="76"/>
      <c r="C1530" s="125"/>
      <c r="D1530" s="125"/>
      <c r="E1530" s="71"/>
      <c r="F1530" s="71"/>
      <c r="G1530" s="71"/>
      <c r="H1530" s="126"/>
      <c r="I1530" s="125"/>
      <c r="J1530" s="123"/>
      <c r="K1530" s="12"/>
      <c r="L1530" s="117"/>
      <c r="M1530" s="12"/>
      <c r="N1530" s="117"/>
      <c r="O1530" s="117"/>
      <c r="P1530" s="117"/>
      <c r="Q1530" s="118"/>
      <c r="R1530" s="118"/>
      <c r="S1530" s="118"/>
      <c r="T1530" s="12"/>
      <c r="U1530" s="118"/>
      <c r="V1530" s="118"/>
      <c r="W1530" s="12"/>
      <c r="X1530" s="119"/>
      <c r="Y1530" s="120"/>
      <c r="Z1530" s="12"/>
      <c r="BK1530" s="77"/>
      <c r="BO1530" s="77"/>
      <c r="BQ1530" s="77"/>
      <c r="BT1530" s="5"/>
      <c r="BU1530" s="5"/>
      <c r="BV1530" s="5"/>
      <c r="BW1530" s="71"/>
      <c r="BX1530" s="78"/>
      <c r="BY1530" s="64"/>
      <c r="BZ1530" s="3"/>
    </row>
    <row r="1531" spans="1:78">
      <c r="A1531" s="76"/>
      <c r="B1531" s="76"/>
      <c r="C1531" s="125"/>
      <c r="D1531" s="125"/>
      <c r="E1531" s="71"/>
      <c r="F1531" s="71"/>
      <c r="G1531" s="71"/>
      <c r="H1531" s="126"/>
      <c r="I1531" s="125"/>
      <c r="J1531" s="123"/>
      <c r="K1531" s="12"/>
      <c r="L1531" s="117"/>
      <c r="M1531" s="12"/>
      <c r="N1531" s="117"/>
      <c r="O1531" s="117"/>
      <c r="P1531" s="117"/>
      <c r="Q1531" s="118"/>
      <c r="R1531" s="118"/>
      <c r="S1531" s="118"/>
      <c r="T1531" s="12"/>
      <c r="U1531" s="118"/>
      <c r="V1531" s="118"/>
      <c r="W1531" s="12"/>
      <c r="X1531" s="119"/>
      <c r="Y1531" s="120"/>
      <c r="Z1531" s="12"/>
      <c r="BK1531" s="77"/>
      <c r="BO1531" s="77"/>
      <c r="BQ1531" s="77"/>
      <c r="BT1531" s="5"/>
      <c r="BU1531" s="5"/>
      <c r="BV1531" s="5"/>
      <c r="BW1531" s="71"/>
      <c r="BX1531" s="78"/>
      <c r="BY1531" s="64"/>
      <c r="BZ1531" s="3"/>
    </row>
    <row r="1532" spans="1:78">
      <c r="A1532" s="76"/>
      <c r="B1532" s="76"/>
      <c r="C1532" s="125"/>
      <c r="D1532" s="125"/>
      <c r="E1532" s="71"/>
      <c r="F1532" s="71"/>
      <c r="G1532" s="71"/>
      <c r="H1532" s="126"/>
      <c r="I1532" s="125"/>
      <c r="J1532" s="123"/>
      <c r="K1532" s="12"/>
      <c r="L1532" s="117"/>
      <c r="M1532" s="12"/>
      <c r="N1532" s="117"/>
      <c r="O1532" s="117"/>
      <c r="P1532" s="117"/>
      <c r="Q1532" s="118"/>
      <c r="R1532" s="118"/>
      <c r="S1532" s="118"/>
      <c r="T1532" s="12"/>
      <c r="U1532" s="118"/>
      <c r="V1532" s="118"/>
      <c r="W1532" s="12"/>
      <c r="X1532" s="119"/>
      <c r="Y1532" s="120"/>
      <c r="Z1532" s="12"/>
      <c r="BK1532" s="77"/>
      <c r="BO1532" s="77"/>
      <c r="BQ1532" s="77"/>
      <c r="BT1532" s="5"/>
      <c r="BU1532" s="5"/>
      <c r="BV1532" s="5"/>
      <c r="BW1532" s="71"/>
      <c r="BX1532" s="78"/>
      <c r="BY1532" s="64"/>
      <c r="BZ1532" s="3"/>
    </row>
    <row r="1533" spans="1:78">
      <c r="A1533" s="76"/>
      <c r="B1533" s="76"/>
      <c r="C1533" s="125"/>
      <c r="D1533" s="125"/>
      <c r="E1533" s="71"/>
      <c r="F1533" s="71"/>
      <c r="G1533" s="71"/>
      <c r="H1533" s="126"/>
      <c r="I1533" s="125"/>
      <c r="J1533" s="123"/>
      <c r="K1533" s="12"/>
      <c r="L1533" s="117"/>
      <c r="M1533" s="12"/>
      <c r="N1533" s="117"/>
      <c r="O1533" s="117"/>
      <c r="P1533" s="117"/>
      <c r="Q1533" s="118"/>
      <c r="R1533" s="118"/>
      <c r="S1533" s="118"/>
      <c r="T1533" s="12"/>
      <c r="U1533" s="118"/>
      <c r="V1533" s="118"/>
      <c r="W1533" s="12"/>
      <c r="X1533" s="119"/>
      <c r="Y1533" s="120"/>
      <c r="Z1533" s="12"/>
      <c r="BK1533" s="77"/>
      <c r="BO1533" s="77"/>
      <c r="BQ1533" s="77"/>
      <c r="BT1533" s="5"/>
      <c r="BU1533" s="5"/>
      <c r="BV1533" s="5"/>
      <c r="BW1533" s="71"/>
      <c r="BX1533" s="78"/>
      <c r="BY1533" s="64"/>
      <c r="BZ1533" s="3"/>
    </row>
    <row r="1534" spans="1:78">
      <c r="A1534" s="76"/>
      <c r="B1534" s="76"/>
      <c r="C1534" s="125"/>
      <c r="D1534" s="125"/>
      <c r="E1534" s="71"/>
      <c r="F1534" s="71"/>
      <c r="G1534" s="71"/>
      <c r="H1534" s="126"/>
      <c r="I1534" s="125"/>
      <c r="J1534" s="123"/>
      <c r="K1534" s="12"/>
      <c r="L1534" s="117"/>
      <c r="M1534" s="12"/>
      <c r="N1534" s="117"/>
      <c r="O1534" s="117"/>
      <c r="P1534" s="117"/>
      <c r="Q1534" s="118"/>
      <c r="R1534" s="118"/>
      <c r="S1534" s="118"/>
      <c r="T1534" s="12"/>
      <c r="U1534" s="118"/>
      <c r="V1534" s="118"/>
      <c r="W1534" s="12"/>
      <c r="X1534" s="119"/>
      <c r="Y1534" s="120"/>
      <c r="Z1534" s="12"/>
      <c r="BK1534" s="77"/>
      <c r="BO1534" s="77"/>
      <c r="BQ1534" s="77"/>
      <c r="BT1534" s="5"/>
      <c r="BU1534" s="5"/>
      <c r="BV1534" s="5"/>
      <c r="BW1534" s="71"/>
      <c r="BX1534" s="78"/>
      <c r="BY1534" s="64"/>
      <c r="BZ1534" s="3"/>
    </row>
    <row r="1535" spans="1:78">
      <c r="A1535" s="76"/>
      <c r="B1535" s="76"/>
      <c r="C1535" s="125"/>
      <c r="D1535" s="125"/>
      <c r="E1535" s="71"/>
      <c r="F1535" s="71"/>
      <c r="G1535" s="71"/>
      <c r="H1535" s="126"/>
      <c r="I1535" s="125"/>
      <c r="J1535" s="123"/>
      <c r="K1535" s="12"/>
      <c r="L1535" s="117"/>
      <c r="M1535" s="12"/>
      <c r="N1535" s="117"/>
      <c r="O1535" s="117"/>
      <c r="P1535" s="117"/>
      <c r="Q1535" s="118"/>
      <c r="R1535" s="118"/>
      <c r="S1535" s="118"/>
      <c r="T1535" s="12"/>
      <c r="U1535" s="118"/>
      <c r="V1535" s="118"/>
      <c r="W1535" s="12"/>
      <c r="X1535" s="119"/>
      <c r="Y1535" s="120"/>
      <c r="Z1535" s="12"/>
      <c r="BK1535" s="77"/>
      <c r="BO1535" s="77"/>
      <c r="BQ1535" s="77"/>
      <c r="BT1535" s="5"/>
      <c r="BU1535" s="5"/>
      <c r="BV1535" s="5"/>
      <c r="BW1535" s="71"/>
      <c r="BX1535" s="78"/>
      <c r="BY1535" s="64"/>
      <c r="BZ1535" s="3"/>
    </row>
    <row r="1536" spans="1:78">
      <c r="A1536" s="76"/>
      <c r="B1536" s="76"/>
      <c r="C1536" s="125"/>
      <c r="D1536" s="125"/>
      <c r="E1536" s="71"/>
      <c r="F1536" s="71"/>
      <c r="G1536" s="71"/>
      <c r="H1536" s="126"/>
      <c r="I1536" s="125"/>
      <c r="J1536" s="123"/>
      <c r="K1536" s="12"/>
      <c r="L1536" s="117"/>
      <c r="M1536" s="12"/>
      <c r="N1536" s="117"/>
      <c r="O1536" s="117"/>
      <c r="P1536" s="117"/>
      <c r="Q1536" s="118"/>
      <c r="R1536" s="118"/>
      <c r="S1536" s="118"/>
      <c r="T1536" s="12"/>
      <c r="U1536" s="118"/>
      <c r="V1536" s="118"/>
      <c r="W1536" s="12"/>
      <c r="X1536" s="119"/>
      <c r="Y1536" s="120"/>
      <c r="Z1536" s="12"/>
      <c r="BK1536" s="77"/>
      <c r="BO1536" s="77"/>
      <c r="BQ1536" s="77"/>
      <c r="BT1536" s="5"/>
      <c r="BU1536" s="5"/>
      <c r="BV1536" s="5"/>
      <c r="BW1536" s="71"/>
      <c r="BX1536" s="78"/>
      <c r="BY1536" s="64"/>
      <c r="BZ1536" s="3"/>
    </row>
    <row r="1537" spans="1:78">
      <c r="A1537" s="76"/>
      <c r="B1537" s="76"/>
      <c r="C1537" s="125"/>
      <c r="D1537" s="125"/>
      <c r="E1537" s="71"/>
      <c r="F1537" s="71"/>
      <c r="G1537" s="71"/>
      <c r="H1537" s="126"/>
      <c r="I1537" s="125"/>
      <c r="J1537" s="123"/>
      <c r="K1537" s="12"/>
      <c r="L1537" s="117"/>
      <c r="M1537" s="12"/>
      <c r="N1537" s="117"/>
      <c r="O1537" s="117"/>
      <c r="P1537" s="117"/>
      <c r="Q1537" s="118"/>
      <c r="R1537" s="118"/>
      <c r="S1537" s="118"/>
      <c r="T1537" s="12"/>
      <c r="U1537" s="118"/>
      <c r="V1537" s="118"/>
      <c r="W1537" s="12"/>
      <c r="X1537" s="119"/>
      <c r="Y1537" s="120"/>
      <c r="Z1537" s="12"/>
      <c r="BK1537" s="77"/>
      <c r="BO1537" s="77"/>
      <c r="BQ1537" s="77"/>
      <c r="BT1537" s="5"/>
      <c r="BU1537" s="5"/>
      <c r="BV1537" s="5"/>
      <c r="BW1537" s="71"/>
      <c r="BX1537" s="78"/>
      <c r="BY1537" s="64"/>
      <c r="BZ1537" s="3"/>
    </row>
    <row r="1538" spans="1:78">
      <c r="A1538" s="76"/>
      <c r="B1538" s="76"/>
      <c r="C1538" s="125"/>
      <c r="D1538" s="125"/>
      <c r="E1538" s="71"/>
      <c r="F1538" s="71"/>
      <c r="G1538" s="71"/>
      <c r="H1538" s="126"/>
      <c r="I1538" s="125"/>
      <c r="J1538" s="123"/>
      <c r="K1538" s="12"/>
      <c r="L1538" s="117"/>
      <c r="M1538" s="12"/>
      <c r="N1538" s="117"/>
      <c r="O1538" s="117"/>
      <c r="P1538" s="117"/>
      <c r="Q1538" s="118"/>
      <c r="R1538" s="118"/>
      <c r="S1538" s="118"/>
      <c r="T1538" s="12"/>
      <c r="U1538" s="118"/>
      <c r="V1538" s="118"/>
      <c r="W1538" s="12"/>
      <c r="X1538" s="119"/>
      <c r="Y1538" s="120"/>
      <c r="Z1538" s="12"/>
      <c r="BK1538" s="77"/>
      <c r="BO1538" s="77"/>
      <c r="BQ1538" s="77"/>
      <c r="BT1538" s="5"/>
      <c r="BU1538" s="5"/>
      <c r="BV1538" s="5"/>
      <c r="BW1538" s="71"/>
      <c r="BX1538" s="78"/>
      <c r="BY1538" s="64"/>
      <c r="BZ1538" s="3"/>
    </row>
    <row r="1539" spans="1:78">
      <c r="A1539" s="76"/>
      <c r="B1539" s="76"/>
      <c r="C1539" s="125"/>
      <c r="D1539" s="125"/>
      <c r="E1539" s="71"/>
      <c r="F1539" s="71"/>
      <c r="G1539" s="71"/>
      <c r="H1539" s="126"/>
      <c r="I1539" s="125"/>
      <c r="J1539" s="123"/>
      <c r="K1539" s="12"/>
      <c r="L1539" s="117"/>
      <c r="M1539" s="12"/>
      <c r="N1539" s="117"/>
      <c r="O1539" s="117"/>
      <c r="P1539" s="117"/>
      <c r="Q1539" s="118"/>
      <c r="R1539" s="118"/>
      <c r="S1539" s="118"/>
      <c r="T1539" s="12"/>
      <c r="U1539" s="118"/>
      <c r="V1539" s="118"/>
      <c r="W1539" s="12"/>
      <c r="X1539" s="119"/>
      <c r="Y1539" s="120"/>
      <c r="Z1539" s="12"/>
      <c r="BK1539" s="77"/>
      <c r="BO1539" s="77"/>
      <c r="BQ1539" s="77"/>
      <c r="BT1539" s="5"/>
      <c r="BU1539" s="5"/>
      <c r="BV1539" s="5"/>
      <c r="BW1539" s="71"/>
      <c r="BX1539" s="78"/>
      <c r="BY1539" s="64"/>
      <c r="BZ1539" s="3"/>
    </row>
    <row r="1540" spans="1:78">
      <c r="A1540" s="76"/>
      <c r="B1540" s="76"/>
      <c r="C1540" s="125"/>
      <c r="D1540" s="125"/>
      <c r="E1540" s="71"/>
      <c r="F1540" s="71"/>
      <c r="G1540" s="71"/>
      <c r="H1540" s="126"/>
      <c r="I1540" s="125"/>
      <c r="J1540" s="123"/>
      <c r="K1540" s="12"/>
      <c r="L1540" s="117"/>
      <c r="M1540" s="12"/>
      <c r="N1540" s="117"/>
      <c r="O1540" s="117"/>
      <c r="P1540" s="117"/>
      <c r="Q1540" s="118"/>
      <c r="R1540" s="118"/>
      <c r="S1540" s="118"/>
      <c r="T1540" s="12"/>
      <c r="U1540" s="118"/>
      <c r="V1540" s="118"/>
      <c r="W1540" s="12"/>
      <c r="X1540" s="119"/>
      <c r="Y1540" s="120"/>
      <c r="Z1540" s="12"/>
      <c r="BK1540" s="77"/>
      <c r="BO1540" s="77"/>
      <c r="BQ1540" s="77"/>
      <c r="BT1540" s="5"/>
      <c r="BU1540" s="5"/>
      <c r="BV1540" s="5"/>
      <c r="BW1540" s="71"/>
      <c r="BX1540" s="78"/>
      <c r="BY1540" s="64"/>
      <c r="BZ1540" s="3"/>
    </row>
    <row r="1541" spans="1:78">
      <c r="A1541" s="76"/>
      <c r="B1541" s="76"/>
      <c r="C1541" s="125"/>
      <c r="D1541" s="125"/>
      <c r="E1541" s="71"/>
      <c r="F1541" s="71"/>
      <c r="G1541" s="71"/>
      <c r="H1541" s="126"/>
      <c r="I1541" s="125"/>
      <c r="J1541" s="123"/>
      <c r="K1541" s="12"/>
      <c r="L1541" s="117"/>
      <c r="M1541" s="12"/>
      <c r="N1541" s="117"/>
      <c r="O1541" s="117"/>
      <c r="P1541" s="117"/>
      <c r="Q1541" s="118"/>
      <c r="R1541" s="118"/>
      <c r="S1541" s="118"/>
      <c r="T1541" s="12"/>
      <c r="U1541" s="118"/>
      <c r="V1541" s="118"/>
      <c r="W1541" s="12"/>
      <c r="X1541" s="119"/>
      <c r="Y1541" s="120"/>
      <c r="Z1541" s="12"/>
      <c r="BK1541" s="77"/>
      <c r="BO1541" s="77"/>
      <c r="BQ1541" s="77"/>
      <c r="BT1541" s="5"/>
      <c r="BU1541" s="5"/>
      <c r="BV1541" s="5"/>
      <c r="BW1541" s="71"/>
      <c r="BX1541" s="78"/>
      <c r="BY1541" s="64"/>
      <c r="BZ1541" s="3"/>
    </row>
    <row r="1542" spans="1:78">
      <c r="A1542" s="76"/>
      <c r="B1542" s="76"/>
      <c r="C1542" s="125"/>
      <c r="D1542" s="125"/>
      <c r="E1542" s="71"/>
      <c r="F1542" s="71"/>
      <c r="G1542" s="71"/>
      <c r="H1542" s="126"/>
      <c r="I1542" s="125"/>
      <c r="J1542" s="123"/>
      <c r="K1542" s="12"/>
      <c r="L1542" s="117"/>
      <c r="M1542" s="12"/>
      <c r="N1542" s="117"/>
      <c r="O1542" s="117"/>
      <c r="P1542" s="117"/>
      <c r="Q1542" s="118"/>
      <c r="R1542" s="118"/>
      <c r="S1542" s="118"/>
      <c r="T1542" s="12"/>
      <c r="U1542" s="118"/>
      <c r="V1542" s="118"/>
      <c r="W1542" s="12"/>
      <c r="X1542" s="119"/>
      <c r="Y1542" s="120"/>
      <c r="Z1542" s="12"/>
      <c r="BK1542" s="77"/>
      <c r="BO1542" s="77"/>
      <c r="BQ1542" s="77"/>
      <c r="BT1542" s="5"/>
      <c r="BU1542" s="5"/>
      <c r="BV1542" s="5"/>
      <c r="BW1542" s="71"/>
      <c r="BX1542" s="78"/>
      <c r="BY1542" s="64"/>
      <c r="BZ1542" s="3"/>
    </row>
    <row r="1543" spans="1:78">
      <c r="A1543" s="76"/>
      <c r="B1543" s="76"/>
      <c r="C1543" s="125"/>
      <c r="D1543" s="125"/>
      <c r="E1543" s="71"/>
      <c r="F1543" s="71"/>
      <c r="G1543" s="71"/>
      <c r="H1543" s="126"/>
      <c r="I1543" s="125"/>
      <c r="J1543" s="123"/>
      <c r="K1543" s="12"/>
      <c r="L1543" s="117"/>
      <c r="M1543" s="12"/>
      <c r="N1543" s="117"/>
      <c r="O1543" s="117"/>
      <c r="P1543" s="117"/>
      <c r="Q1543" s="118"/>
      <c r="R1543" s="118"/>
      <c r="S1543" s="118"/>
      <c r="T1543" s="12"/>
      <c r="U1543" s="118"/>
      <c r="V1543" s="118"/>
      <c r="W1543" s="12"/>
      <c r="X1543" s="119"/>
      <c r="Y1543" s="120"/>
      <c r="Z1543" s="12"/>
      <c r="BK1543" s="77"/>
      <c r="BO1543" s="77"/>
      <c r="BQ1543" s="77"/>
      <c r="BT1543" s="5"/>
      <c r="BU1543" s="5"/>
      <c r="BV1543" s="5"/>
      <c r="BW1543" s="71"/>
      <c r="BX1543" s="78"/>
      <c r="BY1543" s="64"/>
      <c r="BZ1543" s="3"/>
    </row>
    <row r="1544" spans="1:78">
      <c r="A1544" s="76"/>
      <c r="B1544" s="76"/>
      <c r="C1544" s="125"/>
      <c r="D1544" s="125"/>
      <c r="E1544" s="71"/>
      <c r="F1544" s="71"/>
      <c r="G1544" s="71"/>
      <c r="H1544" s="126"/>
      <c r="I1544" s="125"/>
      <c r="J1544" s="123"/>
      <c r="K1544" s="12"/>
      <c r="L1544" s="117"/>
      <c r="M1544" s="12"/>
      <c r="N1544" s="117"/>
      <c r="O1544" s="117"/>
      <c r="P1544" s="117"/>
      <c r="Q1544" s="118"/>
      <c r="R1544" s="118"/>
      <c r="S1544" s="118"/>
      <c r="T1544" s="12"/>
      <c r="U1544" s="118"/>
      <c r="V1544" s="118"/>
      <c r="W1544" s="12"/>
      <c r="X1544" s="119"/>
      <c r="Y1544" s="120"/>
      <c r="Z1544" s="12"/>
      <c r="BK1544" s="77"/>
      <c r="BO1544" s="77"/>
      <c r="BQ1544" s="77"/>
      <c r="BT1544" s="5"/>
      <c r="BU1544" s="5"/>
      <c r="BV1544" s="5"/>
      <c r="BW1544" s="71"/>
      <c r="BX1544" s="78"/>
      <c r="BY1544" s="64"/>
      <c r="BZ1544" s="3"/>
    </row>
    <row r="1545" spans="1:78">
      <c r="A1545" s="76"/>
      <c r="B1545" s="76"/>
      <c r="C1545" s="125"/>
      <c r="D1545" s="125"/>
      <c r="E1545" s="71"/>
      <c r="F1545" s="71"/>
      <c r="G1545" s="71"/>
      <c r="H1545" s="126"/>
      <c r="I1545" s="125"/>
      <c r="J1545" s="123"/>
      <c r="K1545" s="12"/>
      <c r="L1545" s="117"/>
      <c r="M1545" s="12"/>
      <c r="N1545" s="117"/>
      <c r="O1545" s="117"/>
      <c r="P1545" s="117"/>
      <c r="Q1545" s="118"/>
      <c r="R1545" s="118"/>
      <c r="S1545" s="118"/>
      <c r="T1545" s="12"/>
      <c r="U1545" s="118"/>
      <c r="V1545" s="118"/>
      <c r="W1545" s="12"/>
      <c r="X1545" s="119"/>
      <c r="Y1545" s="120"/>
      <c r="Z1545" s="12"/>
      <c r="BK1545" s="77"/>
      <c r="BO1545" s="77"/>
      <c r="BQ1545" s="77"/>
      <c r="BT1545" s="5"/>
      <c r="BU1545" s="5"/>
      <c r="BV1545" s="5"/>
      <c r="BW1545" s="71"/>
      <c r="BX1545" s="78"/>
      <c r="BY1545" s="64"/>
      <c r="BZ1545" s="3"/>
    </row>
    <row r="1546" spans="1:78">
      <c r="A1546" s="76"/>
      <c r="B1546" s="76"/>
      <c r="C1546" s="125"/>
      <c r="D1546" s="125"/>
      <c r="E1546" s="71"/>
      <c r="F1546" s="71"/>
      <c r="G1546" s="71"/>
      <c r="H1546" s="126"/>
      <c r="I1546" s="125"/>
      <c r="J1546" s="123"/>
      <c r="K1546" s="12"/>
      <c r="L1546" s="117"/>
      <c r="M1546" s="12"/>
      <c r="N1546" s="117"/>
      <c r="O1546" s="117"/>
      <c r="P1546" s="117"/>
      <c r="Q1546" s="118"/>
      <c r="R1546" s="118"/>
      <c r="S1546" s="118"/>
      <c r="T1546" s="12"/>
      <c r="U1546" s="118"/>
      <c r="V1546" s="118"/>
      <c r="W1546" s="12"/>
      <c r="X1546" s="119"/>
      <c r="Y1546" s="120"/>
      <c r="Z1546" s="12"/>
      <c r="BK1546" s="77"/>
      <c r="BO1546" s="77"/>
      <c r="BQ1546" s="77"/>
      <c r="BT1546" s="5"/>
      <c r="BU1546" s="5"/>
      <c r="BV1546" s="5"/>
      <c r="BW1546" s="71"/>
      <c r="BX1546" s="78"/>
      <c r="BY1546" s="64"/>
      <c r="BZ1546" s="3"/>
    </row>
    <row r="1547" spans="1:78">
      <c r="A1547" s="76"/>
      <c r="B1547" s="76"/>
      <c r="C1547" s="125"/>
      <c r="D1547" s="125"/>
      <c r="E1547" s="71"/>
      <c r="F1547" s="71"/>
      <c r="G1547" s="71"/>
      <c r="H1547" s="126"/>
      <c r="I1547" s="125"/>
      <c r="J1547" s="123"/>
      <c r="K1547" s="12"/>
      <c r="L1547" s="117"/>
      <c r="M1547" s="12"/>
      <c r="N1547" s="117"/>
      <c r="O1547" s="117"/>
      <c r="P1547" s="117"/>
      <c r="Q1547" s="118"/>
      <c r="R1547" s="118"/>
      <c r="S1547" s="118"/>
      <c r="T1547" s="12"/>
      <c r="U1547" s="118"/>
      <c r="V1547" s="118"/>
      <c r="W1547" s="12"/>
      <c r="X1547" s="119"/>
      <c r="Y1547" s="120"/>
      <c r="Z1547" s="12"/>
      <c r="BK1547" s="77"/>
      <c r="BO1547" s="77"/>
      <c r="BQ1547" s="77"/>
      <c r="BT1547" s="5"/>
      <c r="BU1547" s="5"/>
      <c r="BV1547" s="5"/>
      <c r="BW1547" s="71"/>
      <c r="BX1547" s="78"/>
      <c r="BY1547" s="64"/>
      <c r="BZ1547" s="3"/>
    </row>
    <row r="1548" spans="1:78">
      <c r="A1548" s="76"/>
      <c r="B1548" s="76"/>
      <c r="C1548" s="125"/>
      <c r="D1548" s="125"/>
      <c r="E1548" s="71"/>
      <c r="F1548" s="71"/>
      <c r="G1548" s="71"/>
      <c r="H1548" s="126"/>
      <c r="I1548" s="125"/>
      <c r="J1548" s="123"/>
      <c r="K1548" s="12"/>
      <c r="L1548" s="117"/>
      <c r="M1548" s="12"/>
      <c r="N1548" s="117"/>
      <c r="O1548" s="117"/>
      <c r="P1548" s="117"/>
      <c r="Q1548" s="118"/>
      <c r="R1548" s="118"/>
      <c r="S1548" s="118"/>
      <c r="T1548" s="12"/>
      <c r="U1548" s="118"/>
      <c r="V1548" s="118"/>
      <c r="W1548" s="12"/>
      <c r="X1548" s="119"/>
      <c r="Y1548" s="120"/>
      <c r="Z1548" s="12"/>
      <c r="BK1548" s="77"/>
      <c r="BO1548" s="77"/>
      <c r="BQ1548" s="77"/>
      <c r="BT1548" s="5"/>
      <c r="BU1548" s="5"/>
      <c r="BV1548" s="5"/>
      <c r="BW1548" s="71"/>
      <c r="BX1548" s="78"/>
      <c r="BY1548" s="64"/>
      <c r="BZ1548" s="3"/>
    </row>
    <row r="1549" spans="1:78">
      <c r="A1549" s="76"/>
      <c r="B1549" s="76"/>
      <c r="C1549" s="125"/>
      <c r="D1549" s="125"/>
      <c r="E1549" s="71"/>
      <c r="F1549" s="71"/>
      <c r="G1549" s="71"/>
      <c r="H1549" s="126"/>
      <c r="I1549" s="125"/>
      <c r="J1549" s="123"/>
      <c r="K1549" s="12"/>
      <c r="L1549" s="117"/>
      <c r="M1549" s="12"/>
      <c r="N1549" s="117"/>
      <c r="O1549" s="117"/>
      <c r="P1549" s="117"/>
      <c r="Q1549" s="118"/>
      <c r="R1549" s="118"/>
      <c r="S1549" s="118"/>
      <c r="T1549" s="12"/>
      <c r="U1549" s="118"/>
      <c r="V1549" s="118"/>
      <c r="W1549" s="12"/>
      <c r="X1549" s="119"/>
      <c r="Y1549" s="120"/>
      <c r="Z1549" s="12"/>
      <c r="BK1549" s="77"/>
      <c r="BO1549" s="77"/>
      <c r="BQ1549" s="77"/>
      <c r="BT1549" s="5"/>
      <c r="BU1549" s="5"/>
      <c r="BV1549" s="5"/>
      <c r="BW1549" s="71"/>
      <c r="BX1549" s="78"/>
      <c r="BY1549" s="64"/>
      <c r="BZ1549" s="3"/>
    </row>
    <row r="1550" spans="1:78">
      <c r="A1550" s="76"/>
      <c r="B1550" s="76"/>
      <c r="C1550" s="125"/>
      <c r="D1550" s="125"/>
      <c r="E1550" s="71"/>
      <c r="F1550" s="71"/>
      <c r="G1550" s="71"/>
      <c r="H1550" s="126"/>
      <c r="I1550" s="125"/>
      <c r="J1550" s="123"/>
      <c r="K1550" s="12"/>
      <c r="L1550" s="117"/>
      <c r="M1550" s="12"/>
      <c r="N1550" s="117"/>
      <c r="O1550" s="117"/>
      <c r="P1550" s="117"/>
      <c r="Q1550" s="118"/>
      <c r="R1550" s="118"/>
      <c r="S1550" s="118"/>
      <c r="T1550" s="12"/>
      <c r="U1550" s="118"/>
      <c r="V1550" s="118"/>
      <c r="W1550" s="12"/>
      <c r="X1550" s="119"/>
      <c r="Y1550" s="120"/>
      <c r="Z1550" s="12"/>
      <c r="BK1550" s="77"/>
      <c r="BO1550" s="77"/>
      <c r="BQ1550" s="77"/>
      <c r="BT1550" s="5"/>
      <c r="BU1550" s="5"/>
      <c r="BV1550" s="5"/>
      <c r="BW1550" s="71"/>
      <c r="BX1550" s="78"/>
      <c r="BY1550" s="64"/>
      <c r="BZ1550" s="3"/>
    </row>
    <row r="1551" spans="1:78">
      <c r="A1551" s="76"/>
      <c r="B1551" s="76"/>
      <c r="C1551" s="125"/>
      <c r="D1551" s="125"/>
      <c r="E1551" s="71"/>
      <c r="F1551" s="71"/>
      <c r="G1551" s="71"/>
      <c r="H1551" s="126"/>
      <c r="I1551" s="125"/>
      <c r="J1551" s="123"/>
      <c r="K1551" s="12"/>
      <c r="L1551" s="117"/>
      <c r="M1551" s="12"/>
      <c r="N1551" s="117"/>
      <c r="O1551" s="117"/>
      <c r="P1551" s="117"/>
      <c r="Q1551" s="118"/>
      <c r="R1551" s="118"/>
      <c r="S1551" s="118"/>
      <c r="T1551" s="12"/>
      <c r="U1551" s="118"/>
      <c r="V1551" s="118"/>
      <c r="W1551" s="12"/>
      <c r="X1551" s="119"/>
      <c r="Y1551" s="120"/>
      <c r="Z1551" s="12"/>
      <c r="BK1551" s="77"/>
      <c r="BO1551" s="77"/>
      <c r="BQ1551" s="77"/>
      <c r="BT1551" s="5"/>
      <c r="BU1551" s="5"/>
      <c r="BV1551" s="5"/>
      <c r="BW1551" s="71"/>
      <c r="BX1551" s="78"/>
      <c r="BY1551" s="64"/>
      <c r="BZ1551" s="3"/>
    </row>
    <row r="1552" spans="1:78">
      <c r="A1552" s="76"/>
      <c r="B1552" s="76"/>
      <c r="C1552" s="125"/>
      <c r="D1552" s="125"/>
      <c r="E1552" s="71"/>
      <c r="F1552" s="71"/>
      <c r="G1552" s="71"/>
      <c r="H1552" s="126"/>
      <c r="I1552" s="125"/>
      <c r="J1552" s="123"/>
      <c r="K1552" s="12"/>
      <c r="L1552" s="117"/>
      <c r="M1552" s="12"/>
      <c r="N1552" s="117"/>
      <c r="O1552" s="117"/>
      <c r="P1552" s="117"/>
      <c r="Q1552" s="118"/>
      <c r="R1552" s="118"/>
      <c r="S1552" s="118"/>
      <c r="T1552" s="12"/>
      <c r="U1552" s="118"/>
      <c r="V1552" s="118"/>
      <c r="W1552" s="12"/>
      <c r="X1552" s="119"/>
      <c r="Y1552" s="120"/>
      <c r="Z1552" s="12"/>
      <c r="BK1552" s="77"/>
      <c r="BO1552" s="77"/>
      <c r="BQ1552" s="77"/>
      <c r="BT1552" s="5"/>
      <c r="BU1552" s="5"/>
      <c r="BV1552" s="5"/>
      <c r="BW1552" s="71"/>
      <c r="BX1552" s="78"/>
      <c r="BY1552" s="64"/>
      <c r="BZ1552" s="3"/>
    </row>
    <row r="1553" spans="1:78">
      <c r="A1553" s="76"/>
      <c r="B1553" s="76"/>
      <c r="C1553" s="125"/>
      <c r="D1553" s="125"/>
      <c r="E1553" s="71"/>
      <c r="F1553" s="71"/>
      <c r="G1553" s="71"/>
      <c r="H1553" s="126"/>
      <c r="I1553" s="125"/>
      <c r="J1553" s="123"/>
      <c r="K1553" s="12"/>
      <c r="L1553" s="117"/>
      <c r="M1553" s="12"/>
      <c r="N1553" s="117"/>
      <c r="O1553" s="117"/>
      <c r="P1553" s="117"/>
      <c r="Q1553" s="118"/>
      <c r="R1553" s="118"/>
      <c r="S1553" s="118"/>
      <c r="T1553" s="12"/>
      <c r="U1553" s="118"/>
      <c r="V1553" s="118"/>
      <c r="W1553" s="12"/>
      <c r="X1553" s="119"/>
      <c r="Y1553" s="120"/>
      <c r="Z1553" s="12"/>
      <c r="BK1553" s="77"/>
      <c r="BO1553" s="77"/>
      <c r="BQ1553" s="77"/>
      <c r="BT1553" s="5"/>
      <c r="BU1553" s="5"/>
      <c r="BV1553" s="5"/>
      <c r="BW1553" s="71"/>
      <c r="BX1553" s="78"/>
      <c r="BY1553" s="64"/>
      <c r="BZ1553" s="3"/>
    </row>
    <row r="1554" spans="1:78">
      <c r="A1554" s="76"/>
      <c r="B1554" s="76"/>
      <c r="C1554" s="125"/>
      <c r="D1554" s="125"/>
      <c r="E1554" s="71"/>
      <c r="F1554" s="71"/>
      <c r="G1554" s="71"/>
      <c r="H1554" s="126"/>
      <c r="I1554" s="125"/>
      <c r="J1554" s="123"/>
      <c r="K1554" s="12"/>
      <c r="L1554" s="117"/>
      <c r="M1554" s="12"/>
      <c r="N1554" s="117"/>
      <c r="O1554" s="117"/>
      <c r="P1554" s="117"/>
      <c r="Q1554" s="118"/>
      <c r="R1554" s="118"/>
      <c r="S1554" s="118"/>
      <c r="T1554" s="12"/>
      <c r="U1554" s="118"/>
      <c r="V1554" s="118"/>
      <c r="W1554" s="12"/>
      <c r="X1554" s="119"/>
      <c r="Y1554" s="120"/>
      <c r="Z1554" s="12"/>
      <c r="BK1554" s="77"/>
      <c r="BO1554" s="77"/>
      <c r="BQ1554" s="77"/>
      <c r="BT1554" s="5"/>
      <c r="BU1554" s="5"/>
      <c r="BV1554" s="5"/>
      <c r="BW1554" s="71"/>
      <c r="BX1554" s="78"/>
      <c r="BY1554" s="64"/>
      <c r="BZ1554" s="3"/>
    </row>
    <row r="1555" spans="1:78">
      <c r="A1555" s="76"/>
      <c r="B1555" s="76"/>
      <c r="C1555" s="125"/>
      <c r="D1555" s="125"/>
      <c r="E1555" s="71"/>
      <c r="F1555" s="71"/>
      <c r="G1555" s="71"/>
      <c r="H1555" s="126"/>
      <c r="I1555" s="125"/>
      <c r="J1555" s="123"/>
      <c r="K1555" s="12"/>
      <c r="L1555" s="117"/>
      <c r="M1555" s="12"/>
      <c r="N1555" s="117"/>
      <c r="O1555" s="117"/>
      <c r="P1555" s="117"/>
      <c r="Q1555" s="118"/>
      <c r="R1555" s="118"/>
      <c r="S1555" s="118"/>
      <c r="T1555" s="12"/>
      <c r="U1555" s="118"/>
      <c r="V1555" s="118"/>
      <c r="W1555" s="12"/>
      <c r="X1555" s="119"/>
      <c r="Y1555" s="120"/>
      <c r="Z1555" s="12"/>
      <c r="BK1555" s="77"/>
      <c r="BO1555" s="77"/>
      <c r="BQ1555" s="77"/>
      <c r="BT1555" s="5"/>
      <c r="BU1555" s="5"/>
      <c r="BV1555" s="5"/>
      <c r="BW1555" s="71"/>
      <c r="BX1555" s="78"/>
      <c r="BY1555" s="64"/>
      <c r="BZ1555" s="3"/>
    </row>
    <row r="1556" spans="1:78">
      <c r="A1556" s="76"/>
      <c r="B1556" s="76"/>
      <c r="C1556" s="125"/>
      <c r="D1556" s="125"/>
      <c r="E1556" s="71"/>
      <c r="F1556" s="71"/>
      <c r="G1556" s="71"/>
      <c r="H1556" s="126"/>
      <c r="I1556" s="125"/>
      <c r="J1556" s="123"/>
      <c r="K1556" s="12"/>
      <c r="L1556" s="117"/>
      <c r="M1556" s="12"/>
      <c r="N1556" s="117"/>
      <c r="O1556" s="117"/>
      <c r="P1556" s="117"/>
      <c r="Q1556" s="118"/>
      <c r="R1556" s="118"/>
      <c r="S1556" s="118"/>
      <c r="T1556" s="12"/>
      <c r="U1556" s="118"/>
      <c r="V1556" s="118"/>
      <c r="W1556" s="12"/>
      <c r="X1556" s="119"/>
      <c r="Y1556" s="120"/>
      <c r="Z1556" s="12"/>
      <c r="BK1556" s="77"/>
      <c r="BO1556" s="77"/>
      <c r="BQ1556" s="77"/>
      <c r="BT1556" s="5"/>
      <c r="BU1556" s="5"/>
      <c r="BV1556" s="5"/>
      <c r="BW1556" s="71"/>
      <c r="BX1556" s="78"/>
      <c r="BY1556" s="64"/>
      <c r="BZ1556" s="3"/>
    </row>
    <row r="1557" spans="1:78">
      <c r="A1557" s="76"/>
      <c r="B1557" s="76"/>
      <c r="C1557" s="125"/>
      <c r="D1557" s="125"/>
      <c r="E1557" s="71"/>
      <c r="F1557" s="71"/>
      <c r="G1557" s="71"/>
      <c r="H1557" s="126"/>
      <c r="I1557" s="125"/>
      <c r="J1557" s="123"/>
      <c r="K1557" s="12"/>
      <c r="L1557" s="117"/>
      <c r="M1557" s="12"/>
      <c r="N1557" s="117"/>
      <c r="O1557" s="117"/>
      <c r="P1557" s="117"/>
      <c r="Q1557" s="118"/>
      <c r="R1557" s="118"/>
      <c r="S1557" s="118"/>
      <c r="T1557" s="12"/>
      <c r="U1557" s="118"/>
      <c r="V1557" s="118"/>
      <c r="W1557" s="12"/>
      <c r="X1557" s="119"/>
      <c r="Y1557" s="120"/>
      <c r="Z1557" s="12"/>
      <c r="BK1557" s="77"/>
      <c r="BO1557" s="77"/>
      <c r="BQ1557" s="77"/>
      <c r="BT1557" s="5"/>
      <c r="BU1557" s="5"/>
      <c r="BV1557" s="5"/>
      <c r="BW1557" s="71"/>
      <c r="BX1557" s="78"/>
      <c r="BY1557" s="64"/>
      <c r="BZ1557" s="3"/>
    </row>
    <row r="1558" spans="1:78">
      <c r="A1558" s="76"/>
      <c r="B1558" s="76"/>
      <c r="C1558" s="125"/>
      <c r="D1558" s="125"/>
      <c r="E1558" s="71"/>
      <c r="F1558" s="71"/>
      <c r="G1558" s="71"/>
      <c r="H1558" s="126"/>
      <c r="I1558" s="125"/>
      <c r="J1558" s="123"/>
      <c r="K1558" s="12"/>
      <c r="L1558" s="117"/>
      <c r="M1558" s="12"/>
      <c r="N1558" s="117"/>
      <c r="O1558" s="117"/>
      <c r="P1558" s="117"/>
      <c r="Q1558" s="118"/>
      <c r="R1558" s="118"/>
      <c r="S1558" s="118"/>
      <c r="T1558" s="12"/>
      <c r="U1558" s="118"/>
      <c r="V1558" s="118"/>
      <c r="W1558" s="12"/>
      <c r="X1558" s="119"/>
      <c r="Y1558" s="120"/>
      <c r="Z1558" s="12"/>
      <c r="BK1558" s="77"/>
      <c r="BO1558" s="77"/>
      <c r="BQ1558" s="77"/>
      <c r="BT1558" s="5"/>
      <c r="BU1558" s="5"/>
      <c r="BV1558" s="5"/>
      <c r="BW1558" s="71"/>
      <c r="BX1558" s="78"/>
      <c r="BY1558" s="64"/>
      <c r="BZ1558" s="3"/>
    </row>
    <row r="1559" spans="1:78">
      <c r="A1559" s="76"/>
      <c r="B1559" s="76"/>
      <c r="C1559" s="125"/>
      <c r="D1559" s="125"/>
      <c r="E1559" s="71"/>
      <c r="F1559" s="71"/>
      <c r="G1559" s="71"/>
      <c r="H1559" s="126"/>
      <c r="I1559" s="125"/>
      <c r="J1559" s="123"/>
      <c r="K1559" s="12"/>
      <c r="L1559" s="117"/>
      <c r="M1559" s="12"/>
      <c r="N1559" s="117"/>
      <c r="O1559" s="117"/>
      <c r="P1559" s="117"/>
      <c r="Q1559" s="118"/>
      <c r="R1559" s="118"/>
      <c r="S1559" s="118"/>
      <c r="T1559" s="12"/>
      <c r="U1559" s="118"/>
      <c r="V1559" s="118"/>
      <c r="W1559" s="12"/>
      <c r="X1559" s="119"/>
      <c r="Y1559" s="120"/>
      <c r="Z1559" s="12"/>
      <c r="BK1559" s="77"/>
      <c r="BO1559" s="77"/>
      <c r="BQ1559" s="77"/>
      <c r="BT1559" s="5"/>
      <c r="BU1559" s="5"/>
      <c r="BV1559" s="5"/>
      <c r="BW1559" s="71"/>
      <c r="BX1559" s="78"/>
      <c r="BY1559" s="64"/>
      <c r="BZ1559" s="3"/>
    </row>
    <row r="1560" spans="1:78">
      <c r="A1560" s="76"/>
      <c r="B1560" s="76"/>
      <c r="C1560" s="125"/>
      <c r="D1560" s="125"/>
      <c r="E1560" s="71"/>
      <c r="F1560" s="71"/>
      <c r="G1560" s="71"/>
      <c r="H1560" s="126"/>
      <c r="I1560" s="125"/>
      <c r="J1560" s="123"/>
      <c r="K1560" s="12"/>
      <c r="L1560" s="117"/>
      <c r="M1560" s="12"/>
      <c r="N1560" s="117"/>
      <c r="O1560" s="117"/>
      <c r="P1560" s="117"/>
      <c r="Q1560" s="118"/>
      <c r="R1560" s="118"/>
      <c r="S1560" s="118"/>
      <c r="T1560" s="12"/>
      <c r="U1560" s="118"/>
      <c r="V1560" s="118"/>
      <c r="W1560" s="12"/>
      <c r="X1560" s="119"/>
      <c r="Y1560" s="120"/>
      <c r="Z1560" s="12"/>
      <c r="BK1560" s="77"/>
      <c r="BO1560" s="77"/>
      <c r="BQ1560" s="77"/>
      <c r="BT1560" s="5"/>
      <c r="BU1560" s="5"/>
      <c r="BV1560" s="5"/>
      <c r="BW1560" s="71"/>
      <c r="BX1560" s="78"/>
      <c r="BY1560" s="64"/>
      <c r="BZ1560" s="3"/>
    </row>
    <row r="1561" spans="1:78">
      <c r="A1561" s="76"/>
      <c r="B1561" s="76"/>
      <c r="C1561" s="125"/>
      <c r="D1561" s="125"/>
      <c r="E1561" s="71"/>
      <c r="F1561" s="71"/>
      <c r="G1561" s="71"/>
      <c r="H1561" s="126"/>
      <c r="I1561" s="125"/>
      <c r="J1561" s="123"/>
      <c r="K1561" s="12"/>
      <c r="L1561" s="117"/>
      <c r="M1561" s="12"/>
      <c r="N1561" s="117"/>
      <c r="O1561" s="117"/>
      <c r="P1561" s="117"/>
      <c r="Q1561" s="118"/>
      <c r="R1561" s="118"/>
      <c r="S1561" s="118"/>
      <c r="T1561" s="12"/>
      <c r="U1561" s="118"/>
      <c r="V1561" s="118"/>
      <c r="W1561" s="12"/>
      <c r="X1561" s="119"/>
      <c r="Y1561" s="120"/>
      <c r="Z1561" s="12"/>
      <c r="BK1561" s="77"/>
      <c r="BO1561" s="77"/>
      <c r="BQ1561" s="77"/>
      <c r="BT1561" s="5"/>
      <c r="BU1561" s="5"/>
      <c r="BV1561" s="5"/>
      <c r="BW1561" s="71"/>
      <c r="BX1561" s="78"/>
      <c r="BY1561" s="64"/>
      <c r="BZ1561" s="3"/>
    </row>
    <row r="1562" spans="1:78">
      <c r="A1562" s="76"/>
      <c r="B1562" s="76"/>
      <c r="C1562" s="125"/>
      <c r="D1562" s="125"/>
      <c r="E1562" s="71"/>
      <c r="F1562" s="71"/>
      <c r="G1562" s="71"/>
      <c r="H1562" s="126"/>
      <c r="I1562" s="125"/>
      <c r="J1562" s="123"/>
      <c r="K1562" s="12"/>
      <c r="L1562" s="117"/>
      <c r="M1562" s="12"/>
      <c r="N1562" s="117"/>
      <c r="O1562" s="117"/>
      <c r="P1562" s="117"/>
      <c r="Q1562" s="118"/>
      <c r="R1562" s="118"/>
      <c r="S1562" s="118"/>
      <c r="T1562" s="12"/>
      <c r="U1562" s="118"/>
      <c r="V1562" s="118"/>
      <c r="W1562" s="12"/>
      <c r="X1562" s="119"/>
      <c r="Y1562" s="120"/>
      <c r="Z1562" s="12"/>
      <c r="BK1562" s="77"/>
      <c r="BO1562" s="77"/>
      <c r="BQ1562" s="77"/>
      <c r="BT1562" s="5"/>
      <c r="BU1562" s="5"/>
      <c r="BV1562" s="5"/>
      <c r="BW1562" s="71"/>
      <c r="BX1562" s="78"/>
      <c r="BY1562" s="64"/>
      <c r="BZ1562" s="3"/>
    </row>
    <row r="1563" spans="1:78">
      <c r="A1563" s="76"/>
      <c r="B1563" s="76"/>
      <c r="C1563" s="125"/>
      <c r="D1563" s="125"/>
      <c r="E1563" s="71"/>
      <c r="F1563" s="71"/>
      <c r="G1563" s="71"/>
      <c r="H1563" s="126"/>
      <c r="I1563" s="125"/>
      <c r="J1563" s="123"/>
      <c r="K1563" s="12"/>
      <c r="L1563" s="117"/>
      <c r="M1563" s="12"/>
      <c r="N1563" s="117"/>
      <c r="O1563" s="117"/>
      <c r="P1563" s="117"/>
      <c r="Q1563" s="118"/>
      <c r="R1563" s="118"/>
      <c r="S1563" s="118"/>
      <c r="T1563" s="12"/>
      <c r="U1563" s="118"/>
      <c r="V1563" s="118"/>
      <c r="W1563" s="12"/>
      <c r="X1563" s="119"/>
      <c r="Y1563" s="120"/>
      <c r="Z1563" s="12"/>
      <c r="BK1563" s="77"/>
      <c r="BO1563" s="77"/>
      <c r="BQ1563" s="77"/>
      <c r="BT1563" s="5"/>
      <c r="BU1563" s="5"/>
      <c r="BV1563" s="5"/>
      <c r="BW1563" s="71"/>
      <c r="BX1563" s="78"/>
      <c r="BY1563" s="64"/>
      <c r="BZ1563" s="3"/>
    </row>
    <row r="1564" spans="1:78">
      <c r="A1564" s="76"/>
      <c r="B1564" s="76"/>
      <c r="C1564" s="125"/>
      <c r="D1564" s="125"/>
      <c r="E1564" s="71"/>
      <c r="F1564" s="71"/>
      <c r="G1564" s="71"/>
      <c r="H1564" s="126"/>
      <c r="I1564" s="125"/>
      <c r="J1564" s="123"/>
      <c r="K1564" s="12"/>
      <c r="L1564" s="117"/>
      <c r="M1564" s="12"/>
      <c r="N1564" s="117"/>
      <c r="O1564" s="117"/>
      <c r="P1564" s="117"/>
      <c r="Q1564" s="118"/>
      <c r="R1564" s="118"/>
      <c r="S1564" s="118"/>
      <c r="T1564" s="12"/>
      <c r="U1564" s="118"/>
      <c r="V1564" s="118"/>
      <c r="W1564" s="12"/>
      <c r="X1564" s="119"/>
      <c r="Y1564" s="120"/>
      <c r="Z1564" s="12"/>
      <c r="BK1564" s="77"/>
      <c r="BO1564" s="77"/>
      <c r="BQ1564" s="77"/>
      <c r="BT1564" s="5"/>
      <c r="BU1564" s="5"/>
      <c r="BV1564" s="5"/>
      <c r="BW1564" s="71"/>
      <c r="BX1564" s="78"/>
      <c r="BY1564" s="64"/>
      <c r="BZ1564" s="3"/>
    </row>
    <row r="1565" spans="1:78">
      <c r="A1565" s="76"/>
      <c r="B1565" s="76"/>
      <c r="C1565" s="125"/>
      <c r="D1565" s="125"/>
      <c r="E1565" s="71"/>
      <c r="F1565" s="71"/>
      <c r="G1565" s="71"/>
      <c r="H1565" s="126"/>
      <c r="I1565" s="125"/>
      <c r="J1565" s="123"/>
      <c r="K1565" s="12"/>
      <c r="L1565" s="117"/>
      <c r="M1565" s="12"/>
      <c r="N1565" s="117"/>
      <c r="O1565" s="117"/>
      <c r="P1565" s="117"/>
      <c r="Q1565" s="118"/>
      <c r="R1565" s="118"/>
      <c r="S1565" s="118"/>
      <c r="T1565" s="12"/>
      <c r="U1565" s="118"/>
      <c r="V1565" s="118"/>
      <c r="W1565" s="12"/>
      <c r="X1565" s="119"/>
      <c r="Y1565" s="120"/>
      <c r="Z1565" s="12"/>
      <c r="BK1565" s="77"/>
      <c r="BO1565" s="77"/>
      <c r="BQ1565" s="77"/>
      <c r="BT1565" s="5"/>
      <c r="BU1565" s="5"/>
      <c r="BV1565" s="5"/>
      <c r="BW1565" s="71"/>
      <c r="BX1565" s="78"/>
      <c r="BY1565" s="64"/>
      <c r="BZ1565" s="3"/>
    </row>
    <row r="1566" spans="1:78">
      <c r="A1566" s="76"/>
      <c r="B1566" s="76"/>
      <c r="C1566" s="125"/>
      <c r="D1566" s="125"/>
      <c r="E1566" s="71"/>
      <c r="F1566" s="71"/>
      <c r="G1566" s="71"/>
      <c r="H1566" s="126"/>
      <c r="I1566" s="125"/>
      <c r="J1566" s="123"/>
      <c r="K1566" s="12"/>
      <c r="L1566" s="117"/>
      <c r="M1566" s="12"/>
      <c r="N1566" s="117"/>
      <c r="O1566" s="117"/>
      <c r="P1566" s="117"/>
      <c r="Q1566" s="118"/>
      <c r="R1566" s="118"/>
      <c r="S1566" s="118"/>
      <c r="T1566" s="12"/>
      <c r="U1566" s="118"/>
      <c r="V1566" s="118"/>
      <c r="W1566" s="12"/>
      <c r="X1566" s="119"/>
      <c r="Y1566" s="120"/>
      <c r="Z1566" s="12"/>
      <c r="BK1566" s="77"/>
      <c r="BO1566" s="77"/>
      <c r="BQ1566" s="77"/>
      <c r="BT1566" s="5"/>
      <c r="BU1566" s="5"/>
      <c r="BV1566" s="5"/>
      <c r="BW1566" s="71"/>
      <c r="BX1566" s="78"/>
      <c r="BY1566" s="64"/>
      <c r="BZ1566" s="3"/>
    </row>
    <row r="1567" spans="1:78">
      <c r="A1567" s="76"/>
      <c r="B1567" s="76"/>
      <c r="C1567" s="125"/>
      <c r="D1567" s="125"/>
      <c r="E1567" s="71"/>
      <c r="F1567" s="71"/>
      <c r="G1567" s="71"/>
      <c r="H1567" s="126"/>
      <c r="I1567" s="125"/>
      <c r="J1567" s="123"/>
      <c r="K1567" s="12"/>
      <c r="L1567" s="117"/>
      <c r="M1567" s="12"/>
      <c r="N1567" s="117"/>
      <c r="O1567" s="117"/>
      <c r="P1567" s="117"/>
      <c r="Q1567" s="118"/>
      <c r="R1567" s="118"/>
      <c r="S1567" s="118"/>
      <c r="T1567" s="12"/>
      <c r="U1567" s="118"/>
      <c r="V1567" s="118"/>
      <c r="W1567" s="12"/>
      <c r="X1567" s="119"/>
      <c r="Y1567" s="120"/>
      <c r="Z1567" s="12"/>
      <c r="BK1567" s="77"/>
      <c r="BO1567" s="77"/>
      <c r="BQ1567" s="77"/>
      <c r="BT1567" s="5"/>
      <c r="BU1567" s="5"/>
      <c r="BV1567" s="5"/>
      <c r="BW1567" s="71"/>
      <c r="BX1567" s="78"/>
      <c r="BY1567" s="64"/>
      <c r="BZ1567" s="3"/>
    </row>
    <row r="1568" spans="1:78">
      <c r="A1568" s="76"/>
      <c r="B1568" s="76"/>
      <c r="C1568" s="125"/>
      <c r="D1568" s="125"/>
      <c r="E1568" s="71"/>
      <c r="F1568" s="71"/>
      <c r="G1568" s="71"/>
      <c r="H1568" s="126"/>
      <c r="I1568" s="125"/>
      <c r="J1568" s="123"/>
      <c r="K1568" s="12"/>
      <c r="L1568" s="117"/>
      <c r="M1568" s="12"/>
      <c r="N1568" s="117"/>
      <c r="O1568" s="117"/>
      <c r="P1568" s="117"/>
      <c r="Q1568" s="118"/>
      <c r="R1568" s="118"/>
      <c r="S1568" s="118"/>
      <c r="T1568" s="12"/>
      <c r="U1568" s="118"/>
      <c r="V1568" s="118"/>
      <c r="W1568" s="12"/>
      <c r="X1568" s="119"/>
      <c r="Y1568" s="120"/>
      <c r="Z1568" s="12"/>
      <c r="BK1568" s="77"/>
      <c r="BO1568" s="77"/>
      <c r="BQ1568" s="77"/>
      <c r="BT1568" s="5"/>
      <c r="BU1568" s="5"/>
      <c r="BV1568" s="5"/>
      <c r="BW1568" s="71"/>
      <c r="BX1568" s="78"/>
      <c r="BY1568" s="64"/>
      <c r="BZ1568" s="3"/>
    </row>
    <row r="1569" spans="1:78">
      <c r="A1569" s="76"/>
      <c r="B1569" s="76"/>
      <c r="C1569" s="125"/>
      <c r="D1569" s="125"/>
      <c r="E1569" s="71"/>
      <c r="F1569" s="71"/>
      <c r="G1569" s="71"/>
      <c r="H1569" s="126"/>
      <c r="I1569" s="125"/>
      <c r="J1569" s="123"/>
      <c r="K1569" s="12"/>
      <c r="L1569" s="117"/>
      <c r="M1569" s="12"/>
      <c r="N1569" s="117"/>
      <c r="O1569" s="117"/>
      <c r="P1569" s="117"/>
      <c r="Q1569" s="118"/>
      <c r="R1569" s="118"/>
      <c r="S1569" s="118"/>
      <c r="T1569" s="12"/>
      <c r="U1569" s="118"/>
      <c r="V1569" s="118"/>
      <c r="W1569" s="12"/>
      <c r="X1569" s="119"/>
      <c r="Y1569" s="120"/>
      <c r="Z1569" s="12"/>
      <c r="BK1569" s="77"/>
      <c r="BO1569" s="77"/>
      <c r="BQ1569" s="77"/>
      <c r="BT1569" s="5"/>
      <c r="BU1569" s="5"/>
      <c r="BV1569" s="5"/>
      <c r="BW1569" s="71"/>
      <c r="BX1569" s="78"/>
      <c r="BY1569" s="64"/>
      <c r="BZ1569" s="3"/>
    </row>
    <row r="1570" spans="1:78">
      <c r="A1570" s="76"/>
      <c r="B1570" s="76"/>
      <c r="C1570" s="125"/>
      <c r="D1570" s="125"/>
      <c r="E1570" s="71"/>
      <c r="F1570" s="71"/>
      <c r="G1570" s="71"/>
      <c r="H1570" s="126"/>
      <c r="I1570" s="125"/>
      <c r="J1570" s="123"/>
      <c r="K1570" s="12"/>
      <c r="L1570" s="117"/>
      <c r="M1570" s="12"/>
      <c r="N1570" s="117"/>
      <c r="O1570" s="117"/>
      <c r="P1570" s="117"/>
      <c r="Q1570" s="118"/>
      <c r="R1570" s="118"/>
      <c r="S1570" s="118"/>
      <c r="T1570" s="12"/>
      <c r="U1570" s="118"/>
      <c r="V1570" s="118"/>
      <c r="W1570" s="12"/>
      <c r="X1570" s="119"/>
      <c r="Y1570" s="120"/>
      <c r="Z1570" s="12"/>
      <c r="BK1570" s="77"/>
      <c r="BO1570" s="77"/>
      <c r="BQ1570" s="77"/>
      <c r="BT1570" s="5"/>
      <c r="BU1570" s="5"/>
      <c r="BV1570" s="5"/>
      <c r="BW1570" s="71"/>
      <c r="BX1570" s="78"/>
      <c r="BY1570" s="64"/>
      <c r="BZ1570" s="3"/>
    </row>
    <row r="1571" spans="1:78">
      <c r="A1571" s="76"/>
      <c r="B1571" s="76"/>
      <c r="C1571" s="125"/>
      <c r="D1571" s="125"/>
      <c r="E1571" s="71"/>
      <c r="F1571" s="71"/>
      <c r="G1571" s="71"/>
      <c r="H1571" s="126"/>
      <c r="I1571" s="125"/>
      <c r="J1571" s="123"/>
      <c r="K1571" s="12"/>
      <c r="L1571" s="117"/>
      <c r="M1571" s="12"/>
      <c r="N1571" s="117"/>
      <c r="O1571" s="117"/>
      <c r="P1571" s="117"/>
      <c r="Q1571" s="118"/>
      <c r="R1571" s="118"/>
      <c r="S1571" s="118"/>
      <c r="T1571" s="12"/>
      <c r="U1571" s="118"/>
      <c r="V1571" s="118"/>
      <c r="W1571" s="12"/>
      <c r="X1571" s="119"/>
      <c r="Y1571" s="120"/>
      <c r="Z1571" s="12"/>
      <c r="BK1571" s="77"/>
      <c r="BO1571" s="77"/>
      <c r="BQ1571" s="77"/>
      <c r="BT1571" s="5"/>
      <c r="BU1571" s="5"/>
      <c r="BV1571" s="5"/>
      <c r="BW1571" s="71"/>
      <c r="BX1571" s="78"/>
      <c r="BY1571" s="64"/>
      <c r="BZ1571" s="3"/>
    </row>
    <row r="1572" spans="1:78">
      <c r="A1572" s="76"/>
      <c r="B1572" s="76"/>
      <c r="C1572" s="125"/>
      <c r="D1572" s="125"/>
      <c r="E1572" s="71"/>
      <c r="F1572" s="71"/>
      <c r="G1572" s="71"/>
      <c r="H1572" s="126"/>
      <c r="I1572" s="125"/>
      <c r="J1572" s="123"/>
      <c r="K1572" s="12"/>
      <c r="L1572" s="117"/>
      <c r="M1572" s="12"/>
      <c r="N1572" s="117"/>
      <c r="O1572" s="117"/>
      <c r="P1572" s="117"/>
      <c r="Q1572" s="118"/>
      <c r="R1572" s="118"/>
      <c r="S1572" s="118"/>
      <c r="T1572" s="12"/>
      <c r="U1572" s="118"/>
      <c r="V1572" s="118"/>
      <c r="W1572" s="12"/>
      <c r="X1572" s="119"/>
      <c r="Y1572" s="120"/>
      <c r="Z1572" s="12"/>
      <c r="BK1572" s="77"/>
      <c r="BO1572" s="77"/>
      <c r="BQ1572" s="77"/>
      <c r="BT1572" s="5"/>
      <c r="BU1572" s="5"/>
      <c r="BV1572" s="5"/>
      <c r="BW1572" s="71"/>
      <c r="BX1572" s="78"/>
      <c r="BY1572" s="64"/>
      <c r="BZ1572" s="3"/>
    </row>
    <row r="1573" spans="1:78">
      <c r="A1573" s="76"/>
      <c r="B1573" s="76"/>
      <c r="C1573" s="125"/>
      <c r="D1573" s="125"/>
      <c r="E1573" s="71"/>
      <c r="F1573" s="71"/>
      <c r="G1573" s="71"/>
      <c r="H1573" s="126"/>
      <c r="I1573" s="125"/>
      <c r="J1573" s="123"/>
      <c r="K1573" s="12"/>
      <c r="L1573" s="117"/>
      <c r="M1573" s="12"/>
      <c r="N1573" s="117"/>
      <c r="O1573" s="117"/>
      <c r="P1573" s="117"/>
      <c r="Q1573" s="118"/>
      <c r="R1573" s="118"/>
      <c r="S1573" s="118"/>
      <c r="T1573" s="12"/>
      <c r="U1573" s="118"/>
      <c r="V1573" s="118"/>
      <c r="W1573" s="12"/>
      <c r="X1573" s="119"/>
      <c r="Y1573" s="120"/>
      <c r="Z1573" s="12"/>
      <c r="BK1573" s="77"/>
      <c r="BO1573" s="77"/>
      <c r="BQ1573" s="77"/>
      <c r="BT1573" s="5"/>
      <c r="BU1573" s="5"/>
      <c r="BV1573" s="5"/>
      <c r="BW1573" s="71"/>
      <c r="BX1573" s="78"/>
      <c r="BY1573" s="64"/>
      <c r="BZ1573" s="3"/>
    </row>
    <row r="1574" spans="1:78">
      <c r="A1574" s="76"/>
      <c r="B1574" s="76"/>
      <c r="C1574" s="125"/>
      <c r="D1574" s="125"/>
      <c r="E1574" s="71"/>
      <c r="F1574" s="71"/>
      <c r="G1574" s="71"/>
      <c r="H1574" s="126"/>
      <c r="I1574" s="125"/>
      <c r="J1574" s="123"/>
      <c r="K1574" s="12"/>
      <c r="L1574" s="117"/>
      <c r="M1574" s="12"/>
      <c r="N1574" s="117"/>
      <c r="O1574" s="117"/>
      <c r="P1574" s="117"/>
      <c r="Q1574" s="118"/>
      <c r="R1574" s="118"/>
      <c r="S1574" s="118"/>
      <c r="T1574" s="12"/>
      <c r="U1574" s="118"/>
      <c r="V1574" s="118"/>
      <c r="W1574" s="12"/>
      <c r="X1574" s="119"/>
      <c r="Y1574" s="120"/>
      <c r="Z1574" s="12"/>
      <c r="BK1574" s="77"/>
      <c r="BO1574" s="77"/>
      <c r="BQ1574" s="77"/>
      <c r="BT1574" s="5"/>
      <c r="BU1574" s="5"/>
      <c r="BV1574" s="5"/>
      <c r="BW1574" s="71"/>
      <c r="BX1574" s="78"/>
      <c r="BY1574" s="64"/>
      <c r="BZ1574" s="3"/>
    </row>
    <row r="1575" spans="1:78">
      <c r="A1575" s="76"/>
      <c r="B1575" s="76"/>
      <c r="C1575" s="125"/>
      <c r="D1575" s="125"/>
      <c r="E1575" s="71"/>
      <c r="F1575" s="71"/>
      <c r="G1575" s="71"/>
      <c r="H1575" s="126"/>
      <c r="I1575" s="125"/>
      <c r="J1575" s="123"/>
      <c r="K1575" s="12"/>
      <c r="L1575" s="117"/>
      <c r="M1575" s="12"/>
      <c r="N1575" s="117"/>
      <c r="O1575" s="117"/>
      <c r="P1575" s="117"/>
      <c r="Q1575" s="118"/>
      <c r="R1575" s="118"/>
      <c r="S1575" s="118"/>
      <c r="T1575" s="12"/>
      <c r="U1575" s="118"/>
      <c r="V1575" s="118"/>
      <c r="W1575" s="12"/>
      <c r="X1575" s="119"/>
      <c r="Y1575" s="120"/>
      <c r="Z1575" s="12"/>
      <c r="BK1575" s="77"/>
      <c r="BO1575" s="77"/>
      <c r="BQ1575" s="77"/>
      <c r="BT1575" s="5"/>
      <c r="BU1575" s="5"/>
      <c r="BV1575" s="5"/>
      <c r="BW1575" s="71"/>
      <c r="BX1575" s="78"/>
      <c r="BY1575" s="64"/>
      <c r="BZ1575" s="3"/>
    </row>
    <row r="1576" spans="1:78">
      <c r="A1576" s="76"/>
      <c r="B1576" s="76"/>
      <c r="C1576" s="125"/>
      <c r="D1576" s="125"/>
      <c r="E1576" s="71"/>
      <c r="F1576" s="71"/>
      <c r="G1576" s="71"/>
      <c r="H1576" s="126"/>
      <c r="I1576" s="125"/>
      <c r="J1576" s="123"/>
      <c r="K1576" s="12"/>
      <c r="L1576" s="117"/>
      <c r="M1576" s="12"/>
      <c r="N1576" s="117"/>
      <c r="O1576" s="117"/>
      <c r="P1576" s="117"/>
      <c r="Q1576" s="118"/>
      <c r="R1576" s="118"/>
      <c r="S1576" s="118"/>
      <c r="T1576" s="12"/>
      <c r="U1576" s="118"/>
      <c r="V1576" s="118"/>
      <c r="W1576" s="12"/>
      <c r="X1576" s="119"/>
      <c r="Y1576" s="120"/>
      <c r="Z1576" s="12"/>
      <c r="BK1576" s="77"/>
      <c r="BO1576" s="77"/>
      <c r="BQ1576" s="77"/>
      <c r="BT1576" s="5"/>
      <c r="BU1576" s="5"/>
      <c r="BV1576" s="5"/>
      <c r="BW1576" s="71"/>
      <c r="BX1576" s="78"/>
      <c r="BY1576" s="64"/>
      <c r="BZ1576" s="3"/>
    </row>
    <row r="1577" spans="1:78">
      <c r="A1577" s="76"/>
      <c r="B1577" s="76"/>
      <c r="C1577" s="125"/>
      <c r="D1577" s="125"/>
      <c r="E1577" s="71"/>
      <c r="F1577" s="71"/>
      <c r="G1577" s="71"/>
      <c r="H1577" s="126"/>
      <c r="I1577" s="125"/>
      <c r="J1577" s="123"/>
      <c r="K1577" s="12"/>
      <c r="L1577" s="117"/>
      <c r="M1577" s="12"/>
      <c r="N1577" s="117"/>
      <c r="O1577" s="117"/>
      <c r="P1577" s="117"/>
      <c r="Q1577" s="118"/>
      <c r="R1577" s="118"/>
      <c r="S1577" s="118"/>
      <c r="T1577" s="12"/>
      <c r="U1577" s="118"/>
      <c r="V1577" s="118"/>
      <c r="W1577" s="12"/>
      <c r="X1577" s="119"/>
      <c r="Y1577" s="120"/>
      <c r="Z1577" s="12"/>
      <c r="BK1577" s="77"/>
      <c r="BO1577" s="77"/>
      <c r="BQ1577" s="77"/>
      <c r="BT1577" s="5"/>
      <c r="BU1577" s="5"/>
      <c r="BV1577" s="5"/>
      <c r="BW1577" s="71"/>
      <c r="BX1577" s="78"/>
      <c r="BY1577" s="64"/>
      <c r="BZ1577" s="3"/>
    </row>
    <row r="1578" spans="1:78">
      <c r="A1578" s="76"/>
      <c r="B1578" s="76"/>
      <c r="C1578" s="125"/>
      <c r="D1578" s="125"/>
      <c r="E1578" s="71"/>
      <c r="F1578" s="71"/>
      <c r="G1578" s="71"/>
      <c r="H1578" s="126"/>
      <c r="I1578" s="125"/>
      <c r="J1578" s="123"/>
      <c r="K1578" s="12"/>
      <c r="L1578" s="117"/>
      <c r="M1578" s="12"/>
      <c r="N1578" s="117"/>
      <c r="O1578" s="117"/>
      <c r="P1578" s="117"/>
      <c r="Q1578" s="118"/>
      <c r="R1578" s="118"/>
      <c r="S1578" s="118"/>
      <c r="T1578" s="12"/>
      <c r="U1578" s="118"/>
      <c r="V1578" s="118"/>
      <c r="W1578" s="12"/>
      <c r="X1578" s="119"/>
      <c r="Y1578" s="120"/>
      <c r="Z1578" s="12"/>
      <c r="BK1578" s="77"/>
      <c r="BO1578" s="77"/>
      <c r="BQ1578" s="77"/>
      <c r="BT1578" s="5"/>
      <c r="BU1578" s="5"/>
      <c r="BV1578" s="5"/>
      <c r="BW1578" s="71"/>
      <c r="BX1578" s="78"/>
      <c r="BY1578" s="64"/>
      <c r="BZ1578" s="3"/>
    </row>
    <row r="1579" spans="1:78">
      <c r="A1579" s="76"/>
      <c r="B1579" s="76"/>
      <c r="C1579" s="125"/>
      <c r="D1579" s="125"/>
      <c r="E1579" s="71"/>
      <c r="F1579" s="71"/>
      <c r="G1579" s="71"/>
      <c r="H1579" s="126"/>
      <c r="I1579" s="125"/>
      <c r="J1579" s="123"/>
      <c r="K1579" s="12"/>
      <c r="L1579" s="117"/>
      <c r="M1579" s="12"/>
      <c r="N1579" s="117"/>
      <c r="O1579" s="117"/>
      <c r="P1579" s="117"/>
      <c r="Q1579" s="118"/>
      <c r="R1579" s="118"/>
      <c r="S1579" s="118"/>
      <c r="T1579" s="12"/>
      <c r="U1579" s="118"/>
      <c r="V1579" s="118"/>
      <c r="W1579" s="12"/>
      <c r="X1579" s="119"/>
      <c r="Y1579" s="120"/>
      <c r="Z1579" s="12"/>
      <c r="BK1579" s="77"/>
      <c r="BO1579" s="77"/>
      <c r="BQ1579" s="77"/>
      <c r="BT1579" s="5"/>
      <c r="BU1579" s="5"/>
      <c r="BV1579" s="5"/>
      <c r="BW1579" s="71"/>
      <c r="BX1579" s="78"/>
      <c r="BY1579" s="64"/>
      <c r="BZ1579" s="3"/>
    </row>
    <row r="1580" spans="1:78">
      <c r="A1580" s="76"/>
      <c r="B1580" s="76"/>
      <c r="C1580" s="125"/>
      <c r="D1580" s="125"/>
      <c r="E1580" s="71"/>
      <c r="F1580" s="71"/>
      <c r="G1580" s="71"/>
      <c r="H1580" s="126"/>
      <c r="I1580" s="125"/>
      <c r="J1580" s="123"/>
      <c r="K1580" s="12"/>
      <c r="L1580" s="117"/>
      <c r="M1580" s="12"/>
      <c r="N1580" s="117"/>
      <c r="O1580" s="117"/>
      <c r="P1580" s="117"/>
      <c r="Q1580" s="118"/>
      <c r="R1580" s="118"/>
      <c r="S1580" s="118"/>
      <c r="T1580" s="12"/>
      <c r="U1580" s="118"/>
      <c r="V1580" s="118"/>
      <c r="W1580" s="12"/>
      <c r="X1580" s="119"/>
      <c r="Y1580" s="120"/>
      <c r="Z1580" s="12"/>
      <c r="BK1580" s="77"/>
      <c r="BO1580" s="77"/>
      <c r="BQ1580" s="77"/>
      <c r="BT1580" s="5"/>
      <c r="BU1580" s="5"/>
      <c r="BV1580" s="5"/>
      <c r="BW1580" s="71"/>
      <c r="BX1580" s="78"/>
      <c r="BY1580" s="64"/>
      <c r="BZ1580" s="3"/>
    </row>
    <row r="1581" spans="1:78">
      <c r="A1581" s="76"/>
      <c r="B1581" s="76"/>
      <c r="C1581" s="125"/>
      <c r="D1581" s="125"/>
      <c r="E1581" s="71"/>
      <c r="F1581" s="71"/>
      <c r="G1581" s="71"/>
      <c r="H1581" s="126"/>
      <c r="I1581" s="125"/>
      <c r="J1581" s="123"/>
      <c r="K1581" s="12"/>
      <c r="L1581" s="117"/>
      <c r="M1581" s="12"/>
      <c r="N1581" s="117"/>
      <c r="O1581" s="117"/>
      <c r="P1581" s="117"/>
      <c r="Q1581" s="118"/>
      <c r="R1581" s="118"/>
      <c r="S1581" s="118"/>
      <c r="T1581" s="12"/>
      <c r="U1581" s="118"/>
      <c r="V1581" s="118"/>
      <c r="W1581" s="12"/>
      <c r="X1581" s="119"/>
      <c r="Y1581" s="120"/>
      <c r="Z1581" s="12"/>
      <c r="BK1581" s="77"/>
      <c r="BO1581" s="77"/>
      <c r="BQ1581" s="77"/>
      <c r="BT1581" s="5"/>
      <c r="BU1581" s="5"/>
      <c r="BV1581" s="5"/>
      <c r="BW1581" s="71"/>
      <c r="BX1581" s="78"/>
      <c r="BY1581" s="64"/>
      <c r="BZ1581" s="3"/>
    </row>
    <row r="1582" spans="1:78">
      <c r="A1582" s="76"/>
      <c r="B1582" s="76"/>
      <c r="C1582" s="125"/>
      <c r="D1582" s="125"/>
      <c r="E1582" s="71"/>
      <c r="F1582" s="71"/>
      <c r="G1582" s="71"/>
      <c r="H1582" s="126"/>
      <c r="I1582" s="125"/>
      <c r="J1582" s="123"/>
      <c r="K1582" s="12"/>
      <c r="L1582" s="117"/>
      <c r="M1582" s="12"/>
      <c r="N1582" s="117"/>
      <c r="O1582" s="117"/>
      <c r="P1582" s="117"/>
      <c r="Q1582" s="118"/>
      <c r="R1582" s="118"/>
      <c r="S1582" s="118"/>
      <c r="T1582" s="12"/>
      <c r="U1582" s="118"/>
      <c r="V1582" s="118"/>
      <c r="W1582" s="12"/>
      <c r="X1582" s="119"/>
      <c r="Y1582" s="120"/>
      <c r="Z1582" s="12"/>
      <c r="BK1582" s="77"/>
      <c r="BO1582" s="77"/>
      <c r="BQ1582" s="77"/>
      <c r="BT1582" s="5"/>
      <c r="BU1582" s="5"/>
      <c r="BV1582" s="5"/>
      <c r="BW1582" s="71"/>
      <c r="BX1582" s="78"/>
      <c r="BY1582" s="64"/>
      <c r="BZ1582" s="3"/>
    </row>
    <row r="1583" spans="1:78">
      <c r="A1583" s="76"/>
      <c r="B1583" s="76"/>
      <c r="C1583" s="125"/>
      <c r="D1583" s="125"/>
      <c r="E1583" s="71"/>
      <c r="F1583" s="71"/>
      <c r="G1583" s="71"/>
      <c r="H1583" s="126"/>
      <c r="I1583" s="125"/>
      <c r="J1583" s="123"/>
      <c r="K1583" s="12"/>
      <c r="L1583" s="117"/>
      <c r="M1583" s="12"/>
      <c r="N1583" s="117"/>
      <c r="O1583" s="117"/>
      <c r="P1583" s="117"/>
      <c r="Q1583" s="118"/>
      <c r="R1583" s="118"/>
      <c r="S1583" s="118"/>
      <c r="T1583" s="12"/>
      <c r="U1583" s="118"/>
      <c r="V1583" s="118"/>
      <c r="W1583" s="12"/>
      <c r="X1583" s="119"/>
      <c r="Y1583" s="120"/>
      <c r="Z1583" s="12"/>
      <c r="BK1583" s="77"/>
      <c r="BO1583" s="77"/>
      <c r="BQ1583" s="77"/>
      <c r="BT1583" s="5"/>
      <c r="BU1583" s="5"/>
      <c r="BV1583" s="5"/>
      <c r="BW1583" s="71"/>
      <c r="BX1583" s="78"/>
      <c r="BY1583" s="64"/>
      <c r="BZ1583" s="3"/>
    </row>
    <row r="1584" spans="1:78">
      <c r="A1584" s="76"/>
      <c r="B1584" s="76"/>
      <c r="C1584" s="125"/>
      <c r="D1584" s="125"/>
      <c r="E1584" s="71"/>
      <c r="F1584" s="71"/>
      <c r="G1584" s="71"/>
      <c r="H1584" s="126"/>
      <c r="I1584" s="125"/>
      <c r="J1584" s="123"/>
      <c r="K1584" s="12"/>
      <c r="L1584" s="117"/>
      <c r="M1584" s="12"/>
      <c r="N1584" s="117"/>
      <c r="O1584" s="117"/>
      <c r="P1584" s="117"/>
      <c r="Q1584" s="118"/>
      <c r="R1584" s="118"/>
      <c r="S1584" s="118"/>
      <c r="T1584" s="12"/>
      <c r="U1584" s="118"/>
      <c r="V1584" s="118"/>
      <c r="W1584" s="12"/>
      <c r="X1584" s="119"/>
      <c r="Y1584" s="120"/>
      <c r="Z1584" s="12"/>
      <c r="BK1584" s="77"/>
      <c r="BO1584" s="77"/>
      <c r="BQ1584" s="77"/>
      <c r="BT1584" s="5"/>
      <c r="BU1584" s="5"/>
      <c r="BV1584" s="5"/>
      <c r="BW1584" s="71"/>
      <c r="BX1584" s="78"/>
      <c r="BY1584" s="64"/>
      <c r="BZ1584" s="3"/>
    </row>
    <row r="1585" spans="1:78">
      <c r="A1585" s="76"/>
      <c r="B1585" s="76"/>
      <c r="C1585" s="125"/>
      <c r="D1585" s="125"/>
      <c r="E1585" s="71"/>
      <c r="F1585" s="71"/>
      <c r="G1585" s="71"/>
      <c r="H1585" s="126"/>
      <c r="I1585" s="125"/>
      <c r="J1585" s="123"/>
      <c r="K1585" s="12"/>
      <c r="L1585" s="117"/>
      <c r="M1585" s="12"/>
      <c r="N1585" s="117"/>
      <c r="O1585" s="117"/>
      <c r="P1585" s="117"/>
      <c r="Q1585" s="118"/>
      <c r="R1585" s="118"/>
      <c r="S1585" s="118"/>
      <c r="T1585" s="12"/>
      <c r="U1585" s="118"/>
      <c r="V1585" s="118"/>
      <c r="W1585" s="12"/>
      <c r="X1585" s="119"/>
      <c r="Y1585" s="120"/>
      <c r="Z1585" s="12"/>
      <c r="BK1585" s="77"/>
      <c r="BO1585" s="77"/>
      <c r="BQ1585" s="77"/>
      <c r="BT1585" s="5"/>
      <c r="BU1585" s="5"/>
      <c r="BV1585" s="5"/>
      <c r="BW1585" s="71"/>
      <c r="BX1585" s="78"/>
      <c r="BY1585" s="64"/>
      <c r="BZ1585" s="3"/>
    </row>
    <row r="1586" spans="1:78">
      <c r="A1586" s="76"/>
      <c r="B1586" s="76"/>
      <c r="C1586" s="125"/>
      <c r="D1586" s="125"/>
      <c r="E1586" s="71"/>
      <c r="F1586" s="71"/>
      <c r="G1586" s="71"/>
      <c r="H1586" s="126"/>
      <c r="I1586" s="125"/>
      <c r="J1586" s="123"/>
      <c r="K1586" s="12"/>
      <c r="L1586" s="117"/>
      <c r="M1586" s="12"/>
      <c r="N1586" s="117"/>
      <c r="O1586" s="117"/>
      <c r="P1586" s="117"/>
      <c r="Q1586" s="118"/>
      <c r="R1586" s="118"/>
      <c r="S1586" s="118"/>
      <c r="T1586" s="12"/>
      <c r="U1586" s="118"/>
      <c r="V1586" s="118"/>
      <c r="W1586" s="12"/>
      <c r="X1586" s="119"/>
      <c r="Y1586" s="120"/>
      <c r="Z1586" s="12"/>
      <c r="BK1586" s="77"/>
      <c r="BO1586" s="77"/>
      <c r="BQ1586" s="77"/>
      <c r="BT1586" s="5"/>
      <c r="BU1586" s="5"/>
      <c r="BV1586" s="5"/>
      <c r="BW1586" s="71"/>
      <c r="BX1586" s="78"/>
      <c r="BY1586" s="64"/>
      <c r="BZ1586" s="3"/>
    </row>
    <row r="1587" spans="1:78">
      <c r="A1587" s="76"/>
      <c r="B1587" s="76"/>
      <c r="C1587" s="125"/>
      <c r="D1587" s="125"/>
      <c r="E1587" s="71"/>
      <c r="F1587" s="71"/>
      <c r="G1587" s="71"/>
      <c r="H1587" s="126"/>
      <c r="I1587" s="125"/>
      <c r="J1587" s="123"/>
      <c r="K1587" s="12"/>
      <c r="L1587" s="117"/>
      <c r="M1587" s="12"/>
      <c r="N1587" s="117"/>
      <c r="O1587" s="117"/>
      <c r="P1587" s="117"/>
      <c r="Q1587" s="118"/>
      <c r="R1587" s="118"/>
      <c r="S1587" s="118"/>
      <c r="T1587" s="12"/>
      <c r="U1587" s="118"/>
      <c r="V1587" s="118"/>
      <c r="W1587" s="12"/>
      <c r="X1587" s="119"/>
      <c r="Y1587" s="120"/>
      <c r="Z1587" s="12"/>
      <c r="BK1587" s="77"/>
      <c r="BO1587" s="77"/>
      <c r="BQ1587" s="77"/>
      <c r="BT1587" s="5"/>
      <c r="BU1587" s="5"/>
      <c r="BV1587" s="5"/>
      <c r="BW1587" s="71"/>
      <c r="BX1587" s="78"/>
      <c r="BY1587" s="64"/>
      <c r="BZ1587" s="3"/>
    </row>
    <row r="1588" spans="1:78">
      <c r="A1588" s="76"/>
      <c r="B1588" s="76"/>
      <c r="C1588" s="125"/>
      <c r="D1588" s="125"/>
      <c r="E1588" s="71"/>
      <c r="F1588" s="71"/>
      <c r="G1588" s="71"/>
      <c r="H1588" s="126"/>
      <c r="I1588" s="125"/>
      <c r="J1588" s="123"/>
      <c r="K1588" s="12"/>
      <c r="L1588" s="117"/>
      <c r="M1588" s="12"/>
      <c r="N1588" s="117"/>
      <c r="O1588" s="117"/>
      <c r="P1588" s="117"/>
      <c r="Q1588" s="118"/>
      <c r="R1588" s="118"/>
      <c r="S1588" s="118"/>
      <c r="T1588" s="12"/>
      <c r="U1588" s="118"/>
      <c r="V1588" s="118"/>
      <c r="W1588" s="12"/>
      <c r="X1588" s="119"/>
      <c r="Y1588" s="120"/>
      <c r="Z1588" s="12"/>
      <c r="BK1588" s="77"/>
      <c r="BO1588" s="77"/>
      <c r="BQ1588" s="77"/>
      <c r="BT1588" s="5"/>
      <c r="BU1588" s="5"/>
      <c r="BV1588" s="5"/>
      <c r="BW1588" s="71"/>
      <c r="BX1588" s="78"/>
      <c r="BY1588" s="64"/>
      <c r="BZ1588" s="3"/>
    </row>
    <row r="1589" spans="1:78">
      <c r="A1589" s="76"/>
      <c r="B1589" s="76"/>
      <c r="C1589" s="125"/>
      <c r="D1589" s="125"/>
      <c r="E1589" s="71"/>
      <c r="F1589" s="71"/>
      <c r="G1589" s="71"/>
      <c r="H1589" s="126"/>
      <c r="I1589" s="125"/>
      <c r="J1589" s="123"/>
      <c r="K1589" s="12"/>
      <c r="L1589" s="117"/>
      <c r="M1589" s="12"/>
      <c r="N1589" s="117"/>
      <c r="O1589" s="117"/>
      <c r="P1589" s="117"/>
      <c r="Q1589" s="118"/>
      <c r="R1589" s="118"/>
      <c r="S1589" s="118"/>
      <c r="T1589" s="12"/>
      <c r="U1589" s="118"/>
      <c r="V1589" s="118"/>
      <c r="W1589" s="12"/>
      <c r="X1589" s="119"/>
      <c r="Y1589" s="120"/>
      <c r="Z1589" s="12"/>
      <c r="BK1589" s="77"/>
      <c r="BO1589" s="77"/>
      <c r="BQ1589" s="77"/>
      <c r="BT1589" s="5"/>
      <c r="BU1589" s="5"/>
      <c r="BV1589" s="5"/>
      <c r="BW1589" s="71"/>
      <c r="BX1589" s="78"/>
      <c r="BY1589" s="64"/>
      <c r="BZ1589" s="3"/>
    </row>
    <row r="1590" spans="1:78">
      <c r="A1590" s="76"/>
      <c r="B1590" s="76"/>
      <c r="C1590" s="125"/>
      <c r="D1590" s="125"/>
      <c r="E1590" s="71"/>
      <c r="F1590" s="71"/>
      <c r="G1590" s="71"/>
      <c r="H1590" s="126"/>
      <c r="I1590" s="125"/>
      <c r="J1590" s="123"/>
      <c r="K1590" s="12"/>
      <c r="L1590" s="117"/>
      <c r="M1590" s="12"/>
      <c r="N1590" s="117"/>
      <c r="O1590" s="117"/>
      <c r="P1590" s="117"/>
      <c r="Q1590" s="118"/>
      <c r="R1590" s="118"/>
      <c r="S1590" s="118"/>
      <c r="T1590" s="12"/>
      <c r="U1590" s="118"/>
      <c r="V1590" s="118"/>
      <c r="W1590" s="12"/>
      <c r="X1590" s="119"/>
      <c r="Y1590" s="120"/>
      <c r="Z1590" s="12"/>
      <c r="BK1590" s="77"/>
      <c r="BO1590" s="77"/>
      <c r="BQ1590" s="77"/>
      <c r="BT1590" s="5"/>
      <c r="BU1590" s="5"/>
      <c r="BV1590" s="5"/>
      <c r="BW1590" s="71"/>
      <c r="BX1590" s="78"/>
      <c r="BY1590" s="64"/>
      <c r="BZ1590" s="3"/>
    </row>
    <row r="1591" spans="1:78">
      <c r="A1591" s="76"/>
      <c r="B1591" s="76"/>
      <c r="C1591" s="125"/>
      <c r="D1591" s="125"/>
      <c r="E1591" s="71"/>
      <c r="F1591" s="71"/>
      <c r="G1591" s="71"/>
      <c r="H1591" s="126"/>
      <c r="I1591" s="125"/>
      <c r="J1591" s="123"/>
      <c r="K1591" s="12"/>
      <c r="L1591" s="117"/>
      <c r="M1591" s="12"/>
      <c r="N1591" s="117"/>
      <c r="O1591" s="117"/>
      <c r="P1591" s="117"/>
      <c r="Q1591" s="118"/>
      <c r="R1591" s="118"/>
      <c r="S1591" s="118"/>
      <c r="T1591" s="12"/>
      <c r="U1591" s="118"/>
      <c r="V1591" s="118"/>
      <c r="W1591" s="12"/>
      <c r="X1591" s="119"/>
      <c r="Y1591" s="120"/>
      <c r="Z1591" s="12"/>
      <c r="BK1591" s="77"/>
      <c r="BO1591" s="77"/>
      <c r="BQ1591" s="77"/>
      <c r="BT1591" s="5"/>
      <c r="BU1591" s="5"/>
      <c r="BV1591" s="5"/>
      <c r="BW1591" s="71"/>
      <c r="BX1591" s="78"/>
      <c r="BY1591" s="64"/>
      <c r="BZ1591" s="3"/>
    </row>
    <row r="1592" spans="1:78">
      <c r="A1592" s="76"/>
      <c r="B1592" s="76"/>
      <c r="C1592" s="125"/>
      <c r="D1592" s="125"/>
      <c r="E1592" s="71"/>
      <c r="F1592" s="71"/>
      <c r="G1592" s="71"/>
      <c r="H1592" s="126"/>
      <c r="I1592" s="125"/>
      <c r="J1592" s="123"/>
      <c r="K1592" s="12"/>
      <c r="L1592" s="117"/>
      <c r="M1592" s="12"/>
      <c r="N1592" s="117"/>
      <c r="O1592" s="117"/>
      <c r="P1592" s="117"/>
      <c r="Q1592" s="118"/>
      <c r="R1592" s="118"/>
      <c r="S1592" s="118"/>
      <c r="T1592" s="12"/>
      <c r="U1592" s="118"/>
      <c r="V1592" s="118"/>
      <c r="W1592" s="12"/>
      <c r="X1592" s="119"/>
      <c r="Y1592" s="120"/>
      <c r="Z1592" s="12"/>
      <c r="BK1592" s="77"/>
      <c r="BO1592" s="77"/>
      <c r="BQ1592" s="77"/>
      <c r="BT1592" s="5"/>
      <c r="BU1592" s="5"/>
      <c r="BV1592" s="5"/>
      <c r="BW1592" s="71"/>
      <c r="BX1592" s="78"/>
      <c r="BY1592" s="64"/>
      <c r="BZ1592" s="3"/>
    </row>
    <row r="1593" spans="1:78">
      <c r="A1593" s="76"/>
      <c r="B1593" s="76"/>
      <c r="C1593" s="125"/>
      <c r="D1593" s="125"/>
      <c r="E1593" s="71"/>
      <c r="F1593" s="71"/>
      <c r="G1593" s="71"/>
      <c r="H1593" s="126"/>
      <c r="I1593" s="125"/>
      <c r="J1593" s="123"/>
      <c r="K1593" s="12"/>
      <c r="L1593" s="117"/>
      <c r="M1593" s="12"/>
      <c r="N1593" s="117"/>
      <c r="O1593" s="117"/>
      <c r="P1593" s="117"/>
      <c r="Q1593" s="118"/>
      <c r="R1593" s="118"/>
      <c r="S1593" s="118"/>
      <c r="T1593" s="12"/>
      <c r="U1593" s="118"/>
      <c r="V1593" s="118"/>
      <c r="W1593" s="12"/>
      <c r="X1593" s="119"/>
      <c r="Y1593" s="120"/>
      <c r="Z1593" s="12"/>
      <c r="BK1593" s="77"/>
      <c r="BO1593" s="77"/>
      <c r="BQ1593" s="77"/>
      <c r="BT1593" s="5"/>
      <c r="BU1593" s="5"/>
      <c r="BV1593" s="5"/>
      <c r="BW1593" s="71"/>
      <c r="BX1593" s="78"/>
      <c r="BY1593" s="64"/>
      <c r="BZ1593" s="3"/>
    </row>
    <row r="1594" spans="1:78">
      <c r="A1594" s="76"/>
      <c r="B1594" s="76"/>
      <c r="C1594" s="125"/>
      <c r="D1594" s="125"/>
      <c r="E1594" s="71"/>
      <c r="F1594" s="71"/>
      <c r="G1594" s="71"/>
      <c r="H1594" s="126"/>
      <c r="I1594" s="125"/>
      <c r="J1594" s="123"/>
      <c r="K1594" s="12"/>
      <c r="L1594" s="117"/>
      <c r="M1594" s="12"/>
      <c r="N1594" s="117"/>
      <c r="O1594" s="117"/>
      <c r="P1594" s="117"/>
      <c r="Q1594" s="118"/>
      <c r="R1594" s="118"/>
      <c r="S1594" s="118"/>
      <c r="T1594" s="12"/>
      <c r="U1594" s="118"/>
      <c r="V1594" s="118"/>
      <c r="W1594" s="12"/>
      <c r="X1594" s="119"/>
      <c r="Y1594" s="120"/>
      <c r="Z1594" s="12"/>
      <c r="BK1594" s="77"/>
      <c r="BO1594" s="77"/>
      <c r="BQ1594" s="77"/>
      <c r="BT1594" s="5"/>
      <c r="BU1594" s="5"/>
      <c r="BV1594" s="5"/>
      <c r="BW1594" s="71"/>
      <c r="BX1594" s="78"/>
      <c r="BY1594" s="64"/>
      <c r="BZ1594" s="3"/>
    </row>
    <row r="1595" spans="1:78">
      <c r="A1595" s="76"/>
      <c r="B1595" s="76"/>
      <c r="C1595" s="125"/>
      <c r="D1595" s="125"/>
      <c r="E1595" s="71"/>
      <c r="F1595" s="71"/>
      <c r="G1595" s="71"/>
      <c r="H1595" s="126"/>
      <c r="I1595" s="125"/>
      <c r="J1595" s="123"/>
      <c r="K1595" s="12"/>
      <c r="L1595" s="117"/>
      <c r="M1595" s="12"/>
      <c r="N1595" s="117"/>
      <c r="O1595" s="117"/>
      <c r="P1595" s="117"/>
      <c r="Q1595" s="118"/>
      <c r="R1595" s="118"/>
      <c r="S1595" s="118"/>
      <c r="T1595" s="12"/>
      <c r="U1595" s="118"/>
      <c r="V1595" s="118"/>
      <c r="W1595" s="12"/>
      <c r="X1595" s="119"/>
      <c r="Y1595" s="120"/>
      <c r="Z1595" s="12"/>
      <c r="BK1595" s="77"/>
      <c r="BO1595" s="77"/>
      <c r="BQ1595" s="77"/>
      <c r="BT1595" s="5"/>
      <c r="BU1595" s="5"/>
      <c r="BV1595" s="5"/>
      <c r="BW1595" s="71"/>
      <c r="BX1595" s="78"/>
      <c r="BY1595" s="64"/>
      <c r="BZ1595" s="3"/>
    </row>
    <row r="1596" spans="1:78">
      <c r="A1596" s="76"/>
      <c r="B1596" s="76"/>
      <c r="C1596" s="125"/>
      <c r="D1596" s="125"/>
      <c r="E1596" s="71"/>
      <c r="F1596" s="71"/>
      <c r="G1596" s="71"/>
      <c r="H1596" s="126"/>
      <c r="I1596" s="125"/>
      <c r="J1596" s="123"/>
      <c r="K1596" s="12"/>
      <c r="L1596" s="117"/>
      <c r="M1596" s="12"/>
      <c r="N1596" s="117"/>
      <c r="O1596" s="117"/>
      <c r="P1596" s="117"/>
      <c r="Q1596" s="118"/>
      <c r="R1596" s="118"/>
      <c r="S1596" s="118"/>
      <c r="T1596" s="12"/>
      <c r="U1596" s="118"/>
      <c r="V1596" s="118"/>
      <c r="W1596" s="12"/>
      <c r="X1596" s="119"/>
      <c r="Y1596" s="120"/>
      <c r="Z1596" s="12"/>
      <c r="BK1596" s="77"/>
      <c r="BO1596" s="77"/>
      <c r="BQ1596" s="77"/>
      <c r="BT1596" s="5"/>
      <c r="BU1596" s="5"/>
      <c r="BV1596" s="5"/>
      <c r="BW1596" s="71"/>
      <c r="BX1596" s="78"/>
      <c r="BY1596" s="64"/>
      <c r="BZ1596" s="3"/>
    </row>
    <row r="1597" spans="1:78">
      <c r="A1597" s="76"/>
      <c r="B1597" s="76"/>
      <c r="C1597" s="125"/>
      <c r="D1597" s="125"/>
      <c r="E1597" s="71"/>
      <c r="F1597" s="71"/>
      <c r="G1597" s="71"/>
      <c r="H1597" s="126"/>
      <c r="I1597" s="125"/>
      <c r="J1597" s="123"/>
      <c r="K1597" s="12"/>
      <c r="L1597" s="117"/>
      <c r="M1597" s="12"/>
      <c r="N1597" s="117"/>
      <c r="O1597" s="117"/>
      <c r="P1597" s="117"/>
      <c r="Q1597" s="118"/>
      <c r="R1597" s="118"/>
      <c r="S1597" s="118"/>
      <c r="T1597" s="12"/>
      <c r="U1597" s="118"/>
      <c r="V1597" s="118"/>
      <c r="W1597" s="12"/>
      <c r="X1597" s="119"/>
      <c r="Y1597" s="120"/>
      <c r="Z1597" s="12"/>
      <c r="BK1597" s="77"/>
      <c r="BO1597" s="77"/>
      <c r="BQ1597" s="77"/>
      <c r="BT1597" s="5"/>
      <c r="BU1597" s="5"/>
      <c r="BV1597" s="5"/>
      <c r="BW1597" s="71"/>
      <c r="BX1597" s="78"/>
      <c r="BY1597" s="64"/>
      <c r="BZ1597" s="3"/>
    </row>
    <row r="1598" spans="1:78">
      <c r="A1598" s="76"/>
      <c r="B1598" s="76"/>
      <c r="C1598" s="125"/>
      <c r="D1598" s="125"/>
      <c r="E1598" s="71"/>
      <c r="F1598" s="71"/>
      <c r="G1598" s="71"/>
      <c r="H1598" s="126"/>
      <c r="I1598" s="125"/>
      <c r="J1598" s="123"/>
      <c r="K1598" s="12"/>
      <c r="L1598" s="117"/>
      <c r="M1598" s="12"/>
      <c r="N1598" s="117"/>
      <c r="O1598" s="117"/>
      <c r="P1598" s="117"/>
      <c r="Q1598" s="118"/>
      <c r="R1598" s="118"/>
      <c r="S1598" s="118"/>
      <c r="T1598" s="12"/>
      <c r="U1598" s="118"/>
      <c r="V1598" s="118"/>
      <c r="W1598" s="12"/>
      <c r="X1598" s="119"/>
      <c r="Y1598" s="120"/>
      <c r="Z1598" s="12"/>
      <c r="BK1598" s="77"/>
      <c r="BO1598" s="77"/>
      <c r="BQ1598" s="77"/>
      <c r="BT1598" s="5"/>
      <c r="BU1598" s="5"/>
      <c r="BV1598" s="5"/>
      <c r="BW1598" s="71"/>
      <c r="BX1598" s="78"/>
      <c r="BY1598" s="64"/>
      <c r="BZ1598" s="3"/>
    </row>
    <row r="1599" spans="1:78">
      <c r="A1599" s="76"/>
      <c r="B1599" s="76"/>
      <c r="C1599" s="125"/>
      <c r="D1599" s="125"/>
      <c r="E1599" s="71"/>
      <c r="F1599" s="71"/>
      <c r="G1599" s="71"/>
      <c r="H1599" s="126"/>
      <c r="I1599" s="125"/>
      <c r="J1599" s="123"/>
      <c r="K1599" s="12"/>
      <c r="L1599" s="117"/>
      <c r="M1599" s="12"/>
      <c r="N1599" s="117"/>
      <c r="O1599" s="117"/>
      <c r="P1599" s="117"/>
      <c r="Q1599" s="118"/>
      <c r="R1599" s="118"/>
      <c r="S1599" s="118"/>
      <c r="T1599" s="12"/>
      <c r="U1599" s="118"/>
      <c r="V1599" s="118"/>
      <c r="W1599" s="12"/>
      <c r="X1599" s="119"/>
      <c r="Y1599" s="120"/>
      <c r="Z1599" s="12"/>
      <c r="BK1599" s="77"/>
      <c r="BO1599" s="77"/>
      <c r="BQ1599" s="77"/>
      <c r="BT1599" s="5"/>
      <c r="BU1599" s="5"/>
      <c r="BV1599" s="5"/>
      <c r="BW1599" s="71"/>
      <c r="BX1599" s="78"/>
      <c r="BY1599" s="64"/>
      <c r="BZ1599" s="3"/>
    </row>
    <row r="1600" spans="1:78">
      <c r="A1600" s="76"/>
      <c r="B1600" s="76"/>
      <c r="C1600" s="125"/>
      <c r="D1600" s="125"/>
      <c r="E1600" s="71"/>
      <c r="F1600" s="71"/>
      <c r="G1600" s="71"/>
      <c r="H1600" s="126"/>
      <c r="I1600" s="125"/>
      <c r="J1600" s="123"/>
      <c r="K1600" s="12"/>
      <c r="L1600" s="117"/>
      <c r="M1600" s="12"/>
      <c r="N1600" s="117"/>
      <c r="O1600" s="117"/>
      <c r="P1600" s="117"/>
      <c r="Q1600" s="118"/>
      <c r="R1600" s="118"/>
      <c r="S1600" s="118"/>
      <c r="T1600" s="12"/>
      <c r="U1600" s="118"/>
      <c r="V1600" s="118"/>
      <c r="W1600" s="12"/>
      <c r="X1600" s="119"/>
      <c r="Y1600" s="120"/>
      <c r="Z1600" s="12"/>
      <c r="BK1600" s="77"/>
      <c r="BO1600" s="77"/>
      <c r="BQ1600" s="77"/>
      <c r="BT1600" s="5"/>
      <c r="BU1600" s="5"/>
      <c r="BV1600" s="5"/>
      <c r="BW1600" s="71"/>
      <c r="BX1600" s="78"/>
      <c r="BY1600" s="64"/>
      <c r="BZ1600" s="3"/>
    </row>
    <row r="1601" spans="1:78">
      <c r="A1601" s="76"/>
      <c r="B1601" s="76"/>
      <c r="C1601" s="125"/>
      <c r="D1601" s="125"/>
      <c r="E1601" s="71"/>
      <c r="F1601" s="71"/>
      <c r="G1601" s="71"/>
      <c r="H1601" s="126"/>
      <c r="I1601" s="125"/>
      <c r="J1601" s="123"/>
      <c r="K1601" s="12"/>
      <c r="L1601" s="117"/>
      <c r="M1601" s="12"/>
      <c r="N1601" s="117"/>
      <c r="O1601" s="117"/>
      <c r="P1601" s="117"/>
      <c r="Q1601" s="118"/>
      <c r="R1601" s="118"/>
      <c r="S1601" s="118"/>
      <c r="T1601" s="12"/>
      <c r="U1601" s="118"/>
      <c r="V1601" s="118"/>
      <c r="W1601" s="12"/>
      <c r="X1601" s="119"/>
      <c r="Y1601" s="120"/>
      <c r="Z1601" s="12"/>
      <c r="BK1601" s="77"/>
      <c r="BO1601" s="77"/>
      <c r="BQ1601" s="77"/>
      <c r="BT1601" s="5"/>
      <c r="BU1601" s="5"/>
      <c r="BV1601" s="5"/>
      <c r="BW1601" s="71"/>
      <c r="BX1601" s="78"/>
      <c r="BY1601" s="64"/>
      <c r="BZ1601" s="3"/>
    </row>
    <row r="1602" spans="1:78">
      <c r="A1602" s="76"/>
      <c r="B1602" s="76"/>
      <c r="C1602" s="125"/>
      <c r="D1602" s="125"/>
      <c r="E1602" s="71"/>
      <c r="F1602" s="71"/>
      <c r="G1602" s="71"/>
      <c r="H1602" s="126"/>
      <c r="I1602" s="125"/>
      <c r="J1602" s="123"/>
      <c r="K1602" s="12"/>
      <c r="L1602" s="117"/>
      <c r="M1602" s="12"/>
      <c r="N1602" s="117"/>
      <c r="O1602" s="117"/>
      <c r="P1602" s="117"/>
      <c r="Q1602" s="118"/>
      <c r="R1602" s="118"/>
      <c r="S1602" s="118"/>
      <c r="T1602" s="12"/>
      <c r="U1602" s="118"/>
      <c r="V1602" s="118"/>
      <c r="W1602" s="12"/>
      <c r="X1602" s="119"/>
      <c r="Y1602" s="120"/>
      <c r="Z1602" s="12"/>
      <c r="BK1602" s="77"/>
      <c r="BO1602" s="77"/>
      <c r="BQ1602" s="77"/>
      <c r="BT1602" s="5"/>
      <c r="BU1602" s="5"/>
      <c r="BV1602" s="5"/>
      <c r="BW1602" s="71"/>
      <c r="BX1602" s="78"/>
      <c r="BY1602" s="64"/>
      <c r="BZ1602" s="3"/>
    </row>
    <row r="1603" spans="1:78">
      <c r="A1603" s="76"/>
      <c r="B1603" s="76"/>
      <c r="C1603" s="125"/>
      <c r="D1603" s="125"/>
      <c r="E1603" s="71"/>
      <c r="F1603" s="71"/>
      <c r="G1603" s="71"/>
      <c r="H1603" s="126"/>
      <c r="I1603" s="125"/>
      <c r="J1603" s="123"/>
      <c r="K1603" s="12"/>
      <c r="L1603" s="117"/>
      <c r="M1603" s="12"/>
      <c r="N1603" s="117"/>
      <c r="O1603" s="117"/>
      <c r="P1603" s="117"/>
      <c r="Q1603" s="118"/>
      <c r="R1603" s="118"/>
      <c r="S1603" s="118"/>
      <c r="T1603" s="12"/>
      <c r="U1603" s="118"/>
      <c r="V1603" s="118"/>
      <c r="W1603" s="12"/>
      <c r="X1603" s="119"/>
      <c r="Y1603" s="120"/>
      <c r="Z1603" s="12"/>
      <c r="BK1603" s="77"/>
      <c r="BO1603" s="77"/>
      <c r="BQ1603" s="77"/>
      <c r="BT1603" s="5"/>
      <c r="BU1603" s="5"/>
      <c r="BV1603" s="5"/>
      <c r="BW1603" s="71"/>
      <c r="BX1603" s="78"/>
      <c r="BY1603" s="64"/>
      <c r="BZ1603" s="3"/>
    </row>
    <row r="1604" spans="1:78">
      <c r="A1604" s="76"/>
      <c r="B1604" s="76"/>
      <c r="C1604" s="125"/>
      <c r="D1604" s="125"/>
      <c r="E1604" s="71"/>
      <c r="F1604" s="71"/>
      <c r="G1604" s="71"/>
      <c r="H1604" s="126"/>
      <c r="I1604" s="125"/>
      <c r="J1604" s="123"/>
      <c r="K1604" s="12"/>
      <c r="L1604" s="117"/>
      <c r="M1604" s="12"/>
      <c r="N1604" s="117"/>
      <c r="O1604" s="117"/>
      <c r="P1604" s="117"/>
      <c r="Q1604" s="118"/>
      <c r="R1604" s="118"/>
      <c r="S1604" s="118"/>
      <c r="T1604" s="12"/>
      <c r="U1604" s="118"/>
      <c r="V1604" s="118"/>
      <c r="W1604" s="12"/>
      <c r="X1604" s="119"/>
      <c r="Y1604" s="120"/>
      <c r="Z1604" s="12"/>
      <c r="BK1604" s="77"/>
      <c r="BO1604" s="77"/>
      <c r="BQ1604" s="77"/>
      <c r="BT1604" s="5"/>
      <c r="BU1604" s="5"/>
      <c r="BV1604" s="5"/>
      <c r="BW1604" s="71"/>
      <c r="BX1604" s="78"/>
      <c r="BY1604" s="64"/>
      <c r="BZ1604" s="3"/>
    </row>
    <row r="1605" spans="1:78">
      <c r="A1605" s="76"/>
      <c r="B1605" s="76"/>
      <c r="C1605" s="125"/>
      <c r="D1605" s="125"/>
      <c r="E1605" s="71"/>
      <c r="F1605" s="71"/>
      <c r="G1605" s="71"/>
      <c r="H1605" s="126"/>
      <c r="I1605" s="125"/>
      <c r="J1605" s="123"/>
      <c r="K1605" s="12"/>
      <c r="L1605" s="117"/>
      <c r="M1605" s="12"/>
      <c r="N1605" s="117"/>
      <c r="O1605" s="117"/>
      <c r="P1605" s="117"/>
      <c r="Q1605" s="118"/>
      <c r="R1605" s="118"/>
      <c r="S1605" s="118"/>
      <c r="T1605" s="12"/>
      <c r="U1605" s="118"/>
      <c r="V1605" s="118"/>
      <c r="W1605" s="12"/>
      <c r="X1605" s="119"/>
      <c r="Y1605" s="120"/>
      <c r="Z1605" s="12"/>
      <c r="BK1605" s="77"/>
      <c r="BO1605" s="77"/>
      <c r="BQ1605" s="77"/>
      <c r="BT1605" s="5"/>
      <c r="BU1605" s="5"/>
      <c r="BV1605" s="5"/>
      <c r="BW1605" s="71"/>
      <c r="BX1605" s="78"/>
      <c r="BY1605" s="64"/>
      <c r="BZ1605" s="3"/>
    </row>
    <row r="1606" spans="1:78">
      <c r="A1606" s="76"/>
      <c r="B1606" s="76"/>
      <c r="C1606" s="125"/>
      <c r="D1606" s="125"/>
      <c r="E1606" s="71"/>
      <c r="F1606" s="71"/>
      <c r="G1606" s="71"/>
      <c r="H1606" s="126"/>
      <c r="I1606" s="125"/>
      <c r="J1606" s="123"/>
      <c r="K1606" s="12"/>
      <c r="L1606" s="117"/>
      <c r="M1606" s="12"/>
      <c r="N1606" s="117"/>
      <c r="O1606" s="117"/>
      <c r="P1606" s="117"/>
      <c r="Q1606" s="118"/>
      <c r="R1606" s="118"/>
      <c r="S1606" s="118"/>
      <c r="T1606" s="12"/>
      <c r="U1606" s="118"/>
      <c r="V1606" s="118"/>
      <c r="W1606" s="12"/>
      <c r="X1606" s="119"/>
      <c r="Y1606" s="120"/>
      <c r="Z1606" s="12"/>
      <c r="BK1606" s="77"/>
      <c r="BO1606" s="77"/>
      <c r="BQ1606" s="77"/>
      <c r="BT1606" s="5"/>
      <c r="BU1606" s="5"/>
      <c r="BV1606" s="5"/>
      <c r="BW1606" s="71"/>
      <c r="BX1606" s="78"/>
      <c r="BY1606" s="64"/>
      <c r="BZ1606" s="3"/>
    </row>
    <row r="1607" spans="1:78">
      <c r="A1607" s="76"/>
      <c r="B1607" s="76"/>
      <c r="C1607" s="125"/>
      <c r="D1607" s="125"/>
      <c r="E1607" s="71"/>
      <c r="F1607" s="71"/>
      <c r="G1607" s="71"/>
      <c r="H1607" s="126"/>
      <c r="I1607" s="125"/>
      <c r="J1607" s="123"/>
      <c r="K1607" s="12"/>
      <c r="L1607" s="117"/>
      <c r="M1607" s="12"/>
      <c r="N1607" s="117"/>
      <c r="O1607" s="117"/>
      <c r="P1607" s="117"/>
      <c r="Q1607" s="118"/>
      <c r="R1607" s="118"/>
      <c r="S1607" s="118"/>
      <c r="T1607" s="12"/>
      <c r="U1607" s="118"/>
      <c r="V1607" s="118"/>
      <c r="W1607" s="12"/>
      <c r="X1607" s="119"/>
      <c r="Y1607" s="120"/>
      <c r="Z1607" s="12"/>
      <c r="BK1607" s="77"/>
      <c r="BO1607" s="77"/>
      <c r="BQ1607" s="77"/>
      <c r="BT1607" s="5"/>
      <c r="BU1607" s="5"/>
      <c r="BV1607" s="5"/>
      <c r="BW1607" s="71"/>
      <c r="BX1607" s="78"/>
      <c r="BY1607" s="64"/>
      <c r="BZ1607" s="3"/>
    </row>
    <row r="1608" spans="1:78">
      <c r="A1608" s="76"/>
      <c r="B1608" s="76"/>
      <c r="C1608" s="125"/>
      <c r="D1608" s="125"/>
      <c r="E1608" s="71"/>
      <c r="F1608" s="71"/>
      <c r="G1608" s="71"/>
      <c r="H1608" s="126"/>
      <c r="I1608" s="125"/>
      <c r="J1608" s="123"/>
      <c r="K1608" s="12"/>
      <c r="L1608" s="117"/>
      <c r="M1608" s="12"/>
      <c r="N1608" s="117"/>
      <c r="O1608" s="117"/>
      <c r="P1608" s="117"/>
      <c r="Q1608" s="118"/>
      <c r="R1608" s="118"/>
      <c r="S1608" s="118"/>
      <c r="T1608" s="12"/>
      <c r="U1608" s="118"/>
      <c r="V1608" s="118"/>
      <c r="W1608" s="12"/>
      <c r="X1608" s="119"/>
      <c r="Y1608" s="120"/>
      <c r="Z1608" s="12"/>
      <c r="BK1608" s="77"/>
      <c r="BO1608" s="77"/>
      <c r="BQ1608" s="77"/>
      <c r="BT1608" s="5"/>
      <c r="BU1608" s="5"/>
      <c r="BV1608" s="5"/>
      <c r="BW1608" s="71"/>
      <c r="BX1608" s="78"/>
      <c r="BY1608" s="64"/>
      <c r="BZ1608" s="3"/>
    </row>
    <row r="1609" spans="1:78">
      <c r="A1609" s="76"/>
      <c r="B1609" s="76"/>
      <c r="C1609" s="125"/>
      <c r="D1609" s="125"/>
      <c r="E1609" s="71"/>
      <c r="F1609" s="71"/>
      <c r="G1609" s="71"/>
      <c r="H1609" s="126"/>
      <c r="I1609" s="125"/>
      <c r="J1609" s="123"/>
      <c r="K1609" s="12"/>
      <c r="L1609" s="117"/>
      <c r="M1609" s="12"/>
      <c r="N1609" s="117"/>
      <c r="O1609" s="117"/>
      <c r="P1609" s="117"/>
      <c r="Q1609" s="118"/>
      <c r="R1609" s="118"/>
      <c r="S1609" s="118"/>
      <c r="T1609" s="12"/>
      <c r="U1609" s="118"/>
      <c r="V1609" s="118"/>
      <c r="W1609" s="12"/>
      <c r="X1609" s="119"/>
      <c r="Y1609" s="120"/>
      <c r="Z1609" s="12"/>
      <c r="BK1609" s="77"/>
      <c r="BO1609" s="77"/>
      <c r="BQ1609" s="77"/>
      <c r="BT1609" s="5"/>
      <c r="BU1609" s="5"/>
      <c r="BV1609" s="5"/>
      <c r="BW1609" s="71"/>
      <c r="BX1609" s="78"/>
      <c r="BY1609" s="64"/>
      <c r="BZ1609" s="3"/>
    </row>
    <row r="1610" spans="1:78">
      <c r="A1610" s="76"/>
      <c r="B1610" s="76"/>
      <c r="C1610" s="125"/>
      <c r="D1610" s="125"/>
      <c r="E1610" s="71"/>
      <c r="F1610" s="71"/>
      <c r="G1610" s="71"/>
      <c r="H1610" s="126"/>
      <c r="I1610" s="125"/>
      <c r="J1610" s="123"/>
      <c r="K1610" s="12"/>
      <c r="L1610" s="117"/>
      <c r="M1610" s="12"/>
      <c r="N1610" s="117"/>
      <c r="O1610" s="117"/>
      <c r="P1610" s="117"/>
      <c r="Q1610" s="118"/>
      <c r="R1610" s="118"/>
      <c r="S1610" s="118"/>
      <c r="T1610" s="12"/>
      <c r="U1610" s="118"/>
      <c r="V1610" s="118"/>
      <c r="W1610" s="12"/>
      <c r="X1610" s="119"/>
      <c r="Y1610" s="120"/>
      <c r="Z1610" s="12"/>
      <c r="BK1610" s="77"/>
      <c r="BO1610" s="77"/>
      <c r="BQ1610" s="77"/>
      <c r="BT1610" s="5"/>
      <c r="BU1610" s="5"/>
      <c r="BV1610" s="5"/>
      <c r="BW1610" s="71"/>
      <c r="BX1610" s="78"/>
      <c r="BY1610" s="64"/>
      <c r="BZ1610" s="3"/>
    </row>
    <row r="1611" spans="1:78">
      <c r="A1611" s="76"/>
      <c r="B1611" s="76"/>
      <c r="C1611" s="125"/>
      <c r="D1611" s="125"/>
      <c r="E1611" s="71"/>
      <c r="F1611" s="71"/>
      <c r="G1611" s="71"/>
      <c r="H1611" s="126"/>
      <c r="I1611" s="125"/>
      <c r="J1611" s="123"/>
      <c r="K1611" s="12"/>
      <c r="L1611" s="117"/>
      <c r="M1611" s="12"/>
      <c r="N1611" s="117"/>
      <c r="O1611" s="117"/>
      <c r="P1611" s="117"/>
      <c r="Q1611" s="118"/>
      <c r="R1611" s="118"/>
      <c r="S1611" s="118"/>
      <c r="T1611" s="12"/>
      <c r="U1611" s="118"/>
      <c r="V1611" s="118"/>
      <c r="W1611" s="12"/>
      <c r="X1611" s="119"/>
      <c r="Y1611" s="120"/>
      <c r="Z1611" s="12"/>
      <c r="BK1611" s="77"/>
      <c r="BO1611" s="77"/>
      <c r="BQ1611" s="77"/>
      <c r="BT1611" s="5"/>
      <c r="BU1611" s="5"/>
      <c r="BV1611" s="5"/>
      <c r="BW1611" s="71"/>
      <c r="BX1611" s="78"/>
      <c r="BY1611" s="64"/>
      <c r="BZ1611" s="3"/>
    </row>
    <row r="1612" spans="1:78">
      <c r="A1612" s="76"/>
      <c r="B1612" s="76"/>
      <c r="C1612" s="125"/>
      <c r="D1612" s="125"/>
      <c r="E1612" s="71"/>
      <c r="F1612" s="71"/>
      <c r="G1612" s="71"/>
      <c r="H1612" s="126"/>
      <c r="I1612" s="125"/>
      <c r="J1612" s="123"/>
      <c r="K1612" s="12"/>
      <c r="L1612" s="117"/>
      <c r="M1612" s="12"/>
      <c r="N1612" s="117"/>
      <c r="O1612" s="117"/>
      <c r="P1612" s="117"/>
      <c r="Q1612" s="118"/>
      <c r="R1612" s="118"/>
      <c r="S1612" s="118"/>
      <c r="T1612" s="12"/>
      <c r="U1612" s="118"/>
      <c r="V1612" s="118"/>
      <c r="W1612" s="12"/>
      <c r="X1612" s="119"/>
      <c r="Y1612" s="120"/>
      <c r="Z1612" s="12"/>
      <c r="BK1612" s="77"/>
      <c r="BO1612" s="77"/>
      <c r="BQ1612" s="77"/>
      <c r="BT1612" s="5"/>
      <c r="BU1612" s="5"/>
      <c r="BV1612" s="5"/>
      <c r="BW1612" s="71"/>
      <c r="BX1612" s="78"/>
      <c r="BY1612" s="64"/>
      <c r="BZ1612" s="3"/>
    </row>
    <row r="1613" spans="1:78">
      <c r="A1613" s="76"/>
      <c r="B1613" s="76"/>
      <c r="C1613" s="125"/>
      <c r="D1613" s="125"/>
      <c r="E1613" s="71"/>
      <c r="F1613" s="71"/>
      <c r="G1613" s="71"/>
      <c r="H1613" s="126"/>
      <c r="I1613" s="125"/>
      <c r="J1613" s="123"/>
      <c r="K1613" s="12"/>
      <c r="L1613" s="117"/>
      <c r="M1613" s="12"/>
      <c r="N1613" s="117"/>
      <c r="O1613" s="117"/>
      <c r="P1613" s="117"/>
      <c r="Q1613" s="118"/>
      <c r="R1613" s="118"/>
      <c r="S1613" s="118"/>
      <c r="T1613" s="12"/>
      <c r="U1613" s="118"/>
      <c r="V1613" s="118"/>
      <c r="W1613" s="12"/>
      <c r="X1613" s="119"/>
      <c r="Y1613" s="120"/>
      <c r="Z1613" s="12"/>
      <c r="BK1613" s="77"/>
      <c r="BO1613" s="77"/>
      <c r="BQ1613" s="77"/>
      <c r="BT1613" s="5"/>
      <c r="BU1613" s="5"/>
      <c r="BV1613" s="5"/>
      <c r="BW1613" s="71"/>
      <c r="BX1613" s="78"/>
      <c r="BY1613" s="64"/>
      <c r="BZ1613" s="3"/>
    </row>
    <row r="1614" spans="1:78">
      <c r="A1614" s="76"/>
      <c r="B1614" s="76"/>
      <c r="C1614" s="125"/>
      <c r="D1614" s="125"/>
      <c r="E1614" s="71"/>
      <c r="F1614" s="71"/>
      <c r="G1614" s="71"/>
      <c r="H1614" s="126"/>
      <c r="I1614" s="125"/>
      <c r="J1614" s="123"/>
      <c r="K1614" s="12"/>
      <c r="L1614" s="117"/>
      <c r="M1614" s="12"/>
      <c r="N1614" s="117"/>
      <c r="O1614" s="117"/>
      <c r="P1614" s="117"/>
      <c r="Q1614" s="118"/>
      <c r="R1614" s="118"/>
      <c r="S1614" s="118"/>
      <c r="T1614" s="12"/>
      <c r="U1614" s="118"/>
      <c r="V1614" s="118"/>
      <c r="W1614" s="12"/>
      <c r="X1614" s="119"/>
      <c r="Y1614" s="120"/>
      <c r="Z1614" s="12"/>
      <c r="BK1614" s="77"/>
      <c r="BO1614" s="77"/>
      <c r="BQ1614" s="77"/>
      <c r="BT1614" s="5"/>
      <c r="BU1614" s="5"/>
      <c r="BV1614" s="5"/>
      <c r="BW1614" s="71"/>
      <c r="BX1614" s="78"/>
      <c r="BY1614" s="64"/>
      <c r="BZ1614" s="3"/>
    </row>
    <row r="1615" spans="1:78">
      <c r="A1615" s="76"/>
      <c r="B1615" s="76"/>
      <c r="C1615" s="125"/>
      <c r="D1615" s="125"/>
      <c r="E1615" s="71"/>
      <c r="F1615" s="71"/>
      <c r="G1615" s="71"/>
      <c r="H1615" s="126"/>
      <c r="I1615" s="125"/>
      <c r="J1615" s="123"/>
      <c r="K1615" s="12"/>
      <c r="L1615" s="117"/>
      <c r="M1615" s="12"/>
      <c r="N1615" s="117"/>
      <c r="O1615" s="117"/>
      <c r="P1615" s="117"/>
      <c r="Q1615" s="118"/>
      <c r="R1615" s="118"/>
      <c r="S1615" s="118"/>
      <c r="T1615" s="12"/>
      <c r="U1615" s="118"/>
      <c r="V1615" s="118"/>
      <c r="W1615" s="12"/>
      <c r="X1615" s="119"/>
      <c r="Y1615" s="120"/>
      <c r="Z1615" s="12"/>
      <c r="BK1615" s="77"/>
      <c r="BO1615" s="77"/>
      <c r="BQ1615" s="77"/>
      <c r="BT1615" s="5"/>
      <c r="BU1615" s="5"/>
      <c r="BV1615" s="5"/>
      <c r="BW1615" s="71"/>
      <c r="BX1615" s="78"/>
      <c r="BY1615" s="64"/>
      <c r="BZ1615" s="3"/>
    </row>
    <row r="1616" spans="1:78">
      <c r="A1616" s="76"/>
      <c r="B1616" s="76"/>
      <c r="C1616" s="125"/>
      <c r="D1616" s="125"/>
      <c r="E1616" s="71"/>
      <c r="F1616" s="71"/>
      <c r="G1616" s="71"/>
      <c r="H1616" s="126"/>
      <c r="I1616" s="125"/>
      <c r="J1616" s="123"/>
      <c r="K1616" s="12"/>
      <c r="L1616" s="117"/>
      <c r="M1616" s="12"/>
      <c r="N1616" s="117"/>
      <c r="O1616" s="117"/>
      <c r="P1616" s="117"/>
      <c r="Q1616" s="118"/>
      <c r="R1616" s="118"/>
      <c r="S1616" s="118"/>
      <c r="T1616" s="12"/>
      <c r="U1616" s="118"/>
      <c r="V1616" s="118"/>
      <c r="W1616" s="12"/>
      <c r="X1616" s="119"/>
      <c r="Y1616" s="120"/>
      <c r="Z1616" s="12"/>
      <c r="BK1616" s="77"/>
      <c r="BO1616" s="77"/>
      <c r="BQ1616" s="77"/>
      <c r="BT1616" s="5"/>
      <c r="BU1616" s="5"/>
      <c r="BV1616" s="5"/>
      <c r="BW1616" s="71"/>
      <c r="BX1616" s="78"/>
      <c r="BY1616" s="64"/>
      <c r="BZ1616" s="3"/>
    </row>
    <row r="1617" spans="1:78">
      <c r="A1617" s="76"/>
      <c r="B1617" s="76"/>
      <c r="C1617" s="125"/>
      <c r="D1617" s="125"/>
      <c r="E1617" s="71"/>
      <c r="F1617" s="71"/>
      <c r="G1617" s="71"/>
      <c r="H1617" s="126"/>
      <c r="I1617" s="125"/>
      <c r="J1617" s="123"/>
      <c r="K1617" s="12"/>
      <c r="L1617" s="117"/>
      <c r="M1617" s="12"/>
      <c r="N1617" s="117"/>
      <c r="O1617" s="117"/>
      <c r="P1617" s="117"/>
      <c r="Q1617" s="118"/>
      <c r="R1617" s="118"/>
      <c r="S1617" s="118"/>
      <c r="T1617" s="12"/>
      <c r="U1617" s="118"/>
      <c r="V1617" s="118"/>
      <c r="W1617" s="12"/>
      <c r="X1617" s="119"/>
      <c r="Y1617" s="120"/>
      <c r="Z1617" s="12"/>
      <c r="BK1617" s="77"/>
      <c r="BO1617" s="77"/>
      <c r="BQ1617" s="77"/>
      <c r="BT1617" s="5"/>
      <c r="BU1617" s="5"/>
      <c r="BV1617" s="5"/>
      <c r="BW1617" s="71"/>
      <c r="BX1617" s="78"/>
      <c r="BY1617" s="64"/>
      <c r="BZ1617" s="3"/>
    </row>
    <row r="1618" spans="1:78">
      <c r="A1618" s="76"/>
      <c r="B1618" s="76"/>
      <c r="C1618" s="125"/>
      <c r="D1618" s="125"/>
      <c r="E1618" s="71"/>
      <c r="F1618" s="71"/>
      <c r="G1618" s="71"/>
      <c r="H1618" s="126"/>
      <c r="I1618" s="125"/>
      <c r="J1618" s="123"/>
      <c r="K1618" s="12"/>
      <c r="L1618" s="117"/>
      <c r="M1618" s="12"/>
      <c r="N1618" s="117"/>
      <c r="O1618" s="117"/>
      <c r="P1618" s="117"/>
      <c r="Q1618" s="118"/>
      <c r="R1618" s="118"/>
      <c r="S1618" s="118"/>
      <c r="T1618" s="12"/>
      <c r="U1618" s="118"/>
      <c r="V1618" s="118"/>
      <c r="W1618" s="12"/>
      <c r="X1618" s="119"/>
      <c r="Y1618" s="120"/>
      <c r="Z1618" s="12"/>
      <c r="BK1618" s="77"/>
      <c r="BO1618" s="77"/>
      <c r="BQ1618" s="77"/>
      <c r="BT1618" s="5"/>
      <c r="BU1618" s="5"/>
      <c r="BV1618" s="5"/>
      <c r="BW1618" s="71"/>
      <c r="BX1618" s="78"/>
      <c r="BY1618" s="64"/>
      <c r="BZ1618" s="3"/>
    </row>
    <row r="1619" spans="1:78">
      <c r="A1619" s="76"/>
      <c r="B1619" s="76"/>
      <c r="C1619" s="125"/>
      <c r="D1619" s="125"/>
      <c r="E1619" s="71"/>
      <c r="F1619" s="71"/>
      <c r="G1619" s="71"/>
      <c r="H1619" s="126"/>
      <c r="I1619" s="125"/>
      <c r="J1619" s="123"/>
      <c r="K1619" s="12"/>
      <c r="L1619" s="117"/>
      <c r="M1619" s="12"/>
      <c r="N1619" s="117"/>
      <c r="O1619" s="117"/>
      <c r="P1619" s="117"/>
      <c r="Q1619" s="118"/>
      <c r="R1619" s="118"/>
      <c r="S1619" s="118"/>
      <c r="T1619" s="12"/>
      <c r="U1619" s="118"/>
      <c r="V1619" s="118"/>
      <c r="W1619" s="12"/>
      <c r="X1619" s="119"/>
      <c r="Y1619" s="120"/>
      <c r="Z1619" s="12"/>
      <c r="BK1619" s="77"/>
      <c r="BO1619" s="77"/>
      <c r="BQ1619" s="77"/>
      <c r="BT1619" s="5"/>
      <c r="BU1619" s="5"/>
      <c r="BV1619" s="5"/>
      <c r="BW1619" s="71"/>
      <c r="BX1619" s="78"/>
      <c r="BY1619" s="64"/>
      <c r="BZ1619" s="3"/>
    </row>
    <row r="1620" spans="1:78">
      <c r="A1620" s="76"/>
      <c r="B1620" s="76"/>
      <c r="C1620" s="125"/>
      <c r="D1620" s="125"/>
      <c r="E1620" s="71"/>
      <c r="F1620" s="71"/>
      <c r="G1620" s="71"/>
      <c r="H1620" s="126"/>
      <c r="I1620" s="125"/>
      <c r="J1620" s="123"/>
      <c r="K1620" s="12"/>
      <c r="L1620" s="117"/>
      <c r="M1620" s="12"/>
      <c r="N1620" s="117"/>
      <c r="O1620" s="117"/>
      <c r="P1620" s="117"/>
      <c r="Q1620" s="118"/>
      <c r="R1620" s="118"/>
      <c r="S1620" s="118"/>
      <c r="T1620" s="12"/>
      <c r="U1620" s="118"/>
      <c r="V1620" s="118"/>
      <c r="W1620" s="12"/>
      <c r="X1620" s="119"/>
      <c r="Y1620" s="120"/>
      <c r="Z1620" s="12"/>
      <c r="BK1620" s="77"/>
      <c r="BO1620" s="77"/>
      <c r="BQ1620" s="77"/>
      <c r="BT1620" s="5"/>
      <c r="BU1620" s="5"/>
      <c r="BV1620" s="5"/>
      <c r="BW1620" s="71"/>
      <c r="BX1620" s="78"/>
      <c r="BY1620" s="64"/>
      <c r="BZ1620" s="3"/>
    </row>
    <row r="1621" spans="1:78">
      <c r="A1621" s="76"/>
      <c r="B1621" s="76"/>
      <c r="C1621" s="125"/>
      <c r="D1621" s="125"/>
      <c r="E1621" s="71"/>
      <c r="F1621" s="71"/>
      <c r="G1621" s="71"/>
      <c r="H1621" s="126"/>
      <c r="I1621" s="125"/>
      <c r="J1621" s="123"/>
      <c r="K1621" s="12"/>
      <c r="L1621" s="117"/>
      <c r="M1621" s="12"/>
      <c r="N1621" s="117"/>
      <c r="O1621" s="117"/>
      <c r="P1621" s="117"/>
      <c r="Q1621" s="118"/>
      <c r="R1621" s="118"/>
      <c r="S1621" s="118"/>
      <c r="T1621" s="12"/>
      <c r="U1621" s="118"/>
      <c r="V1621" s="118"/>
      <c r="W1621" s="12"/>
      <c r="X1621" s="119"/>
      <c r="Y1621" s="120"/>
      <c r="Z1621" s="12"/>
      <c r="BK1621" s="77"/>
      <c r="BO1621" s="77"/>
      <c r="BQ1621" s="77"/>
      <c r="BT1621" s="5"/>
      <c r="BU1621" s="5"/>
      <c r="BV1621" s="5"/>
      <c r="BW1621" s="71"/>
      <c r="BX1621" s="78"/>
      <c r="BY1621" s="64"/>
      <c r="BZ1621" s="3"/>
    </row>
    <row r="1622" spans="1:78">
      <c r="A1622" s="76"/>
      <c r="B1622" s="76"/>
      <c r="C1622" s="125"/>
      <c r="D1622" s="125"/>
      <c r="E1622" s="71"/>
      <c r="F1622" s="71"/>
      <c r="G1622" s="71"/>
      <c r="H1622" s="126"/>
      <c r="I1622" s="125"/>
      <c r="J1622" s="123"/>
      <c r="K1622" s="12"/>
      <c r="L1622" s="117"/>
      <c r="M1622" s="12"/>
      <c r="N1622" s="117"/>
      <c r="O1622" s="117"/>
      <c r="P1622" s="117"/>
      <c r="Q1622" s="118"/>
      <c r="R1622" s="118"/>
      <c r="S1622" s="118"/>
      <c r="T1622" s="12"/>
      <c r="U1622" s="118"/>
      <c r="V1622" s="118"/>
      <c r="W1622" s="12"/>
      <c r="X1622" s="119"/>
      <c r="Y1622" s="120"/>
      <c r="Z1622" s="12"/>
      <c r="BK1622" s="77"/>
      <c r="BO1622" s="77"/>
      <c r="BQ1622" s="77"/>
      <c r="BT1622" s="5"/>
      <c r="BU1622" s="5"/>
      <c r="BV1622" s="5"/>
      <c r="BW1622" s="71"/>
      <c r="BX1622" s="78"/>
      <c r="BY1622" s="64"/>
      <c r="BZ1622" s="3"/>
    </row>
    <row r="1623" spans="1:78">
      <c r="A1623" s="76"/>
      <c r="B1623" s="76"/>
      <c r="C1623" s="125"/>
      <c r="D1623" s="125"/>
      <c r="E1623" s="71"/>
      <c r="F1623" s="71"/>
      <c r="G1623" s="71"/>
      <c r="H1623" s="126"/>
      <c r="I1623" s="125"/>
      <c r="J1623" s="123"/>
      <c r="K1623" s="12"/>
      <c r="L1623" s="117"/>
      <c r="M1623" s="12"/>
      <c r="N1623" s="117"/>
      <c r="O1623" s="117"/>
      <c r="P1623" s="117"/>
      <c r="Q1623" s="118"/>
      <c r="R1623" s="118"/>
      <c r="S1623" s="118"/>
      <c r="T1623" s="12"/>
      <c r="U1623" s="118"/>
      <c r="V1623" s="118"/>
      <c r="W1623" s="12"/>
      <c r="X1623" s="119"/>
      <c r="Y1623" s="120"/>
      <c r="Z1623" s="12"/>
      <c r="BK1623" s="77"/>
      <c r="BO1623" s="77"/>
      <c r="BQ1623" s="77"/>
      <c r="BT1623" s="5"/>
      <c r="BU1623" s="5"/>
      <c r="BV1623" s="5"/>
      <c r="BW1623" s="71"/>
      <c r="BX1623" s="78"/>
      <c r="BY1623" s="64"/>
      <c r="BZ1623" s="3"/>
    </row>
    <row r="1624" spans="1:78">
      <c r="A1624" s="76"/>
      <c r="B1624" s="76"/>
      <c r="C1624" s="125"/>
      <c r="D1624" s="125"/>
      <c r="E1624" s="71"/>
      <c r="F1624" s="71"/>
      <c r="G1624" s="71"/>
      <c r="H1624" s="126"/>
      <c r="I1624" s="125"/>
      <c r="J1624" s="123"/>
      <c r="K1624" s="12"/>
      <c r="L1624" s="117"/>
      <c r="M1624" s="12"/>
      <c r="N1624" s="117"/>
      <c r="O1624" s="117"/>
      <c r="P1624" s="117"/>
      <c r="Q1624" s="118"/>
      <c r="R1624" s="118"/>
      <c r="S1624" s="118"/>
      <c r="T1624" s="12"/>
      <c r="U1624" s="118"/>
      <c r="V1624" s="118"/>
      <c r="W1624" s="12"/>
      <c r="X1624" s="119"/>
      <c r="Y1624" s="120"/>
      <c r="Z1624" s="12"/>
      <c r="BK1624" s="77"/>
      <c r="BO1624" s="77"/>
      <c r="BQ1624" s="77"/>
      <c r="BT1624" s="5"/>
      <c r="BU1624" s="5"/>
      <c r="BV1624" s="5"/>
      <c r="BW1624" s="71"/>
      <c r="BX1624" s="78"/>
      <c r="BY1624" s="64"/>
      <c r="BZ1624" s="3"/>
    </row>
    <row r="1625" spans="1:78">
      <c r="A1625" s="76"/>
      <c r="B1625" s="76"/>
      <c r="C1625" s="125"/>
      <c r="D1625" s="125"/>
      <c r="E1625" s="71"/>
      <c r="F1625" s="71"/>
      <c r="G1625" s="71"/>
      <c r="H1625" s="126"/>
      <c r="I1625" s="125"/>
      <c r="J1625" s="123"/>
      <c r="K1625" s="12"/>
      <c r="L1625" s="117"/>
      <c r="M1625" s="12"/>
      <c r="N1625" s="117"/>
      <c r="O1625" s="117"/>
      <c r="P1625" s="117"/>
      <c r="Q1625" s="118"/>
      <c r="R1625" s="118"/>
      <c r="S1625" s="118"/>
      <c r="T1625" s="12"/>
      <c r="U1625" s="118"/>
      <c r="V1625" s="118"/>
      <c r="W1625" s="12"/>
      <c r="X1625" s="119"/>
      <c r="Y1625" s="120"/>
      <c r="Z1625" s="12"/>
      <c r="BK1625" s="77"/>
      <c r="BO1625" s="77"/>
      <c r="BQ1625" s="77"/>
      <c r="BT1625" s="5"/>
      <c r="BU1625" s="5"/>
      <c r="BV1625" s="5"/>
      <c r="BW1625" s="71"/>
      <c r="BX1625" s="78"/>
      <c r="BY1625" s="64"/>
      <c r="BZ1625" s="3"/>
    </row>
    <row r="1626" spans="1:78">
      <c r="A1626" s="76"/>
      <c r="B1626" s="76"/>
      <c r="C1626" s="125"/>
      <c r="D1626" s="125"/>
      <c r="E1626" s="71"/>
      <c r="F1626" s="71"/>
      <c r="G1626" s="71"/>
      <c r="H1626" s="126"/>
      <c r="I1626" s="125"/>
      <c r="J1626" s="123"/>
      <c r="K1626" s="12"/>
      <c r="L1626" s="117"/>
      <c r="M1626" s="12"/>
      <c r="N1626" s="117"/>
      <c r="O1626" s="117"/>
      <c r="P1626" s="117"/>
      <c r="Q1626" s="118"/>
      <c r="R1626" s="118"/>
      <c r="S1626" s="118"/>
      <c r="T1626" s="12"/>
      <c r="U1626" s="118"/>
      <c r="V1626" s="118"/>
      <c r="W1626" s="12"/>
      <c r="X1626" s="119"/>
      <c r="Y1626" s="120"/>
      <c r="Z1626" s="12"/>
      <c r="BK1626" s="77"/>
      <c r="BO1626" s="77"/>
      <c r="BQ1626" s="77"/>
      <c r="BT1626" s="5"/>
      <c r="BU1626" s="5"/>
      <c r="BV1626" s="5"/>
      <c r="BW1626" s="71"/>
      <c r="BX1626" s="78"/>
      <c r="BY1626" s="64"/>
      <c r="BZ1626" s="3"/>
    </row>
    <row r="1627" spans="1:78">
      <c r="A1627" s="76"/>
      <c r="B1627" s="76"/>
      <c r="C1627" s="125"/>
      <c r="D1627" s="125"/>
      <c r="E1627" s="71"/>
      <c r="F1627" s="71"/>
      <c r="G1627" s="71"/>
      <c r="H1627" s="126"/>
      <c r="I1627" s="125"/>
      <c r="J1627" s="123"/>
      <c r="K1627" s="12"/>
      <c r="L1627" s="117"/>
      <c r="M1627" s="12"/>
      <c r="N1627" s="117"/>
      <c r="O1627" s="117"/>
      <c r="P1627" s="117"/>
      <c r="Q1627" s="118"/>
      <c r="R1627" s="118"/>
      <c r="S1627" s="118"/>
      <c r="T1627" s="12"/>
      <c r="U1627" s="118"/>
      <c r="V1627" s="118"/>
      <c r="W1627" s="12"/>
      <c r="X1627" s="119"/>
      <c r="Y1627" s="120"/>
      <c r="Z1627" s="12"/>
      <c r="BK1627" s="77"/>
      <c r="BO1627" s="77"/>
      <c r="BQ1627" s="77"/>
      <c r="BT1627" s="5"/>
      <c r="BU1627" s="5"/>
      <c r="BV1627" s="5"/>
      <c r="BW1627" s="71"/>
      <c r="BX1627" s="78"/>
      <c r="BY1627" s="64"/>
      <c r="BZ1627" s="3"/>
    </row>
    <row r="1628" spans="1:78">
      <c r="A1628" s="76"/>
      <c r="B1628" s="76"/>
      <c r="C1628" s="125"/>
      <c r="D1628" s="125"/>
      <c r="E1628" s="71"/>
      <c r="F1628" s="71"/>
      <c r="G1628" s="71"/>
      <c r="H1628" s="126"/>
      <c r="I1628" s="125"/>
      <c r="J1628" s="123"/>
      <c r="K1628" s="12"/>
      <c r="L1628" s="117"/>
      <c r="M1628" s="12"/>
      <c r="N1628" s="117"/>
      <c r="O1628" s="117"/>
      <c r="P1628" s="117"/>
      <c r="Q1628" s="118"/>
      <c r="R1628" s="118"/>
      <c r="S1628" s="118"/>
      <c r="T1628" s="12"/>
      <c r="U1628" s="118"/>
      <c r="V1628" s="118"/>
      <c r="W1628" s="12"/>
      <c r="X1628" s="119"/>
      <c r="Y1628" s="120"/>
      <c r="Z1628" s="12"/>
      <c r="BK1628" s="77"/>
      <c r="BO1628" s="77"/>
      <c r="BQ1628" s="77"/>
      <c r="BT1628" s="5"/>
      <c r="BU1628" s="5"/>
      <c r="BV1628" s="5"/>
      <c r="BW1628" s="71"/>
      <c r="BX1628" s="78"/>
      <c r="BY1628" s="64"/>
      <c r="BZ1628" s="3"/>
    </row>
    <row r="1629" spans="1:78">
      <c r="A1629" s="76"/>
      <c r="B1629" s="76"/>
      <c r="C1629" s="125"/>
      <c r="D1629" s="125"/>
      <c r="E1629" s="71"/>
      <c r="F1629" s="71"/>
      <c r="G1629" s="71"/>
      <c r="H1629" s="126"/>
      <c r="I1629" s="125"/>
      <c r="J1629" s="123"/>
      <c r="K1629" s="12"/>
      <c r="L1629" s="117"/>
      <c r="M1629" s="12"/>
      <c r="N1629" s="117"/>
      <c r="O1629" s="117"/>
      <c r="P1629" s="117"/>
      <c r="Q1629" s="118"/>
      <c r="R1629" s="118"/>
      <c r="S1629" s="118"/>
      <c r="T1629" s="12"/>
      <c r="U1629" s="118"/>
      <c r="V1629" s="118"/>
      <c r="W1629" s="12"/>
      <c r="X1629" s="119"/>
      <c r="Y1629" s="120"/>
      <c r="Z1629" s="12"/>
      <c r="BK1629" s="77"/>
      <c r="BO1629" s="77"/>
      <c r="BQ1629" s="77"/>
      <c r="BT1629" s="5"/>
      <c r="BU1629" s="5"/>
      <c r="BV1629" s="5"/>
      <c r="BW1629" s="71"/>
      <c r="BX1629" s="78"/>
      <c r="BY1629" s="64"/>
      <c r="BZ1629" s="3"/>
    </row>
    <row r="1630" spans="1:78">
      <c r="A1630" s="76"/>
      <c r="B1630" s="76"/>
      <c r="C1630" s="125"/>
      <c r="D1630" s="125"/>
      <c r="E1630" s="71"/>
      <c r="F1630" s="71"/>
      <c r="G1630" s="71"/>
      <c r="H1630" s="126"/>
      <c r="I1630" s="125"/>
      <c r="J1630" s="123"/>
      <c r="K1630" s="12"/>
      <c r="L1630" s="117"/>
      <c r="M1630" s="12"/>
      <c r="N1630" s="117"/>
      <c r="O1630" s="117"/>
      <c r="P1630" s="117"/>
      <c r="Q1630" s="118"/>
      <c r="R1630" s="118"/>
      <c r="S1630" s="118"/>
      <c r="T1630" s="12"/>
      <c r="U1630" s="118"/>
      <c r="V1630" s="118"/>
      <c r="W1630" s="12"/>
      <c r="X1630" s="119"/>
      <c r="Y1630" s="120"/>
      <c r="Z1630" s="12"/>
      <c r="BK1630" s="77"/>
      <c r="BO1630" s="77"/>
      <c r="BQ1630" s="77"/>
      <c r="BT1630" s="5"/>
      <c r="BU1630" s="5"/>
      <c r="BV1630" s="5"/>
      <c r="BW1630" s="71"/>
      <c r="BX1630" s="78"/>
      <c r="BY1630" s="64"/>
      <c r="BZ1630" s="3"/>
    </row>
    <row r="1631" spans="1:78">
      <c r="A1631" s="76"/>
      <c r="B1631" s="76"/>
      <c r="C1631" s="125"/>
      <c r="D1631" s="125"/>
      <c r="E1631" s="71"/>
      <c r="F1631" s="71"/>
      <c r="G1631" s="71"/>
      <c r="H1631" s="126"/>
      <c r="I1631" s="125"/>
      <c r="J1631" s="123"/>
      <c r="K1631" s="12"/>
      <c r="L1631" s="117"/>
      <c r="M1631" s="12"/>
      <c r="N1631" s="117"/>
      <c r="O1631" s="117"/>
      <c r="P1631" s="117"/>
      <c r="Q1631" s="118"/>
      <c r="R1631" s="118"/>
      <c r="S1631" s="118"/>
      <c r="T1631" s="12"/>
      <c r="U1631" s="118"/>
      <c r="V1631" s="118"/>
      <c r="W1631" s="12"/>
      <c r="X1631" s="119"/>
      <c r="Y1631" s="120"/>
      <c r="Z1631" s="12"/>
      <c r="BK1631" s="77"/>
      <c r="BO1631" s="77"/>
      <c r="BQ1631" s="77"/>
      <c r="BT1631" s="5"/>
      <c r="BU1631" s="5"/>
      <c r="BV1631" s="5"/>
      <c r="BW1631" s="71"/>
      <c r="BX1631" s="78"/>
      <c r="BY1631" s="64"/>
      <c r="BZ1631" s="3"/>
    </row>
    <row r="1632" spans="1:78">
      <c r="A1632" s="76"/>
      <c r="B1632" s="76"/>
      <c r="C1632" s="125"/>
      <c r="D1632" s="125"/>
      <c r="E1632" s="71"/>
      <c r="F1632" s="71"/>
      <c r="G1632" s="71"/>
      <c r="H1632" s="126"/>
      <c r="I1632" s="125"/>
      <c r="J1632" s="123"/>
      <c r="K1632" s="12"/>
      <c r="L1632" s="117"/>
      <c r="M1632" s="12"/>
      <c r="N1632" s="117"/>
      <c r="O1632" s="117"/>
      <c r="P1632" s="117"/>
      <c r="Q1632" s="118"/>
      <c r="R1632" s="118"/>
      <c r="S1632" s="118"/>
      <c r="T1632" s="12"/>
      <c r="U1632" s="118"/>
      <c r="V1632" s="118"/>
      <c r="W1632" s="12"/>
      <c r="X1632" s="119"/>
      <c r="Y1632" s="120"/>
      <c r="Z1632" s="12"/>
      <c r="BK1632" s="77"/>
      <c r="BO1632" s="77"/>
      <c r="BQ1632" s="77"/>
      <c r="BT1632" s="5"/>
      <c r="BU1632" s="5"/>
      <c r="BV1632" s="5"/>
      <c r="BW1632" s="71"/>
      <c r="BX1632" s="78"/>
      <c r="BY1632" s="64"/>
      <c r="BZ1632" s="3"/>
    </row>
    <row r="1633" spans="1:78">
      <c r="A1633" s="76"/>
      <c r="B1633" s="76"/>
      <c r="C1633" s="125"/>
      <c r="D1633" s="125"/>
      <c r="E1633" s="71"/>
      <c r="F1633" s="71"/>
      <c r="G1633" s="71"/>
      <c r="H1633" s="126"/>
      <c r="I1633" s="125"/>
      <c r="J1633" s="123"/>
      <c r="K1633" s="12"/>
      <c r="L1633" s="117"/>
      <c r="M1633" s="12"/>
      <c r="N1633" s="117"/>
      <c r="O1633" s="117"/>
      <c r="P1633" s="117"/>
      <c r="Q1633" s="118"/>
      <c r="R1633" s="118"/>
      <c r="S1633" s="118"/>
      <c r="T1633" s="12"/>
      <c r="U1633" s="118"/>
      <c r="V1633" s="118"/>
      <c r="W1633" s="12"/>
      <c r="X1633" s="119"/>
      <c r="Y1633" s="120"/>
      <c r="Z1633" s="12"/>
      <c r="BK1633" s="77"/>
      <c r="BO1633" s="77"/>
      <c r="BQ1633" s="77"/>
      <c r="BT1633" s="5"/>
      <c r="BU1633" s="5"/>
      <c r="BV1633" s="5"/>
      <c r="BW1633" s="71"/>
      <c r="BX1633" s="78"/>
      <c r="BY1633" s="64"/>
      <c r="BZ1633" s="3"/>
    </row>
    <row r="1634" spans="1:78">
      <c r="A1634" s="76"/>
      <c r="B1634" s="76"/>
      <c r="C1634" s="125"/>
      <c r="D1634" s="125"/>
      <c r="E1634" s="71"/>
      <c r="F1634" s="71"/>
      <c r="G1634" s="71"/>
      <c r="H1634" s="126"/>
      <c r="I1634" s="125"/>
      <c r="J1634" s="123"/>
      <c r="K1634" s="12"/>
      <c r="L1634" s="117"/>
      <c r="M1634" s="12"/>
      <c r="N1634" s="117"/>
      <c r="O1634" s="117"/>
      <c r="P1634" s="117"/>
      <c r="Q1634" s="118"/>
      <c r="R1634" s="118"/>
      <c r="S1634" s="118"/>
      <c r="T1634" s="12"/>
      <c r="U1634" s="118"/>
      <c r="V1634" s="118"/>
      <c r="W1634" s="12"/>
      <c r="X1634" s="119"/>
      <c r="Y1634" s="120"/>
      <c r="Z1634" s="12"/>
      <c r="BK1634" s="77"/>
      <c r="BO1634" s="77"/>
      <c r="BQ1634" s="77"/>
      <c r="BT1634" s="5"/>
      <c r="BU1634" s="5"/>
      <c r="BV1634" s="5"/>
      <c r="BW1634" s="71"/>
      <c r="BX1634" s="78"/>
      <c r="BY1634" s="64"/>
      <c r="BZ1634" s="3"/>
    </row>
    <row r="1635" spans="1:78">
      <c r="A1635" s="76"/>
      <c r="B1635" s="76"/>
      <c r="C1635" s="125"/>
      <c r="D1635" s="125"/>
      <c r="E1635" s="71"/>
      <c r="F1635" s="71"/>
      <c r="G1635" s="71"/>
      <c r="H1635" s="126"/>
      <c r="I1635" s="125"/>
      <c r="J1635" s="123"/>
      <c r="K1635" s="12"/>
      <c r="L1635" s="117"/>
      <c r="M1635" s="12"/>
      <c r="N1635" s="117"/>
      <c r="O1635" s="117"/>
      <c r="P1635" s="117"/>
      <c r="Q1635" s="118"/>
      <c r="R1635" s="118"/>
      <c r="S1635" s="118"/>
      <c r="T1635" s="12"/>
      <c r="U1635" s="118"/>
      <c r="V1635" s="118"/>
      <c r="W1635" s="12"/>
      <c r="X1635" s="119"/>
      <c r="Y1635" s="120"/>
      <c r="Z1635" s="12"/>
      <c r="BK1635" s="77"/>
      <c r="BO1635" s="77"/>
      <c r="BQ1635" s="77"/>
      <c r="BT1635" s="5"/>
      <c r="BU1635" s="5"/>
      <c r="BV1635" s="5"/>
      <c r="BW1635" s="71"/>
      <c r="BX1635" s="78"/>
      <c r="BY1635" s="64"/>
      <c r="BZ1635" s="3"/>
    </row>
    <row r="1636" spans="1:78">
      <c r="A1636" s="76"/>
      <c r="B1636" s="76"/>
      <c r="C1636" s="125"/>
      <c r="D1636" s="125"/>
      <c r="E1636" s="71"/>
      <c r="F1636" s="71"/>
      <c r="G1636" s="71"/>
      <c r="H1636" s="126"/>
      <c r="I1636" s="125"/>
      <c r="J1636" s="123"/>
      <c r="K1636" s="12"/>
      <c r="L1636" s="117"/>
      <c r="M1636" s="12"/>
      <c r="N1636" s="117"/>
      <c r="O1636" s="117"/>
      <c r="P1636" s="117"/>
      <c r="Q1636" s="118"/>
      <c r="R1636" s="118"/>
      <c r="S1636" s="118"/>
      <c r="T1636" s="12"/>
      <c r="U1636" s="118"/>
      <c r="V1636" s="118"/>
      <c r="W1636" s="12"/>
      <c r="X1636" s="119"/>
      <c r="Y1636" s="120"/>
      <c r="Z1636" s="12"/>
      <c r="BK1636" s="77"/>
      <c r="BO1636" s="77"/>
      <c r="BQ1636" s="77"/>
      <c r="BT1636" s="5"/>
      <c r="BU1636" s="5"/>
      <c r="BV1636" s="5"/>
      <c r="BW1636" s="71"/>
      <c r="BX1636" s="78"/>
      <c r="BY1636" s="64"/>
      <c r="BZ1636" s="3"/>
    </row>
    <row r="1637" spans="1:78">
      <c r="A1637" s="76"/>
      <c r="B1637" s="76"/>
      <c r="C1637" s="125"/>
      <c r="D1637" s="125"/>
      <c r="E1637" s="71"/>
      <c r="F1637" s="71"/>
      <c r="G1637" s="71"/>
      <c r="H1637" s="126"/>
      <c r="I1637" s="125"/>
      <c r="J1637" s="123"/>
      <c r="K1637" s="12"/>
      <c r="L1637" s="117"/>
      <c r="M1637" s="12"/>
      <c r="N1637" s="117"/>
      <c r="O1637" s="117"/>
      <c r="P1637" s="117"/>
      <c r="Q1637" s="118"/>
      <c r="R1637" s="118"/>
      <c r="S1637" s="118"/>
      <c r="T1637" s="12"/>
      <c r="U1637" s="118"/>
      <c r="V1637" s="118"/>
      <c r="W1637" s="12"/>
      <c r="X1637" s="119"/>
      <c r="Y1637" s="120"/>
      <c r="Z1637" s="12"/>
      <c r="BK1637" s="77"/>
      <c r="BO1637" s="77"/>
      <c r="BQ1637" s="77"/>
      <c r="BT1637" s="5"/>
      <c r="BU1637" s="5"/>
      <c r="BV1637" s="5"/>
      <c r="BW1637" s="71"/>
      <c r="BX1637" s="78"/>
      <c r="BY1637" s="64"/>
      <c r="BZ1637" s="3"/>
    </row>
    <row r="1638" spans="1:78">
      <c r="A1638" s="76"/>
      <c r="B1638" s="76"/>
      <c r="C1638" s="125"/>
      <c r="D1638" s="125"/>
      <c r="E1638" s="71"/>
      <c r="F1638" s="71"/>
      <c r="G1638" s="71"/>
      <c r="H1638" s="126"/>
      <c r="I1638" s="125"/>
      <c r="J1638" s="123"/>
      <c r="K1638" s="12"/>
      <c r="L1638" s="117"/>
      <c r="M1638" s="12"/>
      <c r="N1638" s="117"/>
      <c r="O1638" s="117"/>
      <c r="P1638" s="117"/>
      <c r="Q1638" s="118"/>
      <c r="R1638" s="118"/>
      <c r="S1638" s="118"/>
      <c r="T1638" s="12"/>
      <c r="U1638" s="118"/>
      <c r="V1638" s="118"/>
      <c r="W1638" s="12"/>
      <c r="X1638" s="119"/>
      <c r="Y1638" s="120"/>
      <c r="Z1638" s="12"/>
      <c r="BK1638" s="77"/>
      <c r="BO1638" s="77"/>
      <c r="BQ1638" s="77"/>
      <c r="BT1638" s="5"/>
      <c r="BU1638" s="5"/>
      <c r="BV1638" s="5"/>
      <c r="BW1638" s="71"/>
      <c r="BX1638" s="78"/>
      <c r="BY1638" s="64"/>
      <c r="BZ1638" s="3"/>
    </row>
    <row r="1639" spans="1:78">
      <c r="A1639" s="76"/>
      <c r="B1639" s="76"/>
      <c r="C1639" s="125"/>
      <c r="D1639" s="125"/>
      <c r="E1639" s="71"/>
      <c r="F1639" s="71"/>
      <c r="G1639" s="71"/>
      <c r="H1639" s="126"/>
      <c r="I1639" s="125"/>
      <c r="J1639" s="123"/>
      <c r="K1639" s="12"/>
      <c r="L1639" s="117"/>
      <c r="M1639" s="12"/>
      <c r="N1639" s="117"/>
      <c r="O1639" s="117"/>
      <c r="P1639" s="117"/>
      <c r="Q1639" s="118"/>
      <c r="R1639" s="118"/>
      <c r="S1639" s="118"/>
      <c r="T1639" s="12"/>
      <c r="U1639" s="118"/>
      <c r="V1639" s="118"/>
      <c r="W1639" s="12"/>
      <c r="X1639" s="119"/>
      <c r="Y1639" s="120"/>
      <c r="Z1639" s="12"/>
      <c r="BK1639" s="77"/>
      <c r="BO1639" s="77"/>
      <c r="BQ1639" s="77"/>
      <c r="BT1639" s="5"/>
      <c r="BU1639" s="5"/>
      <c r="BV1639" s="5"/>
      <c r="BW1639" s="71"/>
      <c r="BX1639" s="78"/>
      <c r="BY1639" s="64"/>
      <c r="BZ1639" s="3"/>
    </row>
    <row r="1640" spans="1:78">
      <c r="A1640" s="76"/>
      <c r="B1640" s="76"/>
      <c r="C1640" s="125"/>
      <c r="D1640" s="125"/>
      <c r="E1640" s="71"/>
      <c r="F1640" s="71"/>
      <c r="G1640" s="71"/>
      <c r="H1640" s="126"/>
      <c r="I1640" s="125"/>
      <c r="J1640" s="123"/>
      <c r="K1640" s="12"/>
      <c r="L1640" s="117"/>
      <c r="M1640" s="12"/>
      <c r="N1640" s="117"/>
      <c r="O1640" s="117"/>
      <c r="P1640" s="117"/>
      <c r="Q1640" s="118"/>
      <c r="R1640" s="118"/>
      <c r="S1640" s="118"/>
      <c r="T1640" s="12"/>
      <c r="U1640" s="118"/>
      <c r="V1640" s="118"/>
      <c r="W1640" s="12"/>
      <c r="X1640" s="119"/>
      <c r="Y1640" s="120"/>
      <c r="Z1640" s="12"/>
      <c r="BK1640" s="77"/>
      <c r="BO1640" s="77"/>
      <c r="BQ1640" s="77"/>
      <c r="BT1640" s="5"/>
      <c r="BU1640" s="5"/>
      <c r="BV1640" s="5"/>
      <c r="BW1640" s="71"/>
      <c r="BX1640" s="78"/>
      <c r="BY1640" s="64"/>
      <c r="BZ1640" s="3"/>
    </row>
    <row r="1641" spans="1:78">
      <c r="A1641" s="76"/>
      <c r="B1641" s="76"/>
      <c r="C1641" s="125"/>
      <c r="D1641" s="125"/>
      <c r="E1641" s="71"/>
      <c r="F1641" s="71"/>
      <c r="G1641" s="71"/>
      <c r="H1641" s="126"/>
      <c r="I1641" s="125"/>
      <c r="J1641" s="123"/>
      <c r="K1641" s="12"/>
      <c r="L1641" s="117"/>
      <c r="M1641" s="12"/>
      <c r="N1641" s="117"/>
      <c r="O1641" s="117"/>
      <c r="P1641" s="117"/>
      <c r="Q1641" s="118"/>
      <c r="R1641" s="118"/>
      <c r="S1641" s="118"/>
      <c r="T1641" s="12"/>
      <c r="U1641" s="118"/>
      <c r="V1641" s="118"/>
      <c r="W1641" s="12"/>
      <c r="X1641" s="119"/>
      <c r="Y1641" s="120"/>
      <c r="Z1641" s="12"/>
      <c r="BK1641" s="77"/>
      <c r="BO1641" s="77"/>
      <c r="BQ1641" s="77"/>
      <c r="BT1641" s="5"/>
      <c r="BU1641" s="5"/>
      <c r="BV1641" s="5"/>
      <c r="BW1641" s="71"/>
      <c r="BX1641" s="78"/>
      <c r="BY1641" s="64"/>
      <c r="BZ1641" s="3"/>
    </row>
    <row r="1642" spans="1:78">
      <c r="A1642" s="76"/>
      <c r="B1642" s="76"/>
      <c r="C1642" s="125"/>
      <c r="D1642" s="125"/>
      <c r="E1642" s="71"/>
      <c r="F1642" s="71"/>
      <c r="G1642" s="71"/>
      <c r="H1642" s="126"/>
      <c r="I1642" s="125"/>
      <c r="J1642" s="123"/>
      <c r="K1642" s="12"/>
      <c r="L1642" s="117"/>
      <c r="M1642" s="12"/>
      <c r="N1642" s="117"/>
      <c r="O1642" s="117"/>
      <c r="P1642" s="117"/>
      <c r="Q1642" s="118"/>
      <c r="R1642" s="118"/>
      <c r="S1642" s="118"/>
      <c r="T1642" s="12"/>
      <c r="U1642" s="118"/>
      <c r="V1642" s="118"/>
      <c r="W1642" s="12"/>
      <c r="X1642" s="119"/>
      <c r="Y1642" s="120"/>
      <c r="Z1642" s="12"/>
      <c r="BK1642" s="77"/>
      <c r="BO1642" s="77"/>
      <c r="BQ1642" s="77"/>
      <c r="BT1642" s="5"/>
      <c r="BU1642" s="5"/>
      <c r="BV1642" s="5"/>
      <c r="BW1642" s="71"/>
      <c r="BX1642" s="78"/>
      <c r="BY1642" s="64"/>
      <c r="BZ1642" s="3"/>
    </row>
    <row r="1643" spans="1:78">
      <c r="A1643" s="76"/>
      <c r="B1643" s="76"/>
      <c r="C1643" s="125"/>
      <c r="D1643" s="125"/>
      <c r="E1643" s="71"/>
      <c r="F1643" s="71"/>
      <c r="G1643" s="71"/>
      <c r="H1643" s="126"/>
      <c r="I1643" s="125"/>
      <c r="J1643" s="123"/>
      <c r="K1643" s="12"/>
      <c r="L1643" s="117"/>
      <c r="M1643" s="12"/>
      <c r="N1643" s="117"/>
      <c r="O1643" s="117"/>
      <c r="P1643" s="117"/>
      <c r="Q1643" s="118"/>
      <c r="R1643" s="118"/>
      <c r="S1643" s="118"/>
      <c r="T1643" s="12"/>
      <c r="U1643" s="118"/>
      <c r="V1643" s="118"/>
      <c r="W1643" s="12"/>
      <c r="X1643" s="119"/>
      <c r="Y1643" s="120"/>
      <c r="Z1643" s="12"/>
      <c r="BK1643" s="77"/>
      <c r="BO1643" s="77"/>
      <c r="BQ1643" s="77"/>
      <c r="BT1643" s="5"/>
      <c r="BU1643" s="5"/>
      <c r="BV1643" s="5"/>
      <c r="BW1643" s="71"/>
      <c r="BX1643" s="78"/>
      <c r="BY1643" s="64"/>
      <c r="BZ1643" s="3"/>
    </row>
    <row r="1644" spans="1:78">
      <c r="A1644" s="76"/>
      <c r="B1644" s="76"/>
      <c r="C1644" s="125"/>
      <c r="D1644" s="125"/>
      <c r="E1644" s="71"/>
      <c r="F1644" s="71"/>
      <c r="G1644" s="71"/>
      <c r="H1644" s="126"/>
      <c r="I1644" s="125"/>
      <c r="J1644" s="123"/>
      <c r="K1644" s="12"/>
      <c r="L1644" s="117"/>
      <c r="M1644" s="12"/>
      <c r="N1644" s="117"/>
      <c r="O1644" s="117"/>
      <c r="P1644" s="117"/>
      <c r="Q1644" s="118"/>
      <c r="R1644" s="118"/>
      <c r="S1644" s="118"/>
      <c r="T1644" s="12"/>
      <c r="U1644" s="118"/>
      <c r="V1644" s="118"/>
      <c r="W1644" s="12"/>
      <c r="X1644" s="119"/>
      <c r="Y1644" s="120"/>
      <c r="Z1644" s="12"/>
      <c r="BK1644" s="77"/>
      <c r="BO1644" s="77"/>
      <c r="BQ1644" s="77"/>
      <c r="BT1644" s="5"/>
      <c r="BU1644" s="5"/>
      <c r="BV1644" s="5"/>
      <c r="BW1644" s="71"/>
      <c r="BX1644" s="78"/>
      <c r="BY1644" s="64"/>
      <c r="BZ1644" s="3"/>
    </row>
    <row r="1645" spans="1:78">
      <c r="A1645" s="76"/>
      <c r="B1645" s="76"/>
      <c r="C1645" s="125"/>
      <c r="D1645" s="125"/>
      <c r="E1645" s="71"/>
      <c r="F1645" s="71"/>
      <c r="G1645" s="71"/>
      <c r="H1645" s="126"/>
      <c r="I1645" s="125"/>
      <c r="J1645" s="123"/>
      <c r="K1645" s="12"/>
      <c r="L1645" s="117"/>
      <c r="M1645" s="12"/>
      <c r="N1645" s="117"/>
      <c r="O1645" s="117"/>
      <c r="P1645" s="117"/>
      <c r="Q1645" s="118"/>
      <c r="R1645" s="118"/>
      <c r="S1645" s="118"/>
      <c r="T1645" s="12"/>
      <c r="U1645" s="118"/>
      <c r="V1645" s="118"/>
      <c r="W1645" s="12"/>
      <c r="X1645" s="119"/>
      <c r="Y1645" s="120"/>
      <c r="Z1645" s="12"/>
      <c r="BK1645" s="77"/>
      <c r="BO1645" s="77"/>
      <c r="BQ1645" s="77"/>
      <c r="BT1645" s="5"/>
      <c r="BU1645" s="5"/>
      <c r="BV1645" s="5"/>
      <c r="BW1645" s="71"/>
      <c r="BX1645" s="78"/>
      <c r="BY1645" s="64"/>
      <c r="BZ1645" s="3"/>
    </row>
    <row r="1646" spans="1:78">
      <c r="A1646" s="76"/>
      <c r="B1646" s="76"/>
      <c r="C1646" s="125"/>
      <c r="D1646" s="125"/>
      <c r="E1646" s="71"/>
      <c r="F1646" s="71"/>
      <c r="G1646" s="71"/>
      <c r="H1646" s="126"/>
      <c r="I1646" s="125"/>
      <c r="J1646" s="123"/>
      <c r="K1646" s="12"/>
      <c r="L1646" s="117"/>
      <c r="M1646" s="12"/>
      <c r="N1646" s="117"/>
      <c r="O1646" s="117"/>
      <c r="P1646" s="117"/>
      <c r="Q1646" s="118"/>
      <c r="R1646" s="118"/>
      <c r="S1646" s="118"/>
      <c r="T1646" s="12"/>
      <c r="U1646" s="118"/>
      <c r="V1646" s="118"/>
      <c r="W1646" s="12"/>
      <c r="X1646" s="119"/>
      <c r="Y1646" s="120"/>
      <c r="Z1646" s="12"/>
      <c r="BK1646" s="77"/>
      <c r="BO1646" s="77"/>
      <c r="BQ1646" s="77"/>
      <c r="BT1646" s="5"/>
      <c r="BU1646" s="5"/>
      <c r="BV1646" s="5"/>
      <c r="BW1646" s="71"/>
      <c r="BX1646" s="78"/>
      <c r="BY1646" s="64"/>
      <c r="BZ1646" s="3"/>
    </row>
    <row r="1647" spans="1:78">
      <c r="A1647" s="76"/>
      <c r="B1647" s="76"/>
      <c r="C1647" s="125"/>
      <c r="D1647" s="125"/>
      <c r="E1647" s="71"/>
      <c r="F1647" s="71"/>
      <c r="G1647" s="71"/>
      <c r="H1647" s="126"/>
      <c r="I1647" s="125"/>
      <c r="J1647" s="123"/>
      <c r="K1647" s="12"/>
      <c r="L1647" s="117"/>
      <c r="M1647" s="12"/>
      <c r="N1647" s="117"/>
      <c r="O1647" s="117"/>
      <c r="P1647" s="117"/>
      <c r="Q1647" s="118"/>
      <c r="R1647" s="118"/>
      <c r="S1647" s="118"/>
      <c r="T1647" s="12"/>
      <c r="U1647" s="118"/>
      <c r="V1647" s="118"/>
      <c r="W1647" s="12"/>
      <c r="X1647" s="119"/>
      <c r="Y1647" s="120"/>
      <c r="Z1647" s="12"/>
      <c r="BK1647" s="77"/>
      <c r="BO1647" s="77"/>
      <c r="BQ1647" s="77"/>
      <c r="BT1647" s="5"/>
      <c r="BU1647" s="5"/>
      <c r="BV1647" s="5"/>
      <c r="BW1647" s="71"/>
      <c r="BX1647" s="78"/>
      <c r="BY1647" s="64"/>
      <c r="BZ1647" s="3"/>
    </row>
    <row r="1648" spans="1:78">
      <c r="A1648" s="76"/>
      <c r="B1648" s="76"/>
      <c r="C1648" s="125"/>
      <c r="D1648" s="125"/>
      <c r="E1648" s="71"/>
      <c r="F1648" s="71"/>
      <c r="G1648" s="71"/>
      <c r="H1648" s="126"/>
      <c r="I1648" s="125"/>
      <c r="J1648" s="123"/>
      <c r="K1648" s="12"/>
      <c r="L1648" s="117"/>
      <c r="M1648" s="12"/>
      <c r="N1648" s="117"/>
      <c r="O1648" s="117"/>
      <c r="P1648" s="117"/>
      <c r="Q1648" s="118"/>
      <c r="R1648" s="118"/>
      <c r="S1648" s="118"/>
      <c r="T1648" s="12"/>
      <c r="U1648" s="118"/>
      <c r="V1648" s="118"/>
      <c r="W1648" s="12"/>
      <c r="X1648" s="119"/>
      <c r="Y1648" s="120"/>
      <c r="Z1648" s="12"/>
      <c r="BK1648" s="77"/>
      <c r="BO1648" s="77"/>
      <c r="BQ1648" s="77"/>
      <c r="BT1648" s="5"/>
      <c r="BU1648" s="5"/>
      <c r="BV1648" s="5"/>
      <c r="BW1648" s="71"/>
      <c r="BX1648" s="78"/>
      <c r="BY1648" s="64"/>
      <c r="BZ1648" s="3"/>
    </row>
    <row r="1649" spans="1:78">
      <c r="A1649" s="76"/>
      <c r="B1649" s="76"/>
      <c r="C1649" s="125"/>
      <c r="D1649" s="125"/>
      <c r="E1649" s="71"/>
      <c r="F1649" s="71"/>
      <c r="G1649" s="71"/>
      <c r="H1649" s="126"/>
      <c r="I1649" s="125"/>
      <c r="J1649" s="123"/>
      <c r="K1649" s="12"/>
      <c r="L1649" s="117"/>
      <c r="M1649" s="12"/>
      <c r="N1649" s="117"/>
      <c r="O1649" s="117"/>
      <c r="P1649" s="117"/>
      <c r="Q1649" s="118"/>
      <c r="R1649" s="118"/>
      <c r="S1649" s="118"/>
      <c r="T1649" s="12"/>
      <c r="U1649" s="118"/>
      <c r="V1649" s="118"/>
      <c r="W1649" s="12"/>
      <c r="X1649" s="119"/>
      <c r="Y1649" s="120"/>
      <c r="Z1649" s="12"/>
      <c r="BK1649" s="77"/>
      <c r="BO1649" s="77"/>
      <c r="BQ1649" s="77"/>
      <c r="BT1649" s="5"/>
      <c r="BU1649" s="5"/>
      <c r="BV1649" s="5"/>
      <c r="BW1649" s="71"/>
      <c r="BX1649" s="78"/>
      <c r="BY1649" s="64"/>
      <c r="BZ1649" s="3"/>
    </row>
    <row r="1650" spans="1:78">
      <c r="A1650" s="76"/>
      <c r="B1650" s="76"/>
      <c r="C1650" s="125"/>
      <c r="D1650" s="125"/>
      <c r="E1650" s="71"/>
      <c r="F1650" s="71"/>
      <c r="G1650" s="71"/>
      <c r="H1650" s="126"/>
      <c r="I1650" s="125"/>
      <c r="J1650" s="123"/>
      <c r="K1650" s="12"/>
      <c r="L1650" s="117"/>
      <c r="M1650" s="12"/>
      <c r="N1650" s="117"/>
      <c r="O1650" s="117"/>
      <c r="P1650" s="117"/>
      <c r="Q1650" s="118"/>
      <c r="R1650" s="118"/>
      <c r="S1650" s="118"/>
      <c r="T1650" s="12"/>
      <c r="U1650" s="118"/>
      <c r="V1650" s="118"/>
      <c r="W1650" s="12"/>
      <c r="X1650" s="119"/>
      <c r="Y1650" s="120"/>
      <c r="Z1650" s="12"/>
      <c r="BK1650" s="77"/>
      <c r="BO1650" s="77"/>
      <c r="BQ1650" s="77"/>
      <c r="BT1650" s="5"/>
      <c r="BU1650" s="5"/>
      <c r="BV1650" s="5"/>
      <c r="BW1650" s="71"/>
      <c r="BX1650" s="78"/>
      <c r="BY1650" s="64"/>
      <c r="BZ1650" s="3"/>
    </row>
    <row r="1651" spans="1:78">
      <c r="A1651" s="76"/>
      <c r="B1651" s="76"/>
      <c r="C1651" s="125"/>
      <c r="D1651" s="125"/>
      <c r="E1651" s="71"/>
      <c r="F1651" s="71"/>
      <c r="G1651" s="71"/>
      <c r="H1651" s="126"/>
      <c r="I1651" s="125"/>
      <c r="J1651" s="123"/>
      <c r="K1651" s="12"/>
      <c r="L1651" s="117"/>
      <c r="M1651" s="12"/>
      <c r="N1651" s="117"/>
      <c r="O1651" s="117"/>
      <c r="P1651" s="117"/>
      <c r="Q1651" s="118"/>
      <c r="R1651" s="118"/>
      <c r="S1651" s="118"/>
      <c r="T1651" s="12"/>
      <c r="U1651" s="118"/>
      <c r="V1651" s="118"/>
      <c r="W1651" s="12"/>
      <c r="X1651" s="119"/>
      <c r="Y1651" s="120"/>
      <c r="Z1651" s="12"/>
      <c r="BK1651" s="77"/>
      <c r="BO1651" s="77"/>
      <c r="BQ1651" s="77"/>
      <c r="BT1651" s="5"/>
      <c r="BU1651" s="5"/>
      <c r="BV1651" s="5"/>
      <c r="BW1651" s="71"/>
      <c r="BX1651" s="78"/>
      <c r="BY1651" s="64"/>
      <c r="BZ1651" s="3"/>
    </row>
    <row r="1652" spans="1:78">
      <c r="A1652" s="76"/>
      <c r="B1652" s="76"/>
      <c r="C1652" s="125"/>
      <c r="D1652" s="125"/>
      <c r="E1652" s="71"/>
      <c r="F1652" s="71"/>
      <c r="G1652" s="71"/>
      <c r="H1652" s="126"/>
      <c r="I1652" s="125"/>
      <c r="J1652" s="123"/>
      <c r="K1652" s="12"/>
      <c r="L1652" s="117"/>
      <c r="M1652" s="12"/>
      <c r="N1652" s="117"/>
      <c r="O1652" s="117"/>
      <c r="P1652" s="117"/>
      <c r="Q1652" s="118"/>
      <c r="R1652" s="118"/>
      <c r="S1652" s="118"/>
      <c r="T1652" s="12"/>
      <c r="U1652" s="118"/>
      <c r="V1652" s="118"/>
      <c r="W1652" s="12"/>
      <c r="X1652" s="119"/>
      <c r="Y1652" s="120"/>
      <c r="Z1652" s="12"/>
      <c r="BK1652" s="77"/>
      <c r="BO1652" s="77"/>
      <c r="BQ1652" s="77"/>
      <c r="BT1652" s="5"/>
      <c r="BU1652" s="5"/>
      <c r="BV1652" s="5"/>
      <c r="BW1652" s="71"/>
      <c r="BX1652" s="78"/>
      <c r="BY1652" s="64"/>
      <c r="BZ1652" s="3"/>
    </row>
    <row r="1653" spans="1:78">
      <c r="A1653" s="76"/>
      <c r="B1653" s="76"/>
      <c r="C1653" s="125"/>
      <c r="D1653" s="125"/>
      <c r="E1653" s="71"/>
      <c r="F1653" s="71"/>
      <c r="G1653" s="71"/>
      <c r="H1653" s="126"/>
      <c r="I1653" s="125"/>
      <c r="J1653" s="123"/>
      <c r="K1653" s="12"/>
      <c r="L1653" s="117"/>
      <c r="M1653" s="12"/>
      <c r="N1653" s="117"/>
      <c r="O1653" s="117"/>
      <c r="P1653" s="117"/>
      <c r="Q1653" s="118"/>
      <c r="R1653" s="118"/>
      <c r="S1653" s="118"/>
      <c r="T1653" s="12"/>
      <c r="U1653" s="118"/>
      <c r="V1653" s="118"/>
      <c r="W1653" s="12"/>
      <c r="X1653" s="119"/>
      <c r="Y1653" s="120"/>
      <c r="Z1653" s="12"/>
      <c r="BK1653" s="77"/>
      <c r="BO1653" s="77"/>
      <c r="BQ1653" s="77"/>
      <c r="BT1653" s="5"/>
      <c r="BU1653" s="5"/>
      <c r="BV1653" s="5"/>
      <c r="BW1653" s="71"/>
      <c r="BX1653" s="78"/>
      <c r="BY1653" s="64"/>
      <c r="BZ1653" s="3"/>
    </row>
    <row r="1654" spans="1:78">
      <c r="A1654" s="76"/>
      <c r="B1654" s="76"/>
      <c r="C1654" s="125"/>
      <c r="D1654" s="125"/>
      <c r="E1654" s="71"/>
      <c r="F1654" s="71"/>
      <c r="G1654" s="71"/>
      <c r="H1654" s="126"/>
      <c r="I1654" s="125"/>
      <c r="J1654" s="123"/>
      <c r="K1654" s="12"/>
      <c r="L1654" s="117"/>
      <c r="M1654" s="12"/>
      <c r="N1654" s="117"/>
      <c r="O1654" s="117"/>
      <c r="P1654" s="117"/>
      <c r="Q1654" s="118"/>
      <c r="R1654" s="118"/>
      <c r="S1654" s="118"/>
      <c r="T1654" s="12"/>
      <c r="U1654" s="118"/>
      <c r="V1654" s="118"/>
      <c r="W1654" s="12"/>
      <c r="X1654" s="119"/>
      <c r="Y1654" s="120"/>
      <c r="Z1654" s="12"/>
      <c r="BK1654" s="77"/>
      <c r="BO1654" s="77"/>
      <c r="BQ1654" s="77"/>
      <c r="BT1654" s="5"/>
      <c r="BU1654" s="5"/>
      <c r="BV1654" s="5"/>
      <c r="BW1654" s="71"/>
      <c r="BX1654" s="78"/>
      <c r="BY1654" s="64"/>
      <c r="BZ1654" s="3"/>
    </row>
    <row r="1655" spans="1:78">
      <c r="A1655" s="76"/>
      <c r="B1655" s="76"/>
      <c r="C1655" s="125"/>
      <c r="D1655" s="125"/>
      <c r="E1655" s="71"/>
      <c r="F1655" s="71"/>
      <c r="G1655" s="71"/>
      <c r="H1655" s="126"/>
      <c r="I1655" s="125"/>
      <c r="J1655" s="123"/>
      <c r="K1655" s="12"/>
      <c r="L1655" s="117"/>
      <c r="M1655" s="12"/>
      <c r="N1655" s="117"/>
      <c r="O1655" s="117"/>
      <c r="P1655" s="117"/>
      <c r="Q1655" s="118"/>
      <c r="R1655" s="118"/>
      <c r="S1655" s="118"/>
      <c r="T1655" s="12"/>
      <c r="U1655" s="118"/>
      <c r="V1655" s="118"/>
      <c r="W1655" s="12"/>
      <c r="X1655" s="119"/>
      <c r="Y1655" s="120"/>
      <c r="Z1655" s="12"/>
      <c r="BK1655" s="77"/>
      <c r="BO1655" s="77"/>
      <c r="BQ1655" s="77"/>
      <c r="BT1655" s="5"/>
      <c r="BU1655" s="5"/>
      <c r="BV1655" s="5"/>
      <c r="BW1655" s="71"/>
      <c r="BX1655" s="78"/>
      <c r="BY1655" s="64"/>
      <c r="BZ1655" s="3"/>
    </row>
    <row r="1656" spans="1:78">
      <c r="A1656" s="76"/>
      <c r="B1656" s="76"/>
      <c r="C1656" s="125"/>
      <c r="D1656" s="125"/>
      <c r="E1656" s="71"/>
      <c r="F1656" s="71"/>
      <c r="G1656" s="71"/>
      <c r="H1656" s="126"/>
      <c r="I1656" s="125"/>
      <c r="J1656" s="123"/>
      <c r="K1656" s="12"/>
      <c r="L1656" s="117"/>
      <c r="M1656" s="12"/>
      <c r="N1656" s="117"/>
      <c r="O1656" s="117"/>
      <c r="P1656" s="117"/>
      <c r="Q1656" s="118"/>
      <c r="R1656" s="118"/>
      <c r="S1656" s="118"/>
      <c r="T1656" s="12"/>
      <c r="U1656" s="118"/>
      <c r="V1656" s="118"/>
      <c r="W1656" s="12"/>
      <c r="X1656" s="119"/>
      <c r="Y1656" s="120"/>
      <c r="Z1656" s="12"/>
      <c r="BK1656" s="77"/>
      <c r="BO1656" s="77"/>
      <c r="BQ1656" s="77"/>
      <c r="BT1656" s="5"/>
      <c r="BU1656" s="5"/>
      <c r="BV1656" s="5"/>
      <c r="BW1656" s="71"/>
      <c r="BX1656" s="78"/>
      <c r="BY1656" s="64"/>
      <c r="BZ1656" s="3"/>
    </row>
    <row r="1657" spans="1:78">
      <c r="A1657" s="76"/>
      <c r="B1657" s="76"/>
      <c r="C1657" s="125"/>
      <c r="D1657" s="125"/>
      <c r="E1657" s="71"/>
      <c r="F1657" s="71"/>
      <c r="G1657" s="71"/>
      <c r="H1657" s="126"/>
      <c r="I1657" s="125"/>
      <c r="J1657" s="123"/>
      <c r="K1657" s="12"/>
      <c r="L1657" s="117"/>
      <c r="M1657" s="12"/>
      <c r="N1657" s="117"/>
      <c r="O1657" s="117"/>
      <c r="P1657" s="117"/>
      <c r="Q1657" s="118"/>
      <c r="R1657" s="118"/>
      <c r="S1657" s="118"/>
      <c r="T1657" s="12"/>
      <c r="U1657" s="118"/>
      <c r="V1657" s="118"/>
      <c r="W1657" s="12"/>
      <c r="X1657" s="119"/>
      <c r="Y1657" s="120"/>
      <c r="Z1657" s="12"/>
      <c r="BK1657" s="77"/>
      <c r="BO1657" s="77"/>
      <c r="BQ1657" s="77"/>
      <c r="BT1657" s="5"/>
      <c r="BU1657" s="5"/>
      <c r="BV1657" s="5"/>
      <c r="BW1657" s="71"/>
      <c r="BX1657" s="78"/>
      <c r="BY1657" s="64"/>
      <c r="BZ1657" s="3"/>
    </row>
    <row r="1658" spans="1:78">
      <c r="A1658" s="76"/>
      <c r="B1658" s="76"/>
      <c r="C1658" s="125"/>
      <c r="D1658" s="125"/>
      <c r="E1658" s="71"/>
      <c r="F1658" s="71"/>
      <c r="G1658" s="71"/>
      <c r="H1658" s="126"/>
      <c r="I1658" s="125"/>
      <c r="J1658" s="123"/>
      <c r="K1658" s="12"/>
      <c r="L1658" s="117"/>
      <c r="M1658" s="12"/>
      <c r="N1658" s="117"/>
      <c r="O1658" s="117"/>
      <c r="P1658" s="117"/>
      <c r="Q1658" s="118"/>
      <c r="R1658" s="118"/>
      <c r="S1658" s="118"/>
      <c r="T1658" s="12"/>
      <c r="U1658" s="118"/>
      <c r="V1658" s="118"/>
      <c r="W1658" s="12"/>
      <c r="X1658" s="119"/>
      <c r="Y1658" s="120"/>
      <c r="Z1658" s="12"/>
      <c r="BK1658" s="77"/>
      <c r="BO1658" s="77"/>
      <c r="BQ1658" s="77"/>
      <c r="BT1658" s="5"/>
      <c r="BU1658" s="5"/>
      <c r="BV1658" s="5"/>
      <c r="BW1658" s="71"/>
      <c r="BX1658" s="78"/>
      <c r="BY1658" s="64"/>
      <c r="BZ1658" s="3"/>
    </row>
    <row r="1659" spans="1:78">
      <c r="A1659" s="76"/>
      <c r="B1659" s="76"/>
      <c r="C1659" s="125"/>
      <c r="D1659" s="125"/>
      <c r="E1659" s="71"/>
      <c r="F1659" s="71"/>
      <c r="G1659" s="71"/>
      <c r="H1659" s="126"/>
      <c r="I1659" s="125"/>
      <c r="J1659" s="123"/>
      <c r="K1659" s="12"/>
      <c r="L1659" s="117"/>
      <c r="M1659" s="12"/>
      <c r="N1659" s="117"/>
      <c r="O1659" s="117"/>
      <c r="P1659" s="117"/>
      <c r="Q1659" s="118"/>
      <c r="R1659" s="118"/>
      <c r="S1659" s="118"/>
      <c r="T1659" s="12"/>
      <c r="U1659" s="118"/>
      <c r="V1659" s="118"/>
      <c r="W1659" s="12"/>
      <c r="X1659" s="119"/>
      <c r="Y1659" s="120"/>
      <c r="Z1659" s="12"/>
      <c r="BK1659" s="77"/>
      <c r="BO1659" s="77"/>
      <c r="BQ1659" s="77"/>
      <c r="BT1659" s="5"/>
      <c r="BU1659" s="5"/>
      <c r="BV1659" s="5"/>
      <c r="BW1659" s="71"/>
      <c r="BX1659" s="78"/>
      <c r="BY1659" s="64"/>
      <c r="BZ1659" s="3"/>
    </row>
    <row r="1660" spans="1:78">
      <c r="A1660" s="76"/>
      <c r="B1660" s="76"/>
      <c r="C1660" s="125"/>
      <c r="D1660" s="125"/>
      <c r="E1660" s="71"/>
      <c r="F1660" s="71"/>
      <c r="G1660" s="71"/>
      <c r="H1660" s="126"/>
      <c r="I1660" s="125"/>
      <c r="J1660" s="123"/>
      <c r="K1660" s="12"/>
      <c r="L1660" s="117"/>
      <c r="M1660" s="12"/>
      <c r="N1660" s="117"/>
      <c r="O1660" s="117"/>
      <c r="P1660" s="117"/>
      <c r="Q1660" s="118"/>
      <c r="R1660" s="118"/>
      <c r="S1660" s="118"/>
      <c r="T1660" s="12"/>
      <c r="U1660" s="118"/>
      <c r="V1660" s="118"/>
      <c r="W1660" s="12"/>
      <c r="X1660" s="119"/>
      <c r="Y1660" s="120"/>
      <c r="Z1660" s="12"/>
      <c r="BK1660" s="77"/>
      <c r="BO1660" s="77"/>
      <c r="BQ1660" s="77"/>
      <c r="BT1660" s="5"/>
      <c r="BU1660" s="5"/>
      <c r="BV1660" s="5"/>
      <c r="BW1660" s="71"/>
      <c r="BX1660" s="78"/>
      <c r="BY1660" s="64"/>
      <c r="BZ1660" s="3"/>
    </row>
    <row r="1661" spans="1:78">
      <c r="A1661" s="76"/>
      <c r="B1661" s="76"/>
      <c r="C1661" s="125"/>
      <c r="D1661" s="125"/>
      <c r="E1661" s="71"/>
      <c r="F1661" s="71"/>
      <c r="G1661" s="71"/>
      <c r="H1661" s="126"/>
      <c r="I1661" s="125"/>
      <c r="J1661" s="123"/>
      <c r="K1661" s="12"/>
      <c r="L1661" s="117"/>
      <c r="M1661" s="12"/>
      <c r="N1661" s="117"/>
      <c r="O1661" s="117"/>
      <c r="P1661" s="117"/>
      <c r="Q1661" s="118"/>
      <c r="R1661" s="118"/>
      <c r="S1661" s="118"/>
      <c r="T1661" s="12"/>
      <c r="U1661" s="118"/>
      <c r="V1661" s="118"/>
      <c r="W1661" s="12"/>
      <c r="X1661" s="119"/>
      <c r="Y1661" s="120"/>
      <c r="Z1661" s="12"/>
      <c r="BK1661" s="77"/>
      <c r="BO1661" s="77"/>
      <c r="BQ1661" s="77"/>
      <c r="BT1661" s="5"/>
      <c r="BU1661" s="5"/>
      <c r="BV1661" s="5"/>
      <c r="BW1661" s="71"/>
      <c r="BX1661" s="78"/>
      <c r="BY1661" s="64"/>
      <c r="BZ1661" s="3"/>
    </row>
    <row r="1662" spans="1:78">
      <c r="A1662" s="76"/>
      <c r="B1662" s="76"/>
      <c r="C1662" s="125"/>
      <c r="D1662" s="125"/>
      <c r="E1662" s="71"/>
      <c r="F1662" s="71"/>
      <c r="G1662" s="71"/>
      <c r="H1662" s="126"/>
      <c r="I1662" s="125"/>
      <c r="J1662" s="123"/>
      <c r="K1662" s="12"/>
      <c r="L1662" s="117"/>
      <c r="M1662" s="12"/>
      <c r="N1662" s="117"/>
      <c r="O1662" s="117"/>
      <c r="P1662" s="117"/>
      <c r="Q1662" s="118"/>
      <c r="R1662" s="118"/>
      <c r="S1662" s="118"/>
      <c r="T1662" s="12"/>
      <c r="U1662" s="118"/>
      <c r="V1662" s="118"/>
      <c r="W1662" s="12"/>
      <c r="X1662" s="119"/>
      <c r="Y1662" s="120"/>
      <c r="Z1662" s="12"/>
      <c r="BK1662" s="77"/>
      <c r="BO1662" s="77"/>
      <c r="BQ1662" s="77"/>
      <c r="BT1662" s="5"/>
      <c r="BU1662" s="5"/>
      <c r="BV1662" s="5"/>
      <c r="BW1662" s="71"/>
      <c r="BX1662" s="78"/>
      <c r="BY1662" s="64"/>
      <c r="BZ1662" s="3"/>
    </row>
    <row r="1663" spans="1:78">
      <c r="A1663" s="76"/>
      <c r="B1663" s="76"/>
      <c r="C1663" s="125"/>
      <c r="D1663" s="125"/>
      <c r="E1663" s="71"/>
      <c r="F1663" s="71"/>
      <c r="G1663" s="71"/>
      <c r="H1663" s="126"/>
      <c r="I1663" s="125"/>
      <c r="J1663" s="123"/>
      <c r="K1663" s="12"/>
      <c r="L1663" s="117"/>
      <c r="M1663" s="12"/>
      <c r="N1663" s="117"/>
      <c r="O1663" s="117"/>
      <c r="P1663" s="117"/>
      <c r="Q1663" s="118"/>
      <c r="R1663" s="118"/>
      <c r="S1663" s="118"/>
      <c r="T1663" s="12"/>
      <c r="U1663" s="118"/>
      <c r="V1663" s="118"/>
      <c r="W1663" s="12"/>
      <c r="X1663" s="119"/>
      <c r="Y1663" s="120"/>
      <c r="Z1663" s="12"/>
      <c r="BK1663" s="77"/>
      <c r="BO1663" s="77"/>
      <c r="BQ1663" s="77"/>
      <c r="BT1663" s="5"/>
      <c r="BU1663" s="5"/>
      <c r="BV1663" s="5"/>
      <c r="BW1663" s="71"/>
      <c r="BX1663" s="78"/>
      <c r="BY1663" s="64"/>
      <c r="BZ1663" s="3"/>
    </row>
    <row r="1664" spans="1:78">
      <c r="A1664" s="76"/>
      <c r="B1664" s="76"/>
      <c r="C1664" s="125"/>
      <c r="D1664" s="125"/>
      <c r="E1664" s="71"/>
      <c r="F1664" s="71"/>
      <c r="G1664" s="71"/>
      <c r="H1664" s="126"/>
      <c r="I1664" s="125"/>
      <c r="J1664" s="123"/>
      <c r="K1664" s="12"/>
      <c r="L1664" s="117"/>
      <c r="M1664" s="12"/>
      <c r="N1664" s="117"/>
      <c r="O1664" s="117"/>
      <c r="P1664" s="117"/>
      <c r="Q1664" s="118"/>
      <c r="R1664" s="118"/>
      <c r="S1664" s="118"/>
      <c r="T1664" s="12"/>
      <c r="U1664" s="118"/>
      <c r="V1664" s="118"/>
      <c r="W1664" s="12"/>
      <c r="X1664" s="119"/>
      <c r="Y1664" s="120"/>
      <c r="Z1664" s="12"/>
      <c r="BK1664" s="77"/>
      <c r="BO1664" s="77"/>
      <c r="BQ1664" s="77"/>
      <c r="BT1664" s="5"/>
      <c r="BU1664" s="5"/>
      <c r="BV1664" s="5"/>
      <c r="BW1664" s="71"/>
      <c r="BX1664" s="78"/>
      <c r="BY1664" s="64"/>
      <c r="BZ1664" s="3"/>
    </row>
    <row r="1665" spans="1:78">
      <c r="A1665" s="76"/>
      <c r="B1665" s="76"/>
      <c r="C1665" s="125"/>
      <c r="D1665" s="125"/>
      <c r="E1665" s="71"/>
      <c r="F1665" s="71"/>
      <c r="G1665" s="71"/>
      <c r="H1665" s="126"/>
      <c r="I1665" s="125"/>
      <c r="J1665" s="123"/>
      <c r="K1665" s="12"/>
      <c r="L1665" s="117"/>
      <c r="M1665" s="12"/>
      <c r="N1665" s="117"/>
      <c r="O1665" s="117"/>
      <c r="P1665" s="117"/>
      <c r="Q1665" s="118"/>
      <c r="R1665" s="118"/>
      <c r="S1665" s="118"/>
      <c r="T1665" s="12"/>
      <c r="U1665" s="118"/>
      <c r="V1665" s="118"/>
      <c r="W1665" s="12"/>
      <c r="X1665" s="119"/>
      <c r="Y1665" s="120"/>
      <c r="Z1665" s="12"/>
      <c r="BK1665" s="77"/>
      <c r="BO1665" s="77"/>
      <c r="BQ1665" s="77"/>
      <c r="BT1665" s="5"/>
      <c r="BU1665" s="5"/>
      <c r="BV1665" s="5"/>
      <c r="BW1665" s="71"/>
      <c r="BX1665" s="78"/>
      <c r="BY1665" s="64"/>
      <c r="BZ1665" s="3"/>
    </row>
    <row r="1666" spans="1:78">
      <c r="A1666" s="76"/>
      <c r="B1666" s="76"/>
      <c r="C1666" s="125"/>
      <c r="D1666" s="125"/>
      <c r="E1666" s="71"/>
      <c r="F1666" s="71"/>
      <c r="G1666" s="71"/>
      <c r="H1666" s="126"/>
      <c r="I1666" s="125"/>
      <c r="J1666" s="123"/>
      <c r="K1666" s="12"/>
      <c r="L1666" s="117"/>
      <c r="M1666" s="12"/>
      <c r="N1666" s="117"/>
      <c r="O1666" s="117"/>
      <c r="P1666" s="117"/>
      <c r="Q1666" s="118"/>
      <c r="R1666" s="118"/>
      <c r="S1666" s="118"/>
      <c r="T1666" s="12"/>
      <c r="U1666" s="118"/>
      <c r="V1666" s="118"/>
      <c r="W1666" s="12"/>
      <c r="X1666" s="119"/>
      <c r="Y1666" s="120"/>
      <c r="Z1666" s="12"/>
      <c r="BK1666" s="77"/>
      <c r="BO1666" s="77"/>
      <c r="BQ1666" s="77"/>
      <c r="BT1666" s="5"/>
      <c r="BU1666" s="5"/>
      <c r="BV1666" s="5"/>
      <c r="BW1666" s="71"/>
      <c r="BX1666" s="78"/>
      <c r="BY1666" s="64"/>
      <c r="BZ1666" s="3"/>
    </row>
    <row r="1667" spans="1:78">
      <c r="A1667" s="76"/>
      <c r="B1667" s="76"/>
      <c r="C1667" s="125"/>
      <c r="D1667" s="125"/>
      <c r="E1667" s="71"/>
      <c r="F1667" s="71"/>
      <c r="G1667" s="71"/>
      <c r="H1667" s="126"/>
      <c r="I1667" s="125"/>
      <c r="J1667" s="123"/>
      <c r="K1667" s="12"/>
      <c r="L1667" s="117"/>
      <c r="M1667" s="12"/>
      <c r="N1667" s="117"/>
      <c r="O1667" s="117"/>
      <c r="P1667" s="117"/>
      <c r="Q1667" s="118"/>
      <c r="R1667" s="118"/>
      <c r="S1667" s="118"/>
      <c r="T1667" s="12"/>
      <c r="U1667" s="118"/>
      <c r="V1667" s="118"/>
      <c r="W1667" s="12"/>
      <c r="X1667" s="119"/>
      <c r="Y1667" s="120"/>
      <c r="Z1667" s="12"/>
      <c r="BK1667" s="77"/>
      <c r="BO1667" s="77"/>
      <c r="BQ1667" s="77"/>
      <c r="BT1667" s="5"/>
      <c r="BU1667" s="5"/>
      <c r="BV1667" s="5"/>
      <c r="BW1667" s="71"/>
      <c r="BX1667" s="78"/>
      <c r="BY1667" s="64"/>
      <c r="BZ1667" s="3"/>
    </row>
    <row r="1668" spans="1:78">
      <c r="A1668" s="76"/>
      <c r="B1668" s="76"/>
      <c r="C1668" s="125"/>
      <c r="D1668" s="125"/>
      <c r="E1668" s="71"/>
      <c r="F1668" s="71"/>
      <c r="G1668" s="71"/>
      <c r="H1668" s="126"/>
      <c r="I1668" s="125"/>
      <c r="J1668" s="123"/>
      <c r="K1668" s="12"/>
      <c r="L1668" s="117"/>
      <c r="M1668" s="12"/>
      <c r="N1668" s="117"/>
      <c r="O1668" s="117"/>
      <c r="P1668" s="117"/>
      <c r="Q1668" s="118"/>
      <c r="R1668" s="118"/>
      <c r="S1668" s="118"/>
      <c r="T1668" s="12"/>
      <c r="U1668" s="118"/>
      <c r="V1668" s="118"/>
      <c r="W1668" s="12"/>
      <c r="X1668" s="119"/>
      <c r="Y1668" s="120"/>
      <c r="Z1668" s="12"/>
      <c r="BK1668" s="77"/>
      <c r="BO1668" s="77"/>
      <c r="BQ1668" s="77"/>
      <c r="BT1668" s="5"/>
      <c r="BU1668" s="5"/>
      <c r="BV1668" s="5"/>
      <c r="BW1668" s="71"/>
      <c r="BX1668" s="78"/>
      <c r="BY1668" s="64"/>
      <c r="BZ1668" s="3"/>
    </row>
    <row r="1669" spans="1:78">
      <c r="A1669" s="76"/>
      <c r="B1669" s="76"/>
      <c r="C1669" s="125"/>
      <c r="D1669" s="125"/>
      <c r="E1669" s="71"/>
      <c r="F1669" s="71"/>
      <c r="G1669" s="71"/>
      <c r="H1669" s="126"/>
      <c r="I1669" s="125"/>
      <c r="J1669" s="123"/>
      <c r="K1669" s="12"/>
      <c r="L1669" s="117"/>
      <c r="M1669" s="12"/>
      <c r="N1669" s="117"/>
      <c r="O1669" s="117"/>
      <c r="P1669" s="117"/>
      <c r="Q1669" s="118"/>
      <c r="R1669" s="118"/>
      <c r="S1669" s="118"/>
      <c r="T1669" s="12"/>
      <c r="U1669" s="118"/>
      <c r="V1669" s="118"/>
      <c r="W1669" s="12"/>
      <c r="X1669" s="119"/>
      <c r="Y1669" s="120"/>
      <c r="Z1669" s="12"/>
      <c r="BK1669" s="77"/>
      <c r="BO1669" s="77"/>
      <c r="BQ1669" s="77"/>
      <c r="BT1669" s="5"/>
      <c r="BU1669" s="5"/>
      <c r="BV1669" s="5"/>
      <c r="BW1669" s="71"/>
      <c r="BX1669" s="78"/>
      <c r="BY1669" s="64"/>
      <c r="BZ1669" s="3"/>
    </row>
    <row r="1670" spans="1:78">
      <c r="A1670" s="76"/>
      <c r="B1670" s="76"/>
      <c r="C1670" s="125"/>
      <c r="D1670" s="125"/>
      <c r="E1670" s="71"/>
      <c r="F1670" s="71"/>
      <c r="G1670" s="71"/>
      <c r="H1670" s="126"/>
      <c r="I1670" s="125"/>
      <c r="J1670" s="123"/>
      <c r="K1670" s="12"/>
      <c r="L1670" s="117"/>
      <c r="M1670" s="12"/>
      <c r="N1670" s="117"/>
      <c r="O1670" s="117"/>
      <c r="P1670" s="117"/>
      <c r="Q1670" s="118"/>
      <c r="R1670" s="118"/>
      <c r="S1670" s="118"/>
      <c r="T1670" s="12"/>
      <c r="U1670" s="118"/>
      <c r="V1670" s="118"/>
      <c r="W1670" s="12"/>
      <c r="X1670" s="119"/>
      <c r="Y1670" s="120"/>
      <c r="Z1670" s="12"/>
      <c r="BK1670" s="77"/>
      <c r="BO1670" s="77"/>
      <c r="BQ1670" s="77"/>
      <c r="BT1670" s="5"/>
      <c r="BU1670" s="5"/>
      <c r="BV1670" s="5"/>
      <c r="BW1670" s="71"/>
      <c r="BX1670" s="78"/>
      <c r="BY1670" s="64"/>
      <c r="BZ1670" s="3"/>
    </row>
    <row r="1671" spans="1:78">
      <c r="A1671" s="76"/>
      <c r="B1671" s="76"/>
      <c r="C1671" s="125"/>
      <c r="D1671" s="125"/>
      <c r="E1671" s="71"/>
      <c r="F1671" s="71"/>
      <c r="G1671" s="71"/>
      <c r="H1671" s="126"/>
      <c r="I1671" s="125"/>
      <c r="J1671" s="123"/>
      <c r="K1671" s="12"/>
      <c r="L1671" s="117"/>
      <c r="M1671" s="12"/>
      <c r="N1671" s="117"/>
      <c r="O1671" s="117"/>
      <c r="P1671" s="117"/>
      <c r="Q1671" s="118"/>
      <c r="R1671" s="118"/>
      <c r="S1671" s="118"/>
      <c r="T1671" s="12"/>
      <c r="U1671" s="118"/>
      <c r="V1671" s="118"/>
      <c r="W1671" s="12"/>
      <c r="X1671" s="119"/>
      <c r="Y1671" s="120"/>
      <c r="Z1671" s="12"/>
      <c r="BK1671" s="77"/>
      <c r="BO1671" s="77"/>
      <c r="BQ1671" s="77"/>
      <c r="BT1671" s="5"/>
      <c r="BU1671" s="5"/>
      <c r="BV1671" s="5"/>
      <c r="BW1671" s="71"/>
      <c r="BX1671" s="78"/>
      <c r="BY1671" s="64"/>
      <c r="BZ1671" s="3"/>
    </row>
    <row r="1672" spans="1:78">
      <c r="A1672" s="76"/>
      <c r="B1672" s="76"/>
      <c r="C1672" s="125"/>
      <c r="D1672" s="125"/>
      <c r="E1672" s="71"/>
      <c r="F1672" s="71"/>
      <c r="G1672" s="71"/>
      <c r="H1672" s="126"/>
      <c r="I1672" s="125"/>
      <c r="J1672" s="123"/>
      <c r="K1672" s="12"/>
      <c r="L1672" s="117"/>
      <c r="M1672" s="12"/>
      <c r="N1672" s="117"/>
      <c r="O1672" s="117"/>
      <c r="P1672" s="117"/>
      <c r="Q1672" s="118"/>
      <c r="R1672" s="118"/>
      <c r="S1672" s="118"/>
      <c r="T1672" s="12"/>
      <c r="U1672" s="118"/>
      <c r="V1672" s="118"/>
      <c r="W1672" s="12"/>
      <c r="X1672" s="119"/>
      <c r="Y1672" s="120"/>
      <c r="Z1672" s="12"/>
      <c r="BK1672" s="77"/>
      <c r="BO1672" s="77"/>
      <c r="BQ1672" s="77"/>
      <c r="BT1672" s="5"/>
      <c r="BU1672" s="5"/>
      <c r="BV1672" s="5"/>
      <c r="BW1672" s="71"/>
      <c r="BX1672" s="78"/>
      <c r="BY1672" s="64"/>
      <c r="BZ1672" s="3"/>
    </row>
    <row r="1673" spans="1:78">
      <c r="A1673" s="76"/>
      <c r="B1673" s="76"/>
      <c r="C1673" s="125"/>
      <c r="D1673" s="125"/>
      <c r="E1673" s="71"/>
      <c r="F1673" s="71"/>
      <c r="G1673" s="71"/>
      <c r="H1673" s="126"/>
      <c r="I1673" s="125"/>
      <c r="J1673" s="123"/>
      <c r="K1673" s="12"/>
      <c r="L1673" s="117"/>
      <c r="M1673" s="12"/>
      <c r="N1673" s="117"/>
      <c r="O1673" s="117"/>
      <c r="P1673" s="117"/>
      <c r="Q1673" s="118"/>
      <c r="R1673" s="118"/>
      <c r="S1673" s="118"/>
      <c r="T1673" s="12"/>
      <c r="U1673" s="118"/>
      <c r="V1673" s="118"/>
      <c r="W1673" s="12"/>
      <c r="X1673" s="119"/>
      <c r="Y1673" s="120"/>
      <c r="Z1673" s="12"/>
      <c r="BK1673" s="77"/>
      <c r="BO1673" s="77"/>
      <c r="BQ1673" s="77"/>
      <c r="BT1673" s="5"/>
      <c r="BU1673" s="5"/>
      <c r="BV1673" s="5"/>
      <c r="BW1673" s="71"/>
      <c r="BX1673" s="78"/>
      <c r="BY1673" s="64"/>
      <c r="BZ1673" s="3"/>
    </row>
    <row r="1674" spans="1:78">
      <c r="A1674" s="76"/>
      <c r="B1674" s="76"/>
      <c r="C1674" s="125"/>
      <c r="D1674" s="125"/>
      <c r="E1674" s="71"/>
      <c r="F1674" s="71"/>
      <c r="G1674" s="71"/>
      <c r="H1674" s="126"/>
      <c r="I1674" s="125"/>
      <c r="J1674" s="123"/>
      <c r="K1674" s="12"/>
      <c r="L1674" s="117"/>
      <c r="M1674" s="12"/>
      <c r="N1674" s="117"/>
      <c r="O1674" s="117"/>
      <c r="P1674" s="117"/>
      <c r="Q1674" s="118"/>
      <c r="R1674" s="118"/>
      <c r="S1674" s="118"/>
      <c r="T1674" s="12"/>
      <c r="U1674" s="118"/>
      <c r="V1674" s="118"/>
      <c r="W1674" s="12"/>
      <c r="X1674" s="119"/>
      <c r="Y1674" s="120"/>
      <c r="Z1674" s="12"/>
      <c r="BK1674" s="77"/>
      <c r="BO1674" s="77"/>
      <c r="BQ1674" s="77"/>
      <c r="BT1674" s="5"/>
      <c r="BU1674" s="5"/>
      <c r="BV1674" s="5"/>
      <c r="BW1674" s="71"/>
      <c r="BX1674" s="78"/>
      <c r="BY1674" s="64"/>
      <c r="BZ1674" s="3"/>
    </row>
    <row r="1675" spans="1:78">
      <c r="A1675" s="76"/>
      <c r="B1675" s="76"/>
      <c r="C1675" s="125"/>
      <c r="D1675" s="125"/>
      <c r="E1675" s="71"/>
      <c r="F1675" s="71"/>
      <c r="G1675" s="71"/>
      <c r="H1675" s="126"/>
      <c r="I1675" s="125"/>
      <c r="J1675" s="123"/>
      <c r="K1675" s="12"/>
      <c r="L1675" s="117"/>
      <c r="M1675" s="12"/>
      <c r="N1675" s="117"/>
      <c r="O1675" s="117"/>
      <c r="P1675" s="117"/>
      <c r="Q1675" s="118"/>
      <c r="R1675" s="118"/>
      <c r="S1675" s="118"/>
      <c r="T1675" s="12"/>
      <c r="U1675" s="118"/>
      <c r="V1675" s="118"/>
      <c r="W1675" s="12"/>
      <c r="X1675" s="119"/>
      <c r="Y1675" s="120"/>
      <c r="Z1675" s="12"/>
      <c r="BK1675" s="77"/>
      <c r="BO1675" s="77"/>
      <c r="BQ1675" s="77"/>
      <c r="BT1675" s="5"/>
      <c r="BU1675" s="5"/>
      <c r="BV1675" s="5"/>
      <c r="BW1675" s="71"/>
      <c r="BX1675" s="78"/>
      <c r="BY1675" s="64"/>
      <c r="BZ1675" s="3"/>
    </row>
    <row r="1676" spans="1:78">
      <c r="A1676" s="76"/>
      <c r="B1676" s="76"/>
      <c r="C1676" s="125"/>
      <c r="D1676" s="125"/>
      <c r="E1676" s="71"/>
      <c r="F1676" s="71"/>
      <c r="G1676" s="71"/>
      <c r="H1676" s="126"/>
      <c r="I1676" s="125"/>
      <c r="J1676" s="123"/>
      <c r="K1676" s="12"/>
      <c r="L1676" s="117"/>
      <c r="M1676" s="12"/>
      <c r="N1676" s="117"/>
      <c r="O1676" s="117"/>
      <c r="P1676" s="117"/>
      <c r="Q1676" s="118"/>
      <c r="R1676" s="118"/>
      <c r="S1676" s="118"/>
      <c r="T1676" s="12"/>
      <c r="U1676" s="118"/>
      <c r="V1676" s="118"/>
      <c r="W1676" s="12"/>
      <c r="X1676" s="119"/>
      <c r="Y1676" s="120"/>
      <c r="Z1676" s="12"/>
      <c r="BK1676" s="77"/>
      <c r="BO1676" s="77"/>
      <c r="BQ1676" s="77"/>
      <c r="BT1676" s="5"/>
      <c r="BU1676" s="5"/>
      <c r="BV1676" s="5"/>
      <c r="BW1676" s="71"/>
      <c r="BX1676" s="78"/>
      <c r="BY1676" s="64"/>
      <c r="BZ1676" s="3"/>
    </row>
    <row r="1677" spans="1:78">
      <c r="A1677" s="76"/>
      <c r="B1677" s="76"/>
      <c r="C1677" s="125"/>
      <c r="D1677" s="125"/>
      <c r="E1677" s="71"/>
      <c r="F1677" s="71"/>
      <c r="G1677" s="71"/>
      <c r="H1677" s="126"/>
      <c r="I1677" s="125"/>
      <c r="J1677" s="123"/>
      <c r="K1677" s="12"/>
      <c r="L1677" s="117"/>
      <c r="M1677" s="12"/>
      <c r="N1677" s="117"/>
      <c r="O1677" s="117"/>
      <c r="P1677" s="117"/>
      <c r="Q1677" s="118"/>
      <c r="R1677" s="118"/>
      <c r="S1677" s="118"/>
      <c r="T1677" s="12"/>
      <c r="U1677" s="118"/>
      <c r="V1677" s="118"/>
      <c r="W1677" s="12"/>
      <c r="X1677" s="119"/>
      <c r="Y1677" s="120"/>
      <c r="Z1677" s="12"/>
      <c r="BK1677" s="77"/>
      <c r="BO1677" s="77"/>
      <c r="BQ1677" s="77"/>
      <c r="BT1677" s="5"/>
      <c r="BU1677" s="5"/>
      <c r="BV1677" s="5"/>
      <c r="BW1677" s="71"/>
      <c r="BX1677" s="78"/>
      <c r="BY1677" s="64"/>
      <c r="BZ1677" s="3"/>
    </row>
    <row r="1678" spans="1:78">
      <c r="A1678" s="76"/>
      <c r="B1678" s="76"/>
      <c r="C1678" s="125"/>
      <c r="D1678" s="125"/>
      <c r="E1678" s="71"/>
      <c r="F1678" s="71"/>
      <c r="G1678" s="71"/>
      <c r="H1678" s="126"/>
      <c r="I1678" s="125"/>
      <c r="J1678" s="123"/>
      <c r="K1678" s="12"/>
      <c r="L1678" s="117"/>
      <c r="M1678" s="12"/>
      <c r="N1678" s="117"/>
      <c r="O1678" s="117"/>
      <c r="P1678" s="117"/>
      <c r="Q1678" s="118"/>
      <c r="R1678" s="118"/>
      <c r="S1678" s="118"/>
      <c r="T1678" s="12"/>
      <c r="U1678" s="118"/>
      <c r="V1678" s="118"/>
      <c r="W1678" s="12"/>
      <c r="X1678" s="119"/>
      <c r="Y1678" s="120"/>
      <c r="Z1678" s="12"/>
      <c r="BK1678" s="77"/>
      <c r="BO1678" s="77"/>
      <c r="BQ1678" s="77"/>
      <c r="BT1678" s="5"/>
      <c r="BU1678" s="5"/>
      <c r="BV1678" s="5"/>
      <c r="BW1678" s="71"/>
      <c r="BX1678" s="78"/>
      <c r="BY1678" s="64"/>
      <c r="BZ1678" s="3"/>
    </row>
    <row r="1679" spans="1:78">
      <c r="A1679" s="76"/>
      <c r="B1679" s="76"/>
      <c r="C1679" s="125"/>
      <c r="D1679" s="125"/>
      <c r="E1679" s="71"/>
      <c r="F1679" s="71"/>
      <c r="G1679" s="71"/>
      <c r="H1679" s="126"/>
      <c r="I1679" s="125"/>
      <c r="J1679" s="123"/>
      <c r="K1679" s="12"/>
      <c r="L1679" s="117"/>
      <c r="M1679" s="12"/>
      <c r="N1679" s="117"/>
      <c r="O1679" s="117"/>
      <c r="P1679" s="117"/>
      <c r="Q1679" s="118"/>
      <c r="R1679" s="118"/>
      <c r="S1679" s="118"/>
      <c r="T1679" s="12"/>
      <c r="U1679" s="118"/>
      <c r="V1679" s="118"/>
      <c r="W1679" s="12"/>
      <c r="X1679" s="119"/>
      <c r="Y1679" s="120"/>
      <c r="Z1679" s="12"/>
      <c r="BK1679" s="77"/>
      <c r="BO1679" s="77"/>
      <c r="BQ1679" s="77"/>
      <c r="BT1679" s="5"/>
      <c r="BU1679" s="5"/>
      <c r="BV1679" s="5"/>
      <c r="BW1679" s="71"/>
      <c r="BX1679" s="78"/>
      <c r="BY1679" s="64"/>
      <c r="BZ1679" s="3"/>
    </row>
    <row r="1680" spans="1:78">
      <c r="A1680" s="76"/>
      <c r="B1680" s="76"/>
      <c r="C1680" s="125"/>
      <c r="D1680" s="125"/>
      <c r="E1680" s="71"/>
      <c r="F1680" s="71"/>
      <c r="G1680" s="71"/>
      <c r="H1680" s="126"/>
      <c r="I1680" s="125"/>
      <c r="J1680" s="123"/>
      <c r="K1680" s="12"/>
      <c r="L1680" s="117"/>
      <c r="M1680" s="12"/>
      <c r="N1680" s="117"/>
      <c r="O1680" s="117"/>
      <c r="P1680" s="117"/>
      <c r="Q1680" s="118"/>
      <c r="R1680" s="118"/>
      <c r="S1680" s="118"/>
      <c r="T1680" s="12"/>
      <c r="U1680" s="118"/>
      <c r="V1680" s="118"/>
      <c r="W1680" s="12"/>
      <c r="X1680" s="119"/>
      <c r="Y1680" s="120"/>
      <c r="Z1680" s="12"/>
      <c r="BK1680" s="77"/>
      <c r="BO1680" s="77"/>
      <c r="BQ1680" s="77"/>
      <c r="BT1680" s="5"/>
      <c r="BU1680" s="5"/>
      <c r="BV1680" s="5"/>
      <c r="BW1680" s="71"/>
      <c r="BX1680" s="78"/>
      <c r="BY1680" s="64"/>
      <c r="BZ1680" s="3"/>
    </row>
    <row r="1681" spans="1:78">
      <c r="A1681" s="76"/>
      <c r="B1681" s="76"/>
      <c r="C1681" s="125"/>
      <c r="D1681" s="125"/>
      <c r="E1681" s="71"/>
      <c r="F1681" s="71"/>
      <c r="G1681" s="71"/>
      <c r="H1681" s="126"/>
      <c r="I1681" s="125"/>
      <c r="J1681" s="123"/>
      <c r="K1681" s="12"/>
      <c r="L1681" s="117"/>
      <c r="M1681" s="12"/>
      <c r="N1681" s="117"/>
      <c r="O1681" s="117"/>
      <c r="P1681" s="117"/>
      <c r="Q1681" s="118"/>
      <c r="R1681" s="118"/>
      <c r="S1681" s="118"/>
      <c r="T1681" s="12"/>
      <c r="U1681" s="118"/>
      <c r="V1681" s="118"/>
      <c r="W1681" s="12"/>
      <c r="X1681" s="119"/>
      <c r="Y1681" s="120"/>
      <c r="Z1681" s="12"/>
      <c r="BK1681" s="77"/>
      <c r="BO1681" s="77"/>
      <c r="BQ1681" s="77"/>
      <c r="BT1681" s="5"/>
      <c r="BU1681" s="5"/>
      <c r="BV1681" s="5"/>
      <c r="BW1681" s="71"/>
      <c r="BX1681" s="78"/>
      <c r="BY1681" s="64"/>
      <c r="BZ1681" s="3"/>
    </row>
    <row r="1682" spans="1:78">
      <c r="A1682" s="76"/>
      <c r="B1682" s="76"/>
      <c r="C1682" s="125"/>
      <c r="D1682" s="125"/>
      <c r="E1682" s="71"/>
      <c r="F1682" s="71"/>
      <c r="G1682" s="71"/>
      <c r="H1682" s="126"/>
      <c r="I1682" s="125"/>
      <c r="J1682" s="123"/>
      <c r="K1682" s="12"/>
      <c r="L1682" s="117"/>
      <c r="M1682" s="12"/>
      <c r="N1682" s="117"/>
      <c r="O1682" s="117"/>
      <c r="P1682" s="117"/>
      <c r="Q1682" s="118"/>
      <c r="R1682" s="118"/>
      <c r="S1682" s="118"/>
      <c r="T1682" s="12"/>
      <c r="U1682" s="118"/>
      <c r="V1682" s="118"/>
      <c r="W1682" s="12"/>
      <c r="X1682" s="119"/>
      <c r="Y1682" s="120"/>
      <c r="Z1682" s="12"/>
      <c r="BK1682" s="77"/>
      <c r="BO1682" s="77"/>
      <c r="BQ1682" s="77"/>
      <c r="BT1682" s="5"/>
      <c r="BU1682" s="5"/>
      <c r="BV1682" s="5"/>
      <c r="BW1682" s="71"/>
      <c r="BX1682" s="78"/>
      <c r="BY1682" s="64"/>
      <c r="BZ1682" s="3"/>
    </row>
    <row r="1683" spans="1:78">
      <c r="A1683" s="76"/>
      <c r="B1683" s="76"/>
      <c r="C1683" s="125"/>
      <c r="D1683" s="125"/>
      <c r="E1683" s="71"/>
      <c r="F1683" s="71"/>
      <c r="G1683" s="71"/>
      <c r="H1683" s="126"/>
      <c r="I1683" s="125"/>
      <c r="J1683" s="123"/>
      <c r="K1683" s="12"/>
      <c r="L1683" s="117"/>
      <c r="M1683" s="12"/>
      <c r="N1683" s="117"/>
      <c r="O1683" s="117"/>
      <c r="P1683" s="117"/>
      <c r="Q1683" s="118"/>
      <c r="R1683" s="118"/>
      <c r="S1683" s="118"/>
      <c r="T1683" s="12"/>
      <c r="U1683" s="118"/>
      <c r="V1683" s="118"/>
      <c r="W1683" s="12"/>
      <c r="X1683" s="119"/>
      <c r="Y1683" s="120"/>
      <c r="Z1683" s="12"/>
      <c r="BK1683" s="77"/>
      <c r="BO1683" s="77"/>
      <c r="BQ1683" s="77"/>
      <c r="BT1683" s="5"/>
      <c r="BU1683" s="5"/>
      <c r="BV1683" s="5"/>
      <c r="BW1683" s="71"/>
      <c r="BX1683" s="78"/>
      <c r="BY1683" s="64"/>
      <c r="BZ1683" s="3"/>
    </row>
    <row r="1684" spans="1:78">
      <c r="A1684" s="76"/>
      <c r="B1684" s="76"/>
      <c r="C1684" s="125"/>
      <c r="D1684" s="125"/>
      <c r="E1684" s="71"/>
      <c r="F1684" s="71"/>
      <c r="G1684" s="71"/>
      <c r="H1684" s="126"/>
      <c r="I1684" s="125"/>
      <c r="J1684" s="123"/>
      <c r="K1684" s="12"/>
      <c r="L1684" s="117"/>
      <c r="M1684" s="12"/>
      <c r="N1684" s="117"/>
      <c r="O1684" s="117"/>
      <c r="P1684" s="117"/>
      <c r="Q1684" s="118"/>
      <c r="R1684" s="118"/>
      <c r="S1684" s="118"/>
      <c r="T1684" s="12"/>
      <c r="U1684" s="118"/>
      <c r="V1684" s="118"/>
      <c r="W1684" s="12"/>
      <c r="X1684" s="119"/>
      <c r="Y1684" s="120"/>
      <c r="Z1684" s="12"/>
      <c r="BK1684" s="77"/>
      <c r="BO1684" s="77"/>
      <c r="BQ1684" s="77"/>
      <c r="BT1684" s="5"/>
      <c r="BU1684" s="5"/>
      <c r="BV1684" s="5"/>
      <c r="BW1684" s="71"/>
      <c r="BX1684" s="78"/>
      <c r="BY1684" s="64"/>
      <c r="BZ1684" s="3"/>
    </row>
    <row r="1685" spans="1:78">
      <c r="A1685" s="76"/>
      <c r="B1685" s="76"/>
      <c r="C1685" s="125"/>
      <c r="D1685" s="125"/>
      <c r="E1685" s="71"/>
      <c r="F1685" s="71"/>
      <c r="G1685" s="71"/>
      <c r="H1685" s="126"/>
      <c r="I1685" s="125"/>
      <c r="J1685" s="123"/>
      <c r="K1685" s="12"/>
      <c r="L1685" s="117"/>
      <c r="M1685" s="12"/>
      <c r="N1685" s="117"/>
      <c r="O1685" s="117"/>
      <c r="P1685" s="117"/>
      <c r="Q1685" s="118"/>
      <c r="R1685" s="118"/>
      <c r="S1685" s="118"/>
      <c r="T1685" s="12"/>
      <c r="U1685" s="118"/>
      <c r="V1685" s="118"/>
      <c r="W1685" s="12"/>
      <c r="X1685" s="119"/>
      <c r="Y1685" s="120"/>
      <c r="Z1685" s="12"/>
      <c r="BK1685" s="77"/>
      <c r="BO1685" s="77"/>
      <c r="BQ1685" s="77"/>
      <c r="BT1685" s="5"/>
      <c r="BU1685" s="5"/>
      <c r="BV1685" s="5"/>
      <c r="BW1685" s="71"/>
      <c r="BX1685" s="78"/>
      <c r="BY1685" s="64"/>
      <c r="BZ1685" s="3"/>
    </row>
    <row r="1686" spans="1:78">
      <c r="A1686" s="76"/>
      <c r="B1686" s="76"/>
      <c r="C1686" s="125"/>
      <c r="D1686" s="125"/>
      <c r="E1686" s="71"/>
      <c r="F1686" s="71"/>
      <c r="G1686" s="71"/>
      <c r="H1686" s="126"/>
      <c r="I1686" s="125"/>
      <c r="J1686" s="123"/>
      <c r="K1686" s="12"/>
      <c r="L1686" s="117"/>
      <c r="M1686" s="12"/>
      <c r="N1686" s="117"/>
      <c r="O1686" s="117"/>
      <c r="P1686" s="117"/>
      <c r="Q1686" s="118"/>
      <c r="R1686" s="118"/>
      <c r="S1686" s="118"/>
      <c r="T1686" s="12"/>
      <c r="U1686" s="118"/>
      <c r="V1686" s="118"/>
      <c r="W1686" s="12"/>
      <c r="X1686" s="119"/>
      <c r="Y1686" s="120"/>
      <c r="Z1686" s="12"/>
      <c r="BK1686" s="77"/>
      <c r="BO1686" s="77"/>
      <c r="BQ1686" s="77"/>
      <c r="BT1686" s="5"/>
      <c r="BU1686" s="5"/>
      <c r="BV1686" s="5"/>
      <c r="BW1686" s="71"/>
      <c r="BX1686" s="78"/>
      <c r="BY1686" s="64"/>
      <c r="BZ1686" s="3"/>
    </row>
    <row r="1687" spans="1:78">
      <c r="A1687" s="76"/>
      <c r="B1687" s="76"/>
      <c r="C1687" s="125"/>
      <c r="D1687" s="125"/>
      <c r="E1687" s="71"/>
      <c r="F1687" s="71"/>
      <c r="G1687" s="71"/>
      <c r="H1687" s="126"/>
      <c r="I1687" s="125"/>
      <c r="J1687" s="123"/>
      <c r="K1687" s="12"/>
      <c r="L1687" s="117"/>
      <c r="M1687" s="12"/>
      <c r="N1687" s="117"/>
      <c r="O1687" s="117"/>
      <c r="P1687" s="117"/>
      <c r="Q1687" s="118"/>
      <c r="R1687" s="118"/>
      <c r="S1687" s="118"/>
      <c r="T1687" s="12"/>
      <c r="U1687" s="118"/>
      <c r="V1687" s="118"/>
      <c r="W1687" s="12"/>
      <c r="X1687" s="119"/>
      <c r="Y1687" s="120"/>
      <c r="Z1687" s="12"/>
      <c r="BK1687" s="77"/>
      <c r="BO1687" s="77"/>
      <c r="BQ1687" s="77"/>
      <c r="BT1687" s="5"/>
      <c r="BU1687" s="5"/>
      <c r="BV1687" s="5"/>
      <c r="BW1687" s="71"/>
      <c r="BX1687" s="78"/>
      <c r="BY1687" s="64"/>
      <c r="BZ1687" s="3"/>
    </row>
    <row r="1688" spans="1:78">
      <c r="A1688" s="76"/>
      <c r="B1688" s="76"/>
      <c r="C1688" s="125"/>
      <c r="D1688" s="125"/>
      <c r="E1688" s="71"/>
      <c r="F1688" s="71"/>
      <c r="G1688" s="71"/>
      <c r="H1688" s="126"/>
      <c r="I1688" s="125"/>
      <c r="J1688" s="123"/>
      <c r="K1688" s="12"/>
      <c r="L1688" s="117"/>
      <c r="M1688" s="12"/>
      <c r="N1688" s="117"/>
      <c r="O1688" s="117"/>
      <c r="P1688" s="117"/>
      <c r="Q1688" s="118"/>
      <c r="R1688" s="118"/>
      <c r="S1688" s="118"/>
      <c r="T1688" s="12"/>
      <c r="U1688" s="118"/>
      <c r="V1688" s="118"/>
      <c r="W1688" s="12"/>
      <c r="X1688" s="119"/>
      <c r="Y1688" s="120"/>
      <c r="Z1688" s="12"/>
      <c r="BK1688" s="77"/>
      <c r="BO1688" s="77"/>
      <c r="BQ1688" s="77"/>
      <c r="BT1688" s="5"/>
      <c r="BU1688" s="5"/>
      <c r="BV1688" s="5"/>
      <c r="BW1688" s="71"/>
      <c r="BX1688" s="78"/>
      <c r="BY1688" s="64"/>
      <c r="BZ1688" s="3"/>
    </row>
    <row r="1689" spans="1:78">
      <c r="A1689" s="76"/>
      <c r="B1689" s="76"/>
      <c r="C1689" s="125"/>
      <c r="D1689" s="125"/>
      <c r="E1689" s="71"/>
      <c r="F1689" s="71"/>
      <c r="G1689" s="71"/>
      <c r="H1689" s="126"/>
      <c r="I1689" s="125"/>
      <c r="J1689" s="123"/>
      <c r="K1689" s="12"/>
      <c r="L1689" s="117"/>
      <c r="M1689" s="12"/>
      <c r="N1689" s="117"/>
      <c r="O1689" s="117"/>
      <c r="P1689" s="117"/>
      <c r="Q1689" s="118"/>
      <c r="R1689" s="118"/>
      <c r="S1689" s="118"/>
      <c r="T1689" s="12"/>
      <c r="U1689" s="118"/>
      <c r="V1689" s="118"/>
      <c r="W1689" s="12"/>
      <c r="X1689" s="119"/>
      <c r="Y1689" s="120"/>
      <c r="Z1689" s="12"/>
      <c r="BK1689" s="77"/>
      <c r="BO1689" s="77"/>
      <c r="BQ1689" s="77"/>
      <c r="BT1689" s="5"/>
      <c r="BU1689" s="5"/>
      <c r="BV1689" s="5"/>
      <c r="BW1689" s="71"/>
      <c r="BX1689" s="78"/>
      <c r="BY1689" s="64"/>
      <c r="BZ1689" s="3"/>
    </row>
    <row r="1690" spans="1:78">
      <c r="A1690" s="76"/>
      <c r="B1690" s="76"/>
      <c r="C1690" s="125"/>
      <c r="D1690" s="125"/>
      <c r="E1690" s="71"/>
      <c r="F1690" s="71"/>
      <c r="G1690" s="71"/>
      <c r="H1690" s="126"/>
      <c r="I1690" s="125"/>
      <c r="J1690" s="123"/>
      <c r="K1690" s="12"/>
      <c r="L1690" s="117"/>
      <c r="M1690" s="12"/>
      <c r="N1690" s="117"/>
      <c r="O1690" s="117"/>
      <c r="P1690" s="117"/>
      <c r="Q1690" s="118"/>
      <c r="R1690" s="118"/>
      <c r="S1690" s="118"/>
      <c r="T1690" s="12"/>
      <c r="U1690" s="118"/>
      <c r="V1690" s="118"/>
      <c r="W1690" s="12"/>
      <c r="X1690" s="119"/>
      <c r="Y1690" s="120"/>
      <c r="Z1690" s="12"/>
      <c r="BK1690" s="77"/>
      <c r="BO1690" s="77"/>
      <c r="BQ1690" s="77"/>
      <c r="BT1690" s="5"/>
      <c r="BU1690" s="5"/>
      <c r="BV1690" s="5"/>
      <c r="BW1690" s="71"/>
      <c r="BX1690" s="78"/>
      <c r="BY1690" s="64"/>
      <c r="BZ1690" s="3"/>
    </row>
    <row r="1691" spans="1:78">
      <c r="A1691" s="76"/>
      <c r="B1691" s="76"/>
      <c r="C1691" s="125"/>
      <c r="D1691" s="125"/>
      <c r="E1691" s="71"/>
      <c r="F1691" s="71"/>
      <c r="G1691" s="71"/>
      <c r="H1691" s="126"/>
      <c r="I1691" s="125"/>
      <c r="J1691" s="123"/>
      <c r="K1691" s="12"/>
      <c r="L1691" s="117"/>
      <c r="M1691" s="12"/>
      <c r="N1691" s="117"/>
      <c r="O1691" s="117"/>
      <c r="P1691" s="117"/>
      <c r="Q1691" s="118"/>
      <c r="R1691" s="118"/>
      <c r="S1691" s="118"/>
      <c r="T1691" s="12"/>
      <c r="U1691" s="118"/>
      <c r="V1691" s="118"/>
      <c r="W1691" s="12"/>
      <c r="X1691" s="119"/>
      <c r="Y1691" s="120"/>
      <c r="Z1691" s="12"/>
      <c r="BK1691" s="77"/>
      <c r="BO1691" s="77"/>
      <c r="BQ1691" s="77"/>
      <c r="BT1691" s="5"/>
      <c r="BU1691" s="5"/>
      <c r="BV1691" s="5"/>
      <c r="BW1691" s="71"/>
      <c r="BX1691" s="78"/>
      <c r="BY1691" s="64"/>
      <c r="BZ1691" s="3"/>
    </row>
    <row r="1692" spans="1:78">
      <c r="A1692" s="76"/>
      <c r="B1692" s="76"/>
      <c r="C1692" s="125"/>
      <c r="D1692" s="125"/>
      <c r="E1692" s="71"/>
      <c r="F1692" s="71"/>
      <c r="G1692" s="71"/>
      <c r="H1692" s="126"/>
      <c r="I1692" s="125"/>
      <c r="J1692" s="123"/>
      <c r="K1692" s="12"/>
      <c r="L1692" s="117"/>
      <c r="M1692" s="12"/>
      <c r="N1692" s="117"/>
      <c r="O1692" s="117"/>
      <c r="P1692" s="117"/>
      <c r="Q1692" s="118"/>
      <c r="R1692" s="118"/>
      <c r="S1692" s="118"/>
      <c r="T1692" s="12"/>
      <c r="U1692" s="118"/>
      <c r="V1692" s="118"/>
      <c r="W1692" s="12"/>
      <c r="X1692" s="119"/>
      <c r="Y1692" s="120"/>
      <c r="Z1692" s="12"/>
      <c r="BK1692" s="77"/>
      <c r="BO1692" s="77"/>
      <c r="BQ1692" s="77"/>
      <c r="BT1692" s="5"/>
      <c r="BU1692" s="5"/>
      <c r="BV1692" s="5"/>
      <c r="BW1692" s="71"/>
      <c r="BX1692" s="78"/>
      <c r="BY1692" s="64"/>
      <c r="BZ1692" s="3"/>
    </row>
    <row r="1693" spans="1:78">
      <c r="A1693" s="76"/>
      <c r="B1693" s="76"/>
      <c r="C1693" s="125"/>
      <c r="D1693" s="125"/>
      <c r="E1693" s="71"/>
      <c r="F1693" s="71"/>
      <c r="G1693" s="71"/>
      <c r="H1693" s="126"/>
      <c r="I1693" s="125"/>
      <c r="J1693" s="123"/>
      <c r="K1693" s="12"/>
      <c r="L1693" s="117"/>
      <c r="M1693" s="12"/>
      <c r="N1693" s="117"/>
      <c r="O1693" s="117"/>
      <c r="P1693" s="117"/>
      <c r="Q1693" s="118"/>
      <c r="R1693" s="118"/>
      <c r="S1693" s="118"/>
      <c r="T1693" s="12"/>
      <c r="U1693" s="118"/>
      <c r="V1693" s="118"/>
      <c r="W1693" s="12"/>
      <c r="X1693" s="119"/>
      <c r="Y1693" s="120"/>
      <c r="Z1693" s="12"/>
      <c r="BK1693" s="77"/>
      <c r="BO1693" s="77"/>
      <c r="BQ1693" s="77"/>
      <c r="BT1693" s="5"/>
      <c r="BU1693" s="5"/>
      <c r="BV1693" s="5"/>
      <c r="BW1693" s="71"/>
      <c r="BX1693" s="78"/>
      <c r="BY1693" s="64"/>
      <c r="BZ1693" s="3"/>
    </row>
    <row r="1694" spans="1:78">
      <c r="A1694" s="76"/>
      <c r="B1694" s="76"/>
      <c r="C1694" s="125"/>
      <c r="D1694" s="125"/>
      <c r="E1694" s="71"/>
      <c r="F1694" s="71"/>
      <c r="G1694" s="71"/>
      <c r="H1694" s="126"/>
      <c r="I1694" s="125"/>
      <c r="J1694" s="123"/>
      <c r="K1694" s="12"/>
      <c r="L1694" s="117"/>
      <c r="M1694" s="12"/>
      <c r="N1694" s="117"/>
      <c r="O1694" s="117"/>
      <c r="P1694" s="117"/>
      <c r="Q1694" s="118"/>
      <c r="R1694" s="118"/>
      <c r="S1694" s="118"/>
      <c r="T1694" s="12"/>
      <c r="U1694" s="118"/>
      <c r="V1694" s="118"/>
      <c r="W1694" s="12"/>
      <c r="X1694" s="119"/>
      <c r="Y1694" s="120"/>
      <c r="Z1694" s="12"/>
      <c r="BK1694" s="77"/>
      <c r="BO1694" s="77"/>
      <c r="BQ1694" s="77"/>
      <c r="BT1694" s="5"/>
      <c r="BU1694" s="5"/>
      <c r="BV1694" s="5"/>
      <c r="BW1694" s="71"/>
      <c r="BX1694" s="78"/>
      <c r="BY1694" s="64"/>
      <c r="BZ1694" s="3"/>
    </row>
    <row r="1695" spans="1:78">
      <c r="A1695" s="76"/>
      <c r="B1695" s="76"/>
      <c r="C1695" s="125"/>
      <c r="D1695" s="125"/>
      <c r="E1695" s="71"/>
      <c r="F1695" s="71"/>
      <c r="G1695" s="71"/>
      <c r="H1695" s="126"/>
      <c r="I1695" s="125"/>
      <c r="J1695" s="123"/>
      <c r="K1695" s="12"/>
      <c r="L1695" s="117"/>
      <c r="M1695" s="12"/>
      <c r="N1695" s="117"/>
      <c r="O1695" s="117"/>
      <c r="P1695" s="117"/>
      <c r="Q1695" s="118"/>
      <c r="R1695" s="118"/>
      <c r="S1695" s="118"/>
      <c r="T1695" s="12"/>
      <c r="U1695" s="118"/>
      <c r="V1695" s="118"/>
      <c r="W1695" s="12"/>
      <c r="X1695" s="119"/>
      <c r="Y1695" s="120"/>
      <c r="Z1695" s="12"/>
      <c r="BK1695" s="77"/>
      <c r="BO1695" s="77"/>
      <c r="BQ1695" s="77"/>
      <c r="BT1695" s="5"/>
      <c r="BU1695" s="5"/>
      <c r="BV1695" s="5"/>
      <c r="BW1695" s="71"/>
      <c r="BX1695" s="78"/>
      <c r="BY1695" s="64"/>
      <c r="BZ1695" s="3"/>
    </row>
    <row r="1696" spans="1:78">
      <c r="A1696" s="76"/>
      <c r="B1696" s="76"/>
      <c r="C1696" s="125"/>
      <c r="D1696" s="125"/>
      <c r="E1696" s="71"/>
      <c r="F1696" s="71"/>
      <c r="G1696" s="71"/>
      <c r="H1696" s="126"/>
      <c r="I1696" s="125"/>
      <c r="J1696" s="123"/>
      <c r="K1696" s="12"/>
      <c r="L1696" s="117"/>
      <c r="M1696" s="12"/>
      <c r="N1696" s="117"/>
      <c r="O1696" s="117"/>
      <c r="P1696" s="117"/>
      <c r="Q1696" s="118"/>
      <c r="R1696" s="118"/>
      <c r="S1696" s="118"/>
      <c r="T1696" s="12"/>
      <c r="U1696" s="118"/>
      <c r="V1696" s="118"/>
      <c r="W1696" s="12"/>
      <c r="X1696" s="119"/>
      <c r="Y1696" s="120"/>
      <c r="Z1696" s="12"/>
      <c r="BK1696" s="77"/>
      <c r="BO1696" s="77"/>
      <c r="BQ1696" s="77"/>
      <c r="BT1696" s="5"/>
      <c r="BU1696" s="5"/>
      <c r="BV1696" s="5"/>
      <c r="BW1696" s="71"/>
      <c r="BX1696" s="78"/>
      <c r="BY1696" s="64"/>
      <c r="BZ1696" s="3"/>
    </row>
    <row r="1697" spans="1:78">
      <c r="A1697" s="76"/>
      <c r="B1697" s="76"/>
      <c r="C1697" s="125"/>
      <c r="D1697" s="125"/>
      <c r="E1697" s="71"/>
      <c r="F1697" s="71"/>
      <c r="G1697" s="71"/>
      <c r="H1697" s="126"/>
      <c r="I1697" s="125"/>
      <c r="J1697" s="123"/>
      <c r="K1697" s="12"/>
      <c r="L1697" s="117"/>
      <c r="M1697" s="12"/>
      <c r="N1697" s="117"/>
      <c r="O1697" s="117"/>
      <c r="P1697" s="117"/>
      <c r="Q1697" s="118"/>
      <c r="R1697" s="118"/>
      <c r="S1697" s="118"/>
      <c r="T1697" s="12"/>
      <c r="U1697" s="118"/>
      <c r="V1697" s="118"/>
      <c r="W1697" s="12"/>
      <c r="X1697" s="119"/>
      <c r="Y1697" s="120"/>
      <c r="Z1697" s="12"/>
      <c r="BK1697" s="77"/>
      <c r="BO1697" s="77"/>
      <c r="BQ1697" s="77"/>
      <c r="BT1697" s="5"/>
      <c r="BU1697" s="5"/>
      <c r="BV1697" s="5"/>
      <c r="BW1697" s="71"/>
      <c r="BX1697" s="78"/>
      <c r="BY1697" s="64"/>
      <c r="BZ1697" s="3"/>
    </row>
    <row r="1698" spans="1:78">
      <c r="A1698" s="76"/>
      <c r="B1698" s="76"/>
      <c r="C1698" s="125"/>
      <c r="D1698" s="125"/>
      <c r="E1698" s="71"/>
      <c r="F1698" s="71"/>
      <c r="G1698" s="71"/>
      <c r="H1698" s="126"/>
      <c r="I1698" s="125"/>
      <c r="J1698" s="123"/>
      <c r="K1698" s="12"/>
      <c r="L1698" s="117"/>
      <c r="M1698" s="12"/>
      <c r="N1698" s="117"/>
      <c r="O1698" s="117"/>
      <c r="P1698" s="117"/>
      <c r="Q1698" s="118"/>
      <c r="R1698" s="118"/>
      <c r="S1698" s="118"/>
      <c r="T1698" s="12"/>
      <c r="U1698" s="118"/>
      <c r="V1698" s="118"/>
      <c r="W1698" s="12"/>
      <c r="X1698" s="119"/>
      <c r="Y1698" s="120"/>
      <c r="Z1698" s="12"/>
      <c r="BK1698" s="77"/>
      <c r="BO1698" s="77"/>
      <c r="BQ1698" s="77"/>
      <c r="BT1698" s="5"/>
      <c r="BU1698" s="5"/>
      <c r="BV1698" s="5"/>
      <c r="BW1698" s="71"/>
      <c r="BX1698" s="78"/>
      <c r="BY1698" s="64"/>
      <c r="BZ1698" s="3"/>
    </row>
    <row r="1699" spans="1:78">
      <c r="A1699" s="76"/>
      <c r="B1699" s="76"/>
      <c r="C1699" s="125"/>
      <c r="D1699" s="125"/>
      <c r="E1699" s="71"/>
      <c r="F1699" s="71"/>
      <c r="G1699" s="71"/>
      <c r="H1699" s="126"/>
      <c r="I1699" s="125"/>
      <c r="J1699" s="123"/>
      <c r="K1699" s="12"/>
      <c r="L1699" s="117"/>
      <c r="M1699" s="12"/>
      <c r="N1699" s="117"/>
      <c r="O1699" s="117"/>
      <c r="P1699" s="117"/>
      <c r="Q1699" s="118"/>
      <c r="R1699" s="118"/>
      <c r="S1699" s="118"/>
      <c r="T1699" s="12"/>
      <c r="U1699" s="118"/>
      <c r="V1699" s="118"/>
      <c r="W1699" s="12"/>
      <c r="X1699" s="119"/>
      <c r="Y1699" s="120"/>
      <c r="Z1699" s="12"/>
      <c r="BK1699" s="77"/>
      <c r="BO1699" s="77"/>
      <c r="BQ1699" s="77"/>
      <c r="BT1699" s="5"/>
      <c r="BU1699" s="5"/>
      <c r="BV1699" s="5"/>
      <c r="BW1699" s="71"/>
      <c r="BX1699" s="78"/>
      <c r="BY1699" s="64"/>
      <c r="BZ1699" s="3"/>
    </row>
    <row r="1700" spans="1:78">
      <c r="A1700" s="76"/>
      <c r="B1700" s="76"/>
      <c r="C1700" s="125"/>
      <c r="D1700" s="125"/>
      <c r="E1700" s="71"/>
      <c r="F1700" s="71"/>
      <c r="G1700" s="71"/>
      <c r="H1700" s="126"/>
      <c r="I1700" s="125"/>
      <c r="J1700" s="123"/>
      <c r="K1700" s="12"/>
      <c r="L1700" s="117"/>
      <c r="M1700" s="12"/>
      <c r="N1700" s="117"/>
      <c r="O1700" s="117"/>
      <c r="P1700" s="117"/>
      <c r="Q1700" s="118"/>
      <c r="R1700" s="118"/>
      <c r="S1700" s="118"/>
      <c r="T1700" s="12"/>
      <c r="U1700" s="118"/>
      <c r="V1700" s="118"/>
      <c r="W1700" s="12"/>
      <c r="X1700" s="119"/>
      <c r="Y1700" s="120"/>
      <c r="Z1700" s="12"/>
      <c r="BK1700" s="77"/>
      <c r="BO1700" s="77"/>
      <c r="BQ1700" s="77"/>
      <c r="BT1700" s="5"/>
      <c r="BU1700" s="5"/>
      <c r="BV1700" s="5"/>
      <c r="BW1700" s="71"/>
      <c r="BX1700" s="78"/>
      <c r="BY1700" s="64"/>
      <c r="BZ1700" s="3"/>
    </row>
    <row r="1701" spans="1:78">
      <c r="A1701" s="76"/>
      <c r="B1701" s="76"/>
      <c r="C1701" s="125"/>
      <c r="D1701" s="125"/>
      <c r="E1701" s="71"/>
      <c r="F1701" s="71"/>
      <c r="G1701" s="71"/>
      <c r="H1701" s="126"/>
      <c r="I1701" s="125"/>
      <c r="J1701" s="123"/>
      <c r="K1701" s="12"/>
      <c r="L1701" s="117"/>
      <c r="M1701" s="12"/>
      <c r="N1701" s="117"/>
      <c r="O1701" s="117"/>
      <c r="P1701" s="117"/>
      <c r="Q1701" s="118"/>
      <c r="R1701" s="118"/>
      <c r="S1701" s="118"/>
      <c r="T1701" s="12"/>
      <c r="U1701" s="118"/>
      <c r="V1701" s="118"/>
      <c r="W1701" s="12"/>
      <c r="X1701" s="119"/>
      <c r="Y1701" s="120"/>
      <c r="Z1701" s="12"/>
      <c r="BK1701" s="77"/>
      <c r="BO1701" s="77"/>
      <c r="BQ1701" s="77"/>
      <c r="BT1701" s="5"/>
      <c r="BU1701" s="5"/>
      <c r="BV1701" s="5"/>
      <c r="BW1701" s="71"/>
      <c r="BX1701" s="78"/>
      <c r="BY1701" s="64"/>
      <c r="BZ1701" s="3"/>
    </row>
    <row r="1702" spans="1:78">
      <c r="A1702" s="76"/>
      <c r="B1702" s="76"/>
      <c r="C1702" s="125"/>
      <c r="D1702" s="125"/>
      <c r="E1702" s="71"/>
      <c r="F1702" s="71"/>
      <c r="G1702" s="71"/>
      <c r="H1702" s="126"/>
      <c r="I1702" s="125"/>
      <c r="J1702" s="123"/>
      <c r="K1702" s="12"/>
      <c r="L1702" s="117"/>
      <c r="M1702" s="12"/>
      <c r="N1702" s="117"/>
      <c r="O1702" s="117"/>
      <c r="P1702" s="117"/>
      <c r="Q1702" s="118"/>
      <c r="R1702" s="118"/>
      <c r="S1702" s="118"/>
      <c r="T1702" s="12"/>
      <c r="U1702" s="118"/>
      <c r="V1702" s="118"/>
      <c r="W1702" s="12"/>
      <c r="X1702" s="119"/>
      <c r="Y1702" s="120"/>
      <c r="Z1702" s="12"/>
      <c r="BK1702" s="77"/>
      <c r="BO1702" s="77"/>
      <c r="BQ1702" s="77"/>
      <c r="BT1702" s="5"/>
      <c r="BU1702" s="5"/>
      <c r="BV1702" s="5"/>
      <c r="BW1702" s="71"/>
      <c r="BX1702" s="78"/>
      <c r="BY1702" s="64"/>
      <c r="BZ1702" s="3"/>
    </row>
    <row r="1703" spans="1:78">
      <c r="A1703" s="76"/>
      <c r="B1703" s="76"/>
      <c r="C1703" s="125"/>
      <c r="D1703" s="125"/>
      <c r="E1703" s="71"/>
      <c r="F1703" s="71"/>
      <c r="G1703" s="71"/>
      <c r="H1703" s="126"/>
      <c r="I1703" s="125"/>
      <c r="J1703" s="123"/>
      <c r="K1703" s="12"/>
      <c r="L1703" s="117"/>
      <c r="M1703" s="12"/>
      <c r="N1703" s="117"/>
      <c r="O1703" s="117"/>
      <c r="P1703" s="117"/>
      <c r="Q1703" s="118"/>
      <c r="R1703" s="118"/>
      <c r="S1703" s="118"/>
      <c r="T1703" s="12"/>
      <c r="U1703" s="118"/>
      <c r="V1703" s="118"/>
      <c r="W1703" s="12"/>
      <c r="X1703" s="119"/>
      <c r="Y1703" s="120"/>
      <c r="Z1703" s="12"/>
      <c r="BK1703" s="77"/>
      <c r="BO1703" s="77"/>
      <c r="BQ1703" s="77"/>
      <c r="BT1703" s="5"/>
      <c r="BU1703" s="5"/>
      <c r="BV1703" s="5"/>
      <c r="BW1703" s="71"/>
      <c r="BX1703" s="78"/>
      <c r="BY1703" s="64"/>
      <c r="BZ1703" s="3"/>
    </row>
    <row r="1704" spans="1:78">
      <c r="A1704" s="76"/>
      <c r="B1704" s="76"/>
      <c r="C1704" s="125"/>
      <c r="D1704" s="125"/>
      <c r="E1704" s="71"/>
      <c r="F1704" s="71"/>
      <c r="G1704" s="71"/>
      <c r="H1704" s="126"/>
      <c r="I1704" s="125"/>
      <c r="J1704" s="123"/>
      <c r="K1704" s="12"/>
      <c r="L1704" s="117"/>
      <c r="M1704" s="12"/>
      <c r="N1704" s="117"/>
      <c r="O1704" s="117"/>
      <c r="P1704" s="117"/>
      <c r="Q1704" s="118"/>
      <c r="R1704" s="118"/>
      <c r="S1704" s="118"/>
      <c r="T1704" s="12"/>
      <c r="U1704" s="118"/>
      <c r="V1704" s="118"/>
      <c r="W1704" s="12"/>
      <c r="X1704" s="119"/>
      <c r="Y1704" s="120"/>
      <c r="Z1704" s="12"/>
      <c r="BK1704" s="77"/>
      <c r="BO1704" s="77"/>
      <c r="BQ1704" s="77"/>
      <c r="BT1704" s="5"/>
      <c r="BU1704" s="5"/>
      <c r="BV1704" s="5"/>
      <c r="BW1704" s="71"/>
      <c r="BX1704" s="78"/>
      <c r="BY1704" s="64"/>
      <c r="BZ1704" s="3"/>
    </row>
    <row r="1705" spans="1:78">
      <c r="A1705" s="76"/>
      <c r="B1705" s="76"/>
      <c r="C1705" s="125"/>
      <c r="D1705" s="125"/>
      <c r="E1705" s="71"/>
      <c r="F1705" s="71"/>
      <c r="G1705" s="71"/>
      <c r="H1705" s="126"/>
      <c r="I1705" s="125"/>
      <c r="J1705" s="123"/>
      <c r="K1705" s="12"/>
      <c r="L1705" s="117"/>
      <c r="M1705" s="12"/>
      <c r="N1705" s="117"/>
      <c r="O1705" s="117"/>
      <c r="P1705" s="117"/>
      <c r="Q1705" s="118"/>
      <c r="R1705" s="118"/>
      <c r="S1705" s="118"/>
      <c r="T1705" s="12"/>
      <c r="U1705" s="118"/>
      <c r="V1705" s="118"/>
      <c r="W1705" s="12"/>
      <c r="X1705" s="119"/>
      <c r="Y1705" s="120"/>
      <c r="Z1705" s="12"/>
      <c r="BK1705" s="77"/>
      <c r="BO1705" s="77"/>
      <c r="BQ1705" s="77"/>
      <c r="BT1705" s="5"/>
      <c r="BU1705" s="5"/>
      <c r="BV1705" s="5"/>
      <c r="BW1705" s="71"/>
      <c r="BX1705" s="78"/>
      <c r="BY1705" s="64"/>
      <c r="BZ1705" s="3"/>
    </row>
    <row r="1706" spans="1:78">
      <c r="A1706" s="76"/>
      <c r="B1706" s="76"/>
      <c r="C1706" s="125"/>
      <c r="D1706" s="125"/>
      <c r="E1706" s="71"/>
      <c r="F1706" s="71"/>
      <c r="G1706" s="71"/>
      <c r="H1706" s="126"/>
      <c r="I1706" s="125"/>
      <c r="J1706" s="123"/>
      <c r="K1706" s="12"/>
      <c r="L1706" s="117"/>
      <c r="M1706" s="12"/>
      <c r="N1706" s="117"/>
      <c r="O1706" s="117"/>
      <c r="P1706" s="117"/>
      <c r="Q1706" s="118"/>
      <c r="R1706" s="118"/>
      <c r="S1706" s="118"/>
      <c r="T1706" s="12"/>
      <c r="U1706" s="118"/>
      <c r="V1706" s="118"/>
      <c r="W1706" s="12"/>
      <c r="X1706" s="119"/>
      <c r="Y1706" s="120"/>
      <c r="Z1706" s="12"/>
      <c r="BK1706" s="77"/>
      <c r="BO1706" s="77"/>
      <c r="BQ1706" s="77"/>
      <c r="BT1706" s="5"/>
      <c r="BU1706" s="5"/>
      <c r="BV1706" s="5"/>
      <c r="BW1706" s="71"/>
      <c r="BX1706" s="78"/>
      <c r="BY1706" s="64"/>
      <c r="BZ1706" s="3"/>
    </row>
    <row r="1707" spans="1:78">
      <c r="A1707" s="76"/>
      <c r="B1707" s="76"/>
      <c r="C1707" s="125"/>
      <c r="D1707" s="125"/>
      <c r="E1707" s="71"/>
      <c r="F1707" s="71"/>
      <c r="G1707" s="71"/>
      <c r="H1707" s="126"/>
      <c r="I1707" s="125"/>
      <c r="J1707" s="123"/>
      <c r="K1707" s="12"/>
      <c r="L1707" s="117"/>
      <c r="M1707" s="12"/>
      <c r="N1707" s="117"/>
      <c r="O1707" s="117"/>
      <c r="P1707" s="117"/>
      <c r="Q1707" s="118"/>
      <c r="R1707" s="118"/>
      <c r="S1707" s="118"/>
      <c r="T1707" s="12"/>
      <c r="U1707" s="118"/>
      <c r="V1707" s="118"/>
      <c r="W1707" s="12"/>
      <c r="X1707" s="119"/>
      <c r="Y1707" s="120"/>
      <c r="Z1707" s="12"/>
      <c r="BK1707" s="77"/>
      <c r="BO1707" s="77"/>
      <c r="BQ1707" s="77"/>
      <c r="BT1707" s="5"/>
      <c r="BU1707" s="5"/>
      <c r="BV1707" s="5"/>
      <c r="BW1707" s="71"/>
      <c r="BX1707" s="78"/>
      <c r="BY1707" s="64"/>
      <c r="BZ1707" s="3"/>
    </row>
    <row r="1708" spans="1:78">
      <c r="A1708" s="76"/>
      <c r="B1708" s="76"/>
      <c r="C1708" s="125"/>
      <c r="D1708" s="125"/>
      <c r="E1708" s="71"/>
      <c r="F1708" s="71"/>
      <c r="G1708" s="71"/>
      <c r="H1708" s="126"/>
      <c r="I1708" s="125"/>
      <c r="J1708" s="123"/>
      <c r="K1708" s="12"/>
      <c r="L1708" s="117"/>
      <c r="M1708" s="12"/>
      <c r="N1708" s="117"/>
      <c r="O1708" s="117"/>
      <c r="P1708" s="117"/>
      <c r="Q1708" s="118"/>
      <c r="R1708" s="118"/>
      <c r="S1708" s="118"/>
      <c r="T1708" s="12"/>
      <c r="U1708" s="118"/>
      <c r="V1708" s="118"/>
      <c r="W1708" s="12"/>
      <c r="X1708" s="119"/>
      <c r="Y1708" s="120"/>
      <c r="Z1708" s="12"/>
      <c r="BK1708" s="77"/>
      <c r="BO1708" s="77"/>
      <c r="BQ1708" s="77"/>
      <c r="BT1708" s="5"/>
      <c r="BU1708" s="5"/>
      <c r="BV1708" s="5"/>
      <c r="BW1708" s="71"/>
      <c r="BX1708" s="78"/>
      <c r="BY1708" s="64"/>
      <c r="BZ1708" s="3"/>
    </row>
    <row r="1709" spans="1:78">
      <c r="A1709" s="76"/>
      <c r="B1709" s="76"/>
      <c r="C1709" s="125"/>
      <c r="D1709" s="125"/>
      <c r="E1709" s="71"/>
      <c r="F1709" s="71"/>
      <c r="G1709" s="71"/>
      <c r="H1709" s="126"/>
      <c r="I1709" s="125"/>
      <c r="J1709" s="123"/>
      <c r="K1709" s="12"/>
      <c r="L1709" s="117"/>
      <c r="M1709" s="12"/>
      <c r="N1709" s="117"/>
      <c r="O1709" s="117"/>
      <c r="P1709" s="117"/>
      <c r="Q1709" s="118"/>
      <c r="R1709" s="118"/>
      <c r="S1709" s="118"/>
      <c r="T1709" s="12"/>
      <c r="U1709" s="118"/>
      <c r="V1709" s="118"/>
      <c r="W1709" s="12"/>
      <c r="X1709" s="119"/>
      <c r="Y1709" s="120"/>
      <c r="Z1709" s="12"/>
      <c r="BK1709" s="77"/>
      <c r="BO1709" s="77"/>
      <c r="BQ1709" s="77"/>
      <c r="BT1709" s="5"/>
      <c r="BU1709" s="5"/>
      <c r="BV1709" s="5"/>
      <c r="BW1709" s="71"/>
      <c r="BX1709" s="78"/>
      <c r="BY1709" s="64"/>
      <c r="BZ1709" s="3"/>
    </row>
    <row r="1710" spans="1:78">
      <c r="A1710" s="76"/>
      <c r="B1710" s="76"/>
      <c r="C1710" s="125"/>
      <c r="D1710" s="125"/>
      <c r="E1710" s="71"/>
      <c r="F1710" s="71"/>
      <c r="G1710" s="71"/>
      <c r="H1710" s="126"/>
      <c r="I1710" s="125"/>
      <c r="J1710" s="123"/>
      <c r="K1710" s="12"/>
      <c r="L1710" s="117"/>
      <c r="M1710" s="12"/>
      <c r="N1710" s="117"/>
      <c r="O1710" s="117"/>
      <c r="P1710" s="117"/>
      <c r="Q1710" s="118"/>
      <c r="R1710" s="118"/>
      <c r="S1710" s="118"/>
      <c r="T1710" s="12"/>
      <c r="U1710" s="118"/>
      <c r="V1710" s="118"/>
      <c r="W1710" s="12"/>
      <c r="X1710" s="119"/>
      <c r="Y1710" s="120"/>
      <c r="Z1710" s="12"/>
      <c r="BK1710" s="77"/>
      <c r="BO1710" s="77"/>
      <c r="BQ1710" s="77"/>
      <c r="BT1710" s="5"/>
      <c r="BU1710" s="5"/>
      <c r="BV1710" s="5"/>
      <c r="BW1710" s="71"/>
      <c r="BX1710" s="78"/>
      <c r="BY1710" s="64"/>
      <c r="BZ1710" s="3"/>
    </row>
    <row r="1711" spans="1:78">
      <c r="A1711" s="76"/>
      <c r="B1711" s="76"/>
      <c r="C1711" s="125"/>
      <c r="D1711" s="125"/>
      <c r="E1711" s="71"/>
      <c r="F1711" s="71"/>
      <c r="G1711" s="71"/>
      <c r="H1711" s="126"/>
      <c r="I1711" s="125"/>
      <c r="J1711" s="123"/>
      <c r="K1711" s="12"/>
      <c r="L1711" s="117"/>
      <c r="M1711" s="12"/>
      <c r="N1711" s="117"/>
      <c r="O1711" s="117"/>
      <c r="P1711" s="117"/>
      <c r="Q1711" s="118"/>
      <c r="R1711" s="118"/>
      <c r="S1711" s="118"/>
      <c r="T1711" s="12"/>
      <c r="U1711" s="118"/>
      <c r="V1711" s="118"/>
      <c r="W1711" s="12"/>
      <c r="X1711" s="119"/>
      <c r="Y1711" s="120"/>
      <c r="Z1711" s="12"/>
      <c r="BK1711" s="77"/>
      <c r="BO1711" s="77"/>
      <c r="BQ1711" s="77"/>
      <c r="BT1711" s="5"/>
      <c r="BU1711" s="5"/>
      <c r="BV1711" s="5"/>
      <c r="BW1711" s="71"/>
      <c r="BX1711" s="78"/>
      <c r="BY1711" s="64"/>
      <c r="BZ1711" s="3"/>
    </row>
    <row r="1712" spans="1:78">
      <c r="A1712" s="76"/>
      <c r="B1712" s="76"/>
      <c r="C1712" s="125"/>
      <c r="D1712" s="125"/>
      <c r="E1712" s="71"/>
      <c r="F1712" s="71"/>
      <c r="G1712" s="71"/>
      <c r="H1712" s="126"/>
      <c r="I1712" s="125"/>
      <c r="J1712" s="123"/>
      <c r="K1712" s="12"/>
      <c r="L1712" s="117"/>
      <c r="M1712" s="12"/>
      <c r="N1712" s="117"/>
      <c r="O1712" s="117"/>
      <c r="P1712" s="117"/>
      <c r="Q1712" s="118"/>
      <c r="R1712" s="118"/>
      <c r="S1712" s="118"/>
      <c r="T1712" s="12"/>
      <c r="U1712" s="118"/>
      <c r="V1712" s="118"/>
      <c r="W1712" s="12"/>
      <c r="X1712" s="119"/>
      <c r="Y1712" s="120"/>
      <c r="Z1712" s="12"/>
      <c r="BK1712" s="77"/>
      <c r="BO1712" s="77"/>
      <c r="BQ1712" s="77"/>
      <c r="BT1712" s="5"/>
      <c r="BU1712" s="5"/>
      <c r="BV1712" s="5"/>
      <c r="BW1712" s="71"/>
      <c r="BX1712" s="78"/>
      <c r="BY1712" s="64"/>
      <c r="BZ1712" s="3"/>
    </row>
    <row r="1713" spans="1:78">
      <c r="A1713" s="76"/>
      <c r="B1713" s="76"/>
      <c r="C1713" s="125"/>
      <c r="D1713" s="125"/>
      <c r="E1713" s="71"/>
      <c r="F1713" s="71"/>
      <c r="G1713" s="71"/>
      <c r="H1713" s="126"/>
      <c r="I1713" s="125"/>
      <c r="J1713" s="123"/>
      <c r="K1713" s="12"/>
      <c r="L1713" s="117"/>
      <c r="M1713" s="12"/>
      <c r="N1713" s="117"/>
      <c r="O1713" s="117"/>
      <c r="P1713" s="117"/>
      <c r="Q1713" s="118"/>
      <c r="R1713" s="118"/>
      <c r="S1713" s="118"/>
      <c r="T1713" s="12"/>
      <c r="U1713" s="118"/>
      <c r="V1713" s="118"/>
      <c r="W1713" s="12"/>
      <c r="X1713" s="119"/>
      <c r="Y1713" s="120"/>
      <c r="Z1713" s="12"/>
      <c r="BK1713" s="77"/>
      <c r="BO1713" s="77"/>
      <c r="BQ1713" s="77"/>
      <c r="BT1713" s="5"/>
      <c r="BU1713" s="5"/>
      <c r="BV1713" s="5"/>
      <c r="BW1713" s="71"/>
      <c r="BX1713" s="78"/>
      <c r="BY1713" s="64"/>
      <c r="BZ1713" s="3"/>
    </row>
    <row r="1714" spans="1:78">
      <c r="A1714" s="76"/>
      <c r="B1714" s="76"/>
      <c r="C1714" s="125"/>
      <c r="D1714" s="125"/>
      <c r="E1714" s="71"/>
      <c r="F1714" s="71"/>
      <c r="G1714" s="71"/>
      <c r="H1714" s="126"/>
      <c r="I1714" s="125"/>
      <c r="J1714" s="123"/>
      <c r="K1714" s="12"/>
      <c r="L1714" s="117"/>
      <c r="M1714" s="12"/>
      <c r="N1714" s="117"/>
      <c r="O1714" s="117"/>
      <c r="P1714" s="117"/>
      <c r="Q1714" s="118"/>
      <c r="R1714" s="118"/>
      <c r="S1714" s="118"/>
      <c r="T1714" s="12"/>
      <c r="U1714" s="118"/>
      <c r="V1714" s="118"/>
      <c r="W1714" s="12"/>
      <c r="X1714" s="119"/>
      <c r="Y1714" s="120"/>
      <c r="Z1714" s="12"/>
      <c r="BK1714" s="77"/>
      <c r="BO1714" s="77"/>
      <c r="BQ1714" s="77"/>
      <c r="BT1714" s="5"/>
      <c r="BU1714" s="5"/>
      <c r="BV1714" s="5"/>
      <c r="BW1714" s="71"/>
      <c r="BX1714" s="78"/>
      <c r="BY1714" s="64"/>
      <c r="BZ1714" s="3"/>
    </row>
    <row r="1715" spans="1:78">
      <c r="A1715" s="76"/>
      <c r="B1715" s="76"/>
      <c r="C1715" s="125"/>
      <c r="D1715" s="125"/>
      <c r="E1715" s="71"/>
      <c r="F1715" s="71"/>
      <c r="G1715" s="71"/>
      <c r="H1715" s="126"/>
      <c r="I1715" s="125"/>
      <c r="J1715" s="123"/>
      <c r="K1715" s="12"/>
      <c r="L1715" s="117"/>
      <c r="M1715" s="12"/>
      <c r="N1715" s="117"/>
      <c r="O1715" s="117"/>
      <c r="P1715" s="117"/>
      <c r="Q1715" s="118"/>
      <c r="R1715" s="118"/>
      <c r="S1715" s="118"/>
      <c r="T1715" s="12"/>
      <c r="U1715" s="118"/>
      <c r="V1715" s="118"/>
      <c r="W1715" s="12"/>
      <c r="X1715" s="119"/>
      <c r="Y1715" s="120"/>
      <c r="Z1715" s="12"/>
      <c r="BK1715" s="77"/>
      <c r="BO1715" s="77"/>
      <c r="BQ1715" s="77"/>
      <c r="BT1715" s="5"/>
      <c r="BU1715" s="5"/>
      <c r="BV1715" s="5"/>
      <c r="BW1715" s="71"/>
      <c r="BX1715" s="78"/>
      <c r="BY1715" s="64"/>
      <c r="BZ1715" s="3"/>
    </row>
    <row r="1716" spans="1:78">
      <c r="A1716" s="76"/>
      <c r="B1716" s="76"/>
      <c r="C1716" s="125"/>
      <c r="D1716" s="125"/>
      <c r="E1716" s="71"/>
      <c r="F1716" s="71"/>
      <c r="G1716" s="71"/>
      <c r="H1716" s="126"/>
      <c r="I1716" s="125"/>
      <c r="J1716" s="123"/>
      <c r="K1716" s="12"/>
      <c r="L1716" s="117"/>
      <c r="M1716" s="12"/>
      <c r="N1716" s="117"/>
      <c r="O1716" s="117"/>
      <c r="P1716" s="117"/>
      <c r="Q1716" s="118"/>
      <c r="R1716" s="118"/>
      <c r="S1716" s="118"/>
      <c r="T1716" s="12"/>
      <c r="U1716" s="118"/>
      <c r="V1716" s="118"/>
      <c r="W1716" s="12"/>
      <c r="X1716" s="119"/>
      <c r="Y1716" s="120"/>
      <c r="Z1716" s="12"/>
      <c r="BK1716" s="77"/>
      <c r="BO1716" s="77"/>
      <c r="BQ1716" s="77"/>
      <c r="BT1716" s="5"/>
      <c r="BU1716" s="5"/>
      <c r="BV1716" s="5"/>
      <c r="BW1716" s="71"/>
      <c r="BX1716" s="78"/>
      <c r="BY1716" s="64"/>
      <c r="BZ1716" s="3"/>
    </row>
    <row r="1717" spans="1:78">
      <c r="A1717" s="76"/>
      <c r="B1717" s="76"/>
      <c r="C1717" s="125"/>
      <c r="D1717" s="125"/>
      <c r="E1717" s="71"/>
      <c r="F1717" s="71"/>
      <c r="G1717" s="71"/>
      <c r="H1717" s="126"/>
      <c r="I1717" s="125"/>
      <c r="J1717" s="123"/>
      <c r="K1717" s="12"/>
      <c r="L1717" s="117"/>
      <c r="M1717" s="12"/>
      <c r="N1717" s="117"/>
      <c r="O1717" s="117"/>
      <c r="P1717" s="117"/>
      <c r="Q1717" s="118"/>
      <c r="R1717" s="118"/>
      <c r="S1717" s="118"/>
      <c r="T1717" s="12"/>
      <c r="U1717" s="118"/>
      <c r="V1717" s="118"/>
      <c r="W1717" s="12"/>
      <c r="X1717" s="119"/>
      <c r="Y1717" s="120"/>
      <c r="Z1717" s="12"/>
      <c r="BK1717" s="77"/>
      <c r="BO1717" s="77"/>
      <c r="BQ1717" s="77"/>
      <c r="BT1717" s="5"/>
      <c r="BU1717" s="5"/>
      <c r="BV1717" s="5"/>
      <c r="BW1717" s="71"/>
      <c r="BX1717" s="78"/>
      <c r="BY1717" s="64"/>
      <c r="BZ1717" s="3"/>
    </row>
    <row r="1718" spans="1:78">
      <c r="A1718" s="76"/>
      <c r="B1718" s="76"/>
      <c r="C1718" s="125"/>
      <c r="D1718" s="125"/>
      <c r="E1718" s="71"/>
      <c r="F1718" s="71"/>
      <c r="G1718" s="71"/>
      <c r="H1718" s="126"/>
      <c r="I1718" s="125"/>
      <c r="J1718" s="123"/>
      <c r="K1718" s="12"/>
      <c r="L1718" s="117"/>
      <c r="M1718" s="12"/>
      <c r="N1718" s="117"/>
      <c r="O1718" s="117"/>
      <c r="P1718" s="117"/>
      <c r="Q1718" s="118"/>
      <c r="R1718" s="118"/>
      <c r="S1718" s="118"/>
      <c r="T1718" s="12"/>
      <c r="U1718" s="118"/>
      <c r="V1718" s="118"/>
      <c r="W1718" s="12"/>
      <c r="X1718" s="119"/>
      <c r="Y1718" s="120"/>
      <c r="Z1718" s="12"/>
      <c r="BK1718" s="77"/>
      <c r="BO1718" s="77"/>
      <c r="BQ1718" s="77"/>
      <c r="BT1718" s="5"/>
      <c r="BU1718" s="5"/>
      <c r="BV1718" s="5"/>
      <c r="BW1718" s="71"/>
      <c r="BX1718" s="78"/>
      <c r="BY1718" s="64"/>
      <c r="BZ1718" s="3"/>
    </row>
    <row r="1719" spans="1:78">
      <c r="A1719" s="76"/>
      <c r="B1719" s="76"/>
      <c r="C1719" s="125"/>
      <c r="D1719" s="125"/>
      <c r="E1719" s="71"/>
      <c r="F1719" s="71"/>
      <c r="G1719" s="71"/>
      <c r="H1719" s="126"/>
      <c r="I1719" s="125"/>
      <c r="J1719" s="123"/>
      <c r="K1719" s="12"/>
      <c r="L1719" s="117"/>
      <c r="M1719" s="12"/>
      <c r="N1719" s="117"/>
      <c r="O1719" s="117"/>
      <c r="P1719" s="117"/>
      <c r="Q1719" s="118"/>
      <c r="R1719" s="118"/>
      <c r="S1719" s="118"/>
      <c r="T1719" s="12"/>
      <c r="U1719" s="118"/>
      <c r="V1719" s="118"/>
      <c r="W1719" s="12"/>
      <c r="X1719" s="119"/>
      <c r="Y1719" s="120"/>
      <c r="Z1719" s="12"/>
      <c r="BK1719" s="77"/>
      <c r="BO1719" s="77"/>
      <c r="BQ1719" s="77"/>
      <c r="BT1719" s="5"/>
      <c r="BU1719" s="5"/>
      <c r="BV1719" s="5"/>
      <c r="BW1719" s="71"/>
      <c r="BX1719" s="78"/>
      <c r="BY1719" s="64"/>
      <c r="BZ1719" s="3"/>
    </row>
    <row r="1720" spans="1:78">
      <c r="A1720" s="76"/>
      <c r="B1720" s="76"/>
      <c r="C1720" s="125"/>
      <c r="D1720" s="125"/>
      <c r="E1720" s="71"/>
      <c r="F1720" s="71"/>
      <c r="G1720" s="71"/>
      <c r="H1720" s="126"/>
      <c r="I1720" s="125"/>
      <c r="J1720" s="123"/>
      <c r="K1720" s="12"/>
      <c r="L1720" s="117"/>
      <c r="M1720" s="12"/>
      <c r="N1720" s="117"/>
      <c r="O1720" s="117"/>
      <c r="P1720" s="117"/>
      <c r="Q1720" s="118"/>
      <c r="R1720" s="118"/>
      <c r="S1720" s="118"/>
      <c r="T1720" s="12"/>
      <c r="U1720" s="118"/>
      <c r="V1720" s="118"/>
      <c r="W1720" s="12"/>
      <c r="X1720" s="119"/>
      <c r="Y1720" s="120"/>
      <c r="Z1720" s="12"/>
      <c r="BK1720" s="77"/>
      <c r="BO1720" s="77"/>
      <c r="BQ1720" s="77"/>
      <c r="BT1720" s="5"/>
      <c r="BU1720" s="5"/>
      <c r="BV1720" s="5"/>
      <c r="BW1720" s="71"/>
      <c r="BX1720" s="78"/>
      <c r="BY1720" s="64"/>
      <c r="BZ1720" s="3"/>
    </row>
    <row r="1721" spans="1:78">
      <c r="A1721" s="76"/>
      <c r="B1721" s="76"/>
      <c r="C1721" s="125"/>
      <c r="D1721" s="125"/>
      <c r="E1721" s="71"/>
      <c r="F1721" s="71"/>
      <c r="G1721" s="71"/>
      <c r="H1721" s="126"/>
      <c r="I1721" s="125"/>
      <c r="J1721" s="123"/>
      <c r="K1721" s="12"/>
      <c r="L1721" s="117"/>
      <c r="M1721" s="12"/>
      <c r="N1721" s="117"/>
      <c r="O1721" s="117"/>
      <c r="P1721" s="117"/>
      <c r="Q1721" s="118"/>
      <c r="R1721" s="118"/>
      <c r="S1721" s="118"/>
      <c r="T1721" s="12"/>
      <c r="U1721" s="118"/>
      <c r="V1721" s="118"/>
      <c r="W1721" s="12"/>
      <c r="X1721" s="119"/>
      <c r="Y1721" s="120"/>
      <c r="Z1721" s="12"/>
      <c r="BK1721" s="77"/>
      <c r="BO1721" s="77"/>
      <c r="BQ1721" s="77"/>
      <c r="BT1721" s="5"/>
      <c r="BU1721" s="5"/>
      <c r="BV1721" s="5"/>
      <c r="BW1721" s="71"/>
      <c r="BX1721" s="78"/>
      <c r="BY1721" s="64"/>
      <c r="BZ1721" s="3"/>
    </row>
    <row r="1722" spans="1:78">
      <c r="A1722" s="76"/>
      <c r="B1722" s="76"/>
      <c r="C1722" s="125"/>
      <c r="D1722" s="125"/>
      <c r="E1722" s="71"/>
      <c r="F1722" s="71"/>
      <c r="G1722" s="71"/>
      <c r="H1722" s="126"/>
      <c r="I1722" s="125"/>
      <c r="J1722" s="123"/>
      <c r="K1722" s="12"/>
      <c r="L1722" s="117"/>
      <c r="M1722" s="12"/>
      <c r="N1722" s="117"/>
      <c r="O1722" s="117"/>
      <c r="P1722" s="117"/>
      <c r="Q1722" s="118"/>
      <c r="R1722" s="118"/>
      <c r="S1722" s="118"/>
      <c r="T1722" s="12"/>
      <c r="U1722" s="118"/>
      <c r="V1722" s="118"/>
      <c r="W1722" s="12"/>
      <c r="X1722" s="119"/>
      <c r="Y1722" s="120"/>
      <c r="Z1722" s="12"/>
      <c r="BK1722" s="77"/>
      <c r="BO1722" s="77"/>
      <c r="BQ1722" s="77"/>
      <c r="BT1722" s="5"/>
      <c r="BU1722" s="5"/>
      <c r="BV1722" s="5"/>
      <c r="BW1722" s="71"/>
      <c r="BX1722" s="78"/>
      <c r="BY1722" s="64"/>
      <c r="BZ1722" s="3"/>
    </row>
    <row r="1723" spans="1:78">
      <c r="A1723" s="76"/>
      <c r="B1723" s="76"/>
      <c r="C1723" s="125"/>
      <c r="D1723" s="125"/>
      <c r="E1723" s="71"/>
      <c r="F1723" s="71"/>
      <c r="G1723" s="71"/>
      <c r="H1723" s="126"/>
      <c r="I1723" s="125"/>
      <c r="J1723" s="123"/>
      <c r="K1723" s="12"/>
      <c r="L1723" s="117"/>
      <c r="M1723" s="12"/>
      <c r="N1723" s="117"/>
      <c r="O1723" s="117"/>
      <c r="P1723" s="117"/>
      <c r="Q1723" s="118"/>
      <c r="R1723" s="118"/>
      <c r="S1723" s="118"/>
      <c r="T1723" s="12"/>
      <c r="U1723" s="118"/>
      <c r="V1723" s="118"/>
      <c r="W1723" s="12"/>
      <c r="X1723" s="119"/>
      <c r="Y1723" s="120"/>
      <c r="Z1723" s="12"/>
      <c r="BK1723" s="77"/>
      <c r="BO1723" s="77"/>
      <c r="BQ1723" s="77"/>
      <c r="BT1723" s="5"/>
      <c r="BU1723" s="5"/>
      <c r="BV1723" s="5"/>
      <c r="BW1723" s="71"/>
      <c r="BX1723" s="78"/>
      <c r="BY1723" s="64"/>
      <c r="BZ1723" s="3"/>
    </row>
    <row r="1724" spans="1:78">
      <c r="A1724" s="76"/>
      <c r="B1724" s="76"/>
      <c r="C1724" s="125"/>
      <c r="D1724" s="125"/>
      <c r="E1724" s="71"/>
      <c r="F1724" s="71"/>
      <c r="G1724" s="71"/>
      <c r="H1724" s="126"/>
      <c r="I1724" s="125"/>
      <c r="J1724" s="123"/>
      <c r="K1724" s="12"/>
      <c r="L1724" s="117"/>
      <c r="M1724" s="12"/>
      <c r="N1724" s="117"/>
      <c r="O1724" s="117"/>
      <c r="P1724" s="117"/>
      <c r="Q1724" s="118"/>
      <c r="R1724" s="118"/>
      <c r="S1724" s="118"/>
      <c r="T1724" s="12"/>
      <c r="U1724" s="118"/>
      <c r="V1724" s="118"/>
      <c r="W1724" s="12"/>
      <c r="X1724" s="119"/>
      <c r="Y1724" s="120"/>
      <c r="Z1724" s="12"/>
      <c r="BK1724" s="77"/>
      <c r="BO1724" s="77"/>
      <c r="BQ1724" s="77"/>
      <c r="BT1724" s="5"/>
      <c r="BU1724" s="5"/>
      <c r="BV1724" s="5"/>
      <c r="BW1724" s="71"/>
      <c r="BX1724" s="78"/>
      <c r="BY1724" s="64"/>
      <c r="BZ1724" s="3"/>
    </row>
    <row r="1725" spans="1:78">
      <c r="A1725" s="76"/>
      <c r="B1725" s="76"/>
      <c r="C1725" s="125"/>
      <c r="D1725" s="125"/>
      <c r="E1725" s="71"/>
      <c r="F1725" s="71"/>
      <c r="G1725" s="71"/>
      <c r="H1725" s="126"/>
      <c r="I1725" s="125"/>
      <c r="J1725" s="123"/>
      <c r="K1725" s="12"/>
      <c r="L1725" s="117"/>
      <c r="M1725" s="12"/>
      <c r="N1725" s="117"/>
      <c r="O1725" s="117"/>
      <c r="P1725" s="117"/>
      <c r="Q1725" s="118"/>
      <c r="R1725" s="118"/>
      <c r="S1725" s="118"/>
      <c r="T1725" s="12"/>
      <c r="U1725" s="118"/>
      <c r="V1725" s="118"/>
      <c r="W1725" s="12"/>
      <c r="X1725" s="119"/>
      <c r="Y1725" s="120"/>
      <c r="Z1725" s="12"/>
      <c r="BK1725" s="77"/>
      <c r="BO1725" s="77"/>
      <c r="BQ1725" s="77"/>
      <c r="BT1725" s="5"/>
      <c r="BU1725" s="5"/>
      <c r="BV1725" s="5"/>
      <c r="BW1725" s="71"/>
      <c r="BX1725" s="78"/>
      <c r="BY1725" s="64"/>
      <c r="BZ1725" s="3"/>
    </row>
    <row r="1726" spans="1:78">
      <c r="A1726" s="76"/>
      <c r="B1726" s="76"/>
      <c r="C1726" s="125"/>
      <c r="D1726" s="125"/>
      <c r="E1726" s="71"/>
      <c r="F1726" s="71"/>
      <c r="G1726" s="71"/>
      <c r="H1726" s="126"/>
      <c r="I1726" s="125"/>
      <c r="J1726" s="123"/>
      <c r="K1726" s="12"/>
      <c r="L1726" s="117"/>
      <c r="M1726" s="12"/>
      <c r="N1726" s="117"/>
      <c r="O1726" s="117"/>
      <c r="P1726" s="117"/>
      <c r="Q1726" s="118"/>
      <c r="R1726" s="118"/>
      <c r="S1726" s="118"/>
      <c r="T1726" s="12"/>
      <c r="U1726" s="118"/>
      <c r="V1726" s="118"/>
      <c r="W1726" s="12"/>
      <c r="X1726" s="119"/>
      <c r="Y1726" s="120"/>
      <c r="Z1726" s="12"/>
      <c r="BK1726" s="77"/>
      <c r="BO1726" s="77"/>
      <c r="BQ1726" s="77"/>
      <c r="BT1726" s="5"/>
      <c r="BU1726" s="5"/>
      <c r="BV1726" s="5"/>
      <c r="BW1726" s="71"/>
      <c r="BX1726" s="78"/>
      <c r="BY1726" s="64"/>
      <c r="BZ1726" s="3"/>
    </row>
    <row r="1727" spans="1:78">
      <c r="A1727" s="76"/>
      <c r="B1727" s="76"/>
      <c r="C1727" s="125"/>
      <c r="D1727" s="125"/>
      <c r="E1727" s="71"/>
      <c r="F1727" s="71"/>
      <c r="G1727" s="71"/>
      <c r="H1727" s="126"/>
      <c r="I1727" s="125"/>
      <c r="J1727" s="123"/>
      <c r="K1727" s="12"/>
      <c r="L1727" s="117"/>
      <c r="M1727" s="12"/>
      <c r="N1727" s="117"/>
      <c r="O1727" s="117"/>
      <c r="P1727" s="117"/>
      <c r="Q1727" s="118"/>
      <c r="R1727" s="118"/>
      <c r="S1727" s="118"/>
      <c r="T1727" s="12"/>
      <c r="U1727" s="118"/>
      <c r="V1727" s="118"/>
      <c r="W1727" s="12"/>
      <c r="X1727" s="119"/>
      <c r="Y1727" s="120"/>
      <c r="Z1727" s="12"/>
      <c r="BK1727" s="77"/>
      <c r="BO1727" s="77"/>
      <c r="BQ1727" s="77"/>
      <c r="BT1727" s="5"/>
      <c r="BU1727" s="5"/>
      <c r="BV1727" s="5"/>
      <c r="BW1727" s="71"/>
      <c r="BX1727" s="78"/>
      <c r="BY1727" s="64"/>
      <c r="BZ1727" s="3"/>
    </row>
    <row r="1728" spans="1:78">
      <c r="A1728" s="76"/>
      <c r="B1728" s="76"/>
      <c r="C1728" s="125"/>
      <c r="D1728" s="125"/>
      <c r="E1728" s="71"/>
      <c r="F1728" s="71"/>
      <c r="G1728" s="71"/>
      <c r="H1728" s="126"/>
      <c r="I1728" s="125"/>
      <c r="J1728" s="123"/>
      <c r="K1728" s="12"/>
      <c r="L1728" s="117"/>
      <c r="M1728" s="12"/>
      <c r="N1728" s="117"/>
      <c r="O1728" s="117"/>
      <c r="P1728" s="117"/>
      <c r="Q1728" s="118"/>
      <c r="R1728" s="118"/>
      <c r="S1728" s="118"/>
      <c r="T1728" s="12"/>
      <c r="U1728" s="118"/>
      <c r="V1728" s="118"/>
      <c r="W1728" s="12"/>
      <c r="X1728" s="119"/>
      <c r="Y1728" s="120"/>
      <c r="Z1728" s="12"/>
      <c r="BK1728" s="77"/>
      <c r="BO1728" s="77"/>
      <c r="BQ1728" s="77"/>
      <c r="BT1728" s="5"/>
      <c r="BU1728" s="5"/>
      <c r="BV1728" s="5"/>
      <c r="BW1728" s="71"/>
      <c r="BX1728" s="78"/>
      <c r="BY1728" s="64"/>
      <c r="BZ1728" s="3"/>
    </row>
    <row r="1729" spans="1:78">
      <c r="A1729" s="76"/>
      <c r="B1729" s="76"/>
      <c r="C1729" s="125"/>
      <c r="D1729" s="125"/>
      <c r="E1729" s="71"/>
      <c r="F1729" s="71"/>
      <c r="G1729" s="71"/>
      <c r="H1729" s="126"/>
      <c r="I1729" s="125"/>
      <c r="J1729" s="123"/>
      <c r="K1729" s="12"/>
      <c r="L1729" s="117"/>
      <c r="M1729" s="12"/>
      <c r="N1729" s="117"/>
      <c r="O1729" s="117"/>
      <c r="P1729" s="117"/>
      <c r="Q1729" s="118"/>
      <c r="R1729" s="118"/>
      <c r="S1729" s="118"/>
      <c r="T1729" s="12"/>
      <c r="U1729" s="118"/>
      <c r="V1729" s="118"/>
      <c r="W1729" s="12"/>
      <c r="X1729" s="119"/>
      <c r="Y1729" s="120"/>
      <c r="Z1729" s="12"/>
      <c r="BK1729" s="77"/>
      <c r="BO1729" s="77"/>
      <c r="BQ1729" s="77"/>
      <c r="BT1729" s="5"/>
      <c r="BU1729" s="5"/>
      <c r="BV1729" s="5"/>
      <c r="BW1729" s="71"/>
      <c r="BX1729" s="78"/>
      <c r="BY1729" s="64"/>
      <c r="BZ1729" s="3"/>
    </row>
    <row r="1730" spans="1:78">
      <c r="A1730" s="76"/>
      <c r="B1730" s="76"/>
      <c r="C1730" s="125"/>
      <c r="D1730" s="125"/>
      <c r="E1730" s="71"/>
      <c r="F1730" s="71"/>
      <c r="G1730" s="71"/>
      <c r="H1730" s="126"/>
      <c r="I1730" s="125"/>
      <c r="J1730" s="123"/>
      <c r="K1730" s="12"/>
      <c r="L1730" s="117"/>
      <c r="M1730" s="12"/>
      <c r="N1730" s="117"/>
      <c r="O1730" s="117"/>
      <c r="P1730" s="117"/>
      <c r="Q1730" s="118"/>
      <c r="R1730" s="118"/>
      <c r="S1730" s="118"/>
      <c r="T1730" s="12"/>
      <c r="U1730" s="118"/>
      <c r="V1730" s="118"/>
      <c r="W1730" s="12"/>
      <c r="X1730" s="119"/>
      <c r="Y1730" s="120"/>
      <c r="Z1730" s="12"/>
      <c r="BK1730" s="77"/>
      <c r="BO1730" s="77"/>
      <c r="BQ1730" s="77"/>
      <c r="BT1730" s="5"/>
      <c r="BU1730" s="5"/>
      <c r="BV1730" s="5"/>
      <c r="BW1730" s="71"/>
      <c r="BX1730" s="78"/>
      <c r="BY1730" s="64"/>
      <c r="BZ1730" s="3"/>
    </row>
    <row r="1731" spans="1:78">
      <c r="A1731" s="76"/>
      <c r="B1731" s="76"/>
      <c r="C1731" s="125"/>
      <c r="D1731" s="125"/>
      <c r="E1731" s="71"/>
      <c r="F1731" s="71"/>
      <c r="G1731" s="71"/>
      <c r="H1731" s="126"/>
      <c r="I1731" s="125"/>
      <c r="J1731" s="123"/>
      <c r="K1731" s="12"/>
      <c r="L1731" s="117"/>
      <c r="M1731" s="12"/>
      <c r="N1731" s="117"/>
      <c r="O1731" s="117"/>
      <c r="P1731" s="117"/>
      <c r="Q1731" s="118"/>
      <c r="R1731" s="118"/>
      <c r="S1731" s="118"/>
      <c r="T1731" s="12"/>
      <c r="U1731" s="118"/>
      <c r="V1731" s="118"/>
      <c r="W1731" s="12"/>
      <c r="X1731" s="119"/>
      <c r="Y1731" s="120"/>
      <c r="Z1731" s="12"/>
      <c r="BK1731" s="77"/>
      <c r="BO1731" s="77"/>
      <c r="BQ1731" s="77"/>
      <c r="BT1731" s="5"/>
      <c r="BU1731" s="5"/>
      <c r="BV1731" s="5"/>
      <c r="BW1731" s="71"/>
      <c r="BX1731" s="78"/>
      <c r="BY1731" s="64"/>
      <c r="BZ1731" s="3"/>
    </row>
    <row r="1732" spans="1:78">
      <c r="A1732" s="76"/>
      <c r="B1732" s="76"/>
      <c r="C1732" s="125"/>
      <c r="D1732" s="125"/>
      <c r="E1732" s="71"/>
      <c r="F1732" s="71"/>
      <c r="G1732" s="71"/>
      <c r="H1732" s="126"/>
      <c r="I1732" s="125"/>
      <c r="J1732" s="123"/>
      <c r="K1732" s="12"/>
      <c r="L1732" s="117"/>
      <c r="M1732" s="12"/>
      <c r="N1732" s="117"/>
      <c r="O1732" s="117"/>
      <c r="P1732" s="117"/>
      <c r="Q1732" s="118"/>
      <c r="R1732" s="118"/>
      <c r="S1732" s="118"/>
      <c r="T1732" s="12"/>
      <c r="U1732" s="118"/>
      <c r="V1732" s="118"/>
      <c r="W1732" s="12"/>
      <c r="X1732" s="119"/>
      <c r="Y1732" s="120"/>
      <c r="Z1732" s="12"/>
      <c r="BK1732" s="77"/>
      <c r="BO1732" s="77"/>
      <c r="BQ1732" s="77"/>
      <c r="BT1732" s="5"/>
      <c r="BU1732" s="5"/>
      <c r="BV1732" s="5"/>
      <c r="BW1732" s="71"/>
      <c r="BX1732" s="78"/>
      <c r="BY1732" s="64"/>
      <c r="BZ1732" s="3"/>
    </row>
    <row r="1733" spans="1:78">
      <c r="A1733" s="76"/>
      <c r="B1733" s="76"/>
      <c r="C1733" s="125"/>
      <c r="D1733" s="125"/>
      <c r="E1733" s="71"/>
      <c r="F1733" s="71"/>
      <c r="G1733" s="71"/>
      <c r="H1733" s="126"/>
      <c r="I1733" s="125"/>
      <c r="J1733" s="123"/>
      <c r="K1733" s="12"/>
      <c r="L1733" s="117"/>
      <c r="M1733" s="12"/>
      <c r="N1733" s="117"/>
      <c r="O1733" s="117"/>
      <c r="P1733" s="117"/>
      <c r="Q1733" s="118"/>
      <c r="R1733" s="118"/>
      <c r="S1733" s="118"/>
      <c r="T1733" s="12"/>
      <c r="U1733" s="118"/>
      <c r="V1733" s="118"/>
      <c r="W1733" s="12"/>
      <c r="X1733" s="119"/>
      <c r="Y1733" s="120"/>
      <c r="Z1733" s="12"/>
      <c r="BK1733" s="77"/>
      <c r="BO1733" s="77"/>
      <c r="BQ1733" s="77"/>
      <c r="BT1733" s="5"/>
      <c r="BU1733" s="5"/>
      <c r="BV1733" s="5"/>
      <c r="BW1733" s="71"/>
      <c r="BX1733" s="78"/>
      <c r="BY1733" s="64"/>
      <c r="BZ1733" s="3"/>
    </row>
    <row r="1734" spans="1:78">
      <c r="A1734" s="76"/>
      <c r="B1734" s="76"/>
      <c r="C1734" s="125"/>
      <c r="D1734" s="125"/>
      <c r="E1734" s="71"/>
      <c r="F1734" s="71"/>
      <c r="G1734" s="71"/>
      <c r="H1734" s="126"/>
      <c r="I1734" s="125"/>
      <c r="J1734" s="123"/>
      <c r="K1734" s="12"/>
      <c r="L1734" s="117"/>
      <c r="M1734" s="12"/>
      <c r="N1734" s="117"/>
      <c r="O1734" s="117"/>
      <c r="P1734" s="117"/>
      <c r="Q1734" s="118"/>
      <c r="R1734" s="118"/>
      <c r="S1734" s="118"/>
      <c r="T1734" s="12"/>
      <c r="U1734" s="118"/>
      <c r="V1734" s="118"/>
      <c r="W1734" s="12"/>
      <c r="X1734" s="119"/>
      <c r="Y1734" s="120"/>
      <c r="Z1734" s="12"/>
      <c r="BK1734" s="77"/>
      <c r="BO1734" s="77"/>
      <c r="BQ1734" s="77"/>
      <c r="BT1734" s="5"/>
      <c r="BU1734" s="5"/>
      <c r="BV1734" s="5"/>
      <c r="BW1734" s="71"/>
      <c r="BX1734" s="78"/>
      <c r="BY1734" s="64"/>
      <c r="BZ1734" s="3"/>
    </row>
    <row r="1735" spans="1:78">
      <c r="A1735" s="76"/>
      <c r="B1735" s="76"/>
      <c r="C1735" s="125"/>
      <c r="D1735" s="125"/>
      <c r="E1735" s="71"/>
      <c r="F1735" s="71"/>
      <c r="G1735" s="71"/>
      <c r="H1735" s="126"/>
      <c r="I1735" s="125"/>
      <c r="J1735" s="123"/>
      <c r="K1735" s="12"/>
      <c r="L1735" s="117"/>
      <c r="M1735" s="12"/>
      <c r="N1735" s="117"/>
      <c r="O1735" s="117"/>
      <c r="P1735" s="117"/>
      <c r="Q1735" s="118"/>
      <c r="R1735" s="118"/>
      <c r="S1735" s="118"/>
      <c r="T1735" s="12"/>
      <c r="U1735" s="118"/>
      <c r="V1735" s="118"/>
      <c r="W1735" s="12"/>
      <c r="X1735" s="119"/>
      <c r="Y1735" s="120"/>
      <c r="Z1735" s="12"/>
      <c r="BK1735" s="77"/>
      <c r="BO1735" s="77"/>
      <c r="BQ1735" s="77"/>
      <c r="BT1735" s="5"/>
      <c r="BU1735" s="5"/>
      <c r="BV1735" s="5"/>
      <c r="BW1735" s="71"/>
      <c r="BX1735" s="78"/>
      <c r="BY1735" s="64"/>
      <c r="BZ1735" s="3"/>
    </row>
    <row r="1736" spans="1:78">
      <c r="A1736" s="76"/>
      <c r="B1736" s="76"/>
      <c r="C1736" s="125"/>
      <c r="D1736" s="125"/>
      <c r="E1736" s="71"/>
      <c r="F1736" s="71"/>
      <c r="G1736" s="71"/>
      <c r="H1736" s="126"/>
      <c r="I1736" s="125"/>
      <c r="J1736" s="123"/>
      <c r="K1736" s="12"/>
      <c r="L1736" s="117"/>
      <c r="M1736" s="12"/>
      <c r="N1736" s="117"/>
      <c r="O1736" s="117"/>
      <c r="P1736" s="117"/>
      <c r="Q1736" s="118"/>
      <c r="R1736" s="118"/>
      <c r="S1736" s="118"/>
      <c r="T1736" s="12"/>
      <c r="U1736" s="118"/>
      <c r="V1736" s="118"/>
      <c r="W1736" s="12"/>
      <c r="X1736" s="119"/>
      <c r="Y1736" s="120"/>
      <c r="Z1736" s="12"/>
      <c r="BK1736" s="77"/>
      <c r="BO1736" s="77"/>
      <c r="BQ1736" s="77"/>
      <c r="BT1736" s="5"/>
      <c r="BU1736" s="5"/>
      <c r="BV1736" s="5"/>
      <c r="BW1736" s="71"/>
      <c r="BX1736" s="78"/>
      <c r="BY1736" s="64"/>
      <c r="BZ1736" s="3"/>
    </row>
    <row r="1737" spans="1:78">
      <c r="A1737" s="76"/>
      <c r="B1737" s="76"/>
      <c r="C1737" s="125"/>
      <c r="D1737" s="125"/>
      <c r="E1737" s="71"/>
      <c r="F1737" s="71"/>
      <c r="G1737" s="71"/>
      <c r="H1737" s="126"/>
      <c r="I1737" s="125"/>
      <c r="J1737" s="123"/>
      <c r="K1737" s="12"/>
      <c r="L1737" s="117"/>
      <c r="M1737" s="12"/>
      <c r="N1737" s="117"/>
      <c r="O1737" s="117"/>
      <c r="P1737" s="117"/>
      <c r="Q1737" s="118"/>
      <c r="R1737" s="118"/>
      <c r="S1737" s="118"/>
      <c r="T1737" s="12"/>
      <c r="U1737" s="118"/>
      <c r="V1737" s="118"/>
      <c r="W1737" s="12"/>
      <c r="X1737" s="119"/>
      <c r="Y1737" s="120"/>
      <c r="Z1737" s="12"/>
      <c r="BK1737" s="77"/>
      <c r="BO1737" s="77"/>
      <c r="BQ1737" s="77"/>
      <c r="BT1737" s="5"/>
      <c r="BU1737" s="5"/>
      <c r="BV1737" s="5"/>
      <c r="BW1737" s="71"/>
      <c r="BX1737" s="78"/>
      <c r="BY1737" s="64"/>
      <c r="BZ1737" s="3"/>
    </row>
    <row r="1738" spans="1:78">
      <c r="A1738" s="76"/>
      <c r="B1738" s="76"/>
      <c r="C1738" s="125"/>
      <c r="D1738" s="125"/>
      <c r="E1738" s="71"/>
      <c r="F1738" s="71"/>
      <c r="G1738" s="71"/>
      <c r="H1738" s="126"/>
      <c r="I1738" s="125"/>
      <c r="J1738" s="123"/>
      <c r="K1738" s="12"/>
      <c r="L1738" s="117"/>
      <c r="M1738" s="12"/>
      <c r="N1738" s="117"/>
      <c r="O1738" s="117"/>
      <c r="P1738" s="117"/>
      <c r="Q1738" s="118"/>
      <c r="R1738" s="118"/>
      <c r="S1738" s="118"/>
      <c r="T1738" s="12"/>
      <c r="U1738" s="118"/>
      <c r="V1738" s="118"/>
      <c r="W1738" s="12"/>
      <c r="X1738" s="119"/>
      <c r="Y1738" s="120"/>
      <c r="Z1738" s="12"/>
      <c r="BK1738" s="77"/>
      <c r="BO1738" s="77"/>
      <c r="BQ1738" s="77"/>
      <c r="BT1738" s="5"/>
      <c r="BU1738" s="5"/>
      <c r="BV1738" s="5"/>
      <c r="BW1738" s="71"/>
      <c r="BX1738" s="78"/>
      <c r="BY1738" s="64"/>
      <c r="BZ1738" s="3"/>
    </row>
    <row r="1739" spans="1:78">
      <c r="A1739" s="76"/>
      <c r="B1739" s="76"/>
      <c r="C1739" s="125"/>
      <c r="D1739" s="125"/>
      <c r="E1739" s="71"/>
      <c r="F1739" s="71"/>
      <c r="G1739" s="71"/>
      <c r="H1739" s="126"/>
      <c r="I1739" s="125"/>
      <c r="J1739" s="123"/>
      <c r="K1739" s="12"/>
      <c r="L1739" s="117"/>
      <c r="M1739" s="12"/>
      <c r="N1739" s="117"/>
      <c r="O1739" s="117"/>
      <c r="P1739" s="117"/>
      <c r="Q1739" s="118"/>
      <c r="R1739" s="118"/>
      <c r="S1739" s="118"/>
      <c r="T1739" s="12"/>
      <c r="U1739" s="118"/>
      <c r="V1739" s="118"/>
      <c r="W1739" s="12"/>
      <c r="X1739" s="119"/>
      <c r="Y1739" s="120"/>
      <c r="Z1739" s="12"/>
      <c r="BK1739" s="77"/>
      <c r="BO1739" s="77"/>
      <c r="BQ1739" s="77"/>
      <c r="BT1739" s="5"/>
      <c r="BU1739" s="5"/>
      <c r="BV1739" s="5"/>
      <c r="BW1739" s="71"/>
      <c r="BX1739" s="78"/>
      <c r="BY1739" s="64"/>
      <c r="BZ1739" s="3"/>
    </row>
    <row r="1740" spans="1:78">
      <c r="A1740" s="76"/>
      <c r="B1740" s="76"/>
      <c r="C1740" s="125"/>
      <c r="D1740" s="125"/>
      <c r="E1740" s="71"/>
      <c r="F1740" s="71"/>
      <c r="G1740" s="71"/>
      <c r="H1740" s="126"/>
      <c r="I1740" s="125"/>
      <c r="J1740" s="123"/>
      <c r="K1740" s="12"/>
      <c r="L1740" s="117"/>
      <c r="M1740" s="12"/>
      <c r="N1740" s="117"/>
      <c r="O1740" s="117"/>
      <c r="P1740" s="117"/>
      <c r="Q1740" s="118"/>
      <c r="R1740" s="118"/>
      <c r="S1740" s="118"/>
      <c r="T1740" s="12"/>
      <c r="U1740" s="118"/>
      <c r="V1740" s="118"/>
      <c r="W1740" s="12"/>
      <c r="X1740" s="119"/>
      <c r="Y1740" s="120"/>
      <c r="Z1740" s="12"/>
      <c r="BK1740" s="77"/>
      <c r="BO1740" s="77"/>
      <c r="BQ1740" s="77"/>
      <c r="BT1740" s="5"/>
      <c r="BU1740" s="5"/>
      <c r="BV1740" s="5"/>
      <c r="BW1740" s="71"/>
      <c r="BX1740" s="78"/>
      <c r="BY1740" s="64"/>
      <c r="BZ1740" s="3"/>
    </row>
    <row r="1741" spans="1:78">
      <c r="A1741" s="76"/>
      <c r="B1741" s="76"/>
      <c r="C1741" s="125"/>
      <c r="D1741" s="125"/>
      <c r="E1741" s="71"/>
      <c r="F1741" s="71"/>
      <c r="G1741" s="71"/>
      <c r="H1741" s="126"/>
      <c r="I1741" s="125"/>
      <c r="J1741" s="123"/>
      <c r="K1741" s="12"/>
      <c r="L1741" s="117"/>
      <c r="M1741" s="12"/>
      <c r="N1741" s="117"/>
      <c r="O1741" s="117"/>
      <c r="P1741" s="117"/>
      <c r="Q1741" s="118"/>
      <c r="R1741" s="118"/>
      <c r="S1741" s="118"/>
      <c r="T1741" s="12"/>
      <c r="U1741" s="118"/>
      <c r="V1741" s="118"/>
      <c r="W1741" s="12"/>
      <c r="X1741" s="119"/>
      <c r="Y1741" s="120"/>
      <c r="Z1741" s="12"/>
      <c r="BK1741" s="77"/>
      <c r="BO1741" s="77"/>
      <c r="BQ1741" s="77"/>
      <c r="BT1741" s="5"/>
      <c r="BU1741" s="5"/>
      <c r="BV1741" s="5"/>
      <c r="BW1741" s="71"/>
      <c r="BX1741" s="78"/>
      <c r="BY1741" s="64"/>
      <c r="BZ1741" s="3"/>
    </row>
    <row r="1742" spans="1:78">
      <c r="A1742" s="76"/>
      <c r="B1742" s="76"/>
      <c r="C1742" s="125"/>
      <c r="D1742" s="125"/>
      <c r="E1742" s="71"/>
      <c r="F1742" s="71"/>
      <c r="G1742" s="71"/>
      <c r="H1742" s="126"/>
      <c r="I1742" s="125"/>
      <c r="J1742" s="123"/>
      <c r="K1742" s="12"/>
      <c r="L1742" s="117"/>
      <c r="M1742" s="12"/>
      <c r="N1742" s="117"/>
      <c r="O1742" s="117"/>
      <c r="P1742" s="117"/>
      <c r="Q1742" s="118"/>
      <c r="R1742" s="118"/>
      <c r="S1742" s="118"/>
      <c r="T1742" s="12"/>
      <c r="U1742" s="118"/>
      <c r="V1742" s="118"/>
      <c r="W1742" s="12"/>
      <c r="X1742" s="119"/>
      <c r="Y1742" s="120"/>
      <c r="Z1742" s="12"/>
      <c r="BK1742" s="77"/>
      <c r="BO1742" s="77"/>
      <c r="BQ1742" s="77"/>
      <c r="BT1742" s="5"/>
      <c r="BU1742" s="5"/>
      <c r="BV1742" s="5"/>
      <c r="BW1742" s="71"/>
      <c r="BX1742" s="78"/>
      <c r="BY1742" s="64"/>
      <c r="BZ1742" s="3"/>
    </row>
    <row r="1743" spans="1:78">
      <c r="A1743" s="76"/>
      <c r="B1743" s="76"/>
      <c r="C1743" s="125"/>
      <c r="D1743" s="125"/>
      <c r="E1743" s="71"/>
      <c r="F1743" s="71"/>
      <c r="G1743" s="71"/>
      <c r="H1743" s="126"/>
      <c r="I1743" s="125"/>
      <c r="J1743" s="123"/>
      <c r="K1743" s="12"/>
      <c r="L1743" s="117"/>
      <c r="M1743" s="12"/>
      <c r="N1743" s="117"/>
      <c r="O1743" s="117"/>
      <c r="P1743" s="117"/>
      <c r="Q1743" s="118"/>
      <c r="R1743" s="118"/>
      <c r="S1743" s="118"/>
      <c r="T1743" s="12"/>
      <c r="U1743" s="118"/>
      <c r="V1743" s="118"/>
      <c r="W1743" s="12"/>
      <c r="X1743" s="119"/>
      <c r="Y1743" s="120"/>
      <c r="Z1743" s="12"/>
      <c r="BK1743" s="77"/>
      <c r="BO1743" s="77"/>
      <c r="BQ1743" s="77"/>
      <c r="BT1743" s="5"/>
      <c r="BU1743" s="5"/>
      <c r="BV1743" s="5"/>
      <c r="BW1743" s="71"/>
      <c r="BX1743" s="78"/>
      <c r="BY1743" s="64"/>
      <c r="BZ1743" s="3"/>
    </row>
    <row r="1744" spans="1:78">
      <c r="A1744" s="76"/>
      <c r="B1744" s="76"/>
      <c r="C1744" s="125"/>
      <c r="D1744" s="125"/>
      <c r="E1744" s="71"/>
      <c r="F1744" s="71"/>
      <c r="G1744" s="71"/>
      <c r="H1744" s="126"/>
      <c r="I1744" s="125"/>
      <c r="J1744" s="123"/>
      <c r="K1744" s="12"/>
      <c r="L1744" s="117"/>
      <c r="M1744" s="12"/>
      <c r="N1744" s="117"/>
      <c r="O1744" s="117"/>
      <c r="P1744" s="117"/>
      <c r="Q1744" s="118"/>
      <c r="R1744" s="118"/>
      <c r="S1744" s="118"/>
      <c r="T1744" s="12"/>
      <c r="U1744" s="118"/>
      <c r="V1744" s="118"/>
      <c r="W1744" s="12"/>
      <c r="X1744" s="119"/>
      <c r="Y1744" s="120"/>
      <c r="Z1744" s="12"/>
      <c r="BK1744" s="77"/>
      <c r="BO1744" s="77"/>
      <c r="BQ1744" s="77"/>
      <c r="BT1744" s="5"/>
      <c r="BU1744" s="5"/>
      <c r="BV1744" s="5"/>
      <c r="BW1744" s="71"/>
      <c r="BX1744" s="78"/>
      <c r="BY1744" s="64"/>
      <c r="BZ1744" s="3"/>
    </row>
    <row r="1745" spans="1:78">
      <c r="A1745" s="76"/>
      <c r="B1745" s="76"/>
      <c r="C1745" s="125"/>
      <c r="D1745" s="125"/>
      <c r="E1745" s="71"/>
      <c r="F1745" s="71"/>
      <c r="G1745" s="71"/>
      <c r="H1745" s="126"/>
      <c r="I1745" s="125"/>
      <c r="J1745" s="123"/>
      <c r="K1745" s="12"/>
      <c r="L1745" s="117"/>
      <c r="M1745" s="12"/>
      <c r="N1745" s="117"/>
      <c r="O1745" s="117"/>
      <c r="P1745" s="117"/>
      <c r="Q1745" s="118"/>
      <c r="R1745" s="118"/>
      <c r="S1745" s="118"/>
      <c r="T1745" s="12"/>
      <c r="U1745" s="118"/>
      <c r="V1745" s="118"/>
      <c r="W1745" s="12"/>
      <c r="X1745" s="119"/>
      <c r="Y1745" s="120"/>
      <c r="Z1745" s="12"/>
      <c r="BK1745" s="77"/>
      <c r="BO1745" s="77"/>
      <c r="BQ1745" s="77"/>
      <c r="BT1745" s="5"/>
      <c r="BU1745" s="5"/>
      <c r="BV1745" s="5"/>
      <c r="BW1745" s="71"/>
      <c r="BX1745" s="78"/>
      <c r="BY1745" s="64"/>
      <c r="BZ1745" s="3"/>
    </row>
    <row r="1746" spans="1:78">
      <c r="A1746" s="76"/>
      <c r="B1746" s="76"/>
      <c r="C1746" s="125"/>
      <c r="D1746" s="125"/>
      <c r="E1746" s="71"/>
      <c r="F1746" s="71"/>
      <c r="G1746" s="71"/>
      <c r="H1746" s="126"/>
      <c r="I1746" s="125"/>
      <c r="J1746" s="123"/>
      <c r="K1746" s="12"/>
      <c r="L1746" s="117"/>
      <c r="M1746" s="12"/>
      <c r="N1746" s="117"/>
      <c r="O1746" s="117"/>
      <c r="P1746" s="117"/>
      <c r="Q1746" s="118"/>
      <c r="R1746" s="118"/>
      <c r="S1746" s="118"/>
      <c r="T1746" s="12"/>
      <c r="U1746" s="118"/>
      <c r="V1746" s="118"/>
      <c r="W1746" s="12"/>
      <c r="X1746" s="119"/>
      <c r="Y1746" s="120"/>
      <c r="Z1746" s="12"/>
      <c r="BK1746" s="77"/>
      <c r="BO1746" s="77"/>
      <c r="BQ1746" s="77"/>
      <c r="BT1746" s="5"/>
      <c r="BU1746" s="5"/>
      <c r="BV1746" s="5"/>
      <c r="BW1746" s="71"/>
      <c r="BX1746" s="78"/>
      <c r="BY1746" s="64"/>
      <c r="BZ1746" s="3"/>
    </row>
    <row r="1747" spans="1:78">
      <c r="A1747" s="76"/>
      <c r="B1747" s="76"/>
      <c r="C1747" s="125"/>
      <c r="D1747" s="125"/>
      <c r="E1747" s="71"/>
      <c r="F1747" s="71"/>
      <c r="G1747" s="71"/>
      <c r="H1747" s="126"/>
      <c r="I1747" s="125"/>
      <c r="J1747" s="123"/>
      <c r="K1747" s="12"/>
      <c r="L1747" s="117"/>
      <c r="M1747" s="12"/>
      <c r="N1747" s="117"/>
      <c r="O1747" s="117"/>
      <c r="P1747" s="117"/>
      <c r="Q1747" s="118"/>
      <c r="R1747" s="118"/>
      <c r="S1747" s="118"/>
      <c r="T1747" s="12"/>
      <c r="U1747" s="118"/>
      <c r="V1747" s="118"/>
      <c r="W1747" s="12"/>
      <c r="X1747" s="119"/>
      <c r="Y1747" s="120"/>
      <c r="Z1747" s="12"/>
      <c r="BK1747" s="77"/>
      <c r="BO1747" s="77"/>
      <c r="BQ1747" s="77"/>
      <c r="BT1747" s="5"/>
      <c r="BU1747" s="5"/>
      <c r="BV1747" s="5"/>
      <c r="BW1747" s="71"/>
      <c r="BX1747" s="78"/>
      <c r="BY1747" s="64"/>
      <c r="BZ1747" s="3"/>
    </row>
    <row r="1748" spans="1:78">
      <c r="A1748" s="76"/>
      <c r="B1748" s="76"/>
      <c r="C1748" s="125"/>
      <c r="D1748" s="125"/>
      <c r="E1748" s="71"/>
      <c r="F1748" s="71"/>
      <c r="G1748" s="71"/>
      <c r="H1748" s="126"/>
      <c r="I1748" s="125"/>
      <c r="J1748" s="123"/>
      <c r="K1748" s="12"/>
      <c r="L1748" s="117"/>
      <c r="M1748" s="12"/>
      <c r="N1748" s="117"/>
      <c r="O1748" s="117"/>
      <c r="P1748" s="117"/>
      <c r="Q1748" s="118"/>
      <c r="R1748" s="118"/>
      <c r="S1748" s="118"/>
      <c r="T1748" s="12"/>
      <c r="U1748" s="118"/>
      <c r="V1748" s="118"/>
      <c r="W1748" s="12"/>
      <c r="X1748" s="119"/>
      <c r="Y1748" s="120"/>
      <c r="Z1748" s="12"/>
      <c r="BK1748" s="77"/>
      <c r="BO1748" s="77"/>
      <c r="BQ1748" s="77"/>
      <c r="BT1748" s="5"/>
      <c r="BU1748" s="5"/>
      <c r="BV1748" s="5"/>
      <c r="BW1748" s="71"/>
      <c r="BX1748" s="78"/>
      <c r="BY1748" s="64"/>
      <c r="BZ1748" s="3"/>
    </row>
    <row r="1749" spans="1:78">
      <c r="A1749" s="76"/>
      <c r="B1749" s="76"/>
      <c r="C1749" s="125"/>
      <c r="D1749" s="125"/>
      <c r="E1749" s="71"/>
      <c r="F1749" s="71"/>
      <c r="G1749" s="71"/>
      <c r="H1749" s="126"/>
      <c r="I1749" s="125"/>
      <c r="J1749" s="123"/>
      <c r="K1749" s="12"/>
      <c r="L1749" s="117"/>
      <c r="M1749" s="12"/>
      <c r="N1749" s="117"/>
      <c r="O1749" s="117"/>
      <c r="P1749" s="117"/>
      <c r="Q1749" s="118"/>
      <c r="R1749" s="118"/>
      <c r="S1749" s="118"/>
      <c r="T1749" s="12"/>
      <c r="U1749" s="118"/>
      <c r="V1749" s="118"/>
      <c r="W1749" s="12"/>
      <c r="X1749" s="119"/>
      <c r="Y1749" s="120"/>
      <c r="Z1749" s="12"/>
      <c r="BK1749" s="77"/>
      <c r="BO1749" s="77"/>
      <c r="BQ1749" s="77"/>
      <c r="BT1749" s="5"/>
      <c r="BU1749" s="5"/>
      <c r="BV1749" s="5"/>
      <c r="BW1749" s="71"/>
      <c r="BX1749" s="78"/>
      <c r="BY1749" s="64"/>
      <c r="BZ1749" s="3"/>
    </row>
    <row r="1750" spans="1:78">
      <c r="A1750" s="76"/>
      <c r="B1750" s="76"/>
      <c r="C1750" s="125"/>
      <c r="D1750" s="125"/>
      <c r="E1750" s="71"/>
      <c r="F1750" s="71"/>
      <c r="G1750" s="71"/>
      <c r="H1750" s="126"/>
      <c r="I1750" s="125"/>
      <c r="J1750" s="123"/>
      <c r="K1750" s="12"/>
      <c r="L1750" s="117"/>
      <c r="M1750" s="12"/>
      <c r="N1750" s="117"/>
      <c r="O1750" s="117"/>
      <c r="P1750" s="117"/>
      <c r="Q1750" s="118"/>
      <c r="R1750" s="118"/>
      <c r="S1750" s="118"/>
      <c r="T1750" s="12"/>
      <c r="U1750" s="118"/>
      <c r="V1750" s="118"/>
      <c r="W1750" s="12"/>
      <c r="X1750" s="119"/>
      <c r="Y1750" s="120"/>
      <c r="Z1750" s="12"/>
      <c r="BK1750" s="77"/>
      <c r="BO1750" s="77"/>
      <c r="BQ1750" s="77"/>
      <c r="BT1750" s="5"/>
      <c r="BU1750" s="5"/>
      <c r="BV1750" s="5"/>
      <c r="BW1750" s="71"/>
      <c r="BX1750" s="78"/>
      <c r="BY1750" s="64"/>
      <c r="BZ1750" s="3"/>
    </row>
    <row r="1751" spans="1:78">
      <c r="A1751" s="76"/>
      <c r="B1751" s="76"/>
      <c r="C1751" s="125"/>
      <c r="D1751" s="125"/>
      <c r="E1751" s="71"/>
      <c r="F1751" s="71"/>
      <c r="G1751" s="71"/>
      <c r="H1751" s="126"/>
      <c r="I1751" s="125"/>
      <c r="J1751" s="123"/>
      <c r="K1751" s="12"/>
      <c r="L1751" s="117"/>
      <c r="M1751" s="12"/>
      <c r="N1751" s="117"/>
      <c r="O1751" s="117"/>
      <c r="P1751" s="117"/>
      <c r="Q1751" s="118"/>
      <c r="R1751" s="118"/>
      <c r="S1751" s="118"/>
      <c r="T1751" s="12"/>
      <c r="U1751" s="118"/>
      <c r="V1751" s="118"/>
      <c r="W1751" s="12"/>
      <c r="X1751" s="119"/>
      <c r="Y1751" s="120"/>
      <c r="Z1751" s="12"/>
      <c r="BK1751" s="77"/>
      <c r="BO1751" s="77"/>
      <c r="BQ1751" s="77"/>
      <c r="BT1751" s="5"/>
      <c r="BU1751" s="5"/>
      <c r="BV1751" s="5"/>
      <c r="BW1751" s="71"/>
      <c r="BX1751" s="78"/>
      <c r="BY1751" s="64"/>
      <c r="BZ1751" s="3"/>
    </row>
    <row r="1752" spans="1:78">
      <c r="A1752" s="76"/>
      <c r="B1752" s="76"/>
      <c r="C1752" s="125"/>
      <c r="D1752" s="125"/>
      <c r="E1752" s="71"/>
      <c r="F1752" s="71"/>
      <c r="G1752" s="71"/>
      <c r="H1752" s="126"/>
      <c r="I1752" s="125"/>
      <c r="J1752" s="123"/>
      <c r="K1752" s="12"/>
      <c r="L1752" s="117"/>
      <c r="M1752" s="12"/>
      <c r="N1752" s="117"/>
      <c r="O1752" s="117"/>
      <c r="P1752" s="117"/>
      <c r="Q1752" s="118"/>
      <c r="R1752" s="118"/>
      <c r="S1752" s="118"/>
      <c r="T1752" s="12"/>
      <c r="U1752" s="118"/>
      <c r="V1752" s="118"/>
      <c r="W1752" s="12"/>
      <c r="X1752" s="119"/>
      <c r="Y1752" s="120"/>
      <c r="Z1752" s="12"/>
      <c r="BK1752" s="77"/>
      <c r="BO1752" s="77"/>
      <c r="BQ1752" s="77"/>
      <c r="BT1752" s="5"/>
      <c r="BU1752" s="5"/>
      <c r="BV1752" s="5"/>
      <c r="BW1752" s="71"/>
      <c r="BX1752" s="78"/>
      <c r="BY1752" s="64"/>
      <c r="BZ1752" s="3"/>
    </row>
    <row r="1753" spans="1:78">
      <c r="A1753" s="76"/>
      <c r="B1753" s="76"/>
      <c r="C1753" s="125"/>
      <c r="D1753" s="125"/>
      <c r="E1753" s="71"/>
      <c r="F1753" s="71"/>
      <c r="G1753" s="71"/>
      <c r="H1753" s="126"/>
      <c r="I1753" s="125"/>
      <c r="J1753" s="123"/>
      <c r="K1753" s="12"/>
      <c r="L1753" s="117"/>
      <c r="M1753" s="12"/>
      <c r="N1753" s="117"/>
      <c r="O1753" s="117"/>
      <c r="P1753" s="117"/>
      <c r="Q1753" s="118"/>
      <c r="R1753" s="118"/>
      <c r="S1753" s="118"/>
      <c r="T1753" s="12"/>
      <c r="U1753" s="118"/>
      <c r="V1753" s="118"/>
      <c r="W1753" s="12"/>
      <c r="X1753" s="119"/>
      <c r="Y1753" s="120"/>
      <c r="Z1753" s="12"/>
      <c r="BK1753" s="77"/>
      <c r="BO1753" s="77"/>
      <c r="BQ1753" s="77"/>
      <c r="BT1753" s="5"/>
      <c r="BU1753" s="5"/>
      <c r="BV1753" s="5"/>
      <c r="BW1753" s="71"/>
      <c r="BX1753" s="78"/>
      <c r="BY1753" s="64"/>
      <c r="BZ1753" s="3"/>
    </row>
    <row r="1754" spans="1:78">
      <c r="A1754" s="76"/>
      <c r="B1754" s="76"/>
      <c r="C1754" s="125"/>
      <c r="D1754" s="125"/>
      <c r="E1754" s="71"/>
      <c r="F1754" s="71"/>
      <c r="G1754" s="71"/>
      <c r="H1754" s="126"/>
      <c r="I1754" s="125"/>
      <c r="J1754" s="123"/>
      <c r="K1754" s="12"/>
      <c r="L1754" s="117"/>
      <c r="M1754" s="12"/>
      <c r="N1754" s="117"/>
      <c r="O1754" s="117"/>
      <c r="P1754" s="117"/>
      <c r="Q1754" s="118"/>
      <c r="R1754" s="118"/>
      <c r="S1754" s="118"/>
      <c r="T1754" s="12"/>
      <c r="U1754" s="118"/>
      <c r="V1754" s="118"/>
      <c r="W1754" s="12"/>
      <c r="X1754" s="119"/>
      <c r="Y1754" s="120"/>
      <c r="Z1754" s="12"/>
      <c r="BK1754" s="77"/>
      <c r="BO1754" s="77"/>
      <c r="BQ1754" s="77"/>
      <c r="BT1754" s="5"/>
      <c r="BU1754" s="5"/>
      <c r="BV1754" s="5"/>
      <c r="BW1754" s="71"/>
      <c r="BX1754" s="78"/>
      <c r="BY1754" s="64"/>
      <c r="BZ1754" s="3"/>
    </row>
    <row r="1755" spans="1:78">
      <c r="A1755" s="76"/>
      <c r="B1755" s="76"/>
      <c r="C1755" s="125"/>
      <c r="D1755" s="125"/>
      <c r="E1755" s="71"/>
      <c r="F1755" s="71"/>
      <c r="G1755" s="71"/>
      <c r="H1755" s="126"/>
      <c r="I1755" s="125"/>
      <c r="J1755" s="123"/>
      <c r="K1755" s="12"/>
      <c r="L1755" s="117"/>
      <c r="M1755" s="12"/>
      <c r="N1755" s="117"/>
      <c r="O1755" s="117"/>
      <c r="P1755" s="117"/>
      <c r="Q1755" s="118"/>
      <c r="R1755" s="118"/>
      <c r="S1755" s="118"/>
      <c r="T1755" s="12"/>
      <c r="U1755" s="118"/>
      <c r="V1755" s="118"/>
      <c r="W1755" s="12"/>
      <c r="X1755" s="119"/>
      <c r="Y1755" s="120"/>
      <c r="Z1755" s="12"/>
      <c r="BK1755" s="77"/>
      <c r="BO1755" s="77"/>
      <c r="BQ1755" s="77"/>
      <c r="BT1755" s="5"/>
      <c r="BU1755" s="5"/>
      <c r="BV1755" s="5"/>
      <c r="BW1755" s="71"/>
      <c r="BX1755" s="78"/>
      <c r="BY1755" s="64"/>
      <c r="BZ1755" s="3"/>
    </row>
    <row r="1756" spans="1:78">
      <c r="A1756" s="76"/>
      <c r="B1756" s="76"/>
      <c r="C1756" s="125"/>
      <c r="D1756" s="125"/>
      <c r="E1756" s="71"/>
      <c r="F1756" s="71"/>
      <c r="G1756" s="71"/>
      <c r="H1756" s="126"/>
      <c r="I1756" s="125"/>
      <c r="J1756" s="123"/>
      <c r="K1756" s="12"/>
      <c r="L1756" s="117"/>
      <c r="M1756" s="12"/>
      <c r="N1756" s="117"/>
      <c r="O1756" s="117"/>
      <c r="P1756" s="117"/>
      <c r="Q1756" s="118"/>
      <c r="R1756" s="118"/>
      <c r="S1756" s="118"/>
      <c r="T1756" s="12"/>
      <c r="U1756" s="118"/>
      <c r="V1756" s="118"/>
      <c r="W1756" s="12"/>
      <c r="X1756" s="119"/>
      <c r="Y1756" s="120"/>
      <c r="Z1756" s="12"/>
      <c r="BK1756" s="77"/>
      <c r="BO1756" s="77"/>
      <c r="BQ1756" s="77"/>
      <c r="BT1756" s="5"/>
      <c r="BU1756" s="5"/>
      <c r="BV1756" s="5"/>
      <c r="BW1756" s="71"/>
      <c r="BX1756" s="78"/>
      <c r="BY1756" s="64"/>
      <c r="BZ1756" s="3"/>
    </row>
    <row r="1757" spans="1:78">
      <c r="A1757" s="76"/>
      <c r="B1757" s="76"/>
      <c r="C1757" s="125"/>
      <c r="D1757" s="125"/>
      <c r="E1757" s="71"/>
      <c r="F1757" s="71"/>
      <c r="G1757" s="71"/>
      <c r="H1757" s="126"/>
      <c r="I1757" s="125"/>
      <c r="J1757" s="123"/>
      <c r="K1757" s="12"/>
      <c r="L1757" s="117"/>
      <c r="M1757" s="12"/>
      <c r="N1757" s="117"/>
      <c r="O1757" s="117"/>
      <c r="P1757" s="117"/>
      <c r="Q1757" s="118"/>
      <c r="R1757" s="118"/>
      <c r="S1757" s="118"/>
      <c r="T1757" s="12"/>
      <c r="U1757" s="118"/>
      <c r="V1757" s="118"/>
      <c r="W1757" s="12"/>
      <c r="X1757" s="119"/>
      <c r="Y1757" s="120"/>
      <c r="Z1757" s="12"/>
      <c r="BK1757" s="77"/>
      <c r="BO1757" s="77"/>
      <c r="BQ1757" s="77"/>
      <c r="BT1757" s="5"/>
      <c r="BU1757" s="5"/>
      <c r="BV1757" s="5"/>
      <c r="BW1757" s="71"/>
      <c r="BX1757" s="78"/>
      <c r="BY1757" s="64"/>
      <c r="BZ1757" s="3"/>
    </row>
    <row r="1758" spans="1:78">
      <c r="A1758" s="76"/>
      <c r="B1758" s="76"/>
      <c r="C1758" s="125"/>
      <c r="D1758" s="125"/>
      <c r="E1758" s="71"/>
      <c r="F1758" s="71"/>
      <c r="G1758" s="71"/>
      <c r="H1758" s="126"/>
      <c r="I1758" s="125"/>
      <c r="J1758" s="123"/>
      <c r="K1758" s="12"/>
      <c r="L1758" s="117"/>
      <c r="M1758" s="12"/>
      <c r="N1758" s="117"/>
      <c r="O1758" s="117"/>
      <c r="P1758" s="117"/>
      <c r="Q1758" s="118"/>
      <c r="R1758" s="118"/>
      <c r="S1758" s="118"/>
      <c r="T1758" s="12"/>
      <c r="U1758" s="118"/>
      <c r="V1758" s="118"/>
      <c r="W1758" s="12"/>
      <c r="X1758" s="119"/>
      <c r="Y1758" s="120"/>
      <c r="Z1758" s="12"/>
      <c r="BK1758" s="77"/>
      <c r="BO1758" s="77"/>
      <c r="BQ1758" s="77"/>
      <c r="BT1758" s="5"/>
      <c r="BU1758" s="5"/>
      <c r="BV1758" s="5"/>
      <c r="BW1758" s="71"/>
      <c r="BX1758" s="78"/>
      <c r="BY1758" s="64"/>
      <c r="BZ1758" s="3"/>
    </row>
    <row r="1759" spans="1:78">
      <c r="A1759" s="76"/>
      <c r="B1759" s="76"/>
      <c r="C1759" s="125"/>
      <c r="D1759" s="125"/>
      <c r="E1759" s="71"/>
      <c r="F1759" s="71"/>
      <c r="G1759" s="71"/>
      <c r="H1759" s="126"/>
      <c r="I1759" s="125"/>
      <c r="J1759" s="123"/>
      <c r="K1759" s="12"/>
      <c r="L1759" s="117"/>
      <c r="M1759" s="12"/>
      <c r="N1759" s="117"/>
      <c r="O1759" s="117"/>
      <c r="P1759" s="117"/>
      <c r="Q1759" s="118"/>
      <c r="R1759" s="118"/>
      <c r="S1759" s="118"/>
      <c r="T1759" s="12"/>
      <c r="U1759" s="118"/>
      <c r="V1759" s="118"/>
      <c r="W1759" s="12"/>
      <c r="X1759" s="119"/>
      <c r="Y1759" s="120"/>
      <c r="Z1759" s="12"/>
      <c r="BK1759" s="77"/>
      <c r="BO1759" s="77"/>
      <c r="BQ1759" s="77"/>
      <c r="BT1759" s="5"/>
      <c r="BU1759" s="5"/>
      <c r="BV1759" s="5"/>
      <c r="BW1759" s="71"/>
      <c r="BX1759" s="78"/>
      <c r="BY1759" s="64"/>
      <c r="BZ1759" s="3"/>
    </row>
    <row r="1760" spans="1:78">
      <c r="A1760" s="76"/>
      <c r="B1760" s="76"/>
      <c r="C1760" s="125"/>
      <c r="D1760" s="125"/>
      <c r="E1760" s="71"/>
      <c r="F1760" s="71"/>
      <c r="G1760" s="71"/>
      <c r="H1760" s="126"/>
      <c r="I1760" s="125"/>
      <c r="J1760" s="123"/>
      <c r="K1760" s="12"/>
      <c r="L1760" s="117"/>
      <c r="M1760" s="12"/>
      <c r="N1760" s="117"/>
      <c r="O1760" s="117"/>
      <c r="P1760" s="117"/>
      <c r="Q1760" s="118"/>
      <c r="R1760" s="118"/>
      <c r="S1760" s="118"/>
      <c r="T1760" s="12"/>
      <c r="U1760" s="118"/>
      <c r="V1760" s="118"/>
      <c r="W1760" s="12"/>
      <c r="X1760" s="119"/>
      <c r="Y1760" s="120"/>
      <c r="Z1760" s="12"/>
      <c r="BK1760" s="77"/>
      <c r="BO1760" s="77"/>
      <c r="BQ1760" s="77"/>
      <c r="BT1760" s="5"/>
      <c r="BU1760" s="5"/>
      <c r="BV1760" s="5"/>
      <c r="BW1760" s="71"/>
      <c r="BX1760" s="78"/>
      <c r="BY1760" s="64"/>
      <c r="BZ1760" s="3"/>
    </row>
    <row r="1761" spans="1:78">
      <c r="A1761" s="76"/>
      <c r="B1761" s="76"/>
      <c r="C1761" s="125"/>
      <c r="D1761" s="125"/>
      <c r="E1761" s="71"/>
      <c r="F1761" s="71"/>
      <c r="G1761" s="71"/>
      <c r="H1761" s="126"/>
      <c r="I1761" s="125"/>
      <c r="J1761" s="123"/>
      <c r="K1761" s="12"/>
      <c r="L1761" s="117"/>
      <c r="M1761" s="12"/>
      <c r="N1761" s="117"/>
      <c r="O1761" s="117"/>
      <c r="P1761" s="117"/>
      <c r="Q1761" s="118"/>
      <c r="R1761" s="118"/>
      <c r="S1761" s="118"/>
      <c r="T1761" s="12"/>
      <c r="U1761" s="118"/>
      <c r="V1761" s="118"/>
      <c r="W1761" s="12"/>
      <c r="X1761" s="119"/>
      <c r="Y1761" s="120"/>
      <c r="Z1761" s="12"/>
      <c r="BK1761" s="77"/>
      <c r="BO1761" s="77"/>
      <c r="BQ1761" s="77"/>
      <c r="BT1761" s="5"/>
      <c r="BU1761" s="5"/>
      <c r="BV1761" s="5"/>
      <c r="BW1761" s="71"/>
      <c r="BX1761" s="78"/>
      <c r="BY1761" s="64"/>
      <c r="BZ1761" s="3"/>
    </row>
    <row r="1762" spans="1:78">
      <c r="A1762" s="76"/>
      <c r="B1762" s="76"/>
      <c r="C1762" s="125"/>
      <c r="D1762" s="125"/>
      <c r="E1762" s="71"/>
      <c r="F1762" s="71"/>
      <c r="G1762" s="71"/>
      <c r="H1762" s="126"/>
      <c r="I1762" s="125"/>
      <c r="J1762" s="123"/>
      <c r="K1762" s="12"/>
      <c r="L1762" s="117"/>
      <c r="M1762" s="12"/>
      <c r="N1762" s="117"/>
      <c r="O1762" s="117"/>
      <c r="P1762" s="117"/>
      <c r="Q1762" s="118"/>
      <c r="R1762" s="118"/>
      <c r="S1762" s="118"/>
      <c r="T1762" s="12"/>
      <c r="U1762" s="118"/>
      <c r="V1762" s="118"/>
      <c r="W1762" s="12"/>
      <c r="X1762" s="119"/>
      <c r="Y1762" s="120"/>
      <c r="Z1762" s="12"/>
      <c r="BK1762" s="77"/>
      <c r="BO1762" s="77"/>
      <c r="BQ1762" s="77"/>
      <c r="BT1762" s="5"/>
      <c r="BU1762" s="5"/>
      <c r="BV1762" s="5"/>
      <c r="BW1762" s="71"/>
      <c r="BX1762" s="78"/>
      <c r="BY1762" s="64"/>
      <c r="BZ1762" s="3"/>
    </row>
    <row r="1763" spans="1:78">
      <c r="A1763" s="76"/>
      <c r="B1763" s="76"/>
      <c r="C1763" s="125"/>
      <c r="D1763" s="125"/>
      <c r="E1763" s="71"/>
      <c r="F1763" s="71"/>
      <c r="G1763" s="71"/>
      <c r="H1763" s="126"/>
      <c r="I1763" s="125"/>
      <c r="J1763" s="123"/>
      <c r="K1763" s="12"/>
      <c r="L1763" s="117"/>
      <c r="M1763" s="12"/>
      <c r="N1763" s="117"/>
      <c r="O1763" s="117"/>
      <c r="P1763" s="117"/>
      <c r="Q1763" s="118"/>
      <c r="R1763" s="118"/>
      <c r="S1763" s="118"/>
      <c r="T1763" s="12"/>
      <c r="U1763" s="118"/>
      <c r="V1763" s="118"/>
      <c r="W1763" s="12"/>
      <c r="X1763" s="119"/>
      <c r="Y1763" s="120"/>
      <c r="Z1763" s="12"/>
      <c r="BK1763" s="77"/>
      <c r="BO1763" s="77"/>
      <c r="BQ1763" s="77"/>
      <c r="BT1763" s="5"/>
      <c r="BU1763" s="5"/>
      <c r="BV1763" s="5"/>
      <c r="BW1763" s="71"/>
      <c r="BX1763" s="78"/>
      <c r="BY1763" s="64"/>
      <c r="BZ1763" s="3"/>
    </row>
    <row r="1764" spans="1:78">
      <c r="A1764" s="76"/>
      <c r="B1764" s="76"/>
      <c r="C1764" s="125"/>
      <c r="D1764" s="125"/>
      <c r="E1764" s="71"/>
      <c r="F1764" s="71"/>
      <c r="G1764" s="71"/>
      <c r="H1764" s="126"/>
      <c r="I1764" s="125"/>
      <c r="J1764" s="123"/>
      <c r="K1764" s="12"/>
      <c r="L1764" s="117"/>
      <c r="M1764" s="12"/>
      <c r="N1764" s="117"/>
      <c r="O1764" s="117"/>
      <c r="P1764" s="117"/>
      <c r="Q1764" s="118"/>
      <c r="R1764" s="118"/>
      <c r="S1764" s="118"/>
      <c r="T1764" s="12"/>
      <c r="U1764" s="118"/>
      <c r="V1764" s="118"/>
      <c r="W1764" s="12"/>
      <c r="X1764" s="119"/>
      <c r="Y1764" s="120"/>
      <c r="Z1764" s="12"/>
      <c r="BK1764" s="77"/>
      <c r="BO1764" s="77"/>
      <c r="BQ1764" s="77"/>
      <c r="BT1764" s="5"/>
      <c r="BU1764" s="5"/>
      <c r="BV1764" s="5"/>
      <c r="BW1764" s="71"/>
      <c r="BX1764" s="78"/>
      <c r="BY1764" s="64"/>
      <c r="BZ1764" s="3"/>
    </row>
    <row r="1765" spans="1:78">
      <c r="A1765" s="76"/>
      <c r="B1765" s="76"/>
      <c r="C1765" s="125"/>
      <c r="D1765" s="125"/>
      <c r="E1765" s="71"/>
      <c r="F1765" s="71"/>
      <c r="G1765" s="71"/>
      <c r="H1765" s="126"/>
      <c r="I1765" s="125"/>
      <c r="J1765" s="123"/>
      <c r="K1765" s="12"/>
      <c r="L1765" s="117"/>
      <c r="M1765" s="12"/>
      <c r="N1765" s="117"/>
      <c r="O1765" s="117"/>
      <c r="P1765" s="117"/>
      <c r="Q1765" s="118"/>
      <c r="R1765" s="118"/>
      <c r="S1765" s="118"/>
      <c r="T1765" s="12"/>
      <c r="U1765" s="118"/>
      <c r="V1765" s="118"/>
      <c r="W1765" s="12"/>
      <c r="X1765" s="119"/>
      <c r="Y1765" s="120"/>
      <c r="Z1765" s="12"/>
      <c r="BK1765" s="77"/>
      <c r="BO1765" s="77"/>
      <c r="BQ1765" s="77"/>
      <c r="BT1765" s="5"/>
      <c r="BU1765" s="5"/>
      <c r="BV1765" s="5"/>
      <c r="BW1765" s="71"/>
      <c r="BX1765" s="78"/>
      <c r="BY1765" s="64"/>
      <c r="BZ1765" s="3"/>
    </row>
    <row r="1766" spans="1:78">
      <c r="A1766" s="76"/>
      <c r="B1766" s="76"/>
      <c r="C1766" s="125"/>
      <c r="D1766" s="125"/>
      <c r="E1766" s="71"/>
      <c r="F1766" s="71"/>
      <c r="G1766" s="71"/>
      <c r="H1766" s="126"/>
      <c r="I1766" s="125"/>
      <c r="J1766" s="123"/>
      <c r="K1766" s="12"/>
      <c r="L1766" s="117"/>
      <c r="M1766" s="12"/>
      <c r="N1766" s="117"/>
      <c r="O1766" s="117"/>
      <c r="P1766" s="117"/>
      <c r="Q1766" s="118"/>
      <c r="R1766" s="118"/>
      <c r="S1766" s="118"/>
      <c r="T1766" s="12"/>
      <c r="U1766" s="118"/>
      <c r="V1766" s="118"/>
      <c r="W1766" s="12"/>
      <c r="X1766" s="119"/>
      <c r="Y1766" s="120"/>
      <c r="Z1766" s="12"/>
      <c r="BK1766" s="77"/>
      <c r="BO1766" s="77"/>
      <c r="BQ1766" s="77"/>
      <c r="BT1766" s="5"/>
      <c r="BU1766" s="5"/>
      <c r="BV1766" s="5"/>
      <c r="BW1766" s="71"/>
      <c r="BX1766" s="78"/>
      <c r="BY1766" s="64"/>
      <c r="BZ1766" s="3"/>
    </row>
    <row r="1767" spans="1:78">
      <c r="A1767" s="76"/>
      <c r="B1767" s="76"/>
      <c r="C1767" s="125"/>
      <c r="D1767" s="125"/>
      <c r="E1767" s="71"/>
      <c r="F1767" s="71"/>
      <c r="G1767" s="71"/>
      <c r="H1767" s="126"/>
      <c r="I1767" s="125"/>
      <c r="J1767" s="123"/>
      <c r="K1767" s="12"/>
      <c r="L1767" s="117"/>
      <c r="M1767" s="12"/>
      <c r="N1767" s="117"/>
      <c r="O1767" s="117"/>
      <c r="P1767" s="117"/>
      <c r="Q1767" s="118"/>
      <c r="R1767" s="118"/>
      <c r="S1767" s="118"/>
      <c r="T1767" s="12"/>
      <c r="U1767" s="118"/>
      <c r="V1767" s="118"/>
      <c r="W1767" s="12"/>
      <c r="X1767" s="119"/>
      <c r="Y1767" s="120"/>
      <c r="Z1767" s="12"/>
      <c r="BK1767" s="77"/>
      <c r="BO1767" s="77"/>
      <c r="BQ1767" s="77"/>
      <c r="BT1767" s="5"/>
      <c r="BU1767" s="5"/>
      <c r="BV1767" s="5"/>
      <c r="BW1767" s="71"/>
      <c r="BX1767" s="78"/>
      <c r="BY1767" s="64"/>
      <c r="BZ1767" s="3"/>
    </row>
    <row r="1768" spans="1:78">
      <c r="A1768" s="76"/>
      <c r="B1768" s="76"/>
      <c r="C1768" s="125"/>
      <c r="D1768" s="125"/>
      <c r="E1768" s="71"/>
      <c r="F1768" s="71"/>
      <c r="G1768" s="71"/>
      <c r="H1768" s="126"/>
      <c r="I1768" s="125"/>
      <c r="J1768" s="123"/>
      <c r="K1768" s="12"/>
      <c r="L1768" s="117"/>
      <c r="M1768" s="12"/>
      <c r="N1768" s="117"/>
      <c r="O1768" s="117"/>
      <c r="P1768" s="117"/>
      <c r="Q1768" s="118"/>
      <c r="R1768" s="118"/>
      <c r="S1768" s="118"/>
      <c r="T1768" s="12"/>
      <c r="U1768" s="118"/>
      <c r="V1768" s="118"/>
      <c r="W1768" s="12"/>
      <c r="X1768" s="119"/>
      <c r="Y1768" s="120"/>
      <c r="Z1768" s="12"/>
      <c r="BK1768" s="77"/>
      <c r="BO1768" s="77"/>
      <c r="BQ1768" s="77"/>
      <c r="BT1768" s="5"/>
      <c r="BU1768" s="5"/>
      <c r="BV1768" s="5"/>
      <c r="BW1768" s="71"/>
      <c r="BX1768" s="78"/>
      <c r="BY1768" s="64"/>
      <c r="BZ1768" s="3"/>
    </row>
    <row r="1769" spans="1:78">
      <c r="A1769" s="76"/>
      <c r="B1769" s="76"/>
      <c r="C1769" s="125"/>
      <c r="D1769" s="125"/>
      <c r="E1769" s="71"/>
      <c r="F1769" s="71"/>
      <c r="G1769" s="71"/>
      <c r="H1769" s="126"/>
      <c r="I1769" s="125"/>
      <c r="J1769" s="123"/>
      <c r="K1769" s="12"/>
      <c r="L1769" s="117"/>
      <c r="M1769" s="12"/>
      <c r="N1769" s="117"/>
      <c r="O1769" s="117"/>
      <c r="P1769" s="117"/>
      <c r="Q1769" s="118"/>
      <c r="R1769" s="118"/>
      <c r="S1769" s="118"/>
      <c r="T1769" s="12"/>
      <c r="U1769" s="118"/>
      <c r="V1769" s="118"/>
      <c r="W1769" s="12"/>
      <c r="X1769" s="119"/>
      <c r="Y1769" s="120"/>
      <c r="Z1769" s="12"/>
      <c r="BK1769" s="77"/>
      <c r="BO1769" s="77"/>
      <c r="BQ1769" s="77"/>
      <c r="BT1769" s="5"/>
      <c r="BU1769" s="5"/>
      <c r="BV1769" s="5"/>
      <c r="BW1769" s="71"/>
      <c r="BX1769" s="78"/>
      <c r="BY1769" s="64"/>
      <c r="BZ1769" s="3"/>
    </row>
    <row r="1770" spans="1:78">
      <c r="A1770" s="76"/>
      <c r="B1770" s="76"/>
      <c r="C1770" s="125"/>
      <c r="D1770" s="125"/>
      <c r="E1770" s="71"/>
      <c r="F1770" s="71"/>
      <c r="G1770" s="71"/>
      <c r="H1770" s="126"/>
      <c r="I1770" s="125"/>
      <c r="J1770" s="123"/>
      <c r="K1770" s="12"/>
      <c r="L1770" s="117"/>
      <c r="M1770" s="12"/>
      <c r="N1770" s="117"/>
      <c r="O1770" s="117"/>
      <c r="P1770" s="117"/>
      <c r="Q1770" s="118"/>
      <c r="R1770" s="118"/>
      <c r="S1770" s="118"/>
      <c r="T1770" s="12"/>
      <c r="U1770" s="118"/>
      <c r="V1770" s="118"/>
      <c r="W1770" s="12"/>
      <c r="X1770" s="119"/>
      <c r="Y1770" s="120"/>
      <c r="Z1770" s="12"/>
      <c r="BK1770" s="77"/>
      <c r="BO1770" s="77"/>
      <c r="BQ1770" s="77"/>
      <c r="BT1770" s="5"/>
      <c r="BU1770" s="5"/>
      <c r="BV1770" s="5"/>
      <c r="BW1770" s="71"/>
      <c r="BX1770" s="78"/>
      <c r="BY1770" s="64"/>
      <c r="BZ1770" s="3"/>
    </row>
    <row r="1771" spans="1:78">
      <c r="A1771" s="76"/>
      <c r="B1771" s="76"/>
      <c r="C1771" s="125"/>
      <c r="D1771" s="125"/>
      <c r="E1771" s="71"/>
      <c r="F1771" s="71"/>
      <c r="G1771" s="71"/>
      <c r="H1771" s="126"/>
      <c r="I1771" s="125"/>
      <c r="J1771" s="123"/>
      <c r="K1771" s="12"/>
      <c r="L1771" s="117"/>
      <c r="M1771" s="12"/>
      <c r="N1771" s="117"/>
      <c r="O1771" s="117"/>
      <c r="P1771" s="117"/>
      <c r="Q1771" s="118"/>
      <c r="R1771" s="118"/>
      <c r="S1771" s="118"/>
      <c r="T1771" s="12"/>
      <c r="U1771" s="118"/>
      <c r="V1771" s="118"/>
      <c r="W1771" s="12"/>
      <c r="X1771" s="119"/>
      <c r="Y1771" s="120"/>
      <c r="Z1771" s="12"/>
      <c r="BK1771" s="77"/>
      <c r="BO1771" s="77"/>
      <c r="BQ1771" s="77"/>
      <c r="BT1771" s="5"/>
      <c r="BU1771" s="5"/>
      <c r="BV1771" s="5"/>
      <c r="BW1771" s="71"/>
      <c r="BX1771" s="78"/>
      <c r="BY1771" s="64"/>
      <c r="BZ1771" s="3"/>
    </row>
    <row r="1772" spans="1:78">
      <c r="A1772" s="76"/>
      <c r="B1772" s="76"/>
      <c r="C1772" s="125"/>
      <c r="D1772" s="125"/>
      <c r="E1772" s="71"/>
      <c r="F1772" s="71"/>
      <c r="G1772" s="71"/>
      <c r="H1772" s="126"/>
      <c r="I1772" s="125"/>
      <c r="J1772" s="123"/>
      <c r="K1772" s="12"/>
      <c r="L1772" s="117"/>
      <c r="M1772" s="12"/>
      <c r="N1772" s="117"/>
      <c r="O1772" s="117"/>
      <c r="P1772" s="117"/>
      <c r="Q1772" s="118"/>
      <c r="R1772" s="118"/>
      <c r="S1772" s="118"/>
      <c r="T1772" s="12"/>
      <c r="U1772" s="118"/>
      <c r="V1772" s="118"/>
      <c r="W1772" s="12"/>
      <c r="X1772" s="119"/>
      <c r="Y1772" s="120"/>
      <c r="Z1772" s="12"/>
      <c r="BK1772" s="77"/>
      <c r="BO1772" s="77"/>
      <c r="BQ1772" s="77"/>
      <c r="BT1772" s="5"/>
      <c r="BU1772" s="5"/>
      <c r="BV1772" s="5"/>
      <c r="BW1772" s="71"/>
      <c r="BX1772" s="78"/>
      <c r="BY1772" s="64"/>
      <c r="BZ1772" s="3"/>
    </row>
    <row r="1773" spans="1:78">
      <c r="A1773" s="76"/>
      <c r="B1773" s="76"/>
      <c r="C1773" s="125"/>
      <c r="D1773" s="125"/>
      <c r="E1773" s="71"/>
      <c r="F1773" s="71"/>
      <c r="G1773" s="71"/>
      <c r="H1773" s="126"/>
      <c r="I1773" s="125"/>
      <c r="J1773" s="123"/>
      <c r="K1773" s="12"/>
      <c r="L1773" s="117"/>
      <c r="M1773" s="12"/>
      <c r="N1773" s="117"/>
      <c r="O1773" s="117"/>
      <c r="P1773" s="117"/>
      <c r="Q1773" s="118"/>
      <c r="R1773" s="118"/>
      <c r="S1773" s="118"/>
      <c r="T1773" s="12"/>
      <c r="U1773" s="118"/>
      <c r="V1773" s="118"/>
      <c r="W1773" s="12"/>
      <c r="X1773" s="119"/>
      <c r="Y1773" s="120"/>
      <c r="Z1773" s="12"/>
      <c r="BK1773" s="77"/>
      <c r="BO1773" s="77"/>
      <c r="BQ1773" s="77"/>
      <c r="BT1773" s="5"/>
      <c r="BU1773" s="5"/>
      <c r="BV1773" s="5"/>
      <c r="BW1773" s="71"/>
      <c r="BX1773" s="78"/>
      <c r="BY1773" s="64"/>
      <c r="BZ1773" s="3"/>
    </row>
    <row r="1774" spans="1:78">
      <c r="A1774" s="76"/>
      <c r="B1774" s="76"/>
      <c r="C1774" s="125"/>
      <c r="D1774" s="125"/>
      <c r="E1774" s="71"/>
      <c r="F1774" s="71"/>
      <c r="G1774" s="71"/>
      <c r="H1774" s="126"/>
      <c r="I1774" s="125"/>
      <c r="J1774" s="123"/>
      <c r="K1774" s="12"/>
      <c r="L1774" s="117"/>
      <c r="M1774" s="12"/>
      <c r="N1774" s="117"/>
      <c r="O1774" s="117"/>
      <c r="P1774" s="117"/>
      <c r="Q1774" s="118"/>
      <c r="R1774" s="118"/>
      <c r="S1774" s="118"/>
      <c r="T1774" s="12"/>
      <c r="U1774" s="118"/>
      <c r="V1774" s="118"/>
      <c r="W1774" s="12"/>
      <c r="X1774" s="119"/>
      <c r="Y1774" s="120"/>
      <c r="Z1774" s="12"/>
      <c r="BK1774" s="77"/>
      <c r="BO1774" s="77"/>
      <c r="BQ1774" s="77"/>
      <c r="BT1774" s="5"/>
      <c r="BU1774" s="5"/>
      <c r="BV1774" s="5"/>
      <c r="BW1774" s="71"/>
      <c r="BX1774" s="78"/>
      <c r="BY1774" s="64"/>
      <c r="BZ1774" s="3"/>
    </row>
    <row r="1775" spans="1:78">
      <c r="A1775" s="76"/>
      <c r="B1775" s="76"/>
      <c r="C1775" s="125"/>
      <c r="D1775" s="125"/>
      <c r="E1775" s="71"/>
      <c r="F1775" s="71"/>
      <c r="G1775" s="71"/>
      <c r="H1775" s="126"/>
      <c r="I1775" s="125"/>
      <c r="J1775" s="123"/>
      <c r="K1775" s="12"/>
      <c r="L1775" s="117"/>
      <c r="M1775" s="12"/>
      <c r="N1775" s="117"/>
      <c r="O1775" s="117"/>
      <c r="P1775" s="117"/>
      <c r="Q1775" s="118"/>
      <c r="R1775" s="118"/>
      <c r="S1775" s="118"/>
      <c r="T1775" s="12"/>
      <c r="U1775" s="118"/>
      <c r="V1775" s="118"/>
      <c r="W1775" s="12"/>
      <c r="X1775" s="119"/>
      <c r="Y1775" s="120"/>
      <c r="Z1775" s="12"/>
      <c r="BK1775" s="77"/>
      <c r="BO1775" s="77"/>
      <c r="BQ1775" s="77"/>
      <c r="BT1775" s="5"/>
      <c r="BU1775" s="5"/>
      <c r="BV1775" s="5"/>
      <c r="BW1775" s="71"/>
      <c r="BX1775" s="78"/>
      <c r="BY1775" s="64"/>
      <c r="BZ1775" s="3"/>
    </row>
    <row r="1776" spans="1:78">
      <c r="A1776" s="76"/>
      <c r="B1776" s="76"/>
      <c r="C1776" s="125"/>
      <c r="D1776" s="125"/>
      <c r="E1776" s="71"/>
      <c r="F1776" s="71"/>
      <c r="G1776" s="71"/>
      <c r="H1776" s="126"/>
      <c r="I1776" s="125"/>
      <c r="J1776" s="123"/>
      <c r="K1776" s="12"/>
      <c r="L1776" s="117"/>
      <c r="M1776" s="12"/>
      <c r="N1776" s="117"/>
      <c r="O1776" s="117"/>
      <c r="P1776" s="117"/>
      <c r="Q1776" s="118"/>
      <c r="R1776" s="118"/>
      <c r="S1776" s="118"/>
      <c r="T1776" s="12"/>
      <c r="U1776" s="118"/>
      <c r="V1776" s="118"/>
      <c r="W1776" s="12"/>
      <c r="X1776" s="119"/>
      <c r="Y1776" s="120"/>
      <c r="Z1776" s="12"/>
      <c r="BK1776" s="77"/>
      <c r="BO1776" s="77"/>
      <c r="BQ1776" s="77"/>
      <c r="BT1776" s="5"/>
      <c r="BU1776" s="5"/>
      <c r="BV1776" s="5"/>
      <c r="BW1776" s="71"/>
      <c r="BX1776" s="78"/>
      <c r="BY1776" s="64"/>
      <c r="BZ1776" s="3"/>
    </row>
    <row r="1777" spans="1:78">
      <c r="A1777" s="76"/>
      <c r="B1777" s="76"/>
      <c r="C1777" s="125"/>
      <c r="D1777" s="125"/>
      <c r="E1777" s="71"/>
      <c r="F1777" s="71"/>
      <c r="G1777" s="71"/>
      <c r="H1777" s="126"/>
      <c r="I1777" s="125"/>
      <c r="J1777" s="123"/>
      <c r="K1777" s="12"/>
      <c r="L1777" s="117"/>
      <c r="M1777" s="12"/>
      <c r="N1777" s="117"/>
      <c r="O1777" s="117"/>
      <c r="P1777" s="117"/>
      <c r="Q1777" s="118"/>
      <c r="R1777" s="118"/>
      <c r="S1777" s="118"/>
      <c r="T1777" s="12"/>
      <c r="U1777" s="118"/>
      <c r="V1777" s="118"/>
      <c r="W1777" s="12"/>
      <c r="X1777" s="119"/>
      <c r="Y1777" s="120"/>
      <c r="Z1777" s="12"/>
      <c r="BK1777" s="77"/>
      <c r="BO1777" s="77"/>
      <c r="BQ1777" s="77"/>
      <c r="BT1777" s="5"/>
      <c r="BU1777" s="5"/>
      <c r="BV1777" s="5"/>
      <c r="BW1777" s="71"/>
      <c r="BX1777" s="78"/>
      <c r="BY1777" s="64"/>
      <c r="BZ1777" s="3"/>
    </row>
    <row r="1778" spans="1:78">
      <c r="A1778" s="76"/>
      <c r="B1778" s="76"/>
      <c r="C1778" s="125"/>
      <c r="D1778" s="125"/>
      <c r="E1778" s="71"/>
      <c r="F1778" s="71"/>
      <c r="G1778" s="71"/>
      <c r="H1778" s="126"/>
      <c r="I1778" s="125"/>
      <c r="J1778" s="123"/>
      <c r="K1778" s="12"/>
      <c r="L1778" s="117"/>
      <c r="M1778" s="12"/>
      <c r="N1778" s="117"/>
      <c r="O1778" s="117"/>
      <c r="P1778" s="117"/>
      <c r="Q1778" s="118"/>
      <c r="R1778" s="118"/>
      <c r="S1778" s="118"/>
      <c r="T1778" s="12"/>
      <c r="U1778" s="118"/>
      <c r="V1778" s="118"/>
      <c r="W1778" s="12"/>
      <c r="X1778" s="119"/>
      <c r="Y1778" s="120"/>
      <c r="Z1778" s="12"/>
      <c r="BK1778" s="77"/>
      <c r="BO1778" s="77"/>
      <c r="BQ1778" s="77"/>
      <c r="BT1778" s="5"/>
      <c r="BU1778" s="5"/>
      <c r="BV1778" s="5"/>
      <c r="BW1778" s="71"/>
      <c r="BX1778" s="78"/>
      <c r="BY1778" s="64"/>
      <c r="BZ1778" s="3"/>
    </row>
    <row r="1779" spans="1:78">
      <c r="A1779" s="76"/>
      <c r="B1779" s="76"/>
      <c r="C1779" s="125"/>
      <c r="D1779" s="125"/>
      <c r="E1779" s="71"/>
      <c r="F1779" s="71"/>
      <c r="G1779" s="71"/>
      <c r="H1779" s="126"/>
      <c r="I1779" s="125"/>
      <c r="J1779" s="123"/>
      <c r="K1779" s="12"/>
      <c r="L1779" s="117"/>
      <c r="M1779" s="12"/>
      <c r="N1779" s="117"/>
      <c r="O1779" s="117"/>
      <c r="P1779" s="117"/>
      <c r="Q1779" s="118"/>
      <c r="R1779" s="118"/>
      <c r="S1779" s="118"/>
      <c r="T1779" s="12"/>
      <c r="U1779" s="118"/>
      <c r="V1779" s="118"/>
      <c r="W1779" s="12"/>
      <c r="X1779" s="119"/>
      <c r="Y1779" s="120"/>
      <c r="Z1779" s="12"/>
      <c r="BK1779" s="77"/>
      <c r="BO1779" s="77"/>
      <c r="BQ1779" s="77"/>
      <c r="BT1779" s="5"/>
      <c r="BU1779" s="5"/>
      <c r="BV1779" s="5"/>
      <c r="BW1779" s="71"/>
      <c r="BX1779" s="78"/>
      <c r="BY1779" s="64"/>
      <c r="BZ1779" s="3"/>
    </row>
    <row r="1780" spans="1:78">
      <c r="A1780" s="76"/>
      <c r="B1780" s="76"/>
      <c r="C1780" s="125"/>
      <c r="D1780" s="125"/>
      <c r="E1780" s="71"/>
      <c r="F1780" s="71"/>
      <c r="G1780" s="71"/>
      <c r="H1780" s="126"/>
      <c r="I1780" s="125"/>
      <c r="J1780" s="123"/>
      <c r="K1780" s="12"/>
      <c r="L1780" s="117"/>
      <c r="M1780" s="12"/>
      <c r="N1780" s="117"/>
      <c r="O1780" s="117"/>
      <c r="P1780" s="117"/>
      <c r="Q1780" s="118"/>
      <c r="R1780" s="118"/>
      <c r="S1780" s="118"/>
      <c r="T1780" s="12"/>
      <c r="U1780" s="118"/>
      <c r="V1780" s="118"/>
      <c r="W1780" s="12"/>
      <c r="X1780" s="119"/>
      <c r="Y1780" s="120"/>
      <c r="Z1780" s="12"/>
      <c r="BK1780" s="77"/>
      <c r="BO1780" s="77"/>
      <c r="BQ1780" s="77"/>
      <c r="BT1780" s="5"/>
      <c r="BU1780" s="5"/>
      <c r="BV1780" s="5"/>
      <c r="BW1780" s="71"/>
      <c r="BX1780" s="78"/>
      <c r="BY1780" s="64"/>
      <c r="BZ1780" s="3"/>
    </row>
    <row r="1781" spans="1:78">
      <c r="A1781" s="76"/>
      <c r="B1781" s="76"/>
      <c r="C1781" s="125"/>
      <c r="D1781" s="125"/>
      <c r="E1781" s="71"/>
      <c r="F1781" s="71"/>
      <c r="G1781" s="71"/>
      <c r="H1781" s="126"/>
      <c r="I1781" s="125"/>
      <c r="J1781" s="123"/>
      <c r="K1781" s="12"/>
      <c r="L1781" s="117"/>
      <c r="M1781" s="12"/>
      <c r="N1781" s="117"/>
      <c r="O1781" s="117"/>
      <c r="P1781" s="117"/>
      <c r="Q1781" s="118"/>
      <c r="R1781" s="118"/>
      <c r="S1781" s="118"/>
      <c r="T1781" s="12"/>
      <c r="U1781" s="118"/>
      <c r="V1781" s="118"/>
      <c r="W1781" s="12"/>
      <c r="X1781" s="119"/>
      <c r="Y1781" s="120"/>
      <c r="Z1781" s="12"/>
      <c r="BK1781" s="77"/>
      <c r="BO1781" s="77"/>
      <c r="BQ1781" s="77"/>
      <c r="BT1781" s="5"/>
      <c r="BU1781" s="5"/>
      <c r="BV1781" s="5"/>
      <c r="BW1781" s="71"/>
      <c r="BX1781" s="78"/>
      <c r="BY1781" s="64"/>
      <c r="BZ1781" s="3"/>
    </row>
    <row r="1782" spans="1:78">
      <c r="A1782" s="76"/>
      <c r="B1782" s="76"/>
      <c r="C1782" s="125"/>
      <c r="D1782" s="125"/>
      <c r="E1782" s="71"/>
      <c r="F1782" s="71"/>
      <c r="G1782" s="71"/>
      <c r="H1782" s="126"/>
      <c r="I1782" s="125"/>
      <c r="J1782" s="123"/>
      <c r="K1782" s="12"/>
      <c r="L1782" s="117"/>
      <c r="M1782" s="12"/>
      <c r="N1782" s="117"/>
      <c r="O1782" s="117"/>
      <c r="P1782" s="117"/>
      <c r="Q1782" s="118"/>
      <c r="R1782" s="118"/>
      <c r="S1782" s="118"/>
      <c r="T1782" s="12"/>
      <c r="U1782" s="118"/>
      <c r="V1782" s="118"/>
      <c r="W1782" s="12"/>
      <c r="X1782" s="119"/>
      <c r="Y1782" s="120"/>
      <c r="Z1782" s="12"/>
      <c r="BK1782" s="77"/>
      <c r="BO1782" s="77"/>
      <c r="BQ1782" s="77"/>
      <c r="BT1782" s="5"/>
      <c r="BU1782" s="5"/>
      <c r="BV1782" s="5"/>
      <c r="BW1782" s="71"/>
      <c r="BX1782" s="78"/>
      <c r="BY1782" s="64"/>
      <c r="BZ1782" s="3"/>
    </row>
    <row r="1783" spans="1:78">
      <c r="A1783" s="76"/>
      <c r="B1783" s="76"/>
      <c r="C1783" s="125"/>
      <c r="D1783" s="125"/>
      <c r="E1783" s="71"/>
      <c r="F1783" s="71"/>
      <c r="G1783" s="71"/>
      <c r="H1783" s="126"/>
      <c r="I1783" s="125"/>
      <c r="J1783" s="123"/>
      <c r="K1783" s="12"/>
      <c r="L1783" s="117"/>
      <c r="M1783" s="12"/>
      <c r="N1783" s="117"/>
      <c r="O1783" s="117"/>
      <c r="P1783" s="117"/>
      <c r="Q1783" s="118"/>
      <c r="R1783" s="118"/>
      <c r="S1783" s="118"/>
      <c r="T1783" s="12"/>
      <c r="U1783" s="118"/>
      <c r="V1783" s="118"/>
      <c r="W1783" s="12"/>
      <c r="X1783" s="119"/>
      <c r="Y1783" s="120"/>
      <c r="Z1783" s="12"/>
      <c r="BK1783" s="77"/>
      <c r="BO1783" s="77"/>
      <c r="BQ1783" s="77"/>
      <c r="BT1783" s="5"/>
      <c r="BU1783" s="5"/>
      <c r="BV1783" s="5"/>
      <c r="BW1783" s="71"/>
      <c r="BX1783" s="78"/>
      <c r="BY1783" s="64"/>
      <c r="BZ1783" s="3"/>
    </row>
    <row r="1784" spans="1:78">
      <c r="A1784" s="76"/>
      <c r="B1784" s="76"/>
      <c r="C1784" s="125"/>
      <c r="D1784" s="125"/>
      <c r="E1784" s="71"/>
      <c r="F1784" s="71"/>
      <c r="G1784" s="71"/>
      <c r="H1784" s="126"/>
      <c r="I1784" s="125"/>
      <c r="J1784" s="123"/>
      <c r="K1784" s="12"/>
      <c r="L1784" s="117"/>
      <c r="M1784" s="12"/>
      <c r="N1784" s="117"/>
      <c r="O1784" s="117"/>
      <c r="P1784" s="117"/>
      <c r="Q1784" s="118"/>
      <c r="R1784" s="118"/>
      <c r="S1784" s="118"/>
      <c r="T1784" s="12"/>
      <c r="U1784" s="118"/>
      <c r="V1784" s="118"/>
      <c r="W1784" s="12"/>
      <c r="X1784" s="119"/>
      <c r="Y1784" s="120"/>
      <c r="Z1784" s="12"/>
      <c r="BK1784" s="77"/>
      <c r="BO1784" s="77"/>
      <c r="BQ1784" s="77"/>
      <c r="BT1784" s="5"/>
      <c r="BU1784" s="5"/>
      <c r="BV1784" s="5"/>
      <c r="BW1784" s="71"/>
      <c r="BX1784" s="78"/>
      <c r="BY1784" s="64"/>
      <c r="BZ1784" s="3"/>
    </row>
    <row r="1785" spans="1:78">
      <c r="A1785" s="76"/>
      <c r="B1785" s="76"/>
      <c r="C1785" s="125"/>
      <c r="D1785" s="125"/>
      <c r="E1785" s="71"/>
      <c r="F1785" s="71"/>
      <c r="G1785" s="71"/>
      <c r="H1785" s="126"/>
      <c r="I1785" s="125"/>
      <c r="J1785" s="123"/>
      <c r="K1785" s="12"/>
      <c r="L1785" s="117"/>
      <c r="M1785" s="12"/>
      <c r="N1785" s="117"/>
      <c r="O1785" s="117"/>
      <c r="P1785" s="117"/>
      <c r="Q1785" s="118"/>
      <c r="R1785" s="118"/>
      <c r="S1785" s="118"/>
      <c r="T1785" s="12"/>
      <c r="U1785" s="118"/>
      <c r="V1785" s="118"/>
      <c r="W1785" s="12"/>
      <c r="X1785" s="119"/>
      <c r="Y1785" s="120"/>
      <c r="Z1785" s="12"/>
      <c r="BK1785" s="77"/>
      <c r="BO1785" s="77"/>
      <c r="BQ1785" s="77"/>
      <c r="BT1785" s="5"/>
      <c r="BU1785" s="5"/>
      <c r="BV1785" s="5"/>
      <c r="BW1785" s="71"/>
      <c r="BX1785" s="78"/>
      <c r="BY1785" s="64"/>
      <c r="BZ1785" s="3"/>
    </row>
    <row r="1786" spans="1:78">
      <c r="A1786" s="76"/>
      <c r="B1786" s="76"/>
      <c r="C1786" s="125"/>
      <c r="D1786" s="125"/>
      <c r="E1786" s="71"/>
      <c r="F1786" s="71"/>
      <c r="G1786" s="71"/>
      <c r="H1786" s="126"/>
      <c r="I1786" s="125"/>
      <c r="J1786" s="123"/>
      <c r="K1786" s="12"/>
      <c r="L1786" s="117"/>
      <c r="M1786" s="12"/>
      <c r="N1786" s="117"/>
      <c r="O1786" s="117"/>
      <c r="P1786" s="117"/>
      <c r="Q1786" s="118"/>
      <c r="R1786" s="118"/>
      <c r="S1786" s="118"/>
      <c r="T1786" s="12"/>
      <c r="U1786" s="118"/>
      <c r="V1786" s="118"/>
      <c r="W1786" s="12"/>
      <c r="X1786" s="119"/>
      <c r="Y1786" s="120"/>
      <c r="Z1786" s="12"/>
      <c r="BK1786" s="77"/>
      <c r="BO1786" s="77"/>
      <c r="BQ1786" s="77"/>
      <c r="BT1786" s="5"/>
      <c r="BU1786" s="5"/>
      <c r="BV1786" s="5"/>
      <c r="BW1786" s="71"/>
      <c r="BX1786" s="78"/>
      <c r="BY1786" s="64"/>
      <c r="BZ1786" s="3"/>
    </row>
    <row r="1787" spans="1:78">
      <c r="A1787" s="76"/>
      <c r="B1787" s="76"/>
      <c r="C1787" s="125"/>
      <c r="D1787" s="125"/>
      <c r="E1787" s="71"/>
      <c r="F1787" s="71"/>
      <c r="G1787" s="71"/>
      <c r="H1787" s="126"/>
      <c r="I1787" s="125"/>
      <c r="J1787" s="123"/>
      <c r="K1787" s="12"/>
      <c r="L1787" s="117"/>
      <c r="M1787" s="12"/>
      <c r="N1787" s="117"/>
      <c r="O1787" s="117"/>
      <c r="P1787" s="117"/>
      <c r="Q1787" s="118"/>
      <c r="R1787" s="118"/>
      <c r="S1787" s="118"/>
      <c r="T1787" s="12"/>
      <c r="U1787" s="118"/>
      <c r="V1787" s="118"/>
      <c r="W1787" s="12"/>
      <c r="X1787" s="119"/>
      <c r="Y1787" s="120"/>
      <c r="Z1787" s="12"/>
      <c r="BK1787" s="77"/>
      <c r="BO1787" s="77"/>
      <c r="BQ1787" s="77"/>
      <c r="BT1787" s="5"/>
      <c r="BU1787" s="5"/>
      <c r="BV1787" s="5"/>
      <c r="BW1787" s="71"/>
      <c r="BX1787" s="78"/>
      <c r="BY1787" s="64"/>
      <c r="BZ1787" s="3"/>
    </row>
    <row r="1788" spans="1:78">
      <c r="A1788" s="76"/>
      <c r="B1788" s="76"/>
      <c r="C1788" s="125"/>
      <c r="D1788" s="125"/>
      <c r="E1788" s="71"/>
      <c r="F1788" s="71"/>
      <c r="G1788" s="71"/>
      <c r="H1788" s="126"/>
      <c r="I1788" s="125"/>
      <c r="J1788" s="123"/>
      <c r="K1788" s="12"/>
      <c r="L1788" s="117"/>
      <c r="M1788" s="12"/>
      <c r="N1788" s="117"/>
      <c r="O1788" s="117"/>
      <c r="P1788" s="117"/>
      <c r="Q1788" s="118"/>
      <c r="R1788" s="118"/>
      <c r="S1788" s="118"/>
      <c r="T1788" s="12"/>
      <c r="U1788" s="118"/>
      <c r="V1788" s="118"/>
      <c r="W1788" s="12"/>
      <c r="X1788" s="119"/>
      <c r="Y1788" s="120"/>
      <c r="Z1788" s="12"/>
      <c r="BK1788" s="77"/>
      <c r="BO1788" s="77"/>
      <c r="BQ1788" s="77"/>
      <c r="BT1788" s="5"/>
      <c r="BU1788" s="5"/>
      <c r="BV1788" s="5"/>
      <c r="BW1788" s="71"/>
      <c r="BX1788" s="78"/>
      <c r="BY1788" s="64"/>
      <c r="BZ1788" s="3"/>
    </row>
    <row r="1789" spans="1:78">
      <c r="A1789" s="76"/>
      <c r="B1789" s="76"/>
      <c r="C1789" s="125"/>
      <c r="D1789" s="125"/>
      <c r="E1789" s="71"/>
      <c r="F1789" s="71"/>
      <c r="G1789" s="71"/>
      <c r="H1789" s="126"/>
      <c r="I1789" s="125"/>
      <c r="J1789" s="123"/>
      <c r="K1789" s="12"/>
      <c r="L1789" s="117"/>
      <c r="M1789" s="12"/>
      <c r="N1789" s="117"/>
      <c r="O1789" s="117"/>
      <c r="P1789" s="117"/>
      <c r="Q1789" s="118"/>
      <c r="R1789" s="118"/>
      <c r="S1789" s="118"/>
      <c r="T1789" s="12"/>
      <c r="U1789" s="118"/>
      <c r="V1789" s="118"/>
      <c r="W1789" s="12"/>
      <c r="X1789" s="119"/>
      <c r="Y1789" s="120"/>
      <c r="Z1789" s="12"/>
      <c r="BK1789" s="77"/>
      <c r="BO1789" s="77"/>
      <c r="BQ1789" s="77"/>
      <c r="BT1789" s="5"/>
      <c r="BU1789" s="5"/>
      <c r="BV1789" s="5"/>
      <c r="BW1789" s="71"/>
      <c r="BX1789" s="78"/>
      <c r="BY1789" s="64"/>
      <c r="BZ1789" s="3"/>
    </row>
    <row r="1790" spans="1:78">
      <c r="A1790" s="76"/>
      <c r="B1790" s="76"/>
      <c r="C1790" s="125"/>
      <c r="D1790" s="125"/>
      <c r="E1790" s="71"/>
      <c r="F1790" s="71"/>
      <c r="G1790" s="71"/>
      <c r="H1790" s="126"/>
      <c r="I1790" s="125"/>
      <c r="J1790" s="123"/>
      <c r="K1790" s="12"/>
      <c r="L1790" s="117"/>
      <c r="M1790" s="12"/>
      <c r="N1790" s="117"/>
      <c r="O1790" s="117"/>
      <c r="P1790" s="117"/>
      <c r="Q1790" s="118"/>
      <c r="R1790" s="118"/>
      <c r="S1790" s="118"/>
      <c r="T1790" s="12"/>
      <c r="U1790" s="118"/>
      <c r="V1790" s="118"/>
      <c r="W1790" s="12"/>
      <c r="X1790" s="119"/>
      <c r="Y1790" s="120"/>
      <c r="Z1790" s="12"/>
      <c r="BK1790" s="77"/>
      <c r="BO1790" s="77"/>
      <c r="BQ1790" s="77"/>
      <c r="BT1790" s="5"/>
      <c r="BU1790" s="5"/>
      <c r="BV1790" s="5"/>
      <c r="BW1790" s="71"/>
      <c r="BX1790" s="78"/>
      <c r="BY1790" s="64"/>
      <c r="BZ1790" s="3"/>
    </row>
    <row r="1791" spans="1:78">
      <c r="A1791" s="76"/>
      <c r="B1791" s="76"/>
      <c r="C1791" s="125"/>
      <c r="D1791" s="125"/>
      <c r="E1791" s="71"/>
      <c r="F1791" s="71"/>
      <c r="G1791" s="71"/>
      <c r="H1791" s="126"/>
      <c r="I1791" s="125"/>
      <c r="J1791" s="123"/>
      <c r="K1791" s="12"/>
      <c r="L1791" s="117"/>
      <c r="M1791" s="12"/>
      <c r="N1791" s="117"/>
      <c r="O1791" s="117"/>
      <c r="P1791" s="117"/>
      <c r="Q1791" s="118"/>
      <c r="R1791" s="118"/>
      <c r="S1791" s="118"/>
      <c r="T1791" s="12"/>
      <c r="U1791" s="118"/>
      <c r="V1791" s="118"/>
      <c r="W1791" s="12"/>
      <c r="X1791" s="119"/>
      <c r="Y1791" s="120"/>
      <c r="Z1791" s="12"/>
      <c r="BK1791" s="77"/>
      <c r="BO1791" s="77"/>
      <c r="BQ1791" s="77"/>
      <c r="BT1791" s="5"/>
      <c r="BU1791" s="5"/>
      <c r="BV1791" s="5"/>
      <c r="BW1791" s="71"/>
      <c r="BX1791" s="78"/>
      <c r="BY1791" s="64"/>
      <c r="BZ1791" s="3"/>
    </row>
    <row r="1792" spans="1:78">
      <c r="A1792" s="76"/>
      <c r="B1792" s="76"/>
      <c r="C1792" s="125"/>
      <c r="D1792" s="125"/>
      <c r="E1792" s="71"/>
      <c r="F1792" s="71"/>
      <c r="G1792" s="71"/>
      <c r="H1792" s="126"/>
      <c r="I1792" s="125"/>
      <c r="J1792" s="123"/>
      <c r="K1792" s="12"/>
      <c r="L1792" s="117"/>
      <c r="M1792" s="12"/>
      <c r="N1792" s="117"/>
      <c r="O1792" s="117"/>
      <c r="P1792" s="117"/>
      <c r="Q1792" s="118"/>
      <c r="R1792" s="118"/>
      <c r="S1792" s="118"/>
      <c r="T1792" s="12"/>
      <c r="U1792" s="118"/>
      <c r="V1792" s="118"/>
      <c r="W1792" s="12"/>
      <c r="X1792" s="119"/>
      <c r="Y1792" s="120"/>
      <c r="Z1792" s="12"/>
      <c r="BK1792" s="77"/>
      <c r="BO1792" s="77"/>
      <c r="BQ1792" s="77"/>
      <c r="BT1792" s="5"/>
      <c r="BU1792" s="5"/>
      <c r="BV1792" s="5"/>
      <c r="BW1792" s="71"/>
      <c r="BX1792" s="78"/>
      <c r="BY1792" s="64"/>
      <c r="BZ1792" s="3"/>
    </row>
    <row r="1793" spans="1:78">
      <c r="A1793" s="76"/>
      <c r="B1793" s="76"/>
      <c r="C1793" s="125"/>
      <c r="D1793" s="125"/>
      <c r="E1793" s="71"/>
      <c r="F1793" s="71"/>
      <c r="G1793" s="71"/>
      <c r="H1793" s="126"/>
      <c r="I1793" s="125"/>
      <c r="J1793" s="123"/>
      <c r="K1793" s="12"/>
      <c r="L1793" s="117"/>
      <c r="M1793" s="12"/>
      <c r="N1793" s="117"/>
      <c r="O1793" s="117"/>
      <c r="P1793" s="117"/>
      <c r="Q1793" s="118"/>
      <c r="R1793" s="118"/>
      <c r="S1793" s="118"/>
      <c r="T1793" s="12"/>
      <c r="U1793" s="118"/>
      <c r="V1793" s="118"/>
      <c r="W1793" s="12"/>
      <c r="X1793" s="119"/>
      <c r="Y1793" s="120"/>
      <c r="Z1793" s="12"/>
      <c r="BK1793" s="77"/>
      <c r="BO1793" s="77"/>
      <c r="BQ1793" s="77"/>
      <c r="BT1793" s="5"/>
      <c r="BU1793" s="5"/>
      <c r="BV1793" s="5"/>
      <c r="BW1793" s="71"/>
      <c r="BX1793" s="78"/>
      <c r="BY1793" s="64"/>
      <c r="BZ1793" s="3"/>
    </row>
    <row r="1794" spans="1:78">
      <c r="A1794" s="76"/>
      <c r="B1794" s="76"/>
      <c r="C1794" s="125"/>
      <c r="D1794" s="125"/>
      <c r="E1794" s="71"/>
      <c r="F1794" s="71"/>
      <c r="G1794" s="71"/>
      <c r="H1794" s="126"/>
      <c r="I1794" s="125"/>
      <c r="J1794" s="123"/>
      <c r="K1794" s="12"/>
      <c r="L1794" s="117"/>
      <c r="M1794" s="12"/>
      <c r="N1794" s="117"/>
      <c r="O1794" s="117"/>
      <c r="P1794" s="117"/>
      <c r="Q1794" s="118"/>
      <c r="R1794" s="118"/>
      <c r="S1794" s="118"/>
      <c r="T1794" s="12"/>
      <c r="U1794" s="118"/>
      <c r="V1794" s="118"/>
      <c r="W1794" s="12"/>
      <c r="X1794" s="119"/>
      <c r="Y1794" s="120"/>
      <c r="Z1794" s="12"/>
      <c r="BK1794" s="77"/>
      <c r="BO1794" s="77"/>
      <c r="BQ1794" s="77"/>
      <c r="BT1794" s="5"/>
      <c r="BU1794" s="5"/>
      <c r="BV1794" s="5"/>
      <c r="BW1794" s="71"/>
      <c r="BX1794" s="78"/>
      <c r="BY1794" s="64"/>
      <c r="BZ1794" s="3"/>
    </row>
    <row r="1795" spans="1:78">
      <c r="A1795" s="76"/>
      <c r="B1795" s="76"/>
      <c r="C1795" s="125"/>
      <c r="D1795" s="125"/>
      <c r="E1795" s="71"/>
      <c r="F1795" s="71"/>
      <c r="G1795" s="71"/>
      <c r="H1795" s="126"/>
      <c r="I1795" s="125"/>
      <c r="J1795" s="123"/>
      <c r="K1795" s="12"/>
      <c r="L1795" s="117"/>
      <c r="M1795" s="12"/>
      <c r="N1795" s="117"/>
      <c r="O1795" s="117"/>
      <c r="P1795" s="117"/>
      <c r="Q1795" s="118"/>
      <c r="R1795" s="118"/>
      <c r="S1795" s="118"/>
      <c r="T1795" s="12"/>
      <c r="U1795" s="118"/>
      <c r="V1795" s="118"/>
      <c r="W1795" s="12"/>
      <c r="X1795" s="119"/>
      <c r="Y1795" s="120"/>
      <c r="Z1795" s="12"/>
      <c r="BK1795" s="77"/>
      <c r="BO1795" s="77"/>
      <c r="BQ1795" s="77"/>
      <c r="BT1795" s="5"/>
      <c r="BU1795" s="5"/>
      <c r="BV1795" s="5"/>
      <c r="BW1795" s="71"/>
      <c r="BX1795" s="78"/>
      <c r="BY1795" s="64"/>
      <c r="BZ1795" s="3"/>
    </row>
    <row r="1796" spans="1:78">
      <c r="A1796" s="76"/>
      <c r="B1796" s="76"/>
      <c r="C1796" s="125"/>
      <c r="D1796" s="125"/>
      <c r="E1796" s="71"/>
      <c r="F1796" s="71"/>
      <c r="G1796" s="71"/>
      <c r="H1796" s="126"/>
      <c r="I1796" s="125"/>
      <c r="J1796" s="123"/>
      <c r="K1796" s="12"/>
      <c r="L1796" s="117"/>
      <c r="M1796" s="12"/>
      <c r="N1796" s="117"/>
      <c r="O1796" s="117"/>
      <c r="P1796" s="117"/>
      <c r="Q1796" s="118"/>
      <c r="R1796" s="118"/>
      <c r="S1796" s="118"/>
      <c r="T1796" s="12"/>
      <c r="U1796" s="118"/>
      <c r="V1796" s="118"/>
      <c r="W1796" s="12"/>
      <c r="X1796" s="119"/>
      <c r="Y1796" s="120"/>
      <c r="Z1796" s="12"/>
      <c r="BK1796" s="77"/>
      <c r="BO1796" s="77"/>
      <c r="BQ1796" s="77"/>
      <c r="BT1796" s="5"/>
      <c r="BU1796" s="5"/>
      <c r="BV1796" s="5"/>
      <c r="BW1796" s="71"/>
      <c r="BX1796" s="78"/>
      <c r="BY1796" s="64"/>
      <c r="BZ1796" s="3"/>
    </row>
    <row r="1797" spans="1:78">
      <c r="A1797" s="76"/>
      <c r="B1797" s="76"/>
      <c r="C1797" s="125"/>
      <c r="D1797" s="125"/>
      <c r="E1797" s="71"/>
      <c r="F1797" s="71"/>
      <c r="G1797" s="71"/>
      <c r="H1797" s="126"/>
      <c r="I1797" s="125"/>
      <c r="J1797" s="123"/>
      <c r="K1797" s="12"/>
      <c r="L1797" s="117"/>
      <c r="M1797" s="12"/>
      <c r="N1797" s="117"/>
      <c r="O1797" s="117"/>
      <c r="P1797" s="117"/>
      <c r="Q1797" s="118"/>
      <c r="R1797" s="118"/>
      <c r="S1797" s="118"/>
      <c r="T1797" s="12"/>
      <c r="U1797" s="118"/>
      <c r="V1797" s="118"/>
      <c r="W1797" s="12"/>
      <c r="X1797" s="119"/>
      <c r="Y1797" s="120"/>
      <c r="Z1797" s="12"/>
      <c r="BK1797" s="77"/>
      <c r="BO1797" s="77"/>
      <c r="BQ1797" s="77"/>
      <c r="BT1797" s="5"/>
      <c r="BU1797" s="5"/>
      <c r="BV1797" s="5"/>
      <c r="BW1797" s="71"/>
      <c r="BX1797" s="78"/>
      <c r="BY1797" s="64"/>
      <c r="BZ1797" s="3"/>
    </row>
    <row r="1798" spans="1:78">
      <c r="A1798" s="76"/>
      <c r="B1798" s="76"/>
      <c r="C1798" s="125"/>
      <c r="D1798" s="125"/>
      <c r="E1798" s="71"/>
      <c r="F1798" s="71"/>
      <c r="G1798" s="71"/>
      <c r="H1798" s="126"/>
      <c r="I1798" s="125"/>
      <c r="J1798" s="123"/>
      <c r="K1798" s="12"/>
      <c r="L1798" s="117"/>
      <c r="M1798" s="12"/>
      <c r="N1798" s="117"/>
      <c r="O1798" s="117"/>
      <c r="P1798" s="117"/>
      <c r="Q1798" s="118"/>
      <c r="R1798" s="118"/>
      <c r="S1798" s="118"/>
      <c r="T1798" s="12"/>
      <c r="U1798" s="118"/>
      <c r="V1798" s="118"/>
      <c r="W1798" s="12"/>
      <c r="X1798" s="119"/>
      <c r="Y1798" s="120"/>
      <c r="Z1798" s="12"/>
      <c r="BK1798" s="77"/>
      <c r="BO1798" s="77"/>
      <c r="BQ1798" s="77"/>
      <c r="BT1798" s="5"/>
      <c r="BU1798" s="5"/>
      <c r="BV1798" s="5"/>
      <c r="BW1798" s="71"/>
      <c r="BX1798" s="78"/>
      <c r="BY1798" s="64"/>
      <c r="BZ1798" s="3"/>
    </row>
    <row r="1799" spans="1:78">
      <c r="A1799" s="76"/>
      <c r="B1799" s="76"/>
      <c r="C1799" s="125"/>
      <c r="D1799" s="125"/>
      <c r="E1799" s="71"/>
      <c r="F1799" s="71"/>
      <c r="G1799" s="71"/>
      <c r="H1799" s="126"/>
      <c r="I1799" s="125"/>
      <c r="J1799" s="123"/>
      <c r="K1799" s="12"/>
      <c r="L1799" s="117"/>
      <c r="M1799" s="12"/>
      <c r="N1799" s="117"/>
      <c r="O1799" s="117"/>
      <c r="P1799" s="117"/>
      <c r="Q1799" s="118"/>
      <c r="R1799" s="118"/>
      <c r="S1799" s="118"/>
      <c r="T1799" s="12"/>
      <c r="U1799" s="118"/>
      <c r="V1799" s="118"/>
      <c r="W1799" s="12"/>
      <c r="X1799" s="119"/>
      <c r="Y1799" s="120"/>
      <c r="Z1799" s="12"/>
      <c r="BK1799" s="77"/>
      <c r="BO1799" s="77"/>
      <c r="BQ1799" s="77"/>
      <c r="BT1799" s="5"/>
      <c r="BU1799" s="5"/>
      <c r="BV1799" s="5"/>
      <c r="BW1799" s="71"/>
      <c r="BX1799" s="78"/>
      <c r="BY1799" s="64"/>
      <c r="BZ1799" s="3"/>
    </row>
    <row r="1800" spans="1:78">
      <c r="A1800" s="76"/>
      <c r="B1800" s="76"/>
      <c r="C1800" s="125"/>
      <c r="D1800" s="125"/>
      <c r="E1800" s="71"/>
      <c r="F1800" s="71"/>
      <c r="G1800" s="71"/>
      <c r="H1800" s="126"/>
      <c r="I1800" s="125"/>
      <c r="J1800" s="123"/>
      <c r="K1800" s="12"/>
      <c r="L1800" s="117"/>
      <c r="M1800" s="12"/>
      <c r="N1800" s="117"/>
      <c r="O1800" s="117"/>
      <c r="P1800" s="117"/>
      <c r="Q1800" s="118"/>
      <c r="R1800" s="118"/>
      <c r="S1800" s="118"/>
      <c r="T1800" s="12"/>
      <c r="U1800" s="118"/>
      <c r="V1800" s="118"/>
      <c r="W1800" s="12"/>
      <c r="X1800" s="119"/>
      <c r="Y1800" s="120"/>
      <c r="Z1800" s="12"/>
      <c r="BK1800" s="77"/>
      <c r="BO1800" s="77"/>
      <c r="BQ1800" s="77"/>
      <c r="BT1800" s="5"/>
      <c r="BU1800" s="5"/>
      <c r="BV1800" s="5"/>
      <c r="BW1800" s="71"/>
      <c r="BX1800" s="78"/>
      <c r="BY1800" s="64"/>
      <c r="BZ1800" s="3"/>
    </row>
    <row r="1801" spans="1:78">
      <c r="A1801" s="76"/>
      <c r="B1801" s="76"/>
      <c r="C1801" s="125"/>
      <c r="D1801" s="125"/>
      <c r="E1801" s="71"/>
      <c r="F1801" s="71"/>
      <c r="G1801" s="71"/>
      <c r="H1801" s="126"/>
      <c r="I1801" s="125"/>
      <c r="J1801" s="123"/>
      <c r="K1801" s="12"/>
      <c r="L1801" s="117"/>
      <c r="M1801" s="12"/>
      <c r="N1801" s="117"/>
      <c r="O1801" s="117"/>
      <c r="P1801" s="117"/>
      <c r="Q1801" s="118"/>
      <c r="R1801" s="118"/>
      <c r="S1801" s="118"/>
      <c r="T1801" s="12"/>
      <c r="U1801" s="118"/>
      <c r="V1801" s="118"/>
      <c r="W1801" s="12"/>
      <c r="X1801" s="119"/>
      <c r="Y1801" s="120"/>
      <c r="Z1801" s="12"/>
      <c r="BK1801" s="77"/>
      <c r="BO1801" s="77"/>
      <c r="BQ1801" s="77"/>
      <c r="BT1801" s="5"/>
      <c r="BU1801" s="5"/>
      <c r="BV1801" s="5"/>
      <c r="BW1801" s="71"/>
      <c r="BX1801" s="78"/>
      <c r="BY1801" s="64"/>
      <c r="BZ1801" s="3"/>
    </row>
    <row r="1802" spans="1:78">
      <c r="A1802" s="76"/>
      <c r="B1802" s="76"/>
      <c r="C1802" s="125"/>
      <c r="D1802" s="125"/>
      <c r="E1802" s="71"/>
      <c r="F1802" s="71"/>
      <c r="G1802" s="71"/>
      <c r="H1802" s="126"/>
      <c r="I1802" s="125"/>
      <c r="J1802" s="123"/>
      <c r="K1802" s="12"/>
      <c r="L1802" s="117"/>
      <c r="M1802" s="12"/>
      <c r="N1802" s="117"/>
      <c r="O1802" s="117"/>
      <c r="P1802" s="117"/>
      <c r="Q1802" s="118"/>
      <c r="R1802" s="118"/>
      <c r="S1802" s="118"/>
      <c r="T1802" s="12"/>
      <c r="U1802" s="118"/>
      <c r="V1802" s="118"/>
      <c r="W1802" s="12"/>
      <c r="X1802" s="119"/>
      <c r="Y1802" s="120"/>
      <c r="Z1802" s="12"/>
      <c r="BK1802" s="77"/>
      <c r="BO1802" s="77"/>
      <c r="BQ1802" s="77"/>
      <c r="BT1802" s="5"/>
      <c r="BU1802" s="5"/>
      <c r="BV1802" s="5"/>
      <c r="BW1802" s="71"/>
      <c r="BX1802" s="78"/>
      <c r="BY1802" s="64"/>
      <c r="BZ1802" s="3"/>
    </row>
    <row r="1803" spans="1:78">
      <c r="A1803" s="76"/>
      <c r="B1803" s="76"/>
      <c r="C1803" s="125"/>
      <c r="D1803" s="125"/>
      <c r="E1803" s="71"/>
      <c r="F1803" s="71"/>
      <c r="G1803" s="71"/>
      <c r="H1803" s="126"/>
      <c r="I1803" s="125"/>
      <c r="J1803" s="123"/>
      <c r="K1803" s="12"/>
      <c r="L1803" s="117"/>
      <c r="M1803" s="12"/>
      <c r="N1803" s="117"/>
      <c r="O1803" s="117"/>
      <c r="P1803" s="117"/>
      <c r="Q1803" s="118"/>
      <c r="R1803" s="118"/>
      <c r="S1803" s="118"/>
      <c r="T1803" s="12"/>
      <c r="U1803" s="118"/>
      <c r="V1803" s="118"/>
      <c r="W1803" s="12"/>
      <c r="X1803" s="119"/>
      <c r="Y1803" s="120"/>
      <c r="Z1803" s="12"/>
      <c r="BK1803" s="77"/>
      <c r="BO1803" s="77"/>
      <c r="BQ1803" s="77"/>
      <c r="BT1803" s="5"/>
      <c r="BU1803" s="5"/>
      <c r="BV1803" s="5"/>
      <c r="BW1803" s="71"/>
      <c r="BX1803" s="78"/>
      <c r="BY1803" s="64"/>
      <c r="BZ1803" s="3"/>
    </row>
    <row r="1804" spans="1:78">
      <c r="A1804" s="76"/>
      <c r="B1804" s="76"/>
      <c r="C1804" s="125"/>
      <c r="D1804" s="125"/>
      <c r="E1804" s="71"/>
      <c r="F1804" s="71"/>
      <c r="G1804" s="71"/>
      <c r="H1804" s="126"/>
      <c r="I1804" s="125"/>
      <c r="J1804" s="123"/>
      <c r="K1804" s="12"/>
      <c r="L1804" s="117"/>
      <c r="M1804" s="12"/>
      <c r="N1804" s="117"/>
      <c r="O1804" s="117"/>
      <c r="P1804" s="117"/>
      <c r="Q1804" s="118"/>
      <c r="R1804" s="118"/>
      <c r="S1804" s="118"/>
      <c r="T1804" s="12"/>
      <c r="U1804" s="118"/>
      <c r="V1804" s="118"/>
      <c r="W1804" s="12"/>
      <c r="X1804" s="119"/>
      <c r="Y1804" s="120"/>
      <c r="Z1804" s="12"/>
      <c r="BK1804" s="77"/>
      <c r="BO1804" s="77"/>
      <c r="BQ1804" s="77"/>
      <c r="BT1804" s="5"/>
      <c r="BU1804" s="5"/>
      <c r="BV1804" s="5"/>
      <c r="BW1804" s="71"/>
      <c r="BX1804" s="78"/>
      <c r="BY1804" s="64"/>
      <c r="BZ1804" s="3"/>
    </row>
    <row r="1805" spans="1:78">
      <c r="A1805" s="76"/>
      <c r="B1805" s="76"/>
      <c r="C1805" s="125"/>
      <c r="D1805" s="125"/>
      <c r="E1805" s="71"/>
      <c r="F1805" s="71"/>
      <c r="G1805" s="71"/>
      <c r="H1805" s="126"/>
      <c r="I1805" s="125"/>
      <c r="J1805" s="123"/>
      <c r="K1805" s="12"/>
      <c r="L1805" s="117"/>
      <c r="M1805" s="12"/>
      <c r="N1805" s="117"/>
      <c r="O1805" s="117"/>
      <c r="P1805" s="117"/>
      <c r="Q1805" s="118"/>
      <c r="R1805" s="118"/>
      <c r="S1805" s="118"/>
      <c r="T1805" s="12"/>
      <c r="U1805" s="118"/>
      <c r="V1805" s="118"/>
      <c r="W1805" s="12"/>
      <c r="X1805" s="119"/>
      <c r="Y1805" s="120"/>
      <c r="Z1805" s="12"/>
      <c r="BK1805" s="77"/>
      <c r="BO1805" s="77"/>
      <c r="BQ1805" s="77"/>
      <c r="BT1805" s="5"/>
      <c r="BU1805" s="5"/>
      <c r="BV1805" s="5"/>
      <c r="BW1805" s="71"/>
      <c r="BX1805" s="78"/>
      <c r="BY1805" s="64"/>
      <c r="BZ1805" s="3"/>
    </row>
    <row r="1806" spans="1:78">
      <c r="A1806" s="76"/>
      <c r="B1806" s="76"/>
      <c r="C1806" s="125"/>
      <c r="D1806" s="125"/>
      <c r="E1806" s="71"/>
      <c r="F1806" s="71"/>
      <c r="G1806" s="71"/>
      <c r="H1806" s="126"/>
      <c r="I1806" s="125"/>
      <c r="J1806" s="123"/>
      <c r="K1806" s="12"/>
      <c r="L1806" s="117"/>
      <c r="M1806" s="12"/>
      <c r="N1806" s="117"/>
      <c r="O1806" s="117"/>
      <c r="P1806" s="117"/>
      <c r="Q1806" s="118"/>
      <c r="R1806" s="118"/>
      <c r="S1806" s="118"/>
      <c r="T1806" s="12"/>
      <c r="U1806" s="118"/>
      <c r="V1806" s="118"/>
      <c r="W1806" s="12"/>
      <c r="X1806" s="119"/>
      <c r="Y1806" s="120"/>
      <c r="Z1806" s="12"/>
      <c r="BK1806" s="77"/>
      <c r="BO1806" s="77"/>
      <c r="BQ1806" s="77"/>
      <c r="BT1806" s="5"/>
      <c r="BU1806" s="5"/>
      <c r="BV1806" s="5"/>
      <c r="BW1806" s="71"/>
      <c r="BX1806" s="78"/>
      <c r="BY1806" s="64"/>
      <c r="BZ1806" s="3"/>
    </row>
    <row r="1807" spans="1:78">
      <c r="A1807" s="76"/>
      <c r="B1807" s="76"/>
      <c r="C1807" s="125"/>
      <c r="D1807" s="125"/>
      <c r="E1807" s="71"/>
      <c r="F1807" s="71"/>
      <c r="G1807" s="71"/>
      <c r="H1807" s="126"/>
      <c r="I1807" s="125"/>
      <c r="J1807" s="123"/>
      <c r="K1807" s="12"/>
      <c r="L1807" s="117"/>
      <c r="M1807" s="12"/>
      <c r="N1807" s="117"/>
      <c r="O1807" s="117"/>
      <c r="P1807" s="117"/>
      <c r="Q1807" s="118"/>
      <c r="R1807" s="118"/>
      <c r="S1807" s="118"/>
      <c r="T1807" s="12"/>
      <c r="U1807" s="118"/>
      <c r="V1807" s="118"/>
      <c r="W1807" s="12"/>
      <c r="X1807" s="119"/>
      <c r="Y1807" s="120"/>
      <c r="Z1807" s="12"/>
      <c r="BK1807" s="77"/>
      <c r="BO1807" s="77"/>
      <c r="BQ1807" s="77"/>
      <c r="BT1807" s="5"/>
      <c r="BU1807" s="5"/>
      <c r="BV1807" s="5"/>
      <c r="BW1807" s="71"/>
      <c r="BX1807" s="78"/>
      <c r="BY1807" s="64"/>
      <c r="BZ1807" s="3"/>
    </row>
    <row r="1808" spans="1:78">
      <c r="A1808" s="76"/>
      <c r="B1808" s="76"/>
      <c r="C1808" s="125"/>
      <c r="D1808" s="125"/>
      <c r="E1808" s="71"/>
      <c r="F1808" s="71"/>
      <c r="G1808" s="71"/>
      <c r="H1808" s="126"/>
      <c r="I1808" s="125"/>
      <c r="J1808" s="123"/>
      <c r="K1808" s="12"/>
      <c r="L1808" s="117"/>
      <c r="M1808" s="12"/>
      <c r="N1808" s="117"/>
      <c r="O1808" s="117"/>
      <c r="P1808" s="117"/>
      <c r="Q1808" s="118"/>
      <c r="R1808" s="118"/>
      <c r="S1808" s="118"/>
      <c r="T1808" s="12"/>
      <c r="U1808" s="118"/>
      <c r="V1808" s="118"/>
      <c r="W1808" s="12"/>
      <c r="X1808" s="119"/>
      <c r="Y1808" s="120"/>
      <c r="Z1808" s="12"/>
      <c r="BK1808" s="77"/>
      <c r="BO1808" s="77"/>
      <c r="BQ1808" s="77"/>
      <c r="BT1808" s="5"/>
      <c r="BU1808" s="5"/>
      <c r="BV1808" s="5"/>
      <c r="BW1808" s="71"/>
      <c r="BX1808" s="78"/>
      <c r="BY1808" s="64"/>
      <c r="BZ1808" s="3"/>
    </row>
    <row r="1809" spans="1:78">
      <c r="A1809" s="76"/>
      <c r="B1809" s="76"/>
      <c r="C1809" s="125"/>
      <c r="D1809" s="125"/>
      <c r="E1809" s="71"/>
      <c r="F1809" s="71"/>
      <c r="G1809" s="71"/>
      <c r="H1809" s="126"/>
      <c r="I1809" s="125"/>
      <c r="J1809" s="123"/>
      <c r="K1809" s="12"/>
      <c r="L1809" s="117"/>
      <c r="M1809" s="12"/>
      <c r="N1809" s="117"/>
      <c r="O1809" s="117"/>
      <c r="P1809" s="117"/>
      <c r="Q1809" s="118"/>
      <c r="R1809" s="118"/>
      <c r="S1809" s="118"/>
      <c r="T1809" s="12"/>
      <c r="U1809" s="118"/>
      <c r="V1809" s="118"/>
      <c r="W1809" s="12"/>
      <c r="X1809" s="119"/>
      <c r="Y1809" s="120"/>
      <c r="Z1809" s="12"/>
      <c r="BK1809" s="77"/>
      <c r="BO1809" s="77"/>
      <c r="BQ1809" s="77"/>
      <c r="BT1809" s="5"/>
      <c r="BU1809" s="5"/>
      <c r="BV1809" s="5"/>
      <c r="BW1809" s="71"/>
      <c r="BX1809" s="78"/>
      <c r="BY1809" s="64"/>
      <c r="BZ1809" s="3"/>
    </row>
    <row r="1810" spans="1:78">
      <c r="A1810" s="76"/>
      <c r="B1810" s="76"/>
      <c r="C1810" s="125"/>
      <c r="D1810" s="125"/>
      <c r="E1810" s="71"/>
      <c r="F1810" s="71"/>
      <c r="G1810" s="71"/>
      <c r="H1810" s="126"/>
      <c r="I1810" s="125"/>
      <c r="J1810" s="123"/>
      <c r="K1810" s="12"/>
      <c r="L1810" s="117"/>
      <c r="M1810" s="12"/>
      <c r="N1810" s="117"/>
      <c r="O1810" s="117"/>
      <c r="P1810" s="117"/>
      <c r="Q1810" s="118"/>
      <c r="R1810" s="118"/>
      <c r="S1810" s="118"/>
      <c r="T1810" s="12"/>
      <c r="U1810" s="118"/>
      <c r="V1810" s="118"/>
      <c r="W1810" s="12"/>
      <c r="X1810" s="119"/>
      <c r="Y1810" s="120"/>
      <c r="Z1810" s="12"/>
      <c r="BK1810" s="77"/>
      <c r="BO1810" s="77"/>
      <c r="BQ1810" s="77"/>
      <c r="BT1810" s="5"/>
      <c r="BU1810" s="5"/>
      <c r="BV1810" s="5"/>
      <c r="BW1810" s="71"/>
      <c r="BX1810" s="78"/>
      <c r="BY1810" s="64"/>
      <c r="BZ1810" s="3"/>
    </row>
    <row r="1811" spans="1:78">
      <c r="A1811" s="76"/>
      <c r="B1811" s="76"/>
      <c r="C1811" s="125"/>
      <c r="D1811" s="125"/>
      <c r="E1811" s="71"/>
      <c r="F1811" s="71"/>
      <c r="G1811" s="71"/>
      <c r="H1811" s="126"/>
      <c r="I1811" s="125"/>
      <c r="J1811" s="123"/>
      <c r="K1811" s="12"/>
      <c r="L1811" s="117"/>
      <c r="M1811" s="12"/>
      <c r="N1811" s="117"/>
      <c r="O1811" s="117"/>
      <c r="P1811" s="117"/>
      <c r="Q1811" s="118"/>
      <c r="R1811" s="118"/>
      <c r="S1811" s="118"/>
      <c r="T1811" s="12"/>
      <c r="U1811" s="118"/>
      <c r="V1811" s="118"/>
      <c r="W1811" s="12"/>
      <c r="X1811" s="119"/>
      <c r="Y1811" s="120"/>
      <c r="Z1811" s="12"/>
      <c r="BK1811" s="77"/>
      <c r="BO1811" s="77"/>
      <c r="BQ1811" s="77"/>
      <c r="BT1811" s="5"/>
      <c r="BU1811" s="5"/>
      <c r="BV1811" s="5"/>
      <c r="BW1811" s="71"/>
      <c r="BX1811" s="78"/>
      <c r="BY1811" s="64"/>
      <c r="BZ1811" s="3"/>
    </row>
    <row r="1812" spans="1:78">
      <c r="A1812" s="76"/>
      <c r="B1812" s="76"/>
      <c r="C1812" s="125"/>
      <c r="D1812" s="125"/>
      <c r="E1812" s="71"/>
      <c r="F1812" s="71"/>
      <c r="G1812" s="71"/>
      <c r="H1812" s="126"/>
      <c r="I1812" s="125"/>
      <c r="J1812" s="123"/>
      <c r="K1812" s="12"/>
      <c r="L1812" s="117"/>
      <c r="M1812" s="12"/>
      <c r="N1812" s="117"/>
      <c r="O1812" s="117"/>
      <c r="P1812" s="117"/>
      <c r="Q1812" s="118"/>
      <c r="R1812" s="118"/>
      <c r="S1812" s="118"/>
      <c r="T1812" s="12"/>
      <c r="U1812" s="118"/>
      <c r="V1812" s="118"/>
      <c r="W1812" s="12"/>
      <c r="X1812" s="119"/>
      <c r="Y1812" s="120"/>
      <c r="Z1812" s="12"/>
      <c r="BK1812" s="77"/>
      <c r="BO1812" s="77"/>
      <c r="BQ1812" s="77"/>
      <c r="BT1812" s="5"/>
      <c r="BU1812" s="5"/>
      <c r="BV1812" s="5"/>
      <c r="BW1812" s="71"/>
      <c r="BX1812" s="78"/>
      <c r="BY1812" s="64"/>
      <c r="BZ1812" s="3"/>
    </row>
    <row r="1813" spans="1:78">
      <c r="A1813" s="76"/>
      <c r="B1813" s="76"/>
      <c r="C1813" s="125"/>
      <c r="D1813" s="125"/>
      <c r="E1813" s="71"/>
      <c r="F1813" s="71"/>
      <c r="G1813" s="71"/>
      <c r="H1813" s="126"/>
      <c r="I1813" s="125"/>
      <c r="J1813" s="123"/>
      <c r="K1813" s="12"/>
      <c r="L1813" s="117"/>
      <c r="M1813" s="12"/>
      <c r="N1813" s="117"/>
      <c r="O1813" s="117"/>
      <c r="P1813" s="117"/>
      <c r="Q1813" s="118"/>
      <c r="R1813" s="118"/>
      <c r="S1813" s="118"/>
      <c r="T1813" s="12"/>
      <c r="U1813" s="118"/>
      <c r="V1813" s="118"/>
      <c r="W1813" s="12"/>
      <c r="X1813" s="119"/>
      <c r="Y1813" s="120"/>
      <c r="Z1813" s="12"/>
      <c r="BK1813" s="77"/>
      <c r="BO1813" s="77"/>
      <c r="BQ1813" s="77"/>
      <c r="BT1813" s="5"/>
      <c r="BU1813" s="5"/>
      <c r="BV1813" s="5"/>
      <c r="BW1813" s="71"/>
      <c r="BX1813" s="78"/>
      <c r="BY1813" s="64"/>
      <c r="BZ1813" s="3"/>
    </row>
    <row r="1814" spans="1:78">
      <c r="A1814" s="76"/>
      <c r="B1814" s="76"/>
      <c r="C1814" s="125"/>
      <c r="D1814" s="125"/>
      <c r="E1814" s="71"/>
      <c r="F1814" s="71"/>
      <c r="G1814" s="71"/>
      <c r="H1814" s="126"/>
      <c r="I1814" s="125"/>
      <c r="J1814" s="123"/>
      <c r="K1814" s="12"/>
      <c r="L1814" s="117"/>
      <c r="M1814" s="12"/>
      <c r="N1814" s="117"/>
      <c r="O1814" s="117"/>
      <c r="P1814" s="117"/>
      <c r="Q1814" s="118"/>
      <c r="R1814" s="118"/>
      <c r="S1814" s="118"/>
      <c r="T1814" s="12"/>
      <c r="U1814" s="118"/>
      <c r="V1814" s="118"/>
      <c r="W1814" s="12"/>
      <c r="X1814" s="119"/>
      <c r="Y1814" s="120"/>
      <c r="Z1814" s="12"/>
      <c r="BK1814" s="77"/>
      <c r="BO1814" s="77"/>
      <c r="BQ1814" s="77"/>
      <c r="BT1814" s="5"/>
      <c r="BU1814" s="5"/>
      <c r="BV1814" s="5"/>
      <c r="BW1814" s="71"/>
      <c r="BX1814" s="78"/>
      <c r="BY1814" s="64"/>
      <c r="BZ1814" s="3"/>
    </row>
    <row r="1815" spans="1:78">
      <c r="A1815" s="76"/>
      <c r="B1815" s="76"/>
      <c r="C1815" s="125"/>
      <c r="D1815" s="125"/>
      <c r="E1815" s="71"/>
      <c r="F1815" s="71"/>
      <c r="G1815" s="71"/>
      <c r="H1815" s="126"/>
      <c r="I1815" s="125"/>
      <c r="J1815" s="123"/>
      <c r="K1815" s="12"/>
      <c r="L1815" s="117"/>
      <c r="M1815" s="12"/>
      <c r="N1815" s="117"/>
      <c r="O1815" s="117"/>
      <c r="P1815" s="117"/>
      <c r="Q1815" s="118"/>
      <c r="R1815" s="118"/>
      <c r="S1815" s="118"/>
      <c r="T1815" s="12"/>
      <c r="U1815" s="118"/>
      <c r="V1815" s="118"/>
      <c r="W1815" s="12"/>
      <c r="X1815" s="119"/>
      <c r="Y1815" s="120"/>
      <c r="Z1815" s="12"/>
      <c r="BK1815" s="77"/>
      <c r="BO1815" s="77"/>
      <c r="BQ1815" s="77"/>
      <c r="BT1815" s="5"/>
      <c r="BU1815" s="5"/>
      <c r="BV1815" s="5"/>
      <c r="BW1815" s="71"/>
      <c r="BX1815" s="78"/>
      <c r="BY1815" s="64"/>
      <c r="BZ1815" s="3"/>
    </row>
    <row r="1816" spans="1:78">
      <c r="A1816" s="76"/>
      <c r="B1816" s="76"/>
      <c r="C1816" s="125"/>
      <c r="D1816" s="125"/>
      <c r="E1816" s="71"/>
      <c r="F1816" s="71"/>
      <c r="G1816" s="71"/>
      <c r="H1816" s="126"/>
      <c r="I1816" s="125"/>
      <c r="J1816" s="123"/>
      <c r="K1816" s="12"/>
      <c r="L1816" s="117"/>
      <c r="M1816" s="12"/>
      <c r="N1816" s="117"/>
      <c r="O1816" s="117"/>
      <c r="P1816" s="117"/>
      <c r="Q1816" s="118"/>
      <c r="R1816" s="118"/>
      <c r="S1816" s="118"/>
      <c r="T1816" s="12"/>
      <c r="U1816" s="118"/>
      <c r="V1816" s="118"/>
      <c r="W1816" s="12"/>
      <c r="X1816" s="119"/>
      <c r="Y1816" s="120"/>
      <c r="Z1816" s="12"/>
      <c r="BK1816" s="77"/>
      <c r="BO1816" s="77"/>
      <c r="BQ1816" s="77"/>
      <c r="BT1816" s="5"/>
      <c r="BU1816" s="5"/>
      <c r="BV1816" s="5"/>
      <c r="BW1816" s="71"/>
      <c r="BX1816" s="78"/>
      <c r="BY1816" s="64"/>
      <c r="BZ1816" s="3"/>
    </row>
    <row r="1817" spans="1:78">
      <c r="A1817" s="76"/>
      <c r="B1817" s="76"/>
      <c r="C1817" s="125"/>
      <c r="D1817" s="125"/>
      <c r="E1817" s="71"/>
      <c r="F1817" s="71"/>
      <c r="G1817" s="71"/>
      <c r="H1817" s="126"/>
      <c r="I1817" s="125"/>
      <c r="J1817" s="123"/>
      <c r="K1817" s="12"/>
      <c r="L1817" s="117"/>
      <c r="M1817" s="12"/>
      <c r="N1817" s="117"/>
      <c r="O1817" s="117"/>
      <c r="P1817" s="117"/>
      <c r="Q1817" s="118"/>
      <c r="R1817" s="118"/>
      <c r="S1817" s="118"/>
      <c r="T1817" s="12"/>
      <c r="U1817" s="118"/>
      <c r="V1817" s="118"/>
      <c r="W1817" s="12"/>
      <c r="X1817" s="119"/>
      <c r="Y1817" s="120"/>
      <c r="Z1817" s="12"/>
      <c r="BK1817" s="77"/>
      <c r="BO1817" s="77"/>
      <c r="BQ1817" s="77"/>
      <c r="BT1817" s="5"/>
      <c r="BU1817" s="5"/>
      <c r="BV1817" s="5"/>
      <c r="BW1817" s="71"/>
      <c r="BX1817" s="78"/>
      <c r="BY1817" s="64"/>
      <c r="BZ1817" s="3"/>
    </row>
    <row r="1818" spans="1:78">
      <c r="A1818" s="76"/>
      <c r="B1818" s="76"/>
      <c r="C1818" s="125"/>
      <c r="D1818" s="125"/>
      <c r="E1818" s="71"/>
      <c r="F1818" s="71"/>
      <c r="G1818" s="71"/>
      <c r="H1818" s="126"/>
      <c r="I1818" s="125"/>
      <c r="J1818" s="123"/>
      <c r="K1818" s="12"/>
      <c r="L1818" s="117"/>
      <c r="M1818" s="12"/>
      <c r="N1818" s="117"/>
      <c r="O1818" s="117"/>
      <c r="P1818" s="117"/>
      <c r="Q1818" s="118"/>
      <c r="R1818" s="118"/>
      <c r="S1818" s="118"/>
      <c r="T1818" s="12"/>
      <c r="U1818" s="118"/>
      <c r="V1818" s="118"/>
      <c r="W1818" s="12"/>
      <c r="X1818" s="119"/>
      <c r="Y1818" s="120"/>
      <c r="Z1818" s="12"/>
      <c r="BK1818" s="77"/>
      <c r="BO1818" s="77"/>
      <c r="BQ1818" s="77"/>
      <c r="BT1818" s="5"/>
      <c r="BU1818" s="5"/>
      <c r="BV1818" s="5"/>
      <c r="BW1818" s="71"/>
      <c r="BX1818" s="78"/>
      <c r="BY1818" s="64"/>
      <c r="BZ1818" s="3"/>
    </row>
    <row r="1819" spans="1:78">
      <c r="A1819" s="76"/>
      <c r="B1819" s="76"/>
      <c r="C1819" s="125"/>
      <c r="D1819" s="125"/>
      <c r="E1819" s="71"/>
      <c r="F1819" s="71"/>
      <c r="G1819" s="71"/>
      <c r="H1819" s="126"/>
      <c r="I1819" s="125"/>
      <c r="J1819" s="123"/>
      <c r="K1819" s="12"/>
      <c r="L1819" s="117"/>
      <c r="M1819" s="12"/>
      <c r="N1819" s="117"/>
      <c r="O1819" s="117"/>
      <c r="P1819" s="117"/>
      <c r="Q1819" s="118"/>
      <c r="R1819" s="118"/>
      <c r="S1819" s="118"/>
      <c r="T1819" s="12"/>
      <c r="U1819" s="118"/>
      <c r="V1819" s="118"/>
      <c r="W1819" s="12"/>
      <c r="X1819" s="119"/>
      <c r="Y1819" s="120"/>
      <c r="Z1819" s="12"/>
      <c r="BK1819" s="77"/>
      <c r="BO1819" s="77"/>
      <c r="BQ1819" s="77"/>
      <c r="BT1819" s="5"/>
      <c r="BU1819" s="5"/>
      <c r="BV1819" s="5"/>
      <c r="BW1819" s="71"/>
      <c r="BX1819" s="78"/>
      <c r="BY1819" s="64"/>
      <c r="BZ1819" s="3"/>
    </row>
    <row r="1820" spans="1:78">
      <c r="A1820" s="76"/>
      <c r="B1820" s="76"/>
      <c r="C1820" s="125"/>
      <c r="D1820" s="125"/>
      <c r="E1820" s="71"/>
      <c r="F1820" s="71"/>
      <c r="G1820" s="71"/>
      <c r="H1820" s="126"/>
      <c r="I1820" s="125"/>
      <c r="J1820" s="123"/>
      <c r="K1820" s="12"/>
      <c r="L1820" s="117"/>
      <c r="M1820" s="12"/>
      <c r="N1820" s="117"/>
      <c r="O1820" s="117"/>
      <c r="P1820" s="117"/>
      <c r="Q1820" s="118"/>
      <c r="R1820" s="118"/>
      <c r="S1820" s="118"/>
      <c r="T1820" s="12"/>
      <c r="U1820" s="118"/>
      <c r="V1820" s="118"/>
      <c r="W1820" s="12"/>
      <c r="X1820" s="119"/>
      <c r="Y1820" s="120"/>
      <c r="Z1820" s="12"/>
      <c r="BK1820" s="77"/>
      <c r="BO1820" s="77"/>
      <c r="BQ1820" s="77"/>
      <c r="BT1820" s="5"/>
      <c r="BU1820" s="5"/>
      <c r="BV1820" s="5"/>
      <c r="BW1820" s="71"/>
      <c r="BX1820" s="78"/>
      <c r="BY1820" s="64"/>
      <c r="BZ1820" s="3"/>
    </row>
    <row r="1821" spans="1:78">
      <c r="A1821" s="76"/>
      <c r="B1821" s="76"/>
      <c r="C1821" s="125"/>
      <c r="D1821" s="125"/>
      <c r="E1821" s="71"/>
      <c r="F1821" s="71"/>
      <c r="G1821" s="71"/>
      <c r="H1821" s="126"/>
      <c r="I1821" s="125"/>
      <c r="J1821" s="123"/>
      <c r="K1821" s="12"/>
      <c r="L1821" s="117"/>
      <c r="M1821" s="12"/>
      <c r="N1821" s="117"/>
      <c r="O1821" s="117"/>
      <c r="P1821" s="117"/>
      <c r="Q1821" s="118"/>
      <c r="R1821" s="118"/>
      <c r="S1821" s="118"/>
      <c r="T1821" s="12"/>
      <c r="U1821" s="118"/>
      <c r="V1821" s="118"/>
      <c r="W1821" s="12"/>
      <c r="X1821" s="119"/>
      <c r="Y1821" s="120"/>
      <c r="Z1821" s="12"/>
      <c r="BK1821" s="77"/>
      <c r="BO1821" s="77"/>
      <c r="BQ1821" s="77"/>
      <c r="BT1821" s="5"/>
      <c r="BU1821" s="5"/>
      <c r="BV1821" s="5"/>
      <c r="BW1821" s="71"/>
      <c r="BX1821" s="78"/>
      <c r="BY1821" s="64"/>
      <c r="BZ1821" s="3"/>
    </row>
    <row r="1822" spans="1:78">
      <c r="A1822" s="76"/>
      <c r="B1822" s="76"/>
      <c r="C1822" s="125"/>
      <c r="D1822" s="125"/>
      <c r="E1822" s="71"/>
      <c r="F1822" s="71"/>
      <c r="G1822" s="71"/>
      <c r="H1822" s="126"/>
      <c r="I1822" s="125"/>
      <c r="J1822" s="123"/>
      <c r="K1822" s="12"/>
      <c r="L1822" s="117"/>
      <c r="M1822" s="12"/>
      <c r="N1822" s="117"/>
      <c r="O1822" s="117"/>
      <c r="P1822" s="117"/>
      <c r="Q1822" s="118"/>
      <c r="R1822" s="118"/>
      <c r="S1822" s="118"/>
      <c r="T1822" s="12"/>
      <c r="U1822" s="118"/>
      <c r="V1822" s="118"/>
      <c r="W1822" s="12"/>
      <c r="X1822" s="119"/>
      <c r="Y1822" s="120"/>
      <c r="Z1822" s="12"/>
      <c r="BK1822" s="77"/>
      <c r="BO1822" s="77"/>
      <c r="BQ1822" s="77"/>
      <c r="BT1822" s="5"/>
      <c r="BU1822" s="5"/>
      <c r="BV1822" s="5"/>
      <c r="BW1822" s="71"/>
      <c r="BX1822" s="78"/>
      <c r="BY1822" s="64"/>
      <c r="BZ1822" s="3"/>
    </row>
    <row r="1823" spans="1:78">
      <c r="A1823" s="76"/>
      <c r="B1823" s="76"/>
      <c r="C1823" s="125"/>
      <c r="D1823" s="125"/>
      <c r="E1823" s="71"/>
      <c r="F1823" s="71"/>
      <c r="G1823" s="71"/>
      <c r="H1823" s="126"/>
      <c r="I1823" s="125"/>
      <c r="J1823" s="123"/>
      <c r="K1823" s="12"/>
      <c r="L1823" s="117"/>
      <c r="M1823" s="12"/>
      <c r="N1823" s="117"/>
      <c r="O1823" s="117"/>
      <c r="P1823" s="117"/>
      <c r="Q1823" s="118"/>
      <c r="R1823" s="118"/>
      <c r="S1823" s="118"/>
      <c r="T1823" s="12"/>
      <c r="U1823" s="118"/>
      <c r="V1823" s="118"/>
      <c r="W1823" s="12"/>
      <c r="X1823" s="119"/>
      <c r="Y1823" s="120"/>
      <c r="Z1823" s="12"/>
      <c r="BK1823" s="77"/>
      <c r="BO1823" s="77"/>
      <c r="BQ1823" s="77"/>
      <c r="BT1823" s="5"/>
      <c r="BU1823" s="5"/>
      <c r="BV1823" s="5"/>
      <c r="BW1823" s="71"/>
      <c r="BX1823" s="78"/>
      <c r="BY1823" s="64"/>
      <c r="BZ1823" s="3"/>
    </row>
    <row r="1824" spans="1:78">
      <c r="A1824" s="76"/>
      <c r="B1824" s="76"/>
      <c r="C1824" s="125"/>
      <c r="D1824" s="125"/>
      <c r="E1824" s="71"/>
      <c r="F1824" s="71"/>
      <c r="G1824" s="71"/>
      <c r="H1824" s="126"/>
      <c r="I1824" s="125"/>
      <c r="J1824" s="123"/>
      <c r="K1824" s="12"/>
      <c r="L1824" s="117"/>
      <c r="M1824" s="12"/>
      <c r="N1824" s="117"/>
      <c r="O1824" s="117"/>
      <c r="P1824" s="117"/>
      <c r="Q1824" s="118"/>
      <c r="R1824" s="118"/>
      <c r="S1824" s="118"/>
      <c r="T1824" s="12"/>
      <c r="U1824" s="118"/>
      <c r="V1824" s="118"/>
      <c r="W1824" s="12"/>
      <c r="X1824" s="119"/>
      <c r="Y1824" s="120"/>
      <c r="Z1824" s="12"/>
      <c r="BK1824" s="77"/>
      <c r="BO1824" s="77"/>
      <c r="BQ1824" s="77"/>
      <c r="BT1824" s="5"/>
      <c r="BU1824" s="5"/>
      <c r="BV1824" s="5"/>
      <c r="BW1824" s="71"/>
      <c r="BX1824" s="78"/>
      <c r="BY1824" s="64"/>
      <c r="BZ1824" s="3"/>
    </row>
    <row r="1825" spans="1:78">
      <c r="A1825" s="76"/>
      <c r="B1825" s="76"/>
      <c r="C1825" s="125"/>
      <c r="D1825" s="125"/>
      <c r="E1825" s="71"/>
      <c r="F1825" s="71"/>
      <c r="G1825" s="71"/>
      <c r="H1825" s="126"/>
      <c r="I1825" s="125"/>
      <c r="J1825" s="123"/>
      <c r="K1825" s="12"/>
      <c r="L1825" s="117"/>
      <c r="M1825" s="12"/>
      <c r="N1825" s="117"/>
      <c r="O1825" s="117"/>
      <c r="P1825" s="117"/>
      <c r="Q1825" s="118"/>
      <c r="R1825" s="118"/>
      <c r="S1825" s="118"/>
      <c r="T1825" s="12"/>
      <c r="U1825" s="118"/>
      <c r="V1825" s="118"/>
      <c r="W1825" s="12"/>
      <c r="X1825" s="119"/>
      <c r="Y1825" s="120"/>
      <c r="Z1825" s="12"/>
      <c r="BK1825" s="77"/>
      <c r="BO1825" s="77"/>
      <c r="BQ1825" s="77"/>
      <c r="BT1825" s="5"/>
      <c r="BU1825" s="5"/>
      <c r="BV1825" s="5"/>
      <c r="BW1825" s="71"/>
      <c r="BX1825" s="78"/>
      <c r="BY1825" s="64"/>
      <c r="BZ1825" s="3"/>
    </row>
    <row r="1826" spans="1:78">
      <c r="A1826" s="76"/>
      <c r="B1826" s="76"/>
      <c r="C1826" s="125"/>
      <c r="D1826" s="125"/>
      <c r="E1826" s="71"/>
      <c r="F1826" s="71"/>
      <c r="G1826" s="71"/>
      <c r="H1826" s="126"/>
      <c r="I1826" s="125"/>
      <c r="J1826" s="123"/>
      <c r="K1826" s="12"/>
      <c r="L1826" s="117"/>
      <c r="M1826" s="12"/>
      <c r="N1826" s="117"/>
      <c r="O1826" s="117"/>
      <c r="P1826" s="117"/>
      <c r="Q1826" s="118"/>
      <c r="R1826" s="118"/>
      <c r="S1826" s="118"/>
      <c r="T1826" s="12"/>
      <c r="U1826" s="118"/>
      <c r="V1826" s="118"/>
      <c r="W1826" s="12"/>
      <c r="X1826" s="119"/>
      <c r="Y1826" s="120"/>
      <c r="Z1826" s="12"/>
      <c r="BK1826" s="77"/>
      <c r="BO1826" s="77"/>
      <c r="BQ1826" s="77"/>
      <c r="BT1826" s="5"/>
      <c r="BU1826" s="5"/>
      <c r="BV1826" s="5"/>
      <c r="BW1826" s="71"/>
      <c r="BX1826" s="78"/>
      <c r="BY1826" s="64"/>
      <c r="BZ1826" s="3"/>
    </row>
    <row r="1827" spans="1:78">
      <c r="A1827" s="76"/>
      <c r="B1827" s="76"/>
      <c r="C1827" s="125"/>
      <c r="D1827" s="125"/>
      <c r="E1827" s="71"/>
      <c r="F1827" s="71"/>
      <c r="G1827" s="71"/>
      <c r="H1827" s="126"/>
      <c r="I1827" s="125"/>
      <c r="J1827" s="123"/>
      <c r="K1827" s="12"/>
      <c r="L1827" s="117"/>
      <c r="M1827" s="12"/>
      <c r="N1827" s="117"/>
      <c r="O1827" s="117"/>
      <c r="P1827" s="117"/>
      <c r="Q1827" s="118"/>
      <c r="R1827" s="118"/>
      <c r="S1827" s="118"/>
      <c r="T1827" s="12"/>
      <c r="U1827" s="118"/>
      <c r="V1827" s="118"/>
      <c r="W1827" s="12"/>
      <c r="X1827" s="119"/>
      <c r="Y1827" s="120"/>
      <c r="Z1827" s="12"/>
      <c r="BK1827" s="77"/>
      <c r="BO1827" s="77"/>
      <c r="BQ1827" s="77"/>
      <c r="BT1827" s="5"/>
      <c r="BU1827" s="5"/>
      <c r="BV1827" s="5"/>
      <c r="BW1827" s="71"/>
      <c r="BX1827" s="78"/>
      <c r="BY1827" s="64"/>
      <c r="BZ1827" s="3"/>
    </row>
    <row r="1828" spans="1:78">
      <c r="A1828" s="76"/>
      <c r="B1828" s="76"/>
      <c r="C1828" s="125"/>
      <c r="D1828" s="125"/>
      <c r="E1828" s="71"/>
      <c r="F1828" s="71"/>
      <c r="G1828" s="71"/>
      <c r="H1828" s="126"/>
      <c r="I1828" s="125"/>
      <c r="J1828" s="123"/>
      <c r="K1828" s="12"/>
      <c r="L1828" s="117"/>
      <c r="M1828" s="12"/>
      <c r="N1828" s="117"/>
      <c r="O1828" s="117"/>
      <c r="P1828" s="117"/>
      <c r="Q1828" s="118"/>
      <c r="R1828" s="118"/>
      <c r="S1828" s="118"/>
      <c r="T1828" s="12"/>
      <c r="U1828" s="118"/>
      <c r="V1828" s="118"/>
      <c r="W1828" s="12"/>
      <c r="X1828" s="119"/>
      <c r="Y1828" s="120"/>
      <c r="Z1828" s="12"/>
      <c r="BK1828" s="77"/>
      <c r="BO1828" s="77"/>
      <c r="BQ1828" s="77"/>
      <c r="BT1828" s="5"/>
      <c r="BU1828" s="5"/>
      <c r="BV1828" s="5"/>
      <c r="BW1828" s="71"/>
      <c r="BX1828" s="78"/>
      <c r="BY1828" s="64"/>
      <c r="BZ1828" s="3"/>
    </row>
    <row r="1829" spans="1:78">
      <c r="A1829" s="76"/>
      <c r="B1829" s="76"/>
      <c r="C1829" s="125"/>
      <c r="D1829" s="125"/>
      <c r="E1829" s="71"/>
      <c r="F1829" s="71"/>
      <c r="G1829" s="71"/>
      <c r="H1829" s="126"/>
      <c r="I1829" s="125"/>
      <c r="J1829" s="123"/>
      <c r="K1829" s="12"/>
      <c r="L1829" s="117"/>
      <c r="M1829" s="12"/>
      <c r="N1829" s="117"/>
      <c r="O1829" s="117"/>
      <c r="P1829" s="117"/>
      <c r="Q1829" s="118"/>
      <c r="R1829" s="118"/>
      <c r="S1829" s="118"/>
      <c r="T1829" s="12"/>
      <c r="U1829" s="118"/>
      <c r="V1829" s="118"/>
      <c r="W1829" s="12"/>
      <c r="X1829" s="119"/>
      <c r="Y1829" s="120"/>
      <c r="Z1829" s="12"/>
      <c r="BK1829" s="77"/>
      <c r="BO1829" s="77"/>
      <c r="BQ1829" s="77"/>
      <c r="BT1829" s="5"/>
      <c r="BU1829" s="5"/>
      <c r="BV1829" s="5"/>
      <c r="BW1829" s="71"/>
      <c r="BX1829" s="78"/>
      <c r="BY1829" s="64"/>
      <c r="BZ1829" s="3"/>
    </row>
    <row r="1830" spans="1:78">
      <c r="A1830" s="76"/>
      <c r="B1830" s="76"/>
      <c r="C1830" s="125"/>
      <c r="D1830" s="125"/>
      <c r="E1830" s="71"/>
      <c r="F1830" s="71"/>
      <c r="G1830" s="71"/>
      <c r="H1830" s="126"/>
      <c r="I1830" s="125"/>
      <c r="J1830" s="123"/>
      <c r="K1830" s="12"/>
      <c r="L1830" s="117"/>
      <c r="M1830" s="12"/>
      <c r="N1830" s="117"/>
      <c r="O1830" s="117"/>
      <c r="P1830" s="117"/>
      <c r="Q1830" s="118"/>
      <c r="R1830" s="118"/>
      <c r="S1830" s="118"/>
      <c r="T1830" s="12"/>
      <c r="U1830" s="118"/>
      <c r="V1830" s="118"/>
      <c r="W1830" s="12"/>
      <c r="X1830" s="119"/>
      <c r="Y1830" s="120"/>
      <c r="Z1830" s="12"/>
      <c r="BK1830" s="77"/>
      <c r="BO1830" s="77"/>
      <c r="BQ1830" s="77"/>
      <c r="BT1830" s="5"/>
      <c r="BU1830" s="5"/>
      <c r="BV1830" s="5"/>
      <c r="BW1830" s="71"/>
      <c r="BX1830" s="78"/>
      <c r="BY1830" s="64"/>
      <c r="BZ1830" s="3"/>
    </row>
    <row r="1831" spans="1:78">
      <c r="A1831" s="76"/>
      <c r="B1831" s="76"/>
      <c r="C1831" s="125"/>
      <c r="D1831" s="125"/>
      <c r="E1831" s="71"/>
      <c r="F1831" s="71"/>
      <c r="G1831" s="71"/>
      <c r="H1831" s="126"/>
      <c r="I1831" s="125"/>
      <c r="J1831" s="123"/>
      <c r="K1831" s="12"/>
      <c r="L1831" s="117"/>
      <c r="M1831" s="12"/>
      <c r="N1831" s="117"/>
      <c r="O1831" s="117"/>
      <c r="P1831" s="117"/>
      <c r="Q1831" s="118"/>
      <c r="R1831" s="118"/>
      <c r="S1831" s="118"/>
      <c r="T1831" s="12"/>
      <c r="U1831" s="118"/>
      <c r="V1831" s="118"/>
      <c r="W1831" s="12"/>
      <c r="X1831" s="119"/>
      <c r="Y1831" s="120"/>
      <c r="Z1831" s="12"/>
      <c r="BK1831" s="77"/>
      <c r="BO1831" s="77"/>
      <c r="BQ1831" s="77"/>
      <c r="BT1831" s="5"/>
      <c r="BU1831" s="5"/>
      <c r="BV1831" s="5"/>
      <c r="BW1831" s="71"/>
      <c r="BX1831" s="78"/>
      <c r="BY1831" s="64"/>
      <c r="BZ1831" s="3"/>
    </row>
    <row r="1832" spans="1:78">
      <c r="A1832" s="76"/>
      <c r="B1832" s="76"/>
      <c r="C1832" s="125"/>
      <c r="D1832" s="125"/>
      <c r="E1832" s="71"/>
      <c r="F1832" s="71"/>
      <c r="G1832" s="71"/>
      <c r="H1832" s="126"/>
      <c r="I1832" s="125"/>
      <c r="J1832" s="123"/>
      <c r="K1832" s="12"/>
      <c r="L1832" s="117"/>
      <c r="M1832" s="12"/>
      <c r="N1832" s="117"/>
      <c r="O1832" s="117"/>
      <c r="P1832" s="117"/>
      <c r="Q1832" s="118"/>
      <c r="R1832" s="118"/>
      <c r="S1832" s="118"/>
      <c r="T1832" s="12"/>
      <c r="U1832" s="118"/>
      <c r="V1832" s="118"/>
      <c r="W1832" s="12"/>
      <c r="X1832" s="119"/>
      <c r="Y1832" s="120"/>
      <c r="Z1832" s="12"/>
      <c r="BK1832" s="77"/>
      <c r="BO1832" s="77"/>
      <c r="BQ1832" s="77"/>
      <c r="BT1832" s="5"/>
      <c r="BU1832" s="5"/>
      <c r="BV1832" s="5"/>
      <c r="BW1832" s="71"/>
      <c r="BX1832" s="78"/>
      <c r="BY1832" s="64"/>
      <c r="BZ1832" s="3"/>
    </row>
    <row r="1833" spans="1:78">
      <c r="A1833" s="76"/>
      <c r="B1833" s="76"/>
      <c r="C1833" s="125"/>
      <c r="D1833" s="125"/>
      <c r="E1833" s="71"/>
      <c r="F1833" s="71"/>
      <c r="G1833" s="71"/>
      <c r="H1833" s="126"/>
      <c r="I1833" s="125"/>
      <c r="J1833" s="123"/>
      <c r="K1833" s="12"/>
      <c r="L1833" s="117"/>
      <c r="M1833" s="12"/>
      <c r="N1833" s="117"/>
      <c r="O1833" s="117"/>
      <c r="P1833" s="117"/>
      <c r="Q1833" s="118"/>
      <c r="R1833" s="118"/>
      <c r="S1833" s="118"/>
      <c r="T1833" s="12"/>
      <c r="U1833" s="118"/>
      <c r="V1833" s="118"/>
      <c r="W1833" s="12"/>
      <c r="X1833" s="119"/>
      <c r="Y1833" s="120"/>
      <c r="Z1833" s="12"/>
      <c r="BK1833" s="77"/>
      <c r="BO1833" s="77"/>
      <c r="BQ1833" s="77"/>
      <c r="BT1833" s="5"/>
      <c r="BU1833" s="5"/>
      <c r="BV1833" s="5"/>
      <c r="BW1833" s="71"/>
      <c r="BX1833" s="78"/>
      <c r="BY1833" s="64"/>
      <c r="BZ1833" s="3"/>
    </row>
    <row r="1834" spans="1:78">
      <c r="A1834" s="76"/>
      <c r="B1834" s="76"/>
      <c r="C1834" s="125"/>
      <c r="D1834" s="125"/>
      <c r="E1834" s="71"/>
      <c r="F1834" s="71"/>
      <c r="G1834" s="71"/>
      <c r="H1834" s="126"/>
      <c r="I1834" s="125"/>
      <c r="J1834" s="123"/>
      <c r="K1834" s="12"/>
      <c r="L1834" s="117"/>
      <c r="M1834" s="12"/>
      <c r="N1834" s="117"/>
      <c r="O1834" s="117"/>
      <c r="P1834" s="117"/>
      <c r="Q1834" s="118"/>
      <c r="R1834" s="118"/>
      <c r="S1834" s="118"/>
      <c r="T1834" s="12"/>
      <c r="U1834" s="118"/>
      <c r="V1834" s="118"/>
      <c r="W1834" s="12"/>
      <c r="X1834" s="119"/>
      <c r="Y1834" s="120"/>
      <c r="Z1834" s="12"/>
      <c r="BK1834" s="77"/>
      <c r="BO1834" s="77"/>
      <c r="BQ1834" s="77"/>
      <c r="BT1834" s="5"/>
      <c r="BU1834" s="5"/>
      <c r="BV1834" s="5"/>
      <c r="BW1834" s="71"/>
      <c r="BX1834" s="78"/>
      <c r="BY1834" s="64"/>
      <c r="BZ1834" s="3"/>
    </row>
    <row r="1835" spans="1:78">
      <c r="A1835" s="76"/>
      <c r="B1835" s="76"/>
      <c r="C1835" s="125"/>
      <c r="D1835" s="125"/>
      <c r="E1835" s="71"/>
      <c r="F1835" s="71"/>
      <c r="G1835" s="71"/>
      <c r="H1835" s="126"/>
      <c r="I1835" s="125"/>
      <c r="J1835" s="123"/>
      <c r="K1835" s="12"/>
      <c r="L1835" s="117"/>
      <c r="M1835" s="12"/>
      <c r="N1835" s="117"/>
      <c r="O1835" s="117"/>
      <c r="P1835" s="117"/>
      <c r="Q1835" s="118"/>
      <c r="R1835" s="118"/>
      <c r="S1835" s="118"/>
      <c r="T1835" s="12"/>
      <c r="U1835" s="118"/>
      <c r="V1835" s="118"/>
      <c r="W1835" s="12"/>
      <c r="X1835" s="119"/>
      <c r="Y1835" s="120"/>
      <c r="Z1835" s="12"/>
      <c r="BK1835" s="77"/>
      <c r="BO1835" s="77"/>
      <c r="BQ1835" s="77"/>
      <c r="BT1835" s="5"/>
      <c r="BU1835" s="5"/>
      <c r="BV1835" s="5"/>
      <c r="BW1835" s="71"/>
      <c r="BX1835" s="78"/>
      <c r="BY1835" s="64"/>
      <c r="BZ1835" s="3"/>
    </row>
    <row r="1836" spans="1:78">
      <c r="A1836" s="76"/>
      <c r="B1836" s="76"/>
      <c r="C1836" s="125"/>
      <c r="D1836" s="125"/>
      <c r="E1836" s="71"/>
      <c r="F1836" s="71"/>
      <c r="G1836" s="71"/>
      <c r="H1836" s="126"/>
      <c r="I1836" s="125"/>
      <c r="J1836" s="123"/>
      <c r="K1836" s="12"/>
      <c r="L1836" s="117"/>
      <c r="M1836" s="12"/>
      <c r="N1836" s="117"/>
      <c r="O1836" s="117"/>
      <c r="P1836" s="117"/>
      <c r="Q1836" s="118"/>
      <c r="R1836" s="118"/>
      <c r="S1836" s="118"/>
      <c r="T1836" s="12"/>
      <c r="U1836" s="118"/>
      <c r="V1836" s="118"/>
      <c r="W1836" s="12"/>
      <c r="X1836" s="119"/>
      <c r="Y1836" s="120"/>
      <c r="Z1836" s="12"/>
      <c r="BK1836" s="77"/>
      <c r="BO1836" s="77"/>
      <c r="BQ1836" s="77"/>
      <c r="BT1836" s="5"/>
      <c r="BU1836" s="5"/>
      <c r="BV1836" s="5"/>
      <c r="BW1836" s="71"/>
      <c r="BX1836" s="78"/>
      <c r="BY1836" s="64"/>
      <c r="BZ1836" s="3"/>
    </row>
    <row r="1837" spans="1:78">
      <c r="A1837" s="76"/>
      <c r="B1837" s="76"/>
      <c r="C1837" s="125"/>
      <c r="D1837" s="125"/>
      <c r="E1837" s="71"/>
      <c r="F1837" s="71"/>
      <c r="G1837" s="71"/>
      <c r="H1837" s="126"/>
      <c r="I1837" s="125"/>
      <c r="J1837" s="123"/>
      <c r="K1837" s="12"/>
      <c r="L1837" s="117"/>
      <c r="M1837" s="12"/>
      <c r="N1837" s="117"/>
      <c r="O1837" s="117"/>
      <c r="P1837" s="117"/>
      <c r="Q1837" s="118"/>
      <c r="R1837" s="118"/>
      <c r="S1837" s="118"/>
      <c r="T1837" s="12"/>
      <c r="U1837" s="118"/>
      <c r="V1837" s="118"/>
      <c r="W1837" s="12"/>
      <c r="X1837" s="119"/>
      <c r="Y1837" s="120"/>
      <c r="Z1837" s="12"/>
      <c r="BK1837" s="77"/>
      <c r="BO1837" s="77"/>
      <c r="BQ1837" s="77"/>
      <c r="BT1837" s="5"/>
      <c r="BU1837" s="5"/>
      <c r="BV1837" s="5"/>
      <c r="BW1837" s="71"/>
      <c r="BX1837" s="78"/>
      <c r="BY1837" s="64"/>
      <c r="BZ1837" s="3"/>
    </row>
    <row r="1838" spans="1:78">
      <c r="A1838" s="76"/>
      <c r="B1838" s="76"/>
      <c r="C1838" s="125"/>
      <c r="D1838" s="125"/>
      <c r="E1838" s="71"/>
      <c r="F1838" s="71"/>
      <c r="G1838" s="71"/>
      <c r="H1838" s="126"/>
      <c r="I1838" s="125"/>
      <c r="J1838" s="123"/>
      <c r="K1838" s="12"/>
      <c r="L1838" s="117"/>
      <c r="M1838" s="12"/>
      <c r="N1838" s="117"/>
      <c r="O1838" s="117"/>
      <c r="P1838" s="117"/>
      <c r="Q1838" s="118"/>
      <c r="R1838" s="118"/>
      <c r="S1838" s="118"/>
      <c r="T1838" s="12"/>
      <c r="U1838" s="118"/>
      <c r="V1838" s="118"/>
      <c r="W1838" s="12"/>
      <c r="X1838" s="119"/>
      <c r="Y1838" s="120"/>
      <c r="Z1838" s="12"/>
      <c r="BK1838" s="77"/>
      <c r="BO1838" s="77"/>
      <c r="BQ1838" s="77"/>
      <c r="BT1838" s="5"/>
      <c r="BU1838" s="5"/>
      <c r="BV1838" s="5"/>
      <c r="BW1838" s="71"/>
      <c r="BX1838" s="78"/>
      <c r="BY1838" s="64"/>
      <c r="BZ1838" s="3"/>
    </row>
    <row r="1839" spans="1:78">
      <c r="A1839" s="76"/>
      <c r="B1839" s="76"/>
      <c r="C1839" s="125"/>
      <c r="D1839" s="125"/>
      <c r="E1839" s="71"/>
      <c r="F1839" s="71"/>
      <c r="G1839" s="71"/>
      <c r="H1839" s="126"/>
      <c r="I1839" s="125"/>
      <c r="J1839" s="123"/>
      <c r="K1839" s="12"/>
      <c r="L1839" s="117"/>
      <c r="M1839" s="12"/>
      <c r="N1839" s="117"/>
      <c r="O1839" s="117"/>
      <c r="P1839" s="117"/>
      <c r="Q1839" s="118"/>
      <c r="R1839" s="118"/>
      <c r="S1839" s="118"/>
      <c r="T1839" s="12"/>
      <c r="U1839" s="118"/>
      <c r="V1839" s="118"/>
      <c r="W1839" s="12"/>
      <c r="X1839" s="119"/>
      <c r="Y1839" s="120"/>
      <c r="Z1839" s="12"/>
      <c r="BK1839" s="77"/>
      <c r="BO1839" s="77"/>
      <c r="BQ1839" s="77"/>
      <c r="BT1839" s="5"/>
      <c r="BU1839" s="5"/>
      <c r="BV1839" s="5"/>
      <c r="BW1839" s="71"/>
      <c r="BX1839" s="78"/>
      <c r="BY1839" s="64"/>
      <c r="BZ1839" s="3"/>
    </row>
    <row r="1840" spans="1:78">
      <c r="A1840" s="76"/>
      <c r="B1840" s="76"/>
      <c r="C1840" s="125"/>
      <c r="D1840" s="125"/>
      <c r="E1840" s="71"/>
      <c r="F1840" s="71"/>
      <c r="G1840" s="71"/>
      <c r="H1840" s="126"/>
      <c r="I1840" s="125"/>
      <c r="J1840" s="123"/>
      <c r="K1840" s="12"/>
      <c r="L1840" s="117"/>
      <c r="M1840" s="12"/>
      <c r="N1840" s="117"/>
      <c r="O1840" s="117"/>
      <c r="P1840" s="117"/>
      <c r="Q1840" s="118"/>
      <c r="R1840" s="118"/>
      <c r="S1840" s="118"/>
      <c r="T1840" s="12"/>
      <c r="U1840" s="118"/>
      <c r="V1840" s="118"/>
      <c r="W1840" s="12"/>
      <c r="X1840" s="119"/>
      <c r="Y1840" s="120"/>
      <c r="Z1840" s="12"/>
      <c r="BK1840" s="77"/>
      <c r="BO1840" s="77"/>
      <c r="BQ1840" s="77"/>
      <c r="BT1840" s="5"/>
      <c r="BU1840" s="5"/>
      <c r="BV1840" s="5"/>
      <c r="BW1840" s="71"/>
      <c r="BX1840" s="78"/>
      <c r="BY1840" s="64"/>
      <c r="BZ1840" s="3"/>
    </row>
    <row r="1841" spans="1:78">
      <c r="A1841" s="76"/>
      <c r="B1841" s="76"/>
      <c r="C1841" s="125"/>
      <c r="D1841" s="125"/>
      <c r="E1841" s="71"/>
      <c r="F1841" s="71"/>
      <c r="G1841" s="71"/>
      <c r="H1841" s="126"/>
      <c r="I1841" s="125"/>
      <c r="J1841" s="123"/>
      <c r="K1841" s="12"/>
      <c r="L1841" s="117"/>
      <c r="M1841" s="12"/>
      <c r="N1841" s="117"/>
      <c r="O1841" s="117"/>
      <c r="P1841" s="117"/>
      <c r="Q1841" s="118"/>
      <c r="R1841" s="118"/>
      <c r="S1841" s="118"/>
      <c r="T1841" s="12"/>
      <c r="U1841" s="118"/>
      <c r="V1841" s="118"/>
      <c r="W1841" s="12"/>
      <c r="X1841" s="119"/>
      <c r="Y1841" s="120"/>
      <c r="Z1841" s="12"/>
      <c r="BK1841" s="77"/>
      <c r="BO1841" s="77"/>
      <c r="BQ1841" s="77"/>
      <c r="BT1841" s="5"/>
      <c r="BU1841" s="5"/>
      <c r="BV1841" s="5"/>
      <c r="BW1841" s="71"/>
      <c r="BX1841" s="78"/>
      <c r="BY1841" s="64"/>
      <c r="BZ1841" s="3"/>
    </row>
    <row r="1842" spans="1:78">
      <c r="A1842" s="76"/>
      <c r="B1842" s="76"/>
      <c r="C1842" s="125"/>
      <c r="D1842" s="125"/>
      <c r="E1842" s="71"/>
      <c r="F1842" s="71"/>
      <c r="G1842" s="71"/>
      <c r="H1842" s="126"/>
      <c r="I1842" s="125"/>
      <c r="J1842" s="123"/>
      <c r="K1842" s="12"/>
      <c r="L1842" s="117"/>
      <c r="M1842" s="12"/>
      <c r="N1842" s="117"/>
      <c r="O1842" s="117"/>
      <c r="P1842" s="117"/>
      <c r="Q1842" s="118"/>
      <c r="R1842" s="118"/>
      <c r="S1842" s="118"/>
      <c r="T1842" s="12"/>
      <c r="U1842" s="118"/>
      <c r="V1842" s="118"/>
      <c r="W1842" s="12"/>
      <c r="X1842" s="119"/>
      <c r="Y1842" s="120"/>
      <c r="Z1842" s="12"/>
      <c r="BK1842" s="77"/>
      <c r="BO1842" s="77"/>
      <c r="BQ1842" s="77"/>
      <c r="BT1842" s="5"/>
      <c r="BU1842" s="5"/>
      <c r="BV1842" s="5"/>
      <c r="BW1842" s="71"/>
      <c r="BX1842" s="78"/>
      <c r="BY1842" s="64"/>
      <c r="BZ1842" s="3"/>
    </row>
    <row r="1843" spans="1:78">
      <c r="A1843" s="76"/>
      <c r="B1843" s="76"/>
      <c r="C1843" s="125"/>
      <c r="D1843" s="125"/>
      <c r="E1843" s="71"/>
      <c r="F1843" s="71"/>
      <c r="G1843" s="71"/>
      <c r="H1843" s="126"/>
      <c r="I1843" s="125"/>
      <c r="J1843" s="123"/>
      <c r="K1843" s="12"/>
      <c r="L1843" s="117"/>
      <c r="M1843" s="12"/>
      <c r="N1843" s="117"/>
      <c r="O1843" s="117"/>
      <c r="P1843" s="117"/>
      <c r="Q1843" s="118"/>
      <c r="R1843" s="118"/>
      <c r="S1843" s="118"/>
      <c r="T1843" s="12"/>
      <c r="U1843" s="118"/>
      <c r="V1843" s="118"/>
      <c r="W1843" s="12"/>
      <c r="X1843" s="119"/>
      <c r="Y1843" s="120"/>
      <c r="Z1843" s="12"/>
      <c r="BK1843" s="77"/>
      <c r="BO1843" s="77"/>
      <c r="BQ1843" s="77"/>
      <c r="BT1843" s="5"/>
      <c r="BU1843" s="5"/>
      <c r="BV1843" s="5"/>
      <c r="BW1843" s="71"/>
      <c r="BX1843" s="78"/>
      <c r="BY1843" s="64"/>
      <c r="BZ1843" s="3"/>
    </row>
    <row r="1844" spans="1:78">
      <c r="A1844" s="76"/>
      <c r="B1844" s="76"/>
      <c r="C1844" s="125"/>
      <c r="D1844" s="125"/>
      <c r="E1844" s="71"/>
      <c r="F1844" s="71"/>
      <c r="G1844" s="71"/>
      <c r="H1844" s="126"/>
      <c r="I1844" s="125"/>
      <c r="J1844" s="123"/>
      <c r="K1844" s="12"/>
      <c r="L1844" s="117"/>
      <c r="M1844" s="12"/>
      <c r="N1844" s="117"/>
      <c r="O1844" s="117"/>
      <c r="P1844" s="117"/>
      <c r="Q1844" s="118"/>
      <c r="R1844" s="118"/>
      <c r="S1844" s="118"/>
      <c r="T1844" s="12"/>
      <c r="U1844" s="118"/>
      <c r="V1844" s="118"/>
      <c r="W1844" s="12"/>
      <c r="X1844" s="119"/>
      <c r="Y1844" s="120"/>
      <c r="Z1844" s="12"/>
      <c r="BK1844" s="77"/>
      <c r="BO1844" s="77"/>
      <c r="BQ1844" s="77"/>
      <c r="BT1844" s="5"/>
      <c r="BU1844" s="5"/>
      <c r="BV1844" s="5"/>
      <c r="BW1844" s="71"/>
      <c r="BX1844" s="78"/>
      <c r="BY1844" s="64"/>
      <c r="BZ1844" s="3"/>
    </row>
    <row r="1845" spans="1:78">
      <c r="A1845" s="76"/>
      <c r="B1845" s="76"/>
      <c r="C1845" s="125"/>
      <c r="D1845" s="125"/>
      <c r="E1845" s="71"/>
      <c r="F1845" s="71"/>
      <c r="G1845" s="71"/>
      <c r="H1845" s="126"/>
      <c r="I1845" s="125"/>
      <c r="J1845" s="123"/>
      <c r="K1845" s="12"/>
      <c r="L1845" s="117"/>
      <c r="M1845" s="12"/>
      <c r="N1845" s="117"/>
      <c r="O1845" s="117"/>
      <c r="P1845" s="117"/>
      <c r="Q1845" s="118"/>
      <c r="R1845" s="118"/>
      <c r="S1845" s="118"/>
      <c r="T1845" s="12"/>
      <c r="U1845" s="118"/>
      <c r="V1845" s="118"/>
      <c r="W1845" s="12"/>
      <c r="X1845" s="119"/>
      <c r="Y1845" s="120"/>
      <c r="Z1845" s="12"/>
      <c r="BK1845" s="77"/>
      <c r="BO1845" s="77"/>
      <c r="BQ1845" s="77"/>
      <c r="BT1845" s="5"/>
      <c r="BU1845" s="5"/>
      <c r="BV1845" s="5"/>
      <c r="BW1845" s="71"/>
      <c r="BX1845" s="78"/>
      <c r="BY1845" s="64"/>
      <c r="BZ1845" s="3"/>
    </row>
    <row r="1846" spans="1:78">
      <c r="A1846" s="76"/>
      <c r="B1846" s="76"/>
      <c r="C1846" s="125"/>
      <c r="D1846" s="125"/>
      <c r="E1846" s="71"/>
      <c r="F1846" s="71"/>
      <c r="G1846" s="71"/>
      <c r="H1846" s="126"/>
      <c r="I1846" s="125"/>
      <c r="J1846" s="123"/>
      <c r="K1846" s="12"/>
      <c r="L1846" s="117"/>
      <c r="M1846" s="12"/>
      <c r="N1846" s="117"/>
      <c r="O1846" s="117"/>
      <c r="P1846" s="117"/>
      <c r="Q1846" s="118"/>
      <c r="R1846" s="118"/>
      <c r="S1846" s="118"/>
      <c r="T1846" s="12"/>
      <c r="U1846" s="118"/>
      <c r="V1846" s="118"/>
      <c r="W1846" s="12"/>
      <c r="X1846" s="119"/>
      <c r="Y1846" s="120"/>
      <c r="Z1846" s="12"/>
      <c r="BK1846" s="77"/>
      <c r="BO1846" s="77"/>
      <c r="BQ1846" s="77"/>
      <c r="BT1846" s="5"/>
      <c r="BU1846" s="5"/>
      <c r="BV1846" s="5"/>
      <c r="BW1846" s="71"/>
      <c r="BX1846" s="78"/>
      <c r="BY1846" s="64"/>
      <c r="BZ1846" s="3"/>
    </row>
    <row r="1847" spans="1:78">
      <c r="A1847" s="76"/>
      <c r="B1847" s="76"/>
      <c r="C1847" s="125"/>
      <c r="D1847" s="125"/>
      <c r="E1847" s="71"/>
      <c r="F1847" s="71"/>
      <c r="G1847" s="71"/>
      <c r="H1847" s="126"/>
      <c r="I1847" s="125"/>
      <c r="J1847" s="123"/>
      <c r="K1847" s="12"/>
      <c r="L1847" s="117"/>
      <c r="M1847" s="12"/>
      <c r="N1847" s="117"/>
      <c r="O1847" s="117"/>
      <c r="P1847" s="117"/>
      <c r="Q1847" s="118"/>
      <c r="R1847" s="118"/>
      <c r="S1847" s="118"/>
      <c r="T1847" s="12"/>
      <c r="U1847" s="118"/>
      <c r="V1847" s="118"/>
      <c r="W1847" s="12"/>
      <c r="X1847" s="119"/>
      <c r="Y1847" s="120"/>
      <c r="Z1847" s="12"/>
      <c r="BK1847" s="77"/>
      <c r="BO1847" s="77"/>
      <c r="BQ1847" s="77"/>
      <c r="BT1847" s="5"/>
      <c r="BU1847" s="5"/>
      <c r="BV1847" s="5"/>
      <c r="BW1847" s="71"/>
      <c r="BX1847" s="78"/>
      <c r="BY1847" s="64"/>
      <c r="BZ1847" s="3"/>
    </row>
    <row r="1848" spans="1:78">
      <c r="A1848" s="76"/>
      <c r="B1848" s="76"/>
      <c r="C1848" s="125"/>
      <c r="D1848" s="125"/>
      <c r="E1848" s="71"/>
      <c r="F1848" s="71"/>
      <c r="G1848" s="71"/>
      <c r="H1848" s="126"/>
      <c r="I1848" s="125"/>
      <c r="J1848" s="123"/>
      <c r="K1848" s="12"/>
      <c r="L1848" s="117"/>
      <c r="M1848" s="12"/>
      <c r="N1848" s="117"/>
      <c r="O1848" s="117"/>
      <c r="P1848" s="117"/>
      <c r="Q1848" s="118"/>
      <c r="R1848" s="118"/>
      <c r="S1848" s="118"/>
      <c r="T1848" s="12"/>
      <c r="U1848" s="118"/>
      <c r="V1848" s="118"/>
      <c r="W1848" s="12"/>
      <c r="X1848" s="119"/>
      <c r="Y1848" s="120"/>
      <c r="Z1848" s="12"/>
      <c r="BK1848" s="77"/>
      <c r="BO1848" s="77"/>
      <c r="BQ1848" s="77"/>
      <c r="BT1848" s="5"/>
      <c r="BU1848" s="5"/>
      <c r="BV1848" s="5"/>
      <c r="BW1848" s="71"/>
      <c r="BX1848" s="78"/>
      <c r="BY1848" s="64"/>
      <c r="BZ1848" s="3"/>
    </row>
    <row r="1849" spans="1:78">
      <c r="A1849" s="76"/>
      <c r="B1849" s="76"/>
      <c r="C1849" s="125"/>
      <c r="D1849" s="125"/>
      <c r="E1849" s="71"/>
      <c r="F1849" s="71"/>
      <c r="G1849" s="71"/>
      <c r="H1849" s="126"/>
      <c r="I1849" s="125"/>
      <c r="J1849" s="123"/>
      <c r="K1849" s="12"/>
      <c r="L1849" s="117"/>
      <c r="M1849" s="12"/>
      <c r="N1849" s="117"/>
      <c r="O1849" s="117"/>
      <c r="P1849" s="117"/>
      <c r="Q1849" s="118"/>
      <c r="R1849" s="118"/>
      <c r="S1849" s="118"/>
      <c r="T1849" s="12"/>
      <c r="U1849" s="118"/>
      <c r="V1849" s="118"/>
      <c r="W1849" s="12"/>
      <c r="X1849" s="119"/>
      <c r="Y1849" s="120"/>
      <c r="Z1849" s="12"/>
      <c r="BK1849" s="77"/>
      <c r="BO1849" s="77"/>
      <c r="BQ1849" s="77"/>
      <c r="BT1849" s="5"/>
      <c r="BU1849" s="5"/>
      <c r="BV1849" s="5"/>
      <c r="BW1849" s="71"/>
      <c r="BX1849" s="78"/>
      <c r="BY1849" s="64"/>
      <c r="BZ1849" s="3"/>
    </row>
    <row r="1850" spans="1:78">
      <c r="A1850" s="76"/>
      <c r="B1850" s="76"/>
      <c r="C1850" s="125"/>
      <c r="D1850" s="125"/>
      <c r="E1850" s="71"/>
      <c r="F1850" s="71"/>
      <c r="G1850" s="71"/>
      <c r="H1850" s="126"/>
      <c r="I1850" s="125"/>
      <c r="J1850" s="123"/>
      <c r="K1850" s="12"/>
      <c r="L1850" s="117"/>
      <c r="M1850" s="12"/>
      <c r="N1850" s="117"/>
      <c r="O1850" s="117"/>
      <c r="P1850" s="117"/>
      <c r="Q1850" s="118"/>
      <c r="R1850" s="118"/>
      <c r="S1850" s="118"/>
      <c r="T1850" s="12"/>
      <c r="U1850" s="118"/>
      <c r="V1850" s="118"/>
      <c r="W1850" s="12"/>
      <c r="X1850" s="119"/>
      <c r="Y1850" s="120"/>
      <c r="Z1850" s="12"/>
      <c r="BK1850" s="77"/>
      <c r="BO1850" s="77"/>
      <c r="BQ1850" s="77"/>
      <c r="BT1850" s="5"/>
      <c r="BU1850" s="5"/>
      <c r="BV1850" s="5"/>
      <c r="BW1850" s="71"/>
      <c r="BX1850" s="78"/>
      <c r="BY1850" s="64"/>
      <c r="BZ1850" s="3"/>
    </row>
    <row r="1851" spans="1:78">
      <c r="A1851" s="76"/>
      <c r="B1851" s="76"/>
      <c r="C1851" s="125"/>
      <c r="D1851" s="125"/>
      <c r="E1851" s="71"/>
      <c r="F1851" s="71"/>
      <c r="G1851" s="71"/>
      <c r="H1851" s="126"/>
      <c r="I1851" s="125"/>
      <c r="J1851" s="123"/>
      <c r="K1851" s="12"/>
      <c r="L1851" s="117"/>
      <c r="M1851" s="12"/>
      <c r="N1851" s="117"/>
      <c r="O1851" s="117"/>
      <c r="P1851" s="117"/>
      <c r="Q1851" s="118"/>
      <c r="R1851" s="118"/>
      <c r="S1851" s="118"/>
      <c r="T1851" s="12"/>
      <c r="U1851" s="118"/>
      <c r="V1851" s="118"/>
      <c r="W1851" s="12"/>
      <c r="X1851" s="119"/>
      <c r="Y1851" s="120"/>
      <c r="Z1851" s="12"/>
      <c r="BK1851" s="77"/>
      <c r="BO1851" s="77"/>
      <c r="BQ1851" s="77"/>
      <c r="BT1851" s="5"/>
      <c r="BU1851" s="5"/>
      <c r="BV1851" s="5"/>
      <c r="BW1851" s="71"/>
      <c r="BX1851" s="78"/>
      <c r="BY1851" s="64"/>
      <c r="BZ1851" s="3"/>
    </row>
    <row r="1852" spans="1:78">
      <c r="A1852" s="76"/>
      <c r="B1852" s="76"/>
      <c r="C1852" s="125"/>
      <c r="D1852" s="125"/>
      <c r="E1852" s="71"/>
      <c r="F1852" s="71"/>
      <c r="G1852" s="71"/>
      <c r="H1852" s="126"/>
      <c r="I1852" s="125"/>
      <c r="J1852" s="123"/>
      <c r="K1852" s="12"/>
      <c r="L1852" s="117"/>
      <c r="M1852" s="12"/>
      <c r="N1852" s="117"/>
      <c r="O1852" s="117"/>
      <c r="P1852" s="117"/>
      <c r="Q1852" s="118"/>
      <c r="R1852" s="118"/>
      <c r="S1852" s="118"/>
      <c r="T1852" s="12"/>
      <c r="U1852" s="118"/>
      <c r="V1852" s="118"/>
      <c r="W1852" s="12"/>
      <c r="X1852" s="119"/>
      <c r="Y1852" s="120"/>
      <c r="Z1852" s="12"/>
      <c r="BK1852" s="77"/>
      <c r="BO1852" s="77"/>
      <c r="BQ1852" s="77"/>
      <c r="BT1852" s="5"/>
      <c r="BU1852" s="5"/>
      <c r="BV1852" s="5"/>
      <c r="BW1852" s="71"/>
      <c r="BX1852" s="78"/>
      <c r="BY1852" s="64"/>
      <c r="BZ1852" s="3"/>
    </row>
    <row r="1853" spans="1:78">
      <c r="A1853" s="76"/>
      <c r="B1853" s="76"/>
      <c r="C1853" s="125"/>
      <c r="D1853" s="125"/>
      <c r="E1853" s="71"/>
      <c r="F1853" s="71"/>
      <c r="G1853" s="71"/>
      <c r="H1853" s="126"/>
      <c r="I1853" s="125"/>
      <c r="J1853" s="123"/>
      <c r="K1853" s="12"/>
      <c r="L1853" s="117"/>
      <c r="M1853" s="12"/>
      <c r="N1853" s="117"/>
      <c r="O1853" s="117"/>
      <c r="P1853" s="117"/>
      <c r="Q1853" s="118"/>
      <c r="R1853" s="118"/>
      <c r="S1853" s="118"/>
      <c r="T1853" s="12"/>
      <c r="U1853" s="118"/>
      <c r="V1853" s="118"/>
      <c r="W1853" s="12"/>
      <c r="X1853" s="119"/>
      <c r="Y1853" s="120"/>
      <c r="Z1853" s="12"/>
      <c r="BK1853" s="77"/>
      <c r="BO1853" s="77"/>
      <c r="BQ1853" s="77"/>
      <c r="BT1853" s="5"/>
      <c r="BU1853" s="5"/>
      <c r="BV1853" s="5"/>
      <c r="BW1853" s="71"/>
      <c r="BX1853" s="78"/>
      <c r="BY1853" s="64"/>
      <c r="BZ1853" s="3"/>
    </row>
    <row r="1854" spans="1:78">
      <c r="A1854" s="76"/>
      <c r="B1854" s="76"/>
      <c r="C1854" s="125"/>
      <c r="D1854" s="125"/>
      <c r="E1854" s="71"/>
      <c r="F1854" s="71"/>
      <c r="G1854" s="71"/>
      <c r="H1854" s="126"/>
      <c r="I1854" s="125"/>
      <c r="J1854" s="123"/>
      <c r="K1854" s="12"/>
      <c r="L1854" s="117"/>
      <c r="M1854" s="12"/>
      <c r="N1854" s="117"/>
      <c r="O1854" s="117"/>
      <c r="P1854" s="117"/>
      <c r="Q1854" s="118"/>
      <c r="R1854" s="118"/>
      <c r="S1854" s="118"/>
      <c r="T1854" s="12"/>
      <c r="U1854" s="118"/>
      <c r="V1854" s="118"/>
      <c r="W1854" s="12"/>
      <c r="X1854" s="119"/>
      <c r="Y1854" s="120"/>
      <c r="Z1854" s="12"/>
      <c r="BK1854" s="77"/>
      <c r="BO1854" s="77"/>
      <c r="BQ1854" s="77"/>
      <c r="BT1854" s="5"/>
      <c r="BU1854" s="5"/>
      <c r="BV1854" s="5"/>
      <c r="BW1854" s="71"/>
      <c r="BX1854" s="78"/>
      <c r="BY1854" s="64"/>
      <c r="BZ1854" s="3"/>
    </row>
    <row r="1855" spans="1:78">
      <c r="A1855" s="76"/>
      <c r="B1855" s="76"/>
      <c r="C1855" s="125"/>
      <c r="D1855" s="125"/>
      <c r="E1855" s="71"/>
      <c r="F1855" s="71"/>
      <c r="G1855" s="71"/>
      <c r="H1855" s="126"/>
      <c r="I1855" s="125"/>
      <c r="J1855" s="123"/>
      <c r="K1855" s="12"/>
      <c r="L1855" s="117"/>
      <c r="M1855" s="12"/>
      <c r="N1855" s="117"/>
      <c r="O1855" s="117"/>
      <c r="P1855" s="117"/>
      <c r="Q1855" s="118"/>
      <c r="R1855" s="118"/>
      <c r="S1855" s="118"/>
      <c r="T1855" s="12"/>
      <c r="U1855" s="118"/>
      <c r="V1855" s="118"/>
      <c r="W1855" s="12"/>
      <c r="X1855" s="119"/>
      <c r="Y1855" s="120"/>
      <c r="Z1855" s="12"/>
      <c r="BK1855" s="77"/>
      <c r="BO1855" s="77"/>
      <c r="BQ1855" s="77"/>
      <c r="BT1855" s="5"/>
      <c r="BU1855" s="5"/>
      <c r="BV1855" s="5"/>
      <c r="BW1855" s="71"/>
      <c r="BX1855" s="78"/>
      <c r="BY1855" s="64"/>
      <c r="BZ1855" s="3"/>
    </row>
    <row r="1856" spans="1:78">
      <c r="A1856" s="76"/>
      <c r="B1856" s="76"/>
      <c r="C1856" s="125"/>
      <c r="D1856" s="125"/>
      <c r="E1856" s="71"/>
      <c r="F1856" s="71"/>
      <c r="G1856" s="71"/>
      <c r="H1856" s="126"/>
      <c r="I1856" s="125"/>
      <c r="J1856" s="123"/>
      <c r="K1856" s="12"/>
      <c r="L1856" s="117"/>
      <c r="M1856" s="12"/>
      <c r="N1856" s="117"/>
      <c r="O1856" s="117"/>
      <c r="P1856" s="117"/>
      <c r="Q1856" s="118"/>
      <c r="R1856" s="118"/>
      <c r="S1856" s="118"/>
      <c r="T1856" s="12"/>
      <c r="U1856" s="118"/>
      <c r="V1856" s="118"/>
      <c r="W1856" s="12"/>
      <c r="X1856" s="119"/>
      <c r="Y1856" s="120"/>
      <c r="Z1856" s="12"/>
      <c r="BK1856" s="77"/>
      <c r="BO1856" s="77"/>
      <c r="BQ1856" s="77"/>
      <c r="BT1856" s="5"/>
      <c r="BU1856" s="5"/>
      <c r="BV1856" s="5"/>
      <c r="BW1856" s="71"/>
      <c r="BX1856" s="78"/>
      <c r="BY1856" s="64"/>
      <c r="BZ1856" s="3"/>
    </row>
    <row r="1857" spans="1:78">
      <c r="A1857" s="76"/>
      <c r="B1857" s="76"/>
      <c r="C1857" s="125"/>
      <c r="D1857" s="125"/>
      <c r="E1857" s="71"/>
      <c r="F1857" s="71"/>
      <c r="G1857" s="71"/>
      <c r="H1857" s="126"/>
      <c r="I1857" s="125"/>
      <c r="J1857" s="123"/>
      <c r="K1857" s="12"/>
      <c r="L1857" s="117"/>
      <c r="M1857" s="12"/>
      <c r="N1857" s="117"/>
      <c r="O1857" s="117"/>
      <c r="P1857" s="117"/>
      <c r="Q1857" s="118"/>
      <c r="R1857" s="118"/>
      <c r="S1857" s="118"/>
      <c r="T1857" s="12"/>
      <c r="U1857" s="118"/>
      <c r="V1857" s="118"/>
      <c r="W1857" s="12"/>
      <c r="X1857" s="119"/>
      <c r="Y1857" s="120"/>
      <c r="Z1857" s="12"/>
      <c r="BK1857" s="77"/>
      <c r="BO1857" s="77"/>
      <c r="BQ1857" s="77"/>
      <c r="BT1857" s="5"/>
      <c r="BU1857" s="5"/>
      <c r="BV1857" s="5"/>
      <c r="BW1857" s="71"/>
      <c r="BX1857" s="78"/>
      <c r="BY1857" s="64"/>
      <c r="BZ1857" s="3"/>
    </row>
    <row r="1858" spans="1:78">
      <c r="A1858" s="76"/>
      <c r="B1858" s="76"/>
      <c r="C1858" s="125"/>
      <c r="D1858" s="125"/>
      <c r="E1858" s="71"/>
      <c r="F1858" s="71"/>
      <c r="G1858" s="71"/>
      <c r="H1858" s="126"/>
      <c r="I1858" s="125"/>
      <c r="J1858" s="123"/>
      <c r="K1858" s="12"/>
      <c r="L1858" s="117"/>
      <c r="M1858" s="12"/>
      <c r="N1858" s="117"/>
      <c r="O1858" s="117"/>
      <c r="P1858" s="117"/>
      <c r="Q1858" s="118"/>
      <c r="R1858" s="118"/>
      <c r="S1858" s="118"/>
      <c r="T1858" s="12"/>
      <c r="U1858" s="118"/>
      <c r="V1858" s="118"/>
      <c r="W1858" s="12"/>
      <c r="X1858" s="119"/>
      <c r="Y1858" s="120"/>
      <c r="Z1858" s="12"/>
      <c r="BK1858" s="77"/>
      <c r="BO1858" s="77"/>
      <c r="BQ1858" s="77"/>
      <c r="BT1858" s="5"/>
      <c r="BU1858" s="5"/>
      <c r="BV1858" s="5"/>
      <c r="BW1858" s="71"/>
      <c r="BX1858" s="78"/>
      <c r="BY1858" s="64"/>
      <c r="BZ1858" s="3"/>
    </row>
    <row r="1859" spans="1:78">
      <c r="A1859" s="76"/>
      <c r="B1859" s="76"/>
      <c r="C1859" s="125"/>
      <c r="D1859" s="125"/>
      <c r="E1859" s="71"/>
      <c r="F1859" s="71"/>
      <c r="G1859" s="71"/>
      <c r="H1859" s="126"/>
      <c r="I1859" s="125"/>
      <c r="J1859" s="123"/>
      <c r="K1859" s="12"/>
      <c r="L1859" s="117"/>
      <c r="M1859" s="12"/>
      <c r="N1859" s="117"/>
      <c r="O1859" s="117"/>
      <c r="P1859" s="117"/>
      <c r="Q1859" s="118"/>
      <c r="R1859" s="118"/>
      <c r="S1859" s="118"/>
      <c r="T1859" s="12"/>
      <c r="U1859" s="118"/>
      <c r="V1859" s="118"/>
      <c r="W1859" s="12"/>
      <c r="X1859" s="119"/>
      <c r="Y1859" s="120"/>
      <c r="Z1859" s="12"/>
      <c r="BK1859" s="77"/>
      <c r="BO1859" s="77"/>
      <c r="BQ1859" s="77"/>
      <c r="BT1859" s="5"/>
      <c r="BU1859" s="5"/>
      <c r="BV1859" s="5"/>
      <c r="BW1859" s="71"/>
      <c r="BX1859" s="78"/>
      <c r="BY1859" s="64"/>
      <c r="BZ1859" s="3"/>
    </row>
    <row r="1860" spans="1:78">
      <c r="A1860" s="76"/>
      <c r="B1860" s="76"/>
      <c r="C1860" s="125"/>
      <c r="D1860" s="125"/>
      <c r="E1860" s="71"/>
      <c r="F1860" s="71"/>
      <c r="G1860" s="71"/>
      <c r="H1860" s="126"/>
      <c r="I1860" s="125"/>
      <c r="J1860" s="123"/>
      <c r="K1860" s="12"/>
      <c r="L1860" s="117"/>
      <c r="M1860" s="12"/>
      <c r="N1860" s="117"/>
      <c r="O1860" s="117"/>
      <c r="P1860" s="117"/>
      <c r="Q1860" s="118"/>
      <c r="R1860" s="118"/>
      <c r="S1860" s="118"/>
      <c r="T1860" s="12"/>
      <c r="U1860" s="118"/>
      <c r="V1860" s="118"/>
      <c r="W1860" s="12"/>
      <c r="X1860" s="119"/>
      <c r="Y1860" s="120"/>
      <c r="Z1860" s="12"/>
      <c r="BK1860" s="77"/>
      <c r="BO1860" s="77"/>
      <c r="BQ1860" s="77"/>
      <c r="BT1860" s="5"/>
      <c r="BU1860" s="5"/>
      <c r="BV1860" s="5"/>
      <c r="BW1860" s="71"/>
      <c r="BX1860" s="78"/>
      <c r="BY1860" s="64"/>
      <c r="BZ1860" s="3"/>
    </row>
    <row r="1861" spans="1:78">
      <c r="A1861" s="76"/>
      <c r="B1861" s="76"/>
      <c r="C1861" s="125"/>
      <c r="D1861" s="125"/>
      <c r="E1861" s="71"/>
      <c r="F1861" s="71"/>
      <c r="G1861" s="71"/>
      <c r="H1861" s="126"/>
      <c r="I1861" s="125"/>
      <c r="J1861" s="123"/>
      <c r="K1861" s="12"/>
      <c r="L1861" s="117"/>
      <c r="M1861" s="12"/>
      <c r="N1861" s="117"/>
      <c r="O1861" s="117"/>
      <c r="P1861" s="117"/>
      <c r="Q1861" s="118"/>
      <c r="R1861" s="118"/>
      <c r="S1861" s="118"/>
      <c r="T1861" s="12"/>
      <c r="U1861" s="118"/>
      <c r="V1861" s="118"/>
      <c r="W1861" s="12"/>
      <c r="X1861" s="119"/>
      <c r="Y1861" s="120"/>
      <c r="Z1861" s="12"/>
      <c r="BK1861" s="77"/>
      <c r="BO1861" s="77"/>
      <c r="BQ1861" s="77"/>
      <c r="BT1861" s="5"/>
      <c r="BU1861" s="5"/>
      <c r="BV1861" s="5"/>
      <c r="BW1861" s="71"/>
      <c r="BX1861" s="78"/>
      <c r="BY1861" s="64"/>
      <c r="BZ1861" s="3"/>
    </row>
    <row r="1862" spans="1:78">
      <c r="A1862" s="76"/>
      <c r="B1862" s="76"/>
      <c r="C1862" s="125"/>
      <c r="D1862" s="125"/>
      <c r="E1862" s="71"/>
      <c r="F1862" s="71"/>
      <c r="G1862" s="71"/>
      <c r="H1862" s="126"/>
      <c r="I1862" s="125"/>
      <c r="J1862" s="123"/>
      <c r="K1862" s="12"/>
      <c r="L1862" s="117"/>
      <c r="M1862" s="12"/>
      <c r="N1862" s="117"/>
      <c r="O1862" s="117"/>
      <c r="P1862" s="117"/>
      <c r="Q1862" s="118"/>
      <c r="R1862" s="118"/>
      <c r="S1862" s="118"/>
      <c r="T1862" s="12"/>
      <c r="U1862" s="118"/>
      <c r="V1862" s="118"/>
      <c r="W1862" s="12"/>
      <c r="X1862" s="119"/>
      <c r="Y1862" s="120"/>
      <c r="Z1862" s="12"/>
      <c r="BK1862" s="77"/>
      <c r="BO1862" s="77"/>
      <c r="BQ1862" s="77"/>
      <c r="BT1862" s="5"/>
      <c r="BU1862" s="5"/>
      <c r="BV1862" s="5"/>
      <c r="BW1862" s="71"/>
      <c r="BX1862" s="78"/>
      <c r="BY1862" s="64"/>
      <c r="BZ1862" s="3"/>
    </row>
    <row r="1863" spans="1:78">
      <c r="A1863" s="76"/>
      <c r="B1863" s="76"/>
      <c r="C1863" s="125"/>
      <c r="D1863" s="125"/>
      <c r="E1863" s="71"/>
      <c r="F1863" s="71"/>
      <c r="G1863" s="71"/>
      <c r="H1863" s="126"/>
      <c r="I1863" s="125"/>
      <c r="J1863" s="123"/>
      <c r="K1863" s="12"/>
      <c r="L1863" s="117"/>
      <c r="M1863" s="12"/>
      <c r="N1863" s="117"/>
      <c r="O1863" s="117"/>
      <c r="P1863" s="117"/>
      <c r="Q1863" s="118"/>
      <c r="R1863" s="118"/>
      <c r="S1863" s="118"/>
      <c r="T1863" s="12"/>
      <c r="U1863" s="118"/>
      <c r="V1863" s="118"/>
      <c r="W1863" s="12"/>
      <c r="X1863" s="119"/>
      <c r="Y1863" s="120"/>
      <c r="Z1863" s="12"/>
      <c r="BK1863" s="77"/>
      <c r="BO1863" s="77"/>
      <c r="BQ1863" s="77"/>
      <c r="BT1863" s="5"/>
      <c r="BU1863" s="5"/>
      <c r="BV1863" s="5"/>
      <c r="BW1863" s="71"/>
      <c r="BX1863" s="78"/>
      <c r="BY1863" s="64"/>
      <c r="BZ1863" s="3"/>
    </row>
    <row r="1864" spans="1:78">
      <c r="A1864" s="76"/>
      <c r="B1864" s="76"/>
      <c r="C1864" s="125"/>
      <c r="D1864" s="125"/>
      <c r="E1864" s="71"/>
      <c r="F1864" s="71"/>
      <c r="G1864" s="71"/>
      <c r="H1864" s="126"/>
      <c r="I1864" s="125"/>
      <c r="J1864" s="123"/>
      <c r="K1864" s="12"/>
      <c r="L1864" s="117"/>
      <c r="M1864" s="12"/>
      <c r="N1864" s="117"/>
      <c r="O1864" s="117"/>
      <c r="P1864" s="117"/>
      <c r="Q1864" s="118"/>
      <c r="R1864" s="118"/>
      <c r="S1864" s="118"/>
      <c r="T1864" s="12"/>
      <c r="U1864" s="118"/>
      <c r="V1864" s="118"/>
      <c r="W1864" s="12"/>
      <c r="X1864" s="119"/>
      <c r="Y1864" s="120"/>
      <c r="Z1864" s="12"/>
      <c r="BK1864" s="77"/>
      <c r="BO1864" s="77"/>
      <c r="BQ1864" s="77"/>
      <c r="BT1864" s="5"/>
      <c r="BU1864" s="5"/>
      <c r="BV1864" s="5"/>
      <c r="BW1864" s="71"/>
      <c r="BX1864" s="78"/>
      <c r="BY1864" s="64"/>
      <c r="BZ1864" s="3"/>
    </row>
    <row r="1865" spans="1:78">
      <c r="A1865" s="76"/>
      <c r="B1865" s="76"/>
      <c r="C1865" s="125"/>
      <c r="D1865" s="125"/>
      <c r="E1865" s="71"/>
      <c r="F1865" s="71"/>
      <c r="G1865" s="71"/>
      <c r="H1865" s="126"/>
      <c r="I1865" s="125"/>
      <c r="J1865" s="123"/>
      <c r="K1865" s="12"/>
      <c r="L1865" s="117"/>
      <c r="M1865" s="12"/>
      <c r="N1865" s="117"/>
      <c r="O1865" s="117"/>
      <c r="P1865" s="117"/>
      <c r="Q1865" s="118"/>
      <c r="R1865" s="118"/>
      <c r="S1865" s="118"/>
      <c r="T1865" s="12"/>
      <c r="U1865" s="118"/>
      <c r="V1865" s="118"/>
      <c r="W1865" s="12"/>
      <c r="X1865" s="119"/>
      <c r="Y1865" s="120"/>
      <c r="Z1865" s="12"/>
      <c r="BK1865" s="77"/>
      <c r="BO1865" s="77"/>
      <c r="BQ1865" s="77"/>
      <c r="BT1865" s="5"/>
      <c r="BU1865" s="5"/>
      <c r="BV1865" s="5"/>
      <c r="BW1865" s="71"/>
      <c r="BX1865" s="78"/>
      <c r="BY1865" s="64"/>
      <c r="BZ1865" s="3"/>
    </row>
    <row r="1866" spans="1:78">
      <c r="A1866" s="76"/>
      <c r="B1866" s="76"/>
      <c r="C1866" s="125"/>
      <c r="D1866" s="125"/>
      <c r="E1866" s="71"/>
      <c r="F1866" s="71"/>
      <c r="G1866" s="71"/>
      <c r="H1866" s="126"/>
      <c r="I1866" s="125"/>
      <c r="J1866" s="123"/>
      <c r="K1866" s="12"/>
      <c r="L1866" s="117"/>
      <c r="M1866" s="12"/>
      <c r="N1866" s="117"/>
      <c r="O1866" s="117"/>
      <c r="P1866" s="117"/>
      <c r="Q1866" s="118"/>
      <c r="R1866" s="118"/>
      <c r="S1866" s="118"/>
      <c r="T1866" s="12"/>
      <c r="U1866" s="118"/>
      <c r="V1866" s="118"/>
      <c r="W1866" s="12"/>
      <c r="X1866" s="119"/>
      <c r="Y1866" s="120"/>
      <c r="Z1866" s="12"/>
      <c r="BK1866" s="77"/>
      <c r="BO1866" s="77"/>
      <c r="BQ1866" s="77"/>
      <c r="BT1866" s="5"/>
      <c r="BU1866" s="5"/>
      <c r="BV1866" s="5"/>
      <c r="BW1866" s="71"/>
      <c r="BX1866" s="78"/>
      <c r="BY1866" s="64"/>
      <c r="BZ1866" s="3"/>
    </row>
    <row r="1867" spans="1:78">
      <c r="A1867" s="76"/>
      <c r="B1867" s="76"/>
      <c r="C1867" s="125"/>
      <c r="D1867" s="125"/>
      <c r="E1867" s="71"/>
      <c r="F1867" s="71"/>
      <c r="G1867" s="71"/>
      <c r="H1867" s="126"/>
      <c r="I1867" s="125"/>
      <c r="J1867" s="123"/>
      <c r="K1867" s="12"/>
      <c r="L1867" s="117"/>
      <c r="M1867" s="12"/>
      <c r="N1867" s="117"/>
      <c r="O1867" s="117"/>
      <c r="P1867" s="117"/>
      <c r="Q1867" s="118"/>
      <c r="R1867" s="118"/>
      <c r="S1867" s="118"/>
      <c r="T1867" s="12"/>
      <c r="U1867" s="118"/>
      <c r="V1867" s="118"/>
      <c r="W1867" s="12"/>
      <c r="X1867" s="119"/>
      <c r="Y1867" s="120"/>
      <c r="Z1867" s="12"/>
      <c r="BK1867" s="77"/>
      <c r="BO1867" s="77"/>
      <c r="BQ1867" s="77"/>
      <c r="BT1867" s="5"/>
      <c r="BU1867" s="5"/>
      <c r="BV1867" s="5"/>
      <c r="BW1867" s="71"/>
      <c r="BX1867" s="78"/>
      <c r="BY1867" s="64"/>
      <c r="BZ1867" s="3"/>
    </row>
    <row r="1868" spans="1:78">
      <c r="A1868" s="76"/>
      <c r="B1868" s="76"/>
      <c r="C1868" s="125"/>
      <c r="D1868" s="125"/>
      <c r="E1868" s="71"/>
      <c r="F1868" s="71"/>
      <c r="G1868" s="71"/>
      <c r="H1868" s="126"/>
      <c r="I1868" s="125"/>
      <c r="J1868" s="123"/>
      <c r="K1868" s="12"/>
      <c r="L1868" s="117"/>
      <c r="M1868" s="12"/>
      <c r="N1868" s="117"/>
      <c r="O1868" s="117"/>
      <c r="P1868" s="117"/>
      <c r="Q1868" s="118"/>
      <c r="R1868" s="118"/>
      <c r="S1868" s="118"/>
      <c r="T1868" s="12"/>
      <c r="U1868" s="118"/>
      <c r="V1868" s="118"/>
      <c r="W1868" s="12"/>
      <c r="X1868" s="119"/>
      <c r="Y1868" s="120"/>
      <c r="Z1868" s="12"/>
      <c r="BK1868" s="77"/>
      <c r="BO1868" s="77"/>
      <c r="BQ1868" s="77"/>
      <c r="BT1868" s="5"/>
      <c r="BU1868" s="5"/>
      <c r="BV1868" s="5"/>
      <c r="BW1868" s="71"/>
      <c r="BX1868" s="78"/>
      <c r="BY1868" s="64"/>
      <c r="BZ1868" s="3"/>
    </row>
    <row r="1869" spans="1:78">
      <c r="A1869" s="76"/>
      <c r="B1869" s="76"/>
      <c r="C1869" s="125"/>
      <c r="D1869" s="125"/>
      <c r="E1869" s="71"/>
      <c r="F1869" s="71"/>
      <c r="G1869" s="71"/>
      <c r="H1869" s="126"/>
      <c r="I1869" s="125"/>
      <c r="J1869" s="123"/>
      <c r="K1869" s="12"/>
      <c r="L1869" s="117"/>
      <c r="M1869" s="12"/>
      <c r="N1869" s="117"/>
      <c r="O1869" s="117"/>
      <c r="P1869" s="117"/>
      <c r="Q1869" s="118"/>
      <c r="R1869" s="118"/>
      <c r="S1869" s="118"/>
      <c r="T1869" s="12"/>
      <c r="U1869" s="118"/>
      <c r="V1869" s="118"/>
      <c r="W1869" s="12"/>
      <c r="X1869" s="119"/>
      <c r="Y1869" s="120"/>
      <c r="Z1869" s="12"/>
      <c r="BK1869" s="77"/>
      <c r="BO1869" s="77"/>
      <c r="BQ1869" s="77"/>
      <c r="BT1869" s="5"/>
      <c r="BU1869" s="5"/>
      <c r="BV1869" s="5"/>
      <c r="BW1869" s="71"/>
      <c r="BX1869" s="78"/>
      <c r="BY1869" s="64"/>
      <c r="BZ1869" s="3"/>
    </row>
    <row r="1870" spans="1:78">
      <c r="A1870" s="76"/>
      <c r="B1870" s="76"/>
      <c r="C1870" s="125"/>
      <c r="D1870" s="125"/>
      <c r="E1870" s="71"/>
      <c r="F1870" s="71"/>
      <c r="G1870" s="71"/>
      <c r="H1870" s="126"/>
      <c r="I1870" s="125"/>
      <c r="J1870" s="123"/>
      <c r="K1870" s="12"/>
      <c r="L1870" s="117"/>
      <c r="M1870" s="12"/>
      <c r="N1870" s="117"/>
      <c r="O1870" s="117"/>
      <c r="P1870" s="117"/>
      <c r="Q1870" s="118"/>
      <c r="R1870" s="118"/>
      <c r="S1870" s="118"/>
      <c r="T1870" s="12"/>
      <c r="U1870" s="118"/>
      <c r="V1870" s="118"/>
      <c r="W1870" s="12"/>
      <c r="X1870" s="119"/>
      <c r="Y1870" s="120"/>
      <c r="Z1870" s="12"/>
      <c r="BK1870" s="77"/>
      <c r="BO1870" s="77"/>
      <c r="BQ1870" s="77"/>
      <c r="BT1870" s="5"/>
      <c r="BU1870" s="5"/>
      <c r="BV1870" s="5"/>
      <c r="BW1870" s="71"/>
      <c r="BX1870" s="78"/>
      <c r="BY1870" s="64"/>
      <c r="BZ1870" s="3"/>
    </row>
    <row r="1871" spans="1:78">
      <c r="A1871" s="76"/>
      <c r="B1871" s="76"/>
      <c r="C1871" s="125"/>
      <c r="D1871" s="125"/>
      <c r="E1871" s="71"/>
      <c r="F1871" s="71"/>
      <c r="G1871" s="71"/>
      <c r="H1871" s="126"/>
      <c r="I1871" s="125"/>
      <c r="J1871" s="123"/>
      <c r="K1871" s="12"/>
      <c r="L1871" s="117"/>
      <c r="M1871" s="12"/>
      <c r="N1871" s="117"/>
      <c r="O1871" s="117"/>
      <c r="P1871" s="117"/>
      <c r="Q1871" s="118"/>
      <c r="R1871" s="118"/>
      <c r="S1871" s="118"/>
      <c r="T1871" s="12"/>
      <c r="U1871" s="118"/>
      <c r="V1871" s="118"/>
      <c r="W1871" s="12"/>
      <c r="X1871" s="119"/>
      <c r="Y1871" s="120"/>
      <c r="Z1871" s="12"/>
      <c r="BK1871" s="77"/>
      <c r="BO1871" s="77"/>
      <c r="BQ1871" s="77"/>
      <c r="BT1871" s="5"/>
      <c r="BU1871" s="5"/>
      <c r="BV1871" s="5"/>
      <c r="BW1871" s="71"/>
      <c r="BX1871" s="78"/>
      <c r="BY1871" s="64"/>
      <c r="BZ1871" s="3"/>
    </row>
    <row r="1872" spans="1:78">
      <c r="A1872" s="76"/>
      <c r="B1872" s="76"/>
      <c r="C1872" s="125"/>
      <c r="D1872" s="125"/>
      <c r="E1872" s="71"/>
      <c r="F1872" s="71"/>
      <c r="G1872" s="71"/>
      <c r="H1872" s="126"/>
      <c r="I1872" s="125"/>
      <c r="J1872" s="123"/>
      <c r="K1872" s="12"/>
      <c r="L1872" s="117"/>
      <c r="M1872" s="12"/>
      <c r="N1872" s="117"/>
      <c r="O1872" s="117"/>
      <c r="P1872" s="117"/>
      <c r="Q1872" s="118"/>
      <c r="R1872" s="118"/>
      <c r="S1872" s="118"/>
      <c r="T1872" s="12"/>
      <c r="U1872" s="118"/>
      <c r="V1872" s="118"/>
      <c r="W1872" s="12"/>
      <c r="X1872" s="119"/>
      <c r="Y1872" s="120"/>
      <c r="Z1872" s="12"/>
      <c r="BK1872" s="77"/>
      <c r="BO1872" s="77"/>
      <c r="BQ1872" s="77"/>
      <c r="BT1872" s="5"/>
      <c r="BU1872" s="5"/>
      <c r="BV1872" s="5"/>
      <c r="BW1872" s="71"/>
      <c r="BX1872" s="78"/>
      <c r="BY1872" s="64"/>
      <c r="BZ1872" s="3"/>
    </row>
    <row r="1873" spans="1:78">
      <c r="A1873" s="76"/>
      <c r="B1873" s="76"/>
      <c r="C1873" s="125"/>
      <c r="D1873" s="125"/>
      <c r="E1873" s="71"/>
      <c r="F1873" s="71"/>
      <c r="G1873" s="71"/>
      <c r="H1873" s="126"/>
      <c r="I1873" s="125"/>
      <c r="J1873" s="123"/>
      <c r="K1873" s="12"/>
      <c r="L1873" s="117"/>
      <c r="M1873" s="12"/>
      <c r="N1873" s="117"/>
      <c r="O1873" s="117"/>
      <c r="P1873" s="117"/>
      <c r="Q1873" s="118"/>
      <c r="R1873" s="118"/>
      <c r="S1873" s="118"/>
      <c r="T1873" s="12"/>
      <c r="U1873" s="118"/>
      <c r="V1873" s="118"/>
      <c r="W1873" s="12"/>
      <c r="X1873" s="119"/>
      <c r="Y1873" s="120"/>
      <c r="Z1873" s="12"/>
      <c r="BK1873" s="77"/>
      <c r="BO1873" s="77"/>
      <c r="BQ1873" s="77"/>
      <c r="BT1873" s="5"/>
      <c r="BU1873" s="5"/>
      <c r="BV1873" s="5"/>
      <c r="BW1873" s="71"/>
      <c r="BX1873" s="78"/>
      <c r="BY1873" s="64"/>
      <c r="BZ1873" s="3"/>
    </row>
    <row r="1874" spans="1:78">
      <c r="A1874" s="76"/>
      <c r="B1874" s="76"/>
      <c r="C1874" s="125"/>
      <c r="D1874" s="125"/>
      <c r="E1874" s="71"/>
      <c r="F1874" s="71"/>
      <c r="G1874" s="71"/>
      <c r="H1874" s="126"/>
      <c r="I1874" s="125"/>
      <c r="J1874" s="123"/>
      <c r="K1874" s="12"/>
      <c r="L1874" s="117"/>
      <c r="M1874" s="12"/>
      <c r="N1874" s="117"/>
      <c r="O1874" s="117"/>
      <c r="P1874" s="117"/>
      <c r="Q1874" s="118"/>
      <c r="R1874" s="118"/>
      <c r="S1874" s="118"/>
      <c r="T1874" s="12"/>
      <c r="U1874" s="118"/>
      <c r="V1874" s="118"/>
      <c r="W1874" s="12"/>
      <c r="X1874" s="119"/>
      <c r="Y1874" s="120"/>
      <c r="Z1874" s="12"/>
      <c r="BK1874" s="77"/>
      <c r="BO1874" s="77"/>
      <c r="BQ1874" s="77"/>
      <c r="BT1874" s="5"/>
      <c r="BU1874" s="5"/>
      <c r="BV1874" s="5"/>
      <c r="BW1874" s="71"/>
      <c r="BX1874" s="78"/>
      <c r="BY1874" s="64"/>
      <c r="BZ1874" s="3"/>
    </row>
    <row r="1875" spans="1:78">
      <c r="A1875" s="76"/>
      <c r="B1875" s="76"/>
      <c r="C1875" s="125"/>
      <c r="D1875" s="125"/>
      <c r="E1875" s="71"/>
      <c r="F1875" s="71"/>
      <c r="G1875" s="71"/>
      <c r="H1875" s="126"/>
      <c r="I1875" s="125"/>
      <c r="J1875" s="123"/>
      <c r="K1875" s="12"/>
      <c r="L1875" s="117"/>
      <c r="M1875" s="12"/>
      <c r="N1875" s="117"/>
      <c r="O1875" s="117"/>
      <c r="P1875" s="117"/>
      <c r="Q1875" s="118"/>
      <c r="R1875" s="118"/>
      <c r="S1875" s="118"/>
      <c r="T1875" s="12"/>
      <c r="U1875" s="118"/>
      <c r="V1875" s="118"/>
      <c r="W1875" s="12"/>
      <c r="X1875" s="119"/>
      <c r="Y1875" s="120"/>
      <c r="Z1875" s="12"/>
      <c r="BK1875" s="77"/>
      <c r="BO1875" s="77"/>
      <c r="BQ1875" s="77"/>
      <c r="BT1875" s="5"/>
      <c r="BU1875" s="5"/>
      <c r="BV1875" s="5"/>
      <c r="BW1875" s="71"/>
      <c r="BX1875" s="78"/>
      <c r="BY1875" s="64"/>
      <c r="BZ1875" s="3"/>
    </row>
    <row r="1876" spans="1:78">
      <c r="A1876" s="76"/>
      <c r="B1876" s="76"/>
      <c r="C1876" s="125"/>
      <c r="D1876" s="125"/>
      <c r="E1876" s="71"/>
      <c r="F1876" s="71"/>
      <c r="G1876" s="71"/>
      <c r="H1876" s="126"/>
      <c r="I1876" s="125"/>
      <c r="J1876" s="123"/>
      <c r="K1876" s="12"/>
      <c r="L1876" s="117"/>
      <c r="M1876" s="12"/>
      <c r="N1876" s="117"/>
      <c r="O1876" s="117"/>
      <c r="P1876" s="117"/>
      <c r="Q1876" s="118"/>
      <c r="R1876" s="118"/>
      <c r="S1876" s="118"/>
      <c r="T1876" s="12"/>
      <c r="U1876" s="118"/>
      <c r="V1876" s="118"/>
      <c r="W1876" s="12"/>
      <c r="X1876" s="119"/>
      <c r="Y1876" s="120"/>
      <c r="Z1876" s="12"/>
      <c r="BK1876" s="77"/>
      <c r="BO1876" s="77"/>
      <c r="BQ1876" s="77"/>
      <c r="BT1876" s="5"/>
      <c r="BU1876" s="5"/>
      <c r="BV1876" s="5"/>
      <c r="BW1876" s="71"/>
      <c r="BX1876" s="78"/>
      <c r="BY1876" s="64"/>
      <c r="BZ1876" s="3"/>
    </row>
    <row r="1877" spans="1:78">
      <c r="A1877" s="76"/>
      <c r="B1877" s="76"/>
      <c r="C1877" s="125"/>
      <c r="D1877" s="125"/>
      <c r="E1877" s="71"/>
      <c r="F1877" s="71"/>
      <c r="G1877" s="71"/>
      <c r="H1877" s="126"/>
      <c r="I1877" s="125"/>
      <c r="J1877" s="123"/>
      <c r="K1877" s="12"/>
      <c r="L1877" s="117"/>
      <c r="M1877" s="12"/>
      <c r="N1877" s="117"/>
      <c r="O1877" s="117"/>
      <c r="P1877" s="117"/>
      <c r="Q1877" s="118"/>
      <c r="R1877" s="118"/>
      <c r="S1877" s="118"/>
      <c r="T1877" s="12"/>
      <c r="U1877" s="118"/>
      <c r="V1877" s="118"/>
      <c r="W1877" s="12"/>
      <c r="X1877" s="119"/>
      <c r="Y1877" s="120"/>
      <c r="Z1877" s="12"/>
      <c r="BK1877" s="77"/>
      <c r="BO1877" s="77"/>
      <c r="BQ1877" s="77"/>
      <c r="BT1877" s="5"/>
      <c r="BU1877" s="5"/>
      <c r="BV1877" s="5"/>
      <c r="BW1877" s="71"/>
      <c r="BX1877" s="78"/>
      <c r="BY1877" s="64"/>
      <c r="BZ1877" s="3"/>
    </row>
    <row r="1878" spans="1:78">
      <c r="A1878" s="76"/>
      <c r="B1878" s="76"/>
      <c r="C1878" s="125"/>
      <c r="D1878" s="125"/>
      <c r="E1878" s="71"/>
      <c r="F1878" s="71"/>
      <c r="G1878" s="71"/>
      <c r="H1878" s="126"/>
      <c r="I1878" s="125"/>
      <c r="J1878" s="123"/>
      <c r="K1878" s="12"/>
      <c r="L1878" s="117"/>
      <c r="M1878" s="12"/>
      <c r="N1878" s="117"/>
      <c r="O1878" s="117"/>
      <c r="P1878" s="117"/>
      <c r="Q1878" s="118"/>
      <c r="R1878" s="118"/>
      <c r="S1878" s="118"/>
      <c r="T1878" s="12"/>
      <c r="U1878" s="118"/>
      <c r="V1878" s="118"/>
      <c r="W1878" s="12"/>
      <c r="X1878" s="119"/>
      <c r="Y1878" s="120"/>
      <c r="Z1878" s="12"/>
      <c r="BK1878" s="77"/>
      <c r="BO1878" s="77"/>
      <c r="BQ1878" s="77"/>
      <c r="BT1878" s="5"/>
      <c r="BU1878" s="5"/>
      <c r="BV1878" s="5"/>
      <c r="BW1878" s="71"/>
      <c r="BX1878" s="78"/>
      <c r="BY1878" s="64"/>
      <c r="BZ1878" s="3"/>
    </row>
    <row r="1879" spans="1:78">
      <c r="A1879" s="76"/>
      <c r="B1879" s="76"/>
      <c r="C1879" s="125"/>
      <c r="D1879" s="125"/>
      <c r="E1879" s="71"/>
      <c r="F1879" s="71"/>
      <c r="G1879" s="71"/>
      <c r="H1879" s="126"/>
      <c r="I1879" s="125"/>
      <c r="J1879" s="123"/>
      <c r="K1879" s="12"/>
      <c r="L1879" s="117"/>
      <c r="M1879" s="12"/>
      <c r="N1879" s="117"/>
      <c r="O1879" s="117"/>
      <c r="P1879" s="117"/>
      <c r="Q1879" s="118"/>
      <c r="R1879" s="118"/>
      <c r="S1879" s="118"/>
      <c r="T1879" s="12"/>
      <c r="U1879" s="118"/>
      <c r="V1879" s="118"/>
      <c r="W1879" s="12"/>
      <c r="X1879" s="119"/>
      <c r="Y1879" s="120"/>
      <c r="Z1879" s="12"/>
      <c r="BK1879" s="77"/>
      <c r="BO1879" s="77"/>
      <c r="BQ1879" s="77"/>
      <c r="BT1879" s="5"/>
      <c r="BU1879" s="5"/>
      <c r="BV1879" s="5"/>
      <c r="BW1879" s="71"/>
      <c r="BX1879" s="78"/>
      <c r="BY1879" s="64"/>
      <c r="BZ1879" s="3"/>
    </row>
    <row r="1880" spans="1:78">
      <c r="A1880" s="76"/>
      <c r="B1880" s="76"/>
      <c r="C1880" s="125"/>
      <c r="D1880" s="125"/>
      <c r="E1880" s="71"/>
      <c r="F1880" s="71"/>
      <c r="G1880" s="71"/>
      <c r="H1880" s="126"/>
      <c r="I1880" s="125"/>
      <c r="J1880" s="123"/>
      <c r="K1880" s="12"/>
      <c r="L1880" s="117"/>
      <c r="M1880" s="12"/>
      <c r="N1880" s="117"/>
      <c r="O1880" s="117"/>
      <c r="P1880" s="117"/>
      <c r="Q1880" s="118"/>
      <c r="R1880" s="118"/>
      <c r="S1880" s="118"/>
      <c r="T1880" s="12"/>
      <c r="U1880" s="118"/>
      <c r="V1880" s="118"/>
      <c r="W1880" s="12"/>
      <c r="X1880" s="119"/>
      <c r="Y1880" s="120"/>
      <c r="Z1880" s="12"/>
      <c r="BK1880" s="77"/>
      <c r="BO1880" s="77"/>
      <c r="BQ1880" s="77"/>
      <c r="BT1880" s="5"/>
      <c r="BU1880" s="5"/>
      <c r="BV1880" s="5"/>
      <c r="BW1880" s="71"/>
      <c r="BX1880" s="78"/>
      <c r="BY1880" s="64"/>
      <c r="BZ1880" s="3"/>
    </row>
    <row r="1881" spans="1:78">
      <c r="A1881" s="76"/>
      <c r="B1881" s="76"/>
      <c r="C1881" s="125"/>
      <c r="D1881" s="125"/>
      <c r="E1881" s="71"/>
      <c r="F1881" s="71"/>
      <c r="G1881" s="71"/>
      <c r="H1881" s="126"/>
      <c r="I1881" s="125"/>
      <c r="J1881" s="123"/>
      <c r="K1881" s="12"/>
      <c r="L1881" s="117"/>
      <c r="M1881" s="12"/>
      <c r="N1881" s="117"/>
      <c r="O1881" s="117"/>
      <c r="P1881" s="117"/>
      <c r="Q1881" s="118"/>
      <c r="R1881" s="118"/>
      <c r="S1881" s="118"/>
      <c r="T1881" s="12"/>
      <c r="U1881" s="118"/>
      <c r="V1881" s="118"/>
      <c r="W1881" s="12"/>
      <c r="X1881" s="119"/>
      <c r="Y1881" s="120"/>
      <c r="Z1881" s="12"/>
      <c r="BK1881" s="77"/>
      <c r="BO1881" s="77"/>
      <c r="BQ1881" s="77"/>
      <c r="BT1881" s="5"/>
      <c r="BU1881" s="5"/>
      <c r="BV1881" s="5"/>
      <c r="BW1881" s="71"/>
      <c r="BX1881" s="78"/>
      <c r="BY1881" s="64"/>
      <c r="BZ1881" s="3"/>
    </row>
    <row r="1882" spans="1:78">
      <c r="A1882" s="76"/>
      <c r="B1882" s="76"/>
      <c r="C1882" s="125"/>
      <c r="D1882" s="125"/>
      <c r="E1882" s="71"/>
      <c r="F1882" s="71"/>
      <c r="G1882" s="71"/>
      <c r="H1882" s="126"/>
      <c r="I1882" s="125"/>
      <c r="J1882" s="123"/>
      <c r="K1882" s="12"/>
      <c r="L1882" s="117"/>
      <c r="M1882" s="12"/>
      <c r="N1882" s="117"/>
      <c r="O1882" s="117"/>
      <c r="P1882" s="117"/>
      <c r="Q1882" s="118"/>
      <c r="R1882" s="118"/>
      <c r="S1882" s="118"/>
      <c r="T1882" s="12"/>
      <c r="U1882" s="118"/>
      <c r="V1882" s="118"/>
      <c r="W1882" s="12"/>
      <c r="X1882" s="119"/>
      <c r="Y1882" s="120"/>
      <c r="Z1882" s="12"/>
      <c r="BK1882" s="77"/>
      <c r="BO1882" s="77"/>
      <c r="BQ1882" s="77"/>
      <c r="BT1882" s="5"/>
      <c r="BU1882" s="5"/>
      <c r="BV1882" s="5"/>
      <c r="BW1882" s="71"/>
      <c r="BX1882" s="78"/>
      <c r="BY1882" s="64"/>
      <c r="BZ1882" s="3"/>
    </row>
    <row r="1883" spans="1:78">
      <c r="A1883" s="76"/>
      <c r="B1883" s="76"/>
      <c r="C1883" s="125"/>
      <c r="D1883" s="125"/>
      <c r="E1883" s="71"/>
      <c r="F1883" s="71"/>
      <c r="G1883" s="71"/>
      <c r="H1883" s="126"/>
      <c r="I1883" s="125"/>
      <c r="J1883" s="123"/>
      <c r="K1883" s="12"/>
      <c r="L1883" s="117"/>
      <c r="M1883" s="12"/>
      <c r="N1883" s="117"/>
      <c r="O1883" s="117"/>
      <c r="P1883" s="117"/>
      <c r="Q1883" s="118"/>
      <c r="R1883" s="118"/>
      <c r="S1883" s="118"/>
      <c r="T1883" s="12"/>
      <c r="U1883" s="118"/>
      <c r="V1883" s="118"/>
      <c r="W1883" s="12"/>
      <c r="X1883" s="119"/>
      <c r="Y1883" s="120"/>
      <c r="Z1883" s="12"/>
      <c r="BK1883" s="77"/>
      <c r="BO1883" s="77"/>
      <c r="BQ1883" s="77"/>
      <c r="BT1883" s="5"/>
      <c r="BU1883" s="5"/>
      <c r="BV1883" s="5"/>
      <c r="BW1883" s="71"/>
      <c r="BX1883" s="78"/>
      <c r="BY1883" s="64"/>
      <c r="BZ1883" s="3"/>
    </row>
    <row r="1884" spans="1:78">
      <c r="A1884" s="76"/>
      <c r="B1884" s="76"/>
      <c r="C1884" s="125"/>
      <c r="D1884" s="125"/>
      <c r="E1884" s="71"/>
      <c r="F1884" s="71"/>
      <c r="G1884" s="71"/>
      <c r="H1884" s="126"/>
      <c r="I1884" s="125"/>
      <c r="J1884" s="123"/>
      <c r="K1884" s="12"/>
      <c r="L1884" s="117"/>
      <c r="M1884" s="12"/>
      <c r="N1884" s="117"/>
      <c r="O1884" s="117"/>
      <c r="P1884" s="117"/>
      <c r="Q1884" s="118"/>
      <c r="R1884" s="118"/>
      <c r="S1884" s="118"/>
      <c r="T1884" s="12"/>
      <c r="U1884" s="118"/>
      <c r="V1884" s="118"/>
      <c r="W1884" s="12"/>
      <c r="X1884" s="119"/>
      <c r="Y1884" s="120"/>
      <c r="Z1884" s="12"/>
      <c r="BK1884" s="77"/>
      <c r="BO1884" s="77"/>
      <c r="BQ1884" s="77"/>
      <c r="BT1884" s="5"/>
      <c r="BU1884" s="5"/>
      <c r="BV1884" s="5"/>
      <c r="BW1884" s="71"/>
      <c r="BX1884" s="78"/>
      <c r="BY1884" s="64"/>
      <c r="BZ1884" s="3"/>
    </row>
    <row r="1885" spans="1:78">
      <c r="A1885" s="76"/>
      <c r="B1885" s="76"/>
      <c r="C1885" s="125"/>
      <c r="D1885" s="125"/>
      <c r="E1885" s="71"/>
      <c r="F1885" s="71"/>
      <c r="G1885" s="71"/>
      <c r="H1885" s="126"/>
      <c r="I1885" s="125"/>
      <c r="J1885" s="123"/>
      <c r="K1885" s="12"/>
      <c r="L1885" s="117"/>
      <c r="M1885" s="12"/>
      <c r="N1885" s="117"/>
      <c r="O1885" s="117"/>
      <c r="P1885" s="117"/>
      <c r="Q1885" s="118"/>
      <c r="R1885" s="118"/>
      <c r="S1885" s="118"/>
      <c r="T1885" s="12"/>
      <c r="U1885" s="118"/>
      <c r="V1885" s="118"/>
      <c r="W1885" s="12"/>
      <c r="X1885" s="119"/>
      <c r="Y1885" s="120"/>
      <c r="Z1885" s="12"/>
      <c r="BK1885" s="77"/>
      <c r="BO1885" s="77"/>
      <c r="BQ1885" s="77"/>
      <c r="BT1885" s="5"/>
      <c r="BU1885" s="5"/>
      <c r="BV1885" s="5"/>
      <c r="BW1885" s="71"/>
      <c r="BX1885" s="78"/>
      <c r="BY1885" s="64"/>
      <c r="BZ1885" s="3"/>
    </row>
    <row r="1886" spans="1:78">
      <c r="A1886" s="76"/>
      <c r="B1886" s="76"/>
      <c r="C1886" s="125"/>
      <c r="D1886" s="125"/>
      <c r="E1886" s="71"/>
      <c r="F1886" s="71"/>
      <c r="G1886" s="71"/>
      <c r="H1886" s="126"/>
      <c r="I1886" s="125"/>
      <c r="J1886" s="123"/>
      <c r="K1886" s="12"/>
      <c r="L1886" s="117"/>
      <c r="M1886" s="12"/>
      <c r="N1886" s="117"/>
      <c r="O1886" s="117"/>
      <c r="P1886" s="117"/>
      <c r="Q1886" s="118"/>
      <c r="R1886" s="118"/>
      <c r="S1886" s="118"/>
      <c r="T1886" s="12"/>
      <c r="U1886" s="118"/>
      <c r="V1886" s="118"/>
      <c r="W1886" s="12"/>
      <c r="X1886" s="119"/>
      <c r="Y1886" s="120"/>
      <c r="Z1886" s="12"/>
      <c r="BK1886" s="77"/>
      <c r="BO1886" s="77"/>
      <c r="BQ1886" s="77"/>
      <c r="BT1886" s="5"/>
      <c r="BU1886" s="5"/>
      <c r="BV1886" s="5"/>
      <c r="BW1886" s="71"/>
      <c r="BX1886" s="78"/>
      <c r="BY1886" s="64"/>
      <c r="BZ1886" s="3"/>
    </row>
    <row r="1887" spans="1:78">
      <c r="A1887" s="76"/>
      <c r="B1887" s="76"/>
      <c r="C1887" s="125"/>
      <c r="D1887" s="125"/>
      <c r="E1887" s="71"/>
      <c r="F1887" s="71"/>
      <c r="G1887" s="71"/>
      <c r="H1887" s="126"/>
      <c r="I1887" s="125"/>
      <c r="J1887" s="123"/>
      <c r="K1887" s="12"/>
      <c r="L1887" s="117"/>
      <c r="M1887" s="12"/>
      <c r="N1887" s="117"/>
      <c r="O1887" s="117"/>
      <c r="P1887" s="117"/>
      <c r="Q1887" s="118"/>
      <c r="R1887" s="118"/>
      <c r="S1887" s="118"/>
      <c r="T1887" s="12"/>
      <c r="U1887" s="118"/>
      <c r="V1887" s="118"/>
      <c r="W1887" s="12"/>
      <c r="X1887" s="119"/>
      <c r="Y1887" s="120"/>
      <c r="Z1887" s="12"/>
      <c r="BK1887" s="77"/>
      <c r="BO1887" s="77"/>
      <c r="BQ1887" s="77"/>
      <c r="BT1887" s="5"/>
      <c r="BU1887" s="5"/>
      <c r="BV1887" s="5"/>
      <c r="BW1887" s="71"/>
      <c r="BX1887" s="78"/>
      <c r="BY1887" s="64"/>
      <c r="BZ1887" s="3"/>
    </row>
    <row r="1888" spans="1:78">
      <c r="A1888" s="76"/>
      <c r="B1888" s="76"/>
      <c r="C1888" s="125"/>
      <c r="D1888" s="125"/>
      <c r="E1888" s="71"/>
      <c r="F1888" s="71"/>
      <c r="G1888" s="71"/>
      <c r="H1888" s="126"/>
      <c r="I1888" s="125"/>
      <c r="J1888" s="123"/>
      <c r="K1888" s="12"/>
      <c r="L1888" s="117"/>
      <c r="M1888" s="12"/>
      <c r="N1888" s="117"/>
      <c r="O1888" s="117"/>
      <c r="P1888" s="117"/>
      <c r="Q1888" s="118"/>
      <c r="R1888" s="118"/>
      <c r="S1888" s="118"/>
      <c r="T1888" s="12"/>
      <c r="U1888" s="118"/>
      <c r="V1888" s="118"/>
      <c r="W1888" s="12"/>
      <c r="X1888" s="119"/>
      <c r="Y1888" s="120"/>
      <c r="Z1888" s="12"/>
      <c r="BK1888" s="77"/>
      <c r="BO1888" s="77"/>
      <c r="BQ1888" s="77"/>
      <c r="BT1888" s="5"/>
      <c r="BU1888" s="5"/>
      <c r="BV1888" s="5"/>
      <c r="BW1888" s="71"/>
      <c r="BX1888" s="78"/>
      <c r="BY1888" s="64"/>
      <c r="BZ1888" s="3"/>
    </row>
    <row r="1889" spans="1:78">
      <c r="A1889" s="76"/>
      <c r="B1889" s="76"/>
      <c r="C1889" s="125"/>
      <c r="D1889" s="125"/>
      <c r="E1889" s="71"/>
      <c r="F1889" s="71"/>
      <c r="G1889" s="71"/>
      <c r="H1889" s="126"/>
      <c r="I1889" s="125"/>
      <c r="J1889" s="123"/>
      <c r="K1889" s="12"/>
      <c r="L1889" s="117"/>
      <c r="M1889" s="12"/>
      <c r="N1889" s="117"/>
      <c r="O1889" s="117"/>
      <c r="P1889" s="117"/>
      <c r="Q1889" s="118"/>
      <c r="R1889" s="118"/>
      <c r="S1889" s="118"/>
      <c r="T1889" s="12"/>
      <c r="U1889" s="118"/>
      <c r="V1889" s="118"/>
      <c r="W1889" s="12"/>
      <c r="X1889" s="119"/>
      <c r="Y1889" s="120"/>
      <c r="Z1889" s="12"/>
      <c r="BK1889" s="77"/>
      <c r="BO1889" s="77"/>
      <c r="BQ1889" s="77"/>
      <c r="BT1889" s="5"/>
      <c r="BU1889" s="5"/>
      <c r="BV1889" s="5"/>
      <c r="BW1889" s="71"/>
      <c r="BX1889" s="78"/>
      <c r="BY1889" s="64"/>
      <c r="BZ1889" s="3"/>
    </row>
    <row r="1890" spans="1:78">
      <c r="A1890" s="76"/>
      <c r="B1890" s="76"/>
      <c r="C1890" s="125"/>
      <c r="D1890" s="125"/>
      <c r="E1890" s="71"/>
      <c r="F1890" s="71"/>
      <c r="G1890" s="71"/>
      <c r="H1890" s="126"/>
      <c r="I1890" s="125"/>
      <c r="J1890" s="123"/>
      <c r="K1890" s="12"/>
      <c r="L1890" s="117"/>
      <c r="M1890" s="12"/>
      <c r="N1890" s="117"/>
      <c r="O1890" s="117"/>
      <c r="P1890" s="117"/>
      <c r="Q1890" s="118"/>
      <c r="R1890" s="118"/>
      <c r="S1890" s="118"/>
      <c r="T1890" s="12"/>
      <c r="U1890" s="118"/>
      <c r="V1890" s="118"/>
      <c r="W1890" s="12"/>
      <c r="X1890" s="119"/>
      <c r="Y1890" s="120"/>
      <c r="Z1890" s="12"/>
      <c r="BK1890" s="77"/>
      <c r="BO1890" s="77"/>
      <c r="BQ1890" s="77"/>
      <c r="BT1890" s="5"/>
      <c r="BU1890" s="5"/>
      <c r="BV1890" s="5"/>
      <c r="BW1890" s="71"/>
      <c r="BX1890" s="78"/>
      <c r="BY1890" s="64"/>
      <c r="BZ1890" s="3"/>
    </row>
    <row r="1891" spans="1:78">
      <c r="A1891" s="76"/>
      <c r="B1891" s="76"/>
      <c r="C1891" s="125"/>
      <c r="D1891" s="125"/>
      <c r="E1891" s="71"/>
      <c r="F1891" s="71"/>
      <c r="G1891" s="71"/>
      <c r="H1891" s="126"/>
      <c r="I1891" s="125"/>
      <c r="J1891" s="123"/>
      <c r="K1891" s="12"/>
      <c r="L1891" s="117"/>
      <c r="M1891" s="12"/>
      <c r="N1891" s="117"/>
      <c r="O1891" s="117"/>
      <c r="P1891" s="117"/>
      <c r="Q1891" s="118"/>
      <c r="R1891" s="118"/>
      <c r="S1891" s="118"/>
      <c r="T1891" s="12"/>
      <c r="U1891" s="118"/>
      <c r="V1891" s="118"/>
      <c r="W1891" s="12"/>
      <c r="X1891" s="119"/>
      <c r="Y1891" s="120"/>
      <c r="Z1891" s="12"/>
      <c r="BK1891" s="77"/>
      <c r="BO1891" s="77"/>
      <c r="BQ1891" s="77"/>
      <c r="BT1891" s="5"/>
      <c r="BU1891" s="5"/>
      <c r="BV1891" s="5"/>
      <c r="BW1891" s="71"/>
      <c r="BX1891" s="78"/>
      <c r="BY1891" s="64"/>
      <c r="BZ1891" s="3"/>
    </row>
    <row r="1892" spans="1:78">
      <c r="A1892" s="76"/>
      <c r="B1892" s="76"/>
      <c r="C1892" s="125"/>
      <c r="D1892" s="125"/>
      <c r="E1892" s="71"/>
      <c r="F1892" s="71"/>
      <c r="G1892" s="71"/>
      <c r="H1892" s="126"/>
      <c r="I1892" s="125"/>
      <c r="J1892" s="123"/>
      <c r="K1892" s="12"/>
      <c r="L1892" s="117"/>
      <c r="M1892" s="12"/>
      <c r="N1892" s="117"/>
      <c r="O1892" s="117"/>
      <c r="P1892" s="117"/>
      <c r="Q1892" s="118"/>
      <c r="R1892" s="118"/>
      <c r="S1892" s="118"/>
      <c r="T1892" s="12"/>
      <c r="U1892" s="118"/>
      <c r="V1892" s="118"/>
      <c r="W1892" s="12"/>
      <c r="X1892" s="119"/>
      <c r="Y1892" s="120"/>
      <c r="Z1892" s="12"/>
      <c r="BK1892" s="77"/>
      <c r="BO1892" s="77"/>
      <c r="BQ1892" s="77"/>
      <c r="BT1892" s="5"/>
      <c r="BU1892" s="5"/>
      <c r="BV1892" s="5"/>
      <c r="BW1892" s="71"/>
      <c r="BX1892" s="78"/>
      <c r="BY1892" s="64"/>
      <c r="BZ1892" s="3"/>
    </row>
    <row r="1893" spans="1:78">
      <c r="A1893" s="76"/>
      <c r="B1893" s="76"/>
      <c r="C1893" s="125"/>
      <c r="D1893" s="125"/>
      <c r="E1893" s="71"/>
      <c r="F1893" s="71"/>
      <c r="G1893" s="71"/>
      <c r="H1893" s="126"/>
      <c r="I1893" s="125"/>
      <c r="J1893" s="123"/>
      <c r="K1893" s="12"/>
      <c r="L1893" s="117"/>
      <c r="M1893" s="12"/>
      <c r="N1893" s="117"/>
      <c r="O1893" s="117"/>
      <c r="P1893" s="117"/>
      <c r="Q1893" s="118"/>
      <c r="R1893" s="118"/>
      <c r="S1893" s="118"/>
      <c r="T1893" s="12"/>
      <c r="U1893" s="118"/>
      <c r="V1893" s="118"/>
      <c r="W1893" s="12"/>
      <c r="X1893" s="119"/>
      <c r="Y1893" s="120"/>
      <c r="Z1893" s="12"/>
      <c r="BK1893" s="77"/>
      <c r="BO1893" s="77"/>
      <c r="BQ1893" s="77"/>
      <c r="BT1893" s="5"/>
      <c r="BU1893" s="5"/>
      <c r="BV1893" s="5"/>
      <c r="BW1893" s="71"/>
      <c r="BX1893" s="78"/>
      <c r="BY1893" s="64"/>
      <c r="BZ1893" s="3"/>
    </row>
    <row r="1894" spans="1:78">
      <c r="A1894" s="76"/>
      <c r="B1894" s="76"/>
      <c r="C1894" s="125"/>
      <c r="D1894" s="125"/>
      <c r="E1894" s="71"/>
      <c r="F1894" s="71"/>
      <c r="G1894" s="71"/>
      <c r="H1894" s="126"/>
      <c r="I1894" s="125"/>
      <c r="J1894" s="123"/>
      <c r="K1894" s="12"/>
      <c r="L1894" s="117"/>
      <c r="M1894" s="12"/>
      <c r="N1894" s="117"/>
      <c r="O1894" s="117"/>
      <c r="P1894" s="117"/>
      <c r="Q1894" s="118"/>
      <c r="R1894" s="118"/>
      <c r="S1894" s="118"/>
      <c r="T1894" s="12"/>
      <c r="U1894" s="118"/>
      <c r="V1894" s="118"/>
      <c r="W1894" s="12"/>
      <c r="X1894" s="119"/>
      <c r="Y1894" s="120"/>
      <c r="Z1894" s="12"/>
      <c r="BK1894" s="77"/>
      <c r="BO1894" s="77"/>
      <c r="BQ1894" s="77"/>
      <c r="BT1894" s="5"/>
      <c r="BU1894" s="5"/>
      <c r="BV1894" s="5"/>
      <c r="BW1894" s="71"/>
      <c r="BX1894" s="78"/>
      <c r="BY1894" s="64"/>
      <c r="BZ1894" s="3"/>
    </row>
    <row r="1895" spans="1:78">
      <c r="A1895" s="76"/>
      <c r="B1895" s="76"/>
      <c r="C1895" s="125"/>
      <c r="D1895" s="125"/>
      <c r="E1895" s="71"/>
      <c r="F1895" s="71"/>
      <c r="G1895" s="71"/>
      <c r="H1895" s="126"/>
      <c r="I1895" s="125"/>
      <c r="J1895" s="123"/>
      <c r="K1895" s="12"/>
      <c r="L1895" s="117"/>
      <c r="M1895" s="12"/>
      <c r="N1895" s="117"/>
      <c r="O1895" s="117"/>
      <c r="P1895" s="117"/>
      <c r="Q1895" s="118"/>
      <c r="R1895" s="118"/>
      <c r="S1895" s="118"/>
      <c r="T1895" s="12"/>
      <c r="U1895" s="118"/>
      <c r="V1895" s="118"/>
      <c r="W1895" s="12"/>
      <c r="X1895" s="119"/>
      <c r="Y1895" s="120"/>
      <c r="Z1895" s="12"/>
      <c r="BK1895" s="77"/>
      <c r="BO1895" s="77"/>
      <c r="BQ1895" s="77"/>
      <c r="BT1895" s="5"/>
      <c r="BU1895" s="5"/>
      <c r="BV1895" s="5"/>
      <c r="BW1895" s="71"/>
      <c r="BX1895" s="78"/>
      <c r="BY1895" s="64"/>
      <c r="BZ1895" s="3"/>
    </row>
    <row r="1896" spans="1:78">
      <c r="A1896" s="76"/>
      <c r="B1896" s="76"/>
      <c r="C1896" s="125"/>
      <c r="D1896" s="125"/>
      <c r="E1896" s="71"/>
      <c r="F1896" s="71"/>
      <c r="G1896" s="71"/>
      <c r="H1896" s="126"/>
      <c r="I1896" s="125"/>
      <c r="J1896" s="123"/>
      <c r="K1896" s="12"/>
      <c r="L1896" s="117"/>
      <c r="M1896" s="12"/>
      <c r="N1896" s="117"/>
      <c r="O1896" s="117"/>
      <c r="P1896" s="117"/>
      <c r="Q1896" s="118"/>
      <c r="R1896" s="118"/>
      <c r="S1896" s="118"/>
      <c r="T1896" s="12"/>
      <c r="U1896" s="118"/>
      <c r="V1896" s="118"/>
      <c r="W1896" s="12"/>
      <c r="X1896" s="119"/>
      <c r="Y1896" s="120"/>
      <c r="Z1896" s="12"/>
      <c r="BK1896" s="77"/>
      <c r="BO1896" s="77"/>
      <c r="BQ1896" s="77"/>
      <c r="BT1896" s="5"/>
      <c r="BU1896" s="5"/>
      <c r="BV1896" s="5"/>
      <c r="BW1896" s="71"/>
      <c r="BX1896" s="78"/>
      <c r="BY1896" s="64"/>
      <c r="BZ1896" s="3"/>
    </row>
    <row r="1897" spans="1:78">
      <c r="A1897" s="76"/>
      <c r="B1897" s="76"/>
      <c r="C1897" s="125"/>
      <c r="D1897" s="125"/>
      <c r="E1897" s="71"/>
      <c r="F1897" s="71"/>
      <c r="G1897" s="71"/>
      <c r="H1897" s="126"/>
      <c r="I1897" s="125"/>
      <c r="J1897" s="123"/>
      <c r="K1897" s="12"/>
      <c r="L1897" s="117"/>
      <c r="M1897" s="12"/>
      <c r="N1897" s="117"/>
      <c r="O1897" s="117"/>
      <c r="P1897" s="117"/>
      <c r="Q1897" s="118"/>
      <c r="R1897" s="118"/>
      <c r="S1897" s="118"/>
      <c r="T1897" s="12"/>
      <c r="U1897" s="118"/>
      <c r="V1897" s="118"/>
      <c r="W1897" s="12"/>
      <c r="X1897" s="119"/>
      <c r="Y1897" s="120"/>
      <c r="Z1897" s="12"/>
      <c r="BK1897" s="77"/>
      <c r="BO1897" s="77"/>
      <c r="BQ1897" s="77"/>
      <c r="BT1897" s="5"/>
      <c r="BU1897" s="5"/>
      <c r="BV1897" s="5"/>
      <c r="BW1897" s="71"/>
      <c r="BX1897" s="78"/>
      <c r="BY1897" s="64"/>
      <c r="BZ1897" s="3"/>
    </row>
    <row r="1898" spans="1:78">
      <c r="A1898" s="76"/>
      <c r="B1898" s="76"/>
      <c r="C1898" s="125"/>
      <c r="D1898" s="125"/>
      <c r="E1898" s="71"/>
      <c r="F1898" s="71"/>
      <c r="G1898" s="71"/>
      <c r="H1898" s="126"/>
      <c r="I1898" s="125"/>
      <c r="J1898" s="123"/>
      <c r="K1898" s="12"/>
      <c r="L1898" s="117"/>
      <c r="M1898" s="12"/>
      <c r="N1898" s="117"/>
      <c r="O1898" s="117"/>
      <c r="P1898" s="117"/>
      <c r="Q1898" s="118"/>
      <c r="R1898" s="118"/>
      <c r="S1898" s="118"/>
      <c r="T1898" s="12"/>
      <c r="U1898" s="118"/>
      <c r="V1898" s="118"/>
      <c r="W1898" s="12"/>
      <c r="X1898" s="119"/>
      <c r="Y1898" s="120"/>
      <c r="Z1898" s="12"/>
      <c r="BK1898" s="77"/>
      <c r="BO1898" s="77"/>
      <c r="BQ1898" s="77"/>
      <c r="BT1898" s="5"/>
      <c r="BU1898" s="5"/>
      <c r="BV1898" s="5"/>
      <c r="BW1898" s="71"/>
      <c r="BX1898" s="78"/>
      <c r="BY1898" s="64"/>
      <c r="BZ1898" s="3"/>
    </row>
    <row r="1899" spans="1:78">
      <c r="A1899" s="76"/>
      <c r="B1899" s="76"/>
      <c r="C1899" s="125"/>
      <c r="D1899" s="125"/>
      <c r="E1899" s="71"/>
      <c r="F1899" s="71"/>
      <c r="G1899" s="71"/>
      <c r="H1899" s="126"/>
      <c r="I1899" s="125"/>
      <c r="J1899" s="123"/>
      <c r="K1899" s="12"/>
      <c r="L1899" s="117"/>
      <c r="M1899" s="12"/>
      <c r="N1899" s="117"/>
      <c r="O1899" s="117"/>
      <c r="P1899" s="117"/>
      <c r="Q1899" s="118"/>
      <c r="R1899" s="118"/>
      <c r="S1899" s="118"/>
      <c r="T1899" s="12"/>
      <c r="U1899" s="118"/>
      <c r="V1899" s="118"/>
      <c r="W1899" s="12"/>
      <c r="X1899" s="119"/>
      <c r="Y1899" s="120"/>
      <c r="Z1899" s="12"/>
      <c r="BK1899" s="77"/>
      <c r="BO1899" s="77"/>
      <c r="BQ1899" s="77"/>
      <c r="BT1899" s="5"/>
      <c r="BU1899" s="5"/>
      <c r="BV1899" s="5"/>
      <c r="BW1899" s="71"/>
      <c r="BX1899" s="78"/>
      <c r="BY1899" s="64"/>
      <c r="BZ1899" s="3"/>
    </row>
    <row r="1900" spans="1:78">
      <c r="A1900" s="76"/>
      <c r="B1900" s="76"/>
      <c r="C1900" s="125"/>
      <c r="D1900" s="125"/>
      <c r="E1900" s="71"/>
      <c r="F1900" s="71"/>
      <c r="G1900" s="71"/>
      <c r="H1900" s="126"/>
      <c r="I1900" s="125"/>
      <c r="J1900" s="123"/>
      <c r="K1900" s="12"/>
      <c r="L1900" s="117"/>
      <c r="M1900" s="12"/>
      <c r="N1900" s="117"/>
      <c r="O1900" s="117"/>
      <c r="P1900" s="117"/>
      <c r="Q1900" s="118"/>
      <c r="R1900" s="118"/>
      <c r="S1900" s="118"/>
      <c r="T1900" s="12"/>
      <c r="U1900" s="118"/>
      <c r="V1900" s="118"/>
      <c r="W1900" s="12"/>
      <c r="X1900" s="119"/>
      <c r="Y1900" s="120"/>
      <c r="Z1900" s="12"/>
      <c r="BK1900" s="77"/>
      <c r="BO1900" s="77"/>
      <c r="BQ1900" s="77"/>
      <c r="BT1900" s="5"/>
      <c r="BU1900" s="5"/>
      <c r="BV1900" s="5"/>
      <c r="BW1900" s="71"/>
      <c r="BX1900" s="78"/>
      <c r="BY1900" s="64"/>
      <c r="BZ1900" s="3"/>
    </row>
    <row r="1901" spans="1:78">
      <c r="A1901" s="76"/>
      <c r="B1901" s="76"/>
      <c r="C1901" s="125"/>
      <c r="D1901" s="125"/>
      <c r="E1901" s="71"/>
      <c r="F1901" s="71"/>
      <c r="G1901" s="71"/>
      <c r="H1901" s="126"/>
      <c r="I1901" s="125"/>
      <c r="J1901" s="123"/>
      <c r="K1901" s="12"/>
      <c r="L1901" s="117"/>
      <c r="M1901" s="12"/>
      <c r="N1901" s="117"/>
      <c r="O1901" s="117"/>
      <c r="P1901" s="117"/>
      <c r="Q1901" s="118"/>
      <c r="R1901" s="118"/>
      <c r="S1901" s="118"/>
      <c r="T1901" s="12"/>
      <c r="U1901" s="118"/>
      <c r="V1901" s="118"/>
      <c r="W1901" s="12"/>
      <c r="X1901" s="119"/>
      <c r="Y1901" s="120"/>
      <c r="Z1901" s="12"/>
      <c r="BK1901" s="77"/>
      <c r="BO1901" s="77"/>
      <c r="BQ1901" s="77"/>
      <c r="BT1901" s="5"/>
      <c r="BU1901" s="5"/>
      <c r="BV1901" s="5"/>
      <c r="BW1901" s="71"/>
      <c r="BX1901" s="78"/>
      <c r="BY1901" s="64"/>
      <c r="BZ1901" s="3"/>
    </row>
    <row r="1902" spans="1:78">
      <c r="A1902" s="76"/>
      <c r="B1902" s="76"/>
      <c r="C1902" s="125"/>
      <c r="D1902" s="125"/>
      <c r="E1902" s="71"/>
      <c r="F1902" s="71"/>
      <c r="G1902" s="71"/>
      <c r="H1902" s="126"/>
      <c r="I1902" s="125"/>
      <c r="J1902" s="123"/>
      <c r="K1902" s="12"/>
      <c r="L1902" s="117"/>
      <c r="M1902" s="12"/>
      <c r="N1902" s="117"/>
      <c r="O1902" s="117"/>
      <c r="P1902" s="117"/>
      <c r="Q1902" s="118"/>
      <c r="R1902" s="118"/>
      <c r="S1902" s="118"/>
      <c r="T1902" s="12"/>
      <c r="U1902" s="118"/>
      <c r="V1902" s="118"/>
      <c r="W1902" s="12"/>
      <c r="X1902" s="119"/>
      <c r="Y1902" s="120"/>
      <c r="Z1902" s="12"/>
      <c r="BK1902" s="77"/>
      <c r="BO1902" s="77"/>
      <c r="BQ1902" s="77"/>
      <c r="BT1902" s="5"/>
      <c r="BU1902" s="5"/>
      <c r="BV1902" s="5"/>
      <c r="BW1902" s="71"/>
      <c r="BX1902" s="78"/>
      <c r="BY1902" s="64"/>
      <c r="BZ1902" s="3"/>
    </row>
    <row r="1903" spans="1:78">
      <c r="A1903" s="76"/>
      <c r="B1903" s="76"/>
      <c r="C1903" s="125"/>
      <c r="D1903" s="125"/>
      <c r="E1903" s="71"/>
      <c r="F1903" s="71"/>
      <c r="G1903" s="71"/>
      <c r="H1903" s="126"/>
      <c r="I1903" s="125"/>
      <c r="J1903" s="123"/>
      <c r="K1903" s="12"/>
      <c r="L1903" s="117"/>
      <c r="M1903" s="12"/>
      <c r="N1903" s="117"/>
      <c r="O1903" s="117"/>
      <c r="P1903" s="117"/>
      <c r="Q1903" s="118"/>
      <c r="R1903" s="118"/>
      <c r="S1903" s="118"/>
      <c r="T1903" s="12"/>
      <c r="U1903" s="118"/>
      <c r="V1903" s="118"/>
      <c r="W1903" s="12"/>
      <c r="X1903" s="119"/>
      <c r="Y1903" s="120"/>
      <c r="Z1903" s="12"/>
      <c r="BK1903" s="77"/>
      <c r="BO1903" s="77"/>
      <c r="BQ1903" s="77"/>
      <c r="BT1903" s="5"/>
      <c r="BU1903" s="5"/>
      <c r="BV1903" s="5"/>
      <c r="BW1903" s="71"/>
      <c r="BX1903" s="78"/>
      <c r="BY1903" s="64"/>
      <c r="BZ1903" s="3"/>
    </row>
    <row r="1904" spans="1:78">
      <c r="A1904" s="76"/>
      <c r="B1904" s="76"/>
      <c r="C1904" s="125"/>
      <c r="D1904" s="125"/>
      <c r="E1904" s="71"/>
      <c r="F1904" s="71"/>
      <c r="G1904" s="71"/>
      <c r="H1904" s="126"/>
      <c r="I1904" s="125"/>
      <c r="J1904" s="123"/>
      <c r="K1904" s="12"/>
      <c r="L1904" s="117"/>
      <c r="M1904" s="12"/>
      <c r="N1904" s="117"/>
      <c r="O1904" s="117"/>
      <c r="P1904" s="117"/>
      <c r="Q1904" s="118"/>
      <c r="R1904" s="118"/>
      <c r="S1904" s="118"/>
      <c r="T1904" s="12"/>
      <c r="U1904" s="118"/>
      <c r="V1904" s="118"/>
      <c r="W1904" s="12"/>
      <c r="X1904" s="119"/>
      <c r="Y1904" s="120"/>
      <c r="Z1904" s="12"/>
      <c r="BK1904" s="77"/>
      <c r="BO1904" s="77"/>
      <c r="BQ1904" s="77"/>
      <c r="BT1904" s="5"/>
      <c r="BU1904" s="5"/>
      <c r="BV1904" s="5"/>
      <c r="BW1904" s="71"/>
      <c r="BX1904" s="78"/>
      <c r="BY1904" s="64"/>
      <c r="BZ1904" s="3"/>
    </row>
    <row r="1905" spans="1:78">
      <c r="A1905" s="76"/>
      <c r="B1905" s="76"/>
      <c r="C1905" s="125"/>
      <c r="D1905" s="125"/>
      <c r="E1905" s="71"/>
      <c r="F1905" s="71"/>
      <c r="G1905" s="71"/>
      <c r="H1905" s="126"/>
      <c r="I1905" s="125"/>
      <c r="J1905" s="123"/>
      <c r="K1905" s="12"/>
      <c r="L1905" s="117"/>
      <c r="M1905" s="12"/>
      <c r="N1905" s="117"/>
      <c r="O1905" s="117"/>
      <c r="P1905" s="117"/>
      <c r="Q1905" s="118"/>
      <c r="R1905" s="118"/>
      <c r="S1905" s="118"/>
      <c r="T1905" s="12"/>
      <c r="U1905" s="118"/>
      <c r="V1905" s="118"/>
      <c r="W1905" s="12"/>
      <c r="X1905" s="119"/>
      <c r="Y1905" s="120"/>
      <c r="Z1905" s="12"/>
      <c r="BK1905" s="77"/>
      <c r="BO1905" s="77"/>
      <c r="BQ1905" s="77"/>
      <c r="BT1905" s="5"/>
      <c r="BU1905" s="5"/>
      <c r="BV1905" s="5"/>
      <c r="BW1905" s="71"/>
      <c r="BX1905" s="78"/>
      <c r="BY1905" s="64"/>
      <c r="BZ1905" s="3"/>
    </row>
    <row r="1906" spans="1:78">
      <c r="A1906" s="76"/>
      <c r="B1906" s="76"/>
      <c r="C1906" s="125"/>
      <c r="D1906" s="125"/>
      <c r="E1906" s="71"/>
      <c r="F1906" s="71"/>
      <c r="G1906" s="71"/>
      <c r="H1906" s="126"/>
      <c r="I1906" s="125"/>
      <c r="J1906" s="123"/>
      <c r="K1906" s="12"/>
      <c r="L1906" s="117"/>
      <c r="M1906" s="12"/>
      <c r="N1906" s="117"/>
      <c r="O1906" s="117"/>
      <c r="P1906" s="117"/>
      <c r="Q1906" s="118"/>
      <c r="R1906" s="118"/>
      <c r="S1906" s="118"/>
      <c r="T1906" s="12"/>
      <c r="U1906" s="118"/>
      <c r="V1906" s="118"/>
      <c r="W1906" s="12"/>
      <c r="X1906" s="119"/>
      <c r="Y1906" s="120"/>
      <c r="Z1906" s="12"/>
      <c r="BK1906" s="77"/>
      <c r="BO1906" s="77"/>
      <c r="BQ1906" s="77"/>
      <c r="BT1906" s="5"/>
      <c r="BU1906" s="5"/>
      <c r="BV1906" s="5"/>
      <c r="BW1906" s="71"/>
      <c r="BX1906" s="78"/>
      <c r="BY1906" s="64"/>
      <c r="BZ1906" s="3"/>
    </row>
    <row r="1907" spans="1:78">
      <c r="A1907" s="76"/>
      <c r="B1907" s="76"/>
      <c r="C1907" s="125"/>
      <c r="D1907" s="125"/>
      <c r="E1907" s="71"/>
      <c r="F1907" s="71"/>
      <c r="G1907" s="71"/>
      <c r="H1907" s="126"/>
      <c r="I1907" s="125"/>
      <c r="J1907" s="123"/>
      <c r="K1907" s="12"/>
      <c r="L1907" s="117"/>
      <c r="M1907" s="12"/>
      <c r="N1907" s="117"/>
      <c r="O1907" s="117"/>
      <c r="P1907" s="117"/>
      <c r="Q1907" s="118"/>
      <c r="R1907" s="118"/>
      <c r="S1907" s="118"/>
      <c r="T1907" s="12"/>
      <c r="U1907" s="118"/>
      <c r="V1907" s="118"/>
      <c r="W1907" s="12"/>
      <c r="X1907" s="119"/>
      <c r="Y1907" s="120"/>
      <c r="Z1907" s="12"/>
      <c r="BK1907" s="77"/>
      <c r="BO1907" s="77"/>
      <c r="BQ1907" s="77"/>
      <c r="BT1907" s="5"/>
      <c r="BU1907" s="5"/>
      <c r="BV1907" s="5"/>
      <c r="BW1907" s="71"/>
      <c r="BX1907" s="78"/>
      <c r="BY1907" s="64"/>
      <c r="BZ1907" s="3"/>
    </row>
    <row r="1908" spans="1:78">
      <c r="A1908" s="76"/>
      <c r="B1908" s="76"/>
      <c r="C1908" s="125"/>
      <c r="D1908" s="125"/>
      <c r="E1908" s="71"/>
      <c r="F1908" s="71"/>
      <c r="G1908" s="71"/>
      <c r="H1908" s="126"/>
      <c r="I1908" s="125"/>
      <c r="J1908" s="123"/>
      <c r="K1908" s="12"/>
      <c r="L1908" s="117"/>
      <c r="M1908" s="12"/>
      <c r="N1908" s="117"/>
      <c r="O1908" s="117"/>
      <c r="P1908" s="117"/>
      <c r="Q1908" s="118"/>
      <c r="R1908" s="118"/>
      <c r="S1908" s="118"/>
      <c r="T1908" s="12"/>
      <c r="U1908" s="118"/>
      <c r="V1908" s="118"/>
      <c r="W1908" s="12"/>
      <c r="X1908" s="119"/>
      <c r="Y1908" s="120"/>
      <c r="Z1908" s="12"/>
      <c r="BK1908" s="77"/>
      <c r="BO1908" s="77"/>
      <c r="BQ1908" s="77"/>
      <c r="BT1908" s="5"/>
      <c r="BU1908" s="5"/>
      <c r="BV1908" s="5"/>
      <c r="BW1908" s="71"/>
      <c r="BX1908" s="78"/>
      <c r="BY1908" s="64"/>
      <c r="BZ1908" s="3"/>
    </row>
    <row r="1909" spans="1:78">
      <c r="A1909" s="76"/>
      <c r="B1909" s="76"/>
      <c r="C1909" s="125"/>
      <c r="D1909" s="125"/>
      <c r="E1909" s="71"/>
      <c r="F1909" s="71"/>
      <c r="G1909" s="71"/>
      <c r="H1909" s="126"/>
      <c r="I1909" s="125"/>
      <c r="J1909" s="123"/>
      <c r="K1909" s="12"/>
      <c r="L1909" s="117"/>
      <c r="M1909" s="12"/>
      <c r="N1909" s="117"/>
      <c r="O1909" s="117"/>
      <c r="P1909" s="117"/>
      <c r="Q1909" s="118"/>
      <c r="R1909" s="118"/>
      <c r="S1909" s="118"/>
      <c r="T1909" s="12"/>
      <c r="U1909" s="118"/>
      <c r="V1909" s="118"/>
      <c r="W1909" s="12"/>
      <c r="X1909" s="119"/>
      <c r="Y1909" s="120"/>
      <c r="Z1909" s="12"/>
      <c r="BK1909" s="77"/>
      <c r="BO1909" s="77"/>
      <c r="BQ1909" s="77"/>
      <c r="BT1909" s="5"/>
      <c r="BU1909" s="5"/>
      <c r="BV1909" s="5"/>
      <c r="BW1909" s="71"/>
      <c r="BX1909" s="78"/>
      <c r="BY1909" s="64"/>
      <c r="BZ1909" s="3"/>
    </row>
    <row r="1910" spans="1:78">
      <c r="A1910" s="76"/>
      <c r="B1910" s="76"/>
      <c r="C1910" s="125"/>
      <c r="D1910" s="125"/>
      <c r="E1910" s="71"/>
      <c r="F1910" s="71"/>
      <c r="G1910" s="71"/>
      <c r="H1910" s="126"/>
      <c r="I1910" s="125"/>
      <c r="J1910" s="123"/>
      <c r="K1910" s="12"/>
      <c r="L1910" s="117"/>
      <c r="M1910" s="12"/>
      <c r="N1910" s="117"/>
      <c r="O1910" s="117"/>
      <c r="P1910" s="117"/>
      <c r="Q1910" s="118"/>
      <c r="R1910" s="118"/>
      <c r="S1910" s="118"/>
      <c r="T1910" s="12"/>
      <c r="U1910" s="118"/>
      <c r="V1910" s="118"/>
      <c r="W1910" s="12"/>
      <c r="X1910" s="119"/>
      <c r="Y1910" s="120"/>
      <c r="Z1910" s="12"/>
      <c r="BK1910" s="77"/>
      <c r="BO1910" s="77"/>
      <c r="BQ1910" s="77"/>
      <c r="BT1910" s="5"/>
      <c r="BU1910" s="5"/>
      <c r="BV1910" s="5"/>
      <c r="BW1910" s="71"/>
      <c r="BX1910" s="78"/>
      <c r="BY1910" s="64"/>
      <c r="BZ1910" s="3"/>
    </row>
    <row r="1911" spans="1:78">
      <c r="A1911" s="76"/>
      <c r="B1911" s="76"/>
      <c r="C1911" s="125"/>
      <c r="D1911" s="125"/>
      <c r="E1911" s="71"/>
      <c r="F1911" s="71"/>
      <c r="G1911" s="71"/>
      <c r="H1911" s="126"/>
      <c r="I1911" s="125"/>
      <c r="J1911" s="123"/>
      <c r="K1911" s="12"/>
      <c r="L1911" s="117"/>
      <c r="M1911" s="12"/>
      <c r="N1911" s="117"/>
      <c r="O1911" s="117"/>
      <c r="P1911" s="117"/>
      <c r="Q1911" s="118"/>
      <c r="R1911" s="118"/>
      <c r="S1911" s="118"/>
      <c r="T1911" s="12"/>
      <c r="U1911" s="118"/>
      <c r="V1911" s="118"/>
      <c r="W1911" s="12"/>
      <c r="X1911" s="119"/>
      <c r="Y1911" s="120"/>
      <c r="Z1911" s="12"/>
      <c r="BK1911" s="77"/>
      <c r="BO1911" s="77"/>
      <c r="BQ1911" s="77"/>
      <c r="BT1911" s="5"/>
      <c r="BU1911" s="5"/>
      <c r="BV1911" s="5"/>
      <c r="BW1911" s="71"/>
      <c r="BX1911" s="78"/>
      <c r="BY1911" s="64"/>
      <c r="BZ1911" s="3"/>
    </row>
    <row r="1912" spans="1:78">
      <c r="A1912" s="76"/>
      <c r="B1912" s="76"/>
      <c r="C1912" s="125"/>
      <c r="D1912" s="125"/>
      <c r="E1912" s="71"/>
      <c r="F1912" s="71"/>
      <c r="G1912" s="71"/>
      <c r="H1912" s="126"/>
      <c r="I1912" s="125"/>
      <c r="J1912" s="123"/>
      <c r="K1912" s="12"/>
      <c r="L1912" s="117"/>
      <c r="M1912" s="12"/>
      <c r="N1912" s="117"/>
      <c r="O1912" s="117"/>
      <c r="P1912" s="117"/>
      <c r="Q1912" s="118"/>
      <c r="R1912" s="118"/>
      <c r="S1912" s="118"/>
      <c r="T1912" s="12"/>
      <c r="U1912" s="118"/>
      <c r="V1912" s="118"/>
      <c r="W1912" s="12"/>
      <c r="X1912" s="119"/>
      <c r="Y1912" s="120"/>
      <c r="Z1912" s="12"/>
      <c r="BK1912" s="77"/>
      <c r="BO1912" s="77"/>
      <c r="BQ1912" s="77"/>
      <c r="BT1912" s="5"/>
      <c r="BU1912" s="5"/>
      <c r="BV1912" s="5"/>
      <c r="BW1912" s="71"/>
      <c r="BX1912" s="78"/>
      <c r="BY1912" s="64"/>
      <c r="BZ1912" s="3"/>
    </row>
    <row r="1913" spans="1:78">
      <c r="A1913" s="76"/>
      <c r="B1913" s="76"/>
      <c r="C1913" s="125"/>
      <c r="D1913" s="125"/>
      <c r="E1913" s="71"/>
      <c r="F1913" s="71"/>
      <c r="G1913" s="71"/>
      <c r="H1913" s="126"/>
      <c r="I1913" s="125"/>
      <c r="J1913" s="123"/>
      <c r="K1913" s="12"/>
      <c r="L1913" s="117"/>
      <c r="M1913" s="12"/>
      <c r="N1913" s="117"/>
      <c r="O1913" s="117"/>
      <c r="P1913" s="117"/>
      <c r="Q1913" s="118"/>
      <c r="R1913" s="118"/>
      <c r="S1913" s="118"/>
      <c r="T1913" s="12"/>
      <c r="U1913" s="118"/>
      <c r="V1913" s="118"/>
      <c r="W1913" s="12"/>
      <c r="X1913" s="119"/>
      <c r="Y1913" s="120"/>
      <c r="Z1913" s="12"/>
      <c r="BK1913" s="77"/>
      <c r="BO1913" s="77"/>
      <c r="BQ1913" s="77"/>
      <c r="BT1913" s="5"/>
      <c r="BU1913" s="5"/>
      <c r="BV1913" s="5"/>
      <c r="BW1913" s="71"/>
      <c r="BX1913" s="78"/>
      <c r="BY1913" s="64"/>
      <c r="BZ1913" s="3"/>
    </row>
    <row r="1914" spans="1:78">
      <c r="A1914" s="76"/>
      <c r="B1914" s="76"/>
      <c r="C1914" s="125"/>
      <c r="D1914" s="125"/>
      <c r="E1914" s="71"/>
      <c r="F1914" s="71"/>
      <c r="G1914" s="71"/>
      <c r="H1914" s="126"/>
      <c r="I1914" s="125"/>
      <c r="J1914" s="123"/>
      <c r="K1914" s="12"/>
      <c r="L1914" s="117"/>
      <c r="M1914" s="12"/>
      <c r="N1914" s="117"/>
      <c r="O1914" s="117"/>
      <c r="P1914" s="117"/>
      <c r="Q1914" s="118"/>
      <c r="R1914" s="118"/>
      <c r="S1914" s="118"/>
      <c r="T1914" s="12"/>
      <c r="U1914" s="118"/>
      <c r="V1914" s="118"/>
      <c r="W1914" s="12"/>
      <c r="X1914" s="119"/>
      <c r="Y1914" s="120"/>
      <c r="Z1914" s="12"/>
      <c r="BK1914" s="77"/>
      <c r="BO1914" s="77"/>
      <c r="BQ1914" s="77"/>
      <c r="BT1914" s="5"/>
      <c r="BU1914" s="5"/>
      <c r="BV1914" s="5"/>
      <c r="BW1914" s="71"/>
      <c r="BX1914" s="78"/>
      <c r="BY1914" s="64"/>
      <c r="BZ1914" s="3"/>
    </row>
    <row r="1915" spans="1:78">
      <c r="A1915" s="76"/>
      <c r="B1915" s="76"/>
      <c r="C1915" s="125"/>
      <c r="D1915" s="125"/>
      <c r="E1915" s="71"/>
      <c r="F1915" s="71"/>
      <c r="G1915" s="71"/>
      <c r="H1915" s="126"/>
      <c r="I1915" s="125"/>
      <c r="J1915" s="123"/>
      <c r="K1915" s="12"/>
      <c r="L1915" s="117"/>
      <c r="M1915" s="12"/>
      <c r="N1915" s="117"/>
      <c r="O1915" s="117"/>
      <c r="P1915" s="117"/>
      <c r="Q1915" s="118"/>
      <c r="R1915" s="118"/>
      <c r="S1915" s="118"/>
      <c r="T1915" s="12"/>
      <c r="U1915" s="118"/>
      <c r="V1915" s="118"/>
      <c r="W1915" s="12"/>
      <c r="X1915" s="119"/>
      <c r="Y1915" s="120"/>
      <c r="Z1915" s="12"/>
      <c r="BK1915" s="77"/>
      <c r="BO1915" s="77"/>
      <c r="BQ1915" s="77"/>
      <c r="BT1915" s="5"/>
      <c r="BU1915" s="5"/>
      <c r="BV1915" s="5"/>
      <c r="BW1915" s="71"/>
      <c r="BX1915" s="78"/>
      <c r="BY1915" s="64"/>
      <c r="BZ1915" s="3"/>
    </row>
    <row r="1916" spans="1:78">
      <c r="A1916" s="76"/>
      <c r="B1916" s="76"/>
      <c r="C1916" s="125"/>
      <c r="D1916" s="125"/>
      <c r="E1916" s="71"/>
      <c r="F1916" s="71"/>
      <c r="G1916" s="71"/>
      <c r="H1916" s="126"/>
      <c r="I1916" s="125"/>
      <c r="J1916" s="123"/>
      <c r="K1916" s="12"/>
      <c r="L1916" s="117"/>
      <c r="M1916" s="12"/>
      <c r="N1916" s="117"/>
      <c r="O1916" s="117"/>
      <c r="P1916" s="117"/>
      <c r="Q1916" s="118"/>
      <c r="R1916" s="118"/>
      <c r="S1916" s="118"/>
      <c r="T1916" s="12"/>
      <c r="U1916" s="118"/>
      <c r="V1916" s="118"/>
      <c r="W1916" s="12"/>
      <c r="X1916" s="119"/>
      <c r="Y1916" s="120"/>
      <c r="Z1916" s="12"/>
      <c r="BK1916" s="77"/>
      <c r="BO1916" s="77"/>
      <c r="BQ1916" s="77"/>
      <c r="BT1916" s="5"/>
      <c r="BU1916" s="5"/>
      <c r="BV1916" s="5"/>
      <c r="BW1916" s="71"/>
      <c r="BX1916" s="78"/>
      <c r="BY1916" s="64"/>
      <c r="BZ1916" s="3"/>
    </row>
    <row r="1917" spans="1:78">
      <c r="A1917" s="76"/>
      <c r="B1917" s="76"/>
      <c r="C1917" s="125"/>
      <c r="D1917" s="125"/>
      <c r="E1917" s="71"/>
      <c r="F1917" s="71"/>
      <c r="G1917" s="71"/>
      <c r="H1917" s="126"/>
      <c r="I1917" s="125"/>
      <c r="J1917" s="123"/>
      <c r="K1917" s="12"/>
      <c r="L1917" s="117"/>
      <c r="M1917" s="12"/>
      <c r="N1917" s="117"/>
      <c r="O1917" s="117"/>
      <c r="P1917" s="117"/>
      <c r="Q1917" s="118"/>
      <c r="R1917" s="118"/>
      <c r="S1917" s="118"/>
      <c r="T1917" s="12"/>
      <c r="U1917" s="118"/>
      <c r="V1917" s="118"/>
      <c r="W1917" s="12"/>
      <c r="X1917" s="119"/>
      <c r="Y1917" s="120"/>
      <c r="Z1917" s="12"/>
      <c r="BK1917" s="77"/>
      <c r="BO1917" s="77"/>
      <c r="BQ1917" s="77"/>
      <c r="BT1917" s="5"/>
      <c r="BU1917" s="5"/>
      <c r="BV1917" s="5"/>
      <c r="BW1917" s="71"/>
      <c r="BX1917" s="78"/>
      <c r="BY1917" s="64"/>
      <c r="BZ1917" s="3"/>
    </row>
    <row r="1918" spans="1:78">
      <c r="A1918" s="76"/>
      <c r="B1918" s="76"/>
      <c r="C1918" s="125"/>
      <c r="D1918" s="125"/>
      <c r="E1918" s="71"/>
      <c r="F1918" s="71"/>
      <c r="G1918" s="71"/>
      <c r="H1918" s="126"/>
      <c r="I1918" s="125"/>
      <c r="J1918" s="123"/>
      <c r="K1918" s="12"/>
      <c r="L1918" s="117"/>
      <c r="M1918" s="12"/>
      <c r="N1918" s="117"/>
      <c r="O1918" s="117"/>
      <c r="P1918" s="117"/>
      <c r="Q1918" s="118"/>
      <c r="R1918" s="118"/>
      <c r="S1918" s="118"/>
      <c r="T1918" s="12"/>
      <c r="U1918" s="118"/>
      <c r="V1918" s="118"/>
      <c r="W1918" s="12"/>
      <c r="X1918" s="119"/>
      <c r="Y1918" s="120"/>
      <c r="Z1918" s="12"/>
      <c r="BK1918" s="77"/>
      <c r="BO1918" s="77"/>
      <c r="BQ1918" s="77"/>
      <c r="BT1918" s="5"/>
      <c r="BU1918" s="5"/>
      <c r="BV1918" s="5"/>
      <c r="BW1918" s="71"/>
      <c r="BX1918" s="78"/>
      <c r="BY1918" s="64"/>
      <c r="BZ1918" s="3"/>
    </row>
    <row r="1919" spans="1:78">
      <c r="A1919" s="76"/>
      <c r="B1919" s="76"/>
      <c r="C1919" s="125"/>
      <c r="D1919" s="125"/>
      <c r="E1919" s="71"/>
      <c r="F1919" s="71"/>
      <c r="G1919" s="71"/>
      <c r="H1919" s="126"/>
      <c r="I1919" s="125"/>
      <c r="J1919" s="123"/>
      <c r="K1919" s="12"/>
      <c r="L1919" s="117"/>
      <c r="M1919" s="12"/>
      <c r="N1919" s="117"/>
      <c r="O1919" s="117"/>
      <c r="P1919" s="117"/>
      <c r="Q1919" s="118"/>
      <c r="R1919" s="118"/>
      <c r="S1919" s="118"/>
      <c r="T1919" s="12"/>
      <c r="U1919" s="118"/>
      <c r="V1919" s="118"/>
      <c r="W1919" s="12"/>
      <c r="X1919" s="119"/>
      <c r="Y1919" s="120"/>
      <c r="Z1919" s="12"/>
      <c r="BK1919" s="77"/>
      <c r="BO1919" s="77"/>
      <c r="BQ1919" s="77"/>
      <c r="BT1919" s="5"/>
      <c r="BU1919" s="5"/>
      <c r="BV1919" s="5"/>
      <c r="BW1919" s="71"/>
      <c r="BX1919" s="78"/>
      <c r="BY1919" s="64"/>
      <c r="BZ1919" s="3"/>
    </row>
    <row r="1920" spans="1:78">
      <c r="A1920" s="76"/>
      <c r="B1920" s="76"/>
      <c r="C1920" s="125"/>
      <c r="D1920" s="125"/>
      <c r="E1920" s="71"/>
      <c r="F1920" s="71"/>
      <c r="G1920" s="71"/>
      <c r="H1920" s="126"/>
      <c r="I1920" s="125"/>
      <c r="J1920" s="123"/>
      <c r="K1920" s="12"/>
      <c r="L1920" s="117"/>
      <c r="M1920" s="12"/>
      <c r="N1920" s="117"/>
      <c r="O1920" s="117"/>
      <c r="P1920" s="117"/>
      <c r="Q1920" s="118"/>
      <c r="R1920" s="118"/>
      <c r="S1920" s="118"/>
      <c r="T1920" s="12"/>
      <c r="U1920" s="118"/>
      <c r="V1920" s="118"/>
      <c r="W1920" s="12"/>
      <c r="X1920" s="119"/>
      <c r="Y1920" s="120"/>
      <c r="Z1920" s="12"/>
      <c r="BK1920" s="77"/>
      <c r="BO1920" s="77"/>
      <c r="BQ1920" s="77"/>
      <c r="BT1920" s="5"/>
      <c r="BU1920" s="5"/>
      <c r="BV1920" s="5"/>
      <c r="BW1920" s="71"/>
      <c r="BX1920" s="78"/>
      <c r="BY1920" s="64"/>
      <c r="BZ1920" s="3"/>
    </row>
    <row r="1921" spans="1:78">
      <c r="A1921" s="76"/>
      <c r="B1921" s="76"/>
      <c r="C1921" s="125"/>
      <c r="D1921" s="125"/>
      <c r="E1921" s="71"/>
      <c r="F1921" s="71"/>
      <c r="G1921" s="71"/>
      <c r="H1921" s="126"/>
      <c r="I1921" s="125"/>
      <c r="J1921" s="123"/>
      <c r="K1921" s="12"/>
      <c r="L1921" s="117"/>
      <c r="M1921" s="12"/>
      <c r="N1921" s="117"/>
      <c r="O1921" s="117"/>
      <c r="P1921" s="117"/>
      <c r="Q1921" s="118"/>
      <c r="R1921" s="118"/>
      <c r="S1921" s="118"/>
      <c r="T1921" s="12"/>
      <c r="U1921" s="118"/>
      <c r="V1921" s="118"/>
      <c r="W1921" s="12"/>
      <c r="X1921" s="119"/>
      <c r="Y1921" s="120"/>
      <c r="Z1921" s="12"/>
      <c r="BK1921" s="77"/>
      <c r="BO1921" s="77"/>
      <c r="BQ1921" s="77"/>
      <c r="BT1921" s="5"/>
      <c r="BU1921" s="5"/>
      <c r="BV1921" s="5"/>
      <c r="BW1921" s="71"/>
      <c r="BX1921" s="78"/>
      <c r="BY1921" s="64"/>
      <c r="BZ1921" s="3"/>
    </row>
    <row r="1922" spans="1:78">
      <c r="BK1922" s="77"/>
      <c r="BO1922" s="77"/>
      <c r="BQ1922" s="77"/>
      <c r="BT1922" s="5"/>
      <c r="BU1922" s="5"/>
      <c r="BV1922" s="5"/>
      <c r="BW1922" s="71"/>
      <c r="BX1922" s="78"/>
      <c r="BY1922" s="64"/>
      <c r="BZ1922" s="3"/>
    </row>
    <row r="1923" spans="1:78">
      <c r="BK1923" s="77"/>
      <c r="BO1923" s="77"/>
      <c r="BQ1923" s="77"/>
      <c r="BT1923" s="5"/>
      <c r="BU1923" s="5"/>
      <c r="BV1923" s="5"/>
      <c r="BW1923" s="71"/>
      <c r="BX1923" s="78"/>
      <c r="BY1923" s="64"/>
      <c r="BZ1923" s="3"/>
    </row>
    <row r="1924" spans="1:78">
      <c r="BK1924" s="77"/>
      <c r="BO1924" s="77"/>
      <c r="BQ1924" s="77"/>
      <c r="BT1924" s="5"/>
      <c r="BU1924" s="5"/>
      <c r="BV1924" s="5"/>
      <c r="BW1924" s="71"/>
      <c r="BX1924" s="78"/>
      <c r="BY1924" s="64"/>
      <c r="BZ1924" s="3"/>
    </row>
    <row r="1925" spans="1:78">
      <c r="BK1925" s="77"/>
      <c r="BO1925" s="77"/>
      <c r="BQ1925" s="77"/>
      <c r="BT1925" s="5"/>
      <c r="BU1925" s="5"/>
      <c r="BV1925" s="5"/>
      <c r="BW1925" s="71"/>
      <c r="BX1925" s="78"/>
      <c r="BY1925" s="64"/>
      <c r="BZ1925" s="3"/>
    </row>
    <row r="1926" spans="1:78">
      <c r="BK1926" s="77"/>
      <c r="BO1926" s="77"/>
      <c r="BQ1926" s="77"/>
      <c r="BT1926" s="5"/>
      <c r="BU1926" s="5"/>
      <c r="BV1926" s="5"/>
      <c r="BW1926" s="71"/>
      <c r="BX1926" s="78"/>
      <c r="BY1926" s="64"/>
      <c r="BZ1926" s="3"/>
    </row>
    <row r="1927" spans="1:78">
      <c r="BK1927" s="77"/>
      <c r="BO1927" s="77"/>
      <c r="BQ1927" s="77"/>
      <c r="BT1927" s="5"/>
      <c r="BU1927" s="5"/>
      <c r="BV1927" s="5"/>
      <c r="BW1927" s="71"/>
      <c r="BX1927" s="78"/>
      <c r="BY1927" s="64"/>
      <c r="BZ1927" s="3"/>
    </row>
    <row r="1928" spans="1:78">
      <c r="BK1928" s="77"/>
      <c r="BO1928" s="77"/>
      <c r="BQ1928" s="77"/>
      <c r="BT1928" s="5"/>
      <c r="BU1928" s="5"/>
      <c r="BV1928" s="5"/>
      <c r="BW1928" s="71"/>
      <c r="BX1928" s="78"/>
      <c r="BY1928" s="64"/>
      <c r="BZ1928" s="3"/>
    </row>
    <row r="1929" spans="1:78">
      <c r="BK1929" s="77"/>
      <c r="BO1929" s="77"/>
      <c r="BQ1929" s="77"/>
      <c r="BT1929" s="5"/>
      <c r="BU1929" s="5"/>
      <c r="BV1929" s="5"/>
      <c r="BW1929" s="71"/>
      <c r="BX1929" s="78"/>
      <c r="BY1929" s="64"/>
      <c r="BZ1929" s="3"/>
    </row>
    <row r="1930" spans="1:78">
      <c r="BK1930" s="77"/>
      <c r="BO1930" s="77"/>
      <c r="BQ1930" s="77"/>
      <c r="BT1930" s="5"/>
      <c r="BU1930" s="5"/>
      <c r="BV1930" s="5"/>
      <c r="BW1930" s="71"/>
      <c r="BX1930" s="78"/>
      <c r="BY1930" s="64"/>
      <c r="BZ1930" s="3"/>
    </row>
    <row r="1931" spans="1:78">
      <c r="BK1931" s="77"/>
      <c r="BO1931" s="77"/>
      <c r="BQ1931" s="77"/>
      <c r="BT1931" s="5"/>
      <c r="BU1931" s="5"/>
      <c r="BV1931" s="5"/>
      <c r="BW1931" s="71"/>
      <c r="BX1931" s="78"/>
      <c r="BY1931" s="64"/>
      <c r="BZ1931" s="3"/>
    </row>
    <row r="1932" spans="1:78">
      <c r="BK1932" s="77"/>
      <c r="BO1932" s="77"/>
      <c r="BQ1932" s="77"/>
      <c r="BT1932" s="5"/>
      <c r="BU1932" s="5"/>
      <c r="BV1932" s="5"/>
      <c r="BW1932" s="71"/>
      <c r="BX1932" s="78"/>
      <c r="BY1932" s="64"/>
      <c r="BZ1932" s="3"/>
    </row>
    <row r="1933" spans="1:78">
      <c r="BK1933" s="77"/>
      <c r="BO1933" s="77"/>
      <c r="BQ1933" s="77"/>
      <c r="BT1933" s="5"/>
      <c r="BU1933" s="5"/>
      <c r="BV1933" s="5"/>
      <c r="BW1933" s="71"/>
      <c r="BX1933" s="78"/>
      <c r="BY1933" s="64"/>
      <c r="BZ1933" s="3"/>
    </row>
    <row r="1934" spans="1:78">
      <c r="BK1934" s="77"/>
      <c r="BO1934" s="77"/>
      <c r="BQ1934" s="77"/>
      <c r="BT1934" s="5"/>
      <c r="BU1934" s="5"/>
      <c r="BV1934" s="5"/>
      <c r="BW1934" s="71"/>
      <c r="BX1934" s="78"/>
      <c r="BY1934" s="64"/>
      <c r="BZ1934" s="3"/>
    </row>
    <row r="1935" spans="1:78">
      <c r="BK1935" s="77"/>
      <c r="BO1935" s="77"/>
      <c r="BQ1935" s="77"/>
      <c r="BT1935" s="5"/>
      <c r="BU1935" s="5"/>
      <c r="BV1935" s="5"/>
      <c r="BW1935" s="71"/>
      <c r="BX1935" s="78"/>
      <c r="BY1935" s="64"/>
      <c r="BZ1935" s="3"/>
    </row>
    <row r="1936" spans="1:78">
      <c r="BK1936" s="77"/>
      <c r="BO1936" s="77"/>
      <c r="BQ1936" s="77"/>
      <c r="BT1936" s="5"/>
      <c r="BU1936" s="5"/>
      <c r="BV1936" s="5"/>
      <c r="BW1936" s="71"/>
      <c r="BX1936" s="78"/>
      <c r="BY1936" s="64"/>
      <c r="BZ1936" s="3"/>
    </row>
    <row r="1937" spans="63:78">
      <c r="BK1937" s="77"/>
      <c r="BO1937" s="77"/>
      <c r="BQ1937" s="77"/>
      <c r="BT1937" s="5"/>
      <c r="BU1937" s="5"/>
      <c r="BV1937" s="5"/>
      <c r="BW1937" s="71"/>
      <c r="BX1937" s="78"/>
      <c r="BY1937" s="64"/>
      <c r="BZ1937" s="3"/>
    </row>
    <row r="1938" spans="63:78">
      <c r="BK1938" s="77"/>
      <c r="BO1938" s="77"/>
      <c r="BQ1938" s="77"/>
      <c r="BT1938" s="5"/>
      <c r="BU1938" s="5"/>
      <c r="BV1938" s="5"/>
      <c r="BW1938" s="71"/>
      <c r="BX1938" s="78"/>
      <c r="BY1938" s="64"/>
      <c r="BZ1938" s="3"/>
    </row>
    <row r="1939" spans="63:78">
      <c r="BK1939" s="77"/>
      <c r="BO1939" s="77"/>
      <c r="BQ1939" s="77"/>
      <c r="BT1939" s="5"/>
      <c r="BU1939" s="5"/>
      <c r="BV1939" s="5"/>
      <c r="BW1939" s="71"/>
      <c r="BX1939" s="78"/>
      <c r="BY1939" s="64"/>
      <c r="BZ1939" s="3"/>
    </row>
    <row r="1940" spans="63:78">
      <c r="BK1940" s="77"/>
      <c r="BO1940" s="77"/>
      <c r="BQ1940" s="77"/>
      <c r="BT1940" s="5"/>
      <c r="BU1940" s="5"/>
      <c r="BV1940" s="5"/>
      <c r="BW1940" s="71"/>
      <c r="BX1940" s="78"/>
      <c r="BY1940" s="64"/>
      <c r="BZ1940" s="3"/>
    </row>
    <row r="1941" spans="63:78">
      <c r="BK1941" s="77"/>
      <c r="BO1941" s="77"/>
      <c r="BQ1941" s="77"/>
      <c r="BT1941" s="5"/>
      <c r="BU1941" s="5"/>
      <c r="BV1941" s="5"/>
      <c r="BW1941" s="71"/>
      <c r="BX1941" s="78"/>
      <c r="BY1941" s="64"/>
      <c r="BZ1941" s="3"/>
    </row>
    <row r="1942" spans="63:78">
      <c r="BK1942" s="77"/>
      <c r="BO1942" s="77"/>
      <c r="BQ1942" s="77"/>
      <c r="BT1942" s="5"/>
      <c r="BU1942" s="5"/>
      <c r="BV1942" s="5"/>
      <c r="BW1942" s="71"/>
      <c r="BX1942" s="78"/>
      <c r="BY1942" s="64"/>
      <c r="BZ1942" s="3"/>
    </row>
    <row r="1943" spans="63:78">
      <c r="BK1943" s="77"/>
      <c r="BO1943" s="77"/>
      <c r="BQ1943" s="77"/>
      <c r="BT1943" s="5"/>
      <c r="BU1943" s="5"/>
      <c r="BV1943" s="5"/>
      <c r="BW1943" s="71"/>
      <c r="BX1943" s="78"/>
      <c r="BY1943" s="64"/>
      <c r="BZ1943" s="3"/>
    </row>
    <row r="1944" spans="63:78">
      <c r="BK1944" s="77"/>
      <c r="BO1944" s="77"/>
      <c r="BQ1944" s="77"/>
      <c r="BT1944" s="5"/>
      <c r="BU1944" s="5"/>
      <c r="BV1944" s="5"/>
      <c r="BW1944" s="71"/>
      <c r="BX1944" s="78"/>
      <c r="BY1944" s="64"/>
      <c r="BZ1944" s="3"/>
    </row>
    <row r="1945" spans="63:78">
      <c r="BK1945" s="77"/>
      <c r="BO1945" s="77"/>
      <c r="BQ1945" s="77"/>
      <c r="BT1945" s="5"/>
      <c r="BU1945" s="5"/>
      <c r="BV1945" s="5"/>
      <c r="BW1945" s="71"/>
      <c r="BX1945" s="78"/>
      <c r="BY1945" s="64"/>
      <c r="BZ1945" s="3"/>
    </row>
    <row r="1946" spans="63:78">
      <c r="BK1946" s="77"/>
      <c r="BO1946" s="77"/>
      <c r="BQ1946" s="77"/>
      <c r="BT1946" s="5"/>
      <c r="BU1946" s="5"/>
      <c r="BV1946" s="5"/>
      <c r="BW1946" s="71"/>
      <c r="BX1946" s="78"/>
      <c r="BY1946" s="64"/>
      <c r="BZ1946" s="3"/>
    </row>
    <row r="1947" spans="63:78">
      <c r="BK1947" s="77"/>
      <c r="BO1947" s="77"/>
      <c r="BQ1947" s="77"/>
      <c r="BT1947" s="5"/>
      <c r="BU1947" s="5"/>
      <c r="BV1947" s="5"/>
      <c r="BW1947" s="71"/>
      <c r="BX1947" s="78"/>
      <c r="BY1947" s="64"/>
      <c r="BZ1947" s="3"/>
    </row>
    <row r="1948" spans="63:78">
      <c r="BK1948" s="77"/>
      <c r="BO1948" s="77"/>
      <c r="BQ1948" s="77"/>
      <c r="BT1948" s="5"/>
      <c r="BU1948" s="5"/>
      <c r="BV1948" s="5"/>
      <c r="BW1948" s="71"/>
      <c r="BX1948" s="78"/>
      <c r="BY1948" s="64"/>
      <c r="BZ1948" s="3"/>
    </row>
    <row r="1949" spans="63:78">
      <c r="BK1949" s="77"/>
      <c r="BO1949" s="77"/>
      <c r="BQ1949" s="77"/>
      <c r="BT1949" s="5"/>
      <c r="BU1949" s="5"/>
      <c r="BV1949" s="5"/>
      <c r="BW1949" s="71"/>
      <c r="BX1949" s="78"/>
      <c r="BY1949" s="64"/>
      <c r="BZ1949" s="3"/>
    </row>
    <row r="1950" spans="63:78">
      <c r="BK1950" s="77"/>
      <c r="BO1950" s="77"/>
      <c r="BQ1950" s="77"/>
      <c r="BT1950" s="5"/>
      <c r="BU1950" s="5"/>
      <c r="BV1950" s="5"/>
      <c r="BW1950" s="71"/>
      <c r="BX1950" s="78"/>
      <c r="BY1950" s="64"/>
      <c r="BZ1950" s="3"/>
    </row>
    <row r="1951" spans="63:78">
      <c r="BK1951" s="77"/>
      <c r="BO1951" s="77"/>
      <c r="BQ1951" s="77"/>
      <c r="BT1951" s="5"/>
      <c r="BU1951" s="5"/>
      <c r="BV1951" s="5"/>
      <c r="BW1951" s="71"/>
      <c r="BX1951" s="78"/>
      <c r="BY1951" s="64"/>
      <c r="BZ1951" s="3"/>
    </row>
    <row r="1952" spans="63:78">
      <c r="BK1952" s="77"/>
      <c r="BO1952" s="77"/>
      <c r="BQ1952" s="77"/>
      <c r="BT1952" s="5"/>
      <c r="BU1952" s="5"/>
      <c r="BV1952" s="5"/>
      <c r="BW1952" s="71"/>
      <c r="BX1952" s="78"/>
      <c r="BY1952" s="64"/>
      <c r="BZ1952" s="3"/>
    </row>
    <row r="1953" spans="63:78">
      <c r="BK1953" s="77"/>
      <c r="BO1953" s="77"/>
      <c r="BQ1953" s="77"/>
      <c r="BT1953" s="5"/>
      <c r="BU1953" s="5"/>
      <c r="BV1953" s="5"/>
      <c r="BW1953" s="71"/>
      <c r="BX1953" s="78"/>
      <c r="BY1953" s="64"/>
      <c r="BZ1953" s="3"/>
    </row>
    <row r="1954" spans="63:78">
      <c r="BK1954" s="77"/>
      <c r="BO1954" s="77"/>
      <c r="BQ1954" s="77"/>
      <c r="BT1954" s="5"/>
      <c r="BU1954" s="5"/>
      <c r="BV1954" s="5"/>
      <c r="BW1954" s="71"/>
      <c r="BX1954" s="78"/>
      <c r="BY1954" s="64"/>
      <c r="BZ1954" s="3"/>
    </row>
    <row r="1955" spans="63:78">
      <c r="BK1955" s="77"/>
      <c r="BO1955" s="77"/>
      <c r="BQ1955" s="77"/>
      <c r="BT1955" s="5"/>
      <c r="BU1955" s="5"/>
      <c r="BV1955" s="5"/>
      <c r="BW1955" s="71"/>
      <c r="BX1955" s="78"/>
      <c r="BY1955" s="64"/>
      <c r="BZ1955" s="3"/>
    </row>
    <row r="1956" spans="63:78">
      <c r="BK1956" s="77"/>
      <c r="BO1956" s="77"/>
      <c r="BQ1956" s="77"/>
      <c r="BT1956" s="5"/>
      <c r="BU1956" s="5"/>
      <c r="BV1956" s="5"/>
      <c r="BW1956" s="71"/>
      <c r="BX1956" s="78"/>
      <c r="BY1956" s="64"/>
      <c r="BZ1956" s="3"/>
    </row>
    <row r="1957" spans="63:78">
      <c r="BK1957" s="77"/>
      <c r="BO1957" s="77"/>
      <c r="BQ1957" s="77"/>
      <c r="BT1957" s="5"/>
      <c r="BU1957" s="5"/>
      <c r="BV1957" s="5"/>
      <c r="BW1957" s="71"/>
      <c r="BX1957" s="78"/>
      <c r="BY1957" s="64"/>
      <c r="BZ1957" s="3"/>
    </row>
    <row r="1958" spans="63:78">
      <c r="BK1958" s="77"/>
      <c r="BO1958" s="77"/>
      <c r="BQ1958" s="77"/>
      <c r="BT1958" s="5"/>
      <c r="BU1958" s="5"/>
      <c r="BV1958" s="5"/>
      <c r="BW1958" s="71"/>
      <c r="BX1958" s="78"/>
      <c r="BY1958" s="64"/>
      <c r="BZ1958" s="3"/>
    </row>
    <row r="1959" spans="63:78">
      <c r="BK1959" s="77"/>
      <c r="BO1959" s="77"/>
      <c r="BQ1959" s="77"/>
      <c r="BT1959" s="5"/>
      <c r="BU1959" s="5"/>
      <c r="BV1959" s="5"/>
      <c r="BW1959" s="71"/>
      <c r="BX1959" s="78"/>
      <c r="BY1959" s="64"/>
      <c r="BZ1959" s="3"/>
    </row>
    <row r="1960" spans="63:78">
      <c r="BK1960" s="77"/>
      <c r="BO1960" s="77"/>
      <c r="BQ1960" s="77"/>
      <c r="BT1960" s="5"/>
      <c r="BU1960" s="5"/>
      <c r="BV1960" s="5"/>
      <c r="BW1960" s="71"/>
      <c r="BX1960" s="78"/>
      <c r="BY1960" s="64"/>
      <c r="BZ1960" s="3"/>
    </row>
    <row r="1961" spans="63:78">
      <c r="BK1961" s="77"/>
      <c r="BO1961" s="77"/>
      <c r="BQ1961" s="77"/>
      <c r="BT1961" s="5"/>
      <c r="BU1961" s="5"/>
      <c r="BV1961" s="5"/>
      <c r="BW1961" s="71"/>
      <c r="BX1961" s="78"/>
      <c r="BY1961" s="64"/>
      <c r="BZ1961" s="3"/>
    </row>
    <row r="1962" spans="63:78">
      <c r="BK1962" s="77"/>
      <c r="BO1962" s="77"/>
      <c r="BQ1962" s="77"/>
      <c r="BT1962" s="5"/>
      <c r="BU1962" s="5"/>
      <c r="BV1962" s="5"/>
      <c r="BW1962" s="71"/>
      <c r="BX1962" s="78"/>
      <c r="BY1962" s="64"/>
      <c r="BZ1962" s="3"/>
    </row>
    <row r="1963" spans="63:78">
      <c r="BK1963" s="77"/>
      <c r="BO1963" s="77"/>
      <c r="BQ1963" s="77"/>
      <c r="BT1963" s="5"/>
      <c r="BU1963" s="5"/>
      <c r="BV1963" s="5"/>
      <c r="BW1963" s="71"/>
      <c r="BX1963" s="78"/>
      <c r="BY1963" s="64"/>
      <c r="BZ1963" s="3"/>
    </row>
    <row r="1964" spans="63:78">
      <c r="BK1964" s="77"/>
      <c r="BO1964" s="77"/>
      <c r="BQ1964" s="77"/>
      <c r="BT1964" s="5"/>
      <c r="BU1964" s="5"/>
      <c r="BV1964" s="5"/>
      <c r="BW1964" s="71"/>
      <c r="BX1964" s="78"/>
      <c r="BY1964" s="64"/>
      <c r="BZ1964" s="3"/>
    </row>
    <row r="1965" spans="63:78">
      <c r="BK1965" s="77"/>
      <c r="BO1965" s="77"/>
      <c r="BQ1965" s="77"/>
      <c r="BT1965" s="5"/>
      <c r="BU1965" s="5"/>
      <c r="BV1965" s="5"/>
      <c r="BW1965" s="71"/>
      <c r="BX1965" s="78"/>
      <c r="BY1965" s="64"/>
      <c r="BZ1965" s="3"/>
    </row>
    <row r="1966" spans="63:78">
      <c r="BK1966" s="77"/>
      <c r="BO1966" s="77"/>
      <c r="BQ1966" s="77"/>
      <c r="BT1966" s="5"/>
      <c r="BU1966" s="5"/>
      <c r="BV1966" s="5"/>
      <c r="BW1966" s="71"/>
      <c r="BX1966" s="78"/>
      <c r="BY1966" s="64"/>
      <c r="BZ1966" s="3"/>
    </row>
    <row r="1967" spans="63:78">
      <c r="BK1967" s="77"/>
      <c r="BO1967" s="77"/>
      <c r="BQ1967" s="77"/>
      <c r="BT1967" s="5"/>
      <c r="BU1967" s="5"/>
      <c r="BV1967" s="5"/>
      <c r="BW1967" s="71"/>
      <c r="BX1967" s="78"/>
      <c r="BY1967" s="64"/>
      <c r="BZ1967" s="3"/>
    </row>
    <row r="1968" spans="63:78">
      <c r="BK1968" s="77"/>
      <c r="BO1968" s="77"/>
      <c r="BQ1968" s="77"/>
      <c r="BT1968" s="5"/>
      <c r="BU1968" s="5"/>
      <c r="BV1968" s="5"/>
      <c r="BW1968" s="71"/>
      <c r="BX1968" s="78"/>
      <c r="BY1968" s="64"/>
      <c r="BZ1968" s="3"/>
    </row>
    <row r="1969" spans="63:78">
      <c r="BK1969" s="77"/>
      <c r="BO1969" s="77"/>
      <c r="BQ1969" s="77"/>
      <c r="BT1969" s="5"/>
      <c r="BU1969" s="5"/>
      <c r="BV1969" s="5"/>
      <c r="BW1969" s="71"/>
      <c r="BX1969" s="78"/>
      <c r="BY1969" s="64"/>
      <c r="BZ1969" s="3"/>
    </row>
    <row r="1970" spans="63:78">
      <c r="BK1970" s="77"/>
      <c r="BO1970" s="77"/>
      <c r="BQ1970" s="77"/>
      <c r="BT1970" s="5"/>
      <c r="BU1970" s="5"/>
      <c r="BV1970" s="5"/>
      <c r="BW1970" s="71"/>
      <c r="BX1970" s="78"/>
      <c r="BY1970" s="64"/>
      <c r="BZ1970" s="3"/>
    </row>
    <row r="1971" spans="63:78">
      <c r="BK1971" s="77"/>
      <c r="BO1971" s="77"/>
      <c r="BQ1971" s="77"/>
      <c r="BT1971" s="5"/>
      <c r="BU1971" s="5"/>
      <c r="BV1971" s="5"/>
      <c r="BW1971" s="71"/>
      <c r="BX1971" s="78"/>
      <c r="BY1971" s="64"/>
      <c r="BZ1971" s="3"/>
    </row>
    <row r="1972" spans="63:78">
      <c r="BK1972" s="77"/>
      <c r="BO1972" s="77"/>
      <c r="BQ1972" s="77"/>
      <c r="BT1972" s="5"/>
      <c r="BU1972" s="5"/>
      <c r="BV1972" s="5"/>
      <c r="BW1972" s="71"/>
      <c r="BX1972" s="78"/>
      <c r="BY1972" s="64"/>
      <c r="BZ1972" s="3"/>
    </row>
    <row r="1973" spans="63:78">
      <c r="BK1973" s="77"/>
      <c r="BO1973" s="77"/>
      <c r="BQ1973" s="77"/>
      <c r="BT1973" s="5"/>
      <c r="BU1973" s="5"/>
      <c r="BV1973" s="5"/>
      <c r="BW1973" s="71"/>
      <c r="BX1973" s="78"/>
      <c r="BY1973" s="64"/>
      <c r="BZ1973" s="3"/>
    </row>
    <row r="1974" spans="63:78">
      <c r="BK1974" s="77"/>
      <c r="BO1974" s="77"/>
      <c r="BQ1974" s="77"/>
      <c r="BT1974" s="5"/>
      <c r="BU1974" s="5"/>
      <c r="BV1974" s="5"/>
      <c r="BW1974" s="71"/>
      <c r="BX1974" s="78"/>
      <c r="BY1974" s="64"/>
      <c r="BZ1974" s="3"/>
    </row>
    <row r="1975" spans="63:78">
      <c r="BK1975" s="77"/>
      <c r="BO1975" s="77"/>
      <c r="BQ1975" s="77"/>
      <c r="BT1975" s="5"/>
      <c r="BU1975" s="5"/>
      <c r="BV1975" s="5"/>
      <c r="BW1975" s="71"/>
      <c r="BX1975" s="78"/>
      <c r="BY1975" s="64"/>
      <c r="BZ1975" s="3"/>
    </row>
    <row r="1976" spans="63:78">
      <c r="BK1976" s="77"/>
      <c r="BO1976" s="77"/>
      <c r="BQ1976" s="77"/>
      <c r="BT1976" s="5"/>
      <c r="BU1976" s="5"/>
      <c r="BV1976" s="5"/>
      <c r="BW1976" s="71"/>
      <c r="BX1976" s="78"/>
      <c r="BY1976" s="64"/>
      <c r="BZ1976" s="3"/>
    </row>
    <row r="1977" spans="63:78">
      <c r="BK1977" s="77"/>
      <c r="BO1977" s="77"/>
      <c r="BQ1977" s="77"/>
      <c r="BT1977" s="5"/>
      <c r="BU1977" s="5"/>
      <c r="BV1977" s="5"/>
      <c r="BW1977" s="71"/>
      <c r="BX1977" s="78"/>
      <c r="BY1977" s="64"/>
      <c r="BZ1977" s="3"/>
    </row>
    <row r="1978" spans="63:78">
      <c r="BK1978" s="77"/>
      <c r="BO1978" s="77"/>
      <c r="BQ1978" s="77"/>
      <c r="BT1978" s="5"/>
      <c r="BU1978" s="5"/>
      <c r="BV1978" s="5"/>
      <c r="BW1978" s="71"/>
      <c r="BX1978" s="78"/>
      <c r="BY1978" s="64"/>
      <c r="BZ1978" s="3"/>
    </row>
    <row r="1979" spans="63:78">
      <c r="BK1979" s="77"/>
      <c r="BO1979" s="77"/>
      <c r="BQ1979" s="77"/>
      <c r="BT1979" s="5"/>
      <c r="BU1979" s="5"/>
      <c r="BV1979" s="5"/>
      <c r="BW1979" s="71"/>
      <c r="BX1979" s="78"/>
      <c r="BY1979" s="64"/>
      <c r="BZ1979" s="3"/>
    </row>
    <row r="1980" spans="63:78">
      <c r="BK1980" s="77"/>
      <c r="BO1980" s="77"/>
      <c r="BQ1980" s="77"/>
      <c r="BT1980" s="5"/>
      <c r="BU1980" s="5"/>
      <c r="BV1980" s="5"/>
      <c r="BW1980" s="71"/>
      <c r="BX1980" s="78"/>
      <c r="BY1980" s="64"/>
      <c r="BZ1980" s="3"/>
    </row>
    <row r="1981" spans="63:78">
      <c r="BK1981" s="77"/>
      <c r="BO1981" s="77"/>
      <c r="BQ1981" s="77"/>
      <c r="BT1981" s="5"/>
      <c r="BU1981" s="5"/>
      <c r="BV1981" s="5"/>
      <c r="BW1981" s="71"/>
      <c r="BX1981" s="78"/>
      <c r="BY1981" s="64"/>
      <c r="BZ1981" s="3"/>
    </row>
    <row r="1982" spans="63:78">
      <c r="BK1982" s="77"/>
      <c r="BO1982" s="77"/>
      <c r="BQ1982" s="77"/>
      <c r="BT1982" s="5"/>
      <c r="BU1982" s="5"/>
      <c r="BV1982" s="5"/>
      <c r="BW1982" s="71"/>
      <c r="BX1982" s="78"/>
      <c r="BY1982" s="64"/>
      <c r="BZ1982" s="3"/>
    </row>
    <row r="1983" spans="63:78">
      <c r="BK1983" s="77"/>
      <c r="BO1983" s="77"/>
      <c r="BQ1983" s="77"/>
      <c r="BT1983" s="5"/>
      <c r="BU1983" s="5"/>
      <c r="BV1983" s="5"/>
      <c r="BW1983" s="71"/>
      <c r="BX1983" s="78"/>
      <c r="BY1983" s="64"/>
      <c r="BZ1983" s="3"/>
    </row>
    <row r="1984" spans="63:78">
      <c r="BK1984" s="77"/>
      <c r="BO1984" s="77"/>
      <c r="BQ1984" s="77"/>
      <c r="BT1984" s="5"/>
      <c r="BU1984" s="5"/>
      <c r="BV1984" s="5"/>
      <c r="BW1984" s="71"/>
      <c r="BX1984" s="78"/>
      <c r="BY1984" s="64"/>
      <c r="BZ1984" s="3"/>
    </row>
    <row r="1985" spans="63:78">
      <c r="BK1985" s="77"/>
      <c r="BO1985" s="77"/>
      <c r="BQ1985" s="77"/>
      <c r="BT1985" s="5"/>
      <c r="BU1985" s="5"/>
      <c r="BV1985" s="5"/>
      <c r="BW1985" s="71"/>
      <c r="BX1985" s="78"/>
      <c r="BY1985" s="64"/>
      <c r="BZ1985" s="3"/>
    </row>
    <row r="1986" spans="63:78">
      <c r="BK1986" s="77"/>
      <c r="BO1986" s="77"/>
      <c r="BQ1986" s="77"/>
      <c r="BT1986" s="5"/>
      <c r="BU1986" s="5"/>
      <c r="BV1986" s="5"/>
      <c r="BW1986" s="71"/>
      <c r="BX1986" s="78"/>
      <c r="BY1986" s="64"/>
      <c r="BZ1986" s="3"/>
    </row>
    <row r="1987" spans="63:78">
      <c r="BK1987" s="77"/>
      <c r="BO1987" s="77"/>
      <c r="BQ1987" s="77"/>
      <c r="BT1987" s="5"/>
      <c r="BU1987" s="5"/>
      <c r="BV1987" s="5"/>
      <c r="BW1987" s="71"/>
      <c r="BX1987" s="78"/>
      <c r="BY1987" s="64"/>
      <c r="BZ1987" s="3"/>
    </row>
    <row r="1988" spans="63:78">
      <c r="BK1988" s="77"/>
      <c r="BO1988" s="77"/>
      <c r="BQ1988" s="77"/>
      <c r="BT1988" s="5"/>
      <c r="BU1988" s="5"/>
      <c r="BV1988" s="5"/>
      <c r="BW1988" s="71"/>
      <c r="BX1988" s="78"/>
      <c r="BY1988" s="64"/>
      <c r="BZ1988" s="3"/>
    </row>
    <row r="1989" spans="63:78">
      <c r="BK1989" s="77"/>
      <c r="BO1989" s="77"/>
      <c r="BQ1989" s="77"/>
      <c r="BT1989" s="5"/>
      <c r="BU1989" s="5"/>
      <c r="BV1989" s="5"/>
      <c r="BW1989" s="71"/>
      <c r="BX1989" s="78"/>
      <c r="BY1989" s="64"/>
      <c r="BZ1989" s="3"/>
    </row>
    <row r="1990" spans="63:78">
      <c r="BK1990" s="77"/>
      <c r="BO1990" s="77"/>
      <c r="BQ1990" s="77"/>
      <c r="BT1990" s="5"/>
      <c r="BU1990" s="5"/>
      <c r="BV1990" s="5"/>
      <c r="BW1990" s="71"/>
      <c r="BX1990" s="78"/>
      <c r="BY1990" s="64"/>
      <c r="BZ1990" s="3"/>
    </row>
    <row r="1991" spans="63:78">
      <c r="BK1991" s="77"/>
      <c r="BO1991" s="77"/>
      <c r="BQ1991" s="77"/>
      <c r="BT1991" s="5"/>
      <c r="BU1991" s="5"/>
      <c r="BV1991" s="5"/>
      <c r="BW1991" s="71"/>
      <c r="BX1991" s="78"/>
      <c r="BY1991" s="64"/>
      <c r="BZ1991" s="3"/>
    </row>
    <row r="1992" spans="63:78">
      <c r="BK1992" s="77"/>
      <c r="BO1992" s="77"/>
      <c r="BQ1992" s="77"/>
      <c r="BT1992" s="5"/>
      <c r="BU1992" s="5"/>
      <c r="BV1992" s="5"/>
      <c r="BW1992" s="71"/>
      <c r="BX1992" s="78"/>
      <c r="BY1992" s="64"/>
      <c r="BZ1992" s="3"/>
    </row>
    <row r="1993" spans="63:78">
      <c r="BK1993" s="77"/>
      <c r="BO1993" s="77"/>
      <c r="BQ1993" s="77"/>
      <c r="BT1993" s="5"/>
      <c r="BU1993" s="5"/>
      <c r="BV1993" s="5"/>
      <c r="BW1993" s="71"/>
      <c r="BX1993" s="78"/>
      <c r="BY1993" s="64"/>
      <c r="BZ1993" s="3"/>
    </row>
    <row r="1994" spans="63:78">
      <c r="BK1994" s="77"/>
      <c r="BO1994" s="77"/>
      <c r="BQ1994" s="77"/>
      <c r="BT1994" s="5"/>
      <c r="BU1994" s="5"/>
      <c r="BV1994" s="5"/>
      <c r="BW1994" s="71"/>
      <c r="BX1994" s="78"/>
      <c r="BY1994" s="64"/>
      <c r="BZ1994" s="3"/>
    </row>
    <row r="1995" spans="63:78">
      <c r="BK1995" s="77"/>
      <c r="BO1995" s="77"/>
      <c r="BQ1995" s="77"/>
      <c r="BT1995" s="5"/>
      <c r="BU1995" s="5"/>
      <c r="BV1995" s="5"/>
      <c r="BW1995" s="71"/>
      <c r="BX1995" s="78"/>
      <c r="BY1995" s="64"/>
      <c r="BZ1995" s="3"/>
    </row>
    <row r="1996" spans="63:78">
      <c r="BK1996" s="77"/>
      <c r="BO1996" s="77"/>
      <c r="BQ1996" s="77"/>
      <c r="BT1996" s="5"/>
      <c r="BU1996" s="5"/>
      <c r="BV1996" s="5"/>
      <c r="BW1996" s="71"/>
      <c r="BX1996" s="78"/>
      <c r="BY1996" s="64"/>
      <c r="BZ1996" s="3"/>
    </row>
    <row r="1997" spans="63:78">
      <c r="BK1997" s="77"/>
      <c r="BO1997" s="77"/>
      <c r="BQ1997" s="77"/>
      <c r="BT1997" s="5"/>
      <c r="BU1997" s="5"/>
      <c r="BV1997" s="5"/>
      <c r="BW1997" s="71"/>
      <c r="BX1997" s="78"/>
      <c r="BY1997" s="64"/>
      <c r="BZ1997" s="3"/>
    </row>
    <row r="1998" spans="63:78">
      <c r="BK1998" s="77"/>
      <c r="BO1998" s="77"/>
      <c r="BQ1998" s="77"/>
      <c r="BT1998" s="5"/>
      <c r="BU1998" s="5"/>
      <c r="BV1998" s="5"/>
      <c r="BW1998" s="71"/>
      <c r="BX1998" s="78"/>
      <c r="BY1998" s="64"/>
      <c r="BZ1998" s="3"/>
    </row>
    <row r="1999" spans="63:78">
      <c r="BK1999" s="77"/>
      <c r="BO1999" s="77"/>
      <c r="BQ1999" s="77"/>
      <c r="BT1999" s="5"/>
      <c r="BU1999" s="5"/>
      <c r="BV1999" s="5"/>
      <c r="BW1999" s="71"/>
      <c r="BX1999" s="78"/>
      <c r="BY1999" s="64"/>
      <c r="BZ1999" s="3"/>
    </row>
    <row r="2000" spans="63:78">
      <c r="BK2000" s="77"/>
      <c r="BO2000" s="77"/>
      <c r="BQ2000" s="77"/>
      <c r="BT2000" s="5"/>
      <c r="BU2000" s="5"/>
      <c r="BV2000" s="5"/>
      <c r="BW2000" s="71"/>
      <c r="BX2000" s="78"/>
      <c r="BY2000" s="64"/>
      <c r="BZ2000" s="3"/>
    </row>
    <row r="2001" spans="63:78">
      <c r="BK2001" s="77"/>
      <c r="BO2001" s="77"/>
      <c r="BQ2001" s="77"/>
      <c r="BT2001" s="5"/>
      <c r="BU2001" s="5"/>
      <c r="BV2001" s="5"/>
      <c r="BW2001" s="71"/>
      <c r="BX2001" s="78"/>
      <c r="BY2001" s="64"/>
      <c r="BZ2001" s="3"/>
    </row>
    <row r="2002" spans="63:78">
      <c r="BK2002" s="77"/>
      <c r="BO2002" s="77"/>
      <c r="BQ2002" s="77"/>
      <c r="BT2002" s="5"/>
      <c r="BU2002" s="5"/>
      <c r="BV2002" s="5"/>
      <c r="BW2002" s="71"/>
      <c r="BX2002" s="78"/>
      <c r="BY2002" s="64"/>
      <c r="BZ2002" s="3"/>
    </row>
    <row r="2003" spans="63:78">
      <c r="BK2003" s="77"/>
      <c r="BO2003" s="77"/>
      <c r="BQ2003" s="77"/>
      <c r="BT2003" s="5"/>
      <c r="BU2003" s="5"/>
      <c r="BV2003" s="5"/>
      <c r="BW2003" s="71"/>
      <c r="BX2003" s="78"/>
      <c r="BY2003" s="64"/>
      <c r="BZ2003" s="3"/>
    </row>
    <row r="2004" spans="63:78">
      <c r="BK2004" s="77"/>
      <c r="BO2004" s="77"/>
      <c r="BQ2004" s="77"/>
      <c r="BT2004" s="5"/>
      <c r="BU2004" s="5"/>
      <c r="BV2004" s="5"/>
      <c r="BW2004" s="71"/>
      <c r="BX2004" s="78"/>
      <c r="BY2004" s="64"/>
      <c r="BZ2004" s="3"/>
    </row>
    <row r="2005" spans="63:78">
      <c r="BK2005" s="77"/>
      <c r="BO2005" s="77"/>
      <c r="BQ2005" s="77"/>
      <c r="BT2005" s="5"/>
      <c r="BU2005" s="5"/>
      <c r="BV2005" s="5"/>
      <c r="BW2005" s="71"/>
      <c r="BX2005" s="78"/>
      <c r="BY2005" s="64"/>
      <c r="BZ2005" s="3"/>
    </row>
    <row r="2006" spans="63:78">
      <c r="BK2006" s="77"/>
      <c r="BO2006" s="77"/>
      <c r="BQ2006" s="77"/>
      <c r="BT2006" s="5"/>
      <c r="BU2006" s="5"/>
      <c r="BV2006" s="5"/>
      <c r="BW2006" s="71"/>
      <c r="BX2006" s="78"/>
      <c r="BY2006" s="64"/>
      <c r="BZ2006" s="3"/>
    </row>
    <row r="2007" spans="63:78">
      <c r="BK2007" s="77"/>
      <c r="BO2007" s="77"/>
      <c r="BQ2007" s="77"/>
      <c r="BT2007" s="5"/>
      <c r="BU2007" s="5"/>
      <c r="BV2007" s="5"/>
      <c r="BW2007" s="71"/>
      <c r="BX2007" s="78"/>
      <c r="BY2007" s="64"/>
      <c r="BZ2007" s="3"/>
    </row>
    <row r="2008" spans="63:78">
      <c r="BK2008" s="77"/>
      <c r="BO2008" s="77"/>
      <c r="BQ2008" s="77"/>
      <c r="BT2008" s="5"/>
      <c r="BU2008" s="5"/>
      <c r="BV2008" s="5"/>
      <c r="BW2008" s="71"/>
      <c r="BX2008" s="78"/>
      <c r="BY2008" s="64"/>
      <c r="BZ2008" s="3"/>
    </row>
    <row r="2009" spans="63:78">
      <c r="BK2009" s="77"/>
      <c r="BO2009" s="77"/>
      <c r="BQ2009" s="77"/>
      <c r="BT2009" s="5"/>
      <c r="BU2009" s="5"/>
      <c r="BV2009" s="5"/>
      <c r="BW2009" s="71"/>
      <c r="BX2009" s="78"/>
      <c r="BY2009" s="64"/>
      <c r="BZ2009" s="3"/>
    </row>
    <row r="2010" spans="63:78">
      <c r="BK2010" s="77"/>
      <c r="BO2010" s="77"/>
      <c r="BQ2010" s="77"/>
      <c r="BT2010" s="5"/>
      <c r="BU2010" s="5"/>
      <c r="BV2010" s="5"/>
      <c r="BW2010" s="71"/>
      <c r="BX2010" s="78"/>
      <c r="BY2010" s="64"/>
      <c r="BZ2010" s="3"/>
    </row>
    <row r="2011" spans="63:78">
      <c r="BK2011" s="77"/>
      <c r="BO2011" s="77"/>
      <c r="BQ2011" s="77"/>
      <c r="BT2011" s="5"/>
      <c r="BU2011" s="5"/>
      <c r="BV2011" s="5"/>
      <c r="BW2011" s="71"/>
      <c r="BX2011" s="78"/>
      <c r="BY2011" s="64"/>
      <c r="BZ2011" s="3"/>
    </row>
    <row r="2012" spans="63:78">
      <c r="BK2012" s="77"/>
      <c r="BO2012" s="77"/>
      <c r="BQ2012" s="77"/>
      <c r="BT2012" s="5"/>
      <c r="BU2012" s="5"/>
      <c r="BV2012" s="5"/>
      <c r="BW2012" s="71"/>
      <c r="BX2012" s="78"/>
      <c r="BY2012" s="64"/>
      <c r="BZ2012" s="3"/>
    </row>
    <row r="2013" spans="63:78">
      <c r="BK2013" s="77"/>
      <c r="BO2013" s="77"/>
      <c r="BQ2013" s="77"/>
      <c r="BT2013" s="5"/>
      <c r="BU2013" s="5"/>
      <c r="BV2013" s="5"/>
      <c r="BW2013" s="71"/>
      <c r="BX2013" s="78"/>
      <c r="BY2013" s="64"/>
      <c r="BZ2013" s="3"/>
    </row>
    <row r="2014" spans="63:78">
      <c r="BK2014" s="77"/>
      <c r="BO2014" s="77"/>
      <c r="BQ2014" s="77"/>
      <c r="BT2014" s="5"/>
      <c r="BU2014" s="5"/>
      <c r="BV2014" s="5"/>
      <c r="BW2014" s="71"/>
      <c r="BX2014" s="78"/>
      <c r="BY2014" s="64"/>
      <c r="BZ2014" s="3"/>
    </row>
    <row r="2015" spans="63:78">
      <c r="BK2015" s="77"/>
      <c r="BO2015" s="77"/>
      <c r="BQ2015" s="77"/>
      <c r="BT2015" s="5"/>
      <c r="BU2015" s="5"/>
      <c r="BV2015" s="5"/>
      <c r="BW2015" s="71"/>
      <c r="BX2015" s="78"/>
      <c r="BY2015" s="64"/>
      <c r="BZ2015" s="3"/>
    </row>
    <row r="2016" spans="63:78">
      <c r="BK2016" s="77"/>
      <c r="BO2016" s="77"/>
      <c r="BQ2016" s="77"/>
      <c r="BT2016" s="5"/>
      <c r="BU2016" s="5"/>
      <c r="BV2016" s="5"/>
      <c r="BW2016" s="71"/>
      <c r="BX2016" s="78"/>
      <c r="BY2016" s="64"/>
      <c r="BZ2016" s="3"/>
    </row>
    <row r="2017" spans="63:78">
      <c r="BK2017" s="77"/>
      <c r="BO2017" s="77"/>
      <c r="BQ2017" s="77"/>
      <c r="BT2017" s="5"/>
      <c r="BU2017" s="5"/>
      <c r="BV2017" s="5"/>
      <c r="BW2017" s="71"/>
      <c r="BX2017" s="78"/>
      <c r="BY2017" s="64"/>
      <c r="BZ2017" s="3"/>
    </row>
    <row r="2018" spans="63:78">
      <c r="BK2018" s="77"/>
      <c r="BO2018" s="77"/>
      <c r="BQ2018" s="77"/>
      <c r="BT2018" s="5"/>
      <c r="BU2018" s="5"/>
      <c r="BV2018" s="5"/>
      <c r="BW2018" s="71"/>
      <c r="BX2018" s="78"/>
      <c r="BY2018" s="64"/>
      <c r="BZ2018" s="3"/>
    </row>
    <row r="2019" spans="63:78">
      <c r="BK2019" s="77"/>
      <c r="BO2019" s="77"/>
      <c r="BQ2019" s="77"/>
      <c r="BT2019" s="5"/>
      <c r="BU2019" s="5"/>
      <c r="BV2019" s="5"/>
      <c r="BW2019" s="71"/>
      <c r="BX2019" s="78"/>
      <c r="BY2019" s="64"/>
      <c r="BZ2019" s="3"/>
    </row>
    <row r="2020" spans="63:78">
      <c r="BK2020" s="77"/>
      <c r="BO2020" s="77"/>
      <c r="BQ2020" s="77"/>
      <c r="BT2020" s="5"/>
      <c r="BU2020" s="5"/>
      <c r="BV2020" s="5"/>
      <c r="BW2020" s="71"/>
      <c r="BX2020" s="78"/>
      <c r="BY2020" s="64"/>
      <c r="BZ2020" s="3"/>
    </row>
    <row r="2021" spans="63:78">
      <c r="BK2021" s="77"/>
      <c r="BO2021" s="77"/>
      <c r="BQ2021" s="77"/>
      <c r="BT2021" s="5"/>
      <c r="BU2021" s="5"/>
      <c r="BV2021" s="5"/>
      <c r="BW2021" s="71"/>
      <c r="BX2021" s="78"/>
      <c r="BY2021" s="64"/>
      <c r="BZ2021" s="3"/>
    </row>
    <row r="2022" spans="63:78">
      <c r="BK2022" s="77"/>
      <c r="BO2022" s="77"/>
      <c r="BQ2022" s="77"/>
      <c r="BT2022" s="5"/>
      <c r="BU2022" s="5"/>
      <c r="BV2022" s="5"/>
      <c r="BW2022" s="71"/>
      <c r="BX2022" s="78"/>
      <c r="BY2022" s="64"/>
      <c r="BZ2022" s="3"/>
    </row>
    <row r="2023" spans="63:78">
      <c r="BK2023" s="77"/>
      <c r="BO2023" s="77"/>
      <c r="BQ2023" s="77"/>
      <c r="BT2023" s="5"/>
      <c r="BU2023" s="5"/>
      <c r="BV2023" s="5"/>
      <c r="BW2023" s="71"/>
      <c r="BX2023" s="78"/>
      <c r="BY2023" s="64"/>
      <c r="BZ2023" s="3"/>
    </row>
    <row r="2024" spans="63:78">
      <c r="BK2024" s="77"/>
      <c r="BO2024" s="77"/>
      <c r="BQ2024" s="77"/>
      <c r="BT2024" s="5"/>
      <c r="BU2024" s="5"/>
      <c r="BV2024" s="5"/>
      <c r="BW2024" s="71"/>
      <c r="BX2024" s="78"/>
      <c r="BY2024" s="64"/>
      <c r="BZ2024" s="3"/>
    </row>
    <row r="2025" spans="63:78">
      <c r="BK2025" s="77"/>
      <c r="BO2025" s="77"/>
      <c r="BQ2025" s="77"/>
      <c r="BT2025" s="5"/>
      <c r="BU2025" s="5"/>
      <c r="BV2025" s="5"/>
      <c r="BW2025" s="71"/>
      <c r="BX2025" s="78"/>
      <c r="BY2025" s="64"/>
      <c r="BZ2025" s="3"/>
    </row>
    <row r="2026" spans="63:78">
      <c r="BK2026" s="77"/>
      <c r="BO2026" s="77"/>
      <c r="BQ2026" s="77"/>
      <c r="BT2026" s="5"/>
      <c r="BU2026" s="5"/>
      <c r="BV2026" s="5"/>
      <c r="BW2026" s="71"/>
      <c r="BX2026" s="78"/>
      <c r="BY2026" s="64"/>
      <c r="BZ2026" s="3"/>
    </row>
    <row r="2027" spans="63:78">
      <c r="BK2027" s="77"/>
      <c r="BO2027" s="77"/>
      <c r="BQ2027" s="77"/>
      <c r="BT2027" s="5"/>
      <c r="BU2027" s="5"/>
      <c r="BV2027" s="5"/>
      <c r="BW2027" s="71"/>
      <c r="BX2027" s="78"/>
      <c r="BY2027" s="64"/>
      <c r="BZ2027" s="3"/>
    </row>
    <row r="2028" spans="63:78">
      <c r="BK2028" s="77"/>
      <c r="BO2028" s="77"/>
      <c r="BQ2028" s="77"/>
      <c r="BT2028" s="5"/>
      <c r="BU2028" s="5"/>
      <c r="BV2028" s="5"/>
      <c r="BW2028" s="71"/>
      <c r="BX2028" s="78"/>
      <c r="BY2028" s="64"/>
      <c r="BZ2028" s="3"/>
    </row>
    <row r="2029" spans="63:78">
      <c r="BK2029" s="77"/>
      <c r="BO2029" s="77"/>
      <c r="BQ2029" s="77"/>
      <c r="BT2029" s="5"/>
      <c r="BU2029" s="5"/>
      <c r="BV2029" s="5"/>
      <c r="BW2029" s="71"/>
      <c r="BX2029" s="78"/>
      <c r="BY2029" s="64"/>
      <c r="BZ2029" s="3"/>
    </row>
    <row r="2030" spans="63:78">
      <c r="BK2030" s="77"/>
      <c r="BO2030" s="77"/>
      <c r="BQ2030" s="77"/>
      <c r="BT2030" s="5"/>
      <c r="BU2030" s="5"/>
      <c r="BV2030" s="5"/>
      <c r="BW2030" s="71"/>
      <c r="BX2030" s="78"/>
      <c r="BY2030" s="64"/>
      <c r="BZ2030" s="3"/>
    </row>
    <row r="2031" spans="63:78">
      <c r="BK2031" s="77"/>
      <c r="BO2031" s="77"/>
      <c r="BQ2031" s="77"/>
      <c r="BT2031" s="5"/>
      <c r="BU2031" s="5"/>
      <c r="BV2031" s="5"/>
      <c r="BW2031" s="71"/>
      <c r="BX2031" s="78"/>
      <c r="BY2031" s="64"/>
      <c r="BZ2031" s="3"/>
    </row>
    <row r="2032" spans="63:78">
      <c r="BK2032" s="77"/>
      <c r="BO2032" s="77"/>
      <c r="BQ2032" s="77"/>
      <c r="BT2032" s="5"/>
      <c r="BU2032" s="5"/>
      <c r="BV2032" s="5"/>
      <c r="BW2032" s="71"/>
      <c r="BX2032" s="78"/>
      <c r="BY2032" s="64"/>
      <c r="BZ2032" s="3"/>
    </row>
    <row r="2033" spans="63:78">
      <c r="BK2033" s="77"/>
      <c r="BO2033" s="77"/>
      <c r="BQ2033" s="77"/>
      <c r="BT2033" s="5"/>
      <c r="BU2033" s="5"/>
      <c r="BV2033" s="5"/>
      <c r="BW2033" s="71"/>
      <c r="BX2033" s="78"/>
      <c r="BY2033" s="64"/>
      <c r="BZ2033" s="3"/>
    </row>
    <row r="2034" spans="63:78">
      <c r="BK2034" s="77"/>
      <c r="BO2034" s="77"/>
      <c r="BQ2034" s="77"/>
      <c r="BT2034" s="5"/>
      <c r="BU2034" s="5"/>
      <c r="BV2034" s="5"/>
      <c r="BW2034" s="71"/>
      <c r="BX2034" s="78"/>
      <c r="BY2034" s="64"/>
      <c r="BZ2034" s="3"/>
    </row>
    <row r="2035" spans="63:78">
      <c r="BK2035" s="77"/>
      <c r="BO2035" s="77"/>
      <c r="BQ2035" s="77"/>
      <c r="BT2035" s="5"/>
      <c r="BU2035" s="5"/>
      <c r="BV2035" s="5"/>
      <c r="BW2035" s="71"/>
      <c r="BX2035" s="78"/>
      <c r="BY2035" s="64"/>
      <c r="BZ2035" s="3"/>
    </row>
    <row r="2036" spans="63:78">
      <c r="BK2036" s="77"/>
      <c r="BO2036" s="77"/>
      <c r="BQ2036" s="77"/>
      <c r="BT2036" s="5"/>
      <c r="BU2036" s="5"/>
      <c r="BV2036" s="5"/>
      <c r="BW2036" s="71"/>
      <c r="BX2036" s="78"/>
      <c r="BY2036" s="64"/>
      <c r="BZ2036" s="3"/>
    </row>
    <row r="2037" spans="63:78">
      <c r="BK2037" s="77"/>
      <c r="BO2037" s="77"/>
      <c r="BQ2037" s="77"/>
      <c r="BT2037" s="5"/>
      <c r="BU2037" s="5"/>
      <c r="BV2037" s="5"/>
      <c r="BW2037" s="71"/>
      <c r="BX2037" s="78"/>
      <c r="BY2037" s="64"/>
      <c r="BZ2037" s="3"/>
    </row>
    <row r="2038" spans="63:78">
      <c r="BK2038" s="77"/>
      <c r="BO2038" s="77"/>
      <c r="BQ2038" s="77"/>
      <c r="BT2038" s="5"/>
      <c r="BU2038" s="5"/>
      <c r="BV2038" s="5"/>
      <c r="BW2038" s="71"/>
      <c r="BX2038" s="78"/>
      <c r="BY2038" s="64"/>
      <c r="BZ2038" s="3"/>
    </row>
    <row r="2039" spans="63:78">
      <c r="BK2039" s="77"/>
      <c r="BO2039" s="77"/>
      <c r="BQ2039" s="77"/>
      <c r="BT2039" s="5"/>
      <c r="BU2039" s="5"/>
      <c r="BV2039" s="5"/>
      <c r="BW2039" s="71"/>
      <c r="BX2039" s="78"/>
      <c r="BY2039" s="64"/>
      <c r="BZ2039" s="3"/>
    </row>
    <row r="2040" spans="63:78">
      <c r="BK2040" s="77"/>
      <c r="BO2040" s="77"/>
      <c r="BQ2040" s="77"/>
      <c r="BT2040" s="5"/>
      <c r="BU2040" s="5"/>
      <c r="BV2040" s="5"/>
      <c r="BW2040" s="71"/>
      <c r="BX2040" s="78"/>
      <c r="BY2040" s="64"/>
      <c r="BZ2040" s="3"/>
    </row>
    <row r="2041" spans="63:78">
      <c r="BK2041" s="77"/>
      <c r="BO2041" s="77"/>
      <c r="BQ2041" s="77"/>
      <c r="BT2041" s="5"/>
      <c r="BU2041" s="5"/>
      <c r="BV2041" s="5"/>
      <c r="BW2041" s="71"/>
      <c r="BX2041" s="78"/>
      <c r="BY2041" s="64"/>
      <c r="BZ2041" s="3"/>
    </row>
    <row r="2042" spans="63:78">
      <c r="BK2042" s="77"/>
      <c r="BO2042" s="77"/>
      <c r="BQ2042" s="77"/>
      <c r="BT2042" s="5"/>
      <c r="BU2042" s="5"/>
      <c r="BV2042" s="5"/>
      <c r="BW2042" s="71"/>
      <c r="BX2042" s="78"/>
      <c r="BY2042" s="64"/>
      <c r="BZ2042" s="3"/>
    </row>
    <row r="2043" spans="63:78">
      <c r="BK2043" s="77"/>
      <c r="BO2043" s="77"/>
      <c r="BQ2043" s="77"/>
      <c r="BT2043" s="5"/>
      <c r="BU2043" s="5"/>
      <c r="BV2043" s="5"/>
      <c r="BW2043" s="71"/>
      <c r="BX2043" s="78"/>
      <c r="BY2043" s="64"/>
      <c r="BZ2043" s="3"/>
    </row>
    <row r="2044" spans="63:78">
      <c r="BK2044" s="77"/>
      <c r="BO2044" s="77"/>
      <c r="BQ2044" s="77"/>
      <c r="BT2044" s="5"/>
      <c r="BU2044" s="5"/>
      <c r="BV2044" s="5"/>
      <c r="BW2044" s="71"/>
      <c r="BX2044" s="78"/>
      <c r="BY2044" s="64"/>
      <c r="BZ2044" s="3"/>
    </row>
    <row r="2045" spans="63:78">
      <c r="BK2045" s="77"/>
      <c r="BO2045" s="77"/>
      <c r="BQ2045" s="77"/>
      <c r="BT2045" s="5"/>
      <c r="BU2045" s="5"/>
      <c r="BV2045" s="5"/>
      <c r="BW2045" s="71"/>
      <c r="BX2045" s="78"/>
      <c r="BY2045" s="64"/>
      <c r="BZ2045" s="3"/>
    </row>
    <row r="2046" spans="63:78">
      <c r="BK2046" s="77"/>
      <c r="BO2046" s="77"/>
      <c r="BQ2046" s="77"/>
      <c r="BT2046" s="5"/>
      <c r="BU2046" s="5"/>
      <c r="BV2046" s="5"/>
      <c r="BW2046" s="71"/>
      <c r="BX2046" s="78"/>
      <c r="BY2046" s="64"/>
      <c r="BZ2046" s="3"/>
    </row>
    <row r="2047" spans="63:78">
      <c r="BK2047" s="77"/>
      <c r="BO2047" s="77"/>
      <c r="BQ2047" s="77"/>
      <c r="BT2047" s="5"/>
      <c r="BU2047" s="5"/>
      <c r="BV2047" s="5"/>
      <c r="BW2047" s="71"/>
      <c r="BX2047" s="78"/>
      <c r="BY2047" s="64"/>
      <c r="BZ2047" s="3"/>
    </row>
    <row r="2048" spans="63:78">
      <c r="BK2048" s="77"/>
      <c r="BO2048" s="77"/>
      <c r="BQ2048" s="77"/>
      <c r="BT2048" s="5"/>
      <c r="BU2048" s="5"/>
      <c r="BV2048" s="5"/>
      <c r="BW2048" s="71"/>
      <c r="BX2048" s="78"/>
      <c r="BY2048" s="64"/>
      <c r="BZ2048" s="3"/>
    </row>
    <row r="2049" spans="63:78">
      <c r="BK2049" s="77"/>
      <c r="BO2049" s="77"/>
      <c r="BQ2049" s="77"/>
      <c r="BT2049" s="5"/>
      <c r="BU2049" s="5"/>
      <c r="BV2049" s="5"/>
      <c r="BW2049" s="71"/>
      <c r="BX2049" s="78"/>
      <c r="BY2049" s="64"/>
      <c r="BZ2049" s="3"/>
    </row>
    <row r="2050" spans="63:78">
      <c r="BK2050" s="77"/>
      <c r="BO2050" s="77"/>
      <c r="BQ2050" s="77"/>
      <c r="BT2050" s="5"/>
      <c r="BU2050" s="5"/>
      <c r="BV2050" s="5"/>
      <c r="BW2050" s="71"/>
      <c r="BX2050" s="78"/>
      <c r="BY2050" s="64"/>
      <c r="BZ2050" s="3"/>
    </row>
    <row r="2051" spans="63:78">
      <c r="BK2051" s="77"/>
      <c r="BO2051" s="77"/>
      <c r="BQ2051" s="77"/>
      <c r="BT2051" s="5"/>
      <c r="BU2051" s="5"/>
      <c r="BV2051" s="5"/>
      <c r="BW2051" s="71"/>
      <c r="BX2051" s="78"/>
      <c r="BY2051" s="64"/>
      <c r="BZ2051" s="3"/>
    </row>
    <row r="2052" spans="63:78">
      <c r="BK2052" s="77"/>
      <c r="BO2052" s="77"/>
      <c r="BQ2052" s="77"/>
      <c r="BT2052" s="5"/>
      <c r="BU2052" s="5"/>
      <c r="BV2052" s="5"/>
      <c r="BW2052" s="71"/>
      <c r="BX2052" s="78"/>
      <c r="BY2052" s="64"/>
      <c r="BZ2052" s="3"/>
    </row>
    <row r="2053" spans="63:78">
      <c r="BK2053" s="77"/>
      <c r="BO2053" s="77"/>
      <c r="BQ2053" s="77"/>
      <c r="BT2053" s="5"/>
      <c r="BU2053" s="5"/>
      <c r="BV2053" s="5"/>
      <c r="BW2053" s="71"/>
      <c r="BX2053" s="78"/>
      <c r="BY2053" s="64"/>
      <c r="BZ2053" s="3"/>
    </row>
    <row r="2054" spans="63:78">
      <c r="BK2054" s="77"/>
      <c r="BO2054" s="77"/>
      <c r="BQ2054" s="77"/>
      <c r="BT2054" s="5"/>
      <c r="BU2054" s="5"/>
      <c r="BV2054" s="5"/>
      <c r="BW2054" s="71"/>
      <c r="BX2054" s="78"/>
      <c r="BY2054" s="64"/>
      <c r="BZ2054" s="3"/>
    </row>
    <row r="2055" spans="63:78">
      <c r="BK2055" s="77"/>
      <c r="BO2055" s="77"/>
      <c r="BQ2055" s="77"/>
      <c r="BT2055" s="5"/>
      <c r="BU2055" s="5"/>
      <c r="BV2055" s="5"/>
      <c r="BW2055" s="71"/>
      <c r="BX2055" s="78"/>
      <c r="BY2055" s="64"/>
      <c r="BZ2055" s="3"/>
    </row>
    <row r="2056" spans="63:78">
      <c r="BK2056" s="77"/>
      <c r="BO2056" s="77"/>
      <c r="BQ2056" s="77"/>
      <c r="BT2056" s="5"/>
      <c r="BU2056" s="5"/>
      <c r="BV2056" s="5"/>
      <c r="BW2056" s="71"/>
      <c r="BX2056" s="78"/>
      <c r="BY2056" s="64"/>
      <c r="BZ2056" s="3"/>
    </row>
    <row r="2057" spans="63:78">
      <c r="BK2057" s="77"/>
      <c r="BO2057" s="77"/>
      <c r="BQ2057" s="77"/>
      <c r="BT2057" s="5"/>
      <c r="BU2057" s="5"/>
      <c r="BV2057" s="5"/>
      <c r="BW2057" s="71"/>
      <c r="BX2057" s="78"/>
      <c r="BY2057" s="64"/>
      <c r="BZ2057" s="3"/>
    </row>
    <row r="2058" spans="63:78">
      <c r="BK2058" s="77"/>
      <c r="BO2058" s="77"/>
      <c r="BQ2058" s="77"/>
      <c r="BT2058" s="5"/>
      <c r="BU2058" s="5"/>
      <c r="BV2058" s="5"/>
      <c r="BW2058" s="71"/>
      <c r="BX2058" s="78"/>
      <c r="BY2058" s="64"/>
      <c r="BZ2058" s="3"/>
    </row>
    <row r="2059" spans="63:78">
      <c r="BK2059" s="77"/>
      <c r="BO2059" s="77"/>
      <c r="BQ2059" s="77"/>
      <c r="BT2059" s="5"/>
      <c r="BU2059" s="5"/>
      <c r="BV2059" s="5"/>
      <c r="BW2059" s="71"/>
      <c r="BX2059" s="78"/>
      <c r="BY2059" s="64"/>
      <c r="BZ2059" s="3"/>
    </row>
    <row r="2060" spans="63:78">
      <c r="BK2060" s="77"/>
      <c r="BO2060" s="77"/>
      <c r="BQ2060" s="77"/>
      <c r="BT2060" s="5"/>
      <c r="BU2060" s="5"/>
      <c r="BV2060" s="5"/>
      <c r="BW2060" s="71"/>
      <c r="BX2060" s="78"/>
      <c r="BY2060" s="64"/>
      <c r="BZ2060" s="3"/>
    </row>
    <row r="2061" spans="63:78">
      <c r="BK2061" s="77"/>
      <c r="BO2061" s="77"/>
      <c r="BQ2061" s="77"/>
      <c r="BT2061" s="5"/>
      <c r="BU2061" s="5"/>
      <c r="BV2061" s="5"/>
      <c r="BW2061" s="71"/>
      <c r="BX2061" s="78"/>
      <c r="BY2061" s="64"/>
      <c r="BZ2061" s="3"/>
    </row>
    <row r="2062" spans="63:78">
      <c r="BK2062" s="77"/>
      <c r="BO2062" s="77"/>
      <c r="BQ2062" s="77"/>
      <c r="BT2062" s="5"/>
      <c r="BU2062" s="5"/>
      <c r="BV2062" s="5"/>
      <c r="BW2062" s="71"/>
      <c r="BX2062" s="78"/>
      <c r="BY2062" s="64"/>
      <c r="BZ2062" s="3"/>
    </row>
    <row r="2063" spans="63:78">
      <c r="BK2063" s="77"/>
      <c r="BO2063" s="77"/>
      <c r="BQ2063" s="77"/>
      <c r="BT2063" s="5"/>
      <c r="BU2063" s="5"/>
      <c r="BV2063" s="5"/>
      <c r="BW2063" s="71"/>
      <c r="BX2063" s="78"/>
      <c r="BY2063" s="64"/>
      <c r="BZ2063" s="3"/>
    </row>
    <row r="2064" spans="63:78">
      <c r="BK2064" s="77"/>
      <c r="BO2064" s="77"/>
      <c r="BQ2064" s="77"/>
      <c r="BT2064" s="5"/>
      <c r="BU2064" s="5"/>
      <c r="BV2064" s="5"/>
      <c r="BW2064" s="71"/>
      <c r="BX2064" s="78"/>
      <c r="BY2064" s="64"/>
      <c r="BZ2064" s="3"/>
    </row>
    <row r="2065" spans="63:78">
      <c r="BK2065" s="77"/>
      <c r="BO2065" s="77"/>
      <c r="BQ2065" s="77"/>
      <c r="BT2065" s="5"/>
      <c r="BU2065" s="5"/>
      <c r="BV2065" s="5"/>
      <c r="BW2065" s="71"/>
      <c r="BX2065" s="78"/>
      <c r="BY2065" s="64"/>
      <c r="BZ2065" s="3"/>
    </row>
    <row r="2066" spans="63:78">
      <c r="BK2066" s="77"/>
      <c r="BO2066" s="77"/>
      <c r="BQ2066" s="77"/>
      <c r="BT2066" s="5"/>
      <c r="BU2066" s="5"/>
      <c r="BV2066" s="5"/>
      <c r="BW2066" s="71"/>
      <c r="BX2066" s="78"/>
      <c r="BY2066" s="64"/>
      <c r="BZ2066" s="3"/>
    </row>
    <row r="2067" spans="63:78">
      <c r="BK2067" s="77"/>
      <c r="BO2067" s="77"/>
      <c r="BQ2067" s="77"/>
      <c r="BT2067" s="5"/>
      <c r="BU2067" s="5"/>
      <c r="BV2067" s="5"/>
      <c r="BW2067" s="71"/>
      <c r="BX2067" s="78"/>
      <c r="BY2067" s="64"/>
      <c r="BZ2067" s="3"/>
    </row>
    <row r="2068" spans="63:78">
      <c r="BK2068" s="77"/>
      <c r="BO2068" s="77"/>
      <c r="BQ2068" s="77"/>
      <c r="BT2068" s="5"/>
      <c r="BU2068" s="5"/>
      <c r="BV2068" s="5"/>
      <c r="BW2068" s="71"/>
      <c r="BX2068" s="78"/>
      <c r="BY2068" s="64"/>
      <c r="BZ2068" s="3"/>
    </row>
    <row r="2069" spans="63:78">
      <c r="BK2069" s="77"/>
      <c r="BO2069" s="77"/>
      <c r="BQ2069" s="77"/>
      <c r="BT2069" s="5"/>
      <c r="BU2069" s="5"/>
      <c r="BV2069" s="5"/>
      <c r="BW2069" s="71"/>
      <c r="BX2069" s="78"/>
      <c r="BY2069" s="64"/>
      <c r="BZ2069" s="3"/>
    </row>
    <row r="2070" spans="63:78">
      <c r="BK2070" s="77"/>
      <c r="BO2070" s="77"/>
      <c r="BQ2070" s="77"/>
      <c r="BT2070" s="5"/>
      <c r="BU2070" s="5"/>
      <c r="BV2070" s="5"/>
      <c r="BW2070" s="71"/>
      <c r="BX2070" s="78"/>
      <c r="BY2070" s="64"/>
      <c r="BZ2070" s="3"/>
    </row>
    <row r="2071" spans="63:78">
      <c r="BK2071" s="77"/>
      <c r="BO2071" s="77"/>
      <c r="BQ2071" s="77"/>
      <c r="BT2071" s="5"/>
      <c r="BU2071" s="5"/>
      <c r="BV2071" s="5"/>
      <c r="BW2071" s="71"/>
      <c r="BX2071" s="78"/>
      <c r="BY2071" s="64"/>
      <c r="BZ2071" s="3"/>
    </row>
    <row r="2072" spans="63:78">
      <c r="BK2072" s="77"/>
      <c r="BO2072" s="77"/>
      <c r="BQ2072" s="77"/>
      <c r="BT2072" s="5"/>
      <c r="BU2072" s="5"/>
      <c r="BV2072" s="5"/>
      <c r="BW2072" s="71"/>
      <c r="BX2072" s="78"/>
      <c r="BY2072" s="64"/>
      <c r="BZ2072" s="3"/>
    </row>
    <row r="2073" spans="63:78">
      <c r="BK2073" s="77"/>
      <c r="BO2073" s="77"/>
      <c r="BQ2073" s="77"/>
      <c r="BT2073" s="5"/>
      <c r="BU2073" s="5"/>
      <c r="BV2073" s="5"/>
      <c r="BW2073" s="71"/>
      <c r="BX2073" s="78"/>
      <c r="BY2073" s="64"/>
      <c r="BZ2073" s="3"/>
    </row>
    <row r="2074" spans="63:78">
      <c r="BK2074" s="77"/>
      <c r="BO2074" s="77"/>
      <c r="BQ2074" s="77"/>
      <c r="BT2074" s="5"/>
      <c r="BU2074" s="5"/>
      <c r="BV2074" s="5"/>
      <c r="BW2074" s="71"/>
      <c r="BX2074" s="78"/>
      <c r="BY2074" s="64"/>
      <c r="BZ2074" s="3"/>
    </row>
    <row r="2075" spans="63:78">
      <c r="BK2075" s="77"/>
      <c r="BO2075" s="77"/>
      <c r="BQ2075" s="77"/>
      <c r="BT2075" s="5"/>
      <c r="BU2075" s="5"/>
      <c r="BV2075" s="5"/>
      <c r="BW2075" s="71"/>
      <c r="BX2075" s="78"/>
      <c r="BY2075" s="64"/>
      <c r="BZ2075" s="3"/>
    </row>
    <row r="2076" spans="63:78">
      <c r="BK2076" s="77"/>
      <c r="BO2076" s="77"/>
      <c r="BQ2076" s="77"/>
      <c r="BT2076" s="5"/>
      <c r="BU2076" s="5"/>
      <c r="BV2076" s="5"/>
      <c r="BW2076" s="71"/>
      <c r="BX2076" s="78"/>
      <c r="BY2076" s="64"/>
      <c r="BZ2076" s="3"/>
    </row>
    <row r="2077" spans="63:78">
      <c r="BK2077" s="77"/>
      <c r="BO2077" s="77"/>
      <c r="BQ2077" s="77"/>
      <c r="BT2077" s="5"/>
      <c r="BU2077" s="5"/>
      <c r="BV2077" s="5"/>
      <c r="BW2077" s="71"/>
      <c r="BX2077" s="78"/>
      <c r="BY2077" s="64"/>
      <c r="BZ2077" s="3"/>
    </row>
    <row r="2078" spans="63:78">
      <c r="BK2078" s="77"/>
      <c r="BO2078" s="77"/>
      <c r="BQ2078" s="77"/>
      <c r="BT2078" s="5"/>
      <c r="BU2078" s="5"/>
      <c r="BV2078" s="5"/>
      <c r="BW2078" s="71"/>
      <c r="BX2078" s="78"/>
      <c r="BY2078" s="64"/>
      <c r="BZ2078" s="3"/>
    </row>
    <row r="2079" spans="63:78">
      <c r="BK2079" s="77"/>
      <c r="BO2079" s="77"/>
      <c r="BQ2079" s="77"/>
      <c r="BT2079" s="5"/>
      <c r="BU2079" s="5"/>
      <c r="BV2079" s="5"/>
      <c r="BW2079" s="71"/>
      <c r="BX2079" s="78"/>
      <c r="BY2079" s="64"/>
      <c r="BZ2079" s="3"/>
    </row>
    <row r="2080" spans="63:78">
      <c r="BK2080" s="77"/>
      <c r="BO2080" s="77"/>
      <c r="BQ2080" s="77"/>
      <c r="BT2080" s="5"/>
      <c r="BU2080" s="5"/>
      <c r="BV2080" s="5"/>
      <c r="BW2080" s="71"/>
      <c r="BX2080" s="78"/>
      <c r="BY2080" s="64"/>
      <c r="BZ2080" s="3"/>
    </row>
    <row r="2081" spans="63:78">
      <c r="BK2081" s="77"/>
      <c r="BO2081" s="77"/>
      <c r="BQ2081" s="77"/>
      <c r="BT2081" s="5"/>
      <c r="BU2081" s="5"/>
      <c r="BV2081" s="5"/>
      <c r="BW2081" s="71"/>
      <c r="BX2081" s="78"/>
      <c r="BY2081" s="64"/>
      <c r="BZ2081" s="3"/>
    </row>
    <row r="2082" spans="63:78">
      <c r="BK2082" s="77"/>
      <c r="BO2082" s="77"/>
      <c r="BQ2082" s="77"/>
      <c r="BT2082" s="5"/>
      <c r="BU2082" s="5"/>
      <c r="BV2082" s="5"/>
      <c r="BW2082" s="71"/>
      <c r="BX2082" s="78"/>
      <c r="BY2082" s="64"/>
      <c r="BZ2082" s="3"/>
    </row>
    <row r="2083" spans="63:78">
      <c r="BK2083" s="77"/>
      <c r="BO2083" s="77"/>
      <c r="BQ2083" s="77"/>
      <c r="BT2083" s="5"/>
      <c r="BU2083" s="5"/>
      <c r="BV2083" s="5"/>
      <c r="BW2083" s="71"/>
      <c r="BX2083" s="78"/>
      <c r="BY2083" s="64"/>
      <c r="BZ2083" s="3"/>
    </row>
    <row r="2084" spans="63:78">
      <c r="BK2084" s="77"/>
      <c r="BO2084" s="77"/>
      <c r="BQ2084" s="77"/>
      <c r="BT2084" s="5"/>
      <c r="BU2084" s="5"/>
      <c r="BV2084" s="5"/>
      <c r="BW2084" s="71"/>
      <c r="BX2084" s="78"/>
      <c r="BY2084" s="64"/>
      <c r="BZ2084" s="3"/>
    </row>
    <row r="2085" spans="63:78">
      <c r="BK2085" s="77"/>
      <c r="BO2085" s="77"/>
      <c r="BQ2085" s="77"/>
      <c r="BT2085" s="5"/>
      <c r="BU2085" s="5"/>
      <c r="BV2085" s="5"/>
      <c r="BW2085" s="71"/>
      <c r="BX2085" s="78"/>
      <c r="BY2085" s="64"/>
      <c r="BZ2085" s="3"/>
    </row>
    <row r="2086" spans="63:78">
      <c r="BK2086" s="77"/>
      <c r="BO2086" s="77"/>
      <c r="BQ2086" s="77"/>
      <c r="BT2086" s="5"/>
      <c r="BU2086" s="5"/>
      <c r="BV2086" s="5"/>
      <c r="BW2086" s="71"/>
      <c r="BX2086" s="78"/>
      <c r="BY2086" s="64"/>
      <c r="BZ2086" s="3"/>
    </row>
    <row r="2087" spans="63:78">
      <c r="BK2087" s="77"/>
      <c r="BO2087" s="77"/>
      <c r="BQ2087" s="77"/>
      <c r="BT2087" s="5"/>
      <c r="BU2087" s="5"/>
      <c r="BV2087" s="5"/>
      <c r="BW2087" s="71"/>
      <c r="BX2087" s="78"/>
      <c r="BY2087" s="64"/>
      <c r="BZ2087" s="3"/>
    </row>
    <row r="2088" spans="63:78">
      <c r="BK2088" s="77"/>
      <c r="BO2088" s="77"/>
      <c r="BQ2088" s="77"/>
      <c r="BT2088" s="5"/>
      <c r="BU2088" s="5"/>
      <c r="BV2088" s="5"/>
      <c r="BW2088" s="71"/>
      <c r="BX2088" s="78"/>
      <c r="BY2088" s="64"/>
      <c r="BZ2088" s="3"/>
    </row>
    <row r="2089" spans="63:78">
      <c r="BK2089" s="77"/>
      <c r="BO2089" s="77"/>
      <c r="BQ2089" s="77"/>
      <c r="BT2089" s="5"/>
      <c r="BU2089" s="5"/>
      <c r="BV2089" s="5"/>
      <c r="BW2089" s="71"/>
      <c r="BX2089" s="78"/>
      <c r="BY2089" s="64"/>
      <c r="BZ2089" s="3"/>
    </row>
    <row r="2090" spans="63:78">
      <c r="BK2090" s="77"/>
      <c r="BO2090" s="77"/>
      <c r="BQ2090" s="77"/>
      <c r="BT2090" s="5"/>
      <c r="BU2090" s="5"/>
      <c r="BV2090" s="5"/>
      <c r="BW2090" s="71"/>
      <c r="BX2090" s="78"/>
      <c r="BY2090" s="64"/>
      <c r="BZ2090" s="3"/>
    </row>
    <row r="2091" spans="63:78">
      <c r="BK2091" s="77"/>
      <c r="BO2091" s="77"/>
      <c r="BQ2091" s="77"/>
      <c r="BT2091" s="5"/>
      <c r="BU2091" s="5"/>
      <c r="BV2091" s="5"/>
      <c r="BW2091" s="71"/>
      <c r="BX2091" s="78"/>
      <c r="BY2091" s="64"/>
      <c r="BZ2091" s="3"/>
    </row>
    <row r="2092" spans="63:78">
      <c r="BK2092" s="77"/>
      <c r="BO2092" s="77"/>
      <c r="BQ2092" s="77"/>
      <c r="BT2092" s="5"/>
      <c r="BU2092" s="5"/>
      <c r="BV2092" s="5"/>
      <c r="BW2092" s="71"/>
      <c r="BX2092" s="78"/>
      <c r="BY2092" s="64"/>
      <c r="BZ2092" s="3"/>
    </row>
    <row r="2093" spans="63:78">
      <c r="BK2093" s="77"/>
      <c r="BO2093" s="77"/>
      <c r="BQ2093" s="77"/>
      <c r="BT2093" s="5"/>
      <c r="BU2093" s="5"/>
      <c r="BV2093" s="5"/>
      <c r="BW2093" s="71"/>
      <c r="BX2093" s="78"/>
      <c r="BY2093" s="64"/>
      <c r="BZ2093" s="3"/>
    </row>
    <row r="2094" spans="63:78">
      <c r="BK2094" s="77"/>
      <c r="BO2094" s="77"/>
      <c r="BQ2094" s="77"/>
      <c r="BT2094" s="5"/>
      <c r="BU2094" s="5"/>
      <c r="BV2094" s="5"/>
      <c r="BW2094" s="71"/>
      <c r="BX2094" s="78"/>
      <c r="BY2094" s="64"/>
      <c r="BZ2094" s="3"/>
    </row>
    <row r="2095" spans="63:78">
      <c r="BK2095" s="77"/>
      <c r="BO2095" s="77"/>
      <c r="BQ2095" s="77"/>
      <c r="BT2095" s="5"/>
      <c r="BU2095" s="5"/>
      <c r="BV2095" s="5"/>
      <c r="BW2095" s="71"/>
      <c r="BX2095" s="78"/>
      <c r="BY2095" s="64"/>
      <c r="BZ2095" s="3"/>
    </row>
    <row r="2096" spans="63:78">
      <c r="BK2096" s="77"/>
      <c r="BO2096" s="77"/>
      <c r="BQ2096" s="77"/>
      <c r="BT2096" s="5"/>
      <c r="BU2096" s="5"/>
      <c r="BV2096" s="5"/>
      <c r="BW2096" s="71"/>
      <c r="BX2096" s="78"/>
      <c r="BY2096" s="64"/>
      <c r="BZ2096" s="3"/>
    </row>
    <row r="2097" spans="63:78">
      <c r="BK2097" s="77"/>
      <c r="BO2097" s="77"/>
      <c r="BQ2097" s="77"/>
      <c r="BT2097" s="5"/>
      <c r="BU2097" s="5"/>
      <c r="BV2097" s="5"/>
      <c r="BW2097" s="71"/>
      <c r="BX2097" s="78"/>
      <c r="BY2097" s="64"/>
      <c r="BZ2097" s="3"/>
    </row>
    <row r="2098" spans="63:78">
      <c r="BK2098" s="77"/>
      <c r="BO2098" s="77"/>
      <c r="BQ2098" s="77"/>
      <c r="BT2098" s="5"/>
      <c r="BU2098" s="5"/>
      <c r="BV2098" s="5"/>
      <c r="BW2098" s="71"/>
      <c r="BX2098" s="78"/>
      <c r="BY2098" s="64"/>
      <c r="BZ2098" s="3"/>
    </row>
    <row r="2099" spans="63:78">
      <c r="BK2099" s="77"/>
      <c r="BO2099" s="77"/>
      <c r="BQ2099" s="77"/>
      <c r="BT2099" s="5"/>
      <c r="BU2099" s="5"/>
      <c r="BV2099" s="5"/>
      <c r="BW2099" s="71"/>
      <c r="BX2099" s="78"/>
      <c r="BY2099" s="64"/>
      <c r="BZ2099" s="3"/>
    </row>
    <row r="2100" spans="63:78">
      <c r="BK2100" s="77"/>
      <c r="BO2100" s="77"/>
      <c r="BQ2100" s="77"/>
      <c r="BT2100" s="5"/>
      <c r="BU2100" s="5"/>
      <c r="BV2100" s="5"/>
      <c r="BW2100" s="71"/>
      <c r="BX2100" s="78"/>
      <c r="BY2100" s="64"/>
      <c r="BZ2100" s="3"/>
    </row>
    <row r="2101" spans="63:78">
      <c r="BK2101" s="77"/>
      <c r="BO2101" s="77"/>
      <c r="BQ2101" s="77"/>
      <c r="BT2101" s="5"/>
      <c r="BU2101" s="5"/>
      <c r="BV2101" s="5"/>
      <c r="BW2101" s="71"/>
      <c r="BX2101" s="78"/>
      <c r="BY2101" s="64"/>
      <c r="BZ2101" s="3"/>
    </row>
    <row r="2102" spans="63:78">
      <c r="BK2102" s="77"/>
      <c r="BO2102" s="77"/>
      <c r="BQ2102" s="77"/>
      <c r="BT2102" s="5"/>
      <c r="BU2102" s="5"/>
      <c r="BV2102" s="5"/>
      <c r="BW2102" s="71"/>
      <c r="BX2102" s="78"/>
      <c r="BY2102" s="64"/>
      <c r="BZ2102" s="3"/>
    </row>
    <row r="2103" spans="63:78">
      <c r="BK2103" s="77"/>
      <c r="BO2103" s="77"/>
      <c r="BQ2103" s="77"/>
      <c r="BT2103" s="5"/>
      <c r="BU2103" s="5"/>
      <c r="BV2103" s="5"/>
      <c r="BW2103" s="71"/>
      <c r="BX2103" s="78"/>
      <c r="BY2103" s="64"/>
      <c r="BZ2103" s="3"/>
    </row>
    <row r="2104" spans="63:78">
      <c r="BK2104" s="77"/>
      <c r="BO2104" s="77"/>
      <c r="BQ2104" s="77"/>
      <c r="BT2104" s="5"/>
      <c r="BU2104" s="5"/>
      <c r="BV2104" s="5"/>
      <c r="BW2104" s="71"/>
      <c r="BX2104" s="78"/>
      <c r="BY2104" s="64"/>
      <c r="BZ2104" s="3"/>
    </row>
    <row r="2105" spans="63:78">
      <c r="BK2105" s="77"/>
      <c r="BO2105" s="77"/>
      <c r="BQ2105" s="77"/>
      <c r="BT2105" s="5"/>
      <c r="BU2105" s="5"/>
      <c r="BV2105" s="5"/>
      <c r="BW2105" s="71"/>
      <c r="BX2105" s="78"/>
      <c r="BY2105" s="64"/>
      <c r="BZ2105" s="3"/>
    </row>
    <row r="2106" spans="63:78">
      <c r="BK2106" s="77"/>
      <c r="BO2106" s="77"/>
      <c r="BQ2106" s="77"/>
      <c r="BT2106" s="5"/>
      <c r="BU2106" s="5"/>
      <c r="BV2106" s="5"/>
      <c r="BW2106" s="71"/>
      <c r="BX2106" s="78"/>
      <c r="BY2106" s="64"/>
      <c r="BZ2106" s="3"/>
    </row>
    <row r="2107" spans="63:78">
      <c r="BK2107" s="77"/>
      <c r="BO2107" s="77"/>
      <c r="BQ2107" s="77"/>
      <c r="BT2107" s="5"/>
      <c r="BU2107" s="5"/>
      <c r="BV2107" s="5"/>
      <c r="BW2107" s="71"/>
      <c r="BX2107" s="78"/>
      <c r="BY2107" s="64"/>
      <c r="BZ2107" s="3"/>
    </row>
    <row r="2108" spans="63:78">
      <c r="BK2108" s="77"/>
      <c r="BO2108" s="77"/>
      <c r="BQ2108" s="77"/>
      <c r="BT2108" s="5"/>
      <c r="BU2108" s="5"/>
      <c r="BV2108" s="5"/>
      <c r="BW2108" s="71"/>
      <c r="BX2108" s="78"/>
      <c r="BY2108" s="64"/>
      <c r="BZ2108" s="3"/>
    </row>
    <row r="2109" spans="63:78">
      <c r="BK2109" s="77"/>
      <c r="BO2109" s="77"/>
      <c r="BQ2109" s="77"/>
      <c r="BT2109" s="5"/>
      <c r="BU2109" s="5"/>
      <c r="BV2109" s="5"/>
      <c r="BW2109" s="71"/>
      <c r="BX2109" s="78"/>
      <c r="BY2109" s="64"/>
      <c r="BZ2109" s="3"/>
    </row>
    <row r="2110" spans="63:78">
      <c r="BK2110" s="77"/>
      <c r="BO2110" s="77"/>
      <c r="BQ2110" s="77"/>
      <c r="BT2110" s="5"/>
      <c r="BU2110" s="5"/>
      <c r="BV2110" s="5"/>
      <c r="BW2110" s="71"/>
      <c r="BX2110" s="78"/>
      <c r="BY2110" s="64"/>
      <c r="BZ2110" s="3"/>
    </row>
    <row r="2111" spans="63:78">
      <c r="BK2111" s="77"/>
      <c r="BO2111" s="77"/>
      <c r="BQ2111" s="77"/>
      <c r="BT2111" s="5"/>
      <c r="BU2111" s="5"/>
      <c r="BV2111" s="5"/>
      <c r="BW2111" s="71"/>
      <c r="BX2111" s="78"/>
      <c r="BY2111" s="64"/>
      <c r="BZ2111" s="3"/>
    </row>
  </sheetData>
  <mergeCells count="25">
    <mergeCell ref="BY10:BY11"/>
    <mergeCell ref="BZ10:BZ11"/>
    <mergeCell ref="BF10:BJ10"/>
    <mergeCell ref="BL10:BL11"/>
    <mergeCell ref="BT10:BT11"/>
    <mergeCell ref="BU10:BU11"/>
    <mergeCell ref="BV10:BV11"/>
    <mergeCell ref="BW10:BW11"/>
    <mergeCell ref="BX10:BX11"/>
    <mergeCell ref="BB10:BC10"/>
    <mergeCell ref="Z24:Z25"/>
    <mergeCell ref="F24:J24"/>
    <mergeCell ref="L24:L25"/>
    <mergeCell ref="X24:X25"/>
    <mergeCell ref="Y24:Y25"/>
    <mergeCell ref="AX12:AY13"/>
    <mergeCell ref="A10:Q11"/>
    <mergeCell ref="T24:T25"/>
    <mergeCell ref="U24:U25"/>
    <mergeCell ref="V24:V25"/>
    <mergeCell ref="W24:W25"/>
    <mergeCell ref="AX10:AY10"/>
    <mergeCell ref="R10:Z11"/>
    <mergeCell ref="B24:C25"/>
    <mergeCell ref="AX11:AY11"/>
  </mergeCells>
  <conditionalFormatting sqref="T1:T9 T66 T1922:T1048576">
    <cfRule type="containsText" dxfId="66" priority="355" operator="containsText" text="Check">
      <formula>NOT(ISERROR(SEARCH("Check",T1)))</formula>
    </cfRule>
  </conditionalFormatting>
  <conditionalFormatting sqref="BY10:BY11">
    <cfRule type="top10" dxfId="65" priority="352" rank="1"/>
  </conditionalFormatting>
  <conditionalFormatting sqref="BZ10:BZ11">
    <cfRule type="top10" dxfId="64" priority="351" rank="1"/>
  </conditionalFormatting>
  <conditionalFormatting sqref="BY1:BY1048576">
    <cfRule type="top10" dxfId="63" priority="349" rank="1"/>
  </conditionalFormatting>
  <conditionalFormatting sqref="BZ12:BZ2111">
    <cfRule type="containsText" dxfId="62" priority="348" operator="containsText" text="Check">
      <formula>NOT(ISERROR(SEARCH("Check",BZ12)))</formula>
    </cfRule>
  </conditionalFormatting>
  <conditionalFormatting sqref="BZ1:BZ1048576">
    <cfRule type="containsText" dxfId="61" priority="347" operator="containsText" text="OK">
      <formula>NOT(ISERROR(SEARCH("OK",BZ1)))</formula>
    </cfRule>
  </conditionalFormatting>
  <conditionalFormatting sqref="W27">
    <cfRule type="containsText" dxfId="60" priority="87" operator="containsText" text="Check">
      <formula>NOT(ISERROR(SEARCH("Check",W27)))</formula>
    </cfRule>
  </conditionalFormatting>
  <conditionalFormatting sqref="W27">
    <cfRule type="containsText" dxfId="59" priority="86" operator="containsText" text="OK">
      <formula>NOT(ISERROR(SEARCH("OK",W27)))</formula>
    </cfRule>
  </conditionalFormatting>
  <conditionalFormatting sqref="W28">
    <cfRule type="containsText" dxfId="58" priority="84" operator="containsText" text="Check">
      <formula>NOT(ISERROR(SEARCH("Check",W28)))</formula>
    </cfRule>
  </conditionalFormatting>
  <conditionalFormatting sqref="W28">
    <cfRule type="containsText" dxfId="57" priority="83" operator="containsText" text="OK">
      <formula>NOT(ISERROR(SEARCH("OK",W28)))</formula>
    </cfRule>
  </conditionalFormatting>
  <conditionalFormatting sqref="W29">
    <cfRule type="containsText" dxfId="56" priority="81" operator="containsText" text="Check">
      <formula>NOT(ISERROR(SEARCH("Check",W29)))</formula>
    </cfRule>
  </conditionalFormatting>
  <conditionalFormatting sqref="W29">
    <cfRule type="containsText" dxfId="55" priority="80" operator="containsText" text="OK">
      <formula>NOT(ISERROR(SEARCH("OK",W29)))</formula>
    </cfRule>
  </conditionalFormatting>
  <conditionalFormatting sqref="W30">
    <cfRule type="containsText" dxfId="54" priority="78" operator="containsText" text="Check">
      <formula>NOT(ISERROR(SEARCH("Check",W30)))</formula>
    </cfRule>
  </conditionalFormatting>
  <conditionalFormatting sqref="W30">
    <cfRule type="containsText" dxfId="53" priority="77" operator="containsText" text="OK">
      <formula>NOT(ISERROR(SEARCH("OK",W30)))</formula>
    </cfRule>
  </conditionalFormatting>
  <conditionalFormatting sqref="W31">
    <cfRule type="containsText" dxfId="52" priority="75" operator="containsText" text="Check">
      <formula>NOT(ISERROR(SEARCH("Check",W31)))</formula>
    </cfRule>
  </conditionalFormatting>
  <conditionalFormatting sqref="W31">
    <cfRule type="containsText" dxfId="51" priority="74" operator="containsText" text="OK">
      <formula>NOT(ISERROR(SEARCH("OK",W31)))</formula>
    </cfRule>
  </conditionalFormatting>
  <conditionalFormatting sqref="W32">
    <cfRule type="containsText" dxfId="50" priority="72" operator="containsText" text="Check">
      <formula>NOT(ISERROR(SEARCH("Check",W32)))</formula>
    </cfRule>
  </conditionalFormatting>
  <conditionalFormatting sqref="W32">
    <cfRule type="containsText" dxfId="49" priority="71" operator="containsText" text="OK">
      <formula>NOT(ISERROR(SEARCH("OK",W32)))</formula>
    </cfRule>
  </conditionalFormatting>
  <conditionalFormatting sqref="W33">
    <cfRule type="containsText" dxfId="48" priority="69" operator="containsText" text="Check">
      <formula>NOT(ISERROR(SEARCH("Check",W33)))</formula>
    </cfRule>
  </conditionalFormatting>
  <conditionalFormatting sqref="W33">
    <cfRule type="containsText" dxfId="47" priority="68" operator="containsText" text="OK">
      <formula>NOT(ISERROR(SEARCH("OK",W33)))</formula>
    </cfRule>
  </conditionalFormatting>
  <conditionalFormatting sqref="W34">
    <cfRule type="containsText" dxfId="46" priority="66" operator="containsText" text="Check">
      <formula>NOT(ISERROR(SEARCH("Check",W34)))</formula>
    </cfRule>
  </conditionalFormatting>
  <conditionalFormatting sqref="W34">
    <cfRule type="containsText" dxfId="45" priority="65" operator="containsText" text="OK">
      <formula>NOT(ISERROR(SEARCH("OK",W34)))</formula>
    </cfRule>
  </conditionalFormatting>
  <conditionalFormatting sqref="W35">
    <cfRule type="containsText" dxfId="44" priority="63" operator="containsText" text="Check">
      <formula>NOT(ISERROR(SEARCH("Check",W35)))</formula>
    </cfRule>
  </conditionalFormatting>
  <conditionalFormatting sqref="W35">
    <cfRule type="containsText" dxfId="43" priority="62" operator="containsText" text="OK">
      <formula>NOT(ISERROR(SEARCH("OK",W35)))</formula>
    </cfRule>
  </conditionalFormatting>
  <conditionalFormatting sqref="W36">
    <cfRule type="containsText" dxfId="42" priority="60" operator="containsText" text="Check">
      <formula>NOT(ISERROR(SEARCH("Check",W36)))</formula>
    </cfRule>
  </conditionalFormatting>
  <conditionalFormatting sqref="W36">
    <cfRule type="containsText" dxfId="41" priority="59" operator="containsText" text="OK">
      <formula>NOT(ISERROR(SEARCH("OK",W36)))</formula>
    </cfRule>
  </conditionalFormatting>
  <conditionalFormatting sqref="W37">
    <cfRule type="containsText" dxfId="40" priority="57" operator="containsText" text="Check">
      <formula>NOT(ISERROR(SEARCH("Check",W37)))</formula>
    </cfRule>
  </conditionalFormatting>
  <conditionalFormatting sqref="W37">
    <cfRule type="containsText" dxfId="39" priority="56" operator="containsText" text="OK">
      <formula>NOT(ISERROR(SEARCH("OK",W37)))</formula>
    </cfRule>
  </conditionalFormatting>
  <conditionalFormatting sqref="W38">
    <cfRule type="containsText" dxfId="38" priority="54" operator="containsText" text="Check">
      <formula>NOT(ISERROR(SEARCH("Check",W38)))</formula>
    </cfRule>
  </conditionalFormatting>
  <conditionalFormatting sqref="W38">
    <cfRule type="containsText" dxfId="37" priority="53" operator="containsText" text="OK">
      <formula>NOT(ISERROR(SEARCH("OK",W38)))</formula>
    </cfRule>
  </conditionalFormatting>
  <conditionalFormatting sqref="W39">
    <cfRule type="containsText" dxfId="36" priority="51" operator="containsText" text="Check">
      <formula>NOT(ISERROR(SEARCH("Check",W39)))</formula>
    </cfRule>
  </conditionalFormatting>
  <conditionalFormatting sqref="W39">
    <cfRule type="containsText" dxfId="35" priority="50" operator="containsText" text="OK">
      <formula>NOT(ISERROR(SEARCH("OK",W39)))</formula>
    </cfRule>
  </conditionalFormatting>
  <conditionalFormatting sqref="W40">
    <cfRule type="containsText" dxfId="34" priority="48" operator="containsText" text="Check">
      <formula>NOT(ISERROR(SEARCH("Check",W40)))</formula>
    </cfRule>
  </conditionalFormatting>
  <conditionalFormatting sqref="W40">
    <cfRule type="containsText" dxfId="33" priority="47" operator="containsText" text="OK">
      <formula>NOT(ISERROR(SEARCH("OK",W40)))</formula>
    </cfRule>
  </conditionalFormatting>
  <conditionalFormatting sqref="W41">
    <cfRule type="containsText" dxfId="32" priority="45" operator="containsText" text="Check">
      <formula>NOT(ISERROR(SEARCH("Check",W41)))</formula>
    </cfRule>
  </conditionalFormatting>
  <conditionalFormatting sqref="W41">
    <cfRule type="containsText" dxfId="31" priority="44" operator="containsText" text="OK">
      <formula>NOT(ISERROR(SEARCH("OK",W41)))</formula>
    </cfRule>
  </conditionalFormatting>
  <conditionalFormatting sqref="W42">
    <cfRule type="containsText" dxfId="30" priority="42" operator="containsText" text="Check">
      <formula>NOT(ISERROR(SEARCH("Check",W42)))</formula>
    </cfRule>
  </conditionalFormatting>
  <conditionalFormatting sqref="W42">
    <cfRule type="containsText" dxfId="29" priority="41" operator="containsText" text="OK">
      <formula>NOT(ISERROR(SEARCH("OK",W42)))</formula>
    </cfRule>
  </conditionalFormatting>
  <conditionalFormatting sqref="W43">
    <cfRule type="containsText" dxfId="28" priority="39" operator="containsText" text="Check">
      <formula>NOT(ISERROR(SEARCH("Check",W43)))</formula>
    </cfRule>
  </conditionalFormatting>
  <conditionalFormatting sqref="W43">
    <cfRule type="containsText" dxfId="27" priority="38" operator="containsText" text="OK">
      <formula>NOT(ISERROR(SEARCH("OK",W43)))</formula>
    </cfRule>
  </conditionalFormatting>
  <conditionalFormatting sqref="W44">
    <cfRule type="containsText" dxfId="26" priority="36" operator="containsText" text="Check">
      <formula>NOT(ISERROR(SEARCH("Check",W44)))</formula>
    </cfRule>
  </conditionalFormatting>
  <conditionalFormatting sqref="W44">
    <cfRule type="containsText" dxfId="25" priority="35" operator="containsText" text="OK">
      <formula>NOT(ISERROR(SEARCH("OK",W44)))</formula>
    </cfRule>
  </conditionalFormatting>
  <conditionalFormatting sqref="W45">
    <cfRule type="containsText" dxfId="24" priority="33" operator="containsText" text="Check">
      <formula>NOT(ISERROR(SEARCH("Check",W45)))</formula>
    </cfRule>
  </conditionalFormatting>
  <conditionalFormatting sqref="W45">
    <cfRule type="containsText" dxfId="23" priority="32" operator="containsText" text="OK">
      <formula>NOT(ISERROR(SEARCH("OK",W45)))</formula>
    </cfRule>
  </conditionalFormatting>
  <conditionalFormatting sqref="W46">
    <cfRule type="containsText" dxfId="22" priority="30" operator="containsText" text="Check">
      <formula>NOT(ISERROR(SEARCH("Check",W46)))</formula>
    </cfRule>
  </conditionalFormatting>
  <conditionalFormatting sqref="W46">
    <cfRule type="containsText" dxfId="21" priority="29" operator="containsText" text="OK">
      <formula>NOT(ISERROR(SEARCH("OK",W46)))</formula>
    </cfRule>
  </conditionalFormatting>
  <conditionalFormatting sqref="W47">
    <cfRule type="containsText" dxfId="20" priority="27" operator="containsText" text="Check">
      <formula>NOT(ISERROR(SEARCH("Check",W47)))</formula>
    </cfRule>
  </conditionalFormatting>
  <conditionalFormatting sqref="W47">
    <cfRule type="containsText" dxfId="19" priority="26" operator="containsText" text="OK">
      <formula>NOT(ISERROR(SEARCH("OK",W47)))</formula>
    </cfRule>
  </conditionalFormatting>
  <conditionalFormatting sqref="W48">
    <cfRule type="containsText" dxfId="18" priority="24" operator="containsText" text="Check">
      <formula>NOT(ISERROR(SEARCH("Check",W48)))</formula>
    </cfRule>
  </conditionalFormatting>
  <conditionalFormatting sqref="W48">
    <cfRule type="containsText" dxfId="17" priority="23" operator="containsText" text="OK">
      <formula>NOT(ISERROR(SEARCH("OK",W48)))</formula>
    </cfRule>
  </conditionalFormatting>
  <conditionalFormatting sqref="W49">
    <cfRule type="containsText" dxfId="16" priority="21" operator="containsText" text="Check">
      <formula>NOT(ISERROR(SEARCH("Check",W49)))</formula>
    </cfRule>
  </conditionalFormatting>
  <conditionalFormatting sqref="W49">
    <cfRule type="containsText" dxfId="15" priority="20" operator="containsText" text="OK">
      <formula>NOT(ISERROR(SEARCH("OK",W49)))</formula>
    </cfRule>
  </conditionalFormatting>
  <conditionalFormatting sqref="W50">
    <cfRule type="containsText" dxfId="14" priority="18" operator="containsText" text="Check">
      <formula>NOT(ISERROR(SEARCH("Check",W50)))</formula>
    </cfRule>
  </conditionalFormatting>
  <conditionalFormatting sqref="W50">
    <cfRule type="containsText" dxfId="13" priority="17" operator="containsText" text="OK">
      <formula>NOT(ISERROR(SEARCH("OK",W50)))</formula>
    </cfRule>
  </conditionalFormatting>
  <conditionalFormatting sqref="W51">
    <cfRule type="containsText" dxfId="12" priority="15" operator="containsText" text="Check">
      <formula>NOT(ISERROR(SEARCH("Check",W51)))</formula>
    </cfRule>
  </conditionalFormatting>
  <conditionalFormatting sqref="W51">
    <cfRule type="containsText" dxfId="11" priority="14" operator="containsText" text="OK">
      <formula>NOT(ISERROR(SEARCH("OK",W51)))</formula>
    </cfRule>
  </conditionalFormatting>
  <conditionalFormatting sqref="W52">
    <cfRule type="containsText" dxfId="10" priority="12" operator="containsText" text="Check">
      <formula>NOT(ISERROR(SEARCH("Check",W52)))</formula>
    </cfRule>
  </conditionalFormatting>
  <conditionalFormatting sqref="W52">
    <cfRule type="containsText" dxfId="9" priority="11" operator="containsText" text="OK">
      <formula>NOT(ISERROR(SEARCH("OK",W52)))</formula>
    </cfRule>
  </conditionalFormatting>
  <conditionalFormatting sqref="W53">
    <cfRule type="containsText" dxfId="8" priority="9" operator="containsText" text="Check">
      <formula>NOT(ISERROR(SEARCH("Check",W53)))</formula>
    </cfRule>
  </conditionalFormatting>
  <conditionalFormatting sqref="W53">
    <cfRule type="containsText" dxfId="7" priority="8" operator="containsText" text="OK">
      <formula>NOT(ISERROR(SEARCH("OK",W53)))</formula>
    </cfRule>
  </conditionalFormatting>
  <conditionalFormatting sqref="W67:W1921">
    <cfRule type="containsText" dxfId="6" priority="7" operator="containsText" text="Check">
      <formula>NOT(ISERROR(SEARCH("Check",W67)))</formula>
    </cfRule>
  </conditionalFormatting>
  <conditionalFormatting sqref="W67:W1921">
    <cfRule type="containsText" dxfId="5" priority="6" operator="containsText" text="OK">
      <formula>NOT(ISERROR(SEARCH("OK",W67)))</formula>
    </cfRule>
  </conditionalFormatting>
  <conditionalFormatting sqref="Y24:Y25">
    <cfRule type="top10" dxfId="4" priority="5" rank="1"/>
  </conditionalFormatting>
  <conditionalFormatting sqref="Z24:Z25">
    <cfRule type="top10" dxfId="3" priority="4" rank="1"/>
  </conditionalFormatting>
  <conditionalFormatting sqref="Y24:Y1921">
    <cfRule type="top10" dxfId="2" priority="3" rank="1"/>
  </conditionalFormatting>
  <conditionalFormatting sqref="Z26:Z1921">
    <cfRule type="containsText" dxfId="1" priority="2" operator="containsText" text="Check">
      <formula>NOT(ISERROR(SEARCH("Check",Z26)))</formula>
    </cfRule>
  </conditionalFormatting>
  <conditionalFormatting sqref="Z24:Z1921">
    <cfRule type="containsText" dxfId="0" priority="1" operator="containsText" text="OK">
      <formula>NOT(ISERROR(SEARCH("OK",Z24)))</formula>
    </cfRule>
  </conditionalFormatting>
  <dataValidations count="1">
    <dataValidation type="list" allowBlank="1" showInputMessage="1" showErrorMessage="1" sqref="AX11:AY11" xr:uid="{F8C6FAA3-CA16-43F7-9FA8-CE90CCB3FB63}">
      <formula1>"H Tổng,H Bụng"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Data!$A$3:$A$82</xm:f>
          </x14:formula1>
          <xm:sqref>K14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2026-05-04T03:52:44Z</dcterms:modified>
</cp:coreProperties>
</file>