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an\Downloads\"/>
    </mc:Choice>
  </mc:AlternateContent>
  <xr:revisionPtr revIDLastSave="0" documentId="13_ncr:1_{F6D87C22-BF4E-4F7B-A38F-B0DA837A2F66}" xr6:coauthVersionLast="47" xr6:coauthVersionMax="47" xr10:uidLastSave="{00000000-0000-0000-0000-000000000000}"/>
  <bookViews>
    <workbookView xWindow="-28920" yWindow="-120" windowWidth="29040" windowHeight="15720" tabRatio="808" firstSheet="1" activeTab="3" xr2:uid="{5EFD5A8A-D9C0-475C-897C-38F83BDF0EC7}"/>
  </bookViews>
  <sheets>
    <sheet name="Data" sheetId="2" state="hidden" r:id="rId1"/>
    <sheet name="MBLT" sheetId="10" r:id="rId2"/>
    <sheet name="MBM" sheetId="7" r:id="rId3"/>
    <sheet name="MBXGM" sheetId="11" r:id="rId4"/>
    <sheet name="FrameSect" sheetId="12" r:id="rId5"/>
    <sheet name="CSISect" sheetId="14" r:id="rId6"/>
    <sheet name="MBBOLT" sheetId="6" state="hidden" r:id="rId7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  <definedName name="DS_TrucDinhMai">OFFSET(Data!$AH$3,0,0,MAX(1,SUMPRODUCT(--(LEN(MBXGM!$A$3:$A$30)&gt;0))+SUMPRODUCT(--(LEN(MBXGM!$C$3:$C$30)&gt;0))),1)</definedName>
    <definedName name="Frame_Box">FrameSect!$G$5:$H$999</definedName>
    <definedName name="Frame_C">FrameSect!$S$5:$T$999</definedName>
    <definedName name="Frame_I">FrameSect!$A$5:$B$999</definedName>
    <definedName name="Frame_Pipe">FrameSect!$M$5:$N$999</definedName>
    <definedName name="Frame_Purlin">FrameSect!$AK$5:$AL$999</definedName>
    <definedName name="Frame_Rod">FrameSect!$AE$5:$AF$999</definedName>
    <definedName name="Frame_V">FrameSect!$Y$5:$Z$999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" i="2" l="1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" i="2"/>
  <c r="AF5" i="14" l="1"/>
  <c r="Z5" i="14"/>
  <c r="T5" i="14"/>
  <c r="N5" i="14"/>
  <c r="H5" i="14"/>
  <c r="B16" i="14"/>
  <c r="B15" i="14"/>
  <c r="B14" i="14"/>
  <c r="B13" i="14"/>
  <c r="B12" i="14"/>
  <c r="B11" i="14"/>
  <c r="B10" i="14"/>
  <c r="B9" i="14"/>
  <c r="B8" i="14"/>
  <c r="B7" i="14"/>
  <c r="B6" i="14"/>
  <c r="B5" i="14"/>
  <c r="AL3" i="14"/>
  <c r="AF3" i="14"/>
  <c r="Z3" i="14"/>
  <c r="T3" i="14"/>
  <c r="N3" i="14"/>
  <c r="H3" i="14"/>
  <c r="B3" i="14"/>
  <c r="AL4" i="14" l="1"/>
  <c r="AF4" i="14"/>
  <c r="Z4" i="14"/>
  <c r="T4" i="14"/>
  <c r="N4" i="14"/>
  <c r="H4" i="14"/>
  <c r="B4" i="14"/>
  <c r="H4" i="11"/>
  <c r="H6" i="7"/>
  <c r="I13" i="6" l="1"/>
  <c r="I14" i="6" s="1"/>
  <c r="I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H4" authorId="0" shapeId="0" xr:uid="{9A901E16-9321-4AB7-8BCE-03C55A72ED3E}">
      <text>
        <r>
          <rPr>
            <sz val="9"/>
            <color indexed="81"/>
            <rFont val="Tahoma"/>
            <family val="2"/>
          </rPr>
          <t xml:space="preserve">[HVMT]
Chọn Y là vẽ
N là không vẽ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Toan</author>
    <author>DELL</author>
  </authors>
  <commentList>
    <comment ref="L4" authorId="0" shapeId="0" xr:uid="{17B240AF-21D0-4398-894E-1F8224503EAD}">
      <text>
        <r>
          <rPr>
            <sz val="9"/>
            <color indexed="81"/>
            <rFont val="Tahoma"/>
            <family val="2"/>
          </rPr>
          <t xml:space="preserve">Toàn
Khối lượng xà gồ (kg/m)
</t>
        </r>
      </text>
    </comment>
    <comment ref="L5" authorId="0" shapeId="0" xr:uid="{ECB52A86-22FF-422C-ACC6-ECF547CA94CD}">
      <text>
        <r>
          <rPr>
            <b/>
            <sz val="9"/>
            <color indexed="81"/>
            <rFont val="Tahoma"/>
            <family val="2"/>
          </rPr>
          <t>Toàn
Khối lượng xà gồ (kg/m)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" authorId="1" shapeId="0" xr:uid="{23C811A3-84A7-48C9-8369-F7FD6DAC2A30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Số lượng ty giằng: Thường mặc định là 1 ty</t>
        </r>
      </text>
    </comment>
    <comment ref="L6" authorId="1" shapeId="0" xr:uid="{A4E396F5-F2D1-4E04-ABD6-EC670BF0F39C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Đường kính ty giằng thường 10 hoặc 12 hoặc tùy tính toán.</t>
        </r>
      </text>
    </comment>
    <comment ref="L7" authorId="2" shapeId="0" xr:uid="{4915B299-34AD-4540-AB47-596D4D98696D}">
      <text>
        <r>
          <rPr>
            <sz val="9"/>
            <color indexed="81"/>
            <rFont val="Tahoma"/>
            <charset val="1"/>
          </rPr>
          <t xml:space="preserve">Khoảng cách từ trục đến đỉnh mái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P3" authorId="0" shapeId="0" xr:uid="{DA59D5AF-9715-4507-9F86-143D9787F58A}">
      <text>
        <r>
          <rPr>
            <b/>
            <sz val="9"/>
            <color indexed="81"/>
            <rFont val="Tahoma"/>
            <charset val="1"/>
          </rPr>
          <t>Toàn:
Nhập = 0 là không vẽ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P4" authorId="0" shapeId="0" xr:uid="{173FDFBD-0730-43B8-BDC9-16759045F2A6}">
      <text>
        <r>
          <rPr>
            <b/>
            <sz val="9"/>
            <color indexed="81"/>
            <rFont val="Tahoma"/>
            <charset val="1"/>
          </rPr>
          <t>Toàn:
Nhập = 0 là không vẽ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K9" authorId="0" shapeId="0" xr:uid="{C94844AC-6532-44DB-96FC-B68D59F8D038}">
      <text>
        <r>
          <rPr>
            <sz val="9"/>
            <color indexed="81"/>
            <rFont val="Tahoma"/>
            <charset val="1"/>
          </rPr>
          <t xml:space="preserve">Toàn:
Khoảng cách từ mép thép đến mép bê tông
</t>
        </r>
      </text>
    </comment>
  </commentList>
</comments>
</file>

<file path=xl/sharedStrings.xml><?xml version="1.0" encoding="utf-8"?>
<sst xmlns="http://schemas.openxmlformats.org/spreadsheetml/2006/main" count="677" uniqueCount="453">
  <si>
    <t>Z200</t>
  </si>
  <si>
    <t>C200</t>
  </si>
  <si>
    <t>Z150</t>
  </si>
  <si>
    <t>Z250</t>
  </si>
  <si>
    <t>Z300</t>
  </si>
  <si>
    <t>C100</t>
  </si>
  <si>
    <t>C150</t>
  </si>
  <si>
    <t>C180</t>
  </si>
  <si>
    <t>C250</t>
  </si>
  <si>
    <t>C300</t>
  </si>
  <si>
    <t>Xà gồ</t>
  </si>
  <si>
    <t>Bu lông</t>
  </si>
  <si>
    <t>Tỉ lệ bản vẽ</t>
  </si>
  <si>
    <t>Chiều cao</t>
  </si>
  <si>
    <t>Loại liên kết</t>
  </si>
  <si>
    <t>Đường kính</t>
  </si>
  <si>
    <t>Y1</t>
  </si>
  <si>
    <t>Y2</t>
  </si>
  <si>
    <t>Y3</t>
  </si>
  <si>
    <t>Y4</t>
  </si>
  <si>
    <t>Y5</t>
  </si>
  <si>
    <t>Y6</t>
  </si>
  <si>
    <t>Y7</t>
  </si>
  <si>
    <t>KHUNG K2</t>
  </si>
  <si>
    <t>Ngàm</t>
  </si>
  <si>
    <t>Khớp</t>
  </si>
  <si>
    <t>Z180</t>
  </si>
  <si>
    <t>Loại liên kết k</t>
  </si>
  <si>
    <t>Liên kết</t>
  </si>
  <si>
    <t>Vị trí</t>
  </si>
  <si>
    <t>MẶT BẰNG BU LÔNG NEO</t>
  </si>
  <si>
    <t>Grid ID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</si>
  <si>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</si>
  <si>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</si>
  <si>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</si>
  <si>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</si>
  <si>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</si>
  <si>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</si>
  <si>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</si>
  <si>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</si>
  <si>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</si>
  <si>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</si>
  <si>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</si>
  <si>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</si>
  <si>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Trái</t>
  </si>
  <si>
    <t>Phải</t>
  </si>
  <si>
    <t>Dưới</t>
  </si>
  <si>
    <t>Trên</t>
  </si>
  <si>
    <t>B1</t>
  </si>
  <si>
    <t>B2</t>
  </si>
  <si>
    <t>B3</t>
  </si>
  <si>
    <t>B4</t>
  </si>
  <si>
    <t>Tên</t>
  </si>
  <si>
    <t>Chân cột thép</t>
  </si>
  <si>
    <t xml:space="preserve">Chiều dày
bụng </t>
  </si>
  <si>
    <t xml:space="preserve">Chiều dày
cánh </t>
  </si>
  <si>
    <t>Dữ liệu vẽ lưới</t>
  </si>
  <si>
    <t>Vẽ lưới (theo dữ liệu bên trái)</t>
  </si>
  <si>
    <t>Y</t>
  </si>
  <si>
    <t>Khoảng cách từ trục đến mép</t>
  </si>
  <si>
    <t>Giằng X</t>
  </si>
  <si>
    <t>EB</t>
  </si>
  <si>
    <t>Lưu ý:</t>
  </si>
  <si>
    <t xml:space="preserve">P. X </t>
  </si>
  <si>
    <t xml:space="preserve">P. Y </t>
  </si>
  <si>
    <t>4. Cột giữa khung chính</t>
  </si>
  <si>
    <t>1. Cột góc nhà (4 góc)</t>
  </si>
  <si>
    <t>2. Cột biên khung đầu hồi</t>
  </si>
  <si>
    <t>3. Cột biên khung chính</t>
  </si>
  <si>
    <t>Vị trí cột giữa khung chính:</t>
  </si>
  <si>
    <t>Nếu quét chọn cột bên Etabs/Sap thì không quan tâm đến dòng này</t>
  </si>
  <si>
    <t xml:space="preserve">Vị trí cột giữa </t>
  </si>
  <si>
    <t>MẶT BẰNG MÁI</t>
  </si>
  <si>
    <t>KHUNG K1</t>
  </si>
  <si>
    <t>Giằng dọc</t>
  </si>
  <si>
    <t>MẶT BẰNG XÀ GỒ MÁI</t>
  </si>
  <si>
    <t>Khung đầu hồi</t>
  </si>
  <si>
    <t>Khung giữa</t>
  </si>
  <si>
    <t>Tên bản vẽ</t>
  </si>
  <si>
    <t>ROOF PLAN</t>
  </si>
  <si>
    <t>FRAMING PLAN</t>
  </si>
  <si>
    <t>MẶT BẰNG KHUNG</t>
  </si>
  <si>
    <t>PURLIN PLAN</t>
  </si>
  <si>
    <t>MẶT BẰNG XÀ GỒ</t>
  </si>
  <si>
    <t>MẶT BẰNG DẦM SÀN</t>
  </si>
  <si>
    <t>COLUMN PLAN</t>
  </si>
  <si>
    <t>MẶT BẰNG CHÂN CỘT</t>
  </si>
  <si>
    <t>MẶT BẰNG DẦM DẪN CẦU TRỤC</t>
  </si>
  <si>
    <t>MẶT BẰNG MÓNG</t>
  </si>
  <si>
    <t>FOUNDATION PLAN</t>
  </si>
  <si>
    <t>Dim trục phương X</t>
  </si>
  <si>
    <t>Dim trục phương Y</t>
  </si>
  <si>
    <t>TRÁI</t>
  </si>
  <si>
    <t>PHẢI</t>
  </si>
  <si>
    <t>ALL</t>
  </si>
  <si>
    <t>TRÊN</t>
  </si>
  <si>
    <t>DƯỚI</t>
  </si>
  <si>
    <t>THÔNG TIN CHUNG</t>
  </si>
  <si>
    <t>ANCHOR BOLT PLAN</t>
  </si>
  <si>
    <t>Bắt đầu</t>
  </si>
  <si>
    <t>Kết thúc</t>
  </si>
  <si>
    <t>(*) Nóc gió = Cửa trời</t>
  </si>
  <si>
    <t>Vị trí
nóc gió</t>
  </si>
  <si>
    <t>Trong trường hợp người dùng vẽ không cần liên kết với Etabs, Sap2000 thì cần bổ sung thông tin sau</t>
  </si>
  <si>
    <t>Khoảng cách từ trục đến mép.</t>
  </si>
  <si>
    <t>Vị trí giằng X</t>
  </si>
  <si>
    <t>Red</t>
  </si>
  <si>
    <t>Color</t>
  </si>
  <si>
    <t>Yellow</t>
  </si>
  <si>
    <t>Green</t>
  </si>
  <si>
    <t>Cyan</t>
  </si>
  <si>
    <t>Blue</t>
  </si>
  <si>
    <t>Magenta</t>
  </si>
  <si>
    <t>White</t>
  </si>
  <si>
    <t>TEXT</t>
  </si>
  <si>
    <t>LINE</t>
  </si>
  <si>
    <t>BR</t>
  </si>
  <si>
    <t>MẶT BẰNG XÀ GỒ NÓC GIÓ</t>
  </si>
  <si>
    <t>Công trình có nóc gió</t>
  </si>
  <si>
    <t>Lmax</t>
  </si>
  <si>
    <t>n</t>
  </si>
  <si>
    <t>Sliver</t>
  </si>
  <si>
    <t>Gray</t>
  </si>
  <si>
    <t>Khung thép</t>
  </si>
  <si>
    <t>Ty giằng</t>
  </si>
  <si>
    <t>VN</t>
  </si>
  <si>
    <t>EN</t>
  </si>
  <si>
    <t>Trục đỉnh mái</t>
  </si>
  <si>
    <t>Quy định ty giằng</t>
  </si>
  <si>
    <t>Color
text</t>
  </si>
  <si>
    <t>Z150x50x56x20x1.5</t>
  </si>
  <si>
    <t>Z150x50x56x20x1.8</t>
  </si>
  <si>
    <t>Z150x50x56x20x2.0</t>
  </si>
  <si>
    <t>Z150x50x56x20x2.3</t>
  </si>
  <si>
    <t>Z150x50x56x20x2.5</t>
  </si>
  <si>
    <t>Z150x62x68x20x1.5</t>
  </si>
  <si>
    <t>Z150x62x68x20x1.8</t>
  </si>
  <si>
    <t>Z150x62x68x20x2.0</t>
  </si>
  <si>
    <t>Z150x62x68x20x2.3</t>
  </si>
  <si>
    <t>Z150x62x68x20x2.5</t>
  </si>
  <si>
    <t>Z175x50x56x20x1.5</t>
  </si>
  <si>
    <t>Z175x50x56x20x1.8</t>
  </si>
  <si>
    <t>Z175x50x56x20x2.0</t>
  </si>
  <si>
    <t>Z175x50x56x20x2.3</t>
  </si>
  <si>
    <t>Z175x50x56x20x2.5</t>
  </si>
  <si>
    <t>Z175x62x68x20x1.5</t>
  </si>
  <si>
    <t>Z175x62x68x20x1.8</t>
  </si>
  <si>
    <t>Z175x62x68x20x2.0</t>
  </si>
  <si>
    <t>Z175x62x68x20x2.5</t>
  </si>
  <si>
    <t>Z200x50x56x20x1.5</t>
  </si>
  <si>
    <t>Z200x50x56x20x1.8</t>
  </si>
  <si>
    <t>Z200x50x56x20x2.0</t>
  </si>
  <si>
    <t>Z200x50x56x20x2.3</t>
  </si>
  <si>
    <t>Z200x50x56x20x2.5</t>
  </si>
  <si>
    <t>Z200x50x56x20x2.8</t>
  </si>
  <si>
    <t>Z200x50x56x20x3.0</t>
  </si>
  <si>
    <t>Z200x62x68x20x1.5</t>
  </si>
  <si>
    <t>Z200x62x68x20x1.8</t>
  </si>
  <si>
    <t>Z200x62x68x20x2.0</t>
  </si>
  <si>
    <t>Z200x62x68x20x2.3</t>
  </si>
  <si>
    <t>Z200x62x68x20x2.5</t>
  </si>
  <si>
    <t>Z200x62x68x20x2.8</t>
  </si>
  <si>
    <t>Z200x62x68x20x3.0</t>
  </si>
  <si>
    <t>Z200x72x78x20x1.5</t>
  </si>
  <si>
    <t>Z200x72x78x20x1.8</t>
  </si>
  <si>
    <t>Z200x72x78x20x2.0</t>
  </si>
  <si>
    <t>Z200x72x78x20x2.3</t>
  </si>
  <si>
    <t>Z200x72x78x20x2.5</t>
  </si>
  <si>
    <t>Z200x72x78x20x2.8</t>
  </si>
  <si>
    <t>Z200x72x78x20x3.0</t>
  </si>
  <si>
    <t>Z250x62x68x20x1.5</t>
  </si>
  <si>
    <t>Z250x62x68x20x1.8</t>
  </si>
  <si>
    <t>Z250x62x68x20x2.0</t>
  </si>
  <si>
    <t>Z250x62x68x20x2.3</t>
  </si>
  <si>
    <t>Z250x62x68x20x2.5</t>
  </si>
  <si>
    <t>Z250x62x68x20x2.8</t>
  </si>
  <si>
    <t>Z250x62x68x20x3.0</t>
  </si>
  <si>
    <t>Z250x72x78x20x1.5</t>
  </si>
  <si>
    <t>Z250x72x78x20x1.8</t>
  </si>
  <si>
    <t>Z250x72x78x20x2.0</t>
  </si>
  <si>
    <t>Z250x72x78x20x2.3</t>
  </si>
  <si>
    <t>Z250x72x78x20x2.5</t>
  </si>
  <si>
    <t>Z250x72x78x20x2.8</t>
  </si>
  <si>
    <t>Z250x72x78x20x3.0</t>
  </si>
  <si>
    <t>Z300x72x78x20x1.8</t>
  </si>
  <si>
    <t>Z300x72x78x20x2.0</t>
  </si>
  <si>
    <t>Z300x72x78x20x2.3</t>
  </si>
  <si>
    <t>Z300x72x78x20x2.5</t>
  </si>
  <si>
    <t>Z300x72x78x20x2.8</t>
  </si>
  <si>
    <t>Z300x72x78x20x3.0</t>
  </si>
  <si>
    <t>C100x50x20x1.5</t>
  </si>
  <si>
    <t>C100x50x20x1.8</t>
  </si>
  <si>
    <t>C100x50x20x2.0</t>
  </si>
  <si>
    <t>C100x50x20x2.3</t>
  </si>
  <si>
    <t>C100x50x20x2.5</t>
  </si>
  <si>
    <t>C120x50x20x1.5</t>
  </si>
  <si>
    <t>C120x50x20x1.8</t>
  </si>
  <si>
    <t>C120x50x20x2.0</t>
  </si>
  <si>
    <t>C120x50x20x2.3</t>
  </si>
  <si>
    <t>C120x50x20x2.5</t>
  </si>
  <si>
    <t>C150x50x20x1.5</t>
  </si>
  <si>
    <t>C150x50x20x1.8</t>
  </si>
  <si>
    <t>C150x50x20x2.0</t>
  </si>
  <si>
    <t>C150x50x20x2.3</t>
  </si>
  <si>
    <t>C150x50x20x2.5</t>
  </si>
  <si>
    <t>C150x65x20x1.5</t>
  </si>
  <si>
    <t>C150x65x20x1.8</t>
  </si>
  <si>
    <t>C150x65x20x2.0</t>
  </si>
  <si>
    <t>C150x65x20x2.3</t>
  </si>
  <si>
    <t>C150x65x20x2.5</t>
  </si>
  <si>
    <t>C150x75x20x1.5</t>
  </si>
  <si>
    <t>C150x75x20x1.8</t>
  </si>
  <si>
    <t>C150x75x20x2.0</t>
  </si>
  <si>
    <t>C150x75x20x2.3</t>
  </si>
  <si>
    <t>C150x75x20x2.5</t>
  </si>
  <si>
    <t>C180x50x20x1.5</t>
  </si>
  <si>
    <t>C180x50x20x1.8</t>
  </si>
  <si>
    <t>C180x50x20x2.0</t>
  </si>
  <si>
    <t>C180x50x20x2.3</t>
  </si>
  <si>
    <t>C180x50x20x2.5</t>
  </si>
  <si>
    <t>C180x65x20x1.5</t>
  </si>
  <si>
    <t>C180x65x20x1.8</t>
  </si>
  <si>
    <t>C180x65x20x2.0</t>
  </si>
  <si>
    <t>C180x65x20x2.3</t>
  </si>
  <si>
    <t>C180x65x20x2.5</t>
  </si>
  <si>
    <t>C200x50x20x1.5</t>
  </si>
  <si>
    <t>C200x50x20x1.8</t>
  </si>
  <si>
    <t>C200x50x20x2.0</t>
  </si>
  <si>
    <t>C200x50x20x2.3</t>
  </si>
  <si>
    <t>C200x50x20x2.5</t>
  </si>
  <si>
    <t>C200x50x20x2.8</t>
  </si>
  <si>
    <t>C200x50x20x3.0</t>
  </si>
  <si>
    <t>C200x65x20x1.5</t>
  </si>
  <si>
    <t>C200x65x20x1.8</t>
  </si>
  <si>
    <t>C200x65x20x2.0</t>
  </si>
  <si>
    <t>C200x65x20x2.3</t>
  </si>
  <si>
    <t>C200x65x20x2.5</t>
  </si>
  <si>
    <t>C200x65x20x2.8</t>
  </si>
  <si>
    <t>C200x65x20x3.0</t>
  </si>
  <si>
    <t>C200x70x20x1.5</t>
  </si>
  <si>
    <t>C200x70x20x1.8</t>
  </si>
  <si>
    <t>C200x70x20x2.0</t>
  </si>
  <si>
    <t>C200x70x20x2.3</t>
  </si>
  <si>
    <t>C200x70x20x2.5</t>
  </si>
  <si>
    <t>C200x70x20x2.8</t>
  </si>
  <si>
    <t>C200x70x20x3.0</t>
  </si>
  <si>
    <t>C200x100x20x1.5</t>
  </si>
  <si>
    <t>C200x100x20x1.8</t>
  </si>
  <si>
    <t>C200x100x20x2.0</t>
  </si>
  <si>
    <t>C200x100x20x2.3</t>
  </si>
  <si>
    <t>C200x100x20x2.5</t>
  </si>
  <si>
    <t>C200x100x20x2.8</t>
  </si>
  <si>
    <t>C200x100x20x3.0</t>
  </si>
  <si>
    <t>C250x65x20x1.5</t>
  </si>
  <si>
    <t>C250x65x20x1.8</t>
  </si>
  <si>
    <t>C250x65x20x2.0</t>
  </si>
  <si>
    <t>C250x65x20x2.3</t>
  </si>
  <si>
    <t>C250x65x20x2.5</t>
  </si>
  <si>
    <t>C250x65x20x2.8</t>
  </si>
  <si>
    <t>C250x65x20x3.0</t>
  </si>
  <si>
    <t>C300x65x20x1.8</t>
  </si>
  <si>
    <t>C300x65x20x2.0</t>
  </si>
  <si>
    <t>C300x65x20x2.3</t>
  </si>
  <si>
    <t>C300x65x20x2.5</t>
  </si>
  <si>
    <t>C300x65x20x2.8</t>
  </si>
  <si>
    <t>C300x65x20x3.0</t>
  </si>
  <si>
    <t>Khung thứ 1 &amp; 2</t>
  </si>
  <si>
    <t>Khung còn lại</t>
  </si>
  <si>
    <t>Bước xà gồ max</t>
  </si>
  <si>
    <t>Bề rộng nóc gió</t>
  </si>
  <si>
    <t>S-2-4</t>
  </si>
  <si>
    <t>S-4-4</t>
  </si>
  <si>
    <t>V-2-4</t>
  </si>
  <si>
    <t>V-4-4</t>
  </si>
  <si>
    <t>SL bên ngoài</t>
  </si>
  <si>
    <t>SL bên trong</t>
  </si>
  <si>
    <t>Bề rộng
cánh</t>
  </si>
  <si>
    <t>TRƯỜNG HỢP 1: VẼ THEO DỮ LIỆU CSI (ETABS, SAP2000)</t>
  </si>
  <si>
    <t>MBBDATA</t>
  </si>
  <si>
    <t>MBB</t>
  </si>
  <si>
    <t>Lệnh trong Autocad</t>
  </si>
  <si>
    <t>TRƯỜNG HỢP 2: VẼ THEO DỮ LIỆU BÊN DƯỚI</t>
  </si>
  <si>
    <t>Trong trường hợp liên kết khớp, khoảng cách giữa 2 bu lông bằng</t>
  </si>
  <si>
    <t>K-4-2-2</t>
  </si>
  <si>
    <t>K-6-2-2</t>
  </si>
  <si>
    <t>K-4-2-4</t>
  </si>
  <si>
    <t>K-8-2-2</t>
  </si>
  <si>
    <t>K-6-2-4</t>
  </si>
  <si>
    <t>K-8-2-4</t>
  </si>
  <si>
    <t>K-4-0-2</t>
  </si>
  <si>
    <t>K-4-0-4</t>
  </si>
  <si>
    <t>K-6-0-2</t>
  </si>
  <si>
    <t>K-6-0-4</t>
  </si>
  <si>
    <t>K-6-2-6</t>
  </si>
  <si>
    <t>K-6-0-6</t>
  </si>
  <si>
    <t>K-8-0-2</t>
  </si>
  <si>
    <t>K-8-0-4</t>
  </si>
  <si>
    <t>K-10-0-2</t>
  </si>
  <si>
    <t>K-10-0-4</t>
  </si>
  <si>
    <t>K-12-0-2</t>
  </si>
  <si>
    <t>Sườn tăng cứng  bản bụng</t>
  </si>
  <si>
    <t>Chiều dày</t>
  </si>
  <si>
    <t>Max bu lông</t>
  </si>
  <si>
    <t>Khớp
(1)</t>
  </si>
  <si>
    <t>(1): Liên kết khớp: Khoảng cách mép thép đến mép bê tông</t>
  </si>
  <si>
    <t>BẢNG THÔNG SỐ TÊN CẤU KIỆN</t>
  </si>
  <si>
    <t>Tên mô hình</t>
  </si>
  <si>
    <t>Ký hiệu</t>
  </si>
  <si>
    <t>THÉP I</t>
  </si>
  <si>
    <t>THÉP HỘP</t>
  </si>
  <si>
    <t>THÉP ỐNG</t>
  </si>
  <si>
    <t>THÉP V</t>
  </si>
  <si>
    <t>THÉP C</t>
  </si>
  <si>
    <t>1000x10+250x12</t>
  </si>
  <si>
    <t>1000x12+250x14</t>
  </si>
  <si>
    <t>1000x12+250x16</t>
  </si>
  <si>
    <t>1000x8+250x10</t>
  </si>
  <si>
    <t>200x5+150x6</t>
  </si>
  <si>
    <t>250x200x6x8</t>
  </si>
  <si>
    <t>300x6+185x10</t>
  </si>
  <si>
    <t>400x12+400x30</t>
  </si>
  <si>
    <t>400x6+185x10</t>
  </si>
  <si>
    <t>400x6+200x12</t>
  </si>
  <si>
    <t>400x6+250x10</t>
  </si>
  <si>
    <t>400x6+250x14</t>
  </si>
  <si>
    <t>400x6+400x12</t>
  </si>
  <si>
    <t>400x6+400x14</t>
  </si>
  <si>
    <t>400x8+400x16</t>
  </si>
  <si>
    <t>400x8+400x18</t>
  </si>
  <si>
    <t>500x8+250x12</t>
  </si>
  <si>
    <t>600x6+200x10</t>
  </si>
  <si>
    <t>600x6+215x10</t>
  </si>
  <si>
    <t>600x6+215x12</t>
  </si>
  <si>
    <t>600x6+250x10</t>
  </si>
  <si>
    <t>600x8+200x12</t>
  </si>
  <si>
    <t>600x8+250x16</t>
  </si>
  <si>
    <t>700x8+250x12</t>
  </si>
  <si>
    <t>750x12+350x25</t>
  </si>
  <si>
    <t>750x8+300x16</t>
  </si>
  <si>
    <t>L63x63x5</t>
  </si>
  <si>
    <t>L75x75x6</t>
  </si>
  <si>
    <t>LD(2)120x120x12</t>
  </si>
  <si>
    <t>T125*2.5</t>
  </si>
  <si>
    <t>T125*3.0</t>
  </si>
  <si>
    <t>T150*3.5</t>
  </si>
  <si>
    <t>T150*4.5</t>
  </si>
  <si>
    <t>Thanh giằng</t>
  </si>
  <si>
    <t>Rod12</t>
  </si>
  <si>
    <t>Rod16</t>
  </si>
  <si>
    <t>Rod20</t>
  </si>
  <si>
    <t>Rod24</t>
  </si>
  <si>
    <t>T400-1000x8+250x10</t>
  </si>
  <si>
    <t>T400-600x6+200x12</t>
  </si>
  <si>
    <t>C250x2.5</t>
  </si>
  <si>
    <t>Z250x1.8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</si>
  <si>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</si>
  <si>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</si>
  <si>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</si>
  <si>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</si>
  <si>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</si>
  <si>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</si>
  <si>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</si>
  <si>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</si>
  <si>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</si>
  <si>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</si>
  <si>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</si>
  <si>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</si>
  <si>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</si>
  <si>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</si>
  <si>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</si>
  <si>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</si>
  <si>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</si>
  <si>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</si>
  <si>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</si>
  <si>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</si>
  <si>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</si>
  <si>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</si>
  <si>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</si>
  <si>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</si>
  <si>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T1</t>
  </si>
  <si>
    <t>T2</t>
  </si>
  <si>
    <t>T3</t>
  </si>
  <si>
    <t>T4</t>
  </si>
  <si>
    <t>Tên CSI</t>
  </si>
  <si>
    <t>V1</t>
  </si>
  <si>
    <t>V2</t>
  </si>
  <si>
    <t>V3</t>
  </si>
  <si>
    <t>Layer</t>
  </si>
  <si>
    <t>C 250x90x9x13</t>
  </si>
  <si>
    <t>RHS 200x100x5</t>
  </si>
  <si>
    <t>CHS 114x3</t>
  </si>
  <si>
    <t>T5</t>
  </si>
  <si>
    <t>P1</t>
  </si>
  <si>
    <t>C1</t>
  </si>
  <si>
    <t>Sheet "FrameSect" để lưu trữ toàn bộ tên cho cả dự án tạo thành 1 hệ thống thống nhất. 
Sheet "CSI" để lọc những tên cần thể hiện trên bản vẽ và hiệu chỉnh cục bộ</t>
  </si>
  <si>
    <t>Loại tiết diện</t>
  </si>
  <si>
    <t>Kích thước</t>
  </si>
  <si>
    <t>Rod</t>
  </si>
  <si>
    <t>Thép hộp</t>
  </si>
  <si>
    <t>100 4</t>
  </si>
  <si>
    <t>Thanh chống xà gồ</t>
  </si>
  <si>
    <t>Bố trí</t>
  </si>
  <si>
    <t>Chiều dài</t>
  </si>
  <si>
    <t>40 5</t>
  </si>
  <si>
    <t>1V</t>
  </si>
  <si>
    <t>So le</t>
  </si>
  <si>
    <t>QUY ĐỊNH MÀU SẮC
ĐỐI TƯỢNG</t>
  </si>
  <si>
    <t>Lap xà gồ</t>
  </si>
  <si>
    <t>C100x50</t>
  </si>
  <si>
    <t>C120x50</t>
  </si>
  <si>
    <t>C150x50</t>
  </si>
  <si>
    <t>C150x65</t>
  </si>
  <si>
    <t>C150x75</t>
  </si>
  <si>
    <t>C180x50</t>
  </si>
  <si>
    <t>C180x65</t>
  </si>
  <si>
    <t>C200x50</t>
  </si>
  <si>
    <t>C200x65</t>
  </si>
  <si>
    <t>C200x70</t>
  </si>
  <si>
    <t>C200x100</t>
  </si>
  <si>
    <t>C250x65</t>
  </si>
  <si>
    <t>C300x65</t>
  </si>
  <si>
    <t>Z150x50x56</t>
  </si>
  <si>
    <t>Z150x62x68</t>
  </si>
  <si>
    <t>Z175x50x56</t>
  </si>
  <si>
    <t>Z175x62x68</t>
  </si>
  <si>
    <t>Z200x50x56</t>
  </si>
  <si>
    <t>Z200x62x68</t>
  </si>
  <si>
    <t>Z200x72x78</t>
  </si>
  <si>
    <t>Z250x62x68</t>
  </si>
  <si>
    <t>Z250x72x78</t>
  </si>
  <si>
    <t>Z300x62x68</t>
  </si>
  <si>
    <t>Z300x72x78</t>
  </si>
  <si>
    <t>216</t>
  </si>
  <si>
    <t>236</t>
  </si>
  <si>
    <t>266</t>
  </si>
  <si>
    <t>296</t>
  </si>
  <si>
    <t>316</t>
  </si>
  <si>
    <t>326</t>
  </si>
  <si>
    <t>346</t>
  </si>
  <si>
    <t>356</t>
  </si>
  <si>
    <t>416</t>
  </si>
  <si>
    <t>396</t>
  </si>
  <si>
    <t>446</t>
  </si>
  <si>
    <t>272</t>
  </si>
  <si>
    <t>321</t>
  </si>
  <si>
    <t>366</t>
  </si>
  <si>
    <t>466</t>
  </si>
  <si>
    <t>Vào icon ShopDwg trên thanh công cụ excel để load nhanh dữ liệu lưới trục từ phần mềm CSI vào sheet Excel</t>
  </si>
  <si>
    <t>Ty giằng xà gồ</t>
  </si>
  <si>
    <t>N</t>
  </si>
  <si>
    <t>Truc dinh mai (MBXGM!K7)</t>
  </si>
  <si>
    <t>Nếu tên trục đỉnh mái thuộc cột A thì xà gồ rải theo phương đứng, nếu tên trục đỉnh mái thuộc cột C thì xà gồ rải theo phương ngang</t>
  </si>
  <si>
    <t>Chỉ sữa giá trị Lmax, không được sữa số lượng ty giằng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</si>
</sst>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(&quot;0&quot;)&quot;"/>
    <numFmt numFmtId="165" formatCode="&quot;1/&quot;0"/>
    <numFmt numFmtId="166" formatCode="&quot;M&quot;0"/>
    <numFmt numFmtId="167" formatCode="&quot;Nhịp &quot;0"/>
    <numFmt numFmtId="168" formatCode="#,##0_);\-#,##0"/>
    <numFmt numFmtId="169" formatCode="0.000"/>
  </numFmts>
  <fonts count="4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rgb="FF0070C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0070C0"/>
      <name val="Times New Roman"/>
      <family val="1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18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theme="8"/>
      <name val="Aptos Narrow"/>
      <family val="2"/>
      <scheme val="minor"/>
    </font>
    <font>
      <b/>
      <u/>
      <sz val="11"/>
      <name val="Aptos Narrow"/>
      <family val="2"/>
      <scheme val="minor"/>
    </font>
    <font>
      <sz val="11"/>
      <color rgb="FFFF00FF"/>
      <name val="Aptos Narrow"/>
      <family val="2"/>
      <scheme val="minor"/>
    </font>
    <font>
      <sz val="20"/>
      <color rgb="FFFF00FF"/>
      <name val="Times New Roman"/>
      <family val="1"/>
    </font>
    <font>
      <sz val="20"/>
      <color rgb="FF0000CC"/>
      <name val="Times New Roman"/>
      <family val="1"/>
    </font>
    <font>
      <b/>
      <sz val="12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D5D000"/>
      <name val="Aptos Narrow"/>
      <family val="2"/>
      <scheme val="minor"/>
    </font>
    <font>
      <sz val="11"/>
      <color rgb="FF00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name val="Aptos Narrow"/>
      <family val="2"/>
      <scheme val="minor"/>
    </font>
    <font>
      <sz val="13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theme="4" tint="0.79998168889431442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3"/>
      <color indexed="12"/>
      <name val="Times New Roman"/>
      <family val="1"/>
    </font>
    <font>
      <sz val="10"/>
      <color indexed="8"/>
      <name val="Times New Roman"/>
      <family val="2"/>
    </font>
    <font>
      <b/>
      <sz val="9"/>
      <color indexed="81"/>
      <name val="Tahoma"/>
      <family val="2"/>
    </font>
    <font>
      <sz val="11"/>
      <color rgb="FFC0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5" fillId="11" borderId="0" applyNumberFormat="0" applyBorder="0" applyAlignment="0" applyProtection="0"/>
    <xf numFmtId="0" fontId="26" fillId="12" borderId="0" applyNumberFormat="0" applyBorder="0" applyAlignment="0" applyProtection="0"/>
  </cellStyleXfs>
  <cellXfs count="24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/>
    <xf numFmtId="0" fontId="6" fillId="0" borderId="0" xfId="0" quotePrefix="1" applyFont="1" applyAlignment="1">
      <alignment vertical="center" wrapText="1"/>
    </xf>
    <xf numFmtId="0" fontId="0" fillId="5" borderId="0" xfId="0" applyFill="1"/>
    <xf numFmtId="0" fontId="2" fillId="0" borderId="2" xfId="0" applyFont="1" applyBorder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vertical="center"/>
    </xf>
    <xf numFmtId="165" fontId="2" fillId="0" borderId="1" xfId="0" applyNumberFormat="1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2" fillId="0" borderId="1" xfId="0" applyFont="1" applyBorder="1"/>
    <xf numFmtId="167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7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15" fillId="0" borderId="0" xfId="0" applyFont="1"/>
    <xf numFmtId="0" fontId="23" fillId="9" borderId="1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7" borderId="19" xfId="0" applyFont="1" applyFill="1" applyBorder="1" applyAlignment="1">
      <alignment horizontal="center" vertical="center"/>
    </xf>
    <xf numFmtId="0" fontId="24" fillId="13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6" fontId="2" fillId="14" borderId="16" xfId="0" applyNumberFormat="1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22" fillId="0" borderId="28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 vertical="center" wrapText="1"/>
    </xf>
    <xf numFmtId="0" fontId="0" fillId="0" borderId="3" xfId="0" applyBorder="1"/>
    <xf numFmtId="0" fontId="22" fillId="0" borderId="4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 wrapText="1"/>
    </xf>
    <xf numFmtId="166" fontId="2" fillId="14" borderId="18" xfId="0" applyNumberFormat="1" applyFont="1" applyFill="1" applyBorder="1" applyAlignment="1">
      <alignment horizontal="center" vertical="center"/>
    </xf>
    <xf numFmtId="0" fontId="27" fillId="4" borderId="4" xfId="0" applyFont="1" applyFill="1" applyBorder="1" applyAlignment="1">
      <alignment horizontal="center" vertical="center"/>
    </xf>
    <xf numFmtId="0" fontId="24" fillId="17" borderId="19" xfId="0" applyFont="1" applyFill="1" applyBorder="1" applyAlignment="1">
      <alignment horizontal="center" vertical="center"/>
    </xf>
    <xf numFmtId="0" fontId="24" fillId="17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13" borderId="1" xfId="0" applyFont="1" applyFill="1" applyBorder="1" applyAlignment="1">
      <alignment horizontal="center" vertical="center" wrapText="1"/>
    </xf>
    <xf numFmtId="0" fontId="0" fillId="18" borderId="0" xfId="0" applyFill="1"/>
    <xf numFmtId="0" fontId="31" fillId="3" borderId="1" xfId="0" applyFont="1" applyFill="1" applyBorder="1"/>
    <xf numFmtId="0" fontId="31" fillId="3" borderId="0" xfId="0" applyFont="1" applyFill="1" applyAlignment="1">
      <alignment horizontal="center"/>
    </xf>
    <xf numFmtId="0" fontId="31" fillId="3" borderId="0" xfId="0" applyFont="1" applyFill="1"/>
    <xf numFmtId="0" fontId="0" fillId="0" borderId="4" xfId="0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/>
    </xf>
    <xf numFmtId="0" fontId="33" fillId="3" borderId="4" xfId="0" applyFont="1" applyFill="1" applyBorder="1" applyAlignment="1">
      <alignment horizontal="center" vertical="center"/>
    </xf>
    <xf numFmtId="0" fontId="34" fillId="3" borderId="13" xfId="0" applyFont="1" applyFill="1" applyBorder="1" applyAlignment="1">
      <alignment horizontal="center" vertical="center"/>
    </xf>
    <xf numFmtId="0" fontId="0" fillId="0" borderId="4" xfId="0" applyBorder="1"/>
    <xf numFmtId="0" fontId="31" fillId="3" borderId="1" xfId="0" applyFont="1" applyFill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0" fontId="31" fillId="0" borderId="0" xfId="0" applyFont="1"/>
    <xf numFmtId="0" fontId="0" fillId="0" borderId="1" xfId="0" applyBorder="1" applyAlignment="1">
      <alignment vertical="center"/>
    </xf>
    <xf numFmtId="0" fontId="23" fillId="6" borderId="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36" fillId="14" borderId="1" xfId="0" applyFont="1" applyFill="1" applyBorder="1" applyAlignment="1" applyProtection="1">
      <alignment vertical="center"/>
      <protection locked="0"/>
    </xf>
    <xf numFmtId="168" fontId="37" fillId="10" borderId="1" xfId="0" applyNumberFormat="1" applyFont="1" applyFill="1" applyBorder="1" applyAlignment="1">
      <alignment horizontal="center" vertical="top" wrapText="1"/>
    </xf>
    <xf numFmtId="0" fontId="28" fillId="14" borderId="1" xfId="0" applyFont="1" applyFill="1" applyBorder="1"/>
    <xf numFmtId="0" fontId="28" fillId="1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9" fontId="28" fillId="14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9" fillId="0" borderId="0" xfId="0" applyFont="1" applyAlignment="1">
      <alignment horizontal="left" vertical="top" wrapText="1"/>
    </xf>
    <xf numFmtId="0" fontId="1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165" fontId="2" fillId="0" borderId="1" xfId="0" applyNumberFormat="1" applyFont="1" applyBorder="1" applyAlignment="1">
      <alignment horizontal="left" vertical="center" indent="1"/>
    </xf>
    <xf numFmtId="0" fontId="0" fillId="0" borderId="1" xfId="0" applyBorder="1" applyAlignment="1">
      <alignment horizontal="center"/>
    </xf>
    <xf numFmtId="0" fontId="39" fillId="0" borderId="0" xfId="0" applyFont="1" applyAlignment="1">
      <alignment horizontal="left" wrapText="1"/>
    </xf>
    <xf numFmtId="0" fontId="2" fillId="0" borderId="4" xfId="0" applyFont="1" applyBorder="1" applyAlignment="1">
      <alignment horizontal="left" vertical="center" indent="1"/>
    </xf>
    <xf numFmtId="0" fontId="2" fillId="0" borderId="13" xfId="0" applyFont="1" applyBorder="1" applyAlignment="1">
      <alignment horizontal="left" vertical="center" indent="1"/>
    </xf>
    <xf numFmtId="0" fontId="2" fillId="0" borderId="14" xfId="0" applyFont="1" applyBorder="1" applyAlignment="1">
      <alignment horizontal="left" vertical="center" indent="1"/>
    </xf>
    <xf numFmtId="0" fontId="27" fillId="4" borderId="9" xfId="0" applyFont="1" applyFill="1" applyBorder="1" applyAlignment="1">
      <alignment horizontal="center" vertical="center"/>
    </xf>
    <xf numFmtId="0" fontId="27" fillId="4" borderId="10" xfId="0" applyFont="1" applyFill="1" applyBorder="1" applyAlignment="1">
      <alignment horizontal="center" vertical="center"/>
    </xf>
    <xf numFmtId="0" fontId="27" fillId="4" borderId="11" xfId="0" applyFont="1" applyFill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0" fontId="27" fillId="4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vertical="center" wrapText="1" indent="1"/>
    </xf>
    <xf numFmtId="0" fontId="27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center" indent="1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32" fillId="2" borderId="12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3" borderId="1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/>
    </xf>
    <xf numFmtId="0" fontId="31" fillId="3" borderId="14" xfId="0" applyFont="1" applyFill="1" applyBorder="1" applyAlignment="1">
      <alignment horizontal="center"/>
    </xf>
    <xf numFmtId="0" fontId="35" fillId="0" borderId="0" xfId="0" applyFont="1" applyAlignment="1">
      <alignment horizontal="left" vertical="top" wrapText="1"/>
    </xf>
    <xf numFmtId="0" fontId="11" fillId="4" borderId="3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8" xfId="0" applyBorder="1" applyAlignment="1">
      <alignment horizontal="left" indent="1"/>
    </xf>
    <xf numFmtId="164" fontId="0" fillId="0" borderId="18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7" fillId="15" borderId="17" xfId="0" applyFont="1" applyFill="1" applyBorder="1" applyAlignment="1">
      <alignment horizontal="center" vertical="center" wrapText="1"/>
    </xf>
    <xf numFmtId="0" fontId="27" fillId="15" borderId="19" xfId="0" applyFont="1" applyFill="1" applyBorder="1" applyAlignment="1">
      <alignment horizontal="center" vertical="center" wrapText="1"/>
    </xf>
    <xf numFmtId="0" fontId="27" fillId="15" borderId="18" xfId="0" applyFont="1" applyFill="1" applyBorder="1" applyAlignment="1">
      <alignment horizontal="center" vertical="center" wrapText="1"/>
    </xf>
    <xf numFmtId="0" fontId="27" fillId="15" borderId="1" xfId="0" applyFont="1" applyFill="1" applyBorder="1" applyAlignment="1">
      <alignment horizontal="center" vertical="center" wrapText="1"/>
    </xf>
    <xf numFmtId="0" fontId="27" fillId="15" borderId="15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27" fillId="15" borderId="17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27" fillId="15" borderId="3" xfId="0" applyFont="1" applyFill="1" applyBorder="1" applyAlignment="1">
      <alignment horizontal="center" vertical="center"/>
    </xf>
    <xf numFmtId="0" fontId="27" fillId="15" borderId="1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11" fillId="4" borderId="34" xfId="0" applyFont="1" applyFill="1" applyBorder="1" applyAlignment="1">
      <alignment horizontal="center"/>
    </xf>
    <xf numFmtId="0" fontId="27" fillId="15" borderId="2" xfId="0" applyFont="1" applyFill="1" applyBorder="1" applyAlignment="1">
      <alignment horizontal="center" vertical="center" wrapText="1"/>
    </xf>
    <xf numFmtId="0" fontId="27" fillId="15" borderId="4" xfId="0" applyFont="1" applyFill="1" applyBorder="1" applyAlignment="1">
      <alignment horizontal="center"/>
    </xf>
    <xf numFmtId="0" fontId="27" fillId="15" borderId="13" xfId="0" applyFont="1" applyFill="1" applyBorder="1" applyAlignment="1">
      <alignment horizontal="center"/>
    </xf>
    <xf numFmtId="0" fontId="27" fillId="15" borderId="14" xfId="0" applyFont="1" applyFill="1" applyBorder="1" applyAlignment="1">
      <alignment horizontal="center"/>
    </xf>
    <xf numFmtId="0" fontId="0" fillId="0" borderId="12" xfId="0" applyBorder="1" applyAlignment="1">
      <alignment horizontal="right" vertical="center" wrapText="1" indent="1"/>
    </xf>
    <xf numFmtId="0" fontId="0" fillId="0" borderId="0" xfId="0" applyAlignment="1">
      <alignment horizontal="right" vertical="center" wrapText="1" indent="1"/>
    </xf>
    <xf numFmtId="0" fontId="0" fillId="0" borderId="39" xfId="0" applyBorder="1" applyAlignment="1">
      <alignment horizontal="right" vertical="center" wrapText="1" indent="1"/>
    </xf>
    <xf numFmtId="0" fontId="0" fillId="0" borderId="38" xfId="0" applyBorder="1" applyAlignment="1">
      <alignment horizontal="right" vertical="center" wrapText="1" indent="1"/>
    </xf>
    <xf numFmtId="0" fontId="10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27" fillId="15" borderId="4" xfId="0" applyFont="1" applyFill="1" applyBorder="1" applyAlignment="1">
      <alignment horizontal="center" vertical="center" wrapText="1"/>
    </xf>
    <xf numFmtId="0" fontId="27" fillId="15" borderId="33" xfId="0" applyFont="1" applyFill="1" applyBorder="1" applyAlignment="1">
      <alignment horizontal="center"/>
    </xf>
    <xf numFmtId="0" fontId="27" fillId="15" borderId="15" xfId="0" applyFont="1" applyFill="1" applyBorder="1" applyAlignment="1">
      <alignment horizontal="center" vertical="center"/>
    </xf>
    <xf numFmtId="0" fontId="27" fillId="15" borderId="16" xfId="0" applyFont="1" applyFill="1" applyBorder="1" applyAlignment="1">
      <alignment horizontal="center" vertical="center"/>
    </xf>
    <xf numFmtId="0" fontId="27" fillId="15" borderId="18" xfId="0" applyFont="1" applyFill="1" applyBorder="1" applyAlignment="1">
      <alignment horizontal="center" vertical="center"/>
    </xf>
    <xf numFmtId="0" fontId="5" fillId="16" borderId="36" xfId="0" applyFont="1" applyFill="1" applyBorder="1" applyAlignment="1">
      <alignment horizontal="center"/>
    </xf>
    <xf numFmtId="0" fontId="5" fillId="16" borderId="37" xfId="0" applyFont="1" applyFill="1" applyBorder="1" applyAlignment="1">
      <alignment horizontal="center"/>
    </xf>
    <xf numFmtId="0" fontId="11" fillId="4" borderId="23" xfId="0" applyFont="1" applyFill="1" applyBorder="1" applyAlignment="1">
      <alignment horizontal="center"/>
    </xf>
    <xf numFmtId="0" fontId="4" fillId="3" borderId="7" xfId="0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Alignment="1" applyProtection="1">
      <alignment horizontal="center"/>
      <protection locked="0"/>
    </xf>
    <xf numFmtId="0" fontId="4" fillId="3" borderId="8" xfId="0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8" fillId="2" borderId="40" xfId="0" applyFont="1" applyFill="1" applyBorder="1" applyAlignment="1" applyProtection="1">
      <alignment horizontal="center" vertical="center"/>
      <protection locked="0"/>
    </xf>
    <xf numFmtId="0" fontId="18" fillId="2" borderId="16" xfId="0" applyFont="1" applyFill="1" applyBorder="1" applyAlignment="1" applyProtection="1">
      <alignment horizontal="center" vertical="center"/>
      <protection locked="0"/>
    </xf>
    <xf numFmtId="0" fontId="18" fillId="2" borderId="17" xfId="0" applyFont="1" applyFill="1" applyBorder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0" fillId="0" borderId="0" xfId="0" applyProtection="1">
      <protection locked="0"/>
    </xf>
    <xf numFmtId="0" fontId="18" fillId="2" borderId="25" xfId="0" applyFont="1" applyFill="1" applyBorder="1" applyAlignment="1" applyProtection="1">
      <alignment horizontal="center" vertical="center"/>
      <protection locked="0"/>
    </xf>
    <xf numFmtId="0" fontId="18" fillId="2" borderId="26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18" fillId="2" borderId="14" xfId="0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18" fillId="2" borderId="19" xfId="0" applyFont="1" applyFill="1" applyBorder="1" applyAlignment="1" applyProtection="1">
      <alignment horizontal="center" vertical="center"/>
      <protection locked="0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18" fillId="2" borderId="32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14" borderId="4" xfId="0" applyFill="1" applyBorder="1" applyAlignment="1" applyProtection="1">
      <alignment horizontal="left" vertical="center" indent="1"/>
      <protection locked="0"/>
    </xf>
    <xf numFmtId="0" fontId="0" fillId="14" borderId="14" xfId="0" applyFill="1" applyBorder="1" applyAlignment="1" applyProtection="1">
      <alignment horizontal="left" vertical="center" indent="1"/>
      <protection locked="0"/>
    </xf>
    <xf numFmtId="0" fontId="2" fillId="14" borderId="1" xfId="0" applyFont="1" applyFill="1" applyBorder="1" applyAlignment="1" applyProtection="1">
      <alignment vertical="center"/>
      <protection locked="0"/>
    </xf>
    <xf numFmtId="0" fontId="2" fillId="14" borderId="1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left" vertical="center" indent="1"/>
      <protection locked="0"/>
    </xf>
    <xf numFmtId="0" fontId="0" fillId="0" borderId="1" xfId="0" applyBorder="1" applyAlignment="1" applyProtection="1">
      <alignment horizontal="left" vertical="center" indent="1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2" fillId="0" borderId="4" xfId="0" applyFont="1" applyBorder="1" applyAlignment="1" applyProtection="1">
      <alignment horizontal="left" vertical="center" indent="1"/>
      <protection locked="0"/>
    </xf>
    <xf numFmtId="0" fontId="22" fillId="0" borderId="14" xfId="0" applyFont="1" applyBorder="1" applyAlignment="1" applyProtection="1">
      <alignment horizontal="left" vertical="center" indent="1"/>
      <protection locked="0"/>
    </xf>
    <xf numFmtId="0" fontId="22" fillId="0" borderId="1" xfId="0" applyFont="1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26" fillId="12" borderId="19" xfId="2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14" xfId="0" applyBorder="1" applyAlignment="1" applyProtection="1">
      <alignment horizontal="left" indent="1"/>
      <protection locked="0"/>
    </xf>
    <xf numFmtId="0" fontId="0" fillId="14" borderId="1" xfId="0" applyFill="1" applyBorder="1" applyAlignment="1" applyProtection="1">
      <alignment horizontal="center" vertical="center"/>
      <protection locked="0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left" vertical="center" indent="1"/>
      <protection locked="0"/>
    </xf>
    <xf numFmtId="0" fontId="2" fillId="0" borderId="19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5" fontId="2" fillId="0" borderId="1" xfId="0" applyNumberFormat="1" applyFont="1" applyBorder="1" applyAlignment="1" applyProtection="1">
      <alignment horizontal="center" vertical="center"/>
      <protection locked="0"/>
    </xf>
    <xf numFmtId="0" fontId="0" fillId="14" borderId="1" xfId="0" applyFill="1" applyBorder="1" applyAlignment="1" applyProtection="1">
      <alignment horizontal="left" vertical="center" indent="1"/>
      <protection locked="0"/>
    </xf>
    <xf numFmtId="0" fontId="25" fillId="11" borderId="1" xfId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left" vertical="center" indent="1"/>
      <protection locked="0"/>
    </xf>
    <xf numFmtId="0" fontId="0" fillId="0" borderId="31" xfId="0" applyBorder="1" applyAlignment="1" applyProtection="1">
      <alignment horizontal="left" vertical="center" inden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 applyProtection="1">
      <alignment horizontal="left" vertical="top" wrapText="1"/>
      <protection locked="0"/>
    </xf>
    <xf numFmtId="0" fontId="4" fillId="3" borderId="9" xfId="0" applyFont="1" applyFill="1" applyBorder="1" applyAlignment="1" applyProtection="1">
      <alignment horizontal="center" vertical="center" wrapText="1"/>
      <protection locked="0"/>
    </xf>
    <xf numFmtId="0" fontId="4" fillId="3" borderId="10" xfId="0" applyFont="1" applyFill="1" applyBorder="1" applyAlignment="1" applyProtection="1">
      <alignment horizontal="center" vertical="center" wrapText="1"/>
      <protection locked="0"/>
    </xf>
    <xf numFmtId="0" fontId="4" fillId="3" borderId="11" xfId="0" applyFont="1" applyFill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  <xf numFmtId="0" fontId="4" fillId="3" borderId="8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24" fillId="7" borderId="19" xfId="0" applyFont="1" applyFill="1" applyBorder="1" applyAlignment="1" applyProtection="1">
      <alignment horizontal="center" vertical="center"/>
      <protection locked="0"/>
    </xf>
    <xf numFmtId="0" fontId="24" fillId="13" borderId="19" xfId="0" applyFont="1" applyFill="1" applyBorder="1" applyAlignment="1" applyProtection="1">
      <alignment horizontal="center" vertical="center"/>
      <protection locked="0"/>
    </xf>
    <xf numFmtId="0" fontId="24" fillId="10" borderId="19" xfId="0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2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quotePrefix="1" applyFont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0000CC"/>
      <color rgb="FFCC00CC"/>
      <color rgb="FFFF00FF"/>
      <color rgb="FF00FFFF"/>
      <color rgb="FFD5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6CC6B4-33D8-4453-81ED-C0E62C4E343E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10a25b85-a1d2-4ddd-a52a-f84fb8fae68c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C3D5-9914-48F2-9DB7-B1DCDDBAA579}">
  <sheetPr codeName="Sheet1"/>
  <dimension ref="A1:AH136"/>
  <sheetViews>
    <sheetView showGridLines="0" topLeftCell="W1" zoomScale="175" zoomScaleNormal="175" workbookViewId="0">
      <selection activeCell="Z6" sqref="Z6"/>
    </sheetView>
  </sheetViews>
  <sheetFormatPr defaultRowHeight="15" x14ac:dyDescent="0.25"/>
  <cols>
    <col min="24" max="24" width="22.42578125" bestFit="1" customWidth="1"/>
    <col min="25" max="25" width="12.140625" style="85" customWidth="1"/>
    <col min="26" max="26" width="7.7109375" style="87" customWidth="1"/>
    <col min="30" max="30" width="13.28515625" bestFit="1" customWidth="1"/>
  </cols>
  <sheetData>
    <row r="1" spans="1:34" ht="15" customHeight="1" x14ac:dyDescent="0.25">
      <c r="A1" s="2" t="s">
        <v>10</v>
      </c>
      <c r="B1" s="2" t="s">
        <v>11</v>
      </c>
      <c r="E1" s="95" t="s">
        <v>14</v>
      </c>
      <c r="G1" s="95" t="s">
        <v>27</v>
      </c>
      <c r="K1" s="75" t="s">
        <v>107</v>
      </c>
      <c r="X1" s="83" t="s">
        <v>130</v>
      </c>
      <c r="Y1" s="84" t="str">
        <f>RIGHT(X1,3)</f>
        <v>1.5</v>
      </c>
      <c r="Z1" s="86">
        <v>3.2650000000000001</v>
      </c>
      <c r="AA1" t="s">
        <v>76</v>
      </c>
      <c r="AD1" s="81" t="s">
        <v>408</v>
      </c>
      <c r="AE1" s="82" t="s">
        <v>432</v>
      </c>
      <c r="AH1" t="s">
        <v>450</v>
      </c>
    </row>
    <row r="2" spans="1:34" ht="15" customHeight="1" x14ac:dyDescent="0.25">
      <c r="A2" s="1" t="s">
        <v>2</v>
      </c>
      <c r="B2" s="1">
        <v>12</v>
      </c>
      <c r="E2" s="96"/>
      <c r="G2" s="96"/>
      <c r="K2" s="76" t="s">
        <v>387</v>
      </c>
      <c r="X2" s="83" t="s">
        <v>131</v>
      </c>
      <c r="Y2" s="84" t="str">
        <f t="shared" ref="Y2:Y65" si="0">RIGHT(X2,3)</f>
        <v>1.8</v>
      </c>
      <c r="Z2" s="86">
        <v>3.9180000000000001</v>
      </c>
      <c r="AA2" t="s">
        <v>266</v>
      </c>
      <c r="AD2" s="81" t="s">
        <v>409</v>
      </c>
      <c r="AE2" s="82" t="s">
        <v>433</v>
      </c>
    </row>
    <row r="3" spans="1:34" ht="15" customHeight="1" x14ac:dyDescent="0.25">
      <c r="A3" s="1" t="s">
        <v>26</v>
      </c>
      <c r="B3" s="1">
        <v>16</v>
      </c>
      <c r="E3" s="1" t="s">
        <v>270</v>
      </c>
      <c r="G3" s="62" t="s">
        <v>289</v>
      </c>
      <c r="I3" s="1" t="s">
        <v>24</v>
      </c>
      <c r="K3" s="24" t="s">
        <v>106</v>
      </c>
      <c r="X3" s="83" t="s">
        <v>132</v>
      </c>
      <c r="Y3" s="84" t="str">
        <f t="shared" si="0"/>
        <v>2.0</v>
      </c>
      <c r="Z3" s="86">
        <v>4.3529999999999998</v>
      </c>
      <c r="AD3" s="81" t="s">
        <v>410</v>
      </c>
      <c r="AE3" s="82" t="s">
        <v>434</v>
      </c>
      <c r="AH3" t="str">
        <f>IF(ROWS(AH$3:AH3)&lt;=SUMPRODUCT(--(LEN(MBXGM!$A$3:$A$30)&gt;0)),INDEX(MBXGM!$A$3:$A$30,ROWS(AH$3:AH3)),IF(ROWS(AH$3:AH3)-SUMPRODUCT(--(LEN(MBXGM!$A$3:$A$30)&gt;0))&lt;=SUMPRODUCT(--(LEN(MBXGM!$C$3:$C$30)&gt;0)),INDEX(MBXGM!$C$3:$C$30,ROWS(AH$3:AH3)-SUMPRODUCT(--(LEN(MBXGM!$A$3:$A$30)&gt;0))),""))</f>
        <v>X1</v>
      </c>
    </row>
    <row r="4" spans="1:34" ht="15" customHeight="1" x14ac:dyDescent="0.25">
      <c r="A4" s="1" t="s">
        <v>0</v>
      </c>
      <c r="B4" s="1">
        <v>20</v>
      </c>
      <c r="E4" s="1" t="s">
        <v>271</v>
      </c>
      <c r="G4" s="62" t="s">
        <v>290</v>
      </c>
      <c r="I4" s="1" t="s">
        <v>25</v>
      </c>
      <c r="K4" s="26" t="s">
        <v>108</v>
      </c>
      <c r="X4" s="83" t="s">
        <v>133</v>
      </c>
      <c r="Y4" s="84" t="str">
        <f t="shared" si="0"/>
        <v>2.3</v>
      </c>
      <c r="Z4" s="86">
        <v>5.0060000000000002</v>
      </c>
      <c r="AD4" s="81" t="s">
        <v>411</v>
      </c>
      <c r="AE4" s="82" t="s">
        <v>435</v>
      </c>
      <c r="AH4" t="str">
        <f>IF(ROWS(AH$3:AH4)&lt;=SUMPRODUCT(--(LEN(MBXGM!$A$3:$A$30)&gt;0)),INDEX(MBXGM!$A$3:$A$30,ROWS(AH$3:AH4)),IF(ROWS(AH$3:AH4)-SUMPRODUCT(--(LEN(MBXGM!$A$3:$A$30)&gt;0))&lt;=SUMPRODUCT(--(LEN(MBXGM!$C$3:$C$30)&gt;0)),INDEX(MBXGM!$C$3:$C$30,ROWS(AH$3:AH4)-SUMPRODUCT(--(LEN(MBXGM!$A$3:$A$30)&gt;0))),""))</f>
        <v>X2</v>
      </c>
    </row>
    <row r="5" spans="1:34" ht="15" customHeight="1" x14ac:dyDescent="0.25">
      <c r="A5" s="1" t="s">
        <v>3</v>
      </c>
      <c r="B5" s="1">
        <v>24</v>
      </c>
      <c r="E5" s="1" t="s">
        <v>272</v>
      </c>
      <c r="G5" s="62" t="s">
        <v>283</v>
      </c>
      <c r="K5" s="25" t="s">
        <v>109</v>
      </c>
      <c r="X5" s="83" t="s">
        <v>134</v>
      </c>
      <c r="Y5" s="84" t="str">
        <f t="shared" si="0"/>
        <v>2.5</v>
      </c>
      <c r="Z5" s="86">
        <v>5.4409999999999998</v>
      </c>
      <c r="AD5" s="81" t="s">
        <v>412</v>
      </c>
      <c r="AE5" s="82" t="s">
        <v>436</v>
      </c>
      <c r="AH5" t="str">
        <f>IF(ROWS(AH$3:AH5)&lt;=SUMPRODUCT(--(LEN(MBXGM!$A$3:$A$30)&gt;0)),INDEX(MBXGM!$A$3:$A$30,ROWS(AH$3:AH5)),IF(ROWS(AH$3:AH5)-SUMPRODUCT(--(LEN(MBXGM!$A$3:$A$30)&gt;0))&lt;=SUMPRODUCT(--(LEN(MBXGM!$C$3:$C$30)&gt;0)),INDEX(MBXGM!$C$3:$C$30,ROWS(AH$3:AH5)-SUMPRODUCT(--(LEN(MBXGM!$A$3:$A$30)&gt;0))),""))</f>
        <v>X3</v>
      </c>
    </row>
    <row r="6" spans="1:34" ht="15" customHeight="1" x14ac:dyDescent="0.25">
      <c r="A6" s="1" t="s">
        <v>4</v>
      </c>
      <c r="B6" s="1">
        <v>27</v>
      </c>
      <c r="E6" s="1" t="s">
        <v>273</v>
      </c>
      <c r="G6" s="62" t="s">
        <v>285</v>
      </c>
      <c r="K6" s="27" t="s">
        <v>110</v>
      </c>
      <c r="X6" s="83" t="s">
        <v>135</v>
      </c>
      <c r="Y6" s="84" t="str">
        <f t="shared" si="0"/>
        <v>1.5</v>
      </c>
      <c r="Z6" s="86">
        <v>3.5529999999999999</v>
      </c>
      <c r="AD6" s="81" t="s">
        <v>413</v>
      </c>
      <c r="AE6" s="82" t="s">
        <v>435</v>
      </c>
      <c r="AH6" t="str">
        <f>IF(ROWS(AH$3:AH6)&lt;=SUMPRODUCT(--(LEN(MBXGM!$A$3:$A$30)&gt;0)),INDEX(MBXGM!$A$3:$A$30,ROWS(AH$3:AH6)),IF(ROWS(AH$3:AH6)-SUMPRODUCT(--(LEN(MBXGM!$A$3:$A$30)&gt;0))&lt;=SUMPRODUCT(--(LEN(MBXGM!$C$3:$C$30)&gt;0)),INDEX(MBXGM!$C$3:$C$30,ROWS(AH$3:AH6)-SUMPRODUCT(--(LEN(MBXGM!$A$3:$A$30)&gt;0))),""))</f>
        <v>X4</v>
      </c>
    </row>
    <row r="7" spans="1:34" ht="15" customHeight="1" x14ac:dyDescent="0.25">
      <c r="A7" s="1" t="s">
        <v>5</v>
      </c>
      <c r="B7" s="1">
        <v>30</v>
      </c>
      <c r="G7" s="62" t="s">
        <v>291</v>
      </c>
      <c r="K7" s="28" t="s">
        <v>111</v>
      </c>
      <c r="X7" s="83" t="s">
        <v>136</v>
      </c>
      <c r="Y7" s="84" t="str">
        <f t="shared" si="0"/>
        <v>1.8</v>
      </c>
      <c r="Z7" s="86">
        <f t="shared" ref="Z7:Z65" si="1">VLOOKUP(LEFT(X7,IF(LEFT(X7,1)="Z",FIND("x",X7,9),FIND("x",X7,7))-1),$AD$1:$AE$24,2,FALSE)*Y7</f>
        <v>532.80000000000007</v>
      </c>
      <c r="AD7" s="81" t="s">
        <v>414</v>
      </c>
      <c r="AE7" s="82" t="s">
        <v>437</v>
      </c>
      <c r="AH7" t="str">
        <f>IF(ROWS(AH$3:AH7)&lt;=SUMPRODUCT(--(LEN(MBXGM!$A$3:$A$30)&gt;0)),INDEX(MBXGM!$A$3:$A$30,ROWS(AH$3:AH7)),IF(ROWS(AH$3:AH7)-SUMPRODUCT(--(LEN(MBXGM!$A$3:$A$30)&gt;0))&lt;=SUMPRODUCT(--(LEN(MBXGM!$C$3:$C$30)&gt;0)),INDEX(MBXGM!$C$3:$C$30,ROWS(AH$3:AH7)-SUMPRODUCT(--(LEN(MBXGM!$A$3:$A$30)&gt;0))),""))</f>
        <v>X5</v>
      </c>
    </row>
    <row r="8" spans="1:34" ht="15" customHeight="1" x14ac:dyDescent="0.25">
      <c r="A8" s="1" t="s">
        <v>6</v>
      </c>
      <c r="B8" s="1">
        <v>36</v>
      </c>
      <c r="G8" s="62" t="s">
        <v>292</v>
      </c>
      <c r="K8" s="29" t="s">
        <v>112</v>
      </c>
      <c r="X8" s="83" t="s">
        <v>137</v>
      </c>
      <c r="Y8" s="84" t="str">
        <f t="shared" si="0"/>
        <v>2.0</v>
      </c>
      <c r="Z8" s="86">
        <f t="shared" si="1"/>
        <v>592</v>
      </c>
      <c r="AD8" s="81" t="s">
        <v>415</v>
      </c>
      <c r="AE8" s="82" t="s">
        <v>436</v>
      </c>
      <c r="AH8" t="str">
        <f>IF(ROWS(AH$3:AH8)&lt;=SUMPRODUCT(--(LEN(MBXGM!$A$3:$A$30)&gt;0)),INDEX(MBXGM!$A$3:$A$30,ROWS(AH$3:AH8)),IF(ROWS(AH$3:AH8)-SUMPRODUCT(--(LEN(MBXGM!$A$3:$A$30)&gt;0))&lt;=SUMPRODUCT(--(LEN(MBXGM!$C$3:$C$30)&gt;0)),INDEX(MBXGM!$C$3:$C$30,ROWS(AH$3:AH8)-SUMPRODUCT(--(LEN(MBXGM!$A$3:$A$30)&gt;0))),""))</f>
        <v>X6</v>
      </c>
    </row>
    <row r="9" spans="1:34" ht="15" customHeight="1" x14ac:dyDescent="0.25">
      <c r="A9" s="1" t="s">
        <v>7</v>
      </c>
      <c r="B9" s="1">
        <v>42</v>
      </c>
      <c r="G9" s="62" t="s">
        <v>294</v>
      </c>
      <c r="K9" t="s">
        <v>113</v>
      </c>
      <c r="X9" s="83" t="s">
        <v>138</v>
      </c>
      <c r="Y9" s="84" t="str">
        <f t="shared" si="0"/>
        <v>2.3</v>
      </c>
      <c r="Z9" s="86">
        <f t="shared" si="1"/>
        <v>680.8</v>
      </c>
      <c r="AD9" s="81" t="s">
        <v>416</v>
      </c>
      <c r="AE9" s="82" t="s">
        <v>438</v>
      </c>
      <c r="AH9" t="str">
        <f>IF(ROWS(AH$3:AH9)&lt;=SUMPRODUCT(--(LEN(MBXGM!$A$3:$A$30)&gt;0)),INDEX(MBXGM!$A$3:$A$30,ROWS(AH$3:AH9)),IF(ROWS(AH$3:AH9)-SUMPRODUCT(--(LEN(MBXGM!$A$3:$A$30)&gt;0))&lt;=SUMPRODUCT(--(LEN(MBXGM!$C$3:$C$30)&gt;0)),INDEX(MBXGM!$C$3:$C$30,ROWS(AH$3:AH9)-SUMPRODUCT(--(LEN(MBXGM!$A$3:$A$30)&gt;0))),""))</f>
        <v>X7</v>
      </c>
    </row>
    <row r="10" spans="1:34" ht="15" customHeight="1" x14ac:dyDescent="0.25">
      <c r="A10" s="1" t="s">
        <v>1</v>
      </c>
      <c r="G10" s="62" t="s">
        <v>284</v>
      </c>
      <c r="K10" t="s">
        <v>121</v>
      </c>
      <c r="X10" s="83" t="s">
        <v>139</v>
      </c>
      <c r="Y10" s="84" t="str">
        <f t="shared" si="0"/>
        <v>2.5</v>
      </c>
      <c r="Z10" s="86">
        <f t="shared" si="1"/>
        <v>740</v>
      </c>
      <c r="AD10" s="81" t="s">
        <v>417</v>
      </c>
      <c r="AE10" s="82" t="s">
        <v>439</v>
      </c>
      <c r="AH10" t="str">
        <f>IF(ROWS(AH$3:AH10)&lt;=SUMPRODUCT(--(LEN(MBXGM!$A$3:$A$30)&gt;0)),INDEX(MBXGM!$A$3:$A$30,ROWS(AH$3:AH10)),IF(ROWS(AH$3:AH10)-SUMPRODUCT(--(LEN(MBXGM!$A$3:$A$30)&gt;0))&lt;=SUMPRODUCT(--(LEN(MBXGM!$C$3:$C$30)&gt;0)),INDEX(MBXGM!$C$3:$C$30,ROWS(AH$3:AH10)-SUMPRODUCT(--(LEN(MBXGM!$A$3:$A$30)&gt;0))),""))</f>
        <v>X8</v>
      </c>
    </row>
    <row r="11" spans="1:34" ht="15" customHeight="1" x14ac:dyDescent="0.25">
      <c r="A11" s="1" t="s">
        <v>8</v>
      </c>
      <c r="G11" s="62" t="s">
        <v>287</v>
      </c>
      <c r="K11" t="s">
        <v>122</v>
      </c>
      <c r="X11" s="83" t="s">
        <v>140</v>
      </c>
      <c r="Y11" s="84" t="str">
        <f t="shared" si="0"/>
        <v>1.5</v>
      </c>
      <c r="Z11" s="86">
        <f t="shared" si="1"/>
        <v>444</v>
      </c>
      <c r="AD11" s="81" t="s">
        <v>418</v>
      </c>
      <c r="AE11" s="82" t="s">
        <v>440</v>
      </c>
      <c r="AH11" t="str">
        <f>IF(ROWS(AH$3:AH11)&lt;=SUMPRODUCT(--(LEN(MBXGM!$A$3:$A$30)&gt;0)),INDEX(MBXGM!$A$3:$A$30,ROWS(AH$3:AH11)),IF(ROWS(AH$3:AH11)-SUMPRODUCT(--(LEN(MBXGM!$A$3:$A$30)&gt;0))&lt;=SUMPRODUCT(--(LEN(MBXGM!$C$3:$C$30)&gt;0)),INDEX(MBXGM!$C$3:$C$30,ROWS(AH$3:AH11)-SUMPRODUCT(--(LEN(MBXGM!$A$3:$A$30)&gt;0))),""))</f>
        <v>X9</v>
      </c>
    </row>
    <row r="12" spans="1:34" ht="15" customHeight="1" x14ac:dyDescent="0.25">
      <c r="A12" s="1" t="s">
        <v>9</v>
      </c>
      <c r="G12" s="62" t="s">
        <v>293</v>
      </c>
      <c r="X12" s="83" t="s">
        <v>141</v>
      </c>
      <c r="Y12" s="84" t="str">
        <f t="shared" si="0"/>
        <v>1.8</v>
      </c>
      <c r="Z12" s="86">
        <f t="shared" si="1"/>
        <v>532.80000000000007</v>
      </c>
      <c r="AD12" s="81" t="s">
        <v>419</v>
      </c>
      <c r="AE12" s="82" t="s">
        <v>441</v>
      </c>
      <c r="AH12" t="str">
        <f>IF(ROWS(AH$3:AH12)&lt;=SUMPRODUCT(--(LEN(MBXGM!$A$3:$A$30)&gt;0)),INDEX(MBXGM!$A$3:$A$30,ROWS(AH$3:AH12)),IF(ROWS(AH$3:AH12)-SUMPRODUCT(--(LEN(MBXGM!$A$3:$A$30)&gt;0))&lt;=SUMPRODUCT(--(LEN(MBXGM!$C$3:$C$30)&gt;0)),INDEX(MBXGM!$C$3:$C$30,ROWS(AH$3:AH12)-SUMPRODUCT(--(LEN(MBXGM!$A$3:$A$30)&gt;0))),""))</f>
        <v>X10</v>
      </c>
    </row>
    <row r="13" spans="1:34" ht="15" customHeight="1" x14ac:dyDescent="0.25">
      <c r="G13" s="62" t="s">
        <v>295</v>
      </c>
      <c r="X13" s="83" t="s">
        <v>142</v>
      </c>
      <c r="Y13" s="84" t="str">
        <f t="shared" si="0"/>
        <v>2.0</v>
      </c>
      <c r="Z13" s="86">
        <f t="shared" si="1"/>
        <v>592</v>
      </c>
      <c r="AD13" s="81" t="s">
        <v>420</v>
      </c>
      <c r="AE13" s="82" t="s">
        <v>442</v>
      </c>
      <c r="AH13" t="str">
        <f>IF(ROWS(AH$3:AH13)&lt;=SUMPRODUCT(--(LEN(MBXGM!$A$3:$A$30)&gt;0)),INDEX(MBXGM!$A$3:$A$30,ROWS(AH$3:AH13)),IF(ROWS(AH$3:AH13)-SUMPRODUCT(--(LEN(MBXGM!$A$3:$A$30)&gt;0))&lt;=SUMPRODUCT(--(LEN(MBXGM!$C$3:$C$30)&gt;0)),INDEX(MBXGM!$C$3:$C$30,ROWS(AH$3:AH13)-SUMPRODUCT(--(LEN(MBXGM!$A$3:$A$30)&gt;0))),""))</f>
        <v>X11</v>
      </c>
    </row>
    <row r="14" spans="1:34" ht="15" customHeight="1" x14ac:dyDescent="0.25">
      <c r="G14" s="62" t="s">
        <v>296</v>
      </c>
      <c r="X14" s="83" t="s">
        <v>143</v>
      </c>
      <c r="Y14" s="84" t="str">
        <f t="shared" si="0"/>
        <v>2.3</v>
      </c>
      <c r="Z14" s="86">
        <f t="shared" si="1"/>
        <v>680.8</v>
      </c>
      <c r="AD14" s="81" t="s">
        <v>421</v>
      </c>
      <c r="AE14" s="82" t="s">
        <v>443</v>
      </c>
      <c r="AH14" t="str">
        <f>IF(ROWS(AH$3:AH14)&lt;=SUMPRODUCT(--(LEN(MBXGM!$A$3:$A$30)&gt;0)),INDEX(MBXGM!$A$3:$A$30,ROWS(AH$3:AH14)),IF(ROWS(AH$3:AH14)-SUMPRODUCT(--(LEN(MBXGM!$A$3:$A$30)&gt;0))&lt;=SUMPRODUCT(--(LEN(MBXGM!$C$3:$C$30)&gt;0)),INDEX(MBXGM!$C$3:$C$30,ROWS(AH$3:AH14)-SUMPRODUCT(--(LEN(MBXGM!$A$3:$A$30)&gt;0))),""))</f>
        <v>X12</v>
      </c>
    </row>
    <row r="15" spans="1:34" ht="15" customHeight="1" x14ac:dyDescent="0.25">
      <c r="A15" s="20"/>
      <c r="G15" s="62" t="s">
        <v>286</v>
      </c>
      <c r="X15" s="83" t="s">
        <v>144</v>
      </c>
      <c r="Y15" s="84" t="str">
        <f t="shared" si="0"/>
        <v>2.5</v>
      </c>
      <c r="Z15" s="86">
        <f t="shared" si="1"/>
        <v>740</v>
      </c>
      <c r="AD15" s="81" t="s">
        <v>422</v>
      </c>
      <c r="AE15" s="82" t="s">
        <v>435</v>
      </c>
      <c r="AH15" t="str">
        <f>IF(ROWS(AH$3:AH15)&lt;=SUMPRODUCT(--(LEN(MBXGM!$A$3:$A$30)&gt;0)),INDEX(MBXGM!$A$3:$A$30,ROWS(AH$3:AH15)),IF(ROWS(AH$3:AH15)-SUMPRODUCT(--(LEN(MBXGM!$A$3:$A$30)&gt;0))&lt;=SUMPRODUCT(--(LEN(MBXGM!$C$3:$C$30)&gt;0)),INDEX(MBXGM!$C$3:$C$30,ROWS(AH$3:AH15)-SUMPRODUCT(--(LEN(MBXGM!$A$3:$A$30)&gt;0))),""))</f>
        <v>Y1</v>
      </c>
    </row>
    <row r="16" spans="1:34" ht="15" customHeight="1" x14ac:dyDescent="0.25">
      <c r="A16" s="19"/>
      <c r="G16" s="62" t="s">
        <v>288</v>
      </c>
      <c r="X16" s="83" t="s">
        <v>145</v>
      </c>
      <c r="Y16" s="84" t="str">
        <f t="shared" si="0"/>
        <v>1.5</v>
      </c>
      <c r="Z16" s="86">
        <f t="shared" si="1"/>
        <v>481.5</v>
      </c>
      <c r="AD16" s="81" t="s">
        <v>423</v>
      </c>
      <c r="AE16" s="82" t="s">
        <v>435</v>
      </c>
      <c r="AH16" t="str">
        <f>IF(ROWS(AH$3:AH16)&lt;=SUMPRODUCT(--(LEN(MBXGM!$A$3:$A$30)&gt;0)),INDEX(MBXGM!$A$3:$A$30,ROWS(AH$3:AH16)),IF(ROWS(AH$3:AH16)-SUMPRODUCT(--(LEN(MBXGM!$A$3:$A$30)&gt;0))&lt;=SUMPRODUCT(--(LEN(MBXGM!$C$3:$C$30)&gt;0)),INDEX(MBXGM!$C$3:$C$30,ROWS(AH$3:AH16)-SUMPRODUCT(--(LEN(MBXGM!$A$3:$A$30)&gt;0))),""))</f>
        <v>Y2</v>
      </c>
    </row>
    <row r="17" spans="7:34" ht="15" customHeight="1" x14ac:dyDescent="0.25">
      <c r="G17" s="1" t="s">
        <v>297</v>
      </c>
      <c r="X17" s="83" t="s">
        <v>146</v>
      </c>
      <c r="Y17" s="84" t="str">
        <f t="shared" si="0"/>
        <v>1.8</v>
      </c>
      <c r="Z17" s="86">
        <f t="shared" si="1"/>
        <v>577.80000000000007</v>
      </c>
      <c r="AD17" s="81" t="s">
        <v>424</v>
      </c>
      <c r="AE17" s="82" t="s">
        <v>444</v>
      </c>
      <c r="AH17" t="str">
        <f>IF(ROWS(AH$3:AH17)&lt;=SUMPRODUCT(--(LEN(MBXGM!$A$3:$A$30)&gt;0)),INDEX(MBXGM!$A$3:$A$30,ROWS(AH$3:AH17)),IF(ROWS(AH$3:AH17)-SUMPRODUCT(--(LEN(MBXGM!$A$3:$A$30)&gt;0))&lt;=SUMPRODUCT(--(LEN(MBXGM!$C$3:$C$30)&gt;0)),INDEX(MBXGM!$C$3:$C$30,ROWS(AH$3:AH17)-SUMPRODUCT(--(LEN(MBXGM!$A$3:$A$30)&gt;0))),""))</f>
        <v>Y3</v>
      </c>
    </row>
    <row r="18" spans="7:34" ht="15" customHeight="1" x14ac:dyDescent="0.25">
      <c r="G18" s="1" t="s">
        <v>298</v>
      </c>
      <c r="X18" s="83" t="s">
        <v>147</v>
      </c>
      <c r="Y18" s="84" t="str">
        <f t="shared" si="0"/>
        <v>2.0</v>
      </c>
      <c r="Z18" s="86">
        <f t="shared" si="1"/>
        <v>642</v>
      </c>
      <c r="AD18" s="81" t="s">
        <v>425</v>
      </c>
      <c r="AE18" s="82" t="s">
        <v>444</v>
      </c>
      <c r="AH18" t="str">
        <f>IF(ROWS(AH$3:AH18)&lt;=SUMPRODUCT(--(LEN(MBXGM!$A$3:$A$30)&gt;0)),INDEX(MBXGM!$A$3:$A$30,ROWS(AH$3:AH18)),IF(ROWS(AH$3:AH18)-SUMPRODUCT(--(LEN(MBXGM!$A$3:$A$30)&gt;0))&lt;=SUMPRODUCT(--(LEN(MBXGM!$C$3:$C$30)&gt;0)),INDEX(MBXGM!$C$3:$C$30,ROWS(AH$3:AH18)-SUMPRODUCT(--(LEN(MBXGM!$A$3:$A$30)&gt;0))),""))</f>
        <v>Y4</v>
      </c>
    </row>
    <row r="19" spans="7:34" ht="15" customHeight="1" x14ac:dyDescent="0.25">
      <c r="G19" s="1" t="s">
        <v>299</v>
      </c>
      <c r="X19" s="83" t="s">
        <v>148</v>
      </c>
      <c r="Y19" s="84" t="str">
        <f t="shared" si="0"/>
        <v>2.5</v>
      </c>
      <c r="Z19" s="86">
        <f t="shared" si="1"/>
        <v>802.5</v>
      </c>
      <c r="AD19" s="81" t="s">
        <v>426</v>
      </c>
      <c r="AE19" s="82" t="s">
        <v>438</v>
      </c>
      <c r="AH19" t="str">
        <f>IF(ROWS(AH$3:AH19)&lt;=SUMPRODUCT(--(LEN(MBXGM!$A$3:$A$30)&gt;0)),INDEX(MBXGM!$A$3:$A$30,ROWS(AH$3:AH19)),IF(ROWS(AH$3:AH19)-SUMPRODUCT(--(LEN(MBXGM!$A$3:$A$30)&gt;0))&lt;=SUMPRODUCT(--(LEN(MBXGM!$C$3:$C$30)&gt;0)),INDEX(MBXGM!$C$3:$C$30,ROWS(AH$3:AH19)-SUMPRODUCT(--(LEN(MBXGM!$A$3:$A$30)&gt;0))),""))</f>
        <v>Y5</v>
      </c>
    </row>
    <row r="20" spans="7:34" ht="15" customHeight="1" x14ac:dyDescent="0.25">
      <c r="X20" s="83" t="s">
        <v>149</v>
      </c>
      <c r="Y20" s="84" t="str">
        <f t="shared" si="0"/>
        <v>1.5</v>
      </c>
      <c r="Z20" s="86">
        <f t="shared" si="1"/>
        <v>481.5</v>
      </c>
      <c r="AD20" s="81" t="s">
        <v>427</v>
      </c>
      <c r="AE20" s="82" t="s">
        <v>445</v>
      </c>
      <c r="AH20" t="str">
        <f>IF(ROWS(AH$3:AH20)&lt;=SUMPRODUCT(--(LEN(MBXGM!$A$3:$A$30)&gt;0)),INDEX(MBXGM!$A$3:$A$30,ROWS(AH$3:AH20)),IF(ROWS(AH$3:AH20)-SUMPRODUCT(--(LEN(MBXGM!$A$3:$A$30)&gt;0))&lt;=SUMPRODUCT(--(LEN(MBXGM!$C$3:$C$30)&gt;0)),INDEX(MBXGM!$C$3:$C$30,ROWS(AH$3:AH20)-SUMPRODUCT(--(LEN(MBXGM!$A$3:$A$30)&gt;0))),""))</f>
        <v>Y6</v>
      </c>
    </row>
    <row r="21" spans="7:34" ht="15" customHeight="1" x14ac:dyDescent="0.25">
      <c r="X21" s="83" t="s">
        <v>150</v>
      </c>
      <c r="Y21" s="84" t="str">
        <f t="shared" si="0"/>
        <v>1.8</v>
      </c>
      <c r="Z21" s="86">
        <f t="shared" si="1"/>
        <v>577.80000000000007</v>
      </c>
      <c r="AD21" s="81" t="s">
        <v>428</v>
      </c>
      <c r="AE21" s="82" t="s">
        <v>441</v>
      </c>
      <c r="AH21" t="str">
        <f>IF(ROWS(AH$3:AH21)&lt;=SUMPRODUCT(--(LEN(MBXGM!$A$3:$A$30)&gt;0)),INDEX(MBXGM!$A$3:$A$30,ROWS(AH$3:AH21)),IF(ROWS(AH$3:AH21)-SUMPRODUCT(--(LEN(MBXGM!$A$3:$A$30)&gt;0))&lt;=SUMPRODUCT(--(LEN(MBXGM!$C$3:$C$30)&gt;0)),INDEX(MBXGM!$C$3:$C$30,ROWS(AH$3:AH21)-SUMPRODUCT(--(LEN(MBXGM!$A$3:$A$30)&gt;0))),""))</f>
        <v>Y7</v>
      </c>
    </row>
    <row r="22" spans="7:34" ht="15" customHeight="1" x14ac:dyDescent="0.25">
      <c r="X22" s="83" t="s">
        <v>151</v>
      </c>
      <c r="Y22" s="84" t="str">
        <f t="shared" si="0"/>
        <v>2.0</v>
      </c>
      <c r="Z22" s="86">
        <f t="shared" si="1"/>
        <v>642</v>
      </c>
      <c r="AD22" s="81" t="s">
        <v>429</v>
      </c>
      <c r="AE22" s="82" t="s">
        <v>440</v>
      </c>
      <c r="AH22" t="str">
        <f>IF(ROWS(AH$3:AH22)&lt;=SUMPRODUCT(--(LEN(MBXGM!$A$3:$A$30)&gt;0)),INDEX(MBXGM!$A$3:$A$30,ROWS(AH$3:AH22)),IF(ROWS(AH$3:AH22)-SUMPRODUCT(--(LEN(MBXGM!$A$3:$A$30)&gt;0))&lt;=SUMPRODUCT(--(LEN(MBXGM!$C$3:$C$30)&gt;0)),INDEX(MBXGM!$C$3:$C$30,ROWS(AH$3:AH22)-SUMPRODUCT(--(LEN(MBXGM!$A$3:$A$30)&gt;0))),""))</f>
        <v/>
      </c>
    </row>
    <row r="23" spans="7:34" ht="15" customHeight="1" x14ac:dyDescent="0.25">
      <c r="X23" s="83" t="s">
        <v>152</v>
      </c>
      <c r="Y23" s="84" t="str">
        <f t="shared" si="0"/>
        <v>2.3</v>
      </c>
      <c r="Z23" s="86">
        <f t="shared" si="1"/>
        <v>738.3</v>
      </c>
      <c r="AD23" s="81" t="s">
        <v>430</v>
      </c>
      <c r="AE23" s="82" t="s">
        <v>442</v>
      </c>
      <c r="AH23" t="str">
        <f>IF(ROWS(AH$3:AH23)&lt;=SUMPRODUCT(--(LEN(MBXGM!$A$3:$A$30)&gt;0)),INDEX(MBXGM!$A$3:$A$30,ROWS(AH$3:AH23)),IF(ROWS(AH$3:AH23)-SUMPRODUCT(--(LEN(MBXGM!$A$3:$A$30)&gt;0))&lt;=SUMPRODUCT(--(LEN(MBXGM!$C$3:$C$30)&gt;0)),INDEX(MBXGM!$C$3:$C$30,ROWS(AH$3:AH23)-SUMPRODUCT(--(LEN(MBXGM!$A$3:$A$30)&gt;0))),""))</f>
        <v/>
      </c>
    </row>
    <row r="24" spans="7:34" ht="15" customHeight="1" x14ac:dyDescent="0.25">
      <c r="X24" s="83" t="s">
        <v>153</v>
      </c>
      <c r="Y24" s="84" t="str">
        <f t="shared" si="0"/>
        <v>2.5</v>
      </c>
      <c r="Z24" s="86">
        <f t="shared" si="1"/>
        <v>802.5</v>
      </c>
      <c r="AD24" s="81" t="s">
        <v>431</v>
      </c>
      <c r="AE24" s="82" t="s">
        <v>446</v>
      </c>
      <c r="AH24" t="str">
        <f>IF(ROWS(AH$3:AH24)&lt;=SUMPRODUCT(--(LEN(MBXGM!$A$3:$A$30)&gt;0)),INDEX(MBXGM!$A$3:$A$30,ROWS(AH$3:AH24)),IF(ROWS(AH$3:AH24)-SUMPRODUCT(--(LEN(MBXGM!$A$3:$A$30)&gt;0))&lt;=SUMPRODUCT(--(LEN(MBXGM!$C$3:$C$30)&gt;0)),INDEX(MBXGM!$C$3:$C$30,ROWS(AH$3:AH24)-SUMPRODUCT(--(LEN(MBXGM!$A$3:$A$30)&gt;0))),""))</f>
        <v/>
      </c>
    </row>
    <row r="25" spans="7:34" ht="15" customHeight="1" x14ac:dyDescent="0.25">
      <c r="X25" s="83" t="s">
        <v>154</v>
      </c>
      <c r="Y25" s="84" t="str">
        <f t="shared" si="0"/>
        <v>2.8</v>
      </c>
      <c r="Z25" s="86">
        <f t="shared" si="1"/>
        <v>898.8</v>
      </c>
      <c r="AH25" t="str">
        <f>IF(ROWS(AH$3:AH25)&lt;=SUMPRODUCT(--(LEN(MBXGM!$A$3:$A$30)&gt;0)),INDEX(MBXGM!$A$3:$A$30,ROWS(AH$3:AH25)),IF(ROWS(AH$3:AH25)-SUMPRODUCT(--(LEN(MBXGM!$A$3:$A$30)&gt;0))&lt;=SUMPRODUCT(--(LEN(MBXGM!$C$3:$C$30)&gt;0)),INDEX(MBXGM!$C$3:$C$30,ROWS(AH$3:AH25)-SUMPRODUCT(--(LEN(MBXGM!$A$3:$A$30)&gt;0))),""))</f>
        <v/>
      </c>
    </row>
    <row r="26" spans="7:34" ht="15" customHeight="1" x14ac:dyDescent="0.25">
      <c r="X26" s="83" t="s">
        <v>155</v>
      </c>
      <c r="Y26" s="84" t="str">
        <f t="shared" si="0"/>
        <v>3.0</v>
      </c>
      <c r="Z26" s="86">
        <f t="shared" si="1"/>
        <v>963</v>
      </c>
      <c r="AH26" t="str">
        <f>IF(ROWS(AH$3:AH26)&lt;=SUMPRODUCT(--(LEN(MBXGM!$A$3:$A$30)&gt;0)),INDEX(MBXGM!$A$3:$A$30,ROWS(AH$3:AH26)),IF(ROWS(AH$3:AH26)-SUMPRODUCT(--(LEN(MBXGM!$A$3:$A$30)&gt;0))&lt;=SUMPRODUCT(--(LEN(MBXGM!$C$3:$C$30)&gt;0)),INDEX(MBXGM!$C$3:$C$30,ROWS(AH$3:AH26)-SUMPRODUCT(--(LEN(MBXGM!$A$3:$A$30)&gt;0))),""))</f>
        <v/>
      </c>
    </row>
    <row r="27" spans="7:34" ht="15" customHeight="1" x14ac:dyDescent="0.25">
      <c r="X27" s="83" t="s">
        <v>156</v>
      </c>
      <c r="Y27" s="84" t="str">
        <f t="shared" si="0"/>
        <v>1.5</v>
      </c>
      <c r="Z27" s="86">
        <f t="shared" si="1"/>
        <v>519</v>
      </c>
      <c r="AH27" t="str">
        <f>IF(ROWS(AH$3:AH27)&lt;=SUMPRODUCT(--(LEN(MBXGM!$A$3:$A$30)&gt;0)),INDEX(MBXGM!$A$3:$A$30,ROWS(AH$3:AH27)),IF(ROWS(AH$3:AH27)-SUMPRODUCT(--(LEN(MBXGM!$A$3:$A$30)&gt;0))&lt;=SUMPRODUCT(--(LEN(MBXGM!$C$3:$C$30)&gt;0)),INDEX(MBXGM!$C$3:$C$30,ROWS(AH$3:AH27)-SUMPRODUCT(--(LEN(MBXGM!$A$3:$A$30)&gt;0))),""))</f>
        <v/>
      </c>
    </row>
    <row r="28" spans="7:34" ht="15" customHeight="1" x14ac:dyDescent="0.25">
      <c r="X28" s="83" t="s">
        <v>157</v>
      </c>
      <c r="Y28" s="84" t="str">
        <f t="shared" si="0"/>
        <v>1.8</v>
      </c>
      <c r="Z28" s="86">
        <f t="shared" si="1"/>
        <v>622.80000000000007</v>
      </c>
      <c r="AH28" t="str">
        <f>IF(ROWS(AH$3:AH28)&lt;=SUMPRODUCT(--(LEN(MBXGM!$A$3:$A$30)&gt;0)),INDEX(MBXGM!$A$3:$A$30,ROWS(AH$3:AH28)),IF(ROWS(AH$3:AH28)-SUMPRODUCT(--(LEN(MBXGM!$A$3:$A$30)&gt;0))&lt;=SUMPRODUCT(--(LEN(MBXGM!$C$3:$C$30)&gt;0)),INDEX(MBXGM!$C$3:$C$30,ROWS(AH$3:AH28)-SUMPRODUCT(--(LEN(MBXGM!$A$3:$A$30)&gt;0))),""))</f>
        <v/>
      </c>
    </row>
    <row r="29" spans="7:34" ht="16.5" x14ac:dyDescent="0.25">
      <c r="X29" s="83" t="s">
        <v>158</v>
      </c>
      <c r="Y29" s="84" t="str">
        <f t="shared" si="0"/>
        <v>2.0</v>
      </c>
      <c r="Z29" s="86">
        <f t="shared" si="1"/>
        <v>692</v>
      </c>
      <c r="AH29" t="str">
        <f>IF(ROWS(AH$3:AH29)&lt;=SUMPRODUCT(--(LEN(MBXGM!$A$3:$A$30)&gt;0)),INDEX(MBXGM!$A$3:$A$30,ROWS(AH$3:AH29)),IF(ROWS(AH$3:AH29)-SUMPRODUCT(--(LEN(MBXGM!$A$3:$A$30)&gt;0))&lt;=SUMPRODUCT(--(LEN(MBXGM!$C$3:$C$30)&gt;0)),INDEX(MBXGM!$C$3:$C$30,ROWS(AH$3:AH29)-SUMPRODUCT(--(LEN(MBXGM!$A$3:$A$30)&gt;0))),""))</f>
        <v/>
      </c>
    </row>
    <row r="30" spans="7:34" ht="16.5" x14ac:dyDescent="0.25">
      <c r="X30" s="83" t="s">
        <v>159</v>
      </c>
      <c r="Y30" s="84" t="str">
        <f t="shared" si="0"/>
        <v>2.3</v>
      </c>
      <c r="Z30" s="86">
        <f t="shared" si="1"/>
        <v>795.8</v>
      </c>
      <c r="AH30" t="str">
        <f>IF(ROWS(AH$3:AH30)&lt;=SUMPRODUCT(--(LEN(MBXGM!$A$3:$A$30)&gt;0)),INDEX(MBXGM!$A$3:$A$30,ROWS(AH$3:AH30)),IF(ROWS(AH$3:AH30)-SUMPRODUCT(--(LEN(MBXGM!$A$3:$A$30)&gt;0))&lt;=SUMPRODUCT(--(LEN(MBXGM!$C$3:$C$30)&gt;0)),INDEX(MBXGM!$C$3:$C$30,ROWS(AH$3:AH30)-SUMPRODUCT(--(LEN(MBXGM!$A$3:$A$30)&gt;0))),""))</f>
        <v/>
      </c>
    </row>
    <row r="31" spans="7:34" ht="16.5" x14ac:dyDescent="0.25">
      <c r="X31" s="83" t="s">
        <v>160</v>
      </c>
      <c r="Y31" s="84" t="str">
        <f t="shared" si="0"/>
        <v>2.5</v>
      </c>
      <c r="Z31" s="86">
        <f t="shared" si="1"/>
        <v>865</v>
      </c>
      <c r="AH31" t="str">
        <f>IF(ROWS(AH$3:AH31)&lt;=SUMPRODUCT(--(LEN(MBXGM!$A$3:$A$30)&gt;0)),INDEX(MBXGM!$A$3:$A$30,ROWS(AH$3:AH31)),IF(ROWS(AH$3:AH31)-SUMPRODUCT(--(LEN(MBXGM!$A$3:$A$30)&gt;0))&lt;=SUMPRODUCT(--(LEN(MBXGM!$C$3:$C$30)&gt;0)),INDEX(MBXGM!$C$3:$C$30,ROWS(AH$3:AH31)-SUMPRODUCT(--(LEN(MBXGM!$A$3:$A$30)&gt;0))),""))</f>
        <v/>
      </c>
    </row>
    <row r="32" spans="7:34" ht="16.5" x14ac:dyDescent="0.25">
      <c r="X32" s="83" t="s">
        <v>161</v>
      </c>
      <c r="Y32" s="84" t="str">
        <f t="shared" si="0"/>
        <v>2.8</v>
      </c>
      <c r="Z32" s="86">
        <f t="shared" si="1"/>
        <v>968.8</v>
      </c>
      <c r="AH32" t="str">
        <f>IF(ROWS(AH$3:AH32)&lt;=SUMPRODUCT(--(LEN(MBXGM!$A$3:$A$30)&gt;0)),INDEX(MBXGM!$A$3:$A$30,ROWS(AH$3:AH32)),IF(ROWS(AH$3:AH32)-SUMPRODUCT(--(LEN(MBXGM!$A$3:$A$30)&gt;0))&lt;=SUMPRODUCT(--(LEN(MBXGM!$C$3:$C$30)&gt;0)),INDEX(MBXGM!$C$3:$C$30,ROWS(AH$3:AH32)-SUMPRODUCT(--(LEN(MBXGM!$A$3:$A$30)&gt;0))),""))</f>
        <v/>
      </c>
    </row>
    <row r="33" spans="24:34" ht="16.5" x14ac:dyDescent="0.25">
      <c r="X33" s="83" t="s">
        <v>162</v>
      </c>
      <c r="Y33" s="84" t="str">
        <f t="shared" si="0"/>
        <v>3.0</v>
      </c>
      <c r="Z33" s="86">
        <f t="shared" si="1"/>
        <v>1038</v>
      </c>
      <c r="AH33" t="str">
        <f>IF(ROWS(AH$3:AH33)&lt;=SUMPRODUCT(--(LEN(MBXGM!$A$3:$A$30)&gt;0)),INDEX(MBXGM!$A$3:$A$30,ROWS(AH$3:AH33)),IF(ROWS(AH$3:AH33)-SUMPRODUCT(--(LEN(MBXGM!$A$3:$A$30)&gt;0))&lt;=SUMPRODUCT(--(LEN(MBXGM!$C$3:$C$30)&gt;0)),INDEX(MBXGM!$C$3:$C$30,ROWS(AH$3:AH33)-SUMPRODUCT(--(LEN(MBXGM!$A$3:$A$30)&gt;0))),""))</f>
        <v/>
      </c>
    </row>
    <row r="34" spans="24:34" ht="16.5" x14ac:dyDescent="0.25">
      <c r="X34" s="83" t="s">
        <v>163</v>
      </c>
      <c r="Y34" s="84" t="str">
        <f t="shared" si="0"/>
        <v>1.5</v>
      </c>
      <c r="Z34" s="86">
        <f t="shared" si="1"/>
        <v>549</v>
      </c>
      <c r="AH34" t="str">
        <f>IF(ROWS(AH$3:AH34)&lt;=SUMPRODUCT(--(LEN(MBXGM!$A$3:$A$30)&gt;0)),INDEX(MBXGM!$A$3:$A$30,ROWS(AH$3:AH34)),IF(ROWS(AH$3:AH34)-SUMPRODUCT(--(LEN(MBXGM!$A$3:$A$30)&gt;0))&lt;=SUMPRODUCT(--(LEN(MBXGM!$C$3:$C$30)&gt;0)),INDEX(MBXGM!$C$3:$C$30,ROWS(AH$3:AH34)-SUMPRODUCT(--(LEN(MBXGM!$A$3:$A$30)&gt;0))),""))</f>
        <v/>
      </c>
    </row>
    <row r="35" spans="24:34" ht="16.5" x14ac:dyDescent="0.25">
      <c r="X35" s="83" t="s">
        <v>164</v>
      </c>
      <c r="Y35" s="84" t="str">
        <f t="shared" si="0"/>
        <v>1.8</v>
      </c>
      <c r="Z35" s="86">
        <f t="shared" si="1"/>
        <v>658.80000000000007</v>
      </c>
      <c r="AH35" t="str">
        <f>IF(ROWS(AH$3:AH35)&lt;=SUMPRODUCT(--(LEN(MBXGM!$A$3:$A$30)&gt;0)),INDEX(MBXGM!$A$3:$A$30,ROWS(AH$3:AH35)),IF(ROWS(AH$3:AH35)-SUMPRODUCT(--(LEN(MBXGM!$A$3:$A$30)&gt;0))&lt;=SUMPRODUCT(--(LEN(MBXGM!$C$3:$C$30)&gt;0)),INDEX(MBXGM!$C$3:$C$30,ROWS(AH$3:AH35)-SUMPRODUCT(--(LEN(MBXGM!$A$3:$A$30)&gt;0))),""))</f>
        <v/>
      </c>
    </row>
    <row r="36" spans="24:34" ht="16.5" x14ac:dyDescent="0.25">
      <c r="X36" s="83" t="s">
        <v>165</v>
      </c>
      <c r="Y36" s="84" t="str">
        <f t="shared" si="0"/>
        <v>2.0</v>
      </c>
      <c r="Z36" s="86">
        <f t="shared" si="1"/>
        <v>732</v>
      </c>
      <c r="AH36" t="str">
        <f>IF(ROWS(AH$3:AH36)&lt;=SUMPRODUCT(--(LEN(MBXGM!$A$3:$A$30)&gt;0)),INDEX(MBXGM!$A$3:$A$30,ROWS(AH$3:AH36)),IF(ROWS(AH$3:AH36)-SUMPRODUCT(--(LEN(MBXGM!$A$3:$A$30)&gt;0))&lt;=SUMPRODUCT(--(LEN(MBXGM!$C$3:$C$30)&gt;0)),INDEX(MBXGM!$C$3:$C$30,ROWS(AH$3:AH36)-SUMPRODUCT(--(LEN(MBXGM!$A$3:$A$30)&gt;0))),""))</f>
        <v/>
      </c>
    </row>
    <row r="37" spans="24:34" ht="16.5" x14ac:dyDescent="0.25">
      <c r="X37" s="83" t="s">
        <v>166</v>
      </c>
      <c r="Y37" s="84" t="str">
        <f t="shared" si="0"/>
        <v>2.3</v>
      </c>
      <c r="Z37" s="86">
        <f t="shared" si="1"/>
        <v>841.8</v>
      </c>
      <c r="AH37" t="str">
        <f>IF(ROWS(AH$3:AH37)&lt;=SUMPRODUCT(--(LEN(MBXGM!$A$3:$A$30)&gt;0)),INDEX(MBXGM!$A$3:$A$30,ROWS(AH$3:AH37)),IF(ROWS(AH$3:AH37)-SUMPRODUCT(--(LEN(MBXGM!$A$3:$A$30)&gt;0))&lt;=SUMPRODUCT(--(LEN(MBXGM!$C$3:$C$30)&gt;0)),INDEX(MBXGM!$C$3:$C$30,ROWS(AH$3:AH37)-SUMPRODUCT(--(LEN(MBXGM!$A$3:$A$30)&gt;0))),""))</f>
        <v/>
      </c>
    </row>
    <row r="38" spans="24:34" ht="16.5" x14ac:dyDescent="0.25">
      <c r="X38" s="83" t="s">
        <v>167</v>
      </c>
      <c r="Y38" s="84" t="str">
        <f t="shared" si="0"/>
        <v>2.5</v>
      </c>
      <c r="Z38" s="86">
        <f t="shared" si="1"/>
        <v>915</v>
      </c>
      <c r="AH38" t="str">
        <f>IF(ROWS(AH$3:AH38)&lt;=SUMPRODUCT(--(LEN(MBXGM!$A$3:$A$30)&gt;0)),INDEX(MBXGM!$A$3:$A$30,ROWS(AH$3:AH38)),IF(ROWS(AH$3:AH38)-SUMPRODUCT(--(LEN(MBXGM!$A$3:$A$30)&gt;0))&lt;=SUMPRODUCT(--(LEN(MBXGM!$C$3:$C$30)&gt;0)),INDEX(MBXGM!$C$3:$C$30,ROWS(AH$3:AH38)-SUMPRODUCT(--(LEN(MBXGM!$A$3:$A$30)&gt;0))),""))</f>
        <v/>
      </c>
    </row>
    <row r="39" spans="24:34" ht="16.5" x14ac:dyDescent="0.25">
      <c r="X39" s="83" t="s">
        <v>168</v>
      </c>
      <c r="Y39" s="84" t="str">
        <f t="shared" si="0"/>
        <v>2.8</v>
      </c>
      <c r="Z39" s="86">
        <f t="shared" si="1"/>
        <v>1024.8</v>
      </c>
      <c r="AH39" t="str">
        <f>IF(ROWS(AH$3:AH39)&lt;=SUMPRODUCT(--(LEN(MBXGM!$A$3:$A$30)&gt;0)),INDEX(MBXGM!$A$3:$A$30,ROWS(AH$3:AH39)),IF(ROWS(AH$3:AH39)-SUMPRODUCT(--(LEN(MBXGM!$A$3:$A$30)&gt;0))&lt;=SUMPRODUCT(--(LEN(MBXGM!$C$3:$C$30)&gt;0)),INDEX(MBXGM!$C$3:$C$30,ROWS(AH$3:AH39)-SUMPRODUCT(--(LEN(MBXGM!$A$3:$A$30)&gt;0))),""))</f>
        <v/>
      </c>
    </row>
    <row r="40" spans="24:34" ht="16.5" x14ac:dyDescent="0.25">
      <c r="X40" s="83" t="s">
        <v>169</v>
      </c>
      <c r="Y40" s="84" t="str">
        <f t="shared" si="0"/>
        <v>3.0</v>
      </c>
      <c r="Z40" s="86">
        <f t="shared" si="1"/>
        <v>1098</v>
      </c>
      <c r="AH40" t="str">
        <f>IF(ROWS(AH$3:AH40)&lt;=SUMPRODUCT(--(LEN(MBXGM!$A$3:$A$30)&gt;0)),INDEX(MBXGM!$A$3:$A$30,ROWS(AH$3:AH40)),IF(ROWS(AH$3:AH40)-SUMPRODUCT(--(LEN(MBXGM!$A$3:$A$30)&gt;0))&lt;=SUMPRODUCT(--(LEN(MBXGM!$C$3:$C$30)&gt;0)),INDEX(MBXGM!$C$3:$C$30,ROWS(AH$3:AH40)-SUMPRODUCT(--(LEN(MBXGM!$A$3:$A$30)&gt;0))),""))</f>
        <v/>
      </c>
    </row>
    <row r="41" spans="24:34" ht="16.5" x14ac:dyDescent="0.25">
      <c r="X41" s="83" t="s">
        <v>170</v>
      </c>
      <c r="Y41" s="84" t="str">
        <f t="shared" si="0"/>
        <v>1.5</v>
      </c>
      <c r="Z41" s="86">
        <f t="shared" si="1"/>
        <v>594</v>
      </c>
      <c r="AH41" t="str">
        <f>IF(ROWS(AH$3:AH41)&lt;=SUMPRODUCT(--(LEN(MBXGM!$A$3:$A$30)&gt;0)),INDEX(MBXGM!$A$3:$A$30,ROWS(AH$3:AH41)),IF(ROWS(AH$3:AH41)-SUMPRODUCT(--(LEN(MBXGM!$A$3:$A$30)&gt;0))&lt;=SUMPRODUCT(--(LEN(MBXGM!$C$3:$C$30)&gt;0)),INDEX(MBXGM!$C$3:$C$30,ROWS(AH$3:AH41)-SUMPRODUCT(--(LEN(MBXGM!$A$3:$A$30)&gt;0))),""))</f>
        <v/>
      </c>
    </row>
    <row r="42" spans="24:34" ht="16.5" x14ac:dyDescent="0.25">
      <c r="X42" s="83" t="s">
        <v>171</v>
      </c>
      <c r="Y42" s="84" t="str">
        <f t="shared" si="0"/>
        <v>1.8</v>
      </c>
      <c r="Z42" s="86">
        <f t="shared" si="1"/>
        <v>712.80000000000007</v>
      </c>
      <c r="AH42" t="str">
        <f>IF(ROWS(AH$3:AH42)&lt;=SUMPRODUCT(--(LEN(MBXGM!$A$3:$A$30)&gt;0)),INDEX(MBXGM!$A$3:$A$30,ROWS(AH$3:AH42)),IF(ROWS(AH$3:AH42)-SUMPRODUCT(--(LEN(MBXGM!$A$3:$A$30)&gt;0))&lt;=SUMPRODUCT(--(LEN(MBXGM!$C$3:$C$30)&gt;0)),INDEX(MBXGM!$C$3:$C$30,ROWS(AH$3:AH42)-SUMPRODUCT(--(LEN(MBXGM!$A$3:$A$30)&gt;0))),""))</f>
        <v/>
      </c>
    </row>
    <row r="43" spans="24:34" ht="16.5" x14ac:dyDescent="0.25">
      <c r="X43" s="83" t="s">
        <v>172</v>
      </c>
      <c r="Y43" s="84" t="str">
        <f t="shared" si="0"/>
        <v>2.0</v>
      </c>
      <c r="Z43" s="86">
        <f t="shared" si="1"/>
        <v>792</v>
      </c>
      <c r="AH43" t="str">
        <f>IF(ROWS(AH$3:AH43)&lt;=SUMPRODUCT(--(LEN(MBXGM!$A$3:$A$30)&gt;0)),INDEX(MBXGM!$A$3:$A$30,ROWS(AH$3:AH43)),IF(ROWS(AH$3:AH43)-SUMPRODUCT(--(LEN(MBXGM!$A$3:$A$30)&gt;0))&lt;=SUMPRODUCT(--(LEN(MBXGM!$C$3:$C$30)&gt;0)),INDEX(MBXGM!$C$3:$C$30,ROWS(AH$3:AH43)-SUMPRODUCT(--(LEN(MBXGM!$A$3:$A$30)&gt;0))),""))</f>
        <v/>
      </c>
    </row>
    <row r="44" spans="24:34" ht="16.5" x14ac:dyDescent="0.25">
      <c r="X44" s="83" t="s">
        <v>173</v>
      </c>
      <c r="Y44" s="84" t="str">
        <f t="shared" si="0"/>
        <v>2.3</v>
      </c>
      <c r="Z44" s="86">
        <f t="shared" si="1"/>
        <v>910.8</v>
      </c>
      <c r="AH44" t="str">
        <f>IF(ROWS(AH$3:AH44)&lt;=SUMPRODUCT(--(LEN(MBXGM!$A$3:$A$30)&gt;0)),INDEX(MBXGM!$A$3:$A$30,ROWS(AH$3:AH44)),IF(ROWS(AH$3:AH44)-SUMPRODUCT(--(LEN(MBXGM!$A$3:$A$30)&gt;0))&lt;=SUMPRODUCT(--(LEN(MBXGM!$C$3:$C$30)&gt;0)),INDEX(MBXGM!$C$3:$C$30,ROWS(AH$3:AH44)-SUMPRODUCT(--(LEN(MBXGM!$A$3:$A$30)&gt;0))),""))</f>
        <v/>
      </c>
    </row>
    <row r="45" spans="24:34" ht="16.5" x14ac:dyDescent="0.25">
      <c r="X45" s="83" t="s">
        <v>174</v>
      </c>
      <c r="Y45" s="84" t="str">
        <f t="shared" si="0"/>
        <v>2.5</v>
      </c>
      <c r="Z45" s="86">
        <f t="shared" si="1"/>
        <v>990</v>
      </c>
      <c r="AH45" t="str">
        <f>IF(ROWS(AH$3:AH45)&lt;=SUMPRODUCT(--(LEN(MBXGM!$A$3:$A$30)&gt;0)),INDEX(MBXGM!$A$3:$A$30,ROWS(AH$3:AH45)),IF(ROWS(AH$3:AH45)-SUMPRODUCT(--(LEN(MBXGM!$A$3:$A$30)&gt;0))&lt;=SUMPRODUCT(--(LEN(MBXGM!$C$3:$C$30)&gt;0)),INDEX(MBXGM!$C$3:$C$30,ROWS(AH$3:AH45)-SUMPRODUCT(--(LEN(MBXGM!$A$3:$A$30)&gt;0))),""))</f>
        <v/>
      </c>
    </row>
    <row r="46" spans="24:34" ht="16.5" x14ac:dyDescent="0.25">
      <c r="X46" s="83" t="s">
        <v>175</v>
      </c>
      <c r="Y46" s="84" t="str">
        <f t="shared" si="0"/>
        <v>2.8</v>
      </c>
      <c r="Z46" s="86">
        <f t="shared" si="1"/>
        <v>1108.8</v>
      </c>
      <c r="AH46" t="str">
        <f>IF(ROWS(AH$3:AH46)&lt;=SUMPRODUCT(--(LEN(MBXGM!$A$3:$A$30)&gt;0)),INDEX(MBXGM!$A$3:$A$30,ROWS(AH$3:AH46)),IF(ROWS(AH$3:AH46)-SUMPRODUCT(--(LEN(MBXGM!$A$3:$A$30)&gt;0))&lt;=SUMPRODUCT(--(LEN(MBXGM!$C$3:$C$30)&gt;0)),INDEX(MBXGM!$C$3:$C$30,ROWS(AH$3:AH46)-SUMPRODUCT(--(LEN(MBXGM!$A$3:$A$30)&gt;0))),""))</f>
        <v/>
      </c>
    </row>
    <row r="47" spans="24:34" ht="16.5" x14ac:dyDescent="0.25">
      <c r="X47" s="83" t="s">
        <v>176</v>
      </c>
      <c r="Y47" s="84" t="str">
        <f t="shared" si="0"/>
        <v>3.0</v>
      </c>
      <c r="Z47" s="86">
        <f t="shared" si="1"/>
        <v>1188</v>
      </c>
      <c r="AH47" t="str">
        <f>IF(ROWS(AH$3:AH47)&lt;=SUMPRODUCT(--(LEN(MBXGM!$A$3:$A$30)&gt;0)),INDEX(MBXGM!$A$3:$A$30,ROWS(AH$3:AH47)),IF(ROWS(AH$3:AH47)-SUMPRODUCT(--(LEN(MBXGM!$A$3:$A$30)&gt;0))&lt;=SUMPRODUCT(--(LEN(MBXGM!$C$3:$C$30)&gt;0)),INDEX(MBXGM!$C$3:$C$30,ROWS(AH$3:AH47)-SUMPRODUCT(--(LEN(MBXGM!$A$3:$A$30)&gt;0))),""))</f>
        <v/>
      </c>
    </row>
    <row r="48" spans="24:34" ht="16.5" x14ac:dyDescent="0.25">
      <c r="X48" s="83" t="s">
        <v>177</v>
      </c>
      <c r="Y48" s="84" t="str">
        <f t="shared" si="0"/>
        <v>1.5</v>
      </c>
      <c r="Z48" s="86">
        <f t="shared" si="1"/>
        <v>624</v>
      </c>
      <c r="AH48" t="str">
        <f>IF(ROWS(AH$3:AH48)&lt;=SUMPRODUCT(--(LEN(MBXGM!$A$3:$A$30)&gt;0)),INDEX(MBXGM!$A$3:$A$30,ROWS(AH$3:AH48)),IF(ROWS(AH$3:AH48)-SUMPRODUCT(--(LEN(MBXGM!$A$3:$A$30)&gt;0))&lt;=SUMPRODUCT(--(LEN(MBXGM!$C$3:$C$30)&gt;0)),INDEX(MBXGM!$C$3:$C$30,ROWS(AH$3:AH48)-SUMPRODUCT(--(LEN(MBXGM!$A$3:$A$30)&gt;0))),""))</f>
        <v/>
      </c>
    </row>
    <row r="49" spans="24:34" ht="16.5" x14ac:dyDescent="0.25">
      <c r="X49" s="83" t="s">
        <v>178</v>
      </c>
      <c r="Y49" s="84" t="str">
        <f t="shared" si="0"/>
        <v>1.8</v>
      </c>
      <c r="Z49" s="86">
        <f t="shared" si="1"/>
        <v>748.80000000000007</v>
      </c>
      <c r="AH49" t="str">
        <f>IF(ROWS(AH$3:AH49)&lt;=SUMPRODUCT(--(LEN(MBXGM!$A$3:$A$30)&gt;0)),INDEX(MBXGM!$A$3:$A$30,ROWS(AH$3:AH49)),IF(ROWS(AH$3:AH49)-SUMPRODUCT(--(LEN(MBXGM!$A$3:$A$30)&gt;0))&lt;=SUMPRODUCT(--(LEN(MBXGM!$C$3:$C$30)&gt;0)),INDEX(MBXGM!$C$3:$C$30,ROWS(AH$3:AH49)-SUMPRODUCT(--(LEN(MBXGM!$A$3:$A$30)&gt;0))),""))</f>
        <v/>
      </c>
    </row>
    <row r="50" spans="24:34" ht="16.5" x14ac:dyDescent="0.25">
      <c r="X50" s="83" t="s">
        <v>179</v>
      </c>
      <c r="Y50" s="84" t="str">
        <f t="shared" si="0"/>
        <v>2.0</v>
      </c>
      <c r="Z50" s="86">
        <f t="shared" si="1"/>
        <v>832</v>
      </c>
      <c r="AH50" t="str">
        <f>IF(ROWS(AH$3:AH50)&lt;=SUMPRODUCT(--(LEN(MBXGM!$A$3:$A$30)&gt;0)),INDEX(MBXGM!$A$3:$A$30,ROWS(AH$3:AH50)),IF(ROWS(AH$3:AH50)-SUMPRODUCT(--(LEN(MBXGM!$A$3:$A$30)&gt;0))&lt;=SUMPRODUCT(--(LEN(MBXGM!$C$3:$C$30)&gt;0)),INDEX(MBXGM!$C$3:$C$30,ROWS(AH$3:AH50)-SUMPRODUCT(--(LEN(MBXGM!$A$3:$A$30)&gt;0))),""))</f>
        <v/>
      </c>
    </row>
    <row r="51" spans="24:34" ht="16.5" x14ac:dyDescent="0.25">
      <c r="X51" s="83" t="s">
        <v>180</v>
      </c>
      <c r="Y51" s="84" t="str">
        <f t="shared" si="0"/>
        <v>2.3</v>
      </c>
      <c r="Z51" s="86">
        <f t="shared" si="1"/>
        <v>956.8</v>
      </c>
      <c r="AH51" t="str">
        <f>IF(ROWS(AH$3:AH51)&lt;=SUMPRODUCT(--(LEN(MBXGM!$A$3:$A$30)&gt;0)),INDEX(MBXGM!$A$3:$A$30,ROWS(AH$3:AH51)),IF(ROWS(AH$3:AH51)-SUMPRODUCT(--(LEN(MBXGM!$A$3:$A$30)&gt;0))&lt;=SUMPRODUCT(--(LEN(MBXGM!$C$3:$C$30)&gt;0)),INDEX(MBXGM!$C$3:$C$30,ROWS(AH$3:AH51)-SUMPRODUCT(--(LEN(MBXGM!$A$3:$A$30)&gt;0))),""))</f>
        <v/>
      </c>
    </row>
    <row r="52" spans="24:34" ht="16.5" x14ac:dyDescent="0.25">
      <c r="X52" s="83" t="s">
        <v>181</v>
      </c>
      <c r="Y52" s="84" t="str">
        <f t="shared" si="0"/>
        <v>2.5</v>
      </c>
      <c r="Z52" s="86">
        <f t="shared" si="1"/>
        <v>1040</v>
      </c>
      <c r="AH52" t="str">
        <f>IF(ROWS(AH$3:AH52)&lt;=SUMPRODUCT(--(LEN(MBXGM!$A$3:$A$30)&gt;0)),INDEX(MBXGM!$A$3:$A$30,ROWS(AH$3:AH52)),IF(ROWS(AH$3:AH52)-SUMPRODUCT(--(LEN(MBXGM!$A$3:$A$30)&gt;0))&lt;=SUMPRODUCT(--(LEN(MBXGM!$C$3:$C$30)&gt;0)),INDEX(MBXGM!$C$3:$C$30,ROWS(AH$3:AH52)-SUMPRODUCT(--(LEN(MBXGM!$A$3:$A$30)&gt;0))),""))</f>
        <v/>
      </c>
    </row>
    <row r="53" spans="24:34" ht="16.5" x14ac:dyDescent="0.25">
      <c r="X53" s="83" t="s">
        <v>182</v>
      </c>
      <c r="Y53" s="84" t="str">
        <f t="shared" si="0"/>
        <v>2.8</v>
      </c>
      <c r="Z53" s="86">
        <f t="shared" si="1"/>
        <v>1164.8</v>
      </c>
      <c r="AH53" t="str">
        <f>IF(ROWS(AH$3:AH53)&lt;=SUMPRODUCT(--(LEN(MBXGM!$A$3:$A$30)&gt;0)),INDEX(MBXGM!$A$3:$A$30,ROWS(AH$3:AH53)),IF(ROWS(AH$3:AH53)-SUMPRODUCT(--(LEN(MBXGM!$A$3:$A$30)&gt;0))&lt;=SUMPRODUCT(--(LEN(MBXGM!$C$3:$C$30)&gt;0)),INDEX(MBXGM!$C$3:$C$30,ROWS(AH$3:AH53)-SUMPRODUCT(--(LEN(MBXGM!$A$3:$A$30)&gt;0))),""))</f>
        <v/>
      </c>
    </row>
    <row r="54" spans="24:34" ht="16.5" x14ac:dyDescent="0.25">
      <c r="X54" s="83" t="s">
        <v>183</v>
      </c>
      <c r="Y54" s="84" t="str">
        <f t="shared" si="0"/>
        <v>3.0</v>
      </c>
      <c r="Z54" s="86">
        <f t="shared" si="1"/>
        <v>1248</v>
      </c>
      <c r="AH54" t="str">
        <f>IF(ROWS(AH$3:AH54)&lt;=SUMPRODUCT(--(LEN(MBXGM!$A$3:$A$30)&gt;0)),INDEX(MBXGM!$A$3:$A$30,ROWS(AH$3:AH54)),IF(ROWS(AH$3:AH54)-SUMPRODUCT(--(LEN(MBXGM!$A$3:$A$30)&gt;0))&lt;=SUMPRODUCT(--(LEN(MBXGM!$C$3:$C$30)&gt;0)),INDEX(MBXGM!$C$3:$C$30,ROWS(AH$3:AH54)-SUMPRODUCT(--(LEN(MBXGM!$A$3:$A$30)&gt;0))),""))</f>
        <v/>
      </c>
    </row>
    <row r="55" spans="24:34" ht="16.5" x14ac:dyDescent="0.25">
      <c r="X55" s="83" t="s">
        <v>184</v>
      </c>
      <c r="Y55" s="84" t="str">
        <f t="shared" si="0"/>
        <v>1.8</v>
      </c>
      <c r="Z55" s="86">
        <f t="shared" si="1"/>
        <v>838.80000000000007</v>
      </c>
      <c r="AH55" t="str">
        <f>IF(ROWS(AH$3:AH55)&lt;=SUMPRODUCT(--(LEN(MBXGM!$A$3:$A$30)&gt;0)),INDEX(MBXGM!$A$3:$A$30,ROWS(AH$3:AH55)),IF(ROWS(AH$3:AH55)-SUMPRODUCT(--(LEN(MBXGM!$A$3:$A$30)&gt;0))&lt;=SUMPRODUCT(--(LEN(MBXGM!$C$3:$C$30)&gt;0)),INDEX(MBXGM!$C$3:$C$30,ROWS(AH$3:AH55)-SUMPRODUCT(--(LEN(MBXGM!$A$3:$A$30)&gt;0))),""))</f>
        <v/>
      </c>
    </row>
    <row r="56" spans="24:34" ht="16.5" x14ac:dyDescent="0.25">
      <c r="X56" s="83" t="s">
        <v>185</v>
      </c>
      <c r="Y56" s="84" t="str">
        <f t="shared" si="0"/>
        <v>2.0</v>
      </c>
      <c r="Z56" s="86">
        <f t="shared" si="1"/>
        <v>932</v>
      </c>
      <c r="AH56" t="str">
        <f>IF(ROWS(AH$3:AH56)&lt;=SUMPRODUCT(--(LEN(MBXGM!$A$3:$A$30)&gt;0)),INDEX(MBXGM!$A$3:$A$30,ROWS(AH$3:AH56)),IF(ROWS(AH$3:AH56)-SUMPRODUCT(--(LEN(MBXGM!$A$3:$A$30)&gt;0))&lt;=SUMPRODUCT(--(LEN(MBXGM!$C$3:$C$30)&gt;0)),INDEX(MBXGM!$C$3:$C$30,ROWS(AH$3:AH56)-SUMPRODUCT(--(LEN(MBXGM!$A$3:$A$30)&gt;0))),""))</f>
        <v/>
      </c>
    </row>
    <row r="57" spans="24:34" ht="16.5" x14ac:dyDescent="0.25">
      <c r="X57" s="83" t="s">
        <v>186</v>
      </c>
      <c r="Y57" s="84" t="str">
        <f t="shared" si="0"/>
        <v>2.3</v>
      </c>
      <c r="Z57" s="86">
        <f t="shared" si="1"/>
        <v>1071.8</v>
      </c>
      <c r="AH57" t="str">
        <f>IF(ROWS(AH$3:AH57)&lt;=SUMPRODUCT(--(LEN(MBXGM!$A$3:$A$30)&gt;0)),INDEX(MBXGM!$A$3:$A$30,ROWS(AH$3:AH57)),IF(ROWS(AH$3:AH57)-SUMPRODUCT(--(LEN(MBXGM!$A$3:$A$30)&gt;0))&lt;=SUMPRODUCT(--(LEN(MBXGM!$C$3:$C$30)&gt;0)),INDEX(MBXGM!$C$3:$C$30,ROWS(AH$3:AH57)-SUMPRODUCT(--(LEN(MBXGM!$A$3:$A$30)&gt;0))),""))</f>
        <v/>
      </c>
    </row>
    <row r="58" spans="24:34" ht="16.5" x14ac:dyDescent="0.25">
      <c r="X58" s="83" t="s">
        <v>187</v>
      </c>
      <c r="Y58" s="84" t="str">
        <f t="shared" si="0"/>
        <v>2.5</v>
      </c>
      <c r="Z58" s="86">
        <f t="shared" si="1"/>
        <v>1165</v>
      </c>
      <c r="AH58" t="str">
        <f>IF(ROWS(AH$3:AH58)&lt;=SUMPRODUCT(--(LEN(MBXGM!$A$3:$A$30)&gt;0)),INDEX(MBXGM!$A$3:$A$30,ROWS(AH$3:AH58)),IF(ROWS(AH$3:AH58)-SUMPRODUCT(--(LEN(MBXGM!$A$3:$A$30)&gt;0))&lt;=SUMPRODUCT(--(LEN(MBXGM!$C$3:$C$30)&gt;0)),INDEX(MBXGM!$C$3:$C$30,ROWS(AH$3:AH58)-SUMPRODUCT(--(LEN(MBXGM!$A$3:$A$30)&gt;0))),""))</f>
        <v/>
      </c>
    </row>
    <row r="59" spans="24:34" ht="16.5" x14ac:dyDescent="0.25">
      <c r="X59" s="83" t="s">
        <v>188</v>
      </c>
      <c r="Y59" s="84" t="str">
        <f t="shared" si="0"/>
        <v>2.8</v>
      </c>
      <c r="Z59" s="86">
        <f t="shared" si="1"/>
        <v>1304.8</v>
      </c>
      <c r="AH59" t="str">
        <f>IF(ROWS(AH$3:AH59)&lt;=SUMPRODUCT(--(LEN(MBXGM!$A$3:$A$30)&gt;0)),INDEX(MBXGM!$A$3:$A$30,ROWS(AH$3:AH59)),IF(ROWS(AH$3:AH59)-SUMPRODUCT(--(LEN(MBXGM!$A$3:$A$30)&gt;0))&lt;=SUMPRODUCT(--(LEN(MBXGM!$C$3:$C$30)&gt;0)),INDEX(MBXGM!$C$3:$C$30,ROWS(AH$3:AH59)-SUMPRODUCT(--(LEN(MBXGM!$A$3:$A$30)&gt;0))),""))</f>
        <v/>
      </c>
    </row>
    <row r="60" spans="24:34" ht="16.5" x14ac:dyDescent="0.25">
      <c r="X60" s="83" t="s">
        <v>189</v>
      </c>
      <c r="Y60" s="84" t="str">
        <f t="shared" si="0"/>
        <v>3.0</v>
      </c>
      <c r="Z60" s="86">
        <f t="shared" si="1"/>
        <v>1398</v>
      </c>
      <c r="AH60" t="str">
        <f>IF(ROWS(AH$3:AH60)&lt;=SUMPRODUCT(--(LEN(MBXGM!$A$3:$A$30)&gt;0)),INDEX(MBXGM!$A$3:$A$30,ROWS(AH$3:AH60)),IF(ROWS(AH$3:AH60)-SUMPRODUCT(--(LEN(MBXGM!$A$3:$A$30)&gt;0))&lt;=SUMPRODUCT(--(LEN(MBXGM!$C$3:$C$30)&gt;0)),INDEX(MBXGM!$C$3:$C$30,ROWS(AH$3:AH60)-SUMPRODUCT(--(LEN(MBXGM!$A$3:$A$30)&gt;0))),""))</f>
        <v/>
      </c>
    </row>
    <row r="61" spans="24:34" ht="16.5" x14ac:dyDescent="0.25">
      <c r="X61" s="83" t="s">
        <v>190</v>
      </c>
      <c r="Y61" s="84" t="str">
        <f t="shared" si="0"/>
        <v>1.5</v>
      </c>
      <c r="Z61" s="86">
        <f t="shared" si="1"/>
        <v>324</v>
      </c>
    </row>
    <row r="62" spans="24:34" ht="16.5" x14ac:dyDescent="0.25">
      <c r="X62" s="83" t="s">
        <v>191</v>
      </c>
      <c r="Y62" s="84" t="str">
        <f t="shared" si="0"/>
        <v>1.8</v>
      </c>
      <c r="Z62" s="86">
        <f t="shared" si="1"/>
        <v>388.8</v>
      </c>
    </row>
    <row r="63" spans="24:34" ht="16.5" x14ac:dyDescent="0.25">
      <c r="X63" s="83" t="s">
        <v>192</v>
      </c>
      <c r="Y63" s="84" t="str">
        <f t="shared" si="0"/>
        <v>2.0</v>
      </c>
      <c r="Z63" s="86">
        <f t="shared" si="1"/>
        <v>432</v>
      </c>
    </row>
    <row r="64" spans="24:34" ht="16.5" x14ac:dyDescent="0.25">
      <c r="X64" s="83" t="s">
        <v>193</v>
      </c>
      <c r="Y64" s="84" t="str">
        <f t="shared" si="0"/>
        <v>2.3</v>
      </c>
      <c r="Z64" s="86">
        <f t="shared" si="1"/>
        <v>496.79999999999995</v>
      </c>
    </row>
    <row r="65" spans="24:26" ht="16.5" x14ac:dyDescent="0.25">
      <c r="X65" s="83" t="s">
        <v>194</v>
      </c>
      <c r="Y65" s="84" t="str">
        <f t="shared" si="0"/>
        <v>2.5</v>
      </c>
      <c r="Z65" s="86">
        <f t="shared" si="1"/>
        <v>540</v>
      </c>
    </row>
    <row r="66" spans="24:26" ht="16.5" x14ac:dyDescent="0.25">
      <c r="X66" s="83" t="s">
        <v>195</v>
      </c>
      <c r="Y66" s="84" t="str">
        <f t="shared" ref="Y66:Y129" si="2">RIGHT(X66,3)</f>
        <v>1.5</v>
      </c>
      <c r="Z66" s="86">
        <f t="shared" ref="Z66:Z129" si="3">VLOOKUP(LEFT(X66,IF(LEFT(X66,1)="Z",FIND("x",X66,9),FIND("x",X66,7))-1),$AD$1:$AE$24,2,FALSE)*Y66</f>
        <v>354</v>
      </c>
    </row>
    <row r="67" spans="24:26" ht="16.5" x14ac:dyDescent="0.25">
      <c r="X67" s="83" t="s">
        <v>196</v>
      </c>
      <c r="Y67" s="84" t="str">
        <f t="shared" si="2"/>
        <v>1.8</v>
      </c>
      <c r="Z67" s="86">
        <f t="shared" si="3"/>
        <v>424.8</v>
      </c>
    </row>
    <row r="68" spans="24:26" ht="16.5" x14ac:dyDescent="0.25">
      <c r="X68" s="83" t="s">
        <v>197</v>
      </c>
      <c r="Y68" s="84" t="str">
        <f t="shared" si="2"/>
        <v>2.0</v>
      </c>
      <c r="Z68" s="86">
        <f t="shared" si="3"/>
        <v>472</v>
      </c>
    </row>
    <row r="69" spans="24:26" ht="16.5" x14ac:dyDescent="0.25">
      <c r="X69" s="83" t="s">
        <v>198</v>
      </c>
      <c r="Y69" s="84" t="str">
        <f t="shared" si="2"/>
        <v>2.3</v>
      </c>
      <c r="Z69" s="86">
        <f t="shared" si="3"/>
        <v>542.79999999999995</v>
      </c>
    </row>
    <row r="70" spans="24:26" ht="16.5" x14ac:dyDescent="0.25">
      <c r="X70" s="83" t="s">
        <v>199</v>
      </c>
      <c r="Y70" s="84" t="str">
        <f t="shared" si="2"/>
        <v>2.5</v>
      </c>
      <c r="Z70" s="86">
        <f t="shared" si="3"/>
        <v>590</v>
      </c>
    </row>
    <row r="71" spans="24:26" ht="16.5" x14ac:dyDescent="0.25">
      <c r="X71" s="83" t="s">
        <v>200</v>
      </c>
      <c r="Y71" s="84" t="str">
        <f t="shared" si="2"/>
        <v>1.5</v>
      </c>
      <c r="Z71" s="86">
        <f t="shared" si="3"/>
        <v>399</v>
      </c>
    </row>
    <row r="72" spans="24:26" ht="16.5" x14ac:dyDescent="0.25">
      <c r="X72" s="83" t="s">
        <v>201</v>
      </c>
      <c r="Y72" s="84" t="str">
        <f t="shared" si="2"/>
        <v>1.8</v>
      </c>
      <c r="Z72" s="86">
        <f t="shared" si="3"/>
        <v>478.8</v>
      </c>
    </row>
    <row r="73" spans="24:26" ht="16.5" x14ac:dyDescent="0.25">
      <c r="X73" s="83" t="s">
        <v>202</v>
      </c>
      <c r="Y73" s="84" t="str">
        <f t="shared" si="2"/>
        <v>2.0</v>
      </c>
      <c r="Z73" s="86">
        <f t="shared" si="3"/>
        <v>532</v>
      </c>
    </row>
    <row r="74" spans="24:26" ht="16.5" x14ac:dyDescent="0.25">
      <c r="X74" s="83" t="s">
        <v>203</v>
      </c>
      <c r="Y74" s="84" t="str">
        <f t="shared" si="2"/>
        <v>2.3</v>
      </c>
      <c r="Z74" s="86">
        <f t="shared" si="3"/>
        <v>611.79999999999995</v>
      </c>
    </row>
    <row r="75" spans="24:26" ht="16.5" x14ac:dyDescent="0.25">
      <c r="X75" s="83" t="s">
        <v>204</v>
      </c>
      <c r="Y75" s="84" t="str">
        <f t="shared" si="2"/>
        <v>2.5</v>
      </c>
      <c r="Z75" s="86">
        <f t="shared" si="3"/>
        <v>665</v>
      </c>
    </row>
    <row r="76" spans="24:26" ht="16.5" x14ac:dyDescent="0.25">
      <c r="X76" s="83" t="s">
        <v>205</v>
      </c>
      <c r="Y76" s="84" t="str">
        <f t="shared" si="2"/>
        <v>1.5</v>
      </c>
      <c r="Z76" s="86">
        <f t="shared" si="3"/>
        <v>444</v>
      </c>
    </row>
    <row r="77" spans="24:26" ht="16.5" x14ac:dyDescent="0.25">
      <c r="X77" s="83" t="s">
        <v>206</v>
      </c>
      <c r="Y77" s="84" t="str">
        <f t="shared" si="2"/>
        <v>1.8</v>
      </c>
      <c r="Z77" s="86">
        <f t="shared" si="3"/>
        <v>532.80000000000007</v>
      </c>
    </row>
    <row r="78" spans="24:26" ht="16.5" x14ac:dyDescent="0.25">
      <c r="X78" s="83" t="s">
        <v>207</v>
      </c>
      <c r="Y78" s="84" t="str">
        <f t="shared" si="2"/>
        <v>2.0</v>
      </c>
      <c r="Z78" s="86">
        <f t="shared" si="3"/>
        <v>592</v>
      </c>
    </row>
    <row r="79" spans="24:26" ht="16.5" x14ac:dyDescent="0.25">
      <c r="X79" s="83" t="s">
        <v>208</v>
      </c>
      <c r="Y79" s="84" t="str">
        <f t="shared" si="2"/>
        <v>2.3</v>
      </c>
      <c r="Z79" s="86">
        <f t="shared" si="3"/>
        <v>680.8</v>
      </c>
    </row>
    <row r="80" spans="24:26" ht="16.5" x14ac:dyDescent="0.25">
      <c r="X80" s="83" t="s">
        <v>209</v>
      </c>
      <c r="Y80" s="84" t="str">
        <f t="shared" si="2"/>
        <v>2.5</v>
      </c>
      <c r="Z80" s="86">
        <f t="shared" si="3"/>
        <v>740</v>
      </c>
    </row>
    <row r="81" spans="24:26" ht="16.5" x14ac:dyDescent="0.25">
      <c r="X81" s="83" t="s">
        <v>210</v>
      </c>
      <c r="Y81" s="84" t="str">
        <f t="shared" si="2"/>
        <v>1.5</v>
      </c>
      <c r="Z81" s="86">
        <f t="shared" si="3"/>
        <v>474</v>
      </c>
    </row>
    <row r="82" spans="24:26" ht="16.5" x14ac:dyDescent="0.25">
      <c r="X82" s="83" t="s">
        <v>211</v>
      </c>
      <c r="Y82" s="84" t="str">
        <f t="shared" si="2"/>
        <v>1.8</v>
      </c>
      <c r="Z82" s="86">
        <f t="shared" si="3"/>
        <v>568.80000000000007</v>
      </c>
    </row>
    <row r="83" spans="24:26" ht="16.5" x14ac:dyDescent="0.25">
      <c r="X83" s="83" t="s">
        <v>212</v>
      </c>
      <c r="Y83" s="84" t="str">
        <f t="shared" si="2"/>
        <v>2.0</v>
      </c>
      <c r="Z83" s="86">
        <f t="shared" si="3"/>
        <v>632</v>
      </c>
    </row>
    <row r="84" spans="24:26" ht="16.5" x14ac:dyDescent="0.25">
      <c r="X84" s="83" t="s">
        <v>213</v>
      </c>
      <c r="Y84" s="84" t="str">
        <f t="shared" si="2"/>
        <v>2.3</v>
      </c>
      <c r="Z84" s="86">
        <f t="shared" si="3"/>
        <v>726.8</v>
      </c>
    </row>
    <row r="85" spans="24:26" ht="16.5" x14ac:dyDescent="0.25">
      <c r="X85" s="83" t="s">
        <v>214</v>
      </c>
      <c r="Y85" s="84" t="str">
        <f t="shared" si="2"/>
        <v>2.5</v>
      </c>
      <c r="Z85" s="86">
        <f t="shared" si="3"/>
        <v>790</v>
      </c>
    </row>
    <row r="86" spans="24:26" ht="16.5" x14ac:dyDescent="0.25">
      <c r="X86" s="83" t="s">
        <v>215</v>
      </c>
      <c r="Y86" s="84" t="str">
        <f t="shared" si="2"/>
        <v>1.5</v>
      </c>
      <c r="Z86" s="86">
        <f t="shared" si="3"/>
        <v>444</v>
      </c>
    </row>
    <row r="87" spans="24:26" ht="16.5" x14ac:dyDescent="0.25">
      <c r="X87" s="83" t="s">
        <v>216</v>
      </c>
      <c r="Y87" s="84" t="str">
        <f t="shared" si="2"/>
        <v>1.8</v>
      </c>
      <c r="Z87" s="86">
        <f t="shared" si="3"/>
        <v>532.80000000000007</v>
      </c>
    </row>
    <row r="88" spans="24:26" ht="16.5" x14ac:dyDescent="0.25">
      <c r="X88" s="83" t="s">
        <v>217</v>
      </c>
      <c r="Y88" s="84" t="str">
        <f t="shared" si="2"/>
        <v>2.0</v>
      </c>
      <c r="Z88" s="86">
        <f t="shared" si="3"/>
        <v>592</v>
      </c>
    </row>
    <row r="89" spans="24:26" ht="16.5" x14ac:dyDescent="0.25">
      <c r="X89" s="83" t="s">
        <v>218</v>
      </c>
      <c r="Y89" s="84" t="str">
        <f t="shared" si="2"/>
        <v>2.3</v>
      </c>
      <c r="Z89" s="86">
        <f t="shared" si="3"/>
        <v>680.8</v>
      </c>
    </row>
    <row r="90" spans="24:26" ht="16.5" x14ac:dyDescent="0.25">
      <c r="X90" s="83" t="s">
        <v>219</v>
      </c>
      <c r="Y90" s="84" t="str">
        <f t="shared" si="2"/>
        <v>2.5</v>
      </c>
      <c r="Z90" s="86">
        <f t="shared" si="3"/>
        <v>740</v>
      </c>
    </row>
    <row r="91" spans="24:26" ht="16.5" x14ac:dyDescent="0.25">
      <c r="X91" s="83" t="s">
        <v>220</v>
      </c>
      <c r="Y91" s="84" t="str">
        <f t="shared" si="2"/>
        <v>1.5</v>
      </c>
      <c r="Z91" s="86">
        <f t="shared" si="3"/>
        <v>489</v>
      </c>
    </row>
    <row r="92" spans="24:26" ht="16.5" x14ac:dyDescent="0.25">
      <c r="X92" s="83" t="s">
        <v>221</v>
      </c>
      <c r="Y92" s="84" t="str">
        <f t="shared" si="2"/>
        <v>1.8</v>
      </c>
      <c r="Z92" s="86">
        <f t="shared" si="3"/>
        <v>586.80000000000007</v>
      </c>
    </row>
    <row r="93" spans="24:26" ht="16.5" x14ac:dyDescent="0.25">
      <c r="X93" s="83" t="s">
        <v>222</v>
      </c>
      <c r="Y93" s="84" t="str">
        <f t="shared" si="2"/>
        <v>2.0</v>
      </c>
      <c r="Z93" s="86">
        <f t="shared" si="3"/>
        <v>652</v>
      </c>
    </row>
    <row r="94" spans="24:26" ht="16.5" x14ac:dyDescent="0.25">
      <c r="X94" s="83" t="s">
        <v>223</v>
      </c>
      <c r="Y94" s="84" t="str">
        <f t="shared" si="2"/>
        <v>2.3</v>
      </c>
      <c r="Z94" s="86">
        <f t="shared" si="3"/>
        <v>749.8</v>
      </c>
    </row>
    <row r="95" spans="24:26" ht="16.5" x14ac:dyDescent="0.25">
      <c r="X95" s="83" t="s">
        <v>224</v>
      </c>
      <c r="Y95" s="84" t="str">
        <f t="shared" si="2"/>
        <v>2.5</v>
      </c>
      <c r="Z95" s="86">
        <f t="shared" si="3"/>
        <v>815</v>
      </c>
    </row>
    <row r="96" spans="24:26" ht="16.5" x14ac:dyDescent="0.25">
      <c r="X96" s="83" t="s">
        <v>225</v>
      </c>
      <c r="Y96" s="84" t="str">
        <f t="shared" si="2"/>
        <v>1.5</v>
      </c>
      <c r="Z96" s="86">
        <f t="shared" si="3"/>
        <v>474</v>
      </c>
    </row>
    <row r="97" spans="24:26" ht="16.5" x14ac:dyDescent="0.25">
      <c r="X97" s="83" t="s">
        <v>226</v>
      </c>
      <c r="Y97" s="84" t="str">
        <f t="shared" si="2"/>
        <v>1.8</v>
      </c>
      <c r="Z97" s="86">
        <f t="shared" si="3"/>
        <v>568.80000000000007</v>
      </c>
    </row>
    <row r="98" spans="24:26" ht="16.5" x14ac:dyDescent="0.25">
      <c r="X98" s="83" t="s">
        <v>227</v>
      </c>
      <c r="Y98" s="84" t="str">
        <f t="shared" si="2"/>
        <v>2.0</v>
      </c>
      <c r="Z98" s="86">
        <f t="shared" si="3"/>
        <v>632</v>
      </c>
    </row>
    <row r="99" spans="24:26" ht="16.5" x14ac:dyDescent="0.25">
      <c r="X99" s="83" t="s">
        <v>228</v>
      </c>
      <c r="Y99" s="84" t="str">
        <f t="shared" si="2"/>
        <v>2.3</v>
      </c>
      <c r="Z99" s="86">
        <f t="shared" si="3"/>
        <v>726.8</v>
      </c>
    </row>
    <row r="100" spans="24:26" ht="16.5" x14ac:dyDescent="0.25">
      <c r="X100" s="83" t="s">
        <v>229</v>
      </c>
      <c r="Y100" s="84" t="str">
        <f t="shared" si="2"/>
        <v>2.5</v>
      </c>
      <c r="Z100" s="86">
        <f t="shared" si="3"/>
        <v>790</v>
      </c>
    </row>
    <row r="101" spans="24:26" ht="16.5" x14ac:dyDescent="0.25">
      <c r="X101" s="83" t="s">
        <v>230</v>
      </c>
      <c r="Y101" s="84" t="str">
        <f t="shared" si="2"/>
        <v>2.8</v>
      </c>
      <c r="Z101" s="86">
        <f t="shared" si="3"/>
        <v>884.8</v>
      </c>
    </row>
    <row r="102" spans="24:26" ht="16.5" x14ac:dyDescent="0.25">
      <c r="X102" s="83" t="s">
        <v>231</v>
      </c>
      <c r="Y102" s="84" t="str">
        <f t="shared" si="2"/>
        <v>3.0</v>
      </c>
      <c r="Z102" s="86">
        <f t="shared" si="3"/>
        <v>948</v>
      </c>
    </row>
    <row r="103" spans="24:26" ht="16.5" x14ac:dyDescent="0.25">
      <c r="X103" s="83" t="s">
        <v>232</v>
      </c>
      <c r="Y103" s="84" t="str">
        <f t="shared" si="2"/>
        <v>1.5</v>
      </c>
      <c r="Z103" s="86">
        <f t="shared" si="3"/>
        <v>519</v>
      </c>
    </row>
    <row r="104" spans="24:26" ht="16.5" x14ac:dyDescent="0.25">
      <c r="X104" s="83" t="s">
        <v>233</v>
      </c>
      <c r="Y104" s="84" t="str">
        <f t="shared" si="2"/>
        <v>1.8</v>
      </c>
      <c r="Z104" s="86">
        <f t="shared" si="3"/>
        <v>622.80000000000007</v>
      </c>
    </row>
    <row r="105" spans="24:26" ht="16.5" x14ac:dyDescent="0.25">
      <c r="X105" s="83" t="s">
        <v>234</v>
      </c>
      <c r="Y105" s="84" t="str">
        <f t="shared" si="2"/>
        <v>2.0</v>
      </c>
      <c r="Z105" s="86">
        <f t="shared" si="3"/>
        <v>692</v>
      </c>
    </row>
    <row r="106" spans="24:26" ht="16.5" x14ac:dyDescent="0.25">
      <c r="X106" s="83" t="s">
        <v>235</v>
      </c>
      <c r="Y106" s="84" t="str">
        <f t="shared" si="2"/>
        <v>2.3</v>
      </c>
      <c r="Z106" s="86">
        <f t="shared" si="3"/>
        <v>795.8</v>
      </c>
    </row>
    <row r="107" spans="24:26" ht="16.5" x14ac:dyDescent="0.25">
      <c r="X107" s="83" t="s">
        <v>236</v>
      </c>
      <c r="Y107" s="84" t="str">
        <f t="shared" si="2"/>
        <v>2.5</v>
      </c>
      <c r="Z107" s="86">
        <f t="shared" si="3"/>
        <v>865</v>
      </c>
    </row>
    <row r="108" spans="24:26" ht="16.5" x14ac:dyDescent="0.25">
      <c r="X108" s="83" t="s">
        <v>237</v>
      </c>
      <c r="Y108" s="84" t="str">
        <f t="shared" si="2"/>
        <v>2.8</v>
      </c>
      <c r="Z108" s="86">
        <f t="shared" si="3"/>
        <v>968.8</v>
      </c>
    </row>
    <row r="109" spans="24:26" ht="16.5" x14ac:dyDescent="0.25">
      <c r="X109" s="83" t="s">
        <v>238</v>
      </c>
      <c r="Y109" s="84" t="str">
        <f t="shared" si="2"/>
        <v>3.0</v>
      </c>
      <c r="Z109" s="86">
        <f t="shared" si="3"/>
        <v>1038</v>
      </c>
    </row>
    <row r="110" spans="24:26" ht="16.5" x14ac:dyDescent="0.25">
      <c r="X110" s="83" t="s">
        <v>239</v>
      </c>
      <c r="Y110" s="84" t="str">
        <f t="shared" si="2"/>
        <v>1.5</v>
      </c>
      <c r="Z110" s="86">
        <f t="shared" si="3"/>
        <v>534</v>
      </c>
    </row>
    <row r="111" spans="24:26" ht="16.5" x14ac:dyDescent="0.25">
      <c r="X111" s="83" t="s">
        <v>240</v>
      </c>
      <c r="Y111" s="84" t="str">
        <f t="shared" si="2"/>
        <v>1.8</v>
      </c>
      <c r="Z111" s="86">
        <f t="shared" si="3"/>
        <v>640.80000000000007</v>
      </c>
    </row>
    <row r="112" spans="24:26" ht="16.5" x14ac:dyDescent="0.25">
      <c r="X112" s="83" t="s">
        <v>241</v>
      </c>
      <c r="Y112" s="84" t="str">
        <f t="shared" si="2"/>
        <v>2.0</v>
      </c>
      <c r="Z112" s="86">
        <f t="shared" si="3"/>
        <v>712</v>
      </c>
    </row>
    <row r="113" spans="24:26" ht="16.5" x14ac:dyDescent="0.25">
      <c r="X113" s="83" t="s">
        <v>242</v>
      </c>
      <c r="Y113" s="84" t="str">
        <f t="shared" si="2"/>
        <v>2.3</v>
      </c>
      <c r="Z113" s="86">
        <f t="shared" si="3"/>
        <v>818.8</v>
      </c>
    </row>
    <row r="114" spans="24:26" ht="16.5" x14ac:dyDescent="0.25">
      <c r="X114" s="83" t="s">
        <v>243</v>
      </c>
      <c r="Y114" s="84" t="str">
        <f t="shared" si="2"/>
        <v>2.5</v>
      </c>
      <c r="Z114" s="86">
        <f t="shared" si="3"/>
        <v>890</v>
      </c>
    </row>
    <row r="115" spans="24:26" ht="16.5" x14ac:dyDescent="0.25">
      <c r="X115" s="83" t="s">
        <v>244</v>
      </c>
      <c r="Y115" s="84" t="str">
        <f t="shared" si="2"/>
        <v>2.8</v>
      </c>
      <c r="Z115" s="86">
        <f t="shared" si="3"/>
        <v>996.8</v>
      </c>
    </row>
    <row r="116" spans="24:26" ht="16.5" x14ac:dyDescent="0.25">
      <c r="X116" s="83" t="s">
        <v>245</v>
      </c>
      <c r="Y116" s="84" t="str">
        <f t="shared" si="2"/>
        <v>3.0</v>
      </c>
      <c r="Z116" s="86">
        <f t="shared" si="3"/>
        <v>1068</v>
      </c>
    </row>
    <row r="117" spans="24:26" ht="16.5" x14ac:dyDescent="0.25">
      <c r="X117" s="83" t="s">
        <v>246</v>
      </c>
      <c r="Y117" s="84" t="str">
        <f t="shared" si="2"/>
        <v>1.5</v>
      </c>
      <c r="Z117" s="86">
        <f t="shared" si="3"/>
        <v>624</v>
      </c>
    </row>
    <row r="118" spans="24:26" ht="16.5" x14ac:dyDescent="0.25">
      <c r="X118" s="83" t="s">
        <v>247</v>
      </c>
      <c r="Y118" s="84" t="str">
        <f t="shared" si="2"/>
        <v>1.8</v>
      </c>
      <c r="Z118" s="86">
        <f t="shared" si="3"/>
        <v>748.80000000000007</v>
      </c>
    </row>
    <row r="119" spans="24:26" ht="16.5" x14ac:dyDescent="0.25">
      <c r="X119" s="83" t="s">
        <v>248</v>
      </c>
      <c r="Y119" s="84" t="str">
        <f t="shared" si="2"/>
        <v>2.0</v>
      </c>
      <c r="Z119" s="86">
        <f t="shared" si="3"/>
        <v>832</v>
      </c>
    </row>
    <row r="120" spans="24:26" ht="16.5" x14ac:dyDescent="0.25">
      <c r="X120" s="83" t="s">
        <v>249</v>
      </c>
      <c r="Y120" s="84" t="str">
        <f t="shared" si="2"/>
        <v>2.3</v>
      </c>
      <c r="Z120" s="86">
        <f t="shared" si="3"/>
        <v>956.8</v>
      </c>
    </row>
    <row r="121" spans="24:26" ht="16.5" x14ac:dyDescent="0.25">
      <c r="X121" s="83" t="s">
        <v>250</v>
      </c>
      <c r="Y121" s="84" t="str">
        <f t="shared" si="2"/>
        <v>2.5</v>
      </c>
      <c r="Z121" s="86">
        <f t="shared" si="3"/>
        <v>1040</v>
      </c>
    </row>
    <row r="122" spans="24:26" ht="16.5" x14ac:dyDescent="0.25">
      <c r="X122" s="83" t="s">
        <v>251</v>
      </c>
      <c r="Y122" s="84" t="str">
        <f t="shared" si="2"/>
        <v>2.8</v>
      </c>
      <c r="Z122" s="86">
        <f t="shared" si="3"/>
        <v>1164.8</v>
      </c>
    </row>
    <row r="123" spans="24:26" ht="16.5" x14ac:dyDescent="0.25">
      <c r="X123" s="83" t="s">
        <v>252</v>
      </c>
      <c r="Y123" s="84" t="str">
        <f t="shared" si="2"/>
        <v>3.0</v>
      </c>
      <c r="Z123" s="86">
        <f t="shared" si="3"/>
        <v>1248</v>
      </c>
    </row>
    <row r="124" spans="24:26" ht="16.5" x14ac:dyDescent="0.25">
      <c r="X124" s="83" t="s">
        <v>253</v>
      </c>
      <c r="Y124" s="84" t="str">
        <f t="shared" si="2"/>
        <v>1.5</v>
      </c>
      <c r="Z124" s="86">
        <f t="shared" si="3"/>
        <v>594</v>
      </c>
    </row>
    <row r="125" spans="24:26" ht="16.5" x14ac:dyDescent="0.25">
      <c r="X125" s="83" t="s">
        <v>254</v>
      </c>
      <c r="Y125" s="84" t="str">
        <f t="shared" si="2"/>
        <v>1.8</v>
      </c>
      <c r="Z125" s="86">
        <f t="shared" si="3"/>
        <v>712.80000000000007</v>
      </c>
    </row>
    <row r="126" spans="24:26" ht="16.5" x14ac:dyDescent="0.25">
      <c r="X126" s="83" t="s">
        <v>255</v>
      </c>
      <c r="Y126" s="84" t="str">
        <f t="shared" si="2"/>
        <v>2.0</v>
      </c>
      <c r="Z126" s="86">
        <f t="shared" si="3"/>
        <v>792</v>
      </c>
    </row>
    <row r="127" spans="24:26" ht="16.5" x14ac:dyDescent="0.25">
      <c r="X127" s="83" t="s">
        <v>256</v>
      </c>
      <c r="Y127" s="84" t="str">
        <f t="shared" si="2"/>
        <v>2.3</v>
      </c>
      <c r="Z127" s="86">
        <f t="shared" si="3"/>
        <v>910.8</v>
      </c>
    </row>
    <row r="128" spans="24:26" ht="16.5" x14ac:dyDescent="0.25">
      <c r="X128" s="83" t="s">
        <v>257</v>
      </c>
      <c r="Y128" s="84" t="str">
        <f t="shared" si="2"/>
        <v>2.5</v>
      </c>
      <c r="Z128" s="86">
        <f t="shared" si="3"/>
        <v>990</v>
      </c>
    </row>
    <row r="129" spans="24:26" ht="16.5" x14ac:dyDescent="0.25">
      <c r="X129" s="83" t="s">
        <v>258</v>
      </c>
      <c r="Y129" s="84" t="str">
        <f t="shared" si="2"/>
        <v>2.8</v>
      </c>
      <c r="Z129" s="86">
        <f t="shared" si="3"/>
        <v>1108.8</v>
      </c>
    </row>
    <row r="130" spans="24:26" ht="16.5" x14ac:dyDescent="0.25">
      <c r="X130" s="83" t="s">
        <v>259</v>
      </c>
      <c r="Y130" s="84" t="str">
        <f t="shared" ref="Y130:Y136" si="4">RIGHT(X130,3)</f>
        <v>3.0</v>
      </c>
      <c r="Z130" s="86">
        <f t="shared" ref="Z130:Z136" si="5">VLOOKUP(LEFT(X130,IF(LEFT(X130,1)="Z",FIND("x",X130,9),FIND("x",X130,7))-1),$AD$1:$AE$24,2,FALSE)*Y130</f>
        <v>1188</v>
      </c>
    </row>
    <row r="131" spans="24:26" ht="16.5" x14ac:dyDescent="0.25">
      <c r="X131" s="83" t="s">
        <v>260</v>
      </c>
      <c r="Y131" s="84" t="str">
        <f t="shared" si="4"/>
        <v>1.8</v>
      </c>
      <c r="Z131" s="86">
        <f t="shared" si="5"/>
        <v>802.80000000000007</v>
      </c>
    </row>
    <row r="132" spans="24:26" ht="16.5" x14ac:dyDescent="0.25">
      <c r="X132" s="83" t="s">
        <v>261</v>
      </c>
      <c r="Y132" s="84" t="str">
        <f t="shared" si="4"/>
        <v>2.0</v>
      </c>
      <c r="Z132" s="86">
        <f t="shared" si="5"/>
        <v>892</v>
      </c>
    </row>
    <row r="133" spans="24:26" ht="16.5" x14ac:dyDescent="0.25">
      <c r="X133" s="83" t="s">
        <v>262</v>
      </c>
      <c r="Y133" s="84" t="str">
        <f t="shared" si="4"/>
        <v>2.3</v>
      </c>
      <c r="Z133" s="86">
        <f t="shared" si="5"/>
        <v>1025.8</v>
      </c>
    </row>
    <row r="134" spans="24:26" ht="16.5" x14ac:dyDescent="0.25">
      <c r="X134" s="83" t="s">
        <v>263</v>
      </c>
      <c r="Y134" s="84" t="str">
        <f t="shared" si="4"/>
        <v>2.5</v>
      </c>
      <c r="Z134" s="86">
        <f t="shared" si="5"/>
        <v>1115</v>
      </c>
    </row>
    <row r="135" spans="24:26" ht="16.5" x14ac:dyDescent="0.25">
      <c r="X135" s="83" t="s">
        <v>264</v>
      </c>
      <c r="Y135" s="84" t="str">
        <f t="shared" si="4"/>
        <v>2.8</v>
      </c>
      <c r="Z135" s="86">
        <f t="shared" si="5"/>
        <v>1248.8</v>
      </c>
    </row>
    <row r="136" spans="24:26" ht="16.5" x14ac:dyDescent="0.25">
      <c r="X136" s="83" t="s">
        <v>265</v>
      </c>
      <c r="Y136" s="84" t="str">
        <f t="shared" si="4"/>
        <v>3.0</v>
      </c>
      <c r="Z136" s="86">
        <f t="shared" si="5"/>
        <v>1338</v>
      </c>
    </row>
  </sheetData>
  <mergeCells count="2">
    <mergeCell ref="E1:E2"/>
    <mergeCell ref="G1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43A1-B77B-45BB-9CBF-35FADB2E06B2}">
  <sheetPr codeName="Sheet7">
    <tabColor rgb="FF0070C0"/>
  </sheetPr>
  <dimension ref="A1:P19"/>
  <sheetViews>
    <sheetView showGridLines="0" zoomScale="175" zoomScaleNormal="175" workbookViewId="0">
      <selection activeCell="G15" sqref="G15"/>
    </sheetView>
  </sheetViews>
  <sheetFormatPr defaultRowHeight="15" x14ac:dyDescent="0.25"/>
  <cols>
    <col min="1" max="4" width="7.28515625" customWidth="1"/>
    <col min="5" max="5" width="2.140625" style="11" customWidth="1"/>
    <col min="11" max="11" width="2.140625" style="11" customWidth="1"/>
  </cols>
  <sheetData>
    <row r="1" spans="1:16" x14ac:dyDescent="0.25">
      <c r="A1" s="97" t="s">
        <v>56</v>
      </c>
      <c r="B1" s="97"/>
      <c r="C1" s="97"/>
      <c r="D1" s="97"/>
      <c r="E1" s="17"/>
      <c r="F1" s="105" t="s">
        <v>97</v>
      </c>
      <c r="G1" s="106"/>
      <c r="H1" s="106"/>
      <c r="I1" s="106"/>
      <c r="J1" s="107"/>
      <c r="K1" s="17"/>
      <c r="L1" t="s">
        <v>72</v>
      </c>
      <c r="O1" t="s">
        <v>92</v>
      </c>
      <c r="P1" t="s">
        <v>95</v>
      </c>
    </row>
    <row r="2" spans="1:16" x14ac:dyDescent="0.25">
      <c r="A2" s="37" t="s">
        <v>31</v>
      </c>
      <c r="B2" s="37" t="s">
        <v>63</v>
      </c>
      <c r="C2" s="37" t="s">
        <v>31</v>
      </c>
      <c r="D2" s="58" t="s">
        <v>64</v>
      </c>
      <c r="E2" s="18"/>
      <c r="F2" s="108"/>
      <c r="G2" s="109"/>
      <c r="H2" s="109"/>
      <c r="I2" s="109"/>
      <c r="J2" s="110"/>
      <c r="K2" s="18"/>
      <c r="L2" t="s">
        <v>81</v>
      </c>
      <c r="O2" t="s">
        <v>93</v>
      </c>
      <c r="P2" t="s">
        <v>96</v>
      </c>
    </row>
    <row r="3" spans="1:16" x14ac:dyDescent="0.25">
      <c r="A3" s="3" t="s">
        <v>32</v>
      </c>
      <c r="B3" s="3">
        <v>8000</v>
      </c>
      <c r="C3" s="3" t="s">
        <v>16</v>
      </c>
      <c r="D3" s="7">
        <v>9000</v>
      </c>
      <c r="E3" s="16"/>
      <c r="F3" s="111" t="s">
        <v>78</v>
      </c>
      <c r="G3" s="31" t="s">
        <v>125</v>
      </c>
      <c r="H3" s="99" t="s">
        <v>84</v>
      </c>
      <c r="I3" s="99"/>
      <c r="J3" s="99"/>
      <c r="K3" s="16"/>
      <c r="L3" t="s">
        <v>83</v>
      </c>
      <c r="O3" t="s">
        <v>94</v>
      </c>
      <c r="P3" t="s">
        <v>94</v>
      </c>
    </row>
    <row r="4" spans="1:16" x14ac:dyDescent="0.25">
      <c r="A4" s="3" t="s">
        <v>33</v>
      </c>
      <c r="B4" s="3">
        <v>8000</v>
      </c>
      <c r="C4" s="3" t="s">
        <v>17</v>
      </c>
      <c r="D4" s="7">
        <v>9000</v>
      </c>
      <c r="E4" s="16"/>
      <c r="F4" s="111"/>
      <c r="G4" s="31" t="s">
        <v>126</v>
      </c>
      <c r="H4" s="99"/>
      <c r="I4" s="99"/>
      <c r="J4" s="99"/>
      <c r="K4" s="16"/>
      <c r="L4" t="s">
        <v>84</v>
      </c>
    </row>
    <row r="5" spans="1:16" x14ac:dyDescent="0.25">
      <c r="A5" s="3" t="s">
        <v>34</v>
      </c>
      <c r="B5" s="3">
        <v>8000</v>
      </c>
      <c r="C5" s="3" t="s">
        <v>18</v>
      </c>
      <c r="D5" s="7">
        <v>9000</v>
      </c>
      <c r="E5" s="16"/>
      <c r="F5" s="98" t="s">
        <v>12</v>
      </c>
      <c r="G5" s="98"/>
      <c r="H5" s="99">
        <v>200</v>
      </c>
      <c r="I5" s="99"/>
      <c r="J5" s="99"/>
      <c r="K5" s="16"/>
      <c r="L5" t="s">
        <v>86</v>
      </c>
    </row>
    <row r="6" spans="1:16" x14ac:dyDescent="0.25">
      <c r="A6" s="3" t="s">
        <v>35</v>
      </c>
      <c r="B6" s="3">
        <v>8000</v>
      </c>
      <c r="C6" s="3" t="s">
        <v>19</v>
      </c>
      <c r="D6" s="7">
        <v>9000</v>
      </c>
      <c r="E6" s="16"/>
      <c r="F6" s="100" t="s">
        <v>90</v>
      </c>
      <c r="G6" s="100"/>
      <c r="H6" s="102" t="s">
        <v>94</v>
      </c>
      <c r="I6" s="103"/>
      <c r="J6" s="104"/>
      <c r="K6" s="16"/>
      <c r="L6" t="s">
        <v>87</v>
      </c>
    </row>
    <row r="7" spans="1:16" x14ac:dyDescent="0.25">
      <c r="A7" s="3" t="s">
        <v>36</v>
      </c>
      <c r="B7" s="3">
        <v>8000</v>
      </c>
      <c r="C7" s="3" t="s">
        <v>20</v>
      </c>
      <c r="D7" s="7">
        <v>9000</v>
      </c>
      <c r="E7" s="16"/>
      <c r="F7" s="100" t="s">
        <v>91</v>
      </c>
      <c r="G7" s="100"/>
      <c r="H7" s="102" t="s">
        <v>94</v>
      </c>
      <c r="I7" s="103"/>
      <c r="J7" s="104"/>
      <c r="K7" s="16"/>
      <c r="L7" t="s">
        <v>88</v>
      </c>
    </row>
    <row r="8" spans="1:16" x14ac:dyDescent="0.25">
      <c r="A8" s="3" t="s">
        <v>37</v>
      </c>
      <c r="B8" s="3">
        <v>8000</v>
      </c>
      <c r="C8" s="3" t="s">
        <v>21</v>
      </c>
      <c r="D8" s="7">
        <v>9000</v>
      </c>
      <c r="E8" s="16"/>
      <c r="K8" s="16"/>
      <c r="L8" t="s">
        <v>30</v>
      </c>
    </row>
    <row r="9" spans="1:16" x14ac:dyDescent="0.25">
      <c r="A9" s="3" t="s">
        <v>38</v>
      </c>
      <c r="B9" s="3">
        <v>8000</v>
      </c>
      <c r="C9" s="3" t="s">
        <v>22</v>
      </c>
      <c r="D9" s="7"/>
      <c r="E9" s="16"/>
      <c r="F9" s="101" t="s">
        <v>447</v>
      </c>
      <c r="G9" s="101"/>
      <c r="H9" s="101"/>
      <c r="I9" s="101"/>
      <c r="J9" s="101"/>
      <c r="K9" s="16"/>
    </row>
    <row r="10" spans="1:16" x14ac:dyDescent="0.25">
      <c r="A10" s="3" t="s">
        <v>39</v>
      </c>
      <c r="B10" s="3">
        <v>8000</v>
      </c>
      <c r="C10" s="3"/>
      <c r="D10" s="7"/>
      <c r="E10" s="16"/>
      <c r="F10" s="101"/>
      <c r="G10" s="101"/>
      <c r="H10" s="101"/>
      <c r="I10" s="101"/>
      <c r="J10" s="101"/>
      <c r="K10" s="16"/>
    </row>
    <row r="11" spans="1:16" x14ac:dyDescent="0.25">
      <c r="A11" s="3" t="s">
        <v>40</v>
      </c>
      <c r="B11" s="3">
        <v>8000</v>
      </c>
      <c r="C11" s="3"/>
      <c r="D11" s="7"/>
      <c r="E11" s="16"/>
      <c r="F11" s="101"/>
      <c r="G11" s="101"/>
      <c r="H11" s="101"/>
      <c r="I11" s="101"/>
      <c r="J11" s="101"/>
      <c r="K11" s="16"/>
    </row>
    <row r="12" spans="1:16" x14ac:dyDescent="0.25">
      <c r="A12" s="3" t="s">
        <v>41</v>
      </c>
      <c r="B12" s="3">
        <v>8000</v>
      </c>
      <c r="C12" s="3"/>
      <c r="D12" s="7"/>
      <c r="E12" s="16"/>
      <c r="F12" s="101"/>
      <c r="G12" s="101"/>
      <c r="H12" s="101"/>
      <c r="I12" s="101"/>
      <c r="J12" s="101"/>
      <c r="K12" s="16"/>
      <c r="L12" t="s">
        <v>98</v>
      </c>
    </row>
    <row r="13" spans="1:16" x14ac:dyDescent="0.25">
      <c r="A13" s="3" t="s">
        <v>42</v>
      </c>
      <c r="B13" s="3">
        <v>8000</v>
      </c>
      <c r="C13" s="3"/>
      <c r="D13" s="7"/>
      <c r="E13" s="16"/>
      <c r="K13" s="16"/>
      <c r="L13" t="s">
        <v>85</v>
      </c>
    </row>
    <row r="14" spans="1:16" x14ac:dyDescent="0.25">
      <c r="A14" s="3" t="s">
        <v>43</v>
      </c>
      <c r="B14" s="3"/>
      <c r="C14" s="3"/>
      <c r="D14" s="7"/>
      <c r="E14" s="16"/>
      <c r="K14" s="16"/>
      <c r="L14" t="s">
        <v>89</v>
      </c>
    </row>
    <row r="15" spans="1:16" x14ac:dyDescent="0.25">
      <c r="A15" s="3"/>
      <c r="B15" s="3"/>
      <c r="C15" s="3"/>
      <c r="D15" s="7"/>
      <c r="E15" s="16"/>
      <c r="K15" s="16"/>
      <c r="L15" t="s">
        <v>80</v>
      </c>
    </row>
    <row r="16" spans="1:16" x14ac:dyDescent="0.25">
      <c r="A16" s="3"/>
      <c r="B16" s="3"/>
      <c r="C16" s="3"/>
      <c r="D16" s="7"/>
      <c r="E16" s="16"/>
      <c r="K16" s="16"/>
      <c r="L16" t="s">
        <v>82</v>
      </c>
    </row>
    <row r="17" spans="1:12" x14ac:dyDescent="0.25">
      <c r="A17" s="3"/>
      <c r="B17" s="3"/>
      <c r="C17" s="3"/>
      <c r="D17" s="7"/>
      <c r="E17" s="16"/>
      <c r="K17" s="16"/>
      <c r="L17" t="s">
        <v>79</v>
      </c>
    </row>
    <row r="18" spans="1:12" x14ac:dyDescent="0.25">
      <c r="A18" s="3"/>
      <c r="B18" s="3"/>
      <c r="C18" s="3"/>
      <c r="D18" s="7"/>
      <c r="E18" s="16"/>
      <c r="K18" s="16"/>
    </row>
    <row r="19" spans="1:12" x14ac:dyDescent="0.25">
      <c r="A19" s="3"/>
      <c r="B19" s="3"/>
      <c r="C19" s="3"/>
      <c r="D19" s="7"/>
      <c r="E19" s="16"/>
      <c r="K19" s="16"/>
    </row>
  </sheetData>
  <mergeCells count="12">
    <mergeCell ref="F9:J12"/>
    <mergeCell ref="F7:G7"/>
    <mergeCell ref="H6:J6"/>
    <mergeCell ref="H7:J7"/>
    <mergeCell ref="F1:J2"/>
    <mergeCell ref="F3:F4"/>
    <mergeCell ref="H4:J4"/>
    <mergeCell ref="A1:D1"/>
    <mergeCell ref="F5:G5"/>
    <mergeCell ref="H5:J5"/>
    <mergeCell ref="H3:J3"/>
    <mergeCell ref="F6:G6"/>
  </mergeCells>
  <dataValidations count="3">
    <dataValidation type="list" allowBlank="1" showInputMessage="1" showErrorMessage="1" sqref="H6:J6" xr:uid="{D129F0C7-BF21-4EF1-92AF-8EDE396E98B6}">
      <formula1>$P$1:$P$3</formula1>
    </dataValidation>
    <dataValidation type="list" allowBlank="1" showInputMessage="1" showErrorMessage="1" sqref="H7:J7" xr:uid="{AC6CC5ED-7B5B-4271-ADD1-3DE0BC2E328F}">
      <formula1>$O$1:$O$3</formula1>
    </dataValidation>
    <dataValidation type="list" allowBlank="1" showInputMessage="1" showErrorMessage="1" sqref="H3:J4" xr:uid="{306BEEBC-977C-4DEF-8581-C5A1695F2428}">
      <formula1>$L:$L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C46B8-803F-45EA-B2DD-5F306234A3C5}">
  <sheetPr codeName="Sheet5">
    <tabColor rgb="FF0070C0"/>
  </sheetPr>
  <dimension ref="A1:T51"/>
  <sheetViews>
    <sheetView showGridLines="0" zoomScale="145" zoomScaleNormal="145" workbookViewId="0">
      <selection activeCell="E19" sqref="E19:I22"/>
    </sheetView>
  </sheetViews>
  <sheetFormatPr defaultRowHeight="15" x14ac:dyDescent="0.25"/>
  <cols>
    <col min="1" max="4" width="7.28515625" customWidth="1"/>
    <col min="5" max="5" width="13.85546875" bestFit="1" customWidth="1"/>
    <col min="6" max="6" width="10" bestFit="1" customWidth="1"/>
    <col min="9" max="9" width="9.140625" customWidth="1"/>
    <col min="12" max="12" width="10" bestFit="1" customWidth="1"/>
    <col min="15" max="15" width="11.140625" bestFit="1" customWidth="1"/>
  </cols>
  <sheetData>
    <row r="1" spans="1:20" ht="15" customHeight="1" x14ac:dyDescent="0.25">
      <c r="A1" s="97" t="s">
        <v>56</v>
      </c>
      <c r="B1" s="97"/>
      <c r="C1" s="97"/>
      <c r="D1" s="97"/>
      <c r="E1" s="113" t="s">
        <v>97</v>
      </c>
      <c r="F1" s="113"/>
      <c r="G1" s="113"/>
      <c r="H1" s="113"/>
      <c r="J1" s="119" t="s">
        <v>103</v>
      </c>
      <c r="K1" s="120"/>
      <c r="L1" s="120"/>
      <c r="M1" s="120"/>
      <c r="N1" s="120"/>
      <c r="O1" s="120"/>
      <c r="P1" s="120"/>
      <c r="Q1" s="120"/>
      <c r="R1" s="120"/>
      <c r="S1" s="120"/>
      <c r="T1" s="121"/>
    </row>
    <row r="2" spans="1:20" ht="15" customHeight="1" x14ac:dyDescent="0.25">
      <c r="A2" s="37" t="s">
        <v>31</v>
      </c>
      <c r="B2" s="37" t="s">
        <v>63</v>
      </c>
      <c r="C2" s="37" t="s">
        <v>31</v>
      </c>
      <c r="D2" s="58" t="s">
        <v>64</v>
      </c>
      <c r="E2" s="113"/>
      <c r="F2" s="113"/>
      <c r="G2" s="113"/>
      <c r="H2" s="113"/>
      <c r="J2" s="122"/>
      <c r="K2" s="123"/>
      <c r="L2" s="123"/>
      <c r="M2" s="123"/>
      <c r="N2" s="123"/>
      <c r="O2" s="123"/>
      <c r="P2" s="123"/>
      <c r="Q2" s="123"/>
      <c r="R2" s="123"/>
      <c r="S2" s="123"/>
      <c r="T2" s="124"/>
    </row>
    <row r="3" spans="1:20" ht="15" customHeight="1" x14ac:dyDescent="0.25">
      <c r="A3" s="3" t="s">
        <v>32</v>
      </c>
      <c r="B3" s="3">
        <v>8000</v>
      </c>
      <c r="C3" s="3" t="s">
        <v>16</v>
      </c>
      <c r="D3" s="3">
        <v>8000</v>
      </c>
      <c r="E3" s="92" t="s">
        <v>12</v>
      </c>
      <c r="F3" s="92"/>
      <c r="G3" s="92"/>
      <c r="H3" s="15">
        <v>200</v>
      </c>
      <c r="J3" s="118" t="s">
        <v>105</v>
      </c>
      <c r="K3" s="118"/>
      <c r="L3" s="22">
        <v>1</v>
      </c>
      <c r="M3" s="22">
        <v>4</v>
      </c>
      <c r="N3" s="22">
        <v>8</v>
      </c>
      <c r="O3" s="22">
        <v>11</v>
      </c>
      <c r="P3" s="22"/>
      <c r="Q3" s="22"/>
      <c r="R3" s="22"/>
      <c r="S3" s="22"/>
      <c r="T3" s="22"/>
    </row>
    <row r="4" spans="1:20" ht="15" customHeight="1" x14ac:dyDescent="0.25">
      <c r="A4" s="3" t="s">
        <v>33</v>
      </c>
      <c r="B4" s="3">
        <v>8000</v>
      </c>
      <c r="C4" s="3" t="s">
        <v>17</v>
      </c>
      <c r="D4" s="3">
        <v>9000</v>
      </c>
      <c r="E4" s="92" t="s">
        <v>57</v>
      </c>
      <c r="F4" s="92"/>
      <c r="G4" s="92"/>
      <c r="H4" s="15" t="s">
        <v>58</v>
      </c>
    </row>
    <row r="5" spans="1:20" ht="15" customHeight="1" x14ac:dyDescent="0.25">
      <c r="A5" s="3" t="s">
        <v>34</v>
      </c>
      <c r="B5" s="3">
        <v>8000</v>
      </c>
      <c r="C5" s="3" t="s">
        <v>18</v>
      </c>
      <c r="D5" s="3">
        <v>9000</v>
      </c>
      <c r="E5" s="112" t="s">
        <v>104</v>
      </c>
      <c r="F5" s="112"/>
      <c r="G5" s="4" t="s">
        <v>44</v>
      </c>
      <c r="H5" s="3">
        <v>250</v>
      </c>
    </row>
    <row r="6" spans="1:20" ht="15" customHeight="1" x14ac:dyDescent="0.25">
      <c r="A6" s="3" t="s">
        <v>35</v>
      </c>
      <c r="B6" s="3">
        <v>8000</v>
      </c>
      <c r="C6" s="3" t="s">
        <v>19</v>
      </c>
      <c r="D6" s="3">
        <v>9000</v>
      </c>
      <c r="E6" s="112"/>
      <c r="F6" s="112"/>
      <c r="G6" s="4" t="s">
        <v>45</v>
      </c>
      <c r="H6" s="3">
        <f>H5</f>
        <v>250</v>
      </c>
    </row>
    <row r="7" spans="1:20" ht="15" customHeight="1" x14ac:dyDescent="0.25">
      <c r="A7" s="3" t="s">
        <v>36</v>
      </c>
      <c r="B7" s="3">
        <v>8000</v>
      </c>
      <c r="C7" s="3" t="s">
        <v>20</v>
      </c>
      <c r="D7" s="3">
        <v>9000</v>
      </c>
      <c r="E7" s="112"/>
      <c r="F7" s="112"/>
      <c r="G7" s="4" t="s">
        <v>46</v>
      </c>
      <c r="H7" s="3">
        <v>0</v>
      </c>
    </row>
    <row r="8" spans="1:20" ht="15" customHeight="1" x14ac:dyDescent="0.25">
      <c r="A8" s="3" t="s">
        <v>37</v>
      </c>
      <c r="B8" s="3">
        <v>8000</v>
      </c>
      <c r="C8" s="3" t="s">
        <v>21</v>
      </c>
      <c r="D8" s="3">
        <v>8000</v>
      </c>
      <c r="E8" s="112"/>
      <c r="F8" s="112"/>
      <c r="G8" s="4" t="s">
        <v>47</v>
      </c>
      <c r="H8" s="3">
        <v>0</v>
      </c>
    </row>
    <row r="9" spans="1:20" ht="15" customHeight="1" x14ac:dyDescent="0.25">
      <c r="A9" s="3" t="s">
        <v>38</v>
      </c>
      <c r="B9" s="3">
        <v>8000</v>
      </c>
      <c r="C9" s="3" t="s">
        <v>22</v>
      </c>
      <c r="D9" s="3"/>
      <c r="E9" s="93"/>
      <c r="F9" s="125"/>
      <c r="G9" s="125"/>
      <c r="H9" s="94"/>
    </row>
    <row r="10" spans="1:20" ht="15" customHeight="1" x14ac:dyDescent="0.25">
      <c r="A10" s="3" t="s">
        <v>39</v>
      </c>
      <c r="B10" s="3">
        <v>8000</v>
      </c>
      <c r="C10" s="3"/>
      <c r="D10" s="3"/>
    </row>
    <row r="11" spans="1:20" ht="15" customHeight="1" x14ac:dyDescent="0.25">
      <c r="A11" s="3" t="s">
        <v>40</v>
      </c>
      <c r="B11" s="3">
        <v>8000</v>
      </c>
      <c r="C11" s="3"/>
      <c r="D11" s="3"/>
    </row>
    <row r="12" spans="1:20" ht="15" customHeight="1" x14ac:dyDescent="0.25">
      <c r="A12" s="3" t="s">
        <v>41</v>
      </c>
      <c r="B12" s="3">
        <v>8000</v>
      </c>
      <c r="C12" s="3"/>
      <c r="D12" s="7"/>
      <c r="E12" s="91" t="s">
        <v>72</v>
      </c>
      <c r="F12" s="91"/>
      <c r="G12" s="89" t="s">
        <v>115</v>
      </c>
      <c r="H12" s="89" t="s">
        <v>114</v>
      </c>
      <c r="I12" s="126" t="s">
        <v>395</v>
      </c>
      <c r="J12" s="126" t="s">
        <v>396</v>
      </c>
    </row>
    <row r="13" spans="1:20" ht="15" customHeight="1" x14ac:dyDescent="0.25">
      <c r="A13" s="3" t="s">
        <v>42</v>
      </c>
      <c r="B13" s="3">
        <v>8000</v>
      </c>
      <c r="C13" s="3"/>
      <c r="D13" s="7"/>
      <c r="E13" s="91"/>
      <c r="F13" s="91"/>
      <c r="G13" s="89"/>
      <c r="H13" s="89"/>
      <c r="I13" s="126"/>
      <c r="J13" s="126"/>
    </row>
    <row r="14" spans="1:20" ht="15" customHeight="1" x14ac:dyDescent="0.25">
      <c r="A14" s="3" t="s">
        <v>43</v>
      </c>
      <c r="B14" s="3"/>
      <c r="C14" s="3"/>
      <c r="D14" s="7"/>
      <c r="E14" s="77" t="s">
        <v>76</v>
      </c>
      <c r="F14" s="23" t="s">
        <v>73</v>
      </c>
      <c r="G14" s="78" t="s">
        <v>106</v>
      </c>
      <c r="H14" s="78" t="s">
        <v>106</v>
      </c>
      <c r="I14" s="114"/>
      <c r="J14" s="115"/>
    </row>
    <row r="15" spans="1:20" ht="15" customHeight="1" x14ac:dyDescent="0.25">
      <c r="A15" s="3"/>
      <c r="B15" s="3"/>
      <c r="C15" s="3"/>
      <c r="D15" s="7"/>
      <c r="E15" s="77" t="s">
        <v>77</v>
      </c>
      <c r="F15" s="23" t="s">
        <v>23</v>
      </c>
      <c r="G15" s="60" t="s">
        <v>109</v>
      </c>
      <c r="H15" s="60" t="s">
        <v>109</v>
      </c>
      <c r="I15" s="116"/>
      <c r="J15" s="117"/>
    </row>
    <row r="16" spans="1:20" ht="15" customHeight="1" x14ac:dyDescent="0.25">
      <c r="A16" s="3"/>
      <c r="B16" s="3"/>
      <c r="C16" s="3"/>
      <c r="D16" s="7"/>
      <c r="E16" s="77" t="s">
        <v>60</v>
      </c>
      <c r="F16" s="23" t="s">
        <v>116</v>
      </c>
      <c r="G16" s="79" t="s">
        <v>111</v>
      </c>
      <c r="H16" s="79" t="s">
        <v>111</v>
      </c>
      <c r="I16" s="31" t="s">
        <v>397</v>
      </c>
      <c r="J16" s="3">
        <v>20</v>
      </c>
    </row>
    <row r="17" spans="1:12" ht="15" customHeight="1" x14ac:dyDescent="0.25">
      <c r="A17" s="3"/>
      <c r="B17" s="3"/>
      <c r="C17" s="3"/>
      <c r="D17" s="7"/>
      <c r="E17" s="77" t="s">
        <v>74</v>
      </c>
      <c r="F17" s="23" t="s">
        <v>61</v>
      </c>
      <c r="G17" s="80" t="s">
        <v>112</v>
      </c>
      <c r="H17" s="80" t="s">
        <v>112</v>
      </c>
      <c r="I17" s="31" t="s">
        <v>398</v>
      </c>
      <c r="J17" s="3" t="s">
        <v>399</v>
      </c>
    </row>
    <row r="18" spans="1:12" ht="15" customHeight="1" x14ac:dyDescent="0.25">
      <c r="A18" s="3"/>
      <c r="B18" s="3"/>
      <c r="C18" s="3"/>
      <c r="D18" s="3"/>
    </row>
    <row r="19" spans="1:12" ht="15" customHeight="1" x14ac:dyDescent="0.25">
      <c r="A19" s="3"/>
      <c r="B19" s="3"/>
      <c r="C19" s="3"/>
      <c r="D19" s="3"/>
      <c r="E19" s="90" t="s">
        <v>447</v>
      </c>
      <c r="F19" s="90"/>
      <c r="G19" s="90"/>
      <c r="H19" s="90"/>
      <c r="I19" s="90"/>
    </row>
    <row r="20" spans="1:12" ht="15" customHeight="1" x14ac:dyDescent="0.25">
      <c r="A20" s="21"/>
      <c r="B20" s="21"/>
      <c r="C20" s="21"/>
      <c r="D20" s="21"/>
      <c r="E20" s="90"/>
      <c r="F20" s="90"/>
      <c r="G20" s="90"/>
      <c r="H20" s="90"/>
      <c r="I20" s="90"/>
    </row>
    <row r="21" spans="1:12" ht="15" customHeight="1" x14ac:dyDescent="0.25">
      <c r="A21" s="21"/>
      <c r="B21" s="21"/>
      <c r="C21" s="21"/>
      <c r="D21" s="21"/>
      <c r="E21" s="90"/>
      <c r="F21" s="90"/>
      <c r="G21" s="90"/>
      <c r="H21" s="90"/>
      <c r="I21" s="90"/>
    </row>
    <row r="22" spans="1:12" ht="15" customHeight="1" x14ac:dyDescent="0.25">
      <c r="A22" s="21"/>
      <c r="B22" s="21"/>
      <c r="C22" s="21"/>
      <c r="D22" s="21"/>
      <c r="E22" s="90"/>
      <c r="F22" s="90"/>
      <c r="G22" s="90"/>
      <c r="H22" s="90"/>
      <c r="I22" s="90"/>
    </row>
    <row r="23" spans="1:12" ht="15" customHeight="1" x14ac:dyDescent="0.25">
      <c r="A23" s="21"/>
      <c r="B23" s="21"/>
      <c r="C23" s="21"/>
      <c r="D23" s="21"/>
    </row>
    <row r="24" spans="1:12" ht="15" customHeight="1" x14ac:dyDescent="0.25">
      <c r="A24" s="21"/>
      <c r="B24" s="21"/>
      <c r="C24" s="21"/>
      <c r="D24" s="21"/>
    </row>
    <row r="25" spans="1:12" ht="15" customHeight="1" x14ac:dyDescent="0.25">
      <c r="A25" s="21"/>
      <c r="B25" s="21"/>
      <c r="C25" s="21"/>
      <c r="D25" s="21"/>
    </row>
    <row r="26" spans="1:12" ht="15" customHeight="1" x14ac:dyDescent="0.25">
      <c r="A26" s="21"/>
      <c r="B26" s="21"/>
      <c r="C26" s="21"/>
      <c r="D26" s="21"/>
    </row>
    <row r="27" spans="1:12" ht="15" customHeight="1" x14ac:dyDescent="0.25">
      <c r="A27" s="21"/>
      <c r="B27" s="21"/>
      <c r="C27" s="21"/>
      <c r="D27" s="21"/>
    </row>
    <row r="28" spans="1:12" ht="15" customHeight="1" x14ac:dyDescent="0.25">
      <c r="A28" s="21"/>
      <c r="B28" s="21"/>
      <c r="C28" s="21"/>
      <c r="D28" s="21"/>
    </row>
    <row r="29" spans="1:12" ht="15" customHeight="1" x14ac:dyDescent="0.25">
      <c r="A29" s="21"/>
      <c r="B29" s="21"/>
      <c r="C29" s="21"/>
      <c r="D29" s="21"/>
      <c r="F29" s="9"/>
      <c r="G29" s="9"/>
      <c r="H29" s="9"/>
      <c r="J29" s="9"/>
      <c r="L29" s="8"/>
    </row>
    <row r="30" spans="1:12" ht="15" customHeight="1" x14ac:dyDescent="0.25">
      <c r="A30" s="21"/>
      <c r="B30" s="21"/>
      <c r="C30" s="21"/>
      <c r="D30" s="21"/>
      <c r="E30" s="14"/>
    </row>
    <row r="31" spans="1:12" ht="15" customHeight="1" x14ac:dyDescent="0.25"/>
    <row r="32" spans="1:12" ht="15" customHeight="1" x14ac:dyDescent="0.25"/>
    <row r="33" spans="12:12" ht="15" customHeight="1" x14ac:dyDescent="0.25"/>
    <row r="34" spans="12:12" ht="15" customHeight="1" x14ac:dyDescent="0.25"/>
    <row r="35" spans="12:12" ht="15" customHeight="1" x14ac:dyDescent="0.25"/>
    <row r="36" spans="12:12" ht="15" customHeight="1" x14ac:dyDescent="0.25"/>
    <row r="37" spans="12:12" ht="15" customHeight="1" x14ac:dyDescent="0.25"/>
    <row r="38" spans="12:12" ht="15" customHeight="1" x14ac:dyDescent="0.25"/>
    <row r="39" spans="12:12" ht="15" customHeight="1" x14ac:dyDescent="0.25"/>
    <row r="40" spans="12:12" ht="15" customHeight="1" x14ac:dyDescent="0.25"/>
    <row r="41" spans="12:12" ht="15" customHeight="1" x14ac:dyDescent="0.25">
      <c r="L41" s="8"/>
    </row>
    <row r="42" spans="12:12" ht="15" customHeight="1" x14ac:dyDescent="0.25">
      <c r="L42" s="8"/>
    </row>
    <row r="43" spans="12:12" ht="15" customHeight="1" x14ac:dyDescent="0.25">
      <c r="L43" s="8"/>
    </row>
    <row r="44" spans="12:12" x14ac:dyDescent="0.25">
      <c r="L44" s="8"/>
    </row>
    <row r="45" spans="12:12" x14ac:dyDescent="0.25">
      <c r="L45" s="8"/>
    </row>
    <row r="46" spans="12:12" x14ac:dyDescent="0.25">
      <c r="L46" s="8"/>
    </row>
    <row r="47" spans="12:12" x14ac:dyDescent="0.25">
      <c r="L47" s="8"/>
    </row>
    <row r="48" spans="12:12" x14ac:dyDescent="0.25">
      <c r="L48" s="8"/>
    </row>
    <row r="49" spans="12:12" x14ac:dyDescent="0.25">
      <c r="L49" s="10"/>
    </row>
    <row r="50" spans="12:12" x14ac:dyDescent="0.25">
      <c r="L50" s="10"/>
    </row>
    <row r="51" spans="12:12" x14ac:dyDescent="0.25">
      <c r="L51" s="10"/>
    </row>
  </sheetData>
  <mergeCells count="15">
    <mergeCell ref="E19:I22"/>
    <mergeCell ref="I14:J15"/>
    <mergeCell ref="J3:K3"/>
    <mergeCell ref="J1:T2"/>
    <mergeCell ref="E12:F13"/>
    <mergeCell ref="E9:H9"/>
    <mergeCell ref="E3:G3"/>
    <mergeCell ref="I12:I13"/>
    <mergeCell ref="J12:J13"/>
    <mergeCell ref="A1:D1"/>
    <mergeCell ref="E4:G4"/>
    <mergeCell ref="E5:F8"/>
    <mergeCell ref="E1:H2"/>
    <mergeCell ref="G12:G13"/>
    <mergeCell ref="H12:H13"/>
  </mergeCells>
  <dataValidations count="4">
    <dataValidation type="list" allowBlank="1" showInputMessage="1" showErrorMessage="1" sqref="I23" xr:uid="{C04A55D2-3AA3-486B-84ED-8F7BF1498B48}">
      <formula1>"4,6,8,10,12"</formula1>
    </dataValidation>
    <dataValidation type="list" allowBlank="1" showInputMessage="1" showErrorMessage="1" sqref="O7" xr:uid="{6E8FA92C-2E6F-4B09-A139-5DC917B7DC5F}">
      <formula1>"Y,N"</formula1>
    </dataValidation>
    <dataValidation type="list" allowBlank="1" showInputMessage="1" showErrorMessage="1" sqref="I24:L24" xr:uid="{A3F4D123-3FFA-46EB-8653-AFFD622554DC}">
      <formula1>$C$3:$C$19</formula1>
    </dataValidation>
    <dataValidation type="list" allowBlank="1" showInputMessage="1" showErrorMessage="1" sqref="H4" xr:uid="{00DB2278-F47F-4E9A-8A8C-4E3176351EAF}">
      <formula1>"Y"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90F44D-A1AC-426F-BADE-BC695168E115}">
          <x14:formula1>
            <xm:f>Data!$K$3:$K$9</xm:f>
          </x14:formula1>
          <xm:sqref>G14:H17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00AD8-3CC7-4EEB-BC46-63F60FE0307E}">
  <sheetPr codeName="Sheet8">
    <tabColor rgb="FF0070C0"/>
  </sheetPr>
  <dimension ref="A1:AB51"/>
  <sheetViews>
    <sheetView showGridLines="0" tabSelected="1" topLeftCell="D1" zoomScale="145" zoomScaleNormal="145" workbookViewId="0">
      <selection activeCell="AB18" sqref="AB18"/>
    </sheetView>
  </sheetViews>
  <sheetFormatPr defaultRowHeight="15" x14ac:dyDescent="0.25"/>
  <cols>
    <col min="1" max="4" width="7.28515625" style="180" customWidth="1"/>
    <col min="5" max="6" width="9.140625" style="180" customWidth="1"/>
    <col min="7" max="10" width="9.140625" style="180"/>
    <col min="11" max="11" width="17.7109375" style="180" bestFit="1" customWidth="1"/>
    <col min="12" max="12" width="9.140625" style="180"/>
    <col min="13" max="13" width="2.85546875" style="179" customWidth="1"/>
    <col min="14" max="22" width="9.140625" style="180" hidden="1" customWidth="1"/>
    <col min="23" max="25" width="9.140625" style="180"/>
    <col min="26" max="26" width="2.85546875" style="179" customWidth="1"/>
    <col min="27" max="16384" width="9.140625" style="180"/>
  </cols>
  <sheetData>
    <row r="1" spans="1:28" ht="15" customHeight="1" x14ac:dyDescent="0.25">
      <c r="A1" s="172" t="s">
        <v>56</v>
      </c>
      <c r="B1" s="173"/>
      <c r="C1" s="173"/>
      <c r="D1" s="173"/>
      <c r="E1" s="174"/>
      <c r="F1" s="175" t="s">
        <v>97</v>
      </c>
      <c r="G1" s="175"/>
      <c r="H1" s="175"/>
      <c r="I1" s="176" t="s">
        <v>75</v>
      </c>
      <c r="J1" s="177"/>
      <c r="K1" s="177"/>
      <c r="L1" s="178"/>
      <c r="W1" s="181" t="s">
        <v>117</v>
      </c>
      <c r="X1" s="181"/>
      <c r="Y1" s="182"/>
      <c r="AA1" s="175" t="s">
        <v>128</v>
      </c>
      <c r="AB1" s="175"/>
    </row>
    <row r="2" spans="1:28" ht="15" customHeight="1" x14ac:dyDescent="0.25">
      <c r="A2" s="183" t="s">
        <v>31</v>
      </c>
      <c r="B2" s="183" t="s">
        <v>63</v>
      </c>
      <c r="C2" s="183" t="s">
        <v>31</v>
      </c>
      <c r="D2" s="184" t="s">
        <v>64</v>
      </c>
      <c r="E2" s="184" t="s">
        <v>407</v>
      </c>
      <c r="F2" s="175"/>
      <c r="G2" s="175"/>
      <c r="H2" s="175"/>
      <c r="I2" s="185"/>
      <c r="J2" s="186"/>
      <c r="K2" s="186"/>
      <c r="L2" s="187"/>
      <c r="W2" s="188"/>
      <c r="X2" s="188"/>
      <c r="Y2" s="189"/>
      <c r="AA2" s="183" t="s">
        <v>119</v>
      </c>
      <c r="AB2" s="183" t="s">
        <v>120</v>
      </c>
    </row>
    <row r="3" spans="1:28" ht="15" customHeight="1" x14ac:dyDescent="0.25">
      <c r="A3" s="190" t="s">
        <v>32</v>
      </c>
      <c r="B3" s="190">
        <v>7000</v>
      </c>
      <c r="C3" s="190" t="s">
        <v>16</v>
      </c>
      <c r="D3" s="190">
        <v>8000</v>
      </c>
      <c r="E3" s="190">
        <v>500</v>
      </c>
      <c r="F3" s="191" t="s">
        <v>104</v>
      </c>
      <c r="G3" s="192" t="s">
        <v>44</v>
      </c>
      <c r="H3" s="190">
        <v>250</v>
      </c>
      <c r="I3" s="193" t="s">
        <v>268</v>
      </c>
      <c r="J3" s="194"/>
      <c r="K3" s="195"/>
      <c r="L3" s="196">
        <v>1200</v>
      </c>
      <c r="W3" s="197" t="s">
        <v>118</v>
      </c>
      <c r="X3" s="198"/>
      <c r="Y3" s="199" t="s">
        <v>449</v>
      </c>
      <c r="AA3" s="200">
        <v>6000</v>
      </c>
      <c r="AB3" s="242">
        <v>1</v>
      </c>
    </row>
    <row r="4" spans="1:28" ht="15" customHeight="1" x14ac:dyDescent="0.25">
      <c r="A4" s="190" t="s">
        <v>33</v>
      </c>
      <c r="B4" s="190">
        <v>8000</v>
      </c>
      <c r="C4" s="190" t="s">
        <v>17</v>
      </c>
      <c r="D4" s="190">
        <v>9000</v>
      </c>
      <c r="E4" s="190">
        <v>600</v>
      </c>
      <c r="F4" s="191"/>
      <c r="G4" s="192" t="s">
        <v>45</v>
      </c>
      <c r="H4" s="190">
        <f>H3</f>
        <v>250</v>
      </c>
      <c r="I4" s="202" t="s">
        <v>76</v>
      </c>
      <c r="J4" s="203"/>
      <c r="K4" s="204" t="s">
        <v>159</v>
      </c>
      <c r="L4" s="196">
        <v>6.3680000000000003</v>
      </c>
      <c r="W4" s="205" t="s">
        <v>102</v>
      </c>
      <c r="X4" s="192" t="s">
        <v>99</v>
      </c>
      <c r="Y4" s="206" t="s">
        <v>17</v>
      </c>
      <c r="AA4" s="200">
        <v>9000</v>
      </c>
      <c r="AB4" s="242">
        <v>2</v>
      </c>
    </row>
    <row r="5" spans="1:28" ht="15" customHeight="1" x14ac:dyDescent="0.25">
      <c r="A5" s="190" t="s">
        <v>34</v>
      </c>
      <c r="B5" s="190">
        <v>8000</v>
      </c>
      <c r="C5" s="190" t="s">
        <v>18</v>
      </c>
      <c r="D5" s="190">
        <v>9000</v>
      </c>
      <c r="E5" s="190">
        <v>600</v>
      </c>
      <c r="F5" s="191"/>
      <c r="G5" s="192" t="s">
        <v>46</v>
      </c>
      <c r="H5" s="190">
        <v>0</v>
      </c>
      <c r="I5" s="207" t="s">
        <v>267</v>
      </c>
      <c r="J5" s="208"/>
      <c r="K5" s="204" t="s">
        <v>158</v>
      </c>
      <c r="L5" s="196">
        <v>5.5369999999999999</v>
      </c>
      <c r="W5" s="205"/>
      <c r="X5" s="192" t="s">
        <v>100</v>
      </c>
      <c r="Y5" s="206" t="s">
        <v>21</v>
      </c>
      <c r="AA5" s="200">
        <v>12000</v>
      </c>
      <c r="AB5" s="242">
        <v>3</v>
      </c>
    </row>
    <row r="6" spans="1:28" x14ac:dyDescent="0.25">
      <c r="A6" s="190" t="s">
        <v>35</v>
      </c>
      <c r="B6" s="190">
        <v>8000</v>
      </c>
      <c r="C6" s="190" t="s">
        <v>19</v>
      </c>
      <c r="D6" s="190">
        <v>9000</v>
      </c>
      <c r="E6" s="190">
        <v>600</v>
      </c>
      <c r="F6" s="191"/>
      <c r="G6" s="192" t="s">
        <v>47</v>
      </c>
      <c r="H6" s="190">
        <v>0</v>
      </c>
      <c r="I6" s="207" t="s">
        <v>448</v>
      </c>
      <c r="J6" s="208"/>
      <c r="K6" s="209">
        <v>1</v>
      </c>
      <c r="L6" s="210">
        <v>12</v>
      </c>
      <c r="W6" s="211" t="s">
        <v>269</v>
      </c>
      <c r="X6" s="197"/>
      <c r="Y6" s="212">
        <v>5000</v>
      </c>
      <c r="AA6" s="200">
        <v>15000</v>
      </c>
      <c r="AB6" s="242">
        <v>4</v>
      </c>
    </row>
    <row r="7" spans="1:28" ht="15" customHeight="1" x14ac:dyDescent="0.25">
      <c r="A7" s="190" t="s">
        <v>36</v>
      </c>
      <c r="B7" s="190">
        <v>8000</v>
      </c>
      <c r="C7" s="190" t="s">
        <v>20</v>
      </c>
      <c r="D7" s="190">
        <v>9000</v>
      </c>
      <c r="E7" s="190">
        <v>600</v>
      </c>
      <c r="F7" s="213" t="s">
        <v>12</v>
      </c>
      <c r="G7" s="213"/>
      <c r="H7" s="214">
        <v>200</v>
      </c>
      <c r="I7" s="194" t="s">
        <v>127</v>
      </c>
      <c r="J7" s="215"/>
      <c r="K7" s="216" t="s">
        <v>35</v>
      </c>
      <c r="L7" s="190">
        <v>0</v>
      </c>
      <c r="W7" s="217" t="s">
        <v>158</v>
      </c>
      <c r="X7" s="218"/>
      <c r="Y7" s="212">
        <v>1200</v>
      </c>
      <c r="AA7" s="200">
        <v>18000</v>
      </c>
      <c r="AB7" s="242">
        <v>5</v>
      </c>
    </row>
    <row r="8" spans="1:28" ht="15" customHeight="1" thickBot="1" x14ac:dyDescent="0.3">
      <c r="A8" s="190" t="s">
        <v>37</v>
      </c>
      <c r="B8" s="190">
        <v>8000</v>
      </c>
      <c r="C8" s="190" t="s">
        <v>21</v>
      </c>
      <c r="D8" s="190">
        <v>8000</v>
      </c>
      <c r="E8" s="190">
        <v>600</v>
      </c>
      <c r="I8" s="213" t="s">
        <v>400</v>
      </c>
      <c r="J8" s="213"/>
      <c r="K8" s="201" t="s">
        <v>401</v>
      </c>
      <c r="L8" s="200" t="s">
        <v>405</v>
      </c>
      <c r="W8" s="219" t="s">
        <v>101</v>
      </c>
      <c r="X8" s="219"/>
      <c r="Y8" s="220"/>
      <c r="AA8" s="221" t="s">
        <v>452</v>
      </c>
      <c r="AB8" s="221"/>
    </row>
    <row r="9" spans="1:28" ht="15" customHeight="1" x14ac:dyDescent="0.25">
      <c r="A9" s="190" t="s">
        <v>38</v>
      </c>
      <c r="B9" s="190">
        <v>8000</v>
      </c>
      <c r="C9" s="190" t="s">
        <v>22</v>
      </c>
      <c r="D9" s="190"/>
      <c r="E9" s="190">
        <v>600</v>
      </c>
      <c r="I9" s="213"/>
      <c r="J9" s="213"/>
      <c r="K9" s="201" t="s">
        <v>402</v>
      </c>
      <c r="L9" s="200">
        <v>300</v>
      </c>
      <c r="AA9" s="222"/>
      <c r="AB9" s="222"/>
    </row>
    <row r="10" spans="1:28" ht="15" customHeight="1" x14ac:dyDescent="0.25">
      <c r="A10" s="190" t="s">
        <v>39</v>
      </c>
      <c r="B10" s="190">
        <v>8000</v>
      </c>
      <c r="C10" s="190"/>
      <c r="D10" s="190"/>
      <c r="E10" s="190">
        <v>600</v>
      </c>
      <c r="I10" s="213"/>
      <c r="J10" s="213"/>
      <c r="K10" s="200" t="s">
        <v>404</v>
      </c>
      <c r="L10" s="200" t="s">
        <v>403</v>
      </c>
      <c r="AA10" s="222"/>
      <c r="AB10" s="222"/>
    </row>
    <row r="11" spans="1:28" ht="15" customHeight="1" x14ac:dyDescent="0.25">
      <c r="A11" s="190" t="s">
        <v>40</v>
      </c>
      <c r="B11" s="190">
        <v>8000</v>
      </c>
      <c r="C11" s="190"/>
      <c r="D11" s="190"/>
      <c r="E11" s="190">
        <v>600</v>
      </c>
      <c r="I11" s="223" t="s">
        <v>451</v>
      </c>
      <c r="J11" s="223"/>
      <c r="K11" s="223"/>
      <c r="L11" s="223"/>
      <c r="AA11" s="222"/>
      <c r="AB11" s="222"/>
    </row>
    <row r="12" spans="1:28" ht="15" customHeight="1" x14ac:dyDescent="0.25">
      <c r="A12" s="190" t="s">
        <v>41</v>
      </c>
      <c r="B12" s="190">
        <v>8000</v>
      </c>
      <c r="C12" s="190"/>
      <c r="D12" s="190"/>
      <c r="E12" s="190">
        <v>600</v>
      </c>
      <c r="I12" s="224"/>
      <c r="J12" s="224"/>
      <c r="K12" s="224"/>
      <c r="L12" s="224"/>
    </row>
    <row r="13" spans="1:28" ht="15" customHeight="1" x14ac:dyDescent="0.25">
      <c r="A13" s="190" t="s">
        <v>42</v>
      </c>
      <c r="B13" s="190">
        <v>7000</v>
      </c>
      <c r="C13" s="190"/>
      <c r="D13" s="190"/>
      <c r="E13" s="190">
        <v>500</v>
      </c>
      <c r="F13" s="225" t="s">
        <v>406</v>
      </c>
      <c r="G13" s="226"/>
      <c r="H13" s="227"/>
      <c r="I13" s="224"/>
      <c r="J13" s="224"/>
      <c r="K13" s="224"/>
      <c r="L13" s="224"/>
    </row>
    <row r="14" spans="1:28" ht="15" customHeight="1" x14ac:dyDescent="0.25">
      <c r="A14" s="190" t="s">
        <v>43</v>
      </c>
      <c r="B14" s="190"/>
      <c r="C14" s="190"/>
      <c r="D14" s="190"/>
      <c r="E14" s="190"/>
      <c r="F14" s="228"/>
      <c r="G14" s="229"/>
      <c r="H14" s="230"/>
      <c r="I14" s="224"/>
      <c r="J14" s="224"/>
      <c r="K14" s="224"/>
      <c r="L14" s="224"/>
    </row>
    <row r="15" spans="1:28" ht="15" customHeight="1" x14ac:dyDescent="0.25">
      <c r="A15" s="190"/>
      <c r="B15" s="190"/>
      <c r="C15" s="190"/>
      <c r="D15" s="190"/>
      <c r="E15" s="190"/>
      <c r="F15" s="231" t="s">
        <v>123</v>
      </c>
      <c r="G15" s="232"/>
      <c r="H15" s="233" t="s">
        <v>110</v>
      </c>
    </row>
    <row r="16" spans="1:28" ht="15" customHeight="1" x14ac:dyDescent="0.25">
      <c r="A16" s="190"/>
      <c r="B16" s="190"/>
      <c r="C16" s="190"/>
      <c r="D16" s="190"/>
      <c r="E16" s="190"/>
      <c r="F16" s="231" t="s">
        <v>10</v>
      </c>
      <c r="G16" s="232"/>
      <c r="H16" s="234" t="s">
        <v>108</v>
      </c>
    </row>
    <row r="17" spans="1:15" ht="15" customHeight="1" x14ac:dyDescent="0.25">
      <c r="A17" s="190"/>
      <c r="B17" s="190"/>
      <c r="C17" s="190"/>
      <c r="D17" s="190"/>
      <c r="E17" s="190"/>
      <c r="F17" s="231" t="s">
        <v>124</v>
      </c>
      <c r="G17" s="232"/>
      <c r="H17" s="235" t="s">
        <v>113</v>
      </c>
    </row>
    <row r="18" spans="1:15" ht="15" customHeight="1" x14ac:dyDescent="0.25">
      <c r="A18" s="190"/>
      <c r="B18" s="190"/>
      <c r="C18" s="190"/>
      <c r="D18" s="190"/>
      <c r="E18" s="190"/>
    </row>
    <row r="19" spans="1:15" ht="15" customHeight="1" x14ac:dyDescent="0.25">
      <c r="A19" s="190"/>
      <c r="B19" s="190"/>
      <c r="C19" s="190"/>
      <c r="D19" s="190"/>
      <c r="E19" s="190"/>
      <c r="F19" s="236" t="s">
        <v>447</v>
      </c>
      <c r="G19" s="236"/>
      <c r="H19" s="236"/>
      <c r="I19" s="236"/>
      <c r="J19" s="236"/>
      <c r="K19" s="237"/>
      <c r="L19" s="237"/>
      <c r="O19" s="237"/>
    </row>
    <row r="20" spans="1:15" ht="15" customHeight="1" x14ac:dyDescent="0.25">
      <c r="A20" s="238"/>
      <c r="B20" s="238"/>
      <c r="C20" s="238"/>
      <c r="D20" s="238"/>
      <c r="E20" s="238"/>
      <c r="F20" s="236"/>
      <c r="G20" s="236"/>
      <c r="H20" s="236"/>
      <c r="I20" s="236"/>
      <c r="J20" s="236"/>
      <c r="K20" s="237"/>
      <c r="L20" s="237"/>
      <c r="O20" s="237"/>
    </row>
    <row r="21" spans="1:15" ht="15" customHeight="1" x14ac:dyDescent="0.25">
      <c r="A21" s="238"/>
      <c r="B21" s="238"/>
      <c r="C21" s="238"/>
      <c r="D21" s="238"/>
      <c r="E21" s="238"/>
      <c r="F21" s="236"/>
      <c r="G21" s="236"/>
      <c r="H21" s="236"/>
      <c r="I21" s="236"/>
      <c r="J21" s="236"/>
    </row>
    <row r="22" spans="1:15" ht="15" customHeight="1" x14ac:dyDescent="0.25">
      <c r="A22" s="238"/>
      <c r="B22" s="238"/>
      <c r="C22" s="238"/>
      <c r="D22" s="238"/>
      <c r="E22" s="238"/>
      <c r="F22" s="236"/>
      <c r="G22" s="236"/>
      <c r="H22" s="236"/>
      <c r="I22" s="236"/>
      <c r="J22" s="236"/>
    </row>
    <row r="23" spans="1:15" ht="15" customHeight="1" x14ac:dyDescent="0.25">
      <c r="A23" s="238"/>
      <c r="B23" s="238"/>
      <c r="C23" s="238"/>
      <c r="D23" s="238"/>
      <c r="E23" s="238"/>
    </row>
    <row r="24" spans="1:15" ht="15" customHeight="1" x14ac:dyDescent="0.25">
      <c r="A24" s="238"/>
      <c r="B24" s="238"/>
      <c r="C24" s="238"/>
      <c r="D24" s="238"/>
      <c r="E24" s="238"/>
    </row>
    <row r="25" spans="1:15" ht="15" customHeight="1" x14ac:dyDescent="0.25">
      <c r="A25" s="238"/>
      <c r="B25" s="238"/>
      <c r="C25" s="238"/>
      <c r="D25" s="238"/>
      <c r="E25" s="238"/>
    </row>
    <row r="26" spans="1:15" ht="15" customHeight="1" x14ac:dyDescent="0.25">
      <c r="A26" s="238"/>
      <c r="B26" s="238"/>
      <c r="C26" s="238"/>
      <c r="D26" s="238"/>
      <c r="E26" s="238"/>
    </row>
    <row r="27" spans="1:15" ht="15" customHeight="1" x14ac:dyDescent="0.25">
      <c r="A27" s="238"/>
      <c r="B27" s="238"/>
      <c r="C27" s="238"/>
      <c r="D27" s="238"/>
      <c r="E27" s="238"/>
    </row>
    <row r="28" spans="1:15" ht="15" customHeight="1" x14ac:dyDescent="0.25">
      <c r="A28" s="238"/>
      <c r="B28" s="238"/>
      <c r="C28" s="238"/>
      <c r="D28" s="238"/>
      <c r="E28" s="238"/>
    </row>
    <row r="29" spans="1:15" ht="15" customHeight="1" x14ac:dyDescent="0.25">
      <c r="A29" s="238"/>
      <c r="B29" s="238"/>
      <c r="C29" s="238"/>
      <c r="D29" s="238"/>
      <c r="E29" s="238"/>
      <c r="F29" s="239"/>
      <c r="G29" s="239"/>
      <c r="H29" s="239"/>
      <c r="I29" s="239"/>
      <c r="K29" s="240"/>
    </row>
    <row r="30" spans="1:15" ht="15" customHeight="1" x14ac:dyDescent="0.25">
      <c r="A30" s="238"/>
      <c r="B30" s="238"/>
      <c r="C30" s="238"/>
      <c r="D30" s="238"/>
      <c r="E30" s="238"/>
    </row>
    <row r="31" spans="1:15" ht="15" customHeight="1" x14ac:dyDescent="0.25"/>
    <row r="32" spans="1:15" ht="15" customHeight="1" x14ac:dyDescent="0.25"/>
    <row r="33" spans="11:11" ht="15" customHeight="1" x14ac:dyDescent="0.25"/>
    <row r="34" spans="11:11" ht="15" customHeight="1" x14ac:dyDescent="0.25"/>
    <row r="35" spans="11:11" ht="15" customHeight="1" x14ac:dyDescent="0.25"/>
    <row r="36" spans="11:11" ht="15" customHeight="1" x14ac:dyDescent="0.25"/>
    <row r="37" spans="11:11" ht="15" customHeight="1" x14ac:dyDescent="0.25"/>
    <row r="38" spans="11:11" ht="15" customHeight="1" x14ac:dyDescent="0.25"/>
    <row r="39" spans="11:11" ht="15" customHeight="1" x14ac:dyDescent="0.25"/>
    <row r="40" spans="11:11" ht="15" customHeight="1" x14ac:dyDescent="0.25"/>
    <row r="41" spans="11:11" ht="15" customHeight="1" x14ac:dyDescent="0.25">
      <c r="K41" s="240"/>
    </row>
    <row r="42" spans="11:11" ht="15" customHeight="1" x14ac:dyDescent="0.25">
      <c r="K42" s="240"/>
    </row>
    <row r="43" spans="11:11" ht="15" customHeight="1" x14ac:dyDescent="0.25">
      <c r="K43" s="240"/>
    </row>
    <row r="44" spans="11:11" x14ac:dyDescent="0.25">
      <c r="K44" s="240"/>
    </row>
    <row r="45" spans="11:11" x14ac:dyDescent="0.25">
      <c r="K45" s="240"/>
    </row>
    <row r="46" spans="11:11" x14ac:dyDescent="0.25">
      <c r="K46" s="240"/>
    </row>
    <row r="47" spans="11:11" x14ac:dyDescent="0.25">
      <c r="K47" s="240"/>
    </row>
    <row r="48" spans="11:11" x14ac:dyDescent="0.25">
      <c r="K48" s="240"/>
    </row>
    <row r="49" spans="11:11" x14ac:dyDescent="0.25">
      <c r="K49" s="241"/>
    </row>
    <row r="50" spans="11:11" x14ac:dyDescent="0.25">
      <c r="K50" s="241"/>
    </row>
    <row r="51" spans="11:11" x14ac:dyDescent="0.25">
      <c r="K51" s="241"/>
    </row>
  </sheetData>
  <sheetProtection sheet="1" formatCells="0" formatColumns="0" formatRows="0" insertColumns="0" insertRows="0" insertHyperlinks="0" deleteColumns="0" deleteRows="0" sort="0" autoFilter="0" pivotTables="0"/>
  <mergeCells count="27">
    <mergeCell ref="I11:L14"/>
    <mergeCell ref="AA8:AB11"/>
    <mergeCell ref="F19:J22"/>
    <mergeCell ref="AA1:AB1"/>
    <mergeCell ref="I1:L1"/>
    <mergeCell ref="W1:Y1"/>
    <mergeCell ref="W2:Y2"/>
    <mergeCell ref="I2:L2"/>
    <mergeCell ref="W3:X3"/>
    <mergeCell ref="W8:Y8"/>
    <mergeCell ref="W6:X6"/>
    <mergeCell ref="W4:W5"/>
    <mergeCell ref="W7:X7"/>
    <mergeCell ref="F17:G17"/>
    <mergeCell ref="F16:G16"/>
    <mergeCell ref="F15:G15"/>
    <mergeCell ref="F13:H14"/>
    <mergeCell ref="A1:E1"/>
    <mergeCell ref="I8:J10"/>
    <mergeCell ref="F3:F6"/>
    <mergeCell ref="F1:H2"/>
    <mergeCell ref="F7:G7"/>
    <mergeCell ref="I3:J3"/>
    <mergeCell ref="I7:J7"/>
    <mergeCell ref="I4:J4"/>
    <mergeCell ref="I5:J5"/>
    <mergeCell ref="I6:J6"/>
  </mergeCells>
  <conditionalFormatting sqref="A3:A30">
    <cfRule type="expression" dxfId="3" priority="20" stopIfTrue="1">
      <formula>AND($K$7&lt;&gt;"",A3=$K$7)</formula>
    </cfRule>
  </conditionalFormatting>
  <dataValidations count="7">
    <dataValidation type="list" allowBlank="1" showInputMessage="1" showErrorMessage="1" sqref="Y3" xr:uid="{BC1F432A-356A-4104-90A3-7ABEA8396C9D}">
      <formula1>"Y,N"</formula1>
    </dataValidation>
    <dataValidation type="list" allowBlank="1" showInputMessage="1" showErrorMessage="1" sqref="I24:K24" xr:uid="{2CA13153-D535-40B1-AD7D-CDBF87CDEA7F}">
      <formula1>$C$3:$C$19</formula1>
    </dataValidation>
    <dataValidation type="list" allowBlank="1" showInputMessage="1" showErrorMessage="1" sqref="L8" xr:uid="{15E450F9-09B1-4A81-B615-839F276127CF}">
      <formula1>"Không,So le,Tất cả"</formula1>
    </dataValidation>
    <dataValidation type="list" allowBlank="1" showInputMessage="1" showErrorMessage="1" sqref="K10" xr:uid="{0C3A4D28-A411-4776-A9EA-9F9B595EA8CC}">
      <formula1>"1V,2V"</formula1>
    </dataValidation>
    <dataValidation type="list" allowBlank="1" showInputMessage="1" showErrorMessage="1" sqref="K6" xr:uid="{F168C8D5-08D9-4399-AA2C-22F6FE843840}">
      <formula1>"1,2"</formula1>
    </dataValidation>
    <dataValidation type="list" allowBlank="1" showInputMessage="1" showErrorMessage="1" errorTitle="Truc dinh mai" error="Chon ten truc thuoc cot A (xa go // truc X) hoac cot C (xa go // truc Y)." sqref="K7" xr:uid="{FE2D4BAC-62C7-47F5-B959-066160B220E2}">
      <formula1>DS_TrucDinhMai</formula1>
    </dataValidation>
    <dataValidation type="list" allowBlank="1" showInputMessage="1" showErrorMessage="1" sqref="Y4:Y5" xr:uid="{BA292C80-2226-4CB4-BA6E-E4577744EAC8}">
      <formula1>IF(COUNTIF($A$3:$A$30,$K$7)&gt;0,$C$3:$C$30,$A$3:$A$30)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64E28954-8BCE-4362-9383-6B3FA1233CFD}">
            <xm:f>NOT(ISERROR(SEARCH($K$7,C2)))</xm:f>
            <xm:f>$K$7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C2:C1048576</xm:sqref>
        </x14:conditionalFormatting>
        <x14:conditionalFormatting xmlns:xm="http://schemas.microsoft.com/office/excel/2006/main">
          <x14:cfRule type="containsText" priority="18" operator="containsText" id="{42CB0193-7B55-4833-A87E-9549A384AB5B}">
            <xm:f>NOT(ISERROR(SEARCH($Y$5,A3)))</xm:f>
            <xm:f>$Y$5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19" operator="containsText" id="{3FD7A528-A03E-4D45-A510-E9223F558717}">
            <xm:f>NOT(ISERROR(SEARCH($Y$4,A3)))</xm:f>
            <xm:f>$Y$4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A3:A30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C431DC8-6E86-4A1D-AC14-84AD0F881F92}">
          <x14:formula1>
            <xm:f>Data!$K$3:$K$11</xm:f>
          </x14:formula1>
          <xm:sqref>H15:H17</xm:sqref>
        </x14:dataValidation>
        <x14:dataValidation type="list" allowBlank="1" showInputMessage="1" showErrorMessage="1" xr:uid="{B7FF7AA3-1A82-4BB8-84A3-070C2686B997}">
          <x14:formula1>
            <xm:f>Data!$AA$1:$AA$2</xm:f>
          </x14:formula1>
          <xm:sqref>I4:J4</xm:sqref>
        </x14:dataValidation>
        <x14:dataValidation type="list" allowBlank="1" showInputMessage="1" showErrorMessage="1" xr:uid="{35BD6631-F16F-4B59-B166-93B1A720C298}">
          <x14:formula1>
            <xm:f>Data!$X:$X</xm:f>
          </x14:formula1>
          <xm:sqref>W7:X7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4143E-7564-4812-922F-C0FE528FBEAE}">
  <sheetPr>
    <tabColor theme="9"/>
  </sheetPr>
  <dimension ref="A1:AP32"/>
  <sheetViews>
    <sheetView showGridLines="0" zoomScaleNormal="100" workbookViewId="0">
      <pane ySplit="5" topLeftCell="A6" activePane="bottomLeft" state="frozen"/>
      <selection pane="bottomLeft" activeCell="S30" sqref="S30"/>
    </sheetView>
  </sheetViews>
  <sheetFormatPr defaultRowHeight="15" x14ac:dyDescent="0.25"/>
  <cols>
    <col min="1" max="1" width="21.5703125" style="4" customWidth="1"/>
    <col min="2" max="2" width="9.140625" style="4"/>
    <col min="3" max="5" width="0" hidden="1" customWidth="1"/>
    <col min="6" max="6" width="3.5703125" style="63" customWidth="1"/>
    <col min="7" max="7" width="15.7109375" style="4" customWidth="1"/>
    <col min="8" max="8" width="9.140625" style="4"/>
    <col min="9" max="11" width="0" hidden="1" customWidth="1"/>
    <col min="12" max="12" width="3.5703125" style="63" customWidth="1"/>
    <col min="13" max="13" width="15.7109375" style="4" customWidth="1"/>
    <col min="14" max="14" width="9.140625" style="31"/>
    <col min="15" max="17" width="0" hidden="1" customWidth="1"/>
    <col min="18" max="18" width="3.5703125" style="63" customWidth="1"/>
    <col min="19" max="19" width="15.7109375" style="4" customWidth="1"/>
    <col min="20" max="20" width="9.140625" style="4"/>
    <col min="21" max="23" width="0" hidden="1" customWidth="1"/>
    <col min="24" max="24" width="3.5703125" style="63" customWidth="1"/>
    <col min="25" max="25" width="15.7109375" style="4" customWidth="1"/>
    <col min="26" max="26" width="9.140625" style="4"/>
    <col min="27" max="29" width="9.140625" hidden="1" customWidth="1"/>
    <col min="30" max="30" width="3.5703125" style="63" customWidth="1"/>
    <col min="31" max="31" width="15.7109375" style="4" customWidth="1"/>
    <col min="32" max="32" width="9.140625" style="4"/>
    <col min="33" max="35" width="9.140625" hidden="1" customWidth="1"/>
    <col min="36" max="36" width="3.5703125" style="63" customWidth="1"/>
    <col min="37" max="37" width="15.7109375" style="4" customWidth="1"/>
    <col min="38" max="38" width="9.140625" style="4"/>
    <col min="39" max="39" width="9.140625" hidden="1" customWidth="1"/>
    <col min="40" max="41" width="0" hidden="1" customWidth="1"/>
    <col min="42" max="42" width="3.5703125" style="63" customWidth="1"/>
  </cols>
  <sheetData>
    <row r="1" spans="1:42" ht="15" customHeight="1" x14ac:dyDescent="0.25">
      <c r="A1" s="127" t="s">
        <v>305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</row>
    <row r="2" spans="1:42" ht="15" customHeight="1" x14ac:dyDescent="0.25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</row>
    <row r="3" spans="1:42" x14ac:dyDescent="0.25">
      <c r="A3" s="129" t="s">
        <v>308</v>
      </c>
      <c r="B3" s="130"/>
      <c r="C3" s="65"/>
      <c r="D3" s="65"/>
      <c r="E3" s="65"/>
      <c r="G3" s="131" t="s">
        <v>309</v>
      </c>
      <c r="H3" s="132"/>
      <c r="I3" s="65"/>
      <c r="J3" s="65"/>
      <c r="K3" s="65"/>
      <c r="M3" s="131" t="s">
        <v>310</v>
      </c>
      <c r="N3" s="132"/>
      <c r="O3" s="65"/>
      <c r="P3" s="65"/>
      <c r="Q3" s="65"/>
      <c r="S3" s="131" t="s">
        <v>312</v>
      </c>
      <c r="T3" s="132"/>
      <c r="U3" s="65"/>
      <c r="V3" s="65"/>
      <c r="W3" s="65"/>
      <c r="Y3" s="131" t="s">
        <v>311</v>
      </c>
      <c r="Z3" s="132"/>
      <c r="AA3" s="65"/>
      <c r="AB3" s="65"/>
      <c r="AC3" s="65"/>
      <c r="AE3" s="131" t="s">
        <v>346</v>
      </c>
      <c r="AF3" s="132"/>
      <c r="AG3" s="65"/>
      <c r="AH3" s="65"/>
      <c r="AI3" s="65"/>
      <c r="AK3" s="131" t="s">
        <v>10</v>
      </c>
      <c r="AL3" s="132"/>
      <c r="AM3" s="65"/>
      <c r="AN3" s="65"/>
      <c r="AO3" s="65"/>
    </row>
    <row r="4" spans="1:42" x14ac:dyDescent="0.25">
      <c r="A4" s="64" t="s">
        <v>306</v>
      </c>
      <c r="B4" s="64" t="s">
        <v>307</v>
      </c>
      <c r="C4" s="66"/>
      <c r="D4" s="66"/>
      <c r="E4" s="66"/>
      <c r="G4" s="64" t="s">
        <v>306</v>
      </c>
      <c r="H4" s="64" t="s">
        <v>307</v>
      </c>
      <c r="I4" s="66"/>
      <c r="J4" s="66"/>
      <c r="K4" s="66"/>
      <c r="M4" s="64" t="s">
        <v>306</v>
      </c>
      <c r="N4" s="68" t="s">
        <v>307</v>
      </c>
      <c r="O4" s="66"/>
      <c r="P4" s="66"/>
      <c r="Q4" s="66"/>
      <c r="S4" s="64" t="s">
        <v>306</v>
      </c>
      <c r="T4" s="64" t="s">
        <v>307</v>
      </c>
      <c r="U4" s="66"/>
      <c r="V4" s="66"/>
      <c r="W4" s="66"/>
      <c r="Y4" s="64" t="s">
        <v>306</v>
      </c>
      <c r="Z4" s="64" t="s">
        <v>307</v>
      </c>
      <c r="AA4" s="66"/>
      <c r="AB4" s="66"/>
      <c r="AC4" s="66"/>
      <c r="AE4" s="64" t="s">
        <v>306</v>
      </c>
      <c r="AF4" s="64" t="s">
        <v>307</v>
      </c>
      <c r="AG4" s="66"/>
      <c r="AH4" s="66"/>
      <c r="AI4" s="66"/>
      <c r="AK4" s="64" t="s">
        <v>306</v>
      </c>
      <c r="AL4" s="64" t="s">
        <v>307</v>
      </c>
      <c r="AM4" s="66"/>
      <c r="AN4" s="66"/>
      <c r="AO4" s="66"/>
    </row>
    <row r="5" spans="1:42" x14ac:dyDescent="0.25">
      <c r="A5" s="4" t="s">
        <v>313</v>
      </c>
      <c r="B5" s="31" t="s">
        <v>48</v>
      </c>
      <c r="G5" s="4" t="s">
        <v>389</v>
      </c>
      <c r="H5" s="31" t="s">
        <v>379</v>
      </c>
      <c r="M5" s="4" t="s">
        <v>390</v>
      </c>
      <c r="N5" s="31" t="s">
        <v>392</v>
      </c>
      <c r="S5" s="4" t="s">
        <v>388</v>
      </c>
      <c r="T5" s="31" t="s">
        <v>393</v>
      </c>
      <c r="Y5" s="4" t="s">
        <v>339</v>
      </c>
      <c r="Z5" s="31" t="s">
        <v>384</v>
      </c>
      <c r="AE5" s="4" t="s">
        <v>347</v>
      </c>
      <c r="AF5" s="4" t="s">
        <v>347</v>
      </c>
      <c r="AK5" s="4" t="s">
        <v>353</v>
      </c>
      <c r="AL5" s="4" t="s">
        <v>353</v>
      </c>
    </row>
    <row r="6" spans="1:42" x14ac:dyDescent="0.25">
      <c r="A6" s="4" t="s">
        <v>314</v>
      </c>
      <c r="B6" s="31" t="s">
        <v>49</v>
      </c>
      <c r="G6" s="4" t="s">
        <v>342</v>
      </c>
      <c r="H6" s="31" t="s">
        <v>380</v>
      </c>
      <c r="Y6" s="4" t="s">
        <v>340</v>
      </c>
      <c r="Z6" s="31" t="s">
        <v>385</v>
      </c>
      <c r="AE6" s="4" t="s">
        <v>348</v>
      </c>
      <c r="AF6" s="4" t="s">
        <v>348</v>
      </c>
      <c r="AK6" s="4" t="s">
        <v>354</v>
      </c>
      <c r="AL6" s="4" t="s">
        <v>354</v>
      </c>
    </row>
    <row r="7" spans="1:42" x14ac:dyDescent="0.25">
      <c r="A7" s="4" t="s">
        <v>315</v>
      </c>
      <c r="B7" s="31" t="s">
        <v>50</v>
      </c>
      <c r="G7" s="4" t="s">
        <v>343</v>
      </c>
      <c r="H7" s="31" t="s">
        <v>381</v>
      </c>
      <c r="Y7" s="4" t="s">
        <v>341</v>
      </c>
      <c r="Z7" s="31" t="s">
        <v>386</v>
      </c>
      <c r="AE7" s="4" t="s">
        <v>349</v>
      </c>
      <c r="AF7" s="4" t="s">
        <v>349</v>
      </c>
    </row>
    <row r="8" spans="1:42" x14ac:dyDescent="0.25">
      <c r="A8" s="4" t="s">
        <v>316</v>
      </c>
      <c r="B8" s="31" t="s">
        <v>51</v>
      </c>
      <c r="G8" s="4" t="s">
        <v>344</v>
      </c>
      <c r="H8" s="31" t="s">
        <v>382</v>
      </c>
      <c r="AE8" s="4" t="s">
        <v>350</v>
      </c>
      <c r="AF8" s="4" t="s">
        <v>350</v>
      </c>
    </row>
    <row r="9" spans="1:42" x14ac:dyDescent="0.25">
      <c r="A9" s="4" t="s">
        <v>317</v>
      </c>
      <c r="B9" s="31" t="s">
        <v>355</v>
      </c>
      <c r="G9" s="4" t="s">
        <v>345</v>
      </c>
      <c r="H9" s="31" t="s">
        <v>391</v>
      </c>
    </row>
    <row r="10" spans="1:42" x14ac:dyDescent="0.25">
      <c r="A10" s="4" t="s">
        <v>318</v>
      </c>
      <c r="B10" s="31" t="s">
        <v>356</v>
      </c>
    </row>
    <row r="11" spans="1:42" x14ac:dyDescent="0.25">
      <c r="A11" s="4" t="s">
        <v>319</v>
      </c>
      <c r="B11" s="31" t="s">
        <v>357</v>
      </c>
    </row>
    <row r="12" spans="1:42" x14ac:dyDescent="0.25">
      <c r="A12" s="4" t="s">
        <v>320</v>
      </c>
      <c r="B12" s="31" t="s">
        <v>358</v>
      </c>
    </row>
    <row r="13" spans="1:42" x14ac:dyDescent="0.25">
      <c r="A13" s="4" t="s">
        <v>321</v>
      </c>
      <c r="B13" s="31" t="s">
        <v>359</v>
      </c>
    </row>
    <row r="14" spans="1:42" x14ac:dyDescent="0.25">
      <c r="A14" s="4" t="s">
        <v>322</v>
      </c>
      <c r="B14" s="31" t="s">
        <v>360</v>
      </c>
    </row>
    <row r="15" spans="1:42" x14ac:dyDescent="0.25">
      <c r="A15" s="4" t="s">
        <v>323</v>
      </c>
      <c r="B15" s="31" t="s">
        <v>361</v>
      </c>
    </row>
    <row r="16" spans="1:42" x14ac:dyDescent="0.25">
      <c r="A16" s="4" t="s">
        <v>324</v>
      </c>
      <c r="B16" s="31" t="s">
        <v>362</v>
      </c>
    </row>
    <row r="17" spans="1:2" x14ac:dyDescent="0.25">
      <c r="A17" s="4" t="s">
        <v>325</v>
      </c>
      <c r="B17" s="31" t="s">
        <v>363</v>
      </c>
    </row>
    <row r="18" spans="1:2" x14ac:dyDescent="0.25">
      <c r="A18" s="4" t="s">
        <v>326</v>
      </c>
      <c r="B18" s="31" t="s">
        <v>364</v>
      </c>
    </row>
    <row r="19" spans="1:2" x14ac:dyDescent="0.25">
      <c r="A19" s="4" t="s">
        <v>327</v>
      </c>
      <c r="B19" s="31" t="s">
        <v>365</v>
      </c>
    </row>
    <row r="20" spans="1:2" x14ac:dyDescent="0.25">
      <c r="A20" s="4" t="s">
        <v>328</v>
      </c>
      <c r="B20" s="31" t="s">
        <v>366</v>
      </c>
    </row>
    <row r="21" spans="1:2" x14ac:dyDescent="0.25">
      <c r="A21" s="4" t="s">
        <v>329</v>
      </c>
      <c r="B21" s="31" t="s">
        <v>367</v>
      </c>
    </row>
    <row r="22" spans="1:2" x14ac:dyDescent="0.25">
      <c r="A22" s="4" t="s">
        <v>330</v>
      </c>
      <c r="B22" s="31" t="s">
        <v>368</v>
      </c>
    </row>
    <row r="23" spans="1:2" x14ac:dyDescent="0.25">
      <c r="A23" s="4" t="s">
        <v>331</v>
      </c>
      <c r="B23" s="31" t="s">
        <v>369</v>
      </c>
    </row>
    <row r="24" spans="1:2" x14ac:dyDescent="0.25">
      <c r="A24" s="4" t="s">
        <v>332</v>
      </c>
      <c r="B24" s="31" t="s">
        <v>370</v>
      </c>
    </row>
    <row r="25" spans="1:2" x14ac:dyDescent="0.25">
      <c r="A25" s="4" t="s">
        <v>333</v>
      </c>
      <c r="B25" s="31" t="s">
        <v>371</v>
      </c>
    </row>
    <row r="26" spans="1:2" x14ac:dyDescent="0.25">
      <c r="A26" s="4" t="s">
        <v>334</v>
      </c>
      <c r="B26" s="31" t="s">
        <v>372</v>
      </c>
    </row>
    <row r="27" spans="1:2" x14ac:dyDescent="0.25">
      <c r="A27" s="4" t="s">
        <v>335</v>
      </c>
      <c r="B27" s="31" t="s">
        <v>373</v>
      </c>
    </row>
    <row r="28" spans="1:2" x14ac:dyDescent="0.25">
      <c r="A28" s="4" t="s">
        <v>336</v>
      </c>
      <c r="B28" s="31" t="s">
        <v>374</v>
      </c>
    </row>
    <row r="29" spans="1:2" x14ac:dyDescent="0.25">
      <c r="A29" s="4" t="s">
        <v>337</v>
      </c>
      <c r="B29" s="31" t="s">
        <v>375</v>
      </c>
    </row>
    <row r="30" spans="1:2" x14ac:dyDescent="0.25">
      <c r="A30" s="4" t="s">
        <v>338</v>
      </c>
      <c r="B30" s="31" t="s">
        <v>376</v>
      </c>
    </row>
    <row r="31" spans="1:2" x14ac:dyDescent="0.25">
      <c r="A31" s="4" t="s">
        <v>351</v>
      </c>
      <c r="B31" s="31" t="s">
        <v>377</v>
      </c>
    </row>
    <row r="32" spans="1:2" x14ac:dyDescent="0.25">
      <c r="A32" s="4" t="s">
        <v>352</v>
      </c>
      <c r="B32" s="31" t="s">
        <v>378</v>
      </c>
    </row>
  </sheetData>
  <mergeCells count="8">
    <mergeCell ref="A1:AP2"/>
    <mergeCell ref="A3:B3"/>
    <mergeCell ref="AE3:AF3"/>
    <mergeCell ref="Y3:Z3"/>
    <mergeCell ref="S3:T3"/>
    <mergeCell ref="M3:N3"/>
    <mergeCell ref="G3:H3"/>
    <mergeCell ref="AK3:AL3"/>
  </mergeCells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9CEE-5FA2-4A79-9298-ED931DAA813E}">
  <sheetPr>
    <tabColor theme="9" tint="0.79998168889431442"/>
  </sheetPr>
  <dimension ref="A1:DI39"/>
  <sheetViews>
    <sheetView showGridLines="0" zoomScaleNormal="100" workbookViewId="0">
      <pane ySplit="5" topLeftCell="A6" activePane="bottomLeft" state="frozen"/>
      <selection pane="bottomLeft" activeCell="S16" sqref="S16"/>
    </sheetView>
  </sheetViews>
  <sheetFormatPr defaultRowHeight="15" x14ac:dyDescent="0.25"/>
  <cols>
    <col min="1" max="1" width="20.7109375" style="4" customWidth="1"/>
    <col min="2" max="2" width="6.7109375" style="73" customWidth="1"/>
    <col min="3" max="3" width="6.7109375" style="31" customWidth="1"/>
    <col min="4" max="5" width="9.140625" hidden="1" customWidth="1"/>
    <col min="6" max="6" width="3" style="63" customWidth="1"/>
    <col min="7" max="7" width="12.85546875" style="4" customWidth="1"/>
    <col min="8" max="8" width="6.7109375" style="73" customWidth="1"/>
    <col min="9" max="9" width="6.7109375" style="4" customWidth="1"/>
    <col min="10" max="11" width="9.140625" hidden="1" customWidth="1"/>
    <col min="12" max="12" width="3.5703125" style="63" customWidth="1"/>
    <col min="13" max="13" width="15.7109375" style="4" customWidth="1"/>
    <col min="14" max="14" width="6.7109375" style="73" customWidth="1"/>
    <col min="15" max="15" width="6.7109375" style="4" customWidth="1"/>
    <col min="16" max="17" width="9.140625" hidden="1" customWidth="1"/>
    <col min="18" max="18" width="3.5703125" style="63" customWidth="1"/>
    <col min="19" max="19" width="15.7109375" style="4" customWidth="1"/>
    <col min="20" max="20" width="6.7109375" style="73" customWidth="1"/>
    <col min="21" max="21" width="6.7109375" style="4" customWidth="1"/>
    <col min="22" max="23" width="9.140625" hidden="1" customWidth="1"/>
    <col min="24" max="24" width="3.5703125" style="63" customWidth="1"/>
    <col min="25" max="25" width="15.7109375" style="4" customWidth="1"/>
    <col min="26" max="26" width="6.7109375" style="73" customWidth="1"/>
    <col min="27" max="27" width="6.7109375" style="4" customWidth="1"/>
    <col min="28" max="29" width="9.140625" hidden="1" customWidth="1"/>
    <col min="30" max="30" width="3.5703125" style="63" customWidth="1"/>
    <col min="31" max="31" width="15.7109375" style="4" customWidth="1"/>
    <col min="32" max="32" width="6.7109375" style="73" customWidth="1"/>
    <col min="33" max="33" width="6.7109375" style="4" customWidth="1"/>
    <col min="34" max="35" width="9.140625" hidden="1" customWidth="1"/>
    <col min="36" max="36" width="3.5703125" style="63" customWidth="1"/>
    <col min="37" max="37" width="15.7109375" style="4" customWidth="1"/>
    <col min="38" max="38" width="8.5703125" style="73" bestFit="1" customWidth="1"/>
    <col min="39" max="39" width="6.7109375" style="4" customWidth="1"/>
    <col min="40" max="41" width="9.140625" hidden="1" customWidth="1"/>
    <col min="42" max="42" width="3.5703125" style="63" customWidth="1"/>
    <col min="43" max="104" width="0" hidden="1" customWidth="1"/>
  </cols>
  <sheetData>
    <row r="1" spans="1:113" ht="15" customHeight="1" x14ac:dyDescent="0.25">
      <c r="A1" s="127" t="s">
        <v>305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DA1" s="133" t="s">
        <v>394</v>
      </c>
      <c r="DB1" s="133"/>
      <c r="DC1" s="133"/>
      <c r="DD1" s="133"/>
      <c r="DE1" s="133"/>
      <c r="DF1" s="133"/>
      <c r="DG1" s="133"/>
      <c r="DH1" s="133"/>
      <c r="DI1" s="133"/>
    </row>
    <row r="2" spans="1:113" ht="15" customHeight="1" x14ac:dyDescent="0.25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DA2" s="133"/>
      <c r="DB2" s="133"/>
      <c r="DC2" s="133"/>
      <c r="DD2" s="133"/>
      <c r="DE2" s="133"/>
      <c r="DF2" s="133"/>
      <c r="DG2" s="133"/>
      <c r="DH2" s="133"/>
      <c r="DI2" s="133"/>
    </row>
    <row r="3" spans="1:113" ht="15" customHeight="1" x14ac:dyDescent="0.25">
      <c r="A3" s="71" t="s">
        <v>308</v>
      </c>
      <c r="B3" s="72">
        <f>COUNTA(A5:A999)+4</f>
        <v>16</v>
      </c>
      <c r="C3" s="68" t="s">
        <v>107</v>
      </c>
      <c r="D3" s="65"/>
      <c r="E3" s="65"/>
      <c r="G3" s="71" t="s">
        <v>309</v>
      </c>
      <c r="H3" s="72">
        <f>COUNTA(G5:G999)+4</f>
        <v>5</v>
      </c>
      <c r="I3" s="74" t="s">
        <v>107</v>
      </c>
      <c r="J3" s="65"/>
      <c r="K3" s="65"/>
      <c r="M3" s="71" t="s">
        <v>310</v>
      </c>
      <c r="N3" s="72">
        <f>COUNTA(M5:M999)+4</f>
        <v>5</v>
      </c>
      <c r="O3" s="74" t="s">
        <v>107</v>
      </c>
      <c r="P3" s="65"/>
      <c r="Q3" s="65"/>
      <c r="S3" s="71" t="s">
        <v>312</v>
      </c>
      <c r="T3" s="72">
        <f>COUNTA(S5:S999)+4</f>
        <v>5</v>
      </c>
      <c r="U3" s="74" t="s">
        <v>107</v>
      </c>
      <c r="V3" s="65"/>
      <c r="W3" s="65"/>
      <c r="Y3" s="71" t="s">
        <v>311</v>
      </c>
      <c r="Z3" s="72">
        <f>COUNTA(Y5:Y999)+4</f>
        <v>5</v>
      </c>
      <c r="AA3" s="74" t="s">
        <v>107</v>
      </c>
      <c r="AB3" s="65"/>
      <c r="AC3" s="65"/>
      <c r="AE3" s="71" t="s">
        <v>346</v>
      </c>
      <c r="AF3" s="72">
        <f>COUNTA(AE5:AE999)+4</f>
        <v>5</v>
      </c>
      <c r="AG3" s="74" t="s">
        <v>107</v>
      </c>
      <c r="AH3" s="65"/>
      <c r="AI3" s="65"/>
      <c r="AK3" s="71" t="s">
        <v>10</v>
      </c>
      <c r="AL3" s="72">
        <f>COUNTA(AK5:AK999)+4</f>
        <v>4</v>
      </c>
      <c r="AM3" s="74" t="s">
        <v>107</v>
      </c>
      <c r="AN3" s="65"/>
      <c r="AO3" s="65"/>
      <c r="DA3" s="133"/>
      <c r="DB3" s="133"/>
      <c r="DC3" s="133"/>
      <c r="DD3" s="133"/>
      <c r="DE3" s="133"/>
      <c r="DF3" s="133"/>
      <c r="DG3" s="133"/>
      <c r="DH3" s="133"/>
      <c r="DI3" s="133"/>
    </row>
    <row r="4" spans="1:113" ht="15" hidden="1" customHeight="1" x14ac:dyDescent="0.25">
      <c r="A4" s="70" t="s">
        <v>383</v>
      </c>
      <c r="B4" s="69" t="str">
        <f t="shared" ref="B4:B16" si="0">IFERROR(IFERROR(VLOOKUP(A4,Frame_V,2,FALSE),IFERROR(VLOOKUP(A4,Frame_Rod,2,FALSE),IFERROR(VLOOKUP(A4,Frame_Purlin,2,FALSE),IFERROR(VLOOKUP(A4,Frame_Pipe,2,FALSE),IFERROR(VLOOKUP(A4,Frame_I,2,FALSE),IFERROR(VLOOKUP(A4,Frame_C,2,FALSE),VLOOKUP(A4,Frame_Box,2,FALSE))))))),"")</f>
        <v/>
      </c>
      <c r="C4" s="68" t="s">
        <v>387</v>
      </c>
      <c r="D4" s="66"/>
      <c r="E4" s="66"/>
      <c r="G4" s="70" t="s">
        <v>383</v>
      </c>
      <c r="H4" s="69" t="str">
        <f>IFERROR(IFERROR(VLOOKUP(G4,Frame_V,2,FALSE),IFERROR(VLOOKUP(G4,Frame_Rod,2,FALSE),IFERROR(VLOOKUP(G4,Frame_Purlin,2,FALSE),IFERROR(VLOOKUP(G4,Frame_Pipe,2,FALSE),IFERROR(VLOOKUP(G4,Frame_I,2,FALSE),IFERROR(VLOOKUP(G4,Frame_C,2,FALSE),VLOOKUP(G4,Frame_Box,2,FALSE))))))),"")</f>
        <v/>
      </c>
      <c r="I4" s="68" t="s">
        <v>387</v>
      </c>
      <c r="J4" s="66"/>
      <c r="K4" s="66"/>
      <c r="M4" s="70" t="s">
        <v>383</v>
      </c>
      <c r="N4" s="69" t="str">
        <f>IFERROR(IFERROR(VLOOKUP(M4,Frame_V,2,FALSE),IFERROR(VLOOKUP(M4,Frame_Rod,2,FALSE),IFERROR(VLOOKUP(M4,Frame_Purlin,2,FALSE),IFERROR(VLOOKUP(M4,Frame_Pipe,2,FALSE),IFERROR(VLOOKUP(M4,Frame_I,2,FALSE),IFERROR(VLOOKUP(M4,Frame_C,2,FALSE),VLOOKUP(M4,Frame_Box,2,FALSE))))))),"")</f>
        <v/>
      </c>
      <c r="O4" s="68" t="s">
        <v>387</v>
      </c>
      <c r="P4" s="66"/>
      <c r="Q4" s="66"/>
      <c r="S4" s="70" t="s">
        <v>383</v>
      </c>
      <c r="T4" s="69" t="str">
        <f>IFERROR(IFERROR(VLOOKUP(S4,Frame_V,2,FALSE),IFERROR(VLOOKUP(S4,Frame_Rod,2,FALSE),IFERROR(VLOOKUP(S4,Frame_Purlin,2,FALSE),IFERROR(VLOOKUP(S4,Frame_Pipe,2,FALSE),IFERROR(VLOOKUP(S4,Frame_I,2,FALSE),IFERROR(VLOOKUP(S4,Frame_C,2,FALSE),VLOOKUP(S4,Frame_Box,2,FALSE))))))),"")</f>
        <v/>
      </c>
      <c r="U4" s="68" t="s">
        <v>387</v>
      </c>
      <c r="V4" s="66"/>
      <c r="W4" s="66"/>
      <c r="Y4" s="70" t="s">
        <v>383</v>
      </c>
      <c r="Z4" s="69" t="str">
        <f>IFERROR(IFERROR(VLOOKUP(Y4,Frame_V,2,FALSE),IFERROR(VLOOKUP(Y4,Frame_Rod,2,FALSE),IFERROR(VLOOKUP(Y4,Frame_Purlin,2,FALSE),IFERROR(VLOOKUP(Y4,Frame_Pipe,2,FALSE),IFERROR(VLOOKUP(Y4,Frame_I,2,FALSE),IFERROR(VLOOKUP(Y4,Frame_C,2,FALSE),VLOOKUP(Y4,Frame_Box,2,FALSE))))))),"")</f>
        <v/>
      </c>
      <c r="AA4" s="68" t="s">
        <v>387</v>
      </c>
      <c r="AB4" s="66"/>
      <c r="AC4" s="66"/>
      <c r="AE4" s="70" t="s">
        <v>383</v>
      </c>
      <c r="AF4" s="69" t="str">
        <f>IFERROR(IFERROR(VLOOKUP(AE4,Frame_V,2,FALSE),IFERROR(VLOOKUP(AE4,Frame_Rod,2,FALSE),IFERROR(VLOOKUP(AE4,Frame_Purlin,2,FALSE),IFERROR(VLOOKUP(AE4,Frame_Pipe,2,FALSE),IFERROR(VLOOKUP(AE4,Frame_I,2,FALSE),IFERROR(VLOOKUP(AE4,Frame_C,2,FALSE),VLOOKUP(AE4,Frame_Box,2,FALSE))))))),"")</f>
        <v/>
      </c>
      <c r="AG4" s="68" t="s">
        <v>387</v>
      </c>
      <c r="AH4" s="66"/>
      <c r="AI4" s="66"/>
      <c r="AK4" s="70" t="s">
        <v>383</v>
      </c>
      <c r="AL4" s="69" t="str">
        <f>IFERROR(IFERROR(VLOOKUP(AK4,Frame_V,2,FALSE),IFERROR(VLOOKUP(AK4,Frame_Rod,2,FALSE),IFERROR(VLOOKUP(AK4,Frame_Purlin,2,FALSE),IFERROR(VLOOKUP(AK4,Frame_Pipe,2,FALSE),IFERROR(VLOOKUP(AK4,Frame_I,2,FALSE),IFERROR(VLOOKUP(AK4,Frame_C,2,FALSE),VLOOKUP(AK4,Frame_Box,2,FALSE))))))),"")</f>
        <v/>
      </c>
      <c r="AM4" s="68" t="s">
        <v>387</v>
      </c>
      <c r="AN4" s="66"/>
      <c r="AO4" s="66"/>
      <c r="DA4" s="133"/>
      <c r="DB4" s="133"/>
      <c r="DC4" s="133"/>
      <c r="DD4" s="133"/>
      <c r="DE4" s="133"/>
      <c r="DF4" s="133"/>
      <c r="DG4" s="133"/>
      <c r="DH4" s="133"/>
      <c r="DI4" s="133"/>
    </row>
    <row r="5" spans="1:113" ht="15" customHeight="1" x14ac:dyDescent="0.25">
      <c r="A5" s="4" t="s">
        <v>313</v>
      </c>
      <c r="B5" s="67" t="str">
        <f t="shared" si="0"/>
        <v>B1</v>
      </c>
      <c r="C5" s="31" t="s">
        <v>387</v>
      </c>
      <c r="G5" s="4" t="s">
        <v>389</v>
      </c>
      <c r="H5" s="67" t="str">
        <f>IFERROR(IFERROR(VLOOKUP(G5,Frame_V,2,FALSE),IFERROR(VLOOKUP(G5,Frame_Rod,2,FALSE),IFERROR(VLOOKUP(G5,Frame_Purlin,2,FALSE),IFERROR(VLOOKUP(G5,Frame_Pipe,2,FALSE),IFERROR(VLOOKUP(G5,Frame_I,2,FALSE),IFERROR(VLOOKUP(G5,Frame_C,2,FALSE),VLOOKUP(G5,Frame_Box,2,FALSE))))))),"")</f>
        <v>T1</v>
      </c>
      <c r="I5" s="31" t="s">
        <v>387</v>
      </c>
      <c r="M5" s="4" t="s">
        <v>390</v>
      </c>
      <c r="N5" s="67" t="str">
        <f>IFERROR(IFERROR(VLOOKUP(M5,Frame_V,2,FALSE),IFERROR(VLOOKUP(M5,Frame_Rod,2,FALSE),IFERROR(VLOOKUP(M5,Frame_Purlin,2,FALSE),IFERROR(VLOOKUP(M5,Frame_Pipe,2,FALSE),IFERROR(VLOOKUP(M5,Frame_I,2,FALSE),IFERROR(VLOOKUP(M5,Frame_C,2,FALSE),VLOOKUP(M5,Frame_Box,2,FALSE))))))),"")</f>
        <v>P1</v>
      </c>
      <c r="O5" s="31" t="s">
        <v>387</v>
      </c>
      <c r="S5" s="4" t="s">
        <v>388</v>
      </c>
      <c r="T5" s="67" t="str">
        <f>IFERROR(IFERROR(VLOOKUP(S5,Frame_V,2,FALSE),IFERROR(VLOOKUP(S5,Frame_Rod,2,FALSE),IFERROR(VLOOKUP(S5,Frame_Purlin,2,FALSE),IFERROR(VLOOKUP(S5,Frame_Pipe,2,FALSE),IFERROR(VLOOKUP(S5,Frame_I,2,FALSE),IFERROR(VLOOKUP(S5,Frame_C,2,FALSE),VLOOKUP(S5,Frame_Box,2,FALSE))))))),"")</f>
        <v>C1</v>
      </c>
      <c r="U5" s="31" t="s">
        <v>387</v>
      </c>
      <c r="Y5" s="4" t="s">
        <v>340</v>
      </c>
      <c r="Z5" s="67" t="str">
        <f>IFERROR(IFERROR(VLOOKUP(Y5,Frame_V,2,FALSE),IFERROR(VLOOKUP(Y5,Frame_Rod,2,FALSE),IFERROR(VLOOKUP(Y5,Frame_Purlin,2,FALSE),IFERROR(VLOOKUP(Y5,Frame_Pipe,2,FALSE),IFERROR(VLOOKUP(Y5,Frame_I,2,FALSE),IFERROR(VLOOKUP(Y5,Frame_C,2,FALSE),VLOOKUP(Y5,Frame_Box,2,FALSE))))))),"")</f>
        <v>V2</v>
      </c>
      <c r="AA5" s="31" t="s">
        <v>387</v>
      </c>
      <c r="AE5" s="4" t="s">
        <v>350</v>
      </c>
      <c r="AF5" s="67" t="str">
        <f>IFERROR(IFERROR(VLOOKUP(AE5,Frame_V,2,FALSE),IFERROR(VLOOKUP(AE5,Frame_Rod,2,FALSE),IFERROR(VLOOKUP(AE5,Frame_Purlin,2,FALSE),IFERROR(VLOOKUP(AE5,Frame_Pipe,2,FALSE),IFERROR(VLOOKUP(AE5,Frame_I,2,FALSE),IFERROR(VLOOKUP(AE5,Frame_C,2,FALSE),VLOOKUP(AE5,Frame_Box,2,FALSE))))))),"")</f>
        <v>Rod24</v>
      </c>
      <c r="AG5" s="31" t="s">
        <v>387</v>
      </c>
      <c r="AL5" s="67"/>
      <c r="AM5" s="31"/>
      <c r="DA5" s="133"/>
      <c r="DB5" s="133"/>
      <c r="DC5" s="133"/>
      <c r="DD5" s="133"/>
      <c r="DE5" s="133"/>
      <c r="DF5" s="133"/>
      <c r="DG5" s="133"/>
      <c r="DH5" s="133"/>
      <c r="DI5" s="133"/>
    </row>
    <row r="6" spans="1:113" x14ac:dyDescent="0.25">
      <c r="A6" s="4" t="s">
        <v>314</v>
      </c>
      <c r="B6" s="67" t="str">
        <f t="shared" si="0"/>
        <v>B2</v>
      </c>
      <c r="C6" s="31" t="s">
        <v>387</v>
      </c>
      <c r="H6" s="67"/>
      <c r="I6" s="31"/>
      <c r="N6" s="67"/>
      <c r="O6" s="31"/>
      <c r="T6" s="67"/>
      <c r="U6" s="31"/>
      <c r="Z6" s="67"/>
      <c r="AA6" s="31"/>
      <c r="AF6" s="67"/>
      <c r="AG6" s="31"/>
      <c r="AL6" s="67"/>
      <c r="AM6" s="31"/>
      <c r="DA6" s="133"/>
      <c r="DB6" s="133"/>
      <c r="DC6" s="133"/>
      <c r="DD6" s="133"/>
      <c r="DE6" s="133"/>
      <c r="DF6" s="133"/>
      <c r="DG6" s="133"/>
      <c r="DH6" s="133"/>
      <c r="DI6" s="133"/>
    </row>
    <row r="7" spans="1:113" x14ac:dyDescent="0.25">
      <c r="A7" s="4" t="s">
        <v>315</v>
      </c>
      <c r="B7" s="67" t="str">
        <f t="shared" si="0"/>
        <v>B3</v>
      </c>
      <c r="C7" s="31" t="s">
        <v>387</v>
      </c>
      <c r="H7" s="67"/>
      <c r="I7" s="31"/>
      <c r="N7" s="67"/>
      <c r="O7" s="31"/>
      <c r="T7" s="67"/>
      <c r="U7" s="31"/>
      <c r="Z7" s="67"/>
      <c r="AA7" s="31"/>
      <c r="AF7" s="67"/>
      <c r="AG7" s="31"/>
      <c r="AL7" s="67"/>
      <c r="AM7" s="31"/>
      <c r="DA7" s="133"/>
      <c r="DB7" s="133"/>
      <c r="DC7" s="133"/>
      <c r="DD7" s="133"/>
      <c r="DE7" s="133"/>
      <c r="DF7" s="133"/>
      <c r="DG7" s="133"/>
      <c r="DH7" s="133"/>
      <c r="DI7" s="133"/>
    </row>
    <row r="8" spans="1:113" x14ac:dyDescent="0.25">
      <c r="A8" s="4" t="s">
        <v>316</v>
      </c>
      <c r="B8" s="67" t="str">
        <f t="shared" si="0"/>
        <v>B4</v>
      </c>
      <c r="C8" s="31" t="s">
        <v>387</v>
      </c>
      <c r="H8" s="67"/>
      <c r="I8" s="31"/>
      <c r="N8" s="67"/>
      <c r="O8" s="31"/>
      <c r="T8" s="67"/>
      <c r="U8" s="31"/>
      <c r="Z8" s="67"/>
      <c r="AA8" s="31"/>
      <c r="AF8" s="67"/>
      <c r="AG8" s="31"/>
      <c r="AL8" s="67"/>
      <c r="AM8" s="31"/>
      <c r="DA8" s="133"/>
      <c r="DB8" s="133"/>
      <c r="DC8" s="133"/>
      <c r="DD8" s="133"/>
      <c r="DE8" s="133"/>
      <c r="DF8" s="133"/>
      <c r="DG8" s="133"/>
      <c r="DH8" s="133"/>
      <c r="DI8" s="133"/>
    </row>
    <row r="9" spans="1:113" x14ac:dyDescent="0.25">
      <c r="A9" s="4" t="s">
        <v>319</v>
      </c>
      <c r="B9" s="67" t="str">
        <f t="shared" si="0"/>
        <v>B7</v>
      </c>
      <c r="C9" s="31" t="s">
        <v>387</v>
      </c>
      <c r="H9" s="67"/>
      <c r="I9" s="31"/>
      <c r="O9" s="31"/>
      <c r="U9" s="31"/>
      <c r="AA9" s="31"/>
      <c r="AG9" s="31"/>
      <c r="AM9" s="31"/>
    </row>
    <row r="10" spans="1:113" x14ac:dyDescent="0.25">
      <c r="A10" s="4" t="s">
        <v>321</v>
      </c>
      <c r="B10" s="67" t="str">
        <f t="shared" si="0"/>
        <v>B9</v>
      </c>
      <c r="C10" s="31" t="s">
        <v>387</v>
      </c>
      <c r="I10" s="31"/>
      <c r="O10" s="31"/>
      <c r="U10" s="31"/>
      <c r="AA10" s="31"/>
      <c r="AG10" s="31"/>
      <c r="AM10" s="31"/>
    </row>
    <row r="11" spans="1:113" x14ac:dyDescent="0.25">
      <c r="A11" s="4" t="s">
        <v>330</v>
      </c>
      <c r="B11" s="67" t="str">
        <f t="shared" si="0"/>
        <v>B18</v>
      </c>
      <c r="C11" s="31" t="s">
        <v>387</v>
      </c>
      <c r="I11" s="31"/>
      <c r="O11" s="31"/>
      <c r="U11" s="31"/>
      <c r="AA11" s="31"/>
      <c r="AG11" s="31"/>
      <c r="AM11" s="31"/>
    </row>
    <row r="12" spans="1:113" x14ac:dyDescent="0.25">
      <c r="A12" s="4" t="s">
        <v>332</v>
      </c>
      <c r="B12" s="67" t="str">
        <f t="shared" si="0"/>
        <v>B20</v>
      </c>
      <c r="C12" s="31" t="s">
        <v>387</v>
      </c>
      <c r="I12" s="31"/>
      <c r="O12" s="31"/>
      <c r="U12" s="31"/>
      <c r="AA12" s="31"/>
      <c r="AG12" s="31"/>
      <c r="AM12" s="31"/>
    </row>
    <row r="13" spans="1:113" x14ac:dyDescent="0.25">
      <c r="A13" s="4" t="s">
        <v>334</v>
      </c>
      <c r="B13" s="67" t="str">
        <f t="shared" si="0"/>
        <v>B22</v>
      </c>
      <c r="C13" s="31" t="s">
        <v>387</v>
      </c>
      <c r="I13" s="31"/>
      <c r="O13" s="31"/>
      <c r="U13" s="31"/>
      <c r="AA13" s="31"/>
      <c r="AG13" s="31"/>
      <c r="AM13" s="31"/>
    </row>
    <row r="14" spans="1:113" x14ac:dyDescent="0.25">
      <c r="A14" s="4" t="s">
        <v>335</v>
      </c>
      <c r="B14" s="67" t="str">
        <f t="shared" si="0"/>
        <v>B23</v>
      </c>
      <c r="C14" s="31" t="s">
        <v>387</v>
      </c>
      <c r="I14" s="31"/>
      <c r="O14" s="31"/>
      <c r="U14" s="31"/>
      <c r="AA14" s="31"/>
      <c r="AG14" s="31"/>
      <c r="AM14" s="31"/>
    </row>
    <row r="15" spans="1:113" x14ac:dyDescent="0.25">
      <c r="A15" s="4" t="s">
        <v>337</v>
      </c>
      <c r="B15" s="67" t="str">
        <f t="shared" si="0"/>
        <v>B25</v>
      </c>
      <c r="C15" s="31" t="s">
        <v>387</v>
      </c>
      <c r="I15" s="31"/>
      <c r="O15" s="31"/>
      <c r="U15" s="31"/>
      <c r="AA15" s="31"/>
      <c r="AG15" s="31"/>
      <c r="AM15" s="31"/>
    </row>
    <row r="16" spans="1:113" x14ac:dyDescent="0.25">
      <c r="A16" s="4" t="s">
        <v>338</v>
      </c>
      <c r="B16" s="67" t="str">
        <f t="shared" si="0"/>
        <v>B26</v>
      </c>
      <c r="C16" s="31" t="s">
        <v>387</v>
      </c>
      <c r="I16" s="31"/>
      <c r="O16" s="31"/>
      <c r="U16" s="31"/>
      <c r="AA16" s="31"/>
      <c r="AG16" s="31"/>
      <c r="AM16" s="31"/>
    </row>
    <row r="17" spans="2:39" x14ac:dyDescent="0.25">
      <c r="B17" s="67"/>
      <c r="I17" s="31"/>
      <c r="O17" s="31"/>
      <c r="U17" s="31"/>
      <c r="AA17" s="31"/>
      <c r="AG17" s="31"/>
      <c r="AM17" s="31"/>
    </row>
    <row r="18" spans="2:39" x14ac:dyDescent="0.25">
      <c r="B18" s="67"/>
      <c r="I18" s="31"/>
      <c r="O18" s="31"/>
      <c r="U18" s="31"/>
      <c r="AA18" s="31"/>
      <c r="AG18" s="31"/>
      <c r="AM18" s="31"/>
    </row>
    <row r="19" spans="2:39" x14ac:dyDescent="0.25">
      <c r="B19" s="67"/>
      <c r="I19" s="31"/>
      <c r="O19" s="31"/>
      <c r="U19" s="31"/>
      <c r="AA19" s="31"/>
      <c r="AG19" s="31"/>
      <c r="AM19" s="31"/>
    </row>
    <row r="20" spans="2:39" x14ac:dyDescent="0.25">
      <c r="B20" s="67"/>
      <c r="I20" s="31"/>
      <c r="O20" s="31"/>
      <c r="U20" s="31"/>
      <c r="AA20" s="31"/>
      <c r="AG20" s="31"/>
      <c r="AM20" s="31"/>
    </row>
    <row r="21" spans="2:39" x14ac:dyDescent="0.25">
      <c r="B21" s="67"/>
      <c r="I21" s="31"/>
      <c r="O21" s="31"/>
      <c r="U21" s="31"/>
      <c r="AA21" s="31"/>
      <c r="AG21" s="31"/>
      <c r="AM21" s="31"/>
    </row>
    <row r="22" spans="2:39" x14ac:dyDescent="0.25">
      <c r="B22" s="67"/>
      <c r="I22" s="31"/>
      <c r="O22" s="31"/>
      <c r="U22" s="31"/>
      <c r="AA22" s="31"/>
      <c r="AG22" s="31"/>
      <c r="AM22" s="31"/>
    </row>
    <row r="23" spans="2:39" x14ac:dyDescent="0.25">
      <c r="B23" s="67"/>
      <c r="I23" s="31"/>
      <c r="O23" s="31"/>
      <c r="U23" s="31"/>
      <c r="AA23" s="31"/>
      <c r="AG23" s="31"/>
      <c r="AM23" s="31"/>
    </row>
    <row r="24" spans="2:39" x14ac:dyDescent="0.25">
      <c r="B24" s="67"/>
      <c r="I24" s="31"/>
      <c r="O24" s="31"/>
      <c r="U24" s="31"/>
      <c r="AA24" s="31"/>
      <c r="AG24" s="31"/>
      <c r="AM24" s="31"/>
    </row>
    <row r="25" spans="2:39" x14ac:dyDescent="0.25">
      <c r="B25" s="67"/>
      <c r="I25" s="31"/>
      <c r="O25" s="31"/>
      <c r="U25" s="31"/>
      <c r="AA25" s="31"/>
      <c r="AG25" s="31"/>
      <c r="AM25" s="31"/>
    </row>
    <row r="26" spans="2:39" x14ac:dyDescent="0.25">
      <c r="B26" s="67"/>
      <c r="I26" s="31"/>
      <c r="O26" s="31"/>
      <c r="U26" s="31"/>
      <c r="AA26" s="31"/>
      <c r="AG26" s="31"/>
      <c r="AM26" s="31"/>
    </row>
    <row r="27" spans="2:39" x14ac:dyDescent="0.25">
      <c r="B27" s="67"/>
      <c r="I27" s="31"/>
      <c r="O27" s="31"/>
      <c r="U27" s="31"/>
      <c r="AA27" s="31"/>
      <c r="AG27" s="31"/>
      <c r="AM27" s="31"/>
    </row>
    <row r="28" spans="2:39" x14ac:dyDescent="0.25">
      <c r="B28" s="67"/>
      <c r="I28" s="31"/>
      <c r="O28" s="31"/>
      <c r="U28" s="31"/>
      <c r="AA28" s="31"/>
      <c r="AG28" s="31"/>
      <c r="AM28" s="31"/>
    </row>
    <row r="29" spans="2:39" x14ac:dyDescent="0.25">
      <c r="B29" s="67"/>
      <c r="I29" s="31"/>
      <c r="O29" s="31"/>
      <c r="U29" s="31"/>
      <c r="AA29" s="31"/>
      <c r="AG29" s="31"/>
      <c r="AM29" s="31"/>
    </row>
    <row r="30" spans="2:39" x14ac:dyDescent="0.25">
      <c r="B30" s="67"/>
      <c r="I30" s="31"/>
      <c r="O30" s="31"/>
      <c r="U30" s="31"/>
      <c r="AA30" s="31"/>
      <c r="AG30" s="31"/>
      <c r="AM30" s="31"/>
    </row>
    <row r="31" spans="2:39" x14ac:dyDescent="0.25">
      <c r="B31" s="67"/>
      <c r="I31" s="31"/>
      <c r="O31" s="31"/>
      <c r="U31" s="31"/>
      <c r="AA31" s="31"/>
      <c r="AG31" s="31"/>
      <c r="AM31" s="31"/>
    </row>
    <row r="32" spans="2:39" x14ac:dyDescent="0.25">
      <c r="B32" s="67"/>
      <c r="I32" s="31"/>
      <c r="O32" s="31"/>
      <c r="U32" s="31"/>
      <c r="AA32" s="31"/>
      <c r="AG32" s="31"/>
      <c r="AM32" s="31"/>
    </row>
    <row r="33" spans="9:39" x14ac:dyDescent="0.25">
      <c r="I33" s="31"/>
      <c r="O33" s="31"/>
      <c r="U33" s="31"/>
      <c r="AA33" s="31"/>
      <c r="AG33" s="31"/>
      <c r="AM33" s="31"/>
    </row>
    <row r="34" spans="9:39" x14ac:dyDescent="0.25">
      <c r="I34" s="31"/>
      <c r="O34" s="31"/>
      <c r="U34" s="31"/>
      <c r="AA34" s="31"/>
      <c r="AG34" s="31"/>
      <c r="AM34" s="31"/>
    </row>
    <row r="35" spans="9:39" x14ac:dyDescent="0.25">
      <c r="I35" s="31"/>
      <c r="O35" s="31"/>
      <c r="U35" s="31"/>
      <c r="AA35" s="31"/>
      <c r="AG35" s="31"/>
      <c r="AM35" s="31"/>
    </row>
    <row r="36" spans="9:39" x14ac:dyDescent="0.25">
      <c r="I36" s="31"/>
      <c r="O36" s="31"/>
      <c r="U36" s="31"/>
      <c r="AA36" s="31"/>
      <c r="AG36" s="31"/>
      <c r="AM36" s="31"/>
    </row>
    <row r="37" spans="9:39" x14ac:dyDescent="0.25">
      <c r="I37" s="31"/>
      <c r="O37" s="31"/>
      <c r="U37" s="31"/>
      <c r="AA37" s="31"/>
      <c r="AG37" s="31"/>
    </row>
    <row r="38" spans="9:39" x14ac:dyDescent="0.25">
      <c r="O38" s="31"/>
    </row>
    <row r="39" spans="9:39" x14ac:dyDescent="0.25">
      <c r="O39" s="31"/>
    </row>
  </sheetData>
  <mergeCells count="2">
    <mergeCell ref="A1:AP2"/>
    <mergeCell ref="DA1:DI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5C52F1-6BAE-435D-9090-FB55DAACD246}">
          <x14:formula1>
            <xm:f>Data!$K$2:$K$11</xm:f>
          </x14:formula1>
          <xm:sqref>AM4:AM36 AA4:AA37 I4:I37 O4:O39 U4:U37 AG4:AG37 C4:C37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C5282-04F6-40F9-A7BF-8A793C79DC5C}">
  <sheetPr codeName="Sheet4">
    <tabColor rgb="FF0070C0"/>
  </sheetPr>
  <dimension ref="A1:R48"/>
  <sheetViews>
    <sheetView showGridLines="0" zoomScale="145" zoomScaleNormal="145" workbookViewId="0">
      <selection activeCell="R17" sqref="R17"/>
    </sheetView>
  </sheetViews>
  <sheetFormatPr defaultRowHeight="15" x14ac:dyDescent="0.25"/>
  <cols>
    <col min="1" max="4" width="7.28515625" customWidth="1"/>
    <col min="5" max="5" width="3" style="11" customWidth="1"/>
    <col min="6" max="6" width="12.7109375" customWidth="1"/>
    <col min="7" max="7" width="10.5703125" customWidth="1"/>
    <col min="11" max="11" width="10.28515625" customWidth="1"/>
    <col min="15" max="15" width="12.28515625" bestFit="1" customWidth="1"/>
  </cols>
  <sheetData>
    <row r="1" spans="1:18" ht="15" customHeight="1" x14ac:dyDescent="0.25">
      <c r="A1" s="163" t="s">
        <v>56</v>
      </c>
      <c r="B1" s="163"/>
      <c r="C1" s="163"/>
      <c r="D1" s="163"/>
      <c r="F1" s="162" t="s">
        <v>30</v>
      </c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</row>
    <row r="2" spans="1:18" ht="15" customHeight="1" x14ac:dyDescent="0.25">
      <c r="A2" s="6" t="s">
        <v>31</v>
      </c>
      <c r="B2" s="6" t="s">
        <v>63</v>
      </c>
      <c r="C2" s="6" t="s">
        <v>31</v>
      </c>
      <c r="D2" s="6" t="s">
        <v>64</v>
      </c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</row>
    <row r="3" spans="1:18" ht="15" customHeight="1" x14ac:dyDescent="0.25">
      <c r="A3" s="3" t="s">
        <v>32</v>
      </c>
      <c r="B3" s="3">
        <v>8000</v>
      </c>
      <c r="C3" s="3" t="s">
        <v>16</v>
      </c>
      <c r="D3" s="3">
        <v>9000</v>
      </c>
      <c r="K3" s="61" t="s">
        <v>282</v>
      </c>
      <c r="L3" s="34">
        <v>150</v>
      </c>
      <c r="M3" s="158" t="s">
        <v>300</v>
      </c>
      <c r="N3" s="159"/>
      <c r="O3" t="s">
        <v>302</v>
      </c>
      <c r="P3" s="34">
        <v>100</v>
      </c>
    </row>
    <row r="4" spans="1:18" ht="15.75" thickBot="1" x14ac:dyDescent="0.3">
      <c r="A4" s="3" t="s">
        <v>33</v>
      </c>
      <c r="B4" s="3">
        <v>8000</v>
      </c>
      <c r="C4" s="3" t="s">
        <v>17</v>
      </c>
      <c r="D4" s="3">
        <v>9000</v>
      </c>
      <c r="K4" s="61" t="s">
        <v>12</v>
      </c>
      <c r="L4" s="34">
        <v>200</v>
      </c>
      <c r="M4" s="160"/>
      <c r="N4" s="161"/>
      <c r="O4" t="s">
        <v>301</v>
      </c>
      <c r="P4" s="34">
        <v>5</v>
      </c>
    </row>
    <row r="5" spans="1:18" ht="15" customHeight="1" thickBot="1" x14ac:dyDescent="0.3">
      <c r="A5" s="3" t="s">
        <v>34</v>
      </c>
      <c r="B5" s="3">
        <v>8000</v>
      </c>
      <c r="C5" s="3" t="s">
        <v>18</v>
      </c>
      <c r="D5" s="3">
        <v>9000</v>
      </c>
      <c r="F5" s="153" t="s">
        <v>277</v>
      </c>
      <c r="G5" s="134"/>
      <c r="H5" s="171"/>
      <c r="I5" s="171"/>
      <c r="J5" s="171"/>
      <c r="K5" s="171"/>
      <c r="L5" s="134"/>
      <c r="M5" s="134"/>
      <c r="N5" s="134"/>
      <c r="O5" s="134" t="s">
        <v>280</v>
      </c>
      <c r="P5" s="134"/>
      <c r="Q5" s="169" t="s">
        <v>279</v>
      </c>
      <c r="R5" s="170"/>
    </row>
    <row r="6" spans="1:18" x14ac:dyDescent="0.25">
      <c r="A6" s="3" t="s">
        <v>35</v>
      </c>
      <c r="B6" s="3">
        <v>8000</v>
      </c>
      <c r="C6" s="3" t="s">
        <v>19</v>
      </c>
      <c r="D6" s="3">
        <v>9000</v>
      </c>
      <c r="F6" s="150" t="s">
        <v>52</v>
      </c>
      <c r="G6" s="152" t="s">
        <v>129</v>
      </c>
      <c r="H6" s="155" t="s">
        <v>28</v>
      </c>
      <c r="I6" s="156"/>
      <c r="J6" s="156"/>
      <c r="K6" s="157"/>
    </row>
    <row r="7" spans="1:18" x14ac:dyDescent="0.25">
      <c r="A7" s="3" t="s">
        <v>36</v>
      </c>
      <c r="B7" s="3">
        <v>8000</v>
      </c>
      <c r="C7" s="3" t="s">
        <v>20</v>
      </c>
      <c r="D7" s="3">
        <v>9000</v>
      </c>
      <c r="F7" s="151"/>
      <c r="G7" s="145"/>
      <c r="H7" s="145" t="s">
        <v>15</v>
      </c>
      <c r="I7" s="145" t="s">
        <v>274</v>
      </c>
      <c r="J7" s="145" t="s">
        <v>275</v>
      </c>
      <c r="K7" s="154" t="s">
        <v>303</v>
      </c>
    </row>
    <row r="8" spans="1:18" ht="15.75" thickBot="1" x14ac:dyDescent="0.3">
      <c r="A8" s="3" t="s">
        <v>37</v>
      </c>
      <c r="B8" s="3">
        <v>8000</v>
      </c>
      <c r="C8" s="3" t="s">
        <v>21</v>
      </c>
      <c r="D8" s="3">
        <v>9000</v>
      </c>
      <c r="F8" s="151"/>
      <c r="G8" s="145"/>
      <c r="H8" s="145"/>
      <c r="I8" s="145"/>
      <c r="J8" s="145"/>
      <c r="K8" s="152"/>
    </row>
    <row r="9" spans="1:18" x14ac:dyDescent="0.25">
      <c r="A9" s="3" t="s">
        <v>38</v>
      </c>
      <c r="B9" s="3">
        <v>8000</v>
      </c>
      <c r="C9" s="3" t="s">
        <v>22</v>
      </c>
      <c r="D9" s="3"/>
      <c r="F9" s="3" t="s">
        <v>50</v>
      </c>
      <c r="G9" s="60" t="s">
        <v>109</v>
      </c>
      <c r="H9" s="39">
        <v>24</v>
      </c>
      <c r="I9" s="34">
        <v>0</v>
      </c>
      <c r="J9" s="34">
        <v>6</v>
      </c>
      <c r="K9" s="34">
        <v>15</v>
      </c>
      <c r="L9" t="s">
        <v>304</v>
      </c>
    </row>
    <row r="10" spans="1:18" ht="15.75" thickBot="1" x14ac:dyDescent="0.3">
      <c r="A10" s="3" t="s">
        <v>39</v>
      </c>
      <c r="B10" s="3">
        <v>8000</v>
      </c>
      <c r="C10" s="3"/>
      <c r="D10" s="3"/>
    </row>
    <row r="11" spans="1:18" ht="15.75" thickBot="1" x14ac:dyDescent="0.3">
      <c r="A11" s="3" t="s">
        <v>40</v>
      </c>
      <c r="B11" s="3">
        <v>8000</v>
      </c>
      <c r="C11" s="3"/>
      <c r="D11" s="3"/>
      <c r="F11" s="153" t="s">
        <v>281</v>
      </c>
      <c r="G11" s="134"/>
      <c r="H11" s="134"/>
      <c r="I11" s="134"/>
      <c r="J11" s="134"/>
      <c r="K11" s="134"/>
      <c r="L11" s="134"/>
      <c r="M11" s="134"/>
      <c r="N11" s="134"/>
      <c r="O11" s="134" t="s">
        <v>280</v>
      </c>
      <c r="P11" s="134"/>
      <c r="Q11" s="169" t="s">
        <v>278</v>
      </c>
      <c r="R11" s="170"/>
    </row>
    <row r="12" spans="1:18" ht="15" customHeight="1" x14ac:dyDescent="0.25">
      <c r="A12" s="3" t="s">
        <v>41</v>
      </c>
      <c r="B12" s="3">
        <v>8000</v>
      </c>
      <c r="C12" s="3"/>
      <c r="D12" s="3"/>
      <c r="F12" s="149" t="s">
        <v>59</v>
      </c>
      <c r="G12" s="149"/>
      <c r="H12" s="52" t="s">
        <v>44</v>
      </c>
      <c r="I12" s="45">
        <v>250</v>
      </c>
    </row>
    <row r="13" spans="1:18" x14ac:dyDescent="0.25">
      <c r="A13" s="3" t="s">
        <v>42</v>
      </c>
      <c r="B13" s="3">
        <v>8000</v>
      </c>
      <c r="C13" s="3"/>
      <c r="D13" s="3"/>
      <c r="F13" s="88"/>
      <c r="G13" s="88"/>
      <c r="H13" s="4" t="s">
        <v>45</v>
      </c>
      <c r="I13" s="3">
        <f>I12</f>
        <v>250</v>
      </c>
    </row>
    <row r="14" spans="1:18" x14ac:dyDescent="0.25">
      <c r="A14" s="3" t="s">
        <v>43</v>
      </c>
      <c r="B14" s="3"/>
      <c r="C14" s="3"/>
      <c r="D14" s="3"/>
      <c r="F14" s="88"/>
      <c r="G14" s="88"/>
      <c r="H14" s="4" t="s">
        <v>46</v>
      </c>
      <c r="I14" s="3">
        <f>I13</f>
        <v>250</v>
      </c>
    </row>
    <row r="15" spans="1:18" ht="15.75" thickBot="1" x14ac:dyDescent="0.3">
      <c r="A15" s="3"/>
      <c r="B15" s="3"/>
      <c r="C15" s="3"/>
      <c r="D15" s="3"/>
      <c r="F15" s="88"/>
      <c r="G15" s="88"/>
      <c r="H15" s="4" t="s">
        <v>47</v>
      </c>
      <c r="I15" s="3">
        <f>I14</f>
        <v>250</v>
      </c>
    </row>
    <row r="16" spans="1:18" x14ac:dyDescent="0.25">
      <c r="A16" s="3"/>
      <c r="B16" s="3"/>
      <c r="C16" s="3"/>
      <c r="D16" s="3"/>
      <c r="F16" s="166" t="s">
        <v>29</v>
      </c>
      <c r="G16" s="167"/>
      <c r="H16" s="167" t="s">
        <v>52</v>
      </c>
      <c r="I16" s="142" t="s">
        <v>129</v>
      </c>
      <c r="J16" s="146" t="s">
        <v>53</v>
      </c>
      <c r="K16" s="147"/>
      <c r="L16" s="147"/>
      <c r="M16" s="165"/>
      <c r="N16" s="146" t="s">
        <v>28</v>
      </c>
      <c r="O16" s="147"/>
      <c r="P16" s="148"/>
    </row>
    <row r="17" spans="1:16" ht="15" customHeight="1" x14ac:dyDescent="0.25">
      <c r="A17" s="3"/>
      <c r="B17" s="3"/>
      <c r="C17" s="3"/>
      <c r="D17" s="3"/>
      <c r="F17" s="168"/>
      <c r="G17" s="151"/>
      <c r="H17" s="151"/>
      <c r="I17" s="143"/>
      <c r="J17" s="144" t="s">
        <v>13</v>
      </c>
      <c r="K17" s="145" t="s">
        <v>54</v>
      </c>
      <c r="L17" s="145" t="s">
        <v>276</v>
      </c>
      <c r="M17" s="164" t="s">
        <v>55</v>
      </c>
      <c r="N17" s="144" t="s">
        <v>15</v>
      </c>
      <c r="O17" s="145" t="s">
        <v>274</v>
      </c>
      <c r="P17" s="143" t="s">
        <v>275</v>
      </c>
    </row>
    <row r="18" spans="1:16" x14ac:dyDescent="0.25">
      <c r="A18" s="3"/>
      <c r="B18" s="3"/>
      <c r="C18" s="3"/>
      <c r="D18" s="3"/>
      <c r="F18" s="168"/>
      <c r="G18" s="151"/>
      <c r="H18" s="151"/>
      <c r="I18" s="143"/>
      <c r="J18" s="144"/>
      <c r="K18" s="145"/>
      <c r="L18" s="145"/>
      <c r="M18" s="164"/>
      <c r="N18" s="144"/>
      <c r="O18" s="145"/>
      <c r="P18" s="143"/>
    </row>
    <row r="19" spans="1:16" x14ac:dyDescent="0.25">
      <c r="A19" s="3"/>
      <c r="B19" s="3"/>
      <c r="C19" s="3"/>
      <c r="D19" s="3"/>
      <c r="F19" s="140">
        <v>1</v>
      </c>
      <c r="G19" s="141"/>
      <c r="H19" s="5">
        <v>2</v>
      </c>
      <c r="I19" s="36">
        <v>3</v>
      </c>
      <c r="J19" s="35">
        <v>4</v>
      </c>
      <c r="K19" s="5">
        <v>5</v>
      </c>
      <c r="L19" s="5">
        <v>6</v>
      </c>
      <c r="M19" s="55">
        <v>7</v>
      </c>
      <c r="N19" s="38">
        <v>8</v>
      </c>
      <c r="O19" s="5">
        <v>9</v>
      </c>
      <c r="P19" s="36">
        <v>10</v>
      </c>
    </row>
    <row r="20" spans="1:16" x14ac:dyDescent="0.25">
      <c r="F20" s="139" t="s">
        <v>66</v>
      </c>
      <c r="G20" s="98"/>
      <c r="H20" s="3" t="s">
        <v>48</v>
      </c>
      <c r="I20" s="59" t="s">
        <v>109</v>
      </c>
      <c r="J20" s="40">
        <v>318</v>
      </c>
      <c r="K20" s="34">
        <v>8</v>
      </c>
      <c r="L20" s="34">
        <v>248</v>
      </c>
      <c r="M20" s="53">
        <v>10</v>
      </c>
      <c r="N20" s="57">
        <v>24</v>
      </c>
      <c r="O20" s="34">
        <v>0</v>
      </c>
      <c r="P20" s="42">
        <v>4</v>
      </c>
    </row>
    <row r="21" spans="1:16" x14ac:dyDescent="0.25">
      <c r="F21" s="139" t="s">
        <v>67</v>
      </c>
      <c r="G21" s="98"/>
      <c r="H21" s="3" t="s">
        <v>49</v>
      </c>
      <c r="I21" s="33" t="s">
        <v>108</v>
      </c>
      <c r="J21" s="40">
        <v>318</v>
      </c>
      <c r="K21" s="34">
        <v>8</v>
      </c>
      <c r="L21" s="34">
        <v>248</v>
      </c>
      <c r="M21" s="53">
        <v>10</v>
      </c>
      <c r="N21" s="57">
        <v>24</v>
      </c>
      <c r="O21" s="34">
        <v>0</v>
      </c>
      <c r="P21" s="42">
        <v>4</v>
      </c>
    </row>
    <row r="22" spans="1:16" x14ac:dyDescent="0.25">
      <c r="F22" s="139" t="s">
        <v>68</v>
      </c>
      <c r="G22" s="98"/>
      <c r="H22" s="3" t="s">
        <v>50</v>
      </c>
      <c r="I22" s="32" t="s">
        <v>110</v>
      </c>
      <c r="J22" s="40">
        <v>388</v>
      </c>
      <c r="K22" s="34">
        <v>8</v>
      </c>
      <c r="L22" s="34">
        <v>184</v>
      </c>
      <c r="M22" s="53">
        <v>10</v>
      </c>
      <c r="N22" s="57">
        <v>24</v>
      </c>
      <c r="O22" s="34">
        <v>0</v>
      </c>
      <c r="P22" s="42">
        <v>6</v>
      </c>
    </row>
    <row r="23" spans="1:16" ht="15" customHeight="1" x14ac:dyDescent="0.25">
      <c r="F23" s="137" t="s">
        <v>65</v>
      </c>
      <c r="G23" s="138"/>
      <c r="H23" s="12" t="s">
        <v>51</v>
      </c>
      <c r="I23" s="30" t="s">
        <v>112</v>
      </c>
      <c r="J23" s="48">
        <v>388</v>
      </c>
      <c r="K23" s="49">
        <v>8</v>
      </c>
      <c r="L23" s="49">
        <v>212</v>
      </c>
      <c r="M23" s="54">
        <v>10</v>
      </c>
      <c r="N23" s="57">
        <v>24</v>
      </c>
      <c r="O23" s="34">
        <v>4</v>
      </c>
      <c r="P23" s="42">
        <v>4</v>
      </c>
    </row>
    <row r="24" spans="1:16" ht="15" customHeight="1" thickBot="1" x14ac:dyDescent="0.3">
      <c r="F24" s="135" t="s">
        <v>71</v>
      </c>
      <c r="G24" s="136"/>
      <c r="H24" s="46" t="s">
        <v>18</v>
      </c>
      <c r="I24" s="47" t="s">
        <v>20</v>
      </c>
      <c r="J24" s="50"/>
      <c r="K24" s="51"/>
      <c r="L24" s="51"/>
      <c r="M24" s="56"/>
      <c r="N24" s="41"/>
      <c r="O24" s="43"/>
      <c r="P24" s="44"/>
    </row>
    <row r="25" spans="1:16" x14ac:dyDescent="0.25">
      <c r="F25" s="13" t="s">
        <v>62</v>
      </c>
    </row>
    <row r="26" spans="1:16" x14ac:dyDescent="0.25">
      <c r="G26" s="9"/>
      <c r="H26" s="9"/>
      <c r="I26" s="9"/>
      <c r="J26" s="9"/>
      <c r="K26" s="9"/>
      <c r="M26" s="9"/>
      <c r="N26" s="8"/>
    </row>
    <row r="27" spans="1:16" x14ac:dyDescent="0.25">
      <c r="F27" s="14" t="s">
        <v>69</v>
      </c>
    </row>
    <row r="28" spans="1:16" x14ac:dyDescent="0.25">
      <c r="F28" t="s">
        <v>70</v>
      </c>
    </row>
    <row r="38" spans="14:14" x14ac:dyDescent="0.25">
      <c r="N38" s="8"/>
    </row>
    <row r="39" spans="14:14" x14ac:dyDescent="0.25">
      <c r="N39" s="8"/>
    </row>
    <row r="40" spans="14:14" x14ac:dyDescent="0.25">
      <c r="N40" s="8"/>
    </row>
    <row r="41" spans="14:14" x14ac:dyDescent="0.25">
      <c r="N41" s="8"/>
    </row>
    <row r="42" spans="14:14" x14ac:dyDescent="0.25">
      <c r="N42" s="8"/>
    </row>
    <row r="43" spans="14:14" x14ac:dyDescent="0.25">
      <c r="N43" s="8"/>
    </row>
    <row r="44" spans="14:14" x14ac:dyDescent="0.25">
      <c r="N44" s="8"/>
    </row>
    <row r="45" spans="14:14" x14ac:dyDescent="0.25">
      <c r="N45" s="8"/>
    </row>
    <row r="46" spans="14:14" x14ac:dyDescent="0.25">
      <c r="N46" s="10"/>
    </row>
    <row r="47" spans="14:14" x14ac:dyDescent="0.25">
      <c r="N47" s="10"/>
    </row>
    <row r="48" spans="14:14" x14ac:dyDescent="0.25">
      <c r="N48" s="10"/>
    </row>
  </sheetData>
  <mergeCells count="35">
    <mergeCell ref="M3:N4"/>
    <mergeCell ref="F1:Q2"/>
    <mergeCell ref="A1:D1"/>
    <mergeCell ref="M17:M18"/>
    <mergeCell ref="K17:K18"/>
    <mergeCell ref="L17:L18"/>
    <mergeCell ref="J17:J18"/>
    <mergeCell ref="J16:M16"/>
    <mergeCell ref="F16:G18"/>
    <mergeCell ref="H16:H18"/>
    <mergeCell ref="I7:I8"/>
    <mergeCell ref="J7:J8"/>
    <mergeCell ref="Q11:R11"/>
    <mergeCell ref="Q5:R5"/>
    <mergeCell ref="O5:P5"/>
    <mergeCell ref="F5:N5"/>
    <mergeCell ref="F6:F8"/>
    <mergeCell ref="G6:G8"/>
    <mergeCell ref="H7:H8"/>
    <mergeCell ref="F11:N11"/>
    <mergeCell ref="K7:K8"/>
    <mergeCell ref="H6:K6"/>
    <mergeCell ref="O11:P11"/>
    <mergeCell ref="F24:G24"/>
    <mergeCell ref="F23:G23"/>
    <mergeCell ref="F20:G20"/>
    <mergeCell ref="F22:G22"/>
    <mergeCell ref="F21:G21"/>
    <mergeCell ref="F19:G19"/>
    <mergeCell ref="I16:I18"/>
    <mergeCell ref="N17:N18"/>
    <mergeCell ref="O17:O18"/>
    <mergeCell ref="P17:P18"/>
    <mergeCell ref="N16:P16"/>
    <mergeCell ref="F12:G15"/>
  </mergeCells>
  <phoneticPr fontId="8" type="noConversion"/>
  <dataValidations count="3">
    <dataValidation type="list" allowBlank="1" showInputMessage="1" showErrorMessage="1" sqref="P20:P23 J9" xr:uid="{86048E58-A0DC-40EB-913D-2188644CAEB0}">
      <formula1>"4,6,8,10,12"</formula1>
    </dataValidation>
    <dataValidation type="list" allowBlank="1" showInputMessage="1" showErrorMessage="1" sqref="H24:M24 Q24" xr:uid="{4E14F7AB-A09C-422A-BFCE-06AEB933F5AA}">
      <formula1>$C$3:$C$19</formula1>
    </dataValidation>
    <dataValidation type="list" allowBlank="1" showInputMessage="1" showErrorMessage="1" sqref="O20:O23 I9" xr:uid="{0287F5C6-CBA3-419D-8F3E-941A34FA7DD1}">
      <formula1>"0,4"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167C59-76CA-4D0F-A068-1EC607A5FBD7}">
          <x14:formula1>
            <xm:f>Data!$K$3:$K$9</xm:f>
          </x14:formula1>
          <xm:sqref>I20:I23 G9</xm:sqref>
        </x14:dataValidation>
        <x14:dataValidation type="list" allowBlank="1" showInputMessage="1" showErrorMessage="1" xr:uid="{633279B0-06C9-4849-ADD5-5423383623F0}">
          <x14:formula1>
            <xm:f>Data!$B$2:$B$9</xm:f>
          </x14:formula1>
          <xm:sqref>H9 N20:N23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Data</vt:lpstr>
      <vt:lpstr>MBLT</vt:lpstr>
      <vt:lpstr>MBM</vt:lpstr>
      <vt:lpstr>MBXGM</vt:lpstr>
      <vt:lpstr>FrameSect</vt:lpstr>
      <vt:lpstr>CSISect</vt:lpstr>
      <vt:lpstr>MBBOLT</vt:lpstr>
      <vt:lpstr>Frame_Box</vt:lpstr>
      <vt:lpstr>Frame_C</vt:lpstr>
      <vt:lpstr>Frame_I</vt:lpstr>
      <vt:lpstr>Frame_Pipe</vt:lpstr>
      <vt:lpstr>Frame_Purlin</vt:lpstr>
      <vt:lpstr>Frame_Rod</vt:lpstr>
      <vt:lpstr>Frame_V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2024-08-13T00:30:03Z</dcterms:created>
  <dcterms:modified xsi:type="dcterms:W3CDTF">2026-09-27T08:31:30Z</dcterms:modified>
</cp:coreProperties>
</file>