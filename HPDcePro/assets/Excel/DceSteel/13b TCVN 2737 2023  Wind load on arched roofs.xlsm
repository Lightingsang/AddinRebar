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Dce Pro\Excel\DceSteel\"/>
    </mc:Choice>
  </mc:AlternateContent>
  <xr:revisionPtr revIDLastSave="0" documentId="13_ncr:1_{F14154FA-563D-4D9B-92E8-D56BBE5B4551}" xr6:coauthVersionLast="47" xr6:coauthVersionMax="47" xr10:uidLastSave="{00000000-0000-0000-0000-000000000000}"/>
  <bookViews>
    <workbookView xWindow="-120" yWindow="-120" windowWidth="29040" windowHeight="15720" tabRatio="934" activeTab="1" xr2:uid="{00000000-000D-0000-FFFF-FFFF00000000}"/>
  </bookViews>
  <sheets>
    <sheet name="GustFactor" sheetId="149" r:id="rId1"/>
    <sheet name="TCVN" sheetId="147" r:id="rId2"/>
    <sheet name="Pic" sheetId="148" state="hidden" r:id="rId3"/>
  </sheets>
  <functionGroups builtInGroupCount="19"/>
  <definedNames>
    <definedName name="_Fill" hidden="1">#REF!</definedName>
    <definedName name="_IND1">#REF!</definedName>
    <definedName name="_Key1" hidden="1">#REF!</definedName>
    <definedName name="_Key2" hidden="1">#REF!</definedName>
    <definedName name="_Order1" hidden="1">255</definedName>
    <definedName name="_Order2" hidden="1">255</definedName>
    <definedName name="_Sort" hidden="1">#REF!</definedName>
    <definedName name="_xleta.MODE" hidden="1" xlm="1">#NAME?</definedName>
    <definedName name="AA">#REF!</definedName>
    <definedName name="b">#REF!</definedName>
    <definedName name="Bang8_10">GustFactor!$B$52:$L$54</definedName>
    <definedName name="d">#REF!</definedName>
    <definedName name="h" hidden="1">{"'Sheet1'!$L$16"}</definedName>
    <definedName name="HTML_CodePage" hidden="1">950</definedName>
    <definedName name="HTML_Control" hidden="1">{"'Sheet1'!$L$16"}</definedName>
    <definedName name="HTML_Description" hidden="1">""</definedName>
    <definedName name="HTML_Email" hidden="1">""</definedName>
    <definedName name="HTML_Header" hidden="1">"Sheet1"</definedName>
    <definedName name="HTML_LastUpdate" hidden="1">"2000/9/14"</definedName>
    <definedName name="HTML_LineAfter" hidden="1">FALSE</definedName>
    <definedName name="HTML_LineBefore" hidden="1">FALSE</definedName>
    <definedName name="HTML_Name" hidden="1">"J.C.WONG"</definedName>
    <definedName name="HTML_OBDlg2" hidden="1">TRUE</definedName>
    <definedName name="HTML_OBDlg4" hidden="1">TRUE</definedName>
    <definedName name="HTML_OS" hidden="1">0</definedName>
    <definedName name="HTML_PathFile" hidden="1">"C:\2689\Q\國內\00q3961台化龍德PTA3建造\MyHTML.htm"</definedName>
    <definedName name="HTML_Title" hidden="1">"00Q3961-SUM"</definedName>
    <definedName name="huy" hidden="1">{"'Sheet1'!$L$16"}</definedName>
    <definedName name="ModeGon">OFFSET(#REF!,0,0,COUNTA(#REF!)-1,1)</definedName>
    <definedName name="Period">OFFSET(#REF!,0,0,COUNTA(#REF!)-1,1)</definedName>
    <definedName name="_xlnm.Print_Area" localSheetId="0">GustFactor!$B$1:$N$47</definedName>
    <definedName name="_xlnm.Print_Titles" localSheetId="0">GustFactor!#REF!</definedName>
    <definedName name="Shape">#REF!</definedName>
    <definedName name="Site_terrain_type">#REF!</definedName>
    <definedName name="Structural_type">#REF!</definedName>
    <definedName name="Structure">#REF!</definedName>
    <definedName name="Stype">#REF!</definedName>
    <definedName name="Type_of_surface">#REF!</definedName>
    <definedName name="UX.PhanTramKhoiLuong">OFFSET(#REF!,0,0,COUNTA(#REF!)-1,1)</definedName>
    <definedName name="UY.PhanTramKhoiLuong">OFFSET(#REF!,0,0,COUNTA(#REF!)-1,1)</definedName>
    <definedName name="wrn.chi._.tiÆt." hidden="1">{#N/A,#N/A,FALSE,"Chi tiÆt"}</definedName>
    <definedName name="Wzon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0" i="147" l="1"/>
  <c r="L54" i="149" l="1"/>
  <c r="J54" i="149"/>
  <c r="L53" i="149"/>
  <c r="J53" i="149"/>
  <c r="L52" i="149"/>
  <c r="J52" i="149"/>
  <c r="K36" i="149"/>
  <c r="E36" i="149"/>
  <c r="K30" i="149"/>
  <c r="K43" i="149" s="1"/>
  <c r="K46" i="149" s="1"/>
  <c r="K29" i="149"/>
  <c r="K42" i="149" s="1"/>
  <c r="K45" i="149" s="1"/>
  <c r="B28" i="149"/>
  <c r="H24" i="149"/>
  <c r="H21" i="149"/>
  <c r="H20" i="149"/>
  <c r="H19" i="149"/>
  <c r="H18" i="149"/>
  <c r="H23" i="149" s="1"/>
  <c r="H17" i="149"/>
  <c r="H22" i="149" s="1"/>
  <c r="H16" i="149"/>
  <c r="H15" i="149"/>
  <c r="H14" i="149"/>
  <c r="H13" i="149"/>
  <c r="H12" i="149"/>
  <c r="H25" i="149" s="1"/>
  <c r="H11" i="149"/>
  <c r="H10" i="149"/>
  <c r="E7" i="149"/>
  <c r="AD36" i="147"/>
  <c r="AE36" i="147" s="1"/>
  <c r="Z31" i="147" s="1"/>
  <c r="P30" i="147"/>
  <c r="AE44" i="147"/>
  <c r="E23" i="147"/>
  <c r="M23" i="147" s="1"/>
  <c r="AE25" i="147" s="1"/>
  <c r="I23" i="147"/>
  <c r="I36" i="147" s="1"/>
  <c r="I37" i="147" s="1"/>
  <c r="E40" i="149" l="1"/>
  <c r="E39" i="149" s="1"/>
  <c r="K40" i="149"/>
  <c r="K39" i="149" s="1"/>
  <c r="E37" i="149"/>
  <c r="K41" i="149"/>
  <c r="K44" i="149" s="1"/>
  <c r="E41" i="149"/>
  <c r="E44" i="149" s="1"/>
  <c r="E42" i="149"/>
  <c r="E45" i="149" s="1"/>
  <c r="E43" i="149"/>
  <c r="E46" i="149" s="1"/>
  <c r="K37" i="149"/>
  <c r="AF36" i="147"/>
  <c r="Z32" i="147" s="1"/>
  <c r="E41" i="147" s="1"/>
  <c r="AQ28" i="147"/>
  <c r="AM28" i="147"/>
  <c r="AQ33" i="147"/>
  <c r="AE26" i="147"/>
  <c r="G36" i="147"/>
  <c r="I40" i="147"/>
  <c r="G40" i="147"/>
  <c r="E40" i="147"/>
  <c r="J15" i="147"/>
  <c r="I41" i="147" l="1"/>
  <c r="G41" i="147"/>
  <c r="K38" i="149"/>
  <c r="K33" i="149" s="1"/>
  <c r="E38" i="149"/>
  <c r="E33" i="149" s="1"/>
  <c r="G37" i="147"/>
  <c r="AN32" i="147"/>
  <c r="AJ30" i="147" s="1"/>
  <c r="AN31" i="147"/>
  <c r="AI30" i="147" s="1"/>
  <c r="AN27" i="147"/>
  <c r="AN26" i="147"/>
  <c r="AH29" i="147"/>
  <c r="AH30" i="147"/>
  <c r="AR31" i="147"/>
  <c r="AH28" i="147"/>
  <c r="AR26" i="147"/>
  <c r="AR32" i="147"/>
  <c r="AR27" i="147"/>
  <c r="AH31" i="147"/>
  <c r="C26" i="147"/>
  <c r="P26" i="147"/>
  <c r="J31" i="147"/>
  <c r="J30" i="147"/>
  <c r="I27" i="147"/>
  <c r="P45" i="147"/>
  <c r="P43" i="147"/>
  <c r="C43" i="147" s="1"/>
  <c r="P41" i="147"/>
  <c r="C41" i="147" s="1"/>
  <c r="P44" i="147"/>
  <c r="P42" i="147"/>
  <c r="C42" i="147" s="1"/>
  <c r="P40" i="147"/>
  <c r="C40" i="147" s="1"/>
  <c r="C27" i="147"/>
  <c r="P35" i="147"/>
  <c r="C35" i="147" s="1"/>
  <c r="W32" i="147"/>
  <c r="W31" i="147"/>
  <c r="P31" i="147"/>
  <c r="P29" i="147"/>
  <c r="J24" i="147"/>
  <c r="J21" i="147"/>
  <c r="J20" i="147"/>
  <c r="J19" i="147"/>
  <c r="J18" i="147"/>
  <c r="C17" i="147"/>
  <c r="J17" i="147"/>
  <c r="J16" i="147"/>
  <c r="M24" i="147"/>
  <c r="C16" i="147"/>
  <c r="C14" i="147"/>
  <c r="J11" i="147"/>
  <c r="I11" i="147"/>
  <c r="AR28" i="147"/>
  <c r="AN28" i="147"/>
  <c r="AR33" i="147"/>
  <c r="C44" i="147" l="1"/>
  <c r="P104" i="147" s="1"/>
  <c r="P108" i="147" s="1"/>
  <c r="C104" i="147"/>
  <c r="C108" i="147" s="1"/>
  <c r="C45" i="147"/>
  <c r="P105" i="147" s="1"/>
  <c r="P109" i="147" s="1"/>
  <c r="C105" i="147"/>
  <c r="C109" i="147" s="1"/>
  <c r="AJ31" i="147"/>
  <c r="AI31" i="147"/>
  <c r="AI28" i="147"/>
  <c r="E36" i="147" s="1"/>
  <c r="AJ28" i="147"/>
  <c r="E37" i="147" s="1"/>
  <c r="AI29" i="147"/>
  <c r="AJ29" i="147"/>
  <c r="T41" i="147" l="1"/>
  <c r="V41" i="147"/>
  <c r="X41" i="147"/>
  <c r="R41" i="147"/>
  <c r="T40" i="147"/>
  <c r="V40" i="147"/>
  <c r="X40" i="147"/>
  <c r="R40" i="147"/>
  <c r="AG43" i="147" l="1"/>
  <c r="AH43" i="147"/>
  <c r="AI43" i="147"/>
  <c r="AF43" i="147"/>
  <c r="AD45" i="147"/>
  <c r="AI44" i="147" a="1"/>
  <c r="AH44" i="147" a="1"/>
  <c r="AG44" i="147" a="1"/>
  <c r="AF44" i="147" a="1"/>
  <c r="AI44" i="147" l="1"/>
  <c r="AH44" i="147"/>
  <c r="AG44" i="147"/>
  <c r="AF44" i="147"/>
  <c r="AH45" i="147" l="1"/>
  <c r="AI45" i="147"/>
  <c r="AG45" i="147"/>
  <c r="AF45" i="147"/>
  <c r="R36" i="147" l="1"/>
  <c r="R37" i="147" s="1"/>
  <c r="V36" i="147"/>
  <c r="V37" i="147" s="1"/>
  <c r="T36" i="147"/>
  <c r="T37" i="147" s="1"/>
  <c r="N29" i="147"/>
  <c r="N28" i="147"/>
  <c r="J29" i="147"/>
  <c r="J28" i="147"/>
  <c r="E28" i="147"/>
  <c r="M31" i="147" l="1"/>
  <c r="E29" i="147"/>
  <c r="M32" i="147" l="1"/>
  <c r="T38" i="147"/>
  <c r="G42" i="147"/>
  <c r="X42" i="147"/>
  <c r="I42" i="147"/>
  <c r="V43" i="147"/>
  <c r="R43" i="147"/>
  <c r="G43" i="147"/>
  <c r="I43" i="147"/>
  <c r="E42" i="147"/>
  <c r="E38" i="147" l="1"/>
  <c r="R38" i="147"/>
  <c r="R45" i="147" s="1"/>
  <c r="E43" i="147"/>
  <c r="X38" i="147"/>
  <c r="T43" i="147"/>
  <c r="T42" i="147"/>
  <c r="X43" i="147"/>
  <c r="V38" i="147"/>
  <c r="V45" i="147" s="1"/>
  <c r="R42" i="147"/>
  <c r="R44" i="147" s="1"/>
  <c r="E44" i="147"/>
  <c r="W59" i="147" s="1"/>
  <c r="T45" i="147"/>
  <c r="V42" i="147"/>
  <c r="X44" i="147"/>
  <c r="T39" i="147"/>
  <c r="X39" i="147"/>
  <c r="X45" i="147" s="1"/>
  <c r="R39" i="147"/>
  <c r="V39" i="147"/>
  <c r="I39" i="147"/>
  <c r="I45" i="147" s="1"/>
  <c r="P60" i="147" s="1"/>
  <c r="I38" i="147"/>
  <c r="I44" i="147" s="1"/>
  <c r="P59" i="147" s="1"/>
  <c r="G38" i="147"/>
  <c r="G44" i="147" s="1"/>
  <c r="S59" i="147" s="1"/>
  <c r="G39" i="147"/>
  <c r="G45" i="147" s="1"/>
  <c r="S60" i="147" s="1"/>
  <c r="E39" i="147"/>
  <c r="E45" i="147" s="1"/>
  <c r="W60" i="147" s="1"/>
  <c r="T44" i="147"/>
  <c r="D93" i="147" l="1"/>
  <c r="L93" i="147" s="1"/>
  <c r="P78" i="147"/>
  <c r="X78" i="147" s="1"/>
  <c r="P84" i="147"/>
  <c r="U84" i="147" s="1"/>
  <c r="D89" i="147"/>
  <c r="I89" i="147" s="1"/>
  <c r="R78" i="147"/>
  <c r="U78" i="147" s="1"/>
  <c r="F93" i="147"/>
  <c r="I93" i="147" s="1"/>
  <c r="G109" i="147"/>
  <c r="R79" i="147"/>
  <c r="U79" i="147" s="1"/>
  <c r="F94" i="147"/>
  <c r="I94" i="147" s="1"/>
  <c r="K105" i="147"/>
  <c r="P92" i="147"/>
  <c r="U92" i="147" s="1"/>
  <c r="D82" i="147"/>
  <c r="I82" i="147" s="1"/>
  <c r="P79" i="147"/>
  <c r="X79" i="147" s="1"/>
  <c r="D94" i="147"/>
  <c r="L94" i="147" s="1"/>
  <c r="P91" i="147"/>
  <c r="U91" i="147" s="1"/>
  <c r="D81" i="147"/>
  <c r="I81" i="147" s="1"/>
  <c r="V44" i="147"/>
  <c r="E108" i="147"/>
  <c r="I105" i="147"/>
  <c r="D60" i="147"/>
  <c r="R105" i="147"/>
  <c r="R109" i="147" s="1"/>
  <c r="K60" i="147"/>
  <c r="V105" i="147"/>
  <c r="V109" i="147" s="1"/>
  <c r="E109" i="147"/>
  <c r="G60" i="147"/>
  <c r="T105" i="147"/>
  <c r="T109" i="147" s="1"/>
  <c r="I104" i="147"/>
  <c r="D59" i="147"/>
  <c r="R104" i="147"/>
  <c r="R108" i="147" s="1"/>
  <c r="G108" i="147"/>
  <c r="G59" i="147"/>
  <c r="T104" i="147"/>
  <c r="T108" i="147" s="1"/>
  <c r="K59" i="147"/>
  <c r="V104" i="147"/>
  <c r="V108" i="147" s="1"/>
  <c r="K104" i="147"/>
  <c r="P83" i="147" l="1"/>
  <c r="U83" i="147" s="1"/>
  <c r="D88" i="147"/>
  <c r="I88" i="14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DELL</author>
  </authors>
  <commentList>
    <comment ref="M20" authorId="0" shapeId="0" xr:uid="{A09C5CFB-7A73-41D0-AC7A-A280BBF667E7}">
      <text>
        <r>
          <rPr>
            <b/>
            <sz val="9"/>
            <color indexed="81"/>
            <rFont val="Tahoma"/>
            <family val="2"/>
          </rPr>
          <t>HVMT:
Chiều cao đỉnh mái (đã tính vòm)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<sst xmlns="http://schemas.openxmlformats.org/spreadsheetml/2006/main" count="390" uniqueCount="248">
  <si>
    <t>C</t>
  </si>
  <si>
    <t>B</t>
  </si>
  <si>
    <t>II</t>
  </si>
  <si>
    <t>III</t>
  </si>
  <si>
    <t>IV</t>
  </si>
  <si>
    <t>I</t>
  </si>
  <si>
    <t>Project's code:</t>
  </si>
  <si>
    <t>Rev. No.</t>
  </si>
  <si>
    <t>Project:</t>
  </si>
  <si>
    <t>Date:</t>
  </si>
  <si>
    <t>The owner:</t>
  </si>
  <si>
    <t>V</t>
  </si>
  <si>
    <t>Zone</t>
  </si>
  <si>
    <t>W3s,20</t>
  </si>
  <si>
    <t>kPa</t>
  </si>
  <si>
    <t>A</t>
  </si>
  <si>
    <t xml:space="preserve">Terrain </t>
  </si>
  <si>
    <t>zg</t>
  </si>
  <si>
    <t>zmin</t>
  </si>
  <si>
    <t>a</t>
  </si>
  <si>
    <t>k(ze)max</t>
  </si>
  <si>
    <t>Wind pressure acting on the surfaces:</t>
  </si>
  <si>
    <t>Loại mái</t>
  </si>
  <si>
    <t>Có cạnh sắc</t>
  </si>
  <si>
    <t>Có tường chắn</t>
  </si>
  <si>
    <t>F</t>
  </si>
  <si>
    <t>G</t>
  </si>
  <si>
    <t>H</t>
  </si>
  <si>
    <r>
      <t>I</t>
    </r>
    <r>
      <rPr>
        <vertAlign val="superscript"/>
        <sz val="10"/>
        <color rgb="FF0000FF"/>
        <rFont val="Arial"/>
        <family val="2"/>
      </rPr>
      <t>+</t>
    </r>
  </si>
  <si>
    <t>Vùng</t>
  </si>
  <si>
    <t>BUILDING (STRUCTURE) DATA</t>
  </si>
  <si>
    <t>SITE DATA</t>
  </si>
  <si>
    <t>Structure:</t>
  </si>
  <si>
    <t>Site terrain type:</t>
  </si>
  <si>
    <t>Structural type:</t>
  </si>
  <si>
    <t>Type of roof:</t>
  </si>
  <si>
    <t>With parapets</t>
  </si>
  <si>
    <t>COEFFICIENTS AND FACTORS</t>
  </si>
  <si>
    <r>
      <t>c</t>
    </r>
    <r>
      <rPr>
        <vertAlign val="subscript"/>
        <sz val="11"/>
        <color theme="1"/>
        <rFont val="Calibri"/>
        <family val="2"/>
        <scheme val="minor"/>
      </rPr>
      <t xml:space="preserve">pe </t>
    </r>
    <r>
      <rPr>
        <sz val="11"/>
        <color theme="1"/>
        <rFont val="Calibri"/>
        <family val="2"/>
        <scheme val="minor"/>
      </rPr>
      <t>=</t>
    </r>
  </si>
  <si>
    <t>Steel building</t>
  </si>
  <si>
    <t>Sharp eaves</t>
  </si>
  <si>
    <r>
      <t>W</t>
    </r>
    <r>
      <rPr>
        <vertAlign val="subscript"/>
        <sz val="11"/>
        <rFont val="Calibri"/>
        <family val="2"/>
        <scheme val="minor"/>
      </rPr>
      <t>3s,20</t>
    </r>
    <r>
      <rPr>
        <sz val="11"/>
        <rFont val="Calibri"/>
        <family val="2"/>
        <scheme val="minor"/>
      </rPr>
      <t xml:space="preserve"> =</t>
    </r>
  </si>
  <si>
    <r>
      <t>z</t>
    </r>
    <r>
      <rPr>
        <vertAlign val="subscript"/>
        <sz val="11"/>
        <rFont val="Calibri"/>
        <family val="2"/>
        <scheme val="minor"/>
      </rPr>
      <t>g</t>
    </r>
    <r>
      <rPr>
        <sz val="11"/>
        <rFont val="Calibri"/>
        <family val="2"/>
        <scheme val="minor"/>
      </rPr>
      <t xml:space="preserve"> =</t>
    </r>
  </si>
  <si>
    <r>
      <rPr>
        <sz val="11"/>
        <rFont val="Symbol"/>
        <family val="1"/>
        <charset val="2"/>
      </rPr>
      <t>a</t>
    </r>
    <r>
      <rPr>
        <sz val="11"/>
        <rFont val="Calibri"/>
        <family val="2"/>
        <scheme val="minor"/>
      </rPr>
      <t xml:space="preserve"> =</t>
    </r>
  </si>
  <si>
    <r>
      <t>W</t>
    </r>
    <r>
      <rPr>
        <vertAlign val="subscript"/>
        <sz val="11"/>
        <rFont val="Calibri"/>
        <family val="2"/>
        <scheme val="minor"/>
      </rPr>
      <t>3s,10</t>
    </r>
    <r>
      <rPr>
        <sz val="11"/>
        <rFont val="Calibri"/>
        <family val="2"/>
        <scheme val="minor"/>
      </rPr>
      <t xml:space="preserve"> =</t>
    </r>
  </si>
  <si>
    <r>
      <t>z</t>
    </r>
    <r>
      <rPr>
        <vertAlign val="subscript"/>
        <sz val="11"/>
        <rFont val="Calibri"/>
        <family val="2"/>
        <scheme val="minor"/>
      </rPr>
      <t>min</t>
    </r>
    <r>
      <rPr>
        <sz val="11"/>
        <rFont val="Calibri"/>
        <family val="2"/>
        <scheme val="minor"/>
      </rPr>
      <t xml:space="preserve"> =</t>
    </r>
  </si>
  <si>
    <r>
      <t>k(z</t>
    </r>
    <r>
      <rPr>
        <vertAlign val="subscript"/>
        <sz val="11"/>
        <rFont val="Calibri"/>
        <family val="2"/>
        <scheme val="minor"/>
      </rPr>
      <t>e</t>
    </r>
    <r>
      <rPr>
        <sz val="11"/>
        <rFont val="Calibri"/>
        <family val="2"/>
        <scheme val="minor"/>
      </rPr>
      <t>),max =</t>
    </r>
  </si>
  <si>
    <r>
      <t>c</t>
    </r>
    <r>
      <rPr>
        <vertAlign val="subscript"/>
        <sz val="11"/>
        <color theme="1"/>
        <rFont val="Calibri"/>
        <family val="2"/>
        <scheme val="minor"/>
      </rPr>
      <t xml:space="preserve">pi </t>
    </r>
    <r>
      <rPr>
        <sz val="11"/>
        <color theme="1"/>
        <rFont val="Calibri"/>
        <family val="2"/>
        <scheme val="minor"/>
      </rPr>
      <t>=</t>
    </r>
  </si>
  <si>
    <t>s</t>
  </si>
  <si>
    <r>
      <t>w</t>
    </r>
    <r>
      <rPr>
        <vertAlign val="subscript"/>
        <sz val="11"/>
        <color theme="1"/>
        <rFont val="Calibri"/>
        <family val="2"/>
        <scheme val="minor"/>
      </rPr>
      <t xml:space="preserve">e </t>
    </r>
    <r>
      <rPr>
        <sz val="11"/>
        <color theme="1"/>
        <rFont val="Calibri"/>
        <family val="2"/>
        <scheme val="minor"/>
      </rPr>
      <t>=</t>
    </r>
  </si>
  <si>
    <t>Case 1</t>
  </si>
  <si>
    <t>Case 2</t>
  </si>
  <si>
    <r>
      <t>w</t>
    </r>
    <r>
      <rPr>
        <vertAlign val="subscript"/>
        <sz val="11"/>
        <color theme="1"/>
        <rFont val="Calibri"/>
        <family val="2"/>
        <scheme val="minor"/>
      </rPr>
      <t xml:space="preserve">i </t>
    </r>
    <r>
      <rPr>
        <sz val="11"/>
        <color theme="1"/>
        <rFont val="Calibri"/>
        <family val="2"/>
        <scheme val="minor"/>
      </rPr>
      <t>=</t>
    </r>
  </si>
  <si>
    <r>
      <t>w</t>
    </r>
    <r>
      <rPr>
        <vertAlign val="subscript"/>
        <sz val="11"/>
        <color theme="1"/>
        <rFont val="Calibri"/>
        <family val="2"/>
        <scheme val="minor"/>
      </rPr>
      <t xml:space="preserve">k </t>
    </r>
    <r>
      <rPr>
        <sz val="11"/>
        <color theme="1"/>
        <rFont val="Calibri"/>
        <family val="2"/>
        <scheme val="minor"/>
      </rPr>
      <t>=</t>
    </r>
  </si>
  <si>
    <t>EN</t>
  </si>
  <si>
    <t>VN</t>
  </si>
  <si>
    <t>Mã dự án</t>
  </si>
  <si>
    <t>Dự án</t>
  </si>
  <si>
    <t>Chủ đầu tư</t>
  </si>
  <si>
    <t>Item</t>
  </si>
  <si>
    <t>Hạng mục</t>
  </si>
  <si>
    <t>Hiệu chỉnh</t>
  </si>
  <si>
    <t>Ngày</t>
  </si>
  <si>
    <t>Design</t>
  </si>
  <si>
    <t>Thiết kế</t>
  </si>
  <si>
    <t>Check</t>
  </si>
  <si>
    <t>Kiểm tra</t>
  </si>
  <si>
    <t>Design code:</t>
  </si>
  <si>
    <t>Tiêu chuẩn thiết kế:</t>
  </si>
  <si>
    <t>TCVN 2737:2023 Tải trọng và tác động - Tiêu chuẩn thiết kế</t>
  </si>
  <si>
    <t>TCVN 2737:2023 Loads and Action - Design standard</t>
  </si>
  <si>
    <t>Section F.2.1 Flat roofs are defined as having a angle</t>
  </si>
  <si>
    <t>Mục F.2.1 Mái bằng khi có góc dốc</t>
  </si>
  <si>
    <t>KÍCH THƯỚC HÌNH HỌC</t>
  </si>
  <si>
    <t>DỮ LIỆU CÔNG TRÌNH</t>
  </si>
  <si>
    <t>HỆ SỐ</t>
  </si>
  <si>
    <t>Internal pressure coefficient</t>
  </si>
  <si>
    <t>Hệ số khí động áp lực bên trong</t>
  </si>
  <si>
    <t>Trường hợp 1</t>
  </si>
  <si>
    <t>Trường hợp 2</t>
  </si>
  <si>
    <t>Reference height</t>
  </si>
  <si>
    <t>Chiều cao tham chiếu</t>
  </si>
  <si>
    <t xml:space="preserve">Terrain factor </t>
  </si>
  <si>
    <t>Hệ số địa hình</t>
  </si>
  <si>
    <t>(Section 10.2.2)</t>
  </si>
  <si>
    <t>(Mục 10.2.2)</t>
  </si>
  <si>
    <t>Flat roof</t>
  </si>
  <si>
    <t>Mái bằng</t>
  </si>
  <si>
    <t>/ Nhà BTCT</t>
  </si>
  <si>
    <t>/ Nhà thép</t>
  </si>
  <si>
    <t>RC building</t>
  </si>
  <si>
    <t>/ Có cạnh sắc</t>
  </si>
  <si>
    <t>/ Có tường chắn mái</t>
  </si>
  <si>
    <r>
      <t>h</t>
    </r>
    <r>
      <rPr>
        <vertAlign val="subscript"/>
        <sz val="11"/>
        <color theme="1"/>
        <rFont val="Calibri"/>
        <family val="2"/>
        <scheme val="minor"/>
      </rPr>
      <t>p</t>
    </r>
    <r>
      <rPr>
        <sz val="11"/>
        <color theme="1"/>
        <rFont val="Calibri"/>
        <family val="2"/>
        <scheme val="minor"/>
      </rPr>
      <t xml:space="preserve"> [m] =</t>
    </r>
  </si>
  <si>
    <r>
      <t>G</t>
    </r>
    <r>
      <rPr>
        <vertAlign val="subscript"/>
        <sz val="10"/>
        <rFont val="Arial"/>
        <family val="2"/>
      </rPr>
      <t>f</t>
    </r>
    <r>
      <rPr>
        <sz val="10"/>
        <rFont val="Arial"/>
        <family val="2"/>
      </rPr>
      <t xml:space="preserve"> =</t>
    </r>
  </si>
  <si>
    <t>Roof / building width</t>
  </si>
  <si>
    <t>Chiều rộng nhà / mái</t>
  </si>
  <si>
    <t>Loại mái:</t>
  </si>
  <si>
    <t>Loại kết cấu:</t>
  </si>
  <si>
    <t>Kết cấu:</t>
  </si>
  <si>
    <t>Roof / building length</t>
  </si>
  <si>
    <t>Chiều dài nhà / mái</t>
  </si>
  <si>
    <t>Building height</t>
  </si>
  <si>
    <t>Chiều cao nhà</t>
  </si>
  <si>
    <t>Parapet height</t>
  </si>
  <si>
    <t>Chiều cao tường chắn</t>
  </si>
  <si>
    <t>Radius of curved eaves</t>
  </si>
  <si>
    <t>Bán kính cong của mái</t>
  </si>
  <si>
    <t>Angle of mansard eaves</t>
  </si>
  <si>
    <t>Góc của cạnh vát góc</t>
  </si>
  <si>
    <t>Gust Effect factor</t>
  </si>
  <si>
    <t>Hệ số hiệu ứng giật</t>
  </si>
  <si>
    <r>
      <t>c</t>
    </r>
    <r>
      <rPr>
        <vertAlign val="subscript"/>
        <sz val="11"/>
        <color theme="1"/>
        <rFont val="Calibri"/>
        <family val="2"/>
        <scheme val="minor"/>
      </rPr>
      <t>pi</t>
    </r>
    <r>
      <rPr>
        <sz val="11"/>
        <color theme="1"/>
        <rFont val="Calibri"/>
        <family val="2"/>
        <scheme val="minor"/>
      </rPr>
      <t xml:space="preserve"> -</t>
    </r>
  </si>
  <si>
    <t>CALCULATIONS: WIND PRESSURES FOR ROOF</t>
  </si>
  <si>
    <t>TH1</t>
  </si>
  <si>
    <t>TH2</t>
  </si>
  <si>
    <r>
      <t>z</t>
    </r>
    <r>
      <rPr>
        <vertAlign val="subscript"/>
        <sz val="10"/>
        <rFont val="Arial"/>
        <family val="2"/>
      </rPr>
      <t>e</t>
    </r>
    <r>
      <rPr>
        <sz val="10"/>
        <rFont val="Arial"/>
        <family val="2"/>
      </rPr>
      <t xml:space="preserve"> [m] =</t>
    </r>
  </si>
  <si>
    <r>
      <t>k(z</t>
    </r>
    <r>
      <rPr>
        <vertAlign val="subscript"/>
        <sz val="10"/>
        <rFont val="Arial"/>
        <family val="2"/>
      </rPr>
      <t>e</t>
    </r>
    <r>
      <rPr>
        <sz val="10"/>
        <rFont val="Arial"/>
        <family val="2"/>
      </rPr>
      <t>) =</t>
    </r>
  </si>
  <si>
    <t>TÍNH TOÁN ÁP LỰC GIÓ</t>
  </si>
  <si>
    <t>Áp lực gió tác dụng lên bề mặt:</t>
  </si>
  <si>
    <t>Địa hình</t>
  </si>
  <si>
    <t>TÍNH TOÁN ÁP LỰC GIÓ PHƯƠNG X</t>
  </si>
  <si>
    <t>HẠNG MỤC</t>
  </si>
  <si>
    <t>NHÀ XƯỞNG</t>
  </si>
  <si>
    <t>TÍNH TOÁN TẢI TRỌNG GIÓ TÁC DỤNG LÊN NHÀ MÁI VÒM</t>
  </si>
  <si>
    <t>Kết cấu</t>
  </si>
  <si>
    <t>Mái vòm</t>
  </si>
  <si>
    <t>Chiều cao vòm</t>
  </si>
  <si>
    <t>f [m] =</t>
  </si>
  <si>
    <r>
      <t>W</t>
    </r>
    <r>
      <rPr>
        <vertAlign val="subscript"/>
        <sz val="11"/>
        <rFont val="Calibri"/>
        <family val="2"/>
        <scheme val="minor"/>
      </rPr>
      <t>3s,10</t>
    </r>
    <r>
      <rPr>
        <sz val="11"/>
        <rFont val="Calibri"/>
        <family val="2"/>
        <scheme val="minor"/>
      </rPr>
      <t xml:space="preserve"> k(z</t>
    </r>
    <r>
      <rPr>
        <vertAlign val="subscript"/>
        <sz val="11"/>
        <rFont val="Calibri"/>
        <family val="2"/>
        <scheme val="minor"/>
      </rPr>
      <t>e</t>
    </r>
    <r>
      <rPr>
        <sz val="11"/>
        <rFont val="Calibri"/>
        <family val="2"/>
        <scheme val="minor"/>
      </rPr>
      <t>) G</t>
    </r>
    <r>
      <rPr>
        <vertAlign val="subscript"/>
        <sz val="11"/>
        <rFont val="Calibri"/>
        <family val="2"/>
        <scheme val="minor"/>
      </rPr>
      <t>f</t>
    </r>
    <r>
      <rPr>
        <sz val="11"/>
        <rFont val="Calibri"/>
        <family val="2"/>
        <scheme val="minor"/>
      </rPr>
      <t xml:space="preserve"> (kPa)=</t>
    </r>
  </si>
  <si>
    <t>TÍNH TOÁN ÁP LỰC GIÓ PHƯƠNG Y</t>
  </si>
  <si>
    <t>d [m] =</t>
  </si>
  <si>
    <t>b [m] =</t>
  </si>
  <si>
    <t>f/d =</t>
  </si>
  <si>
    <t>h1/d =</t>
  </si>
  <si>
    <r>
      <t>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 xml:space="preserve"> =</t>
    </r>
  </si>
  <si>
    <t>TH3</t>
  </si>
  <si>
    <t>TH4</t>
  </si>
  <si>
    <t>f/d &lt; 0.2</t>
  </si>
  <si>
    <t>TH1:</t>
  </si>
  <si>
    <r>
      <t xml:space="preserve">0.2 </t>
    </r>
    <r>
      <rPr>
        <sz val="10"/>
        <rFont val="Symbol"/>
        <family val="1"/>
        <charset val="2"/>
      </rPr>
      <t>£</t>
    </r>
    <r>
      <rPr>
        <sz val="10"/>
        <rFont val="Arial"/>
        <family val="2"/>
      </rPr>
      <t xml:space="preserve"> f/d </t>
    </r>
    <r>
      <rPr>
        <sz val="10"/>
        <rFont val="Symbol"/>
        <family val="1"/>
        <charset val="2"/>
      </rPr>
      <t>£</t>
    </r>
    <r>
      <rPr>
        <sz val="10"/>
        <rFont val="Arial"/>
        <family val="2"/>
      </rPr>
      <t xml:space="preserve"> 0.3</t>
    </r>
    <r>
      <rPr>
        <sz val="10"/>
        <rFont val="Arial"/>
        <family val="2"/>
      </rPr>
      <t xml:space="preserve"> &amp; h1/d </t>
    </r>
    <r>
      <rPr>
        <sz val="10"/>
        <rFont val="Symbol"/>
        <family val="1"/>
        <charset val="2"/>
      </rPr>
      <t>³</t>
    </r>
    <r>
      <rPr>
        <sz val="10"/>
        <rFont val="Arial"/>
        <family val="2"/>
      </rPr>
      <t xml:space="preserve"> 0.5</t>
    </r>
  </si>
  <si>
    <t>TH2:</t>
  </si>
  <si>
    <r>
      <t xml:space="preserve">0.2 </t>
    </r>
    <r>
      <rPr>
        <sz val="10"/>
        <rFont val="Symbol"/>
        <family val="1"/>
        <charset val="2"/>
      </rPr>
      <t>£</t>
    </r>
    <r>
      <rPr>
        <sz val="10"/>
        <rFont val="Arial"/>
        <family val="2"/>
      </rPr>
      <t xml:space="preserve"> f/d </t>
    </r>
    <r>
      <rPr>
        <sz val="10"/>
        <rFont val="Symbol"/>
        <family val="1"/>
        <charset val="2"/>
      </rPr>
      <t>£</t>
    </r>
    <r>
      <rPr>
        <sz val="10"/>
        <rFont val="Arial"/>
        <family val="2"/>
      </rPr>
      <t xml:space="preserve"> 0.3</t>
    </r>
    <r>
      <rPr>
        <sz val="10"/>
        <rFont val="Arial"/>
        <family val="2"/>
      </rPr>
      <t xml:space="preserve"> &amp; h1/d </t>
    </r>
    <r>
      <rPr>
        <sz val="10"/>
        <rFont val="Symbol"/>
        <family val="1"/>
        <charset val="2"/>
      </rPr>
      <t>&lt;</t>
    </r>
    <r>
      <rPr>
        <sz val="10"/>
        <rFont val="Arial"/>
        <family val="2"/>
      </rPr>
      <t xml:space="preserve"> 0.5</t>
    </r>
  </si>
  <si>
    <t>TH3:</t>
  </si>
  <si>
    <t>TH4:</t>
  </si>
  <si>
    <r>
      <rPr>
        <sz val="10"/>
        <rFont val="Arial"/>
        <family val="2"/>
      </rPr>
      <t xml:space="preserve">f/d </t>
    </r>
    <r>
      <rPr>
        <sz val="10"/>
        <rFont val="Symbol"/>
        <family val="1"/>
        <charset val="2"/>
      </rPr>
      <t>&gt;</t>
    </r>
    <r>
      <rPr>
        <sz val="10"/>
        <rFont val="Arial"/>
        <family val="2"/>
      </rPr>
      <t xml:space="preserve"> 0.3</t>
    </r>
  </si>
  <si>
    <t>Điều kiện</t>
  </si>
  <si>
    <t>f/d</t>
  </si>
  <si>
    <t>h1/d</t>
  </si>
  <si>
    <t>Giá trị</t>
  </si>
  <si>
    <r>
      <t>h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>/d</t>
    </r>
  </si>
  <si>
    <r>
      <t>h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>/d (+)</t>
    </r>
  </si>
  <si>
    <r>
      <t>h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>/d (-)</t>
    </r>
  </si>
  <si>
    <t>Giá trị 1</t>
  </si>
  <si>
    <t>Giá trị 2</t>
  </si>
  <si>
    <t>Vùng F</t>
  </si>
  <si>
    <t>Vùng G</t>
  </si>
  <si>
    <t>Vùng H</t>
  </si>
  <si>
    <t>Vùng I</t>
  </si>
  <si>
    <t>Vùng A</t>
  </si>
  <si>
    <t>Vùng C</t>
  </si>
  <si>
    <t>Vùng B</t>
  </si>
  <si>
    <r>
      <t>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+f [m] =</t>
    </r>
  </si>
  <si>
    <r>
      <t>W</t>
    </r>
    <r>
      <rPr>
        <vertAlign val="subscript"/>
        <sz val="10"/>
        <rFont val="Arial"/>
        <family val="2"/>
      </rPr>
      <t>k</t>
    </r>
    <r>
      <rPr>
        <sz val="10"/>
        <rFont val="Arial"/>
        <family val="2"/>
      </rPr>
      <t xml:space="preserve"> = W</t>
    </r>
    <r>
      <rPr>
        <vertAlign val="subscript"/>
        <sz val="10"/>
        <rFont val="Arial"/>
        <family val="2"/>
      </rPr>
      <t>3s,10</t>
    </r>
    <r>
      <rPr>
        <sz val="10"/>
        <rFont val="Arial"/>
        <family val="2"/>
      </rPr>
      <t xml:space="preserve"> . k(z</t>
    </r>
    <r>
      <rPr>
        <vertAlign val="subscript"/>
        <sz val="10"/>
        <rFont val="Arial"/>
        <family val="2"/>
      </rPr>
      <t>e</t>
    </r>
    <r>
      <rPr>
        <sz val="10"/>
        <rFont val="Arial"/>
        <family val="2"/>
      </rPr>
      <t>).c.G</t>
    </r>
    <r>
      <rPr>
        <vertAlign val="subscript"/>
        <sz val="10"/>
        <rFont val="Arial"/>
        <family val="2"/>
      </rPr>
      <t>f</t>
    </r>
  </si>
  <si>
    <t>Open ratio for each wind direction</t>
  </si>
  <si>
    <t>Độ hở của tường chắn</t>
  </si>
  <si>
    <t>Open ratio for each wind direction / Độ hở của tường chắn</t>
  </si>
  <si>
    <t>Hệ số áp lực trong (phụ lục F12)</t>
  </si>
  <si>
    <t>TÍNH TOÁN HỆ SỐ HIỆU ỨNG GIẬT Gf</t>
  </si>
  <si>
    <t>1. Dữ liệu tính toán</t>
  </si>
  <si>
    <t>Chiều cao nhà từ mặt đất (m)</t>
  </si>
  <si>
    <t>Chiều cao lan can tầng mái:</t>
  </si>
  <si>
    <t>m</t>
  </si>
  <si>
    <t>Vùng áp lực gió:</t>
  </si>
  <si>
    <t>Dạng địa hình:</t>
  </si>
  <si>
    <t>Kết cấu thép</t>
  </si>
  <si>
    <t>Hệ số độ tin cậy:</t>
  </si>
  <si>
    <t>TCVN 2737-2023 - 10.1.6</t>
  </si>
  <si>
    <r>
      <t>Áp lực gió trung bình W</t>
    </r>
    <r>
      <rPr>
        <vertAlign val="subscript"/>
        <sz val="10"/>
        <rFont val="Arial"/>
        <family val="2"/>
      </rPr>
      <t>0</t>
    </r>
    <r>
      <rPr>
        <sz val="10"/>
        <rFont val="Arial"/>
        <family val="2"/>
      </rPr>
      <t xml:space="preserve"> (kN/m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</si>
  <si>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t>QCVN 02</t>
  </si>
  <si>
    <r>
      <t>Áp lực gió 3s, chu kỳ lặp 10 năm W</t>
    </r>
    <r>
      <rPr>
        <vertAlign val="subscript"/>
        <sz val="10"/>
        <rFont val="Arial"/>
        <family val="2"/>
      </rPr>
      <t>3s,10</t>
    </r>
    <r>
      <rPr>
        <sz val="10"/>
        <rFont val="Arial"/>
        <family val="2"/>
      </rPr>
      <t xml:space="preserve"> (kN/m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</si>
  <si>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t>TCVN 2737-2023 - 10.2.2</t>
  </si>
  <si>
    <t>Vận tốc gió 3s, CKL 50 năm V3s,50 (m/s)</t>
  </si>
  <si>
    <r>
      <t>Giá trị z</t>
    </r>
    <r>
      <rPr>
        <vertAlign val="subscript"/>
        <sz val="10"/>
        <rFont val="Arial"/>
        <family val="2"/>
      </rPr>
      <t xml:space="preserve">min </t>
    </r>
    <r>
      <rPr>
        <sz val="10"/>
        <rFont val="Arial"/>
        <family val="2"/>
      </rPr>
      <t>(m)</t>
    </r>
  </si>
  <si>
    <t>TCVN 2737-2023 - 10.2.5 - Bảng 8</t>
  </si>
  <si>
    <r>
      <t>Giá trị z</t>
    </r>
    <r>
      <rPr>
        <vertAlign val="subscript"/>
        <sz val="10"/>
        <rFont val="Arial"/>
        <family val="2"/>
      </rPr>
      <t xml:space="preserve">g </t>
    </r>
    <r>
      <rPr>
        <sz val="10"/>
        <rFont val="Arial"/>
        <family val="2"/>
      </rPr>
      <t>(m)</t>
    </r>
  </si>
  <si>
    <t>Giá trị α</t>
  </si>
  <si>
    <r>
      <t>Giá trị max k(z</t>
    </r>
    <r>
      <rPr>
        <vertAlign val="subscript"/>
        <sz val="10"/>
        <rFont val="Arial"/>
        <family val="2"/>
      </rPr>
      <t>e</t>
    </r>
    <r>
      <rPr>
        <sz val="10"/>
        <rFont val="Arial"/>
        <family val="2"/>
      </rPr>
      <t>)</t>
    </r>
  </si>
  <si>
    <r>
      <t>Hệ số phụ thuộc vào các dạng địa hình khác nhau C</t>
    </r>
    <r>
      <rPr>
        <vertAlign val="subscript"/>
        <sz val="10"/>
        <rFont val="Arial"/>
        <family val="2"/>
      </rPr>
      <t>r</t>
    </r>
  </si>
  <si>
    <t>TCVN 2737-2023 - 10.2.7.3 - Bảng 10</t>
  </si>
  <si>
    <t>Hệ số phụ thuộc vào các dạng địa hình khác nhau  ℓ</t>
  </si>
  <si>
    <t>Hệ số phụ thuộc vào các dạng địa hình khác nhau  ꑾ</t>
  </si>
  <si>
    <t>Hệ số phụ thuộc vào các dạng địa hình khác nhau   b͆</t>
  </si>
  <si>
    <t>Hệ số phụ thuộc vào các dạng địa hình khác nhau  ᾱ</t>
  </si>
  <si>
    <r>
      <t>Độ rối I(z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>) =</t>
    </r>
  </si>
  <si>
    <t>TCVN 2737-2023 - 10.2.7.3 - (14)</t>
  </si>
  <si>
    <r>
      <t>Thang nguyên kích thước xoáy L(z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>) =</t>
    </r>
  </si>
  <si>
    <t>TCVN 2737-2023 - 10.2.7.3 - (17)</t>
  </si>
  <si>
    <t>Độ cản β =</t>
  </si>
  <si>
    <t>TCVN 2737-2023 - 10.2.7.3 - (18)</t>
  </si>
  <si>
    <r>
      <t>Vận tốc gió TB 1h, CKL 50 năm V(Zs)</t>
    </r>
    <r>
      <rPr>
        <vertAlign val="subscript"/>
        <sz val="10"/>
        <rFont val="Arial"/>
        <family val="2"/>
      </rPr>
      <t>3600s,50</t>
    </r>
    <r>
      <rPr>
        <sz val="10"/>
        <rFont val="Arial"/>
        <family val="2"/>
      </rPr>
      <t xml:space="preserve"> (m/s)</t>
    </r>
  </si>
  <si>
    <t>TCVN 2737-2023 - 10.2.7.3 - (21)</t>
  </si>
  <si>
    <t>Gió phương X</t>
  </si>
  <si>
    <t>Gió phương Y</t>
  </si>
  <si>
    <t>Diễn giải</t>
  </si>
  <si>
    <t>Chu kỳ dao động (s)</t>
  </si>
  <si>
    <t>Bề rộng mặt đón gió TB (B)</t>
  </si>
  <si>
    <t>Chiều dài công trình (D)</t>
  </si>
  <si>
    <t>2. Kết quả</t>
  </si>
  <si>
    <r>
      <t>Hệ số hiệu ứng giật G</t>
    </r>
    <r>
      <rPr>
        <vertAlign val="subscript"/>
        <sz val="10"/>
        <rFont val="Arial"/>
        <family val="2"/>
      </rPr>
      <t xml:space="preserve">f </t>
    </r>
    <r>
      <rPr>
        <sz val="10"/>
        <rFont val="Arial"/>
        <family val="2"/>
      </rPr>
      <t>:</t>
    </r>
  </si>
  <si>
    <t>10.2.7.3 - (13)</t>
  </si>
  <si>
    <t>3. Phụ lục tính toán</t>
  </si>
  <si>
    <t>Hệ số đỉnh gR</t>
  </si>
  <si>
    <t>10.2.7.3 - (15)</t>
  </si>
  <si>
    <t>hệ số phản ứng nền kết cấu Q:</t>
  </si>
  <si>
    <t>hệ số phản ứng nền của kết cấu Q:</t>
  </si>
  <si>
    <t>10.2.7.3 - (16)</t>
  </si>
  <si>
    <t>Hệ số phản ứng cộng hưởng R</t>
  </si>
  <si>
    <t>10.2.7.3 - (18)</t>
  </si>
  <si>
    <t>Rn =</t>
  </si>
  <si>
    <t>10.2.7.3 - (19)</t>
  </si>
  <si>
    <t>N1 =</t>
  </si>
  <si>
    <t>10.2.7.3 - (20)</t>
  </si>
  <si>
    <r>
      <t>HS hàm dẫn suất khí động ƞ</t>
    </r>
    <r>
      <rPr>
        <vertAlign val="subscript"/>
        <sz val="10"/>
        <rFont val="Arial"/>
        <family val="2"/>
      </rPr>
      <t>h</t>
    </r>
    <r>
      <rPr>
        <sz val="10"/>
        <rFont val="Arial"/>
        <family val="2"/>
      </rPr>
      <t xml:space="preserve"> =</t>
    </r>
  </si>
  <si>
    <t>10.2.7.3 - (24)</t>
  </si>
  <si>
    <r>
      <t>HS hàm dẫn suất khí động ƞ</t>
    </r>
    <r>
      <rPr>
        <vertAlign val="subscript"/>
        <sz val="10"/>
        <rFont val="Arial"/>
        <family val="2"/>
      </rPr>
      <t>b</t>
    </r>
    <r>
      <rPr>
        <sz val="10"/>
        <rFont val="Arial"/>
        <family val="2"/>
      </rPr>
      <t xml:space="preserve"> =</t>
    </r>
  </si>
  <si>
    <r>
      <t>HS hàm dẫn suất khí động ƞ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</si>
  <si>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t>Hàm số dẫn suất khí động Rh =</t>
  </si>
  <si>
    <t>Hàm số dẫn suất khí động Rb =</t>
  </si>
  <si>
    <t>Hàm số dẫn suất khí động Rd =</t>
  </si>
  <si>
    <t>BẢNG 8</t>
  </si>
  <si>
    <t>BẢNG 10</t>
  </si>
  <si>
    <t xml:space="preserve">Dạng
địa hình </t>
  </si>
  <si>
    <t xml:space="preserve">Mô tả dạng địa hình </t>
  </si>
  <si>
    <r>
      <t xml:space="preserve">Giá trị </t>
    </r>
    <r>
      <rPr>
        <i/>
        <sz val="11"/>
        <color rgb="FF000000"/>
        <rFont val="Arial-BoldItalicMT"/>
      </rPr>
      <t>z</t>
    </r>
    <r>
      <rPr>
        <i/>
        <vertAlign val="subscript"/>
        <sz val="11"/>
        <color rgb="FF000000"/>
        <rFont val="Arial-BoldItalicMT"/>
      </rPr>
      <t>g</t>
    </r>
    <r>
      <rPr>
        <sz val="11"/>
        <color rgb="FF000000"/>
        <rFont val="Arial-BoldMT"/>
      </rPr>
      <t xml:space="preserve">, </t>
    </r>
    <r>
      <rPr>
        <sz val="11"/>
        <color rgb="FF000000"/>
        <rFont val="ArialMT"/>
      </rPr>
      <t xml:space="preserve">m </t>
    </r>
  </si>
  <si>
    <r>
      <rPr>
        <sz val="11"/>
        <color rgb="FF000000"/>
        <rFont val="Arial-BoldMT"/>
      </rPr>
      <t>Giá trị Z</t>
    </r>
    <r>
      <rPr>
        <sz val="7"/>
        <color rgb="FF000000"/>
        <rFont val="Arial-BoldMT"/>
      </rPr>
      <t>min</t>
    </r>
    <r>
      <rPr>
        <sz val="11"/>
        <color rgb="FF000000"/>
        <rFont val="Arial-BoldMT"/>
      </rPr>
      <t xml:space="preserve">, </t>
    </r>
    <r>
      <rPr>
        <sz val="11"/>
        <color rgb="FF000000"/>
        <rFont val="ArialMT"/>
      </rPr>
      <t xml:space="preserve">m </t>
    </r>
  </si>
  <si>
    <r>
      <t xml:space="preserve">Giá trị </t>
    </r>
    <r>
      <rPr>
        <sz val="11"/>
        <color rgb="FF000000"/>
        <rFont val="Symbol"/>
        <family val="1"/>
        <charset val="2"/>
      </rPr>
      <t>a</t>
    </r>
  </si>
  <si>
    <t>Max k(ze)</t>
  </si>
  <si>
    <t>cr</t>
  </si>
  <si>
    <t>l,m</t>
  </si>
  <si>
    <t>Trống trải, không có hoặc có rất ít vật cản cao không quá 1,5 m (bờ biển thoáng, mặt sông, hồ lớn, đồng muối, cánh đồng không có cây cao...), xem Hình D.1, Phụ lục D.</t>
  </si>
  <si>
    <t>Tương đối trống trải, có một số vật cản thưa thớt cao không quá 10 m (vùng ngoại ô ít nhà, thị trấn, làng mạc, rừng thưa hoặc rừng non, vùng trồng cây thưa…), xem Hình D.2, Phụ lục D.</t>
  </si>
  <si>
    <t>Bị che chắn mạnh, có nhiều vật cản sát nhau cao từ 10 m trở lên (trong thành phố, vùng rừng rậm...), xem Hình D.3, Phụ lục D.</t>
  </si>
  <si>
    <t>BƯỚC KHUNG</t>
  </si>
  <si>
    <t>KHUNG GIỮA</t>
  </si>
  <si>
    <t>KHUNG ĐẦU HỒI</t>
  </si>
  <si>
    <t>SƠ ĐỒ PHÂN CHIA VÙNG ÁP LỰC GIÓ X</t>
  </si>
  <si>
    <t>SƠ ĐỒ PHÂN CHIA VÙNG ÁP LỰC GIÓ (GIÓ 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</si>
</sst>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&quot;$&quot;#,##0\ ;\(&quot;$&quot;#,##0\)"/>
    <numFmt numFmtId="166" formatCode="0.0"/>
    <numFmt numFmtId="167" formatCode="0.0000"/>
    <numFmt numFmtId="168" formatCode="0.0%"/>
  </numFmts>
  <fonts count="82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12"/>
      <name val="Arial"/>
      <family val="2"/>
    </font>
    <font>
      <sz val="10"/>
      <name val="Arial"/>
      <family val="2"/>
    </font>
    <font>
      <sz val="10"/>
      <color indexed="12"/>
      <name val="Symbol"/>
      <family val="1"/>
      <charset val="2"/>
    </font>
    <font>
      <sz val="10"/>
      <color indexed="12"/>
      <name val="Arial"/>
      <family val="2"/>
    </font>
    <font>
      <sz val="10"/>
      <color indexed="24"/>
      <name val="Aria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b/>
      <i/>
      <sz val="11"/>
      <color indexed="8"/>
      <name val="Arial"/>
      <family val="2"/>
    </font>
    <font>
      <vertAlign val="subscript"/>
      <sz val="10"/>
      <name val="Arial"/>
      <family val="2"/>
    </font>
    <font>
      <vertAlign val="superscript"/>
      <sz val="10"/>
      <color rgb="FF0000FF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00CC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rgb="FF969696"/>
      <name val="Calibri"/>
      <family val="2"/>
      <scheme val="minor"/>
    </font>
    <font>
      <vertAlign val="subscript"/>
      <sz val="11"/>
      <name val="Calibri"/>
      <family val="2"/>
      <scheme val="minor"/>
    </font>
    <font>
      <sz val="11"/>
      <name val="Calibri"/>
      <family val="1"/>
      <charset val="2"/>
      <scheme val="minor"/>
    </font>
    <font>
      <sz val="11"/>
      <name val="Symbol"/>
      <family val="1"/>
      <charset val="2"/>
    </font>
    <font>
      <sz val="10"/>
      <color rgb="FFC00000"/>
      <name val="Arial"/>
      <family val="2"/>
    </font>
    <font>
      <sz val="11"/>
      <color rgb="FFC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16"/>
      <color rgb="FFFF0000"/>
      <name val="Arial"/>
      <family val="2"/>
    </font>
    <font>
      <i/>
      <u/>
      <sz val="11"/>
      <name val="Calibri"/>
      <family val="2"/>
      <scheme val="minor"/>
    </font>
    <font>
      <b/>
      <sz val="12"/>
      <color theme="0"/>
      <name val="Arial"/>
      <family val="2"/>
    </font>
    <font>
      <b/>
      <sz val="10"/>
      <color rgb="FF0070C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Symbol"/>
      <family val="1"/>
      <charset val="2"/>
    </font>
    <font>
      <sz val="10"/>
      <color rgb="FF0000FF"/>
      <name val="Arial"/>
      <family val="2"/>
    </font>
    <font>
      <sz val="11"/>
      <color rgb="FFFF00FF"/>
      <name val="Calibri"/>
      <family val="2"/>
      <scheme val="minor"/>
    </font>
    <font>
      <b/>
      <sz val="10"/>
      <name val="Arial"/>
      <family val="2"/>
    </font>
    <font>
      <sz val="11"/>
      <color rgb="FF0000CC"/>
      <name val="Calibri"/>
      <family val="2"/>
      <scheme val="minor"/>
    </font>
    <font>
      <i/>
      <sz val="12"/>
      <name val="Arial"/>
      <family val="2"/>
    </font>
    <font>
      <b/>
      <sz val="14"/>
      <color theme="0"/>
      <name val="Arial"/>
      <family val="2"/>
    </font>
    <font>
      <b/>
      <sz val="12"/>
      <name val="Arial"/>
      <family val="2"/>
    </font>
    <font>
      <b/>
      <u/>
      <sz val="10"/>
      <name val="Arial"/>
      <family val="2"/>
    </font>
    <font>
      <b/>
      <sz val="11"/>
      <name val="Arial"/>
      <family val="2"/>
    </font>
    <font>
      <b/>
      <sz val="10"/>
      <color indexed="12"/>
      <name val="Arial"/>
      <family val="2"/>
    </font>
    <font>
      <b/>
      <sz val="10"/>
      <color rgb="FF0000FF"/>
      <name val="Arial"/>
      <family val="2"/>
    </font>
    <font>
      <b/>
      <sz val="12"/>
      <color rgb="FF0000FF"/>
      <name val="Arial"/>
      <family val="2"/>
    </font>
    <font>
      <vertAlign val="superscript"/>
      <sz val="10"/>
      <name val="Arial"/>
      <family val="2"/>
    </font>
    <font>
      <b/>
      <sz val="10"/>
      <color rgb="FF0000CC"/>
      <name val="Arial"/>
      <family val="2"/>
    </font>
    <font>
      <sz val="11"/>
      <color rgb="FF006100"/>
      <name val="Calibri"/>
      <family val="2"/>
      <scheme val="minor"/>
    </font>
    <font>
      <sz val="13"/>
      <color theme="1"/>
      <name val="Arial"/>
      <family val="2"/>
    </font>
    <font>
      <sz val="11"/>
      <color rgb="FF000000"/>
      <name val="Arial-BoldMT"/>
    </font>
    <font>
      <i/>
      <sz val="11"/>
      <color rgb="FF000000"/>
      <name val="Arial-BoldItalicMT"/>
    </font>
    <font>
      <i/>
      <vertAlign val="subscript"/>
      <sz val="11"/>
      <color rgb="FF000000"/>
      <name val="Arial-BoldItalicMT"/>
    </font>
    <font>
      <sz val="11"/>
      <color rgb="FF000000"/>
      <name val="ArialMT"/>
    </font>
    <font>
      <sz val="11"/>
      <color rgb="FF000000"/>
      <name val="Arial-BoldItalicMT"/>
    </font>
    <font>
      <sz val="7"/>
      <color rgb="FF000000"/>
      <name val="Arial-BoldMT"/>
    </font>
    <font>
      <sz val="11"/>
      <color rgb="FF000000"/>
      <name val="Symbol"/>
      <family val="1"/>
      <charset val="2"/>
    </font>
    <font>
      <i/>
      <sz val="11"/>
      <color rgb="FF000000"/>
      <name val="Arial-ItalicMT"/>
    </font>
    <font>
      <sz val="11"/>
      <color theme="1"/>
      <name val="Calibri"/>
      <family val="2"/>
    </font>
    <font>
      <sz val="20"/>
      <color rgb="FF0000FF"/>
      <name val="Arial"/>
      <family val="2"/>
    </font>
    <font>
      <sz val="10"/>
      <name val="Calibri"/>
      <family val="2"/>
      <scheme val="minor"/>
    </font>
    <font>
      <sz val="10"/>
      <color rgb="FFFF00FF"/>
      <name val="Calibri"/>
      <family val="2"/>
      <scheme val="minor"/>
    </font>
    <font>
      <sz val="10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6EFCE"/>
      </patternFill>
    </fill>
  </fills>
  <borders count="10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/>
      <top style="medium">
        <color rgb="FFFF0000"/>
      </top>
      <bottom/>
      <diagonal/>
    </border>
    <border>
      <left/>
      <right/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/>
      <top style="medium">
        <color rgb="FFFF0000"/>
      </top>
      <bottom/>
      <diagonal/>
    </border>
    <border>
      <left/>
      <right style="thin">
        <color indexed="64"/>
      </right>
      <top style="medium">
        <color rgb="FFFF0000"/>
      </top>
      <bottom/>
      <diagonal/>
    </border>
    <border>
      <left style="thin">
        <color indexed="64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rgb="FFFF0000"/>
      </right>
      <top style="thin">
        <color indexed="64"/>
      </top>
      <bottom/>
      <diagonal/>
    </border>
    <border>
      <left style="medium">
        <color rgb="FFFF0000"/>
      </left>
      <right style="thin">
        <color indexed="64"/>
      </right>
      <top/>
      <bottom/>
      <diagonal/>
    </border>
    <border>
      <left style="thin">
        <color indexed="64"/>
      </left>
      <right style="medium">
        <color rgb="FFFF0000"/>
      </right>
      <top/>
      <bottom/>
      <diagonal/>
    </border>
    <border>
      <left style="medium">
        <color rgb="FFFF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rgb="FFFF0000"/>
      </right>
      <top/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/>
      <top/>
      <bottom style="medium">
        <color rgb="FFFF0000"/>
      </bottom>
      <diagonal/>
    </border>
    <border>
      <left/>
      <right style="thin">
        <color indexed="64"/>
      </right>
      <top/>
      <bottom style="medium">
        <color rgb="FFFF0000"/>
      </bottom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double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medium">
        <color indexed="64"/>
      </bottom>
      <diagonal/>
    </border>
  </borders>
  <cellStyleXfs count="51">
    <xf numFmtId="0" fontId="0" fillId="0" borderId="0"/>
    <xf numFmtId="0" fontId="17" fillId="2" borderId="0" applyNumberFormat="0" applyBorder="0" applyAlignment="0" applyProtection="0"/>
    <xf numFmtId="0" fontId="17" fillId="3" borderId="0" applyNumberFormat="0" applyBorder="0" applyAlignment="0" applyProtection="0"/>
    <xf numFmtId="0" fontId="17" fillId="4" borderId="0" applyNumberFormat="0" applyBorder="0" applyAlignment="0" applyProtection="0"/>
    <xf numFmtId="0" fontId="17" fillId="5" borderId="0" applyNumberFormat="0" applyBorder="0" applyAlignment="0" applyProtection="0"/>
    <xf numFmtId="0" fontId="17" fillId="6" borderId="0" applyNumberFormat="0" applyBorder="0" applyAlignment="0" applyProtection="0"/>
    <xf numFmtId="0" fontId="17" fillId="7" borderId="0" applyNumberFormat="0" applyBorder="0" applyAlignment="0" applyProtection="0"/>
    <xf numFmtId="0" fontId="17" fillId="8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5" borderId="0" applyNumberFormat="0" applyBorder="0" applyAlignment="0" applyProtection="0"/>
    <xf numFmtId="0" fontId="17" fillId="8" borderId="0" applyNumberFormat="0" applyBorder="0" applyAlignment="0" applyProtection="0"/>
    <xf numFmtId="0" fontId="17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9" borderId="0" applyNumberFormat="0" applyBorder="0" applyAlignment="0" applyProtection="0"/>
    <xf numFmtId="0" fontId="18" fillId="10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18" fillId="15" borderId="0" applyNumberFormat="0" applyBorder="0" applyAlignment="0" applyProtection="0"/>
    <xf numFmtId="0" fontId="18" fillId="16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18" fillId="19" borderId="0" applyNumberFormat="0" applyBorder="0" applyAlignment="0" applyProtection="0"/>
    <xf numFmtId="0" fontId="19" fillId="3" borderId="0" applyNumberFormat="0" applyBorder="0" applyAlignment="0" applyProtection="0"/>
    <xf numFmtId="0" fontId="20" fillId="20" borderId="1" applyNumberFormat="0" applyAlignment="0" applyProtection="0"/>
    <xf numFmtId="0" fontId="21" fillId="21" borderId="2" applyNumberFormat="0" applyAlignment="0" applyProtection="0"/>
    <xf numFmtId="3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22" fillId="0" borderId="0" applyNumberFormat="0" applyFill="0" applyBorder="0" applyAlignment="0" applyProtection="0"/>
    <xf numFmtId="2" fontId="14" fillId="0" borderId="0" applyFont="0" applyFill="0" applyBorder="0" applyAlignment="0" applyProtection="0"/>
    <xf numFmtId="0" fontId="23" fillId="4" borderId="0" applyNumberFormat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24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5" fillId="7" borderId="1" applyNumberFormat="0" applyAlignment="0" applyProtection="0"/>
    <xf numFmtId="0" fontId="26" fillId="0" borderId="4" applyNumberFormat="0" applyFill="0" applyAlignment="0" applyProtection="0"/>
    <xf numFmtId="0" fontId="27" fillId="22" borderId="0" applyNumberFormat="0" applyBorder="0" applyAlignment="0" applyProtection="0"/>
    <xf numFmtId="0" fontId="9" fillId="0" borderId="0"/>
    <xf numFmtId="0" fontId="11" fillId="23" borderId="5" applyNumberFormat="0" applyFont="0" applyAlignment="0" applyProtection="0"/>
    <xf numFmtId="0" fontId="28" fillId="20" borderId="6" applyNumberFormat="0" applyAlignment="0" applyProtection="0"/>
    <xf numFmtId="49" fontId="31" fillId="0" borderId="0">
      <alignment horizontal="left" vertical="center"/>
    </xf>
    <xf numFmtId="0" fontId="29" fillId="0" borderId="0" applyNumberFormat="0" applyFill="0" applyBorder="0" applyAlignment="0" applyProtection="0"/>
    <xf numFmtId="0" fontId="14" fillId="0" borderId="7" applyNumberFormat="0" applyFont="0" applyFill="0" applyAlignment="0" applyProtection="0"/>
    <xf numFmtId="0" fontId="30" fillId="0" borderId="0" applyNumberFormat="0" applyFill="0" applyBorder="0" applyAlignment="0" applyProtection="0"/>
    <xf numFmtId="0" fontId="66" fillId="32" borderId="0" applyNumberFormat="0" applyBorder="0" applyAlignment="0" applyProtection="0"/>
    <xf numFmtId="0" fontId="9" fillId="0" borderId="0"/>
    <xf numFmtId="0" fontId="76" fillId="0" borderId="0"/>
  </cellStyleXfs>
  <cellXfs count="459">
    <xf numFmtId="0" fontId="0" fillId="0" borderId="0" xfId="0"/>
    <xf numFmtId="0" fontId="0" fillId="24" borderId="0" xfId="0" applyFill="1" applyProtection="1">
      <protection hidden="1"/>
    </xf>
    <xf numFmtId="0" fontId="13" fillId="0" borderId="10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3" fillId="0" borderId="10" xfId="0" applyFont="1" applyBorder="1" applyAlignment="1">
      <alignment vertical="center"/>
    </xf>
    <xf numFmtId="0" fontId="13" fillId="0" borderId="22" xfId="0" applyFont="1" applyBorder="1" applyAlignment="1">
      <alignment vertical="center"/>
    </xf>
    <xf numFmtId="0" fontId="13" fillId="0" borderId="22" xfId="0" applyFont="1" applyBorder="1" applyAlignment="1">
      <alignment horizontal="center" vertical="center"/>
    </xf>
    <xf numFmtId="0" fontId="10" fillId="0" borderId="27" xfId="0" applyFont="1" applyBorder="1" applyAlignment="1">
      <alignment horizontal="center" vertical="center"/>
    </xf>
    <xf numFmtId="0" fontId="10" fillId="0" borderId="25" xfId="0" applyFont="1" applyBorder="1" applyAlignment="1">
      <alignment horizontal="center" vertical="center"/>
    </xf>
    <xf numFmtId="0" fontId="0" fillId="25" borderId="0" xfId="0" applyFill="1"/>
    <xf numFmtId="0" fontId="0" fillId="25" borderId="0" xfId="0" applyFill="1" applyProtection="1">
      <protection hidden="1"/>
    </xf>
    <xf numFmtId="2" fontId="35" fillId="24" borderId="30" xfId="0" applyNumberFormat="1" applyFont="1" applyFill="1" applyBorder="1" applyProtection="1">
      <protection hidden="1"/>
    </xf>
    <xf numFmtId="0" fontId="35" fillId="24" borderId="38" xfId="0" applyFont="1" applyFill="1" applyBorder="1" applyProtection="1">
      <protection hidden="1"/>
    </xf>
    <xf numFmtId="0" fontId="10" fillId="24" borderId="10" xfId="0" applyFont="1" applyFill="1" applyBorder="1" applyAlignment="1">
      <alignment horizontal="center" vertical="center"/>
    </xf>
    <xf numFmtId="0" fontId="12" fillId="24" borderId="10" xfId="0" applyFont="1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9" fillId="25" borderId="0" xfId="0" applyFont="1" applyFill="1" applyProtection="1">
      <protection hidden="1"/>
    </xf>
    <xf numFmtId="2" fontId="0" fillId="24" borderId="10" xfId="0" applyNumberFormat="1" applyFill="1" applyBorder="1" applyAlignment="1">
      <alignment horizontal="center" vertical="center"/>
    </xf>
    <xf numFmtId="0" fontId="0" fillId="24" borderId="44" xfId="0" applyFill="1" applyBorder="1"/>
    <xf numFmtId="0" fontId="0" fillId="24" borderId="45" xfId="0" applyFill="1" applyBorder="1"/>
    <xf numFmtId="2" fontId="0" fillId="24" borderId="22" xfId="0" applyNumberFormat="1" applyFill="1" applyBorder="1" applyAlignment="1">
      <alignment horizontal="center" vertical="center"/>
    </xf>
    <xf numFmtId="0" fontId="0" fillId="24" borderId="23" xfId="0" applyFill="1" applyBorder="1"/>
    <xf numFmtId="2" fontId="42" fillId="24" borderId="25" xfId="0" applyNumberFormat="1" applyFont="1" applyFill="1" applyBorder="1" applyAlignment="1">
      <alignment horizontal="center" vertical="center"/>
    </xf>
    <xf numFmtId="0" fontId="35" fillId="26" borderId="12" xfId="0" applyFont="1" applyFill="1" applyBorder="1" applyAlignment="1">
      <alignment vertical="center"/>
    </xf>
    <xf numFmtId="0" fontId="35" fillId="26" borderId="8" xfId="0" applyFont="1" applyFill="1" applyBorder="1" applyAlignment="1">
      <alignment vertical="center" shrinkToFit="1"/>
    </xf>
    <xf numFmtId="2" fontId="35" fillId="26" borderId="9" xfId="0" applyNumberFormat="1" applyFont="1" applyFill="1" applyBorder="1" applyAlignment="1" applyProtection="1">
      <alignment vertical="center"/>
      <protection hidden="1"/>
    </xf>
    <xf numFmtId="0" fontId="0" fillId="25" borderId="10" xfId="0" applyFill="1" applyBorder="1" applyAlignment="1">
      <alignment horizontal="center" vertical="center"/>
    </xf>
    <xf numFmtId="0" fontId="7" fillId="26" borderId="32" xfId="0" applyFont="1" applyFill="1" applyBorder="1" applyAlignment="1">
      <alignment horizontal="right" vertical="center"/>
    </xf>
    <xf numFmtId="0" fontId="6" fillId="26" borderId="31" xfId="0" applyFont="1" applyFill="1" applyBorder="1" applyAlignment="1">
      <alignment vertical="center"/>
    </xf>
    <xf numFmtId="0" fontId="6" fillId="26" borderId="32" xfId="0" applyFont="1" applyFill="1" applyBorder="1" applyAlignment="1">
      <alignment horizontal="right" vertical="center"/>
    </xf>
    <xf numFmtId="0" fontId="6" fillId="26" borderId="48" xfId="0" applyFont="1" applyFill="1" applyBorder="1" applyAlignment="1">
      <alignment vertical="center"/>
    </xf>
    <xf numFmtId="0" fontId="7" fillId="26" borderId="49" xfId="0" applyFont="1" applyFill="1" applyBorder="1" applyAlignment="1">
      <alignment horizontal="right" vertical="center"/>
    </xf>
    <xf numFmtId="0" fontId="6" fillId="26" borderId="49" xfId="0" applyFont="1" applyFill="1" applyBorder="1" applyAlignment="1">
      <alignment horizontal="right" vertical="center"/>
    </xf>
    <xf numFmtId="0" fontId="6" fillId="26" borderId="14" xfId="0" applyFont="1" applyFill="1" applyBorder="1" applyAlignment="1">
      <alignment vertical="center"/>
    </xf>
    <xf numFmtId="0" fontId="6" fillId="26" borderId="15" xfId="0" applyFont="1" applyFill="1" applyBorder="1" applyAlignment="1">
      <alignment horizontal="right" vertical="center"/>
    </xf>
    <xf numFmtId="0" fontId="0" fillId="24" borderId="0" xfId="0" applyFill="1"/>
    <xf numFmtId="0" fontId="9" fillId="26" borderId="15" xfId="0" applyFont="1" applyFill="1" applyBorder="1" applyAlignment="1" applyProtection="1">
      <alignment horizontal="right" vertical="center"/>
      <protection hidden="1"/>
    </xf>
    <xf numFmtId="0" fontId="7" fillId="26" borderId="15" xfId="0" applyFont="1" applyFill="1" applyBorder="1" applyAlignment="1">
      <alignment horizontal="right" vertical="center"/>
    </xf>
    <xf numFmtId="0" fontId="35" fillId="26" borderId="12" xfId="0" applyFont="1" applyFill="1" applyBorder="1" applyAlignment="1">
      <alignment horizontal="right" vertical="center"/>
    </xf>
    <xf numFmtId="0" fontId="0" fillId="25" borderId="10" xfId="0" applyFill="1" applyBorder="1"/>
    <xf numFmtId="0" fontId="9" fillId="0" borderId="10" xfId="0" applyFont="1" applyBorder="1"/>
    <xf numFmtId="0" fontId="46" fillId="24" borderId="12" xfId="0" applyFont="1" applyFill="1" applyBorder="1" applyAlignment="1" applyProtection="1">
      <alignment horizontal="right" vertical="center"/>
      <protection hidden="1"/>
    </xf>
    <xf numFmtId="0" fontId="9" fillId="25" borderId="10" xfId="0" applyFont="1" applyFill="1" applyBorder="1"/>
    <xf numFmtId="0" fontId="0" fillId="0" borderId="10" xfId="0" applyBorder="1"/>
    <xf numFmtId="0" fontId="9" fillId="25" borderId="0" xfId="0" applyFont="1" applyFill="1"/>
    <xf numFmtId="0" fontId="7" fillId="26" borderId="8" xfId="0" applyFont="1" applyFill="1" applyBorder="1" applyAlignment="1">
      <alignment vertical="center"/>
    </xf>
    <xf numFmtId="0" fontId="8" fillId="26" borderId="8" xfId="0" applyFont="1" applyFill="1" applyBorder="1" applyAlignment="1">
      <alignment vertical="center"/>
    </xf>
    <xf numFmtId="0" fontId="9" fillId="26" borderId="14" xfId="0" applyFont="1" applyFill="1" applyBorder="1" applyAlignment="1" applyProtection="1">
      <alignment vertical="center"/>
      <protection hidden="1"/>
    </xf>
    <xf numFmtId="0" fontId="9" fillId="26" borderId="15" xfId="0" applyFont="1" applyFill="1" applyBorder="1" applyAlignment="1" applyProtection="1">
      <alignment vertical="center"/>
      <protection hidden="1"/>
    </xf>
    <xf numFmtId="0" fontId="5" fillId="26" borderId="8" xfId="0" applyFont="1" applyFill="1" applyBorder="1" applyAlignment="1">
      <alignment vertical="center"/>
    </xf>
    <xf numFmtId="0" fontId="5" fillId="26" borderId="14" xfId="0" applyFont="1" applyFill="1" applyBorder="1" applyAlignment="1">
      <alignment vertical="center"/>
    </xf>
    <xf numFmtId="0" fontId="5" fillId="26" borderId="15" xfId="0" applyFont="1" applyFill="1" applyBorder="1" applyAlignment="1">
      <alignment vertical="center"/>
    </xf>
    <xf numFmtId="0" fontId="5" fillId="26" borderId="15" xfId="0" applyFont="1" applyFill="1" applyBorder="1" applyAlignment="1">
      <alignment horizontal="right" vertical="center"/>
    </xf>
    <xf numFmtId="0" fontId="9" fillId="26" borderId="8" xfId="0" applyFont="1" applyFill="1" applyBorder="1" applyAlignment="1" applyProtection="1">
      <alignment vertical="center"/>
      <protection hidden="1"/>
    </xf>
    <xf numFmtId="0" fontId="0" fillId="24" borderId="10" xfId="0" applyFill="1" applyBorder="1"/>
    <xf numFmtId="0" fontId="5" fillId="26" borderId="15" xfId="0" applyFont="1" applyFill="1" applyBorder="1" applyAlignment="1">
      <alignment horizontal="left" vertical="center"/>
    </xf>
    <xf numFmtId="0" fontId="35" fillId="26" borderId="12" xfId="41" applyFont="1" applyFill="1" applyBorder="1" applyAlignment="1" applyProtection="1">
      <alignment vertical="center"/>
      <protection locked="0"/>
    </xf>
    <xf numFmtId="0" fontId="36" fillId="26" borderId="12" xfId="41" applyFont="1" applyFill="1" applyBorder="1" applyAlignment="1" applyProtection="1">
      <alignment vertical="center"/>
      <protection locked="0"/>
    </xf>
    <xf numFmtId="0" fontId="42" fillId="25" borderId="0" xfId="0" applyFont="1" applyFill="1" applyAlignment="1">
      <alignment textRotation="90"/>
    </xf>
    <xf numFmtId="0" fontId="35" fillId="26" borderId="15" xfId="41" applyFont="1" applyFill="1" applyBorder="1" applyAlignment="1">
      <alignment horizontal="right" vertical="center"/>
    </xf>
    <xf numFmtId="164" fontId="44" fillId="24" borderId="15" xfId="0" applyNumberFormat="1" applyFont="1" applyFill="1" applyBorder="1" applyAlignment="1">
      <alignment horizontal="center" vertical="center"/>
    </xf>
    <xf numFmtId="0" fontId="0" fillId="25" borderId="0" xfId="0" applyFill="1" applyAlignment="1">
      <alignment horizontal="center" vertical="center"/>
    </xf>
    <xf numFmtId="0" fontId="9" fillId="25" borderId="21" xfId="0" applyFont="1" applyFill="1" applyBorder="1" applyAlignment="1">
      <alignment horizontal="center" vertical="center"/>
    </xf>
    <xf numFmtId="0" fontId="9" fillId="25" borderId="22" xfId="0" applyFont="1" applyFill="1" applyBorder="1" applyAlignment="1">
      <alignment horizontal="center" vertical="center"/>
    </xf>
    <xf numFmtId="2" fontId="0" fillId="25" borderId="73" xfId="0" applyNumberFormat="1" applyFill="1" applyBorder="1" applyAlignment="1">
      <alignment horizontal="center" vertical="center"/>
    </xf>
    <xf numFmtId="0" fontId="9" fillId="25" borderId="23" xfId="0" applyFont="1" applyFill="1" applyBorder="1"/>
    <xf numFmtId="0" fontId="9" fillId="25" borderId="24" xfId="0" applyFont="1" applyFill="1" applyBorder="1"/>
    <xf numFmtId="164" fontId="0" fillId="25" borderId="10" xfId="0" applyNumberFormat="1" applyFill="1" applyBorder="1" applyAlignment="1">
      <alignment horizontal="center" vertical="center"/>
    </xf>
    <xf numFmtId="0" fontId="0" fillId="25" borderId="25" xfId="0" applyFill="1" applyBorder="1" applyAlignment="1">
      <alignment horizontal="center" vertical="center"/>
    </xf>
    <xf numFmtId="0" fontId="9" fillId="25" borderId="73" xfId="0" applyFont="1" applyFill="1" applyBorder="1" applyAlignment="1">
      <alignment horizontal="center" vertical="center"/>
    </xf>
    <xf numFmtId="0" fontId="9" fillId="25" borderId="23" xfId="0" applyFont="1" applyFill="1" applyBorder="1" applyAlignment="1">
      <alignment horizontal="center" vertical="center"/>
    </xf>
    <xf numFmtId="0" fontId="0" fillId="25" borderId="74" xfId="0" applyFill="1" applyBorder="1" applyAlignment="1">
      <alignment horizontal="center" vertical="center"/>
    </xf>
    <xf numFmtId="0" fontId="9" fillId="25" borderId="24" xfId="0" applyFont="1" applyFill="1" applyBorder="1" applyAlignment="1">
      <alignment horizontal="center" vertical="center"/>
    </xf>
    <xf numFmtId="2" fontId="0" fillId="25" borderId="25" xfId="0" applyNumberFormat="1" applyFill="1" applyBorder="1" applyAlignment="1">
      <alignment horizontal="center" vertical="center"/>
    </xf>
    <xf numFmtId="164" fontId="52" fillId="25" borderId="75" xfId="0" applyNumberFormat="1" applyFont="1" applyFill="1" applyBorder="1" applyAlignment="1">
      <alignment horizontal="center" vertical="center"/>
    </xf>
    <xf numFmtId="0" fontId="9" fillId="25" borderId="77" xfId="0" applyFont="1" applyFill="1" applyBorder="1" applyAlignment="1">
      <alignment horizontal="center" vertical="center"/>
    </xf>
    <xf numFmtId="0" fontId="3" fillId="26" borderId="8" xfId="0" applyFont="1" applyFill="1" applyBorder="1" applyAlignment="1">
      <alignment vertical="center"/>
    </xf>
    <xf numFmtId="0" fontId="6" fillId="26" borderId="8" xfId="0" applyFont="1" applyFill="1" applyBorder="1" applyAlignment="1">
      <alignment vertical="center"/>
    </xf>
    <xf numFmtId="0" fontId="3" fillId="26" borderId="17" xfId="0" applyFont="1" applyFill="1" applyBorder="1" applyAlignment="1">
      <alignment vertical="center"/>
    </xf>
    <xf numFmtId="0" fontId="7" fillId="26" borderId="12" xfId="0" applyFont="1" applyFill="1" applyBorder="1" applyAlignment="1">
      <alignment vertical="center"/>
    </xf>
    <xf numFmtId="0" fontId="3" fillId="26" borderId="78" xfId="0" applyFont="1" applyFill="1" applyBorder="1" applyAlignment="1">
      <alignment vertical="center"/>
    </xf>
    <xf numFmtId="0" fontId="7" fillId="26" borderId="79" xfId="0" applyFont="1" applyFill="1" applyBorder="1" applyAlignment="1">
      <alignment vertical="center"/>
    </xf>
    <xf numFmtId="0" fontId="6" fillId="26" borderId="81" xfId="0" applyFont="1" applyFill="1" applyBorder="1" applyAlignment="1">
      <alignment vertical="center"/>
    </xf>
    <xf numFmtId="0" fontId="7" fillId="26" borderId="82" xfId="0" applyFont="1" applyFill="1" applyBorder="1" applyAlignment="1">
      <alignment horizontal="right" vertical="center"/>
    </xf>
    <xf numFmtId="0" fontId="6" fillId="26" borderId="78" xfId="0" applyFont="1" applyFill="1" applyBorder="1" applyAlignment="1">
      <alignment vertical="center"/>
    </xf>
    <xf numFmtId="0" fontId="7" fillId="26" borderId="79" xfId="0" applyFont="1" applyFill="1" applyBorder="1" applyAlignment="1">
      <alignment horizontal="right" vertical="center"/>
    </xf>
    <xf numFmtId="0" fontId="6" fillId="26" borderId="82" xfId="0" applyFont="1" applyFill="1" applyBorder="1" applyAlignment="1">
      <alignment horizontal="right" vertical="center"/>
    </xf>
    <xf numFmtId="0" fontId="6" fillId="26" borderId="79" xfId="0" applyFont="1" applyFill="1" applyBorder="1" applyAlignment="1">
      <alignment horizontal="right" vertical="center"/>
    </xf>
    <xf numFmtId="164" fontId="0" fillId="25" borderId="74" xfId="0" applyNumberFormat="1" applyFill="1" applyBorder="1" applyAlignment="1">
      <alignment horizontal="center" vertical="center"/>
    </xf>
    <xf numFmtId="164" fontId="0" fillId="25" borderId="25" xfId="0" applyNumberFormat="1" applyFill="1" applyBorder="1" applyAlignment="1">
      <alignment horizontal="center" vertical="center"/>
    </xf>
    <xf numFmtId="164" fontId="0" fillId="25" borderId="75" xfId="0" applyNumberFormat="1" applyFill="1" applyBorder="1" applyAlignment="1">
      <alignment horizontal="center" vertical="center"/>
    </xf>
    <xf numFmtId="0" fontId="9" fillId="25" borderId="0" xfId="0" applyFont="1" applyFill="1" applyAlignment="1">
      <alignment horizontal="center" vertical="center"/>
    </xf>
    <xf numFmtId="2" fontId="0" fillId="25" borderId="0" xfId="0" applyNumberFormat="1" applyFill="1" applyAlignment="1">
      <alignment horizontal="center" vertical="center"/>
    </xf>
    <xf numFmtId="0" fontId="9" fillId="25" borderId="22" xfId="0" applyFont="1" applyFill="1" applyBorder="1"/>
    <xf numFmtId="0" fontId="0" fillId="25" borderId="25" xfId="0" applyFill="1" applyBorder="1"/>
    <xf numFmtId="2" fontId="0" fillId="25" borderId="75" xfId="0" applyNumberFormat="1" applyFill="1" applyBorder="1" applyAlignment="1">
      <alignment horizontal="center" vertical="center"/>
    </xf>
    <xf numFmtId="0" fontId="52" fillId="25" borderId="74" xfId="0" applyFont="1" applyFill="1" applyBorder="1" applyAlignment="1">
      <alignment horizontal="center" vertical="center"/>
    </xf>
    <xf numFmtId="164" fontId="52" fillId="25" borderId="0" xfId="0" applyNumberFormat="1" applyFont="1" applyFill="1" applyAlignment="1">
      <alignment horizontal="center" vertical="center"/>
    </xf>
    <xf numFmtId="0" fontId="34" fillId="24" borderId="15" xfId="0" applyFont="1" applyFill="1" applyBorder="1" applyAlignment="1">
      <alignment vertical="center"/>
    </xf>
    <xf numFmtId="0" fontId="35" fillId="24" borderId="0" xfId="0" applyFont="1" applyFill="1" applyAlignment="1" applyProtection="1">
      <alignment horizontal="right" vertical="center"/>
      <protection hidden="1"/>
    </xf>
    <xf numFmtId="0" fontId="35" fillId="24" borderId="0" xfId="0" applyFont="1" applyFill="1" applyAlignment="1" applyProtection="1">
      <alignment vertical="center"/>
      <protection hidden="1"/>
    </xf>
    <xf numFmtId="0" fontId="46" fillId="24" borderId="0" xfId="0" applyFont="1" applyFill="1" applyAlignment="1" applyProtection="1">
      <alignment horizontal="right" vertical="center"/>
      <protection hidden="1"/>
    </xf>
    <xf numFmtId="0" fontId="34" fillId="24" borderId="0" xfId="0" applyFont="1" applyFill="1" applyAlignment="1">
      <alignment vertical="center"/>
    </xf>
    <xf numFmtId="0" fontId="36" fillId="24" borderId="0" xfId="0" applyFont="1" applyFill="1" applyAlignment="1">
      <alignment vertical="center"/>
    </xf>
    <xf numFmtId="2" fontId="36" fillId="24" borderId="0" xfId="0" applyNumberFormat="1" applyFont="1" applyFill="1" applyAlignment="1">
      <alignment vertical="center"/>
    </xf>
    <xf numFmtId="0" fontId="35" fillId="24" borderId="0" xfId="0" applyFont="1" applyFill="1" applyAlignment="1">
      <alignment vertical="center" shrinkToFit="1"/>
    </xf>
    <xf numFmtId="0" fontId="7" fillId="26" borderId="0" xfId="0" applyFont="1" applyFill="1" applyAlignment="1">
      <alignment vertical="center"/>
    </xf>
    <xf numFmtId="0" fontId="7" fillId="26" borderId="0" xfId="0" applyFont="1" applyFill="1" applyAlignment="1">
      <alignment horizontal="right" vertical="center"/>
    </xf>
    <xf numFmtId="0" fontId="4" fillId="26" borderId="0" xfId="0" applyFont="1" applyFill="1" applyAlignment="1">
      <alignment horizontal="right" vertical="center"/>
    </xf>
    <xf numFmtId="0" fontId="35" fillId="24" borderId="0" xfId="0" applyFont="1" applyFill="1" applyAlignment="1">
      <alignment horizontal="left" vertical="center" indent="1"/>
    </xf>
    <xf numFmtId="0" fontId="38" fillId="24" borderId="0" xfId="0" applyFont="1" applyFill="1" applyAlignment="1" applyProtection="1">
      <alignment horizontal="left" vertical="center"/>
      <protection hidden="1"/>
    </xf>
    <xf numFmtId="0" fontId="8" fillId="26" borderId="0" xfId="0" applyFont="1" applyFill="1" applyAlignment="1">
      <alignment vertical="center"/>
    </xf>
    <xf numFmtId="0" fontId="4" fillId="26" borderId="0" xfId="0" applyFont="1" applyFill="1" applyAlignment="1">
      <alignment vertical="center"/>
    </xf>
    <xf numFmtId="0" fontId="0" fillId="26" borderId="0" xfId="0" applyFill="1" applyProtection="1">
      <protection hidden="1"/>
    </xf>
    <xf numFmtId="0" fontId="35" fillId="26" borderId="0" xfId="0" applyFont="1" applyFill="1" applyAlignment="1">
      <alignment horizontal="right" vertical="center"/>
    </xf>
    <xf numFmtId="0" fontId="35" fillId="26" borderId="0" xfId="0" applyFont="1" applyFill="1" applyAlignment="1">
      <alignment vertical="center" shrinkToFit="1"/>
    </xf>
    <xf numFmtId="0" fontId="9" fillId="26" borderId="0" xfId="0" applyFont="1" applyFill="1" applyAlignment="1" applyProtection="1">
      <alignment vertical="center"/>
      <protection hidden="1"/>
    </xf>
    <xf numFmtId="0" fontId="9" fillId="26" borderId="0" xfId="0" applyFont="1" applyFill="1" applyAlignment="1" applyProtection="1">
      <alignment horizontal="right" vertical="center"/>
      <protection hidden="1"/>
    </xf>
    <xf numFmtId="0" fontId="6" fillId="26" borderId="0" xfId="0" applyFont="1" applyFill="1" applyAlignment="1">
      <alignment vertical="center"/>
    </xf>
    <xf numFmtId="0" fontId="35" fillId="24" borderId="42" xfId="0" applyFont="1" applyFill="1" applyBorder="1" applyProtection="1">
      <protection hidden="1"/>
    </xf>
    <xf numFmtId="164" fontId="44" fillId="24" borderId="0" xfId="0" applyNumberFormat="1" applyFont="1" applyFill="1" applyAlignment="1">
      <alignment horizontal="center" vertical="center"/>
    </xf>
    <xf numFmtId="0" fontId="6" fillId="26" borderId="0" xfId="0" applyFont="1" applyFill="1" applyAlignment="1">
      <alignment horizontal="right" vertical="center"/>
    </xf>
    <xf numFmtId="0" fontId="35" fillId="24" borderId="84" xfId="0" applyFont="1" applyFill="1" applyBorder="1" applyProtection="1">
      <protection hidden="1"/>
    </xf>
    <xf numFmtId="2" fontId="35" fillId="24" borderId="85" xfId="0" applyNumberFormat="1" applyFont="1" applyFill="1" applyBorder="1" applyProtection="1">
      <protection hidden="1"/>
    </xf>
    <xf numFmtId="0" fontId="8" fillId="24" borderId="0" xfId="0" applyFont="1" applyFill="1" applyAlignment="1">
      <alignment vertical="center"/>
    </xf>
    <xf numFmtId="2" fontId="35" fillId="24" borderId="0" xfId="0" applyNumberFormat="1" applyFont="1" applyFill="1" applyAlignment="1" applyProtection="1">
      <alignment vertical="center"/>
      <protection hidden="1"/>
    </xf>
    <xf numFmtId="0" fontId="3" fillId="26" borderId="81" xfId="0" applyFont="1" applyFill="1" applyBorder="1" applyAlignment="1">
      <alignment vertical="center"/>
    </xf>
    <xf numFmtId="0" fontId="6" fillId="26" borderId="82" xfId="0" applyFont="1" applyFill="1" applyBorder="1" applyAlignment="1">
      <alignment vertical="center"/>
    </xf>
    <xf numFmtId="0" fontId="3" fillId="26" borderId="48" xfId="0" applyFont="1" applyFill="1" applyBorder="1" applyAlignment="1">
      <alignment vertical="center"/>
    </xf>
    <xf numFmtId="0" fontId="6" fillId="26" borderId="49" xfId="0" applyFont="1" applyFill="1" applyBorder="1" applyAlignment="1">
      <alignment vertical="center"/>
    </xf>
    <xf numFmtId="0" fontId="5" fillId="26" borderId="0" xfId="0" applyFont="1" applyFill="1" applyAlignment="1">
      <alignment horizontal="right" vertical="center"/>
    </xf>
    <xf numFmtId="0" fontId="9" fillId="30" borderId="10" xfId="41" applyFill="1" applyBorder="1"/>
    <xf numFmtId="0" fontId="9" fillId="0" borderId="10" xfId="41" applyBorder="1" applyAlignment="1">
      <alignment horizontal="center" vertical="center"/>
    </xf>
    <xf numFmtId="0" fontId="5" fillId="26" borderId="0" xfId="0" applyFont="1" applyFill="1" applyAlignment="1">
      <alignment vertical="center"/>
    </xf>
    <xf numFmtId="0" fontId="5" fillId="26" borderId="0" xfId="0" applyFont="1" applyFill="1" applyAlignment="1">
      <alignment horizontal="left" vertical="center"/>
    </xf>
    <xf numFmtId="9" fontId="9" fillId="0" borderId="10" xfId="41" applyNumberFormat="1" applyBorder="1" applyAlignment="1">
      <alignment horizontal="center" vertical="center"/>
    </xf>
    <xf numFmtId="168" fontId="42" fillId="0" borderId="10" xfId="41" applyNumberFormat="1" applyFont="1" applyBorder="1" applyAlignment="1">
      <alignment horizontal="center" vertical="center"/>
    </xf>
    <xf numFmtId="0" fontId="23" fillId="4" borderId="10" xfId="33" applyBorder="1" applyAlignment="1">
      <alignment horizontal="center" vertical="center"/>
    </xf>
    <xf numFmtId="0" fontId="9" fillId="24" borderId="0" xfId="0" applyFont="1" applyFill="1" applyAlignment="1">
      <alignment vertical="center"/>
    </xf>
    <xf numFmtId="0" fontId="9" fillId="31" borderId="0" xfId="0" applyFont="1" applyFill="1" applyAlignment="1">
      <alignment vertical="center"/>
    </xf>
    <xf numFmtId="0" fontId="56" fillId="31" borderId="0" xfId="0" applyFont="1" applyFill="1" applyAlignment="1">
      <alignment vertical="center" wrapText="1"/>
    </xf>
    <xf numFmtId="0" fontId="58" fillId="31" borderId="0" xfId="0" applyFont="1" applyFill="1" applyAlignment="1">
      <alignment horizontal="center" vertical="center"/>
    </xf>
    <xf numFmtId="0" fontId="58" fillId="24" borderId="0" xfId="0" applyFont="1" applyFill="1" applyAlignment="1">
      <alignment horizontal="center" vertical="center"/>
    </xf>
    <xf numFmtId="0" fontId="60" fillId="24" borderId="0" xfId="0" applyFont="1" applyFill="1" applyAlignment="1">
      <alignment horizontal="center" vertical="center"/>
    </xf>
    <xf numFmtId="0" fontId="9" fillId="24" borderId="0" xfId="0" applyFont="1" applyFill="1" applyAlignment="1">
      <alignment horizontal="left" vertical="center" indent="1"/>
    </xf>
    <xf numFmtId="2" fontId="61" fillId="24" borderId="0" xfId="0" applyNumberFormat="1" applyFont="1" applyFill="1" applyAlignment="1">
      <alignment horizontal="left" vertical="center"/>
    </xf>
    <xf numFmtId="0" fontId="9" fillId="24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2" fontId="61" fillId="24" borderId="0" xfId="0" applyNumberFormat="1" applyFont="1" applyFill="1" applyAlignment="1" applyProtection="1">
      <alignment horizontal="left" vertical="center"/>
      <protection locked="0"/>
    </xf>
    <xf numFmtId="2" fontId="9" fillId="24" borderId="0" xfId="0" applyNumberFormat="1" applyFont="1" applyFill="1" applyAlignment="1" applyProtection="1">
      <alignment horizontal="left" vertical="center"/>
      <protection locked="0"/>
    </xf>
    <xf numFmtId="0" fontId="10" fillId="24" borderId="0" xfId="0" applyFont="1" applyFill="1" applyAlignment="1">
      <alignment horizontal="left" vertical="center"/>
    </xf>
    <xf numFmtId="0" fontId="62" fillId="24" borderId="0" xfId="0" applyFont="1" applyFill="1" applyAlignment="1">
      <alignment horizontal="left" vertical="center"/>
    </xf>
    <xf numFmtId="2" fontId="10" fillId="24" borderId="0" xfId="0" applyNumberFormat="1" applyFont="1" applyFill="1" applyAlignment="1" applyProtection="1">
      <alignment horizontal="left" vertical="center"/>
      <protection locked="0"/>
    </xf>
    <xf numFmtId="0" fontId="0" fillId="0" borderId="0" xfId="0" applyAlignment="1">
      <alignment horizontal="left" vertical="center" indent="1"/>
    </xf>
    <xf numFmtId="0" fontId="62" fillId="24" borderId="0" xfId="0" applyFont="1" applyFill="1" applyAlignment="1" applyProtection="1">
      <alignment horizontal="left" vertical="center"/>
      <protection locked="0"/>
    </xf>
    <xf numFmtId="0" fontId="0" fillId="31" borderId="0" xfId="0" applyFill="1" applyAlignment="1">
      <alignment horizontal="left" vertical="center"/>
    </xf>
    <xf numFmtId="164" fontId="9" fillId="24" borderId="0" xfId="0" applyNumberFormat="1" applyFont="1" applyFill="1" applyAlignment="1" applyProtection="1">
      <alignment horizontal="right" vertical="center"/>
      <protection locked="0"/>
    </xf>
    <xf numFmtId="164" fontId="9" fillId="24" borderId="0" xfId="0" applyNumberFormat="1" applyFont="1" applyFill="1" applyAlignment="1" applyProtection="1">
      <alignment horizontal="right" vertical="center"/>
      <protection hidden="1"/>
    </xf>
    <xf numFmtId="2" fontId="9" fillId="24" borderId="0" xfId="0" applyNumberFormat="1" applyFont="1" applyFill="1" applyAlignment="1" applyProtection="1">
      <alignment horizontal="right" vertical="center"/>
      <protection hidden="1"/>
    </xf>
    <xf numFmtId="0" fontId="9" fillId="24" borderId="0" xfId="0" applyFont="1" applyFill="1" applyAlignment="1">
      <alignment horizontal="right" vertical="center"/>
    </xf>
    <xf numFmtId="0" fontId="9" fillId="31" borderId="0" xfId="0" applyFont="1" applyFill="1" applyAlignment="1">
      <alignment horizontal="right" vertical="center"/>
    </xf>
    <xf numFmtId="0" fontId="9" fillId="24" borderId="0" xfId="0" applyFont="1" applyFill="1" applyAlignment="1">
      <alignment horizontal="center" vertical="center"/>
    </xf>
    <xf numFmtId="164" fontId="65" fillId="24" borderId="0" xfId="0" applyNumberFormat="1" applyFont="1" applyFill="1" applyAlignment="1">
      <alignment horizontal="right" vertical="center"/>
    </xf>
    <xf numFmtId="166" fontId="61" fillId="24" borderId="0" xfId="0" applyNumberFormat="1" applyFont="1" applyFill="1" applyAlignment="1">
      <alignment horizontal="right" vertical="center"/>
    </xf>
    <xf numFmtId="164" fontId="9" fillId="24" borderId="0" xfId="0" applyNumberFormat="1" applyFont="1" applyFill="1" applyAlignment="1">
      <alignment horizontal="right" vertical="center"/>
    </xf>
    <xf numFmtId="164" fontId="66" fillId="32" borderId="0" xfId="48" applyNumberFormat="1" applyBorder="1" applyAlignment="1" applyProtection="1">
      <alignment horizontal="right" vertical="center"/>
      <protection hidden="1"/>
    </xf>
    <xf numFmtId="0" fontId="9" fillId="31" borderId="0" xfId="0" applyFont="1" applyFill="1" applyAlignment="1">
      <alignment horizontal="left" vertical="center"/>
    </xf>
    <xf numFmtId="0" fontId="67" fillId="31" borderId="0" xfId="0" applyFont="1" applyFill="1" applyAlignment="1">
      <alignment vertical="center"/>
    </xf>
    <xf numFmtId="166" fontId="9" fillId="24" borderId="0" xfId="0" applyNumberFormat="1" applyFont="1" applyFill="1" applyAlignment="1">
      <alignment vertical="center"/>
    </xf>
    <xf numFmtId="0" fontId="68" fillId="0" borderId="10" xfId="49" applyFont="1" applyBorder="1" applyAlignment="1">
      <alignment horizontal="center" vertical="center"/>
    </xf>
    <xf numFmtId="0" fontId="72" fillId="0" borderId="10" xfId="49" applyFont="1" applyBorder="1" applyAlignment="1">
      <alignment horizontal="center" vertical="center"/>
    </xf>
    <xf numFmtId="0" fontId="75" fillId="0" borderId="10" xfId="49" applyFont="1" applyBorder="1" applyAlignment="1">
      <alignment horizontal="center" vertical="center"/>
    </xf>
    <xf numFmtId="0" fontId="9" fillId="0" borderId="10" xfId="49" applyBorder="1" applyAlignment="1">
      <alignment horizontal="center" vertical="center"/>
    </xf>
    <xf numFmtId="0" fontId="71" fillId="0" borderId="10" xfId="49" applyFont="1" applyBorder="1" applyAlignment="1">
      <alignment horizontal="center" vertical="center"/>
    </xf>
    <xf numFmtId="0" fontId="71" fillId="0" borderId="10" xfId="49" applyFont="1" applyBorder="1" applyAlignment="1">
      <alignment horizontal="left" vertical="center"/>
    </xf>
    <xf numFmtId="2" fontId="71" fillId="0" borderId="10" xfId="49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76" fillId="0" borderId="0" xfId="50"/>
    <xf numFmtId="0" fontId="0" fillId="24" borderId="14" xfId="0" applyFill="1" applyBorder="1" applyProtection="1">
      <protection hidden="1"/>
    </xf>
    <xf numFmtId="0" fontId="0" fillId="24" borderId="15" xfId="0" applyFill="1" applyBorder="1" applyProtection="1">
      <protection hidden="1"/>
    </xf>
    <xf numFmtId="0" fontId="35" fillId="0" borderId="17" xfId="41" applyFont="1" applyBorder="1" applyAlignment="1" applyProtection="1">
      <alignment vertical="center"/>
      <protection hidden="1"/>
    </xf>
    <xf numFmtId="0" fontId="35" fillId="0" borderId="12" xfId="41" applyFont="1" applyBorder="1" applyAlignment="1" applyProtection="1">
      <alignment vertical="center"/>
      <protection hidden="1"/>
    </xf>
    <xf numFmtId="0" fontId="78" fillId="0" borderId="0" xfId="41" applyFont="1" applyProtection="1">
      <protection hidden="1"/>
    </xf>
    <xf numFmtId="2" fontId="35" fillId="0" borderId="9" xfId="41" applyNumberFormat="1" applyFont="1" applyBorder="1" applyProtection="1">
      <protection hidden="1"/>
    </xf>
    <xf numFmtId="0" fontId="35" fillId="0" borderId="8" xfId="41" applyFont="1" applyBorder="1" applyAlignment="1" applyProtection="1">
      <alignment vertical="center"/>
      <protection hidden="1"/>
    </xf>
    <xf numFmtId="0" fontId="35" fillId="0" borderId="0" xfId="41" applyFont="1" applyAlignment="1" applyProtection="1">
      <alignment vertical="center"/>
      <protection hidden="1"/>
    </xf>
    <xf numFmtId="0" fontId="35" fillId="26" borderId="35" xfId="41" applyFont="1" applyFill="1" applyBorder="1" applyAlignment="1" applyProtection="1">
      <alignment vertical="center"/>
      <protection hidden="1"/>
    </xf>
    <xf numFmtId="0" fontId="35" fillId="26" borderId="36" xfId="41" applyFont="1" applyFill="1" applyBorder="1" applyAlignment="1" applyProtection="1">
      <alignment vertical="center"/>
      <protection hidden="1"/>
    </xf>
    <xf numFmtId="0" fontId="35" fillId="26" borderId="88" xfId="41" applyFont="1" applyFill="1" applyBorder="1" applyAlignment="1" applyProtection="1">
      <alignment vertical="center"/>
      <protection hidden="1"/>
    </xf>
    <xf numFmtId="0" fontId="35" fillId="26" borderId="89" xfId="41" applyFont="1" applyFill="1" applyBorder="1" applyAlignment="1" applyProtection="1">
      <alignment vertical="center"/>
      <protection hidden="1"/>
    </xf>
    <xf numFmtId="0" fontId="35" fillId="26" borderId="90" xfId="41" applyFont="1" applyFill="1" applyBorder="1" applyAlignment="1" applyProtection="1">
      <alignment vertical="center"/>
      <protection hidden="1"/>
    </xf>
    <xf numFmtId="0" fontId="35" fillId="26" borderId="37" xfId="41" applyFont="1" applyFill="1" applyBorder="1" applyAlignment="1" applyProtection="1">
      <alignment vertical="center"/>
      <protection hidden="1"/>
    </xf>
    <xf numFmtId="0" fontId="35" fillId="26" borderId="8" xfId="41" applyFont="1" applyFill="1" applyBorder="1" applyAlignment="1" applyProtection="1">
      <alignment vertical="center"/>
      <protection hidden="1"/>
    </xf>
    <xf numFmtId="0" fontId="35" fillId="26" borderId="0" xfId="41" applyFont="1" applyFill="1" applyAlignment="1" applyProtection="1">
      <alignment vertical="center"/>
      <protection hidden="1"/>
    </xf>
    <xf numFmtId="0" fontId="35" fillId="26" borderId="91" xfId="41" applyFont="1" applyFill="1" applyBorder="1" applyAlignment="1" applyProtection="1">
      <alignment vertical="center"/>
      <protection hidden="1"/>
    </xf>
    <xf numFmtId="0" fontId="35" fillId="26" borderId="9" xfId="41" applyFont="1" applyFill="1" applyBorder="1" applyAlignment="1" applyProtection="1">
      <alignment vertical="center"/>
      <protection hidden="1"/>
    </xf>
    <xf numFmtId="0" fontId="35" fillId="26" borderId="30" xfId="41" applyFont="1" applyFill="1" applyBorder="1" applyAlignment="1" applyProtection="1">
      <alignment vertical="center"/>
      <protection hidden="1"/>
    </xf>
    <xf numFmtId="0" fontId="35" fillId="26" borderId="38" xfId="41" applyFont="1" applyFill="1" applyBorder="1" applyAlignment="1" applyProtection="1">
      <alignment vertical="center"/>
      <protection hidden="1"/>
    </xf>
    <xf numFmtId="0" fontId="35" fillId="26" borderId="84" xfId="41" applyFont="1" applyFill="1" applyBorder="1" applyAlignment="1" applyProtection="1">
      <alignment vertical="center"/>
      <protection hidden="1"/>
    </xf>
    <xf numFmtId="0" fontId="35" fillId="26" borderId="15" xfId="41" applyFont="1" applyFill="1" applyBorder="1" applyAlignment="1" applyProtection="1">
      <alignment vertical="center"/>
      <protection hidden="1"/>
    </xf>
    <xf numFmtId="0" fontId="35" fillId="26" borderId="85" xfId="41" applyFont="1" applyFill="1" applyBorder="1" applyAlignment="1" applyProtection="1">
      <alignment vertical="center"/>
      <protection hidden="1"/>
    </xf>
    <xf numFmtId="0" fontId="35" fillId="26" borderId="17" xfId="41" applyFont="1" applyFill="1" applyBorder="1" applyAlignment="1" applyProtection="1">
      <alignment vertical="center"/>
      <protection hidden="1"/>
    </xf>
    <xf numFmtId="0" fontId="35" fillId="26" borderId="92" xfId="41" applyFont="1" applyFill="1" applyBorder="1" applyAlignment="1" applyProtection="1">
      <alignment vertical="center"/>
      <protection hidden="1"/>
    </xf>
    <xf numFmtId="0" fontId="34" fillId="0" borderId="8" xfId="41" applyFont="1" applyBorder="1" applyAlignment="1" applyProtection="1">
      <alignment vertical="center"/>
      <protection hidden="1"/>
    </xf>
    <xf numFmtId="0" fontId="35" fillId="26" borderId="39" xfId="41" applyFont="1" applyFill="1" applyBorder="1" applyAlignment="1" applyProtection="1">
      <alignment vertical="center"/>
      <protection hidden="1"/>
    </xf>
    <xf numFmtId="0" fontId="35" fillId="26" borderId="34" xfId="41" applyFont="1" applyFill="1" applyBorder="1" applyAlignment="1" applyProtection="1">
      <alignment vertical="center"/>
      <protection hidden="1"/>
    </xf>
    <xf numFmtId="0" fontId="35" fillId="26" borderId="86" xfId="41" applyFont="1" applyFill="1" applyBorder="1" applyAlignment="1" applyProtection="1">
      <alignment vertical="center"/>
      <protection hidden="1"/>
    </xf>
    <xf numFmtId="0" fontId="35" fillId="26" borderId="93" xfId="41" applyFont="1" applyFill="1" applyBorder="1" applyAlignment="1" applyProtection="1">
      <alignment vertical="center"/>
      <protection hidden="1"/>
    </xf>
    <xf numFmtId="0" fontId="35" fillId="26" borderId="87" xfId="41" applyFont="1" applyFill="1" applyBorder="1" applyAlignment="1" applyProtection="1">
      <alignment vertical="center"/>
      <protection hidden="1"/>
    </xf>
    <xf numFmtId="0" fontId="35" fillId="26" borderId="40" xfId="41" applyFont="1" applyFill="1" applyBorder="1" applyAlignment="1" applyProtection="1">
      <alignment vertical="center"/>
      <protection hidden="1"/>
    </xf>
    <xf numFmtId="0" fontId="78" fillId="0" borderId="12" xfId="41" applyFont="1" applyBorder="1" applyProtection="1">
      <protection hidden="1"/>
    </xf>
    <xf numFmtId="2" fontId="35" fillId="0" borderId="11" xfId="41" applyNumberFormat="1" applyFont="1" applyBorder="1" applyProtection="1">
      <protection hidden="1"/>
    </xf>
    <xf numFmtId="0" fontId="35" fillId="26" borderId="94" xfId="41" applyFont="1" applyFill="1" applyBorder="1" applyAlignment="1" applyProtection="1">
      <alignment vertical="center"/>
      <protection hidden="1"/>
    </xf>
    <xf numFmtId="0" fontId="35" fillId="26" borderId="11" xfId="41" applyFont="1" applyFill="1" applyBorder="1" applyAlignment="1" applyProtection="1">
      <alignment vertical="center"/>
      <protection hidden="1"/>
    </xf>
    <xf numFmtId="0" fontId="35" fillId="26" borderId="12" xfId="41" applyFont="1" applyFill="1" applyBorder="1" applyAlignment="1" applyProtection="1">
      <alignment vertical="center"/>
      <protection hidden="1"/>
    </xf>
    <xf numFmtId="0" fontId="35" fillId="26" borderId="95" xfId="41" applyFont="1" applyFill="1" applyBorder="1" applyAlignment="1" applyProtection="1">
      <alignment vertical="center"/>
      <protection hidden="1"/>
    </xf>
    <xf numFmtId="0" fontId="35" fillId="26" borderId="96" xfId="41" applyFont="1" applyFill="1" applyBorder="1" applyAlignment="1" applyProtection="1">
      <alignment vertical="center"/>
      <protection hidden="1"/>
    </xf>
    <xf numFmtId="0" fontId="35" fillId="0" borderId="14" xfId="41" applyFont="1" applyBorder="1" applyAlignment="1" applyProtection="1">
      <alignment vertical="center"/>
      <protection hidden="1"/>
    </xf>
    <xf numFmtId="0" fontId="35" fillId="0" borderId="15" xfId="41" applyFont="1" applyBorder="1" applyAlignment="1" applyProtection="1">
      <alignment vertical="center"/>
      <protection hidden="1"/>
    </xf>
    <xf numFmtId="0" fontId="78" fillId="0" borderId="15" xfId="41" applyFont="1" applyBorder="1" applyProtection="1">
      <protection hidden="1"/>
    </xf>
    <xf numFmtId="2" fontId="35" fillId="0" borderId="16" xfId="41" applyNumberFormat="1" applyFont="1" applyBorder="1" applyProtection="1">
      <protection hidden="1"/>
    </xf>
    <xf numFmtId="0" fontId="35" fillId="26" borderId="97" xfId="41" applyFont="1" applyFill="1" applyBorder="1" applyAlignment="1" applyProtection="1">
      <alignment vertical="center"/>
      <protection hidden="1"/>
    </xf>
    <xf numFmtId="0" fontId="35" fillId="26" borderId="98" xfId="41" applyFont="1" applyFill="1" applyBorder="1" applyAlignment="1" applyProtection="1">
      <alignment vertical="center"/>
      <protection hidden="1"/>
    </xf>
    <xf numFmtId="0" fontId="35" fillId="26" borderId="99" xfId="41" applyFont="1" applyFill="1" applyBorder="1" applyAlignment="1" applyProtection="1">
      <alignment vertical="center"/>
      <protection hidden="1"/>
    </xf>
    <xf numFmtId="0" fontId="9" fillId="24" borderId="0" xfId="0" applyFont="1" applyFill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9" fillId="24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57" fillId="28" borderId="0" xfId="0" applyFont="1" applyFill="1" applyAlignment="1">
      <alignment horizontal="center" vertical="center"/>
    </xf>
    <xf numFmtId="0" fontId="59" fillId="24" borderId="0" xfId="0" applyFont="1" applyFill="1" applyAlignment="1">
      <alignment horizontal="left" vertical="center" indent="1"/>
    </xf>
    <xf numFmtId="0" fontId="61" fillId="24" borderId="0" xfId="0" applyFont="1" applyFill="1" applyAlignment="1" applyProtection="1">
      <alignment horizontal="left" vertical="center"/>
      <protection locked="0"/>
    </xf>
    <xf numFmtId="0" fontId="54" fillId="0" borderId="0" xfId="0" applyFont="1" applyAlignment="1">
      <alignment horizontal="left" vertical="center"/>
    </xf>
    <xf numFmtId="0" fontId="63" fillId="31" borderId="0" xfId="0" applyFont="1" applyFill="1" applyAlignment="1">
      <alignment horizontal="center" vertical="center"/>
    </xf>
    <xf numFmtId="0" fontId="9" fillId="24" borderId="0" xfId="0" applyFont="1" applyFill="1" applyAlignment="1">
      <alignment horizontal="center" vertical="center"/>
    </xf>
    <xf numFmtId="0" fontId="9" fillId="0" borderId="15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2" fontId="0" fillId="25" borderId="10" xfId="0" applyNumberFormat="1" applyFill="1" applyBorder="1" applyAlignment="1" applyProtection="1">
      <alignment horizontal="center"/>
      <protection hidden="1"/>
    </xf>
    <xf numFmtId="0" fontId="4" fillId="26" borderId="10" xfId="0" applyFont="1" applyFill="1" applyBorder="1" applyAlignment="1">
      <alignment horizontal="center" vertical="center"/>
    </xf>
    <xf numFmtId="0" fontId="7" fillId="26" borderId="10" xfId="0" applyFont="1" applyFill="1" applyBorder="1" applyAlignment="1">
      <alignment horizontal="center" vertical="center"/>
    </xf>
    <xf numFmtId="0" fontId="0" fillId="25" borderId="10" xfId="0" applyFill="1" applyBorder="1" applyAlignment="1" applyProtection="1">
      <alignment horizontal="center"/>
      <protection hidden="1"/>
    </xf>
    <xf numFmtId="0" fontId="54" fillId="25" borderId="10" xfId="0" applyFont="1" applyFill="1" applyBorder="1" applyAlignment="1">
      <alignment horizontal="center" vertical="center" wrapText="1"/>
    </xf>
    <xf numFmtId="0" fontId="2" fillId="26" borderId="10" xfId="0" applyFont="1" applyFill="1" applyBorder="1" applyAlignment="1">
      <alignment horizontal="center" vertical="center"/>
    </xf>
    <xf numFmtId="0" fontId="0" fillId="25" borderId="19" xfId="0" applyFill="1" applyBorder="1" applyAlignment="1" applyProtection="1">
      <alignment horizontal="center"/>
      <protection hidden="1"/>
    </xf>
    <xf numFmtId="0" fontId="0" fillId="25" borderId="13" xfId="0" applyFill="1" applyBorder="1" applyAlignment="1" applyProtection="1">
      <alignment horizontal="center"/>
      <protection hidden="1"/>
    </xf>
    <xf numFmtId="2" fontId="0" fillId="25" borderId="17" xfId="0" applyNumberFormat="1" applyFill="1" applyBorder="1" applyAlignment="1" applyProtection="1">
      <alignment horizontal="center"/>
      <protection hidden="1"/>
    </xf>
    <xf numFmtId="2" fontId="0" fillId="25" borderId="12" xfId="0" applyNumberFormat="1" applyFill="1" applyBorder="1" applyAlignment="1" applyProtection="1">
      <alignment horizontal="center"/>
      <protection hidden="1"/>
    </xf>
    <xf numFmtId="2" fontId="0" fillId="25" borderId="11" xfId="0" applyNumberFormat="1" applyFill="1" applyBorder="1" applyAlignment="1" applyProtection="1">
      <alignment horizontal="center"/>
      <protection hidden="1"/>
    </xf>
    <xf numFmtId="2" fontId="0" fillId="25" borderId="14" xfId="0" applyNumberFormat="1" applyFill="1" applyBorder="1" applyAlignment="1" applyProtection="1">
      <alignment horizontal="center"/>
      <protection hidden="1"/>
    </xf>
    <xf numFmtId="2" fontId="0" fillId="25" borderId="15" xfId="0" applyNumberFormat="1" applyFill="1" applyBorder="1" applyAlignment="1" applyProtection="1">
      <alignment horizontal="center"/>
      <protection hidden="1"/>
    </xf>
    <xf numFmtId="2" fontId="0" fillId="25" borderId="16" xfId="0" applyNumberFormat="1" applyFill="1" applyBorder="1" applyAlignment="1" applyProtection="1">
      <alignment horizontal="center"/>
      <protection hidden="1"/>
    </xf>
    <xf numFmtId="0" fontId="54" fillId="25" borderId="10" xfId="0" applyFont="1" applyFill="1" applyBorder="1" applyAlignment="1" applyProtection="1">
      <alignment horizontal="center" vertical="center" wrapText="1"/>
      <protection hidden="1"/>
    </xf>
    <xf numFmtId="0" fontId="77" fillId="25" borderId="10" xfId="0" applyFont="1" applyFill="1" applyBorder="1" applyAlignment="1" applyProtection="1">
      <alignment horizontal="center" vertical="center"/>
      <protection hidden="1"/>
    </xf>
    <xf numFmtId="0" fontId="9" fillId="25" borderId="10" xfId="0" applyFont="1" applyFill="1" applyBorder="1" applyAlignment="1" applyProtection="1">
      <alignment horizontal="center" vertical="center"/>
      <protection hidden="1"/>
    </xf>
    <xf numFmtId="0" fontId="0" fillId="25" borderId="10" xfId="0" applyFill="1" applyBorder="1" applyAlignment="1" applyProtection="1">
      <alignment horizontal="center" vertical="center"/>
      <protection hidden="1"/>
    </xf>
    <xf numFmtId="0" fontId="36" fillId="29" borderId="19" xfId="41" applyFont="1" applyFill="1" applyBorder="1" applyAlignment="1">
      <alignment horizontal="center" vertical="center"/>
    </xf>
    <xf numFmtId="0" fontId="36" fillId="29" borderId="18" xfId="41" applyFont="1" applyFill="1" applyBorder="1" applyAlignment="1">
      <alignment horizontal="center" vertical="center"/>
    </xf>
    <xf numFmtId="0" fontId="36" fillId="29" borderId="13" xfId="41" applyFont="1" applyFill="1" applyBorder="1" applyAlignment="1">
      <alignment horizontal="center" vertical="center"/>
    </xf>
    <xf numFmtId="2" fontId="44" fillId="26" borderId="15" xfId="0" applyNumberFormat="1" applyFont="1" applyFill="1" applyBorder="1" applyAlignment="1">
      <alignment horizontal="center" vertical="center"/>
    </xf>
    <xf numFmtId="2" fontId="44" fillId="26" borderId="16" xfId="0" applyNumberFormat="1" applyFont="1" applyFill="1" applyBorder="1" applyAlignment="1">
      <alignment horizontal="center" vertical="center"/>
    </xf>
    <xf numFmtId="168" fontId="55" fillId="26" borderId="12" xfId="41" applyNumberFormat="1" applyFont="1" applyFill="1" applyBorder="1" applyAlignment="1">
      <alignment horizontal="center" vertical="center"/>
    </xf>
    <xf numFmtId="168" fontId="55" fillId="26" borderId="11" xfId="41" applyNumberFormat="1" applyFont="1" applyFill="1" applyBorder="1" applyAlignment="1">
      <alignment horizontal="center" vertical="center"/>
    </xf>
    <xf numFmtId="0" fontId="54" fillId="0" borderId="10" xfId="41" applyFont="1" applyBorder="1" applyAlignment="1">
      <alignment horizontal="center" vertical="center"/>
    </xf>
    <xf numFmtId="164" fontId="0" fillId="26" borderId="0" xfId="0" applyNumberFormat="1" applyFill="1" applyAlignment="1" applyProtection="1">
      <alignment horizontal="center"/>
      <protection hidden="1"/>
    </xf>
    <xf numFmtId="0" fontId="0" fillId="26" borderId="0" xfId="0" applyFill="1" applyAlignment="1" applyProtection="1">
      <alignment horizontal="center"/>
      <protection hidden="1"/>
    </xf>
    <xf numFmtId="164" fontId="7" fillId="26" borderId="49" xfId="0" applyNumberFormat="1" applyFont="1" applyFill="1" applyBorder="1" applyAlignment="1">
      <alignment horizontal="center" vertical="center"/>
    </xf>
    <xf numFmtId="164" fontId="0" fillId="26" borderId="9" xfId="0" applyNumberFormat="1" applyFill="1" applyBorder="1" applyAlignment="1" applyProtection="1">
      <alignment horizontal="center"/>
      <protection hidden="1"/>
    </xf>
    <xf numFmtId="0" fontId="34" fillId="26" borderId="19" xfId="0" applyFont="1" applyFill="1" applyBorder="1" applyAlignment="1">
      <alignment horizontal="center" vertical="center"/>
    </xf>
    <xf numFmtId="0" fontId="34" fillId="26" borderId="18" xfId="0" applyFont="1" applyFill="1" applyBorder="1" applyAlignment="1">
      <alignment horizontal="center" vertical="center"/>
    </xf>
    <xf numFmtId="0" fontId="34" fillId="26" borderId="13" xfId="0" applyFont="1" applyFill="1" applyBorder="1" applyAlignment="1">
      <alignment horizontal="center" vertical="center"/>
    </xf>
    <xf numFmtId="164" fontId="7" fillId="26" borderId="50" xfId="0" applyNumberFormat="1" applyFont="1" applyFill="1" applyBorder="1" applyAlignment="1">
      <alignment horizontal="center" vertical="center"/>
    </xf>
    <xf numFmtId="164" fontId="35" fillId="26" borderId="0" xfId="0" applyNumberFormat="1" applyFont="1" applyFill="1" applyAlignment="1">
      <alignment horizontal="center" vertical="center" shrinkToFit="1"/>
    </xf>
    <xf numFmtId="2" fontId="44" fillId="26" borderId="0" xfId="0" applyNumberFormat="1" applyFont="1" applyFill="1" applyAlignment="1">
      <alignment horizontal="center" vertical="center"/>
    </xf>
    <xf numFmtId="2" fontId="44" fillId="26" borderId="9" xfId="0" applyNumberFormat="1" applyFont="1" applyFill="1" applyBorder="1" applyAlignment="1">
      <alignment horizontal="center" vertical="center"/>
    </xf>
    <xf numFmtId="0" fontId="4" fillId="26" borderId="0" xfId="0" applyFont="1" applyFill="1" applyAlignment="1">
      <alignment horizontal="right" vertical="center"/>
    </xf>
    <xf numFmtId="0" fontId="5" fillId="26" borderId="0" xfId="0" applyFont="1" applyFill="1" applyAlignment="1">
      <alignment horizontal="right" vertical="center"/>
    </xf>
    <xf numFmtId="0" fontId="35" fillId="26" borderId="17" xfId="41" applyFont="1" applyFill="1" applyBorder="1" applyAlignment="1">
      <alignment horizontal="left" vertical="center"/>
    </xf>
    <xf numFmtId="0" fontId="35" fillId="26" borderId="12" xfId="41" applyFont="1" applyFill="1" applyBorder="1" applyAlignment="1">
      <alignment horizontal="left" vertical="center"/>
    </xf>
    <xf numFmtId="2" fontId="44" fillId="24" borderId="15" xfId="0" applyNumberFormat="1" applyFont="1" applyFill="1" applyBorder="1" applyAlignment="1">
      <alignment horizontal="center" vertical="center"/>
    </xf>
    <xf numFmtId="164" fontId="7" fillId="24" borderId="0" xfId="0" applyNumberFormat="1" applyFont="1" applyFill="1" applyAlignment="1">
      <alignment horizontal="center" vertical="center"/>
    </xf>
    <xf numFmtId="164" fontId="7" fillId="26" borderId="82" xfId="0" applyNumberFormat="1" applyFont="1" applyFill="1" applyBorder="1" applyAlignment="1">
      <alignment horizontal="center" vertical="center"/>
    </xf>
    <xf numFmtId="164" fontId="7" fillId="26" borderId="83" xfId="0" applyNumberFormat="1" applyFont="1" applyFill="1" applyBorder="1" applyAlignment="1">
      <alignment horizontal="center" vertical="center"/>
    </xf>
    <xf numFmtId="164" fontId="7" fillId="26" borderId="79" xfId="0" applyNumberFormat="1" applyFont="1" applyFill="1" applyBorder="1" applyAlignment="1">
      <alignment horizontal="center" vertical="center"/>
    </xf>
    <xf numFmtId="164" fontId="7" fillId="26" borderId="80" xfId="0" applyNumberFormat="1" applyFont="1" applyFill="1" applyBorder="1" applyAlignment="1">
      <alignment horizontal="center" vertical="center"/>
    </xf>
    <xf numFmtId="164" fontId="43" fillId="24" borderId="0" xfId="0" applyNumberFormat="1" applyFont="1" applyFill="1" applyAlignment="1">
      <alignment horizontal="center" vertical="center"/>
    </xf>
    <xf numFmtId="164" fontId="44" fillId="24" borderId="0" xfId="0" applyNumberFormat="1" applyFont="1" applyFill="1" applyAlignment="1">
      <alignment horizontal="center" vertical="center"/>
    </xf>
    <xf numFmtId="0" fontId="35" fillId="26" borderId="17" xfId="41" applyFont="1" applyFill="1" applyBorder="1" applyAlignment="1">
      <alignment horizontal="right" vertical="center" indent="1"/>
    </xf>
    <xf numFmtId="0" fontId="35" fillId="26" borderId="12" xfId="41" applyFont="1" applyFill="1" applyBorder="1" applyAlignment="1">
      <alignment horizontal="right" vertical="center" indent="1"/>
    </xf>
    <xf numFmtId="0" fontId="10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13" fillId="0" borderId="25" xfId="0" applyFont="1" applyBorder="1" applyAlignment="1">
      <alignment horizontal="center" vertical="center"/>
    </xf>
    <xf numFmtId="0" fontId="10" fillId="0" borderId="28" xfId="0" applyFont="1" applyBorder="1" applyAlignment="1">
      <alignment horizontal="center" vertical="center"/>
    </xf>
    <xf numFmtId="0" fontId="13" fillId="0" borderId="29" xfId="0" applyFont="1" applyBorder="1" applyAlignment="1">
      <alignment horizontal="center" vertical="center"/>
    </xf>
    <xf numFmtId="0" fontId="10" fillId="0" borderId="26" xfId="0" applyFont="1" applyBorder="1" applyAlignment="1">
      <alignment horizontal="center" vertical="center"/>
    </xf>
    <xf numFmtId="0" fontId="10" fillId="0" borderId="27" xfId="0" applyFont="1" applyBorder="1" applyAlignment="1">
      <alignment horizontal="center" vertical="center"/>
    </xf>
    <xf numFmtId="0" fontId="10" fillId="0" borderId="41" xfId="0" applyFont="1" applyBorder="1" applyAlignment="1">
      <alignment horizontal="center" vertical="center" wrapText="1"/>
    </xf>
    <xf numFmtId="0" fontId="10" fillId="0" borderId="42" xfId="0" applyFont="1" applyBorder="1" applyAlignment="1">
      <alignment horizontal="center" vertical="center" wrapText="1"/>
    </xf>
    <xf numFmtId="0" fontId="10" fillId="0" borderId="43" xfId="0" applyFont="1" applyBorder="1" applyAlignment="1">
      <alignment horizontal="center" vertical="center" wrapText="1"/>
    </xf>
    <xf numFmtId="0" fontId="42" fillId="24" borderId="46" xfId="0" applyFont="1" applyFill="1" applyBorder="1" applyAlignment="1">
      <alignment horizontal="center" vertical="center"/>
    </xf>
    <xf numFmtId="0" fontId="42" fillId="24" borderId="47" xfId="0" applyFont="1" applyFill="1" applyBorder="1" applyAlignment="1">
      <alignment horizontal="center" vertical="center"/>
    </xf>
    <xf numFmtId="0" fontId="40" fillId="26" borderId="0" xfId="0" applyFont="1" applyFill="1" applyAlignment="1">
      <alignment horizontal="right" vertical="center" shrinkToFit="1"/>
    </xf>
    <xf numFmtId="0" fontId="6" fillId="24" borderId="0" xfId="0" applyFont="1" applyFill="1" applyAlignment="1">
      <alignment horizontal="center" vertical="center"/>
    </xf>
    <xf numFmtId="0" fontId="7" fillId="24" borderId="0" xfId="0" applyFont="1" applyFill="1" applyAlignment="1">
      <alignment horizontal="center" vertical="center"/>
    </xf>
    <xf numFmtId="164" fontId="7" fillId="26" borderId="0" xfId="0" applyNumberFormat="1" applyFont="1" applyFill="1" applyAlignment="1">
      <alignment horizontal="center" vertical="center"/>
    </xf>
    <xf numFmtId="166" fontId="44" fillId="26" borderId="0" xfId="0" applyNumberFormat="1" applyFont="1" applyFill="1" applyAlignment="1" applyProtection="1">
      <alignment horizontal="center" vertical="center"/>
      <protection locked="0"/>
    </xf>
    <xf numFmtId="166" fontId="44" fillId="26" borderId="9" xfId="0" applyNumberFormat="1" applyFont="1" applyFill="1" applyBorder="1" applyAlignment="1" applyProtection="1">
      <alignment horizontal="center" vertical="center"/>
      <protection locked="0"/>
    </xf>
    <xf numFmtId="0" fontId="44" fillId="26" borderId="0" xfId="0" applyFont="1" applyFill="1" applyAlignment="1" applyProtection="1">
      <alignment horizontal="left" vertical="center"/>
      <protection locked="0"/>
    </xf>
    <xf numFmtId="2" fontId="0" fillId="26" borderId="0" xfId="0" applyNumberFormat="1" applyFill="1" applyAlignment="1" applyProtection="1">
      <alignment horizontal="center"/>
      <protection hidden="1"/>
    </xf>
    <xf numFmtId="2" fontId="0" fillId="26" borderId="9" xfId="0" applyNumberFormat="1" applyFill="1" applyBorder="1" applyAlignment="1" applyProtection="1">
      <alignment horizontal="center"/>
      <protection hidden="1"/>
    </xf>
    <xf numFmtId="0" fontId="35" fillId="26" borderId="8" xfId="0" applyFont="1" applyFill="1" applyBorder="1" applyAlignment="1">
      <alignment horizontal="right" vertical="center" indent="1"/>
    </xf>
    <xf numFmtId="0" fontId="35" fillId="26" borderId="0" xfId="0" applyFont="1" applyFill="1" applyAlignment="1">
      <alignment horizontal="right" vertical="center" indent="1"/>
    </xf>
    <xf numFmtId="0" fontId="4" fillId="26" borderId="18" xfId="0" applyFont="1" applyFill="1" applyBorder="1" applyAlignment="1">
      <alignment horizontal="center" vertical="center"/>
    </xf>
    <xf numFmtId="0" fontId="7" fillId="26" borderId="13" xfId="0" applyFont="1" applyFill="1" applyBorder="1" applyAlignment="1">
      <alignment horizontal="center" vertical="center"/>
    </xf>
    <xf numFmtId="2" fontId="35" fillId="26" borderId="0" xfId="0" applyNumberFormat="1" applyFont="1" applyFill="1" applyAlignment="1">
      <alignment horizontal="center" vertical="center"/>
    </xf>
    <xf numFmtId="2" fontId="35" fillId="26" borderId="9" xfId="0" applyNumberFormat="1" applyFont="1" applyFill="1" applyBorder="1" applyAlignment="1">
      <alignment horizontal="center" vertical="center"/>
    </xf>
    <xf numFmtId="2" fontId="8" fillId="26" borderId="0" xfId="0" applyNumberFormat="1" applyFont="1" applyFill="1" applyAlignment="1">
      <alignment horizontal="center" vertical="center"/>
    </xf>
    <xf numFmtId="0" fontId="35" fillId="26" borderId="17" xfId="0" applyFont="1" applyFill="1" applyBorder="1" applyAlignment="1">
      <alignment horizontal="right" vertical="center"/>
    </xf>
    <xf numFmtId="0" fontId="35" fillId="26" borderId="12" xfId="0" applyFont="1" applyFill="1" applyBorder="1" applyAlignment="1">
      <alignment horizontal="right" vertical="center"/>
    </xf>
    <xf numFmtId="2" fontId="53" fillId="26" borderId="32" xfId="0" applyNumberFormat="1" applyFont="1" applyFill="1" applyBorder="1" applyAlignment="1">
      <alignment horizontal="center" vertical="center"/>
    </xf>
    <xf numFmtId="2" fontId="53" fillId="26" borderId="33" xfId="0" applyNumberFormat="1" applyFont="1" applyFill="1" applyBorder="1" applyAlignment="1">
      <alignment horizontal="center" vertical="center"/>
    </xf>
    <xf numFmtId="2" fontId="53" fillId="24" borderId="0" xfId="0" applyNumberFormat="1" applyFont="1" applyFill="1" applyAlignment="1">
      <alignment horizontal="center" vertical="center"/>
    </xf>
    <xf numFmtId="2" fontId="9" fillId="26" borderId="15" xfId="0" applyNumberFormat="1" applyFont="1" applyFill="1" applyBorder="1" applyAlignment="1" applyProtection="1">
      <alignment horizontal="center"/>
      <protection locked="0"/>
    </xf>
    <xf numFmtId="2" fontId="9" fillId="26" borderId="16" xfId="0" applyNumberFormat="1" applyFont="1" applyFill="1" applyBorder="1" applyAlignment="1" applyProtection="1">
      <alignment horizontal="center"/>
      <protection locked="0"/>
    </xf>
    <xf numFmtId="0" fontId="34" fillId="26" borderId="17" xfId="0" applyFont="1" applyFill="1" applyBorder="1" applyAlignment="1">
      <alignment horizontal="center" vertical="center"/>
    </xf>
    <xf numFmtId="0" fontId="34" fillId="26" borderId="12" xfId="0" applyFont="1" applyFill="1" applyBorder="1" applyAlignment="1">
      <alignment horizontal="center" vertical="center"/>
    </xf>
    <xf numFmtId="0" fontId="34" fillId="26" borderId="11" xfId="0" applyFont="1" applyFill="1" applyBorder="1" applyAlignment="1">
      <alignment horizontal="center" vertical="center"/>
    </xf>
    <xf numFmtId="2" fontId="35" fillId="26" borderId="0" xfId="0" applyNumberFormat="1" applyFont="1" applyFill="1" applyAlignment="1">
      <alignment horizontal="center" vertical="center" shrinkToFit="1"/>
    </xf>
    <xf numFmtId="0" fontId="9" fillId="26" borderId="15" xfId="0" applyFont="1" applyFill="1" applyBorder="1" applyAlignment="1" applyProtection="1">
      <alignment horizontal="right" vertical="center"/>
      <protection hidden="1"/>
    </xf>
    <xf numFmtId="0" fontId="35" fillId="26" borderId="0" xfId="0" applyFont="1" applyFill="1" applyAlignment="1">
      <alignment horizontal="center" vertical="center" shrinkToFit="1"/>
    </xf>
    <xf numFmtId="0" fontId="7" fillId="26" borderId="18" xfId="0" applyFont="1" applyFill="1" applyBorder="1" applyAlignment="1">
      <alignment horizontal="center" vertical="center"/>
    </xf>
    <xf numFmtId="0" fontId="2" fillId="26" borderId="18" xfId="0" applyFont="1" applyFill="1" applyBorder="1" applyAlignment="1">
      <alignment horizontal="center" vertical="center"/>
    </xf>
    <xf numFmtId="0" fontId="7" fillId="26" borderId="19" xfId="0" applyFont="1" applyFill="1" applyBorder="1" applyAlignment="1">
      <alignment horizontal="right" vertical="center"/>
    </xf>
    <xf numFmtId="0" fontId="7" fillId="26" borderId="18" xfId="0" applyFont="1" applyFill="1" applyBorder="1" applyAlignment="1">
      <alignment horizontal="right" vertical="center"/>
    </xf>
    <xf numFmtId="0" fontId="0" fillId="26" borderId="9" xfId="0" applyFill="1" applyBorder="1" applyAlignment="1" applyProtection="1">
      <alignment horizontal="center"/>
      <protection hidden="1"/>
    </xf>
    <xf numFmtId="164" fontId="35" fillId="26" borderId="9" xfId="0" applyNumberFormat="1" applyFont="1" applyFill="1" applyBorder="1" applyAlignment="1">
      <alignment horizontal="center" vertical="center" shrinkToFit="1"/>
    </xf>
    <xf numFmtId="164" fontId="40" fillId="24" borderId="0" xfId="0" applyNumberFormat="1" applyFont="1" applyFill="1" applyAlignment="1">
      <alignment horizontal="center" vertical="center" shrinkToFit="1"/>
    </xf>
    <xf numFmtId="167" fontId="9" fillId="26" borderId="15" xfId="41" applyNumberFormat="1" applyFill="1" applyBorder="1" applyAlignment="1" applyProtection="1">
      <alignment horizontal="center"/>
      <protection hidden="1"/>
    </xf>
    <xf numFmtId="167" fontId="9" fillId="26" borderId="16" xfId="41" applyNumberFormat="1" applyFill="1" applyBorder="1" applyAlignment="1" applyProtection="1">
      <alignment horizontal="center"/>
      <protection hidden="1"/>
    </xf>
    <xf numFmtId="0" fontId="35" fillId="26" borderId="0" xfId="0" applyFont="1" applyFill="1" applyAlignment="1">
      <alignment horizontal="right" vertical="center" shrinkToFit="1"/>
    </xf>
    <xf numFmtId="2" fontId="53" fillId="26" borderId="0" xfId="0" applyNumberFormat="1" applyFont="1" applyFill="1" applyAlignment="1">
      <alignment horizontal="center" vertical="center"/>
    </xf>
    <xf numFmtId="2" fontId="53" fillId="26" borderId="9" xfId="0" applyNumberFormat="1" applyFont="1" applyFill="1" applyBorder="1" applyAlignment="1">
      <alignment horizontal="center" vertical="center"/>
    </xf>
    <xf numFmtId="164" fontId="7" fillId="26" borderId="32" xfId="0" applyNumberFormat="1" applyFont="1" applyFill="1" applyBorder="1" applyAlignment="1">
      <alignment horizontal="center" vertical="center"/>
    </xf>
    <xf numFmtId="164" fontId="7" fillId="26" borderId="12" xfId="0" applyNumberFormat="1" applyFont="1" applyFill="1" applyBorder="1" applyAlignment="1">
      <alignment horizontal="center" vertical="center"/>
    </xf>
    <xf numFmtId="164" fontId="35" fillId="26" borderId="12" xfId="0" applyNumberFormat="1" applyFont="1" applyFill="1" applyBorder="1" applyAlignment="1">
      <alignment horizontal="center" vertical="center" shrinkToFit="1"/>
    </xf>
    <xf numFmtId="0" fontId="45" fillId="27" borderId="0" xfId="0" applyFont="1" applyFill="1" applyAlignment="1">
      <alignment horizontal="center" vertical="center"/>
    </xf>
    <xf numFmtId="0" fontId="35" fillId="24" borderId="0" xfId="0" applyFont="1" applyFill="1" applyAlignment="1" applyProtection="1">
      <alignment horizontal="center" vertical="center"/>
      <protection hidden="1"/>
    </xf>
    <xf numFmtId="0" fontId="35" fillId="26" borderId="0" xfId="0" applyFont="1" applyFill="1" applyAlignment="1" applyProtection="1">
      <alignment horizontal="left" vertical="center"/>
      <protection locked="0"/>
    </xf>
    <xf numFmtId="0" fontId="35" fillId="26" borderId="9" xfId="0" applyFont="1" applyFill="1" applyBorder="1" applyAlignment="1" applyProtection="1">
      <alignment horizontal="left" vertical="center"/>
      <protection locked="0"/>
    </xf>
    <xf numFmtId="2" fontId="44" fillId="26" borderId="0" xfId="0" applyNumberFormat="1" applyFont="1" applyFill="1" applyAlignment="1" applyProtection="1">
      <alignment horizontal="center" vertical="center"/>
      <protection locked="0"/>
    </xf>
    <xf numFmtId="2" fontId="44" fillId="26" borderId="9" xfId="0" applyNumberFormat="1" applyFont="1" applyFill="1" applyBorder="1" applyAlignment="1" applyProtection="1">
      <alignment horizontal="center" vertical="center"/>
      <protection locked="0"/>
    </xf>
    <xf numFmtId="0" fontId="35" fillId="24" borderId="0" xfId="0" applyFont="1" applyFill="1" applyAlignment="1">
      <alignment horizontal="center" vertical="top" shrinkToFit="1"/>
    </xf>
    <xf numFmtId="0" fontId="2" fillId="26" borderId="0" xfId="0" applyFont="1" applyFill="1" applyAlignment="1">
      <alignment horizontal="right" vertical="center"/>
    </xf>
    <xf numFmtId="166" fontId="44" fillId="26" borderId="0" xfId="0" applyNumberFormat="1" applyFont="1" applyFill="1" applyAlignment="1">
      <alignment horizontal="center" vertical="center"/>
    </xf>
    <xf numFmtId="166" fontId="44" fillId="26" borderId="9" xfId="0" applyNumberFormat="1" applyFont="1" applyFill="1" applyBorder="1" applyAlignment="1">
      <alignment horizontal="center" vertical="center"/>
    </xf>
    <xf numFmtId="0" fontId="48" fillId="29" borderId="36" xfId="44" applyNumberFormat="1" applyFont="1" applyFill="1" applyBorder="1" applyAlignment="1">
      <alignment horizontal="center" vertical="center"/>
    </xf>
    <xf numFmtId="0" fontId="48" fillId="29" borderId="0" xfId="44" applyNumberFormat="1" applyFont="1" applyFill="1" applyAlignment="1">
      <alignment horizontal="center" vertical="center"/>
    </xf>
    <xf numFmtId="0" fontId="48" fillId="29" borderId="15" xfId="44" applyNumberFormat="1" applyFont="1" applyFill="1" applyBorder="1" applyAlignment="1">
      <alignment horizontal="center" vertical="center"/>
    </xf>
    <xf numFmtId="0" fontId="48" fillId="29" borderId="37" xfId="44" applyNumberFormat="1" applyFont="1" applyFill="1" applyBorder="1" applyAlignment="1">
      <alignment horizontal="center" vertical="center"/>
    </xf>
    <xf numFmtId="0" fontId="48" fillId="29" borderId="30" xfId="44" applyNumberFormat="1" applyFont="1" applyFill="1" applyBorder="1" applyAlignment="1">
      <alignment horizontal="center" vertical="center"/>
    </xf>
    <xf numFmtId="0" fontId="48" fillId="29" borderId="85" xfId="44" applyNumberFormat="1" applyFont="1" applyFill="1" applyBorder="1" applyAlignment="1">
      <alignment horizontal="center" vertical="center"/>
    </xf>
    <xf numFmtId="0" fontId="35" fillId="26" borderId="12" xfId="41" applyFont="1" applyFill="1" applyBorder="1" applyAlignment="1" applyProtection="1">
      <alignment horizontal="left" vertical="center"/>
      <protection locked="0"/>
    </xf>
    <xf numFmtId="0" fontId="35" fillId="26" borderId="11" xfId="41" applyFont="1" applyFill="1" applyBorder="1" applyAlignment="1" applyProtection="1">
      <alignment horizontal="left" vertical="center"/>
      <protection locked="0"/>
    </xf>
    <xf numFmtId="0" fontId="47" fillId="28" borderId="35" xfId="44" applyNumberFormat="1" applyFont="1" applyFill="1" applyBorder="1" applyAlignment="1">
      <alignment horizontal="center" vertical="center"/>
    </xf>
    <xf numFmtId="0" fontId="47" fillId="28" borderId="36" xfId="44" applyNumberFormat="1" applyFont="1" applyFill="1" applyBorder="1" applyAlignment="1">
      <alignment horizontal="center" vertical="center"/>
    </xf>
    <xf numFmtId="0" fontId="47" fillId="28" borderId="38" xfId="44" applyNumberFormat="1" applyFont="1" applyFill="1" applyBorder="1" applyAlignment="1">
      <alignment horizontal="center" vertical="center"/>
    </xf>
    <xf numFmtId="0" fontId="47" fillId="28" borderId="0" xfId="44" applyNumberFormat="1" applyFont="1" applyFill="1" applyAlignment="1">
      <alignment horizontal="center" vertical="center"/>
    </xf>
    <xf numFmtId="0" fontId="47" fillId="28" borderId="84" xfId="44" applyNumberFormat="1" applyFont="1" applyFill="1" applyBorder="1" applyAlignment="1">
      <alignment horizontal="center" vertical="center"/>
    </xf>
    <xf numFmtId="0" fontId="47" fillId="28" borderId="15" xfId="44" applyNumberFormat="1" applyFont="1" applyFill="1" applyBorder="1" applyAlignment="1">
      <alignment horizontal="center" vertical="center"/>
    </xf>
    <xf numFmtId="2" fontId="35" fillId="26" borderId="0" xfId="0" applyNumberFormat="1" applyFont="1" applyFill="1" applyAlignment="1" applyProtection="1">
      <alignment horizontal="center" vertical="center"/>
      <protection locked="0"/>
    </xf>
    <xf numFmtId="2" fontId="35" fillId="26" borderId="9" xfId="0" applyNumberFormat="1" applyFont="1" applyFill="1" applyBorder="1" applyAlignment="1" applyProtection="1">
      <alignment horizontal="center" vertical="center"/>
      <protection locked="0"/>
    </xf>
    <xf numFmtId="2" fontId="35" fillId="26" borderId="15" xfId="0" applyNumberFormat="1" applyFont="1" applyFill="1" applyBorder="1" applyAlignment="1" applyProtection="1">
      <alignment horizontal="center" vertical="center"/>
      <protection locked="0"/>
    </xf>
    <xf numFmtId="2" fontId="35" fillId="26" borderId="16" xfId="0" applyNumberFormat="1" applyFont="1" applyFill="1" applyBorder="1" applyAlignment="1" applyProtection="1">
      <alignment horizontal="center" vertical="center"/>
      <protection locked="0"/>
    </xf>
    <xf numFmtId="0" fontId="9" fillId="25" borderId="21" xfId="0" applyFont="1" applyFill="1" applyBorder="1" applyAlignment="1">
      <alignment horizontal="center"/>
    </xf>
    <xf numFmtId="0" fontId="9" fillId="25" borderId="22" xfId="0" applyFont="1" applyFill="1" applyBorder="1" applyAlignment="1">
      <alignment horizontal="center"/>
    </xf>
    <xf numFmtId="0" fontId="9" fillId="25" borderId="41" xfId="0" applyFont="1" applyFill="1" applyBorder="1" applyAlignment="1">
      <alignment horizontal="center"/>
    </xf>
    <xf numFmtId="0" fontId="9" fillId="25" borderId="76" xfId="0" applyFont="1" applyFill="1" applyBorder="1" applyAlignment="1">
      <alignment horizontal="center"/>
    </xf>
    <xf numFmtId="0" fontId="9" fillId="25" borderId="10" xfId="0" applyFont="1" applyFill="1" applyBorder="1" applyAlignment="1">
      <alignment horizontal="left" vertical="center"/>
    </xf>
    <xf numFmtId="0" fontId="9" fillId="25" borderId="10" xfId="0" applyFont="1" applyFill="1" applyBorder="1" applyAlignment="1">
      <alignment horizontal="left"/>
    </xf>
    <xf numFmtId="0" fontId="9" fillId="25" borderId="25" xfId="0" applyFont="1" applyFill="1" applyBorder="1" applyAlignment="1">
      <alignment horizontal="left" vertical="center"/>
    </xf>
    <xf numFmtId="164" fontId="35" fillId="26" borderId="11" xfId="0" applyNumberFormat="1" applyFont="1" applyFill="1" applyBorder="1" applyAlignment="1">
      <alignment horizontal="center" vertical="center" shrinkToFit="1"/>
    </xf>
    <xf numFmtId="0" fontId="9" fillId="26" borderId="17" xfId="0" applyFont="1" applyFill="1" applyBorder="1" applyAlignment="1" applyProtection="1">
      <alignment horizontal="center"/>
      <protection hidden="1"/>
    </xf>
    <xf numFmtId="0" fontId="0" fillId="26" borderId="12" xfId="0" applyFill="1" applyBorder="1" applyAlignment="1" applyProtection="1">
      <alignment horizontal="center"/>
      <protection hidden="1"/>
    </xf>
    <xf numFmtId="0" fontId="0" fillId="26" borderId="11" xfId="0" applyFill="1" applyBorder="1" applyAlignment="1" applyProtection="1">
      <alignment horizontal="center"/>
      <protection hidden="1"/>
    </xf>
    <xf numFmtId="0" fontId="9" fillId="26" borderId="14" xfId="0" applyFont="1" applyFill="1" applyBorder="1" applyAlignment="1" applyProtection="1">
      <alignment horizontal="center"/>
      <protection hidden="1"/>
    </xf>
    <xf numFmtId="0" fontId="9" fillId="26" borderId="15" xfId="0" applyFont="1" applyFill="1" applyBorder="1" applyAlignment="1" applyProtection="1">
      <alignment horizontal="center"/>
      <protection hidden="1"/>
    </xf>
    <xf numFmtId="0" fontId="9" fillId="26" borderId="16" xfId="0" applyFont="1" applyFill="1" applyBorder="1" applyAlignment="1" applyProtection="1">
      <alignment horizontal="center"/>
      <protection hidden="1"/>
    </xf>
    <xf numFmtId="0" fontId="35" fillId="26" borderId="8" xfId="0" applyFont="1" applyFill="1" applyBorder="1" applyAlignment="1" applyProtection="1">
      <alignment horizontal="center"/>
      <protection hidden="1"/>
    </xf>
    <xf numFmtId="0" fontId="35" fillId="26" borderId="0" xfId="0" applyFont="1" applyFill="1" applyAlignment="1" applyProtection="1">
      <alignment horizontal="center"/>
      <protection hidden="1"/>
    </xf>
    <xf numFmtId="0" fontId="35" fillId="26" borderId="30" xfId="0" applyFont="1" applyFill="1" applyBorder="1" applyAlignment="1" applyProtection="1">
      <alignment horizontal="center"/>
      <protection hidden="1"/>
    </xf>
    <xf numFmtId="0" fontId="35" fillId="26" borderId="38" xfId="41" applyFont="1" applyFill="1" applyBorder="1" applyAlignment="1" applyProtection="1">
      <alignment horizontal="center" vertical="center"/>
      <protection hidden="1"/>
    </xf>
    <xf numFmtId="0" fontId="35" fillId="26" borderId="0" xfId="41" applyFont="1" applyFill="1" applyAlignment="1" applyProtection="1">
      <alignment horizontal="center" vertical="center"/>
      <protection hidden="1"/>
    </xf>
    <xf numFmtId="164" fontId="35" fillId="26" borderId="79" xfId="0" applyNumberFormat="1" applyFont="1" applyFill="1" applyBorder="1" applyAlignment="1">
      <alignment horizontal="center" vertical="center" shrinkToFit="1"/>
    </xf>
    <xf numFmtId="164" fontId="35" fillId="26" borderId="80" xfId="0" applyNumberFormat="1" applyFont="1" applyFill="1" applyBorder="1" applyAlignment="1">
      <alignment horizontal="center" vertical="center" shrinkToFit="1"/>
    </xf>
    <xf numFmtId="164" fontId="7" fillId="26" borderId="33" xfId="0" applyNumberFormat="1" applyFont="1" applyFill="1" applyBorder="1" applyAlignment="1">
      <alignment horizontal="center" vertical="center"/>
    </xf>
    <xf numFmtId="0" fontId="35" fillId="26" borderId="8" xfId="41" applyFont="1" applyFill="1" applyBorder="1" applyAlignment="1" applyProtection="1">
      <alignment horizontal="center" vertical="center"/>
      <protection hidden="1"/>
    </xf>
    <xf numFmtId="0" fontId="35" fillId="26" borderId="30" xfId="41" applyFont="1" applyFill="1" applyBorder="1" applyAlignment="1" applyProtection="1">
      <alignment horizontal="center" vertical="center"/>
      <protection hidden="1"/>
    </xf>
    <xf numFmtId="0" fontId="53" fillId="26" borderId="8" xfId="0" applyFont="1" applyFill="1" applyBorder="1" applyAlignment="1" applyProtection="1">
      <alignment horizontal="center"/>
      <protection hidden="1"/>
    </xf>
    <xf numFmtId="0" fontId="53" fillId="26" borderId="0" xfId="0" applyFont="1" applyFill="1" applyAlignment="1" applyProtection="1">
      <alignment horizontal="center"/>
      <protection hidden="1"/>
    </xf>
    <xf numFmtId="0" fontId="53" fillId="26" borderId="30" xfId="0" applyFont="1" applyFill="1" applyBorder="1" applyAlignment="1" applyProtection="1">
      <alignment horizontal="center"/>
      <protection hidden="1"/>
    </xf>
    <xf numFmtId="0" fontId="53" fillId="26" borderId="38" xfId="0" applyFont="1" applyFill="1" applyBorder="1" applyAlignment="1" applyProtection="1">
      <alignment horizontal="center"/>
      <protection hidden="1"/>
    </xf>
    <xf numFmtId="0" fontId="44" fillId="26" borderId="8" xfId="0" applyFont="1" applyFill="1" applyBorder="1" applyAlignment="1" applyProtection="1">
      <alignment horizontal="center"/>
      <protection hidden="1"/>
    </xf>
    <xf numFmtId="0" fontId="44" fillId="26" borderId="0" xfId="0" applyFont="1" applyFill="1" applyAlignment="1" applyProtection="1">
      <alignment horizontal="center"/>
      <protection hidden="1"/>
    </xf>
    <xf numFmtId="0" fontId="44" fillId="26" borderId="30" xfId="0" applyFont="1" applyFill="1" applyBorder="1" applyAlignment="1" applyProtection="1">
      <alignment horizontal="center"/>
      <protection hidden="1"/>
    </xf>
    <xf numFmtId="0" fontId="44" fillId="26" borderId="38" xfId="0" applyFont="1" applyFill="1" applyBorder="1" applyAlignment="1" applyProtection="1">
      <alignment horizontal="center"/>
      <protection hidden="1"/>
    </xf>
    <xf numFmtId="0" fontId="35" fillId="26" borderId="91" xfId="41" applyFont="1" applyFill="1" applyBorder="1" applyAlignment="1" applyProtection="1">
      <alignment horizontal="center" vertical="center"/>
      <protection hidden="1"/>
    </xf>
    <xf numFmtId="0" fontId="79" fillId="26" borderId="38" xfId="41" applyFont="1" applyFill="1" applyBorder="1" applyAlignment="1" applyProtection="1">
      <alignment horizontal="center" vertical="center"/>
      <protection hidden="1"/>
    </xf>
    <xf numFmtId="0" fontId="79" fillId="26" borderId="0" xfId="41" applyFont="1" applyFill="1" applyAlignment="1" applyProtection="1">
      <alignment horizontal="center" vertical="center"/>
      <protection hidden="1"/>
    </xf>
    <xf numFmtId="0" fontId="79" fillId="26" borderId="91" xfId="41" applyFont="1" applyFill="1" applyBorder="1" applyAlignment="1" applyProtection="1">
      <alignment horizontal="center" vertical="center"/>
      <protection hidden="1"/>
    </xf>
    <xf numFmtId="0" fontId="79" fillId="26" borderId="30" xfId="41" applyFont="1" applyFill="1" applyBorder="1" applyAlignment="1" applyProtection="1">
      <alignment horizontal="center" vertical="center"/>
      <protection hidden="1"/>
    </xf>
    <xf numFmtId="0" fontId="80" fillId="26" borderId="38" xfId="41" applyFont="1" applyFill="1" applyBorder="1" applyAlignment="1" applyProtection="1">
      <alignment horizontal="center" vertical="center"/>
      <protection hidden="1"/>
    </xf>
    <xf numFmtId="0" fontId="80" fillId="26" borderId="0" xfId="41" applyFont="1" applyFill="1" applyAlignment="1" applyProtection="1">
      <alignment horizontal="center" vertical="center"/>
      <protection hidden="1"/>
    </xf>
    <xf numFmtId="0" fontId="80" fillId="26" borderId="91" xfId="41" applyFont="1" applyFill="1" applyBorder="1" applyAlignment="1" applyProtection="1">
      <alignment horizontal="center" vertical="center"/>
      <protection hidden="1"/>
    </xf>
    <xf numFmtId="0" fontId="80" fillId="26" borderId="30" xfId="41" applyFont="1" applyFill="1" applyBorder="1" applyAlignment="1" applyProtection="1">
      <alignment horizontal="center" vertical="center"/>
      <protection hidden="1"/>
    </xf>
    <xf numFmtId="0" fontId="79" fillId="26" borderId="9" xfId="41" applyFont="1" applyFill="1" applyBorder="1" applyAlignment="1" applyProtection="1">
      <alignment horizontal="center" vertical="center"/>
      <protection hidden="1"/>
    </xf>
    <xf numFmtId="0" fontId="79" fillId="26" borderId="8" xfId="41" applyFont="1" applyFill="1" applyBorder="1" applyAlignment="1" applyProtection="1">
      <alignment horizontal="center" vertical="center"/>
      <protection hidden="1"/>
    </xf>
    <xf numFmtId="0" fontId="80" fillId="26" borderId="9" xfId="41" applyFont="1" applyFill="1" applyBorder="1" applyAlignment="1" applyProtection="1">
      <alignment horizontal="center" vertical="center"/>
      <protection hidden="1"/>
    </xf>
    <xf numFmtId="0" fontId="80" fillId="26" borderId="8" xfId="41" applyFont="1" applyFill="1" applyBorder="1" applyAlignment="1" applyProtection="1">
      <alignment horizontal="center" vertical="center"/>
      <protection hidden="1"/>
    </xf>
    <xf numFmtId="0" fontId="35" fillId="26" borderId="9" xfId="41" applyFont="1" applyFill="1" applyBorder="1" applyAlignment="1" applyProtection="1">
      <alignment horizontal="center" vertical="center"/>
      <protection hidden="1"/>
    </xf>
    <xf numFmtId="0" fontId="81" fillId="29" borderId="19" xfId="0" applyFont="1" applyFill="1" applyBorder="1" applyAlignment="1">
      <alignment horizontal="center" vertical="center"/>
    </xf>
    <xf numFmtId="0" fontId="81" fillId="29" borderId="18" xfId="0" applyFont="1" applyFill="1" applyBorder="1" applyAlignment="1">
      <alignment horizontal="center" vertical="center"/>
    </xf>
    <xf numFmtId="0" fontId="81" fillId="29" borderId="13" xfId="0" applyFont="1" applyFill="1" applyBorder="1" applyAlignment="1">
      <alignment horizontal="center" vertical="center"/>
    </xf>
    <xf numFmtId="0" fontId="0" fillId="24" borderId="0" xfId="0" applyFill="1" applyAlignment="1">
      <alignment horizontal="center"/>
    </xf>
    <xf numFmtId="0" fontId="0" fillId="24" borderId="0" xfId="0" applyFill="1" applyAlignment="1">
      <alignment horizontal="center" vertical="center"/>
    </xf>
    <xf numFmtId="0" fontId="0" fillId="26" borderId="60" xfId="0" applyFill="1" applyBorder="1" applyAlignment="1">
      <alignment horizontal="center" vertical="center"/>
    </xf>
    <xf numFmtId="0" fontId="0" fillId="26" borderId="61" xfId="0" applyFill="1" applyBorder="1" applyAlignment="1">
      <alignment horizontal="center" vertical="center"/>
    </xf>
    <xf numFmtId="0" fontId="0" fillId="26" borderId="68" xfId="0" applyFill="1" applyBorder="1" applyAlignment="1">
      <alignment horizontal="center" vertical="center"/>
    </xf>
    <xf numFmtId="0" fontId="0" fillId="26" borderId="72" xfId="0" applyFill="1" applyBorder="1" applyAlignment="1">
      <alignment horizontal="center" vertical="center"/>
    </xf>
    <xf numFmtId="0" fontId="0" fillId="26" borderId="17" xfId="0" applyFill="1" applyBorder="1" applyAlignment="1">
      <alignment horizontal="center" vertical="center"/>
    </xf>
    <xf numFmtId="0" fontId="0" fillId="26" borderId="12" xfId="0" applyFill="1" applyBorder="1" applyAlignment="1">
      <alignment horizontal="center" vertical="center"/>
    </xf>
    <xf numFmtId="0" fontId="0" fillId="26" borderId="11" xfId="0" applyFill="1" applyBorder="1" applyAlignment="1">
      <alignment horizontal="center" vertical="center"/>
    </xf>
    <xf numFmtId="0" fontId="0" fillId="26" borderId="14" xfId="0" applyFill="1" applyBorder="1" applyAlignment="1">
      <alignment horizontal="center" vertical="center"/>
    </xf>
    <xf numFmtId="0" fontId="0" fillId="26" borderId="15" xfId="0" applyFill="1" applyBorder="1" applyAlignment="1">
      <alignment horizontal="center" vertical="center"/>
    </xf>
    <xf numFmtId="0" fontId="0" fillId="26" borderId="16" xfId="0" applyFill="1" applyBorder="1" applyAlignment="1">
      <alignment horizontal="center" vertical="center"/>
    </xf>
    <xf numFmtId="0" fontId="0" fillId="26" borderId="70" xfId="0" applyFill="1" applyBorder="1" applyAlignment="1">
      <alignment horizontal="center" vertical="center"/>
    </xf>
    <xf numFmtId="0" fontId="0" fillId="26" borderId="52" xfId="0" applyFill="1" applyBorder="1" applyAlignment="1">
      <alignment horizontal="center" vertical="center"/>
    </xf>
    <xf numFmtId="0" fontId="0" fillId="26" borderId="71" xfId="0" applyFill="1" applyBorder="1" applyAlignment="1">
      <alignment horizontal="center" vertical="center"/>
    </xf>
    <xf numFmtId="0" fontId="0" fillId="26" borderId="10" xfId="0" applyFill="1" applyBorder="1" applyAlignment="1">
      <alignment horizontal="center" vertical="center"/>
    </xf>
    <xf numFmtId="0" fontId="0" fillId="26" borderId="69" xfId="0" applyFill="1" applyBorder="1" applyAlignment="1">
      <alignment horizontal="center" vertical="center"/>
    </xf>
    <xf numFmtId="0" fontId="0" fillId="26" borderId="55" xfId="0" applyFill="1" applyBorder="1" applyAlignment="1">
      <alignment horizontal="center" vertical="center"/>
    </xf>
    <xf numFmtId="0" fontId="0" fillId="26" borderId="59" xfId="0" applyFill="1" applyBorder="1" applyAlignment="1">
      <alignment horizontal="center" vertical="center"/>
    </xf>
    <xf numFmtId="0" fontId="0" fillId="26" borderId="63" xfId="0" applyFill="1" applyBorder="1" applyAlignment="1">
      <alignment horizontal="center" vertical="center"/>
    </xf>
    <xf numFmtId="0" fontId="0" fillId="26" borderId="65" xfId="0" applyFill="1" applyBorder="1" applyAlignment="1">
      <alignment horizontal="center" vertical="center"/>
    </xf>
    <xf numFmtId="0" fontId="0" fillId="26" borderId="67" xfId="0" applyFill="1" applyBorder="1" applyAlignment="1">
      <alignment horizontal="center" vertical="center"/>
    </xf>
    <xf numFmtId="0" fontId="0" fillId="26" borderId="62" xfId="0" applyFill="1" applyBorder="1" applyAlignment="1">
      <alignment horizontal="center" vertical="center"/>
    </xf>
    <xf numFmtId="0" fontId="0" fillId="26" borderId="64" xfId="0" applyFill="1" applyBorder="1" applyAlignment="1">
      <alignment horizontal="center" vertical="center"/>
    </xf>
    <xf numFmtId="0" fontId="0" fillId="26" borderId="66" xfId="0" applyFill="1" applyBorder="1" applyAlignment="1">
      <alignment horizontal="center" vertical="center"/>
    </xf>
    <xf numFmtId="0" fontId="0" fillId="26" borderId="20" xfId="0" applyFill="1" applyBorder="1" applyAlignment="1">
      <alignment horizontal="center" vertical="center"/>
    </xf>
    <xf numFmtId="0" fontId="0" fillId="26" borderId="53" xfId="0" applyFill="1" applyBorder="1" applyAlignment="1">
      <alignment horizontal="center" vertical="center"/>
    </xf>
    <xf numFmtId="0" fontId="0" fillId="26" borderId="54" xfId="0" applyFill="1" applyBorder="1" applyAlignment="1">
      <alignment horizontal="center" vertical="center"/>
    </xf>
    <xf numFmtId="0" fontId="0" fillId="26" borderId="8" xfId="0" applyFill="1" applyBorder="1" applyAlignment="1">
      <alignment horizontal="center" vertical="center"/>
    </xf>
    <xf numFmtId="0" fontId="0" fillId="26" borderId="0" xfId="0" applyFill="1" applyAlignment="1">
      <alignment horizontal="center" vertical="center"/>
    </xf>
    <xf numFmtId="0" fontId="0" fillId="26" borderId="9" xfId="0" applyFill="1" applyBorder="1" applyAlignment="1">
      <alignment horizontal="center" vertical="center"/>
    </xf>
    <xf numFmtId="0" fontId="0" fillId="26" borderId="56" xfId="0" applyFill="1" applyBorder="1" applyAlignment="1">
      <alignment horizontal="center" vertical="center"/>
    </xf>
    <xf numFmtId="0" fontId="0" fillId="26" borderId="57" xfId="0" applyFill="1" applyBorder="1" applyAlignment="1">
      <alignment horizontal="center" vertical="center"/>
    </xf>
    <xf numFmtId="0" fontId="0" fillId="26" borderId="51" xfId="0" applyFill="1" applyBorder="1" applyAlignment="1">
      <alignment horizontal="center" vertical="center"/>
    </xf>
    <xf numFmtId="0" fontId="0" fillId="26" borderId="58" xfId="0" applyFill="1" applyBorder="1" applyAlignment="1">
      <alignment horizontal="center" vertical="center"/>
    </xf>
    <xf numFmtId="2" fontId="44" fillId="26" borderId="12" xfId="0" applyNumberFormat="1" applyFont="1" applyFill="1" applyBorder="1" applyAlignment="1">
      <alignment horizontal="center" vertical="center"/>
    </xf>
    <xf numFmtId="0" fontId="44" fillId="26" borderId="12" xfId="0" applyFont="1" applyFill="1" applyBorder="1" applyAlignment="1">
      <alignment horizontal="center" vertical="center"/>
    </xf>
    <xf numFmtId="0" fontId="44" fillId="26" borderId="11" xfId="0" applyFont="1" applyFill="1" applyBorder="1" applyAlignment="1">
      <alignment horizontal="center" vertical="center"/>
    </xf>
  </cellXfs>
  <cellStyles count="51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Comma0" xfId="28" xr:uid="{00000000-0005-0000-0000-00001B000000}"/>
    <cellStyle name="Currency0" xfId="29" xr:uid="{00000000-0005-0000-0000-00001C000000}"/>
    <cellStyle name="Date" xfId="30" xr:uid="{00000000-0005-0000-0000-00001D000000}"/>
    <cellStyle name="Explanatory Text" xfId="31" builtinId="53" customBuiltin="1"/>
    <cellStyle name="Fixed" xfId="32" xr:uid="{00000000-0005-0000-0000-00001F000000}"/>
    <cellStyle name="Good" xfId="33" builtinId="26" customBuiltin="1"/>
    <cellStyle name="Good 2" xfId="48" xr:uid="{5C3D5C5A-FB2B-41E8-8B50-AEE0123A848B}"/>
    <cellStyle name="Heading 1" xfId="34" builtinId="16" customBuiltin="1"/>
    <cellStyle name="Heading 2" xfId="35" builtinId="17" customBuiltin="1"/>
    <cellStyle name="Heading 3" xfId="36" builtinId="18" customBuiltin="1"/>
    <cellStyle name="Heading 4" xfId="37" builtinId="19" customBuiltin="1"/>
    <cellStyle name="Input" xfId="38" builtinId="20" customBuiltin="1"/>
    <cellStyle name="Linked Cell" xfId="39" builtinId="24" customBuiltin="1"/>
    <cellStyle name="Neutral" xfId="40" builtinId="28" customBuiltin="1"/>
    <cellStyle name="Normal" xfId="0" builtinId="0"/>
    <cellStyle name="Normal 2" xfId="41" xr:uid="{00000000-0005-0000-0000-000029000000}"/>
    <cellStyle name="Normal 7" xfId="49" xr:uid="{92A7E04C-B313-45F1-AC76-6BBE9C03E2CC}"/>
    <cellStyle name="Normal 8" xfId="50" xr:uid="{CA72ED6A-63C2-4AD8-A8C2-47043A6913D1}"/>
    <cellStyle name="Note" xfId="42" builtinId="10" customBuiltin="1"/>
    <cellStyle name="Output" xfId="43" builtinId="21" customBuiltin="1"/>
    <cellStyle name="Tieu de phu" xfId="44" xr:uid="{00000000-0005-0000-0000-00002C000000}"/>
    <cellStyle name="Title" xfId="45" builtinId="15" customBuiltin="1"/>
    <cellStyle name="Total" xfId="46" builtinId="25" customBuiltin="1"/>
    <cellStyle name="Warning Text" xfId="47" builtinId="11" customBuiltin="1"/>
  </cellStyles>
  <dxfs count="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169" formatCode="&quot;-&quot;"/>
    </dxf>
  </dxfs>
  <tableStyles count="0" defaultTableStyle="TableStyleMedium9" defaultPivotStyle="PivotStyleLight16"/>
  <colors>
    <mruColors>
      <color rgb="FF0000FF"/>
      <color rgb="FFFFFFCC"/>
      <color rgb="FFFF00F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44870</xdr:colOff>
      <xdr:row>50</xdr:row>
      <xdr:rowOff>19050</xdr:rowOff>
    </xdr:from>
    <xdr:ext cx="202819" cy="209550"/>
    <xdr:pic>
      <xdr:nvPicPr>
        <xdr:cNvPr id="2" name="Picture 1">
          <a:extLst>
            <a:ext uri="{FF2B5EF4-FFF2-40B4-BE49-F238E27FC236}">
              <a16:creationId xmlns:a16="http://schemas.microsoft.com/office/drawing/2014/main" id="{74CF5BC8-2B9D-4D30-97DE-258E88DE0F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21620" y="8886825"/>
          <a:ext cx="202819" cy="209550"/>
        </a:xfrm>
        <a:prstGeom prst="rect">
          <a:avLst/>
        </a:prstGeom>
      </xdr:spPr>
    </xdr:pic>
    <xdr:clientData/>
  </xdr:oneCellAnchor>
  <xdr:oneCellAnchor>
    <xdr:from>
      <xdr:col>10</xdr:col>
      <xdr:colOff>95250</xdr:colOff>
      <xdr:row>50</xdr:row>
      <xdr:rowOff>16357</xdr:rowOff>
    </xdr:from>
    <xdr:ext cx="171450" cy="193193"/>
    <xdr:pic>
      <xdr:nvPicPr>
        <xdr:cNvPr id="3" name="Picture 2">
          <a:extLst>
            <a:ext uri="{FF2B5EF4-FFF2-40B4-BE49-F238E27FC236}">
              <a16:creationId xmlns:a16="http://schemas.microsoft.com/office/drawing/2014/main" id="{F4DF4E22-24A4-460A-9ADD-05ED760EB6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10150" y="8884132"/>
          <a:ext cx="171450" cy="193193"/>
        </a:xfrm>
        <a:prstGeom prst="rect">
          <a:avLst/>
        </a:prstGeom>
      </xdr:spPr>
    </xdr:pic>
    <xdr:clientData/>
  </xdr:oneCellAnchor>
  <xdr:oneCellAnchor>
    <xdr:from>
      <xdr:col>11</xdr:col>
      <xdr:colOff>57150</xdr:colOff>
      <xdr:row>50</xdr:row>
      <xdr:rowOff>41098</xdr:rowOff>
    </xdr:from>
    <xdr:ext cx="219075" cy="158927"/>
    <xdr:pic>
      <xdr:nvPicPr>
        <xdr:cNvPr id="4" name="Picture 3">
          <a:extLst>
            <a:ext uri="{FF2B5EF4-FFF2-40B4-BE49-F238E27FC236}">
              <a16:creationId xmlns:a16="http://schemas.microsoft.com/office/drawing/2014/main" id="{FA7CDE18-FB43-4676-91EA-50E1E4F207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476875" y="8908873"/>
          <a:ext cx="219075" cy="15892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295275</xdr:colOff>
      <xdr:row>18</xdr:row>
      <xdr:rowOff>0</xdr:rowOff>
    </xdr:from>
    <xdr:to>
      <xdr:col>26</xdr:col>
      <xdr:colOff>200025</xdr:colOff>
      <xdr:row>18</xdr:row>
      <xdr:rowOff>161925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71F95D3B-ECD4-46F8-9411-133F831B7214}"/>
            </a:ext>
          </a:extLst>
        </xdr:cNvPr>
        <xdr:cNvSpPr txBox="1"/>
      </xdr:nvSpPr>
      <xdr:spPr>
        <a:xfrm>
          <a:off x="7924800" y="2771775"/>
          <a:ext cx="219075" cy="161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l-PL" sz="1100">
              <a:solidFill>
                <a:srgbClr val="969696"/>
              </a:solidFill>
              <a:latin typeface="+mn-lt"/>
            </a:rPr>
            <a:t>    </a:t>
          </a:r>
          <a:endParaRPr lang="en-GB" sz="1100">
            <a:solidFill>
              <a:srgbClr val="969696"/>
            </a:solidFill>
            <a:latin typeface="+mn-lt"/>
          </a:endParaRPr>
        </a:p>
      </xdr:txBody>
    </xdr:sp>
    <xdr:clientData fPrintsWithSheet="0"/>
  </xdr:twoCellAnchor>
  <xdr:twoCellAnchor editAs="oneCell">
    <xdr:from>
      <xdr:col>38</xdr:col>
      <xdr:colOff>9422</xdr:colOff>
      <xdr:row>47</xdr:row>
      <xdr:rowOff>73930</xdr:rowOff>
    </xdr:from>
    <xdr:to>
      <xdr:col>48</xdr:col>
      <xdr:colOff>32735</xdr:colOff>
      <xdr:row>74</xdr:row>
      <xdr:rowOff>18875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BB0E771E-2B97-A26F-B350-1A51A453F7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15331" y="6360430"/>
          <a:ext cx="6084678" cy="5167512"/>
        </a:xfrm>
        <a:prstGeom prst="rect">
          <a:avLst/>
        </a:prstGeom>
      </xdr:spPr>
    </xdr:pic>
    <xdr:clientData/>
  </xdr:twoCellAnchor>
  <xdr:oneCellAnchor>
    <xdr:from>
      <xdr:col>34</xdr:col>
      <xdr:colOff>163595</xdr:colOff>
      <xdr:row>98</xdr:row>
      <xdr:rowOff>0</xdr:rowOff>
    </xdr:from>
    <xdr:ext cx="264560" cy="216534"/>
    <xdr:sp macro="" textlink="#REF!">
      <xdr:nvSpPr>
        <xdr:cNvPr id="6" name="TextBox 5">
          <a:extLst>
            <a:ext uri="{FF2B5EF4-FFF2-40B4-BE49-F238E27FC236}">
              <a16:creationId xmlns:a16="http://schemas.microsoft.com/office/drawing/2014/main" id="{C140C3F0-9EEA-44D5-ADA2-C1D7C36C12CE}"/>
            </a:ext>
          </a:extLst>
        </xdr:cNvPr>
        <xdr:cNvSpPr txBox="1"/>
      </xdr:nvSpPr>
      <xdr:spPr>
        <a:xfrm rot="16200000">
          <a:off x="12731300" y="9842512"/>
          <a:ext cx="21653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460C5400-E799-4080-999C-8029601BA174}" type="TxLink">
            <a:rPr lang="en-US" sz="1100" b="0" i="0" u="none" strike="noStrike">
              <a:solidFill>
                <a:srgbClr val="C00000"/>
              </a:solidFill>
              <a:latin typeface="Calibri"/>
              <a:cs typeface="Calibri"/>
            </a:rPr>
            <a:pPr/>
            <a:t> </a:t>
          </a:fld>
          <a:endParaRPr lang="en-US" sz="1100">
            <a:solidFill>
              <a:srgbClr val="C00000"/>
            </a:solidFill>
          </a:endParaRPr>
        </a:p>
      </xdr:txBody>
    </xdr:sp>
    <xdr:clientData/>
  </xdr:oneCellAnchor>
  <xdr:oneCellAnchor>
    <xdr:from>
      <xdr:col>34</xdr:col>
      <xdr:colOff>38100</xdr:colOff>
      <xdr:row>36</xdr:row>
      <xdr:rowOff>187327</xdr:rowOff>
    </xdr:from>
    <xdr:ext cx="264560" cy="216534"/>
    <xdr:sp macro="" textlink="#REF!">
      <xdr:nvSpPr>
        <xdr:cNvPr id="7" name="TextBox 6">
          <a:extLst>
            <a:ext uri="{FF2B5EF4-FFF2-40B4-BE49-F238E27FC236}">
              <a16:creationId xmlns:a16="http://schemas.microsoft.com/office/drawing/2014/main" id="{C022015B-41F3-4F3D-AA18-B09FC23C1529}"/>
            </a:ext>
          </a:extLst>
        </xdr:cNvPr>
        <xdr:cNvSpPr txBox="1"/>
      </xdr:nvSpPr>
      <xdr:spPr>
        <a:xfrm rot="16200000">
          <a:off x="12605805" y="6193372"/>
          <a:ext cx="21653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460C5400-E799-4080-999C-8029601BA174}" type="TxLink">
            <a:rPr lang="en-US" sz="1100" b="0" i="0" u="none" strike="noStrike">
              <a:solidFill>
                <a:srgbClr val="C00000"/>
              </a:solidFill>
              <a:latin typeface="Calibri"/>
              <a:cs typeface="Calibri"/>
            </a:rPr>
            <a:pPr/>
            <a:t> </a:t>
          </a:fld>
          <a:endParaRPr lang="en-US" sz="1100">
            <a:solidFill>
              <a:srgbClr val="C00000"/>
            </a:solidFill>
          </a:endParaRPr>
        </a:p>
      </xdr:txBody>
    </xdr:sp>
    <xdr:clientData/>
  </xdr:oneCellAnchor>
  <xdr:twoCellAnchor editAs="oneCell">
    <xdr:from>
      <xdr:col>14</xdr:col>
      <xdr:colOff>87924</xdr:colOff>
      <xdr:row>14</xdr:row>
      <xdr:rowOff>124557</xdr:rowOff>
    </xdr:from>
    <xdr:to>
      <xdr:col>20</xdr:col>
      <xdr:colOff>281248</xdr:colOff>
      <xdr:row>22</xdr:row>
      <xdr:rowOff>43961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D1E28FA-3D7F-48DC-9673-54DF50F30A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r="54905"/>
        <a:stretch/>
      </xdr:blipFill>
      <xdr:spPr>
        <a:xfrm>
          <a:off x="4725866" y="1692519"/>
          <a:ext cx="2112978" cy="1516673"/>
        </a:xfrm>
        <a:prstGeom prst="rect">
          <a:avLst/>
        </a:prstGeom>
      </xdr:spPr>
    </xdr:pic>
    <xdr:clientData/>
  </xdr:twoCellAnchor>
  <xdr:twoCellAnchor editAs="oneCell">
    <xdr:from>
      <xdr:col>20</xdr:col>
      <xdr:colOff>189563</xdr:colOff>
      <xdr:row>13</xdr:row>
      <xdr:rowOff>126108</xdr:rowOff>
    </xdr:from>
    <xdr:to>
      <xdr:col>28</xdr:col>
      <xdr:colOff>62954</xdr:colOff>
      <xdr:row>22</xdr:row>
      <xdr:rowOff>76570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C1FF9C94-4F37-4CE9-A6E9-52AD7AC643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 l="58144"/>
        <a:stretch/>
      </xdr:blipFill>
      <xdr:spPr>
        <a:xfrm>
          <a:off x="6747159" y="1503570"/>
          <a:ext cx="2210680" cy="1738231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69</xdr:row>
      <xdr:rowOff>152400</xdr:rowOff>
    </xdr:from>
    <xdr:to>
      <xdr:col>8</xdr:col>
      <xdr:colOff>228600</xdr:colOff>
      <xdr:row>71</xdr:row>
      <xdr:rowOff>0</xdr:rowOff>
    </xdr:to>
    <xdr:sp macro="" textlink="">
      <xdr:nvSpPr>
        <xdr:cNvPr id="11" name="Arrow: Right 10">
          <a:extLst>
            <a:ext uri="{FF2B5EF4-FFF2-40B4-BE49-F238E27FC236}">
              <a16:creationId xmlns:a16="http://schemas.microsoft.com/office/drawing/2014/main" id="{78EAA3BA-4507-46A3-916E-5D679BAEC286}"/>
            </a:ext>
          </a:extLst>
        </xdr:cNvPr>
        <xdr:cNvSpPr/>
      </xdr:nvSpPr>
      <xdr:spPr>
        <a:xfrm>
          <a:off x="2047875" y="20231100"/>
          <a:ext cx="495300" cy="228600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47625</xdr:colOff>
      <xdr:row>69</xdr:row>
      <xdr:rowOff>152400</xdr:rowOff>
    </xdr:from>
    <xdr:to>
      <xdr:col>20</xdr:col>
      <xdr:colOff>228600</xdr:colOff>
      <xdr:row>71</xdr:row>
      <xdr:rowOff>0</xdr:rowOff>
    </xdr:to>
    <xdr:sp macro="" textlink="">
      <xdr:nvSpPr>
        <xdr:cNvPr id="12" name="Arrow: Right 11">
          <a:extLst>
            <a:ext uri="{FF2B5EF4-FFF2-40B4-BE49-F238E27FC236}">
              <a16:creationId xmlns:a16="http://schemas.microsoft.com/office/drawing/2014/main" id="{42694CE7-C6C6-4A77-8187-868E469B762F}"/>
            </a:ext>
          </a:extLst>
        </xdr:cNvPr>
        <xdr:cNvSpPr/>
      </xdr:nvSpPr>
      <xdr:spPr>
        <a:xfrm rot="10800000">
          <a:off x="5819775" y="20231100"/>
          <a:ext cx="495300" cy="228600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181342</xdr:colOff>
      <xdr:row>95</xdr:row>
      <xdr:rowOff>124557</xdr:rowOff>
    </xdr:from>
    <xdr:to>
      <xdr:col>8</xdr:col>
      <xdr:colOff>94884</xdr:colOff>
      <xdr:row>97</xdr:row>
      <xdr:rowOff>133716</xdr:rowOff>
    </xdr:to>
    <xdr:sp macro="" textlink="">
      <xdr:nvSpPr>
        <xdr:cNvPr id="13" name="Arrow: Right 12">
          <a:extLst>
            <a:ext uri="{FF2B5EF4-FFF2-40B4-BE49-F238E27FC236}">
              <a16:creationId xmlns:a16="http://schemas.microsoft.com/office/drawing/2014/main" id="{5AF6B9D4-657D-4FB4-992C-957724002F50}"/>
            </a:ext>
          </a:extLst>
        </xdr:cNvPr>
        <xdr:cNvSpPr/>
      </xdr:nvSpPr>
      <xdr:spPr>
        <a:xfrm rot="16200000">
          <a:off x="2100446" y="25275503"/>
          <a:ext cx="390159" cy="227867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197828</xdr:colOff>
      <xdr:row>95</xdr:row>
      <xdr:rowOff>73270</xdr:rowOff>
    </xdr:from>
    <xdr:to>
      <xdr:col>20</xdr:col>
      <xdr:colOff>111370</xdr:colOff>
      <xdr:row>97</xdr:row>
      <xdr:rowOff>82429</xdr:rowOff>
    </xdr:to>
    <xdr:sp macro="" textlink="">
      <xdr:nvSpPr>
        <xdr:cNvPr id="14" name="Arrow: Right 13">
          <a:extLst>
            <a:ext uri="{FF2B5EF4-FFF2-40B4-BE49-F238E27FC236}">
              <a16:creationId xmlns:a16="http://schemas.microsoft.com/office/drawing/2014/main" id="{4622796A-758E-478E-A4D9-BDC5BC326F4D}"/>
            </a:ext>
          </a:extLst>
        </xdr:cNvPr>
        <xdr:cNvSpPr/>
      </xdr:nvSpPr>
      <xdr:spPr>
        <a:xfrm rot="5400000">
          <a:off x="5888832" y="25224216"/>
          <a:ext cx="390159" cy="227867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589360</xdr:colOff>
      <xdr:row>23</xdr:row>
      <xdr:rowOff>41670</xdr:rowOff>
    </xdr:from>
    <xdr:to>
      <xdr:col>1</xdr:col>
      <xdr:colOff>601266</xdr:colOff>
      <xdr:row>23</xdr:row>
      <xdr:rowOff>41670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A4F7A6C0-B1A7-988D-3FCE-A059D470A60B}"/>
            </a:ext>
          </a:extLst>
        </xdr:cNvPr>
        <xdr:cNvCxnSpPr/>
      </xdr:nvCxnSpPr>
      <xdr:spPr bwMode="auto">
        <a:xfrm>
          <a:off x="589360" y="3833811"/>
          <a:ext cx="619125" cy="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/>
          <a:tailEnd type="triangle"/>
        </a:ln>
        <a:effectLst/>
      </xdr:spPr>
    </xdr:cxnSp>
    <xdr:clientData/>
  </xdr:twoCellAnchor>
  <xdr:twoCellAnchor>
    <xdr:from>
      <xdr:col>2</xdr:col>
      <xdr:colOff>5953</xdr:colOff>
      <xdr:row>23</xdr:row>
      <xdr:rowOff>41671</xdr:rowOff>
    </xdr:from>
    <xdr:to>
      <xdr:col>3</xdr:col>
      <xdr:colOff>17860</xdr:colOff>
      <xdr:row>23</xdr:row>
      <xdr:rowOff>41671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3FFF97E6-EBA9-47EF-B63B-9270DE1D0AC3}"/>
            </a:ext>
          </a:extLst>
        </xdr:cNvPr>
        <xdr:cNvCxnSpPr/>
      </xdr:nvCxnSpPr>
      <xdr:spPr bwMode="auto">
        <a:xfrm>
          <a:off x="1220391" y="3833812"/>
          <a:ext cx="619125" cy="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/>
          <a:tailEnd type="triangle"/>
        </a:ln>
        <a:effectLst/>
      </xdr:spPr>
    </xdr:cxnSp>
    <xdr:clientData/>
  </xdr:twoCellAnchor>
  <xdr:twoCellAnchor>
    <xdr:from>
      <xdr:col>7</xdr:col>
      <xdr:colOff>589360</xdr:colOff>
      <xdr:row>23</xdr:row>
      <xdr:rowOff>29765</xdr:rowOff>
    </xdr:from>
    <xdr:to>
      <xdr:col>8</xdr:col>
      <xdr:colOff>601266</xdr:colOff>
      <xdr:row>23</xdr:row>
      <xdr:rowOff>29765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81BE757A-9130-41EC-8BBE-67AC6F5D6AD7}"/>
            </a:ext>
          </a:extLst>
        </xdr:cNvPr>
        <xdr:cNvCxnSpPr/>
      </xdr:nvCxnSpPr>
      <xdr:spPr bwMode="auto">
        <a:xfrm>
          <a:off x="4839891" y="3821906"/>
          <a:ext cx="619125" cy="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/>
          <a:tailEnd type="triangle"/>
        </a:ln>
        <a:effectLst/>
      </xdr:spPr>
    </xdr:cxnSp>
    <xdr:clientData/>
  </xdr:twoCellAnchor>
  <xdr:twoCellAnchor>
    <xdr:from>
      <xdr:col>9</xdr:col>
      <xdr:colOff>5953</xdr:colOff>
      <xdr:row>23</xdr:row>
      <xdr:rowOff>29766</xdr:rowOff>
    </xdr:from>
    <xdr:to>
      <xdr:col>10</xdr:col>
      <xdr:colOff>17859</xdr:colOff>
      <xdr:row>23</xdr:row>
      <xdr:rowOff>29766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3A2D1236-996D-417F-B801-8BB1D740B0F9}"/>
            </a:ext>
          </a:extLst>
        </xdr:cNvPr>
        <xdr:cNvCxnSpPr/>
      </xdr:nvCxnSpPr>
      <xdr:spPr bwMode="auto">
        <a:xfrm>
          <a:off x="5470922" y="3821907"/>
          <a:ext cx="619125" cy="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/>
          <a:tailEnd type="triangle"/>
        </a:ln>
        <a:effectLst/>
      </xdr:spPr>
    </xdr:cxnSp>
    <xdr:clientData/>
  </xdr:twoCellAnchor>
  <xdr:twoCellAnchor>
    <xdr:from>
      <xdr:col>0</xdr:col>
      <xdr:colOff>339328</xdr:colOff>
      <xdr:row>19</xdr:row>
      <xdr:rowOff>148829</xdr:rowOff>
    </xdr:from>
    <xdr:to>
      <xdr:col>0</xdr:col>
      <xdr:colOff>339328</xdr:colOff>
      <xdr:row>22</xdr:row>
      <xdr:rowOff>23813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1FC1E9B9-F630-4802-BB94-B5EC4DFEB619}"/>
            </a:ext>
          </a:extLst>
        </xdr:cNvPr>
        <xdr:cNvCxnSpPr/>
      </xdr:nvCxnSpPr>
      <xdr:spPr bwMode="auto">
        <a:xfrm flipV="1">
          <a:off x="339328" y="3256360"/>
          <a:ext cx="0" cy="39885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/>
          <a:tailEnd type="triangle"/>
        </a:ln>
        <a:effectLst/>
      </xdr:spPr>
    </xdr:cxnSp>
    <xdr:clientData/>
  </xdr:twoCellAnchor>
  <xdr:twoCellAnchor>
    <xdr:from>
      <xdr:col>0</xdr:col>
      <xdr:colOff>339328</xdr:colOff>
      <xdr:row>17</xdr:row>
      <xdr:rowOff>113109</xdr:rowOff>
    </xdr:from>
    <xdr:to>
      <xdr:col>0</xdr:col>
      <xdr:colOff>339328</xdr:colOff>
      <xdr:row>19</xdr:row>
      <xdr:rowOff>157400</xdr:rowOff>
    </xdr:to>
    <xdr:cxnSp macro="">
      <xdr:nvCxnSpPr>
        <xdr:cNvPr id="22" name="Straight Arrow Connector 21">
          <a:extLst>
            <a:ext uri="{FF2B5EF4-FFF2-40B4-BE49-F238E27FC236}">
              <a16:creationId xmlns:a16="http://schemas.microsoft.com/office/drawing/2014/main" id="{9F6607E4-B93D-4F46-AC4F-BBFC449662AE}"/>
            </a:ext>
          </a:extLst>
        </xdr:cNvPr>
        <xdr:cNvCxnSpPr/>
      </xdr:nvCxnSpPr>
      <xdr:spPr bwMode="auto">
        <a:xfrm flipV="1">
          <a:off x="339328" y="2922984"/>
          <a:ext cx="0" cy="36576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/>
          <a:tailEnd type="triangle"/>
        </a:ln>
        <a:effectLst/>
      </xdr:spPr>
    </xdr:cxnSp>
    <xdr:clientData/>
  </xdr:twoCellAnchor>
  <xdr:twoCellAnchor>
    <xdr:from>
      <xdr:col>0</xdr:col>
      <xdr:colOff>327422</xdr:colOff>
      <xdr:row>4</xdr:row>
      <xdr:rowOff>0</xdr:rowOff>
    </xdr:from>
    <xdr:to>
      <xdr:col>0</xdr:col>
      <xdr:colOff>327422</xdr:colOff>
      <xdr:row>6</xdr:row>
      <xdr:rowOff>2619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082BCE02-B78C-40E1-A4AD-BCBBCA3D0908}"/>
            </a:ext>
          </a:extLst>
        </xdr:cNvPr>
        <xdr:cNvCxnSpPr/>
      </xdr:nvCxnSpPr>
      <xdr:spPr bwMode="auto">
        <a:xfrm flipV="1">
          <a:off x="327422" y="678656"/>
          <a:ext cx="0" cy="36576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/>
          <a:tailEnd type="triangle"/>
        </a:ln>
        <a:effectLst/>
      </xdr:spPr>
    </xdr:cxnSp>
    <xdr:clientData/>
  </xdr:twoCellAnchor>
  <xdr:twoCellAnchor>
    <xdr:from>
      <xdr:col>0</xdr:col>
      <xdr:colOff>327422</xdr:colOff>
      <xdr:row>1</xdr:row>
      <xdr:rowOff>154782</xdr:rowOff>
    </xdr:from>
    <xdr:to>
      <xdr:col>0</xdr:col>
      <xdr:colOff>327422</xdr:colOff>
      <xdr:row>4</xdr:row>
      <xdr:rowOff>5952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777966DD-2360-465F-B673-B8A4EE7C6665}"/>
            </a:ext>
          </a:extLst>
        </xdr:cNvPr>
        <xdr:cNvCxnSpPr/>
      </xdr:nvCxnSpPr>
      <xdr:spPr bwMode="auto">
        <a:xfrm flipV="1">
          <a:off x="327422" y="315516"/>
          <a:ext cx="0" cy="36909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/>
          <a:tailEnd type="triangle"/>
        </a:ln>
        <a:effectLst/>
      </xdr:spPr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F0EBC-72D6-4886-B2A1-EDCB5D7ED4A2}">
  <sheetPr>
    <tabColor rgb="FF0000FF"/>
  </sheetPr>
  <dimension ref="A1:AA61"/>
  <sheetViews>
    <sheetView showGridLines="0" view="pageBreakPreview" zoomScaleNormal="100" zoomScaleSheetLayoutView="100" workbookViewId="0">
      <selection activeCell="S11" sqref="S11"/>
    </sheetView>
  </sheetViews>
  <sheetFormatPr defaultRowHeight="12.75"/>
  <cols>
    <col min="1" max="1" width="3" style="139" customWidth="1"/>
    <col min="2" max="2" width="11.85546875" style="138" customWidth="1"/>
    <col min="3" max="3" width="7.5703125" style="138" customWidth="1"/>
    <col min="4" max="4" width="7.7109375" style="138" customWidth="1"/>
    <col min="5" max="5" width="7.5703125" style="138" bestFit="1" customWidth="1"/>
    <col min="6" max="6" width="5.28515625" style="138" customWidth="1"/>
    <col min="7" max="7" width="7.28515625" style="138" bestFit="1" customWidth="1"/>
    <col min="8" max="8" width="8.5703125" style="138" bestFit="1" customWidth="1"/>
    <col min="9" max="9" width="8.28515625" style="138" customWidth="1"/>
    <col min="10" max="10" width="6.5703125" style="138" bestFit="1" customWidth="1"/>
    <col min="11" max="11" width="7.5703125" style="138" bestFit="1" customWidth="1"/>
    <col min="12" max="12" width="7.28515625" style="138" bestFit="1" customWidth="1"/>
    <col min="13" max="13" width="6.85546875" style="138" customWidth="1"/>
    <col min="14" max="14" width="8.85546875" style="138" customWidth="1"/>
    <col min="15" max="15" width="8.85546875" style="139" customWidth="1"/>
    <col min="16" max="16" width="12.85546875" style="139" bestFit="1" customWidth="1"/>
    <col min="17" max="16384" width="9.140625" style="139"/>
  </cols>
  <sheetData>
    <row r="1" spans="1:27" ht="14.25" customHeight="1">
      <c r="A1" s="138"/>
      <c r="P1" s="140"/>
      <c r="Q1" s="140"/>
      <c r="R1" s="140"/>
    </row>
    <row r="2" spans="1:27" ht="24" customHeight="1">
      <c r="A2" s="138"/>
      <c r="B2" s="228" t="s">
        <v>168</v>
      </c>
      <c r="C2" s="228"/>
      <c r="D2" s="228"/>
      <c r="E2" s="228"/>
      <c r="F2" s="228"/>
      <c r="G2" s="228"/>
      <c r="H2" s="228"/>
      <c r="I2" s="228"/>
      <c r="J2" s="228"/>
      <c r="K2" s="228"/>
      <c r="L2" s="228"/>
      <c r="M2" s="228"/>
      <c r="N2" s="228"/>
      <c r="O2" s="141"/>
      <c r="P2" s="140"/>
      <c r="Q2" s="140"/>
      <c r="R2" s="140"/>
    </row>
    <row r="3" spans="1:27" ht="12.75" customHeight="1">
      <c r="A3" s="138"/>
      <c r="B3" s="142"/>
      <c r="C3" s="142"/>
      <c r="D3" s="142"/>
      <c r="E3" s="142"/>
      <c r="F3" s="142"/>
      <c r="G3" s="142"/>
      <c r="H3" s="142"/>
      <c r="I3" s="142"/>
      <c r="J3" s="142"/>
      <c r="K3" s="142"/>
      <c r="L3" s="142"/>
      <c r="M3" s="142"/>
      <c r="N3" s="142"/>
      <c r="O3" s="141"/>
      <c r="P3" s="140"/>
      <c r="Q3" s="140"/>
      <c r="R3" s="140"/>
    </row>
    <row r="4" spans="1:27" ht="12.75" customHeight="1">
      <c r="A4" s="138"/>
      <c r="B4" s="229" t="s">
        <v>169</v>
      </c>
      <c r="C4" s="229"/>
      <c r="D4" s="143"/>
      <c r="E4" s="142"/>
      <c r="F4" s="142"/>
      <c r="G4" s="142"/>
      <c r="H4" s="142"/>
      <c r="I4" s="142"/>
      <c r="J4" s="142"/>
      <c r="K4" s="142"/>
      <c r="L4" s="142"/>
      <c r="M4" s="142"/>
      <c r="N4" s="142"/>
      <c r="O4" s="141"/>
      <c r="P4" s="140"/>
      <c r="Q4" s="140"/>
      <c r="R4" s="140"/>
    </row>
    <row r="5" spans="1:27">
      <c r="A5" s="138"/>
      <c r="B5" s="224" t="s">
        <v>170</v>
      </c>
      <c r="C5" s="224"/>
      <c r="D5" s="224"/>
      <c r="E5" s="145">
        <v>13.5</v>
      </c>
      <c r="F5" s="226" t="s">
        <v>171</v>
      </c>
      <c r="G5" s="227"/>
      <c r="H5" s="227"/>
      <c r="I5" s="227"/>
      <c r="J5" s="148">
        <v>0</v>
      </c>
      <c r="K5" s="149" t="s">
        <v>172</v>
      </c>
      <c r="M5" s="150"/>
    </row>
    <row r="6" spans="1:27">
      <c r="A6" s="138"/>
      <c r="B6" s="224" t="s">
        <v>173</v>
      </c>
      <c r="C6" s="224"/>
      <c r="D6" s="151" t="s">
        <v>2</v>
      </c>
      <c r="H6" s="146"/>
      <c r="I6" s="150"/>
      <c r="J6" s="150"/>
      <c r="K6" s="152"/>
      <c r="L6" s="146"/>
      <c r="M6" s="150"/>
    </row>
    <row r="7" spans="1:27">
      <c r="A7" s="138"/>
      <c r="B7" s="224" t="s">
        <v>174</v>
      </c>
      <c r="C7" s="225"/>
      <c r="D7" s="154" t="s">
        <v>1</v>
      </c>
      <c r="E7" s="226" t="str">
        <f>IF($D$7="A","Trống trải, không có hoặc có rất ít vật cản cao không quá 1,5 m",IF($D$7="B","Tương đối trống trải, có một số vật cản thưa thớt cao không quá 10 m ","Bị che chắn mạnh, có nhiều vật cản sát nhau cao từ 10 m trở lên"))</f>
        <v xml:space="preserve">Tương đối trống trải, có một số vật cản thưa thớt cao không quá 10 m </v>
      </c>
      <c r="F7" s="227"/>
      <c r="G7" s="227"/>
      <c r="H7" s="227"/>
      <c r="I7" s="227"/>
      <c r="J7" s="227"/>
      <c r="K7" s="227"/>
      <c r="L7" s="227"/>
      <c r="M7" s="227"/>
      <c r="N7" s="227"/>
      <c r="O7" s="155"/>
    </row>
    <row r="8" spans="1:27">
      <c r="A8" s="138"/>
      <c r="B8" s="224" t="s">
        <v>98</v>
      </c>
      <c r="C8" s="224"/>
      <c r="D8" s="224"/>
      <c r="E8" s="225"/>
      <c r="F8" s="225"/>
      <c r="G8" s="225"/>
      <c r="H8" s="230" t="s">
        <v>175</v>
      </c>
      <c r="I8" s="231"/>
      <c r="J8" s="231"/>
    </row>
    <row r="9" spans="1:27">
      <c r="A9" s="138"/>
      <c r="B9" s="224" t="s">
        <v>176</v>
      </c>
      <c r="C9" s="225"/>
      <c r="D9" s="225"/>
      <c r="E9" s="225"/>
      <c r="F9" s="225"/>
      <c r="G9" s="225"/>
      <c r="H9" s="156">
        <v>1</v>
      </c>
      <c r="J9" s="226" t="s">
        <v>177</v>
      </c>
      <c r="K9" s="227"/>
      <c r="L9" s="227"/>
      <c r="M9" s="227"/>
      <c r="N9" s="227"/>
      <c r="O9" s="155"/>
      <c r="R9" s="232"/>
      <c r="S9" s="232"/>
      <c r="T9" s="232"/>
      <c r="U9" s="232"/>
      <c r="V9" s="232"/>
      <c r="W9" s="232"/>
      <c r="X9" s="232"/>
      <c r="Y9" s="232"/>
      <c r="Z9" s="232"/>
      <c r="AA9" s="232"/>
    </row>
    <row r="10" spans="1:27" ht="15.75">
      <c r="A10" s="138"/>
      <c r="B10" s="224" t="s">
        <v>178</v>
      </c>
      <c r="C10" s="225"/>
      <c r="D10" s="225"/>
      <c r="E10" s="225"/>
      <c r="F10" s="225"/>
      <c r="G10" s="225"/>
      <c r="H10" s="157">
        <f>VLOOKUP(D6,GustFactor!$F$57:$H$61,2,FALSE)</f>
        <v>0.95</v>
      </c>
      <c r="J10" s="226" t="s">
        <v>179</v>
      </c>
      <c r="K10" s="227"/>
      <c r="L10" s="227"/>
      <c r="M10" s="227"/>
      <c r="N10" s="227"/>
      <c r="O10" s="155"/>
      <c r="R10" s="232"/>
      <c r="S10" s="232"/>
      <c r="T10" s="232"/>
      <c r="U10" s="232"/>
      <c r="V10" s="232"/>
      <c r="W10" s="232"/>
      <c r="X10" s="232"/>
      <c r="Y10" s="232"/>
      <c r="Z10" s="232"/>
      <c r="AA10" s="232"/>
    </row>
    <row r="11" spans="1:27" ht="15.75">
      <c r="A11" s="138"/>
      <c r="B11" s="224" t="s">
        <v>180</v>
      </c>
      <c r="C11" s="225"/>
      <c r="D11" s="225"/>
      <c r="E11" s="225"/>
      <c r="F11" s="225"/>
      <c r="G11" s="225"/>
      <c r="H11" s="157">
        <f>H10*0.852</f>
        <v>0.8093999999999999</v>
      </c>
      <c r="J11" s="226" t="s">
        <v>181</v>
      </c>
      <c r="K11" s="227"/>
      <c r="L11" s="227"/>
      <c r="M11" s="227"/>
      <c r="N11" s="227"/>
      <c r="O11" s="155"/>
    </row>
    <row r="12" spans="1:27">
      <c r="A12" s="138"/>
      <c r="B12" s="224" t="s">
        <v>182</v>
      </c>
      <c r="C12" s="225"/>
      <c r="D12" s="225"/>
      <c r="E12" s="225"/>
      <c r="F12" s="225"/>
      <c r="G12" s="225"/>
      <c r="H12" s="158">
        <f>VLOOKUP(D6,GustFactor!$F$57:$H$61,3,FALSE)</f>
        <v>44</v>
      </c>
      <c r="J12" s="226" t="s">
        <v>179</v>
      </c>
      <c r="K12" s="227"/>
      <c r="L12" s="227"/>
      <c r="M12" s="227"/>
      <c r="N12" s="227"/>
      <c r="O12" s="155"/>
    </row>
    <row r="13" spans="1:27" ht="15.75">
      <c r="A13" s="138"/>
      <c r="B13" s="224" t="s">
        <v>183</v>
      </c>
      <c r="C13" s="225"/>
      <c r="D13" s="225"/>
      <c r="E13" s="225"/>
      <c r="F13" s="225"/>
      <c r="G13" s="225"/>
      <c r="H13" s="157">
        <f>VLOOKUP($D$7,Bang8_10,4)</f>
        <v>4.57</v>
      </c>
      <c r="J13" s="226" t="s">
        <v>184</v>
      </c>
      <c r="K13" s="227"/>
      <c r="L13" s="227"/>
      <c r="M13" s="227"/>
      <c r="N13" s="227"/>
      <c r="O13" s="155"/>
    </row>
    <row r="14" spans="1:27" ht="15.75">
      <c r="A14" s="138"/>
      <c r="B14" s="224" t="s">
        <v>185</v>
      </c>
      <c r="C14" s="225"/>
      <c r="D14" s="225"/>
      <c r="E14" s="225"/>
      <c r="F14" s="225"/>
      <c r="G14" s="225"/>
      <c r="H14" s="157">
        <f>VLOOKUP($D$7,Bang8_10,3)</f>
        <v>274.32</v>
      </c>
      <c r="J14" s="226" t="s">
        <v>184</v>
      </c>
      <c r="K14" s="227"/>
      <c r="L14" s="227"/>
      <c r="M14" s="227"/>
      <c r="N14" s="227"/>
      <c r="O14" s="155"/>
    </row>
    <row r="15" spans="1:27">
      <c r="A15" s="138"/>
      <c r="B15" s="224" t="s">
        <v>186</v>
      </c>
      <c r="C15" s="225"/>
      <c r="D15" s="225"/>
      <c r="E15" s="225"/>
      <c r="F15" s="225"/>
      <c r="G15" s="225"/>
      <c r="H15" s="157">
        <f>VLOOKUP($D$7,Bang8_10,5)</f>
        <v>9.5</v>
      </c>
      <c r="J15" s="226" t="s">
        <v>184</v>
      </c>
      <c r="K15" s="227"/>
      <c r="L15" s="227"/>
      <c r="M15" s="227"/>
      <c r="N15" s="227"/>
      <c r="O15" s="155"/>
    </row>
    <row r="16" spans="1:27" ht="15.75">
      <c r="A16" s="138"/>
      <c r="B16" s="224" t="s">
        <v>187</v>
      </c>
      <c r="C16" s="225"/>
      <c r="D16" s="225"/>
      <c r="E16" s="225"/>
      <c r="F16" s="225"/>
      <c r="G16" s="225"/>
      <c r="H16" s="157">
        <f>VLOOKUP(D7,Bang8_10,6)</f>
        <v>1.97</v>
      </c>
      <c r="J16" s="226" t="s">
        <v>184</v>
      </c>
      <c r="K16" s="227"/>
      <c r="L16" s="227"/>
      <c r="M16" s="227"/>
      <c r="N16" s="227"/>
      <c r="O16" s="155"/>
    </row>
    <row r="17" spans="1:15" ht="15.75">
      <c r="A17" s="138"/>
      <c r="B17" s="224" t="s">
        <v>188</v>
      </c>
      <c r="C17" s="225"/>
      <c r="D17" s="225"/>
      <c r="E17" s="225"/>
      <c r="F17" s="225"/>
      <c r="G17" s="225"/>
      <c r="H17" s="157">
        <f>VLOOKUP(D7,Bang8_10,7)</f>
        <v>0.2</v>
      </c>
      <c r="J17" s="226" t="s">
        <v>189</v>
      </c>
      <c r="K17" s="227"/>
      <c r="L17" s="227"/>
      <c r="M17" s="227"/>
      <c r="N17" s="227"/>
      <c r="O17" s="155"/>
    </row>
    <row r="18" spans="1:15">
      <c r="A18" s="138"/>
      <c r="B18" s="224" t="s">
        <v>190</v>
      </c>
      <c r="C18" s="225"/>
      <c r="D18" s="225"/>
      <c r="E18" s="225"/>
      <c r="F18" s="225"/>
      <c r="G18" s="225"/>
      <c r="H18" s="157">
        <f>VLOOKUP(D7,Bang8_10,8)</f>
        <v>152.4</v>
      </c>
      <c r="J18" s="226" t="s">
        <v>189</v>
      </c>
      <c r="K18" s="227"/>
      <c r="L18" s="227"/>
      <c r="M18" s="227"/>
      <c r="N18" s="227"/>
      <c r="O18" s="155"/>
    </row>
    <row r="19" spans="1:15">
      <c r="A19" s="138"/>
      <c r="B19" s="224" t="s">
        <v>191</v>
      </c>
      <c r="C19" s="225"/>
      <c r="D19" s="225"/>
      <c r="E19" s="225"/>
      <c r="F19" s="225"/>
      <c r="G19" s="225"/>
      <c r="H19" s="157">
        <f>VLOOKUP(D7,Bang8_10,9)</f>
        <v>0.2</v>
      </c>
      <c r="J19" s="226" t="s">
        <v>189</v>
      </c>
      <c r="K19" s="227"/>
      <c r="L19" s="227"/>
      <c r="M19" s="227"/>
      <c r="N19" s="227"/>
      <c r="O19" s="155"/>
    </row>
    <row r="20" spans="1:15">
      <c r="A20" s="138"/>
      <c r="B20" s="224" t="s">
        <v>192</v>
      </c>
      <c r="C20" s="225"/>
      <c r="D20" s="225"/>
      <c r="E20" s="225"/>
      <c r="F20" s="225"/>
      <c r="G20" s="225"/>
      <c r="H20" s="157">
        <f>VLOOKUP(D7,Bang8_10,10)</f>
        <v>0.65</v>
      </c>
      <c r="J20" s="226" t="s">
        <v>189</v>
      </c>
      <c r="K20" s="227"/>
      <c r="L20" s="227"/>
      <c r="M20" s="227"/>
      <c r="N20" s="227"/>
      <c r="O20" s="155"/>
    </row>
    <row r="21" spans="1:15">
      <c r="A21" s="138"/>
      <c r="B21" s="224" t="s">
        <v>193</v>
      </c>
      <c r="C21" s="225"/>
      <c r="D21" s="225"/>
      <c r="E21" s="225"/>
      <c r="F21" s="225"/>
      <c r="G21" s="225"/>
      <c r="H21" s="157">
        <f>VLOOKUP(D7,Bang8_10,11)</f>
        <v>0.15384615384615385</v>
      </c>
      <c r="J21" s="226" t="s">
        <v>189</v>
      </c>
      <c r="K21" s="227"/>
      <c r="L21" s="227"/>
      <c r="M21" s="227"/>
      <c r="N21" s="227"/>
      <c r="O21" s="155"/>
    </row>
    <row r="22" spans="1:15" ht="15.75">
      <c r="A22" s="138"/>
      <c r="B22" s="224" t="s">
        <v>194</v>
      </c>
      <c r="C22" s="225"/>
      <c r="D22" s="225"/>
      <c r="E22" s="225"/>
      <c r="F22" s="225"/>
      <c r="G22" s="225"/>
      <c r="H22" s="157">
        <f>$H$17*(10/(0.6*$E$5))^(1/6)</f>
        <v>0.20714883373025728</v>
      </c>
      <c r="J22" s="226" t="s">
        <v>195</v>
      </c>
      <c r="K22" s="227"/>
      <c r="L22" s="227"/>
      <c r="M22" s="227"/>
      <c r="N22" s="227"/>
      <c r="O22" s="155"/>
    </row>
    <row r="23" spans="1:15" ht="15.75">
      <c r="A23" s="138"/>
      <c r="B23" s="224" t="s">
        <v>196</v>
      </c>
      <c r="C23" s="225"/>
      <c r="D23" s="225"/>
      <c r="E23" s="225"/>
      <c r="F23" s="225"/>
      <c r="G23" s="225"/>
      <c r="H23" s="157">
        <f>H18*(0.6*E5/10)^H19</f>
        <v>146.11068296436144</v>
      </c>
      <c r="J23" s="226" t="s">
        <v>197</v>
      </c>
      <c r="K23" s="227"/>
      <c r="L23" s="227"/>
      <c r="M23" s="227"/>
      <c r="N23" s="227"/>
      <c r="O23" s="155"/>
    </row>
    <row r="24" spans="1:15">
      <c r="A24" s="138"/>
      <c r="B24" s="224" t="s">
        <v>198</v>
      </c>
      <c r="C24" s="225"/>
      <c r="D24" s="225"/>
      <c r="E24" s="225"/>
      <c r="F24" s="225"/>
      <c r="G24" s="225"/>
      <c r="H24" s="157">
        <f>IF(H8="Kết cấu BT và BTCT",0.02,IF(H8="Kết cấu thép",0.01,0.015))</f>
        <v>0.01</v>
      </c>
      <c r="J24" s="226" t="s">
        <v>199</v>
      </c>
      <c r="K24" s="227"/>
      <c r="L24" s="227"/>
      <c r="M24" s="227"/>
      <c r="N24" s="227"/>
      <c r="O24" s="155"/>
    </row>
    <row r="25" spans="1:15" ht="15.75">
      <c r="A25" s="138"/>
      <c r="B25" s="224" t="s">
        <v>200</v>
      </c>
      <c r="C25" s="225"/>
      <c r="D25" s="225"/>
      <c r="E25" s="225"/>
      <c r="F25" s="225"/>
      <c r="G25" s="225"/>
      <c r="H25" s="157">
        <f>H12*H20*(0.6*E5/10)^H21</f>
        <v>27.68769519252514</v>
      </c>
      <c r="J25" s="226" t="s">
        <v>201</v>
      </c>
      <c r="K25" s="227"/>
      <c r="L25" s="227"/>
      <c r="M25" s="227"/>
      <c r="N25" s="227"/>
      <c r="O25" s="155"/>
    </row>
    <row r="26" spans="1:15">
      <c r="A26" s="138"/>
      <c r="M26" s="146"/>
      <c r="N26" s="159"/>
      <c r="O26" s="160"/>
    </row>
    <row r="27" spans="1:15">
      <c r="A27" s="138"/>
      <c r="B27" s="233" t="s">
        <v>202</v>
      </c>
      <c r="C27" s="233"/>
      <c r="D27" s="233"/>
      <c r="E27" s="233"/>
      <c r="F27" s="233"/>
      <c r="G27" s="233" t="s">
        <v>203</v>
      </c>
      <c r="H27" s="233"/>
      <c r="I27" s="233"/>
      <c r="J27" s="233"/>
      <c r="K27" s="233"/>
      <c r="L27" s="233"/>
      <c r="M27" s="226" t="s">
        <v>204</v>
      </c>
      <c r="N27" s="227"/>
      <c r="O27" s="155"/>
    </row>
    <row r="28" spans="1:15">
      <c r="A28" s="138"/>
      <c r="B28" s="224" t="str">
        <f>"Chu kỳ dao động (s)"</f>
        <v>Chu kỳ dao động (s)</v>
      </c>
      <c r="C28" s="224"/>
      <c r="D28" s="224"/>
      <c r="E28" s="162">
        <v>1.45</v>
      </c>
      <c r="F28" s="161"/>
      <c r="G28" s="226" t="s">
        <v>205</v>
      </c>
      <c r="H28" s="226"/>
      <c r="I28" s="226"/>
      <c r="J28" s="226"/>
      <c r="K28" s="162">
        <v>1.5</v>
      </c>
      <c r="L28" s="161"/>
      <c r="M28" s="146"/>
      <c r="N28" s="147"/>
      <c r="O28" s="155"/>
    </row>
    <row r="29" spans="1:15">
      <c r="A29" s="138"/>
      <c r="B29" s="224" t="s">
        <v>206</v>
      </c>
      <c r="C29" s="224"/>
      <c r="D29" s="224"/>
      <c r="E29" s="163">
        <v>50</v>
      </c>
      <c r="F29" s="161"/>
      <c r="G29" s="226" t="s">
        <v>206</v>
      </c>
      <c r="H29" s="226"/>
      <c r="I29" s="226"/>
      <c r="J29" s="226"/>
      <c r="K29" s="164">
        <f>E30</f>
        <v>100</v>
      </c>
      <c r="L29" s="161"/>
      <c r="M29" s="146"/>
      <c r="N29" s="147"/>
      <c r="O29" s="155"/>
    </row>
    <row r="30" spans="1:15">
      <c r="A30" s="138"/>
      <c r="B30" s="224" t="s">
        <v>207</v>
      </c>
      <c r="C30" s="225"/>
      <c r="D30" s="225"/>
      <c r="E30" s="163">
        <v>100</v>
      </c>
      <c r="F30" s="161"/>
      <c r="G30" s="226" t="s">
        <v>207</v>
      </c>
      <c r="H30" s="227"/>
      <c r="I30" s="227"/>
      <c r="J30" s="227"/>
      <c r="K30" s="164">
        <f>E29</f>
        <v>50</v>
      </c>
      <c r="L30" s="161"/>
      <c r="M30" s="146"/>
      <c r="N30" s="147"/>
      <c r="O30" s="155"/>
    </row>
    <row r="31" spans="1:15">
      <c r="A31" s="138"/>
      <c r="B31" s="144"/>
      <c r="C31" s="153"/>
      <c r="D31" s="153"/>
      <c r="E31" s="163"/>
      <c r="F31" s="161"/>
      <c r="G31" s="146"/>
      <c r="H31" s="147"/>
      <c r="I31" s="147"/>
      <c r="J31" s="147"/>
      <c r="K31" s="164"/>
      <c r="L31" s="161"/>
      <c r="M31" s="146"/>
      <c r="N31" s="147"/>
      <c r="O31" s="155"/>
    </row>
    <row r="32" spans="1:15">
      <c r="A32" s="138"/>
      <c r="B32" s="229" t="s">
        <v>208</v>
      </c>
      <c r="C32" s="229"/>
      <c r="D32" s="147"/>
      <c r="E32" s="163"/>
      <c r="F32" s="161"/>
      <c r="G32" s="146"/>
      <c r="H32" s="147"/>
      <c r="I32" s="147"/>
      <c r="J32" s="147"/>
      <c r="K32" s="164"/>
      <c r="L32" s="161"/>
      <c r="M32" s="146"/>
      <c r="N32" s="147"/>
      <c r="O32" s="155"/>
    </row>
    <row r="33" spans="1:22" ht="15.75">
      <c r="A33" s="161"/>
      <c r="B33" s="224" t="s">
        <v>209</v>
      </c>
      <c r="C33" s="225"/>
      <c r="D33" s="225"/>
      <c r="E33" s="165">
        <f>IF($E$28&lt;=1,0.85,0.925*((1+1.7*H22*SQRT(3.4^2*E37^2+E36^2*E38^2))/(1+1.7*H22*3.4)))</f>
        <v>0.9438934308721264</v>
      </c>
      <c r="G33" s="226" t="s">
        <v>209</v>
      </c>
      <c r="H33" s="227"/>
      <c r="I33" s="227"/>
      <c r="J33" s="227"/>
      <c r="K33" s="165">
        <f>IF($K$28&lt;=1,0.85,0.925*((1+1.7*H22*SQRT(3.4^2*K37^2+K36^2*K38^2))/(1+1.7*H22*3.4)))</f>
        <v>0.88580526599160792</v>
      </c>
      <c r="M33" s="226" t="s">
        <v>210</v>
      </c>
      <c r="N33" s="227"/>
      <c r="O33" s="155"/>
    </row>
    <row r="34" spans="1:22">
      <c r="A34" s="161"/>
      <c r="B34" s="144"/>
      <c r="C34" s="153"/>
      <c r="D34" s="153"/>
      <c r="E34" s="153"/>
      <c r="G34" s="146"/>
      <c r="H34" s="147"/>
      <c r="I34" s="147"/>
      <c r="J34" s="147"/>
      <c r="K34" s="153"/>
      <c r="M34" s="146"/>
      <c r="N34" s="147"/>
      <c r="O34" s="155"/>
    </row>
    <row r="35" spans="1:22">
      <c r="A35" s="161"/>
      <c r="B35" s="229" t="s">
        <v>211</v>
      </c>
      <c r="C35" s="229"/>
      <c r="D35" s="147"/>
      <c r="E35" s="146"/>
      <c r="G35" s="146"/>
      <c r="H35" s="147"/>
      <c r="I35" s="147"/>
      <c r="J35" s="147"/>
      <c r="K35" s="146"/>
      <c r="M35" s="146"/>
      <c r="N35" s="147"/>
      <c r="O35" s="155"/>
    </row>
    <row r="36" spans="1:22">
      <c r="A36" s="161"/>
      <c r="B36" s="224" t="s">
        <v>212</v>
      </c>
      <c r="C36" s="224"/>
      <c r="D36" s="224"/>
      <c r="E36" s="157">
        <f>SQRT(2*LN(3600/$E$28))+0.577/SQRT(2*LN(3600/$E$28))</f>
        <v>4.0999446318121446</v>
      </c>
      <c r="F36" s="161"/>
      <c r="G36" s="226" t="s">
        <v>212</v>
      </c>
      <c r="H36" s="226"/>
      <c r="I36" s="226"/>
      <c r="J36" s="226"/>
      <c r="K36" s="164">
        <f>SQRT(2*LN(3600/$K$28))+0.577/SQRT(2*LN(3600/$K$28))</f>
        <v>4.0916788284258532</v>
      </c>
      <c r="L36" s="161"/>
      <c r="M36" s="226" t="s">
        <v>213</v>
      </c>
      <c r="N36" s="226"/>
      <c r="O36" s="166"/>
    </row>
    <row r="37" spans="1:22">
      <c r="A37" s="161"/>
      <c r="B37" s="224" t="s">
        <v>214</v>
      </c>
      <c r="C37" s="225"/>
      <c r="D37" s="225"/>
      <c r="E37" s="157">
        <f>SQRT(1/(1+0.63*((E5+E29)/H23)^0.63))</f>
        <v>0.85352262757816644</v>
      </c>
      <c r="G37" s="226" t="s">
        <v>215</v>
      </c>
      <c r="H37" s="227"/>
      <c r="I37" s="227"/>
      <c r="J37" s="227"/>
      <c r="K37" s="157">
        <f>SQRT(1/(1+0.63*((E5+K29)/H23)^0.63))</f>
        <v>0.8065233328361785</v>
      </c>
      <c r="M37" s="226" t="s">
        <v>216</v>
      </c>
      <c r="N37" s="227"/>
      <c r="O37" s="155"/>
    </row>
    <row r="38" spans="1:22">
      <c r="A38" s="161"/>
      <c r="B38" s="224" t="s">
        <v>217</v>
      </c>
      <c r="C38" s="224"/>
      <c r="D38" s="224"/>
      <c r="E38" s="157">
        <f>SQRT(E39*E44*E45*(0.53+0.47*E46)/H24)</f>
        <v>0.48911554289282133</v>
      </c>
      <c r="F38" s="161"/>
      <c r="G38" s="226" t="s">
        <v>217</v>
      </c>
      <c r="H38" s="226"/>
      <c r="I38" s="226"/>
      <c r="J38" s="227"/>
      <c r="K38" s="164">
        <f>SQRT(K39*K44*K45*(0.53+0.47*K46)/H24)</f>
        <v>0.37165376209058926</v>
      </c>
      <c r="L38" s="161"/>
      <c r="M38" s="226" t="s">
        <v>218</v>
      </c>
      <c r="N38" s="226"/>
      <c r="O38" s="166"/>
    </row>
    <row r="39" spans="1:22" ht="16.5">
      <c r="A39" s="161"/>
      <c r="B39" s="224" t="s">
        <v>219</v>
      </c>
      <c r="C39" s="224"/>
      <c r="D39" s="224"/>
      <c r="E39" s="157">
        <f>7.47*E40/(1+10.3*E40)^(5/3)</f>
        <v>6.1970374863139013E-2</v>
      </c>
      <c r="F39" s="161"/>
      <c r="G39" s="226" t="s">
        <v>219</v>
      </c>
      <c r="H39" s="226"/>
      <c r="I39" s="226"/>
      <c r="J39" s="227"/>
      <c r="K39" s="164">
        <f>7.47*K40/(1+10.3*K40)^(5/3)</f>
        <v>6.3292372875814254E-2</v>
      </c>
      <c r="L39" s="161"/>
      <c r="M39" s="226" t="s">
        <v>220</v>
      </c>
      <c r="N39" s="226"/>
      <c r="O39" s="166"/>
      <c r="T39" s="167"/>
      <c r="U39" s="167"/>
      <c r="V39" s="167"/>
    </row>
    <row r="40" spans="1:22" ht="16.5">
      <c r="A40" s="161"/>
      <c r="B40" s="144" t="s">
        <v>221</v>
      </c>
      <c r="C40" s="146"/>
      <c r="D40" s="146"/>
      <c r="E40" s="157">
        <f>H23/E28/H25</f>
        <v>3.6393779818295457</v>
      </c>
      <c r="F40" s="161"/>
      <c r="G40" s="226" t="s">
        <v>221</v>
      </c>
      <c r="H40" s="227"/>
      <c r="I40" s="227"/>
      <c r="J40" s="227"/>
      <c r="K40" s="164">
        <f>H23/K28/H25</f>
        <v>3.518065382435227</v>
      </c>
      <c r="L40" s="161"/>
      <c r="M40" s="226" t="s">
        <v>222</v>
      </c>
      <c r="N40" s="226"/>
      <c r="O40" s="166"/>
      <c r="T40" s="167"/>
      <c r="U40" s="167"/>
      <c r="V40" s="167"/>
    </row>
    <row r="41" spans="1:22" ht="16.5">
      <c r="A41" s="161"/>
      <c r="B41" s="144" t="s">
        <v>223</v>
      </c>
      <c r="C41" s="146"/>
      <c r="D41" s="146"/>
      <c r="E41" s="157">
        <f>4.6*E5/E28/H25</f>
        <v>1.5468093645605696</v>
      </c>
      <c r="F41" s="161"/>
      <c r="G41" s="226" t="s">
        <v>223</v>
      </c>
      <c r="H41" s="227"/>
      <c r="I41" s="227"/>
      <c r="J41" s="227"/>
      <c r="K41" s="164">
        <f>4.6*E5/K28/H25</f>
        <v>1.4952490524085507</v>
      </c>
      <c r="L41" s="161"/>
      <c r="M41" s="226" t="s">
        <v>224</v>
      </c>
      <c r="N41" s="226"/>
      <c r="O41" s="166"/>
      <c r="T41" s="167"/>
      <c r="U41" s="167"/>
      <c r="V41" s="167"/>
    </row>
    <row r="42" spans="1:22" ht="16.5">
      <c r="A42" s="161"/>
      <c r="B42" s="144" t="s">
        <v>225</v>
      </c>
      <c r="C42" s="146"/>
      <c r="D42" s="146"/>
      <c r="E42" s="157">
        <f>4.6*E29/E28/H25</f>
        <v>5.7289235724465541</v>
      </c>
      <c r="F42" s="161"/>
      <c r="G42" s="226" t="s">
        <v>225</v>
      </c>
      <c r="H42" s="227"/>
      <c r="I42" s="227"/>
      <c r="J42" s="227"/>
      <c r="K42" s="164">
        <f>4.6*K29/K28/H25</f>
        <v>11.075918906730003</v>
      </c>
      <c r="L42" s="161"/>
      <c r="M42" s="226" t="s">
        <v>224</v>
      </c>
      <c r="N42" s="226"/>
      <c r="O42" s="166"/>
      <c r="T42" s="167"/>
      <c r="U42" s="167"/>
      <c r="V42" s="167"/>
    </row>
    <row r="43" spans="1:22" ht="15.75">
      <c r="A43" s="161"/>
      <c r="B43" s="144" t="s">
        <v>226</v>
      </c>
      <c r="C43" s="146"/>
      <c r="D43" s="146"/>
      <c r="E43" s="157">
        <f>15.4*E30/E28/H25</f>
        <v>38.358879572033452</v>
      </c>
      <c r="F43" s="161"/>
      <c r="G43" s="226" t="s">
        <v>226</v>
      </c>
      <c r="H43" s="227"/>
      <c r="I43" s="227"/>
      <c r="J43" s="227"/>
      <c r="K43" s="164">
        <f>15.4*K30/K28/H25</f>
        <v>18.540125126482835</v>
      </c>
      <c r="L43" s="161"/>
      <c r="M43" s="226" t="s">
        <v>224</v>
      </c>
      <c r="N43" s="226"/>
      <c r="O43" s="166"/>
    </row>
    <row r="44" spans="1:22">
      <c r="A44" s="161"/>
      <c r="B44" s="144" t="s">
        <v>227</v>
      </c>
      <c r="C44" s="146"/>
      <c r="D44" s="146"/>
      <c r="E44" s="157">
        <f>IF(E41=0,1,(1/E41-(1-EXP(-2*E41))/(2*E41^2)))</f>
        <v>0.44699054338583177</v>
      </c>
      <c r="F44" s="161"/>
      <c r="G44" s="226" t="s">
        <v>227</v>
      </c>
      <c r="H44" s="227"/>
      <c r="I44" s="227"/>
      <c r="J44" s="227"/>
      <c r="K44" s="164">
        <f>IF(K41=0,1,(1/K41-(1-EXP(-2*K41))/(2*K41^2)))</f>
        <v>0.45638879378781028</v>
      </c>
      <c r="L44" s="161"/>
      <c r="M44" s="226" t="s">
        <v>224</v>
      </c>
      <c r="N44" s="226"/>
      <c r="O44" s="166"/>
    </row>
    <row r="45" spans="1:22">
      <c r="A45" s="161"/>
      <c r="B45" s="144" t="s">
        <v>228</v>
      </c>
      <c r="C45" s="146"/>
      <c r="D45" s="146"/>
      <c r="E45" s="157">
        <f>IF(E42=0,1,(1/E42-(1-EXP(-2*E42))/(2*E42^2)))</f>
        <v>0.15931867132505645</v>
      </c>
      <c r="F45" s="161"/>
      <c r="G45" s="226" t="s">
        <v>228</v>
      </c>
      <c r="H45" s="227"/>
      <c r="I45" s="227"/>
      <c r="J45" s="227"/>
      <c r="K45" s="164">
        <f>IF(K42=0,1,(1/K42-(1-EXP(-2*K42))/(2*K42^2)))</f>
        <v>8.6210185065409173E-2</v>
      </c>
      <c r="L45" s="161"/>
      <c r="M45" s="226" t="s">
        <v>224</v>
      </c>
      <c r="N45" s="226"/>
      <c r="O45" s="166"/>
    </row>
    <row r="46" spans="1:22">
      <c r="A46" s="161"/>
      <c r="B46" s="144" t="s">
        <v>229</v>
      </c>
      <c r="C46" s="146"/>
      <c r="D46" s="146"/>
      <c r="E46" s="157">
        <f>IF(E43=0,1,(1/E43-(1-EXP(-2*E43))/(2*E43^2)))</f>
        <v>2.5729771553381429E-2</v>
      </c>
      <c r="F46" s="161"/>
      <c r="G46" s="226" t="s">
        <v>229</v>
      </c>
      <c r="H46" s="227"/>
      <c r="I46" s="227"/>
      <c r="J46" s="227"/>
      <c r="K46" s="164">
        <f>IF(K43=0,1,(1/K43-(1-EXP(-2*K43))/(2*K43^2)))</f>
        <v>5.2482464874613062E-2</v>
      </c>
      <c r="L46" s="161"/>
      <c r="M46" s="226" t="s">
        <v>224</v>
      </c>
      <c r="N46" s="226"/>
      <c r="O46" s="166"/>
    </row>
    <row r="47" spans="1:22">
      <c r="A47" s="138"/>
      <c r="M47" s="168"/>
    </row>
    <row r="48" spans="1:22">
      <c r="M48" s="168"/>
    </row>
    <row r="49" spans="2:13">
      <c r="M49" s="168"/>
    </row>
    <row r="50" spans="2:13">
      <c r="B50" s="234" t="s">
        <v>230</v>
      </c>
      <c r="C50" s="234"/>
      <c r="D50" s="234"/>
      <c r="E50" s="234"/>
      <c r="F50" s="234"/>
      <c r="G50" s="234"/>
      <c r="H50" s="234" t="s">
        <v>231</v>
      </c>
      <c r="I50" s="235"/>
      <c r="J50" s="235"/>
      <c r="K50" s="235"/>
      <c r="L50" s="235"/>
      <c r="M50" s="168"/>
    </row>
    <row r="51" spans="2:13" ht="18.75">
      <c r="B51" s="169" t="s">
        <v>232</v>
      </c>
      <c r="C51" s="169" t="s">
        <v>233</v>
      </c>
      <c r="D51" s="169" t="s">
        <v>234</v>
      </c>
      <c r="E51" s="170" t="s">
        <v>235</v>
      </c>
      <c r="F51" s="169" t="s">
        <v>236</v>
      </c>
      <c r="G51" s="169" t="s">
        <v>237</v>
      </c>
      <c r="H51" s="171" t="s">
        <v>238</v>
      </c>
      <c r="I51" s="169" t="s">
        <v>239</v>
      </c>
      <c r="J51" s="172"/>
      <c r="K51" s="172"/>
      <c r="L51" s="172"/>
      <c r="M51" s="168"/>
    </row>
    <row r="52" spans="2:13" ht="14.25">
      <c r="B52" s="173" t="s">
        <v>15</v>
      </c>
      <c r="C52" s="174" t="s">
        <v>240</v>
      </c>
      <c r="D52" s="173">
        <v>213.36</v>
      </c>
      <c r="E52" s="173">
        <v>2.13</v>
      </c>
      <c r="F52" s="173">
        <v>11.5</v>
      </c>
      <c r="G52" s="173">
        <v>1.99</v>
      </c>
      <c r="H52" s="173">
        <v>0.15</v>
      </c>
      <c r="I52" s="173">
        <v>198.12</v>
      </c>
      <c r="J52" s="175">
        <f>1/8</f>
        <v>0.125</v>
      </c>
      <c r="K52" s="173">
        <v>0.8</v>
      </c>
      <c r="L52" s="175">
        <f>1/9</f>
        <v>0.1111111111111111</v>
      </c>
      <c r="M52" s="168"/>
    </row>
    <row r="53" spans="2:13" ht="14.25">
      <c r="B53" s="173" t="s">
        <v>1</v>
      </c>
      <c r="C53" s="174" t="s">
        <v>241</v>
      </c>
      <c r="D53" s="173">
        <v>274.32</v>
      </c>
      <c r="E53" s="173">
        <v>4.57</v>
      </c>
      <c r="F53" s="173">
        <v>9.5</v>
      </c>
      <c r="G53" s="173">
        <v>1.97</v>
      </c>
      <c r="H53" s="173">
        <v>0.2</v>
      </c>
      <c r="I53" s="173">
        <v>152.4</v>
      </c>
      <c r="J53" s="175">
        <f>1/5</f>
        <v>0.2</v>
      </c>
      <c r="K53" s="173">
        <v>0.65</v>
      </c>
      <c r="L53" s="175">
        <f>1/6.5</f>
        <v>0.15384615384615385</v>
      </c>
    </row>
    <row r="54" spans="2:13" ht="14.25">
      <c r="B54" s="173" t="s">
        <v>0</v>
      </c>
      <c r="C54" s="174" t="s">
        <v>242</v>
      </c>
      <c r="D54" s="173">
        <v>365.76</v>
      </c>
      <c r="E54" s="173">
        <v>9.14</v>
      </c>
      <c r="F54" s="173">
        <v>7</v>
      </c>
      <c r="G54" s="173">
        <v>1.98</v>
      </c>
      <c r="H54" s="173">
        <v>0.3</v>
      </c>
      <c r="I54" s="173">
        <v>97.54</v>
      </c>
      <c r="J54" s="175">
        <f>1/3</f>
        <v>0.33333333333333331</v>
      </c>
      <c r="K54" s="173">
        <v>0.45</v>
      </c>
      <c r="L54" s="175">
        <f>1/4</f>
        <v>0.25</v>
      </c>
    </row>
    <row r="55" spans="2:13">
      <c r="B55" s="176"/>
      <c r="C55" s="176"/>
      <c r="D55" s="176"/>
      <c r="E55" s="176"/>
      <c r="F55" s="176"/>
      <c r="G55" s="176"/>
      <c r="H55" s="176"/>
      <c r="I55" s="176"/>
      <c r="J55" s="176"/>
      <c r="K55" s="176"/>
      <c r="L55" s="176"/>
    </row>
    <row r="56" spans="2:13">
      <c r="B56" s="176"/>
      <c r="C56" s="176"/>
      <c r="D56" s="176"/>
      <c r="E56" s="176"/>
      <c r="F56" s="176"/>
      <c r="G56" s="176"/>
      <c r="H56" s="176"/>
      <c r="I56" s="176"/>
      <c r="J56" s="176"/>
      <c r="K56" s="176"/>
      <c r="L56" s="176"/>
    </row>
    <row r="57" spans="2:13" ht="15">
      <c r="B57" s="176"/>
      <c r="C57" s="176"/>
      <c r="D57" s="176"/>
      <c r="E57" s="176"/>
      <c r="F57" s="177" t="s">
        <v>5</v>
      </c>
      <c r="G57" s="177">
        <v>0.65</v>
      </c>
      <c r="H57" s="177">
        <v>36</v>
      </c>
      <c r="I57" s="176"/>
      <c r="J57" s="176"/>
      <c r="K57" s="176"/>
      <c r="L57" s="176"/>
    </row>
    <row r="58" spans="2:13" ht="15">
      <c r="B58" s="176"/>
      <c r="C58" s="176"/>
      <c r="D58" s="176"/>
      <c r="E58" s="176"/>
      <c r="F58" s="177" t="s">
        <v>2</v>
      </c>
      <c r="G58" s="177">
        <v>0.95</v>
      </c>
      <c r="H58" s="177">
        <v>44</v>
      </c>
      <c r="I58" s="176"/>
      <c r="J58" s="176"/>
      <c r="K58" s="176"/>
      <c r="L58" s="176"/>
    </row>
    <row r="59" spans="2:13" ht="15">
      <c r="B59" s="176"/>
      <c r="C59" s="176"/>
      <c r="D59" s="176"/>
      <c r="E59" s="176"/>
      <c r="F59" s="177" t="s">
        <v>3</v>
      </c>
      <c r="G59" s="177">
        <v>1.25</v>
      </c>
      <c r="H59" s="177">
        <v>50</v>
      </c>
      <c r="I59" s="176"/>
      <c r="J59" s="176"/>
      <c r="K59" s="176"/>
      <c r="L59" s="176"/>
    </row>
    <row r="60" spans="2:13" ht="15">
      <c r="B60" s="176"/>
      <c r="C60" s="176"/>
      <c r="D60" s="176"/>
      <c r="E60" s="176"/>
      <c r="F60" s="177" t="s">
        <v>4</v>
      </c>
      <c r="G60" s="177">
        <v>1.55</v>
      </c>
      <c r="H60" s="177">
        <v>56</v>
      </c>
      <c r="I60" s="176"/>
      <c r="J60" s="176"/>
      <c r="K60" s="176"/>
      <c r="L60" s="176"/>
    </row>
    <row r="61" spans="2:13" ht="15">
      <c r="B61" s="176"/>
      <c r="C61" s="176"/>
      <c r="D61" s="176"/>
      <c r="E61" s="176"/>
      <c r="F61" s="177" t="s">
        <v>11</v>
      </c>
      <c r="G61" s="177">
        <v>1.85</v>
      </c>
      <c r="H61" s="177">
        <v>61</v>
      </c>
      <c r="I61" s="176"/>
      <c r="J61" s="176"/>
      <c r="K61" s="176"/>
      <c r="L61" s="176"/>
    </row>
  </sheetData>
  <dataConsolidate/>
  <mergeCells count="86">
    <mergeCell ref="G46:J46"/>
    <mergeCell ref="M46:N46"/>
    <mergeCell ref="B50:G50"/>
    <mergeCell ref="H50:L50"/>
    <mergeCell ref="G43:J43"/>
    <mergeCell ref="M43:N43"/>
    <mergeCell ref="G44:J44"/>
    <mergeCell ref="M44:N44"/>
    <mergeCell ref="G45:J45"/>
    <mergeCell ref="M45:N45"/>
    <mergeCell ref="G40:J40"/>
    <mergeCell ref="M40:N40"/>
    <mergeCell ref="G41:J41"/>
    <mergeCell ref="M41:N41"/>
    <mergeCell ref="G42:J42"/>
    <mergeCell ref="M42:N42"/>
    <mergeCell ref="B38:D38"/>
    <mergeCell ref="G38:J38"/>
    <mergeCell ref="M38:N38"/>
    <mergeCell ref="B39:D39"/>
    <mergeCell ref="G39:J39"/>
    <mergeCell ref="M39:N39"/>
    <mergeCell ref="B35:C35"/>
    <mergeCell ref="B36:D36"/>
    <mergeCell ref="G36:J36"/>
    <mergeCell ref="M36:N36"/>
    <mergeCell ref="B37:D37"/>
    <mergeCell ref="G37:J37"/>
    <mergeCell ref="M37:N37"/>
    <mergeCell ref="M33:N33"/>
    <mergeCell ref="B27:F27"/>
    <mergeCell ref="G27:L27"/>
    <mergeCell ref="M27:N27"/>
    <mergeCell ref="B28:D28"/>
    <mergeCell ref="G28:J28"/>
    <mergeCell ref="B29:D29"/>
    <mergeCell ref="G29:J29"/>
    <mergeCell ref="B30:D30"/>
    <mergeCell ref="G30:J30"/>
    <mergeCell ref="B32:C32"/>
    <mergeCell ref="B33:D33"/>
    <mergeCell ref="G33:J33"/>
    <mergeCell ref="B23:G23"/>
    <mergeCell ref="J23:N23"/>
    <mergeCell ref="B24:G24"/>
    <mergeCell ref="J24:N24"/>
    <mergeCell ref="B25:G25"/>
    <mergeCell ref="J25:N25"/>
    <mergeCell ref="B20:G20"/>
    <mergeCell ref="J20:N20"/>
    <mergeCell ref="B21:G21"/>
    <mergeCell ref="J21:N21"/>
    <mergeCell ref="B22:G22"/>
    <mergeCell ref="J22:N22"/>
    <mergeCell ref="B17:G17"/>
    <mergeCell ref="J17:N17"/>
    <mergeCell ref="B18:G18"/>
    <mergeCell ref="J18:N18"/>
    <mergeCell ref="B19:G19"/>
    <mergeCell ref="J19:N19"/>
    <mergeCell ref="B14:G14"/>
    <mergeCell ref="J14:N14"/>
    <mergeCell ref="B15:G15"/>
    <mergeCell ref="J15:N15"/>
    <mergeCell ref="B16:G16"/>
    <mergeCell ref="J16:N16"/>
    <mergeCell ref="B11:G11"/>
    <mergeCell ref="J11:N11"/>
    <mergeCell ref="B12:G12"/>
    <mergeCell ref="J12:N12"/>
    <mergeCell ref="B13:G13"/>
    <mergeCell ref="J13:N13"/>
    <mergeCell ref="B8:G8"/>
    <mergeCell ref="H8:J8"/>
    <mergeCell ref="B9:G9"/>
    <mergeCell ref="J9:N9"/>
    <mergeCell ref="R9:AA10"/>
    <mergeCell ref="B10:G10"/>
    <mergeCell ref="J10:N10"/>
    <mergeCell ref="B7:C7"/>
    <mergeCell ref="E7:N7"/>
    <mergeCell ref="B2:N2"/>
    <mergeCell ref="B4:C4"/>
    <mergeCell ref="B5:D5"/>
    <mergeCell ref="F5:I5"/>
    <mergeCell ref="B6:C6"/>
  </mergeCells>
  <dataValidations count="3">
    <dataValidation type="list" allowBlank="1" showInputMessage="1" showErrorMessage="1" sqref="D6" xr:uid="{7B9FADC8-E16A-4BF2-9FF8-E4254382417F}">
      <formula1>"I,II,III,IV,V"</formula1>
    </dataValidation>
    <dataValidation type="list" allowBlank="1" showInputMessage="1" showErrorMessage="1" sqref="D7" xr:uid="{DFE82C05-6757-492A-BD80-FFC0BCFE5D25}">
      <formula1>"A,B,C"</formula1>
    </dataValidation>
    <dataValidation type="list" allowBlank="1" showInputMessage="1" showErrorMessage="1" sqref="H8" xr:uid="{B7C5FF78-CC74-44A9-8887-00DB5C8848FD}">
      <formula1>"Kết cấu thép,KC liên hợp thép-BT,Kết cấu BT và BTCT"</formula1>
    </dataValidation>
  </dataValidations>
  <pageMargins left="0.7" right="0.7" top="0.75" bottom="0.75" header="0.3" footer="0.3"/>
  <pageSetup scale="85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38B98-CB22-48A2-973E-B46E1B829F7A}">
  <sheetPr codeName="Sheet1"/>
  <dimension ref="A1:BB136"/>
  <sheetViews>
    <sheetView showGridLines="0" tabSelected="1" topLeftCell="A12" zoomScale="130" zoomScaleNormal="130" workbookViewId="0">
      <selection activeCell="M31" sqref="M31:N31"/>
    </sheetView>
  </sheetViews>
  <sheetFormatPr defaultRowHeight="12.75"/>
  <cols>
    <col min="1" max="1" width="9.140625" style="9"/>
    <col min="2" max="2" width="2" style="10" customWidth="1"/>
    <col min="3" max="3" width="6.140625" style="10" customWidth="1"/>
    <col min="4" max="13" width="4.7109375" style="10" customWidth="1"/>
    <col min="14" max="14" width="5" style="10" customWidth="1"/>
    <col min="15" max="15" width="5.140625" style="10" customWidth="1"/>
    <col min="16" max="27" width="4.7109375" style="10" customWidth="1"/>
    <col min="28" max="28" width="2" style="10" customWidth="1"/>
    <col min="29" max="29" width="9.140625" style="9"/>
    <col min="30" max="31" width="9.140625" style="9" customWidth="1"/>
    <col min="32" max="51" width="9.140625" style="9"/>
    <col min="52" max="53" width="37.140625" style="9" customWidth="1"/>
    <col min="54" max="16384" width="9.140625" style="9"/>
  </cols>
  <sheetData>
    <row r="1" spans="2:53" hidden="1"/>
    <row r="2" spans="2:53" hidden="1"/>
    <row r="3" spans="2:53" hidden="1"/>
    <row r="4" spans="2:53" hidden="1"/>
    <row r="5" spans="2:53" hidden="1"/>
    <row r="6" spans="2:53" ht="13.5" hidden="1" thickBot="1"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</row>
    <row r="7" spans="2:53">
      <c r="B7" s="362" t="s">
        <v>124</v>
      </c>
      <c r="C7" s="363"/>
      <c r="D7" s="363"/>
      <c r="E7" s="363"/>
      <c r="F7" s="363"/>
      <c r="G7" s="363"/>
      <c r="H7" s="363"/>
      <c r="I7" s="363"/>
      <c r="J7" s="363"/>
      <c r="K7" s="363"/>
      <c r="L7" s="363"/>
      <c r="M7" s="363"/>
      <c r="N7" s="363"/>
      <c r="O7" s="363"/>
      <c r="P7" s="363"/>
      <c r="Q7" s="363"/>
      <c r="R7" s="363"/>
      <c r="S7" s="363"/>
      <c r="T7" s="363"/>
      <c r="U7" s="363"/>
      <c r="V7" s="354" t="s">
        <v>122</v>
      </c>
      <c r="W7" s="354"/>
      <c r="X7" s="354"/>
      <c r="Y7" s="354" t="s">
        <v>123</v>
      </c>
      <c r="Z7" s="354"/>
      <c r="AA7" s="354"/>
      <c r="AB7" s="357"/>
      <c r="AC7" s="344" t="s">
        <v>55</v>
      </c>
      <c r="AY7" s="3"/>
      <c r="AZ7" s="3" t="s">
        <v>54</v>
      </c>
      <c r="BA7" s="3" t="s">
        <v>55</v>
      </c>
    </row>
    <row r="8" spans="2:53">
      <c r="B8" s="364"/>
      <c r="C8" s="365"/>
      <c r="D8" s="365"/>
      <c r="E8" s="365"/>
      <c r="F8" s="365"/>
      <c r="G8" s="365"/>
      <c r="H8" s="365"/>
      <c r="I8" s="365"/>
      <c r="J8" s="365"/>
      <c r="K8" s="365"/>
      <c r="L8" s="365"/>
      <c r="M8" s="365"/>
      <c r="N8" s="365"/>
      <c r="O8" s="365"/>
      <c r="P8" s="365"/>
      <c r="Q8" s="365"/>
      <c r="R8" s="365"/>
      <c r="S8" s="365"/>
      <c r="T8" s="365"/>
      <c r="U8" s="365"/>
      <c r="V8" s="355"/>
      <c r="W8" s="355"/>
      <c r="X8" s="355"/>
      <c r="Y8" s="355"/>
      <c r="Z8" s="355"/>
      <c r="AA8" s="355"/>
      <c r="AB8" s="358"/>
      <c r="AC8" s="344"/>
      <c r="AY8" s="26">
        <v>1</v>
      </c>
      <c r="AZ8" s="40" t="s">
        <v>6</v>
      </c>
      <c r="BA8" s="40" t="s">
        <v>56</v>
      </c>
    </row>
    <row r="9" spans="2:53">
      <c r="B9" s="364"/>
      <c r="C9" s="365"/>
      <c r="D9" s="365"/>
      <c r="E9" s="365"/>
      <c r="F9" s="365"/>
      <c r="G9" s="365"/>
      <c r="H9" s="365"/>
      <c r="I9" s="365"/>
      <c r="J9" s="365"/>
      <c r="K9" s="365"/>
      <c r="L9" s="365"/>
      <c r="M9" s="365"/>
      <c r="N9" s="365"/>
      <c r="O9" s="365"/>
      <c r="P9" s="365"/>
      <c r="Q9" s="365"/>
      <c r="R9" s="365"/>
      <c r="S9" s="365"/>
      <c r="T9" s="365"/>
      <c r="U9" s="365"/>
      <c r="V9" s="355"/>
      <c r="W9" s="355"/>
      <c r="X9" s="355"/>
      <c r="Y9" s="355"/>
      <c r="Z9" s="355"/>
      <c r="AA9" s="355"/>
      <c r="AB9" s="358"/>
      <c r="AC9" s="344"/>
      <c r="AY9" s="26">
        <v>2</v>
      </c>
      <c r="AZ9" s="40" t="s">
        <v>8</v>
      </c>
      <c r="BA9" s="40" t="s">
        <v>57</v>
      </c>
    </row>
    <row r="10" spans="2:53">
      <c r="B10" s="366"/>
      <c r="C10" s="367"/>
      <c r="D10" s="367"/>
      <c r="E10" s="367"/>
      <c r="F10" s="367"/>
      <c r="G10" s="367"/>
      <c r="H10" s="367"/>
      <c r="I10" s="367"/>
      <c r="J10" s="367"/>
      <c r="K10" s="367"/>
      <c r="L10" s="367"/>
      <c r="M10" s="367"/>
      <c r="N10" s="367"/>
      <c r="O10" s="367"/>
      <c r="P10" s="367"/>
      <c r="Q10" s="367"/>
      <c r="R10" s="367"/>
      <c r="S10" s="367"/>
      <c r="T10" s="367"/>
      <c r="U10" s="367"/>
      <c r="V10" s="356"/>
      <c r="W10" s="356"/>
      <c r="X10" s="356"/>
      <c r="Y10" s="356"/>
      <c r="Z10" s="356"/>
      <c r="AA10" s="356"/>
      <c r="AB10" s="359"/>
      <c r="AC10" s="344"/>
      <c r="AY10" s="26">
        <v>3</v>
      </c>
      <c r="AZ10" s="40" t="s">
        <v>10</v>
      </c>
      <c r="BA10" s="40" t="s">
        <v>58</v>
      </c>
    </row>
    <row r="11" spans="2:53" ht="15">
      <c r="B11" s="12"/>
      <c r="C11" s="100"/>
      <c r="D11" s="100"/>
      <c r="E11" s="100"/>
      <c r="F11" s="100"/>
      <c r="G11" s="100"/>
      <c r="H11" s="100"/>
      <c r="I11" s="41" t="str">
        <f>VLOOKUP(9,AY8:$BA$98,1+MATCH($AC$7,$AZ$7:$BA$7,0))</f>
        <v>Tiêu chuẩn thiết kế:</v>
      </c>
      <c r="J11" s="100" t="str">
        <f>VLOOKUP(10,AY8:$BA$98,1+MATCH($AC$7,$AZ$7:$BA$7,0))</f>
        <v>TCVN 2737:2023 Tải trọng và tác động - Tiêu chuẩn thiết kế</v>
      </c>
      <c r="K11" s="100"/>
      <c r="L11" s="100"/>
      <c r="M11" s="100"/>
      <c r="N11" s="100"/>
      <c r="O11" s="100"/>
      <c r="P11" s="100"/>
      <c r="Q11" s="100"/>
      <c r="R11" s="100"/>
      <c r="S11" s="100"/>
      <c r="T11" s="100"/>
      <c r="U11" s="100"/>
      <c r="V11" s="100"/>
      <c r="W11" s="100"/>
      <c r="X11" s="100"/>
      <c r="Y11" s="100"/>
      <c r="Z11" s="100"/>
      <c r="AA11" s="100"/>
      <c r="AB11" s="11"/>
      <c r="AD11" s="9" t="s">
        <v>40</v>
      </c>
      <c r="AE11" s="44" t="s">
        <v>91</v>
      </c>
      <c r="AY11" s="26">
        <v>4</v>
      </c>
      <c r="AZ11" s="40" t="s">
        <v>59</v>
      </c>
      <c r="BA11" s="40" t="s">
        <v>60</v>
      </c>
    </row>
    <row r="12" spans="2:53" ht="15">
      <c r="B12" s="12"/>
      <c r="C12" s="100"/>
      <c r="D12" s="100"/>
      <c r="E12" s="100"/>
      <c r="F12" s="100"/>
      <c r="G12" s="100"/>
      <c r="H12" s="100"/>
      <c r="I12" s="101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  <c r="AB12" s="11"/>
      <c r="AD12" s="44" t="s">
        <v>36</v>
      </c>
      <c r="AE12" s="44" t="s">
        <v>92</v>
      </c>
      <c r="AY12" s="26">
        <v>5</v>
      </c>
      <c r="AZ12" s="40" t="s">
        <v>7</v>
      </c>
      <c r="BA12" s="40" t="s">
        <v>61</v>
      </c>
    </row>
    <row r="13" spans="2:53" ht="15">
      <c r="B13" s="12"/>
      <c r="C13" s="100"/>
      <c r="D13" s="100"/>
      <c r="E13" s="100"/>
      <c r="F13" s="100"/>
      <c r="G13" s="100"/>
      <c r="H13" s="100"/>
      <c r="I13" s="100"/>
      <c r="J13" s="100"/>
      <c r="K13" s="99"/>
      <c r="L13" s="345"/>
      <c r="M13" s="345"/>
      <c r="N13" s="345"/>
      <c r="O13" s="1"/>
      <c r="P13" s="1"/>
      <c r="Q13" s="1"/>
      <c r="R13" s="100"/>
      <c r="S13" s="100"/>
      <c r="T13" s="100"/>
      <c r="U13" s="100"/>
      <c r="V13" s="100"/>
      <c r="W13" s="100"/>
      <c r="X13" s="100"/>
      <c r="Y13" s="100"/>
      <c r="Z13" s="100"/>
      <c r="AA13" s="100"/>
      <c r="AB13" s="11"/>
      <c r="AD13" s="44" t="s">
        <v>90</v>
      </c>
      <c r="AE13" s="44" t="s">
        <v>88</v>
      </c>
      <c r="AY13" s="26">
        <v>6</v>
      </c>
      <c r="AZ13" s="40" t="s">
        <v>9</v>
      </c>
      <c r="BA13" s="40" t="s">
        <v>62</v>
      </c>
    </row>
    <row r="14" spans="2:53" ht="15" customHeight="1">
      <c r="B14" s="12"/>
      <c r="C14" s="266" t="str">
        <f>VLOOKUP(12,AY8:$BA$98,1+MATCH($AC$7,$AZ$7:$BA$7,0))</f>
        <v>KÍCH THƯỚC HÌNH HỌC</v>
      </c>
      <c r="D14" s="267"/>
      <c r="E14" s="267"/>
      <c r="F14" s="267"/>
      <c r="G14" s="267"/>
      <c r="H14" s="267"/>
      <c r="I14" s="267"/>
      <c r="J14" s="267"/>
      <c r="K14" s="267"/>
      <c r="L14" s="267"/>
      <c r="M14" s="267"/>
      <c r="N14" s="268"/>
      <c r="O14" s="100"/>
      <c r="P14" s="102"/>
      <c r="Q14" s="102"/>
      <c r="R14" s="102"/>
      <c r="S14" s="102"/>
      <c r="T14" s="102"/>
      <c r="U14" s="102"/>
      <c r="V14" s="102"/>
      <c r="W14" s="102"/>
      <c r="X14" s="102"/>
      <c r="Y14" s="102"/>
      <c r="Z14" s="102"/>
      <c r="AA14" s="102"/>
      <c r="AB14" s="11"/>
      <c r="AD14" s="44" t="s">
        <v>39</v>
      </c>
      <c r="AE14" s="44" t="s">
        <v>89</v>
      </c>
      <c r="AI14" s="13" t="s">
        <v>12</v>
      </c>
      <c r="AJ14" s="13" t="s">
        <v>13</v>
      </c>
      <c r="AY14" s="26">
        <v>7</v>
      </c>
      <c r="AZ14" s="40" t="s">
        <v>63</v>
      </c>
      <c r="BA14" s="40" t="s">
        <v>64</v>
      </c>
    </row>
    <row r="15" spans="2:53" ht="15">
      <c r="B15" s="12"/>
      <c r="C15" s="285" t="s">
        <v>125</v>
      </c>
      <c r="D15" s="286"/>
      <c r="E15" s="286"/>
      <c r="F15" s="286"/>
      <c r="G15" s="56" t="s">
        <v>126</v>
      </c>
      <c r="H15" s="57"/>
      <c r="I15" s="57"/>
      <c r="J15" s="360" t="str">
        <f>IF(AC8="ENVN"," / Mái dốc 2 phía","")</f>
        <v/>
      </c>
      <c r="K15" s="360"/>
      <c r="L15" s="360"/>
      <c r="M15" s="360"/>
      <c r="N15" s="361"/>
      <c r="O15" s="100"/>
      <c r="P15" s="350"/>
      <c r="Q15" s="350"/>
      <c r="R15" s="102"/>
      <c r="S15" s="102"/>
      <c r="T15" s="102"/>
      <c r="U15" s="102"/>
      <c r="V15" s="102"/>
      <c r="W15" s="102"/>
      <c r="X15" s="102"/>
      <c r="Y15" s="102"/>
      <c r="Z15" s="103"/>
      <c r="AA15" s="103"/>
      <c r="AB15" s="11"/>
      <c r="AI15" s="15" t="s">
        <v>5</v>
      </c>
      <c r="AJ15" s="15">
        <v>0.65</v>
      </c>
      <c r="AY15" s="26">
        <v>8</v>
      </c>
      <c r="AZ15" s="40" t="s">
        <v>65</v>
      </c>
      <c r="BA15" s="40" t="s">
        <v>66</v>
      </c>
    </row>
    <row r="16" spans="2:53" ht="15">
      <c r="B16" s="12"/>
      <c r="C16" s="309" t="str">
        <f>VLOOKUP(15,AY8:$BA$98,1+MATCH($AC$7,$AZ$7:$BA$7,0))</f>
        <v>Loại kết cấu:</v>
      </c>
      <c r="D16" s="310"/>
      <c r="E16" s="310"/>
      <c r="F16" s="310"/>
      <c r="G16" s="306" t="s">
        <v>90</v>
      </c>
      <c r="H16" s="306"/>
      <c r="I16" s="306"/>
      <c r="J16" s="346" t="str">
        <f>IF(AC7="VN",VLOOKUP(G16,$AD$13:$AE$14,2,FALSE),"")</f>
        <v>/ Nhà BTCT</v>
      </c>
      <c r="K16" s="346"/>
      <c r="L16" s="346"/>
      <c r="M16" s="346"/>
      <c r="N16" s="347"/>
      <c r="O16" s="100"/>
      <c r="P16" s="350"/>
      <c r="Q16" s="350"/>
      <c r="R16" s="102"/>
      <c r="S16" s="102"/>
      <c r="T16" s="102"/>
      <c r="U16" s="102"/>
      <c r="V16" s="102"/>
      <c r="W16" s="102"/>
      <c r="X16" s="102"/>
      <c r="Y16" s="102"/>
      <c r="Z16" s="104"/>
      <c r="AA16" s="104"/>
      <c r="AB16" s="11"/>
      <c r="AD16" s="13" t="s">
        <v>16</v>
      </c>
      <c r="AE16" s="13" t="s">
        <v>17</v>
      </c>
      <c r="AF16" s="13" t="s">
        <v>18</v>
      </c>
      <c r="AG16" s="14" t="s">
        <v>19</v>
      </c>
      <c r="AH16" s="13" t="s">
        <v>20</v>
      </c>
      <c r="AI16" s="15" t="s">
        <v>2</v>
      </c>
      <c r="AJ16" s="15">
        <v>0.95</v>
      </c>
      <c r="AY16" s="26">
        <v>9</v>
      </c>
      <c r="AZ16" s="40" t="s">
        <v>67</v>
      </c>
      <c r="BA16" s="40" t="s">
        <v>68</v>
      </c>
    </row>
    <row r="17" spans="2:53" ht="15">
      <c r="B17" s="12"/>
      <c r="C17" s="309" t="str">
        <f>VLOOKUP(16,AY8:$BA$98,1+MATCH($AC$7,$AZ$7:$BA$7,0))</f>
        <v>Loại mái:</v>
      </c>
      <c r="D17" s="310"/>
      <c r="E17" s="310"/>
      <c r="F17" s="310"/>
      <c r="G17" s="306" t="s">
        <v>40</v>
      </c>
      <c r="H17" s="306"/>
      <c r="I17" s="306"/>
      <c r="J17" s="346" t="str">
        <f>IF(AC7="VN",VLOOKUP(G17,$AD$11:$AE$14,2,FALSE),"")</f>
        <v>/ Có cạnh sắc</v>
      </c>
      <c r="K17" s="346"/>
      <c r="L17" s="346"/>
      <c r="M17" s="346"/>
      <c r="N17" s="347"/>
      <c r="O17" s="100"/>
      <c r="P17" s="105"/>
      <c r="Q17" s="105"/>
      <c r="R17" s="102"/>
      <c r="S17" s="102"/>
      <c r="T17" s="102"/>
      <c r="U17" s="102"/>
      <c r="V17" s="102"/>
      <c r="W17" s="102"/>
      <c r="X17" s="102"/>
      <c r="Y17" s="102"/>
      <c r="Z17" s="104"/>
      <c r="AA17" s="104"/>
      <c r="AB17" s="11"/>
      <c r="AD17" s="13" t="s">
        <v>15</v>
      </c>
      <c r="AE17" s="13">
        <v>213.36</v>
      </c>
      <c r="AF17" s="13">
        <v>2.13</v>
      </c>
      <c r="AG17" s="13">
        <v>11.5</v>
      </c>
      <c r="AH17" s="13">
        <v>1.99</v>
      </c>
      <c r="AI17" s="15" t="s">
        <v>3</v>
      </c>
      <c r="AJ17" s="15">
        <v>1.25</v>
      </c>
      <c r="AY17" s="26">
        <v>10</v>
      </c>
      <c r="AZ17" s="40" t="s">
        <v>70</v>
      </c>
      <c r="BA17" s="40" t="s">
        <v>69</v>
      </c>
    </row>
    <row r="18" spans="2:53" ht="15">
      <c r="B18" s="12"/>
      <c r="C18" s="49"/>
      <c r="D18" s="106"/>
      <c r="E18" s="106"/>
      <c r="F18" s="106"/>
      <c r="G18" s="106"/>
      <c r="H18" s="106"/>
      <c r="I18" s="106"/>
      <c r="J18" s="107" t="str">
        <f>VLOOKUP(17,AY8:$BA$98,1+MATCH($AC$7,$AZ$7:$BA$7,0))</f>
        <v>Chiều rộng nhà / mái</v>
      </c>
      <c r="K18" s="273" t="s">
        <v>131</v>
      </c>
      <c r="L18" s="274"/>
      <c r="M18" s="348">
        <v>30</v>
      </c>
      <c r="N18" s="349"/>
      <c r="O18" s="100"/>
      <c r="P18" s="100"/>
      <c r="Q18" s="100"/>
      <c r="R18" s="102"/>
      <c r="S18" s="102"/>
      <c r="T18" s="102"/>
      <c r="U18" s="102"/>
      <c r="V18" s="102"/>
      <c r="W18" s="102"/>
      <c r="X18" s="102"/>
      <c r="Y18" s="102"/>
      <c r="Z18" s="100"/>
      <c r="AA18" s="100"/>
      <c r="AB18" s="11"/>
      <c r="AD18" s="13" t="s">
        <v>1</v>
      </c>
      <c r="AE18" s="13">
        <v>274.32</v>
      </c>
      <c r="AF18" s="13">
        <v>4.57</v>
      </c>
      <c r="AG18" s="13">
        <v>9.5</v>
      </c>
      <c r="AH18" s="13">
        <v>1.97</v>
      </c>
      <c r="AI18" s="15" t="s">
        <v>4</v>
      </c>
      <c r="AJ18" s="15">
        <v>1.55</v>
      </c>
      <c r="AY18" s="26">
        <v>11</v>
      </c>
      <c r="AZ18" s="42" t="s">
        <v>71</v>
      </c>
      <c r="BA18" s="42" t="s">
        <v>72</v>
      </c>
    </row>
    <row r="19" spans="2:53" ht="15">
      <c r="B19" s="12"/>
      <c r="C19" s="45"/>
      <c r="D19" s="106"/>
      <c r="E19" s="106"/>
      <c r="F19" s="106"/>
      <c r="G19" s="106"/>
      <c r="H19" s="106"/>
      <c r="I19" s="106"/>
      <c r="J19" s="107" t="str">
        <f>VLOOKUP(18,AY8:$BA$98,1+MATCH($AC$7,$AZ$7:$BA$7,0))</f>
        <v>Chiều dài nhà / mái</v>
      </c>
      <c r="K19" s="273" t="s">
        <v>132</v>
      </c>
      <c r="L19" s="274"/>
      <c r="M19" s="304">
        <v>100</v>
      </c>
      <c r="N19" s="305"/>
      <c r="O19" s="100"/>
      <c r="P19" s="102"/>
      <c r="Q19" s="102"/>
      <c r="R19" s="102"/>
      <c r="S19" s="102"/>
      <c r="T19" s="102"/>
      <c r="U19" s="102"/>
      <c r="V19" s="109"/>
      <c r="W19" s="102"/>
      <c r="X19" s="102"/>
      <c r="Y19" s="102"/>
      <c r="Z19" s="102"/>
      <c r="AA19" s="110"/>
      <c r="AB19" s="11"/>
      <c r="AD19" s="13" t="s">
        <v>0</v>
      </c>
      <c r="AE19" s="13">
        <v>365.76</v>
      </c>
      <c r="AF19" s="13">
        <v>9.14</v>
      </c>
      <c r="AG19" s="13">
        <v>7</v>
      </c>
      <c r="AH19" s="13">
        <v>1.98</v>
      </c>
      <c r="AI19" s="15" t="s">
        <v>11</v>
      </c>
      <c r="AJ19" s="15">
        <v>1.85</v>
      </c>
      <c r="AY19" s="26">
        <v>12</v>
      </c>
      <c r="AZ19" s="40" t="s">
        <v>30</v>
      </c>
      <c r="BA19" s="40" t="s">
        <v>73</v>
      </c>
    </row>
    <row r="20" spans="2:53" ht="18">
      <c r="B20" s="12"/>
      <c r="C20" s="46"/>
      <c r="D20" s="111"/>
      <c r="E20" s="111"/>
      <c r="F20" s="111"/>
      <c r="G20" s="111"/>
      <c r="H20" s="111"/>
      <c r="I20" s="111"/>
      <c r="J20" s="107" t="str">
        <f>VLOOKUP(19,AY9:$BA$98,1+MATCH($AC$7,$AZ$7:$BA$7,0))</f>
        <v>Chiều cao nhà</v>
      </c>
      <c r="K20" s="351" t="s">
        <v>162</v>
      </c>
      <c r="L20" s="274"/>
      <c r="M20" s="352">
        <v>11</v>
      </c>
      <c r="N20" s="353"/>
      <c r="O20" s="100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1"/>
      <c r="AY20" s="26">
        <v>13</v>
      </c>
      <c r="AZ20" s="40" t="s">
        <v>32</v>
      </c>
      <c r="BA20" s="40" t="s">
        <v>99</v>
      </c>
    </row>
    <row r="21" spans="2:53" ht="18">
      <c r="B21" s="12"/>
      <c r="C21" s="49"/>
      <c r="D21" s="111"/>
      <c r="E21" s="111"/>
      <c r="F21" s="111"/>
      <c r="G21" s="111"/>
      <c r="H21" s="111"/>
      <c r="I21" s="111"/>
      <c r="J21" s="107" t="str">
        <f>VLOOKUP(20,AY10:$BA$98,1+MATCH($AC$7,$AZ$7:$BA$7,0))</f>
        <v>Chiều cao tường chắn</v>
      </c>
      <c r="K21" s="274" t="s">
        <v>93</v>
      </c>
      <c r="L21" s="274"/>
      <c r="M21" s="271">
        <v>0</v>
      </c>
      <c r="N21" s="272"/>
      <c r="O21" s="100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1"/>
      <c r="AY21" s="26">
        <v>14</v>
      </c>
      <c r="AZ21" s="40" t="s">
        <v>86</v>
      </c>
      <c r="BA21" s="40" t="s">
        <v>87</v>
      </c>
    </row>
    <row r="22" spans="2:53" ht="15">
      <c r="B22" s="12"/>
      <c r="C22" s="49"/>
      <c r="D22" s="111"/>
      <c r="E22" s="111"/>
      <c r="F22" s="111"/>
      <c r="G22" s="111"/>
      <c r="H22" s="111"/>
      <c r="I22" s="111"/>
      <c r="J22" s="108" t="s">
        <v>127</v>
      </c>
      <c r="K22" s="273" t="s">
        <v>128</v>
      </c>
      <c r="L22" s="274"/>
      <c r="M22" s="271">
        <v>3</v>
      </c>
      <c r="N22" s="272"/>
      <c r="O22" s="100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1"/>
      <c r="AY22" s="26">
        <v>15</v>
      </c>
      <c r="AZ22" s="40" t="s">
        <v>34</v>
      </c>
      <c r="BA22" s="40" t="s">
        <v>98</v>
      </c>
    </row>
    <row r="23" spans="2:53" ht="18">
      <c r="B23" s="12"/>
      <c r="C23" s="49"/>
      <c r="D23" s="112" t="s">
        <v>135</v>
      </c>
      <c r="E23" s="315">
        <f>M20-M22</f>
        <v>8</v>
      </c>
      <c r="F23" s="315"/>
      <c r="G23" s="111"/>
      <c r="H23" s="112" t="s">
        <v>133</v>
      </c>
      <c r="I23" s="315">
        <f>M22/M18</f>
        <v>0.1</v>
      </c>
      <c r="J23" s="315"/>
      <c r="K23" s="113"/>
      <c r="L23" s="108" t="s">
        <v>134</v>
      </c>
      <c r="M23" s="313">
        <f>E23/M18</f>
        <v>0.26666666666666666</v>
      </c>
      <c r="N23" s="314"/>
      <c r="O23" s="100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1"/>
      <c r="AY23" s="26">
        <v>16</v>
      </c>
      <c r="AZ23" s="44" t="s">
        <v>35</v>
      </c>
      <c r="BA23" s="44" t="s">
        <v>97</v>
      </c>
    </row>
    <row r="24" spans="2:53" ht="16.5" thickBot="1">
      <c r="B24" s="12"/>
      <c r="C24" s="47"/>
      <c r="D24" s="48"/>
      <c r="E24" s="48"/>
      <c r="F24" s="48"/>
      <c r="G24" s="48"/>
      <c r="H24" s="48"/>
      <c r="I24" s="48"/>
      <c r="J24" s="37" t="str">
        <f>VLOOKUP(23,AY12:$BA$98,1+MATCH($AC$7,$AZ$7:$BA$7,0))</f>
        <v>Hệ số hiệu ứng giật</v>
      </c>
      <c r="K24" s="327" t="s">
        <v>94</v>
      </c>
      <c r="L24" s="327"/>
      <c r="M24" s="321">
        <f>IF(G16="RC building",0.85+M20/2840,0.85+M20/1010)</f>
        <v>0.85387323943661975</v>
      </c>
      <c r="N24" s="322"/>
      <c r="O24" s="100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1"/>
      <c r="AY24" s="26">
        <v>17</v>
      </c>
      <c r="AZ24" s="40" t="s">
        <v>95</v>
      </c>
      <c r="BA24" s="40" t="s">
        <v>96</v>
      </c>
    </row>
    <row r="25" spans="2:53" ht="15">
      <c r="B25" s="12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00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1"/>
      <c r="AD25" s="62" t="s">
        <v>148</v>
      </c>
      <c r="AE25" s="64">
        <f>M23</f>
        <v>0.26666666666666666</v>
      </c>
      <c r="AL25" s="372" t="s">
        <v>114</v>
      </c>
      <c r="AM25" s="373"/>
      <c r="AN25" s="69" t="s">
        <v>149</v>
      </c>
      <c r="AP25" s="372" t="s">
        <v>115</v>
      </c>
      <c r="AQ25" s="373"/>
      <c r="AR25" s="69" t="s">
        <v>149</v>
      </c>
      <c r="AY25" s="26">
        <v>18</v>
      </c>
      <c r="AZ25" s="40" t="s">
        <v>100</v>
      </c>
      <c r="BA25" s="40" t="s">
        <v>101</v>
      </c>
    </row>
    <row r="26" spans="2:53" ht="16.5" thickBot="1">
      <c r="B26" s="12"/>
      <c r="C26" s="323" t="str">
        <f>VLOOKUP(24,AY8:$BA$98,1+MATCH($AC$7,$AZ$7:$BA$7,0))</f>
        <v>DỮ LIỆU CÔNG TRÌNH</v>
      </c>
      <c r="D26" s="324"/>
      <c r="E26" s="324"/>
      <c r="F26" s="324"/>
      <c r="G26" s="324"/>
      <c r="H26" s="324"/>
      <c r="I26" s="324"/>
      <c r="J26" s="324"/>
      <c r="K26" s="324"/>
      <c r="L26" s="324"/>
      <c r="M26" s="324"/>
      <c r="N26" s="325"/>
      <c r="O26" s="100"/>
      <c r="P26" s="380" t="str">
        <f>VLOOKUP(37,AY8:$BA$98,1+MATCH($AC$7,$AZ$7:$BA$7,0))</f>
        <v>Áp lực gió tác dụng lên bề mặt:</v>
      </c>
      <c r="Q26" s="381"/>
      <c r="R26" s="381"/>
      <c r="S26" s="381"/>
      <c r="T26" s="381"/>
      <c r="U26" s="381"/>
      <c r="V26" s="381"/>
      <c r="W26" s="381"/>
      <c r="X26" s="381"/>
      <c r="Y26" s="381"/>
      <c r="Z26" s="381"/>
      <c r="AA26" s="382"/>
      <c r="AB26" s="11"/>
      <c r="AD26" s="72" t="s">
        <v>147</v>
      </c>
      <c r="AE26" s="95">
        <f>I23</f>
        <v>0.1</v>
      </c>
      <c r="AF26" s="61"/>
      <c r="AL26" s="70" t="s">
        <v>150</v>
      </c>
      <c r="AM26" s="26">
        <v>0</v>
      </c>
      <c r="AN26" s="71">
        <f>MAX(1.6*AE26,0.08)</f>
        <v>0.16000000000000003</v>
      </c>
      <c r="AP26" s="70" t="s">
        <v>150</v>
      </c>
      <c r="AQ26" s="26">
        <v>0</v>
      </c>
      <c r="AR26" s="71">
        <f>MAX(1.6*AE26,0.08)</f>
        <v>0.16000000000000003</v>
      </c>
      <c r="AY26" s="26">
        <v>19</v>
      </c>
      <c r="AZ26" s="40" t="s">
        <v>102</v>
      </c>
      <c r="BA26" s="40" t="s">
        <v>103</v>
      </c>
    </row>
    <row r="27" spans="2:53" ht="15.75">
      <c r="B27" s="12"/>
      <c r="C27" s="316" t="str">
        <f>VLOOKUP(25,AY12:$BA$98,1+MATCH($AC$7,$AZ$7:$BA$7,0))</f>
        <v>Vùng</v>
      </c>
      <c r="D27" s="317"/>
      <c r="E27" s="456" t="s">
        <v>2</v>
      </c>
      <c r="F27" s="456"/>
      <c r="G27" s="23"/>
      <c r="H27" s="23"/>
      <c r="I27" s="23" t="str">
        <f>VLOOKUP(26,AY8:$BA$98,1+MATCH($AC$7,$AZ$7:$BA$7,0))</f>
        <v>Địa hình</v>
      </c>
      <c r="J27" s="23"/>
      <c r="K27" s="23"/>
      <c r="L27" s="38"/>
      <c r="M27" s="457" t="s">
        <v>1</v>
      </c>
      <c r="N27" s="458"/>
      <c r="O27" s="100"/>
      <c r="P27" s="383" t="s">
        <v>163</v>
      </c>
      <c r="Q27" s="384"/>
      <c r="R27" s="384"/>
      <c r="S27" s="384"/>
      <c r="T27" s="384"/>
      <c r="U27" s="384"/>
      <c r="V27" s="384"/>
      <c r="W27" s="384"/>
      <c r="X27" s="384"/>
      <c r="Y27" s="384"/>
      <c r="Z27" s="384"/>
      <c r="AA27" s="385"/>
      <c r="AB27" s="11"/>
      <c r="AD27" s="372" t="s">
        <v>146</v>
      </c>
      <c r="AE27" s="373"/>
      <c r="AF27" s="373"/>
      <c r="AG27" s="373"/>
      <c r="AH27" s="93" t="s">
        <v>66</v>
      </c>
      <c r="AI27" s="63" t="s">
        <v>153</v>
      </c>
      <c r="AJ27" s="69" t="s">
        <v>154</v>
      </c>
      <c r="AL27" s="70" t="s">
        <v>150</v>
      </c>
      <c r="AM27" s="26">
        <v>0.5</v>
      </c>
      <c r="AN27" s="71">
        <f>MAX(MIN(-5*AE26-0.7,-0.95),-1.2)</f>
        <v>-1.2</v>
      </c>
      <c r="AP27" s="70" t="s">
        <v>150</v>
      </c>
      <c r="AQ27" s="26">
        <v>0.5</v>
      </c>
      <c r="AR27" s="71">
        <f>MAX((8/3)*AE26-(8/15),0)</f>
        <v>0</v>
      </c>
      <c r="AY27" s="26">
        <v>20</v>
      </c>
      <c r="AZ27" s="42" t="s">
        <v>104</v>
      </c>
      <c r="BA27" s="44" t="s">
        <v>105</v>
      </c>
    </row>
    <row r="28" spans="2:53" ht="18.75" thickBot="1">
      <c r="B28" s="12"/>
      <c r="C28" s="24"/>
      <c r="D28" s="114" t="s">
        <v>41</v>
      </c>
      <c r="E28" s="328">
        <f>VLOOKUP(E27,$AI$15:$AJ$19,2,FALSE)</f>
        <v>0.95</v>
      </c>
      <c r="F28" s="328"/>
      <c r="G28" s="115" t="s">
        <v>14</v>
      </c>
      <c r="H28" s="338" t="s">
        <v>42</v>
      </c>
      <c r="I28" s="338"/>
      <c r="J28" s="328">
        <f>VLOOKUP(M27,$AD$17:$AH$19,2,FALSE)</f>
        <v>274.32</v>
      </c>
      <c r="K28" s="328"/>
      <c r="L28" s="300" t="s">
        <v>43</v>
      </c>
      <c r="M28" s="300"/>
      <c r="N28" s="25">
        <f>VLOOKUP(M27,$AD$17:$AH$19,4,FALSE)</f>
        <v>9.5</v>
      </c>
      <c r="O28" s="100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1"/>
      <c r="AD28" s="65" t="s">
        <v>139</v>
      </c>
      <c r="AE28" s="377" t="s">
        <v>138</v>
      </c>
      <c r="AF28" s="377"/>
      <c r="AG28" s="377"/>
      <c r="AH28" s="39" t="b">
        <f>AE26&lt;0.2</f>
        <v>1</v>
      </c>
      <c r="AI28" s="67">
        <f>AN28</f>
        <v>-0.56533342599868774</v>
      </c>
      <c r="AJ28" s="88">
        <f>AN28</f>
        <v>-0.56533342599868774</v>
      </c>
      <c r="AL28" s="72" t="s">
        <v>150</v>
      </c>
      <c r="AM28" s="73">
        <f>AE25</f>
        <v>0.26666666666666666</v>
      </c>
      <c r="AN28" s="74">
        <f>noisuy1chieu(AM28,AM26:AM27,AN26:AN27)</f>
        <v>-0.56533342599868774</v>
      </c>
      <c r="AP28" s="72" t="s">
        <v>150</v>
      </c>
      <c r="AQ28" s="73">
        <f>AE25</f>
        <v>0.26666666666666666</v>
      </c>
      <c r="AR28" s="74">
        <f>noisuy1chieu(AQ28,AQ26:AQ27,AR26:AR27)</f>
        <v>7.4666664004325867E-2</v>
      </c>
      <c r="AY28" s="26">
        <v>21</v>
      </c>
      <c r="AZ28" s="44" t="s">
        <v>106</v>
      </c>
      <c r="BA28" s="42" t="s">
        <v>107</v>
      </c>
    </row>
    <row r="29" spans="2:53" ht="18.75" thickBot="1">
      <c r="B29" s="12"/>
      <c r="C29" s="24"/>
      <c r="D29" s="114" t="s">
        <v>44</v>
      </c>
      <c r="E29" s="326">
        <f>0.852*E28</f>
        <v>0.8093999999999999</v>
      </c>
      <c r="F29" s="326"/>
      <c r="G29" s="115" t="s">
        <v>14</v>
      </c>
      <c r="H29" s="338" t="s">
        <v>45</v>
      </c>
      <c r="I29" s="338"/>
      <c r="J29" s="328">
        <f>VLOOKUP(M27,$AD$17:$AH$19,3,FALSE)</f>
        <v>4.57</v>
      </c>
      <c r="K29" s="328"/>
      <c r="L29" s="328" t="s">
        <v>46</v>
      </c>
      <c r="M29" s="328"/>
      <c r="N29" s="25">
        <f>VLOOKUP(M27,$AD$17:$AH$19,5,FALSE)</f>
        <v>1.97</v>
      </c>
      <c r="O29" s="100"/>
      <c r="P29" s="266" t="str">
        <f>VLOOKUP(27,AY8:$BA$98,1+MATCH($AC$7,$AZ$7:$BA$7,0))</f>
        <v>HỆ SỐ</v>
      </c>
      <c r="Q29" s="267"/>
      <c r="R29" s="267"/>
      <c r="S29" s="267"/>
      <c r="T29" s="267"/>
      <c r="U29" s="267"/>
      <c r="V29" s="267"/>
      <c r="W29" s="267"/>
      <c r="X29" s="267"/>
      <c r="Y29" s="267"/>
      <c r="Z29" s="267"/>
      <c r="AA29" s="268"/>
      <c r="AB29" s="11"/>
      <c r="AD29" s="65" t="s">
        <v>141</v>
      </c>
      <c r="AE29" s="376" t="s">
        <v>142</v>
      </c>
      <c r="AF29" s="376"/>
      <c r="AG29" s="376"/>
      <c r="AH29" s="39" t="b">
        <f>AND(AE26&gt;=0.2,AE26&lt;=0.3,AE25&lt;0.5)</f>
        <v>0</v>
      </c>
      <c r="AI29" s="67">
        <f>AR28</f>
        <v>7.4666664004325867E-2</v>
      </c>
      <c r="AJ29" s="88">
        <f>AR28</f>
        <v>7.4666664004325867E-2</v>
      </c>
      <c r="AY29" s="26">
        <v>22</v>
      </c>
      <c r="AZ29" s="42" t="s">
        <v>108</v>
      </c>
      <c r="BA29" s="42" t="s">
        <v>109</v>
      </c>
    </row>
    <row r="30" spans="2:53" ht="15.75">
      <c r="B30" s="12"/>
      <c r="C30" s="53"/>
      <c r="D30" s="116"/>
      <c r="E30" s="116"/>
      <c r="F30" s="116"/>
      <c r="G30" s="116"/>
      <c r="H30" s="116"/>
      <c r="I30" s="116"/>
      <c r="J30" s="117" t="str">
        <f>VLOOKUP(32,AY8:$BA$98,1+MATCH($AC$7,$AZ$7:$BA$7,0))</f>
        <v>Chiều cao tham chiếu</v>
      </c>
      <c r="K30" s="116"/>
      <c r="L30" s="117" t="s">
        <v>116</v>
      </c>
      <c r="M30" s="263">
        <f>MAX(IF(G17="With parapets",M20+M21,E23+0.7*M22),J29)</f>
        <v>10.1</v>
      </c>
      <c r="N30" s="333"/>
      <c r="O30" s="100"/>
      <c r="P30" s="275" t="str">
        <f>VLOOKUP(38,AY8:$BA$98,1+MATCH($AC$7,$AZ$7:$BA$7,0))</f>
        <v>Độ hở của tường chắn</v>
      </c>
      <c r="Q30" s="276"/>
      <c r="R30" s="276"/>
      <c r="S30" s="276"/>
      <c r="T30" s="276"/>
      <c r="U30" s="276"/>
      <c r="V30" s="276"/>
      <c r="W30" s="276"/>
      <c r="X30" s="276"/>
      <c r="Y30" s="276"/>
      <c r="Z30" s="259">
        <v>0.05</v>
      </c>
      <c r="AA30" s="260"/>
      <c r="AB30" s="11"/>
      <c r="AD30" s="65" t="s">
        <v>143</v>
      </c>
      <c r="AE30" s="376" t="s">
        <v>140</v>
      </c>
      <c r="AF30" s="376"/>
      <c r="AG30" s="376"/>
      <c r="AH30" s="39" t="b">
        <f>AND(AE26&gt;=0.2,AE26&lt;=0.3,AE25&gt;=0.5)</f>
        <v>0</v>
      </c>
      <c r="AI30" s="67">
        <f>AN31</f>
        <v>-2.1</v>
      </c>
      <c r="AJ30" s="88">
        <f>AN32</f>
        <v>-0.26666666666666666</v>
      </c>
      <c r="AL30" s="374" t="s">
        <v>136</v>
      </c>
      <c r="AM30" s="375"/>
      <c r="AN30" s="75" t="s">
        <v>149</v>
      </c>
      <c r="AP30" s="372" t="s">
        <v>137</v>
      </c>
      <c r="AQ30" s="373"/>
      <c r="AR30" s="69" t="s">
        <v>149</v>
      </c>
      <c r="AY30" s="26">
        <v>23</v>
      </c>
      <c r="AZ30" s="40" t="s">
        <v>110</v>
      </c>
      <c r="BA30" s="40" t="s">
        <v>111</v>
      </c>
    </row>
    <row r="31" spans="2:53" ht="18.75" thickBot="1">
      <c r="B31" s="12"/>
      <c r="C31" s="53"/>
      <c r="D31" s="116"/>
      <c r="E31" s="116"/>
      <c r="F31" s="116"/>
      <c r="G31" s="116"/>
      <c r="H31" s="116"/>
      <c r="I31" s="116"/>
      <c r="J31" s="117" t="str">
        <f>VLOOKUP(33,AY8:$BA$98,1+MATCH($AC$7,$AZ$7:$BA$7,0))</f>
        <v>Hệ số địa hình</v>
      </c>
      <c r="K31" s="116"/>
      <c r="L31" s="117" t="s">
        <v>117</v>
      </c>
      <c r="M31" s="307">
        <f>MIN(2.01*(M30/J28)^(2/N28),N29)</f>
        <v>1.003031965142885</v>
      </c>
      <c r="N31" s="308"/>
      <c r="O31" s="100"/>
      <c r="P31" s="49" t="str">
        <f>VLOOKUP(28,AY8:$BA$98,1+MATCH($AC$7,$AZ$7:$BA$7,0))</f>
        <v>Hệ số khí động áp lực bên trong</v>
      </c>
      <c r="Q31" s="133"/>
      <c r="R31" s="133"/>
      <c r="S31" s="133"/>
      <c r="T31" s="133"/>
      <c r="U31" s="133"/>
      <c r="V31" s="130" t="s">
        <v>112</v>
      </c>
      <c r="W31" s="134" t="str">
        <f>VLOOKUP(29,AY8:$BA$98,1+MATCH($AC$7,$AZ$7:$BA$7,0))</f>
        <v>Trường hợp 1</v>
      </c>
      <c r="X31" s="134"/>
      <c r="Y31" s="134"/>
      <c r="Z31" s="368">
        <f>AE36</f>
        <v>0.2</v>
      </c>
      <c r="AA31" s="369"/>
      <c r="AB31" s="11"/>
      <c r="AD31" s="66" t="s">
        <v>144</v>
      </c>
      <c r="AE31" s="378" t="s">
        <v>145</v>
      </c>
      <c r="AF31" s="378"/>
      <c r="AG31" s="378"/>
      <c r="AH31" s="94" t="b">
        <f>AE26&gt;0.3</f>
        <v>0</v>
      </c>
      <c r="AI31" s="89">
        <f>AR33</f>
        <v>7.4666664004325867E-2</v>
      </c>
      <c r="AJ31" s="90">
        <f>AR33</f>
        <v>7.4666664004325867E-2</v>
      </c>
      <c r="AL31" s="70" t="s">
        <v>152</v>
      </c>
      <c r="AM31" s="26">
        <v>0.5</v>
      </c>
      <c r="AN31" s="96">
        <f>9*AE26-3</f>
        <v>-2.1</v>
      </c>
      <c r="AP31" s="70" t="s">
        <v>150</v>
      </c>
      <c r="AQ31" s="26">
        <v>0</v>
      </c>
      <c r="AR31" s="71">
        <f>MAX(1.6*AE26,0.08)</f>
        <v>0.16000000000000003</v>
      </c>
      <c r="AY31" s="26">
        <v>24</v>
      </c>
      <c r="AZ31" s="40" t="s">
        <v>31</v>
      </c>
      <c r="BA31" s="40" t="s">
        <v>74</v>
      </c>
    </row>
    <row r="32" spans="2:53" ht="18.75" thickBot="1">
      <c r="B32" s="12"/>
      <c r="C32" s="47"/>
      <c r="D32" s="48"/>
      <c r="E32" s="48"/>
      <c r="F32" s="48"/>
      <c r="G32" s="48"/>
      <c r="H32" s="48"/>
      <c r="I32" s="48"/>
      <c r="J32" s="36"/>
      <c r="K32" s="48"/>
      <c r="L32" s="59" t="s">
        <v>129</v>
      </c>
      <c r="M32" s="336">
        <f>E29*M31*M24</f>
        <v>0.69322046690937633</v>
      </c>
      <c r="N32" s="337"/>
      <c r="O32" s="100"/>
      <c r="P32" s="50"/>
      <c r="Q32" s="51"/>
      <c r="R32" s="51"/>
      <c r="S32" s="51"/>
      <c r="T32" s="51"/>
      <c r="U32" s="51"/>
      <c r="V32" s="52" t="s">
        <v>112</v>
      </c>
      <c r="W32" s="55" t="str">
        <f>VLOOKUP(30,AY8:$BA$98,1+MATCH($AC$7,$AZ$7:$BA$7,0))</f>
        <v>Trường hợp 2</v>
      </c>
      <c r="X32" s="55"/>
      <c r="Y32" s="55"/>
      <c r="Z32" s="370">
        <f>AF36</f>
        <v>-0.2</v>
      </c>
      <c r="AA32" s="371"/>
      <c r="AB32" s="11"/>
      <c r="AL32" s="72" t="s">
        <v>151</v>
      </c>
      <c r="AM32" s="68">
        <v>0.5</v>
      </c>
      <c r="AN32" s="74">
        <f>(8/3)*AE26-(8/15)</f>
        <v>-0.26666666666666666</v>
      </c>
      <c r="AP32" s="70" t="s">
        <v>150</v>
      </c>
      <c r="AQ32" s="26">
        <v>0.5</v>
      </c>
      <c r="AR32" s="71">
        <f>MAX((8/3)*AE26-(8/15),0)</f>
        <v>0</v>
      </c>
      <c r="AY32" s="26">
        <v>25</v>
      </c>
      <c r="AZ32" s="40" t="s">
        <v>12</v>
      </c>
      <c r="BA32" s="40" t="s">
        <v>29</v>
      </c>
    </row>
    <row r="33" spans="2:54" ht="16.5" thickBot="1">
      <c r="B33" s="12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00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1"/>
      <c r="AD33" s="261" t="s">
        <v>167</v>
      </c>
      <c r="AE33" s="261"/>
      <c r="AF33" s="261"/>
      <c r="AL33" s="91"/>
      <c r="AM33" s="92"/>
      <c r="AN33" s="97"/>
      <c r="AP33" s="72" t="s">
        <v>150</v>
      </c>
      <c r="AQ33" s="73">
        <f>AE25</f>
        <v>0.26666666666666666</v>
      </c>
      <c r="AR33" s="74">
        <f>noisuy1chieu(AQ33,AQ31:AQ32,AR31:AR32)</f>
        <v>7.4666664004325867E-2</v>
      </c>
      <c r="AY33" s="26">
        <v>26</v>
      </c>
      <c r="AZ33" s="40" t="s">
        <v>33</v>
      </c>
      <c r="BA33" s="40" t="s">
        <v>120</v>
      </c>
    </row>
    <row r="34" spans="2:54" ht="15">
      <c r="B34" s="12"/>
      <c r="C34" s="266" t="s">
        <v>121</v>
      </c>
      <c r="D34" s="267"/>
      <c r="E34" s="267"/>
      <c r="F34" s="267"/>
      <c r="G34" s="267"/>
      <c r="H34" s="267"/>
      <c r="I34" s="267"/>
      <c r="J34" s="268"/>
      <c r="K34" s="1"/>
      <c r="L34" s="1"/>
      <c r="M34" s="102"/>
      <c r="N34" s="102"/>
      <c r="O34" s="100"/>
      <c r="P34" s="266" t="s">
        <v>130</v>
      </c>
      <c r="Q34" s="267"/>
      <c r="R34" s="267"/>
      <c r="S34" s="267"/>
      <c r="T34" s="267"/>
      <c r="U34" s="267"/>
      <c r="V34" s="267"/>
      <c r="W34" s="267"/>
      <c r="X34" s="267"/>
      <c r="Y34" s="268"/>
      <c r="Z34" s="102"/>
      <c r="AA34" s="102"/>
      <c r="AB34" s="11"/>
      <c r="AD34" s="135">
        <v>0.05</v>
      </c>
      <c r="AE34" s="132">
        <v>0.2</v>
      </c>
      <c r="AF34" s="132">
        <v>-0.2</v>
      </c>
      <c r="AY34" s="26">
        <v>27</v>
      </c>
      <c r="AZ34" s="40" t="s">
        <v>37</v>
      </c>
      <c r="BA34" s="40" t="s">
        <v>75</v>
      </c>
    </row>
    <row r="35" spans="2:54" ht="15">
      <c r="B35" s="12"/>
      <c r="C35" s="331" t="str">
        <f>P35</f>
        <v>Vùng</v>
      </c>
      <c r="D35" s="332"/>
      <c r="E35" s="311" t="s">
        <v>15</v>
      </c>
      <c r="F35" s="311"/>
      <c r="G35" s="311" t="s">
        <v>1</v>
      </c>
      <c r="H35" s="311"/>
      <c r="I35" s="311" t="s">
        <v>0</v>
      </c>
      <c r="J35" s="312"/>
      <c r="K35" s="1"/>
      <c r="L35" s="1"/>
      <c r="M35" s="301"/>
      <c r="N35" s="302"/>
      <c r="O35" s="100"/>
      <c r="P35" s="331" t="str">
        <f>VLOOKUP(25,AY12:$BA$98,1+MATCH($AC$7,$AZ$7:$BA$7,0))</f>
        <v>Vùng</v>
      </c>
      <c r="Q35" s="332"/>
      <c r="R35" s="329" t="s">
        <v>25</v>
      </c>
      <c r="S35" s="329"/>
      <c r="T35" s="329" t="s">
        <v>26</v>
      </c>
      <c r="U35" s="329"/>
      <c r="V35" s="329" t="s">
        <v>27</v>
      </c>
      <c r="W35" s="329"/>
      <c r="X35" s="330" t="s">
        <v>5</v>
      </c>
      <c r="Y35" s="312"/>
      <c r="Z35" s="301"/>
      <c r="AA35" s="302"/>
      <c r="AB35" s="11"/>
      <c r="AD35" s="135">
        <v>0.3</v>
      </c>
      <c r="AE35" s="132">
        <v>0.8</v>
      </c>
      <c r="AF35" s="132">
        <v>-0.5</v>
      </c>
      <c r="AY35" s="26">
        <v>28</v>
      </c>
      <c r="AZ35" s="43" t="s">
        <v>76</v>
      </c>
      <c r="BA35" s="40" t="s">
        <v>77</v>
      </c>
    </row>
    <row r="36" spans="2:54" ht="18.75" thickBot="1">
      <c r="B36" s="12"/>
      <c r="C36" s="78" t="s">
        <v>114</v>
      </c>
      <c r="D36" s="79" t="s">
        <v>38</v>
      </c>
      <c r="E36" s="342">
        <f>VLOOKUP(TRUE,$AH$28:$AJ$31,2,FALSE)</f>
        <v>-0.56533342599868774</v>
      </c>
      <c r="F36" s="342"/>
      <c r="G36" s="343">
        <f>MAX(MIN(-I23-0.7,-0.75),-1.2)</f>
        <v>-0.79999999999999993</v>
      </c>
      <c r="H36" s="343"/>
      <c r="I36" s="343">
        <f>MIN(MAX(3 *I23 - 0.7, -0.55), -0.4)</f>
        <v>-0.4</v>
      </c>
      <c r="J36" s="379"/>
      <c r="K36" s="1"/>
      <c r="L36" s="1"/>
      <c r="M36" s="335"/>
      <c r="N36" s="335"/>
      <c r="O36" s="100"/>
      <c r="P36" s="76" t="s">
        <v>114</v>
      </c>
      <c r="Q36" s="106" t="s">
        <v>38</v>
      </c>
      <c r="R36" s="303">
        <f>AF45</f>
        <v>-1.8</v>
      </c>
      <c r="S36" s="303"/>
      <c r="T36" s="270">
        <f>AG45</f>
        <v>-1.2</v>
      </c>
      <c r="U36" s="270"/>
      <c r="V36" s="270">
        <f>AH45</f>
        <v>-0.7</v>
      </c>
      <c r="W36" s="270"/>
      <c r="X36" s="270">
        <v>-0.2</v>
      </c>
      <c r="Y36" s="334"/>
      <c r="Z36" s="335"/>
      <c r="AA36" s="335"/>
      <c r="AB36" s="11"/>
      <c r="AD36" s="136">
        <f>Z30</f>
        <v>0.05</v>
      </c>
      <c r="AE36" s="137">
        <f>MIN(MAX(2.4*AD36+0.08,AE34),AE35)</f>
        <v>0.2</v>
      </c>
      <c r="AF36" s="137">
        <f>MIN(MAX(-1.2*AD36-0.14,AF35),AF34)</f>
        <v>-0.2</v>
      </c>
      <c r="AY36" s="26">
        <v>29</v>
      </c>
      <c r="AZ36" s="40" t="s">
        <v>50</v>
      </c>
      <c r="BA36" s="40" t="s">
        <v>78</v>
      </c>
    </row>
    <row r="37" spans="2:54" ht="18">
      <c r="B37" s="12"/>
      <c r="C37" s="80" t="s">
        <v>115</v>
      </c>
      <c r="D37" s="81" t="s">
        <v>38</v>
      </c>
      <c r="E37" s="281">
        <f>VLOOKUP(TRUE,$AH$28:$AJ$31,3,FALSE)</f>
        <v>-0.56533342599868774</v>
      </c>
      <c r="F37" s="281"/>
      <c r="G37" s="391">
        <f>G36</f>
        <v>-0.79999999999999993</v>
      </c>
      <c r="H37" s="391"/>
      <c r="I37" s="391">
        <f>I36</f>
        <v>-0.4</v>
      </c>
      <c r="J37" s="392"/>
      <c r="K37" s="1"/>
      <c r="L37" s="1"/>
      <c r="M37" s="1"/>
      <c r="N37" s="1"/>
      <c r="O37" s="100"/>
      <c r="P37" s="76" t="s">
        <v>115</v>
      </c>
      <c r="Q37" s="106" t="s">
        <v>38</v>
      </c>
      <c r="R37" s="262">
        <f>R36</f>
        <v>-1.8</v>
      </c>
      <c r="S37" s="263"/>
      <c r="T37" s="262">
        <f>T36</f>
        <v>-1.2</v>
      </c>
      <c r="U37" s="263"/>
      <c r="V37" s="262">
        <f>V36</f>
        <v>-0.7</v>
      </c>
      <c r="W37" s="263"/>
      <c r="X37" s="262">
        <v>0.2</v>
      </c>
      <c r="Y37" s="265"/>
      <c r="Z37" s="278"/>
      <c r="AA37" s="278"/>
      <c r="AB37" s="11"/>
      <c r="AD37" s="287" t="s">
        <v>22</v>
      </c>
      <c r="AE37" s="288"/>
      <c r="AF37" s="291" t="s">
        <v>29</v>
      </c>
      <c r="AG37" s="292"/>
      <c r="AH37" s="292"/>
      <c r="AI37" s="292"/>
      <c r="AY37" s="26">
        <v>30</v>
      </c>
      <c r="AZ37" s="40" t="s">
        <v>51</v>
      </c>
      <c r="BA37" s="40" t="s">
        <v>79</v>
      </c>
    </row>
    <row r="38" spans="2:54" ht="18.75" thickBot="1">
      <c r="B38" s="12"/>
      <c r="C38" s="76" t="s">
        <v>114</v>
      </c>
      <c r="D38" s="118" t="s">
        <v>49</v>
      </c>
      <c r="E38" s="303">
        <f>$M$32*E36</f>
        <v>-0.39190070153028767</v>
      </c>
      <c r="F38" s="303"/>
      <c r="G38" s="279">
        <f t="shared" ref="G38" si="0">$M$32*G36</f>
        <v>-0.554576373527501</v>
      </c>
      <c r="H38" s="279"/>
      <c r="I38" s="279">
        <f t="shared" ref="I38" si="1">$M$32*I36</f>
        <v>-0.27728818676375055</v>
      </c>
      <c r="J38" s="280"/>
      <c r="K38" s="1"/>
      <c r="L38" s="1"/>
      <c r="M38" s="278"/>
      <c r="N38" s="278"/>
      <c r="O38" s="102"/>
      <c r="P38" s="126" t="s">
        <v>114</v>
      </c>
      <c r="Q38" s="127" t="s">
        <v>49</v>
      </c>
      <c r="R38" s="279">
        <f>$M$32*R36</f>
        <v>-1.2477968404368773</v>
      </c>
      <c r="S38" s="279"/>
      <c r="T38" s="279">
        <f>$M$32*T36</f>
        <v>-0.83186456029125155</v>
      </c>
      <c r="U38" s="279"/>
      <c r="V38" s="279">
        <f>$M$32*V36</f>
        <v>-0.48525432683656339</v>
      </c>
      <c r="W38" s="279"/>
      <c r="X38" s="279">
        <f>$M$32*X36</f>
        <v>-0.13864409338187528</v>
      </c>
      <c r="Y38" s="280"/>
      <c r="Z38" s="278"/>
      <c r="AA38" s="278"/>
      <c r="AB38" s="11"/>
      <c r="AD38" s="289"/>
      <c r="AE38" s="290"/>
      <c r="AF38" s="8" t="s">
        <v>25</v>
      </c>
      <c r="AG38" s="8" t="s">
        <v>26</v>
      </c>
      <c r="AH38" s="8" t="s">
        <v>27</v>
      </c>
      <c r="AI38" s="8" t="s">
        <v>28</v>
      </c>
      <c r="AY38" s="26">
        <v>31</v>
      </c>
      <c r="AZ38" s="40" t="s">
        <v>113</v>
      </c>
      <c r="BA38" s="40" t="s">
        <v>118</v>
      </c>
    </row>
    <row r="39" spans="2:54" ht="18.75" thickBot="1">
      <c r="B39" s="12"/>
      <c r="C39" s="76" t="s">
        <v>115</v>
      </c>
      <c r="D39" s="118" t="s">
        <v>49</v>
      </c>
      <c r="E39" s="303">
        <f>$M$32*E37</f>
        <v>-0.39190070153028767</v>
      </c>
      <c r="F39" s="303"/>
      <c r="G39" s="281">
        <f t="shared" ref="G39" si="2">$M$32*G37</f>
        <v>-0.554576373527501</v>
      </c>
      <c r="H39" s="281"/>
      <c r="I39" s="281">
        <f t="shared" ref="I39" si="3">$M$32*I37</f>
        <v>-0.27728818676375055</v>
      </c>
      <c r="J39" s="282"/>
      <c r="K39" s="1"/>
      <c r="L39" s="1"/>
      <c r="M39" s="1"/>
      <c r="N39" s="1"/>
      <c r="O39" s="102"/>
      <c r="P39" s="128" t="s">
        <v>115</v>
      </c>
      <c r="Q39" s="129" t="s">
        <v>49</v>
      </c>
      <c r="R39" s="264">
        <f>$M$32*R37</f>
        <v>-1.2477968404368773</v>
      </c>
      <c r="S39" s="264"/>
      <c r="T39" s="264">
        <f t="shared" ref="T39" si="4">$M$32*T37</f>
        <v>-0.83186456029125155</v>
      </c>
      <c r="U39" s="264"/>
      <c r="V39" s="264">
        <f t="shared" ref="V39" si="5">$M$32*V37</f>
        <v>-0.48525432683656339</v>
      </c>
      <c r="W39" s="264"/>
      <c r="X39" s="264">
        <f t="shared" ref="X39" si="6">$M$32*X37</f>
        <v>0.13864409338187528</v>
      </c>
      <c r="Y39" s="269"/>
      <c r="Z39" s="278"/>
      <c r="AA39" s="278"/>
      <c r="AB39" s="11"/>
      <c r="AD39" s="293" t="s">
        <v>23</v>
      </c>
      <c r="AE39" s="294"/>
      <c r="AF39" s="7">
        <v>-1.8</v>
      </c>
      <c r="AG39" s="7">
        <v>-1.2</v>
      </c>
      <c r="AH39" s="7">
        <v>-0.7</v>
      </c>
      <c r="AI39" s="7">
        <v>0.2</v>
      </c>
      <c r="AY39" s="26">
        <v>32</v>
      </c>
      <c r="AZ39" s="40" t="s">
        <v>80</v>
      </c>
      <c r="BA39" s="40" t="s">
        <v>81</v>
      </c>
    </row>
    <row r="40" spans="2:54" ht="18">
      <c r="B40" s="12"/>
      <c r="C40" s="82" t="str">
        <f t="shared" ref="C40:C45" si="7">P40</f>
        <v>TH1</v>
      </c>
      <c r="D40" s="83" t="s">
        <v>47</v>
      </c>
      <c r="E40" s="279">
        <f>$Z$31</f>
        <v>0.2</v>
      </c>
      <c r="F40" s="279"/>
      <c r="G40" s="279">
        <f>$Z$31</f>
        <v>0.2</v>
      </c>
      <c r="H40" s="279"/>
      <c r="I40" s="279">
        <f>$Z$31</f>
        <v>0.2</v>
      </c>
      <c r="J40" s="280"/>
      <c r="K40" s="1"/>
      <c r="L40" s="1"/>
      <c r="M40" s="278"/>
      <c r="N40" s="278"/>
      <c r="O40" s="102"/>
      <c r="P40" s="28" t="str">
        <f>VLOOKUP(35,AY12:$BA$98,1+MATCH($AC$7,$AZ$7:$BA$7,0))</f>
        <v>TH1</v>
      </c>
      <c r="Q40" s="27" t="s">
        <v>47</v>
      </c>
      <c r="R40" s="341">
        <f>$Z$31</f>
        <v>0.2</v>
      </c>
      <c r="S40" s="341"/>
      <c r="T40" s="341">
        <f>$Z$31</f>
        <v>0.2</v>
      </c>
      <c r="U40" s="341"/>
      <c r="V40" s="341">
        <f>$Z$31</f>
        <v>0.2</v>
      </c>
      <c r="W40" s="341"/>
      <c r="X40" s="341">
        <f>$Z$31</f>
        <v>0.2</v>
      </c>
      <c r="Y40" s="393"/>
      <c r="Z40" s="278"/>
      <c r="AA40" s="278"/>
      <c r="AB40" s="11"/>
      <c r="AC40" s="58"/>
      <c r="AD40" s="295" t="s">
        <v>24</v>
      </c>
      <c r="AE40" s="5">
        <v>2.5000000000000001E-2</v>
      </c>
      <c r="AF40" s="6">
        <v>-1.6</v>
      </c>
      <c r="AG40" s="6">
        <v>-1.1000000000000001</v>
      </c>
      <c r="AH40" s="6">
        <v>-0.7</v>
      </c>
      <c r="AI40" s="6">
        <v>0.2</v>
      </c>
      <c r="AY40" s="26">
        <v>33</v>
      </c>
      <c r="AZ40" s="40" t="s">
        <v>82</v>
      </c>
      <c r="BA40" s="40" t="s">
        <v>83</v>
      </c>
    </row>
    <row r="41" spans="2:54" ht="18">
      <c r="B41" s="12"/>
      <c r="C41" s="84" t="str">
        <f t="shared" si="7"/>
        <v>TH2</v>
      </c>
      <c r="D41" s="85" t="s">
        <v>47</v>
      </c>
      <c r="E41" s="281">
        <f>$Z$32</f>
        <v>-0.2</v>
      </c>
      <c r="F41" s="281"/>
      <c r="G41" s="281">
        <f>$Z$32</f>
        <v>-0.2</v>
      </c>
      <c r="H41" s="281"/>
      <c r="I41" s="281">
        <f>$Z$32</f>
        <v>-0.2</v>
      </c>
      <c r="J41" s="282"/>
      <c r="K41" s="1"/>
      <c r="L41" s="1"/>
      <c r="M41" s="278"/>
      <c r="N41" s="278"/>
      <c r="O41" s="102"/>
      <c r="P41" s="30" t="str">
        <f>VLOOKUP(36,AY12:$BA$98,1+MATCH($AC$7,$AZ$7:$BA$7,0))</f>
        <v>TH2</v>
      </c>
      <c r="Q41" s="31" t="s">
        <v>47</v>
      </c>
      <c r="R41" s="264">
        <f>$Z$32</f>
        <v>-0.2</v>
      </c>
      <c r="S41" s="264"/>
      <c r="T41" s="264">
        <f>$Z$32</f>
        <v>-0.2</v>
      </c>
      <c r="U41" s="264"/>
      <c r="V41" s="264">
        <f>$Z$32</f>
        <v>-0.2</v>
      </c>
      <c r="W41" s="264"/>
      <c r="X41" s="264">
        <f>$Z$32</f>
        <v>-0.2</v>
      </c>
      <c r="Y41" s="269"/>
      <c r="Z41" s="278"/>
      <c r="AA41" s="278"/>
      <c r="AB41" s="11"/>
      <c r="AC41" s="58"/>
      <c r="AD41" s="296"/>
      <c r="AE41" s="4">
        <v>0.05</v>
      </c>
      <c r="AF41" s="2">
        <v>-1.4</v>
      </c>
      <c r="AG41" s="2">
        <v>-0.9</v>
      </c>
      <c r="AH41" s="2">
        <v>-0.7</v>
      </c>
      <c r="AI41" s="2">
        <v>0.2</v>
      </c>
      <c r="AY41" s="26">
        <v>34</v>
      </c>
      <c r="AZ41" s="40" t="s">
        <v>84</v>
      </c>
      <c r="BA41" s="40" t="s">
        <v>85</v>
      </c>
    </row>
    <row r="42" spans="2:54" ht="17.25" customHeight="1" thickBot="1">
      <c r="B42" s="12"/>
      <c r="C42" s="82" t="str">
        <f t="shared" si="7"/>
        <v>TH1</v>
      </c>
      <c r="D42" s="86" t="s">
        <v>52</v>
      </c>
      <c r="E42" s="279">
        <f>$M$32*E40</f>
        <v>0.13864409338187528</v>
      </c>
      <c r="F42" s="279"/>
      <c r="G42" s="279">
        <f t="shared" ref="G42" si="8">$M$32*G40</f>
        <v>0.13864409338187528</v>
      </c>
      <c r="H42" s="279"/>
      <c r="I42" s="279">
        <f t="shared" ref="I42" si="9">$M$32*I40</f>
        <v>0.13864409338187528</v>
      </c>
      <c r="J42" s="280"/>
      <c r="K42" s="1"/>
      <c r="L42" s="1"/>
      <c r="M42" s="278"/>
      <c r="N42" s="278"/>
      <c r="O42" s="102"/>
      <c r="P42" s="28" t="str">
        <f>VLOOKUP(35,AY12:$BA$98,1+MATCH($AC$7,$AZ$7:$BA$7,0))</f>
        <v>TH1</v>
      </c>
      <c r="Q42" s="29" t="s">
        <v>52</v>
      </c>
      <c r="R42" s="341">
        <f>$M$32*R40</f>
        <v>0.13864409338187528</v>
      </c>
      <c r="S42" s="341"/>
      <c r="T42" s="341">
        <f>$M$32*T40</f>
        <v>0.13864409338187528</v>
      </c>
      <c r="U42" s="341"/>
      <c r="V42" s="341">
        <f>$M$32*V40</f>
        <v>0.13864409338187528</v>
      </c>
      <c r="W42" s="341"/>
      <c r="X42" s="341">
        <f>$M$32*X40</f>
        <v>0.13864409338187528</v>
      </c>
      <c r="Y42" s="393"/>
      <c r="Z42" s="283"/>
      <c r="AA42" s="283"/>
      <c r="AB42" s="11"/>
      <c r="AC42" s="58"/>
      <c r="AD42" s="297"/>
      <c r="AE42" s="4">
        <v>0.1</v>
      </c>
      <c r="AF42" s="2">
        <v>-1.2</v>
      </c>
      <c r="AG42" s="2">
        <v>-0.8</v>
      </c>
      <c r="AH42" s="2">
        <v>-0.7</v>
      </c>
      <c r="AI42" s="2">
        <v>0.2</v>
      </c>
      <c r="AY42" s="26">
        <v>35</v>
      </c>
      <c r="AZ42" s="40" t="s">
        <v>50</v>
      </c>
      <c r="BA42" s="40" t="s">
        <v>114</v>
      </c>
    </row>
    <row r="43" spans="2:54" ht="18">
      <c r="B43" s="119"/>
      <c r="C43" s="84" t="str">
        <f t="shared" si="7"/>
        <v>TH2</v>
      </c>
      <c r="D43" s="87" t="s">
        <v>52</v>
      </c>
      <c r="E43" s="281">
        <f>$M$32*E41</f>
        <v>-0.13864409338187528</v>
      </c>
      <c r="F43" s="281"/>
      <c r="G43" s="281">
        <f t="shared" ref="G43" si="10">$M$32*G41</f>
        <v>-0.13864409338187528</v>
      </c>
      <c r="H43" s="281"/>
      <c r="I43" s="281">
        <f t="shared" ref="I43" si="11">$M$32*I41</f>
        <v>-0.13864409338187528</v>
      </c>
      <c r="J43" s="282"/>
      <c r="K43" s="1"/>
      <c r="L43" s="1"/>
      <c r="M43" s="278"/>
      <c r="N43" s="278"/>
      <c r="O43" s="102"/>
      <c r="P43" s="30" t="str">
        <f>VLOOKUP(36,AY12:$BA$98,1+MATCH($AC$7,$AZ$7:$BA$7,0))</f>
        <v>TH2</v>
      </c>
      <c r="Q43" s="32" t="s">
        <v>52</v>
      </c>
      <c r="R43" s="264">
        <f>$M$32*R41</f>
        <v>-0.13864409338187528</v>
      </c>
      <c r="S43" s="264"/>
      <c r="T43" s="264">
        <f>$M$32*T41</f>
        <v>-0.13864409338187528</v>
      </c>
      <c r="U43" s="264"/>
      <c r="V43" s="264">
        <f>$M$32*V41</f>
        <v>-0.13864409338187528</v>
      </c>
      <c r="W43" s="264"/>
      <c r="X43" s="264">
        <f>$M$32*X41</f>
        <v>-0.13864409338187528</v>
      </c>
      <c r="Y43" s="269"/>
      <c r="Z43" s="284"/>
      <c r="AA43" s="284"/>
      <c r="AB43" s="11"/>
      <c r="AC43" s="58"/>
      <c r="AD43" s="18" t="s">
        <v>40</v>
      </c>
      <c r="AE43" s="19"/>
      <c r="AF43" s="20">
        <f>AF39</f>
        <v>-1.8</v>
      </c>
      <c r="AG43" s="20">
        <f>AG39</f>
        <v>-1.2</v>
      </c>
      <c r="AH43" s="20">
        <f>AH39</f>
        <v>-0.7</v>
      </c>
      <c r="AI43" s="20">
        <f>AI39</f>
        <v>0.2</v>
      </c>
      <c r="AY43" s="26">
        <v>36</v>
      </c>
      <c r="AZ43" s="40" t="s">
        <v>51</v>
      </c>
      <c r="BA43" s="40" t="s">
        <v>115</v>
      </c>
    </row>
    <row r="44" spans="2:54" ht="18">
      <c r="B44" s="12"/>
      <c r="C44" s="77" t="str">
        <f t="shared" si="7"/>
        <v>TH1</v>
      </c>
      <c r="D44" s="121" t="s">
        <v>53</v>
      </c>
      <c r="E44" s="339">
        <f>E38-E42</f>
        <v>-0.53054479491216289</v>
      </c>
      <c r="F44" s="339"/>
      <c r="G44" s="339">
        <f t="shared" ref="G44" si="12">G38-G42</f>
        <v>-0.69322046690937622</v>
      </c>
      <c r="H44" s="339"/>
      <c r="I44" s="339">
        <f t="shared" ref="I44" si="13">I38-I42</f>
        <v>-0.41593228014562583</v>
      </c>
      <c r="J44" s="340"/>
      <c r="K44" s="1"/>
      <c r="L44" s="1"/>
      <c r="M44" s="320"/>
      <c r="N44" s="320"/>
      <c r="O44" s="102"/>
      <c r="P44" s="28" t="str">
        <f>VLOOKUP(35,AY12:$BA$98,1+MATCH($AC$7,$AZ$7:$BA$7,0))</f>
        <v>TH1</v>
      </c>
      <c r="Q44" s="29" t="s">
        <v>53</v>
      </c>
      <c r="R44" s="318">
        <f>R38-R42</f>
        <v>-1.3864409338187527</v>
      </c>
      <c r="S44" s="318"/>
      <c r="T44" s="318">
        <f>T38-T42</f>
        <v>-0.97050865367312689</v>
      </c>
      <c r="U44" s="318"/>
      <c r="V44" s="318">
        <f>V38-V42</f>
        <v>-0.62389842021843867</v>
      </c>
      <c r="W44" s="318"/>
      <c r="X44" s="318">
        <f>X38-X42</f>
        <v>-0.27728818676375055</v>
      </c>
      <c r="Y44" s="319"/>
      <c r="Z44" s="120"/>
      <c r="AA44" s="120"/>
      <c r="AB44" s="11"/>
      <c r="AC44" s="58"/>
      <c r="AD44" s="21" t="s">
        <v>36</v>
      </c>
      <c r="AE44" s="15">
        <f>M21/M20</f>
        <v>0</v>
      </c>
      <c r="AF44" s="17" cm="1">
        <f t="array" ref="AF44">noisuy1chieu($AE$44,$AE$40:$AE$42,$AF$40:$AF$42)</f>
        <v>-1.6</v>
      </c>
      <c r="AG44" s="17" cm="1">
        <f t="array" ref="AG44">noisuy1chieu($AE$44,$AE$40:$AE$42,$AG$40:$AG$42)</f>
        <v>-1.1000000000000001</v>
      </c>
      <c r="AH44" s="17" cm="1">
        <f t="array" ref="AH44">noisuy1chieu($AE$44,$AE$40:$AE$42,$AH$40:$AH$42)</f>
        <v>-0.7</v>
      </c>
      <c r="AI44" s="17" cm="1">
        <f t="array" ref="AI44">noisuy1chieu($AE$44,$AE$40:$AE$42,$AI$40:$AI$42)</f>
        <v>0.2</v>
      </c>
      <c r="AY44" s="26">
        <v>37</v>
      </c>
      <c r="AZ44" s="44" t="s">
        <v>21</v>
      </c>
      <c r="BA44" s="44" t="s">
        <v>119</v>
      </c>
    </row>
    <row r="45" spans="2:54" ht="18.75" thickBot="1">
      <c r="B45" s="122"/>
      <c r="C45" s="33" t="str">
        <f t="shared" si="7"/>
        <v>TH2</v>
      </c>
      <c r="D45" s="34" t="s">
        <v>53</v>
      </c>
      <c r="E45" s="257">
        <f>E39-E43</f>
        <v>-0.25325660814841239</v>
      </c>
      <c r="F45" s="257"/>
      <c r="G45" s="257">
        <f t="shared" ref="G45" si="14">G39-G43</f>
        <v>-0.41593228014562572</v>
      </c>
      <c r="H45" s="257"/>
      <c r="I45" s="257">
        <f t="shared" ref="I45" si="15">I39-I43</f>
        <v>-0.13864409338187528</v>
      </c>
      <c r="J45" s="258"/>
      <c r="K45" s="178"/>
      <c r="L45" s="179"/>
      <c r="M45" s="277"/>
      <c r="N45" s="277"/>
      <c r="O45" s="98"/>
      <c r="P45" s="33" t="str">
        <f>VLOOKUP(36,AY12:$BA$98,1+MATCH($AC$7,$AZ$7:$BA$7,0))</f>
        <v>TH2</v>
      </c>
      <c r="Q45" s="34" t="s">
        <v>53</v>
      </c>
      <c r="R45" s="257">
        <f>R38-R43</f>
        <v>-1.109152747055002</v>
      </c>
      <c r="S45" s="257"/>
      <c r="T45" s="257">
        <f>T38-T43</f>
        <v>-0.69322046690937622</v>
      </c>
      <c r="U45" s="257"/>
      <c r="V45" s="257">
        <f>V38-V43</f>
        <v>-0.34661023345468811</v>
      </c>
      <c r="W45" s="257"/>
      <c r="X45" s="257">
        <f>X39-X43</f>
        <v>0.27728818676375055</v>
      </c>
      <c r="Y45" s="258"/>
      <c r="Z45" s="60"/>
      <c r="AA45" s="60"/>
      <c r="AB45" s="123"/>
      <c r="AC45" s="58"/>
      <c r="AD45" s="298" t="str">
        <f>G17</f>
        <v>Sharp eaves</v>
      </c>
      <c r="AE45" s="299"/>
      <c r="AF45" s="22">
        <f>INDEX(AF43:AF98,MATCH($AD$45,$AD$43:$AD$98,0))</f>
        <v>-1.8</v>
      </c>
      <c r="AG45" s="22">
        <f>INDEX(AG43:AG98,MATCH($AD$45,$AD$43:$AD$98,0))</f>
        <v>-1.2</v>
      </c>
      <c r="AH45" s="22">
        <f>INDEX(AH43:AH98,MATCH($AD$45,$AD$43:$AD$98,0))</f>
        <v>-0.7</v>
      </c>
      <c r="AI45" s="22">
        <f>INDEX(AI43:AI98,MATCH($AD$45,$AD$43:$AD$98,0))</f>
        <v>0.2</v>
      </c>
      <c r="AY45" s="26">
        <v>38</v>
      </c>
      <c r="AZ45" s="131" t="s">
        <v>164</v>
      </c>
      <c r="BA45" s="131" t="s">
        <v>165</v>
      </c>
      <c r="BB45" s="131" t="s">
        <v>166</v>
      </c>
    </row>
    <row r="46" spans="2:54" ht="15.75" customHeight="1">
      <c r="B46" s="12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24"/>
      <c r="U46" s="124"/>
      <c r="V46" s="124"/>
      <c r="W46" s="124"/>
      <c r="X46" s="124"/>
      <c r="Y46" s="124"/>
      <c r="Z46" s="125"/>
      <c r="AA46" s="125"/>
      <c r="AB46" s="11"/>
      <c r="AC46" s="58"/>
      <c r="AJ46" s="58"/>
      <c r="AY46" s="26">
        <v>39</v>
      </c>
    </row>
    <row r="47" spans="2:54" ht="15">
      <c r="B47" s="12"/>
      <c r="C47" s="254" t="s">
        <v>246</v>
      </c>
      <c r="D47" s="255"/>
      <c r="E47" s="255"/>
      <c r="F47" s="255"/>
      <c r="G47" s="255"/>
      <c r="H47" s="255"/>
      <c r="I47" s="255"/>
      <c r="J47" s="255"/>
      <c r="K47" s="255"/>
      <c r="L47" s="255"/>
      <c r="M47" s="255"/>
      <c r="N47" s="255"/>
      <c r="O47" s="255"/>
      <c r="P47" s="255"/>
      <c r="Q47" s="255"/>
      <c r="R47" s="255"/>
      <c r="S47" s="255"/>
      <c r="T47" s="255"/>
      <c r="U47" s="255"/>
      <c r="V47" s="255"/>
      <c r="W47" s="255"/>
      <c r="X47" s="255"/>
      <c r="Y47" s="255"/>
      <c r="Z47" s="255"/>
      <c r="AA47" s="256"/>
      <c r="AB47" s="11"/>
      <c r="AC47" s="58"/>
      <c r="AJ47" s="58"/>
      <c r="AY47" s="26">
        <v>40</v>
      </c>
    </row>
    <row r="48" spans="2:54" ht="15">
      <c r="B48" s="12"/>
      <c r="C48" s="180"/>
      <c r="D48" s="181"/>
      <c r="E48" s="181"/>
      <c r="F48" s="182"/>
      <c r="G48" s="182"/>
      <c r="H48" s="182"/>
      <c r="I48" s="182"/>
      <c r="J48" s="182"/>
      <c r="K48" s="182"/>
      <c r="L48" s="182"/>
      <c r="M48" s="182"/>
      <c r="N48" s="182"/>
      <c r="O48" s="181"/>
      <c r="P48" s="181"/>
      <c r="Q48" s="181"/>
      <c r="R48" s="181"/>
      <c r="S48" s="181"/>
      <c r="T48" s="181"/>
      <c r="U48" s="181"/>
      <c r="V48" s="181"/>
      <c r="W48" s="181"/>
      <c r="X48" s="181"/>
      <c r="Y48" s="181"/>
      <c r="Z48" s="181"/>
      <c r="AA48" s="183"/>
      <c r="AB48" s="11"/>
      <c r="AC48" s="58"/>
      <c r="AJ48" s="58"/>
      <c r="AY48" s="26">
        <v>41</v>
      </c>
    </row>
    <row r="49" spans="2:51" ht="15.75" thickBot="1">
      <c r="B49" s="12"/>
      <c r="C49" s="184"/>
      <c r="D49" s="185"/>
      <c r="E49" s="185"/>
      <c r="F49" s="185"/>
      <c r="G49" s="185"/>
      <c r="H49" s="185"/>
      <c r="I49" s="185"/>
      <c r="J49" s="185"/>
      <c r="K49" s="185"/>
      <c r="L49" s="185"/>
      <c r="M49" s="185"/>
      <c r="N49" s="185"/>
      <c r="O49" s="185"/>
      <c r="P49" s="185"/>
      <c r="Q49" s="185"/>
      <c r="R49" s="185"/>
      <c r="S49" s="185"/>
      <c r="T49" s="185"/>
      <c r="U49" s="185"/>
      <c r="V49" s="185"/>
      <c r="W49" s="185"/>
      <c r="X49" s="185"/>
      <c r="Y49" s="185"/>
      <c r="Z49" s="185"/>
      <c r="AA49" s="183"/>
      <c r="AB49" s="11"/>
      <c r="AC49" s="58"/>
      <c r="AJ49" s="58"/>
      <c r="AY49" s="26"/>
    </row>
    <row r="50" spans="2:51" ht="15">
      <c r="B50" s="12"/>
      <c r="C50" s="184"/>
      <c r="D50" s="186"/>
      <c r="E50" s="187"/>
      <c r="F50" s="187"/>
      <c r="G50" s="188"/>
      <c r="H50" s="221"/>
      <c r="I50" s="189"/>
      <c r="J50" s="190"/>
      <c r="K50" s="187"/>
      <c r="L50" s="187"/>
      <c r="M50" s="191"/>
      <c r="N50" s="185"/>
      <c r="O50" s="185"/>
      <c r="P50" s="186"/>
      <c r="Q50" s="187"/>
      <c r="R50" s="187"/>
      <c r="S50" s="188"/>
      <c r="T50" s="221"/>
      <c r="U50" s="189"/>
      <c r="V50" s="190"/>
      <c r="W50" s="187"/>
      <c r="X50" s="187"/>
      <c r="Y50" s="191"/>
      <c r="Z50" s="182"/>
      <c r="AA50" s="183"/>
      <c r="AB50" s="11"/>
      <c r="AC50" s="58"/>
      <c r="AJ50" s="58"/>
      <c r="AY50" s="26"/>
    </row>
    <row r="51" spans="2:51" ht="15">
      <c r="B51" s="12"/>
      <c r="C51" s="184"/>
      <c r="D51" s="197"/>
      <c r="E51" s="193"/>
      <c r="F51" s="193"/>
      <c r="G51" s="192"/>
      <c r="H51" s="222"/>
      <c r="I51" s="194"/>
      <c r="J51" s="195"/>
      <c r="K51" s="193"/>
      <c r="L51" s="193"/>
      <c r="M51" s="196"/>
      <c r="N51" s="185"/>
      <c r="O51" s="185"/>
      <c r="P51" s="197"/>
      <c r="Q51" s="193"/>
      <c r="R51" s="193"/>
      <c r="S51" s="192"/>
      <c r="T51" s="222"/>
      <c r="U51" s="194"/>
      <c r="V51" s="195"/>
      <c r="W51" s="193"/>
      <c r="X51" s="193"/>
      <c r="Y51" s="196"/>
      <c r="Z51" s="182"/>
      <c r="AA51" s="183"/>
      <c r="AB51" s="11"/>
      <c r="AC51" s="58"/>
      <c r="AJ51" s="58"/>
      <c r="AY51" s="26"/>
    </row>
    <row r="52" spans="2:51" ht="15">
      <c r="B52" s="12"/>
      <c r="C52" s="184"/>
      <c r="D52" s="197"/>
      <c r="E52" s="193"/>
      <c r="F52" s="193"/>
      <c r="G52" s="192"/>
      <c r="H52" s="222"/>
      <c r="I52" s="194"/>
      <c r="J52" s="195"/>
      <c r="K52" s="193"/>
      <c r="L52" s="193"/>
      <c r="M52" s="196"/>
      <c r="N52" s="185"/>
      <c r="O52" s="185"/>
      <c r="P52" s="197"/>
      <c r="Q52" s="193"/>
      <c r="R52" s="193"/>
      <c r="S52" s="192"/>
      <c r="T52" s="222"/>
      <c r="U52" s="194"/>
      <c r="V52" s="195"/>
      <c r="W52" s="193"/>
      <c r="X52" s="193"/>
      <c r="Y52" s="196"/>
      <c r="Z52" s="182"/>
      <c r="AA52" s="183"/>
      <c r="AB52" s="11"/>
      <c r="AC52" s="58"/>
      <c r="AJ52" s="58"/>
      <c r="AY52" s="26"/>
    </row>
    <row r="53" spans="2:51" ht="15">
      <c r="B53" s="12"/>
      <c r="C53" s="184"/>
      <c r="D53" s="197"/>
      <c r="E53" s="193"/>
      <c r="F53" s="193"/>
      <c r="G53" s="192"/>
      <c r="H53" s="222"/>
      <c r="I53" s="194"/>
      <c r="J53" s="195"/>
      <c r="K53" s="193"/>
      <c r="L53" s="193"/>
      <c r="M53" s="196"/>
      <c r="N53" s="185"/>
      <c r="O53" s="185"/>
      <c r="P53" s="197"/>
      <c r="Q53" s="193"/>
      <c r="R53" s="193"/>
      <c r="S53" s="192"/>
      <c r="T53" s="222"/>
      <c r="U53" s="194"/>
      <c r="V53" s="195"/>
      <c r="W53" s="193"/>
      <c r="X53" s="193"/>
      <c r="Y53" s="196"/>
      <c r="Z53" s="182"/>
      <c r="AA53" s="183"/>
      <c r="AB53" s="11"/>
      <c r="AC53" s="58"/>
      <c r="AJ53" s="58"/>
      <c r="AY53" s="26"/>
    </row>
    <row r="54" spans="2:51" ht="15">
      <c r="B54" s="12"/>
      <c r="C54" s="184"/>
      <c r="D54" s="197"/>
      <c r="E54" s="193"/>
      <c r="F54" s="193"/>
      <c r="G54" s="192"/>
      <c r="H54" s="222"/>
      <c r="I54" s="194"/>
      <c r="J54" s="195"/>
      <c r="K54" s="193"/>
      <c r="L54" s="193"/>
      <c r="M54" s="196"/>
      <c r="N54" s="185"/>
      <c r="O54" s="185"/>
      <c r="P54" s="197"/>
      <c r="Q54" s="193"/>
      <c r="R54" s="193"/>
      <c r="S54" s="192"/>
      <c r="T54" s="222"/>
      <c r="U54" s="194"/>
      <c r="V54" s="195"/>
      <c r="W54" s="193"/>
      <c r="X54" s="193"/>
      <c r="Y54" s="196"/>
      <c r="Z54" s="182"/>
      <c r="AA54" s="183"/>
      <c r="AB54" s="11"/>
      <c r="AC54" s="58"/>
      <c r="AJ54" s="58"/>
      <c r="AY54" s="26"/>
    </row>
    <row r="55" spans="2:51" ht="15">
      <c r="B55" s="12"/>
      <c r="C55" s="184"/>
      <c r="D55" s="197"/>
      <c r="E55" s="193"/>
      <c r="F55" s="193"/>
      <c r="G55" s="192"/>
      <c r="H55" s="222"/>
      <c r="I55" s="194"/>
      <c r="J55" s="195"/>
      <c r="K55" s="193"/>
      <c r="L55" s="193"/>
      <c r="M55" s="196"/>
      <c r="N55" s="185"/>
      <c r="O55" s="185"/>
      <c r="P55" s="197"/>
      <c r="Q55" s="193"/>
      <c r="R55" s="193"/>
      <c r="S55" s="192"/>
      <c r="T55" s="222"/>
      <c r="U55" s="194"/>
      <c r="V55" s="195"/>
      <c r="W55" s="193"/>
      <c r="X55" s="193"/>
      <c r="Y55" s="196"/>
      <c r="Z55" s="182"/>
      <c r="AA55" s="183"/>
      <c r="AB55" s="11"/>
      <c r="AC55" s="58"/>
      <c r="AJ55" s="58"/>
      <c r="AY55" s="26"/>
    </row>
    <row r="56" spans="2:51" ht="15">
      <c r="B56" s="12"/>
      <c r="C56" s="184"/>
      <c r="D56" s="197"/>
      <c r="E56" s="193"/>
      <c r="F56" s="193"/>
      <c r="G56" s="192"/>
      <c r="H56" s="222"/>
      <c r="I56" s="194"/>
      <c r="J56" s="195"/>
      <c r="K56" s="193"/>
      <c r="L56" s="193"/>
      <c r="M56" s="196"/>
      <c r="N56" s="185"/>
      <c r="O56" s="185"/>
      <c r="P56" s="197"/>
      <c r="Q56" s="193"/>
      <c r="R56" s="193"/>
      <c r="S56" s="192"/>
      <c r="T56" s="222"/>
      <c r="U56" s="194"/>
      <c r="V56" s="195"/>
      <c r="W56" s="193"/>
      <c r="X56" s="193"/>
      <c r="Y56" s="196"/>
      <c r="Z56" s="182"/>
      <c r="AA56" s="183"/>
      <c r="AB56" s="11"/>
      <c r="AC56" s="58"/>
      <c r="AJ56" s="58"/>
      <c r="AY56" s="26"/>
    </row>
    <row r="57" spans="2:51" ht="15">
      <c r="B57" s="12"/>
      <c r="C57" s="203"/>
      <c r="D57" s="197"/>
      <c r="E57" s="193"/>
      <c r="F57" s="193"/>
      <c r="G57" s="192"/>
      <c r="H57" s="222"/>
      <c r="I57" s="194"/>
      <c r="J57" s="195"/>
      <c r="K57" s="193"/>
      <c r="L57" s="193"/>
      <c r="M57" s="196"/>
      <c r="N57" s="185"/>
      <c r="O57" s="185"/>
      <c r="P57" s="197"/>
      <c r="Q57" s="193"/>
      <c r="R57" s="193"/>
      <c r="S57" s="192"/>
      <c r="T57" s="222"/>
      <c r="U57" s="194"/>
      <c r="V57" s="195"/>
      <c r="W57" s="193"/>
      <c r="X57" s="193"/>
      <c r="Y57" s="196"/>
      <c r="Z57" s="182"/>
      <c r="AA57" s="183"/>
      <c r="AB57" s="11"/>
      <c r="AC57" s="58"/>
      <c r="AJ57" s="58"/>
      <c r="AY57" s="26"/>
    </row>
    <row r="58" spans="2:51" ht="15">
      <c r="B58" s="12"/>
      <c r="C58" s="184"/>
      <c r="D58" s="389" t="s">
        <v>159</v>
      </c>
      <c r="E58" s="390"/>
      <c r="F58" s="390"/>
      <c r="G58" s="386" t="s">
        <v>161</v>
      </c>
      <c r="H58" s="387"/>
      <c r="I58" s="387"/>
      <c r="J58" s="387"/>
      <c r="K58" s="386" t="s">
        <v>160</v>
      </c>
      <c r="L58" s="387"/>
      <c r="M58" s="388"/>
      <c r="N58" s="185"/>
      <c r="O58" s="185"/>
      <c r="P58" s="389" t="s">
        <v>160</v>
      </c>
      <c r="Q58" s="390"/>
      <c r="R58" s="390"/>
      <c r="S58" s="386" t="s">
        <v>161</v>
      </c>
      <c r="T58" s="387"/>
      <c r="U58" s="387"/>
      <c r="V58" s="387"/>
      <c r="W58" s="386" t="s">
        <v>159</v>
      </c>
      <c r="X58" s="387"/>
      <c r="Y58" s="388"/>
      <c r="Z58" s="182"/>
      <c r="AA58" s="183"/>
      <c r="AB58" s="11"/>
      <c r="AJ58" s="58"/>
      <c r="AY58" s="26"/>
    </row>
    <row r="59" spans="2:51" ht="15">
      <c r="B59" s="12"/>
      <c r="C59" s="184"/>
      <c r="D59" s="399" t="str">
        <f>ROUND(E44,2)&amp;" kN/m2"</f>
        <v>-0.53 kN/m2</v>
      </c>
      <c r="E59" s="397"/>
      <c r="F59" s="397"/>
      <c r="G59" s="396" t="str">
        <f>ROUND(G44,2)&amp;" kN/m2"</f>
        <v>-0.69 kN/m2</v>
      </c>
      <c r="H59" s="397"/>
      <c r="I59" s="397"/>
      <c r="J59" s="397"/>
      <c r="K59" s="396" t="str">
        <f>ROUND(I44,2)&amp;" kN/m2"</f>
        <v>-0.42 kN/m2</v>
      </c>
      <c r="L59" s="397"/>
      <c r="M59" s="398"/>
      <c r="N59" s="185"/>
      <c r="O59" s="185"/>
      <c r="P59" s="399" t="str">
        <f>ROUND(I44,2)&amp;" kN/m2"</f>
        <v>-0.42 kN/m2</v>
      </c>
      <c r="Q59" s="397"/>
      <c r="R59" s="397"/>
      <c r="S59" s="396" t="str">
        <f>ROUND(G44,2)&amp;" kN/m2"</f>
        <v>-0.69 kN/m2</v>
      </c>
      <c r="T59" s="397"/>
      <c r="U59" s="397"/>
      <c r="V59" s="397"/>
      <c r="W59" s="396" t="str">
        <f>ROUND(E44,2)&amp;" kN/m2"</f>
        <v>-0.53 kN/m2</v>
      </c>
      <c r="X59" s="397"/>
      <c r="Y59" s="398"/>
      <c r="Z59" s="182"/>
      <c r="AA59" s="183"/>
      <c r="AB59" s="11"/>
      <c r="AJ59" s="58"/>
      <c r="AY59" s="26"/>
    </row>
    <row r="60" spans="2:51" ht="15">
      <c r="B60" s="12"/>
      <c r="C60" s="184"/>
      <c r="D60" s="403" t="str">
        <f>ROUND(E45,2)&amp;" kN/m2"</f>
        <v>-0.25 kN/m2</v>
      </c>
      <c r="E60" s="401"/>
      <c r="F60" s="401"/>
      <c r="G60" s="400" t="str">
        <f>ROUND(G45,2)&amp;" kN/m2"</f>
        <v>-0.42 kN/m2</v>
      </c>
      <c r="H60" s="401"/>
      <c r="I60" s="401"/>
      <c r="J60" s="401"/>
      <c r="K60" s="400" t="str">
        <f>ROUND(I45,2)&amp;" kN/m2"</f>
        <v>-0.14 kN/m2</v>
      </c>
      <c r="L60" s="401"/>
      <c r="M60" s="402"/>
      <c r="N60" s="185"/>
      <c r="O60" s="185"/>
      <c r="P60" s="403" t="str">
        <f>ROUND(I45,2)&amp;" kN/m2"</f>
        <v>-0.14 kN/m2</v>
      </c>
      <c r="Q60" s="401"/>
      <c r="R60" s="401"/>
      <c r="S60" s="400" t="str">
        <f>ROUND(G45,2)&amp;" kN/m2"</f>
        <v>-0.42 kN/m2</v>
      </c>
      <c r="T60" s="401"/>
      <c r="U60" s="401"/>
      <c r="V60" s="401"/>
      <c r="W60" s="400" t="str">
        <f>ROUND(E45,2)&amp;" kN/m2"</f>
        <v>-0.25 kN/m2</v>
      </c>
      <c r="X60" s="401"/>
      <c r="Y60" s="402"/>
      <c r="Z60" s="182"/>
      <c r="AA60" s="183"/>
      <c r="AB60" s="11"/>
      <c r="AJ60" s="58"/>
      <c r="AY60" s="26"/>
    </row>
    <row r="61" spans="2:51" ht="15">
      <c r="B61" s="12"/>
      <c r="C61" s="184"/>
      <c r="D61" s="197"/>
      <c r="E61" s="193"/>
      <c r="F61" s="193"/>
      <c r="G61" s="192"/>
      <c r="H61" s="222"/>
      <c r="I61" s="194"/>
      <c r="J61" s="195"/>
      <c r="K61" s="193"/>
      <c r="L61" s="193"/>
      <c r="M61" s="196"/>
      <c r="N61" s="185"/>
      <c r="O61" s="185"/>
      <c r="P61" s="197"/>
      <c r="Q61" s="193"/>
      <c r="R61" s="193"/>
      <c r="S61" s="192"/>
      <c r="T61" s="222"/>
      <c r="U61" s="194"/>
      <c r="V61" s="195"/>
      <c r="W61" s="193"/>
      <c r="X61" s="193"/>
      <c r="Y61" s="196"/>
      <c r="Z61" s="182"/>
      <c r="AA61" s="183"/>
      <c r="AB61" s="11"/>
      <c r="AC61" s="58"/>
      <c r="AJ61" s="58"/>
      <c r="AY61" s="26"/>
    </row>
    <row r="62" spans="2:51" ht="15">
      <c r="B62" s="12"/>
      <c r="C62" s="184"/>
      <c r="D62" s="197"/>
      <c r="E62" s="193"/>
      <c r="F62" s="193"/>
      <c r="G62" s="192"/>
      <c r="H62" s="222"/>
      <c r="I62" s="194"/>
      <c r="J62" s="195"/>
      <c r="K62" s="193"/>
      <c r="L62" s="193"/>
      <c r="M62" s="196"/>
      <c r="N62" s="185"/>
      <c r="O62" s="185"/>
      <c r="P62" s="197"/>
      <c r="Q62" s="193"/>
      <c r="R62" s="193"/>
      <c r="S62" s="192"/>
      <c r="T62" s="222"/>
      <c r="U62" s="194"/>
      <c r="V62" s="195"/>
      <c r="W62" s="193"/>
      <c r="X62" s="193"/>
      <c r="Y62" s="196"/>
      <c r="Z62" s="182"/>
      <c r="AA62" s="183"/>
      <c r="AB62" s="11"/>
      <c r="AC62" s="58"/>
      <c r="AJ62" s="58"/>
      <c r="AY62" s="26"/>
    </row>
    <row r="63" spans="2:51" ht="15">
      <c r="B63" s="12"/>
      <c r="C63" s="184"/>
      <c r="D63" s="197"/>
      <c r="E63" s="193"/>
      <c r="F63" s="193"/>
      <c r="G63" s="192"/>
      <c r="H63" s="222"/>
      <c r="I63" s="194"/>
      <c r="J63" s="195"/>
      <c r="K63" s="193"/>
      <c r="L63" s="193"/>
      <c r="M63" s="196"/>
      <c r="N63" s="185"/>
      <c r="O63" s="185"/>
      <c r="P63" s="197"/>
      <c r="Q63" s="193"/>
      <c r="R63" s="193"/>
      <c r="S63" s="192"/>
      <c r="T63" s="222"/>
      <c r="U63" s="194"/>
      <c r="V63" s="195"/>
      <c r="W63" s="193"/>
      <c r="X63" s="193"/>
      <c r="Y63" s="196"/>
      <c r="Z63" s="182"/>
      <c r="AA63" s="183"/>
      <c r="AB63" s="11"/>
      <c r="AC63" s="58"/>
      <c r="AJ63" s="58"/>
      <c r="AY63" s="26"/>
    </row>
    <row r="64" spans="2:51" ht="15">
      <c r="B64" s="12"/>
      <c r="C64" s="184"/>
      <c r="D64" s="197"/>
      <c r="E64" s="193"/>
      <c r="F64" s="193"/>
      <c r="G64" s="192"/>
      <c r="H64" s="222"/>
      <c r="I64" s="194"/>
      <c r="J64" s="195"/>
      <c r="K64" s="193"/>
      <c r="L64" s="193"/>
      <c r="M64" s="196"/>
      <c r="N64" s="185"/>
      <c r="O64" s="185"/>
      <c r="P64" s="197"/>
      <c r="Q64" s="193"/>
      <c r="R64" s="193"/>
      <c r="S64" s="192"/>
      <c r="T64" s="222"/>
      <c r="U64" s="194"/>
      <c r="V64" s="195"/>
      <c r="W64" s="193"/>
      <c r="X64" s="193"/>
      <c r="Y64" s="196"/>
      <c r="Z64" s="182"/>
      <c r="AA64" s="183"/>
      <c r="AB64" s="11"/>
      <c r="AC64" s="58"/>
      <c r="AJ64" s="58"/>
      <c r="AY64" s="26"/>
    </row>
    <row r="65" spans="2:51" ht="15">
      <c r="B65" s="12"/>
      <c r="C65" s="184"/>
      <c r="D65" s="197"/>
      <c r="E65" s="193"/>
      <c r="F65" s="193"/>
      <c r="G65" s="192"/>
      <c r="H65" s="222"/>
      <c r="I65" s="194"/>
      <c r="J65" s="195"/>
      <c r="K65" s="193"/>
      <c r="L65" s="193"/>
      <c r="M65" s="196"/>
      <c r="N65" s="185"/>
      <c r="O65" s="185"/>
      <c r="P65" s="197"/>
      <c r="Q65" s="193"/>
      <c r="R65" s="193"/>
      <c r="S65" s="192"/>
      <c r="T65" s="222"/>
      <c r="U65" s="194"/>
      <c r="V65" s="195"/>
      <c r="W65" s="193"/>
      <c r="X65" s="193"/>
      <c r="Y65" s="196"/>
      <c r="Z65" s="182"/>
      <c r="AA65" s="183"/>
      <c r="AB65" s="11"/>
      <c r="AC65" s="58"/>
      <c r="AJ65" s="58"/>
      <c r="AY65" s="26"/>
    </row>
    <row r="66" spans="2:51" ht="15">
      <c r="B66" s="12"/>
      <c r="C66" s="184"/>
      <c r="D66" s="197"/>
      <c r="E66" s="193"/>
      <c r="F66" s="193"/>
      <c r="G66" s="192"/>
      <c r="H66" s="222"/>
      <c r="I66" s="194"/>
      <c r="J66" s="195"/>
      <c r="K66" s="193"/>
      <c r="L66" s="193"/>
      <c r="M66" s="196"/>
      <c r="N66" s="185"/>
      <c r="O66" s="185"/>
      <c r="P66" s="197"/>
      <c r="Q66" s="193"/>
      <c r="R66" s="193"/>
      <c r="S66" s="192"/>
      <c r="T66" s="222"/>
      <c r="U66" s="194"/>
      <c r="V66" s="195"/>
      <c r="W66" s="193"/>
      <c r="X66" s="193"/>
      <c r="Y66" s="196"/>
      <c r="Z66" s="182"/>
      <c r="AA66" s="183"/>
      <c r="AB66" s="11"/>
      <c r="AC66" s="58"/>
      <c r="AJ66" s="58"/>
      <c r="AY66" s="26"/>
    </row>
    <row r="67" spans="2:51" ht="15">
      <c r="B67" s="12"/>
      <c r="C67" s="184"/>
      <c r="D67" s="197"/>
      <c r="E67" s="193"/>
      <c r="F67" s="193"/>
      <c r="G67" s="192"/>
      <c r="H67" s="222"/>
      <c r="I67" s="194"/>
      <c r="J67" s="195"/>
      <c r="K67" s="193"/>
      <c r="L67" s="193"/>
      <c r="M67" s="196"/>
      <c r="N67" s="185"/>
      <c r="O67" s="185"/>
      <c r="P67" s="197"/>
      <c r="Q67" s="193"/>
      <c r="R67" s="193"/>
      <c r="S67" s="192"/>
      <c r="T67" s="222"/>
      <c r="U67" s="194"/>
      <c r="V67" s="195"/>
      <c r="W67" s="193"/>
      <c r="X67" s="193"/>
      <c r="Y67" s="196"/>
      <c r="Z67" s="182"/>
      <c r="AA67" s="183"/>
      <c r="AB67" s="11"/>
      <c r="AC67" s="58"/>
      <c r="AJ67" s="58"/>
      <c r="AY67" s="26"/>
    </row>
    <row r="68" spans="2:51" ht="15">
      <c r="B68" s="12"/>
      <c r="C68" s="184"/>
      <c r="D68" s="197"/>
      <c r="E68" s="193"/>
      <c r="F68" s="193"/>
      <c r="G68" s="192"/>
      <c r="H68" s="222"/>
      <c r="I68" s="194"/>
      <c r="J68" s="195"/>
      <c r="K68" s="193"/>
      <c r="L68" s="193"/>
      <c r="M68" s="196"/>
      <c r="N68" s="185"/>
      <c r="O68" s="185"/>
      <c r="P68" s="197"/>
      <c r="Q68" s="193"/>
      <c r="R68" s="193"/>
      <c r="S68" s="192"/>
      <c r="T68" s="222"/>
      <c r="U68" s="194"/>
      <c r="V68" s="195"/>
      <c r="W68" s="193"/>
      <c r="X68" s="193"/>
      <c r="Y68" s="196"/>
      <c r="Z68" s="182"/>
      <c r="AA68" s="183"/>
      <c r="AB68" s="11"/>
      <c r="AC68" s="58"/>
      <c r="AJ68" s="58"/>
      <c r="AY68" s="26"/>
    </row>
    <row r="69" spans="2:51" ht="15.75" thickBot="1">
      <c r="B69" s="12"/>
      <c r="C69" s="184"/>
      <c r="D69" s="204"/>
      <c r="E69" s="205"/>
      <c r="F69" s="205"/>
      <c r="G69" s="206"/>
      <c r="H69" s="223"/>
      <c r="I69" s="207"/>
      <c r="J69" s="208"/>
      <c r="K69" s="205"/>
      <c r="L69" s="205"/>
      <c r="M69" s="209"/>
      <c r="N69" s="185"/>
      <c r="O69" s="185"/>
      <c r="P69" s="204"/>
      <c r="Q69" s="205"/>
      <c r="R69" s="205"/>
      <c r="S69" s="206"/>
      <c r="T69" s="223"/>
      <c r="U69" s="207"/>
      <c r="V69" s="208"/>
      <c r="W69" s="205"/>
      <c r="X69" s="205"/>
      <c r="Y69" s="209"/>
      <c r="Z69" s="182"/>
      <c r="AA69" s="183"/>
      <c r="AB69" s="11"/>
      <c r="AC69" s="58"/>
      <c r="AJ69" s="58"/>
      <c r="AY69" s="26"/>
    </row>
    <row r="70" spans="2:51" ht="15">
      <c r="B70" s="12"/>
      <c r="C70" s="184"/>
      <c r="D70" s="185"/>
      <c r="E70" s="185"/>
      <c r="F70" s="185"/>
      <c r="G70" s="185"/>
      <c r="H70" s="185"/>
      <c r="I70" s="185"/>
      <c r="J70" s="185"/>
      <c r="K70" s="185"/>
      <c r="L70" s="185"/>
      <c r="M70" s="185"/>
      <c r="N70" s="185"/>
      <c r="O70" s="185"/>
      <c r="P70" s="185"/>
      <c r="Q70" s="185"/>
      <c r="R70" s="185"/>
      <c r="S70" s="185"/>
      <c r="T70" s="185"/>
      <c r="U70" s="185"/>
      <c r="V70" s="185"/>
      <c r="W70" s="185"/>
      <c r="X70" s="185"/>
      <c r="Y70" s="185"/>
      <c r="Z70" s="182"/>
      <c r="AA70" s="183"/>
      <c r="AB70" s="11"/>
      <c r="AC70" s="58"/>
      <c r="AJ70" s="58"/>
      <c r="AY70" s="26"/>
    </row>
    <row r="71" spans="2:51" ht="15">
      <c r="B71" s="12"/>
      <c r="C71" s="184"/>
      <c r="D71" s="185"/>
      <c r="E71" s="185"/>
      <c r="F71" s="185"/>
      <c r="G71" s="185"/>
      <c r="H71" s="185"/>
      <c r="I71" s="185"/>
      <c r="J71" s="185"/>
      <c r="K71" s="185"/>
      <c r="L71" s="185"/>
      <c r="M71" s="185"/>
      <c r="N71" s="185"/>
      <c r="O71" s="185"/>
      <c r="P71" s="185"/>
      <c r="Q71" s="185"/>
      <c r="R71" s="185"/>
      <c r="S71" s="185"/>
      <c r="T71" s="185"/>
      <c r="U71" s="185"/>
      <c r="V71" s="185"/>
      <c r="W71" s="185"/>
      <c r="X71" s="185"/>
      <c r="Y71" s="185"/>
      <c r="Z71" s="182"/>
      <c r="AA71" s="183"/>
      <c r="AB71" s="11"/>
      <c r="AC71" s="58"/>
      <c r="AJ71" s="58"/>
      <c r="AY71" s="26"/>
    </row>
    <row r="72" spans="2:51" ht="15">
      <c r="B72" s="12"/>
      <c r="C72" s="184"/>
      <c r="D72" s="185"/>
      <c r="E72" s="185"/>
      <c r="F72" s="185"/>
      <c r="G72" s="185"/>
      <c r="H72" s="185"/>
      <c r="I72" s="185"/>
      <c r="J72" s="185"/>
      <c r="K72" s="185"/>
      <c r="L72" s="185"/>
      <c r="M72" s="185"/>
      <c r="N72" s="185"/>
      <c r="O72" s="185"/>
      <c r="P72" s="185"/>
      <c r="Q72" s="185"/>
      <c r="R72" s="185"/>
      <c r="S72" s="185"/>
      <c r="T72" s="185"/>
      <c r="U72" s="185"/>
      <c r="V72" s="185"/>
      <c r="W72" s="185"/>
      <c r="X72" s="185"/>
      <c r="Y72" s="182"/>
      <c r="Z72" s="182"/>
      <c r="AA72" s="183"/>
      <c r="AB72" s="11"/>
      <c r="AC72" s="58"/>
      <c r="AJ72" s="58"/>
      <c r="AY72" s="26"/>
    </row>
    <row r="73" spans="2:51" ht="15">
      <c r="B73" s="12"/>
      <c r="C73" s="418" t="s">
        <v>247</v>
      </c>
      <c r="D73" s="419"/>
      <c r="E73" s="419"/>
      <c r="F73" s="419"/>
      <c r="G73" s="419"/>
      <c r="H73" s="419"/>
      <c r="I73" s="419"/>
      <c r="J73" s="419"/>
      <c r="K73" s="419"/>
      <c r="L73" s="419"/>
      <c r="M73" s="419"/>
      <c r="N73" s="419"/>
      <c r="O73" s="419"/>
      <c r="P73" s="419"/>
      <c r="Q73" s="419"/>
      <c r="R73" s="419"/>
      <c r="S73" s="419"/>
      <c r="T73" s="419"/>
      <c r="U73" s="419"/>
      <c r="V73" s="419"/>
      <c r="W73" s="419"/>
      <c r="X73" s="419"/>
      <c r="Y73" s="419"/>
      <c r="Z73" s="419"/>
      <c r="AA73" s="420"/>
      <c r="AB73" s="11"/>
      <c r="AC73" s="58"/>
      <c r="AJ73" s="58"/>
      <c r="AY73" s="26"/>
    </row>
    <row r="74" spans="2:51" ht="15">
      <c r="B74" s="12"/>
      <c r="C74" s="180"/>
      <c r="D74" s="181"/>
      <c r="E74" s="181"/>
      <c r="F74" s="210"/>
      <c r="G74" s="210"/>
      <c r="H74" s="210"/>
      <c r="I74" s="210"/>
      <c r="J74" s="210"/>
      <c r="K74" s="210"/>
      <c r="L74" s="210"/>
      <c r="M74" s="210"/>
      <c r="N74" s="210"/>
      <c r="O74" s="181"/>
      <c r="P74" s="181"/>
      <c r="Q74" s="181"/>
      <c r="R74" s="181"/>
      <c r="S74" s="181"/>
      <c r="T74" s="181"/>
      <c r="U74" s="181"/>
      <c r="V74" s="181"/>
      <c r="W74" s="181"/>
      <c r="X74" s="181"/>
      <c r="Y74" s="181"/>
      <c r="Z74" s="181"/>
      <c r="AA74" s="211"/>
      <c r="AB74" s="11"/>
      <c r="AC74" s="58"/>
      <c r="AJ74" s="58"/>
      <c r="AY74" s="26"/>
    </row>
    <row r="75" spans="2:51" ht="15.75" thickBot="1">
      <c r="B75" s="12"/>
      <c r="C75" s="184"/>
      <c r="D75" s="185"/>
      <c r="E75" s="185"/>
      <c r="F75" s="185"/>
      <c r="G75" s="185"/>
      <c r="H75" s="185"/>
      <c r="I75" s="185"/>
      <c r="J75" s="185"/>
      <c r="K75" s="185"/>
      <c r="L75" s="185"/>
      <c r="M75" s="185"/>
      <c r="N75" s="185"/>
      <c r="O75" s="185"/>
      <c r="P75" s="185"/>
      <c r="Q75" s="185"/>
      <c r="R75" s="185"/>
      <c r="S75" s="185"/>
      <c r="T75" s="185"/>
      <c r="U75" s="185"/>
      <c r="V75" s="185"/>
      <c r="W75" s="185"/>
      <c r="X75" s="185"/>
      <c r="Y75" s="185"/>
      <c r="Z75" s="185"/>
      <c r="AA75" s="183"/>
      <c r="AB75" s="11"/>
      <c r="AC75" s="58"/>
      <c r="AJ75" s="58"/>
      <c r="AY75" s="26"/>
    </row>
    <row r="76" spans="2:51" ht="15">
      <c r="B76" s="12"/>
      <c r="C76" s="184"/>
      <c r="D76" s="186"/>
      <c r="E76" s="187"/>
      <c r="F76" s="187"/>
      <c r="G76" s="187"/>
      <c r="H76" s="187"/>
      <c r="I76" s="189"/>
      <c r="J76" s="187"/>
      <c r="K76" s="187"/>
      <c r="L76" s="187"/>
      <c r="M76" s="191"/>
      <c r="N76" s="185"/>
      <c r="O76" s="185"/>
      <c r="P76" s="212"/>
      <c r="Q76" s="213"/>
      <c r="R76" s="201"/>
      <c r="S76" s="214"/>
      <c r="T76" s="214"/>
      <c r="U76" s="215"/>
      <c r="V76" s="214"/>
      <c r="W76" s="213"/>
      <c r="X76" s="201"/>
      <c r="Y76" s="202"/>
      <c r="Z76" s="182"/>
      <c r="AA76" s="183"/>
      <c r="AB76" s="11"/>
      <c r="AC76" s="58"/>
      <c r="AJ76" s="58"/>
      <c r="AY76" s="26"/>
    </row>
    <row r="77" spans="2:51" ht="15">
      <c r="B77" s="12"/>
      <c r="C77" s="184"/>
      <c r="D77" s="197"/>
      <c r="E77" s="193"/>
      <c r="F77" s="193"/>
      <c r="G77" s="193"/>
      <c r="H77" s="193"/>
      <c r="I77" s="194"/>
      <c r="J77" s="193"/>
      <c r="K77" s="193"/>
      <c r="L77" s="193"/>
      <c r="M77" s="196"/>
      <c r="N77" s="185"/>
      <c r="O77" s="185"/>
      <c r="P77" s="389" t="s">
        <v>155</v>
      </c>
      <c r="Q77" s="417"/>
      <c r="R77" s="394" t="s">
        <v>156</v>
      </c>
      <c r="S77" s="390"/>
      <c r="T77" s="390"/>
      <c r="U77" s="404" t="s">
        <v>156</v>
      </c>
      <c r="V77" s="390"/>
      <c r="W77" s="417"/>
      <c r="X77" s="394" t="s">
        <v>155</v>
      </c>
      <c r="Y77" s="395"/>
      <c r="Z77" s="182"/>
      <c r="AA77" s="183"/>
      <c r="AB77" s="11"/>
      <c r="AC77" s="58"/>
      <c r="AJ77" s="58"/>
      <c r="AY77" s="26"/>
    </row>
    <row r="78" spans="2:51" ht="15">
      <c r="B78" s="12"/>
      <c r="C78" s="184"/>
      <c r="D78" s="197"/>
      <c r="E78" s="193"/>
      <c r="F78" s="193"/>
      <c r="G78" s="193"/>
      <c r="H78" s="193"/>
      <c r="I78" s="194"/>
      <c r="J78" s="193"/>
      <c r="K78" s="193"/>
      <c r="L78" s="193"/>
      <c r="M78" s="196"/>
      <c r="N78" s="185"/>
      <c r="O78" s="185"/>
      <c r="P78" s="405" t="str">
        <f>ROUND(R44,1)&amp;" kN/m2"</f>
        <v>-1.4 kN/m2</v>
      </c>
      <c r="Q78" s="413"/>
      <c r="R78" s="414" t="str">
        <f>ROUND(T44,1)&amp;" kN/m2"</f>
        <v>-1 kN/m2</v>
      </c>
      <c r="S78" s="406"/>
      <c r="T78" s="406"/>
      <c r="U78" s="407" t="str">
        <f>R78</f>
        <v>-1 kN/m2</v>
      </c>
      <c r="V78" s="406"/>
      <c r="W78" s="413"/>
      <c r="X78" s="414" t="str">
        <f>P78</f>
        <v>-1.4 kN/m2</v>
      </c>
      <c r="Y78" s="408"/>
      <c r="Z78" s="182"/>
      <c r="AA78" s="183"/>
      <c r="AB78" s="11"/>
      <c r="AC78" s="58"/>
      <c r="AJ78" s="58"/>
      <c r="AY78" s="26"/>
    </row>
    <row r="79" spans="2:51" ht="15">
      <c r="B79" s="12"/>
      <c r="C79" s="184"/>
      <c r="D79" s="197"/>
      <c r="E79" s="193"/>
      <c r="F79" s="193"/>
      <c r="G79" s="193"/>
      <c r="H79" s="193"/>
      <c r="I79" s="194"/>
      <c r="J79" s="193"/>
      <c r="K79" s="193"/>
      <c r="L79" s="193"/>
      <c r="M79" s="196"/>
      <c r="N79" s="185"/>
      <c r="O79" s="185"/>
      <c r="P79" s="409" t="str">
        <f>ROUND(R45,1)&amp;" kN/m2"</f>
        <v>-1.1 kN/m2</v>
      </c>
      <c r="Q79" s="415"/>
      <c r="R79" s="416" t="str">
        <f>ROUND(T45,1)&amp;" kN/m2"</f>
        <v>-0.7 kN/m2</v>
      </c>
      <c r="S79" s="410"/>
      <c r="T79" s="410"/>
      <c r="U79" s="411" t="str">
        <f>R79</f>
        <v>-0.7 kN/m2</v>
      </c>
      <c r="V79" s="410"/>
      <c r="W79" s="415"/>
      <c r="X79" s="416" t="str">
        <f>P79</f>
        <v>-1.1 kN/m2</v>
      </c>
      <c r="Y79" s="412"/>
      <c r="Z79" s="182"/>
      <c r="AA79" s="183"/>
      <c r="AB79" s="11"/>
      <c r="AC79" s="58"/>
      <c r="AJ79" s="58"/>
      <c r="AY79" s="26"/>
    </row>
    <row r="80" spans="2:51" ht="15.75" thickBot="1">
      <c r="B80" s="12"/>
      <c r="C80" s="184"/>
      <c r="D80" s="389" t="s">
        <v>158</v>
      </c>
      <c r="E80" s="390"/>
      <c r="F80" s="390"/>
      <c r="G80" s="390"/>
      <c r="H80" s="390"/>
      <c r="I80" s="404" t="s">
        <v>158</v>
      </c>
      <c r="J80" s="390"/>
      <c r="K80" s="390"/>
      <c r="L80" s="390"/>
      <c r="M80" s="395"/>
      <c r="N80" s="185"/>
      <c r="O80" s="185"/>
      <c r="P80" s="204"/>
      <c r="Q80" s="208"/>
      <c r="R80" s="206"/>
      <c r="S80" s="205"/>
      <c r="T80" s="205"/>
      <c r="U80" s="207"/>
      <c r="V80" s="205"/>
      <c r="W80" s="208"/>
      <c r="X80" s="206"/>
      <c r="Y80" s="209"/>
      <c r="Z80" s="182"/>
      <c r="AA80" s="183"/>
      <c r="AB80" s="11"/>
      <c r="AC80" s="58"/>
      <c r="AJ80" s="58"/>
      <c r="AY80" s="26"/>
    </row>
    <row r="81" spans="2:51" ht="15">
      <c r="B81" s="12"/>
      <c r="C81" s="184"/>
      <c r="D81" s="405" t="str">
        <f>ROUND(X44,1)&amp;" kN/m2"</f>
        <v>-0.3 kN/m2</v>
      </c>
      <c r="E81" s="406"/>
      <c r="F81" s="406"/>
      <c r="G81" s="406"/>
      <c r="H81" s="406"/>
      <c r="I81" s="407" t="str">
        <f>D81</f>
        <v>-0.3 kN/m2</v>
      </c>
      <c r="J81" s="406"/>
      <c r="K81" s="406"/>
      <c r="L81" s="406"/>
      <c r="M81" s="408"/>
      <c r="N81" s="185"/>
      <c r="O81" s="185"/>
      <c r="P81" s="212"/>
      <c r="Q81" s="214"/>
      <c r="R81" s="214"/>
      <c r="S81" s="214"/>
      <c r="T81" s="214"/>
      <c r="U81" s="215"/>
      <c r="V81" s="214"/>
      <c r="W81" s="214"/>
      <c r="X81" s="214"/>
      <c r="Y81" s="202"/>
      <c r="Z81" s="182"/>
      <c r="AA81" s="183"/>
      <c r="AB81" s="11"/>
      <c r="AC81" s="58"/>
      <c r="AJ81" s="58"/>
      <c r="AY81" s="26"/>
    </row>
    <row r="82" spans="2:51" ht="15">
      <c r="B82" s="12"/>
      <c r="C82" s="184"/>
      <c r="D82" s="409" t="str">
        <f>ROUND(X45,1)&amp;" kN/m2"</f>
        <v>0.3 kN/m2</v>
      </c>
      <c r="E82" s="410"/>
      <c r="F82" s="410"/>
      <c r="G82" s="410"/>
      <c r="H82" s="410"/>
      <c r="I82" s="411" t="str">
        <f>D82</f>
        <v>0.3 kN/m2</v>
      </c>
      <c r="J82" s="410"/>
      <c r="K82" s="410"/>
      <c r="L82" s="410"/>
      <c r="M82" s="412"/>
      <c r="N82" s="185"/>
      <c r="O82" s="185"/>
      <c r="P82" s="389" t="s">
        <v>157</v>
      </c>
      <c r="Q82" s="390"/>
      <c r="R82" s="390"/>
      <c r="S82" s="390"/>
      <c r="T82" s="390"/>
      <c r="U82" s="404" t="s">
        <v>157</v>
      </c>
      <c r="V82" s="390"/>
      <c r="W82" s="390"/>
      <c r="X82" s="390"/>
      <c r="Y82" s="395"/>
      <c r="Z82" s="182"/>
      <c r="AA82" s="183"/>
      <c r="AB82" s="11"/>
      <c r="AC82" s="58"/>
      <c r="AJ82" s="58"/>
      <c r="AY82" s="26"/>
    </row>
    <row r="83" spans="2:51" ht="15">
      <c r="B83" s="12"/>
      <c r="C83" s="203"/>
      <c r="D83" s="197"/>
      <c r="E83" s="193"/>
      <c r="F83" s="193"/>
      <c r="G83" s="193"/>
      <c r="H83" s="193"/>
      <c r="I83" s="194"/>
      <c r="J83" s="193"/>
      <c r="K83" s="193"/>
      <c r="L83" s="193"/>
      <c r="M83" s="196"/>
      <c r="N83" s="185"/>
      <c r="O83" s="185"/>
      <c r="P83" s="405" t="str">
        <f>ROUND(V44,1)&amp;" kN/m2"</f>
        <v>-0.6 kN/m2</v>
      </c>
      <c r="Q83" s="406"/>
      <c r="R83" s="406"/>
      <c r="S83" s="406"/>
      <c r="T83" s="406"/>
      <c r="U83" s="407" t="str">
        <f>P83</f>
        <v>-0.6 kN/m2</v>
      </c>
      <c r="V83" s="406"/>
      <c r="W83" s="406"/>
      <c r="X83" s="406"/>
      <c r="Y83" s="408"/>
      <c r="Z83" s="182"/>
      <c r="AA83" s="183"/>
      <c r="AB83" s="11"/>
      <c r="AC83" s="58"/>
      <c r="AJ83" s="58"/>
      <c r="AY83" s="26"/>
    </row>
    <row r="84" spans="2:51" ht="15">
      <c r="B84" s="12"/>
      <c r="C84" s="184"/>
      <c r="D84" s="197"/>
      <c r="E84" s="193"/>
      <c r="F84" s="193"/>
      <c r="G84" s="193"/>
      <c r="H84" s="193"/>
      <c r="I84" s="194"/>
      <c r="J84" s="193"/>
      <c r="K84" s="193"/>
      <c r="L84" s="193"/>
      <c r="M84" s="196"/>
      <c r="N84" s="185"/>
      <c r="O84" s="185"/>
      <c r="P84" s="409" t="str">
        <f>ROUND(V45,1)&amp;" kN/m2"</f>
        <v>-0.3 kN/m2</v>
      </c>
      <c r="Q84" s="410"/>
      <c r="R84" s="410"/>
      <c r="S84" s="410"/>
      <c r="T84" s="410"/>
      <c r="U84" s="411" t="str">
        <f>P84</f>
        <v>-0.3 kN/m2</v>
      </c>
      <c r="V84" s="410"/>
      <c r="W84" s="410"/>
      <c r="X84" s="410"/>
      <c r="Y84" s="412"/>
      <c r="Z84" s="182"/>
      <c r="AA84" s="183"/>
      <c r="AB84" s="11"/>
      <c r="AC84" s="58"/>
      <c r="AJ84" s="58"/>
      <c r="AY84" s="26"/>
    </row>
    <row r="85" spans="2:51" ht="15.75" thickBot="1">
      <c r="B85" s="12"/>
      <c r="C85" s="184"/>
      <c r="D85" s="198"/>
      <c r="E85" s="199"/>
      <c r="F85" s="199"/>
      <c r="G85" s="199"/>
      <c r="H85" s="199"/>
      <c r="I85" s="216"/>
      <c r="J85" s="199"/>
      <c r="K85" s="199"/>
      <c r="L85" s="199"/>
      <c r="M85" s="200"/>
      <c r="N85" s="185"/>
      <c r="O85" s="185"/>
      <c r="P85" s="198"/>
      <c r="Q85" s="199"/>
      <c r="R85" s="199"/>
      <c r="S85" s="199"/>
      <c r="T85" s="199"/>
      <c r="U85" s="216"/>
      <c r="V85" s="199"/>
      <c r="W85" s="199"/>
      <c r="X85" s="199"/>
      <c r="Y85" s="200"/>
      <c r="Z85" s="182"/>
      <c r="AA85" s="183"/>
      <c r="AB85" s="11"/>
      <c r="AC85" s="58"/>
      <c r="AJ85" s="58"/>
      <c r="AY85" s="26"/>
    </row>
    <row r="86" spans="2:51" ht="15">
      <c r="B86" s="12"/>
      <c r="C86" s="184"/>
      <c r="D86" s="212"/>
      <c r="E86" s="214"/>
      <c r="F86" s="214"/>
      <c r="G86" s="214"/>
      <c r="H86" s="214"/>
      <c r="I86" s="215"/>
      <c r="J86" s="214"/>
      <c r="K86" s="214"/>
      <c r="L86" s="214"/>
      <c r="M86" s="202"/>
      <c r="N86" s="185"/>
      <c r="O86" s="185"/>
      <c r="P86" s="186"/>
      <c r="Q86" s="187"/>
      <c r="R86" s="187"/>
      <c r="S86" s="187"/>
      <c r="T86" s="187"/>
      <c r="U86" s="189"/>
      <c r="V86" s="187"/>
      <c r="W86" s="187"/>
      <c r="X86" s="187"/>
      <c r="Y86" s="191"/>
      <c r="Z86" s="182"/>
      <c r="AA86" s="183"/>
      <c r="AB86" s="11"/>
      <c r="AC86" s="58"/>
      <c r="AJ86" s="58"/>
      <c r="AY86" s="26"/>
    </row>
    <row r="87" spans="2:51" ht="15">
      <c r="B87" s="12"/>
      <c r="C87" s="184"/>
      <c r="D87" s="389" t="s">
        <v>157</v>
      </c>
      <c r="E87" s="390"/>
      <c r="F87" s="390"/>
      <c r="G87" s="390"/>
      <c r="H87" s="390"/>
      <c r="I87" s="404" t="s">
        <v>157</v>
      </c>
      <c r="J87" s="390"/>
      <c r="K87" s="390"/>
      <c r="L87" s="390"/>
      <c r="M87" s="395"/>
      <c r="N87" s="185"/>
      <c r="O87" s="185"/>
      <c r="P87" s="197"/>
      <c r="Q87" s="193"/>
      <c r="R87" s="193"/>
      <c r="S87" s="193"/>
      <c r="T87" s="193"/>
      <c r="U87" s="194"/>
      <c r="V87" s="193"/>
      <c r="W87" s="193"/>
      <c r="X87" s="193"/>
      <c r="Y87" s="196"/>
      <c r="Z87" s="182"/>
      <c r="AA87" s="183"/>
      <c r="AB87" s="11"/>
      <c r="AC87" s="58"/>
      <c r="AJ87" s="58"/>
      <c r="AY87" s="26"/>
    </row>
    <row r="88" spans="2:51" ht="15">
      <c r="B88" s="12"/>
      <c r="C88" s="184"/>
      <c r="D88" s="405" t="str">
        <f>ROUND(V44,1)&amp;" kN/m2"</f>
        <v>-0.6 kN/m2</v>
      </c>
      <c r="E88" s="406"/>
      <c r="F88" s="406"/>
      <c r="G88" s="406"/>
      <c r="H88" s="406"/>
      <c r="I88" s="407" t="str">
        <f>D88</f>
        <v>-0.6 kN/m2</v>
      </c>
      <c r="J88" s="406"/>
      <c r="K88" s="406"/>
      <c r="L88" s="406"/>
      <c r="M88" s="408"/>
      <c r="N88" s="185"/>
      <c r="O88" s="185"/>
      <c r="P88" s="197"/>
      <c r="Q88" s="193"/>
      <c r="R88" s="193"/>
      <c r="S88" s="193"/>
      <c r="T88" s="193"/>
      <c r="U88" s="194"/>
      <c r="V88" s="193"/>
      <c r="W88" s="193"/>
      <c r="X88" s="193"/>
      <c r="Y88" s="196"/>
      <c r="Z88" s="182"/>
      <c r="AA88" s="183"/>
      <c r="AB88" s="11"/>
      <c r="AC88" s="58"/>
      <c r="AJ88" s="58"/>
      <c r="AY88" s="26"/>
    </row>
    <row r="89" spans="2:51" ht="15">
      <c r="B89" s="12"/>
      <c r="C89" s="184"/>
      <c r="D89" s="409" t="str">
        <f>ROUND(V45,1)&amp;" kN/m2"</f>
        <v>-0.3 kN/m2</v>
      </c>
      <c r="E89" s="410"/>
      <c r="F89" s="410"/>
      <c r="G89" s="410"/>
      <c r="H89" s="410"/>
      <c r="I89" s="411" t="str">
        <f>D89</f>
        <v>-0.3 kN/m2</v>
      </c>
      <c r="J89" s="410"/>
      <c r="K89" s="410"/>
      <c r="L89" s="410"/>
      <c r="M89" s="412"/>
      <c r="N89" s="185"/>
      <c r="O89" s="185"/>
      <c r="P89" s="197"/>
      <c r="Q89" s="193"/>
      <c r="R89" s="193"/>
      <c r="S89" s="193"/>
      <c r="T89" s="193"/>
      <c r="U89" s="194"/>
      <c r="V89" s="193"/>
      <c r="W89" s="193"/>
      <c r="X89" s="193"/>
      <c r="Y89" s="196"/>
      <c r="Z89" s="182"/>
      <c r="AA89" s="183"/>
      <c r="AB89" s="11"/>
      <c r="AC89" s="58"/>
      <c r="AJ89" s="58"/>
      <c r="AY89" s="26"/>
    </row>
    <row r="90" spans="2:51" ht="15">
      <c r="B90" s="12"/>
      <c r="C90" s="184"/>
      <c r="D90" s="198"/>
      <c r="E90" s="199"/>
      <c r="F90" s="199"/>
      <c r="G90" s="199"/>
      <c r="H90" s="199"/>
      <c r="I90" s="216"/>
      <c r="J90" s="199"/>
      <c r="K90" s="199"/>
      <c r="L90" s="199"/>
      <c r="M90" s="200"/>
      <c r="N90" s="185"/>
      <c r="O90" s="185"/>
      <c r="P90" s="389" t="s">
        <v>158</v>
      </c>
      <c r="Q90" s="390"/>
      <c r="R90" s="390"/>
      <c r="S90" s="390"/>
      <c r="T90" s="390"/>
      <c r="U90" s="404" t="s">
        <v>158</v>
      </c>
      <c r="V90" s="390"/>
      <c r="W90" s="390"/>
      <c r="X90" s="390"/>
      <c r="Y90" s="395"/>
      <c r="Z90" s="182"/>
      <c r="AA90" s="183"/>
      <c r="AB90" s="11"/>
      <c r="AC90" s="58"/>
      <c r="AJ90" s="58"/>
      <c r="AY90" s="26"/>
    </row>
    <row r="91" spans="2:51" ht="15">
      <c r="B91" s="12"/>
      <c r="C91" s="184"/>
      <c r="D91" s="212"/>
      <c r="E91" s="213"/>
      <c r="F91" s="201"/>
      <c r="G91" s="214"/>
      <c r="H91" s="214"/>
      <c r="I91" s="215"/>
      <c r="J91" s="214"/>
      <c r="K91" s="213"/>
      <c r="L91" s="201"/>
      <c r="M91" s="202"/>
      <c r="N91" s="185"/>
      <c r="O91" s="185"/>
      <c r="P91" s="405" t="str">
        <f>ROUND(X44,1)&amp;" kN/m2"</f>
        <v>-0.3 kN/m2</v>
      </c>
      <c r="Q91" s="406"/>
      <c r="R91" s="406"/>
      <c r="S91" s="406"/>
      <c r="T91" s="406"/>
      <c r="U91" s="407" t="str">
        <f>P91</f>
        <v>-0.3 kN/m2</v>
      </c>
      <c r="V91" s="406"/>
      <c r="W91" s="406"/>
      <c r="X91" s="406"/>
      <c r="Y91" s="408"/>
      <c r="Z91" s="182"/>
      <c r="AA91" s="183"/>
      <c r="AB91" s="11"/>
      <c r="AC91" s="58"/>
      <c r="AJ91" s="58"/>
      <c r="AY91" s="26"/>
    </row>
    <row r="92" spans="2:51" ht="15">
      <c r="B92" s="12"/>
      <c r="C92" s="184"/>
      <c r="D92" s="389" t="s">
        <v>155</v>
      </c>
      <c r="E92" s="417"/>
      <c r="F92" s="394" t="s">
        <v>156</v>
      </c>
      <c r="G92" s="390"/>
      <c r="H92" s="390"/>
      <c r="I92" s="404" t="s">
        <v>156</v>
      </c>
      <c r="J92" s="390"/>
      <c r="K92" s="417"/>
      <c r="L92" s="394" t="s">
        <v>155</v>
      </c>
      <c r="M92" s="395"/>
      <c r="N92" s="185"/>
      <c r="O92" s="185"/>
      <c r="P92" s="409" t="str">
        <f>ROUND(X45,1)&amp;" kN/m2"</f>
        <v>0.3 kN/m2</v>
      </c>
      <c r="Q92" s="410"/>
      <c r="R92" s="410"/>
      <c r="S92" s="410"/>
      <c r="T92" s="410"/>
      <c r="U92" s="411" t="str">
        <f>P92</f>
        <v>0.3 kN/m2</v>
      </c>
      <c r="V92" s="410"/>
      <c r="W92" s="410"/>
      <c r="X92" s="410"/>
      <c r="Y92" s="412"/>
      <c r="Z92" s="182"/>
      <c r="AA92" s="183"/>
      <c r="AB92" s="11"/>
      <c r="AC92" s="58"/>
      <c r="AJ92" s="58"/>
      <c r="AY92" s="26"/>
    </row>
    <row r="93" spans="2:51" ht="15">
      <c r="B93" s="12"/>
      <c r="C93" s="184"/>
      <c r="D93" s="405" t="str">
        <f>ROUND(R44,1)&amp;" kN/m2"</f>
        <v>-1.4 kN/m2</v>
      </c>
      <c r="E93" s="413"/>
      <c r="F93" s="414" t="str">
        <f>ROUND(T44,1)&amp;" kN/m2"</f>
        <v>-1 kN/m2</v>
      </c>
      <c r="G93" s="406"/>
      <c r="H93" s="406"/>
      <c r="I93" s="407" t="str">
        <f>F93</f>
        <v>-1 kN/m2</v>
      </c>
      <c r="J93" s="406"/>
      <c r="K93" s="413"/>
      <c r="L93" s="414" t="str">
        <f>D93</f>
        <v>-1.4 kN/m2</v>
      </c>
      <c r="M93" s="408"/>
      <c r="N93" s="185"/>
      <c r="O93" s="185"/>
      <c r="P93" s="197"/>
      <c r="Q93" s="193"/>
      <c r="R93" s="193"/>
      <c r="S93" s="193"/>
      <c r="T93" s="193"/>
      <c r="U93" s="194"/>
      <c r="V93" s="193"/>
      <c r="W93" s="193"/>
      <c r="X93" s="193"/>
      <c r="Y93" s="196"/>
      <c r="Z93" s="182"/>
      <c r="AA93" s="183"/>
      <c r="AB93" s="11"/>
      <c r="AC93" s="58"/>
      <c r="AJ93" s="58"/>
      <c r="AY93" s="26"/>
    </row>
    <row r="94" spans="2:51" ht="15">
      <c r="B94" s="12"/>
      <c r="C94" s="184"/>
      <c r="D94" s="409" t="str">
        <f>ROUND(R45,1)&amp;" kN/m2"</f>
        <v>-1.1 kN/m2</v>
      </c>
      <c r="E94" s="415"/>
      <c r="F94" s="416" t="str">
        <f>ROUND(T45,1)&amp;" kN/m2"</f>
        <v>-0.7 kN/m2</v>
      </c>
      <c r="G94" s="410"/>
      <c r="H94" s="410"/>
      <c r="I94" s="411" t="str">
        <f>F94</f>
        <v>-0.7 kN/m2</v>
      </c>
      <c r="J94" s="410"/>
      <c r="K94" s="415"/>
      <c r="L94" s="416" t="str">
        <f>D94</f>
        <v>-1.1 kN/m2</v>
      </c>
      <c r="M94" s="412"/>
      <c r="N94" s="185"/>
      <c r="O94" s="185"/>
      <c r="P94" s="197"/>
      <c r="Q94" s="193"/>
      <c r="R94" s="193"/>
      <c r="S94" s="193"/>
      <c r="T94" s="193"/>
      <c r="U94" s="194"/>
      <c r="V94" s="193"/>
      <c r="W94" s="193"/>
      <c r="X94" s="193"/>
      <c r="Y94" s="196"/>
      <c r="Z94" s="182"/>
      <c r="AA94" s="183"/>
      <c r="AB94" s="11"/>
      <c r="AC94" s="58"/>
      <c r="AJ94" s="58"/>
      <c r="AY94" s="26"/>
    </row>
    <row r="95" spans="2:51" ht="15.75" thickBot="1">
      <c r="B95" s="12"/>
      <c r="C95" s="184"/>
      <c r="D95" s="204"/>
      <c r="E95" s="208"/>
      <c r="F95" s="206"/>
      <c r="G95" s="205"/>
      <c r="H95" s="205"/>
      <c r="I95" s="207"/>
      <c r="J95" s="205"/>
      <c r="K95" s="208"/>
      <c r="L95" s="206"/>
      <c r="M95" s="209"/>
      <c r="N95" s="185"/>
      <c r="O95" s="185"/>
      <c r="P95" s="198"/>
      <c r="Q95" s="199"/>
      <c r="R95" s="199"/>
      <c r="S95" s="199"/>
      <c r="T95" s="199"/>
      <c r="U95" s="216"/>
      <c r="V95" s="199"/>
      <c r="W95" s="199"/>
      <c r="X95" s="199"/>
      <c r="Y95" s="200"/>
      <c r="Z95" s="182"/>
      <c r="AA95" s="183"/>
      <c r="AB95" s="11"/>
      <c r="AC95" s="58"/>
      <c r="AJ95" s="58"/>
      <c r="AY95" s="26"/>
    </row>
    <row r="96" spans="2:51" ht="15">
      <c r="B96" s="12"/>
      <c r="C96" s="184"/>
      <c r="D96" s="185"/>
      <c r="E96" s="185"/>
      <c r="F96" s="185"/>
      <c r="G96" s="185"/>
      <c r="H96" s="185"/>
      <c r="I96" s="185"/>
      <c r="J96" s="185"/>
      <c r="K96" s="185"/>
      <c r="L96" s="185"/>
      <c r="M96" s="185"/>
      <c r="N96" s="185"/>
      <c r="O96" s="185"/>
      <c r="P96" s="185"/>
      <c r="Q96" s="185"/>
      <c r="R96" s="185"/>
      <c r="S96" s="185"/>
      <c r="T96" s="185"/>
      <c r="U96" s="185"/>
      <c r="V96" s="185"/>
      <c r="W96" s="185"/>
      <c r="X96" s="185"/>
      <c r="Y96" s="185"/>
      <c r="Z96" s="182"/>
      <c r="AA96" s="183"/>
      <c r="AB96" s="11"/>
      <c r="AC96" s="58"/>
      <c r="AJ96" s="58"/>
      <c r="AY96" s="26"/>
    </row>
    <row r="97" spans="1:51" ht="15">
      <c r="B97" s="12"/>
      <c r="C97" s="184"/>
      <c r="D97" s="185"/>
      <c r="E97" s="185"/>
      <c r="F97" s="185"/>
      <c r="G97" s="185"/>
      <c r="H97" s="185"/>
      <c r="I97" s="185"/>
      <c r="J97" s="185"/>
      <c r="K97" s="185"/>
      <c r="L97" s="185"/>
      <c r="M97" s="185"/>
      <c r="N97" s="185"/>
      <c r="O97" s="185"/>
      <c r="P97" s="185"/>
      <c r="Q97" s="185"/>
      <c r="R97" s="185"/>
      <c r="S97" s="185"/>
      <c r="T97" s="185"/>
      <c r="U97" s="185"/>
      <c r="V97" s="185"/>
      <c r="W97" s="185"/>
      <c r="X97" s="185"/>
      <c r="Y97" s="185"/>
      <c r="Z97" s="182"/>
      <c r="AA97" s="183"/>
      <c r="AB97" s="11"/>
      <c r="AC97" s="58"/>
      <c r="AJ97" s="58"/>
      <c r="AY97" s="26"/>
    </row>
    <row r="98" spans="1:51" ht="15">
      <c r="B98" s="12"/>
      <c r="C98" s="217"/>
      <c r="D98" s="218"/>
      <c r="E98" s="218"/>
      <c r="F98" s="218"/>
      <c r="G98" s="218"/>
      <c r="H98" s="218"/>
      <c r="I98" s="218"/>
      <c r="J98" s="218"/>
      <c r="K98" s="218"/>
      <c r="L98" s="218"/>
      <c r="M98" s="218"/>
      <c r="N98" s="218"/>
      <c r="O98" s="218"/>
      <c r="P98" s="218"/>
      <c r="Q98" s="218"/>
      <c r="R98" s="218"/>
      <c r="S98" s="218"/>
      <c r="T98" s="218"/>
      <c r="U98" s="218"/>
      <c r="V98" s="218"/>
      <c r="W98" s="218"/>
      <c r="X98" s="218"/>
      <c r="Y98" s="219"/>
      <c r="Z98" s="219"/>
      <c r="AA98" s="220"/>
      <c r="AB98" s="11"/>
      <c r="AC98" s="58"/>
      <c r="AJ98" s="58"/>
      <c r="AY98" s="26"/>
    </row>
    <row r="99" spans="1:51">
      <c r="AY99" s="26">
        <v>125</v>
      </c>
    </row>
    <row r="100" spans="1:51">
      <c r="C100" s="250" t="s">
        <v>243</v>
      </c>
      <c r="D100" s="250"/>
      <c r="E100" s="251">
        <v>8</v>
      </c>
      <c r="F100" s="251"/>
      <c r="G100" s="252" t="s">
        <v>172</v>
      </c>
      <c r="H100" s="253"/>
      <c r="AY100" s="26">
        <v>126</v>
      </c>
    </row>
    <row r="101" spans="1:51">
      <c r="C101" s="250"/>
      <c r="D101" s="250"/>
      <c r="E101" s="251"/>
      <c r="F101" s="251"/>
      <c r="G101" s="253"/>
      <c r="H101" s="253"/>
      <c r="AY101" s="26">
        <v>127</v>
      </c>
    </row>
    <row r="102" spans="1:51">
      <c r="AY102" s="26">
        <v>128</v>
      </c>
    </row>
    <row r="103" spans="1:51" ht="15">
      <c r="A103" s="240" t="s">
        <v>244</v>
      </c>
      <c r="B103" s="240"/>
      <c r="C103" s="239"/>
      <c r="D103" s="239"/>
      <c r="E103" s="238" t="s">
        <v>25</v>
      </c>
      <c r="F103" s="238"/>
      <c r="G103" s="238" t="s">
        <v>26</v>
      </c>
      <c r="H103" s="238"/>
      <c r="I103" s="238" t="s">
        <v>27</v>
      </c>
      <c r="J103" s="238"/>
      <c r="K103" s="241" t="s">
        <v>5</v>
      </c>
      <c r="L103" s="238"/>
      <c r="P103" s="242"/>
      <c r="Q103" s="243"/>
      <c r="R103" s="237" t="s">
        <v>15</v>
      </c>
      <c r="S103" s="237"/>
      <c r="T103" s="237" t="s">
        <v>1</v>
      </c>
      <c r="U103" s="237"/>
      <c r="V103" s="237" t="s">
        <v>0</v>
      </c>
      <c r="W103" s="238"/>
      <c r="AY103" s="26">
        <v>129</v>
      </c>
    </row>
    <row r="104" spans="1:51">
      <c r="A104" s="240"/>
      <c r="B104" s="240"/>
      <c r="C104" s="239" t="str">
        <f>P44</f>
        <v>TH1</v>
      </c>
      <c r="D104" s="239"/>
      <c r="E104" s="244"/>
      <c r="F104" s="245"/>
      <c r="G104" s="245"/>
      <c r="H104" s="246"/>
      <c r="I104" s="236">
        <f>V44*$E$100</f>
        <v>-4.9911873617475093</v>
      </c>
      <c r="J104" s="236"/>
      <c r="K104" s="236">
        <f>X44*$E$100</f>
        <v>-2.2183054941100044</v>
      </c>
      <c r="L104" s="236"/>
      <c r="P104" s="239" t="str">
        <f>C44</f>
        <v>TH1</v>
      </c>
      <c r="Q104" s="239"/>
      <c r="R104" s="236">
        <f>E44*$E$100</f>
        <v>-4.2443583592973031</v>
      </c>
      <c r="S104" s="236"/>
      <c r="T104" s="236">
        <f>G44*$E$100</f>
        <v>-5.5457637352750098</v>
      </c>
      <c r="U104" s="236"/>
      <c r="V104" s="236">
        <f>I44*$E$100</f>
        <v>-3.3274582411650067</v>
      </c>
      <c r="W104" s="236"/>
      <c r="AY104" s="26">
        <v>130</v>
      </c>
    </row>
    <row r="105" spans="1:51">
      <c r="A105" s="240"/>
      <c r="B105" s="240"/>
      <c r="C105" s="239" t="str">
        <f>P45</f>
        <v>TH2</v>
      </c>
      <c r="D105" s="239"/>
      <c r="E105" s="247"/>
      <c r="F105" s="248"/>
      <c r="G105" s="248"/>
      <c r="H105" s="249"/>
      <c r="I105" s="236">
        <f>V45*$E$100</f>
        <v>-2.7728818676375049</v>
      </c>
      <c r="J105" s="236"/>
      <c r="K105" s="236">
        <f>X45*$E$100</f>
        <v>2.2183054941100044</v>
      </c>
      <c r="L105" s="236"/>
      <c r="P105" s="239" t="str">
        <f>C45</f>
        <v>TH2</v>
      </c>
      <c r="Q105" s="239"/>
      <c r="R105" s="236">
        <f>E45*$E$100</f>
        <v>-2.0260528651872991</v>
      </c>
      <c r="S105" s="236"/>
      <c r="T105" s="236">
        <f>G45*$E$100</f>
        <v>-3.3274582411650058</v>
      </c>
      <c r="U105" s="236"/>
      <c r="V105" s="236">
        <f>I45*$E$100</f>
        <v>-1.1091527470550022</v>
      </c>
      <c r="W105" s="236"/>
      <c r="AY105" s="26">
        <v>131</v>
      </c>
    </row>
    <row r="106" spans="1:51">
      <c r="AY106" s="26">
        <v>132</v>
      </c>
    </row>
    <row r="107" spans="1:51" ht="15">
      <c r="A107" s="240" t="s">
        <v>245</v>
      </c>
      <c r="B107" s="240"/>
      <c r="C107" s="239"/>
      <c r="D107" s="239"/>
      <c r="E107" s="238" t="s">
        <v>25</v>
      </c>
      <c r="F107" s="238"/>
      <c r="G107" s="238" t="s">
        <v>26</v>
      </c>
      <c r="H107" s="238"/>
      <c r="I107" s="238" t="s">
        <v>27</v>
      </c>
      <c r="J107" s="238"/>
      <c r="K107" s="241" t="s">
        <v>5</v>
      </c>
      <c r="L107" s="238"/>
      <c r="P107" s="242"/>
      <c r="Q107" s="243"/>
      <c r="R107" s="237" t="s">
        <v>15</v>
      </c>
      <c r="S107" s="237"/>
      <c r="T107" s="237" t="s">
        <v>1</v>
      </c>
      <c r="U107" s="237"/>
      <c r="V107" s="237" t="s">
        <v>0</v>
      </c>
      <c r="W107" s="238"/>
      <c r="AY107" s="26">
        <v>133</v>
      </c>
    </row>
    <row r="108" spans="1:51">
      <c r="A108" s="240"/>
      <c r="B108" s="240"/>
      <c r="C108" s="239" t="str">
        <f>C104</f>
        <v>TH1</v>
      </c>
      <c r="D108" s="239"/>
      <c r="E108" s="236">
        <f>R44*$E$100/2</f>
        <v>-5.5457637352750107</v>
      </c>
      <c r="F108" s="236"/>
      <c r="G108" s="236">
        <f>T44*$E$100/2</f>
        <v>-3.8820346146925075</v>
      </c>
      <c r="H108" s="236"/>
      <c r="I108" s="244"/>
      <c r="J108" s="245"/>
      <c r="K108" s="245"/>
      <c r="L108" s="246"/>
      <c r="P108" s="239" t="str">
        <f>P104</f>
        <v>TH1</v>
      </c>
      <c r="Q108" s="239"/>
      <c r="R108" s="236">
        <f>R104/2</f>
        <v>-2.1221791796486515</v>
      </c>
      <c r="S108" s="236"/>
      <c r="T108" s="236">
        <f t="shared" ref="T108:T109" si="16">T104/2</f>
        <v>-2.7728818676375049</v>
      </c>
      <c r="U108" s="236"/>
      <c r="V108" s="236">
        <f t="shared" ref="V108:V109" si="17">V104/2</f>
        <v>-1.6637291205825033</v>
      </c>
      <c r="W108" s="236"/>
      <c r="AY108" s="26">
        <v>134</v>
      </c>
    </row>
    <row r="109" spans="1:51">
      <c r="A109" s="240"/>
      <c r="B109" s="240"/>
      <c r="C109" s="239" t="str">
        <f>C105</f>
        <v>TH2</v>
      </c>
      <c r="D109" s="239"/>
      <c r="E109" s="236">
        <f>R45*$E$100/2</f>
        <v>-4.436610988220008</v>
      </c>
      <c r="F109" s="236"/>
      <c r="G109" s="236">
        <f>T45*$E$100/2</f>
        <v>-2.7728818676375049</v>
      </c>
      <c r="H109" s="236"/>
      <c r="I109" s="247"/>
      <c r="J109" s="248"/>
      <c r="K109" s="248"/>
      <c r="L109" s="249"/>
      <c r="P109" s="239" t="str">
        <f>P105</f>
        <v>TH2</v>
      </c>
      <c r="Q109" s="239"/>
      <c r="R109" s="236">
        <f>R105/2</f>
        <v>-1.0130264325936496</v>
      </c>
      <c r="S109" s="236"/>
      <c r="T109" s="236">
        <f t="shared" si="16"/>
        <v>-1.6637291205825029</v>
      </c>
      <c r="U109" s="236"/>
      <c r="V109" s="236">
        <f t="shared" si="17"/>
        <v>-0.55457637352750111</v>
      </c>
      <c r="W109" s="236"/>
      <c r="AY109" s="26">
        <v>135</v>
      </c>
    </row>
    <row r="110" spans="1:51">
      <c r="AY110" s="26">
        <v>136</v>
      </c>
    </row>
    <row r="111" spans="1:51">
      <c r="AY111" s="26">
        <v>137</v>
      </c>
    </row>
    <row r="112" spans="1:51">
      <c r="AY112" s="26">
        <v>138</v>
      </c>
    </row>
    <row r="113" spans="51:51">
      <c r="AY113" s="26">
        <v>139</v>
      </c>
    </row>
    <row r="114" spans="51:51">
      <c r="AY114" s="26">
        <v>140</v>
      </c>
    </row>
    <row r="115" spans="51:51">
      <c r="AY115" s="26">
        <v>141</v>
      </c>
    </row>
    <row r="116" spans="51:51">
      <c r="AY116" s="26">
        <v>142</v>
      </c>
    </row>
    <row r="117" spans="51:51">
      <c r="AY117" s="26">
        <v>143</v>
      </c>
    </row>
    <row r="118" spans="51:51">
      <c r="AY118" s="26">
        <v>144</v>
      </c>
    </row>
    <row r="119" spans="51:51">
      <c r="AY119" s="26">
        <v>145</v>
      </c>
    </row>
    <row r="120" spans="51:51">
      <c r="AY120" s="26">
        <v>146</v>
      </c>
    </row>
    <row r="121" spans="51:51">
      <c r="AY121" s="26">
        <v>147</v>
      </c>
    </row>
    <row r="122" spans="51:51">
      <c r="AY122" s="26">
        <v>148</v>
      </c>
    </row>
    <row r="123" spans="51:51">
      <c r="AY123" s="26">
        <v>149</v>
      </c>
    </row>
    <row r="124" spans="51:51">
      <c r="AY124" s="26">
        <v>150</v>
      </c>
    </row>
    <row r="125" spans="51:51">
      <c r="AY125" s="26">
        <v>151</v>
      </c>
    </row>
    <row r="126" spans="51:51">
      <c r="AY126" s="26">
        <v>152</v>
      </c>
    </row>
    <row r="127" spans="51:51">
      <c r="AY127" s="26">
        <v>153</v>
      </c>
    </row>
    <row r="128" spans="51:51">
      <c r="AY128" s="26">
        <v>154</v>
      </c>
    </row>
    <row r="129" spans="26:51">
      <c r="AY129" s="26">
        <v>155</v>
      </c>
    </row>
    <row r="130" spans="26:51">
      <c r="AY130" s="26">
        <v>156</v>
      </c>
    </row>
    <row r="131" spans="26:51">
      <c r="AY131" s="26">
        <v>157</v>
      </c>
    </row>
    <row r="132" spans="26:51">
      <c r="AY132" s="26">
        <v>158</v>
      </c>
    </row>
    <row r="136" spans="26:51">
      <c r="Z136" s="16" t="s">
        <v>48</v>
      </c>
    </row>
  </sheetData>
  <mergeCells count="288">
    <mergeCell ref="D94:E94"/>
    <mergeCell ref="F94:H94"/>
    <mergeCell ref="I94:K94"/>
    <mergeCell ref="L94:M94"/>
    <mergeCell ref="D58:F58"/>
    <mergeCell ref="D59:F59"/>
    <mergeCell ref="D60:F60"/>
    <mergeCell ref="G58:J58"/>
    <mergeCell ref="G60:J60"/>
    <mergeCell ref="G59:J59"/>
    <mergeCell ref="D92:E92"/>
    <mergeCell ref="F92:H92"/>
    <mergeCell ref="I92:K92"/>
    <mergeCell ref="L92:M92"/>
    <mergeCell ref="D81:H81"/>
    <mergeCell ref="I81:M81"/>
    <mergeCell ref="D82:H82"/>
    <mergeCell ref="I82:M82"/>
    <mergeCell ref="D80:H80"/>
    <mergeCell ref="I80:M80"/>
    <mergeCell ref="C73:AA73"/>
    <mergeCell ref="P77:Q77"/>
    <mergeCell ref="R77:T77"/>
    <mergeCell ref="U77:W77"/>
    <mergeCell ref="P92:T92"/>
    <mergeCell ref="U92:Y92"/>
    <mergeCell ref="D93:E93"/>
    <mergeCell ref="F93:H93"/>
    <mergeCell ref="I93:K93"/>
    <mergeCell ref="L93:M93"/>
    <mergeCell ref="D87:H87"/>
    <mergeCell ref="I87:M87"/>
    <mergeCell ref="D88:H88"/>
    <mergeCell ref="I88:M88"/>
    <mergeCell ref="D89:H89"/>
    <mergeCell ref="I89:M89"/>
    <mergeCell ref="P90:T90"/>
    <mergeCell ref="U90:Y90"/>
    <mergeCell ref="P91:T91"/>
    <mergeCell ref="U91:Y91"/>
    <mergeCell ref="P82:T82"/>
    <mergeCell ref="U82:Y82"/>
    <mergeCell ref="P83:T83"/>
    <mergeCell ref="U83:Y83"/>
    <mergeCell ref="P84:T84"/>
    <mergeCell ref="U84:Y84"/>
    <mergeCell ref="P78:Q78"/>
    <mergeCell ref="R78:T78"/>
    <mergeCell ref="U78:W78"/>
    <mergeCell ref="X78:Y78"/>
    <mergeCell ref="P79:Q79"/>
    <mergeCell ref="R79:T79"/>
    <mergeCell ref="U79:W79"/>
    <mergeCell ref="X79:Y79"/>
    <mergeCell ref="X77:Y77"/>
    <mergeCell ref="K59:M59"/>
    <mergeCell ref="P59:R59"/>
    <mergeCell ref="K60:M60"/>
    <mergeCell ref="P60:R60"/>
    <mergeCell ref="S59:V59"/>
    <mergeCell ref="W59:Y59"/>
    <mergeCell ref="S60:V60"/>
    <mergeCell ref="W60:Y60"/>
    <mergeCell ref="K58:M58"/>
    <mergeCell ref="P58:R58"/>
    <mergeCell ref="S58:V58"/>
    <mergeCell ref="W58:Y58"/>
    <mergeCell ref="G37:H37"/>
    <mergeCell ref="I37:J37"/>
    <mergeCell ref="G39:H39"/>
    <mergeCell ref="I39:J39"/>
    <mergeCell ref="I38:J38"/>
    <mergeCell ref="T38:U38"/>
    <mergeCell ref="V38:W38"/>
    <mergeCell ref="X38:Y38"/>
    <mergeCell ref="T41:U41"/>
    <mergeCell ref="V41:W41"/>
    <mergeCell ref="X41:Y41"/>
    <mergeCell ref="T40:U40"/>
    <mergeCell ref="V40:W40"/>
    <mergeCell ref="X40:Y40"/>
    <mergeCell ref="T42:U42"/>
    <mergeCell ref="V42:W42"/>
    <mergeCell ref="X42:Y42"/>
    <mergeCell ref="T43:U43"/>
    <mergeCell ref="T44:U44"/>
    <mergeCell ref="V44:W44"/>
    <mergeCell ref="E42:F42"/>
    <mergeCell ref="G42:H42"/>
    <mergeCell ref="I42:J42"/>
    <mergeCell ref="E38:F38"/>
    <mergeCell ref="G38:H38"/>
    <mergeCell ref="E39:F39"/>
    <mergeCell ref="E37:F37"/>
    <mergeCell ref="AP25:AQ25"/>
    <mergeCell ref="AL30:AM30"/>
    <mergeCell ref="AP30:AQ30"/>
    <mergeCell ref="E35:F35"/>
    <mergeCell ref="C34:J34"/>
    <mergeCell ref="G35:H35"/>
    <mergeCell ref="AE29:AG29"/>
    <mergeCell ref="AE28:AG28"/>
    <mergeCell ref="AE30:AG30"/>
    <mergeCell ref="AE31:AG31"/>
    <mergeCell ref="AD27:AG27"/>
    <mergeCell ref="AL25:AM25"/>
    <mergeCell ref="I36:J36"/>
    <mergeCell ref="P26:AA26"/>
    <mergeCell ref="P27:AA27"/>
    <mergeCell ref="Z36:AA36"/>
    <mergeCell ref="Z37:AA37"/>
    <mergeCell ref="E36:F36"/>
    <mergeCell ref="G36:H36"/>
    <mergeCell ref="C35:D35"/>
    <mergeCell ref="AC7:AC10"/>
    <mergeCell ref="L13:N13"/>
    <mergeCell ref="M16:N16"/>
    <mergeCell ref="J16:L16"/>
    <mergeCell ref="M18:N18"/>
    <mergeCell ref="P15:Q16"/>
    <mergeCell ref="K19:L19"/>
    <mergeCell ref="K20:L20"/>
    <mergeCell ref="K21:L21"/>
    <mergeCell ref="K18:L18"/>
    <mergeCell ref="M20:N20"/>
    <mergeCell ref="V7:X10"/>
    <mergeCell ref="Y7:AB10"/>
    <mergeCell ref="J15:N15"/>
    <mergeCell ref="B7:U10"/>
    <mergeCell ref="C14:N14"/>
    <mergeCell ref="E23:F23"/>
    <mergeCell ref="Z31:AA31"/>
    <mergeCell ref="Z32:AA32"/>
    <mergeCell ref="G17:I17"/>
    <mergeCell ref="J17:N17"/>
    <mergeCell ref="I45:J45"/>
    <mergeCell ref="R44:S44"/>
    <mergeCell ref="R45:S45"/>
    <mergeCell ref="R38:S38"/>
    <mergeCell ref="M38:N38"/>
    <mergeCell ref="R40:S40"/>
    <mergeCell ref="R41:S41"/>
    <mergeCell ref="M41:N41"/>
    <mergeCell ref="M40:N40"/>
    <mergeCell ref="R42:S42"/>
    <mergeCell ref="M42:N42"/>
    <mergeCell ref="R43:S43"/>
    <mergeCell ref="C26:N26"/>
    <mergeCell ref="E29:F29"/>
    <mergeCell ref="K24:L24"/>
    <mergeCell ref="J29:K29"/>
    <mergeCell ref="L29:M29"/>
    <mergeCell ref="T35:U35"/>
    <mergeCell ref="V35:W35"/>
    <mergeCell ref="X35:Y35"/>
    <mergeCell ref="P35:Q35"/>
    <mergeCell ref="R35:S35"/>
    <mergeCell ref="M30:N30"/>
    <mergeCell ref="M32:N32"/>
    <mergeCell ref="E28:F28"/>
    <mergeCell ref="J28:K28"/>
    <mergeCell ref="H29:I29"/>
    <mergeCell ref="H28:I28"/>
    <mergeCell ref="C15:F15"/>
    <mergeCell ref="AD37:AE38"/>
    <mergeCell ref="AF37:AI37"/>
    <mergeCell ref="AD39:AE39"/>
    <mergeCell ref="AD40:AD42"/>
    <mergeCell ref="AD45:AE45"/>
    <mergeCell ref="L28:M28"/>
    <mergeCell ref="M35:N35"/>
    <mergeCell ref="R36:S36"/>
    <mergeCell ref="M19:N19"/>
    <mergeCell ref="G16:I16"/>
    <mergeCell ref="M31:N31"/>
    <mergeCell ref="V43:W43"/>
    <mergeCell ref="C16:F16"/>
    <mergeCell ref="I35:J35"/>
    <mergeCell ref="Z35:AA35"/>
    <mergeCell ref="P29:AA29"/>
    <mergeCell ref="M23:N23"/>
    <mergeCell ref="I23:J23"/>
    <mergeCell ref="C17:F17"/>
    <mergeCell ref="C27:D27"/>
    <mergeCell ref="E27:F27"/>
    <mergeCell ref="M27:N27"/>
    <mergeCell ref="X44:Y44"/>
    <mergeCell ref="M22:N22"/>
    <mergeCell ref="M21:N21"/>
    <mergeCell ref="K22:L22"/>
    <mergeCell ref="P30:Y30"/>
    <mergeCell ref="M45:N45"/>
    <mergeCell ref="Z39:AA39"/>
    <mergeCell ref="E40:F40"/>
    <mergeCell ref="G40:H40"/>
    <mergeCell ref="I40:J40"/>
    <mergeCell ref="Z40:AA40"/>
    <mergeCell ref="E41:F41"/>
    <mergeCell ref="G41:H41"/>
    <mergeCell ref="I41:J41"/>
    <mergeCell ref="Z41:AA41"/>
    <mergeCell ref="Z42:AA42"/>
    <mergeCell ref="E43:F43"/>
    <mergeCell ref="G43:H43"/>
    <mergeCell ref="I43:J43"/>
    <mergeCell ref="Z43:AA43"/>
    <mergeCell ref="Z38:AA38"/>
    <mergeCell ref="M44:N44"/>
    <mergeCell ref="X43:Y43"/>
    <mergeCell ref="M43:N43"/>
    <mergeCell ref="M24:N24"/>
    <mergeCell ref="C47:AA47"/>
    <mergeCell ref="T45:U45"/>
    <mergeCell ref="V45:W45"/>
    <mergeCell ref="X45:Y45"/>
    <mergeCell ref="Z30:AA30"/>
    <mergeCell ref="AD33:AF33"/>
    <mergeCell ref="R37:S37"/>
    <mergeCell ref="R39:S39"/>
    <mergeCell ref="T37:U37"/>
    <mergeCell ref="V37:W37"/>
    <mergeCell ref="X37:Y37"/>
    <mergeCell ref="P34:Y34"/>
    <mergeCell ref="T39:U39"/>
    <mergeCell ref="V39:W39"/>
    <mergeCell ref="X39:Y39"/>
    <mergeCell ref="T36:U36"/>
    <mergeCell ref="V36:W36"/>
    <mergeCell ref="X36:Y36"/>
    <mergeCell ref="M36:N36"/>
    <mergeCell ref="E44:F44"/>
    <mergeCell ref="E45:F45"/>
    <mergeCell ref="G44:H44"/>
    <mergeCell ref="G45:H45"/>
    <mergeCell ref="I44:J44"/>
    <mergeCell ref="C100:D101"/>
    <mergeCell ref="E100:F101"/>
    <mergeCell ref="G100:H101"/>
    <mergeCell ref="E103:F103"/>
    <mergeCell ref="G103:H103"/>
    <mergeCell ref="I103:J103"/>
    <mergeCell ref="K103:L103"/>
    <mergeCell ref="I104:J104"/>
    <mergeCell ref="K104:L104"/>
    <mergeCell ref="E104:H105"/>
    <mergeCell ref="V103:W103"/>
    <mergeCell ref="P104:Q104"/>
    <mergeCell ref="R104:S104"/>
    <mergeCell ref="T104:U104"/>
    <mergeCell ref="V104:W104"/>
    <mergeCell ref="P105:Q105"/>
    <mergeCell ref="R105:S105"/>
    <mergeCell ref="T105:U105"/>
    <mergeCell ref="V105:W105"/>
    <mergeCell ref="P103:Q103"/>
    <mergeCell ref="R103:S103"/>
    <mergeCell ref="T103:U103"/>
    <mergeCell ref="A103:B105"/>
    <mergeCell ref="A107:B109"/>
    <mergeCell ref="C107:D107"/>
    <mergeCell ref="E107:F107"/>
    <mergeCell ref="G107:H107"/>
    <mergeCell ref="I107:J107"/>
    <mergeCell ref="K107:L107"/>
    <mergeCell ref="P107:Q107"/>
    <mergeCell ref="R107:S107"/>
    <mergeCell ref="C109:D109"/>
    <mergeCell ref="E109:F109"/>
    <mergeCell ref="G109:H109"/>
    <mergeCell ref="P109:Q109"/>
    <mergeCell ref="R109:S109"/>
    <mergeCell ref="I105:J105"/>
    <mergeCell ref="K105:L105"/>
    <mergeCell ref="C104:D104"/>
    <mergeCell ref="C105:D105"/>
    <mergeCell ref="C103:D103"/>
    <mergeCell ref="I108:L109"/>
    <mergeCell ref="T109:U109"/>
    <mergeCell ref="V109:W109"/>
    <mergeCell ref="T107:U107"/>
    <mergeCell ref="V107:W107"/>
    <mergeCell ref="C108:D108"/>
    <mergeCell ref="E108:F108"/>
    <mergeCell ref="G108:H108"/>
    <mergeCell ref="P108:Q108"/>
    <mergeCell ref="R108:S108"/>
    <mergeCell ref="T108:U108"/>
    <mergeCell ref="V108:W108"/>
  </mergeCells>
  <conditionalFormatting sqref="Z17:AA17">
    <cfRule type="expression" dxfId="2" priority="8">
      <formula>$Y$15=INDEX(Site_terrain_type,1)</formula>
    </cfRule>
  </conditionalFormatting>
  <conditionalFormatting sqref="O21:O24">
    <cfRule type="containsText" dxfId="1" priority="3" operator="containsText" text="Clear">
      <formula>NOT(ISERROR(SEARCH("Clear",O21)))</formula>
    </cfRule>
  </conditionalFormatting>
  <conditionalFormatting sqref="AH28:AH31">
    <cfRule type="containsText" dxfId="0" priority="2" operator="containsText" text="TRUE">
      <formula>NOT(ISERROR(SEARCH("TRUE",AH28)))</formula>
    </cfRule>
  </conditionalFormatting>
  <dataValidations count="5">
    <dataValidation type="list" allowBlank="1" showInputMessage="1" showErrorMessage="1" sqref="M27:N27 Z15:AA15" xr:uid="{CC022615-ADCB-4B83-92AD-23CCBC9D0E9C}">
      <formula1>"A,B,C"</formula1>
    </dataValidation>
    <dataValidation type="list" allowBlank="1" showInputMessage="1" showErrorMessage="1" sqref="E27:F27" xr:uid="{556CF21A-B04A-4707-AEEA-F00AA9FE3B9D}">
      <formula1>"I,II,III,IV,V"</formula1>
    </dataValidation>
    <dataValidation type="list" allowBlank="1" showInputMessage="1" showErrorMessage="1" sqref="AC7:AC10" xr:uid="{72F658D1-28B7-40F2-886D-386B91232F3A}">
      <formula1>$AZ$7:$BA$7</formula1>
    </dataValidation>
    <dataValidation type="list" allowBlank="1" showInputMessage="1" showErrorMessage="1" sqref="G16" xr:uid="{3E6F9B29-9852-463A-9A52-D8520D68CB8F}">
      <formula1>"RC building,Steel building"</formula1>
    </dataValidation>
    <dataValidation type="list" allowBlank="1" showInputMessage="1" showErrorMessage="1" sqref="G17:I17" xr:uid="{376DE9AE-8FE8-4D82-BB82-4C2AA31D1DD4}">
      <formula1>$AD$11:$AD$12</formula1>
    </dataValidation>
  </dataValidations>
  <pageMargins left="0.7" right="0.7" top="0.75" bottom="0.75" header="0.3" footer="0.3"/>
  <pageSetup orientation="portrait" r:id="rId1"/>
  <ignoredErrors>
    <ignoredError sqref="J16:J17 M24 Z31:Z32" unlockedFormula="1"/>
  </ignoredErrors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02D9F-FAB9-457F-BDD6-3DE08335EE14}">
  <sheetPr codeName="Sheet2"/>
  <dimension ref="A1:BD112"/>
  <sheetViews>
    <sheetView view="pageBreakPreview" zoomScale="115" zoomScaleNormal="160" zoomScaleSheetLayoutView="115" workbookViewId="0">
      <selection activeCell="N20" sqref="N20"/>
    </sheetView>
  </sheetViews>
  <sheetFormatPr defaultRowHeight="12.75"/>
  <cols>
    <col min="1" max="1" width="9.140625" style="35"/>
    <col min="2" max="2" width="9.140625" style="9" customWidth="1"/>
    <col min="3" max="10" width="9.140625" style="9"/>
    <col min="11" max="11" width="9.140625" style="35"/>
    <col min="12" max="25" width="9.140625" style="9"/>
    <col min="26" max="27" width="37.140625" style="9" customWidth="1"/>
    <col min="28" max="16384" width="9.140625" style="9"/>
  </cols>
  <sheetData>
    <row r="1" spans="2:27" s="35" customFormat="1"/>
    <row r="2" spans="2:27" s="35" customFormat="1" ht="13.5" thickBot="1"/>
    <row r="3" spans="2:27" ht="13.5" customHeight="1">
      <c r="B3" s="438"/>
      <c r="C3" s="452"/>
      <c r="D3" s="453"/>
      <c r="E3" s="454"/>
      <c r="F3" s="454"/>
      <c r="G3" s="454"/>
      <c r="H3" s="455"/>
      <c r="I3" s="452"/>
      <c r="J3" s="439"/>
      <c r="Y3" s="26">
        <v>29</v>
      </c>
      <c r="Z3" s="40" t="s">
        <v>50</v>
      </c>
      <c r="AA3" s="40" t="s">
        <v>78</v>
      </c>
    </row>
    <row r="4" spans="2:27" ht="13.5" customHeight="1">
      <c r="B4" s="423"/>
      <c r="C4" s="436"/>
      <c r="D4" s="430"/>
      <c r="E4" s="431"/>
      <c r="F4" s="431"/>
      <c r="G4" s="431"/>
      <c r="H4" s="432"/>
      <c r="I4" s="436"/>
      <c r="J4" s="424"/>
      <c r="Y4" s="26">
        <v>30</v>
      </c>
      <c r="Z4" s="40" t="s">
        <v>51</v>
      </c>
      <c r="AA4" s="40" t="s">
        <v>79</v>
      </c>
    </row>
    <row r="5" spans="2:27">
      <c r="B5" s="423"/>
      <c r="C5" s="436"/>
      <c r="D5" s="427"/>
      <c r="E5" s="428"/>
      <c r="F5" s="428"/>
      <c r="G5" s="428"/>
      <c r="H5" s="429"/>
      <c r="I5" s="436"/>
      <c r="J5" s="424"/>
      <c r="Y5" s="26">
        <v>31</v>
      </c>
      <c r="Z5" s="40" t="s">
        <v>113</v>
      </c>
      <c r="AA5" s="40" t="s">
        <v>118</v>
      </c>
    </row>
    <row r="6" spans="2:27" ht="15.75" customHeight="1">
      <c r="B6" s="423"/>
      <c r="C6" s="436"/>
      <c r="D6" s="430"/>
      <c r="E6" s="431"/>
      <c r="F6" s="431"/>
      <c r="G6" s="431"/>
      <c r="H6" s="432"/>
      <c r="I6" s="436"/>
      <c r="J6" s="424"/>
      <c r="Y6" s="26">
        <v>32</v>
      </c>
      <c r="Z6" s="40" t="s">
        <v>80</v>
      </c>
      <c r="AA6" s="40" t="s">
        <v>81</v>
      </c>
    </row>
    <row r="7" spans="2:27">
      <c r="B7" s="443"/>
      <c r="C7" s="446"/>
      <c r="D7" s="427"/>
      <c r="E7" s="428"/>
      <c r="F7" s="428"/>
      <c r="G7" s="428"/>
      <c r="H7" s="429"/>
      <c r="I7" s="446"/>
      <c r="J7" s="440"/>
      <c r="Y7" s="26">
        <v>33</v>
      </c>
      <c r="Z7" s="40" t="s">
        <v>82</v>
      </c>
      <c r="AA7" s="40" t="s">
        <v>83</v>
      </c>
    </row>
    <row r="8" spans="2:27">
      <c r="B8" s="444"/>
      <c r="C8" s="447"/>
      <c r="D8" s="449"/>
      <c r="E8" s="450"/>
      <c r="F8" s="450"/>
      <c r="G8" s="450"/>
      <c r="H8" s="451"/>
      <c r="I8" s="447"/>
      <c r="J8" s="441"/>
      <c r="Y8" s="26">
        <v>34</v>
      </c>
      <c r="Z8" s="40" t="s">
        <v>84</v>
      </c>
      <c r="AA8" s="40" t="s">
        <v>85</v>
      </c>
    </row>
    <row r="9" spans="2:27">
      <c r="B9" s="444"/>
      <c r="C9" s="447"/>
      <c r="D9" s="449"/>
      <c r="E9" s="450"/>
      <c r="F9" s="450"/>
      <c r="G9" s="450"/>
      <c r="H9" s="451"/>
      <c r="I9" s="447"/>
      <c r="J9" s="441"/>
      <c r="Y9" s="26">
        <v>35</v>
      </c>
      <c r="Z9" s="40" t="s">
        <v>50</v>
      </c>
      <c r="AA9" s="40" t="s">
        <v>114</v>
      </c>
    </row>
    <row r="10" spans="2:27">
      <c r="B10" s="444"/>
      <c r="C10" s="447"/>
      <c r="D10" s="449"/>
      <c r="E10" s="450"/>
      <c r="F10" s="450"/>
      <c r="G10" s="450"/>
      <c r="H10" s="451"/>
      <c r="I10" s="447"/>
      <c r="J10" s="441"/>
      <c r="Y10" s="26">
        <v>36</v>
      </c>
      <c r="Z10" s="40" t="s">
        <v>51</v>
      </c>
      <c r="AA10" s="40" t="s">
        <v>115</v>
      </c>
    </row>
    <row r="11" spans="2:27">
      <c r="B11" s="444"/>
      <c r="C11" s="447"/>
      <c r="D11" s="449"/>
      <c r="E11" s="450"/>
      <c r="F11" s="450"/>
      <c r="G11" s="450"/>
      <c r="H11" s="451"/>
      <c r="I11" s="447"/>
      <c r="J11" s="441"/>
      <c r="Y11" s="26">
        <v>37</v>
      </c>
      <c r="Z11" s="44" t="s">
        <v>21</v>
      </c>
      <c r="AA11" s="44" t="s">
        <v>119</v>
      </c>
    </row>
    <row r="12" spans="2:27">
      <c r="B12" s="444"/>
      <c r="C12" s="447"/>
      <c r="D12" s="449"/>
      <c r="E12" s="450"/>
      <c r="F12" s="450"/>
      <c r="G12" s="450"/>
      <c r="H12" s="451"/>
      <c r="I12" s="447"/>
      <c r="J12" s="441"/>
      <c r="Y12" s="26">
        <v>38</v>
      </c>
      <c r="Z12" s="39"/>
      <c r="AA12" s="39"/>
    </row>
    <row r="13" spans="2:27">
      <c r="B13" s="444"/>
      <c r="C13" s="447"/>
      <c r="D13" s="449"/>
      <c r="E13" s="450"/>
      <c r="F13" s="450"/>
      <c r="G13" s="450"/>
      <c r="H13" s="451"/>
      <c r="I13" s="447"/>
      <c r="J13" s="441"/>
      <c r="Y13" s="26">
        <v>39</v>
      </c>
      <c r="Z13" s="39"/>
      <c r="AA13" s="39"/>
    </row>
    <row r="14" spans="2:27">
      <c r="B14" s="444"/>
      <c r="C14" s="447"/>
      <c r="D14" s="449"/>
      <c r="E14" s="450"/>
      <c r="F14" s="450"/>
      <c r="G14" s="450"/>
      <c r="H14" s="451"/>
      <c r="I14" s="447"/>
      <c r="J14" s="441"/>
      <c r="Y14" s="26">
        <v>40</v>
      </c>
      <c r="Z14" s="39"/>
      <c r="AA14" s="39"/>
    </row>
    <row r="15" spans="2:27">
      <c r="B15" s="444"/>
      <c r="C15" s="447"/>
      <c r="D15" s="449"/>
      <c r="E15" s="450"/>
      <c r="F15" s="450"/>
      <c r="G15" s="450"/>
      <c r="H15" s="451"/>
      <c r="I15" s="447"/>
      <c r="J15" s="441"/>
      <c r="Y15" s="26">
        <v>41</v>
      </c>
      <c r="Z15" s="39"/>
      <c r="AA15" s="39"/>
    </row>
    <row r="16" spans="2:27">
      <c r="B16" s="444"/>
      <c r="C16" s="447"/>
      <c r="D16" s="449"/>
      <c r="E16" s="450"/>
      <c r="F16" s="450"/>
      <c r="G16" s="450"/>
      <c r="H16" s="451"/>
      <c r="I16" s="447"/>
      <c r="J16" s="441"/>
      <c r="Y16" s="26">
        <v>42</v>
      </c>
      <c r="Z16" s="39"/>
      <c r="AA16" s="39"/>
    </row>
    <row r="17" spans="2:27">
      <c r="B17" s="444"/>
      <c r="C17" s="447"/>
      <c r="D17" s="449"/>
      <c r="E17" s="450"/>
      <c r="F17" s="450"/>
      <c r="G17" s="450"/>
      <c r="H17" s="451"/>
      <c r="I17" s="447"/>
      <c r="J17" s="441"/>
      <c r="Y17" s="26">
        <v>43</v>
      </c>
      <c r="Z17" s="39"/>
      <c r="AA17" s="39"/>
    </row>
    <row r="18" spans="2:27">
      <c r="B18" s="445"/>
      <c r="C18" s="448"/>
      <c r="D18" s="430"/>
      <c r="E18" s="431"/>
      <c r="F18" s="431"/>
      <c r="G18" s="431"/>
      <c r="H18" s="432"/>
      <c r="I18" s="448"/>
      <c r="J18" s="442"/>
      <c r="Y18" s="26">
        <v>44</v>
      </c>
      <c r="Z18" s="39"/>
      <c r="AA18" s="39"/>
    </row>
    <row r="19" spans="2:27">
      <c r="B19" s="423"/>
      <c r="C19" s="436"/>
      <c r="D19" s="427"/>
      <c r="E19" s="428"/>
      <c r="F19" s="428"/>
      <c r="G19" s="428"/>
      <c r="H19" s="429"/>
      <c r="I19" s="436"/>
      <c r="J19" s="424"/>
      <c r="Y19" s="26">
        <v>45</v>
      </c>
      <c r="Z19" s="39"/>
      <c r="AA19" s="39"/>
    </row>
    <row r="20" spans="2:27">
      <c r="B20" s="423"/>
      <c r="C20" s="436"/>
      <c r="D20" s="430"/>
      <c r="E20" s="431"/>
      <c r="F20" s="431"/>
      <c r="G20" s="431"/>
      <c r="H20" s="432"/>
      <c r="I20" s="436"/>
      <c r="J20" s="424"/>
      <c r="Y20" s="26">
        <v>46</v>
      </c>
      <c r="Z20" s="39"/>
      <c r="AA20" s="39"/>
    </row>
    <row r="21" spans="2:27" ht="15" customHeight="1">
      <c r="B21" s="423"/>
      <c r="C21" s="436"/>
      <c r="D21" s="427"/>
      <c r="E21" s="428"/>
      <c r="F21" s="428"/>
      <c r="G21" s="428"/>
      <c r="H21" s="429"/>
      <c r="I21" s="436"/>
      <c r="J21" s="424"/>
      <c r="Y21" s="26">
        <v>47</v>
      </c>
      <c r="Z21" s="39"/>
      <c r="AA21" s="39"/>
    </row>
    <row r="22" spans="2:27" ht="13.5" thickBot="1">
      <c r="B22" s="425"/>
      <c r="C22" s="437"/>
      <c r="D22" s="433"/>
      <c r="E22" s="434"/>
      <c r="F22" s="434"/>
      <c r="G22" s="434"/>
      <c r="H22" s="435"/>
      <c r="I22" s="437"/>
      <c r="J22" s="426"/>
      <c r="Y22" s="26">
        <v>48</v>
      </c>
      <c r="Z22" s="39"/>
      <c r="AA22" s="39"/>
    </row>
    <row r="23" spans="2:27">
      <c r="B23" s="35"/>
      <c r="C23" s="35"/>
      <c r="D23" s="35"/>
      <c r="E23" s="35"/>
      <c r="F23" s="35"/>
      <c r="G23" s="35"/>
      <c r="H23" s="35"/>
      <c r="I23" s="35"/>
      <c r="J23" s="35"/>
      <c r="Y23" s="26">
        <v>49</v>
      </c>
      <c r="Z23" s="39"/>
      <c r="AA23" s="39"/>
    </row>
    <row r="24" spans="2:27">
      <c r="B24" s="421"/>
      <c r="C24" s="421"/>
      <c r="D24" s="35"/>
      <c r="E24" s="35"/>
      <c r="F24" s="35"/>
      <c r="G24" s="35"/>
      <c r="H24" s="35"/>
      <c r="I24" s="422"/>
      <c r="J24" s="422"/>
      <c r="Y24" s="26">
        <v>50</v>
      </c>
      <c r="Z24" s="39"/>
      <c r="AA24" s="39"/>
    </row>
    <row r="25" spans="2:27" s="35" customFormat="1">
      <c r="Y25" s="15">
        <v>90</v>
      </c>
      <c r="Z25" s="54"/>
      <c r="AA25" s="54"/>
    </row>
    <row r="26" spans="2:27" s="35" customFormat="1">
      <c r="Y26" s="15">
        <v>91</v>
      </c>
      <c r="Z26" s="54"/>
      <c r="AA26" s="54"/>
    </row>
    <row r="27" spans="2:27">
      <c r="Y27" s="26">
        <v>92</v>
      </c>
      <c r="Z27" s="39"/>
      <c r="AA27" s="39"/>
    </row>
    <row r="28" spans="2:27">
      <c r="Y28" s="26">
        <v>93</v>
      </c>
      <c r="Z28" s="39"/>
      <c r="AA28" s="39"/>
    </row>
    <row r="29" spans="2:27">
      <c r="Y29" s="26">
        <v>94</v>
      </c>
      <c r="Z29" s="39"/>
      <c r="AA29" s="39"/>
    </row>
    <row r="30" spans="2:27">
      <c r="Y30" s="26">
        <v>95</v>
      </c>
      <c r="Z30" s="39"/>
      <c r="AA30" s="39"/>
    </row>
    <row r="31" spans="2:27">
      <c r="Y31" s="26">
        <v>96</v>
      </c>
      <c r="Z31" s="39"/>
      <c r="AA31" s="39"/>
    </row>
    <row r="32" spans="2:27">
      <c r="Y32" s="26">
        <v>97</v>
      </c>
      <c r="Z32" s="39"/>
      <c r="AA32" s="39"/>
    </row>
    <row r="33" spans="25:27">
      <c r="Y33" s="26">
        <v>98</v>
      </c>
      <c r="Z33" s="39"/>
      <c r="AA33" s="39"/>
    </row>
    <row r="34" spans="25:27">
      <c r="Y34" s="26">
        <v>99</v>
      </c>
      <c r="Z34" s="39"/>
      <c r="AA34" s="39"/>
    </row>
    <row r="35" spans="25:27">
      <c r="Y35" s="26">
        <v>100</v>
      </c>
      <c r="Z35" s="39"/>
      <c r="AA35" s="39"/>
    </row>
    <row r="112" spans="1:56" s="10" customFormat="1">
      <c r="A112" s="1"/>
      <c r="B112" s="9"/>
      <c r="C112" s="9"/>
      <c r="D112" s="9"/>
      <c r="E112" s="9"/>
      <c r="F112" s="9"/>
      <c r="G112" s="9"/>
      <c r="H112" s="9"/>
      <c r="I112" s="9"/>
      <c r="J112" s="9"/>
      <c r="K112" s="35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9"/>
      <c r="AG112" s="9"/>
      <c r="AH112" s="9"/>
      <c r="AI112" s="9"/>
      <c r="AJ112" s="9"/>
      <c r="AK112" s="9"/>
      <c r="AL112" s="9"/>
      <c r="AM112" s="9"/>
      <c r="AN112" s="9"/>
      <c r="AO112" s="9"/>
      <c r="AP112" s="9"/>
      <c r="AQ112" s="9"/>
      <c r="AR112" s="9"/>
      <c r="AS112" s="9"/>
      <c r="AT112" s="9"/>
      <c r="AU112" s="9"/>
      <c r="AV112" s="9"/>
      <c r="AW112" s="9"/>
      <c r="AX112" s="9"/>
      <c r="AY112" s="9"/>
      <c r="AZ112" s="9"/>
      <c r="BA112" s="9"/>
      <c r="BB112" s="9"/>
      <c r="BC112" s="9"/>
      <c r="BD112" s="9"/>
    </row>
  </sheetData>
  <mergeCells count="27">
    <mergeCell ref="B3:B4"/>
    <mergeCell ref="J3:J4"/>
    <mergeCell ref="J7:J18"/>
    <mergeCell ref="J5:J6"/>
    <mergeCell ref="B7:B18"/>
    <mergeCell ref="C7:C18"/>
    <mergeCell ref="D7:H18"/>
    <mergeCell ref="I7:I18"/>
    <mergeCell ref="B5:B6"/>
    <mergeCell ref="D5:H6"/>
    <mergeCell ref="C3:C4"/>
    <mergeCell ref="I3:I4"/>
    <mergeCell ref="C5:C6"/>
    <mergeCell ref="I5:I6"/>
    <mergeCell ref="D3:H4"/>
    <mergeCell ref="B24:C24"/>
    <mergeCell ref="I24:J24"/>
    <mergeCell ref="B19:B20"/>
    <mergeCell ref="J19:J20"/>
    <mergeCell ref="B21:B22"/>
    <mergeCell ref="J21:J22"/>
    <mergeCell ref="D19:H20"/>
    <mergeCell ref="D21:H22"/>
    <mergeCell ref="C21:C22"/>
    <mergeCell ref="C19:C20"/>
    <mergeCell ref="I19:I20"/>
    <mergeCell ref="I21:I22"/>
  </mergeCells>
  <pageMargins left="0.7" right="0.7" top="0.75" bottom="0.75" header="0.3" footer="0.3"/>
  <pageSetup scale="125" orientation="landscape" r:id="rId1"/>
  <colBreaks count="1" manualBreakCount="1">
    <brk id="11" max="1048575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GustFactor</vt:lpstr>
      <vt:lpstr>TCVN</vt:lpstr>
      <vt:lpstr>Pic</vt:lpstr>
      <vt:lpstr>Bang8_10</vt:lpstr>
      <vt:lpstr>GustFactor!Print_Area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"ASCE705W" Program</dc:title>
  <dc:creator>Alex Tomanovich, P.E. - 151 Shadow Lane, Lyman SC 29365 - Home: 864-968-2699 - Email: ATomanovich@bellsouth.net</dc:creator>
  <dc:description>ASCE 7-05 Code Wind Analysis Program</dc:description>
  <cp:lastModifiedBy>toan huynh vu minh</cp:lastModifiedBy>
  <cp:lastPrinted>2023-09-06T08:49:51Z</cp:lastPrinted>
  <dcterms:created xsi:type="dcterms:W3CDTF">2000-02-14T22:01:47Z</dcterms:created>
  <dcterms:modified xsi:type="dcterms:W3CDTF">2025-03-07T09:27:44Z</dcterms:modified>
  <cp:category>Structural Enginnering Analysis/Design</cp:category>
</cp:coreProperties>
</file>