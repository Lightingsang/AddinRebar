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ce Pro\Excel\DceSteel\New folder\"/>
    </mc:Choice>
  </mc:AlternateContent>
  <xr:revisionPtr revIDLastSave="0" documentId="13_ncr:1_{434860E2-DD81-47E0-96B5-5C4D0CE314E6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Data" sheetId="7" r:id="rId1"/>
    <sheet name="Cal" sheetId="6" r:id="rId2"/>
    <sheet name="Pic" sheetId="8" state="veryHidden" r:id="rId3"/>
  </sheets>
  <functionGroups builtInGroupCount="19"/>
  <definedNames>
    <definedName name="_xlnm._FilterDatabase" localSheetId="1" hidden="1">Cal!#REF!</definedName>
    <definedName name="_xleta.ABS" hidden="1" xlm="1">#NAME?</definedName>
    <definedName name="_xleta.COT" hidden="1" xlm="1">#NAME?</definedName>
    <definedName name="_xleta.DAY" hidden="1" xlm="1">#NAME?</definedName>
    <definedName name="_xleta.IF" hidden="1" xlm="1">#NAME?</definedName>
    <definedName name="_xleta.LEN" hidden="1" xlm="1">#NAME?</definedName>
    <definedName name="_xleta.N" hidden="1" xlm="1">#NAME?</definedName>
    <definedName name="_xleta.PI" hidden="1" xlm="1">#NAME?</definedName>
    <definedName name="_xleta.SINGLE" hidden="1" xlm="1">#NAME?</definedName>
    <definedName name="_xleta.T" hidden="1" xlm="1">#NAME?</definedName>
    <definedName name="_xlnm.Print_Area" localSheetId="1">Cal!$M$11:$X$171</definedName>
    <definedName name="_xlnm.Print_Area" localSheetId="0">Data!#REF!</definedName>
    <definedName name="SLSLOADCAS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O24" i="6" l="1"/>
  <c r="BY24" i="6" s="1"/>
  <c r="BO25" i="6"/>
  <c r="BO26" i="6"/>
  <c r="BY26" i="6" s="1"/>
  <c r="BO27" i="6"/>
  <c r="BY27" i="6" s="1"/>
  <c r="BO28" i="6"/>
  <c r="BY28" i="6" s="1"/>
  <c r="BO29" i="6"/>
  <c r="BY29" i="6" s="1"/>
  <c r="BO30" i="6"/>
  <c r="BY30" i="6" s="1"/>
  <c r="BO23" i="6"/>
  <c r="BY23" i="6" s="1"/>
  <c r="W88" i="6"/>
  <c r="U73" i="6"/>
  <c r="BX24" i="6"/>
  <c r="BX25" i="6"/>
  <c r="BX26" i="6"/>
  <c r="BX27" i="6"/>
  <c r="BX28" i="6"/>
  <c r="BX29" i="6"/>
  <c r="BX30" i="6"/>
  <c r="BX23" i="6"/>
  <c r="M132" i="6" l="1"/>
  <c r="M131" i="6"/>
  <c r="M130" i="6"/>
  <c r="M129" i="6"/>
  <c r="U25" i="6" l="1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B6" i="7"/>
  <c r="B5" i="7"/>
  <c r="B4" i="7"/>
  <c r="B3" i="7"/>
  <c r="DA22" i="6" l="1"/>
  <c r="W66" i="6"/>
  <c r="BE24" i="6"/>
  <c r="BE25" i="6"/>
  <c r="BE26" i="6"/>
  <c r="BE27" i="6"/>
  <c r="BE28" i="6"/>
  <c r="BE29" i="6"/>
  <c r="BE30" i="6"/>
  <c r="BE23" i="6"/>
  <c r="V66" i="6"/>
  <c r="V11" i="6"/>
  <c r="AR25" i="6" a="1"/>
  <c r="AN25" i="6"/>
  <c r="AN30" i="6"/>
  <c r="AQ24" i="6"/>
  <c r="AL27" i="6"/>
  <c r="AN23" i="6"/>
  <c r="AO27" i="6"/>
  <c r="AL25" i="6"/>
  <c r="AO23" i="6"/>
  <c r="AM27" i="6"/>
  <c r="AM29" i="6"/>
  <c r="AR23" i="6" a="1"/>
  <c r="AQ23" i="6"/>
  <c r="AN28" i="6"/>
  <c r="AL24" i="6"/>
  <c r="AL30" i="6"/>
  <c r="AM23" i="6"/>
  <c r="W44" i="6"/>
  <c r="AL29" i="6"/>
  <c r="AN29" i="6"/>
  <c r="AR26" i="6" a="1"/>
  <c r="AL23" i="6"/>
  <c r="AM28" i="6"/>
  <c r="AQ30" i="6"/>
  <c r="AN26" i="6"/>
  <c r="AM26" i="6"/>
  <c r="AN24" i="6"/>
  <c r="AL26" i="6"/>
  <c r="I14" i="6" a="1"/>
  <c r="AR28" i="6" a="1"/>
  <c r="AM24" i="6"/>
  <c r="AO28" i="6"/>
  <c r="AO29" i="6"/>
  <c r="AQ25" i="6"/>
  <c r="AR24" i="6" a="1"/>
  <c r="AM25" i="6"/>
  <c r="AN27" i="6"/>
  <c r="AQ27" i="6"/>
  <c r="AQ28" i="6"/>
  <c r="AL28" i="6"/>
  <c r="AR30" i="6" a="1"/>
  <c r="AQ26" i="6"/>
  <c r="AO26" i="6"/>
  <c r="AO25" i="6"/>
  <c r="W51" i="6"/>
  <c r="AO24" i="6"/>
  <c r="AM30" i="6"/>
  <c r="AR29" i="6" a="1"/>
  <c r="AO30" i="6"/>
  <c r="I15" i="6" a="1"/>
  <c r="AQ29" i="6"/>
  <c r="AR27" i="6" a="1"/>
  <c r="W129" i="6" l="1"/>
  <c r="DS17" i="6" l="1"/>
  <c r="DS16" i="6"/>
  <c r="DS15" i="6"/>
  <c r="DS14" i="6"/>
  <c r="FZ11" i="6"/>
  <c r="BD30" i="6"/>
  <c r="BH30" i="6" s="1"/>
  <c r="BD29" i="6"/>
  <c r="BH29" i="6" s="1"/>
  <c r="BD28" i="6"/>
  <c r="BH28" i="6" s="1"/>
  <c r="BD27" i="6"/>
  <c r="BH27" i="6" s="1"/>
  <c r="BD26" i="6"/>
  <c r="BH26" i="6" s="1"/>
  <c r="BH25" i="6"/>
  <c r="BD24" i="6"/>
  <c r="BH24" i="6" s="1"/>
  <c r="AJ30" i="6"/>
  <c r="AJ29" i="6"/>
  <c r="AJ28" i="6"/>
  <c r="AJ27" i="6"/>
  <c r="AJ26" i="6"/>
  <c r="AJ25" i="6"/>
  <c r="AJ24" i="6"/>
  <c r="BD23" i="6"/>
  <c r="AP27" i="6" l="1"/>
  <c r="AK25" i="6"/>
  <c r="AK28" i="6"/>
  <c r="AK30" i="6"/>
  <c r="AK24" i="6"/>
  <c r="AK26" i="6"/>
  <c r="AK27" i="6"/>
  <c r="AK29" i="6"/>
  <c r="BH23" i="6"/>
  <c r="AJ23" i="6"/>
  <c r="W47" i="6"/>
  <c r="AP26" i="6" l="1"/>
  <c r="AP25" i="6"/>
  <c r="AS25" i="6" s="1"/>
  <c r="AP30" i="6"/>
  <c r="AS30" i="6" s="1"/>
  <c r="AP24" i="6"/>
  <c r="AS24" i="6" s="1"/>
  <c r="AS27" i="6"/>
  <c r="AP29" i="6"/>
  <c r="AS29" i="6" s="1"/>
  <c r="AS26" i="6"/>
  <c r="AP28" i="6"/>
  <c r="AS28" i="6" s="1"/>
  <c r="AK23" i="6"/>
  <c r="AA22" i="6"/>
  <c r="AP23" i="6" l="1"/>
  <c r="AS23" i="6" s="1"/>
  <c r="W49" i="6"/>
  <c r="W167" i="6"/>
  <c r="W46" i="6"/>
  <c r="E43" i="6"/>
  <c r="Q60" i="6"/>
  <c r="R60" i="6"/>
  <c r="R61" i="6"/>
  <c r="Q61" i="6"/>
  <c r="J43" i="6"/>
  <c r="K43" i="6" l="1"/>
  <c r="W48" i="6"/>
  <c r="BM8" i="7"/>
  <c r="BL8" i="7"/>
  <c r="BN8" i="7"/>
  <c r="BO8" i="7"/>
  <c r="BK8" i="7"/>
  <c r="W130" i="6" l="1"/>
  <c r="H2" i="8"/>
  <c r="F43" i="6"/>
  <c r="M153" i="6"/>
  <c r="M137" i="6"/>
  <c r="M117" i="6"/>
  <c r="M116" i="6"/>
  <c r="M115" i="6"/>
  <c r="W80" i="6"/>
  <c r="C8" i="8"/>
  <c r="G7" i="8" s="1"/>
  <c r="C7" i="8"/>
  <c r="E8" i="8" s="1"/>
  <c r="I8" i="8" s="1"/>
  <c r="J8" i="8" s="1"/>
  <c r="A2" i="8"/>
  <c r="A1" i="8"/>
  <c r="N47" i="6"/>
  <c r="N46" i="6"/>
  <c r="E34" i="8"/>
  <c r="H32" i="8"/>
  <c r="H34" i="8" s="1"/>
  <c r="CZ11" i="6"/>
  <c r="G12" i="6" l="1"/>
  <c r="G13" i="6" s="1"/>
  <c r="S60" i="6"/>
  <c r="R108" i="6" s="1"/>
  <c r="W138" i="6"/>
  <c r="W145" i="6"/>
  <c r="W146" i="6" s="1"/>
  <c r="W161" i="6"/>
  <c r="W162" i="6" s="1"/>
  <c r="S112" i="6"/>
  <c r="Q108" i="6"/>
  <c r="C26" i="8"/>
  <c r="C31" i="8"/>
  <c r="F32" i="8" s="1"/>
  <c r="F34" i="8" s="1"/>
  <c r="I2" i="8"/>
  <c r="C12" i="8" s="1"/>
  <c r="E7" i="8"/>
  <c r="I7" i="8" s="1"/>
  <c r="J7" i="8" s="1"/>
  <c r="H7" i="8"/>
  <c r="J2" i="8"/>
  <c r="F8" i="8"/>
  <c r="S108" i="6"/>
  <c r="G16" i="6" l="1"/>
  <c r="L2" i="8" s="1"/>
  <c r="C23" i="8" s="1"/>
  <c r="G14" i="6"/>
  <c r="G15" i="6"/>
  <c r="F2" i="8"/>
  <c r="C14" i="8" s="1"/>
  <c r="W148" i="6"/>
  <c r="W164" i="6"/>
  <c r="E31" i="8"/>
  <c r="F31" i="8" s="1"/>
  <c r="I31" i="8" s="1"/>
  <c r="F7" i="8"/>
  <c r="F1" i="8"/>
  <c r="C10" i="8" s="1"/>
  <c r="I32" i="8"/>
  <c r="I34" i="8" s="1"/>
  <c r="R54" i="6"/>
  <c r="S53" i="6"/>
  <c r="T53" i="6"/>
  <c r="Q54" i="6"/>
  <c r="T54" i="6"/>
  <c r="S54" i="6"/>
  <c r="V53" i="6"/>
  <c r="Q53" i="6"/>
  <c r="U54" i="6"/>
  <c r="P53" i="6"/>
  <c r="V54" i="6"/>
  <c r="P54" i="6"/>
  <c r="U53" i="6"/>
  <c r="R53" i="6"/>
  <c r="P55" i="6" l="1"/>
  <c r="K2" i="8"/>
  <c r="C19" i="8" s="1"/>
  <c r="T55" i="6"/>
  <c r="W87" i="6"/>
  <c r="H31" i="8"/>
  <c r="E33" i="8"/>
  <c r="H33" i="8" s="1"/>
  <c r="I33" i="8" s="1"/>
  <c r="P91" i="6"/>
  <c r="W95" i="6"/>
  <c r="DD7" i="7"/>
  <c r="DD8" i="7" s="1"/>
  <c r="DD9" i="7" s="1"/>
  <c r="DD10" i="7" s="1"/>
  <c r="DD11" i="7" s="1"/>
  <c r="CG11" i="7"/>
  <c r="CG12" i="7"/>
  <c r="CG13" i="7"/>
  <c r="CG14" i="7"/>
  <c r="CG10" i="7"/>
  <c r="DA7" i="7"/>
  <c r="DA8" i="7" s="1"/>
  <c r="DA9" i="7" s="1"/>
  <c r="DA10" i="7" s="1"/>
  <c r="DA11" i="7" s="1"/>
  <c r="DA12" i="7" s="1"/>
  <c r="DA13" i="7" s="1"/>
  <c r="DA14" i="7" s="1"/>
  <c r="DA15" i="7" s="1"/>
  <c r="DA16" i="7" s="1"/>
  <c r="W36" i="6"/>
  <c r="W45" i="6"/>
  <c r="W18" i="6"/>
  <c r="W30" i="6"/>
  <c r="W29" i="6"/>
  <c r="EB16" i="6" s="1"/>
  <c r="W24" i="6"/>
  <c r="W23" i="6"/>
  <c r="EB15" i="6" s="1"/>
  <c r="CI19" i="7"/>
  <c r="CF19" i="7"/>
  <c r="CH19" i="7" s="1"/>
  <c r="CI18" i="7"/>
  <c r="CF18" i="7"/>
  <c r="CH18" i="7" s="1"/>
  <c r="CI17" i="7"/>
  <c r="CF17" i="7"/>
  <c r="CG17" i="7" s="1"/>
  <c r="CI16" i="7"/>
  <c r="CF16" i="7"/>
  <c r="CH16" i="7" s="1"/>
  <c r="CI15" i="7"/>
  <c r="CF15" i="7"/>
  <c r="CH15" i="7" s="1"/>
  <c r="BQ16" i="7"/>
  <c r="X15" i="7"/>
  <c r="CF14" i="7"/>
  <c r="CH14" i="7" s="1"/>
  <c r="BQ15" i="7"/>
  <c r="X14" i="7"/>
  <c r="CF13" i="7"/>
  <c r="CH13" i="7" s="1"/>
  <c r="BQ14" i="7"/>
  <c r="X13" i="7"/>
  <c r="CF12" i="7"/>
  <c r="CH12" i="7" s="1"/>
  <c r="BQ13" i="7"/>
  <c r="X12" i="7"/>
  <c r="CF11" i="7"/>
  <c r="CH11" i="7" s="1"/>
  <c r="BQ12" i="7"/>
  <c r="X11" i="7"/>
  <c r="CF10" i="7"/>
  <c r="CH10" i="7" s="1"/>
  <c r="BQ11" i="7"/>
  <c r="X10" i="7"/>
  <c r="CI9" i="7"/>
  <c r="CF9" i="7"/>
  <c r="CG9" i="7" s="1"/>
  <c r="BQ10" i="7"/>
  <c r="X9" i="7"/>
  <c r="CI8" i="7"/>
  <c r="CF8" i="7"/>
  <c r="CH8" i="7" s="1"/>
  <c r="BQ9" i="7"/>
  <c r="X8" i="7"/>
  <c r="CI7" i="7"/>
  <c r="CF7" i="7"/>
  <c r="CG7" i="7" s="1"/>
  <c r="BQ7" i="7"/>
  <c r="X7" i="7"/>
  <c r="CI6" i="7"/>
  <c r="CF6" i="7"/>
  <c r="CH6" i="7" s="1"/>
  <c r="BQ6" i="7"/>
  <c r="X6" i="7"/>
  <c r="CI5" i="7"/>
  <c r="CF5" i="7"/>
  <c r="CH5" i="7" s="1"/>
  <c r="CI4" i="7"/>
  <c r="CF4" i="7"/>
  <c r="CH4" i="7" s="1"/>
  <c r="P130" i="6" l="1"/>
  <c r="EB17" i="6"/>
  <c r="W19" i="6"/>
  <c r="EB14" i="6"/>
  <c r="BN27" i="6"/>
  <c r="BN29" i="6"/>
  <c r="BN24" i="6"/>
  <c r="BN26" i="6"/>
  <c r="BN30" i="6"/>
  <c r="BN25" i="6"/>
  <c r="BN28" i="6"/>
  <c r="BN23" i="6"/>
  <c r="W81" i="6"/>
  <c r="F33" i="8"/>
  <c r="CH17" i="7"/>
  <c r="CG18" i="7"/>
  <c r="CG16" i="7"/>
  <c r="CG8" i="7"/>
  <c r="CG15" i="7"/>
  <c r="CG19" i="7"/>
  <c r="CH9" i="7"/>
  <c r="CH7" i="7"/>
  <c r="CG5" i="7"/>
  <c r="CG4" i="7"/>
  <c r="CG6" i="7"/>
  <c r="W96" i="6" l="1"/>
  <c r="S130" i="6"/>
  <c r="W131" i="6" s="1"/>
  <c r="BZ23" i="6"/>
  <c r="BZ28" i="6"/>
  <c r="BZ24" i="6"/>
  <c r="BZ30" i="6"/>
  <c r="BZ29" i="6"/>
  <c r="BZ27" i="6"/>
  <c r="BZ26" i="6"/>
  <c r="BI25" i="6"/>
  <c r="BI29" i="6"/>
  <c r="BI24" i="6"/>
  <c r="BI26" i="6"/>
  <c r="BI28" i="6"/>
  <c r="BI27" i="6"/>
  <c r="BI30" i="6"/>
  <c r="BI23" i="6"/>
  <c r="W50" i="6"/>
  <c r="L11" i="6"/>
  <c r="BT29" i="6" l="1"/>
  <c r="BU26" i="6"/>
  <c r="BU29" i="6"/>
  <c r="BT27" i="6"/>
  <c r="BU24" i="6"/>
  <c r="BU28" i="6"/>
  <c r="BU27" i="6"/>
  <c r="BU30" i="6"/>
  <c r="BT25" i="6"/>
  <c r="BT24" i="6"/>
  <c r="BU25" i="6"/>
  <c r="BT30" i="6"/>
  <c r="BT26" i="6"/>
  <c r="BT28" i="6"/>
  <c r="BU23" i="6"/>
  <c r="BT23" i="6"/>
  <c r="S168" i="6"/>
  <c r="Q113" i="6"/>
  <c r="R113" i="6" s="1"/>
  <c r="Q114" i="6"/>
  <c r="R114" i="6"/>
  <c r="Q112" i="6"/>
  <c r="W82" i="6"/>
  <c r="S61" i="6"/>
  <c r="S169" i="6" s="1"/>
  <c r="C4" i="8"/>
  <c r="M2" i="8" s="1"/>
  <c r="C11" i="8" s="1"/>
  <c r="C5" i="8"/>
  <c r="AE17" i="6"/>
  <c r="AE16" i="6"/>
  <c r="AE15" i="6"/>
  <c r="AE14" i="6"/>
  <c r="S114" i="6"/>
  <c r="S113" i="6"/>
  <c r="BJ27" i="6" l="1"/>
  <c r="BJ29" i="6"/>
  <c r="BJ24" i="6"/>
  <c r="BJ26" i="6"/>
  <c r="BJ28" i="6"/>
  <c r="BJ30" i="6"/>
  <c r="BJ25" i="6"/>
  <c r="W83" i="6"/>
  <c r="S129" i="6" s="1"/>
  <c r="W132" i="6" s="1"/>
  <c r="BJ23" i="6"/>
  <c r="BK23" i="6" s="1"/>
  <c r="W154" i="6"/>
  <c r="E5" i="8"/>
  <c r="L31" i="8"/>
  <c r="E4" i="8"/>
  <c r="E10" i="8"/>
  <c r="E28" i="8"/>
  <c r="E26" i="8"/>
  <c r="E27" i="8"/>
  <c r="E11" i="8"/>
  <c r="O71" i="6"/>
  <c r="O72" i="6" s="1"/>
  <c r="O73" i="6" s="1"/>
  <c r="O74" i="6" s="1"/>
  <c r="O75" i="6" s="1"/>
  <c r="O76" i="6" s="1"/>
  <c r="W26" i="6"/>
  <c r="M165" i="6"/>
  <c r="M164" i="6"/>
  <c r="M163" i="6"/>
  <c r="M162" i="6"/>
  <c r="M161" i="6"/>
  <c r="M159" i="6"/>
  <c r="M158" i="6"/>
  <c r="M157" i="6"/>
  <c r="M156" i="6"/>
  <c r="M155" i="6"/>
  <c r="M154" i="6"/>
  <c r="X132" i="6" l="1"/>
  <c r="T73" i="6"/>
  <c r="BK28" i="6"/>
  <c r="BK26" i="6"/>
  <c r="BK24" i="6"/>
  <c r="BK30" i="6"/>
  <c r="BK29" i="6"/>
  <c r="BK27" i="6"/>
  <c r="BK25" i="6"/>
  <c r="BY25" i="6" s="1"/>
  <c r="BZ25" i="6" s="1"/>
  <c r="F5" i="8"/>
  <c r="G5" i="8" s="1"/>
  <c r="H5" i="8"/>
  <c r="I5" i="8"/>
  <c r="F11" i="8"/>
  <c r="E15" i="8"/>
  <c r="H11" i="8"/>
  <c r="E19" i="8"/>
  <c r="F27" i="8"/>
  <c r="F29" i="8" s="1"/>
  <c r="H27" i="8"/>
  <c r="E29" i="8"/>
  <c r="F26" i="8"/>
  <c r="I26" i="8" s="1"/>
  <c r="H26" i="8"/>
  <c r="H28" i="8"/>
  <c r="F28" i="8"/>
  <c r="I28" i="8" s="1"/>
  <c r="F10" i="8"/>
  <c r="G10" i="8" s="1"/>
  <c r="E14" i="8"/>
  <c r="H10" i="8"/>
  <c r="I10" i="8" s="1"/>
  <c r="J10" i="8" s="1"/>
  <c r="F14" i="8" s="1"/>
  <c r="E18" i="8"/>
  <c r="F4" i="8"/>
  <c r="G4" i="8" s="1"/>
  <c r="H4" i="8" s="1"/>
  <c r="I4" i="8"/>
  <c r="H29" i="8" l="1"/>
  <c r="I27" i="8"/>
  <c r="I29" i="8" s="1"/>
  <c r="H18" i="8"/>
  <c r="I18" i="8" s="1"/>
  <c r="E22" i="8"/>
  <c r="F18" i="8"/>
  <c r="H19" i="8"/>
  <c r="E23" i="8"/>
  <c r="H23" i="8" s="1"/>
  <c r="F19" i="8"/>
  <c r="G11" i="8"/>
  <c r="J11" i="8" s="1"/>
  <c r="F15" i="8" s="1"/>
  <c r="I11" i="8"/>
  <c r="U91" i="6"/>
  <c r="M87" i="6"/>
  <c r="M86" i="6"/>
  <c r="M85" i="6"/>
  <c r="M84" i="6"/>
  <c r="M83" i="6"/>
  <c r="M81" i="6"/>
  <c r="M80" i="6"/>
  <c r="M82" i="6"/>
  <c r="F22" i="8" l="1"/>
  <c r="H22" i="8"/>
  <c r="I22" i="8" s="1"/>
  <c r="F23" i="8"/>
  <c r="I23" i="8" s="1"/>
  <c r="I19" i="8"/>
  <c r="W101" i="6" l="1"/>
  <c r="W100" i="6"/>
  <c r="W153" i="6" s="1"/>
  <c r="W155" i="6" s="1"/>
  <c r="M100" i="6"/>
  <c r="BC16" i="6"/>
  <c r="M149" i="6"/>
  <c r="M148" i="6"/>
  <c r="M147" i="6"/>
  <c r="M146" i="6"/>
  <c r="M145" i="6"/>
  <c r="W57" i="6"/>
  <c r="M143" i="6"/>
  <c r="M142" i="6"/>
  <c r="M141" i="6"/>
  <c r="M140" i="6"/>
  <c r="M138" i="6"/>
  <c r="M139" i="6"/>
  <c r="M169" i="6"/>
  <c r="M168" i="6"/>
  <c r="N30" i="6"/>
  <c r="N33" i="6"/>
  <c r="N31" i="6"/>
  <c r="N32" i="6"/>
  <c r="N26" i="6"/>
  <c r="M167" i="6"/>
  <c r="W137" i="6"/>
  <c r="T108" i="6"/>
  <c r="W139" i="6" l="1"/>
  <c r="W157" i="6"/>
  <c r="S158" i="6" s="1"/>
  <c r="W156" i="6"/>
  <c r="T112" i="6"/>
  <c r="U112" i="6" s="1"/>
  <c r="T113" i="6"/>
  <c r="U113" i="6" s="1"/>
  <c r="T114" i="6"/>
  <c r="U114" i="6" s="1"/>
  <c r="U108" i="6"/>
  <c r="Q84" i="6"/>
  <c r="W84" i="6" s="1"/>
  <c r="BC14" i="6"/>
  <c r="W31" i="6"/>
  <c r="N35" i="6"/>
  <c r="N29" i="6"/>
  <c r="N57" i="6"/>
  <c r="N56" i="6"/>
  <c r="BL28" i="6" l="1"/>
  <c r="BM28" i="6" s="1"/>
  <c r="BL26" i="6"/>
  <c r="BM26" i="6" s="1"/>
  <c r="BL24" i="6"/>
  <c r="BM24" i="6" s="1"/>
  <c r="BL30" i="6"/>
  <c r="BM30" i="6" s="1"/>
  <c r="BL29" i="6"/>
  <c r="BM29" i="6" s="1"/>
  <c r="BL25" i="6"/>
  <c r="BM25" i="6" s="1"/>
  <c r="BL27" i="6"/>
  <c r="BM27" i="6" s="1"/>
  <c r="BL23" i="6"/>
  <c r="BM23" i="6" s="1"/>
  <c r="W165" i="6"/>
  <c r="Q158" i="6"/>
  <c r="W158" i="6" s="1"/>
  <c r="W115" i="6"/>
  <c r="W163" i="6"/>
  <c r="X163" i="6" s="1"/>
  <c r="W141" i="6"/>
  <c r="S142" i="6" s="1"/>
  <c r="W140" i="6"/>
  <c r="W85" i="6"/>
  <c r="W33" i="6"/>
  <c r="W169" i="6" s="1"/>
  <c r="N48" i="6"/>
  <c r="M97" i="6"/>
  <c r="T97" i="6"/>
  <c r="W97" i="6" s="1"/>
  <c r="M96" i="6"/>
  <c r="M95" i="6"/>
  <c r="M93" i="6"/>
  <c r="M92" i="6"/>
  <c r="W91" i="6"/>
  <c r="M90" i="6"/>
  <c r="M89" i="6"/>
  <c r="N91" i="6"/>
  <c r="M88" i="6"/>
  <c r="N16" i="6"/>
  <c r="W63" i="6"/>
  <c r="N63" i="6"/>
  <c r="M103" i="6"/>
  <c r="M102" i="6"/>
  <c r="BP27" i="6" l="1"/>
  <c r="BP25" i="6"/>
  <c r="BQ25" i="6" s="1"/>
  <c r="BR25" i="6" s="1"/>
  <c r="BS25" i="6" s="1"/>
  <c r="BP30" i="6"/>
  <c r="BP29" i="6"/>
  <c r="BQ29" i="6" s="1"/>
  <c r="BR29" i="6" s="1"/>
  <c r="BS29" i="6" s="1"/>
  <c r="BP26" i="6"/>
  <c r="BQ26" i="6" s="1"/>
  <c r="BR26" i="6" s="1"/>
  <c r="BS26" i="6" s="1"/>
  <c r="BP24" i="6"/>
  <c r="BQ24" i="6" s="1"/>
  <c r="BR24" i="6" s="1"/>
  <c r="BS24" i="6" s="1"/>
  <c r="BP28" i="6"/>
  <c r="BQ27" i="6"/>
  <c r="BR27" i="6" s="1"/>
  <c r="BS27" i="6" s="1"/>
  <c r="BQ30" i="6"/>
  <c r="BR30" i="6" s="1"/>
  <c r="BS30" i="6" s="1"/>
  <c r="BQ28" i="6"/>
  <c r="BR28" i="6" s="1"/>
  <c r="BS28" i="6" s="1"/>
  <c r="BP23" i="6"/>
  <c r="BQ23" i="6" s="1"/>
  <c r="BR23" i="6" s="1"/>
  <c r="BS23" i="6" s="1"/>
  <c r="W168" i="6"/>
  <c r="X168" i="6" s="1"/>
  <c r="W149" i="6"/>
  <c r="X149" i="6" s="1"/>
  <c r="Q142" i="6"/>
  <c r="W142" i="6" s="1"/>
  <c r="W147" i="6"/>
  <c r="X147" i="6" s="1"/>
  <c r="X165" i="6"/>
  <c r="BC17" i="6"/>
  <c r="W25" i="6"/>
  <c r="BC15" i="6"/>
  <c r="W102" i="6"/>
  <c r="W86" i="6"/>
  <c r="X86" i="6" s="1"/>
  <c r="N51" i="6"/>
  <c r="N50" i="6"/>
  <c r="N49" i="6"/>
  <c r="N42" i="6"/>
  <c r="N41" i="6"/>
  <c r="N40" i="6"/>
  <c r="N39" i="6"/>
  <c r="N19" i="6"/>
  <c r="N18" i="6"/>
  <c r="N45" i="6"/>
  <c r="BV24" i="6" l="1"/>
  <c r="BW24" i="6" s="1"/>
  <c r="BV28" i="6"/>
  <c r="BW28" i="6" s="1"/>
  <c r="BV25" i="6"/>
  <c r="BW25" i="6" s="1"/>
  <c r="BV27" i="6"/>
  <c r="BW27" i="6" s="1"/>
  <c r="BV29" i="6"/>
  <c r="BW29" i="6" s="1"/>
  <c r="BV30" i="6"/>
  <c r="BW30" i="6" s="1"/>
  <c r="BV26" i="6"/>
  <c r="BW26" i="6" s="1"/>
  <c r="BV23" i="6"/>
  <c r="BW23" i="6" s="1"/>
  <c r="S159" i="6"/>
  <c r="W159" i="6" s="1"/>
  <c r="X159" i="6" s="1"/>
  <c r="S143" i="6"/>
  <c r="W143" i="6" s="1"/>
  <c r="X143" i="6" s="1"/>
  <c r="W89" i="6"/>
  <c r="W92" i="6" s="1"/>
  <c r="W93" i="6" s="1"/>
  <c r="W103" i="6"/>
  <c r="T71" i="6" s="1"/>
  <c r="W98" i="6"/>
  <c r="X169" i="6"/>
  <c r="T76" i="6"/>
  <c r="N36" i="6"/>
  <c r="N28" i="6"/>
  <c r="N25" i="6"/>
  <c r="N24" i="6"/>
  <c r="N23" i="6"/>
  <c r="N22" i="6"/>
  <c r="N20" i="6"/>
  <c r="N44" i="6"/>
  <c r="N17" i="6"/>
  <c r="X103" i="6" l="1"/>
  <c r="T75" i="6"/>
  <c r="T74" i="6"/>
  <c r="Z11" i="6"/>
  <c r="X93" i="6" l="1"/>
  <c r="T70" i="6"/>
  <c r="W116" i="6" l="1"/>
  <c r="W117" i="6" s="1"/>
  <c r="T72" i="6" s="1"/>
  <c r="X117" i="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Toan</author>
    <author>DELL</author>
  </authors>
  <commentList>
    <comment ref="W44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Toan:</t>
        </r>
        <r>
          <rPr>
            <sz val="9"/>
            <color indexed="81"/>
            <rFont val="Tahoma"/>
            <family val="2"/>
          </rPr>
          <t xml:space="preserve">
Người dùng hiệu chỉnh thông tin theo bảng bên phải</t>
        </r>
      </text>
    </comment>
    <comment ref="V66" authorId="1" shapeId="0" xr:uid="{00000000-0006-0000-0100-000002000000}">
      <text>
        <r>
          <rPr>
            <b/>
            <sz val="9"/>
            <color indexed="81"/>
            <rFont val="Tahoma"/>
            <family val="2"/>
          </rPr>
          <t>Toàn
N &gt; 0: Gây kéo
N &lt; 0: Gây nén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02" authorId="1" shapeId="0" xr:uid="{00000000-0006-0000-0100-000003000000}">
      <text>
        <r>
          <rPr>
            <sz val="9"/>
            <color indexed="81"/>
            <rFont val="Tahoma"/>
            <family val="2"/>
          </rPr>
          <t xml:space="preserve">Toàn
TCVN 5574:2018
CT (118): Phi b min = 1
</t>
        </r>
      </text>
    </comment>
    <comment ref="U102" authorId="1" shapeId="0" xr:uid="{00000000-0006-0000-0100-000004000000}">
      <text>
        <r>
          <rPr>
            <sz val="9"/>
            <color indexed="81"/>
            <rFont val="Tahoma"/>
            <family val="2"/>
          </rPr>
          <t>Toàn
TCVN 5574:2018
Tải trọng phân bố không đều  = 0.75</t>
        </r>
      </text>
    </comment>
    <comment ref="W132" authorId="1" shapeId="0" xr:uid="{BB8B5489-3A99-4148-BCED-4874F5D99851}">
      <text>
        <r>
          <rPr>
            <sz val="9"/>
            <color indexed="81"/>
            <rFont val="Tahoma"/>
            <family val="2"/>
          </rPr>
          <t xml:space="preserve">Toàn
Trường hợp không thỏa thì tham khảo sheet L410.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<sst xmlns="http://schemas.openxmlformats.org/spreadsheetml/2006/main" count="812" uniqueCount="441">
  <si>
    <t>A. THÔNG TIN THIẾT KẾ</t>
  </si>
  <si>
    <t>mm</t>
  </si>
  <si>
    <t>Mac Thép</t>
  </si>
  <si>
    <r>
      <t xml:space="preserve">S235 </t>
    </r>
    <r>
      <rPr>
        <sz val="10"/>
        <color theme="1"/>
        <rFont val="Calibri"/>
        <family val="2"/>
      </rPr>
      <t>≤ 40</t>
    </r>
  </si>
  <si>
    <r>
      <t xml:space="preserve">S235 </t>
    </r>
    <r>
      <rPr>
        <sz val="10"/>
        <color theme="1"/>
        <rFont val="Calibri"/>
        <family val="2"/>
      </rPr>
      <t>≤ 16</t>
    </r>
  </si>
  <si>
    <r>
      <t xml:space="preserve">S235 </t>
    </r>
    <r>
      <rPr>
        <sz val="10"/>
        <color theme="1"/>
        <rFont val="Calibri"/>
        <family val="2"/>
      </rPr>
      <t>≤ 63</t>
    </r>
  </si>
  <si>
    <r>
      <t xml:space="preserve">S235 </t>
    </r>
    <r>
      <rPr>
        <sz val="10"/>
        <color theme="1"/>
        <rFont val="Calibri"/>
        <family val="2"/>
      </rPr>
      <t xml:space="preserve">≤ </t>
    </r>
    <r>
      <rPr>
        <sz val="10"/>
        <color theme="1"/>
        <rFont val="Calibri"/>
        <family val="2"/>
        <scheme val="minor"/>
      </rPr>
      <t>80</t>
    </r>
  </si>
  <si>
    <r>
      <t xml:space="preserve">S235 </t>
    </r>
    <r>
      <rPr>
        <sz val="10"/>
        <color theme="1"/>
        <rFont val="Calibri"/>
        <family val="2"/>
      </rPr>
      <t>≤ 100</t>
    </r>
  </si>
  <si>
    <t>S275 ≤ 16</t>
  </si>
  <si>
    <t>S275 ≤ 40</t>
  </si>
  <si>
    <t>S275 ≤ 63</t>
  </si>
  <si>
    <t>S275 ≤ 80</t>
  </si>
  <si>
    <t>S275 ≤ 100</t>
  </si>
  <si>
    <t>S355 ≤ 16</t>
  </si>
  <si>
    <t>S355 ≤ 40</t>
  </si>
  <si>
    <t>S355 ≤ 63</t>
  </si>
  <si>
    <t>S355 ≤ 80</t>
  </si>
  <si>
    <t>S355 ≤ 100</t>
  </si>
  <si>
    <t>E</t>
  </si>
  <si>
    <t>Mpa</t>
  </si>
  <si>
    <t>MPa</t>
  </si>
  <si>
    <r>
      <t>f</t>
    </r>
    <r>
      <rPr>
        <b/>
        <vertAlign val="subscript"/>
        <sz val="10"/>
        <color theme="0"/>
        <rFont val="Calibri"/>
        <family val="2"/>
        <scheme val="minor"/>
      </rPr>
      <t>y</t>
    </r>
  </si>
  <si>
    <r>
      <t>f</t>
    </r>
    <r>
      <rPr>
        <b/>
        <vertAlign val="subscript"/>
        <sz val="10"/>
        <color theme="0"/>
        <rFont val="Calibri"/>
        <family val="2"/>
        <scheme val="minor"/>
      </rPr>
      <t>u</t>
    </r>
  </si>
  <si>
    <t>Q235</t>
  </si>
  <si>
    <t>Q345</t>
  </si>
  <si>
    <t>A572 gr.50</t>
  </si>
  <si>
    <t>A36</t>
  </si>
  <si>
    <r>
      <t>Kết luận:</t>
    </r>
    <r>
      <rPr>
        <sz val="10"/>
        <color theme="1"/>
        <rFont val="Calibri"/>
        <family val="2"/>
        <scheme val="minor"/>
      </rPr>
      <t xml:space="preserve"> Cấu kiện đảm bảo khả năng chịu lực</t>
    </r>
  </si>
  <si>
    <t>THIẾT KẾ LIÊN KẾT CHÂN CỘT H THEO TCVN 5575:2024</t>
  </si>
  <si>
    <t>(Theo TCVN 5575-2024)</t>
  </si>
  <si>
    <t>Loại</t>
  </si>
  <si>
    <t>E43</t>
  </si>
  <si>
    <t>E51</t>
  </si>
  <si>
    <t>Bảng C1: Que hàn</t>
  </si>
  <si>
    <r>
      <t>f</t>
    </r>
    <r>
      <rPr>
        <vertAlign val="subscript"/>
        <sz val="10"/>
        <color theme="0"/>
        <rFont val="Calibri"/>
        <family val="2"/>
        <scheme val="minor"/>
      </rPr>
      <t>wun</t>
    </r>
  </si>
  <si>
    <r>
      <t>f</t>
    </r>
    <r>
      <rPr>
        <vertAlign val="subscript"/>
        <sz val="10"/>
        <color theme="0"/>
        <rFont val="Calibri"/>
        <family val="2"/>
        <scheme val="minor"/>
      </rPr>
      <t>wf</t>
    </r>
  </si>
  <si>
    <t>Cấp</t>
  </si>
  <si>
    <t>Bảng C.4 Cường độ tiêu chuẩn
 của thép làm bu lông</t>
  </si>
  <si>
    <r>
      <t>f</t>
    </r>
    <r>
      <rPr>
        <vertAlign val="subscript"/>
        <sz val="10"/>
        <rFont val="Calibri"/>
        <family val="2"/>
        <scheme val="minor"/>
      </rPr>
      <t>ub</t>
    </r>
  </si>
  <si>
    <r>
      <t>f</t>
    </r>
    <r>
      <rPr>
        <vertAlign val="subscript"/>
        <sz val="10"/>
        <rFont val="Calibri"/>
        <family val="2"/>
        <scheme val="minor"/>
      </rPr>
      <t>yb</t>
    </r>
  </si>
  <si>
    <r>
      <t>f</t>
    </r>
    <r>
      <rPr>
        <vertAlign val="subscript"/>
        <sz val="10"/>
        <rFont val="Calibri"/>
        <family val="2"/>
        <scheme val="minor"/>
      </rPr>
      <t>vb</t>
    </r>
  </si>
  <si>
    <r>
      <t>f</t>
    </r>
    <r>
      <rPr>
        <vertAlign val="subscript"/>
        <sz val="10"/>
        <rFont val="Calibri"/>
        <family val="2"/>
        <scheme val="minor"/>
      </rPr>
      <t>tb</t>
    </r>
  </si>
  <si>
    <t>Bảng C.6 Diện tích tiết diện bu lông</t>
  </si>
  <si>
    <t>D</t>
  </si>
  <si>
    <t>p</t>
  </si>
  <si>
    <t>Ab</t>
  </si>
  <si>
    <t>d =</t>
  </si>
  <si>
    <r>
      <t>mm</t>
    </r>
    <r>
      <rPr>
        <vertAlign val="superscript"/>
        <sz val="10"/>
        <color theme="1"/>
        <rFont val="Calibri"/>
        <family val="2"/>
        <scheme val="minor"/>
      </rPr>
      <t>2</t>
    </r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</si>
  <si>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</si>
  <si>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ba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</si>
  <si>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 xml:space="preserve"> =</t>
    </r>
  </si>
  <si>
    <t>1. Vật liệu</t>
  </si>
  <si>
    <t>1.1 Bu lông neo</t>
  </si>
  <si>
    <t>1.2 Thép tấm</t>
  </si>
  <si>
    <t>1.3 Đường hàn</t>
  </si>
  <si>
    <t>1.4 Bê tông móng</t>
  </si>
  <si>
    <t>2. Tiết diện</t>
  </si>
  <si>
    <t>h =</t>
  </si>
  <si>
    <r>
      <t>t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=</t>
    </r>
  </si>
  <si>
    <r>
      <t>t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 xml:space="preserve"> =</t>
    </r>
  </si>
  <si>
    <t>B =</t>
  </si>
  <si>
    <r>
      <t>t</t>
    </r>
    <r>
      <rPr>
        <vertAlign val="subscript"/>
        <sz val="10"/>
        <color theme="1"/>
        <rFont val="Calibri"/>
        <family val="2"/>
        <scheme val="minor"/>
      </rPr>
      <t>bđ</t>
    </r>
    <r>
      <rPr>
        <sz val="10"/>
        <color theme="1"/>
        <rFont val="Calibri"/>
        <family val="2"/>
        <scheme val="minor"/>
      </rPr>
      <t xml:space="preserve"> =</t>
    </r>
  </si>
  <si>
    <t>3. Nội lực</t>
  </si>
  <si>
    <r>
      <rPr>
        <sz val="10"/>
        <color theme="1"/>
        <rFont val="Symbol"/>
        <family val="1"/>
        <charset val="2"/>
      </rPr>
      <t>j</t>
    </r>
    <r>
      <rPr>
        <vertAlign val="subscript"/>
        <sz val="10"/>
        <color theme="1"/>
        <rFont val="Calibri"/>
        <family val="2"/>
      </rPr>
      <t>b</t>
    </r>
    <r>
      <rPr>
        <sz val="10"/>
        <color theme="1"/>
        <rFont val="Calibri"/>
        <family val="2"/>
        <scheme val="minor"/>
      </rPr>
      <t xml:space="preserve"> =</t>
    </r>
  </si>
  <si>
    <r>
      <t>R</t>
    </r>
    <r>
      <rPr>
        <vertAlign val="subscript"/>
        <sz val="10"/>
        <color theme="1"/>
        <rFont val="Calibri"/>
        <family val="2"/>
        <scheme val="minor"/>
      </rPr>
      <t xml:space="preserve">b </t>
    </r>
    <r>
      <rPr>
        <sz val="10"/>
        <color theme="1"/>
        <rFont val="Calibri"/>
        <family val="2"/>
        <scheme val="minor"/>
      </rPr>
      <t>=</t>
    </r>
  </si>
  <si>
    <t>B20</t>
  </si>
  <si>
    <t>B25</t>
  </si>
  <si>
    <t>B30</t>
  </si>
  <si>
    <t>B35</t>
  </si>
  <si>
    <t>B40</t>
  </si>
  <si>
    <r>
      <rPr>
        <sz val="10"/>
        <color theme="1"/>
        <rFont val="Symbol"/>
        <family val="1"/>
        <charset val="2"/>
      </rPr>
      <t>y</t>
    </r>
    <r>
      <rPr>
        <sz val="10"/>
        <color theme="1"/>
        <rFont val="Calibri"/>
        <family val="2"/>
        <scheme val="minor"/>
      </rPr>
      <t xml:space="preserve"> =</t>
    </r>
  </si>
  <si>
    <t>kN</t>
  </si>
  <si>
    <t>kNm</t>
  </si>
  <si>
    <r>
      <t>L</t>
    </r>
    <r>
      <rPr>
        <vertAlign val="subscript"/>
        <sz val="10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2"/>
        <scheme val="minor"/>
      </rPr>
      <t>=</t>
    </r>
  </si>
  <si>
    <t>Ô bản</t>
  </si>
  <si>
    <t>3 cạnh</t>
  </si>
  <si>
    <t>Tải trọng động</t>
  </si>
  <si>
    <t>Tải trọng tĩnh</t>
  </si>
  <si>
    <t>Công trình (ống khói, tháp thải khí…), tải trọng tính tính là tải trọng gió</t>
  </si>
  <si>
    <t>Bu lông tháo được có bản neo lắp đặt tự do trong ống</t>
  </si>
  <si>
    <t>Hệ số k0</t>
  </si>
  <si>
    <r>
      <t>k</t>
    </r>
    <r>
      <rPr>
        <vertAlign val="subscript"/>
        <sz val="10"/>
        <color theme="1"/>
        <rFont val="Calibri"/>
        <family val="2"/>
        <scheme val="minor"/>
      </rPr>
      <t>0</t>
    </r>
    <r>
      <rPr>
        <sz val="10"/>
        <color theme="1"/>
        <rFont val="Calibri"/>
        <family val="2"/>
        <scheme val="minor"/>
      </rPr>
      <t xml:space="preserve"> =</t>
    </r>
  </si>
  <si>
    <t>Chữ L</t>
  </si>
  <si>
    <t>Không tháo được có bản neo</t>
  </si>
  <si>
    <t>Tháo được có bản neo</t>
  </si>
  <si>
    <t>Thẳng</t>
  </si>
  <si>
    <t>Đầu côn</t>
  </si>
  <si>
    <t>Hình dạng</t>
  </si>
  <si>
    <t>Hmin</t>
  </si>
  <si>
    <t>25db</t>
  </si>
  <si>
    <t>15db</t>
  </si>
  <si>
    <t>30db</t>
  </si>
  <si>
    <t>10db</t>
  </si>
  <si>
    <t>1. Kiểm tra diện tích tiết diện ngang của bu lông (Mục L.4.2 và L.4.3)</t>
  </si>
  <si>
    <r>
      <t>A</t>
    </r>
    <r>
      <rPr>
        <vertAlign val="subscript"/>
        <sz val="10"/>
        <color theme="1"/>
        <rFont val="Calibri"/>
        <family val="2"/>
        <scheme val="minor"/>
      </rPr>
      <t>sa</t>
    </r>
    <r>
      <rPr>
        <sz val="10"/>
        <color theme="1"/>
        <rFont val="Calibri"/>
        <family val="2"/>
        <scheme val="minor"/>
      </rPr>
      <t>=</t>
    </r>
  </si>
  <si>
    <r>
      <rPr>
        <sz val="10"/>
        <color theme="1"/>
        <rFont val="Symbol"/>
        <family val="1"/>
        <charset val="2"/>
      </rPr>
      <t>c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</si>
  <si>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c</t>
    </r>
    <r>
      <rPr>
        <sz val="10"/>
        <color theme="1"/>
        <rFont val="Calibri"/>
        <family val="2"/>
        <scheme val="minor"/>
      </rPr>
      <t xml:space="preserve"> </t>
    </r>
  </si>
  <si>
    <t>Lmin</t>
  </si>
  <si>
    <t>Ledge</t>
  </si>
  <si>
    <t>Đầu côn (D&lt; 16)</t>
  </si>
  <si>
    <t>k tĩnh</t>
  </si>
  <si>
    <t>k động</t>
  </si>
  <si>
    <t>z</t>
  </si>
  <si>
    <r>
      <rPr>
        <sz val="10"/>
        <color theme="1"/>
        <rFont val="Symbol"/>
        <family val="1"/>
        <charset val="2"/>
      </rPr>
      <t>z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</si>
  <si>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a</t>
    </r>
    <r>
      <rPr>
        <sz val="10"/>
        <color theme="1"/>
        <rFont val="Calibri"/>
        <family val="2"/>
        <scheme val="minor"/>
      </rPr>
      <t xml:space="preserve"> =</t>
    </r>
  </si>
  <si>
    <r>
      <t>A</t>
    </r>
    <r>
      <rPr>
        <vertAlign val="subscript"/>
        <sz val="10"/>
        <color theme="1"/>
        <rFont val="Calibri"/>
        <family val="2"/>
        <scheme val="minor"/>
      </rPr>
      <t>sa,min</t>
    </r>
    <r>
      <rPr>
        <sz val="10"/>
        <color theme="1"/>
        <rFont val="Calibri"/>
        <family val="2"/>
        <scheme val="minor"/>
      </rPr>
      <t>=</t>
    </r>
  </si>
  <si>
    <r>
      <t>m</t>
    </r>
    <r>
      <rPr>
        <vertAlign val="sub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>=</t>
    </r>
  </si>
  <si>
    <r>
      <t>m</t>
    </r>
    <r>
      <rPr>
        <vertAlign val="subscript"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=0.66/R</t>
    </r>
    <r>
      <rPr>
        <vertAlign val="subscript"/>
        <sz val="10"/>
        <color theme="1"/>
        <rFont val="Calibri"/>
        <family val="2"/>
        <scheme val="minor"/>
      </rPr>
      <t>bt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</si>
  <si>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yd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</si>
  <si>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m</t>
    </r>
    <r>
      <rPr>
        <sz val="10"/>
        <color theme="1"/>
        <rFont val="Calibri"/>
        <family val="2"/>
        <scheme val="minor"/>
      </rPr>
      <t xml:space="preserve"> =</t>
    </r>
  </si>
  <si>
    <t>H=</t>
  </si>
  <si>
    <t>(Bảng L.1)</t>
  </si>
  <si>
    <t>- Chiều sâu ngàm tối thiểu H0:</t>
  </si>
  <si>
    <r>
      <t>H</t>
    </r>
    <r>
      <rPr>
        <vertAlign val="subscript"/>
        <sz val="10"/>
        <color theme="1"/>
        <rFont val="Calibri"/>
        <family val="2"/>
        <scheme val="minor"/>
      </rPr>
      <t>0</t>
    </r>
    <r>
      <rPr>
        <sz val="10"/>
        <color theme="1"/>
        <rFont val="Calibri"/>
        <family val="2"/>
        <scheme val="minor"/>
      </rPr>
      <t>=</t>
    </r>
  </si>
  <si>
    <t>3. Kiểm tra ứng suất bản đế (TCVN 5574:2018, Mục 8.1.5)</t>
  </si>
  <si>
    <t>2.2 Bản đế &amp; Sườn đế</t>
  </si>
  <si>
    <r>
      <rPr>
        <sz val="10"/>
        <color theme="1"/>
        <rFont val="Symbol"/>
        <family val="1"/>
        <charset val="2"/>
      </rPr>
      <t>a</t>
    </r>
    <r>
      <rPr>
        <vertAlign val="subscript"/>
        <sz val="10"/>
        <color theme="1"/>
        <rFont val="Calibri"/>
        <family val="2"/>
        <scheme val="minor"/>
      </rPr>
      <t>3</t>
    </r>
  </si>
  <si>
    <t>d1</t>
  </si>
  <si>
    <t>a1</t>
  </si>
  <si>
    <r>
      <t>M</t>
    </r>
    <r>
      <rPr>
        <vertAlign val="subscript"/>
        <sz val="10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2"/>
        <scheme val="minor"/>
      </rPr>
      <t>=</t>
    </r>
  </si>
  <si>
    <t>kN.m</t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</si>
  <si>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 =</t>
    </r>
  </si>
  <si>
    <t>4. Kiểm tra chiều dày bản đế</t>
  </si>
  <si>
    <r>
      <t>n</t>
    </r>
    <r>
      <rPr>
        <vertAlign val="subscript"/>
        <sz val="10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2"/>
        <scheme val="minor"/>
      </rPr>
      <t>=</t>
    </r>
  </si>
  <si>
    <t>bu lông</t>
  </si>
  <si>
    <r>
      <t>A</t>
    </r>
    <r>
      <rPr>
        <vertAlign val="subscript"/>
        <sz val="10"/>
        <color theme="1"/>
        <rFont val="Calibri"/>
        <family val="2"/>
        <scheme val="minor"/>
      </rPr>
      <t>sa</t>
    </r>
    <r>
      <rPr>
        <sz val="10"/>
        <color theme="1"/>
        <rFont val="Calibri"/>
        <family val="2"/>
        <scheme val="minor"/>
      </rPr>
      <t xml:space="preserve"> =</t>
    </r>
  </si>
  <si>
    <t>n =</t>
  </si>
  <si>
    <t>b =</t>
  </si>
  <si>
    <r>
      <t>f</t>
    </r>
    <r>
      <rPr>
        <vertAlign val="subscript"/>
        <sz val="10"/>
        <color theme="1"/>
        <rFont val="Calibri"/>
        <family val="2"/>
        <scheme val="minor"/>
      </rPr>
      <t>wun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</si>
  <si>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wf</t>
    </r>
    <r>
      <rPr>
        <sz val="10"/>
        <color theme="1"/>
        <rFont val="Calibri"/>
        <family val="2"/>
        <scheme val="minor"/>
      </rPr>
      <t xml:space="preserve"> =</t>
    </r>
  </si>
  <si>
    <r>
      <t>h</t>
    </r>
    <r>
      <rPr>
        <vertAlign val="subscript"/>
        <sz val="10"/>
        <color theme="1"/>
        <rFont val="Calibri"/>
        <family val="2"/>
        <scheme val="minor"/>
      </rPr>
      <t xml:space="preserve">wf </t>
    </r>
    <r>
      <rPr>
        <sz val="10"/>
        <color theme="1"/>
        <rFont val="Calibri"/>
        <family val="2"/>
        <scheme val="minor"/>
      </rPr>
      <t>=</t>
    </r>
  </si>
  <si>
    <r>
      <t>h</t>
    </r>
    <r>
      <rPr>
        <vertAlign val="subscript"/>
        <sz val="10"/>
        <color theme="1"/>
        <rFont val="Calibri"/>
        <family val="2"/>
        <scheme val="minor"/>
      </rPr>
      <t>ww</t>
    </r>
    <r>
      <rPr>
        <sz val="10"/>
        <color theme="1"/>
        <rFont val="Calibri"/>
        <family val="2"/>
        <scheme val="minor"/>
      </rPr>
      <t>=</t>
    </r>
  </si>
  <si>
    <r>
      <t>f</t>
    </r>
    <r>
      <rPr>
        <vertAlign val="subscript"/>
        <sz val="10"/>
        <color theme="1"/>
        <rFont val="Calibri"/>
        <family val="2"/>
        <scheme val="minor"/>
      </rPr>
      <t>ws</t>
    </r>
    <r>
      <rPr>
        <sz val="10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</si>
  <si>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0"/>
        <color theme="1"/>
        <rFont val="Calibri"/>
        <family val="2"/>
        <scheme val="minor"/>
      </rPr>
      <t>u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</si>
  <si>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b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</si>
  <si>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b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 xml:space="preserve"> =</t>
    </r>
  </si>
  <si>
    <t>Phần tử</t>
  </si>
  <si>
    <t>Vị trí</t>
  </si>
  <si>
    <t>Tổ hợp</t>
  </si>
  <si>
    <t>N</t>
  </si>
  <si>
    <t>(m)</t>
  </si>
  <si>
    <t>(kN)</t>
  </si>
  <si>
    <t>V</t>
  </si>
  <si>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  <scheme val="minor"/>
      </rPr>
      <t>L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=</t>
    </r>
  </si>
  <si>
    <r>
      <t>(</t>
    </r>
    <r>
      <rPr>
        <sz val="10"/>
        <color theme="1"/>
        <rFont val="Symbol"/>
        <family val="1"/>
        <charset val="2"/>
      </rPr>
      <t>b.</t>
    </r>
    <r>
      <rPr>
        <sz val="10"/>
        <color theme="1"/>
        <rFont val="Calibri"/>
        <family val="2"/>
        <scheme val="minor"/>
      </rPr>
      <t>f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>)</t>
    </r>
    <r>
      <rPr>
        <vertAlign val="subscript"/>
        <sz val="10"/>
        <color theme="1"/>
        <rFont val="Calibri"/>
        <family val="2"/>
        <scheme val="minor"/>
      </rPr>
      <t>min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 xml:space="preserve"> =</t>
    </r>
  </si>
  <si>
    <r>
      <t>N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 xml:space="preserve"> / (h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>.</t>
    </r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  <scheme val="minor"/>
      </rPr>
      <t>L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Symbol"/>
        <family val="1"/>
        <charset val="2"/>
      </rPr>
      <t>b</t>
    </r>
    <r>
      <rPr>
        <sz val="10"/>
        <color theme="1"/>
        <rFont val="Calibri"/>
        <family val="2"/>
        <scheme val="minor"/>
      </rPr>
      <t>f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>)=</t>
    </r>
  </si>
  <si>
    <r>
      <t>V / (h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>.</t>
    </r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  <scheme val="minor"/>
      </rPr>
      <t>L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Symbol"/>
        <family val="1"/>
        <charset val="2"/>
      </rPr>
      <t>b</t>
    </r>
    <r>
      <rPr>
        <sz val="10"/>
        <color theme="1"/>
        <rFont val="Calibri"/>
        <family val="2"/>
        <scheme val="minor"/>
      </rPr>
      <t>f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>)=</t>
    </r>
  </si>
  <si>
    <t>Sơ đồ tính sườn là dầm công xôn ngàm vào bản bụng(cánh) cột bằng 2 đường hàn liên kết</t>
  </si>
  <si>
    <r>
      <t>q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 xml:space="preserve"> =</t>
    </r>
  </si>
  <si>
    <t>kN/m</t>
  </si>
  <si>
    <r>
      <t>M</t>
    </r>
    <r>
      <rPr>
        <vertAlign val="subscript"/>
        <sz val="10"/>
        <color theme="1"/>
        <rFont val="Calibri"/>
        <family val="2"/>
        <scheme val="minor"/>
      </rPr>
      <t>s,max</t>
    </r>
    <r>
      <rPr>
        <sz val="10"/>
        <color theme="1"/>
        <rFont val="Calibri"/>
        <family val="2"/>
        <scheme val="minor"/>
      </rPr>
      <t xml:space="preserve"> =</t>
    </r>
  </si>
  <si>
    <r>
      <t>V</t>
    </r>
    <r>
      <rPr>
        <vertAlign val="subscript"/>
        <sz val="10"/>
        <color theme="1"/>
        <rFont val="Calibri"/>
        <family val="2"/>
        <scheme val="minor"/>
      </rPr>
      <t>s,max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</si>
  <si>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s</t>
    </r>
    <r>
      <rPr>
        <sz val="16"/>
        <color theme="1"/>
        <rFont val="Calibri"/>
        <family val="2"/>
      </rPr>
      <t xml:space="preserve"> </t>
    </r>
    <r>
      <rPr>
        <sz val="10"/>
        <color theme="1"/>
        <rFont val="Calibri"/>
        <family val="2"/>
      </rPr>
      <t>=</t>
    </r>
  </si>
  <si>
    <r>
      <rPr>
        <sz val="10"/>
        <color theme="1"/>
        <rFont val="Symbol"/>
        <family val="1"/>
        <charset val="2"/>
      </rPr>
      <t>t</t>
    </r>
    <r>
      <rPr>
        <sz val="16"/>
        <color theme="1"/>
        <rFont val="Calibri"/>
        <family val="2"/>
      </rPr>
      <t xml:space="preserve"> </t>
    </r>
    <r>
      <rPr>
        <sz val="10"/>
        <color theme="1"/>
        <rFont val="Calibri"/>
        <family val="2"/>
      </rPr>
      <t>=</t>
    </r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</si>
  <si>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  <scheme val="minor"/>
      </rPr>
      <t>td</t>
    </r>
    <r>
      <rPr>
        <sz val="16"/>
        <color theme="1"/>
        <rFont val="Calibri"/>
        <family val="2"/>
      </rPr>
      <t xml:space="preserve"> </t>
    </r>
    <r>
      <rPr>
        <sz val="10"/>
        <color theme="1"/>
        <rFont val="Calibri"/>
        <family val="2"/>
      </rPr>
      <t>=</t>
    </r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</si>
  <si>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  <scheme val="minor"/>
      </rPr>
      <t>td</t>
    </r>
    <r>
      <rPr>
        <sz val="16"/>
        <color theme="1"/>
        <rFont val="Calibri"/>
        <family val="2"/>
      </rPr>
      <t xml:space="preserve"> </t>
    </r>
    <r>
      <rPr>
        <sz val="10"/>
        <color theme="1"/>
        <rFont val="Calibri"/>
        <family val="2"/>
      </rPr>
      <t>/(1.15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>c</t>
    </r>
    <r>
      <rPr>
        <sz val="10"/>
        <color theme="1"/>
        <rFont val="Calibri"/>
        <family val="2"/>
      </rPr>
      <t>f)=</t>
    </r>
  </si>
  <si>
    <r>
      <rPr>
        <sz val="10"/>
        <color theme="1"/>
        <rFont val="Calibri"/>
        <family val="2"/>
      </rPr>
      <t>(1.15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>c</t>
    </r>
    <r>
      <rPr>
        <sz val="10"/>
        <color theme="1"/>
        <rFont val="Calibri"/>
        <family val="2"/>
      </rPr>
      <t>f)=</t>
    </r>
  </si>
  <si>
    <t>a. Kiểm tra độ bền cấu kiện</t>
  </si>
  <si>
    <t>b. Kiểm tra liên kết hàn của sườn với cấu kiện mục 14.1.17</t>
  </si>
  <si>
    <r>
      <t>mm</t>
    </r>
    <r>
      <rPr>
        <vertAlign val="superscript"/>
        <sz val="10"/>
        <color theme="1"/>
        <rFont val="Calibri"/>
        <family val="2"/>
        <scheme val="minor"/>
      </rPr>
      <t>4</t>
    </r>
  </si>
  <si>
    <r>
      <t>mm</t>
    </r>
    <r>
      <rPr>
        <vertAlign val="superscript"/>
        <sz val="10"/>
        <color theme="1"/>
        <rFont val="Calibri"/>
        <family val="2"/>
        <scheme val="minor"/>
      </rPr>
      <t>3</t>
    </r>
  </si>
  <si>
    <r>
      <t>I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 xml:space="preserve"> =2(h</t>
    </r>
    <r>
      <rPr>
        <vertAlign val="superscript"/>
        <sz val="10"/>
        <color theme="1"/>
        <rFont val="Calibri"/>
        <family val="2"/>
        <scheme val="minor"/>
      </rPr>
      <t>3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>h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>)/12=</t>
    </r>
  </si>
  <si>
    <r>
      <t>W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 xml:space="preserve"> =</t>
    </r>
    <r>
      <rPr>
        <sz val="10"/>
        <color theme="1"/>
        <rFont val="Symbol"/>
        <family val="1"/>
        <charset val="2"/>
      </rPr>
      <t>b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>[I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>/(h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>/2)]=</t>
    </r>
  </si>
  <si>
    <r>
      <t>M/(W</t>
    </r>
    <r>
      <rPr>
        <vertAlign val="subscript"/>
        <sz val="10"/>
        <color theme="1"/>
        <rFont val="Calibri"/>
        <family val="2"/>
      </rPr>
      <t>f</t>
    </r>
    <r>
      <rPr>
        <sz val="10"/>
        <color theme="1"/>
        <rFont val="Calibri"/>
        <family val="1"/>
        <charset val="2"/>
      </rPr>
      <t>f</t>
    </r>
    <r>
      <rPr>
        <vertAlign val="subscript"/>
        <sz val="10"/>
        <color theme="1"/>
        <rFont val="Calibri"/>
        <family val="2"/>
      </rPr>
      <t>wf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>c</t>
    </r>
    <r>
      <rPr>
        <sz val="10"/>
        <color theme="1"/>
        <rFont val="Calibri"/>
        <family val="1"/>
        <charset val="2"/>
      </rPr>
      <t>)=</t>
    </r>
  </si>
  <si>
    <r>
      <t>W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 xml:space="preserve"> =</t>
    </r>
    <r>
      <rPr>
        <sz val="10"/>
        <color theme="1"/>
        <rFont val="Symbol"/>
        <family val="1"/>
        <charset val="2"/>
      </rPr>
      <t>b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>[I</t>
    </r>
    <r>
      <rPr>
        <vertAlign val="subscript"/>
        <sz val="10"/>
        <color theme="1"/>
        <rFont val="Calibri"/>
        <family val="2"/>
        <scheme val="minor"/>
      </rPr>
      <t>w</t>
    </r>
    <r>
      <rPr>
        <sz val="10"/>
        <color theme="1"/>
        <rFont val="Calibri"/>
        <family val="2"/>
        <scheme val="minor"/>
      </rPr>
      <t>/(h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>/2)]=</t>
    </r>
  </si>
  <si>
    <r>
      <t>M/(W</t>
    </r>
    <r>
      <rPr>
        <vertAlign val="subscript"/>
        <sz val="10"/>
        <color theme="1"/>
        <rFont val="Calibri"/>
        <family val="2"/>
      </rPr>
      <t>s</t>
    </r>
    <r>
      <rPr>
        <sz val="10"/>
        <color theme="1"/>
        <rFont val="Calibri"/>
        <family val="1"/>
        <charset val="2"/>
      </rPr>
      <t>f</t>
    </r>
    <r>
      <rPr>
        <vertAlign val="subscript"/>
        <sz val="10"/>
        <color theme="1"/>
        <rFont val="Calibri"/>
        <family val="2"/>
      </rPr>
      <t>ws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>c</t>
    </r>
    <r>
      <rPr>
        <sz val="10"/>
        <color theme="1"/>
        <rFont val="Calibri"/>
        <family val="1"/>
        <charset val="2"/>
      </rPr>
      <t>)=</t>
    </r>
  </si>
  <si>
    <t>2. Chiều sâu ngàm bu lông vào bê tông (Mục L.5)</t>
  </si>
  <si>
    <t>N42</t>
  </si>
  <si>
    <t>N46</t>
  </si>
  <si>
    <t>N50</t>
  </si>
  <si>
    <r>
      <t>a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 xml:space="preserve"> =</t>
    </r>
  </si>
  <si>
    <t>M</t>
  </si>
  <si>
    <t>(kNm)</t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</si>
  <si>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1"/>
        <color theme="1"/>
        <rFont val="Calibri"/>
        <family val="2"/>
      </rPr>
      <t>max</t>
    </r>
    <r>
      <rPr>
        <vertAlign val="subscript"/>
        <sz val="10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2"/>
        <scheme val="minor"/>
      </rPr>
      <t>=</t>
    </r>
    <r>
      <rPr>
        <sz val="10"/>
        <color theme="1"/>
        <rFont val="Calibri"/>
        <family val="1"/>
        <charset val="2"/>
        <scheme val="minor"/>
      </rPr>
      <t>N/(B.L)+6M/(B.L</t>
    </r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1"/>
        <charset val="2"/>
        <scheme val="minor"/>
      </rPr>
      <t>)=</t>
    </r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</si>
  <si>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1"/>
        <color theme="1"/>
        <rFont val="Calibri"/>
        <family val="2"/>
      </rPr>
      <t>min</t>
    </r>
    <r>
      <rPr>
        <vertAlign val="subscript"/>
        <sz val="10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2"/>
        <scheme val="minor"/>
      </rPr>
      <t>=</t>
    </r>
    <r>
      <rPr>
        <sz val="10"/>
        <color theme="1"/>
        <rFont val="Calibri"/>
        <family val="1"/>
        <charset val="2"/>
        <scheme val="minor"/>
      </rPr>
      <t>N/(B.L)-6M/(B.L</t>
    </r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1"/>
        <charset val="2"/>
        <scheme val="minor"/>
      </rPr>
      <t>)=</t>
    </r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</si>
  <si>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  <scheme val="minor"/>
      </rPr>
      <t>max</t>
    </r>
    <r>
      <rPr>
        <sz val="10"/>
        <color theme="1"/>
        <rFont val="Calibri"/>
        <family val="2"/>
        <scheme val="minor"/>
      </rPr>
      <t xml:space="preserve"> /(</t>
    </r>
    <r>
      <rPr>
        <sz val="10"/>
        <color theme="1"/>
        <rFont val="Symbol"/>
        <family val="1"/>
        <charset val="2"/>
      </rPr>
      <t>y</t>
    </r>
    <r>
      <rPr>
        <sz val="10"/>
        <color theme="1"/>
        <rFont val="Calibri"/>
        <family val="2"/>
        <scheme val="minor"/>
      </rPr>
      <t>R</t>
    </r>
    <r>
      <rPr>
        <vertAlign val="subscript"/>
        <sz val="10"/>
        <color theme="1"/>
        <rFont val="Calibri"/>
        <family val="2"/>
        <scheme val="minor"/>
      </rPr>
      <t>b,loc</t>
    </r>
    <r>
      <rPr>
        <sz val="10"/>
        <color theme="1"/>
        <rFont val="Calibri"/>
        <family val="2"/>
        <scheme val="minor"/>
      </rPr>
      <t>)</t>
    </r>
    <r>
      <rPr>
        <vertAlign val="subscript"/>
        <sz val="10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2"/>
        <scheme val="minor"/>
      </rPr>
      <t>=</t>
    </r>
  </si>
  <si>
    <r>
      <rPr>
        <sz val="10"/>
        <color theme="1"/>
        <rFont val="Symbol"/>
        <family val="1"/>
        <charset val="2"/>
      </rPr>
      <t>y</t>
    </r>
    <r>
      <rPr>
        <sz val="10"/>
        <color theme="1"/>
        <rFont val="Calibri"/>
        <family val="2"/>
        <scheme val="minor"/>
      </rPr>
      <t>R</t>
    </r>
    <r>
      <rPr>
        <vertAlign val="subscript"/>
        <sz val="10"/>
        <color theme="1"/>
        <rFont val="Calibri"/>
        <family val="2"/>
        <scheme val="minor"/>
      </rPr>
      <t xml:space="preserve">b,loc </t>
    </r>
    <r>
      <rPr>
        <sz val="10"/>
        <color theme="1"/>
        <rFont val="Calibri"/>
        <family val="2"/>
        <scheme val="minor"/>
      </rPr>
      <t>=</t>
    </r>
  </si>
  <si>
    <t>2 cạnh</t>
  </si>
  <si>
    <r>
      <t>M</t>
    </r>
    <r>
      <rPr>
        <vertAlign val="subscript"/>
        <sz val="10"/>
        <color theme="1"/>
        <rFont val="Calibri"/>
        <family val="2"/>
        <scheme val="minor"/>
      </rPr>
      <t>max</t>
    </r>
  </si>
  <si>
    <t>(mm)</t>
  </si>
  <si>
    <t xml:space="preserve">s </t>
  </si>
  <si>
    <r>
      <t>A</t>
    </r>
    <r>
      <rPr>
        <b/>
        <vertAlign val="subscript"/>
        <sz val="10"/>
        <color theme="1"/>
        <rFont val="Calibri"/>
        <family val="2"/>
        <scheme val="minor"/>
      </rPr>
      <t>sa</t>
    </r>
  </si>
  <si>
    <t>m</t>
  </si>
  <si>
    <r>
      <t>e</t>
    </r>
    <r>
      <rPr>
        <vertAlign val="subscript"/>
        <sz val="10"/>
        <color theme="1"/>
        <rFont val="Calibri"/>
        <family val="2"/>
        <scheme val="minor"/>
      </rPr>
      <t xml:space="preserve">0 </t>
    </r>
    <r>
      <rPr>
        <sz val="10"/>
        <color theme="1"/>
        <rFont val="Calibri"/>
        <family val="2"/>
        <scheme val="minor"/>
      </rPr>
      <t>=M/N=</t>
    </r>
  </si>
  <si>
    <t>c =</t>
  </si>
  <si>
    <t>x =</t>
  </si>
  <si>
    <r>
      <rPr>
        <sz val="10"/>
        <color theme="1"/>
        <rFont val="Symbol"/>
        <family val="1"/>
        <charset val="2"/>
      </rPr>
      <t xml:space="preserve"> e</t>
    </r>
    <r>
      <rPr>
        <vertAlign val="subscript"/>
        <sz val="10"/>
        <color theme="1"/>
        <rFont val="Calibri"/>
        <family val="2"/>
        <scheme val="minor"/>
      </rPr>
      <t>s,el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</si>
  <si>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 xml:space="preserve"> e</t>
    </r>
    <r>
      <rPr>
        <vertAlign val="subscript"/>
        <sz val="10"/>
        <color theme="1"/>
        <rFont val="Calibri"/>
        <family val="2"/>
        <scheme val="minor"/>
      </rPr>
      <t>b2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</si>
  <si>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 xml:space="preserve"> x</t>
    </r>
    <r>
      <rPr>
        <vertAlign val="subscript"/>
        <sz val="10"/>
        <color theme="1"/>
        <rFont val="Calibri"/>
        <family val="2"/>
        <scheme val="minor"/>
      </rPr>
      <t>R</t>
    </r>
    <r>
      <rPr>
        <sz val="10"/>
        <color theme="1"/>
        <rFont val="Calibri"/>
        <family val="2"/>
        <scheme val="minor"/>
      </rPr>
      <t xml:space="preserve"> =</t>
    </r>
  </si>
  <si>
    <t>x/[x] =</t>
  </si>
  <si>
    <r>
      <t>[x] =</t>
    </r>
    <r>
      <rPr>
        <sz val="10"/>
        <color theme="1"/>
        <rFont val="Symbol"/>
        <family val="1"/>
        <charset val="2"/>
      </rPr>
      <t>x</t>
    </r>
    <r>
      <rPr>
        <vertAlign val="subscript"/>
        <sz val="10"/>
        <color theme="1"/>
        <rFont val="Calibri"/>
        <family val="2"/>
        <scheme val="minor"/>
      </rPr>
      <t>R</t>
    </r>
    <r>
      <rPr>
        <sz val="10"/>
        <color theme="1"/>
        <rFont val="Calibri"/>
        <family val="2"/>
        <scheme val="minor"/>
      </rPr>
      <t>.L</t>
    </r>
    <r>
      <rPr>
        <vertAlign val="subscript"/>
        <sz val="10"/>
        <color theme="1"/>
        <rFont val="Calibri"/>
        <family val="2"/>
        <scheme val="minor"/>
      </rPr>
      <t>a</t>
    </r>
    <r>
      <rPr>
        <sz val="10"/>
        <color theme="1"/>
        <rFont val="Calibri"/>
        <family val="2"/>
        <scheme val="minor"/>
      </rPr>
      <t xml:space="preserve"> =</t>
    </r>
  </si>
  <si>
    <r>
      <t>P=(R</t>
    </r>
    <r>
      <rPr>
        <vertAlign val="subscript"/>
        <sz val="10"/>
        <color theme="1"/>
        <rFont val="Calibri"/>
        <family val="2"/>
        <scheme val="minor"/>
      </rPr>
      <t>b</t>
    </r>
    <r>
      <rPr>
        <sz val="10"/>
        <color theme="1"/>
        <rFont val="Calibri"/>
        <family val="2"/>
        <scheme val="minor"/>
      </rPr>
      <t>b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>x-N)/n =</t>
    </r>
  </si>
  <si>
    <t>Chiều dày</t>
  </si>
  <si>
    <t>Bề rộng
(mm)</t>
  </si>
  <si>
    <t>Chiều cao (mm)</t>
  </si>
  <si>
    <t>Đường hàn
(mm)</t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</si>
  <si>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Calibri"/>
        <family val="2"/>
        <scheme val="minor"/>
      </rPr>
      <t>s</t>
    </r>
    <r>
      <rPr>
        <sz val="10"/>
        <color theme="1"/>
        <rFont val="Calibri"/>
        <family val="2"/>
        <scheme val="minor"/>
      </rPr>
      <t xml:space="preserve"> =</t>
    </r>
  </si>
  <si>
    <r>
      <t>N</t>
    </r>
    <r>
      <rPr>
        <vertAlign val="subscript"/>
        <sz val="10"/>
        <color theme="1"/>
        <rFont val="Calibri"/>
        <family val="2"/>
        <scheme val="minor"/>
      </rPr>
      <t>f</t>
    </r>
    <r>
      <rPr>
        <sz val="10"/>
        <color theme="1"/>
        <rFont val="Calibri"/>
        <family val="2"/>
        <scheme val="minor"/>
      </rPr>
      <t xml:space="preserve"> =M/h+N/2 =</t>
    </r>
  </si>
  <si>
    <t>B. KẾT QUẢ TÍNH TOÁN</t>
  </si>
  <si>
    <t>STT</t>
  </si>
  <si>
    <t>Nội dung</t>
  </si>
  <si>
    <t>Ghi chú</t>
  </si>
  <si>
    <t>Tỷ số</t>
  </si>
  <si>
    <t>Kiểm tra bu lông neo chống lực trượt</t>
  </si>
  <si>
    <t>Kiểm tra Ứng suất nén cục bộ bê tông</t>
  </si>
  <si>
    <t>Kiểm tra tiết diện ngang bu lông</t>
  </si>
  <si>
    <t>Kiểm tra chiều dày bản đế</t>
  </si>
  <si>
    <t>Kiểm tra sườn đế A</t>
  </si>
  <si>
    <t>Kiểm tra sườn đế B</t>
  </si>
  <si>
    <t>Kiểm tra đường hàn chân cột</t>
  </si>
  <si>
    <t>C. PHỤ LỤC TÍNH TOÁN</t>
  </si>
  <si>
    <t>A. THÔNG SỐ THIẾT KẾ</t>
  </si>
  <si>
    <t>B. TÍNH TOÁN</t>
  </si>
  <si>
    <t>Thông số lực</t>
  </si>
  <si>
    <t>Tên</t>
  </si>
  <si>
    <r>
      <t>M</t>
    </r>
    <r>
      <rPr>
        <b/>
        <vertAlign val="subscript"/>
        <sz val="10"/>
        <color rgb="FF0070C0"/>
        <rFont val="Calibri"/>
        <family val="2"/>
        <scheme val="minor"/>
      </rPr>
      <t>3</t>
    </r>
  </si>
  <si>
    <t>n</t>
  </si>
  <si>
    <t>CT1</t>
  </si>
  <si>
    <t>Bảng tra khoảng cách bu lông</t>
  </si>
  <si>
    <t>F</t>
  </si>
  <si>
    <t>B</t>
  </si>
  <si>
    <t>C</t>
  </si>
  <si>
    <t>P</t>
  </si>
  <si>
    <t>Bề rộng bản đế</t>
  </si>
  <si>
    <t>W</t>
  </si>
  <si>
    <t>G</t>
  </si>
  <si>
    <t>Bảng C5: Cường độ ép mặt</t>
  </si>
  <si>
    <t>Cường độ
Bê tông</t>
  </si>
  <si>
    <r>
      <t>E</t>
    </r>
    <r>
      <rPr>
        <vertAlign val="subscript"/>
        <sz val="10"/>
        <color theme="0"/>
        <rFont val="Arial"/>
        <family val="2"/>
      </rPr>
      <t>b</t>
    </r>
  </si>
  <si>
    <t>TCVN 5574 - 2018</t>
  </si>
  <si>
    <t>EC</t>
  </si>
  <si>
    <t>fu</t>
  </si>
  <si>
    <t>A</t>
  </si>
  <si>
    <t>NÉN</t>
  </si>
  <si>
    <t>KÉO</t>
  </si>
  <si>
    <t>Loại thép</t>
  </si>
  <si>
    <t>fy</t>
  </si>
  <si>
    <r>
      <t>R</t>
    </r>
    <r>
      <rPr>
        <b/>
        <vertAlign val="subscript"/>
        <sz val="10"/>
        <color theme="1"/>
        <rFont val="Arial"/>
        <family val="2"/>
      </rPr>
      <t>sn</t>
    </r>
  </si>
  <si>
    <r>
      <t>R</t>
    </r>
    <r>
      <rPr>
        <b/>
        <vertAlign val="subscript"/>
        <sz val="10"/>
        <color theme="1"/>
        <rFont val="Arial"/>
        <family val="2"/>
      </rPr>
      <t>s</t>
    </r>
  </si>
  <si>
    <r>
      <t>R</t>
    </r>
    <r>
      <rPr>
        <b/>
        <vertAlign val="subscript"/>
        <sz val="10"/>
        <color theme="1"/>
        <rFont val="Arial"/>
        <family val="2"/>
      </rPr>
      <t>sc</t>
    </r>
  </si>
  <si>
    <r>
      <t>R</t>
    </r>
    <r>
      <rPr>
        <b/>
        <vertAlign val="subscript"/>
        <sz val="10"/>
        <color theme="1"/>
        <rFont val="Arial"/>
        <family val="2"/>
      </rPr>
      <t>sw</t>
    </r>
  </si>
  <si>
    <r>
      <t>E</t>
    </r>
    <r>
      <rPr>
        <b/>
        <vertAlign val="subscript"/>
        <sz val="10"/>
        <rFont val="Arial"/>
        <family val="2"/>
      </rPr>
      <t>s</t>
    </r>
  </si>
  <si>
    <r>
      <t>R</t>
    </r>
    <r>
      <rPr>
        <vertAlign val="subscript"/>
        <sz val="10"/>
        <color theme="0"/>
        <rFont val="Arial"/>
        <family val="2"/>
      </rPr>
      <t>b,ser</t>
    </r>
  </si>
  <si>
    <r>
      <t>R</t>
    </r>
    <r>
      <rPr>
        <vertAlign val="subscript"/>
        <sz val="10"/>
        <color theme="0"/>
        <rFont val="Arial"/>
        <family val="2"/>
      </rPr>
      <t>b</t>
    </r>
  </si>
  <si>
    <r>
      <t>R</t>
    </r>
    <r>
      <rPr>
        <vertAlign val="subscript"/>
        <sz val="10"/>
        <color theme="0"/>
        <rFont val="Arial"/>
        <family val="2"/>
      </rPr>
      <t>bt,ser</t>
    </r>
  </si>
  <si>
    <r>
      <t>R</t>
    </r>
    <r>
      <rPr>
        <vertAlign val="subscript"/>
        <sz val="10"/>
        <color theme="0"/>
        <rFont val="Arial"/>
        <family val="2"/>
      </rPr>
      <t>bt</t>
    </r>
  </si>
  <si>
    <t>fck</t>
  </si>
  <si>
    <t>CI</t>
  </si>
  <si>
    <t>M150</t>
  </si>
  <si>
    <t>B10</t>
  </si>
  <si>
    <t>CII</t>
  </si>
  <si>
    <t>M200</t>
  </si>
  <si>
    <t>B15</t>
  </si>
  <si>
    <t>C12/15</t>
  </si>
  <si>
    <t>CIII</t>
  </si>
  <si>
    <t>M250</t>
  </si>
  <si>
    <t>C16/20</t>
  </si>
  <si>
    <t>AI</t>
  </si>
  <si>
    <t>M350</t>
  </si>
  <si>
    <t>C20/25</t>
  </si>
  <si>
    <t>AII</t>
  </si>
  <si>
    <t>M400</t>
  </si>
  <si>
    <t>C25/30</t>
  </si>
  <si>
    <t>AIII</t>
  </si>
  <si>
    <t>M450</t>
  </si>
  <si>
    <t>C28/35</t>
  </si>
  <si>
    <t>CB240-T</t>
  </si>
  <si>
    <t>M500</t>
  </si>
  <si>
    <t>C32/40</t>
  </si>
  <si>
    <t>CB300-T</t>
  </si>
  <si>
    <t>M600</t>
  </si>
  <si>
    <t>B45</t>
  </si>
  <si>
    <t>C35/45</t>
  </si>
  <si>
    <t>CB300-V</t>
  </si>
  <si>
    <t>M700</t>
  </si>
  <si>
    <t>B50</t>
  </si>
  <si>
    <t>C40/50</t>
  </si>
  <si>
    <t>CB400-V</t>
  </si>
  <si>
    <t>B55</t>
  </si>
  <si>
    <t>C45/55</t>
  </si>
  <si>
    <t>CB500-V</t>
  </si>
  <si>
    <t>M800</t>
  </si>
  <si>
    <t>B60</t>
  </si>
  <si>
    <t>C50/60</t>
  </si>
  <si>
    <t>SR235</t>
  </si>
  <si>
    <t>SR295</t>
  </si>
  <si>
    <t>SD295</t>
  </si>
  <si>
    <t>SD390</t>
  </si>
  <si>
    <t>SD490</t>
  </si>
  <si>
    <t>SS330 ≤ 16</t>
  </si>
  <si>
    <t>SS330 ≤ 40</t>
  </si>
  <si>
    <t>SS400 ≤ 16</t>
  </si>
  <si>
    <t>SS400 ≤ 40</t>
  </si>
  <si>
    <t>SS490 ≤ 16</t>
  </si>
  <si>
    <t>SS490 ≤ 40</t>
  </si>
  <si>
    <t>SS540 ≤ 16</t>
  </si>
  <si>
    <t>SS540 ≤ 40</t>
  </si>
  <si>
    <t>Bảng E2</t>
  </si>
  <si>
    <t>Kê 4 cạnh</t>
  </si>
  <si>
    <t>b/a</t>
  </si>
  <si>
    <r>
      <rPr>
        <sz val="10"/>
        <color theme="1"/>
        <rFont val="Symbol"/>
        <family val="1"/>
        <charset val="2"/>
      </rPr>
      <t>a</t>
    </r>
    <r>
      <rPr>
        <sz val="10"/>
        <color theme="1"/>
        <rFont val="Calibri"/>
        <family val="2"/>
        <scheme val="minor"/>
      </rPr>
      <t>1</t>
    </r>
  </si>
  <si>
    <t>a3</t>
  </si>
  <si>
    <t>Kê 3 cạnh</t>
  </si>
  <si>
    <t>a2</t>
  </si>
  <si>
    <t>Kiểm tra diện tích tiết diện ngang của bu lông</t>
  </si>
  <si>
    <t>e0</t>
  </si>
  <si>
    <t>La</t>
  </si>
  <si>
    <t>c</t>
  </si>
  <si>
    <t>x</t>
  </si>
  <si>
    <t>[x]</t>
  </si>
  <si>
    <t>x/[x]</t>
  </si>
  <si>
    <r>
      <t>mm</t>
    </r>
    <r>
      <rPr>
        <b/>
        <vertAlign val="superscript"/>
        <sz val="10"/>
        <color rgb="FF0070C0"/>
        <rFont val="Calibri"/>
        <family val="2"/>
        <scheme val="minor"/>
      </rPr>
      <t>2</t>
    </r>
  </si>
  <si>
    <t>D/C</t>
  </si>
  <si>
    <t>Check</t>
  </si>
  <si>
    <r>
      <t>A</t>
    </r>
    <r>
      <rPr>
        <vertAlign val="subscript"/>
        <sz val="10"/>
        <color rgb="FF0070C0"/>
        <rFont val="Calibri"/>
        <family val="2"/>
        <scheme val="minor"/>
      </rPr>
      <t>sa</t>
    </r>
  </si>
  <si>
    <r>
      <rPr>
        <b/>
        <sz val="10"/>
        <color rgb="FF0070C0"/>
        <rFont val="Symbol"/>
        <family val="1"/>
        <charset val="2"/>
      </rPr>
      <t>s</t>
    </r>
    <r>
      <rPr>
        <b/>
        <vertAlign val="subscript"/>
        <sz val="11"/>
        <color rgb="FF0070C0"/>
        <rFont val="Calibri"/>
        <family val="2"/>
      </rPr>
      <t>max</t>
    </r>
  </si>
  <si>
    <r>
      <rPr>
        <b/>
        <sz val="10"/>
        <color rgb="FF0070C0"/>
        <rFont val="Symbol"/>
        <family val="1"/>
        <charset val="2"/>
      </rPr>
      <t>s</t>
    </r>
    <r>
      <rPr>
        <b/>
        <vertAlign val="subscript"/>
        <sz val="11"/>
        <color rgb="FF0070C0"/>
        <rFont val="Calibri"/>
        <family val="2"/>
      </rPr>
      <t>min</t>
    </r>
  </si>
  <si>
    <t>Kiểm tra ứng suất
bản đế</t>
  </si>
  <si>
    <t>8. Kiểm tra đường hàn liên kết cột vào bản đế mục 14.1.16</t>
  </si>
  <si>
    <t>Chiều cao cột</t>
  </si>
  <si>
    <t>H</t>
  </si>
  <si>
    <t>(1)_Chiều cao cột</t>
  </si>
  <si>
    <t>(2)_Chiều dày bản đế</t>
  </si>
  <si>
    <t>(3)_Số lượng bu lông dọc theo chiều cao</t>
  </si>
  <si>
    <t>t</t>
  </si>
  <si>
    <t>(4)_Số lượng sườn liên kết bản bụng</t>
  </si>
  <si>
    <t>(5)_Chiều dày sườn liên kết bản bụng</t>
  </si>
  <si>
    <t>(6)_Bề rộng bản đế</t>
  </si>
  <si>
    <t>(7)_Khoảng cách giữa 2 bu lông theo phương // cánh</t>
  </si>
  <si>
    <t>(8)_Số lượng bu lông liên kết ở bản cánh</t>
  </si>
  <si>
    <t>(10)_Chiều dày sườn tăng cứng bản cánh</t>
  </si>
  <si>
    <t>(9)_Số lượng sườn liên kết bản cánh</t>
  </si>
  <si>
    <t>nH</t>
  </si>
  <si>
    <t>Nb</t>
  </si>
  <si>
    <t>Bản đế</t>
  </si>
  <si>
    <t>Bề rộng</t>
  </si>
  <si>
    <t>Chiều dài</t>
  </si>
  <si>
    <t>X</t>
  </si>
  <si>
    <t>Y</t>
  </si>
  <si>
    <t>Chiều cao</t>
  </si>
  <si>
    <t>Cột I</t>
  </si>
  <si>
    <t>Bu lông 2 cánh</t>
  </si>
  <si>
    <t>Bu lông giữa cột</t>
  </si>
  <si>
    <t>Bu lông tăng cường</t>
  </si>
  <si>
    <t>ncột</t>
  </si>
  <si>
    <t>B+C</t>
  </si>
  <si>
    <t>Sườn cánh</t>
  </si>
  <si>
    <t>Sườn bụng</t>
  </si>
  <si>
    <t>EQ =</t>
  </si>
  <si>
    <t>Số cột</t>
  </si>
  <si>
    <r>
      <t>n</t>
    </r>
    <r>
      <rPr>
        <vertAlign val="subscript"/>
        <sz val="10"/>
        <color theme="1"/>
        <rFont val="Calibri"/>
        <family val="2"/>
        <scheme val="minor"/>
      </rPr>
      <t xml:space="preserve">B </t>
    </r>
    <r>
      <rPr>
        <sz val="10"/>
        <color theme="1"/>
        <rFont val="Calibri"/>
        <family val="2"/>
        <scheme val="minor"/>
      </rPr>
      <t>=</t>
    </r>
  </si>
  <si>
    <r>
      <t>n</t>
    </r>
    <r>
      <rPr>
        <vertAlign val="subscript"/>
        <sz val="10"/>
        <color theme="1"/>
        <rFont val="Calibri"/>
        <family val="2"/>
        <scheme val="minor"/>
      </rPr>
      <t>H</t>
    </r>
    <r>
      <rPr>
        <sz val="10"/>
        <color theme="1"/>
        <rFont val="Calibri"/>
        <family val="2"/>
        <scheme val="minor"/>
      </rPr>
      <t xml:space="preserve"> =</t>
    </r>
  </si>
  <si>
    <t>Số lượng</t>
  </si>
  <si>
    <t>Loại sườn
tăng cứng</t>
  </si>
  <si>
    <t>Bản bụng</t>
  </si>
  <si>
    <t>Bản cánh</t>
  </si>
  <si>
    <t>Tâm cột</t>
  </si>
  <si>
    <t>L3T</t>
  </si>
  <si>
    <t>L1T</t>
  </si>
  <si>
    <t>L2T</t>
  </si>
  <si>
    <t>L3P</t>
  </si>
  <si>
    <t>L2P</t>
  </si>
  <si>
    <t>L1P</t>
  </si>
  <si>
    <t>Số lượng bu lông</t>
  </si>
  <si>
    <t>Khoảng cách</t>
  </si>
  <si>
    <t>Phải</t>
  </si>
  <si>
    <t>Trọng tâm</t>
  </si>
  <si>
    <t>4.1 Tại khu vực bản bụng</t>
  </si>
  <si>
    <r>
      <t>L</t>
    </r>
    <r>
      <rPr>
        <vertAlign val="subscript"/>
        <sz val="10"/>
        <color theme="1"/>
        <rFont val="Calibri"/>
        <family val="2"/>
        <scheme val="minor"/>
      </rPr>
      <t>a</t>
    </r>
    <r>
      <rPr>
        <sz val="10"/>
        <color theme="1"/>
        <rFont val="Calibri"/>
        <family val="2"/>
        <scheme val="minor"/>
      </rPr>
      <t>=L/2+c =</t>
    </r>
  </si>
  <si>
    <t>4.1 Tại khu vực bản cánh</t>
  </si>
  <si>
    <t>1 cạnh</t>
  </si>
  <si>
    <t>-</t>
  </si>
  <si>
    <r>
      <t>t</t>
    </r>
    <r>
      <rPr>
        <vertAlign val="subscript"/>
        <sz val="10"/>
        <color theme="1"/>
        <rFont val="Calibri"/>
        <family val="2"/>
        <scheme val="minor"/>
      </rPr>
      <t xml:space="preserve">min </t>
    </r>
    <r>
      <rPr>
        <sz val="10"/>
        <color theme="1"/>
        <rFont val="Calibri"/>
        <family val="2"/>
        <scheme val="minor"/>
      </rPr>
      <t>=(6M/(f</t>
    </r>
    <r>
      <rPr>
        <vertAlign val="subscript"/>
        <sz val="10"/>
        <color theme="1"/>
        <rFont val="Calibri"/>
        <family val="2"/>
        <scheme val="minor"/>
      </rPr>
      <t>yd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  <scheme val="minor"/>
      </rPr>
      <t>c</t>
    </r>
    <r>
      <rPr>
        <sz val="10"/>
        <color theme="1"/>
        <rFont val="Calibri"/>
        <family val="2"/>
        <scheme val="minor"/>
      </rPr>
      <t>)</t>
    </r>
    <r>
      <rPr>
        <vertAlign val="superscript"/>
        <sz val="10"/>
        <color theme="1"/>
        <rFont val="Calibri"/>
        <family val="2"/>
        <scheme val="minor"/>
      </rPr>
      <t>0.5</t>
    </r>
    <r>
      <rPr>
        <sz val="10"/>
        <color theme="1"/>
        <rFont val="Calibri"/>
        <family val="2"/>
        <scheme val="minor"/>
      </rPr>
      <t xml:space="preserve"> =</t>
    </r>
  </si>
  <si>
    <t>6. Kiểm tra sườn đế liên kết bản bụng</t>
  </si>
  <si>
    <t>7. Kiểm tra sườn đế liên kết bản cánh</t>
  </si>
  <si>
    <t>M300</t>
  </si>
  <si>
    <t>B22.5</t>
  </si>
  <si>
    <t>C18/22.5</t>
  </si>
  <si>
    <t>Đường kính</t>
  </si>
  <si>
    <r>
      <t>A</t>
    </r>
    <r>
      <rPr>
        <vertAlign val="subscript"/>
        <sz val="10"/>
        <color rgb="FF0070C0"/>
        <rFont val="Calibri"/>
        <family val="2"/>
        <scheme val="minor"/>
      </rPr>
      <t>sa</t>
    </r>
    <r>
      <rPr>
        <b/>
        <vertAlign val="subscript"/>
        <sz val="10"/>
        <color rgb="FF0070C0"/>
        <rFont val="Calibri"/>
        <family val="2"/>
        <scheme val="minor"/>
      </rPr>
      <t>,min</t>
    </r>
  </si>
  <si>
    <t>Kiểm tra bu lông neo chống trượt V</t>
  </si>
  <si>
    <r>
      <t>V</t>
    </r>
    <r>
      <rPr>
        <b/>
        <vertAlign val="subscript"/>
        <sz val="10"/>
        <color rgb="FF0070C0"/>
        <rFont val="Calibri"/>
        <family val="2"/>
      </rPr>
      <t>max</t>
    </r>
  </si>
  <si>
    <t>2.1 Tiết diện I</t>
  </si>
  <si>
    <t>H Tổng</t>
  </si>
  <si>
    <t>H Bụng</t>
  </si>
  <si>
    <t>BẢNG TỔNG HỢP CHI TIẾT  - THUYẾT MINH LIÊN KẾT CỘT BÊ TÔNG - DẦM THÉP</t>
  </si>
  <si>
    <t>Label</t>
  </si>
  <si>
    <t>Góc</t>
  </si>
  <si>
    <t>74</t>
  </si>
  <si>
    <t>99</t>
  </si>
  <si>
    <t>Uni.</t>
  </si>
  <si>
    <t>Thông số kèo thép</t>
  </si>
  <si>
    <t>h</t>
  </si>
  <si>
    <t>b</t>
  </si>
  <si>
    <r>
      <t>t</t>
    </r>
    <r>
      <rPr>
        <b/>
        <vertAlign val="subscript"/>
        <sz val="10"/>
        <color rgb="FF0070C0"/>
        <rFont val="Calibri"/>
        <family val="2"/>
        <scheme val="minor"/>
      </rPr>
      <t>w</t>
    </r>
  </si>
  <si>
    <r>
      <t>t</t>
    </r>
    <r>
      <rPr>
        <b/>
        <vertAlign val="subscript"/>
        <sz val="10"/>
        <color rgb="FF0070C0"/>
        <rFont val="Calibri"/>
        <family val="2"/>
        <scheme val="minor"/>
      </rPr>
      <t>f</t>
    </r>
  </si>
  <si>
    <r>
      <t>h</t>
    </r>
    <r>
      <rPr>
        <b/>
        <vertAlign val="subscript"/>
        <sz val="10"/>
        <color rgb="FF0070C0"/>
        <rFont val="Calibri"/>
        <family val="2"/>
        <scheme val="minor"/>
      </rPr>
      <t>w</t>
    </r>
  </si>
  <si>
    <t>Thông số bản đế</t>
  </si>
  <si>
    <r>
      <t>L</t>
    </r>
    <r>
      <rPr>
        <b/>
        <vertAlign val="subscript"/>
        <sz val="10"/>
        <color rgb="FF0070C0"/>
        <rFont val="Calibri"/>
        <family val="2"/>
        <scheme val="minor"/>
      </rPr>
      <t>bđ</t>
    </r>
  </si>
  <si>
    <r>
      <t>B</t>
    </r>
    <r>
      <rPr>
        <b/>
        <vertAlign val="subscript"/>
        <sz val="10"/>
        <color rgb="FF0070C0"/>
        <rFont val="Calibri"/>
        <family val="2"/>
        <scheme val="minor"/>
      </rPr>
      <t>bđ</t>
    </r>
  </si>
  <si>
    <r>
      <t>t</t>
    </r>
    <r>
      <rPr>
        <b/>
        <vertAlign val="subscript"/>
        <sz val="10"/>
        <color rgb="FF0070C0"/>
        <rFont val="Calibri"/>
        <family val="2"/>
        <scheme val="minor"/>
      </rPr>
      <t>bđ</t>
    </r>
  </si>
  <si>
    <t>Bu lông</t>
  </si>
  <si>
    <t>d</t>
  </si>
  <si>
    <t>Thông số chung</t>
  </si>
  <si>
    <t>Cấu kiện</t>
  </si>
  <si>
    <t>Có thể hiệu chỉnh thoải mái số có hàng đc Format</t>
  </si>
  <si>
    <t>nB</t>
  </si>
  <si>
    <r>
      <t>N</t>
    </r>
    <r>
      <rPr>
        <b/>
        <vertAlign val="subscript"/>
        <sz val="10"/>
        <color rgb="FF0070C0"/>
        <rFont val="Calibri"/>
        <family val="2"/>
        <scheme val="minor"/>
      </rPr>
      <t>0</t>
    </r>
  </si>
  <si>
    <r>
      <t>V</t>
    </r>
    <r>
      <rPr>
        <b/>
        <vertAlign val="subscript"/>
        <sz val="10"/>
        <color rgb="FF0070C0"/>
        <rFont val="Calibri"/>
        <family val="2"/>
        <scheme val="minor"/>
      </rPr>
      <t>0</t>
    </r>
  </si>
  <si>
    <t>ASD:1.0xDEAD+1.0xCOLL</t>
  </si>
  <si>
    <t>FS</t>
  </si>
  <si>
    <t>Dia</t>
  </si>
  <si>
    <t>Lựa chọn</t>
  </si>
  <si>
    <t>624x185x6x12</t>
  </si>
  <si>
    <t>884x212x30 / 8M30</t>
  </si>
  <si>
    <t>OK</t>
  </si>
  <si>
    <t>Hệ số huy động của cấu kiện</t>
  </si>
  <si>
    <t>M3</t>
  </si>
  <si>
    <t>Lực cắt</t>
  </si>
  <si>
    <t>Moment</t>
  </si>
  <si>
    <t>Lực dọc</t>
  </si>
  <si>
    <r>
      <t>N</t>
    </r>
    <r>
      <rPr>
        <vertAlign val="subscript"/>
        <sz val="10"/>
        <color theme="1"/>
        <rFont val="Calibri"/>
        <family val="2"/>
        <scheme val="minor"/>
      </rPr>
      <t>0</t>
    </r>
  </si>
  <si>
    <r>
      <t>V</t>
    </r>
    <r>
      <rPr>
        <vertAlign val="subscript"/>
        <sz val="10"/>
        <color theme="1"/>
        <rFont val="Calibri"/>
        <family val="2"/>
        <scheme val="minor"/>
      </rPr>
      <t>0</t>
    </r>
  </si>
  <si>
    <t>Unique</t>
  </si>
  <si>
    <r>
      <rPr>
        <b/>
        <sz val="10"/>
        <color theme="0"/>
        <rFont val="Symbol"/>
        <family val="1"/>
        <charset val="2"/>
      </rPr>
      <t xml:space="preserve"> g</t>
    </r>
    <r>
      <rPr>
        <b/>
        <sz val="10"/>
        <color theme="0"/>
        <rFont val="Calibri"/>
        <family val="2"/>
        <scheme val="minor"/>
      </rPr>
      <t>m</t>
    </r>
  </si>
  <si>
    <t>Q355</t>
  </si>
  <si>
    <t>CCT34</t>
  </si>
  <si>
    <t>CCT38</t>
  </si>
  <si>
    <t>CCT42</t>
  </si>
  <si>
    <t>Tài liệu tham khảo:</t>
  </si>
  <si>
    <t>1. TCVN - 5575 - 2024 - Kết cấu thép - Tiêu chuẩn thiết kế</t>
  </si>
  <si>
    <t>2. TCVN - 5574 - 2018 - Kết cấu bê tông và bê tông cốt thép - Tiêu chuẩn thiết kế</t>
  </si>
  <si>
    <t>3. SP-43.13330.2012-_Izmenenie-_4 Сооружения промышленных предприятий (Bản sửa đổi 4)</t>
  </si>
  <si>
    <t>5. Kiểm tra bu lông neo chống lực trượt V đế cột với móng (SP-43.13330.2012-_Izmenenie-_4)</t>
  </si>
  <si>
    <t>TCVN 5574:2024 được công bố 24/12/2024, Phụ lục tính toán bu lông neo được biên soạn trên cơ sở SP43, chưa kịp cập nhật sửa đổi 4 của SP43. VÌ vậy có thể tham khảo trực tiếp SP43 (bao gồm sửa đổi) để đảm bảo tính đồng bộ</t>
  </si>
  <si>
    <t>Khả năng chống trượt của bu lông neo được tính toán theo phiên bản cập nhật sửa đổi 4 của SP43</t>
  </si>
  <si>
    <t>P =</t>
  </si>
  <si>
    <t>Q =</t>
  </si>
  <si>
    <r>
      <t>R</t>
    </r>
    <r>
      <rPr>
        <vertAlign val="subscript"/>
        <sz val="10"/>
        <color theme="1"/>
        <rFont val="Calibri"/>
        <family val="2"/>
        <scheme val="minor"/>
      </rPr>
      <t>ba</t>
    </r>
    <r>
      <rPr>
        <sz val="10"/>
        <color theme="1"/>
        <rFont val="Calibri"/>
        <family val="2"/>
        <scheme val="minor"/>
      </rPr>
      <t xml:space="preserve"> =</t>
    </r>
  </si>
  <si>
    <r>
      <t>V</t>
    </r>
    <r>
      <rPr>
        <vertAlign val="subscript"/>
        <sz val="10"/>
        <color theme="1"/>
        <rFont val="Calibri"/>
        <family val="2"/>
        <scheme val="minor"/>
      </rPr>
      <t>max</t>
    </r>
    <r>
      <rPr>
        <sz val="10"/>
        <color theme="1"/>
        <rFont val="Calibri"/>
        <family val="2"/>
        <scheme val="minor"/>
      </rPr>
      <t xml:space="preserve"> =0.6 A</t>
    </r>
    <r>
      <rPr>
        <vertAlign val="subscript"/>
        <sz val="10"/>
        <color theme="1"/>
        <rFont val="Calibri"/>
        <family val="2"/>
        <scheme val="minor"/>
      </rPr>
      <t>sa</t>
    </r>
    <r>
      <rPr>
        <sz val="10"/>
        <color theme="1"/>
        <rFont val="Calibri"/>
        <family val="2"/>
        <scheme val="minor"/>
      </rPr>
      <t xml:space="preserve"> R</t>
    </r>
    <r>
      <rPr>
        <vertAlign val="subscript"/>
        <sz val="10"/>
        <color theme="1"/>
        <rFont val="Calibri"/>
        <family val="2"/>
        <scheme val="minor"/>
      </rPr>
      <t>ba</t>
    </r>
    <r>
      <rPr>
        <sz val="10"/>
        <color theme="1"/>
        <rFont val="Calibri"/>
        <family val="2"/>
        <scheme val="minor"/>
      </rPr>
      <t xml:space="preserve"> n =</t>
    </r>
  </si>
  <si>
    <r>
      <t>max(P;Q)/V</t>
    </r>
    <r>
      <rPr>
        <vertAlign val="subscript"/>
        <sz val="10"/>
        <color theme="1"/>
        <rFont val="Calibri"/>
        <family val="2"/>
        <scheme val="minor"/>
      </rPr>
      <t xml:space="preserve">max </t>
    </r>
    <r>
      <rPr>
        <sz val="10"/>
        <color theme="1"/>
        <rFont val="Calibri"/>
        <family val="2"/>
        <scheme val="minor"/>
      </rPr>
      <t>=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</si>
</sst>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"/>
    <numFmt numFmtId="166" formatCode="0.0E+00"/>
    <numFmt numFmtId="167" formatCode="_(* #,##0_);_(* \(#,##0\);_(* &quot;-&quot;??_);_(@_)"/>
    <numFmt numFmtId="168" formatCode="&quot;(&quot;0&quot;)&quot;"/>
  </numFmts>
  <fonts count="69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vertAlign val="subscript"/>
      <sz val="10"/>
      <color theme="1"/>
      <name val="Calibri"/>
      <family val="2"/>
      <scheme val="minor"/>
    </font>
    <font>
      <sz val="10"/>
      <color rgb="FF0070C0"/>
      <name val="Calibri"/>
      <family val="2"/>
      <scheme val="minor"/>
    </font>
    <font>
      <sz val="10"/>
      <color theme="1"/>
      <name val="Symbol"/>
      <family val="1"/>
      <charset val="2"/>
    </font>
    <font>
      <sz val="10"/>
      <color theme="1"/>
      <name val="Calibri"/>
      <family val="2"/>
    </font>
    <font>
      <vertAlign val="subscript"/>
      <sz val="10"/>
      <color theme="1"/>
      <name val="Calibri"/>
      <family val="2"/>
    </font>
    <font>
      <sz val="10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u/>
      <sz val="10"/>
      <color rgb="FFFF0000"/>
      <name val="Calibri"/>
      <family val="2"/>
      <scheme val="minor"/>
    </font>
    <font>
      <sz val="10"/>
      <color theme="1"/>
      <name val="Calibri"/>
      <family val="1"/>
      <charset val="2"/>
      <scheme val="minor"/>
    </font>
    <font>
      <sz val="10"/>
      <color rgb="FF0000CC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vertAlign val="subscript"/>
      <sz val="10"/>
      <color theme="0"/>
      <name val="Calibri"/>
      <family val="2"/>
      <scheme val="minor"/>
    </font>
    <font>
      <b/>
      <sz val="13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0070C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5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A7D00"/>
      <name val="Calibri"/>
      <family val="2"/>
      <scheme val="minor"/>
    </font>
    <font>
      <b/>
      <sz val="10"/>
      <color rgb="FFFA7D00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vertAlign val="subscript"/>
      <sz val="10"/>
      <name val="Calibri"/>
      <family val="2"/>
      <scheme val="minor"/>
    </font>
    <font>
      <vertAlign val="subscript"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sz val="9"/>
      <color indexed="81"/>
      <name val="Tahoma"/>
      <family val="2"/>
    </font>
    <font>
      <vertAlign val="subscript"/>
      <sz val="11"/>
      <color theme="1"/>
      <name val="Calibri"/>
      <family val="2"/>
    </font>
    <font>
      <sz val="10"/>
      <name val="Arial"/>
      <family val="2"/>
    </font>
    <font>
      <sz val="12"/>
      <name val="Calibri"/>
      <family val="2"/>
      <scheme val="minor"/>
    </font>
    <font>
      <b/>
      <sz val="10"/>
      <color theme="1"/>
      <name val="Symbol"/>
      <family val="1"/>
      <charset val="2"/>
    </font>
    <font>
      <sz val="10"/>
      <name val="Calibri"/>
      <family val="1"/>
      <charset val="2"/>
      <scheme val="minor"/>
    </font>
    <font>
      <sz val="16"/>
      <color theme="1"/>
      <name val="Calibri"/>
      <family val="2"/>
    </font>
    <font>
      <sz val="10"/>
      <color theme="1"/>
      <name val="Calibri"/>
      <family val="1"/>
      <charset val="2"/>
    </font>
    <font>
      <sz val="10"/>
      <color theme="1"/>
      <name val="Calibri"/>
      <family val="2"/>
      <charset val="2"/>
    </font>
    <font>
      <u/>
      <sz val="10"/>
      <color theme="1"/>
      <name val="Calibri"/>
      <family val="2"/>
      <scheme val="minor"/>
    </font>
    <font>
      <b/>
      <vertAlign val="subscript"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0000CC"/>
      <name val="Calibri"/>
      <family val="2"/>
      <scheme val="minor"/>
    </font>
    <font>
      <b/>
      <vertAlign val="subscript"/>
      <sz val="10"/>
      <color rgb="FF0070C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b/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11"/>
      <color indexed="8"/>
      <name val="Calibri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11"/>
      <name val="Times New Roman"/>
      <family val="1"/>
    </font>
    <font>
      <b/>
      <vertAlign val="subscript"/>
      <sz val="10"/>
      <name val="Arial"/>
      <family val="2"/>
    </font>
    <font>
      <b/>
      <sz val="10"/>
      <color rgb="FF0070C0"/>
      <name val="Arial"/>
      <family val="2"/>
    </font>
    <font>
      <b/>
      <vertAlign val="superscript"/>
      <sz val="10"/>
      <color rgb="FF0070C0"/>
      <name val="Calibri"/>
      <family val="2"/>
      <scheme val="minor"/>
    </font>
    <font>
      <vertAlign val="subscript"/>
      <sz val="10"/>
      <color rgb="FF0070C0"/>
      <name val="Calibri"/>
      <family val="2"/>
      <scheme val="minor"/>
    </font>
    <font>
      <b/>
      <sz val="10"/>
      <color rgb="FF0070C0"/>
      <name val="Calibri"/>
      <family val="1"/>
      <charset val="2"/>
    </font>
    <font>
      <b/>
      <sz val="10"/>
      <color rgb="FF0070C0"/>
      <name val="Symbol"/>
      <family val="1"/>
      <charset val="2"/>
    </font>
    <font>
      <b/>
      <vertAlign val="subscript"/>
      <sz val="11"/>
      <color rgb="FF0070C0"/>
      <name val="Calibri"/>
      <family val="2"/>
    </font>
    <font>
      <sz val="11"/>
      <color rgb="FF0000CC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0"/>
      <color theme="8" tint="0.79998168889431442"/>
      <name val="Calibri"/>
      <family val="2"/>
      <scheme val="minor"/>
    </font>
    <font>
      <b/>
      <vertAlign val="subscript"/>
      <sz val="10"/>
      <color rgb="FF0070C0"/>
      <name val="Calibri"/>
      <family val="2"/>
    </font>
    <font>
      <sz val="12"/>
      <color theme="1"/>
      <name val="Calibri"/>
      <family val="2"/>
      <scheme val="minor"/>
    </font>
    <font>
      <b/>
      <i/>
      <sz val="16"/>
      <color rgb="FF0000CC"/>
      <name val="Calibri"/>
      <family val="2"/>
      <scheme val="minor"/>
    </font>
    <font>
      <b/>
      <sz val="10"/>
      <color theme="0"/>
      <name val="Calibri"/>
      <family val="1"/>
      <charset val="2"/>
      <scheme val="minor"/>
    </font>
    <font>
      <b/>
      <sz val="10"/>
      <color theme="0"/>
      <name val="Symbol"/>
      <family val="1"/>
      <charset val="2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8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99"/>
      </patternFill>
    </fill>
  </fills>
  <borders count="68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499984740745262"/>
      </left>
      <right/>
      <top/>
      <bottom/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 style="thin">
        <color indexed="64"/>
      </right>
      <top/>
      <bottom style="thin">
        <color theme="0" tint="-0.499984740745262"/>
      </bottom>
      <diagonal/>
    </border>
    <border>
      <left style="thin">
        <color indexed="64"/>
      </left>
      <right/>
      <top/>
      <bottom style="hair">
        <color auto="1"/>
      </bottom>
      <diagonal/>
    </border>
    <border>
      <left/>
      <right style="thin">
        <color indexed="64"/>
      </right>
      <top/>
      <bottom style="hair">
        <color auto="1"/>
      </bottom>
      <diagonal/>
    </border>
  </borders>
  <cellStyleXfs count="13">
    <xf numFmtId="0" fontId="0" fillId="0" borderId="0"/>
    <xf numFmtId="0" fontId="18" fillId="0" borderId="0"/>
    <xf numFmtId="0" fontId="23" fillId="7" borderId="16" applyNumberFormat="0" applyAlignment="0" applyProtection="0"/>
    <xf numFmtId="0" fontId="32" fillId="0" borderId="0"/>
    <xf numFmtId="9" fontId="18" fillId="0" borderId="0" applyFont="0" applyFill="0" applyBorder="0" applyAlignment="0" applyProtection="0"/>
    <xf numFmtId="0" fontId="18" fillId="8" borderId="0" applyNumberFormat="0" applyBorder="0" applyAlignment="0" applyProtection="0"/>
    <xf numFmtId="0" fontId="44" fillId="9" borderId="0" applyNumberFormat="0" applyBorder="0" applyAlignment="0" applyProtection="0"/>
    <xf numFmtId="0" fontId="45" fillId="0" borderId="0"/>
    <xf numFmtId="0" fontId="48" fillId="0" borderId="0"/>
    <xf numFmtId="0" fontId="52" fillId="0" borderId="0"/>
    <xf numFmtId="165" fontId="45" fillId="0" borderId="0" applyFont="0" applyFill="0" applyBorder="0" applyAlignment="0" applyProtection="0"/>
    <xf numFmtId="0" fontId="52" fillId="0" borderId="0"/>
    <xf numFmtId="0" fontId="62" fillId="12" borderId="16" applyNumberFormat="0" applyAlignment="0" applyProtection="0"/>
  </cellStyleXfs>
  <cellXfs count="415">
    <xf numFmtId="0" fontId="0" fillId="0" borderId="0" xfId="0"/>
    <xf numFmtId="0" fontId="1" fillId="0" borderId="0" xfId="0" applyFont="1"/>
    <xf numFmtId="0" fontId="1" fillId="2" borderId="0" xfId="0" applyFont="1" applyFill="1"/>
    <xf numFmtId="0" fontId="1" fillId="2" borderId="10" xfId="0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 vertical="center"/>
    </xf>
    <xf numFmtId="1" fontId="1" fillId="2" borderId="13" xfId="0" applyNumberFormat="1" applyFont="1" applyFill="1" applyBorder="1" applyAlignment="1">
      <alignment horizontal="center" vertical="center"/>
    </xf>
    <xf numFmtId="0" fontId="15" fillId="5" borderId="10" xfId="0" applyFont="1" applyFill="1" applyBorder="1" applyAlignment="1">
      <alignment horizontal="center"/>
    </xf>
    <xf numFmtId="0" fontId="8" fillId="2" borderId="13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right" vertical="center"/>
    </xf>
    <xf numFmtId="0" fontId="1" fillId="6" borderId="0" xfId="0" applyFont="1" applyFill="1"/>
    <xf numFmtId="0" fontId="21" fillId="6" borderId="0" xfId="0" applyFont="1" applyFill="1" applyAlignment="1">
      <alignment horizontal="center" vertical="center"/>
    </xf>
    <xf numFmtId="0" fontId="20" fillId="6" borderId="0" xfId="0" applyFont="1" applyFill="1" applyAlignment="1">
      <alignment vertical="center"/>
    </xf>
    <xf numFmtId="0" fontId="11" fillId="2" borderId="0" xfId="0" applyFont="1" applyFill="1" applyAlignment="1">
      <alignment horizontal="right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/>
    </xf>
    <xf numFmtId="0" fontId="0" fillId="0" borderId="13" xfId="0" applyBorder="1" applyAlignment="1">
      <alignment horizontal="center" vertical="center"/>
    </xf>
    <xf numFmtId="0" fontId="1" fillId="0" borderId="13" xfId="0" applyFont="1" applyBorder="1"/>
    <xf numFmtId="0" fontId="34" fillId="2" borderId="13" xfId="0" applyFont="1" applyFill="1" applyBorder="1" applyAlignment="1">
      <alignment horizontal="center" vertical="center"/>
    </xf>
    <xf numFmtId="0" fontId="12" fillId="2" borderId="13" xfId="0" applyFont="1" applyFill="1" applyBorder="1" applyAlignment="1">
      <alignment horizontal="center" vertical="center"/>
    </xf>
    <xf numFmtId="2" fontId="12" fillId="2" borderId="13" xfId="0" applyNumberFormat="1" applyFont="1" applyFill="1" applyBorder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right" vertical="center"/>
    </xf>
    <xf numFmtId="0" fontId="1" fillId="2" borderId="0" xfId="0" applyFont="1" applyFill="1" applyAlignment="1">
      <alignment horizontal="center" vertical="center"/>
    </xf>
    <xf numFmtId="0" fontId="12" fillId="2" borderId="0" xfId="0" applyFont="1" applyFill="1"/>
    <xf numFmtId="0" fontId="8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164" fontId="1" fillId="2" borderId="23" xfId="0" applyNumberFormat="1" applyFont="1" applyFill="1" applyBorder="1" applyAlignment="1">
      <alignment horizontal="center" vertical="center"/>
    </xf>
    <xf numFmtId="0" fontId="1" fillId="2" borderId="24" xfId="0" applyFont="1" applyFill="1" applyBorder="1" applyAlignment="1">
      <alignment horizontal="center" vertical="center"/>
    </xf>
    <xf numFmtId="1" fontId="8" fillId="2" borderId="23" xfId="0" applyNumberFormat="1" applyFont="1" applyFill="1" applyBorder="1" applyAlignment="1">
      <alignment horizontal="center" vertical="center"/>
    </xf>
    <xf numFmtId="0" fontId="5" fillId="2" borderId="24" xfId="0" applyFont="1" applyFill="1" applyBorder="1" applyAlignment="1">
      <alignment horizontal="center" vertical="center"/>
    </xf>
    <xf numFmtId="2" fontId="1" fillId="2" borderId="23" xfId="0" applyNumberFormat="1" applyFont="1" applyFill="1" applyBorder="1" applyAlignment="1">
      <alignment horizontal="center" vertical="center"/>
    </xf>
    <xf numFmtId="0" fontId="1" fillId="2" borderId="25" xfId="0" applyFont="1" applyFill="1" applyBorder="1" applyAlignment="1">
      <alignment horizontal="center" vertical="center"/>
    </xf>
    <xf numFmtId="1" fontId="8" fillId="2" borderId="25" xfId="0" applyNumberFormat="1" applyFont="1" applyFill="1" applyBorder="1" applyAlignment="1">
      <alignment horizontal="center" vertical="center"/>
    </xf>
    <xf numFmtId="1" fontId="1" fillId="2" borderId="25" xfId="0" applyNumberFormat="1" applyFont="1" applyFill="1" applyBorder="1" applyAlignment="1">
      <alignment horizontal="center" vertical="center"/>
    </xf>
    <xf numFmtId="164" fontId="1" fillId="2" borderId="25" xfId="0" applyNumberFormat="1" applyFont="1" applyFill="1" applyBorder="1" applyAlignment="1">
      <alignment horizontal="center" vertical="center"/>
    </xf>
    <xf numFmtId="2" fontId="1" fillId="2" borderId="25" xfId="0" applyNumberFormat="1" applyFont="1" applyFill="1" applyBorder="1" applyAlignment="1">
      <alignment horizontal="center" vertical="center"/>
    </xf>
    <xf numFmtId="0" fontId="1" fillId="2" borderId="29" xfId="0" applyFont="1" applyFill="1" applyBorder="1" applyAlignment="1">
      <alignment horizontal="center" vertical="center"/>
    </xf>
    <xf numFmtId="1" fontId="8" fillId="2" borderId="29" xfId="0" applyNumberFormat="1" applyFont="1" applyFill="1" applyBorder="1" applyAlignment="1">
      <alignment horizontal="center" vertical="center"/>
    </xf>
    <xf numFmtId="164" fontId="1" fillId="2" borderId="29" xfId="0" applyNumberFormat="1" applyFont="1" applyFill="1" applyBorder="1" applyAlignment="1">
      <alignment horizontal="center" vertical="center"/>
    </xf>
    <xf numFmtId="2" fontId="1" fillId="2" borderId="29" xfId="0" applyNumberFormat="1" applyFont="1" applyFill="1" applyBorder="1" applyAlignment="1">
      <alignment horizontal="center" vertical="center"/>
    </xf>
    <xf numFmtId="2" fontId="12" fillId="2" borderId="0" xfId="0" applyNumberFormat="1" applyFont="1" applyFill="1" applyAlignment="1">
      <alignment horizontal="center" vertical="center"/>
    </xf>
    <xf numFmtId="0" fontId="1" fillId="2" borderId="25" xfId="0" applyFont="1" applyFill="1" applyBorder="1" applyAlignment="1">
      <alignment horizontal="center" vertical="top"/>
    </xf>
    <xf numFmtId="9" fontId="8" fillId="2" borderId="25" xfId="4" applyFont="1" applyFill="1" applyBorder="1" applyAlignment="1">
      <alignment horizontal="center" vertical="center"/>
    </xf>
    <xf numFmtId="0" fontId="1" fillId="2" borderId="33" xfId="0" applyFont="1" applyFill="1" applyBorder="1" applyAlignment="1">
      <alignment horizontal="center" vertical="top"/>
    </xf>
    <xf numFmtId="9" fontId="8" fillId="2" borderId="33" xfId="4" applyFont="1" applyFill="1" applyBorder="1" applyAlignment="1">
      <alignment horizontal="center" vertical="center"/>
    </xf>
    <xf numFmtId="0" fontId="1" fillId="2" borderId="29" xfId="0" applyFont="1" applyFill="1" applyBorder="1" applyAlignment="1">
      <alignment horizontal="center" vertical="top"/>
    </xf>
    <xf numFmtId="9" fontId="8" fillId="2" borderId="29" xfId="4" applyFont="1" applyFill="1" applyBorder="1" applyAlignment="1">
      <alignment horizontal="center" vertical="center"/>
    </xf>
    <xf numFmtId="0" fontId="41" fillId="2" borderId="13" xfId="0" applyFont="1" applyFill="1" applyBorder="1" applyAlignment="1">
      <alignment horizontal="center" vertical="center"/>
    </xf>
    <xf numFmtId="165" fontId="12" fillId="2" borderId="0" xfId="0" applyNumberFormat="1" applyFont="1" applyFill="1" applyAlignment="1">
      <alignment horizontal="center" vertical="center"/>
    </xf>
    <xf numFmtId="0" fontId="8" fillId="2" borderId="0" xfId="0" applyFont="1" applyFill="1" applyAlignment="1">
      <alignment horizontal="left"/>
    </xf>
    <xf numFmtId="0" fontId="1" fillId="2" borderId="0" xfId="0" applyFont="1" applyFill="1" applyAlignment="1">
      <alignment vertical="center"/>
    </xf>
    <xf numFmtId="2" fontId="19" fillId="4" borderId="13" xfId="0" applyNumberFormat="1" applyFont="1" applyFill="1" applyBorder="1" applyAlignment="1">
      <alignment horizontal="center"/>
    </xf>
    <xf numFmtId="2" fontId="19" fillId="4" borderId="13" xfId="0" applyNumberFormat="1" applyFont="1" applyFill="1" applyBorder="1" applyAlignment="1">
      <alignment horizontal="center" vertical="center"/>
    </xf>
    <xf numFmtId="165" fontId="19" fillId="4" borderId="13" xfId="0" applyNumberFormat="1" applyFont="1" applyFill="1" applyBorder="1" applyAlignment="1">
      <alignment horizontal="center" vertical="center"/>
    </xf>
    <xf numFmtId="0" fontId="12" fillId="2" borderId="13" xfId="0" applyFont="1" applyFill="1" applyBorder="1"/>
    <xf numFmtId="165" fontId="12" fillId="2" borderId="13" xfId="0" applyNumberFormat="1" applyFont="1" applyFill="1" applyBorder="1" applyAlignment="1">
      <alignment horizontal="center" vertical="center"/>
    </xf>
    <xf numFmtId="0" fontId="18" fillId="8" borderId="13" xfId="5" applyBorder="1" applyAlignment="1">
      <alignment horizontal="center" vertical="center"/>
    </xf>
    <xf numFmtId="0" fontId="0" fillId="8" borderId="13" xfId="5" applyFont="1" applyBorder="1" applyAlignment="1">
      <alignment horizontal="center" vertical="center"/>
    </xf>
    <xf numFmtId="0" fontId="15" fillId="5" borderId="0" xfId="0" applyFont="1" applyFill="1" applyAlignment="1">
      <alignment horizontal="center"/>
    </xf>
    <xf numFmtId="0" fontId="15" fillId="5" borderId="0" xfId="0" applyFont="1" applyFill="1" applyAlignment="1">
      <alignment horizontal="center" wrapText="1"/>
    </xf>
    <xf numFmtId="0" fontId="15" fillId="5" borderId="0" xfId="0" applyFont="1" applyFill="1" applyAlignment="1">
      <alignment horizontal="center" vertical="center" wrapText="1"/>
    </xf>
    <xf numFmtId="0" fontId="46" fillId="5" borderId="13" xfId="7" applyFont="1" applyFill="1" applyBorder="1" applyAlignment="1">
      <alignment horizontal="center" vertical="center" wrapText="1"/>
    </xf>
    <xf numFmtId="0" fontId="49" fillId="10" borderId="13" xfId="8" applyFont="1" applyFill="1" applyBorder="1" applyAlignment="1">
      <alignment horizontal="center" vertical="center"/>
    </xf>
    <xf numFmtId="0" fontId="50" fillId="10" borderId="13" xfId="0" applyFont="1" applyFill="1" applyBorder="1" applyAlignment="1">
      <alignment horizontal="center" vertical="center"/>
    </xf>
    <xf numFmtId="0" fontId="50" fillId="10" borderId="13" xfId="0" applyFont="1" applyFill="1" applyBorder="1" applyAlignment="1">
      <alignment vertical="center"/>
    </xf>
    <xf numFmtId="0" fontId="49" fillId="10" borderId="21" xfId="9" applyFont="1" applyFill="1" applyBorder="1" applyAlignment="1">
      <alignment horizontal="center" vertical="center"/>
    </xf>
    <xf numFmtId="0" fontId="34" fillId="2" borderId="0" xfId="0" applyFont="1" applyFill="1" applyAlignment="1">
      <alignment horizontal="center" vertical="center"/>
    </xf>
    <xf numFmtId="0" fontId="46" fillId="5" borderId="13" xfId="7" applyFont="1" applyFill="1" applyBorder="1" applyAlignment="1">
      <alignment vertical="center"/>
    </xf>
    <xf numFmtId="0" fontId="49" fillId="10" borderId="21" xfId="8" applyFont="1" applyFill="1" applyBorder="1" applyAlignment="1">
      <alignment horizontal="center" vertical="center"/>
    </xf>
    <xf numFmtId="0" fontId="54" fillId="0" borderId="37" xfId="7" applyFont="1" applyBorder="1" applyAlignment="1" applyProtection="1">
      <alignment horizontal="center" vertical="center"/>
      <protection hidden="1"/>
    </xf>
    <xf numFmtId="0" fontId="0" fillId="0" borderId="23" xfId="0" applyBorder="1" applyAlignment="1">
      <alignment horizontal="center" vertical="center"/>
    </xf>
    <xf numFmtId="167" fontId="32" fillId="0" borderId="23" xfId="10" applyNumberFormat="1" applyFont="1" applyBorder="1" applyAlignment="1" applyProtection="1">
      <alignment horizontal="center" vertical="center"/>
      <protection hidden="1"/>
    </xf>
    <xf numFmtId="165" fontId="32" fillId="0" borderId="23" xfId="7" applyNumberFormat="1" applyFont="1" applyBorder="1" applyAlignment="1" applyProtection="1">
      <alignment horizontal="center" vertical="center"/>
      <protection hidden="1"/>
    </xf>
    <xf numFmtId="2" fontId="32" fillId="0" borderId="23" xfId="7" applyNumberFormat="1" applyFont="1" applyBorder="1" applyAlignment="1" applyProtection="1">
      <alignment horizontal="center" vertical="center"/>
      <protection hidden="1"/>
    </xf>
    <xf numFmtId="2" fontId="32" fillId="0" borderId="4" xfId="7" applyNumberFormat="1" applyFont="1" applyBorder="1" applyAlignment="1" applyProtection="1">
      <alignment horizontal="center" vertical="center"/>
      <protection hidden="1"/>
    </xf>
    <xf numFmtId="0" fontId="54" fillId="0" borderId="38" xfId="7" applyFont="1" applyBorder="1" applyAlignment="1" applyProtection="1">
      <alignment horizontal="center" vertical="center"/>
      <protection hidden="1"/>
    </xf>
    <xf numFmtId="167" fontId="32" fillId="0" borderId="13" xfId="10" applyNumberFormat="1" applyFont="1" applyBorder="1" applyAlignment="1" applyProtection="1">
      <alignment horizontal="center" vertical="center"/>
      <protection hidden="1"/>
    </xf>
    <xf numFmtId="165" fontId="32" fillId="0" borderId="13" xfId="7" applyNumberFormat="1" applyFont="1" applyBorder="1" applyAlignment="1" applyProtection="1">
      <alignment horizontal="center" vertical="center"/>
      <protection hidden="1"/>
    </xf>
    <xf numFmtId="2" fontId="32" fillId="0" borderId="13" xfId="7" applyNumberFormat="1" applyFont="1" applyBorder="1" applyAlignment="1" applyProtection="1">
      <alignment horizontal="center" vertical="center"/>
      <protection hidden="1"/>
    </xf>
    <xf numFmtId="2" fontId="32" fillId="0" borderId="21" xfId="7" applyNumberFormat="1" applyFont="1" applyBorder="1" applyAlignment="1" applyProtection="1">
      <alignment horizontal="center" vertical="center"/>
      <protection hidden="1"/>
    </xf>
    <xf numFmtId="0" fontId="54" fillId="0" borderId="39" xfId="7" applyFont="1" applyBorder="1" applyAlignment="1" applyProtection="1">
      <alignment horizontal="center" vertical="center"/>
      <protection hidden="1"/>
    </xf>
    <xf numFmtId="0" fontId="0" fillId="0" borderId="40" xfId="0" applyBorder="1" applyAlignment="1">
      <alignment horizontal="center" vertical="center"/>
    </xf>
    <xf numFmtId="167" fontId="32" fillId="0" borderId="40" xfId="10" applyNumberFormat="1" applyFont="1" applyBorder="1" applyAlignment="1" applyProtection="1">
      <alignment horizontal="center" vertical="center"/>
      <protection hidden="1"/>
    </xf>
    <xf numFmtId="165" fontId="32" fillId="0" borderId="40" xfId="7" applyNumberFormat="1" applyFont="1" applyBorder="1" applyAlignment="1" applyProtection="1">
      <alignment horizontal="center" vertical="center"/>
      <protection hidden="1"/>
    </xf>
    <xf numFmtId="2" fontId="32" fillId="0" borderId="40" xfId="7" applyNumberFormat="1" applyFont="1" applyBorder="1" applyAlignment="1" applyProtection="1">
      <alignment horizontal="center" vertical="center"/>
      <protection hidden="1"/>
    </xf>
    <xf numFmtId="2" fontId="32" fillId="0" borderId="41" xfId="7" applyNumberFormat="1" applyFont="1" applyBorder="1" applyAlignment="1" applyProtection="1">
      <alignment horizontal="center" vertical="center"/>
      <protection hidden="1"/>
    </xf>
    <xf numFmtId="1" fontId="32" fillId="2" borderId="13" xfId="9" applyNumberFormat="1" applyFont="1" applyFill="1" applyBorder="1" applyAlignment="1">
      <alignment vertical="center"/>
    </xf>
    <xf numFmtId="1" fontId="32" fillId="2" borderId="13" xfId="9" applyNumberFormat="1" applyFont="1" applyFill="1" applyBorder="1" applyAlignment="1">
      <alignment horizontal="center" vertical="center"/>
    </xf>
    <xf numFmtId="0" fontId="32" fillId="2" borderId="13" xfId="9" applyFont="1" applyFill="1" applyBorder="1" applyAlignment="1">
      <alignment vertical="center"/>
    </xf>
    <xf numFmtId="0" fontId="32" fillId="2" borderId="21" xfId="9" applyFont="1" applyFill="1" applyBorder="1" applyAlignment="1">
      <alignment vertical="center"/>
    </xf>
    <xf numFmtId="0" fontId="32" fillId="2" borderId="13" xfId="9" applyFont="1" applyFill="1" applyBorder="1" applyAlignment="1">
      <alignment horizontal="center" vertical="center"/>
    </xf>
    <xf numFmtId="0" fontId="32" fillId="2" borderId="13" xfId="8" applyFont="1" applyFill="1" applyBorder="1" applyAlignment="1">
      <alignment horizontal="left" vertical="center"/>
    </xf>
    <xf numFmtId="0" fontId="32" fillId="2" borderId="13" xfId="8" applyFont="1" applyFill="1" applyBorder="1" applyAlignment="1">
      <alignment horizontal="center" vertical="center"/>
    </xf>
    <xf numFmtId="0" fontId="32" fillId="2" borderId="21" xfId="8" applyFont="1" applyFill="1" applyBorder="1" applyAlignment="1">
      <alignment horizontal="left" vertical="center"/>
    </xf>
    <xf numFmtId="0" fontId="32" fillId="2" borderId="21" xfId="9" applyFont="1" applyFill="1" applyBorder="1" applyAlignment="1">
      <alignment horizontal="left" vertical="center"/>
    </xf>
    <xf numFmtId="0" fontId="32" fillId="2" borderId="21" xfId="11" applyFont="1" applyFill="1" applyBorder="1" applyAlignment="1">
      <alignment horizontal="left" vertical="center"/>
    </xf>
    <xf numFmtId="0" fontId="33" fillId="2" borderId="13" xfId="3" applyFont="1" applyFill="1" applyBorder="1" applyAlignment="1" applyProtection="1">
      <alignment horizontal="center" vertical="center"/>
      <protection hidden="1"/>
    </xf>
    <xf numFmtId="0" fontId="0" fillId="2" borderId="13" xfId="0" applyFill="1" applyBorder="1" applyAlignment="1">
      <alignment horizontal="center" vertical="center"/>
    </xf>
    <xf numFmtId="0" fontId="1" fillId="2" borderId="13" xfId="0" applyFont="1" applyFill="1" applyBorder="1"/>
    <xf numFmtId="2" fontId="1" fillId="2" borderId="13" xfId="0" applyNumberFormat="1" applyFont="1" applyFill="1" applyBorder="1" applyAlignment="1">
      <alignment horizontal="center" vertical="center"/>
    </xf>
    <xf numFmtId="0" fontId="19" fillId="4" borderId="13" xfId="0" applyFont="1" applyFill="1" applyBorder="1" applyAlignment="1">
      <alignment horizontal="center" vertical="center"/>
    </xf>
    <xf numFmtId="0" fontId="57" fillId="4" borderId="13" xfId="0" applyFont="1" applyFill="1" applyBorder="1" applyAlignment="1">
      <alignment horizontal="center" vertical="center"/>
    </xf>
    <xf numFmtId="1" fontId="8" fillId="2" borderId="13" xfId="0" applyNumberFormat="1" applyFont="1" applyFill="1" applyBorder="1" applyAlignment="1">
      <alignment horizontal="center" vertical="center"/>
    </xf>
    <xf numFmtId="168" fontId="1" fillId="4" borderId="13" xfId="0" applyNumberFormat="1" applyFont="1" applyFill="1" applyBorder="1" applyAlignment="1">
      <alignment horizontal="center" vertical="center"/>
    </xf>
    <xf numFmtId="0" fontId="0" fillId="4" borderId="0" xfId="0" applyFill="1"/>
    <xf numFmtId="0" fontId="60" fillId="4" borderId="0" xfId="0" applyFont="1" applyFill="1"/>
    <xf numFmtId="0" fontId="0" fillId="4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1" borderId="0" xfId="0" applyFill="1" applyAlignment="1">
      <alignment horizontal="center" vertical="center"/>
    </xf>
    <xf numFmtId="168" fontId="1" fillId="4" borderId="43" xfId="0" applyNumberFormat="1" applyFont="1" applyFill="1" applyBorder="1" applyAlignment="1">
      <alignment horizontal="center" vertical="center"/>
    </xf>
    <xf numFmtId="0" fontId="1" fillId="2" borderId="43" xfId="0" applyFont="1" applyFill="1" applyBorder="1" applyAlignment="1">
      <alignment horizontal="center" vertical="center"/>
    </xf>
    <xf numFmtId="0" fontId="29" fillId="0" borderId="42" xfId="0" applyFont="1" applyBorder="1" applyAlignment="1">
      <alignment horizontal="center" vertical="center"/>
    </xf>
    <xf numFmtId="0" fontId="1" fillId="4" borderId="0" xfId="0" applyFont="1" applyFill="1" applyAlignment="1">
      <alignment vertical="top"/>
    </xf>
    <xf numFmtId="0" fontId="1" fillId="4" borderId="0" xfId="0" applyFont="1" applyFill="1" applyAlignment="1">
      <alignment horizontal="right" vertical="top"/>
    </xf>
    <xf numFmtId="0" fontId="12" fillId="4" borderId="0" xfId="0" applyFont="1" applyFill="1" applyAlignment="1">
      <alignment horizontal="right" vertical="center"/>
    </xf>
    <xf numFmtId="0" fontId="1" fillId="4" borderId="0" xfId="0" applyFont="1" applyFill="1" applyAlignment="1">
      <alignment horizontal="right" vertical="center"/>
    </xf>
    <xf numFmtId="0" fontId="1" fillId="4" borderId="0" xfId="0" applyFont="1" applyFill="1" applyAlignment="1">
      <alignment vertical="center"/>
    </xf>
    <xf numFmtId="0" fontId="61" fillId="4" borderId="0" xfId="0" applyFont="1" applyFill="1"/>
    <xf numFmtId="0" fontId="1" fillId="4" borderId="0" xfId="0" applyFont="1" applyFill="1" applyAlignment="1">
      <alignment horizontal="center" vertical="center"/>
    </xf>
    <xf numFmtId="0" fontId="61" fillId="4" borderId="0" xfId="0" applyFont="1" applyFill="1" applyAlignment="1">
      <alignment horizontal="right" vertical="center"/>
    </xf>
    <xf numFmtId="0" fontId="1" fillId="4" borderId="13" xfId="0" applyFont="1" applyFill="1" applyBorder="1" applyAlignment="1">
      <alignment horizontal="center" vertical="center"/>
    </xf>
    <xf numFmtId="0" fontId="18" fillId="4" borderId="13" xfId="5" applyFill="1" applyBorder="1" applyAlignment="1">
      <alignment horizontal="center" vertical="center"/>
    </xf>
    <xf numFmtId="0" fontId="1" fillId="2" borderId="43" xfId="0" applyFont="1" applyFill="1" applyBorder="1"/>
    <xf numFmtId="0" fontId="1" fillId="2" borderId="33" xfId="0" applyFont="1" applyFill="1" applyBorder="1" applyAlignment="1">
      <alignment horizontal="center" vertical="center"/>
    </xf>
    <xf numFmtId="1" fontId="8" fillId="2" borderId="33" xfId="0" applyNumberFormat="1" applyFont="1" applyFill="1" applyBorder="1" applyAlignment="1">
      <alignment horizontal="center" vertical="center"/>
    </xf>
    <xf numFmtId="1" fontId="1" fillId="2" borderId="33" xfId="0" applyNumberFormat="1" applyFont="1" applyFill="1" applyBorder="1" applyAlignment="1">
      <alignment horizontal="center" vertical="center"/>
    </xf>
    <xf numFmtId="164" fontId="1" fillId="2" borderId="33" xfId="0" applyNumberFormat="1" applyFont="1" applyFill="1" applyBorder="1" applyAlignment="1">
      <alignment horizontal="center" vertical="center"/>
    </xf>
    <xf numFmtId="2" fontId="1" fillId="2" borderId="33" xfId="0" applyNumberFormat="1" applyFont="1" applyFill="1" applyBorder="1" applyAlignment="1">
      <alignment horizontal="center" vertical="center"/>
    </xf>
    <xf numFmtId="2" fontId="19" fillId="4" borderId="13" xfId="0" applyNumberFormat="1" applyFont="1" applyFill="1" applyBorder="1" applyAlignment="1">
      <alignment horizontal="center" vertical="top"/>
    </xf>
    <xf numFmtId="0" fontId="20" fillId="9" borderId="6" xfId="6" applyFont="1" applyBorder="1" applyAlignment="1">
      <alignment horizontal="center" vertical="center"/>
    </xf>
    <xf numFmtId="0" fontId="20" fillId="9" borderId="6" xfId="6" applyFont="1" applyBorder="1" applyAlignment="1">
      <alignment vertical="center"/>
    </xf>
    <xf numFmtId="165" fontId="8" fillId="2" borderId="13" xfId="0" applyNumberFormat="1" applyFont="1" applyFill="1" applyBorder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12" fillId="2" borderId="0" xfId="0" applyFont="1" applyFill="1" applyAlignment="1">
      <alignment vertical="center"/>
    </xf>
    <xf numFmtId="2" fontId="12" fillId="2" borderId="0" xfId="0" applyNumberFormat="1" applyFont="1" applyFill="1" applyAlignment="1">
      <alignment vertical="center"/>
    </xf>
    <xf numFmtId="0" fontId="42" fillId="2" borderId="0" xfId="0" applyFont="1" applyFill="1" applyAlignment="1">
      <alignment horizontal="left" vertical="center"/>
    </xf>
    <xf numFmtId="0" fontId="19" fillId="4" borderId="24" xfId="0" applyFont="1" applyFill="1" applyBorder="1" applyAlignment="1">
      <alignment horizontal="center" vertical="center"/>
    </xf>
    <xf numFmtId="0" fontId="63" fillId="4" borderId="23" xfId="0" applyFont="1" applyFill="1" applyBorder="1" applyAlignment="1">
      <alignment horizontal="center" vertical="center"/>
    </xf>
    <xf numFmtId="0" fontId="12" fillId="2" borderId="13" xfId="0" applyFont="1" applyFill="1" applyBorder="1" applyAlignment="1">
      <alignment vertical="center"/>
    </xf>
    <xf numFmtId="2" fontId="12" fillId="2" borderId="13" xfId="0" applyNumberFormat="1" applyFont="1" applyFill="1" applyBorder="1" applyAlignment="1">
      <alignment vertical="center"/>
    </xf>
    <xf numFmtId="2" fontId="8" fillId="2" borderId="13" xfId="0" applyNumberFormat="1" applyFont="1" applyFill="1" applyBorder="1" applyAlignment="1">
      <alignment horizontal="center" vertical="center"/>
    </xf>
    <xf numFmtId="0" fontId="19" fillId="4" borderId="13" xfId="0" applyFont="1" applyFill="1" applyBorder="1" applyAlignment="1">
      <alignment horizontal="center" vertical="center" wrapText="1"/>
    </xf>
    <xf numFmtId="0" fontId="19" fillId="4" borderId="2" xfId="0" applyFont="1" applyFill="1" applyBorder="1" applyAlignment="1">
      <alignment vertical="center"/>
    </xf>
    <xf numFmtId="0" fontId="19" fillId="4" borderId="5" xfId="0" applyFont="1" applyFill="1" applyBorder="1" applyAlignment="1">
      <alignment vertical="center"/>
    </xf>
    <xf numFmtId="0" fontId="1" fillId="2" borderId="23" xfId="0" applyFont="1" applyFill="1" applyBorder="1" applyAlignment="1">
      <alignment horizontal="center" vertical="center"/>
    </xf>
    <xf numFmtId="2" fontId="42" fillId="2" borderId="0" xfId="0" applyNumberFormat="1" applyFont="1" applyFill="1" applyAlignment="1">
      <alignment horizontal="left" vertical="center"/>
    </xf>
    <xf numFmtId="2" fontId="1" fillId="2" borderId="0" xfId="0" applyNumberFormat="1" applyFont="1" applyFill="1" applyAlignment="1">
      <alignment horizontal="left" vertical="center"/>
    </xf>
    <xf numFmtId="2" fontId="12" fillId="2" borderId="0" xfId="0" applyNumberFormat="1" applyFont="1" applyFill="1"/>
    <xf numFmtId="0" fontId="18" fillId="8" borderId="48" xfId="5" applyBorder="1" applyAlignment="1">
      <alignment horizontal="center" vertical="center"/>
    </xf>
    <xf numFmtId="168" fontId="1" fillId="4" borderId="48" xfId="0" applyNumberFormat="1" applyFont="1" applyFill="1" applyBorder="1" applyAlignment="1">
      <alignment horizontal="center" vertical="center"/>
    </xf>
    <xf numFmtId="0" fontId="1" fillId="2" borderId="48" xfId="0" applyFont="1" applyFill="1" applyBorder="1" applyAlignment="1">
      <alignment horizontal="center" vertical="center"/>
    </xf>
    <xf numFmtId="0" fontId="1" fillId="2" borderId="48" xfId="0" applyFont="1" applyFill="1" applyBorder="1"/>
    <xf numFmtId="0" fontId="1" fillId="2" borderId="3" xfId="0" applyFont="1" applyFill="1" applyBorder="1"/>
    <xf numFmtId="0" fontId="1" fillId="2" borderId="24" xfId="0" applyFont="1" applyFill="1" applyBorder="1"/>
    <xf numFmtId="0" fontId="1" fillId="2" borderId="49" xfId="0" applyFont="1" applyFill="1" applyBorder="1"/>
    <xf numFmtId="0" fontId="12" fillId="2" borderId="47" xfId="0" applyFont="1" applyFill="1" applyBorder="1" applyAlignment="1">
      <alignment horizontal="center" vertical="center"/>
    </xf>
    <xf numFmtId="0" fontId="19" fillId="4" borderId="13" xfId="0" applyFont="1" applyFill="1" applyBorder="1" applyAlignment="1">
      <alignment vertical="center" wrapText="1"/>
    </xf>
    <xf numFmtId="0" fontId="19" fillId="4" borderId="13" xfId="0" applyFont="1" applyFill="1" applyBorder="1" applyAlignment="1">
      <alignment vertical="center"/>
    </xf>
    <xf numFmtId="165" fontId="1" fillId="2" borderId="13" xfId="0" applyNumberFormat="1" applyFont="1" applyFill="1" applyBorder="1" applyAlignment="1">
      <alignment horizontal="center" vertical="center"/>
    </xf>
    <xf numFmtId="0" fontId="29" fillId="2" borderId="13" xfId="0" applyFont="1" applyFill="1" applyBorder="1" applyAlignment="1">
      <alignment horizontal="center" vertical="center"/>
    </xf>
    <xf numFmtId="0" fontId="12" fillId="2" borderId="0" xfId="0" applyFont="1" applyFill="1" applyAlignment="1">
      <alignment horizontal="left"/>
    </xf>
    <xf numFmtId="0" fontId="12" fillId="2" borderId="13" xfId="0" applyFont="1" applyFill="1" applyBorder="1" applyAlignment="1">
      <alignment horizontal="left" vertical="center"/>
    </xf>
    <xf numFmtId="0" fontId="12" fillId="2" borderId="13" xfId="0" applyFont="1" applyFill="1" applyBorder="1" applyAlignment="1">
      <alignment horizontal="left"/>
    </xf>
    <xf numFmtId="0" fontId="1" fillId="2" borderId="0" xfId="0" quotePrefix="1" applyFont="1" applyFill="1"/>
    <xf numFmtId="0" fontId="12" fillId="2" borderId="23" xfId="0" applyFont="1" applyFill="1" applyBorder="1" applyAlignment="1">
      <alignment vertical="center"/>
    </xf>
    <xf numFmtId="2" fontId="12" fillId="2" borderId="23" xfId="0" applyNumberFormat="1" applyFont="1" applyFill="1" applyBorder="1" applyAlignment="1">
      <alignment vertical="center"/>
    </xf>
    <xf numFmtId="0" fontId="12" fillId="2" borderId="23" xfId="0" applyFont="1" applyFill="1" applyBorder="1" applyAlignment="1">
      <alignment horizontal="center" vertical="center"/>
    </xf>
    <xf numFmtId="0" fontId="12" fillId="2" borderId="23" xfId="0" applyFont="1" applyFill="1" applyBorder="1"/>
    <xf numFmtId="0" fontId="12" fillId="2" borderId="23" xfId="0" applyFont="1" applyFill="1" applyBorder="1" applyAlignment="1">
      <alignment horizontal="left"/>
    </xf>
    <xf numFmtId="165" fontId="12" fillId="2" borderId="23" xfId="0" applyNumberFormat="1" applyFont="1" applyFill="1" applyBorder="1" applyAlignment="1">
      <alignment horizontal="center" vertical="center"/>
    </xf>
    <xf numFmtId="2" fontId="12" fillId="2" borderId="23" xfId="0" applyNumberFormat="1" applyFont="1" applyFill="1" applyBorder="1" applyAlignment="1">
      <alignment horizontal="center" vertical="center"/>
    </xf>
    <xf numFmtId="0" fontId="42" fillId="2" borderId="50" xfId="0" applyFont="1" applyFill="1" applyBorder="1" applyAlignment="1">
      <alignment horizontal="left" vertical="center"/>
    </xf>
    <xf numFmtId="0" fontId="1" fillId="2" borderId="51" xfId="0" applyFont="1" applyFill="1" applyBorder="1"/>
    <xf numFmtId="0" fontId="1" fillId="2" borderId="50" xfId="0" applyFont="1" applyFill="1" applyBorder="1" applyAlignment="1">
      <alignment horizontal="left" vertical="center" indent="1"/>
    </xf>
    <xf numFmtId="0" fontId="12" fillId="2" borderId="54" xfId="0" applyFont="1" applyFill="1" applyBorder="1" applyAlignment="1">
      <alignment horizontal="center" vertical="center"/>
    </xf>
    <xf numFmtId="0" fontId="29" fillId="2" borderId="52" xfId="0" applyFont="1" applyFill="1" applyBorder="1" applyAlignment="1">
      <alignment horizontal="center" vertical="center"/>
    </xf>
    <xf numFmtId="0" fontId="1" fillId="2" borderId="52" xfId="0" applyFont="1" applyFill="1" applyBorder="1" applyAlignment="1">
      <alignment horizontal="center" vertical="center"/>
    </xf>
    <xf numFmtId="0" fontId="12" fillId="2" borderId="54" xfId="0" applyFont="1" applyFill="1" applyBorder="1" applyAlignment="1">
      <alignment vertical="center"/>
    </xf>
    <xf numFmtId="0" fontId="1" fillId="2" borderId="52" xfId="0" applyFont="1" applyFill="1" applyBorder="1"/>
    <xf numFmtId="0" fontId="12" fillId="2" borderId="46" xfId="0" applyFont="1" applyFill="1" applyBorder="1" applyAlignment="1">
      <alignment vertical="center"/>
    </xf>
    <xf numFmtId="0" fontId="12" fillId="2" borderId="25" xfId="0" applyFont="1" applyFill="1" applyBorder="1" applyAlignment="1">
      <alignment vertical="center"/>
    </xf>
    <xf numFmtId="2" fontId="12" fillId="2" borderId="25" xfId="0" applyNumberFormat="1" applyFont="1" applyFill="1" applyBorder="1" applyAlignment="1">
      <alignment vertical="center"/>
    </xf>
    <xf numFmtId="0" fontId="12" fillId="2" borderId="25" xfId="0" applyFont="1" applyFill="1" applyBorder="1" applyAlignment="1">
      <alignment horizontal="center" vertical="center"/>
    </xf>
    <xf numFmtId="0" fontId="12" fillId="2" borderId="25" xfId="0" applyFont="1" applyFill="1" applyBorder="1"/>
    <xf numFmtId="0" fontId="12" fillId="2" borderId="25" xfId="0" applyFont="1" applyFill="1" applyBorder="1" applyAlignment="1">
      <alignment horizontal="left"/>
    </xf>
    <xf numFmtId="165" fontId="12" fillId="2" borderId="25" xfId="0" applyNumberFormat="1" applyFont="1" applyFill="1" applyBorder="1" applyAlignment="1">
      <alignment horizontal="center" vertical="center"/>
    </xf>
    <xf numFmtId="2" fontId="12" fillId="2" borderId="25" xfId="0" applyNumberFormat="1" applyFont="1" applyFill="1" applyBorder="1" applyAlignment="1">
      <alignment horizontal="center" vertical="center"/>
    </xf>
    <xf numFmtId="0" fontId="1" fillId="2" borderId="25" xfId="0" applyFont="1" applyFill="1" applyBorder="1"/>
    <xf numFmtId="0" fontId="1" fillId="2" borderId="45" xfId="0" applyFont="1" applyFill="1" applyBorder="1"/>
    <xf numFmtId="0" fontId="12" fillId="2" borderId="53" xfId="0" applyFont="1" applyFill="1" applyBorder="1" applyAlignment="1">
      <alignment horizontal="center" vertical="center"/>
    </xf>
    <xf numFmtId="0" fontId="8" fillId="2" borderId="23" xfId="0" applyFont="1" applyFill="1" applyBorder="1" applyAlignment="1">
      <alignment horizontal="center" vertical="center"/>
    </xf>
    <xf numFmtId="0" fontId="12" fillId="2" borderId="23" xfId="0" applyFont="1" applyFill="1" applyBorder="1" applyAlignment="1">
      <alignment horizontal="left" vertical="center"/>
    </xf>
    <xf numFmtId="2" fontId="8" fillId="2" borderId="23" xfId="0" applyNumberFormat="1" applyFont="1" applyFill="1" applyBorder="1" applyAlignment="1">
      <alignment horizontal="center" vertical="center"/>
    </xf>
    <xf numFmtId="165" fontId="8" fillId="2" borderId="23" xfId="0" applyNumberFormat="1" applyFont="1" applyFill="1" applyBorder="1" applyAlignment="1">
      <alignment horizontal="center" vertical="center"/>
    </xf>
    <xf numFmtId="1" fontId="1" fillId="2" borderId="23" xfId="0" applyNumberFormat="1" applyFont="1" applyFill="1" applyBorder="1" applyAlignment="1">
      <alignment horizontal="center" vertical="center"/>
    </xf>
    <xf numFmtId="0" fontId="29" fillId="2" borderId="23" xfId="0" applyFont="1" applyFill="1" applyBorder="1" applyAlignment="1">
      <alignment horizontal="center" vertical="center"/>
    </xf>
    <xf numFmtId="0" fontId="29" fillId="2" borderId="55" xfId="0" applyFont="1" applyFill="1" applyBorder="1" applyAlignment="1">
      <alignment horizontal="center" vertical="center"/>
    </xf>
    <xf numFmtId="0" fontId="19" fillId="4" borderId="47" xfId="0" applyFont="1" applyFill="1" applyBorder="1" applyAlignment="1">
      <alignment horizontal="center" vertical="center"/>
    </xf>
    <xf numFmtId="0" fontId="19" fillId="4" borderId="47" xfId="0" applyFont="1" applyFill="1" applyBorder="1" applyAlignment="1">
      <alignment vertical="center"/>
    </xf>
    <xf numFmtId="0" fontId="19" fillId="4" borderId="47" xfId="0" applyFont="1" applyFill="1" applyBorder="1" applyAlignment="1">
      <alignment vertical="center" wrapText="1"/>
    </xf>
    <xf numFmtId="0" fontId="19" fillId="4" borderId="47" xfId="0" applyFont="1" applyFill="1" applyBorder="1" applyAlignment="1">
      <alignment horizontal="center" vertical="center" wrapText="1"/>
    </xf>
    <xf numFmtId="2" fontId="19" fillId="4" borderId="47" xfId="0" applyNumberFormat="1" applyFont="1" applyFill="1" applyBorder="1" applyAlignment="1">
      <alignment horizontal="center" vertical="center"/>
    </xf>
    <xf numFmtId="2" fontId="19" fillId="4" borderId="47" xfId="0" applyNumberFormat="1" applyFont="1" applyFill="1" applyBorder="1" applyAlignment="1">
      <alignment horizontal="center"/>
    </xf>
    <xf numFmtId="2" fontId="19" fillId="4" borderId="47" xfId="0" applyNumberFormat="1" applyFont="1" applyFill="1" applyBorder="1" applyAlignment="1">
      <alignment horizontal="center" vertical="top"/>
    </xf>
    <xf numFmtId="165" fontId="19" fillId="4" borderId="47" xfId="0" applyNumberFormat="1" applyFont="1" applyFill="1" applyBorder="1" applyAlignment="1">
      <alignment horizontal="center" vertical="center"/>
    </xf>
    <xf numFmtId="0" fontId="57" fillId="4" borderId="47" xfId="0" applyFont="1" applyFill="1" applyBorder="1" applyAlignment="1">
      <alignment horizontal="center" vertical="center"/>
    </xf>
    <xf numFmtId="0" fontId="63" fillId="4" borderId="47" xfId="0" applyFont="1" applyFill="1" applyBorder="1" applyAlignment="1">
      <alignment horizontal="center" vertical="center"/>
    </xf>
    <xf numFmtId="2" fontId="12" fillId="2" borderId="47" xfId="0" applyNumberFormat="1" applyFont="1" applyFill="1" applyBorder="1" applyAlignment="1">
      <alignment horizontal="center" vertical="center"/>
    </xf>
    <xf numFmtId="0" fontId="8" fillId="2" borderId="47" xfId="0" applyFont="1" applyFill="1" applyBorder="1" applyAlignment="1">
      <alignment horizontal="center" vertical="center"/>
    </xf>
    <xf numFmtId="2" fontId="8" fillId="2" borderId="47" xfId="0" applyNumberFormat="1" applyFont="1" applyFill="1" applyBorder="1" applyAlignment="1">
      <alignment horizontal="center" vertical="center"/>
    </xf>
    <xf numFmtId="0" fontId="12" fillId="2" borderId="47" xfId="0" applyFont="1" applyFill="1" applyBorder="1" applyAlignment="1">
      <alignment horizontal="left" vertical="center"/>
    </xf>
    <xf numFmtId="165" fontId="12" fillId="2" borderId="47" xfId="0" applyNumberFormat="1" applyFont="1" applyFill="1" applyBorder="1" applyAlignment="1">
      <alignment horizontal="center" vertical="center"/>
    </xf>
    <xf numFmtId="165" fontId="1" fillId="2" borderId="47" xfId="0" applyNumberFormat="1" applyFont="1" applyFill="1" applyBorder="1" applyAlignment="1">
      <alignment horizontal="center" vertical="center"/>
    </xf>
    <xf numFmtId="165" fontId="8" fillId="2" borderId="47" xfId="0" applyNumberFormat="1" applyFont="1" applyFill="1" applyBorder="1" applyAlignment="1">
      <alignment horizontal="center" vertical="center"/>
    </xf>
    <xf numFmtId="1" fontId="8" fillId="2" borderId="47" xfId="0" applyNumberFormat="1" applyFont="1" applyFill="1" applyBorder="1" applyAlignment="1">
      <alignment horizontal="center" vertical="center"/>
    </xf>
    <xf numFmtId="2" fontId="1" fillId="2" borderId="47" xfId="0" applyNumberFormat="1" applyFont="1" applyFill="1" applyBorder="1" applyAlignment="1">
      <alignment horizontal="center" vertical="center"/>
    </xf>
    <xf numFmtId="0" fontId="1" fillId="2" borderId="47" xfId="0" applyFont="1" applyFill="1" applyBorder="1" applyAlignment="1">
      <alignment horizontal="center" vertical="center"/>
    </xf>
    <xf numFmtId="1" fontId="1" fillId="2" borderId="47" xfId="0" applyNumberFormat="1" applyFont="1" applyFill="1" applyBorder="1" applyAlignment="1">
      <alignment horizontal="center" vertical="center"/>
    </xf>
    <xf numFmtId="0" fontId="29" fillId="2" borderId="47" xfId="0" applyFont="1" applyFill="1" applyBorder="1" applyAlignment="1">
      <alignment horizontal="center" vertical="center"/>
    </xf>
    <xf numFmtId="0" fontId="62" fillId="12" borderId="13" xfId="12" applyBorder="1" applyAlignment="1">
      <alignment horizontal="center" vertical="center"/>
    </xf>
    <xf numFmtId="0" fontId="12" fillId="0" borderId="13" xfId="0" applyFont="1" applyBorder="1"/>
    <xf numFmtId="0" fontId="8" fillId="2" borderId="13" xfId="0" applyFont="1" applyFill="1" applyBorder="1" applyAlignment="1">
      <alignment horizontal="center" vertical="center" wrapText="1"/>
    </xf>
    <xf numFmtId="0" fontId="2" fillId="2" borderId="23" xfId="0" applyFont="1" applyFill="1" applyBorder="1" applyAlignment="1">
      <alignment horizontal="center" vertical="center"/>
    </xf>
    <xf numFmtId="0" fontId="1" fillId="2" borderId="60" xfId="0" applyFont="1" applyFill="1" applyBorder="1"/>
    <xf numFmtId="0" fontId="5" fillId="2" borderId="60" xfId="0" applyFont="1" applyFill="1" applyBorder="1" applyAlignment="1">
      <alignment horizontal="center"/>
    </xf>
    <xf numFmtId="0" fontId="10" fillId="2" borderId="60" xfId="0" applyFont="1" applyFill="1" applyBorder="1" applyAlignment="1">
      <alignment horizontal="left" vertical="center"/>
    </xf>
    <xf numFmtId="0" fontId="1" fillId="2" borderId="60" xfId="0" applyFont="1" applyFill="1" applyBorder="1" applyAlignment="1">
      <alignment horizontal="center" vertical="center"/>
    </xf>
    <xf numFmtId="2" fontId="1" fillId="2" borderId="60" xfId="0" applyNumberFormat="1" applyFont="1" applyFill="1" applyBorder="1" applyAlignment="1">
      <alignment horizontal="center" vertical="center"/>
    </xf>
    <xf numFmtId="0" fontId="11" fillId="2" borderId="60" xfId="0" applyFont="1" applyFill="1" applyBorder="1" applyAlignment="1">
      <alignment horizontal="right" vertical="center"/>
    </xf>
    <xf numFmtId="0" fontId="1" fillId="2" borderId="60" xfId="0" applyFont="1" applyFill="1" applyBorder="1" applyAlignment="1">
      <alignment horizontal="right" vertical="center"/>
    </xf>
    <xf numFmtId="0" fontId="15" fillId="5" borderId="12" xfId="0" applyFont="1" applyFill="1" applyBorder="1" applyAlignment="1">
      <alignment horizontal="center" vertical="center"/>
    </xf>
    <xf numFmtId="0" fontId="15" fillId="5" borderId="9" xfId="0" applyFont="1" applyFill="1" applyBorder="1" applyAlignment="1">
      <alignment horizontal="center" vertical="center"/>
    </xf>
    <xf numFmtId="0" fontId="67" fillId="5" borderId="10" xfId="0" applyFont="1" applyFill="1" applyBorder="1" applyAlignment="1">
      <alignment horizontal="center"/>
    </xf>
    <xf numFmtId="0" fontId="15" fillId="5" borderId="64" xfId="0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39" fillId="2" borderId="1" xfId="0" applyFont="1" applyFill="1" applyBorder="1"/>
    <xf numFmtId="0" fontId="1" fillId="2" borderId="2" xfId="0" applyFont="1" applyFill="1" applyBorder="1"/>
    <xf numFmtId="0" fontId="1" fillId="2" borderId="15" xfId="0" applyFont="1" applyFill="1" applyBorder="1" applyAlignment="1">
      <alignment horizontal="left" indent="1"/>
    </xf>
    <xf numFmtId="0" fontId="1" fillId="2" borderId="14" xfId="0" applyFont="1" applyFill="1" applyBorder="1"/>
    <xf numFmtId="0" fontId="1" fillId="2" borderId="4" xfId="0" applyFont="1" applyFill="1" applyBorder="1" applyAlignment="1">
      <alignment horizontal="left" indent="1"/>
    </xf>
    <xf numFmtId="0" fontId="1" fillId="2" borderId="5" xfId="0" applyFont="1" applyFill="1" applyBorder="1"/>
    <xf numFmtId="0" fontId="1" fillId="2" borderId="6" xfId="0" applyFont="1" applyFill="1" applyBorder="1"/>
    <xf numFmtId="0" fontId="2" fillId="2" borderId="15" xfId="0" applyFont="1" applyFill="1" applyBorder="1" applyAlignment="1">
      <alignment horizontal="left" indent="1"/>
    </xf>
    <xf numFmtId="0" fontId="1" fillId="2" borderId="15" xfId="0" applyFont="1" applyFill="1" applyBorder="1" applyAlignment="1">
      <alignment horizontal="left" vertical="top" indent="2"/>
    </xf>
    <xf numFmtId="0" fontId="10" fillId="2" borderId="14" xfId="0" applyFont="1" applyFill="1" applyBorder="1" applyAlignment="1">
      <alignment horizontal="center" vertical="center"/>
    </xf>
    <xf numFmtId="0" fontId="1" fillId="2" borderId="0" xfId="0" applyFont="1" applyFill="1" applyAlignment="1">
      <alignment vertical="top"/>
    </xf>
    <xf numFmtId="0" fontId="1" fillId="2" borderId="14" xfId="0" applyFont="1" applyFill="1" applyBorder="1" applyAlignment="1">
      <alignment vertical="top"/>
    </xf>
    <xf numFmtId="0" fontId="1" fillId="2" borderId="0" xfId="0" applyFont="1" applyFill="1" applyAlignment="1">
      <alignment horizontal="right" vertical="top"/>
    </xf>
    <xf numFmtId="0" fontId="4" fillId="2" borderId="0" xfId="0" applyFont="1" applyFill="1" applyAlignment="1">
      <alignment vertical="top"/>
    </xf>
    <xf numFmtId="0" fontId="12" fillId="2" borderId="0" xfId="0" applyFont="1" applyFill="1" applyAlignment="1">
      <alignment horizontal="right" vertical="center"/>
    </xf>
    <xf numFmtId="0" fontId="29" fillId="2" borderId="0" xfId="0" applyFont="1" applyFill="1"/>
    <xf numFmtId="0" fontId="1" fillId="2" borderId="0" xfId="0" applyFont="1" applyFill="1" applyAlignment="1">
      <alignment horizontal="right"/>
    </xf>
    <xf numFmtId="0" fontId="1" fillId="2" borderId="14" xfId="0" applyFont="1" applyFill="1" applyBorder="1" applyAlignment="1">
      <alignment vertical="center"/>
    </xf>
    <xf numFmtId="1" fontId="1" fillId="2" borderId="0" xfId="0" applyNumberFormat="1" applyFont="1" applyFill="1" applyAlignment="1">
      <alignment horizontal="center" vertical="center"/>
    </xf>
    <xf numFmtId="2" fontId="12" fillId="2" borderId="0" xfId="0" applyNumberFormat="1" applyFont="1" applyFill="1" applyAlignment="1">
      <alignment horizontal="right" vertical="center"/>
    </xf>
    <xf numFmtId="0" fontId="12" fillId="2" borderId="0" xfId="0" applyFont="1" applyFill="1" applyAlignment="1">
      <alignment horizontal="left" vertical="center"/>
    </xf>
    <xf numFmtId="2" fontId="8" fillId="2" borderId="0" xfId="0" applyNumberFormat="1" applyFont="1" applyFill="1" applyAlignment="1">
      <alignment horizontal="center" vertical="center"/>
    </xf>
    <xf numFmtId="2" fontId="12" fillId="2" borderId="14" xfId="0" applyNumberFormat="1" applyFont="1" applyFill="1" applyBorder="1" applyAlignment="1">
      <alignment horizontal="center" vertical="center"/>
    </xf>
    <xf numFmtId="1" fontId="8" fillId="2" borderId="0" xfId="0" applyNumberFormat="1" applyFont="1" applyFill="1" applyAlignment="1">
      <alignment horizontal="center" vertical="center"/>
    </xf>
    <xf numFmtId="0" fontId="11" fillId="2" borderId="0" xfId="0" applyFont="1" applyFill="1" applyAlignment="1">
      <alignment horizontal="right" vertical="top"/>
    </xf>
    <xf numFmtId="0" fontId="11" fillId="2" borderId="0" xfId="0" applyFont="1" applyFill="1" applyAlignment="1">
      <alignment horizontal="right"/>
    </xf>
    <xf numFmtId="164" fontId="8" fillId="2" borderId="0" xfId="0" applyNumberFormat="1" applyFont="1" applyFill="1" applyAlignment="1">
      <alignment horizontal="center" vertical="center"/>
    </xf>
    <xf numFmtId="2" fontId="24" fillId="7" borderId="16" xfId="2" applyNumberFormat="1" applyFont="1" applyAlignment="1">
      <alignment horizontal="center" vertical="center"/>
    </xf>
    <xf numFmtId="0" fontId="19" fillId="2" borderId="0" xfId="0" applyFont="1" applyFill="1" applyAlignment="1">
      <alignment horizontal="left" vertical="center"/>
    </xf>
    <xf numFmtId="165" fontId="8" fillId="2" borderId="0" xfId="0" applyNumberFormat="1" applyFont="1" applyFill="1" applyAlignment="1">
      <alignment horizontal="center" vertical="center"/>
    </xf>
    <xf numFmtId="0" fontId="11" fillId="2" borderId="15" xfId="0" applyFont="1" applyFill="1" applyBorder="1" applyAlignment="1">
      <alignment horizontal="right" vertical="center"/>
    </xf>
    <xf numFmtId="0" fontId="8" fillId="2" borderId="0" xfId="0" applyFont="1" applyFill="1" applyAlignment="1">
      <alignment horizontal="left" vertical="center"/>
    </xf>
    <xf numFmtId="2" fontId="1" fillId="2" borderId="0" xfId="0" applyNumberFormat="1" applyFont="1" applyFill="1" applyAlignment="1">
      <alignment horizontal="center" vertical="center"/>
    </xf>
    <xf numFmtId="164" fontId="1" fillId="2" borderId="0" xfId="0" applyNumberFormat="1" applyFont="1" applyFill="1" applyAlignment="1">
      <alignment horizontal="center" vertical="center"/>
    </xf>
    <xf numFmtId="165" fontId="1" fillId="2" borderId="0" xfId="0" applyNumberFormat="1" applyFont="1" applyFill="1" applyAlignment="1">
      <alignment horizontal="center" vertical="center"/>
    </xf>
    <xf numFmtId="0" fontId="5" fillId="2" borderId="0" xfId="0" applyFont="1" applyFill="1" applyAlignment="1">
      <alignment horizontal="center"/>
    </xf>
    <xf numFmtId="0" fontId="39" fillId="2" borderId="15" xfId="0" applyFont="1" applyFill="1" applyBorder="1" applyAlignment="1">
      <alignment horizontal="left" vertical="top" indent="2"/>
    </xf>
    <xf numFmtId="0" fontId="8" fillId="2" borderId="0" xfId="0" applyFont="1" applyFill="1"/>
    <xf numFmtId="0" fontId="8" fillId="2" borderId="0" xfId="0" applyFont="1" applyFill="1" applyAlignment="1">
      <alignment horizontal="right" vertical="center"/>
    </xf>
    <xf numFmtId="2" fontId="1" fillId="2" borderId="0" xfId="0" applyNumberFormat="1" applyFont="1" applyFill="1" applyAlignment="1">
      <alignment horizontal="center"/>
    </xf>
    <xf numFmtId="0" fontId="37" fillId="2" borderId="0" xfId="0" applyFont="1" applyFill="1" applyAlignment="1">
      <alignment horizontal="right"/>
    </xf>
    <xf numFmtId="165" fontId="1" fillId="2" borderId="0" xfId="0" applyNumberFormat="1" applyFont="1" applyFill="1" applyAlignment="1">
      <alignment horizontal="center"/>
    </xf>
    <xf numFmtId="0" fontId="1" fillId="2" borderId="14" xfId="0" applyFont="1" applyFill="1" applyBorder="1" applyAlignment="1">
      <alignment horizontal="center" vertical="center"/>
    </xf>
    <xf numFmtId="0" fontId="38" fillId="2" borderId="0" xfId="0" applyFont="1" applyFill="1" applyAlignment="1">
      <alignment horizontal="right" vertical="center"/>
    </xf>
    <xf numFmtId="166" fontId="1" fillId="2" borderId="0" xfId="0" applyNumberFormat="1" applyFont="1" applyFill="1" applyAlignment="1">
      <alignment horizontal="center"/>
    </xf>
    <xf numFmtId="1" fontId="1" fillId="2" borderId="0" xfId="0" applyNumberFormat="1" applyFont="1" applyFill="1" applyAlignment="1">
      <alignment horizontal="center"/>
    </xf>
    <xf numFmtId="2" fontId="8" fillId="2" borderId="0" xfId="0" applyNumberFormat="1" applyFont="1" applyFill="1" applyAlignment="1">
      <alignment horizontal="right" vertical="center"/>
    </xf>
    <xf numFmtId="2" fontId="35" fillId="2" borderId="0" xfId="0" applyNumberFormat="1" applyFont="1" applyFill="1" applyAlignment="1">
      <alignment horizontal="right" vertical="center"/>
    </xf>
    <xf numFmtId="0" fontId="25" fillId="2" borderId="66" xfId="0" applyFont="1" applyFill="1" applyBorder="1" applyAlignment="1">
      <alignment horizontal="left" indent="1"/>
    </xf>
    <xf numFmtId="0" fontId="1" fillId="2" borderId="67" xfId="0" applyFont="1" applyFill="1" applyBorder="1"/>
    <xf numFmtId="0" fontId="1" fillId="2" borderId="15" xfId="0" applyFont="1" applyFill="1" applyBorder="1" applyAlignment="1">
      <alignment horizontal="left" wrapText="1" indent="2"/>
    </xf>
    <xf numFmtId="0" fontId="1" fillId="2" borderId="0" xfId="0" applyFont="1" applyFill="1" applyAlignment="1">
      <alignment horizontal="left" wrapText="1" indent="2"/>
    </xf>
    <xf numFmtId="0" fontId="1" fillId="2" borderId="14" xfId="0" applyFont="1" applyFill="1" applyBorder="1" applyAlignment="1">
      <alignment horizontal="left" wrapText="1" indent="2"/>
    </xf>
    <xf numFmtId="2" fontId="19" fillId="4" borderId="47" xfId="0" applyNumberFormat="1" applyFont="1" applyFill="1" applyBorder="1" applyAlignment="1">
      <alignment horizontal="center" vertical="center"/>
    </xf>
    <xf numFmtId="0" fontId="19" fillId="4" borderId="47" xfId="0" applyFont="1" applyFill="1" applyBorder="1" applyAlignment="1">
      <alignment horizontal="center" vertical="top" wrapText="1"/>
    </xf>
    <xf numFmtId="0" fontId="8" fillId="2" borderId="13" xfId="0" applyFont="1" applyFill="1" applyBorder="1" applyAlignment="1">
      <alignment horizontal="center" vertical="center" wrapText="1"/>
    </xf>
    <xf numFmtId="0" fontId="44" fillId="9" borderId="13" xfId="6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7" fillId="3" borderId="50" xfId="0" applyFont="1" applyFill="1" applyBorder="1" applyAlignment="1">
      <alignment horizontal="center" vertical="center"/>
    </xf>
    <xf numFmtId="0" fontId="17" fillId="3" borderId="0" xfId="0" applyFont="1" applyFill="1" applyAlignment="1">
      <alignment horizontal="center" vertical="center"/>
    </xf>
    <xf numFmtId="0" fontId="17" fillId="3" borderId="51" xfId="0" applyFont="1" applyFill="1" applyBorder="1" applyAlignment="1">
      <alignment horizontal="center" vertical="center"/>
    </xf>
    <xf numFmtId="0" fontId="15" fillId="3" borderId="50" xfId="0" applyFont="1" applyFill="1" applyBorder="1" applyAlignment="1">
      <alignment horizontal="center" vertical="center"/>
    </xf>
    <xf numFmtId="0" fontId="15" fillId="3" borderId="0" xfId="0" applyFont="1" applyFill="1" applyAlignment="1">
      <alignment horizontal="center" vertical="center"/>
    </xf>
    <xf numFmtId="0" fontId="15" fillId="3" borderId="51" xfId="0" applyFont="1" applyFill="1" applyBorder="1" applyAlignment="1">
      <alignment horizontal="center" vertical="center"/>
    </xf>
    <xf numFmtId="0" fontId="19" fillId="4" borderId="47" xfId="0" applyFont="1" applyFill="1" applyBorder="1" applyAlignment="1">
      <alignment horizontal="center" vertical="center" wrapText="1"/>
    </xf>
    <xf numFmtId="2" fontId="19" fillId="4" borderId="47" xfId="0" applyNumberFormat="1" applyFont="1" applyFill="1" applyBorder="1" applyAlignment="1">
      <alignment horizontal="center" vertical="top" wrapText="1"/>
    </xf>
    <xf numFmtId="2" fontId="4" fillId="4" borderId="47" xfId="0" applyNumberFormat="1" applyFont="1" applyFill="1" applyBorder="1" applyAlignment="1">
      <alignment horizontal="center" vertical="center"/>
    </xf>
    <xf numFmtId="0" fontId="19" fillId="4" borderId="34" xfId="0" applyFont="1" applyFill="1" applyBorder="1" applyAlignment="1">
      <alignment horizontal="left" vertical="center"/>
    </xf>
    <xf numFmtId="0" fontId="19" fillId="4" borderId="35" xfId="0" applyFont="1" applyFill="1" applyBorder="1" applyAlignment="1">
      <alignment horizontal="left" vertical="center"/>
    </xf>
    <xf numFmtId="0" fontId="19" fillId="4" borderId="13" xfId="0" applyFont="1" applyFill="1" applyBorder="1" applyAlignment="1">
      <alignment horizontal="center" vertical="top" wrapText="1"/>
    </xf>
    <xf numFmtId="0" fontId="19" fillId="4" borderId="13" xfId="0" applyFont="1" applyFill="1" applyBorder="1" applyAlignment="1">
      <alignment horizontal="center" vertical="center" wrapText="1"/>
    </xf>
    <xf numFmtId="0" fontId="0" fillId="8" borderId="13" xfId="5" applyFont="1" applyBorder="1" applyAlignment="1">
      <alignment horizontal="center" vertical="center"/>
    </xf>
    <xf numFmtId="0" fontId="0" fillId="8" borderId="43" xfId="5" applyFont="1" applyBorder="1" applyAlignment="1">
      <alignment horizontal="center" vertical="center"/>
    </xf>
    <xf numFmtId="0" fontId="19" fillId="4" borderId="2" xfId="0" applyFont="1" applyFill="1" applyBorder="1" applyAlignment="1">
      <alignment horizontal="center" vertical="center"/>
    </xf>
    <xf numFmtId="0" fontId="19" fillId="4" borderId="5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left" vertical="top" indent="1"/>
    </xf>
    <xf numFmtId="1" fontId="1" fillId="2" borderId="13" xfId="0" applyNumberFormat="1" applyFont="1" applyFill="1" applyBorder="1" applyAlignment="1">
      <alignment horizontal="center" vertical="center"/>
    </xf>
    <xf numFmtId="0" fontId="19" fillId="4" borderId="47" xfId="0" applyFont="1" applyFill="1" applyBorder="1" applyAlignment="1">
      <alignment horizontal="center" vertical="center"/>
    </xf>
    <xf numFmtId="2" fontId="19" fillId="4" borderId="47" xfId="0" applyNumberFormat="1" applyFont="1" applyFill="1" applyBorder="1" applyAlignment="1">
      <alignment horizontal="center" vertical="top"/>
    </xf>
    <xf numFmtId="0" fontId="1" fillId="2" borderId="24" xfId="0" applyFont="1" applyFill="1" applyBorder="1" applyAlignment="1">
      <alignment horizontal="center" vertical="center"/>
    </xf>
    <xf numFmtId="0" fontId="1" fillId="2" borderId="23" xfId="0" applyFont="1" applyFill="1" applyBorder="1" applyAlignment="1">
      <alignment horizontal="center" vertical="center"/>
    </xf>
    <xf numFmtId="0" fontId="11" fillId="2" borderId="24" xfId="0" applyFont="1" applyFill="1" applyBorder="1" applyAlignment="1">
      <alignment horizontal="center" vertical="center"/>
    </xf>
    <xf numFmtId="0" fontId="11" fillId="2" borderId="23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top"/>
    </xf>
    <xf numFmtId="0" fontId="12" fillId="2" borderId="34" xfId="0" applyFont="1" applyFill="1" applyBorder="1" applyAlignment="1">
      <alignment horizontal="center" vertical="center"/>
    </xf>
    <xf numFmtId="0" fontId="12" fillId="2" borderId="35" xfId="0" applyFont="1" applyFill="1" applyBorder="1" applyAlignment="1">
      <alignment horizontal="center" vertical="center"/>
    </xf>
    <xf numFmtId="0" fontId="12" fillId="2" borderId="36" xfId="0" applyFont="1" applyFill="1" applyBorder="1" applyAlignment="1">
      <alignment horizontal="center" vertical="center"/>
    </xf>
    <xf numFmtId="0" fontId="20" fillId="9" borderId="44" xfId="6" applyFont="1" applyBorder="1" applyAlignment="1">
      <alignment horizontal="center" vertical="center"/>
    </xf>
    <xf numFmtId="0" fontId="20" fillId="9" borderId="5" xfId="6" applyFont="1" applyBorder="1" applyAlignment="1">
      <alignment horizontal="center" vertical="center"/>
    </xf>
    <xf numFmtId="0" fontId="19" fillId="4" borderId="56" xfId="0" applyFont="1" applyFill="1" applyBorder="1" applyAlignment="1">
      <alignment horizontal="center" vertical="center"/>
    </xf>
    <xf numFmtId="0" fontId="19" fillId="4" borderId="57" xfId="0" applyFont="1" applyFill="1" applyBorder="1" applyAlignment="1">
      <alignment horizontal="center" vertical="center"/>
    </xf>
    <xf numFmtId="0" fontId="19" fillId="4" borderId="58" xfId="0" applyFont="1" applyFill="1" applyBorder="1" applyAlignment="1">
      <alignment horizontal="center" vertical="center"/>
    </xf>
    <xf numFmtId="0" fontId="19" fillId="4" borderId="59" xfId="0" applyFont="1" applyFill="1" applyBorder="1" applyAlignment="1">
      <alignment horizontal="center" vertical="center"/>
    </xf>
    <xf numFmtId="0" fontId="19" fillId="4" borderId="60" xfId="0" applyFont="1" applyFill="1" applyBorder="1" applyAlignment="1">
      <alignment horizontal="center" vertical="center"/>
    </xf>
    <xf numFmtId="0" fontId="19" fillId="4" borderId="61" xfId="0" applyFont="1" applyFill="1" applyBorder="1" applyAlignment="1">
      <alignment horizontal="center" vertical="center"/>
    </xf>
    <xf numFmtId="0" fontId="18" fillId="8" borderId="13" xfId="5" applyBorder="1" applyAlignment="1">
      <alignment horizontal="center" vertical="center" wrapText="1"/>
    </xf>
    <xf numFmtId="0" fontId="19" fillId="4" borderId="62" xfId="0" applyFont="1" applyFill="1" applyBorder="1" applyAlignment="1">
      <alignment horizontal="center" vertical="center"/>
    </xf>
    <xf numFmtId="0" fontId="19" fillId="4" borderId="63" xfId="0" applyFont="1" applyFill="1" applyBorder="1" applyAlignment="1">
      <alignment horizontal="center" vertical="center"/>
    </xf>
    <xf numFmtId="0" fontId="1" fillId="2" borderId="30" xfId="0" applyFont="1" applyFill="1" applyBorder="1" applyAlignment="1">
      <alignment horizontal="left" vertical="center"/>
    </xf>
    <xf numFmtId="0" fontId="1" fillId="2" borderId="31" xfId="0" applyFont="1" applyFill="1" applyBorder="1" applyAlignment="1">
      <alignment horizontal="left" vertical="center"/>
    </xf>
    <xf numFmtId="0" fontId="1" fillId="2" borderId="32" xfId="0" applyFont="1" applyFill="1" applyBorder="1" applyAlignment="1">
      <alignment horizontal="left" vertical="center"/>
    </xf>
    <xf numFmtId="0" fontId="1" fillId="2" borderId="34" xfId="0" applyFont="1" applyFill="1" applyBorder="1" applyAlignment="1">
      <alignment horizontal="left" vertical="center"/>
    </xf>
    <xf numFmtId="0" fontId="1" fillId="2" borderId="35" xfId="0" applyFont="1" applyFill="1" applyBorder="1" applyAlignment="1">
      <alignment horizontal="left" vertical="center"/>
    </xf>
    <xf numFmtId="0" fontId="1" fillId="2" borderId="36" xfId="0" applyFont="1" applyFill="1" applyBorder="1" applyAlignment="1">
      <alignment horizontal="left" vertical="center"/>
    </xf>
    <xf numFmtId="0" fontId="1" fillId="2" borderId="33" xfId="0" applyFont="1" applyFill="1" applyBorder="1" applyAlignment="1">
      <alignment horizontal="left" vertical="center"/>
    </xf>
    <xf numFmtId="0" fontId="1" fillId="2" borderId="33" xfId="0" applyFont="1" applyFill="1" applyBorder="1" applyAlignment="1">
      <alignment horizontal="left"/>
    </xf>
    <xf numFmtId="0" fontId="65" fillId="2" borderId="13" xfId="0" applyFont="1" applyFill="1" applyBorder="1" applyAlignment="1">
      <alignment horizontal="center" vertical="center" wrapText="1"/>
    </xf>
    <xf numFmtId="0" fontId="1" fillId="2" borderId="13" xfId="0" applyFont="1" applyFill="1" applyBorder="1" applyAlignment="1">
      <alignment horizontal="center" vertical="top" wrapText="1"/>
    </xf>
    <xf numFmtId="0" fontId="12" fillId="2" borderId="30" xfId="0" applyFont="1" applyFill="1" applyBorder="1" applyAlignment="1">
      <alignment horizontal="center" vertical="center"/>
    </xf>
    <xf numFmtId="0" fontId="12" fillId="2" borderId="31" xfId="0" applyFont="1" applyFill="1" applyBorder="1" applyAlignment="1">
      <alignment horizontal="center" vertical="center"/>
    </xf>
    <xf numFmtId="0" fontId="12" fillId="2" borderId="32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 wrapText="1"/>
    </xf>
    <xf numFmtId="0" fontId="2" fillId="2" borderId="13" xfId="0" applyFont="1" applyFill="1" applyBorder="1" applyAlignment="1">
      <alignment horizontal="center" vertical="center"/>
    </xf>
    <xf numFmtId="0" fontId="12" fillId="2" borderId="26" xfId="0" applyFont="1" applyFill="1" applyBorder="1" applyAlignment="1">
      <alignment horizontal="center" vertical="center"/>
    </xf>
    <xf numFmtId="0" fontId="12" fillId="2" borderId="27" xfId="0" applyFont="1" applyFill="1" applyBorder="1" applyAlignment="1">
      <alignment horizontal="center" vertical="center"/>
    </xf>
    <xf numFmtId="0" fontId="12" fillId="2" borderId="28" xfId="0" applyFont="1" applyFill="1" applyBorder="1" applyAlignment="1">
      <alignment horizontal="center" vertical="center"/>
    </xf>
    <xf numFmtId="0" fontId="8" fillId="2" borderId="34" xfId="0" applyFont="1" applyFill="1" applyBorder="1" applyAlignment="1">
      <alignment horizontal="left" vertical="center"/>
    </xf>
    <xf numFmtId="0" fontId="8" fillId="2" borderId="35" xfId="0" applyFont="1" applyFill="1" applyBorder="1" applyAlignment="1">
      <alignment horizontal="left" vertical="center"/>
    </xf>
    <xf numFmtId="0" fontId="8" fillId="2" borderId="36" xfId="0" applyFont="1" applyFill="1" applyBorder="1" applyAlignment="1">
      <alignment horizontal="left" vertical="center"/>
    </xf>
    <xf numFmtId="0" fontId="1" fillId="2" borderId="25" xfId="0" applyFont="1" applyFill="1" applyBorder="1" applyAlignment="1">
      <alignment horizontal="left" vertical="center"/>
    </xf>
    <xf numFmtId="0" fontId="41" fillId="2" borderId="13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top"/>
    </xf>
    <xf numFmtId="0" fontId="12" fillId="2" borderId="13" xfId="0" applyFont="1" applyFill="1" applyBorder="1" applyAlignment="1">
      <alignment horizontal="left" vertical="center"/>
    </xf>
    <xf numFmtId="0" fontId="66" fillId="0" borderId="13" xfId="0" applyFont="1" applyBorder="1" applyAlignment="1">
      <alignment horizontal="center" vertical="center"/>
    </xf>
    <xf numFmtId="2" fontId="19" fillId="4" borderId="13" xfId="0" applyNumberFormat="1" applyFont="1" applyFill="1" applyBorder="1" applyAlignment="1">
      <alignment horizontal="center" vertical="center"/>
    </xf>
    <xf numFmtId="2" fontId="4" fillId="4" borderId="13" xfId="0" applyNumberFormat="1" applyFont="1" applyFill="1" applyBorder="1" applyAlignment="1">
      <alignment horizontal="center" vertical="center"/>
    </xf>
    <xf numFmtId="0" fontId="19" fillId="4" borderId="1" xfId="0" applyFont="1" applyFill="1" applyBorder="1" applyAlignment="1">
      <alignment horizontal="center" vertical="top" wrapText="1"/>
    </xf>
    <xf numFmtId="0" fontId="19" fillId="4" borderId="4" xfId="0" applyFont="1" applyFill="1" applyBorder="1" applyAlignment="1">
      <alignment horizontal="center" vertical="top" wrapText="1"/>
    </xf>
    <xf numFmtId="2" fontId="19" fillId="4" borderId="1" xfId="0" applyNumberFormat="1" applyFont="1" applyFill="1" applyBorder="1" applyAlignment="1">
      <alignment horizontal="center" vertical="top" wrapText="1"/>
    </xf>
    <xf numFmtId="2" fontId="19" fillId="4" borderId="4" xfId="0" applyNumberFormat="1" applyFont="1" applyFill="1" applyBorder="1" applyAlignment="1">
      <alignment horizontal="center" vertical="top" wrapText="1"/>
    </xf>
    <xf numFmtId="0" fontId="19" fillId="4" borderId="13" xfId="0" applyFont="1" applyFill="1" applyBorder="1" applyAlignment="1">
      <alignment horizontal="center" vertical="center"/>
    </xf>
    <xf numFmtId="0" fontId="19" fillId="4" borderId="1" xfId="0" applyFont="1" applyFill="1" applyBorder="1" applyAlignment="1">
      <alignment horizontal="center" vertical="center"/>
    </xf>
    <xf numFmtId="0" fontId="19" fillId="4" borderId="3" xfId="0" applyFont="1" applyFill="1" applyBorder="1" applyAlignment="1">
      <alignment horizontal="center" vertical="center"/>
    </xf>
    <xf numFmtId="0" fontId="19" fillId="4" borderId="4" xfId="0" applyFont="1" applyFill="1" applyBorder="1" applyAlignment="1">
      <alignment horizontal="center" vertical="center"/>
    </xf>
    <xf numFmtId="0" fontId="19" fillId="4" borderId="6" xfId="0" applyFont="1" applyFill="1" applyBorder="1" applyAlignment="1">
      <alignment horizontal="center" vertical="center"/>
    </xf>
    <xf numFmtId="2" fontId="19" fillId="4" borderId="13" xfId="0" applyNumberFormat="1" applyFont="1" applyFill="1" applyBorder="1" applyAlignment="1">
      <alignment horizontal="center" vertical="top" wrapText="1"/>
    </xf>
    <xf numFmtId="2" fontId="19" fillId="4" borderId="21" xfId="0" applyNumberFormat="1" applyFont="1" applyFill="1" applyBorder="1" applyAlignment="1">
      <alignment horizontal="center" vertical="top"/>
    </xf>
    <xf numFmtId="2" fontId="19" fillId="4" borderId="22" xfId="0" applyNumberFormat="1" applyFont="1" applyFill="1" applyBorder="1" applyAlignment="1">
      <alignment horizontal="center" vertical="top"/>
    </xf>
    <xf numFmtId="2" fontId="19" fillId="4" borderId="48" xfId="0" applyNumberFormat="1" applyFont="1" applyFill="1" applyBorder="1" applyAlignment="1">
      <alignment horizontal="center" vertical="top"/>
    </xf>
    <xf numFmtId="0" fontId="13" fillId="3" borderId="1" xfId="0" applyFont="1" applyFill="1" applyBorder="1" applyAlignment="1">
      <alignment horizontal="center" vertical="center"/>
    </xf>
    <xf numFmtId="0" fontId="13" fillId="3" borderId="2" xfId="0" applyFont="1" applyFill="1" applyBorder="1" applyAlignment="1">
      <alignment horizontal="center" vertical="center"/>
    </xf>
    <xf numFmtId="0" fontId="13" fillId="3" borderId="15" xfId="0" applyFont="1" applyFill="1" applyBorder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3" fillId="3" borderId="8" xfId="0" applyFont="1" applyFill="1" applyBorder="1" applyAlignment="1">
      <alignment horizontal="center" vertical="center"/>
    </xf>
    <xf numFmtId="0" fontId="15" fillId="3" borderId="15" xfId="0" applyFont="1" applyFill="1" applyBorder="1" applyAlignment="1">
      <alignment horizontal="center" vertical="center"/>
    </xf>
    <xf numFmtId="0" fontId="17" fillId="3" borderId="15" xfId="0" applyFont="1" applyFill="1" applyBorder="1" applyAlignment="1">
      <alignment horizontal="center" vertical="center"/>
    </xf>
    <xf numFmtId="2" fontId="14" fillId="4" borderId="2" xfId="0" applyNumberFormat="1" applyFont="1" applyFill="1" applyBorder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4" fillId="4" borderId="3" xfId="0" applyFont="1" applyFill="1" applyBorder="1" applyAlignment="1">
      <alignment horizontal="center" vertical="center"/>
    </xf>
    <xf numFmtId="0" fontId="14" fillId="4" borderId="8" xfId="0" applyFont="1" applyFill="1" applyBorder="1" applyAlignment="1">
      <alignment horizontal="center" vertical="center"/>
    </xf>
    <xf numFmtId="0" fontId="14" fillId="4" borderId="65" xfId="0" applyFont="1" applyFill="1" applyBorder="1" applyAlignment="1">
      <alignment horizontal="center" vertical="center"/>
    </xf>
    <xf numFmtId="0" fontId="46" fillId="5" borderId="13" xfId="7" applyFont="1" applyFill="1" applyBorder="1" applyAlignment="1">
      <alignment horizontal="center" vertical="center"/>
    </xf>
    <xf numFmtId="0" fontId="46" fillId="5" borderId="13" xfId="7" applyFont="1" applyFill="1" applyBorder="1" applyAlignment="1">
      <alignment horizontal="center" vertical="center" wrapText="1"/>
    </xf>
    <xf numFmtId="0" fontId="46" fillId="5" borderId="4" xfId="7" applyFont="1" applyFill="1" applyBorder="1" applyAlignment="1">
      <alignment horizontal="center" vertical="center" wrapText="1"/>
    </xf>
    <xf numFmtId="0" fontId="46" fillId="5" borderId="5" xfId="7" applyFont="1" applyFill="1" applyBorder="1" applyAlignment="1">
      <alignment horizontal="center" vertical="center" wrapText="1"/>
    </xf>
    <xf numFmtId="0" fontId="15" fillId="5" borderId="11" xfId="0" applyFont="1" applyFill="1" applyBorder="1" applyAlignment="1">
      <alignment horizontal="center" wrapText="1"/>
    </xf>
    <xf numFmtId="0" fontId="15" fillId="5" borderId="20" xfId="0" applyFont="1" applyFill="1" applyBorder="1" applyAlignment="1">
      <alignment horizontal="center" wrapText="1"/>
    </xf>
    <xf numFmtId="0" fontId="15" fillId="5" borderId="7" xfId="0" applyFont="1" applyFill="1" applyBorder="1" applyAlignment="1">
      <alignment horizontal="center" wrapText="1"/>
    </xf>
    <xf numFmtId="0" fontId="15" fillId="5" borderId="0" xfId="0" applyFont="1" applyFill="1" applyAlignment="1">
      <alignment horizontal="center" wrapText="1"/>
    </xf>
    <xf numFmtId="0" fontId="15" fillId="5" borderId="0" xfId="0" applyFont="1" applyFill="1" applyAlignment="1">
      <alignment horizontal="center" vertical="center" wrapText="1"/>
    </xf>
    <xf numFmtId="0" fontId="15" fillId="5" borderId="5" xfId="0" applyFont="1" applyFill="1" applyBorder="1" applyAlignment="1">
      <alignment horizontal="center" vertical="center" wrapText="1"/>
    </xf>
    <xf numFmtId="0" fontId="15" fillId="5" borderId="17" xfId="0" applyFont="1" applyFill="1" applyBorder="1" applyAlignment="1">
      <alignment horizontal="center"/>
    </xf>
    <xf numFmtId="0" fontId="15" fillId="5" borderId="18" xfId="0" applyFont="1" applyFill="1" applyBorder="1" applyAlignment="1">
      <alignment horizontal="center"/>
    </xf>
    <xf numFmtId="0" fontId="15" fillId="5" borderId="19" xfId="0" applyFont="1" applyFill="1" applyBorder="1" applyAlignment="1">
      <alignment horizontal="center"/>
    </xf>
    <xf numFmtId="0" fontId="49" fillId="10" borderId="1" xfId="8" applyFont="1" applyFill="1" applyBorder="1" applyAlignment="1">
      <alignment horizontal="center" vertical="center"/>
    </xf>
    <xf numFmtId="0" fontId="49" fillId="10" borderId="2" xfId="8" applyFont="1" applyFill="1" applyBorder="1" applyAlignment="1">
      <alignment horizontal="center" vertical="center"/>
    </xf>
    <xf numFmtId="0" fontId="49" fillId="10" borderId="15" xfId="8" applyFont="1" applyFill="1" applyBorder="1" applyAlignment="1">
      <alignment horizontal="center" vertical="center"/>
    </xf>
    <xf numFmtId="0" fontId="49" fillId="10" borderId="0" xfId="8" applyFont="1" applyFill="1" applyAlignment="1">
      <alignment horizontal="center" vertical="center"/>
    </xf>
    <xf numFmtId="0" fontId="15" fillId="5" borderId="13" xfId="0" applyFont="1" applyFill="1" applyBorder="1" applyAlignment="1">
      <alignment horizontal="center"/>
    </xf>
    <xf numFmtId="0" fontId="49" fillId="10" borderId="13" xfId="8" applyFont="1" applyFill="1" applyBorder="1" applyAlignment="1">
      <alignment horizontal="center" vertical="center"/>
    </xf>
    <xf numFmtId="0" fontId="46" fillId="5" borderId="24" xfId="7" applyFont="1" applyFill="1" applyBorder="1" applyAlignment="1">
      <alignment horizontal="center" vertical="center"/>
    </xf>
    <xf numFmtId="0" fontId="46" fillId="5" borderId="23" xfId="7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 wrapText="1"/>
    </xf>
  </cellXfs>
  <cellStyles count="13">
    <cellStyle name="20% - Accent1" xfId="5" builtinId="30"/>
    <cellStyle name="Accent5" xfId="6" builtinId="45"/>
    <cellStyle name="Calculation" xfId="2" builtinId="22"/>
    <cellStyle name="Comma 2" xfId="10" xr:uid="{00000000-0005-0000-0000-000003000000}"/>
    <cellStyle name="Input" xfId="12" builtinId="20"/>
    <cellStyle name="Normal" xfId="0" builtinId="0"/>
    <cellStyle name="Normal 2" xfId="9" xr:uid="{00000000-0005-0000-0000-000006000000}"/>
    <cellStyle name="Normal 2 2" xfId="11" xr:uid="{00000000-0005-0000-0000-000007000000}"/>
    <cellStyle name="Normal 3" xfId="3" xr:uid="{00000000-0005-0000-0000-000008000000}"/>
    <cellStyle name="Normal 5" xfId="7" xr:uid="{00000000-0005-0000-0000-000009000000}"/>
    <cellStyle name="Normal 6" xfId="1" xr:uid="{00000000-0005-0000-0000-00000A000000}"/>
    <cellStyle name="Normal_Sheet3" xfId="8" xr:uid="{00000000-0005-0000-0000-00000B000000}"/>
    <cellStyle name="Percent" xfId="4" builtinId="5"/>
  </cellStyles>
  <dxfs count="26"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1"/>
      </font>
      <fill>
        <patternFill>
          <bgColor theme="7"/>
        </patternFill>
      </fill>
    </dxf>
    <dxf>
      <fill>
        <patternFill>
          <bgColor rgb="FFFFC000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0000CC"/>
      <color rgb="FF006100"/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4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Pic!$E$10:$G$10</c:f>
              <c:numCache>
                <c:formatCode>General</c:formatCode>
                <c:ptCount val="3"/>
                <c:pt idx="0">
                  <c:v>-382</c:v>
                </c:pt>
                <c:pt idx="1">
                  <c:v>-382</c:v>
                </c:pt>
                <c:pt idx="2">
                  <c:v>-382</c:v>
                </c:pt>
              </c:numCache>
            </c:numRef>
          </c:xVal>
          <c:yVal>
            <c:numRef>
              <c:f>Pic!$E$11:$G$11</c:f>
              <c:numCache>
                <c:formatCode>General</c:formatCode>
                <c:ptCount val="3"/>
                <c:pt idx="0">
                  <c:v>-60</c:v>
                </c:pt>
                <c:pt idx="1">
                  <c:v>60</c:v>
                </c:pt>
                <c:pt idx="2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85-49D1-BB1A-70C63E72D37B}"/>
            </c:ext>
          </c:extLst>
        </c:ser>
        <c:ser>
          <c:idx val="5"/>
          <c:order val="1"/>
          <c:spPr>
            <a:ln w="762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76200">
                <a:noFill/>
              </a:ln>
              <a:effectLst/>
            </c:spPr>
          </c:marker>
          <c:xVal>
            <c:numRef>
              <c:f>Pic!$H$10:$J$10</c:f>
              <c:numCache>
                <c:formatCode>General</c:formatCode>
                <c:ptCount val="3"/>
                <c:pt idx="0">
                  <c:v>382</c:v>
                </c:pt>
                <c:pt idx="1">
                  <c:v>382</c:v>
                </c:pt>
                <c:pt idx="2">
                  <c:v>382</c:v>
                </c:pt>
              </c:numCache>
            </c:numRef>
          </c:xVal>
          <c:yVal>
            <c:numRef>
              <c:f>Pic!$H$11:$J$11</c:f>
              <c:numCache>
                <c:formatCode>General</c:formatCode>
                <c:ptCount val="3"/>
                <c:pt idx="0">
                  <c:v>-60</c:v>
                </c:pt>
                <c:pt idx="1">
                  <c:v>60</c:v>
                </c:pt>
                <c:pt idx="2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85-49D1-BB1A-70C63E72D37B}"/>
            </c:ext>
          </c:extLst>
        </c:ser>
        <c:ser>
          <c:idx val="6"/>
          <c:order val="2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Pic!$E$14:$F$14</c:f>
              <c:numCache>
                <c:formatCode>General</c:formatCode>
                <c:ptCount val="2"/>
                <c:pt idx="0">
                  <c:v>-382</c:v>
                </c:pt>
                <c:pt idx="1">
                  <c:v>382</c:v>
                </c:pt>
              </c:numCache>
            </c:numRef>
          </c:xVal>
          <c:yVal>
            <c:numRef>
              <c:f>Pic!$E$15:$F$15</c:f>
              <c:numCache>
                <c:formatCode>General</c:formatCode>
                <c:ptCount val="2"/>
                <c:pt idx="0">
                  <c:v>-60</c:v>
                </c:pt>
                <c:pt idx="1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085-49D1-BB1A-70C63E72D37B}"/>
            </c:ext>
          </c:extLst>
        </c:ser>
        <c:ser>
          <c:idx val="7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Pic!$E$18:$F$18</c:f>
              <c:numCache>
                <c:formatCode>General</c:formatCode>
                <c:ptCount val="2"/>
                <c:pt idx="0">
                  <c:v>-232</c:v>
                </c:pt>
                <c:pt idx="1">
                  <c:v>-232</c:v>
                </c:pt>
              </c:numCache>
            </c:numRef>
          </c:xVal>
          <c:yVal>
            <c:numRef>
              <c:f>Pic!$E$19:$F$19</c:f>
              <c:numCache>
                <c:formatCode>General</c:formatCode>
                <c:ptCount val="2"/>
                <c:pt idx="0">
                  <c:v>-60</c:v>
                </c:pt>
                <c:pt idx="1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085-49D1-BB1A-70C63E72D37B}"/>
            </c:ext>
          </c:extLst>
        </c:ser>
        <c:ser>
          <c:idx val="8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Pic!$H$18:$I$18</c:f>
              <c:numCache>
                <c:formatCode>General</c:formatCode>
                <c:ptCount val="2"/>
                <c:pt idx="0">
                  <c:v>232</c:v>
                </c:pt>
                <c:pt idx="1">
                  <c:v>232</c:v>
                </c:pt>
              </c:numCache>
            </c:numRef>
          </c:xVal>
          <c:yVal>
            <c:numRef>
              <c:f>Pic!$H$19:$I$19</c:f>
              <c:numCache>
                <c:formatCode>General</c:formatCode>
                <c:ptCount val="2"/>
                <c:pt idx="0">
                  <c:v>-60</c:v>
                </c:pt>
                <c:pt idx="1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085-49D1-BB1A-70C63E72D37B}"/>
            </c:ext>
          </c:extLst>
        </c:ser>
        <c:ser>
          <c:idx val="9"/>
          <c:order val="5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Pic!$E$22:$F$22</c:f>
              <c:numCache>
                <c:formatCode>General</c:formatCode>
                <c:ptCount val="2"/>
                <c:pt idx="0">
                  <c:v>-382</c:v>
                </c:pt>
                <c:pt idx="1">
                  <c:v>-382</c:v>
                </c:pt>
              </c:numCache>
            </c:numRef>
          </c:xVal>
          <c:yVal>
            <c:numRef>
              <c:f>Pic!$E$23:$F$23</c:f>
              <c:numCache>
                <c:formatCode>General</c:formatCode>
                <c:ptCount val="2"/>
                <c:pt idx="0">
                  <c:v>-60</c:v>
                </c:pt>
                <c:pt idx="1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085-49D1-BB1A-70C63E72D37B}"/>
            </c:ext>
          </c:extLst>
        </c:ser>
        <c:ser>
          <c:idx val="10"/>
          <c:order val="6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Pic!$H$22:$I$22</c:f>
              <c:numCache>
                <c:formatCode>General</c:formatCode>
                <c:ptCount val="2"/>
                <c:pt idx="0">
                  <c:v>382</c:v>
                </c:pt>
                <c:pt idx="1">
                  <c:v>382</c:v>
                </c:pt>
              </c:numCache>
            </c:numRef>
          </c:xVal>
          <c:yVal>
            <c:numRef>
              <c:f>Pic!$H$23:$I$23</c:f>
              <c:numCache>
                <c:formatCode>General</c:formatCode>
                <c:ptCount val="2"/>
                <c:pt idx="0">
                  <c:v>-60</c:v>
                </c:pt>
                <c:pt idx="1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085-49D1-BB1A-70C63E72D37B}"/>
            </c:ext>
          </c:extLst>
        </c:ser>
        <c:ser>
          <c:idx val="0"/>
          <c:order val="18"/>
          <c:tx>
            <c:v>"BasePlate"</c:v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Pic!$E$4:$I$4</c:f>
              <c:numCache>
                <c:formatCode>General</c:formatCode>
                <c:ptCount val="5"/>
                <c:pt idx="0">
                  <c:v>442</c:v>
                </c:pt>
                <c:pt idx="1">
                  <c:v>442</c:v>
                </c:pt>
                <c:pt idx="2">
                  <c:v>-442</c:v>
                </c:pt>
                <c:pt idx="3">
                  <c:v>-442</c:v>
                </c:pt>
                <c:pt idx="4">
                  <c:v>442</c:v>
                </c:pt>
              </c:numCache>
            </c:numRef>
          </c:xVal>
          <c:yVal>
            <c:numRef>
              <c:f>Pic!$E$5:$I$5</c:f>
              <c:numCache>
                <c:formatCode>General</c:formatCode>
                <c:ptCount val="5"/>
                <c:pt idx="0">
                  <c:v>106</c:v>
                </c:pt>
                <c:pt idx="1">
                  <c:v>-106</c:v>
                </c:pt>
                <c:pt idx="2">
                  <c:v>-106</c:v>
                </c:pt>
                <c:pt idx="3">
                  <c:v>106</c:v>
                </c:pt>
                <c:pt idx="4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085-49D1-BB1A-70C63E72D3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828112"/>
        <c:axId val="1569812752"/>
      </c:scatterChart>
      <c:scatterChart>
        <c:scatterStyle val="smoothMarker"/>
        <c:varyColors val="0"/>
        <c:ser>
          <c:idx val="11"/>
          <c:order val="7"/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Pic!$E$26:$F$26</c:f>
              <c:numCache>
                <c:formatCode>General</c:formatCode>
                <c:ptCount val="2"/>
                <c:pt idx="0">
                  <c:v>-442</c:v>
                </c:pt>
                <c:pt idx="1">
                  <c:v>-312</c:v>
                </c:pt>
              </c:numCache>
            </c:numRef>
          </c:xVal>
          <c:yVal>
            <c:numRef>
              <c:f>Pic!$E$27:$F$27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9085-49D1-BB1A-70C63E72D37B}"/>
            </c:ext>
          </c:extLst>
        </c:ser>
        <c:ser>
          <c:idx val="12"/>
          <c:order val="8"/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Pic!$H$26:$I$26</c:f>
              <c:numCache>
                <c:formatCode>General</c:formatCode>
                <c:ptCount val="2"/>
                <c:pt idx="0">
                  <c:v>-442</c:v>
                </c:pt>
                <c:pt idx="1">
                  <c:v>-312</c:v>
                </c:pt>
              </c:numCache>
            </c:numRef>
          </c:xVal>
          <c:yVal>
            <c:numRef>
              <c:f>Pic!$H$27:$I$27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9085-49D1-BB1A-70C63E72D37B}"/>
            </c:ext>
          </c:extLst>
        </c:ser>
        <c:ser>
          <c:idx val="13"/>
          <c:order val="9"/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Pic!$E$28:$F$28</c:f>
              <c:numCache>
                <c:formatCode>General</c:formatCode>
                <c:ptCount val="2"/>
                <c:pt idx="0">
                  <c:v>442</c:v>
                </c:pt>
                <c:pt idx="1">
                  <c:v>312</c:v>
                </c:pt>
              </c:numCache>
            </c:numRef>
          </c:xVal>
          <c:yVal>
            <c:numRef>
              <c:f>Pic!$E$29:$F$29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9085-49D1-BB1A-70C63E72D37B}"/>
            </c:ext>
          </c:extLst>
        </c:ser>
        <c:ser>
          <c:idx val="14"/>
          <c:order val="10"/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Pic!$H$28:$I$28</c:f>
              <c:numCache>
                <c:formatCode>General</c:formatCode>
                <c:ptCount val="2"/>
                <c:pt idx="0">
                  <c:v>442</c:v>
                </c:pt>
                <c:pt idx="1">
                  <c:v>312</c:v>
                </c:pt>
              </c:numCache>
            </c:numRef>
          </c:xVal>
          <c:yVal>
            <c:numRef>
              <c:f>Pic!$H$29:$I$29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9085-49D1-BB1A-70C63E72D37B}"/>
            </c:ext>
          </c:extLst>
        </c:ser>
        <c:ser>
          <c:idx val="15"/>
          <c:order val="11"/>
          <c:spPr>
            <a:ln w="38100" cap="rnd">
              <a:solidFill>
                <a:srgbClr val="006100"/>
              </a:solidFill>
              <a:round/>
            </a:ln>
            <a:effectLst/>
          </c:spPr>
          <c:marker>
            <c:symbol val="none"/>
          </c:marker>
          <c:xVal>
            <c:numRef>
              <c:f>Pic!$E$31:$F$31</c:f>
              <c:numCache>
                <c:formatCode>General</c:formatCode>
                <c:ptCount val="2"/>
                <c:pt idx="0">
                  <c:v>-104</c:v>
                </c:pt>
                <c:pt idx="1">
                  <c:v>-104</c:v>
                </c:pt>
              </c:numCache>
            </c:numRef>
          </c:xVal>
          <c:yVal>
            <c:numRef>
              <c:f>Pic!$E$32:$F$32</c:f>
              <c:numCache>
                <c:formatCode>General</c:formatCode>
                <c:ptCount val="2"/>
                <c:pt idx="0">
                  <c:v>0</c:v>
                </c:pt>
                <c:pt idx="1">
                  <c:v>-92.5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9085-49D1-BB1A-70C63E72D37B}"/>
            </c:ext>
          </c:extLst>
        </c:ser>
        <c:ser>
          <c:idx val="16"/>
          <c:order val="12"/>
          <c:spPr>
            <a:ln w="38100" cap="rnd">
              <a:solidFill>
                <a:srgbClr val="006100"/>
              </a:solidFill>
              <a:round/>
            </a:ln>
            <a:effectLst/>
          </c:spPr>
          <c:marker>
            <c:symbol val="none"/>
          </c:marker>
          <c:xVal>
            <c:numRef>
              <c:f>Pic!$H$31:$I$31</c:f>
              <c:numCache>
                <c:formatCode>General</c:formatCode>
                <c:ptCount val="2"/>
                <c:pt idx="0">
                  <c:v>-104</c:v>
                </c:pt>
                <c:pt idx="1">
                  <c:v>-104</c:v>
                </c:pt>
              </c:numCache>
            </c:numRef>
          </c:xVal>
          <c:yVal>
            <c:numRef>
              <c:f>Pic!$H$32:$I$32</c:f>
              <c:numCache>
                <c:formatCode>General</c:formatCode>
                <c:ptCount val="2"/>
                <c:pt idx="0">
                  <c:v>0</c:v>
                </c:pt>
                <c:pt idx="1">
                  <c:v>92.5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9085-49D1-BB1A-70C63E72D37B}"/>
            </c:ext>
          </c:extLst>
        </c:ser>
        <c:ser>
          <c:idx val="17"/>
          <c:order val="13"/>
          <c:spPr>
            <a:ln w="38100" cap="rnd">
              <a:solidFill>
                <a:srgbClr val="006100"/>
              </a:solidFill>
              <a:round/>
            </a:ln>
            <a:effectLst/>
          </c:spPr>
          <c:marker>
            <c:symbol val="none"/>
          </c:marker>
          <c:xVal>
            <c:numRef>
              <c:f>Pic!$E$33:$F$33</c:f>
              <c:numCache>
                <c:formatCode>General</c:formatCode>
                <c:ptCount val="2"/>
                <c:pt idx="0">
                  <c:v>104</c:v>
                </c:pt>
                <c:pt idx="1">
                  <c:v>104</c:v>
                </c:pt>
              </c:numCache>
            </c:numRef>
          </c:xVal>
          <c:yVal>
            <c:numRef>
              <c:f>Pic!$E$34:$F$34</c:f>
              <c:numCache>
                <c:formatCode>General</c:formatCode>
                <c:ptCount val="2"/>
                <c:pt idx="0">
                  <c:v>0</c:v>
                </c:pt>
                <c:pt idx="1">
                  <c:v>-92.5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9085-49D1-BB1A-70C63E72D37B}"/>
            </c:ext>
          </c:extLst>
        </c:ser>
        <c:ser>
          <c:idx val="18"/>
          <c:order val="14"/>
          <c:spPr>
            <a:ln w="38100" cap="rnd">
              <a:solidFill>
                <a:srgbClr val="006100"/>
              </a:solidFill>
              <a:round/>
            </a:ln>
            <a:effectLst/>
          </c:spPr>
          <c:marker>
            <c:symbol val="none"/>
          </c:marker>
          <c:xVal>
            <c:numRef>
              <c:f>Pic!$H$33:$I$33</c:f>
              <c:numCache>
                <c:formatCode>General</c:formatCode>
                <c:ptCount val="2"/>
                <c:pt idx="0">
                  <c:v>104</c:v>
                </c:pt>
                <c:pt idx="1">
                  <c:v>104</c:v>
                </c:pt>
              </c:numCache>
            </c:numRef>
          </c:xVal>
          <c:yVal>
            <c:numRef>
              <c:f>Pic!$H$34:$I$34</c:f>
              <c:numCache>
                <c:formatCode>General</c:formatCode>
                <c:ptCount val="2"/>
                <c:pt idx="0">
                  <c:v>0</c:v>
                </c:pt>
                <c:pt idx="1">
                  <c:v>92.5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9085-49D1-BB1A-70C63E72D37B}"/>
            </c:ext>
          </c:extLst>
        </c:ser>
        <c:ser>
          <c:idx val="3"/>
          <c:order val="15"/>
          <c:tx>
            <c:v>"FlangeL"</c:v>
          </c:tx>
          <c:spPr>
            <a:ln w="76200" cap="rnd">
              <a:solidFill>
                <a:srgbClr val="0000CC"/>
              </a:solidFill>
              <a:round/>
            </a:ln>
            <a:effectLst/>
          </c:spPr>
          <c:marker>
            <c:symbol val="none"/>
          </c:marker>
          <c:xVal>
            <c:numRef>
              <c:f>Pic!$I$7:$J$7</c:f>
              <c:numCache>
                <c:formatCode>General</c:formatCode>
                <c:ptCount val="2"/>
                <c:pt idx="0">
                  <c:v>-312</c:v>
                </c:pt>
                <c:pt idx="1">
                  <c:v>-312</c:v>
                </c:pt>
              </c:numCache>
            </c:numRef>
          </c:xVal>
          <c:yVal>
            <c:numRef>
              <c:f>Pic!$I$8:$J$8</c:f>
              <c:numCache>
                <c:formatCode>General</c:formatCode>
                <c:ptCount val="2"/>
                <c:pt idx="0">
                  <c:v>92.5</c:v>
                </c:pt>
                <c:pt idx="1">
                  <c:v>-92.5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9085-49D1-BB1A-70C63E72D37B}"/>
            </c:ext>
          </c:extLst>
        </c:ser>
        <c:ser>
          <c:idx val="1"/>
          <c:order val="16"/>
          <c:tx>
            <c:v>"FlangeR"</c:v>
          </c:tx>
          <c:spPr>
            <a:ln w="76200" cap="rnd">
              <a:solidFill>
                <a:srgbClr val="0000CC"/>
              </a:solidFill>
              <a:round/>
            </a:ln>
            <a:effectLst/>
          </c:spPr>
          <c:marker>
            <c:symbol val="none"/>
          </c:marker>
          <c:xVal>
            <c:numRef>
              <c:f>Pic!$E$7:$F$7</c:f>
              <c:numCache>
                <c:formatCode>General</c:formatCode>
                <c:ptCount val="2"/>
                <c:pt idx="0">
                  <c:v>312</c:v>
                </c:pt>
                <c:pt idx="1">
                  <c:v>312</c:v>
                </c:pt>
              </c:numCache>
            </c:numRef>
          </c:xVal>
          <c:yVal>
            <c:numRef>
              <c:f>Pic!$E$8:$F$8</c:f>
              <c:numCache>
                <c:formatCode>General</c:formatCode>
                <c:ptCount val="2"/>
                <c:pt idx="0">
                  <c:v>92.5</c:v>
                </c:pt>
                <c:pt idx="1">
                  <c:v>-92.5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9085-49D1-BB1A-70C63E72D37B}"/>
            </c:ext>
          </c:extLst>
        </c:ser>
        <c:ser>
          <c:idx val="2"/>
          <c:order val="17"/>
          <c:tx>
            <c:v>"Web"</c:v>
          </c:tx>
          <c:spPr>
            <a:ln w="57150" cap="rnd">
              <a:solidFill>
                <a:srgbClr val="0000CC"/>
              </a:solidFill>
              <a:round/>
            </a:ln>
            <a:effectLst/>
          </c:spPr>
          <c:marker>
            <c:symbol val="none"/>
          </c:marker>
          <c:xVal>
            <c:numRef>
              <c:f>Pic!$G$7:$H$7</c:f>
              <c:numCache>
                <c:formatCode>General</c:formatCode>
                <c:ptCount val="2"/>
                <c:pt idx="0">
                  <c:v>-312</c:v>
                </c:pt>
                <c:pt idx="1">
                  <c:v>312</c:v>
                </c:pt>
              </c:numCache>
            </c:numRef>
          </c:xVal>
          <c:yVal>
            <c:numRef>
              <c:f>Pic!$G$8:$H$8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9085-49D1-BB1A-70C63E72D3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828112"/>
        <c:axId val="1569812752"/>
      </c:scatterChart>
      <c:valAx>
        <c:axId val="15698281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69812752"/>
        <c:crosses val="autoZero"/>
        <c:crossBetween val="midCat"/>
      </c:valAx>
      <c:valAx>
        <c:axId val="156981275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569828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4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Pic!$E$10:$G$10</c:f>
              <c:numCache>
                <c:formatCode>General</c:formatCode>
                <c:ptCount val="3"/>
                <c:pt idx="0">
                  <c:v>-382</c:v>
                </c:pt>
                <c:pt idx="1">
                  <c:v>-382</c:v>
                </c:pt>
                <c:pt idx="2">
                  <c:v>-382</c:v>
                </c:pt>
              </c:numCache>
            </c:numRef>
          </c:xVal>
          <c:yVal>
            <c:numRef>
              <c:f>Pic!$E$11:$G$11</c:f>
              <c:numCache>
                <c:formatCode>General</c:formatCode>
                <c:ptCount val="3"/>
                <c:pt idx="0">
                  <c:v>-60</c:v>
                </c:pt>
                <c:pt idx="1">
                  <c:v>60</c:v>
                </c:pt>
                <c:pt idx="2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E36-4F19-86A4-FE05DA05CF2B}"/>
            </c:ext>
          </c:extLst>
        </c:ser>
        <c:ser>
          <c:idx val="5"/>
          <c:order val="1"/>
          <c:spPr>
            <a:ln w="762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76200">
                <a:noFill/>
              </a:ln>
              <a:effectLst/>
            </c:spPr>
          </c:marker>
          <c:xVal>
            <c:numRef>
              <c:f>Pic!$H$10:$J$10</c:f>
              <c:numCache>
                <c:formatCode>General</c:formatCode>
                <c:ptCount val="3"/>
                <c:pt idx="0">
                  <c:v>382</c:v>
                </c:pt>
                <c:pt idx="1">
                  <c:v>382</c:v>
                </c:pt>
                <c:pt idx="2">
                  <c:v>382</c:v>
                </c:pt>
              </c:numCache>
            </c:numRef>
          </c:xVal>
          <c:yVal>
            <c:numRef>
              <c:f>Pic!$H$11:$J$11</c:f>
              <c:numCache>
                <c:formatCode>General</c:formatCode>
                <c:ptCount val="3"/>
                <c:pt idx="0">
                  <c:v>-60</c:v>
                </c:pt>
                <c:pt idx="1">
                  <c:v>60</c:v>
                </c:pt>
                <c:pt idx="2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E36-4F19-86A4-FE05DA05CF2B}"/>
            </c:ext>
          </c:extLst>
        </c:ser>
        <c:ser>
          <c:idx val="6"/>
          <c:order val="2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Pic!$E$14:$F$14</c:f>
              <c:numCache>
                <c:formatCode>General</c:formatCode>
                <c:ptCount val="2"/>
                <c:pt idx="0">
                  <c:v>-382</c:v>
                </c:pt>
                <c:pt idx="1">
                  <c:v>382</c:v>
                </c:pt>
              </c:numCache>
            </c:numRef>
          </c:xVal>
          <c:yVal>
            <c:numRef>
              <c:f>Pic!$E$15:$F$15</c:f>
              <c:numCache>
                <c:formatCode>General</c:formatCode>
                <c:ptCount val="2"/>
                <c:pt idx="0">
                  <c:v>-60</c:v>
                </c:pt>
                <c:pt idx="1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E36-4F19-86A4-FE05DA05CF2B}"/>
            </c:ext>
          </c:extLst>
        </c:ser>
        <c:ser>
          <c:idx val="7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Pic!$E$18:$F$18</c:f>
              <c:numCache>
                <c:formatCode>General</c:formatCode>
                <c:ptCount val="2"/>
                <c:pt idx="0">
                  <c:v>-232</c:v>
                </c:pt>
                <c:pt idx="1">
                  <c:v>-232</c:v>
                </c:pt>
              </c:numCache>
            </c:numRef>
          </c:xVal>
          <c:yVal>
            <c:numRef>
              <c:f>Pic!$E$19:$F$19</c:f>
              <c:numCache>
                <c:formatCode>General</c:formatCode>
                <c:ptCount val="2"/>
                <c:pt idx="0">
                  <c:v>-60</c:v>
                </c:pt>
                <c:pt idx="1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E36-4F19-86A4-FE05DA05CF2B}"/>
            </c:ext>
          </c:extLst>
        </c:ser>
        <c:ser>
          <c:idx val="8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Pic!$H$18:$I$18</c:f>
              <c:numCache>
                <c:formatCode>General</c:formatCode>
                <c:ptCount val="2"/>
                <c:pt idx="0">
                  <c:v>232</c:v>
                </c:pt>
                <c:pt idx="1">
                  <c:v>232</c:v>
                </c:pt>
              </c:numCache>
            </c:numRef>
          </c:xVal>
          <c:yVal>
            <c:numRef>
              <c:f>Pic!$H$19:$I$19</c:f>
              <c:numCache>
                <c:formatCode>General</c:formatCode>
                <c:ptCount val="2"/>
                <c:pt idx="0">
                  <c:v>-60</c:v>
                </c:pt>
                <c:pt idx="1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E36-4F19-86A4-FE05DA05CF2B}"/>
            </c:ext>
          </c:extLst>
        </c:ser>
        <c:ser>
          <c:idx val="9"/>
          <c:order val="5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Pic!$E$22:$F$22</c:f>
              <c:numCache>
                <c:formatCode>General</c:formatCode>
                <c:ptCount val="2"/>
                <c:pt idx="0">
                  <c:v>-382</c:v>
                </c:pt>
                <c:pt idx="1">
                  <c:v>-382</c:v>
                </c:pt>
              </c:numCache>
            </c:numRef>
          </c:xVal>
          <c:yVal>
            <c:numRef>
              <c:f>Pic!$E$23:$F$23</c:f>
              <c:numCache>
                <c:formatCode>General</c:formatCode>
                <c:ptCount val="2"/>
                <c:pt idx="0">
                  <c:v>-60</c:v>
                </c:pt>
                <c:pt idx="1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D7-4F83-BC98-A2B44887D865}"/>
            </c:ext>
          </c:extLst>
        </c:ser>
        <c:ser>
          <c:idx val="10"/>
          <c:order val="6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Pic!$H$22:$I$22</c:f>
              <c:numCache>
                <c:formatCode>General</c:formatCode>
                <c:ptCount val="2"/>
                <c:pt idx="0">
                  <c:v>382</c:v>
                </c:pt>
                <c:pt idx="1">
                  <c:v>382</c:v>
                </c:pt>
              </c:numCache>
            </c:numRef>
          </c:xVal>
          <c:yVal>
            <c:numRef>
              <c:f>Pic!$H$23:$I$23</c:f>
              <c:numCache>
                <c:formatCode>General</c:formatCode>
                <c:ptCount val="2"/>
                <c:pt idx="0">
                  <c:v>-60</c:v>
                </c:pt>
                <c:pt idx="1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D7-4F83-BC98-A2B44887D865}"/>
            </c:ext>
          </c:extLst>
        </c:ser>
        <c:ser>
          <c:idx val="0"/>
          <c:order val="18"/>
          <c:tx>
            <c:v>"BasePlate"</c:v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Pic!$E$4:$I$4</c:f>
              <c:numCache>
                <c:formatCode>General</c:formatCode>
                <c:ptCount val="5"/>
                <c:pt idx="0">
                  <c:v>442</c:v>
                </c:pt>
                <c:pt idx="1">
                  <c:v>442</c:v>
                </c:pt>
                <c:pt idx="2">
                  <c:v>-442</c:v>
                </c:pt>
                <c:pt idx="3">
                  <c:v>-442</c:v>
                </c:pt>
                <c:pt idx="4">
                  <c:v>442</c:v>
                </c:pt>
              </c:numCache>
            </c:numRef>
          </c:xVal>
          <c:yVal>
            <c:numRef>
              <c:f>Pic!$E$5:$I$5</c:f>
              <c:numCache>
                <c:formatCode>General</c:formatCode>
                <c:ptCount val="5"/>
                <c:pt idx="0">
                  <c:v>106</c:v>
                </c:pt>
                <c:pt idx="1">
                  <c:v>-106</c:v>
                </c:pt>
                <c:pt idx="2">
                  <c:v>-106</c:v>
                </c:pt>
                <c:pt idx="3">
                  <c:v>106</c:v>
                </c:pt>
                <c:pt idx="4">
                  <c:v>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36-4F19-86A4-FE05DA05CF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828112"/>
        <c:axId val="1569812752"/>
      </c:scatterChart>
      <c:scatterChart>
        <c:scatterStyle val="smoothMarker"/>
        <c:varyColors val="0"/>
        <c:ser>
          <c:idx val="11"/>
          <c:order val="7"/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Pic!$E$26:$F$26</c:f>
              <c:numCache>
                <c:formatCode>General</c:formatCode>
                <c:ptCount val="2"/>
                <c:pt idx="0">
                  <c:v>-442</c:v>
                </c:pt>
                <c:pt idx="1">
                  <c:v>-312</c:v>
                </c:pt>
              </c:numCache>
            </c:numRef>
          </c:xVal>
          <c:yVal>
            <c:numRef>
              <c:f>Pic!$E$27:$F$27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3D7-4F83-BC98-A2B44887D865}"/>
            </c:ext>
          </c:extLst>
        </c:ser>
        <c:ser>
          <c:idx val="12"/>
          <c:order val="8"/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Pic!$H$26:$I$26</c:f>
              <c:numCache>
                <c:formatCode>General</c:formatCode>
                <c:ptCount val="2"/>
                <c:pt idx="0">
                  <c:v>-442</c:v>
                </c:pt>
                <c:pt idx="1">
                  <c:v>-312</c:v>
                </c:pt>
              </c:numCache>
            </c:numRef>
          </c:xVal>
          <c:yVal>
            <c:numRef>
              <c:f>Pic!$H$27:$I$27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3D7-4F83-BC98-A2B44887D865}"/>
            </c:ext>
          </c:extLst>
        </c:ser>
        <c:ser>
          <c:idx val="13"/>
          <c:order val="9"/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Pic!$E$28:$F$28</c:f>
              <c:numCache>
                <c:formatCode>General</c:formatCode>
                <c:ptCount val="2"/>
                <c:pt idx="0">
                  <c:v>442</c:v>
                </c:pt>
                <c:pt idx="1">
                  <c:v>312</c:v>
                </c:pt>
              </c:numCache>
            </c:numRef>
          </c:xVal>
          <c:yVal>
            <c:numRef>
              <c:f>Pic!$E$29:$F$29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3D7-4F83-BC98-A2B44887D865}"/>
            </c:ext>
          </c:extLst>
        </c:ser>
        <c:ser>
          <c:idx val="14"/>
          <c:order val="10"/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Pic!$H$28:$I$28</c:f>
              <c:numCache>
                <c:formatCode>General</c:formatCode>
                <c:ptCount val="2"/>
                <c:pt idx="0">
                  <c:v>442</c:v>
                </c:pt>
                <c:pt idx="1">
                  <c:v>312</c:v>
                </c:pt>
              </c:numCache>
            </c:numRef>
          </c:xVal>
          <c:yVal>
            <c:numRef>
              <c:f>Pic!$H$29:$I$29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3D7-4F83-BC98-A2B44887D865}"/>
            </c:ext>
          </c:extLst>
        </c:ser>
        <c:ser>
          <c:idx val="15"/>
          <c:order val="11"/>
          <c:spPr>
            <a:ln w="38100" cap="rnd">
              <a:solidFill>
                <a:srgbClr val="006100"/>
              </a:solidFill>
              <a:round/>
            </a:ln>
            <a:effectLst/>
          </c:spPr>
          <c:marker>
            <c:symbol val="none"/>
          </c:marker>
          <c:xVal>
            <c:numRef>
              <c:f>Pic!$E$31:$F$31</c:f>
              <c:numCache>
                <c:formatCode>General</c:formatCode>
                <c:ptCount val="2"/>
                <c:pt idx="0">
                  <c:v>-104</c:v>
                </c:pt>
                <c:pt idx="1">
                  <c:v>-104</c:v>
                </c:pt>
              </c:numCache>
            </c:numRef>
          </c:xVal>
          <c:yVal>
            <c:numRef>
              <c:f>Pic!$E$32:$F$32</c:f>
              <c:numCache>
                <c:formatCode>General</c:formatCode>
                <c:ptCount val="2"/>
                <c:pt idx="0">
                  <c:v>0</c:v>
                </c:pt>
                <c:pt idx="1">
                  <c:v>-92.5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3D7-4F83-BC98-A2B44887D865}"/>
            </c:ext>
          </c:extLst>
        </c:ser>
        <c:ser>
          <c:idx val="16"/>
          <c:order val="12"/>
          <c:spPr>
            <a:ln w="38100" cap="rnd">
              <a:solidFill>
                <a:srgbClr val="006100"/>
              </a:solidFill>
              <a:round/>
            </a:ln>
            <a:effectLst/>
          </c:spPr>
          <c:marker>
            <c:symbol val="none"/>
          </c:marker>
          <c:xVal>
            <c:numRef>
              <c:f>Pic!$H$31:$I$31</c:f>
              <c:numCache>
                <c:formatCode>General</c:formatCode>
                <c:ptCount val="2"/>
                <c:pt idx="0">
                  <c:v>-104</c:v>
                </c:pt>
                <c:pt idx="1">
                  <c:v>-104</c:v>
                </c:pt>
              </c:numCache>
            </c:numRef>
          </c:xVal>
          <c:yVal>
            <c:numRef>
              <c:f>Pic!$H$32:$I$32</c:f>
              <c:numCache>
                <c:formatCode>General</c:formatCode>
                <c:ptCount val="2"/>
                <c:pt idx="0">
                  <c:v>0</c:v>
                </c:pt>
                <c:pt idx="1">
                  <c:v>92.5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3D7-4F83-BC98-A2B44887D865}"/>
            </c:ext>
          </c:extLst>
        </c:ser>
        <c:ser>
          <c:idx val="17"/>
          <c:order val="13"/>
          <c:spPr>
            <a:ln w="38100" cap="rnd">
              <a:solidFill>
                <a:srgbClr val="006100"/>
              </a:solidFill>
              <a:round/>
            </a:ln>
            <a:effectLst/>
          </c:spPr>
          <c:marker>
            <c:symbol val="none"/>
          </c:marker>
          <c:xVal>
            <c:numRef>
              <c:f>Pic!$E$33:$F$33</c:f>
              <c:numCache>
                <c:formatCode>General</c:formatCode>
                <c:ptCount val="2"/>
                <c:pt idx="0">
                  <c:v>104</c:v>
                </c:pt>
                <c:pt idx="1">
                  <c:v>104</c:v>
                </c:pt>
              </c:numCache>
            </c:numRef>
          </c:xVal>
          <c:yVal>
            <c:numRef>
              <c:f>Pic!$E$34:$F$34</c:f>
              <c:numCache>
                <c:formatCode>General</c:formatCode>
                <c:ptCount val="2"/>
                <c:pt idx="0">
                  <c:v>0</c:v>
                </c:pt>
                <c:pt idx="1">
                  <c:v>-92.5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93D7-4F83-BC98-A2B44887D865}"/>
            </c:ext>
          </c:extLst>
        </c:ser>
        <c:ser>
          <c:idx val="18"/>
          <c:order val="14"/>
          <c:spPr>
            <a:ln w="38100" cap="rnd">
              <a:solidFill>
                <a:srgbClr val="006100"/>
              </a:solidFill>
              <a:round/>
            </a:ln>
            <a:effectLst/>
          </c:spPr>
          <c:marker>
            <c:symbol val="none"/>
          </c:marker>
          <c:xVal>
            <c:numRef>
              <c:f>Pic!$H$33:$I$33</c:f>
              <c:numCache>
                <c:formatCode>General</c:formatCode>
                <c:ptCount val="2"/>
                <c:pt idx="0">
                  <c:v>104</c:v>
                </c:pt>
                <c:pt idx="1">
                  <c:v>104</c:v>
                </c:pt>
              </c:numCache>
            </c:numRef>
          </c:xVal>
          <c:yVal>
            <c:numRef>
              <c:f>Pic!$H$34:$I$34</c:f>
              <c:numCache>
                <c:formatCode>General</c:formatCode>
                <c:ptCount val="2"/>
                <c:pt idx="0">
                  <c:v>0</c:v>
                </c:pt>
                <c:pt idx="1">
                  <c:v>92.5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93D7-4F83-BC98-A2B44887D865}"/>
            </c:ext>
          </c:extLst>
        </c:ser>
        <c:ser>
          <c:idx val="3"/>
          <c:order val="15"/>
          <c:tx>
            <c:v>"FlangeL"</c:v>
          </c:tx>
          <c:spPr>
            <a:ln w="76200" cap="rnd">
              <a:solidFill>
                <a:srgbClr val="0000CC"/>
              </a:solidFill>
              <a:round/>
            </a:ln>
            <a:effectLst/>
          </c:spPr>
          <c:marker>
            <c:symbol val="none"/>
          </c:marker>
          <c:xVal>
            <c:numRef>
              <c:f>Pic!$I$7:$J$7</c:f>
              <c:numCache>
                <c:formatCode>General</c:formatCode>
                <c:ptCount val="2"/>
                <c:pt idx="0">
                  <c:v>-312</c:v>
                </c:pt>
                <c:pt idx="1">
                  <c:v>-312</c:v>
                </c:pt>
              </c:numCache>
            </c:numRef>
          </c:xVal>
          <c:yVal>
            <c:numRef>
              <c:f>Pic!$I$8:$J$8</c:f>
              <c:numCache>
                <c:formatCode>General</c:formatCode>
                <c:ptCount val="2"/>
                <c:pt idx="0">
                  <c:v>92.5</c:v>
                </c:pt>
                <c:pt idx="1">
                  <c:v>-92.5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E36-4F19-86A4-FE05DA05CF2B}"/>
            </c:ext>
          </c:extLst>
        </c:ser>
        <c:ser>
          <c:idx val="1"/>
          <c:order val="16"/>
          <c:tx>
            <c:v>"FlangeR"</c:v>
          </c:tx>
          <c:spPr>
            <a:ln w="76200" cap="rnd">
              <a:solidFill>
                <a:srgbClr val="0000CC"/>
              </a:solidFill>
              <a:round/>
            </a:ln>
            <a:effectLst/>
          </c:spPr>
          <c:marker>
            <c:symbol val="none"/>
          </c:marker>
          <c:xVal>
            <c:numRef>
              <c:f>Pic!$E$7:$F$7</c:f>
              <c:numCache>
                <c:formatCode>General</c:formatCode>
                <c:ptCount val="2"/>
                <c:pt idx="0">
                  <c:v>312</c:v>
                </c:pt>
                <c:pt idx="1">
                  <c:v>312</c:v>
                </c:pt>
              </c:numCache>
            </c:numRef>
          </c:xVal>
          <c:yVal>
            <c:numRef>
              <c:f>Pic!$E$8:$F$8</c:f>
              <c:numCache>
                <c:formatCode>General</c:formatCode>
                <c:ptCount val="2"/>
                <c:pt idx="0">
                  <c:v>92.5</c:v>
                </c:pt>
                <c:pt idx="1">
                  <c:v>-92.5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E36-4F19-86A4-FE05DA05CF2B}"/>
            </c:ext>
          </c:extLst>
        </c:ser>
        <c:ser>
          <c:idx val="2"/>
          <c:order val="17"/>
          <c:tx>
            <c:v>"Web"</c:v>
          </c:tx>
          <c:spPr>
            <a:ln w="57150" cap="rnd">
              <a:solidFill>
                <a:srgbClr val="0000CC"/>
              </a:solidFill>
              <a:round/>
            </a:ln>
            <a:effectLst/>
          </c:spPr>
          <c:marker>
            <c:symbol val="none"/>
          </c:marker>
          <c:xVal>
            <c:numRef>
              <c:f>Pic!$G$7:$H$7</c:f>
              <c:numCache>
                <c:formatCode>General</c:formatCode>
                <c:ptCount val="2"/>
                <c:pt idx="0">
                  <c:v>-312</c:v>
                </c:pt>
                <c:pt idx="1">
                  <c:v>312</c:v>
                </c:pt>
              </c:numCache>
            </c:numRef>
          </c:xVal>
          <c:yVal>
            <c:numRef>
              <c:f>Pic!$G$8:$H$8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E36-4F19-86A4-FE05DA05CF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828112"/>
        <c:axId val="1569812752"/>
      </c:scatterChart>
      <c:valAx>
        <c:axId val="15698281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69812752"/>
        <c:crosses val="autoZero"/>
        <c:crossBetween val="midCat"/>
      </c:valAx>
      <c:valAx>
        <c:axId val="156981275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569828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chart" Target="../charts/chart1.xml"/><Relationship Id="rId7" Type="http://schemas.openxmlformats.org/officeDocument/2006/relationships/image" Target="../media/image8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33</xdr:row>
      <xdr:rowOff>138804</xdr:rowOff>
    </xdr:from>
    <xdr:to>
      <xdr:col>4</xdr:col>
      <xdr:colOff>473268</xdr:colOff>
      <xdr:row>38</xdr:row>
      <xdr:rowOff>108231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E70D824-5706-4E51-BB37-495092483B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135744"/>
          <a:ext cx="2660208" cy="832392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33</xdr:row>
      <xdr:rowOff>138804</xdr:rowOff>
    </xdr:from>
    <xdr:ext cx="2666739" cy="830760"/>
    <xdr:pic>
      <xdr:nvPicPr>
        <xdr:cNvPr id="3" name="Picture 2">
          <a:extLst>
            <a:ext uri="{FF2B5EF4-FFF2-40B4-BE49-F238E27FC236}">
              <a16:creationId xmlns:a16="http://schemas.microsoft.com/office/drawing/2014/main" id="{261C811B-09A2-4B1F-949B-3461273292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135744"/>
          <a:ext cx="2666739" cy="83076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336886</xdr:colOff>
      <xdr:row>105</xdr:row>
      <xdr:rowOff>49817</xdr:rowOff>
    </xdr:from>
    <xdr:to>
      <xdr:col>23</xdr:col>
      <xdr:colOff>454064</xdr:colOff>
      <xdr:row>113</xdr:row>
      <xdr:rowOff>101959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4ED46DFE-091E-A64C-DAF2-B090BEF381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099886" y="16300295"/>
          <a:ext cx="1167828" cy="1416205"/>
        </a:xfrm>
        <a:prstGeom prst="rect">
          <a:avLst/>
        </a:prstGeom>
      </xdr:spPr>
    </xdr:pic>
    <xdr:clientData/>
  </xdr:twoCellAnchor>
  <xdr:twoCellAnchor editAs="oneCell">
    <xdr:from>
      <xdr:col>0</xdr:col>
      <xdr:colOff>135696</xdr:colOff>
      <xdr:row>31</xdr:row>
      <xdr:rowOff>93100</xdr:rowOff>
    </xdr:from>
    <xdr:to>
      <xdr:col>7</xdr:col>
      <xdr:colOff>202818</xdr:colOff>
      <xdr:row>41</xdr:row>
      <xdr:rowOff>34919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C48BF1D-B791-4DA2-802E-D089FE3A61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5696" y="3660048"/>
          <a:ext cx="2874829" cy="1578346"/>
        </a:xfrm>
        <a:prstGeom prst="rect">
          <a:avLst/>
        </a:prstGeom>
      </xdr:spPr>
    </xdr:pic>
    <xdr:clientData/>
  </xdr:twoCellAnchor>
  <xdr:twoCellAnchor>
    <xdr:from>
      <xdr:col>16</xdr:col>
      <xdr:colOff>354472</xdr:colOff>
      <xdr:row>34</xdr:row>
      <xdr:rowOff>156645</xdr:rowOff>
    </xdr:from>
    <xdr:to>
      <xdr:col>21</xdr:col>
      <xdr:colOff>168518</xdr:colOff>
      <xdr:row>43</xdr:row>
      <xdr:rowOff>95249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C85EF5A-8D0D-4A8F-BC7A-655AE69591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25</xdr:row>
      <xdr:rowOff>78857</xdr:rowOff>
    </xdr:from>
    <xdr:to>
      <xdr:col>7</xdr:col>
      <xdr:colOff>267248</xdr:colOff>
      <xdr:row>31</xdr:row>
      <xdr:rowOff>73310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8ACA12A-1BAA-5F7A-2850-2A3B90EBEB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2660460"/>
          <a:ext cx="3078765" cy="972178"/>
        </a:xfrm>
        <a:prstGeom prst="rect">
          <a:avLst/>
        </a:prstGeom>
      </xdr:spPr>
    </xdr:pic>
    <xdr:clientData/>
  </xdr:twoCellAnchor>
  <xdr:twoCellAnchor editAs="oneCell">
    <xdr:from>
      <xdr:col>16</xdr:col>
      <xdr:colOff>478023</xdr:colOff>
      <xdr:row>44</xdr:row>
      <xdr:rowOff>59201</xdr:rowOff>
    </xdr:from>
    <xdr:to>
      <xdr:col>21</xdr:col>
      <xdr:colOff>194019</xdr:colOff>
      <xdr:row>50</xdr:row>
      <xdr:rowOff>26132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48BE0CE8-CFA8-B847-3324-FBDF7BB798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108888" y="5664297"/>
          <a:ext cx="2276902" cy="9226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78</xdr:row>
      <xdr:rowOff>109902</xdr:rowOff>
    </xdr:from>
    <xdr:to>
      <xdr:col>4</xdr:col>
      <xdr:colOff>102315</xdr:colOff>
      <xdr:row>87</xdr:row>
      <xdr:rowOff>41249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5B9D579-F3C9-08D9-CF65-AFD5001782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11356729"/>
          <a:ext cx="1780473" cy="1382078"/>
        </a:xfrm>
        <a:prstGeom prst="rect">
          <a:avLst/>
        </a:prstGeom>
      </xdr:spPr>
    </xdr:pic>
    <xdr:clientData/>
  </xdr:twoCellAnchor>
  <xdr:twoCellAnchor editAs="oneCell">
    <xdr:from>
      <xdr:col>5</xdr:col>
      <xdr:colOff>95250</xdr:colOff>
      <xdr:row>79</xdr:row>
      <xdr:rowOff>51288</xdr:rowOff>
    </xdr:from>
    <xdr:to>
      <xdr:col>9</xdr:col>
      <xdr:colOff>308113</xdr:colOff>
      <xdr:row>87</xdr:row>
      <xdr:rowOff>110546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F6D92A63-40FB-C26E-E19E-B678C88C23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146788" y="11459307"/>
          <a:ext cx="1813943" cy="1333557"/>
        </a:xfrm>
        <a:prstGeom prst="rect">
          <a:avLst/>
        </a:prstGeom>
      </xdr:spPr>
    </xdr:pic>
    <xdr:clientData/>
  </xdr:twoCellAnchor>
  <xdr:twoCellAnchor editAs="oneCell">
    <xdr:from>
      <xdr:col>17</xdr:col>
      <xdr:colOff>219809</xdr:colOff>
      <xdr:row>13</xdr:row>
      <xdr:rowOff>146538</xdr:rowOff>
    </xdr:from>
    <xdr:to>
      <xdr:col>20</xdr:col>
      <xdr:colOff>422503</xdr:colOff>
      <xdr:row>22</xdr:row>
      <xdr:rowOff>79791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A2CCD19C-0197-450C-B8A8-5E9BE70068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334251" y="754673"/>
          <a:ext cx="1769043" cy="1383983"/>
        </a:xfrm>
        <a:prstGeom prst="rect">
          <a:avLst/>
        </a:prstGeom>
      </xdr:spPr>
    </xdr:pic>
    <xdr:clientData/>
  </xdr:twoCellAnchor>
  <xdr:twoCellAnchor editAs="oneCell">
    <xdr:from>
      <xdr:col>14</xdr:col>
      <xdr:colOff>131884</xdr:colOff>
      <xdr:row>118</xdr:row>
      <xdr:rowOff>51288</xdr:rowOff>
    </xdr:from>
    <xdr:to>
      <xdr:col>21</xdr:col>
      <xdr:colOff>263419</xdr:colOff>
      <xdr:row>124</xdr:row>
      <xdr:rowOff>151449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85458835-B91B-4E45-A664-12565E7AEB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758961" y="18361269"/>
          <a:ext cx="3751035" cy="106731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6</xdr:row>
      <xdr:rowOff>138112</xdr:rowOff>
    </xdr:from>
    <xdr:to>
      <xdr:col>18</xdr:col>
      <xdr:colOff>228600</xdr:colOff>
      <xdr:row>20</xdr:row>
      <xdr:rowOff>23812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F97D5B3-1488-2A71-E2F5-20C54DB89C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image" Target="../media/image1.pn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70C0"/>
  </sheetPr>
  <dimension ref="A1:DN33"/>
  <sheetViews>
    <sheetView showGridLines="0" zoomScale="130" zoomScaleNormal="130" zoomScaleSheetLayoutView="100" workbookViewId="0">
      <selection activeCell="N16" sqref="N16"/>
    </sheetView>
  </sheetViews>
  <sheetFormatPr defaultColWidth="7.33203125" defaultRowHeight="13.8"/>
  <cols>
    <col min="1" max="1" width="9.88671875" style="1" customWidth="1"/>
    <col min="2" max="4" width="7.33203125" style="1"/>
    <col min="5" max="5" width="7.33203125" style="1" customWidth="1"/>
    <col min="6" max="9" width="7.33203125" style="1" hidden="1" customWidth="1"/>
    <col min="10" max="10" width="3.33203125" style="9" customWidth="1"/>
    <col min="11" max="15" width="7.33203125" style="1"/>
    <col min="16" max="20" width="0" style="1" hidden="1" customWidth="1"/>
    <col min="21" max="21" width="3.33203125" style="9" customWidth="1"/>
    <col min="22" max="26" width="7.33203125" style="1"/>
    <col min="27" max="41" width="0" style="1" hidden="1" customWidth="1"/>
    <col min="42" max="46" width="7.33203125" style="1" hidden="1" customWidth="1"/>
    <col min="47" max="47" width="3.33203125" style="9" customWidth="1"/>
    <col min="48" max="50" width="7.33203125" style="1"/>
    <col min="51" max="51" width="3.33203125" style="9" customWidth="1"/>
    <col min="52" max="54" width="7.33203125" style="1"/>
    <col min="55" max="59" width="0" style="1" hidden="1" customWidth="1"/>
    <col min="60" max="60" width="3.33203125" style="9" customWidth="1"/>
    <col min="61" max="62" width="7.33203125" style="1"/>
    <col min="63" max="63" width="9.44140625" style="1" bestFit="1" customWidth="1"/>
    <col min="64" max="67" width="7.44140625" style="1" bestFit="1" customWidth="1"/>
    <col min="68" max="68" width="8.109375" style="1" bestFit="1" customWidth="1"/>
    <col min="69" max="69" width="7.33203125" style="1"/>
    <col min="70" max="79" width="0" style="1" hidden="1" customWidth="1"/>
    <col min="80" max="80" width="3.33203125" style="9" customWidth="1"/>
    <col min="81" max="81" width="9.5546875" style="88" bestFit="1" customWidth="1"/>
    <col min="82" max="83" width="9.5546875" style="90" customWidth="1"/>
    <col min="84" max="85" width="5" style="88" bestFit="1" customWidth="1"/>
    <col min="86" max="86" width="5" style="88" customWidth="1"/>
    <col min="87" max="87" width="5" style="88" bestFit="1" customWidth="1"/>
    <col min="88" max="88" width="7" style="89" bestFit="1" customWidth="1"/>
    <col min="89" max="103" width="0" style="1" hidden="1" customWidth="1"/>
    <col min="104" max="104" width="3.33203125" style="9" customWidth="1"/>
    <col min="105" max="16384" width="7.33203125" style="1"/>
  </cols>
  <sheetData>
    <row r="1" spans="1:118" ht="14.25" customHeight="1">
      <c r="A1" s="230" t="s">
        <v>2</v>
      </c>
      <c r="B1" s="6" t="s">
        <v>18</v>
      </c>
      <c r="C1" s="6" t="s">
        <v>21</v>
      </c>
      <c r="D1" s="6" t="s">
        <v>22</v>
      </c>
      <c r="E1" s="232" t="s">
        <v>424</v>
      </c>
      <c r="F1" s="58"/>
      <c r="G1" s="58"/>
      <c r="H1" s="58"/>
      <c r="I1" s="58"/>
      <c r="K1" s="397" t="s">
        <v>37</v>
      </c>
      <c r="L1" s="398"/>
      <c r="M1" s="398"/>
      <c r="N1" s="398"/>
      <c r="O1" s="398"/>
      <c r="P1" s="59"/>
      <c r="Q1" s="59"/>
      <c r="R1" s="59"/>
      <c r="S1" s="59"/>
      <c r="T1" s="59"/>
      <c r="V1" s="401" t="s">
        <v>42</v>
      </c>
      <c r="W1" s="401"/>
      <c r="X1" s="401"/>
      <c r="Y1" s="401"/>
      <c r="Z1" s="401"/>
      <c r="AA1" s="60"/>
      <c r="AB1" s="60"/>
      <c r="AC1" s="60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V1" s="403" t="s">
        <v>226</v>
      </c>
      <c r="AW1" s="404"/>
      <c r="AX1" s="405"/>
      <c r="AZ1" s="403" t="s">
        <v>33</v>
      </c>
      <c r="BA1" s="404"/>
      <c r="BB1" s="405"/>
      <c r="BI1" s="394" t="s">
        <v>227</v>
      </c>
      <c r="BJ1" s="394"/>
      <c r="BK1" s="393" t="s">
        <v>228</v>
      </c>
      <c r="BL1" s="394" t="s">
        <v>229</v>
      </c>
      <c r="BM1" s="394"/>
      <c r="BN1" s="394"/>
      <c r="BO1" s="394"/>
      <c r="BP1" s="393" t="s">
        <v>230</v>
      </c>
      <c r="BQ1" s="393"/>
      <c r="CC1" s="395" t="s">
        <v>229</v>
      </c>
      <c r="CD1" s="396"/>
      <c r="CE1" s="396"/>
      <c r="CF1" s="396"/>
      <c r="CG1" s="396"/>
      <c r="CH1" s="396"/>
      <c r="CI1" s="396"/>
      <c r="CJ1" s="396"/>
      <c r="DA1" s="395" t="s">
        <v>297</v>
      </c>
      <c r="DB1" s="396"/>
      <c r="DC1" s="396"/>
      <c r="DD1" s="396"/>
      <c r="DE1" s="396"/>
      <c r="DF1" s="410" t="s">
        <v>80</v>
      </c>
      <c r="DG1" s="410"/>
      <c r="DH1" s="1" t="s">
        <v>87</v>
      </c>
      <c r="DI1" s="1" t="s">
        <v>88</v>
      </c>
      <c r="DJ1" s="1" t="s">
        <v>97</v>
      </c>
      <c r="DK1" s="1" t="s">
        <v>98</v>
      </c>
      <c r="DL1" s="12" t="s">
        <v>96</v>
      </c>
      <c r="DM1" s="12" t="s">
        <v>100</v>
      </c>
      <c r="DN1" s="12" t="s">
        <v>101</v>
      </c>
    </row>
    <row r="2" spans="1:118" ht="15.6">
      <c r="A2" s="231"/>
      <c r="B2" s="6" t="s">
        <v>19</v>
      </c>
      <c r="C2" s="6" t="s">
        <v>19</v>
      </c>
      <c r="D2" s="6" t="s">
        <v>19</v>
      </c>
      <c r="E2" s="233"/>
      <c r="F2" s="58"/>
      <c r="G2" s="58"/>
      <c r="H2" s="58"/>
      <c r="I2" s="58"/>
      <c r="K2" s="399"/>
      <c r="L2" s="400"/>
      <c r="M2" s="400"/>
      <c r="N2" s="400"/>
      <c r="O2" s="400"/>
      <c r="P2" s="59"/>
      <c r="Q2" s="59"/>
      <c r="R2" s="59"/>
      <c r="S2" s="59"/>
      <c r="T2" s="59"/>
      <c r="V2" s="402"/>
      <c r="W2" s="402"/>
      <c r="X2" s="402"/>
      <c r="Y2" s="402"/>
      <c r="Z2" s="402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60"/>
      <c r="AM2" s="60"/>
      <c r="AN2" s="60"/>
      <c r="AO2" s="60"/>
      <c r="AP2" s="60"/>
      <c r="AQ2" s="60"/>
      <c r="AR2" s="60"/>
      <c r="AS2" s="60"/>
      <c r="AT2" s="60"/>
      <c r="AV2" s="6" t="s">
        <v>231</v>
      </c>
      <c r="AW2" s="6" t="s">
        <v>232</v>
      </c>
      <c r="AX2" s="6" t="s">
        <v>220</v>
      </c>
      <c r="AZ2" s="6" t="s">
        <v>30</v>
      </c>
      <c r="BA2" s="6" t="s">
        <v>34</v>
      </c>
      <c r="BB2" s="6" t="s">
        <v>35</v>
      </c>
      <c r="BI2" s="394"/>
      <c r="BJ2" s="394"/>
      <c r="BK2" s="393"/>
      <c r="BL2" s="394" t="s">
        <v>233</v>
      </c>
      <c r="BM2" s="394"/>
      <c r="BN2" s="394" t="s">
        <v>234</v>
      </c>
      <c r="BO2" s="394"/>
      <c r="BP2" s="393"/>
      <c r="BQ2" s="393"/>
      <c r="CC2" s="411" t="s">
        <v>235</v>
      </c>
      <c r="CD2" s="63" t="s">
        <v>236</v>
      </c>
      <c r="CE2" s="63" t="s">
        <v>231</v>
      </c>
      <c r="CF2" s="64" t="s">
        <v>237</v>
      </c>
      <c r="CG2" s="64" t="s">
        <v>238</v>
      </c>
      <c r="CH2" s="64" t="s">
        <v>239</v>
      </c>
      <c r="CI2" s="64" t="s">
        <v>240</v>
      </c>
      <c r="CJ2" s="65" t="s">
        <v>241</v>
      </c>
      <c r="DA2" s="406" t="s">
        <v>298</v>
      </c>
      <c r="DB2" s="407"/>
      <c r="DC2" s="407"/>
      <c r="DD2" s="406" t="s">
        <v>302</v>
      </c>
      <c r="DE2" s="407"/>
      <c r="DF2" s="16" t="s">
        <v>76</v>
      </c>
      <c r="DG2" s="16">
        <v>1.35</v>
      </c>
      <c r="DH2" s="1" t="s">
        <v>82</v>
      </c>
      <c r="DI2" s="1" t="s">
        <v>89</v>
      </c>
      <c r="DJ2" s="1">
        <v>6</v>
      </c>
      <c r="DK2" s="1">
        <v>4</v>
      </c>
      <c r="DL2" s="1">
        <v>0.4</v>
      </c>
      <c r="DM2" s="1">
        <v>1.3</v>
      </c>
      <c r="DN2" s="1">
        <v>1.9</v>
      </c>
    </row>
    <row r="3" spans="1:118" ht="15.6">
      <c r="A3" s="8" t="s">
        <v>23</v>
      </c>
      <c r="B3" s="3">
        <f>2.06*10^5</f>
        <v>206000</v>
      </c>
      <c r="C3" s="3">
        <v>235</v>
      </c>
      <c r="D3" s="234">
        <v>370</v>
      </c>
      <c r="E3" s="235">
        <v>1.1000000000000001</v>
      </c>
      <c r="F3" s="25"/>
      <c r="G3" s="25"/>
      <c r="H3" s="25"/>
      <c r="I3" s="25"/>
      <c r="K3" s="7" t="s">
        <v>36</v>
      </c>
      <c r="L3" s="7" t="s">
        <v>38</v>
      </c>
      <c r="M3" s="7" t="s">
        <v>39</v>
      </c>
      <c r="N3" s="7" t="s">
        <v>40</v>
      </c>
      <c r="O3" s="7" t="s">
        <v>41</v>
      </c>
      <c r="P3" s="24"/>
      <c r="Q3" s="24"/>
      <c r="R3" s="24"/>
      <c r="S3" s="24"/>
      <c r="T3" s="24"/>
      <c r="V3" s="13" t="s">
        <v>43</v>
      </c>
      <c r="W3" s="13" t="s">
        <v>44</v>
      </c>
      <c r="X3" s="13" t="s">
        <v>45</v>
      </c>
      <c r="Y3" s="13" t="s">
        <v>181</v>
      </c>
      <c r="Z3" s="17" t="s">
        <v>102</v>
      </c>
      <c r="AA3" s="66"/>
      <c r="AB3" s="66"/>
      <c r="AC3" s="66"/>
      <c r="AD3" s="66"/>
      <c r="AE3" s="66"/>
      <c r="AF3" s="66"/>
      <c r="AG3" s="66"/>
      <c r="AH3" s="66"/>
      <c r="AI3" s="66"/>
      <c r="AJ3" s="66"/>
      <c r="AK3" s="66"/>
      <c r="AL3" s="66"/>
      <c r="AM3" s="66"/>
      <c r="AN3" s="66"/>
      <c r="AO3" s="66"/>
      <c r="AP3" s="66"/>
      <c r="AQ3" s="66"/>
      <c r="AR3" s="66"/>
      <c r="AS3" s="66"/>
      <c r="AT3" s="66"/>
      <c r="AV3" s="4">
        <v>360</v>
      </c>
      <c r="AW3" s="4">
        <v>560</v>
      </c>
      <c r="AX3" s="4">
        <v>475</v>
      </c>
      <c r="AZ3" s="4" t="s">
        <v>31</v>
      </c>
      <c r="BA3" s="4">
        <v>430</v>
      </c>
      <c r="BB3" s="4">
        <v>180</v>
      </c>
      <c r="BI3" s="394"/>
      <c r="BJ3" s="394"/>
      <c r="BK3" s="393"/>
      <c r="BL3" s="61" t="s">
        <v>242</v>
      </c>
      <c r="BM3" s="61" t="s">
        <v>243</v>
      </c>
      <c r="BN3" s="61" t="s">
        <v>244</v>
      </c>
      <c r="BO3" s="61" t="s">
        <v>245</v>
      </c>
      <c r="BP3" s="412" t="s">
        <v>214</v>
      </c>
      <c r="BQ3" s="67" t="s">
        <v>246</v>
      </c>
      <c r="CC3" s="411"/>
      <c r="CD3" s="62" t="s">
        <v>20</v>
      </c>
      <c r="CE3" s="62" t="s">
        <v>20</v>
      </c>
      <c r="CF3" s="62" t="s">
        <v>20</v>
      </c>
      <c r="CG3" s="62" t="s">
        <v>20</v>
      </c>
      <c r="CH3" s="62" t="s">
        <v>20</v>
      </c>
      <c r="CI3" s="62" t="s">
        <v>20</v>
      </c>
      <c r="CJ3" s="68" t="s">
        <v>20</v>
      </c>
      <c r="DA3" s="408"/>
      <c r="DB3" s="409"/>
      <c r="DC3" s="409"/>
      <c r="DD3" s="408"/>
      <c r="DE3" s="409"/>
      <c r="DF3" s="16" t="s">
        <v>77</v>
      </c>
      <c r="DG3" s="16">
        <v>1.05</v>
      </c>
      <c r="DH3" s="1" t="s">
        <v>83</v>
      </c>
      <c r="DI3" s="1" t="s">
        <v>90</v>
      </c>
      <c r="DJ3" s="1">
        <v>8</v>
      </c>
      <c r="DK3" s="1">
        <v>6</v>
      </c>
      <c r="DL3" s="1">
        <v>0.4</v>
      </c>
      <c r="DM3" s="1">
        <v>1.3</v>
      </c>
      <c r="DN3" s="1">
        <v>1.9</v>
      </c>
    </row>
    <row r="4" spans="1:118">
      <c r="A4" s="8" t="s">
        <v>24</v>
      </c>
      <c r="B4" s="3">
        <f t="shared" ref="B4:B33" si="0">2.06*10^5</f>
        <v>206000</v>
      </c>
      <c r="C4" s="3">
        <v>345</v>
      </c>
      <c r="D4" s="234">
        <v>510</v>
      </c>
      <c r="E4" s="235">
        <v>1.1000000000000001</v>
      </c>
      <c r="F4" s="25"/>
      <c r="G4" s="25"/>
      <c r="H4" s="25"/>
      <c r="I4" s="25"/>
      <c r="K4" s="7">
        <v>5.6</v>
      </c>
      <c r="L4" s="7">
        <v>500</v>
      </c>
      <c r="M4" s="7">
        <v>300</v>
      </c>
      <c r="N4" s="7">
        <v>210</v>
      </c>
      <c r="O4" s="7">
        <v>225</v>
      </c>
      <c r="P4" s="24"/>
      <c r="Q4" s="24"/>
      <c r="R4" s="24"/>
      <c r="S4" s="24"/>
      <c r="T4" s="24"/>
      <c r="V4" s="14">
        <v>10</v>
      </c>
      <c r="W4" s="4">
        <v>1.5</v>
      </c>
      <c r="X4" s="5">
        <v>78.5</v>
      </c>
      <c r="Y4" s="4">
        <v>57.1</v>
      </c>
      <c r="Z4" s="4">
        <v>1</v>
      </c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V4" s="4">
        <v>370</v>
      </c>
      <c r="AW4" s="4">
        <v>580</v>
      </c>
      <c r="AX4" s="4">
        <v>485</v>
      </c>
      <c r="AZ4" s="4" t="s">
        <v>32</v>
      </c>
      <c r="BA4" s="4">
        <v>510</v>
      </c>
      <c r="BB4" s="4">
        <v>225</v>
      </c>
      <c r="BI4" s="394"/>
      <c r="BJ4" s="394"/>
      <c r="BK4" s="61" t="s">
        <v>20</v>
      </c>
      <c r="BL4" s="61" t="s">
        <v>20</v>
      </c>
      <c r="BM4" s="61" t="s">
        <v>20</v>
      </c>
      <c r="BN4" s="61" t="s">
        <v>20</v>
      </c>
      <c r="BO4" s="61" t="s">
        <v>20</v>
      </c>
      <c r="BP4" s="413"/>
      <c r="BQ4" s="61" t="s">
        <v>20</v>
      </c>
      <c r="CC4" s="91" t="s">
        <v>247</v>
      </c>
      <c r="CD4" s="92">
        <v>235</v>
      </c>
      <c r="CE4" s="92">
        <v>373</v>
      </c>
      <c r="CF4" s="91">
        <f>CD4</f>
        <v>235</v>
      </c>
      <c r="CG4" s="91">
        <f>CF4/1.15</f>
        <v>204.34782608695653</v>
      </c>
      <c r="CH4" s="91">
        <f>CF4</f>
        <v>235</v>
      </c>
      <c r="CI4" s="91">
        <f>0.7*CD4</f>
        <v>164.5</v>
      </c>
      <c r="CJ4" s="93">
        <v>200000</v>
      </c>
      <c r="DA4" s="88" t="s">
        <v>299</v>
      </c>
      <c r="DB4" s="88" t="s">
        <v>300</v>
      </c>
      <c r="DC4" s="88" t="s">
        <v>303</v>
      </c>
      <c r="DD4" s="88" t="s">
        <v>299</v>
      </c>
      <c r="DE4" s="88" t="s">
        <v>301</v>
      </c>
      <c r="DF4" s="16" t="s">
        <v>78</v>
      </c>
      <c r="DG4" s="16">
        <v>1.18</v>
      </c>
      <c r="DH4" s="1" t="s">
        <v>84</v>
      </c>
      <c r="DI4" s="1" t="s">
        <v>91</v>
      </c>
      <c r="DJ4" s="1">
        <v>10</v>
      </c>
      <c r="DK4" s="1">
        <v>6</v>
      </c>
      <c r="DL4" s="1">
        <v>0.25</v>
      </c>
      <c r="DM4" s="1">
        <v>1.5</v>
      </c>
      <c r="DN4" s="1">
        <v>1.5</v>
      </c>
    </row>
    <row r="5" spans="1:118" ht="15.6">
      <c r="A5" s="8" t="s">
        <v>425</v>
      </c>
      <c r="B5" s="3">
        <f t="shared" si="0"/>
        <v>206000</v>
      </c>
      <c r="C5" s="3">
        <v>355</v>
      </c>
      <c r="D5" s="234">
        <v>510</v>
      </c>
      <c r="E5" s="235">
        <v>1.1000000000000001</v>
      </c>
      <c r="F5" s="25"/>
      <c r="G5" s="25"/>
      <c r="H5" s="25"/>
      <c r="I5" s="25"/>
      <c r="K5" s="7">
        <v>5.8</v>
      </c>
      <c r="L5" s="7">
        <v>500</v>
      </c>
      <c r="M5" s="7">
        <v>400</v>
      </c>
      <c r="N5" s="7">
        <v>210</v>
      </c>
      <c r="O5" s="7">
        <v>210</v>
      </c>
      <c r="P5" s="24"/>
      <c r="Q5" s="24"/>
      <c r="R5" s="24"/>
      <c r="S5" s="24"/>
      <c r="T5" s="24"/>
      <c r="V5" s="14">
        <v>12</v>
      </c>
      <c r="W5" s="4">
        <v>1.5</v>
      </c>
      <c r="X5" s="5">
        <v>113</v>
      </c>
      <c r="Y5" s="4">
        <v>84.2</v>
      </c>
      <c r="Z5" s="4">
        <v>1</v>
      </c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V5" s="4">
        <v>380</v>
      </c>
      <c r="AW5" s="4">
        <v>590</v>
      </c>
      <c r="AX5" s="4">
        <v>500</v>
      </c>
      <c r="AZ5" s="4" t="s">
        <v>167</v>
      </c>
      <c r="BA5" s="4">
        <v>410</v>
      </c>
      <c r="BB5" s="4">
        <v>180</v>
      </c>
      <c r="BI5" s="69" t="s">
        <v>248</v>
      </c>
      <c r="BJ5" s="70" t="s">
        <v>249</v>
      </c>
      <c r="BK5" s="71">
        <v>19000</v>
      </c>
      <c r="BL5" s="72">
        <v>7.5</v>
      </c>
      <c r="BM5" s="72">
        <v>6</v>
      </c>
      <c r="BN5" s="73">
        <v>0.85</v>
      </c>
      <c r="BO5" s="74">
        <v>0.56000000000000005</v>
      </c>
      <c r="BP5" s="16"/>
      <c r="BQ5" s="16"/>
      <c r="CC5" s="91" t="s">
        <v>250</v>
      </c>
      <c r="CD5" s="92">
        <v>295</v>
      </c>
      <c r="CE5" s="92">
        <v>490</v>
      </c>
      <c r="CF5" s="91">
        <f t="shared" ref="CF5:CF19" si="1">CD5</f>
        <v>295</v>
      </c>
      <c r="CG5" s="91">
        <f t="shared" ref="CG5:CG19" si="2">CF5/1.15</f>
        <v>256.52173913043481</v>
      </c>
      <c r="CH5" s="91">
        <f t="shared" ref="CH5:CH19" si="3">CF5</f>
        <v>295</v>
      </c>
      <c r="CI5" s="91">
        <f t="shared" ref="CI5:CI19" si="4">0.7*CD5</f>
        <v>206.5</v>
      </c>
      <c r="CJ5" s="93">
        <v>200000</v>
      </c>
      <c r="DA5" s="88">
        <v>0</v>
      </c>
      <c r="DB5" s="88">
        <v>4.8000000000000001E-2</v>
      </c>
      <c r="DC5" s="88">
        <v>4.8000000000000001E-2</v>
      </c>
      <c r="DD5" s="96">
        <v>0</v>
      </c>
      <c r="DE5" s="88">
        <v>4.8000000000000001E-2</v>
      </c>
      <c r="DF5" s="16" t="s">
        <v>79</v>
      </c>
      <c r="DG5" s="16">
        <v>1.1499999999999999</v>
      </c>
      <c r="DH5" s="1" t="s">
        <v>85</v>
      </c>
      <c r="DI5" s="1" t="s">
        <v>92</v>
      </c>
      <c r="DJ5" s="1">
        <v>5</v>
      </c>
      <c r="DK5" s="1">
        <v>5</v>
      </c>
      <c r="DL5" s="1">
        <v>0.6</v>
      </c>
      <c r="DM5" s="1">
        <v>2</v>
      </c>
      <c r="DN5" s="1">
        <v>2.5</v>
      </c>
    </row>
    <row r="6" spans="1:118" ht="14.4">
      <c r="A6" s="8" t="s">
        <v>26</v>
      </c>
      <c r="B6" s="3">
        <f t="shared" si="0"/>
        <v>206000</v>
      </c>
      <c r="C6" s="3">
        <v>250</v>
      </c>
      <c r="D6" s="234">
        <v>400</v>
      </c>
      <c r="E6" s="235">
        <v>1.1000000000000001</v>
      </c>
      <c r="F6" s="25"/>
      <c r="G6" s="25"/>
      <c r="H6" s="25"/>
      <c r="I6" s="25"/>
      <c r="K6" s="7">
        <v>8.8000000000000007</v>
      </c>
      <c r="L6" s="7">
        <v>830</v>
      </c>
      <c r="M6" s="7">
        <v>660</v>
      </c>
      <c r="N6" s="7">
        <v>332</v>
      </c>
      <c r="O6" s="7">
        <v>448</v>
      </c>
      <c r="P6" s="24"/>
      <c r="Q6" s="24"/>
      <c r="R6" s="24"/>
      <c r="S6" s="24"/>
      <c r="T6" s="24"/>
      <c r="V6" s="14">
        <v>16</v>
      </c>
      <c r="W6" s="4">
        <v>2</v>
      </c>
      <c r="X6" s="5">
        <f t="shared" ref="X6:X15" si="5">PI()*V6^2/4</f>
        <v>201.06192982974676</v>
      </c>
      <c r="Y6" s="4">
        <v>157</v>
      </c>
      <c r="Z6" s="4">
        <v>1</v>
      </c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V6" s="4">
        <v>390</v>
      </c>
      <c r="AW6" s="4">
        <v>610</v>
      </c>
      <c r="AX6" s="4">
        <v>515</v>
      </c>
      <c r="AZ6" s="4" t="s">
        <v>168</v>
      </c>
      <c r="BA6" s="4">
        <v>450</v>
      </c>
      <c r="BB6" s="4">
        <v>200</v>
      </c>
      <c r="BI6" s="75" t="s">
        <v>251</v>
      </c>
      <c r="BJ6" s="15" t="s">
        <v>252</v>
      </c>
      <c r="BK6" s="76">
        <v>24000</v>
      </c>
      <c r="BL6" s="77">
        <v>11</v>
      </c>
      <c r="BM6" s="77">
        <v>8.5</v>
      </c>
      <c r="BN6" s="78">
        <v>1.1000000000000001</v>
      </c>
      <c r="BO6" s="79">
        <v>0.75</v>
      </c>
      <c r="BP6" s="16" t="s">
        <v>253</v>
      </c>
      <c r="BQ6" s="16">
        <f>VALUE(MID(BP6,2,2))</f>
        <v>12</v>
      </c>
      <c r="CC6" s="91" t="s">
        <v>254</v>
      </c>
      <c r="CD6" s="92">
        <v>390</v>
      </c>
      <c r="CE6" s="92">
        <v>590</v>
      </c>
      <c r="CF6" s="91">
        <f t="shared" si="1"/>
        <v>390</v>
      </c>
      <c r="CG6" s="91">
        <f t="shared" si="2"/>
        <v>339.13043478260875</v>
      </c>
      <c r="CH6" s="91">
        <f t="shared" si="3"/>
        <v>390</v>
      </c>
      <c r="CI6" s="91">
        <f t="shared" si="4"/>
        <v>273</v>
      </c>
      <c r="CJ6" s="93">
        <v>200000</v>
      </c>
      <c r="DA6" s="88">
        <v>1</v>
      </c>
      <c r="DB6" s="88">
        <v>4.8000000000000001E-2</v>
      </c>
      <c r="DC6" s="88">
        <v>4.8000000000000001E-2</v>
      </c>
      <c r="DD6" s="97">
        <v>0.5</v>
      </c>
      <c r="DE6" s="88">
        <v>4.8000000000000001E-2</v>
      </c>
      <c r="DH6" s="1" t="s">
        <v>99</v>
      </c>
      <c r="DI6" s="1" t="s">
        <v>92</v>
      </c>
      <c r="DJ6" s="1">
        <v>8</v>
      </c>
      <c r="DK6" s="1">
        <v>8</v>
      </c>
      <c r="DL6" s="1">
        <v>0.55000000000000004</v>
      </c>
      <c r="DM6" s="1">
        <v>1.8</v>
      </c>
      <c r="DN6" s="1">
        <v>2.2999999999999998</v>
      </c>
    </row>
    <row r="7" spans="1:118" ht="14.4">
      <c r="A7" s="8" t="s">
        <v>25</v>
      </c>
      <c r="B7" s="3">
        <f t="shared" si="0"/>
        <v>206000</v>
      </c>
      <c r="C7" s="3">
        <v>345</v>
      </c>
      <c r="D7" s="234">
        <v>450</v>
      </c>
      <c r="E7" s="235">
        <v>1.1000000000000001</v>
      </c>
      <c r="F7" s="25"/>
      <c r="G7" s="25"/>
      <c r="H7" s="25"/>
      <c r="I7" s="25"/>
      <c r="K7" s="7">
        <v>10.9</v>
      </c>
      <c r="L7" s="7">
        <v>1040</v>
      </c>
      <c r="M7" s="7">
        <v>940</v>
      </c>
      <c r="N7" s="7">
        <v>416</v>
      </c>
      <c r="O7" s="7">
        <v>728</v>
      </c>
      <c r="P7" s="24"/>
      <c r="Q7" s="24"/>
      <c r="R7" s="24"/>
      <c r="S7" s="24"/>
      <c r="T7" s="24"/>
      <c r="V7" s="14">
        <v>18</v>
      </c>
      <c r="W7" s="4">
        <v>2.5</v>
      </c>
      <c r="X7" s="5">
        <f t="shared" si="5"/>
        <v>254.46900494077323</v>
      </c>
      <c r="Y7" s="4">
        <v>192</v>
      </c>
      <c r="Z7" s="4">
        <v>1.05</v>
      </c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V7" s="4">
        <v>430</v>
      </c>
      <c r="AW7" s="4">
        <v>670</v>
      </c>
      <c r="AX7" s="4">
        <v>565</v>
      </c>
      <c r="AZ7" s="4" t="s">
        <v>169</v>
      </c>
      <c r="BA7" s="4">
        <v>490</v>
      </c>
      <c r="BB7" s="4">
        <v>215</v>
      </c>
      <c r="BI7" s="75" t="s">
        <v>255</v>
      </c>
      <c r="BJ7" s="15" t="s">
        <v>65</v>
      </c>
      <c r="BK7" s="76">
        <v>27500</v>
      </c>
      <c r="BL7" s="77">
        <v>15</v>
      </c>
      <c r="BM7" s="77">
        <v>11.5</v>
      </c>
      <c r="BN7" s="78">
        <v>1.35</v>
      </c>
      <c r="BO7" s="79">
        <v>0.9</v>
      </c>
      <c r="BP7" s="16" t="s">
        <v>256</v>
      </c>
      <c r="BQ7" s="16">
        <f t="shared" ref="BQ7" si="6">VALUE(MID(BP7,2,2))</f>
        <v>16</v>
      </c>
      <c r="CC7" s="91" t="s">
        <v>257</v>
      </c>
      <c r="CD7" s="92">
        <v>235</v>
      </c>
      <c r="CE7" s="92">
        <v>373</v>
      </c>
      <c r="CF7" s="91">
        <f t="shared" si="1"/>
        <v>235</v>
      </c>
      <c r="CG7" s="91">
        <f t="shared" si="2"/>
        <v>204.34782608695653</v>
      </c>
      <c r="CH7" s="91">
        <f t="shared" si="3"/>
        <v>235</v>
      </c>
      <c r="CI7" s="91">
        <f t="shared" si="4"/>
        <v>164.5</v>
      </c>
      <c r="CJ7" s="94">
        <v>200000</v>
      </c>
      <c r="DA7" s="88">
        <f>DA6+0.1</f>
        <v>1.1000000000000001</v>
      </c>
      <c r="DB7" s="88">
        <v>5.5E-2</v>
      </c>
      <c r="DC7" s="88">
        <v>4.9000000000000002E-2</v>
      </c>
      <c r="DD7" s="97">
        <f>DD6+0.1</f>
        <v>0.6</v>
      </c>
      <c r="DE7" s="88">
        <v>5.5E-2</v>
      </c>
      <c r="DH7" s="1" t="s">
        <v>86</v>
      </c>
      <c r="DI7" s="1">
        <v>8</v>
      </c>
      <c r="DJ7" s="1">
        <v>8</v>
      </c>
      <c r="DK7" s="1">
        <v>8</v>
      </c>
      <c r="DL7" s="1">
        <v>0.55000000000000004</v>
      </c>
      <c r="DM7" s="1">
        <v>1.8</v>
      </c>
      <c r="DN7" s="1">
        <v>2.2999999999999998</v>
      </c>
    </row>
    <row r="8" spans="1:118" ht="14.4">
      <c r="A8" s="8" t="s">
        <v>4</v>
      </c>
      <c r="B8" s="3">
        <f t="shared" si="0"/>
        <v>206000</v>
      </c>
      <c r="C8" s="3">
        <v>235</v>
      </c>
      <c r="D8" s="234">
        <v>360</v>
      </c>
      <c r="E8" s="235">
        <v>1.05</v>
      </c>
      <c r="F8" s="25"/>
      <c r="G8" s="25"/>
      <c r="H8" s="25"/>
      <c r="I8" s="25"/>
      <c r="K8" s="7">
        <v>12.9</v>
      </c>
      <c r="L8" s="7">
        <v>1220</v>
      </c>
      <c r="M8" s="7">
        <v>1100</v>
      </c>
      <c r="N8" s="7">
        <v>427</v>
      </c>
      <c r="O8" s="7">
        <v>854</v>
      </c>
      <c r="P8" s="24"/>
      <c r="Q8" s="24"/>
      <c r="R8" s="24"/>
      <c r="S8" s="24"/>
      <c r="T8" s="24"/>
      <c r="V8" s="14">
        <v>20</v>
      </c>
      <c r="W8" s="4">
        <v>2.5</v>
      </c>
      <c r="X8" s="5">
        <f t="shared" si="5"/>
        <v>314.15926535897933</v>
      </c>
      <c r="Y8" s="4">
        <v>245</v>
      </c>
      <c r="Z8" s="4">
        <v>1.1000000000000001</v>
      </c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V8" s="4">
        <v>440</v>
      </c>
      <c r="AW8" s="4">
        <v>685</v>
      </c>
      <c r="AX8" s="4">
        <v>580</v>
      </c>
      <c r="BI8" s="75" t="s">
        <v>375</v>
      </c>
      <c r="BJ8" s="15" t="s">
        <v>376</v>
      </c>
      <c r="BK8" s="76">
        <f>(BK7+BK9)/2</f>
        <v>28750</v>
      </c>
      <c r="BL8" s="77">
        <f t="shared" ref="BL8:BO8" si="7">(BL7+BL9)/2</f>
        <v>16.75</v>
      </c>
      <c r="BM8" s="77">
        <f>(BM7+BM9)/2</f>
        <v>13</v>
      </c>
      <c r="BN8" s="77">
        <f t="shared" si="7"/>
        <v>1.4500000000000002</v>
      </c>
      <c r="BO8" s="77">
        <f t="shared" si="7"/>
        <v>0.97500000000000009</v>
      </c>
      <c r="BP8" s="16" t="s">
        <v>377</v>
      </c>
      <c r="BQ8" s="16">
        <v>18</v>
      </c>
      <c r="CC8" s="91" t="s">
        <v>260</v>
      </c>
      <c r="CD8" s="92">
        <v>295</v>
      </c>
      <c r="CE8" s="92">
        <v>490</v>
      </c>
      <c r="CF8" s="91">
        <f t="shared" si="1"/>
        <v>295</v>
      </c>
      <c r="CG8" s="91">
        <f t="shared" si="2"/>
        <v>256.52173913043481</v>
      </c>
      <c r="CH8" s="91">
        <f t="shared" si="3"/>
        <v>295</v>
      </c>
      <c r="CI8" s="91">
        <f t="shared" si="4"/>
        <v>206.5</v>
      </c>
      <c r="CJ8" s="94">
        <v>200000</v>
      </c>
      <c r="DA8" s="88">
        <f t="shared" ref="DA8:DA16" si="8">DA7+0.1</f>
        <v>1.2000000000000002</v>
      </c>
      <c r="DB8" s="88">
        <v>6.3E-2</v>
      </c>
      <c r="DC8" s="88">
        <v>0.05</v>
      </c>
      <c r="DD8" s="97">
        <f>DD7+0.1</f>
        <v>0.7</v>
      </c>
      <c r="DE8" s="88">
        <v>6.3E-2</v>
      </c>
    </row>
    <row r="9" spans="1:118" ht="14.4">
      <c r="A9" s="8" t="s">
        <v>3</v>
      </c>
      <c r="B9" s="3">
        <f t="shared" si="0"/>
        <v>206000</v>
      </c>
      <c r="C9" s="3">
        <v>225</v>
      </c>
      <c r="D9" s="234">
        <v>360</v>
      </c>
      <c r="E9" s="235">
        <v>1.05</v>
      </c>
      <c r="F9" s="25"/>
      <c r="G9" s="25"/>
      <c r="H9" s="25"/>
      <c r="I9" s="25"/>
      <c r="V9" s="14">
        <v>22</v>
      </c>
      <c r="W9" s="4">
        <v>2.5</v>
      </c>
      <c r="X9" s="5">
        <f t="shared" si="5"/>
        <v>380.13271108436498</v>
      </c>
      <c r="Y9" s="4">
        <v>303</v>
      </c>
      <c r="Z9" s="4">
        <v>1.1000000000000001</v>
      </c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V9" s="4">
        <v>450</v>
      </c>
      <c r="AW9" s="4">
        <v>700</v>
      </c>
      <c r="AX9" s="4">
        <v>595</v>
      </c>
      <c r="BI9" s="75" t="s">
        <v>258</v>
      </c>
      <c r="BJ9" s="15" t="s">
        <v>66</v>
      </c>
      <c r="BK9" s="76">
        <v>30000</v>
      </c>
      <c r="BL9" s="77">
        <v>18.5</v>
      </c>
      <c r="BM9" s="77">
        <v>14.5</v>
      </c>
      <c r="BN9" s="78">
        <v>1.55</v>
      </c>
      <c r="BO9" s="79">
        <v>1.05</v>
      </c>
      <c r="BP9" s="16" t="s">
        <v>259</v>
      </c>
      <c r="BQ9" s="16">
        <f t="shared" ref="BQ9:BQ16" si="9">VALUE(MID(BP9,2,2))</f>
        <v>20</v>
      </c>
      <c r="CC9" s="91" t="s">
        <v>263</v>
      </c>
      <c r="CD9" s="92">
        <v>390</v>
      </c>
      <c r="CE9" s="92">
        <v>590</v>
      </c>
      <c r="CF9" s="91">
        <f t="shared" si="1"/>
        <v>390</v>
      </c>
      <c r="CG9" s="91">
        <f t="shared" si="2"/>
        <v>339.13043478260875</v>
      </c>
      <c r="CH9" s="91">
        <f t="shared" si="3"/>
        <v>390</v>
      </c>
      <c r="CI9" s="91">
        <f t="shared" si="4"/>
        <v>273</v>
      </c>
      <c r="CJ9" s="94">
        <v>200000</v>
      </c>
      <c r="DA9" s="88">
        <f t="shared" si="8"/>
        <v>1.3000000000000003</v>
      </c>
      <c r="DB9" s="88">
        <v>6.9000000000000006E-2</v>
      </c>
      <c r="DC9" s="88">
        <v>0.05</v>
      </c>
      <c r="DD9" s="97">
        <f>DD8+0.1</f>
        <v>0.79999999999999993</v>
      </c>
      <c r="DE9" s="88">
        <v>6.9000000000000006E-2</v>
      </c>
    </row>
    <row r="10" spans="1:118" ht="14.4">
      <c r="A10" s="8" t="s">
        <v>5</v>
      </c>
      <c r="B10" s="3">
        <f t="shared" si="0"/>
        <v>206000</v>
      </c>
      <c r="C10" s="3">
        <v>215</v>
      </c>
      <c r="D10" s="234">
        <v>360</v>
      </c>
      <c r="E10" s="235">
        <v>1.05</v>
      </c>
      <c r="F10" s="25"/>
      <c r="G10" s="25"/>
      <c r="H10" s="25"/>
      <c r="I10" s="25"/>
      <c r="V10" s="14">
        <v>24</v>
      </c>
      <c r="W10" s="4">
        <v>3</v>
      </c>
      <c r="X10" s="5">
        <f t="shared" si="5"/>
        <v>452.38934211693021</v>
      </c>
      <c r="Y10" s="4">
        <v>353</v>
      </c>
      <c r="Z10" s="4">
        <v>1.1000000000000001</v>
      </c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V10" s="4">
        <v>460</v>
      </c>
      <c r="AW10" s="4">
        <v>720</v>
      </c>
      <c r="AX10" s="4">
        <v>605</v>
      </c>
      <c r="BI10" s="75" t="s">
        <v>261</v>
      </c>
      <c r="BJ10" s="15" t="s">
        <v>67</v>
      </c>
      <c r="BK10" s="76">
        <v>32500</v>
      </c>
      <c r="BL10" s="77">
        <v>22</v>
      </c>
      <c r="BM10" s="77">
        <v>17</v>
      </c>
      <c r="BN10" s="78">
        <v>1.75</v>
      </c>
      <c r="BO10" s="79">
        <v>1.1499999999999999</v>
      </c>
      <c r="BP10" s="16" t="s">
        <v>262</v>
      </c>
      <c r="BQ10" s="16">
        <f t="shared" si="9"/>
        <v>25</v>
      </c>
      <c r="CC10" s="91" t="s">
        <v>266</v>
      </c>
      <c r="CD10" s="92">
        <v>240</v>
      </c>
      <c r="CE10" s="92">
        <v>380</v>
      </c>
      <c r="CF10" s="91">
        <f t="shared" si="1"/>
        <v>240</v>
      </c>
      <c r="CG10" s="91">
        <f>CD10/1.15</f>
        <v>208.69565217391306</v>
      </c>
      <c r="CH10" s="91">
        <f t="shared" si="3"/>
        <v>240</v>
      </c>
      <c r="CI10" s="91">
        <v>170</v>
      </c>
      <c r="CJ10" s="93">
        <v>200000</v>
      </c>
      <c r="DA10" s="88">
        <f t="shared" si="8"/>
        <v>1.4000000000000004</v>
      </c>
      <c r="DB10" s="88">
        <v>7.4999999999999997E-2</v>
      </c>
      <c r="DC10" s="88">
        <v>0.05</v>
      </c>
      <c r="DD10" s="97">
        <f>DD9+0.1</f>
        <v>0.89999999999999991</v>
      </c>
      <c r="DE10" s="88">
        <v>7.4999999999999997E-2</v>
      </c>
    </row>
    <row r="11" spans="1:118" ht="14.4">
      <c r="A11" s="8" t="s">
        <v>6</v>
      </c>
      <c r="B11" s="3">
        <f t="shared" si="0"/>
        <v>206000</v>
      </c>
      <c r="C11" s="3">
        <v>215</v>
      </c>
      <c r="D11" s="234">
        <v>360</v>
      </c>
      <c r="E11" s="235">
        <v>1.05</v>
      </c>
      <c r="F11" s="25"/>
      <c r="G11" s="25"/>
      <c r="H11" s="25"/>
      <c r="I11" s="25"/>
      <c r="V11" s="14">
        <v>27</v>
      </c>
      <c r="W11" s="4">
        <v>3</v>
      </c>
      <c r="X11" s="5">
        <f t="shared" si="5"/>
        <v>572.55526111673976</v>
      </c>
      <c r="Y11" s="4">
        <v>459</v>
      </c>
      <c r="Z11" s="4">
        <v>1.2</v>
      </c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V11" s="4">
        <v>470</v>
      </c>
      <c r="AW11" s="4">
        <v>735</v>
      </c>
      <c r="AX11" s="4">
        <v>620</v>
      </c>
      <c r="BI11" s="75" t="s">
        <v>264</v>
      </c>
      <c r="BJ11" s="15" t="s">
        <v>68</v>
      </c>
      <c r="BK11" s="76">
        <v>34500</v>
      </c>
      <c r="BL11" s="77">
        <v>25.5</v>
      </c>
      <c r="BM11" s="77">
        <v>19.5</v>
      </c>
      <c r="BN11" s="78">
        <v>1.95</v>
      </c>
      <c r="BO11" s="79">
        <v>1.3</v>
      </c>
      <c r="BP11" s="16" t="s">
        <v>265</v>
      </c>
      <c r="BQ11" s="16">
        <f t="shared" si="9"/>
        <v>28</v>
      </c>
      <c r="CC11" s="91" t="s">
        <v>269</v>
      </c>
      <c r="CD11" s="92">
        <v>300</v>
      </c>
      <c r="CE11" s="92">
        <v>440</v>
      </c>
      <c r="CF11" s="91">
        <f t="shared" si="1"/>
        <v>300</v>
      </c>
      <c r="CG11" s="91">
        <f t="shared" ref="CG11:CG14" si="10">CD11/1.15</f>
        <v>260.86956521739131</v>
      </c>
      <c r="CH11" s="91">
        <f t="shared" si="3"/>
        <v>300</v>
      </c>
      <c r="CI11" s="91">
        <v>210</v>
      </c>
      <c r="CJ11" s="93">
        <v>200000</v>
      </c>
      <c r="DA11" s="88">
        <f t="shared" si="8"/>
        <v>1.5000000000000004</v>
      </c>
      <c r="DB11" s="88">
        <v>8.1000000000000003E-2</v>
      </c>
      <c r="DC11" s="88">
        <v>0.05</v>
      </c>
      <c r="DD11" s="97">
        <f>DD10+0.1</f>
        <v>0.99999999999999989</v>
      </c>
      <c r="DE11" s="88">
        <v>8.1000000000000003E-2</v>
      </c>
    </row>
    <row r="12" spans="1:118" ht="14.4">
      <c r="A12" s="8" t="s">
        <v>7</v>
      </c>
      <c r="B12" s="3">
        <f t="shared" si="0"/>
        <v>206000</v>
      </c>
      <c r="C12" s="3">
        <v>215</v>
      </c>
      <c r="D12" s="234">
        <v>360</v>
      </c>
      <c r="E12" s="235">
        <v>1.05</v>
      </c>
      <c r="F12" s="25"/>
      <c r="G12" s="25"/>
      <c r="H12" s="25"/>
      <c r="I12" s="25"/>
      <c r="V12" s="14">
        <v>30</v>
      </c>
      <c r="W12" s="4">
        <v>3.5</v>
      </c>
      <c r="X12" s="5">
        <f t="shared" si="5"/>
        <v>706.85834705770344</v>
      </c>
      <c r="Y12" s="4">
        <v>561</v>
      </c>
      <c r="Z12" s="4">
        <v>1.3</v>
      </c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V12" s="4">
        <v>480</v>
      </c>
      <c r="AW12" s="4">
        <v>750</v>
      </c>
      <c r="AX12" s="4">
        <v>630</v>
      </c>
      <c r="BI12" s="75" t="s">
        <v>267</v>
      </c>
      <c r="BJ12" s="15" t="s">
        <v>69</v>
      </c>
      <c r="BK12" s="76">
        <v>36000</v>
      </c>
      <c r="BL12" s="77">
        <v>29</v>
      </c>
      <c r="BM12" s="77">
        <v>22</v>
      </c>
      <c r="BN12" s="78">
        <v>2.1</v>
      </c>
      <c r="BO12" s="79">
        <v>1.4</v>
      </c>
      <c r="BP12" s="16" t="s">
        <v>268</v>
      </c>
      <c r="BQ12" s="16">
        <f t="shared" si="9"/>
        <v>32</v>
      </c>
      <c r="CC12" s="91" t="s">
        <v>273</v>
      </c>
      <c r="CD12" s="92">
        <v>300</v>
      </c>
      <c r="CE12" s="92">
        <v>450</v>
      </c>
      <c r="CF12" s="91">
        <f t="shared" si="1"/>
        <v>300</v>
      </c>
      <c r="CG12" s="91">
        <f t="shared" si="10"/>
        <v>260.86956521739131</v>
      </c>
      <c r="CH12" s="91">
        <f t="shared" si="3"/>
        <v>300</v>
      </c>
      <c r="CI12" s="91">
        <v>210</v>
      </c>
      <c r="CJ12" s="93">
        <v>200000</v>
      </c>
      <c r="DA12" s="88">
        <f t="shared" si="8"/>
        <v>1.6000000000000005</v>
      </c>
      <c r="DB12" s="88">
        <v>8.5999999999999993E-2</v>
      </c>
      <c r="DC12" s="88">
        <v>4.9000000000000002E-2</v>
      </c>
      <c r="DD12" s="97">
        <v>1.2</v>
      </c>
      <c r="DE12" s="88">
        <v>8.5999999999999993E-2</v>
      </c>
    </row>
    <row r="13" spans="1:118" ht="14.4">
      <c r="A13" s="8" t="s">
        <v>8</v>
      </c>
      <c r="B13" s="3">
        <f t="shared" si="0"/>
        <v>206000</v>
      </c>
      <c r="C13" s="3">
        <v>275</v>
      </c>
      <c r="D13" s="234">
        <v>410</v>
      </c>
      <c r="E13" s="235">
        <v>1.05</v>
      </c>
      <c r="F13" s="25"/>
      <c r="G13" s="25"/>
      <c r="H13" s="25"/>
      <c r="I13" s="25"/>
      <c r="V13" s="14">
        <v>36</v>
      </c>
      <c r="W13" s="4">
        <v>4</v>
      </c>
      <c r="X13" s="5">
        <f t="shared" si="5"/>
        <v>1017.8760197630929</v>
      </c>
      <c r="Y13" s="4">
        <v>816</v>
      </c>
      <c r="Z13" s="4">
        <v>1.3</v>
      </c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V13" s="4">
        <v>490</v>
      </c>
      <c r="AW13" s="4">
        <v>765</v>
      </c>
      <c r="AX13" s="4">
        <v>645</v>
      </c>
      <c r="BI13" s="75" t="s">
        <v>270</v>
      </c>
      <c r="BJ13" s="15" t="s">
        <v>271</v>
      </c>
      <c r="BK13" s="76">
        <v>37000</v>
      </c>
      <c r="BL13" s="77">
        <v>32</v>
      </c>
      <c r="BM13" s="77">
        <v>25</v>
      </c>
      <c r="BN13" s="78">
        <v>2.25</v>
      </c>
      <c r="BO13" s="79">
        <v>1.5</v>
      </c>
      <c r="BP13" s="16" t="s">
        <v>272</v>
      </c>
      <c r="BQ13" s="16">
        <f t="shared" si="9"/>
        <v>35</v>
      </c>
      <c r="CC13" s="91" t="s">
        <v>277</v>
      </c>
      <c r="CD13" s="92">
        <v>400</v>
      </c>
      <c r="CE13" s="92">
        <v>570</v>
      </c>
      <c r="CF13" s="91">
        <f t="shared" si="1"/>
        <v>400</v>
      </c>
      <c r="CG13" s="91">
        <f t="shared" si="10"/>
        <v>347.82608695652175</v>
      </c>
      <c r="CH13" s="91">
        <f t="shared" si="3"/>
        <v>400</v>
      </c>
      <c r="CI13" s="91">
        <v>280</v>
      </c>
      <c r="CJ13" s="93">
        <v>200000</v>
      </c>
      <c r="DA13" s="88">
        <f t="shared" si="8"/>
        <v>1.7000000000000006</v>
      </c>
      <c r="DB13" s="88">
        <v>9.0999999999999998E-2</v>
      </c>
      <c r="DC13" s="88">
        <v>4.8000000000000001E-2</v>
      </c>
      <c r="DD13" s="97">
        <v>1.4</v>
      </c>
      <c r="DE13" s="88">
        <v>9.0999999999999998E-2</v>
      </c>
    </row>
    <row r="14" spans="1:118" ht="14.4">
      <c r="A14" s="8" t="s">
        <v>9</v>
      </c>
      <c r="B14" s="3">
        <f t="shared" si="0"/>
        <v>206000</v>
      </c>
      <c r="C14" s="3">
        <v>265</v>
      </c>
      <c r="D14" s="234">
        <v>410</v>
      </c>
      <c r="E14" s="235">
        <v>1.05</v>
      </c>
      <c r="F14" s="25"/>
      <c r="G14" s="25"/>
      <c r="H14" s="25"/>
      <c r="I14" s="25"/>
      <c r="V14" s="14">
        <v>42</v>
      </c>
      <c r="W14" s="4">
        <v>4.5</v>
      </c>
      <c r="X14" s="5">
        <f t="shared" si="5"/>
        <v>1385.4423602330987</v>
      </c>
      <c r="Y14" s="4">
        <v>1120</v>
      </c>
      <c r="Z14" s="4">
        <v>1.6</v>
      </c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V14" s="4">
        <v>510</v>
      </c>
      <c r="AW14" s="4">
        <v>795</v>
      </c>
      <c r="AX14" s="4">
        <v>670</v>
      </c>
      <c r="BI14" s="75" t="s">
        <v>274</v>
      </c>
      <c r="BJ14" s="15" t="s">
        <v>275</v>
      </c>
      <c r="BK14" s="76">
        <v>38000</v>
      </c>
      <c r="BL14" s="77">
        <v>36</v>
      </c>
      <c r="BM14" s="77">
        <v>27.5</v>
      </c>
      <c r="BN14" s="78">
        <v>2.4500000000000002</v>
      </c>
      <c r="BO14" s="79">
        <v>1.6</v>
      </c>
      <c r="BP14" s="16" t="s">
        <v>276</v>
      </c>
      <c r="BQ14" s="16">
        <f t="shared" si="9"/>
        <v>40</v>
      </c>
      <c r="CC14" s="91" t="s">
        <v>280</v>
      </c>
      <c r="CD14" s="92">
        <v>500</v>
      </c>
      <c r="CE14" s="92">
        <v>650</v>
      </c>
      <c r="CF14" s="91">
        <f t="shared" si="1"/>
        <v>500</v>
      </c>
      <c r="CG14" s="91">
        <f t="shared" si="10"/>
        <v>434.78260869565219</v>
      </c>
      <c r="CH14" s="91">
        <f t="shared" si="3"/>
        <v>500</v>
      </c>
      <c r="CI14" s="91">
        <v>300</v>
      </c>
      <c r="CJ14" s="93">
        <v>200000</v>
      </c>
      <c r="DA14" s="88">
        <f t="shared" si="8"/>
        <v>1.8000000000000007</v>
      </c>
      <c r="DB14" s="88">
        <v>9.4E-2</v>
      </c>
      <c r="DC14" s="88">
        <v>4.8000000000000001E-2</v>
      </c>
      <c r="DD14" s="97">
        <v>2</v>
      </c>
      <c r="DE14" s="88">
        <v>9.4E-2</v>
      </c>
    </row>
    <row r="15" spans="1:118" ht="14.4">
      <c r="A15" s="8" t="s">
        <v>10</v>
      </c>
      <c r="B15" s="3">
        <f t="shared" si="0"/>
        <v>206000</v>
      </c>
      <c r="C15" s="3">
        <v>255</v>
      </c>
      <c r="D15" s="234">
        <v>410</v>
      </c>
      <c r="E15" s="235">
        <v>1.05</v>
      </c>
      <c r="F15" s="25"/>
      <c r="G15" s="25"/>
      <c r="H15" s="25"/>
      <c r="I15" s="25"/>
      <c r="V15" s="14">
        <v>48</v>
      </c>
      <c r="W15" s="4">
        <v>5</v>
      </c>
      <c r="X15" s="5">
        <f t="shared" si="5"/>
        <v>1809.5573684677208</v>
      </c>
      <c r="Y15" s="4">
        <v>1472</v>
      </c>
      <c r="Z15" s="4">
        <v>1.6</v>
      </c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V15" s="4">
        <v>540</v>
      </c>
      <c r="AW15" s="4">
        <v>845</v>
      </c>
      <c r="AX15" s="4">
        <v>710</v>
      </c>
      <c r="BI15" s="75" t="s">
        <v>274</v>
      </c>
      <c r="BJ15" s="15" t="s">
        <v>278</v>
      </c>
      <c r="BK15" s="76">
        <v>39000</v>
      </c>
      <c r="BL15" s="77">
        <v>39.5</v>
      </c>
      <c r="BM15" s="77">
        <v>30</v>
      </c>
      <c r="BN15" s="78">
        <v>2.6</v>
      </c>
      <c r="BO15" s="79">
        <v>1.7</v>
      </c>
      <c r="BP15" s="16" t="s">
        <v>279</v>
      </c>
      <c r="BQ15" s="16">
        <f t="shared" si="9"/>
        <v>45</v>
      </c>
      <c r="CC15" s="91" t="s">
        <v>284</v>
      </c>
      <c r="CD15" s="92">
        <v>235</v>
      </c>
      <c r="CE15" s="92">
        <v>380</v>
      </c>
      <c r="CF15" s="91">
        <f t="shared" si="1"/>
        <v>235</v>
      </c>
      <c r="CG15" s="91">
        <f t="shared" si="2"/>
        <v>204.34782608695653</v>
      </c>
      <c r="CH15" s="91">
        <f t="shared" si="3"/>
        <v>235</v>
      </c>
      <c r="CI15" s="91">
        <f t="shared" si="4"/>
        <v>164.5</v>
      </c>
      <c r="CJ15" s="95">
        <v>200000</v>
      </c>
      <c r="DA15" s="88">
        <f t="shared" si="8"/>
        <v>1.9000000000000008</v>
      </c>
      <c r="DB15" s="88">
        <v>9.8000000000000004E-2</v>
      </c>
      <c r="DC15" s="88">
        <v>4.7E-2</v>
      </c>
      <c r="DD15" s="97">
        <v>2.0000100000000001</v>
      </c>
      <c r="DE15" s="88">
        <v>9.8000000000000004E-2</v>
      </c>
    </row>
    <row r="16" spans="1:118" ht="15" thickBot="1">
      <c r="A16" s="8" t="s">
        <v>11</v>
      </c>
      <c r="B16" s="3">
        <f t="shared" si="0"/>
        <v>206000</v>
      </c>
      <c r="C16" s="3">
        <v>245</v>
      </c>
      <c r="D16" s="234">
        <v>410</v>
      </c>
      <c r="E16" s="235">
        <v>1.05</v>
      </c>
      <c r="F16" s="25"/>
      <c r="G16" s="25"/>
      <c r="H16" s="25"/>
      <c r="I16" s="25"/>
      <c r="AV16" s="4">
        <v>570</v>
      </c>
      <c r="AW16" s="4">
        <v>890</v>
      </c>
      <c r="AX16" s="4">
        <v>750</v>
      </c>
      <c r="BI16" s="80" t="s">
        <v>281</v>
      </c>
      <c r="BJ16" s="81" t="s">
        <v>282</v>
      </c>
      <c r="BK16" s="82">
        <v>39500</v>
      </c>
      <c r="BL16" s="83">
        <v>43</v>
      </c>
      <c r="BM16" s="83">
        <v>33</v>
      </c>
      <c r="BN16" s="84">
        <v>2.75</v>
      </c>
      <c r="BO16" s="85">
        <v>1.8</v>
      </c>
      <c r="BP16" s="16" t="s">
        <v>283</v>
      </c>
      <c r="BQ16" s="16">
        <f t="shared" si="9"/>
        <v>50</v>
      </c>
      <c r="CC16" s="91" t="s">
        <v>285</v>
      </c>
      <c r="CD16" s="92">
        <v>295</v>
      </c>
      <c r="CE16" s="92">
        <v>440</v>
      </c>
      <c r="CF16" s="91">
        <f t="shared" si="1"/>
        <v>295</v>
      </c>
      <c r="CG16" s="91">
        <f t="shared" si="2"/>
        <v>256.52173913043481</v>
      </c>
      <c r="CH16" s="91">
        <f t="shared" si="3"/>
        <v>295</v>
      </c>
      <c r="CI16" s="91">
        <f t="shared" si="4"/>
        <v>206.5</v>
      </c>
      <c r="CJ16" s="95">
        <v>200000</v>
      </c>
      <c r="DA16" s="88">
        <f t="shared" si="8"/>
        <v>2.0000000000000009</v>
      </c>
      <c r="DB16" s="88">
        <v>0.1</v>
      </c>
      <c r="DC16" s="88">
        <v>4.5999999999999999E-2</v>
      </c>
      <c r="DD16" s="97">
        <v>100</v>
      </c>
      <c r="DE16" s="88">
        <v>9.8000000000000004E-2</v>
      </c>
    </row>
    <row r="17" spans="1:109">
      <c r="A17" s="8" t="s">
        <v>12</v>
      </c>
      <c r="B17" s="3">
        <f t="shared" si="0"/>
        <v>206000</v>
      </c>
      <c r="C17" s="3">
        <v>235</v>
      </c>
      <c r="D17" s="234">
        <v>410</v>
      </c>
      <c r="E17" s="235">
        <v>1.05</v>
      </c>
      <c r="F17" s="25"/>
      <c r="G17" s="25"/>
      <c r="H17" s="25"/>
      <c r="I17" s="25"/>
      <c r="AV17" s="4">
        <v>590</v>
      </c>
      <c r="AW17" s="4">
        <v>920</v>
      </c>
      <c r="AX17" s="4">
        <v>775</v>
      </c>
      <c r="CC17" s="91" t="s">
        <v>286</v>
      </c>
      <c r="CD17" s="92">
        <v>295</v>
      </c>
      <c r="CE17" s="92">
        <v>440</v>
      </c>
      <c r="CF17" s="91">
        <f t="shared" si="1"/>
        <v>295</v>
      </c>
      <c r="CG17" s="91">
        <f t="shared" si="2"/>
        <v>256.52173913043481</v>
      </c>
      <c r="CH17" s="91">
        <f t="shared" si="3"/>
        <v>295</v>
      </c>
      <c r="CI17" s="91">
        <f t="shared" si="4"/>
        <v>206.5</v>
      </c>
      <c r="CJ17" s="95">
        <v>200000</v>
      </c>
      <c r="DA17" s="88">
        <v>2.0001000000000002</v>
      </c>
      <c r="DB17" s="88">
        <v>0.125</v>
      </c>
      <c r="DC17" s="88">
        <v>3.6999999999999998E-2</v>
      </c>
      <c r="DD17" s="88"/>
      <c r="DE17" s="88"/>
    </row>
    <row r="18" spans="1:109">
      <c r="A18" s="8" t="s">
        <v>13</v>
      </c>
      <c r="B18" s="3">
        <f t="shared" si="0"/>
        <v>206000</v>
      </c>
      <c r="C18" s="3">
        <v>355</v>
      </c>
      <c r="D18" s="234">
        <v>470</v>
      </c>
      <c r="E18" s="235">
        <v>1.05</v>
      </c>
      <c r="F18" s="25"/>
      <c r="G18" s="25"/>
      <c r="H18" s="25"/>
      <c r="I18" s="25"/>
      <c r="AV18" s="4"/>
      <c r="AW18" s="4"/>
      <c r="AX18" s="4"/>
      <c r="CC18" s="91" t="s">
        <v>287</v>
      </c>
      <c r="CD18" s="92">
        <v>390</v>
      </c>
      <c r="CE18" s="92">
        <v>560</v>
      </c>
      <c r="CF18" s="91">
        <f t="shared" si="1"/>
        <v>390</v>
      </c>
      <c r="CG18" s="91">
        <f t="shared" si="2"/>
        <v>339.13043478260875</v>
      </c>
      <c r="CH18" s="91">
        <f t="shared" si="3"/>
        <v>390</v>
      </c>
      <c r="CI18" s="91">
        <f t="shared" si="4"/>
        <v>273</v>
      </c>
      <c r="CJ18" s="94">
        <v>200000</v>
      </c>
      <c r="DA18" s="88">
        <v>999</v>
      </c>
      <c r="DB18" s="88">
        <v>0.125</v>
      </c>
      <c r="DC18" s="88">
        <v>3.6999999999999998E-2</v>
      </c>
      <c r="DD18" s="88"/>
      <c r="DE18" s="88"/>
    </row>
    <row r="19" spans="1:109">
      <c r="A19" s="8" t="s">
        <v>14</v>
      </c>
      <c r="B19" s="3">
        <f t="shared" si="0"/>
        <v>206000</v>
      </c>
      <c r="C19" s="3">
        <v>345</v>
      </c>
      <c r="D19" s="234">
        <v>470</v>
      </c>
      <c r="E19" s="235">
        <v>1.05</v>
      </c>
      <c r="F19" s="25"/>
      <c r="G19" s="25"/>
      <c r="H19" s="25"/>
      <c r="I19" s="25"/>
      <c r="AV19" s="4"/>
      <c r="AW19" s="4"/>
      <c r="AX19" s="4"/>
      <c r="CC19" s="91" t="s">
        <v>288</v>
      </c>
      <c r="CD19" s="92">
        <v>490</v>
      </c>
      <c r="CE19" s="92">
        <v>620</v>
      </c>
      <c r="CF19" s="91">
        <f t="shared" si="1"/>
        <v>490</v>
      </c>
      <c r="CG19" s="91">
        <f t="shared" si="2"/>
        <v>426.08695652173918</v>
      </c>
      <c r="CH19" s="91">
        <f t="shared" si="3"/>
        <v>490</v>
      </c>
      <c r="CI19" s="91">
        <f t="shared" si="4"/>
        <v>343</v>
      </c>
      <c r="CJ19" s="95">
        <v>200000</v>
      </c>
    </row>
    <row r="20" spans="1:109">
      <c r="A20" s="8" t="s">
        <v>15</v>
      </c>
      <c r="B20" s="3">
        <f t="shared" si="0"/>
        <v>206000</v>
      </c>
      <c r="C20" s="3">
        <v>335</v>
      </c>
      <c r="D20" s="234">
        <v>470</v>
      </c>
      <c r="E20" s="235">
        <v>1.05</v>
      </c>
      <c r="F20" s="25"/>
      <c r="G20" s="25"/>
      <c r="H20" s="25"/>
      <c r="I20" s="25"/>
      <c r="AV20" s="4"/>
      <c r="AW20" s="4"/>
      <c r="AX20" s="4"/>
      <c r="CC20" s="86"/>
      <c r="CD20" s="87"/>
      <c r="CE20" s="87"/>
    </row>
    <row r="21" spans="1:109">
      <c r="A21" s="8" t="s">
        <v>16</v>
      </c>
      <c r="B21" s="3">
        <f t="shared" si="0"/>
        <v>206000</v>
      </c>
      <c r="C21" s="3">
        <v>325</v>
      </c>
      <c r="D21" s="234">
        <v>470</v>
      </c>
      <c r="E21" s="235">
        <v>1.05</v>
      </c>
      <c r="F21" s="25"/>
      <c r="G21" s="25"/>
      <c r="H21" s="25"/>
      <c r="I21" s="25"/>
      <c r="AV21" s="4"/>
      <c r="AW21" s="4"/>
      <c r="AX21" s="4"/>
      <c r="CC21" s="86"/>
      <c r="CD21" s="87"/>
      <c r="CE21" s="87"/>
    </row>
    <row r="22" spans="1:109">
      <c r="A22" s="8" t="s">
        <v>17</v>
      </c>
      <c r="B22" s="3">
        <f t="shared" si="0"/>
        <v>206000</v>
      </c>
      <c r="C22" s="3">
        <v>315</v>
      </c>
      <c r="D22" s="234">
        <v>470</v>
      </c>
      <c r="E22" s="235">
        <v>1.05</v>
      </c>
      <c r="F22" s="25"/>
      <c r="G22" s="25"/>
      <c r="H22" s="25"/>
      <c r="I22" s="25"/>
      <c r="AV22" s="4"/>
      <c r="AW22" s="4"/>
      <c r="AX22" s="4"/>
    </row>
    <row r="23" spans="1:109">
      <c r="A23" s="8" t="s">
        <v>289</v>
      </c>
      <c r="B23" s="3">
        <f t="shared" si="0"/>
        <v>206000</v>
      </c>
      <c r="C23" s="3">
        <v>205</v>
      </c>
      <c r="D23" s="234">
        <v>330</v>
      </c>
      <c r="E23" s="235">
        <v>1.05</v>
      </c>
      <c r="F23" s="25"/>
      <c r="G23" s="25"/>
      <c r="H23" s="25"/>
      <c r="I23" s="25"/>
      <c r="AV23" s="4"/>
      <c r="AW23" s="4"/>
      <c r="AX23" s="4"/>
    </row>
    <row r="24" spans="1:109">
      <c r="A24" s="8" t="s">
        <v>290</v>
      </c>
      <c r="B24" s="3">
        <f t="shared" si="0"/>
        <v>206000</v>
      </c>
      <c r="C24" s="3">
        <v>195</v>
      </c>
      <c r="D24" s="234">
        <v>330</v>
      </c>
      <c r="E24" s="235">
        <v>1.05</v>
      </c>
      <c r="F24" s="25"/>
      <c r="G24" s="25"/>
      <c r="H24" s="25"/>
      <c r="I24" s="25"/>
    </row>
    <row r="25" spans="1:109">
      <c r="A25" s="8" t="s">
        <v>291</v>
      </c>
      <c r="B25" s="3">
        <f t="shared" si="0"/>
        <v>206000</v>
      </c>
      <c r="C25" s="3">
        <v>245</v>
      </c>
      <c r="D25" s="234">
        <v>400</v>
      </c>
      <c r="E25" s="235">
        <v>1.05</v>
      </c>
      <c r="F25" s="25"/>
      <c r="G25" s="25"/>
      <c r="H25" s="25"/>
      <c r="I25" s="25"/>
    </row>
    <row r="26" spans="1:109">
      <c r="A26" s="8" t="s">
        <v>292</v>
      </c>
      <c r="B26" s="3">
        <f t="shared" si="0"/>
        <v>206000</v>
      </c>
      <c r="C26" s="3">
        <v>235</v>
      </c>
      <c r="D26" s="234">
        <v>400</v>
      </c>
      <c r="E26" s="235">
        <v>1.05</v>
      </c>
      <c r="F26" s="25"/>
      <c r="G26" s="25"/>
      <c r="H26" s="25"/>
      <c r="I26" s="25"/>
    </row>
    <row r="27" spans="1:109">
      <c r="A27" s="8" t="s">
        <v>293</v>
      </c>
      <c r="B27" s="3">
        <f t="shared" si="0"/>
        <v>206000</v>
      </c>
      <c r="C27" s="3">
        <v>285</v>
      </c>
      <c r="D27" s="234">
        <v>490</v>
      </c>
      <c r="E27" s="235">
        <v>1.05</v>
      </c>
      <c r="F27" s="25"/>
      <c r="G27" s="25"/>
      <c r="H27" s="25"/>
      <c r="I27" s="25"/>
    </row>
    <row r="28" spans="1:109">
      <c r="A28" s="8" t="s">
        <v>294</v>
      </c>
      <c r="B28" s="3">
        <f t="shared" si="0"/>
        <v>206000</v>
      </c>
      <c r="C28" s="3">
        <v>275</v>
      </c>
      <c r="D28" s="234">
        <v>490</v>
      </c>
      <c r="E28" s="235">
        <v>1.05</v>
      </c>
      <c r="F28" s="25"/>
      <c r="G28" s="25"/>
      <c r="H28" s="25"/>
      <c r="I28" s="25"/>
    </row>
    <row r="29" spans="1:109">
      <c r="A29" s="8" t="s">
        <v>295</v>
      </c>
      <c r="B29" s="3">
        <f t="shared" si="0"/>
        <v>206000</v>
      </c>
      <c r="C29" s="3">
        <v>400</v>
      </c>
      <c r="D29" s="234">
        <v>540</v>
      </c>
      <c r="E29" s="235">
        <v>1.05</v>
      </c>
      <c r="F29" s="25"/>
      <c r="G29" s="25"/>
      <c r="H29" s="25"/>
      <c r="I29" s="25"/>
    </row>
    <row r="30" spans="1:109">
      <c r="A30" s="8" t="s">
        <v>296</v>
      </c>
      <c r="B30" s="3">
        <f t="shared" si="0"/>
        <v>206000</v>
      </c>
      <c r="C30" s="3">
        <v>390</v>
      </c>
      <c r="D30" s="234">
        <v>540</v>
      </c>
      <c r="E30" s="235">
        <v>1.05</v>
      </c>
    </row>
    <row r="31" spans="1:109">
      <c r="A31" s="8" t="s">
        <v>426</v>
      </c>
      <c r="B31" s="3">
        <f t="shared" si="0"/>
        <v>206000</v>
      </c>
      <c r="C31" s="3">
        <v>220</v>
      </c>
      <c r="D31" s="234">
        <v>340</v>
      </c>
      <c r="E31" s="235">
        <v>1.05</v>
      </c>
    </row>
    <row r="32" spans="1:109">
      <c r="A32" s="8" t="s">
        <v>427</v>
      </c>
      <c r="B32" s="3">
        <f t="shared" si="0"/>
        <v>206000</v>
      </c>
      <c r="C32" s="3">
        <v>240</v>
      </c>
      <c r="D32" s="234">
        <v>380</v>
      </c>
      <c r="E32" s="235">
        <v>1.05</v>
      </c>
    </row>
    <row r="33" spans="1:5">
      <c r="A33" s="8" t="s">
        <v>428</v>
      </c>
      <c r="B33" s="3">
        <f t="shared" si="0"/>
        <v>206000</v>
      </c>
      <c r="C33" s="3">
        <v>260</v>
      </c>
      <c r="D33" s="234">
        <v>420</v>
      </c>
      <c r="E33" s="235">
        <v>1.05</v>
      </c>
    </row>
  </sheetData>
  <mergeCells count="17">
    <mergeCell ref="DA2:DC3"/>
    <mergeCell ref="DD2:DE3"/>
    <mergeCell ref="DF1:DG1"/>
    <mergeCell ref="BL2:BM2"/>
    <mergeCell ref="BN2:BO2"/>
    <mergeCell ref="CC2:CC3"/>
    <mergeCell ref="BP3:BP4"/>
    <mergeCell ref="DA1:DE1"/>
    <mergeCell ref="BK1:BK3"/>
    <mergeCell ref="BL1:BO1"/>
    <mergeCell ref="BP1:BQ2"/>
    <mergeCell ref="CC1:CJ1"/>
    <mergeCell ref="K1:O2"/>
    <mergeCell ref="V1:Z2"/>
    <mergeCell ref="AV1:AX1"/>
    <mergeCell ref="AZ1:BB1"/>
    <mergeCell ref="BI1:BJ4"/>
  </mergeCells>
  <pageMargins left="0.59055118110236227" right="0.31496062992125984" top="0.59055118110236227" bottom="0.59055118110236227" header="0.31496062992125984" footer="0.31496062992125984"/>
  <pageSetup orientation="portrait" r:id="rId1"/>
  <ignoredErrors>
    <ignoredError sqref="CG4:CG19" formula="1"/>
  </ignoredErrors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C00000"/>
    <pageSetUpPr fitToPage="1"/>
  </sheetPr>
  <dimension ref="A1:FZ1523"/>
  <sheetViews>
    <sheetView showGridLines="0" tabSelected="1" topLeftCell="AE11" zoomScale="130" zoomScaleNormal="130" zoomScaleSheetLayoutView="100" workbookViewId="0">
      <selection activeCell="BO23" sqref="BO23:BO30"/>
    </sheetView>
  </sheetViews>
  <sheetFormatPr defaultColWidth="7.33203125" defaultRowHeight="13.8"/>
  <cols>
    <col min="1" max="2" width="5.6640625" style="1" customWidth="1"/>
    <col min="3" max="3" width="6.5546875" style="1" customWidth="1"/>
    <col min="4" max="4" width="7" style="1" customWidth="1"/>
    <col min="5" max="8" width="5.6640625" style="1" customWidth="1"/>
    <col min="9" max="9" width="6.88671875" style="1" customWidth="1"/>
    <col min="10" max="10" width="5.6640625" style="1" customWidth="1"/>
    <col min="11" max="11" width="6.5546875" style="1" customWidth="1"/>
    <col min="12" max="12" width="2.88671875" style="9" customWidth="1"/>
    <col min="13" max="14" width="7.33203125" style="1"/>
    <col min="15" max="15" width="8.6640625" style="1" customWidth="1"/>
    <col min="16" max="16" width="7.33203125" style="1"/>
    <col min="17" max="17" width="7.33203125" style="1" customWidth="1"/>
    <col min="18" max="18" width="8" style="1" customWidth="1"/>
    <col min="19" max="21" width="7.6640625" style="1" customWidth="1"/>
    <col min="22" max="22" width="8.109375" style="1" customWidth="1"/>
    <col min="23" max="24" width="7.6640625" style="1" customWidth="1"/>
    <col min="25" max="25" width="7.33203125" style="1" hidden="1" customWidth="1"/>
    <col min="26" max="26" width="2.88671875" style="9" customWidth="1"/>
    <col min="27" max="27" width="5.33203125" style="138" customWidth="1"/>
    <col min="28" max="28" width="6.5546875" style="138" customWidth="1"/>
    <col min="29" max="29" width="6.5546875" style="138" hidden="1" customWidth="1"/>
    <col min="30" max="30" width="6.5546875" style="139" customWidth="1"/>
    <col min="31" max="31" width="7.33203125" style="139" customWidth="1"/>
    <col min="32" max="34" width="5.33203125" style="18" customWidth="1"/>
    <col min="35" max="37" width="5.33203125" style="54" customWidth="1"/>
    <col min="38" max="38" width="4.44140625" style="54" customWidth="1"/>
    <col min="39" max="41" width="5.33203125" style="54" customWidth="1"/>
    <col min="42" max="42" width="4.109375" style="54" customWidth="1"/>
    <col min="43" max="43" width="5.33203125" style="54" customWidth="1"/>
    <col min="44" max="44" width="12.5546875" style="54" hidden="1" customWidth="1"/>
    <col min="45" max="45" width="17" style="54" hidden="1" customWidth="1"/>
    <col min="46" max="48" width="5.33203125" style="54" hidden="1" customWidth="1"/>
    <col min="49" max="49" width="5.6640625" style="54" hidden="1" customWidth="1"/>
    <col min="50" max="50" width="5.33203125" style="54" hidden="1" customWidth="1"/>
    <col min="51" max="51" width="5.6640625" style="54" hidden="1" customWidth="1"/>
    <col min="52" max="52" width="5.33203125" style="54" hidden="1" customWidth="1"/>
    <col min="53" max="53" width="9.88671875" style="54" customWidth="1"/>
    <col min="54" max="57" width="5.6640625" style="55" customWidth="1"/>
    <col min="58" max="58" width="7.33203125" style="19" customWidth="1"/>
    <col min="59" max="59" width="7.33203125" style="19" hidden="1" customWidth="1"/>
    <col min="60" max="64" width="4.6640625" style="40" hidden="1" customWidth="1"/>
    <col min="65" max="65" width="4.6640625" style="2" hidden="1" customWidth="1"/>
    <col min="66" max="66" width="4.109375" style="2" hidden="1" customWidth="1"/>
    <col min="67" max="71" width="4.6640625" style="2" customWidth="1"/>
    <col min="72" max="72" width="5.44140625" style="2" bestFit="1" customWidth="1"/>
    <col min="73" max="73" width="6" style="2" bestFit="1" customWidth="1"/>
    <col min="74" max="75" width="4.6640625" style="2" customWidth="1"/>
    <col min="76" max="76" width="6.44140625" style="2" bestFit="1" customWidth="1"/>
    <col min="77" max="78" width="4.6640625" style="2" customWidth="1"/>
    <col min="79" max="103" width="7.33203125" style="1" hidden="1" customWidth="1"/>
    <col min="104" max="104" width="2.88671875" style="9" customWidth="1"/>
    <col min="105" max="105" width="5.33203125" style="138" customWidth="1"/>
    <col min="106" max="106" width="6.5546875" style="138" customWidth="1"/>
    <col min="107" max="107" width="6.5546875" style="138" hidden="1" customWidth="1"/>
    <col min="108" max="108" width="6.5546875" style="139" hidden="1" customWidth="1"/>
    <col min="109" max="109" width="7.33203125" style="139" hidden="1" customWidth="1"/>
    <col min="110" max="112" width="5.33203125" style="18" hidden="1" customWidth="1"/>
    <col min="113" max="115" width="5.33203125" style="54" hidden="1" customWidth="1"/>
    <col min="116" max="116" width="4.44140625" style="54" hidden="1" customWidth="1"/>
    <col min="117" max="119" width="5.33203125" style="54" hidden="1" customWidth="1"/>
    <col min="120" max="120" width="4.109375" style="54" hidden="1" customWidth="1"/>
    <col min="121" max="121" width="5.33203125" style="54" hidden="1" customWidth="1"/>
    <col min="122" max="122" width="12.5546875" style="54" customWidth="1"/>
    <col min="123" max="123" width="17" style="54" customWidth="1"/>
    <col min="124" max="126" width="5.33203125" style="54" hidden="1" customWidth="1"/>
    <col min="127" max="127" width="5.6640625" style="54" hidden="1" customWidth="1"/>
    <col min="128" max="128" width="5.33203125" style="54" hidden="1" customWidth="1"/>
    <col min="129" max="129" width="5.6640625" style="54" hidden="1" customWidth="1"/>
    <col min="130" max="130" width="5.33203125" style="54" hidden="1" customWidth="1"/>
    <col min="131" max="131" width="9.88671875" style="162" customWidth="1"/>
    <col min="132" max="133" width="5.6640625" style="55" customWidth="1"/>
    <col min="134" max="135" width="5.6640625" style="55" hidden="1" customWidth="1"/>
    <col min="136" max="136" width="7.33203125" style="19" customWidth="1"/>
    <col min="137" max="137" width="7.33203125" style="19" hidden="1" customWidth="1"/>
    <col min="138" max="142" width="4.6640625" style="40" hidden="1" customWidth="1"/>
    <col min="143" max="143" width="4.6640625" style="2" hidden="1" customWidth="1"/>
    <col min="144" max="144" width="4.109375" style="2" hidden="1" customWidth="1"/>
    <col min="145" max="149" width="4.6640625" style="2" customWidth="1"/>
    <col min="150" max="150" width="5.44140625" style="2" bestFit="1" customWidth="1"/>
    <col min="151" max="151" width="6" style="2" bestFit="1" customWidth="1"/>
    <col min="152" max="153" width="4.6640625" style="2" customWidth="1"/>
    <col min="154" max="154" width="5.44140625" style="2" bestFit="1" customWidth="1"/>
    <col min="155" max="156" width="4.6640625" style="2" customWidth="1"/>
    <col min="157" max="181" width="7.33203125" style="1" hidden="1" customWidth="1"/>
    <col min="182" max="182" width="2.88671875" style="9" customWidth="1"/>
    <col min="183" max="16384" width="7.33203125" style="1"/>
  </cols>
  <sheetData>
    <row r="1" spans="1:182" ht="12.75" hidden="1" customHeight="1">
      <c r="AA1" s="133"/>
      <c r="AB1" s="133"/>
      <c r="AC1" s="133"/>
      <c r="AD1" s="134"/>
      <c r="AE1" s="134"/>
      <c r="AF1" s="20"/>
      <c r="AG1" s="20"/>
      <c r="AH1" s="20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  <c r="AU1" s="23"/>
      <c r="AV1" s="23"/>
      <c r="AW1" s="23"/>
      <c r="AX1" s="23"/>
      <c r="AY1" s="23"/>
      <c r="AZ1" s="23"/>
      <c r="BA1" s="23"/>
      <c r="BB1" s="48"/>
      <c r="BC1" s="48"/>
      <c r="BD1" s="48"/>
      <c r="BE1" s="48"/>
      <c r="BF1" s="40"/>
      <c r="BG1" s="40"/>
      <c r="DA1" s="133"/>
      <c r="DB1" s="133"/>
      <c r="DC1" s="133"/>
      <c r="DD1" s="134"/>
      <c r="DE1" s="134"/>
      <c r="DF1" s="20"/>
      <c r="DG1" s="20"/>
      <c r="DH1" s="20"/>
      <c r="DI1" s="23"/>
      <c r="DJ1" s="23"/>
      <c r="DK1" s="23"/>
      <c r="DL1" s="23"/>
      <c r="DM1" s="23"/>
      <c r="DN1" s="23"/>
      <c r="DO1" s="23"/>
      <c r="DP1" s="23"/>
      <c r="DQ1" s="23"/>
      <c r="DR1" s="23"/>
      <c r="DS1" s="23"/>
      <c r="DT1" s="23"/>
      <c r="DU1" s="23"/>
      <c r="DV1" s="23"/>
      <c r="DW1" s="23"/>
      <c r="DX1" s="23"/>
      <c r="DY1" s="23"/>
      <c r="DZ1" s="23"/>
      <c r="EA1" s="160"/>
      <c r="EB1" s="48"/>
      <c r="EC1" s="48"/>
      <c r="ED1" s="48"/>
      <c r="EE1" s="48"/>
      <c r="EF1" s="40"/>
      <c r="EG1" s="40"/>
    </row>
    <row r="2" spans="1:182" ht="12.75" hidden="1" customHeight="1">
      <c r="AA2" s="133"/>
      <c r="AB2" s="133"/>
      <c r="AC2" s="133"/>
      <c r="AD2" s="134"/>
      <c r="AE2" s="134"/>
      <c r="AF2" s="20"/>
      <c r="AG2" s="20"/>
      <c r="AH2" s="20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  <c r="AU2" s="23"/>
      <c r="AV2" s="23"/>
      <c r="AW2" s="23"/>
      <c r="AX2" s="23"/>
      <c r="AY2" s="23"/>
      <c r="AZ2" s="23"/>
      <c r="BA2" s="23"/>
      <c r="BB2" s="48"/>
      <c r="BC2" s="48"/>
      <c r="BD2" s="48"/>
      <c r="BE2" s="48"/>
      <c r="BF2" s="40"/>
      <c r="BG2" s="40"/>
      <c r="DA2" s="133"/>
      <c r="DB2" s="133"/>
      <c r="DC2" s="133"/>
      <c r="DD2" s="134"/>
      <c r="DE2" s="134"/>
      <c r="DF2" s="20"/>
      <c r="DG2" s="20"/>
      <c r="DH2" s="20"/>
      <c r="DI2" s="23"/>
      <c r="DJ2" s="23"/>
      <c r="DK2" s="23"/>
      <c r="DL2" s="23"/>
      <c r="DM2" s="23"/>
      <c r="DN2" s="23"/>
      <c r="DO2" s="23"/>
      <c r="DP2" s="23"/>
      <c r="DQ2" s="23"/>
      <c r="DR2" s="23"/>
      <c r="DS2" s="23"/>
      <c r="DT2" s="23"/>
      <c r="DU2" s="23"/>
      <c r="DV2" s="23"/>
      <c r="DW2" s="23"/>
      <c r="DX2" s="23"/>
      <c r="DY2" s="23"/>
      <c r="DZ2" s="23"/>
      <c r="EA2" s="160"/>
      <c r="EB2" s="48"/>
      <c r="EC2" s="48"/>
      <c r="ED2" s="48"/>
      <c r="EE2" s="48"/>
      <c r="EF2" s="40"/>
      <c r="EG2" s="40"/>
    </row>
    <row r="3" spans="1:182" ht="12.75" hidden="1" customHeight="1">
      <c r="AA3" s="133"/>
      <c r="AB3" s="133"/>
      <c r="AC3" s="133"/>
      <c r="AD3" s="134"/>
      <c r="AE3" s="134"/>
      <c r="AF3" s="20"/>
      <c r="AG3" s="20"/>
      <c r="AH3" s="20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  <c r="AZ3" s="23"/>
      <c r="BA3" s="23"/>
      <c r="BB3" s="48"/>
      <c r="BC3" s="48"/>
      <c r="BD3" s="48"/>
      <c r="BE3" s="48"/>
      <c r="BF3" s="40"/>
      <c r="BG3" s="40"/>
      <c r="DA3" s="133"/>
      <c r="DB3" s="133"/>
      <c r="DC3" s="133"/>
      <c r="DD3" s="134"/>
      <c r="DE3" s="134"/>
      <c r="DF3" s="20"/>
      <c r="DG3" s="20"/>
      <c r="DH3" s="20"/>
      <c r="DI3" s="23"/>
      <c r="DJ3" s="23"/>
      <c r="DK3" s="23"/>
      <c r="DL3" s="23"/>
      <c r="DM3" s="23"/>
      <c r="DN3" s="23"/>
      <c r="DO3" s="23"/>
      <c r="DP3" s="23"/>
      <c r="DQ3" s="23"/>
      <c r="DR3" s="23"/>
      <c r="DS3" s="23"/>
      <c r="DT3" s="23"/>
      <c r="DU3" s="23"/>
      <c r="DV3" s="23"/>
      <c r="DW3" s="23"/>
      <c r="DX3" s="23"/>
      <c r="DY3" s="23"/>
      <c r="DZ3" s="23"/>
      <c r="EA3" s="160"/>
      <c r="EB3" s="48"/>
      <c r="EC3" s="48"/>
      <c r="ED3" s="48"/>
      <c r="EE3" s="48"/>
      <c r="EF3" s="40"/>
      <c r="EG3" s="40"/>
    </row>
    <row r="4" spans="1:182" ht="12.75" hidden="1" customHeight="1">
      <c r="AA4" s="133"/>
      <c r="AB4" s="133"/>
      <c r="AC4" s="133"/>
      <c r="AD4" s="134"/>
      <c r="AE4" s="134"/>
      <c r="AF4" s="20"/>
      <c r="AG4" s="20"/>
      <c r="AH4" s="20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23"/>
      <c r="AY4" s="23"/>
      <c r="AZ4" s="23"/>
      <c r="BA4" s="23"/>
      <c r="BB4" s="48"/>
      <c r="BC4" s="48"/>
      <c r="BD4" s="48"/>
      <c r="BE4" s="48"/>
      <c r="BF4" s="40"/>
      <c r="BG4" s="40"/>
      <c r="DA4" s="133"/>
      <c r="DB4" s="133"/>
      <c r="DC4" s="133"/>
      <c r="DD4" s="134"/>
      <c r="DE4" s="134"/>
      <c r="DF4" s="20"/>
      <c r="DG4" s="20"/>
      <c r="DH4" s="20"/>
      <c r="DI4" s="23"/>
      <c r="DJ4" s="23"/>
      <c r="DK4" s="23"/>
      <c r="DL4" s="23"/>
      <c r="DM4" s="23"/>
      <c r="DN4" s="23"/>
      <c r="DO4" s="23"/>
      <c r="DP4" s="23"/>
      <c r="DQ4" s="23"/>
      <c r="DR4" s="23"/>
      <c r="DS4" s="23"/>
      <c r="DT4" s="23"/>
      <c r="DU4" s="23"/>
      <c r="DV4" s="23"/>
      <c r="DW4" s="23"/>
      <c r="DX4" s="23"/>
      <c r="DY4" s="23"/>
      <c r="DZ4" s="23"/>
      <c r="EA4" s="160"/>
      <c r="EB4" s="48"/>
      <c r="EC4" s="48"/>
      <c r="ED4" s="48"/>
      <c r="EE4" s="48"/>
      <c r="EF4" s="40"/>
      <c r="EG4" s="40"/>
    </row>
    <row r="5" spans="1:182" ht="12.75" hidden="1" customHeight="1">
      <c r="AA5" s="133"/>
      <c r="AB5" s="133"/>
      <c r="AC5" s="133"/>
      <c r="AD5" s="134"/>
      <c r="AE5" s="134"/>
      <c r="AF5" s="20"/>
      <c r="AG5" s="20"/>
      <c r="AH5" s="20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3"/>
      <c r="AV5" s="23"/>
      <c r="AW5" s="23"/>
      <c r="AX5" s="23"/>
      <c r="AY5" s="23"/>
      <c r="AZ5" s="23"/>
      <c r="BA5" s="23"/>
      <c r="BB5" s="48"/>
      <c r="BC5" s="48"/>
      <c r="BD5" s="48"/>
      <c r="BE5" s="48"/>
      <c r="BF5" s="40"/>
      <c r="BG5" s="40"/>
      <c r="DA5" s="133"/>
      <c r="DB5" s="133"/>
      <c r="DC5" s="133"/>
      <c r="DD5" s="134"/>
      <c r="DE5" s="134"/>
      <c r="DF5" s="20"/>
      <c r="DG5" s="20"/>
      <c r="DH5" s="20"/>
      <c r="DI5" s="23"/>
      <c r="DJ5" s="23"/>
      <c r="DK5" s="23"/>
      <c r="DL5" s="23"/>
      <c r="DM5" s="23"/>
      <c r="DN5" s="23"/>
      <c r="DO5" s="23"/>
      <c r="DP5" s="23"/>
      <c r="DQ5" s="23"/>
      <c r="DR5" s="23"/>
      <c r="DS5" s="23"/>
      <c r="DT5" s="23"/>
      <c r="DU5" s="23"/>
      <c r="DV5" s="23"/>
      <c r="DW5" s="23"/>
      <c r="DX5" s="23"/>
      <c r="DY5" s="23"/>
      <c r="DZ5" s="23"/>
      <c r="EA5" s="160"/>
      <c r="EB5" s="48"/>
      <c r="EC5" s="48"/>
      <c r="ED5" s="48"/>
      <c r="EE5" s="48"/>
      <c r="EF5" s="40"/>
      <c r="EG5" s="40"/>
    </row>
    <row r="6" spans="1:182" ht="12.75" hidden="1" customHeight="1">
      <c r="AA6" s="133"/>
      <c r="AB6" s="133"/>
      <c r="AC6" s="133"/>
      <c r="AD6" s="134"/>
      <c r="AE6" s="134"/>
      <c r="AF6" s="20"/>
      <c r="AG6" s="20"/>
      <c r="AH6" s="20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48"/>
      <c r="BC6" s="48"/>
      <c r="BD6" s="48"/>
      <c r="BE6" s="48"/>
      <c r="BF6" s="40"/>
      <c r="BG6" s="40"/>
      <c r="DA6" s="133"/>
      <c r="DB6" s="133"/>
      <c r="DC6" s="133"/>
      <c r="DD6" s="134"/>
      <c r="DE6" s="134"/>
      <c r="DF6" s="20"/>
      <c r="DG6" s="20"/>
      <c r="DH6" s="20"/>
      <c r="DI6" s="23"/>
      <c r="DJ6" s="23"/>
      <c r="DK6" s="23"/>
      <c r="DL6" s="23"/>
      <c r="DM6" s="23"/>
      <c r="DN6" s="23"/>
      <c r="DO6" s="23"/>
      <c r="DP6" s="23"/>
      <c r="DQ6" s="23"/>
      <c r="DR6" s="23"/>
      <c r="DS6" s="23"/>
      <c r="DT6" s="23"/>
      <c r="DU6" s="23"/>
      <c r="DV6" s="23"/>
      <c r="DW6" s="23"/>
      <c r="DX6" s="23"/>
      <c r="DY6" s="23"/>
      <c r="DZ6" s="23"/>
      <c r="EA6" s="160"/>
      <c r="EB6" s="48"/>
      <c r="EC6" s="48"/>
      <c r="ED6" s="48"/>
      <c r="EE6" s="48"/>
      <c r="EF6" s="40"/>
      <c r="EG6" s="40"/>
    </row>
    <row r="7" spans="1:182" ht="12.75" hidden="1" customHeight="1">
      <c r="AA7" s="133"/>
      <c r="AB7" s="133"/>
      <c r="AC7" s="133"/>
      <c r="AD7" s="134"/>
      <c r="AE7" s="134"/>
      <c r="AF7" s="20"/>
      <c r="AG7" s="20"/>
      <c r="AH7" s="20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  <c r="AU7" s="23"/>
      <c r="AV7" s="23"/>
      <c r="AW7" s="23"/>
      <c r="AX7" s="23"/>
      <c r="AY7" s="23"/>
      <c r="AZ7" s="23"/>
      <c r="BA7" s="23"/>
      <c r="BB7" s="48"/>
      <c r="BC7" s="48"/>
      <c r="BD7" s="48"/>
      <c r="BE7" s="48"/>
      <c r="BF7" s="40"/>
      <c r="BG7" s="40"/>
      <c r="DA7" s="133"/>
      <c r="DB7" s="133"/>
      <c r="DC7" s="133"/>
      <c r="DD7" s="134"/>
      <c r="DE7" s="134"/>
      <c r="DF7" s="20"/>
      <c r="DG7" s="20"/>
      <c r="DH7" s="20"/>
      <c r="DI7" s="23"/>
      <c r="DJ7" s="23"/>
      <c r="DK7" s="23"/>
      <c r="DL7" s="23"/>
      <c r="DM7" s="23"/>
      <c r="DN7" s="23"/>
      <c r="DO7" s="23"/>
      <c r="DP7" s="23"/>
      <c r="DQ7" s="23"/>
      <c r="DR7" s="23"/>
      <c r="DS7" s="23"/>
      <c r="DT7" s="23"/>
      <c r="DU7" s="23"/>
      <c r="DV7" s="23"/>
      <c r="DW7" s="23"/>
      <c r="DX7" s="23"/>
      <c r="DY7" s="23"/>
      <c r="DZ7" s="23"/>
      <c r="EA7" s="160"/>
      <c r="EB7" s="48"/>
      <c r="EC7" s="48"/>
      <c r="ED7" s="48"/>
      <c r="EE7" s="48"/>
      <c r="EF7" s="40"/>
      <c r="EG7" s="40"/>
    </row>
    <row r="8" spans="1:182" ht="12.75" hidden="1" customHeight="1">
      <c r="AA8" s="133"/>
      <c r="AB8" s="133"/>
      <c r="AC8" s="133"/>
      <c r="AD8" s="134"/>
      <c r="AE8" s="134"/>
      <c r="AF8" s="20"/>
      <c r="AG8" s="20"/>
      <c r="AH8" s="20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  <c r="AU8" s="23"/>
      <c r="AV8" s="23"/>
      <c r="AW8" s="23"/>
      <c r="AX8" s="23"/>
      <c r="AY8" s="23"/>
      <c r="AZ8" s="23"/>
      <c r="BA8" s="23"/>
      <c r="BB8" s="48"/>
      <c r="BC8" s="48"/>
      <c r="BD8" s="48"/>
      <c r="BE8" s="48"/>
      <c r="BF8" s="40"/>
      <c r="BG8" s="40"/>
      <c r="DA8" s="133"/>
      <c r="DB8" s="133"/>
      <c r="DC8" s="133"/>
      <c r="DD8" s="134"/>
      <c r="DE8" s="134"/>
      <c r="DF8" s="20"/>
      <c r="DG8" s="20"/>
      <c r="DH8" s="20"/>
      <c r="DI8" s="23"/>
      <c r="DJ8" s="23"/>
      <c r="DK8" s="23"/>
      <c r="DL8" s="23"/>
      <c r="DM8" s="23"/>
      <c r="DN8" s="23"/>
      <c r="DO8" s="23"/>
      <c r="DP8" s="23"/>
      <c r="DQ8" s="23"/>
      <c r="DR8" s="23"/>
      <c r="DS8" s="23"/>
      <c r="DT8" s="23"/>
      <c r="DU8" s="23"/>
      <c r="DV8" s="23"/>
      <c r="DW8" s="23"/>
      <c r="DX8" s="23"/>
      <c r="DY8" s="23"/>
      <c r="DZ8" s="23"/>
      <c r="EA8" s="160"/>
      <c r="EB8" s="48"/>
      <c r="EC8" s="48"/>
      <c r="ED8" s="48"/>
      <c r="EE8" s="48"/>
      <c r="EF8" s="40"/>
      <c r="EG8" s="40"/>
    </row>
    <row r="9" spans="1:182" ht="12.75" hidden="1" customHeight="1">
      <c r="AA9" s="133"/>
      <c r="AB9" s="133"/>
      <c r="AC9" s="133"/>
      <c r="AD9" s="134"/>
      <c r="AE9" s="134"/>
      <c r="AF9" s="20"/>
      <c r="AG9" s="20"/>
      <c r="AH9" s="20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V9" s="23"/>
      <c r="AW9" s="23"/>
      <c r="AX9" s="23"/>
      <c r="AY9" s="23"/>
      <c r="AZ9" s="23"/>
      <c r="BA9" s="23"/>
      <c r="BB9" s="48"/>
      <c r="BC9" s="48"/>
      <c r="BD9" s="48"/>
      <c r="BE9" s="48"/>
      <c r="BF9" s="40"/>
      <c r="BG9" s="40"/>
      <c r="DA9" s="133"/>
      <c r="DB9" s="133"/>
      <c r="DC9" s="133"/>
      <c r="DD9" s="134"/>
      <c r="DE9" s="134"/>
      <c r="DF9" s="20"/>
      <c r="DG9" s="20"/>
      <c r="DH9" s="20"/>
      <c r="DI9" s="23"/>
      <c r="DJ9" s="23"/>
      <c r="DK9" s="23"/>
      <c r="DL9" s="23"/>
      <c r="DM9" s="23"/>
      <c r="DN9" s="23"/>
      <c r="DO9" s="23"/>
      <c r="DP9" s="23"/>
      <c r="DQ9" s="23"/>
      <c r="DR9" s="23"/>
      <c r="DS9" s="23"/>
      <c r="DT9" s="23"/>
      <c r="DU9" s="23"/>
      <c r="DV9" s="23"/>
      <c r="DW9" s="23"/>
      <c r="DX9" s="23"/>
      <c r="DY9" s="23"/>
      <c r="DZ9" s="23"/>
      <c r="EA9" s="160"/>
      <c r="EB9" s="48"/>
      <c r="EC9" s="48"/>
      <c r="ED9" s="48"/>
      <c r="EE9" s="48"/>
      <c r="EF9" s="40"/>
      <c r="EG9" s="40"/>
    </row>
    <row r="10" spans="1:182" ht="10.5" hidden="1" customHeight="1">
      <c r="AA10" s="133"/>
      <c r="AB10" s="133"/>
      <c r="AC10" s="133"/>
      <c r="AD10" s="134"/>
      <c r="AE10" s="134"/>
      <c r="AF10" s="20"/>
      <c r="AG10" s="20"/>
      <c r="AH10" s="20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  <c r="AU10" s="23"/>
      <c r="AV10" s="23"/>
      <c r="AW10" s="23"/>
      <c r="AX10" s="23"/>
      <c r="AY10" s="23"/>
      <c r="AZ10" s="23"/>
      <c r="BA10" s="23"/>
      <c r="BB10" s="48"/>
      <c r="BC10" s="48"/>
      <c r="BD10" s="48"/>
      <c r="BE10" s="48"/>
      <c r="BF10" s="40"/>
      <c r="BG10" s="40"/>
      <c r="DA10" s="133"/>
      <c r="DB10" s="133"/>
      <c r="DC10" s="133"/>
      <c r="DD10" s="134"/>
      <c r="DE10" s="134"/>
      <c r="DF10" s="20"/>
      <c r="DG10" s="20"/>
      <c r="DH10" s="20"/>
      <c r="DI10" s="23"/>
      <c r="DJ10" s="23"/>
      <c r="DK10" s="23"/>
      <c r="DL10" s="23"/>
      <c r="DM10" s="23"/>
      <c r="DN10" s="23"/>
      <c r="DO10" s="23"/>
      <c r="DP10" s="23"/>
      <c r="DQ10" s="23"/>
      <c r="DR10" s="23"/>
      <c r="DS10" s="23"/>
      <c r="DT10" s="23"/>
      <c r="DU10" s="23"/>
      <c r="DV10" s="23"/>
      <c r="DW10" s="23"/>
      <c r="DX10" s="23"/>
      <c r="DY10" s="23"/>
      <c r="DZ10" s="23"/>
      <c r="EA10" s="160"/>
      <c r="EB10" s="48"/>
      <c r="EC10" s="48"/>
      <c r="ED10" s="48"/>
      <c r="EE10" s="48"/>
      <c r="EF10" s="40"/>
      <c r="EG10" s="40"/>
    </row>
    <row r="11" spans="1:182" ht="20.25" customHeight="1">
      <c r="A11" s="292" t="s">
        <v>218</v>
      </c>
      <c r="B11" s="292"/>
      <c r="C11" s="292"/>
      <c r="D11" s="292"/>
      <c r="E11" s="292"/>
      <c r="F11" s="292"/>
      <c r="G11" s="292"/>
      <c r="I11" s="365" t="s">
        <v>383</v>
      </c>
      <c r="J11" s="365"/>
      <c r="K11" s="365"/>
      <c r="L11" s="10">
        <f>MAX(COUNTA(#REF!)+21,23)</f>
        <v>23</v>
      </c>
      <c r="M11" s="381" t="s">
        <v>28</v>
      </c>
      <c r="N11" s="382"/>
      <c r="O11" s="382"/>
      <c r="P11" s="382"/>
      <c r="Q11" s="382"/>
      <c r="R11" s="382"/>
      <c r="S11" s="382"/>
      <c r="T11" s="382"/>
      <c r="U11" s="382"/>
      <c r="V11" s="388" t="str">
        <f>INDEX(I13:I15,MATCH(K16,K13:K15,0))</f>
        <v>CT1</v>
      </c>
      <c r="W11" s="389"/>
      <c r="X11" s="390"/>
      <c r="Z11" s="10">
        <f>MAX(COUNTA(#REF!)+21,23)</f>
        <v>23</v>
      </c>
      <c r="AA11" s="387" t="s">
        <v>385</v>
      </c>
      <c r="AB11" s="301"/>
      <c r="AC11" s="301"/>
      <c r="AD11" s="301"/>
      <c r="AE11" s="301"/>
      <c r="AF11" s="301"/>
      <c r="AG11" s="301"/>
      <c r="AH11" s="301"/>
      <c r="AI11" s="301"/>
      <c r="AJ11" s="301"/>
      <c r="AK11" s="301"/>
      <c r="AL11" s="301"/>
      <c r="AM11" s="301"/>
      <c r="AN11" s="301"/>
      <c r="AO11" s="301"/>
      <c r="AP11" s="301"/>
      <c r="AQ11" s="301"/>
      <c r="AR11" s="301"/>
      <c r="AS11" s="301"/>
      <c r="AT11" s="301"/>
      <c r="AU11" s="301"/>
      <c r="AV11" s="301"/>
      <c r="AW11" s="301"/>
      <c r="AX11" s="301"/>
      <c r="AY11" s="301"/>
      <c r="AZ11" s="301"/>
      <c r="BA11" s="301"/>
      <c r="BB11" s="301"/>
      <c r="BC11" s="301"/>
      <c r="BD11" s="301"/>
      <c r="BE11" s="301"/>
      <c r="BF11" s="301"/>
      <c r="BG11" s="301"/>
      <c r="BH11" s="301"/>
      <c r="BI11" s="301"/>
      <c r="BJ11" s="301"/>
      <c r="BK11" s="301"/>
      <c r="BL11" s="301"/>
      <c r="BM11" s="301"/>
      <c r="BN11" s="301"/>
      <c r="BO11" s="301"/>
      <c r="BP11" s="301"/>
      <c r="BQ11" s="301"/>
      <c r="BR11" s="301"/>
      <c r="BS11" s="301"/>
      <c r="BT11" s="301"/>
      <c r="BU11" s="301"/>
      <c r="BV11" s="301"/>
      <c r="BW11" s="301"/>
      <c r="BX11" s="301"/>
      <c r="BY11" s="301"/>
      <c r="BZ11" s="301"/>
      <c r="CZ11" s="10">
        <f>MAX(COUNTA(#REF!)+21,23)</f>
        <v>23</v>
      </c>
      <c r="DA11" s="300" t="s">
        <v>385</v>
      </c>
      <c r="DB11" s="301"/>
      <c r="DC11" s="301"/>
      <c r="DD11" s="301"/>
      <c r="DE11" s="301"/>
      <c r="DF11" s="301"/>
      <c r="DG11" s="301"/>
      <c r="DH11" s="301"/>
      <c r="DI11" s="301"/>
      <c r="DJ11" s="301"/>
      <c r="DK11" s="301"/>
      <c r="DL11" s="301"/>
      <c r="DM11" s="301"/>
      <c r="DN11" s="301"/>
      <c r="DO11" s="301"/>
      <c r="DP11" s="301"/>
      <c r="DQ11" s="301"/>
      <c r="DR11" s="301"/>
      <c r="DS11" s="301"/>
      <c r="DT11" s="301"/>
      <c r="DU11" s="301"/>
      <c r="DV11" s="301"/>
      <c r="DW11" s="301"/>
      <c r="DX11" s="301"/>
      <c r="DY11" s="301"/>
      <c r="DZ11" s="301"/>
      <c r="EA11" s="301"/>
      <c r="EB11" s="301"/>
      <c r="EC11" s="301"/>
      <c r="ED11" s="301"/>
      <c r="EE11" s="301"/>
      <c r="EF11" s="301"/>
      <c r="EG11" s="301"/>
      <c r="EH11" s="301"/>
      <c r="EI11" s="301"/>
      <c r="EJ11" s="301"/>
      <c r="EK11" s="301"/>
      <c r="EL11" s="301"/>
      <c r="EM11" s="301"/>
      <c r="EN11" s="301"/>
      <c r="EO11" s="301"/>
      <c r="EP11" s="301"/>
      <c r="EQ11" s="301"/>
      <c r="ER11" s="301"/>
      <c r="ES11" s="301"/>
      <c r="ET11" s="301"/>
      <c r="EU11" s="301"/>
      <c r="EV11" s="301"/>
      <c r="EW11" s="301"/>
      <c r="EX11" s="301"/>
      <c r="EY11" s="301"/>
      <c r="EZ11" s="302"/>
      <c r="FZ11" s="10">
        <f>MAX(COUNTA(#REF!)+21,23)</f>
        <v>23</v>
      </c>
    </row>
    <row r="12" spans="1:182" ht="12.75" customHeight="1">
      <c r="A12" s="4"/>
      <c r="B12" s="56" t="s">
        <v>219</v>
      </c>
      <c r="C12" s="56" t="s">
        <v>220</v>
      </c>
      <c r="D12" s="56" t="s">
        <v>221</v>
      </c>
      <c r="E12" s="56" t="s">
        <v>222</v>
      </c>
      <c r="F12" s="4" t="s">
        <v>411</v>
      </c>
      <c r="G12" s="219">
        <f>W44</f>
        <v>30</v>
      </c>
      <c r="I12" s="365"/>
      <c r="J12" s="365"/>
      <c r="K12" s="365"/>
      <c r="L12" s="11"/>
      <c r="M12" s="383"/>
      <c r="N12" s="384"/>
      <c r="O12" s="384"/>
      <c r="P12" s="385"/>
      <c r="Q12" s="385"/>
      <c r="R12" s="385"/>
      <c r="S12" s="385"/>
      <c r="T12" s="385"/>
      <c r="U12" s="385"/>
      <c r="V12" s="391"/>
      <c r="W12" s="391"/>
      <c r="X12" s="392"/>
      <c r="Z12" s="11"/>
      <c r="AA12" s="386" t="s">
        <v>29</v>
      </c>
      <c r="AB12" s="304"/>
      <c r="AC12" s="304"/>
      <c r="AD12" s="304"/>
      <c r="AE12" s="304"/>
      <c r="AF12" s="304"/>
      <c r="AG12" s="304"/>
      <c r="AH12" s="304"/>
      <c r="AI12" s="304"/>
      <c r="AJ12" s="304"/>
      <c r="AK12" s="304"/>
      <c r="AL12" s="304"/>
      <c r="AM12" s="304"/>
      <c r="AN12" s="304"/>
      <c r="AO12" s="304"/>
      <c r="AP12" s="304"/>
      <c r="AQ12" s="304"/>
      <c r="AR12" s="304"/>
      <c r="AS12" s="304"/>
      <c r="AT12" s="304"/>
      <c r="AU12" s="304"/>
      <c r="AV12" s="304"/>
      <c r="AW12" s="304"/>
      <c r="AX12" s="304"/>
      <c r="AY12" s="304"/>
      <c r="AZ12" s="304"/>
      <c r="BA12" s="304"/>
      <c r="BB12" s="304"/>
      <c r="BC12" s="304"/>
      <c r="BD12" s="304"/>
      <c r="BE12" s="304"/>
      <c r="BF12" s="304"/>
      <c r="BG12" s="304"/>
      <c r="BH12" s="304"/>
      <c r="BI12" s="304"/>
      <c r="BJ12" s="304"/>
      <c r="BK12" s="304"/>
      <c r="BL12" s="304"/>
      <c r="BM12" s="304"/>
      <c r="BN12" s="304"/>
      <c r="BO12" s="304"/>
      <c r="BP12" s="304"/>
      <c r="BQ12" s="304"/>
      <c r="BR12" s="304"/>
      <c r="BS12" s="304"/>
      <c r="BT12" s="304"/>
      <c r="BU12" s="304"/>
      <c r="BV12" s="304"/>
      <c r="BW12" s="304"/>
      <c r="BX12" s="304"/>
      <c r="BY12" s="304"/>
      <c r="BZ12" s="304"/>
      <c r="CZ12" s="11"/>
      <c r="DA12" s="303" t="s">
        <v>29</v>
      </c>
      <c r="DB12" s="304"/>
      <c r="DC12" s="304"/>
      <c r="DD12" s="304"/>
      <c r="DE12" s="304"/>
      <c r="DF12" s="304"/>
      <c r="DG12" s="304"/>
      <c r="DH12" s="304"/>
      <c r="DI12" s="304"/>
      <c r="DJ12" s="304"/>
      <c r="DK12" s="304"/>
      <c r="DL12" s="304"/>
      <c r="DM12" s="304"/>
      <c r="DN12" s="304"/>
      <c r="DO12" s="304"/>
      <c r="DP12" s="304"/>
      <c r="DQ12" s="304"/>
      <c r="DR12" s="304"/>
      <c r="DS12" s="304"/>
      <c r="DT12" s="304"/>
      <c r="DU12" s="304"/>
      <c r="DV12" s="304"/>
      <c r="DW12" s="304"/>
      <c r="DX12" s="304"/>
      <c r="DY12" s="304"/>
      <c r="DZ12" s="304"/>
      <c r="EA12" s="304"/>
      <c r="EB12" s="304"/>
      <c r="EC12" s="304"/>
      <c r="ED12" s="304"/>
      <c r="EE12" s="304"/>
      <c r="EF12" s="304"/>
      <c r="EG12" s="304"/>
      <c r="EH12" s="304"/>
      <c r="EI12" s="304"/>
      <c r="EJ12" s="304"/>
      <c r="EK12" s="304"/>
      <c r="EL12" s="304"/>
      <c r="EM12" s="304"/>
      <c r="EN12" s="304"/>
      <c r="EO12" s="304"/>
      <c r="EP12" s="304"/>
      <c r="EQ12" s="304"/>
      <c r="ER12" s="304"/>
      <c r="ES12" s="304"/>
      <c r="ET12" s="304"/>
      <c r="EU12" s="304"/>
      <c r="EV12" s="304"/>
      <c r="EW12" s="304"/>
      <c r="EX12" s="304"/>
      <c r="EY12" s="304"/>
      <c r="EZ12" s="305"/>
      <c r="FZ12" s="11"/>
    </row>
    <row r="13" spans="1:182" ht="15" customHeight="1">
      <c r="A13" s="56">
        <v>12</v>
      </c>
      <c r="B13" s="4">
        <v>50</v>
      </c>
      <c r="C13" s="4">
        <v>50</v>
      </c>
      <c r="D13" s="4">
        <v>60</v>
      </c>
      <c r="E13" s="4">
        <v>120</v>
      </c>
      <c r="F13" s="56" t="s">
        <v>219</v>
      </c>
      <c r="G13" s="219">
        <f>VLOOKUP($G$12,$A$13:$E$21,2,FALSE)</f>
        <v>60</v>
      </c>
      <c r="I13" s="299" t="s">
        <v>217</v>
      </c>
      <c r="J13" s="299"/>
      <c r="K13" s="16" t="s">
        <v>386</v>
      </c>
      <c r="M13" s="309" t="s">
        <v>0</v>
      </c>
      <c r="N13" s="310"/>
      <c r="O13" s="310"/>
      <c r="P13" s="246"/>
      <c r="Q13" s="246"/>
      <c r="R13" s="246"/>
      <c r="S13" s="246"/>
      <c r="T13" s="246"/>
      <c r="U13" s="246"/>
      <c r="V13" s="246"/>
      <c r="W13" s="246"/>
      <c r="X13" s="247"/>
      <c r="AA13" s="135" t="s">
        <v>211</v>
      </c>
      <c r="AB13" s="135"/>
      <c r="AC13" s="135"/>
      <c r="AD13" s="145"/>
      <c r="AE13" s="134"/>
      <c r="AF13" s="20"/>
      <c r="AG13" s="20"/>
      <c r="AH13" s="20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  <c r="AU13" s="23"/>
      <c r="AV13" s="23"/>
      <c r="AW13" s="23"/>
      <c r="AX13" s="23"/>
      <c r="AY13" s="23"/>
      <c r="AZ13" s="23"/>
      <c r="BA13" s="23"/>
      <c r="BB13" s="48"/>
      <c r="BC13" s="48"/>
      <c r="BD13" s="48"/>
      <c r="BE13" s="48"/>
      <c r="BF13" s="40"/>
      <c r="BG13" s="40"/>
      <c r="DA13" s="171" t="s">
        <v>211</v>
      </c>
      <c r="DB13" s="135"/>
      <c r="DC13" s="135"/>
      <c r="DD13" s="145"/>
      <c r="DE13" s="134"/>
      <c r="DF13" s="20"/>
      <c r="DG13" s="20"/>
      <c r="DH13" s="20"/>
      <c r="DI13" s="23"/>
      <c r="DJ13" s="23"/>
      <c r="DK13" s="23"/>
      <c r="DL13" s="23"/>
      <c r="DM13" s="23"/>
      <c r="DN13" s="23"/>
      <c r="DO13" s="23"/>
      <c r="DP13" s="23"/>
      <c r="DQ13" s="23"/>
      <c r="DR13" s="23"/>
      <c r="DS13" s="23"/>
      <c r="DT13" s="23"/>
      <c r="DU13" s="23"/>
      <c r="DV13" s="23"/>
      <c r="DW13" s="23"/>
      <c r="DX13" s="23"/>
      <c r="DY13" s="23"/>
      <c r="DZ13" s="23"/>
      <c r="EA13" s="160"/>
      <c r="EB13" s="48"/>
      <c r="EC13" s="48"/>
      <c r="ED13" s="48"/>
      <c r="EE13" s="48"/>
      <c r="EF13" s="40"/>
      <c r="EG13" s="40"/>
      <c r="EZ13" s="172"/>
    </row>
    <row r="14" spans="1:182" ht="12.75" customHeight="1">
      <c r="A14" s="56">
        <v>16</v>
      </c>
      <c r="B14" s="4">
        <v>50</v>
      </c>
      <c r="C14" s="4">
        <v>50</v>
      </c>
      <c r="D14" s="4">
        <v>60</v>
      </c>
      <c r="E14" s="4">
        <v>120</v>
      </c>
      <c r="F14" s="56" t="s">
        <v>220</v>
      </c>
      <c r="G14" s="219">
        <f>VLOOKUP($G$12,$A$13:$E$21,3,FALSE)</f>
        <v>70</v>
      </c>
      <c r="I14" s="299" t="str" cm="1">
        <f t="array" ref="I14">_xll.Dce_Name_SectI($W$39,$W$39,$W$41,$W$40,$W$42,"x","-",K14)</f>
        <v>624x6x185x12</v>
      </c>
      <c r="J14" s="299"/>
      <c r="K14" s="16" t="s">
        <v>383</v>
      </c>
      <c r="M14" s="243" t="s">
        <v>51</v>
      </c>
      <c r="N14" s="246"/>
      <c r="O14" s="246"/>
      <c r="P14" s="246"/>
      <c r="Q14" s="246"/>
      <c r="R14" s="246"/>
      <c r="S14" s="248"/>
      <c r="T14" s="249"/>
      <c r="U14" s="246"/>
      <c r="V14" s="2"/>
      <c r="W14" s="2"/>
      <c r="X14" s="247"/>
      <c r="AA14" s="133"/>
      <c r="AB14" s="132" t="s">
        <v>52</v>
      </c>
      <c r="AC14" s="132"/>
      <c r="AD14" s="146"/>
      <c r="AE14" s="49">
        <f>W17</f>
        <v>5.6</v>
      </c>
      <c r="AF14" s="20"/>
      <c r="AG14" s="20"/>
      <c r="AH14" s="20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  <c r="AU14" s="23"/>
      <c r="AV14" s="23"/>
      <c r="AW14" s="23"/>
      <c r="AX14" s="23"/>
      <c r="AY14" s="23"/>
      <c r="AZ14" s="23"/>
      <c r="BA14" s="23"/>
      <c r="BB14" s="21" t="s">
        <v>50</v>
      </c>
      <c r="BC14" s="22">
        <f>W18</f>
        <v>300</v>
      </c>
      <c r="BD14" s="50" t="s">
        <v>20</v>
      </c>
      <c r="BE14" s="22"/>
      <c r="BF14" s="40"/>
      <c r="BG14" s="40"/>
      <c r="DA14" s="173" t="s">
        <v>52</v>
      </c>
      <c r="DB14" s="133"/>
      <c r="DC14" s="132"/>
      <c r="DD14" s="146"/>
      <c r="DE14" s="134"/>
      <c r="DF14" s="20"/>
      <c r="DG14" s="20"/>
      <c r="DH14" s="20"/>
      <c r="DI14" s="23"/>
      <c r="DJ14" s="23"/>
      <c r="DK14" s="23"/>
      <c r="DL14" s="23"/>
      <c r="DM14" s="23"/>
      <c r="DN14" s="23"/>
      <c r="DO14" s="23"/>
      <c r="DP14" s="23"/>
      <c r="DQ14" s="23"/>
      <c r="DR14" s="23"/>
      <c r="DS14" s="49">
        <f>W17</f>
        <v>5.6</v>
      </c>
      <c r="DT14" s="23"/>
      <c r="DU14" s="23"/>
      <c r="DV14" s="23"/>
      <c r="DW14" s="23"/>
      <c r="DX14" s="23"/>
      <c r="DY14" s="23"/>
      <c r="DZ14" s="23"/>
      <c r="EA14" s="21" t="s">
        <v>50</v>
      </c>
      <c r="EB14" s="22">
        <f>W18</f>
        <v>300</v>
      </c>
      <c r="EC14" s="50" t="s">
        <v>20</v>
      </c>
      <c r="ED14" s="22"/>
      <c r="EE14" s="50" t="s">
        <v>20</v>
      </c>
      <c r="EF14" s="40"/>
      <c r="EG14" s="40"/>
      <c r="EP14" s="163"/>
      <c r="ET14" s="2" t="s">
        <v>410</v>
      </c>
      <c r="EU14" s="2" t="s">
        <v>416</v>
      </c>
      <c r="EZ14" s="172"/>
    </row>
    <row r="15" spans="1:182" ht="12.75" customHeight="1">
      <c r="A15" s="56">
        <v>18</v>
      </c>
      <c r="B15" s="4">
        <v>50</v>
      </c>
      <c r="C15" s="4">
        <v>50</v>
      </c>
      <c r="D15" s="4">
        <v>60</v>
      </c>
      <c r="E15" s="4">
        <v>120</v>
      </c>
      <c r="F15" s="56" t="s">
        <v>221</v>
      </c>
      <c r="G15" s="219">
        <f>VLOOKUP($G$12,$A$13:$E$21,4,FALSE)</f>
        <v>80</v>
      </c>
      <c r="I15" s="299" t="str" cm="1">
        <f t="array" ref="I15">_xll.Dce_Name_SectI($W$39,$W$39,$W$41,$W$40,$W$42,"x","-",K15)</f>
        <v>600x185+6x12</v>
      </c>
      <c r="J15" s="299"/>
      <c r="K15" s="16" t="s">
        <v>384</v>
      </c>
      <c r="M15" s="243" t="s">
        <v>52</v>
      </c>
      <c r="N15" s="246"/>
      <c r="O15" s="246"/>
      <c r="P15" s="246"/>
      <c r="Q15" s="246"/>
      <c r="R15" s="246"/>
      <c r="S15" s="248"/>
      <c r="T15" s="249"/>
      <c r="U15" s="246"/>
      <c r="V15" s="2"/>
      <c r="W15" s="2"/>
      <c r="X15" s="247"/>
      <c r="AA15" s="133"/>
      <c r="AB15" s="132" t="s">
        <v>53</v>
      </c>
      <c r="AC15" s="132"/>
      <c r="AD15" s="146"/>
      <c r="AE15" s="49" t="str">
        <f>W22</f>
        <v>CCT38</v>
      </c>
      <c r="AF15" s="20"/>
      <c r="AG15" s="20"/>
      <c r="AH15" s="20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  <c r="AX15" s="23"/>
      <c r="AY15" s="23"/>
      <c r="AZ15" s="23"/>
      <c r="BA15" s="23"/>
      <c r="BB15" s="21" t="s">
        <v>50</v>
      </c>
      <c r="BC15" s="22">
        <f>W23</f>
        <v>240</v>
      </c>
      <c r="BD15" s="50" t="s">
        <v>20</v>
      </c>
      <c r="BE15" s="22"/>
      <c r="BF15" s="40"/>
      <c r="BG15" s="40"/>
      <c r="DA15" s="173" t="s">
        <v>53</v>
      </c>
      <c r="DB15" s="133"/>
      <c r="DC15" s="132"/>
      <c r="DD15" s="146"/>
      <c r="DE15" s="134"/>
      <c r="DF15" s="20"/>
      <c r="DG15" s="20"/>
      <c r="DH15" s="20"/>
      <c r="DI15" s="23"/>
      <c r="DJ15" s="23"/>
      <c r="DK15" s="23"/>
      <c r="DL15" s="23"/>
      <c r="DM15" s="23"/>
      <c r="DN15" s="23"/>
      <c r="DO15" s="23"/>
      <c r="DP15" s="23"/>
      <c r="DQ15" s="23"/>
      <c r="DR15" s="23"/>
      <c r="DS15" s="49" t="str">
        <f>W22</f>
        <v>CCT38</v>
      </c>
      <c r="DT15" s="23"/>
      <c r="DU15" s="23"/>
      <c r="DV15" s="23"/>
      <c r="DW15" s="23"/>
      <c r="DX15" s="23"/>
      <c r="DY15" s="23"/>
      <c r="DZ15" s="23"/>
      <c r="EA15" s="21" t="s">
        <v>50</v>
      </c>
      <c r="EB15" s="22">
        <f>W23</f>
        <v>240</v>
      </c>
      <c r="EC15" s="50" t="s">
        <v>20</v>
      </c>
      <c r="ED15" s="22"/>
      <c r="EE15" s="50" t="s">
        <v>20</v>
      </c>
      <c r="EF15" s="40"/>
      <c r="EG15" s="40"/>
      <c r="EP15" s="163"/>
      <c r="ET15" s="2" t="s">
        <v>421</v>
      </c>
      <c r="EU15" s="2" t="s">
        <v>420</v>
      </c>
      <c r="EZ15" s="172"/>
    </row>
    <row r="16" spans="1:182" ht="12.75" customHeight="1">
      <c r="A16" s="56">
        <v>20</v>
      </c>
      <c r="B16" s="4">
        <v>50</v>
      </c>
      <c r="C16" s="4">
        <v>50</v>
      </c>
      <c r="D16" s="4">
        <v>60</v>
      </c>
      <c r="E16" s="4">
        <v>120</v>
      </c>
      <c r="F16" s="56" t="s">
        <v>222</v>
      </c>
      <c r="G16" s="219">
        <f>VLOOKUP($G$12,$A$13:$E$21,5,FALSE)</f>
        <v>200</v>
      </c>
      <c r="I16" s="299" t="s">
        <v>412</v>
      </c>
      <c r="J16" s="299"/>
      <c r="K16" s="220" t="s">
        <v>386</v>
      </c>
      <c r="M16" s="244"/>
      <c r="N16" s="246" t="str">
        <f>"- Loại bu lông:"</f>
        <v>- Loại bu lông:</v>
      </c>
      <c r="O16" s="246"/>
      <c r="P16" s="248"/>
      <c r="Q16" s="250"/>
      <c r="R16" s="246"/>
      <c r="S16" s="2"/>
      <c r="T16" s="2"/>
      <c r="U16" s="2"/>
      <c r="V16" s="2"/>
      <c r="W16" s="20" t="s">
        <v>82</v>
      </c>
      <c r="X16" s="239"/>
      <c r="AA16" s="133"/>
      <c r="AB16" s="132" t="s">
        <v>54</v>
      </c>
      <c r="AC16" s="132"/>
      <c r="AD16" s="146"/>
      <c r="AE16" s="49" t="str">
        <f>W28</f>
        <v>N42</v>
      </c>
      <c r="AF16" s="20"/>
      <c r="AG16" s="20"/>
      <c r="AH16" s="20"/>
      <c r="AI16" s="23"/>
      <c r="AJ16" s="23"/>
      <c r="AK16" s="23"/>
      <c r="AL16" s="23"/>
      <c r="AM16" s="23"/>
      <c r="AN16" s="23"/>
      <c r="AO16" s="23"/>
      <c r="AP16" s="147"/>
      <c r="AQ16" s="23"/>
      <c r="AR16" s="23"/>
      <c r="AS16" s="23"/>
      <c r="AT16" s="23"/>
      <c r="AU16" s="23"/>
      <c r="AV16" s="23"/>
      <c r="AW16" s="23"/>
      <c r="AX16" s="23"/>
      <c r="AY16" s="23"/>
      <c r="AZ16" s="23"/>
      <c r="BA16" s="23"/>
      <c r="BB16" s="21" t="s">
        <v>128</v>
      </c>
      <c r="BC16" s="22">
        <f>W29</f>
        <v>410</v>
      </c>
      <c r="BD16" s="50" t="s">
        <v>20</v>
      </c>
      <c r="BE16" s="22"/>
      <c r="BF16" s="40"/>
      <c r="BG16" s="40"/>
      <c r="DA16" s="173" t="s">
        <v>54</v>
      </c>
      <c r="DB16" s="133"/>
      <c r="DC16" s="132"/>
      <c r="DD16" s="146"/>
      <c r="DE16" s="134"/>
      <c r="DF16" s="20"/>
      <c r="DG16" s="20"/>
      <c r="DH16" s="20"/>
      <c r="DI16" s="23"/>
      <c r="DJ16" s="23"/>
      <c r="DK16" s="23"/>
      <c r="DL16" s="23"/>
      <c r="DM16" s="23"/>
      <c r="DN16" s="23"/>
      <c r="DO16" s="23"/>
      <c r="DP16" s="147"/>
      <c r="DQ16" s="23"/>
      <c r="DR16" s="23"/>
      <c r="DS16" s="49" t="str">
        <f>W28</f>
        <v>N42</v>
      </c>
      <c r="DT16" s="23"/>
      <c r="DU16" s="23"/>
      <c r="DV16" s="23"/>
      <c r="DW16" s="23"/>
      <c r="DX16" s="23"/>
      <c r="DY16" s="23"/>
      <c r="DZ16" s="23"/>
      <c r="EA16" s="21" t="s">
        <v>128</v>
      </c>
      <c r="EB16" s="22">
        <f>W29</f>
        <v>410</v>
      </c>
      <c r="EC16" s="50" t="s">
        <v>20</v>
      </c>
      <c r="ED16" s="22"/>
      <c r="EE16" s="50" t="s">
        <v>20</v>
      </c>
      <c r="EF16" s="40"/>
      <c r="EG16" s="40"/>
      <c r="EP16" s="163"/>
      <c r="ET16" s="2" t="s">
        <v>422</v>
      </c>
      <c r="EU16" s="2" t="s">
        <v>418</v>
      </c>
      <c r="EZ16" s="172"/>
    </row>
    <row r="17" spans="1:156" ht="12.75" customHeight="1">
      <c r="A17" s="56">
        <v>24</v>
      </c>
      <c r="B17" s="4">
        <v>60</v>
      </c>
      <c r="C17" s="4">
        <v>70</v>
      </c>
      <c r="D17" s="4">
        <v>80</v>
      </c>
      <c r="E17" s="4">
        <v>150</v>
      </c>
      <c r="F17" s="293"/>
      <c r="G17" s="294"/>
      <c r="M17" s="244"/>
      <c r="N17" s="246" t="str">
        <f>"- Cấp độ bền bu lông:"</f>
        <v>- Cấp độ bền bu lông:</v>
      </c>
      <c r="O17" s="246"/>
      <c r="P17" s="248"/>
      <c r="Q17" s="250"/>
      <c r="R17" s="246"/>
      <c r="S17" s="2"/>
      <c r="T17" s="2"/>
      <c r="U17" s="2"/>
      <c r="V17" s="2"/>
      <c r="W17" s="20">
        <v>5.6</v>
      </c>
      <c r="X17" s="239"/>
      <c r="AA17" s="133"/>
      <c r="AB17" s="132" t="s">
        <v>55</v>
      </c>
      <c r="AC17" s="132"/>
      <c r="AD17" s="146"/>
      <c r="AE17" s="49" t="str">
        <f>W35</f>
        <v>B25</v>
      </c>
      <c r="AF17" s="20"/>
      <c r="AG17" s="20"/>
      <c r="AH17" s="20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23"/>
      <c r="AY17" s="23"/>
      <c r="AZ17" s="23"/>
      <c r="BA17" s="23"/>
      <c r="BB17" s="21" t="s">
        <v>64</v>
      </c>
      <c r="BC17" s="22">
        <f>W36</f>
        <v>14.5</v>
      </c>
      <c r="BD17" s="2" t="s">
        <v>20</v>
      </c>
      <c r="BE17" s="22"/>
      <c r="BF17" s="40"/>
      <c r="BG17" s="40"/>
      <c r="DA17" s="173" t="s">
        <v>55</v>
      </c>
      <c r="DB17" s="133"/>
      <c r="DC17" s="132"/>
      <c r="DD17" s="146"/>
      <c r="DE17" s="134"/>
      <c r="DF17" s="20"/>
      <c r="DG17" s="20"/>
      <c r="DH17" s="20"/>
      <c r="DI17" s="23"/>
      <c r="DJ17" s="23"/>
      <c r="DK17" s="23"/>
      <c r="DL17" s="23"/>
      <c r="DM17" s="23"/>
      <c r="DN17" s="23"/>
      <c r="DO17" s="23"/>
      <c r="DP17" s="23"/>
      <c r="DQ17" s="23"/>
      <c r="DR17" s="23"/>
      <c r="DS17" s="49" t="str">
        <f>W35</f>
        <v>B25</v>
      </c>
      <c r="DT17" s="23"/>
      <c r="DU17" s="23"/>
      <c r="DV17" s="23"/>
      <c r="DW17" s="23"/>
      <c r="DX17" s="23"/>
      <c r="DY17" s="23"/>
      <c r="DZ17" s="23"/>
      <c r="EA17" s="21" t="s">
        <v>64</v>
      </c>
      <c r="EB17" s="22">
        <f>W36</f>
        <v>14.5</v>
      </c>
      <c r="EC17" s="2" t="s">
        <v>20</v>
      </c>
      <c r="ED17" s="22"/>
      <c r="EE17" s="2" t="s">
        <v>20</v>
      </c>
      <c r="EF17" s="40"/>
      <c r="EG17" s="40"/>
      <c r="ET17" s="2" t="s">
        <v>417</v>
      </c>
      <c r="EU17" s="2" t="s">
        <v>419</v>
      </c>
      <c r="EZ17" s="172"/>
    </row>
    <row r="18" spans="1:156" ht="12.75" customHeight="1">
      <c r="A18" s="56">
        <v>27</v>
      </c>
      <c r="B18" s="4">
        <v>60</v>
      </c>
      <c r="C18" s="4">
        <v>70</v>
      </c>
      <c r="D18" s="4">
        <v>80</v>
      </c>
      <c r="E18" s="4">
        <v>160</v>
      </c>
      <c r="F18" s="295"/>
      <c r="G18" s="296"/>
      <c r="M18" s="244"/>
      <c r="N18" s="246" t="str">
        <f>"- Giới hạn chảy của thép:"</f>
        <v>- Giới hạn chảy của thép:</v>
      </c>
      <c r="O18" s="246"/>
      <c r="P18" s="248"/>
      <c r="Q18" s="250"/>
      <c r="R18" s="246"/>
      <c r="S18" s="2"/>
      <c r="T18" s="2"/>
      <c r="U18" s="251"/>
      <c r="V18" s="252" t="s">
        <v>50</v>
      </c>
      <c r="W18" s="22">
        <f>VLOOKUP(W17,Data!K4:O99,3,FALSE)</f>
        <v>300</v>
      </c>
      <c r="X18" s="253" t="s">
        <v>20</v>
      </c>
      <c r="AA18" s="135" t="s">
        <v>212</v>
      </c>
      <c r="AB18" s="135"/>
      <c r="AC18" s="135"/>
      <c r="AD18" s="145"/>
      <c r="AE18" s="134"/>
      <c r="AF18" s="20"/>
      <c r="AG18" s="20"/>
      <c r="AH18" s="20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  <c r="BA18" s="23"/>
      <c r="BB18" s="48"/>
      <c r="BC18" s="48"/>
      <c r="BD18" s="48"/>
      <c r="BE18" s="48"/>
      <c r="BF18" s="40"/>
      <c r="BG18" s="40"/>
      <c r="DA18" s="171" t="s">
        <v>212</v>
      </c>
      <c r="DB18" s="135"/>
      <c r="DC18" s="135"/>
      <c r="DD18" s="145"/>
      <c r="DE18" s="134"/>
      <c r="DF18" s="20"/>
      <c r="DG18" s="20"/>
      <c r="DH18" s="20"/>
      <c r="DI18" s="23"/>
      <c r="DJ18" s="23"/>
      <c r="DK18" s="23"/>
      <c r="DL18" s="23"/>
      <c r="DM18" s="23"/>
      <c r="DN18" s="23"/>
      <c r="DO18" s="23"/>
      <c r="DP18" s="23"/>
      <c r="DQ18" s="23"/>
      <c r="DR18" s="23"/>
      <c r="DS18" s="23"/>
      <c r="DT18" s="23"/>
      <c r="DU18" s="23"/>
      <c r="DV18" s="23"/>
      <c r="DW18" s="23"/>
      <c r="DX18" s="23"/>
      <c r="DY18" s="23"/>
      <c r="DZ18" s="23"/>
      <c r="EA18" s="160"/>
      <c r="EB18" s="48"/>
      <c r="EC18" s="48"/>
      <c r="ED18" s="48"/>
      <c r="EE18" s="48"/>
      <c r="EF18" s="40"/>
      <c r="EG18" s="40"/>
      <c r="EZ18" s="172"/>
    </row>
    <row r="19" spans="1:156" ht="12.75" customHeight="1">
      <c r="A19" s="56">
        <v>30</v>
      </c>
      <c r="B19" s="4">
        <v>60</v>
      </c>
      <c r="C19" s="4">
        <v>70</v>
      </c>
      <c r="D19" s="4">
        <v>80</v>
      </c>
      <c r="E19" s="4">
        <v>200</v>
      </c>
      <c r="F19" s="295"/>
      <c r="G19" s="296"/>
      <c r="M19" s="244"/>
      <c r="N19" s="246" t="str">
        <f>"- Cường độ chịu kéo tính toán:"</f>
        <v>- Cường độ chịu kéo tính toán:</v>
      </c>
      <c r="O19" s="246"/>
      <c r="P19" s="248"/>
      <c r="Q19" s="250"/>
      <c r="R19" s="246"/>
      <c r="S19" s="2"/>
      <c r="T19" s="2"/>
      <c r="U19" s="2"/>
      <c r="V19" s="21" t="s">
        <v>49</v>
      </c>
      <c r="W19" s="22">
        <f>0.8*W18</f>
        <v>240</v>
      </c>
      <c r="X19" s="253" t="s">
        <v>20</v>
      </c>
      <c r="AA19" s="373" t="s">
        <v>403</v>
      </c>
      <c r="AB19" s="315"/>
      <c r="AC19" s="315"/>
      <c r="AD19" s="315"/>
      <c r="AE19" s="374"/>
      <c r="AF19" s="372" t="s">
        <v>391</v>
      </c>
      <c r="AG19" s="372"/>
      <c r="AH19" s="372"/>
      <c r="AI19" s="372"/>
      <c r="AJ19" s="372"/>
      <c r="AK19" s="372" t="s">
        <v>397</v>
      </c>
      <c r="AL19" s="372"/>
      <c r="AM19" s="372"/>
      <c r="AN19" s="372"/>
      <c r="AO19" s="372"/>
      <c r="AP19" s="372"/>
      <c r="AQ19" s="372"/>
      <c r="AR19" s="142"/>
      <c r="AS19" s="142"/>
      <c r="AT19" s="142"/>
      <c r="AU19" s="142"/>
      <c r="AV19" s="142"/>
      <c r="AW19" s="142"/>
      <c r="AX19" s="142"/>
      <c r="AY19" s="142"/>
      <c r="AZ19" s="142"/>
      <c r="BA19" s="315" t="s">
        <v>213</v>
      </c>
      <c r="BB19" s="315"/>
      <c r="BC19" s="315"/>
      <c r="BD19" s="315"/>
      <c r="BE19" s="315"/>
      <c r="BF19" s="315"/>
      <c r="BG19" s="156"/>
      <c r="BH19" s="312" t="s">
        <v>304</v>
      </c>
      <c r="BI19" s="312"/>
      <c r="BJ19" s="312"/>
      <c r="BK19" s="312"/>
      <c r="BL19" s="312"/>
      <c r="BM19" s="312"/>
      <c r="BN19" s="312"/>
      <c r="BO19" s="312"/>
      <c r="BP19" s="312"/>
      <c r="BQ19" s="312"/>
      <c r="BR19" s="312"/>
      <c r="BS19" s="312"/>
      <c r="BT19" s="312" t="s">
        <v>317</v>
      </c>
      <c r="BU19" s="312"/>
      <c r="BV19" s="312"/>
      <c r="BW19" s="312"/>
      <c r="BX19" s="312" t="s">
        <v>380</v>
      </c>
      <c r="BY19" s="312"/>
      <c r="BZ19" s="312"/>
      <c r="DA19" s="331" t="s">
        <v>403</v>
      </c>
      <c r="DB19" s="332"/>
      <c r="DC19" s="332"/>
      <c r="DD19" s="332"/>
      <c r="DE19" s="332"/>
      <c r="DF19" s="332"/>
      <c r="DG19" s="332"/>
      <c r="DH19" s="332"/>
      <c r="DI19" s="332"/>
      <c r="DJ19" s="332"/>
      <c r="DK19" s="332"/>
      <c r="DL19" s="332"/>
      <c r="DM19" s="332"/>
      <c r="DN19" s="332"/>
      <c r="DO19" s="332"/>
      <c r="DP19" s="332"/>
      <c r="DQ19" s="332"/>
      <c r="DR19" s="332"/>
      <c r="DS19" s="333"/>
      <c r="DT19" s="198"/>
      <c r="DU19" s="198"/>
      <c r="DV19" s="198"/>
      <c r="DW19" s="198"/>
      <c r="DX19" s="198"/>
      <c r="DY19" s="198"/>
      <c r="DZ19" s="198"/>
      <c r="EA19" s="319" t="s">
        <v>213</v>
      </c>
      <c r="EB19" s="319"/>
      <c r="EC19" s="319"/>
      <c r="ED19" s="319"/>
      <c r="EE19" s="319"/>
      <c r="EF19" s="319"/>
      <c r="EG19" s="199"/>
      <c r="EH19" s="306" t="s">
        <v>304</v>
      </c>
      <c r="EI19" s="306"/>
      <c r="EJ19" s="306"/>
      <c r="EK19" s="306"/>
      <c r="EL19" s="306"/>
      <c r="EM19" s="306"/>
      <c r="EN19" s="306"/>
      <c r="EO19" s="306"/>
      <c r="EP19" s="306"/>
      <c r="EQ19" s="306"/>
      <c r="ER19" s="306"/>
      <c r="ES19" s="306"/>
      <c r="ET19" s="306" t="s">
        <v>317</v>
      </c>
      <c r="EU19" s="306"/>
      <c r="EV19" s="306"/>
      <c r="EW19" s="306"/>
      <c r="EX19" s="306" t="s">
        <v>380</v>
      </c>
      <c r="EY19" s="306"/>
      <c r="EZ19" s="306"/>
    </row>
    <row r="20" spans="1:156" ht="12.75" customHeight="1">
      <c r="A20" s="56">
        <v>33</v>
      </c>
      <c r="B20" s="4">
        <v>60</v>
      </c>
      <c r="C20" s="4">
        <v>70</v>
      </c>
      <c r="D20" s="4">
        <v>80</v>
      </c>
      <c r="E20" s="4">
        <v>200</v>
      </c>
      <c r="F20" s="295"/>
      <c r="G20" s="296"/>
      <c r="M20" s="244"/>
      <c r="N20" s="246" t="str">
        <f>"- Hệ số điều kiện làm việc bu lông:"</f>
        <v>- Hệ số điều kiện làm việc bu lông:</v>
      </c>
      <c r="O20" s="246"/>
      <c r="P20" s="248"/>
      <c r="Q20" s="250"/>
      <c r="R20" s="246"/>
      <c r="S20" s="2"/>
      <c r="T20" s="2"/>
      <c r="U20" s="2"/>
      <c r="V20" s="12" t="s">
        <v>48</v>
      </c>
      <c r="W20" s="20">
        <v>0.9</v>
      </c>
      <c r="X20" s="239"/>
      <c r="AA20" s="375"/>
      <c r="AB20" s="316"/>
      <c r="AC20" s="316"/>
      <c r="AD20" s="316"/>
      <c r="AE20" s="376"/>
      <c r="AF20" s="372"/>
      <c r="AG20" s="372"/>
      <c r="AH20" s="372"/>
      <c r="AI20" s="372"/>
      <c r="AJ20" s="372"/>
      <c r="AK20" s="372"/>
      <c r="AL20" s="372"/>
      <c r="AM20" s="372"/>
      <c r="AN20" s="372"/>
      <c r="AO20" s="372"/>
      <c r="AP20" s="372"/>
      <c r="AQ20" s="372"/>
      <c r="AR20" s="143"/>
      <c r="AS20" s="143"/>
      <c r="AT20" s="143"/>
      <c r="AU20" s="143"/>
      <c r="AV20" s="143"/>
      <c r="AW20" s="143"/>
      <c r="AX20" s="143"/>
      <c r="AY20" s="143"/>
      <c r="AZ20" s="143"/>
      <c r="BA20" s="316"/>
      <c r="BB20" s="316"/>
      <c r="BC20" s="316"/>
      <c r="BD20" s="316"/>
      <c r="BE20" s="316"/>
      <c r="BF20" s="316"/>
      <c r="BG20" s="156"/>
      <c r="BH20" s="312"/>
      <c r="BI20" s="312"/>
      <c r="BJ20" s="312"/>
      <c r="BK20" s="312"/>
      <c r="BL20" s="312"/>
      <c r="BM20" s="312"/>
      <c r="BN20" s="312"/>
      <c r="BO20" s="312"/>
      <c r="BP20" s="312"/>
      <c r="BQ20" s="312"/>
      <c r="BR20" s="312"/>
      <c r="BS20" s="312"/>
      <c r="BT20" s="312"/>
      <c r="BU20" s="312"/>
      <c r="BV20" s="312"/>
      <c r="BW20" s="312"/>
      <c r="BX20" s="312"/>
      <c r="BY20" s="312"/>
      <c r="BZ20" s="312"/>
      <c r="DA20" s="334"/>
      <c r="DB20" s="335"/>
      <c r="DC20" s="335"/>
      <c r="DD20" s="335"/>
      <c r="DE20" s="335"/>
      <c r="DF20" s="335"/>
      <c r="DG20" s="335"/>
      <c r="DH20" s="335"/>
      <c r="DI20" s="335"/>
      <c r="DJ20" s="335"/>
      <c r="DK20" s="335"/>
      <c r="DL20" s="335"/>
      <c r="DM20" s="335"/>
      <c r="DN20" s="335"/>
      <c r="DO20" s="335"/>
      <c r="DP20" s="335"/>
      <c r="DQ20" s="335"/>
      <c r="DR20" s="335"/>
      <c r="DS20" s="336"/>
      <c r="DT20" s="198"/>
      <c r="DU20" s="198"/>
      <c r="DV20" s="198"/>
      <c r="DW20" s="198"/>
      <c r="DX20" s="198"/>
      <c r="DY20" s="198"/>
      <c r="DZ20" s="198"/>
      <c r="EA20" s="319"/>
      <c r="EB20" s="319"/>
      <c r="EC20" s="319"/>
      <c r="ED20" s="319"/>
      <c r="EE20" s="319"/>
      <c r="EF20" s="319"/>
      <c r="EG20" s="199"/>
      <c r="EH20" s="306"/>
      <c r="EI20" s="306"/>
      <c r="EJ20" s="306"/>
      <c r="EK20" s="306"/>
      <c r="EL20" s="306"/>
      <c r="EM20" s="306"/>
      <c r="EN20" s="306"/>
      <c r="EO20" s="306"/>
      <c r="EP20" s="306"/>
      <c r="EQ20" s="306"/>
      <c r="ER20" s="306"/>
      <c r="ES20" s="306"/>
      <c r="ET20" s="306"/>
      <c r="EU20" s="306"/>
      <c r="EV20" s="306"/>
      <c r="EW20" s="306"/>
      <c r="EX20" s="306"/>
      <c r="EY20" s="306"/>
      <c r="EZ20" s="306"/>
    </row>
    <row r="21" spans="1:156" ht="12.75" customHeight="1">
      <c r="A21" s="56">
        <v>36</v>
      </c>
      <c r="B21" s="4">
        <v>60</v>
      </c>
      <c r="C21" s="4">
        <v>70</v>
      </c>
      <c r="D21" s="4">
        <v>80</v>
      </c>
      <c r="E21" s="4">
        <v>200</v>
      </c>
      <c r="F21" s="295"/>
      <c r="G21" s="296"/>
      <c r="M21" s="243" t="s">
        <v>53</v>
      </c>
      <c r="N21" s="246"/>
      <c r="O21" s="246"/>
      <c r="P21" s="246"/>
      <c r="Q21" s="246"/>
      <c r="R21" s="246"/>
      <c r="S21" s="248"/>
      <c r="T21" s="249"/>
      <c r="U21" s="246"/>
      <c r="V21" s="2"/>
      <c r="W21" s="2"/>
      <c r="X21" s="247"/>
      <c r="AA21" s="136" t="s">
        <v>214</v>
      </c>
      <c r="AB21" s="368" t="s">
        <v>386</v>
      </c>
      <c r="AC21" s="368" t="s">
        <v>390</v>
      </c>
      <c r="AD21" s="370" t="s">
        <v>387</v>
      </c>
      <c r="AE21" s="52" t="s">
        <v>137</v>
      </c>
      <c r="AF21" s="52" t="s">
        <v>392</v>
      </c>
      <c r="AG21" s="52" t="s">
        <v>393</v>
      </c>
      <c r="AH21" s="52" t="s">
        <v>394</v>
      </c>
      <c r="AI21" s="52" t="s">
        <v>395</v>
      </c>
      <c r="AJ21" s="52" t="s">
        <v>396</v>
      </c>
      <c r="AK21" s="51" t="s">
        <v>398</v>
      </c>
      <c r="AL21" s="51" t="s">
        <v>399</v>
      </c>
      <c r="AM21" s="51" t="s">
        <v>400</v>
      </c>
      <c r="AN21" s="378" t="s">
        <v>401</v>
      </c>
      <c r="AO21" s="379"/>
      <c r="AP21" s="379"/>
      <c r="AQ21" s="380"/>
      <c r="AR21" s="100" t="s">
        <v>404</v>
      </c>
      <c r="AS21" s="100" t="s">
        <v>334</v>
      </c>
      <c r="AT21" s="52"/>
      <c r="AU21" s="52"/>
      <c r="AV21" s="52"/>
      <c r="AW21" s="377"/>
      <c r="AX21" s="128"/>
      <c r="AY21" s="377"/>
      <c r="AZ21" s="128"/>
      <c r="BA21" s="311" t="s">
        <v>138</v>
      </c>
      <c r="BB21" s="53" t="s">
        <v>407</v>
      </c>
      <c r="BC21" s="53" t="s">
        <v>408</v>
      </c>
      <c r="BD21" s="53" t="s">
        <v>139</v>
      </c>
      <c r="BE21" s="53" t="s">
        <v>142</v>
      </c>
      <c r="BF21" s="52" t="s">
        <v>215</v>
      </c>
      <c r="BG21" s="311"/>
      <c r="BH21" s="52" t="s">
        <v>305</v>
      </c>
      <c r="BI21" s="52" t="s">
        <v>307</v>
      </c>
      <c r="BJ21" s="52" t="s">
        <v>306</v>
      </c>
      <c r="BK21" s="52" t="s">
        <v>308</v>
      </c>
      <c r="BL21" s="52" t="s">
        <v>309</v>
      </c>
      <c r="BM21" s="52" t="s">
        <v>310</v>
      </c>
      <c r="BN21" s="366" t="s">
        <v>216</v>
      </c>
      <c r="BO21" s="52" t="s">
        <v>222</v>
      </c>
      <c r="BP21" s="52" t="s">
        <v>314</v>
      </c>
      <c r="BQ21" s="52" t="s">
        <v>379</v>
      </c>
      <c r="BR21" s="366" t="s">
        <v>312</v>
      </c>
      <c r="BS21" s="367" t="s">
        <v>313</v>
      </c>
      <c r="BT21" s="101" t="s">
        <v>315</v>
      </c>
      <c r="BU21" s="101" t="s">
        <v>316</v>
      </c>
      <c r="BV21" s="366" t="s">
        <v>312</v>
      </c>
      <c r="BW21" s="367" t="s">
        <v>313</v>
      </c>
      <c r="BX21" s="101" t="s">
        <v>381</v>
      </c>
      <c r="BY21" s="366" t="s">
        <v>312</v>
      </c>
      <c r="BZ21" s="367" t="s">
        <v>313</v>
      </c>
      <c r="DA21" s="197" t="s">
        <v>214</v>
      </c>
      <c r="DB21" s="290" t="s">
        <v>386</v>
      </c>
      <c r="DC21" s="290" t="s">
        <v>390</v>
      </c>
      <c r="DD21" s="307" t="s">
        <v>387</v>
      </c>
      <c r="DE21" s="201" t="s">
        <v>137</v>
      </c>
      <c r="DF21" s="201" t="s">
        <v>392</v>
      </c>
      <c r="DG21" s="201" t="s">
        <v>393</v>
      </c>
      <c r="DH21" s="201" t="s">
        <v>394</v>
      </c>
      <c r="DI21" s="201" t="s">
        <v>395</v>
      </c>
      <c r="DJ21" s="201" t="s">
        <v>396</v>
      </c>
      <c r="DK21" s="202" t="s">
        <v>398</v>
      </c>
      <c r="DL21" s="202" t="s">
        <v>399</v>
      </c>
      <c r="DM21" s="202" t="s">
        <v>400</v>
      </c>
      <c r="DN21" s="320" t="s">
        <v>401</v>
      </c>
      <c r="DO21" s="320"/>
      <c r="DP21" s="320"/>
      <c r="DQ21" s="320"/>
      <c r="DR21" s="197" t="s">
        <v>404</v>
      </c>
      <c r="DS21" s="338" t="s">
        <v>334</v>
      </c>
      <c r="DT21" s="201"/>
      <c r="DU21" s="201"/>
      <c r="DV21" s="201"/>
      <c r="DW21" s="307"/>
      <c r="DX21" s="203"/>
      <c r="DY21" s="307"/>
      <c r="DZ21" s="203"/>
      <c r="EA21" s="290" t="s">
        <v>138</v>
      </c>
      <c r="EB21" s="204" t="s">
        <v>407</v>
      </c>
      <c r="EC21" s="204" t="s">
        <v>408</v>
      </c>
      <c r="ED21" s="204" t="s">
        <v>139</v>
      </c>
      <c r="EE21" s="204" t="s">
        <v>142</v>
      </c>
      <c r="EF21" s="201" t="s">
        <v>215</v>
      </c>
      <c r="EG21" s="290"/>
      <c r="EH21" s="201" t="s">
        <v>305</v>
      </c>
      <c r="EI21" s="201" t="s">
        <v>307</v>
      </c>
      <c r="EJ21" s="201" t="s">
        <v>306</v>
      </c>
      <c r="EK21" s="201" t="s">
        <v>308</v>
      </c>
      <c r="EL21" s="201" t="s">
        <v>309</v>
      </c>
      <c r="EM21" s="201" t="s">
        <v>310</v>
      </c>
      <c r="EN21" s="289" t="s">
        <v>216</v>
      </c>
      <c r="EO21" s="201" t="s">
        <v>222</v>
      </c>
      <c r="EP21" s="201" t="s">
        <v>314</v>
      </c>
      <c r="EQ21" s="201" t="s">
        <v>379</v>
      </c>
      <c r="ER21" s="289" t="s">
        <v>410</v>
      </c>
      <c r="ES21" s="308" t="s">
        <v>313</v>
      </c>
      <c r="ET21" s="205" t="s">
        <v>315</v>
      </c>
      <c r="EU21" s="205" t="s">
        <v>316</v>
      </c>
      <c r="EV21" s="289" t="s">
        <v>410</v>
      </c>
      <c r="EW21" s="308" t="s">
        <v>313</v>
      </c>
      <c r="EX21" s="205" t="s">
        <v>381</v>
      </c>
      <c r="EY21" s="289" t="s">
        <v>410</v>
      </c>
      <c r="EZ21" s="308" t="s">
        <v>313</v>
      </c>
    </row>
    <row r="22" spans="1:156" ht="12.75" customHeight="1">
      <c r="A22" s="56"/>
      <c r="B22" s="98"/>
      <c r="C22" s="98"/>
      <c r="D22" s="98"/>
      <c r="E22" s="98"/>
      <c r="F22" s="295"/>
      <c r="G22" s="296"/>
      <c r="M22" s="244"/>
      <c r="N22" s="246" t="str">
        <f>"- Bản đế, sườn đế:"</f>
        <v>- Bản đế, sườn đế:</v>
      </c>
      <c r="O22" s="246"/>
      <c r="P22" s="248"/>
      <c r="Q22" s="250"/>
      <c r="R22" s="246"/>
      <c r="S22" s="2"/>
      <c r="T22" s="2"/>
      <c r="U22" s="2"/>
      <c r="V22" s="2"/>
      <c r="W22" s="23" t="s">
        <v>427</v>
      </c>
      <c r="X22" s="239"/>
      <c r="AA22" s="137">
        <f>23+COUNTA(AB23:AB1000011)</f>
        <v>31</v>
      </c>
      <c r="AB22" s="369"/>
      <c r="AC22" s="369"/>
      <c r="AD22" s="371"/>
      <c r="AE22" s="52" t="s">
        <v>140</v>
      </c>
      <c r="AF22" s="52" t="s">
        <v>179</v>
      </c>
      <c r="AG22" s="52" t="s">
        <v>179</v>
      </c>
      <c r="AH22" s="52" t="s">
        <v>179</v>
      </c>
      <c r="AI22" s="52" t="s">
        <v>179</v>
      </c>
      <c r="AJ22" s="52" t="s">
        <v>179</v>
      </c>
      <c r="AK22" s="52" t="s">
        <v>179</v>
      </c>
      <c r="AL22" s="52" t="s">
        <v>179</v>
      </c>
      <c r="AM22" s="52" t="s">
        <v>179</v>
      </c>
      <c r="AN22" s="52" t="s">
        <v>406</v>
      </c>
      <c r="AO22" s="52" t="s">
        <v>332</v>
      </c>
      <c r="AP22" s="52" t="s">
        <v>216</v>
      </c>
      <c r="AQ22" s="52" t="s">
        <v>402</v>
      </c>
      <c r="AR22" s="141" t="s">
        <v>383</v>
      </c>
      <c r="AS22" s="157"/>
      <c r="AT22" s="52"/>
      <c r="AU22" s="52"/>
      <c r="AV22" s="52"/>
      <c r="AW22" s="377"/>
      <c r="AX22" s="52"/>
      <c r="AY22" s="377"/>
      <c r="AZ22" s="52"/>
      <c r="BA22" s="311"/>
      <c r="BB22" s="53" t="s">
        <v>71</v>
      </c>
      <c r="BC22" s="53" t="s">
        <v>71</v>
      </c>
      <c r="BD22" s="53" t="s">
        <v>71</v>
      </c>
      <c r="BE22" s="53" t="s">
        <v>71</v>
      </c>
      <c r="BF22" s="52" t="s">
        <v>72</v>
      </c>
      <c r="BG22" s="311"/>
      <c r="BH22" s="52" t="s">
        <v>140</v>
      </c>
      <c r="BI22" s="52" t="s">
        <v>1</v>
      </c>
      <c r="BJ22" s="52" t="s">
        <v>1</v>
      </c>
      <c r="BK22" s="52" t="s">
        <v>1</v>
      </c>
      <c r="BL22" s="52" t="s">
        <v>1</v>
      </c>
      <c r="BM22" s="52" t="s">
        <v>1</v>
      </c>
      <c r="BN22" s="366"/>
      <c r="BO22" s="52" t="s">
        <v>71</v>
      </c>
      <c r="BP22" s="52" t="s">
        <v>311</v>
      </c>
      <c r="BQ22" s="52" t="s">
        <v>311</v>
      </c>
      <c r="BR22" s="366"/>
      <c r="BS22" s="367"/>
      <c r="BT22" s="100" t="s">
        <v>20</v>
      </c>
      <c r="BU22" s="100" t="s">
        <v>20</v>
      </c>
      <c r="BV22" s="366"/>
      <c r="BW22" s="367"/>
      <c r="BX22" s="100" t="s">
        <v>71</v>
      </c>
      <c r="BY22" s="366"/>
      <c r="BZ22" s="367"/>
      <c r="DA22" s="206">
        <f>23+COUNTA(DB23:DB1000011)-1</f>
        <v>24</v>
      </c>
      <c r="DB22" s="290"/>
      <c r="DC22" s="290"/>
      <c r="DD22" s="307"/>
      <c r="DE22" s="201" t="s">
        <v>140</v>
      </c>
      <c r="DF22" s="201" t="s">
        <v>179</v>
      </c>
      <c r="DG22" s="201" t="s">
        <v>179</v>
      </c>
      <c r="DH22" s="201" t="s">
        <v>179</v>
      </c>
      <c r="DI22" s="201" t="s">
        <v>179</v>
      </c>
      <c r="DJ22" s="201" t="s">
        <v>179</v>
      </c>
      <c r="DK22" s="201" t="s">
        <v>179</v>
      </c>
      <c r="DL22" s="201" t="s">
        <v>179</v>
      </c>
      <c r="DM22" s="201" t="s">
        <v>179</v>
      </c>
      <c r="DN22" s="201" t="s">
        <v>406</v>
      </c>
      <c r="DO22" s="201" t="s">
        <v>332</v>
      </c>
      <c r="DP22" s="201" t="s">
        <v>216</v>
      </c>
      <c r="DQ22" s="201" t="s">
        <v>402</v>
      </c>
      <c r="DR22" s="200" t="s">
        <v>383</v>
      </c>
      <c r="DS22" s="339"/>
      <c r="DT22" s="201"/>
      <c r="DU22" s="201"/>
      <c r="DV22" s="201"/>
      <c r="DW22" s="307"/>
      <c r="DX22" s="201"/>
      <c r="DY22" s="307"/>
      <c r="DZ22" s="201"/>
      <c r="EA22" s="290"/>
      <c r="EB22" s="204" t="s">
        <v>71</v>
      </c>
      <c r="EC22" s="204" t="s">
        <v>71</v>
      </c>
      <c r="ED22" s="204" t="s">
        <v>71</v>
      </c>
      <c r="EE22" s="204" t="s">
        <v>71</v>
      </c>
      <c r="EF22" s="201" t="s">
        <v>72</v>
      </c>
      <c r="EG22" s="290"/>
      <c r="EH22" s="201" t="s">
        <v>140</v>
      </c>
      <c r="EI22" s="201" t="s">
        <v>1</v>
      </c>
      <c r="EJ22" s="201" t="s">
        <v>1</v>
      </c>
      <c r="EK22" s="201" t="s">
        <v>1</v>
      </c>
      <c r="EL22" s="201" t="s">
        <v>1</v>
      </c>
      <c r="EM22" s="201" t="s">
        <v>1</v>
      </c>
      <c r="EN22" s="289"/>
      <c r="EO22" s="201" t="s">
        <v>71</v>
      </c>
      <c r="EP22" s="201" t="s">
        <v>311</v>
      </c>
      <c r="EQ22" s="201" t="s">
        <v>311</v>
      </c>
      <c r="ER22" s="289"/>
      <c r="ES22" s="308"/>
      <c r="ET22" s="197" t="s">
        <v>20</v>
      </c>
      <c r="EU22" s="197" t="s">
        <v>20</v>
      </c>
      <c r="EV22" s="289"/>
      <c r="EW22" s="308"/>
      <c r="EX22" s="197" t="s">
        <v>71</v>
      </c>
      <c r="EY22" s="289"/>
      <c r="EZ22" s="308"/>
    </row>
    <row r="23" spans="1:156" ht="12.75" customHeight="1">
      <c r="A23" s="56"/>
      <c r="B23" s="98"/>
      <c r="C23" s="98"/>
      <c r="D23" s="98"/>
      <c r="E23" s="98"/>
      <c r="F23" s="295"/>
      <c r="G23" s="296"/>
      <c r="M23" s="244"/>
      <c r="N23" s="246" t="str">
        <f>"- Cường độ tiêu chuẩn của thép:"</f>
        <v>- Cường độ tiêu chuẩn của thép:</v>
      </c>
      <c r="O23" s="246"/>
      <c r="P23" s="248"/>
      <c r="Q23" s="250"/>
      <c r="R23" s="246"/>
      <c r="S23" s="2"/>
      <c r="T23" s="2"/>
      <c r="U23" s="2"/>
      <c r="V23" s="21" t="s">
        <v>50</v>
      </c>
      <c r="W23" s="22">
        <f>VLOOKUP(W22,Data!$A$3:$D$99,3,FALSE)</f>
        <v>240</v>
      </c>
      <c r="X23" s="253" t="s">
        <v>20</v>
      </c>
      <c r="AA23" s="18" t="s">
        <v>217</v>
      </c>
      <c r="AB23" s="18" t="s">
        <v>388</v>
      </c>
      <c r="AC23" s="18" t="s">
        <v>371</v>
      </c>
      <c r="AD23" s="19">
        <v>6.4891663959275192</v>
      </c>
      <c r="AE23" s="19">
        <v>0</v>
      </c>
      <c r="AF23" s="18">
        <v>624</v>
      </c>
      <c r="AG23" s="18">
        <v>185</v>
      </c>
      <c r="AH23" s="18">
        <v>6</v>
      </c>
      <c r="AI23" s="18">
        <v>12</v>
      </c>
      <c r="AJ23" s="7">
        <f>AF23-2*AI23</f>
        <v>600</v>
      </c>
      <c r="AK23" s="7">
        <f>AF23+2*(VLOOKUP(AQ23,$A$13:$E$21,2,FALSE)+VLOOKUP(AQ23,$A$13:$E$21,3,FALSE))</f>
        <v>884</v>
      </c>
      <c r="AL23" s="7">
        <f>INDEX($G$46:$G$57,DceViTri(AG23,$G$46:$G$57))</f>
        <v>212</v>
      </c>
      <c r="AM23" s="7">
        <f>DceNoiSuy(AF23,$A$46:$A$100,$B$46:$B$100)</f>
        <v>30</v>
      </c>
      <c r="AN23" s="7">
        <f>DceNoiSuy(AG23,$G$46:$G$100,$I$46:$I$100)</f>
        <v>2</v>
      </c>
      <c r="AO23" s="7">
        <f>DceNoiSuy(AF23,$A$46:$A$100,$D$46:$D$100)</f>
        <v>4</v>
      </c>
      <c r="AP23" s="7">
        <f>AN23*2+(AO23-2)*2</f>
        <v>8</v>
      </c>
      <c r="AQ23" s="7">
        <f>DceNoiSuy(AF23,$A$46:$A$100,$C$46:$C$100)</f>
        <v>30</v>
      </c>
      <c r="AR23" s="140" t="str" cm="1">
        <f t="array" ref="AR23">_xll.Dce_Name_SectI(AF23, AF23, AG23, AH23, AI23, "x", "-", $I$11)</f>
        <v>624x185x6x12</v>
      </c>
      <c r="AS23" s="140" t="str">
        <f>AK23&amp;"x"&amp;AL23&amp;"x"&amp;AM23&amp;" / "&amp;AP23&amp;"M"&amp;AQ23</f>
        <v>884x212x30 / 8M30</v>
      </c>
      <c r="AT23" s="7"/>
      <c r="AU23" s="7"/>
      <c r="AV23" s="7"/>
      <c r="AW23" s="7"/>
      <c r="AX23" s="7"/>
      <c r="AY23" s="7"/>
      <c r="AZ23" s="7"/>
      <c r="BA23" s="18" t="s">
        <v>409</v>
      </c>
      <c r="BB23" s="55">
        <v>-13.587068048800745</v>
      </c>
      <c r="BC23" s="55">
        <v>-21.182545616242791</v>
      </c>
      <c r="BD23" s="158">
        <f>BB23*SIN(RADIANS(AD23))+BC23*COS(RADIANS(AD23))</f>
        <v>-22.582381370483144</v>
      </c>
      <c r="BE23" s="158">
        <f>ABS(BC23*SIN(RADIANS(AD23))+BB23*COS(RADIANS(AD23)))</f>
        <v>15.893971703780469</v>
      </c>
      <c r="BF23" s="19">
        <v>82.16490539373325</v>
      </c>
      <c r="BG23" s="140"/>
      <c r="BH23" s="131">
        <f>ABS(BF23/BD23)</f>
        <v>3.6384517667002516</v>
      </c>
      <c r="BI23" s="102">
        <f>$W$81</f>
        <v>307</v>
      </c>
      <c r="BJ23" s="102">
        <f>$W$82</f>
        <v>749</v>
      </c>
      <c r="BK23" s="102">
        <f>IFERROR(BJ23 - (BJ23 ^ 2 - 2 * ABS(BD23)*1000 *  (1000 *BH23 + BI23) / ($W$36 * $W$50)) ^ 0.5,"O/S")</f>
        <v>39.752210333099811</v>
      </c>
      <c r="BL23" s="102">
        <f t="shared" ref="BL23:BL30" si="0">$W$84*BJ23</f>
        <v>442.2386378519974</v>
      </c>
      <c r="BM23" s="99">
        <f>BK23/BL23</f>
        <v>8.9888596180064118E-2</v>
      </c>
      <c r="BN23" s="4">
        <f>$W$87</f>
        <v>4</v>
      </c>
      <c r="BO23" s="4">
        <f>MAX(($W$36*$W$50*BK23/1000+BD23)/BN23,0)</f>
        <v>24.903978298366418</v>
      </c>
      <c r="BP23" s="5">
        <f>MAX(($W$63*BO23*1000/$W$19),0)</f>
        <v>108.95490505535308</v>
      </c>
      <c r="BQ23" s="5">
        <f t="shared" ref="BQ23:BQ30" si="1">MAX(MAX(BP23,IFERROR(VALUE($W$91),0)),57.1)</f>
        <v>108.95490505535308</v>
      </c>
      <c r="BR23" s="99">
        <f>BQ23/VLOOKUP($W$44,Data!$V$4:$Z$99,4,FALSE)</f>
        <v>0.19421551703271495</v>
      </c>
      <c r="BS23" s="159" t="str">
        <f>IF(BR23&lt;=1,"OK","Check")</f>
        <v>OK</v>
      </c>
      <c r="BT23" s="99">
        <f>ABS(BD23)/($W$49*$W$50)*1000+6*ABS(BF23*1000000)/($W$50*$W$49^2)</f>
        <v>3.0962538137198719</v>
      </c>
      <c r="BU23" s="99">
        <f>ABS(BD23)/($W$49*$W$50)*1000-6*ABS(BF23*1000000)/($W$50*$W$49^2)</f>
        <v>-2.8552568299146648</v>
      </c>
      <c r="BV23" s="99">
        <f t="shared" ref="BV23:BV30" si="2">BT23/$W$102</f>
        <v>0.28471299436504571</v>
      </c>
      <c r="BW23" s="159" t="str">
        <f>IF(BV23&lt;=1,"OK","Check")</f>
        <v>OK</v>
      </c>
      <c r="BX23" s="5">
        <f>0.6*$W$45*$W$19*$W$130/1000</f>
        <v>646.27199999999993</v>
      </c>
      <c r="BY23" s="99">
        <f>MAX(ABS(BE23),ABS(BO23))/BX23</f>
        <v>3.8534824808078363E-2</v>
      </c>
      <c r="BZ23" s="159" t="str">
        <f>IF(BY23&lt;=1,"OK","Check")</f>
        <v>OK</v>
      </c>
      <c r="DA23" s="155" t="s">
        <v>217</v>
      </c>
      <c r="DB23" s="155" t="s">
        <v>388</v>
      </c>
      <c r="DC23" s="155" t="s">
        <v>371</v>
      </c>
      <c r="DD23" s="207">
        <v>6.4891663959275192</v>
      </c>
      <c r="DE23" s="207">
        <v>0</v>
      </c>
      <c r="DF23" s="155">
        <v>624</v>
      </c>
      <c r="DG23" s="155">
        <v>185</v>
      </c>
      <c r="DH23" s="155">
        <v>6</v>
      </c>
      <c r="DI23" s="155">
        <v>12</v>
      </c>
      <c r="DJ23" s="208">
        <v>600</v>
      </c>
      <c r="DK23" s="208">
        <v>884</v>
      </c>
      <c r="DL23" s="208">
        <v>212</v>
      </c>
      <c r="DM23" s="208">
        <v>30</v>
      </c>
      <c r="DN23" s="208">
        <v>2</v>
      </c>
      <c r="DO23" s="208">
        <v>4</v>
      </c>
      <c r="DP23" s="208">
        <v>8</v>
      </c>
      <c r="DQ23" s="208">
        <v>30</v>
      </c>
      <c r="DR23" s="209" t="s">
        <v>413</v>
      </c>
      <c r="DS23" s="209" t="s">
        <v>414</v>
      </c>
      <c r="DT23" s="208"/>
      <c r="DU23" s="208"/>
      <c r="DV23" s="208"/>
      <c r="DW23" s="208"/>
      <c r="DX23" s="208"/>
      <c r="DY23" s="208"/>
      <c r="DZ23" s="208"/>
      <c r="EA23" s="210" t="s">
        <v>409</v>
      </c>
      <c r="EB23" s="211">
        <v>-28.57974689381399</v>
      </c>
      <c r="EC23" s="211">
        <v>-45.384386495087327</v>
      </c>
      <c r="ED23" s="212">
        <v>-48.323569700592955</v>
      </c>
      <c r="EE23" s="212">
        <v>33.525775492576706</v>
      </c>
      <c r="EF23" s="207">
        <v>176.27203784786295</v>
      </c>
      <c r="EG23" s="209"/>
      <c r="EH23" s="213">
        <v>3.6477445466057943</v>
      </c>
      <c r="EI23" s="214">
        <v>307</v>
      </c>
      <c r="EJ23" s="214">
        <v>749</v>
      </c>
      <c r="EK23" s="214">
        <v>88.195122561220614</v>
      </c>
      <c r="EL23" s="214">
        <v>442.2386378519974</v>
      </c>
      <c r="EM23" s="215">
        <v>0.19942880384580192</v>
      </c>
      <c r="EN23" s="216">
        <v>4</v>
      </c>
      <c r="EO23" s="216">
        <v>55.697059263149796</v>
      </c>
      <c r="EP23" s="217">
        <v>243.67463427628036</v>
      </c>
      <c r="EQ23" s="217">
        <v>243.67463427628036</v>
      </c>
      <c r="ER23" s="215">
        <v>0.43435763685611473</v>
      </c>
      <c r="ES23" s="218" t="s">
        <v>415</v>
      </c>
      <c r="ET23" s="215">
        <v>6.6418728985918465</v>
      </c>
      <c r="EU23" s="215">
        <v>-6.1261684494691524</v>
      </c>
      <c r="EV23" s="215">
        <v>0.61074693320384799</v>
      </c>
      <c r="EW23" s="218" t="s">
        <v>415</v>
      </c>
      <c r="EX23" s="215">
        <v>45.740892425148232</v>
      </c>
      <c r="EY23" s="215">
        <v>0.73294974616945419</v>
      </c>
      <c r="EZ23" s="218" t="s">
        <v>415</v>
      </c>
    </row>
    <row r="24" spans="1:156" ht="12.75" customHeight="1">
      <c r="A24" s="56"/>
      <c r="B24" s="98"/>
      <c r="C24" s="98"/>
      <c r="D24" s="98"/>
      <c r="E24" s="98"/>
      <c r="F24" s="295"/>
      <c r="G24" s="296"/>
      <c r="M24" s="244"/>
      <c r="N24" s="246" t="str">
        <f>"- Cường độ tiêu chuẩn kéo đứt của thép:"</f>
        <v>- Cường độ tiêu chuẩn kéo đứt của thép:</v>
      </c>
      <c r="O24" s="246"/>
      <c r="P24" s="248"/>
      <c r="Q24" s="250"/>
      <c r="R24" s="246"/>
      <c r="S24" s="2"/>
      <c r="T24" s="2"/>
      <c r="U24" s="2"/>
      <c r="V24" s="21" t="s">
        <v>133</v>
      </c>
      <c r="W24" s="22">
        <f>VLOOKUP(W22,Data!$A$3:$D$99,4,FALSE)</f>
        <v>380</v>
      </c>
      <c r="X24" s="253" t="s">
        <v>20</v>
      </c>
      <c r="AA24" s="18" t="s">
        <v>217</v>
      </c>
      <c r="AB24" s="18" t="s">
        <v>388</v>
      </c>
      <c r="AC24" s="18" t="s">
        <v>371</v>
      </c>
      <c r="AD24" s="19">
        <v>6.4891663959275192</v>
      </c>
      <c r="AE24" s="19">
        <v>0</v>
      </c>
      <c r="AF24" s="18">
        <v>624</v>
      </c>
      <c r="AG24" s="18">
        <v>185</v>
      </c>
      <c r="AH24" s="18">
        <v>6</v>
      </c>
      <c r="AI24" s="18">
        <v>12</v>
      </c>
      <c r="AJ24" s="7">
        <f t="shared" ref="AJ24:AJ30" si="3">AF24-2*AI24</f>
        <v>600</v>
      </c>
      <c r="AK24" s="7">
        <f t="shared" ref="AK24:AK30" si="4">AF24+2*(VLOOKUP(AQ24,$A$13:$E$21,2,FALSE)+VLOOKUP(AQ24,$A$13:$E$21,3,FALSE))</f>
        <v>884</v>
      </c>
      <c r="AL24" s="7">
        <f>INDEX($G$46:$G$57,DceViTri(AG24,$G$46:$G$57))</f>
        <v>212</v>
      </c>
      <c r="AM24" s="7">
        <f t="shared" ref="AM24:AM30" si="5">DceNoiSuy(AF24,$A$46:$A$100,$B$46:$B$100)</f>
        <v>30</v>
      </c>
      <c r="AN24" s="7">
        <f t="shared" ref="AN24:AN30" si="6">DceNoiSuy(AG24,$G$46:$G$100,$I$46:$I$100)</f>
        <v>2</v>
      </c>
      <c r="AO24" s="7">
        <f t="shared" ref="AO24:AO30" si="7">DceNoiSuy(AF24,$A$46:$A$100,$D$46:$D$100)</f>
        <v>4</v>
      </c>
      <c r="AP24" s="7">
        <f t="shared" ref="AP24:AP30" si="8">AN24*2+(AO24-2)*2</f>
        <v>8</v>
      </c>
      <c r="AQ24" s="7">
        <f t="shared" ref="AQ24:AQ30" si="9">DceNoiSuy(AF24,$A$46:$A$100,$C$46:$C$100)</f>
        <v>30</v>
      </c>
      <c r="AR24" s="140" t="str" cm="1">
        <f t="array" ref="AR24">_xll.Dce_Name_SectI(AF24, AF24, AG24, AH24, AI24, "x", "-", $I$11)</f>
        <v>624x185x6x12</v>
      </c>
      <c r="AS24" s="140" t="str">
        <f t="shared" ref="AS24:AS30" si="10">AK24&amp;"x"&amp;AL24&amp;"x"&amp;AM24&amp;" / "&amp;AP24&amp;"M"&amp;AQ24</f>
        <v>884x212x30 / 8M30</v>
      </c>
      <c r="AT24" s="7"/>
      <c r="AU24" s="7"/>
      <c r="AV24" s="7"/>
      <c r="AW24" s="7"/>
      <c r="AX24" s="7"/>
      <c r="AY24" s="7"/>
      <c r="AZ24" s="7"/>
      <c r="BA24" s="18" t="s">
        <v>409</v>
      </c>
      <c r="BB24" s="55">
        <v>-12.405316469835896</v>
      </c>
      <c r="BC24" s="55">
        <v>-20.59213237859889</v>
      </c>
      <c r="BD24" s="158">
        <f t="shared" ref="BD24:BD30" si="11">BB24*SIN(RADIANS(AD24))+BC24*COS(RADIANS(AD24))</f>
        <v>-21.862194704655185</v>
      </c>
      <c r="BE24" s="158">
        <f t="shared" ref="BE24:BE30" si="12">ABS(BC24*SIN(RADIANS(AD24))+BB24*COS(RADIANS(AD24)))</f>
        <v>14.653065564652167</v>
      </c>
      <c r="BF24" s="19">
        <v>77.992848673792267</v>
      </c>
      <c r="BG24" s="140"/>
      <c r="BH24" s="131">
        <f t="shared" ref="BH24:BH30" si="13">ABS(BF24/BD24)</f>
        <v>3.5674757144663527</v>
      </c>
      <c r="BI24" s="102">
        <f t="shared" ref="BI24:BI30" si="14">$W$81</f>
        <v>307</v>
      </c>
      <c r="BJ24" s="102">
        <f t="shared" ref="BJ24:BJ30" si="15">$W$82</f>
        <v>749</v>
      </c>
      <c r="BK24" s="102">
        <f t="shared" ref="BK24:BK30" si="16">IFERROR(BJ24 - (BJ24 ^ 2 - 2 * ABS(BD24)*1000 *  (1000 *BH24 + BI24) / ($W$36 * $W$50)) ^ 0.5,"O/S")</f>
        <v>37.74006677115085</v>
      </c>
      <c r="BL24" s="102">
        <f t="shared" si="0"/>
        <v>442.2386378519974</v>
      </c>
      <c r="BM24" s="99">
        <f t="shared" ref="BM24:BM30" si="17">BK24/BL24</f>
        <v>8.5338691694734278E-2</v>
      </c>
      <c r="BN24" s="4">
        <f t="shared" ref="BN24:BN30" si="18">$W$87</f>
        <v>4</v>
      </c>
      <c r="BO24" s="4">
        <f t="shared" ref="BO24:BO30" si="19">MAX(($W$36*$W$50*BK24/1000+BD24)/BN24,0)</f>
        <v>23.537692637465632</v>
      </c>
      <c r="BP24" s="5">
        <f t="shared" ref="BP24:BP30" si="20">MAX(($W$63*BO24*1000/$W$19),0)</f>
        <v>102.97740528891215</v>
      </c>
      <c r="BQ24" s="5">
        <f t="shared" si="1"/>
        <v>102.97740528891215</v>
      </c>
      <c r="BR24" s="99">
        <f>BQ24/VLOOKUP($W$44,Data!$V$4:$Z$99,4,FALSE)</f>
        <v>0.18356043723513751</v>
      </c>
      <c r="BS24" s="159" t="str">
        <f t="shared" ref="BS24:BS30" si="21">IF(BR24&lt;=1,"OK","Check")</f>
        <v>OK</v>
      </c>
      <c r="BT24" s="99">
        <f t="shared" ref="BT24:BT30" si="22">ABS(BD24)/($W$49*$W$50)*1000+6*ABS(BF24*1000000)/($W$50*$W$49^2)</f>
        <v>2.94131211579742</v>
      </c>
      <c r="BU24" s="99">
        <f t="shared" ref="BU24:BU30" si="23">ABS(BD24)/($W$49*$W$50)*1000-6*ABS(BF24*1000000)/($W$50*$W$49^2)</f>
        <v>-2.7080008942417213</v>
      </c>
      <c r="BV24" s="99">
        <f t="shared" si="2"/>
        <v>0.27046548191240644</v>
      </c>
      <c r="BW24" s="159" t="str">
        <f t="shared" ref="BW24:BW30" si="24">IF(BV24&lt;=1,"OK","Check")</f>
        <v>OK</v>
      </c>
      <c r="BX24" s="5">
        <f t="shared" ref="BX24:BX30" si="25">0.6*$W$45*$W$19*$W$130/1000</f>
        <v>646.27199999999993</v>
      </c>
      <c r="BY24" s="99">
        <f t="shared" ref="BY24:BY30" si="26">MAX(ABS(BE24),ABS(BO24))/BX24</f>
        <v>3.6420721673638398E-2</v>
      </c>
      <c r="BZ24" s="159" t="str">
        <f t="shared" ref="BZ24:BZ30" si="27">IF(BY24&lt;=1,"OK","Check")</f>
        <v>OK</v>
      </c>
      <c r="DA24" s="155" t="s">
        <v>217</v>
      </c>
      <c r="DB24" s="155" t="s">
        <v>389</v>
      </c>
      <c r="DC24" s="155" t="s">
        <v>371</v>
      </c>
      <c r="DD24" s="207">
        <v>6.4891663959275192</v>
      </c>
      <c r="DE24" s="207">
        <v>0</v>
      </c>
      <c r="DF24" s="155">
        <v>624</v>
      </c>
      <c r="DG24" s="155">
        <v>185</v>
      </c>
      <c r="DH24" s="155">
        <v>6</v>
      </c>
      <c r="DI24" s="155">
        <v>12</v>
      </c>
      <c r="DJ24" s="208">
        <v>600</v>
      </c>
      <c r="DK24" s="208">
        <v>884</v>
      </c>
      <c r="DL24" s="208">
        <v>212</v>
      </c>
      <c r="DM24" s="208">
        <v>30</v>
      </c>
      <c r="DN24" s="208">
        <v>2</v>
      </c>
      <c r="DO24" s="208">
        <v>4</v>
      </c>
      <c r="DP24" s="208">
        <v>8</v>
      </c>
      <c r="DQ24" s="208">
        <v>30</v>
      </c>
      <c r="DR24" s="209" t="s">
        <v>413</v>
      </c>
      <c r="DS24" s="209" t="s">
        <v>414</v>
      </c>
      <c r="DT24" s="208"/>
      <c r="DU24" s="208"/>
      <c r="DV24" s="208"/>
      <c r="DW24" s="208"/>
      <c r="DX24" s="208"/>
      <c r="DY24" s="208"/>
      <c r="DZ24" s="208"/>
      <c r="EA24" s="210" t="s">
        <v>409</v>
      </c>
      <c r="EB24" s="211">
        <v>-24.449555167062954</v>
      </c>
      <c r="EC24" s="211">
        <v>-44.893595909220601</v>
      </c>
      <c r="ED24" s="212">
        <v>-47.369148447480995</v>
      </c>
      <c r="EE24" s="212">
        <v>29.366578034734673</v>
      </c>
      <c r="EF24" s="207">
        <v>173.96352339642687</v>
      </c>
      <c r="EG24" s="209"/>
      <c r="EH24" s="213">
        <v>3.6725068762699689</v>
      </c>
      <c r="EI24" s="214">
        <v>307</v>
      </c>
      <c r="EJ24" s="214">
        <v>749</v>
      </c>
      <c r="EK24" s="214">
        <v>86.915652527083239</v>
      </c>
      <c r="EL24" s="214">
        <v>442.2386378519974</v>
      </c>
      <c r="EM24" s="215">
        <v>0.19653563729583262</v>
      </c>
      <c r="EN24" s="216">
        <v>4</v>
      </c>
      <c r="EO24" s="216">
        <v>54.952391855193227</v>
      </c>
      <c r="EP24" s="217">
        <v>240.41671436647036</v>
      </c>
      <c r="EQ24" s="217">
        <v>240.41671436647036</v>
      </c>
      <c r="ER24" s="215">
        <v>0.42855029298836073</v>
      </c>
      <c r="ES24" s="218" t="s">
        <v>415</v>
      </c>
      <c r="ET24" s="215">
        <v>6.5531729958343261</v>
      </c>
      <c r="EU24" s="215">
        <v>-6.0476540377590995</v>
      </c>
      <c r="EV24" s="215">
        <v>0.60259062030660471</v>
      </c>
      <c r="EW24" s="218" t="s">
        <v>415</v>
      </c>
      <c r="EX24" s="215">
        <v>45.502287111870245</v>
      </c>
      <c r="EY24" s="215">
        <v>0.64538685632515758</v>
      </c>
      <c r="EZ24" s="218" t="s">
        <v>415</v>
      </c>
    </row>
    <row r="25" spans="1:156" ht="12.75" customHeight="1">
      <c r="A25" s="56"/>
      <c r="B25" s="98"/>
      <c r="C25" s="98"/>
      <c r="D25" s="98"/>
      <c r="E25" s="98"/>
      <c r="F25" s="297"/>
      <c r="G25" s="298"/>
      <c r="M25" s="244"/>
      <c r="N25" s="246" t="str">
        <f>"- Cường độ tính toán của thép:"</f>
        <v>- Cường độ tính toán của thép:</v>
      </c>
      <c r="O25" s="246"/>
      <c r="P25" s="248"/>
      <c r="Q25" s="250"/>
      <c r="R25" s="246"/>
      <c r="S25" s="2"/>
      <c r="T25" s="12" t="s">
        <v>109</v>
      </c>
      <c r="U25" s="24">
        <f>VLOOKUP(W22,Data!$A$3:$E$99,5,FALSE)</f>
        <v>1.05</v>
      </c>
      <c r="V25" s="21" t="s">
        <v>108</v>
      </c>
      <c r="W25" s="254">
        <f>W23/U25</f>
        <v>228.57142857142856</v>
      </c>
      <c r="X25" s="253" t="s">
        <v>20</v>
      </c>
      <c r="AA25" s="18" t="s">
        <v>217</v>
      </c>
      <c r="AB25" s="18" t="s">
        <v>388</v>
      </c>
      <c r="AC25" s="18" t="s">
        <v>371</v>
      </c>
      <c r="AD25" s="19">
        <v>6.4891663959275192</v>
      </c>
      <c r="AE25" s="19">
        <v>0</v>
      </c>
      <c r="AF25" s="18">
        <v>624</v>
      </c>
      <c r="AG25" s="18">
        <v>185</v>
      </c>
      <c r="AH25" s="18">
        <v>6</v>
      </c>
      <c r="AI25" s="18">
        <v>12</v>
      </c>
      <c r="AJ25" s="7">
        <f t="shared" si="3"/>
        <v>600</v>
      </c>
      <c r="AK25" s="7">
        <f t="shared" si="4"/>
        <v>884</v>
      </c>
      <c r="AL25" s="7">
        <f>INDEX($G$46:$G$57,DceViTri(AG25,$G$46:$G$57))</f>
        <v>212</v>
      </c>
      <c r="AM25" s="7">
        <f t="shared" si="5"/>
        <v>30</v>
      </c>
      <c r="AN25" s="7">
        <f t="shared" si="6"/>
        <v>2</v>
      </c>
      <c r="AO25" s="7">
        <f t="shared" si="7"/>
        <v>4</v>
      </c>
      <c r="AP25" s="7">
        <f t="shared" si="8"/>
        <v>8</v>
      </c>
      <c r="AQ25" s="7">
        <f t="shared" si="9"/>
        <v>30</v>
      </c>
      <c r="AR25" s="140" t="str" cm="1">
        <f t="array" ref="AR25">_xll.Dce_Name_SectI(AF25, AF25, AG25, AH25, AI25, "x", "-", $I$11)</f>
        <v>624x185x6x12</v>
      </c>
      <c r="AS25" s="140" t="str">
        <f t="shared" si="10"/>
        <v>884x212x30 / 8M30</v>
      </c>
      <c r="AT25" s="7"/>
      <c r="AU25" s="7"/>
      <c r="AV25" s="7"/>
      <c r="AW25" s="7"/>
      <c r="AX25" s="7"/>
      <c r="AY25" s="7"/>
      <c r="AZ25" s="7"/>
      <c r="BA25" s="18" t="s">
        <v>409</v>
      </c>
      <c r="BB25" s="55">
        <v>-24.193600232426149</v>
      </c>
      <c r="BC25" s="55">
        <v>-21.233313988905355</v>
      </c>
      <c r="BD25" s="158">
        <v>23.8</v>
      </c>
      <c r="BE25" s="158">
        <f t="shared" si="12"/>
        <v>26.438288014138969</v>
      </c>
      <c r="BF25" s="19">
        <v>83.976416874910683</v>
      </c>
      <c r="BG25" s="140"/>
      <c r="BH25" s="131">
        <f t="shared" si="13"/>
        <v>3.5284208770970875</v>
      </c>
      <c r="BI25" s="102">
        <f t="shared" si="14"/>
        <v>307</v>
      </c>
      <c r="BJ25" s="102">
        <f t="shared" si="15"/>
        <v>749</v>
      </c>
      <c r="BK25" s="102">
        <f t="shared" si="16"/>
        <v>40.755255459973</v>
      </c>
      <c r="BL25" s="102">
        <f t="shared" si="0"/>
        <v>442.2386378519974</v>
      </c>
      <c r="BM25" s="99">
        <f t="shared" si="17"/>
        <v>9.2156704484089955E-2</v>
      </c>
      <c r="BN25" s="4">
        <f t="shared" si="18"/>
        <v>4</v>
      </c>
      <c r="BO25" s="4">
        <f t="shared" si="19"/>
        <v>37.270413820989255</v>
      </c>
      <c r="BP25" s="5">
        <f t="shared" si="20"/>
        <v>163.05806046682801</v>
      </c>
      <c r="BQ25" s="5">
        <f t="shared" si="1"/>
        <v>163.05806046682801</v>
      </c>
      <c r="BR25" s="99">
        <f>BQ25/VLOOKUP($W$44,Data!$V$4:$Z$99,4,FALSE)</f>
        <v>0.29065607926350806</v>
      </c>
      <c r="BS25" s="159" t="str">
        <f t="shared" si="21"/>
        <v>OK</v>
      </c>
      <c r="BT25" s="99">
        <f t="shared" si="22"/>
        <v>3.1683582352218296</v>
      </c>
      <c r="BU25" s="99">
        <f t="shared" si="23"/>
        <v>-2.9143669434946884</v>
      </c>
      <c r="BV25" s="99">
        <f t="shared" si="2"/>
        <v>0.29134328599740961</v>
      </c>
      <c r="BW25" s="159" t="str">
        <f t="shared" si="24"/>
        <v>OK</v>
      </c>
      <c r="BX25" s="5">
        <f t="shared" si="25"/>
        <v>646.27199999999993</v>
      </c>
      <c r="BY25" s="99">
        <f t="shared" si="26"/>
        <v>5.7669856996727782E-2</v>
      </c>
      <c r="BZ25" s="159" t="str">
        <f t="shared" si="27"/>
        <v>OK</v>
      </c>
      <c r="DA25" s="155"/>
      <c r="DB25" s="155"/>
      <c r="DC25" s="155"/>
      <c r="DD25" s="207"/>
      <c r="DE25" s="207"/>
      <c r="DF25" s="155"/>
      <c r="DG25" s="155"/>
      <c r="DH25" s="155"/>
      <c r="DI25" s="155"/>
      <c r="DJ25" s="208"/>
      <c r="DK25" s="208"/>
      <c r="DL25" s="208"/>
      <c r="DM25" s="208"/>
      <c r="DN25" s="208"/>
      <c r="DO25" s="208"/>
      <c r="DP25" s="208"/>
      <c r="DQ25" s="208"/>
      <c r="DR25" s="209"/>
      <c r="DS25" s="209"/>
      <c r="DT25" s="208"/>
      <c r="DU25" s="208"/>
      <c r="DV25" s="208"/>
      <c r="DW25" s="208"/>
      <c r="DX25" s="208"/>
      <c r="DY25" s="208"/>
      <c r="DZ25" s="208"/>
      <c r="EA25" s="210"/>
      <c r="EB25" s="211"/>
      <c r="EC25" s="211"/>
      <c r="ED25" s="212"/>
      <c r="EE25" s="212"/>
      <c r="EF25" s="207"/>
      <c r="EG25" s="209"/>
      <c r="EH25" s="213"/>
      <c r="EI25" s="214"/>
      <c r="EJ25" s="214"/>
      <c r="EK25" s="214"/>
      <c r="EL25" s="214"/>
      <c r="EM25" s="215"/>
      <c r="EN25" s="216"/>
      <c r="EO25" s="216"/>
      <c r="EP25" s="217"/>
      <c r="EQ25" s="217"/>
      <c r="ER25" s="215"/>
      <c r="ES25" s="218"/>
      <c r="ET25" s="215"/>
      <c r="EU25" s="215"/>
      <c r="EV25" s="215"/>
      <c r="EW25" s="218"/>
      <c r="EX25" s="215"/>
      <c r="EY25" s="215"/>
      <c r="EZ25" s="218"/>
    </row>
    <row r="26" spans="1:156" ht="12.75" customHeight="1">
      <c r="M26" s="244"/>
      <c r="N26" s="246" t="str">
        <f>"- Hệ số điều kiện làm việc của kết cấu (Bảng 1 - Mục 9):"</f>
        <v>- Hệ số điều kiện làm việc của kết cấu (Bảng 1 - Mục 9):</v>
      </c>
      <c r="O26" s="246"/>
      <c r="P26" s="248"/>
      <c r="Q26" s="250"/>
      <c r="R26" s="246"/>
      <c r="S26" s="2"/>
      <c r="T26" s="2"/>
      <c r="U26" s="251"/>
      <c r="V26" s="12" t="s">
        <v>121</v>
      </c>
      <c r="W26" s="20">
        <f>IF(W51&lt;=40,1.2,IF(W51&lt;=60,1.15,1.1))</f>
        <v>1.2</v>
      </c>
      <c r="X26" s="253" t="s">
        <v>20</v>
      </c>
      <c r="AA26" s="18" t="s">
        <v>217</v>
      </c>
      <c r="AB26" s="18" t="s">
        <v>388</v>
      </c>
      <c r="AC26" s="18" t="s">
        <v>371</v>
      </c>
      <c r="AD26" s="19">
        <v>6.4891663959275192</v>
      </c>
      <c r="AE26" s="19">
        <v>0</v>
      </c>
      <c r="AF26" s="18">
        <v>624</v>
      </c>
      <c r="AG26" s="18">
        <v>185</v>
      </c>
      <c r="AH26" s="18">
        <v>6</v>
      </c>
      <c r="AI26" s="18">
        <v>12</v>
      </c>
      <c r="AJ26" s="7">
        <f t="shared" si="3"/>
        <v>600</v>
      </c>
      <c r="AK26" s="7">
        <f t="shared" si="4"/>
        <v>884</v>
      </c>
      <c r="AL26" s="7">
        <f>INDEX($G$46:$G$57,DceViTri(AG26,$G$46:$G$57))</f>
        <v>212</v>
      </c>
      <c r="AM26" s="7">
        <f t="shared" si="5"/>
        <v>30</v>
      </c>
      <c r="AN26" s="7">
        <f t="shared" si="6"/>
        <v>2</v>
      </c>
      <c r="AO26" s="7">
        <f t="shared" si="7"/>
        <v>4</v>
      </c>
      <c r="AP26" s="7">
        <f t="shared" si="8"/>
        <v>8</v>
      </c>
      <c r="AQ26" s="7">
        <f t="shared" si="9"/>
        <v>30</v>
      </c>
      <c r="AR26" s="140" t="str" cm="1">
        <f t="array" ref="AR26">_xll.Dce_Name_SectI(AF26, AF26, AG26, AH26, AI26, "x", "-", $I$11)</f>
        <v>624x185x6x12</v>
      </c>
      <c r="AS26" s="140" t="str">
        <f t="shared" si="10"/>
        <v>884x212x30 / 8M30</v>
      </c>
      <c r="AT26" s="7"/>
      <c r="AU26" s="7"/>
      <c r="AV26" s="7"/>
      <c r="AW26" s="7"/>
      <c r="AX26" s="7"/>
      <c r="AY26" s="7"/>
      <c r="AZ26" s="7"/>
      <c r="BA26" s="18" t="s">
        <v>409</v>
      </c>
      <c r="BB26" s="55">
        <v>-28.57974689381399</v>
      </c>
      <c r="BC26" s="55">
        <v>-45.384386495087327</v>
      </c>
      <c r="BD26" s="158">
        <f t="shared" si="11"/>
        <v>-48.323569700592955</v>
      </c>
      <c r="BE26" s="158">
        <f t="shared" si="12"/>
        <v>33.525775492576706</v>
      </c>
      <c r="BF26" s="19">
        <v>176.27203784786295</v>
      </c>
      <c r="BG26" s="140"/>
      <c r="BH26" s="131">
        <f t="shared" si="13"/>
        <v>3.6477445466057943</v>
      </c>
      <c r="BI26" s="102">
        <f t="shared" si="14"/>
        <v>307</v>
      </c>
      <c r="BJ26" s="102">
        <f t="shared" si="15"/>
        <v>749</v>
      </c>
      <c r="BK26" s="102">
        <f t="shared" si="16"/>
        <v>88.195122561220614</v>
      </c>
      <c r="BL26" s="102">
        <f t="shared" si="0"/>
        <v>442.2386378519974</v>
      </c>
      <c r="BM26" s="99">
        <f t="shared" si="17"/>
        <v>0.19942880384580192</v>
      </c>
      <c r="BN26" s="4">
        <f t="shared" si="18"/>
        <v>4</v>
      </c>
      <c r="BO26" s="4">
        <f t="shared" si="19"/>
        <v>55.697059263149796</v>
      </c>
      <c r="BP26" s="5">
        <f t="shared" si="20"/>
        <v>243.67463427628036</v>
      </c>
      <c r="BQ26" s="5">
        <f t="shared" si="1"/>
        <v>243.67463427628036</v>
      </c>
      <c r="BR26" s="99">
        <f>BQ26/VLOOKUP($W$44,Data!$V$4:$Z$99,4,FALSE)</f>
        <v>0.43435763685611473</v>
      </c>
      <c r="BS26" s="159" t="str">
        <f t="shared" si="21"/>
        <v>OK</v>
      </c>
      <c r="BT26" s="99">
        <f t="shared" si="22"/>
        <v>6.6418728985918465</v>
      </c>
      <c r="BU26" s="99">
        <f t="shared" si="23"/>
        <v>-6.1261684494691524</v>
      </c>
      <c r="BV26" s="99">
        <f t="shared" si="2"/>
        <v>0.61074693320384799</v>
      </c>
      <c r="BW26" s="159" t="str">
        <f t="shared" si="24"/>
        <v>OK</v>
      </c>
      <c r="BX26" s="5">
        <f t="shared" si="25"/>
        <v>646.27199999999993</v>
      </c>
      <c r="BY26" s="99">
        <f t="shared" si="26"/>
        <v>8.6182070804784683E-2</v>
      </c>
      <c r="BZ26" s="159" t="str">
        <f t="shared" si="27"/>
        <v>OK</v>
      </c>
      <c r="DA26" s="155"/>
      <c r="DB26" s="155"/>
      <c r="DC26" s="155"/>
      <c r="DD26" s="207"/>
      <c r="DE26" s="207"/>
      <c r="DF26" s="155"/>
      <c r="DG26" s="155"/>
      <c r="DH26" s="155"/>
      <c r="DI26" s="155"/>
      <c r="DJ26" s="208"/>
      <c r="DK26" s="208"/>
      <c r="DL26" s="208"/>
      <c r="DM26" s="208"/>
      <c r="DN26" s="208"/>
      <c r="DO26" s="208"/>
      <c r="DP26" s="208"/>
      <c r="DQ26" s="208"/>
      <c r="DR26" s="209"/>
      <c r="DS26" s="209"/>
      <c r="DT26" s="208"/>
      <c r="DU26" s="208"/>
      <c r="DV26" s="208"/>
      <c r="DW26" s="208"/>
      <c r="DX26" s="208"/>
      <c r="DY26" s="208"/>
      <c r="DZ26" s="208"/>
      <c r="EA26" s="210"/>
      <c r="EB26" s="211"/>
      <c r="EC26" s="211"/>
      <c r="ED26" s="212"/>
      <c r="EE26" s="212"/>
      <c r="EF26" s="207"/>
      <c r="EG26" s="209"/>
      <c r="EH26" s="213"/>
      <c r="EI26" s="214"/>
      <c r="EJ26" s="214"/>
      <c r="EK26" s="214"/>
      <c r="EL26" s="214"/>
      <c r="EM26" s="215"/>
      <c r="EN26" s="216"/>
      <c r="EO26" s="216"/>
      <c r="EP26" s="217"/>
      <c r="EQ26" s="217"/>
      <c r="ER26" s="215"/>
      <c r="ES26" s="218"/>
      <c r="ET26" s="215"/>
      <c r="EU26" s="215"/>
      <c r="EV26" s="215"/>
      <c r="EW26" s="218"/>
      <c r="EX26" s="215"/>
      <c r="EY26" s="215"/>
      <c r="EZ26" s="218"/>
    </row>
    <row r="27" spans="1:156" ht="12.75" customHeight="1">
      <c r="M27" s="243" t="s">
        <v>54</v>
      </c>
      <c r="N27" s="246"/>
      <c r="O27" s="246"/>
      <c r="P27" s="246"/>
      <c r="Q27" s="246"/>
      <c r="R27" s="246"/>
      <c r="S27" s="248"/>
      <c r="T27" s="249"/>
      <c r="U27" s="246"/>
      <c r="V27" s="2"/>
      <c r="W27" s="2"/>
      <c r="X27" s="247"/>
      <c r="AA27" s="18" t="s">
        <v>217</v>
      </c>
      <c r="AB27" s="18" t="s">
        <v>389</v>
      </c>
      <c r="AC27" s="18" t="s">
        <v>371</v>
      </c>
      <c r="AD27" s="19">
        <v>6.4891663959275192</v>
      </c>
      <c r="AE27" s="19">
        <v>0</v>
      </c>
      <c r="AF27" s="18">
        <v>624</v>
      </c>
      <c r="AG27" s="18">
        <v>185</v>
      </c>
      <c r="AH27" s="18">
        <v>6</v>
      </c>
      <c r="AI27" s="18">
        <v>12</v>
      </c>
      <c r="AJ27" s="7">
        <f t="shared" si="3"/>
        <v>600</v>
      </c>
      <c r="AK27" s="7">
        <f t="shared" si="4"/>
        <v>884</v>
      </c>
      <c r="AL27" s="7">
        <f>INDEX($G$46:$G$57,DceViTri(AG27,$G$46:$G$57))</f>
        <v>212</v>
      </c>
      <c r="AM27" s="7">
        <f t="shared" si="5"/>
        <v>30</v>
      </c>
      <c r="AN27" s="7">
        <f t="shared" si="6"/>
        <v>2</v>
      </c>
      <c r="AO27" s="7">
        <f t="shared" si="7"/>
        <v>4</v>
      </c>
      <c r="AP27" s="7">
        <f t="shared" si="8"/>
        <v>8</v>
      </c>
      <c r="AQ27" s="7">
        <f t="shared" si="9"/>
        <v>30</v>
      </c>
      <c r="AR27" s="140" t="str" cm="1">
        <f t="array" ref="AR27">_xll.Dce_Name_SectI(AF27, AF27, AG27, AH27, AI27, "x", "-", $I$11)</f>
        <v>624x185x6x12</v>
      </c>
      <c r="AS27" s="140" t="str">
        <f t="shared" si="10"/>
        <v>884x212x30 / 8M30</v>
      </c>
      <c r="AT27" s="7"/>
      <c r="AU27" s="7"/>
      <c r="AV27" s="7"/>
      <c r="AW27" s="7"/>
      <c r="AX27" s="7"/>
      <c r="AY27" s="7"/>
      <c r="AZ27" s="7"/>
      <c r="BA27" s="18" t="s">
        <v>409</v>
      </c>
      <c r="BB27" s="55">
        <v>-11.378628346823348</v>
      </c>
      <c r="BC27" s="55">
        <v>-20.697393185018356</v>
      </c>
      <c r="BD27" s="158">
        <f t="shared" si="11"/>
        <v>-21.850749618061062</v>
      </c>
      <c r="BE27" s="158">
        <f t="shared" si="12"/>
        <v>13.644851269722865</v>
      </c>
      <c r="BF27" s="19">
        <v>79.666141526782923</v>
      </c>
      <c r="BG27" s="140"/>
      <c r="BH27" s="131">
        <f t="shared" si="13"/>
        <v>3.645922584776391</v>
      </c>
      <c r="BI27" s="102">
        <f t="shared" si="14"/>
        <v>307</v>
      </c>
      <c r="BJ27" s="102">
        <f t="shared" si="15"/>
        <v>749</v>
      </c>
      <c r="BK27" s="102">
        <f t="shared" si="16"/>
        <v>38.504184347181308</v>
      </c>
      <c r="BL27" s="102">
        <f t="shared" si="0"/>
        <v>442.2386378519974</v>
      </c>
      <c r="BM27" s="99">
        <f t="shared" si="17"/>
        <v>8.7066531622384799E-2</v>
      </c>
      <c r="BN27" s="4">
        <f t="shared" si="18"/>
        <v>4</v>
      </c>
      <c r="BO27" s="4">
        <f t="shared" si="19"/>
        <v>24.127778266293571</v>
      </c>
      <c r="BP27" s="5">
        <f t="shared" si="20"/>
        <v>105.55902991503439</v>
      </c>
      <c r="BQ27" s="5">
        <f t="shared" si="1"/>
        <v>105.55902991503439</v>
      </c>
      <c r="BR27" s="99">
        <f>BQ27/VLOOKUP($W$44,Data!$V$4:$Z$99,4,FALSE)</f>
        <v>0.18816226366316291</v>
      </c>
      <c r="BS27" s="159" t="str">
        <f t="shared" si="21"/>
        <v>OK</v>
      </c>
      <c r="BT27" s="99">
        <f t="shared" si="22"/>
        <v>3.0018524674542184</v>
      </c>
      <c r="BU27" s="99">
        <f t="shared" si="23"/>
        <v>-2.7686633867526358</v>
      </c>
      <c r="BV27" s="99">
        <f t="shared" si="2"/>
        <v>0.27603241080038787</v>
      </c>
      <c r="BW27" s="159" t="str">
        <f t="shared" si="24"/>
        <v>OK</v>
      </c>
      <c r="BX27" s="5">
        <f t="shared" si="25"/>
        <v>646.27199999999993</v>
      </c>
      <c r="BY27" s="99">
        <f t="shared" si="26"/>
        <v>3.7333782472849783E-2</v>
      </c>
      <c r="BZ27" s="159" t="str">
        <f t="shared" si="27"/>
        <v>OK</v>
      </c>
      <c r="DA27" s="155"/>
      <c r="DB27" s="155"/>
      <c r="DC27" s="155"/>
      <c r="DD27" s="207"/>
      <c r="DE27" s="207"/>
      <c r="DF27" s="155"/>
      <c r="DG27" s="155"/>
      <c r="DH27" s="155"/>
      <c r="DI27" s="155"/>
      <c r="DJ27" s="208"/>
      <c r="DK27" s="208"/>
      <c r="DL27" s="208"/>
      <c r="DM27" s="208"/>
      <c r="DN27" s="208"/>
      <c r="DO27" s="208"/>
      <c r="DP27" s="208"/>
      <c r="DQ27" s="208"/>
      <c r="DR27" s="209"/>
      <c r="DS27" s="209"/>
      <c r="DT27" s="208"/>
      <c r="DU27" s="208"/>
      <c r="DV27" s="208"/>
      <c r="DW27" s="208"/>
      <c r="DX27" s="208"/>
      <c r="DY27" s="208"/>
      <c r="DZ27" s="208"/>
      <c r="EA27" s="210"/>
      <c r="EB27" s="211"/>
      <c r="EC27" s="211"/>
      <c r="ED27" s="212"/>
      <c r="EE27" s="212"/>
      <c r="EF27" s="207"/>
      <c r="EG27" s="209"/>
      <c r="EH27" s="213"/>
      <c r="EI27" s="214"/>
      <c r="EJ27" s="214"/>
      <c r="EK27" s="214"/>
      <c r="EL27" s="214"/>
      <c r="EM27" s="215"/>
      <c r="EN27" s="216"/>
      <c r="EO27" s="216"/>
      <c r="EP27" s="217"/>
      <c r="EQ27" s="217"/>
      <c r="ER27" s="215"/>
      <c r="ES27" s="218"/>
      <c r="ET27" s="215"/>
      <c r="EU27" s="215"/>
      <c r="EV27" s="215"/>
      <c r="EW27" s="218"/>
      <c r="EX27" s="215"/>
      <c r="EY27" s="215"/>
      <c r="EZ27" s="218"/>
    </row>
    <row r="28" spans="1:156" ht="12.75" customHeight="1">
      <c r="M28" s="244"/>
      <c r="N28" s="246" t="str">
        <f>"- Que hàn:"</f>
        <v>- Que hàn:</v>
      </c>
      <c r="O28" s="246"/>
      <c r="P28" s="248"/>
      <c r="Q28" s="250"/>
      <c r="R28" s="246"/>
      <c r="S28" s="2"/>
      <c r="T28" s="2"/>
      <c r="U28" s="2"/>
      <c r="V28" s="2"/>
      <c r="W28" s="20" t="s">
        <v>167</v>
      </c>
      <c r="X28" s="239"/>
      <c r="AA28" s="18" t="s">
        <v>217</v>
      </c>
      <c r="AB28" s="18" t="s">
        <v>389</v>
      </c>
      <c r="AC28" s="18" t="s">
        <v>371</v>
      </c>
      <c r="AD28" s="19">
        <v>6.4891663959275192</v>
      </c>
      <c r="AE28" s="19">
        <v>0</v>
      </c>
      <c r="AF28" s="18">
        <v>624</v>
      </c>
      <c r="AG28" s="18">
        <v>185</v>
      </c>
      <c r="AH28" s="18">
        <v>6</v>
      </c>
      <c r="AI28" s="18">
        <v>12</v>
      </c>
      <c r="AJ28" s="7">
        <f t="shared" si="3"/>
        <v>600</v>
      </c>
      <c r="AK28" s="7">
        <f t="shared" si="4"/>
        <v>884</v>
      </c>
      <c r="AL28" s="7">
        <f>INDEX($G$46:$G$57,DceViTri(AG28,$G$46:$G$57))</f>
        <v>212</v>
      </c>
      <c r="AM28" s="7">
        <f t="shared" si="5"/>
        <v>30</v>
      </c>
      <c r="AN28" s="7">
        <f t="shared" si="6"/>
        <v>2</v>
      </c>
      <c r="AO28" s="7">
        <f t="shared" si="7"/>
        <v>4</v>
      </c>
      <c r="AP28" s="7">
        <f t="shared" si="8"/>
        <v>8</v>
      </c>
      <c r="AQ28" s="7">
        <f t="shared" si="9"/>
        <v>30</v>
      </c>
      <c r="AR28" s="140" t="str" cm="1">
        <f t="array" ref="AR28">_xll.Dce_Name_SectI(AF28, AF28, AG28, AH28, AI28, "x", "-", $I$11)</f>
        <v>624x185x6x12</v>
      </c>
      <c r="AS28" s="140" t="str">
        <f t="shared" si="10"/>
        <v>884x212x30 / 8M30</v>
      </c>
      <c r="AT28" s="7"/>
      <c r="AU28" s="7"/>
      <c r="AV28" s="7"/>
      <c r="AW28" s="7"/>
      <c r="AX28" s="7"/>
      <c r="AY28" s="7"/>
      <c r="AZ28" s="7"/>
      <c r="BA28" s="18" t="s">
        <v>409</v>
      </c>
      <c r="BB28" s="55">
        <v>-7.9769326011479507</v>
      </c>
      <c r="BC28" s="55">
        <v>-19.891452574227792</v>
      </c>
      <c r="BD28" s="158">
        <f t="shared" si="11"/>
        <v>-20.665528654503674</v>
      </c>
      <c r="BE28" s="158">
        <f t="shared" si="12"/>
        <v>10.173865707112924</v>
      </c>
      <c r="BF28" s="19">
        <v>72.479081778897438</v>
      </c>
      <c r="BG28" s="140"/>
      <c r="BH28" s="131">
        <f t="shared" si="13"/>
        <v>3.5072454709791296</v>
      </c>
      <c r="BI28" s="102">
        <f t="shared" si="14"/>
        <v>307</v>
      </c>
      <c r="BJ28" s="102">
        <f t="shared" si="15"/>
        <v>749</v>
      </c>
      <c r="BK28" s="102">
        <f t="shared" si="16"/>
        <v>35.055274640931998</v>
      </c>
      <c r="BL28" s="102">
        <f t="shared" si="0"/>
        <v>442.2386378519974</v>
      </c>
      <c r="BM28" s="99">
        <f t="shared" si="17"/>
        <v>7.9267779068783753E-2</v>
      </c>
      <c r="BN28" s="4">
        <f t="shared" si="18"/>
        <v>4</v>
      </c>
      <c r="BO28" s="4">
        <f t="shared" si="19"/>
        <v>21.773596397930319</v>
      </c>
      <c r="BP28" s="5">
        <f t="shared" si="20"/>
        <v>95.259484240945142</v>
      </c>
      <c r="BQ28" s="5">
        <f t="shared" si="1"/>
        <v>95.259484240945142</v>
      </c>
      <c r="BR28" s="99">
        <f>BQ28/VLOOKUP($W$44,Data!$V$4:$Z$99,4,FALSE)</f>
        <v>0.16980300221202344</v>
      </c>
      <c r="BS28" s="159" t="str">
        <f t="shared" si="21"/>
        <v>OK</v>
      </c>
      <c r="BT28" s="99">
        <f t="shared" si="22"/>
        <v>2.7352354101321334</v>
      </c>
      <c r="BU28" s="99">
        <f t="shared" si="23"/>
        <v>-2.5146948926034933</v>
      </c>
      <c r="BV28" s="99">
        <f t="shared" si="2"/>
        <v>0.25151589978226513</v>
      </c>
      <c r="BW28" s="159" t="str">
        <f t="shared" si="24"/>
        <v>OK</v>
      </c>
      <c r="BX28" s="5">
        <f t="shared" si="25"/>
        <v>646.27199999999993</v>
      </c>
      <c r="BY28" s="99">
        <f t="shared" si="26"/>
        <v>3.3691071867464971E-2</v>
      </c>
      <c r="BZ28" s="159" t="str">
        <f t="shared" si="27"/>
        <v>OK</v>
      </c>
      <c r="DA28" s="155"/>
      <c r="DB28" s="155"/>
      <c r="DC28" s="155"/>
      <c r="DD28" s="207"/>
      <c r="DE28" s="207"/>
      <c r="DF28" s="155"/>
      <c r="DG28" s="155"/>
      <c r="DH28" s="155"/>
      <c r="DI28" s="155"/>
      <c r="DJ28" s="208"/>
      <c r="DK28" s="208"/>
      <c r="DL28" s="208"/>
      <c r="DM28" s="208"/>
      <c r="DN28" s="208"/>
      <c r="DO28" s="208"/>
      <c r="DP28" s="208"/>
      <c r="DQ28" s="208"/>
      <c r="DR28" s="209"/>
      <c r="DS28" s="209"/>
      <c r="DT28" s="208"/>
      <c r="DU28" s="208"/>
      <c r="DV28" s="208"/>
      <c r="DW28" s="208"/>
      <c r="DX28" s="208"/>
      <c r="DY28" s="208"/>
      <c r="DZ28" s="208"/>
      <c r="EA28" s="210"/>
      <c r="EB28" s="211"/>
      <c r="EC28" s="211"/>
      <c r="ED28" s="212"/>
      <c r="EE28" s="212"/>
      <c r="EF28" s="207"/>
      <c r="EG28" s="209"/>
      <c r="EH28" s="213"/>
      <c r="EI28" s="214"/>
      <c r="EJ28" s="214"/>
      <c r="EK28" s="214"/>
      <c r="EL28" s="214"/>
      <c r="EM28" s="215"/>
      <c r="EN28" s="216"/>
      <c r="EO28" s="216"/>
      <c r="EP28" s="217"/>
      <c r="EQ28" s="217"/>
      <c r="ER28" s="215"/>
      <c r="ES28" s="218"/>
      <c r="ET28" s="215"/>
      <c r="EU28" s="215"/>
      <c r="EV28" s="215"/>
      <c r="EW28" s="218"/>
      <c r="EX28" s="215"/>
      <c r="EY28" s="215"/>
      <c r="EZ28" s="218"/>
    </row>
    <row r="29" spans="1:156" ht="12.75" customHeight="1">
      <c r="M29" s="244"/>
      <c r="N29" s="246" t="str">
        <f>"- Cường độ tiêu chuẩn theo giới hạn bền:"</f>
        <v>- Cường độ tiêu chuẩn theo giới hạn bền:</v>
      </c>
      <c r="O29" s="246"/>
      <c r="P29" s="248"/>
      <c r="Q29" s="250"/>
      <c r="R29" s="246"/>
      <c r="S29" s="2"/>
      <c r="T29" s="2"/>
      <c r="U29" s="2"/>
      <c r="V29" s="21" t="s">
        <v>128</v>
      </c>
      <c r="W29" s="22">
        <f>VLOOKUP(W28,Data!$AZ$3:$BB$99,2,FALSE)</f>
        <v>410</v>
      </c>
      <c r="X29" s="253" t="s">
        <v>20</v>
      </c>
      <c r="AA29" s="18" t="s">
        <v>217</v>
      </c>
      <c r="AB29" s="18" t="s">
        <v>389</v>
      </c>
      <c r="AC29" s="18" t="s">
        <v>371</v>
      </c>
      <c r="AD29" s="19">
        <v>6.4891663959275192</v>
      </c>
      <c r="AE29" s="19">
        <v>0</v>
      </c>
      <c r="AF29" s="18">
        <v>624</v>
      </c>
      <c r="AG29" s="18">
        <v>185</v>
      </c>
      <c r="AH29" s="18">
        <v>6</v>
      </c>
      <c r="AI29" s="18">
        <v>12</v>
      </c>
      <c r="AJ29" s="7">
        <f t="shared" si="3"/>
        <v>600</v>
      </c>
      <c r="AK29" s="7">
        <f t="shared" si="4"/>
        <v>884</v>
      </c>
      <c r="AL29" s="7">
        <f>INDEX($G$46:$G$57,DceViTri(AG29,$G$46:$G$57))</f>
        <v>212</v>
      </c>
      <c r="AM29" s="7">
        <f t="shared" si="5"/>
        <v>30</v>
      </c>
      <c r="AN29" s="7">
        <f t="shared" si="6"/>
        <v>2</v>
      </c>
      <c r="AO29" s="7">
        <f t="shared" si="7"/>
        <v>4</v>
      </c>
      <c r="AP29" s="7">
        <f t="shared" si="8"/>
        <v>8</v>
      </c>
      <c r="AQ29" s="7">
        <f t="shared" si="9"/>
        <v>30</v>
      </c>
      <c r="AR29" s="140" t="str" cm="1">
        <f t="array" ref="AR29">_xll.Dce_Name_SectI(AF29, AF29, AG29, AH29, AI29, "x", "-", $I$11)</f>
        <v>624x185x6x12</v>
      </c>
      <c r="AS29" s="140" t="str">
        <f t="shared" si="10"/>
        <v>884x212x30 / 8M30</v>
      </c>
      <c r="AT29" s="7"/>
      <c r="AU29" s="7"/>
      <c r="AV29" s="7"/>
      <c r="AW29" s="7"/>
      <c r="AX29" s="7"/>
      <c r="AY29" s="7"/>
      <c r="AZ29" s="7"/>
      <c r="BA29" s="18" t="s">
        <v>409</v>
      </c>
      <c r="BB29" s="55">
        <v>-22.407140535618851</v>
      </c>
      <c r="BC29" s="55">
        <v>-20.947031335353557</v>
      </c>
      <c r="BD29" s="158">
        <f t="shared" si="11"/>
        <v>-23.345179508633368</v>
      </c>
      <c r="BE29" s="158">
        <f t="shared" si="12"/>
        <v>24.630919398295735</v>
      </c>
      <c r="BF29" s="19">
        <v>84.394527003380048</v>
      </c>
      <c r="BG29" s="140"/>
      <c r="BH29" s="131">
        <f t="shared" si="13"/>
        <v>3.6150729520914497</v>
      </c>
      <c r="BI29" s="102">
        <f t="shared" si="14"/>
        <v>307</v>
      </c>
      <c r="BJ29" s="102">
        <f t="shared" si="15"/>
        <v>749</v>
      </c>
      <c r="BK29" s="102">
        <f t="shared" si="16"/>
        <v>40.883177795464462</v>
      </c>
      <c r="BL29" s="102">
        <f t="shared" si="0"/>
        <v>442.2386378519974</v>
      </c>
      <c r="BM29" s="99">
        <f t="shared" si="17"/>
        <v>9.2445965359423676E-2</v>
      </c>
      <c r="BN29" s="4">
        <f t="shared" si="18"/>
        <v>4</v>
      </c>
      <c r="BO29" s="4">
        <f t="shared" si="19"/>
        <v>25.582427258656097</v>
      </c>
      <c r="BP29" s="5">
        <f t="shared" si="20"/>
        <v>111.92311925662042</v>
      </c>
      <c r="BQ29" s="5">
        <f t="shared" si="1"/>
        <v>111.92311925662042</v>
      </c>
      <c r="BR29" s="99">
        <f>BQ29/VLOOKUP($W$44,Data!$V$4:$Z$99,4,FALSE)</f>
        <v>0.19950645143782605</v>
      </c>
      <c r="BS29" s="159" t="str">
        <f t="shared" si="21"/>
        <v>OK</v>
      </c>
      <c r="BT29" s="99">
        <f t="shared" si="22"/>
        <v>3.1810739733937878</v>
      </c>
      <c r="BU29" s="99">
        <f t="shared" si="23"/>
        <v>-2.9319364818391755</v>
      </c>
      <c r="BV29" s="99">
        <f t="shared" si="2"/>
        <v>0.29251254927758968</v>
      </c>
      <c r="BW29" s="159" t="str">
        <f t="shared" si="24"/>
        <v>OK</v>
      </c>
      <c r="BX29" s="5">
        <f t="shared" si="25"/>
        <v>646.27199999999993</v>
      </c>
      <c r="BY29" s="99">
        <f t="shared" si="26"/>
        <v>3.958461338052105E-2</v>
      </c>
      <c r="BZ29" s="159" t="str">
        <f t="shared" si="27"/>
        <v>OK</v>
      </c>
      <c r="DA29" s="155"/>
      <c r="DB29" s="155"/>
      <c r="DC29" s="155"/>
      <c r="DD29" s="207"/>
      <c r="DE29" s="207"/>
      <c r="DF29" s="155"/>
      <c r="DG29" s="155"/>
      <c r="DH29" s="155"/>
      <c r="DI29" s="155"/>
      <c r="DJ29" s="208"/>
      <c r="DK29" s="208"/>
      <c r="DL29" s="208"/>
      <c r="DM29" s="208"/>
      <c r="DN29" s="208"/>
      <c r="DO29" s="208"/>
      <c r="DP29" s="208"/>
      <c r="DQ29" s="208"/>
      <c r="DR29" s="209"/>
      <c r="DS29" s="209"/>
      <c r="DT29" s="208"/>
      <c r="DU29" s="208"/>
      <c r="DV29" s="208"/>
      <c r="DW29" s="208"/>
      <c r="DX29" s="208"/>
      <c r="DY29" s="208"/>
      <c r="DZ29" s="208"/>
      <c r="EA29" s="210"/>
      <c r="EB29" s="211"/>
      <c r="EC29" s="211"/>
      <c r="ED29" s="212"/>
      <c r="EE29" s="212"/>
      <c r="EF29" s="207"/>
      <c r="EG29" s="209"/>
      <c r="EH29" s="213"/>
      <c r="EI29" s="214"/>
      <c r="EJ29" s="214"/>
      <c r="EK29" s="214"/>
      <c r="EL29" s="214"/>
      <c r="EM29" s="215"/>
      <c r="EN29" s="216"/>
      <c r="EO29" s="216"/>
      <c r="EP29" s="217"/>
      <c r="EQ29" s="217"/>
      <c r="ER29" s="215"/>
      <c r="ES29" s="218"/>
      <c r="ET29" s="215"/>
      <c r="EU29" s="215"/>
      <c r="EV29" s="215"/>
      <c r="EW29" s="218"/>
      <c r="EX29" s="215"/>
      <c r="EY29" s="215"/>
      <c r="EZ29" s="218"/>
    </row>
    <row r="30" spans="1:156" ht="12.75" customHeight="1">
      <c r="M30" s="244"/>
      <c r="N30" s="246" t="str">
        <f>"- Cường độ tính toán theo kim loại đường hàn:"</f>
        <v>- Cường độ tính toán theo kim loại đường hàn:</v>
      </c>
      <c r="O30" s="246"/>
      <c r="P30" s="248"/>
      <c r="Q30" s="250"/>
      <c r="R30" s="246"/>
      <c r="S30" s="2"/>
      <c r="T30" s="12" t="s">
        <v>134</v>
      </c>
      <c r="U30" s="20">
        <v>0.7</v>
      </c>
      <c r="V30" s="21" t="s">
        <v>129</v>
      </c>
      <c r="W30" s="22">
        <f>VLOOKUP(W28,Data!$AZ$3:$BB$99,3,FALSE)</f>
        <v>180</v>
      </c>
      <c r="X30" s="253" t="s">
        <v>20</v>
      </c>
      <c r="AA30" s="18" t="s">
        <v>217</v>
      </c>
      <c r="AB30" s="18" t="s">
        <v>389</v>
      </c>
      <c r="AC30" s="18" t="s">
        <v>371</v>
      </c>
      <c r="AD30" s="19">
        <v>6.4891663959275192</v>
      </c>
      <c r="AE30" s="19">
        <v>0</v>
      </c>
      <c r="AF30" s="18">
        <v>624</v>
      </c>
      <c r="AG30" s="18">
        <v>185</v>
      </c>
      <c r="AH30" s="18">
        <v>6</v>
      </c>
      <c r="AI30" s="18">
        <v>12</v>
      </c>
      <c r="AJ30" s="7">
        <f t="shared" si="3"/>
        <v>600</v>
      </c>
      <c r="AK30" s="7">
        <f t="shared" si="4"/>
        <v>884</v>
      </c>
      <c r="AL30" s="7">
        <f>INDEX($G$46:$G$57,DceViTri(AG30,$G$46:$G$57))</f>
        <v>212</v>
      </c>
      <c r="AM30" s="7">
        <f t="shared" si="5"/>
        <v>30</v>
      </c>
      <c r="AN30" s="7">
        <f t="shared" si="6"/>
        <v>2</v>
      </c>
      <c r="AO30" s="7">
        <f t="shared" si="7"/>
        <v>4</v>
      </c>
      <c r="AP30" s="7">
        <f t="shared" si="8"/>
        <v>8</v>
      </c>
      <c r="AQ30" s="7">
        <f t="shared" si="9"/>
        <v>30</v>
      </c>
      <c r="AR30" s="140" t="str" cm="1">
        <f t="array" ref="AR30">_xll.Dce_Name_SectI(AF30, AF30, AG30, AH30, AI30, "x", "-", $I$11)</f>
        <v>624x185x6x12</v>
      </c>
      <c r="AS30" s="140" t="str">
        <f t="shared" si="10"/>
        <v>884x212x30 / 8M30</v>
      </c>
      <c r="AT30" s="7"/>
      <c r="AU30" s="7"/>
      <c r="AV30" s="7"/>
      <c r="AW30" s="7"/>
      <c r="AX30" s="7"/>
      <c r="AY30" s="7"/>
      <c r="AZ30" s="7"/>
      <c r="BA30" s="18" t="s">
        <v>409</v>
      </c>
      <c r="BB30" s="55">
        <v>-24.449555167062954</v>
      </c>
      <c r="BC30" s="55">
        <v>-44.893595909220601</v>
      </c>
      <c r="BD30" s="158">
        <f t="shared" si="11"/>
        <v>-47.369148447480995</v>
      </c>
      <c r="BE30" s="158">
        <f t="shared" si="12"/>
        <v>29.366578034734673</v>
      </c>
      <c r="BF30" s="19">
        <v>173.96352339642687</v>
      </c>
      <c r="BG30" s="140"/>
      <c r="BH30" s="131">
        <f t="shared" si="13"/>
        <v>3.6725068762699689</v>
      </c>
      <c r="BI30" s="102">
        <f t="shared" si="14"/>
        <v>307</v>
      </c>
      <c r="BJ30" s="102">
        <f t="shared" si="15"/>
        <v>749</v>
      </c>
      <c r="BK30" s="102">
        <f t="shared" si="16"/>
        <v>86.915652527083239</v>
      </c>
      <c r="BL30" s="102">
        <f t="shared" si="0"/>
        <v>442.2386378519974</v>
      </c>
      <c r="BM30" s="99">
        <f t="shared" si="17"/>
        <v>0.19653563729583262</v>
      </c>
      <c r="BN30" s="4">
        <f t="shared" si="18"/>
        <v>4</v>
      </c>
      <c r="BO30" s="4">
        <f t="shared" si="19"/>
        <v>54.952391855193227</v>
      </c>
      <c r="BP30" s="5">
        <f t="shared" si="20"/>
        <v>240.41671436647036</v>
      </c>
      <c r="BQ30" s="5">
        <f t="shared" si="1"/>
        <v>240.41671436647036</v>
      </c>
      <c r="BR30" s="99">
        <f>BQ30/VLOOKUP($W$44,Data!$V$4:$Z$99,4,FALSE)</f>
        <v>0.42855029298836073</v>
      </c>
      <c r="BS30" s="159" t="str">
        <f t="shared" si="21"/>
        <v>OK</v>
      </c>
      <c r="BT30" s="99">
        <f t="shared" si="22"/>
        <v>6.5531729958343261</v>
      </c>
      <c r="BU30" s="99">
        <f t="shared" si="23"/>
        <v>-6.0476540377590995</v>
      </c>
      <c r="BV30" s="99">
        <f t="shared" si="2"/>
        <v>0.60259062030660471</v>
      </c>
      <c r="BW30" s="159" t="str">
        <f t="shared" si="24"/>
        <v>OK</v>
      </c>
      <c r="BX30" s="5">
        <f t="shared" si="25"/>
        <v>646.27199999999993</v>
      </c>
      <c r="BY30" s="99">
        <f t="shared" si="26"/>
        <v>8.5029820037373166E-2</v>
      </c>
      <c r="BZ30" s="159" t="str">
        <f t="shared" si="27"/>
        <v>OK</v>
      </c>
      <c r="DA30" s="155"/>
      <c r="DB30" s="155"/>
      <c r="DC30" s="155"/>
      <c r="DD30" s="207"/>
      <c r="DE30" s="207"/>
      <c r="DF30" s="155"/>
      <c r="DG30" s="155"/>
      <c r="DH30" s="155"/>
      <c r="DI30" s="155"/>
      <c r="DJ30" s="208"/>
      <c r="DK30" s="208"/>
      <c r="DL30" s="208"/>
      <c r="DM30" s="208"/>
      <c r="DN30" s="208"/>
      <c r="DO30" s="208"/>
      <c r="DP30" s="208"/>
      <c r="DQ30" s="208"/>
      <c r="DR30" s="209"/>
      <c r="DS30" s="209"/>
      <c r="DT30" s="208"/>
      <c r="DU30" s="208"/>
      <c r="DV30" s="208"/>
      <c r="DW30" s="208"/>
      <c r="DX30" s="208"/>
      <c r="DY30" s="208"/>
      <c r="DZ30" s="208"/>
      <c r="EA30" s="210"/>
      <c r="EB30" s="211"/>
      <c r="EC30" s="211"/>
      <c r="ED30" s="212"/>
      <c r="EE30" s="212"/>
      <c r="EF30" s="207"/>
      <c r="EG30" s="209"/>
      <c r="EH30" s="213"/>
      <c r="EI30" s="214"/>
      <c r="EJ30" s="214"/>
      <c r="EK30" s="214"/>
      <c r="EL30" s="214"/>
      <c r="EM30" s="215"/>
      <c r="EN30" s="216"/>
      <c r="EO30" s="216"/>
      <c r="EP30" s="217"/>
      <c r="EQ30" s="217"/>
      <c r="ER30" s="215"/>
      <c r="ES30" s="218"/>
      <c r="ET30" s="215"/>
      <c r="EU30" s="215"/>
      <c r="EV30" s="215"/>
      <c r="EW30" s="218"/>
      <c r="EX30" s="215"/>
      <c r="EY30" s="215"/>
      <c r="EZ30" s="218"/>
    </row>
    <row r="31" spans="1:156" ht="12.75" customHeight="1">
      <c r="M31" s="244"/>
      <c r="N31" s="246" t="str">
        <f>"- Cường độ tính toán theo kim loại biên nóng chảy:"</f>
        <v>- Cường độ tính toán theo kim loại biên nóng chảy:</v>
      </c>
      <c r="O31" s="246"/>
      <c r="P31" s="248"/>
      <c r="Q31" s="250"/>
      <c r="R31" s="246"/>
      <c r="S31" s="2"/>
      <c r="T31" s="12" t="s">
        <v>135</v>
      </c>
      <c r="U31" s="254">
        <v>1</v>
      </c>
      <c r="V31" s="21" t="s">
        <v>132</v>
      </c>
      <c r="W31" s="22">
        <f>0.45*W24</f>
        <v>171</v>
      </c>
      <c r="X31" s="253" t="s">
        <v>20</v>
      </c>
      <c r="AA31" s="18"/>
      <c r="AB31" s="18"/>
      <c r="AC31" s="18"/>
      <c r="AD31" s="19"/>
      <c r="AE31" s="19"/>
      <c r="AI31" s="18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18"/>
      <c r="BG31" s="140"/>
      <c r="BH31" s="131"/>
      <c r="BI31" s="102"/>
      <c r="BJ31" s="102"/>
      <c r="BK31" s="102"/>
      <c r="BL31" s="102"/>
      <c r="BM31" s="99"/>
      <c r="BN31" s="4"/>
      <c r="BO31" s="4"/>
      <c r="BP31" s="5"/>
      <c r="BQ31" s="5"/>
      <c r="BR31" s="99"/>
      <c r="BS31" s="159"/>
      <c r="BT31" s="99"/>
      <c r="BU31" s="99"/>
      <c r="BV31" s="99"/>
      <c r="BW31" s="159"/>
      <c r="BX31" s="99"/>
      <c r="BY31" s="99"/>
      <c r="BZ31" s="159"/>
      <c r="DA31" s="155"/>
      <c r="DB31" s="155"/>
      <c r="DC31" s="155"/>
      <c r="DD31" s="207"/>
      <c r="DE31" s="207"/>
      <c r="DF31" s="155"/>
      <c r="DG31" s="155"/>
      <c r="DH31" s="155"/>
      <c r="DI31" s="155"/>
      <c r="DJ31" s="208"/>
      <c r="DK31" s="208"/>
      <c r="DL31" s="208"/>
      <c r="DM31" s="208"/>
      <c r="DN31" s="208"/>
      <c r="DO31" s="208"/>
      <c r="DP31" s="208"/>
      <c r="DQ31" s="208"/>
      <c r="DR31" s="208"/>
      <c r="DS31" s="208"/>
      <c r="DT31" s="208"/>
      <c r="DU31" s="208"/>
      <c r="DV31" s="208"/>
      <c r="DW31" s="208"/>
      <c r="DX31" s="208"/>
      <c r="DY31" s="208"/>
      <c r="DZ31" s="208"/>
      <c r="EA31" s="210"/>
      <c r="EB31" s="211"/>
      <c r="EC31" s="211"/>
      <c r="ED31" s="211"/>
      <c r="EE31" s="211"/>
      <c r="EF31" s="207"/>
      <c r="EG31" s="209"/>
      <c r="EH31" s="213"/>
      <c r="EI31" s="214"/>
      <c r="EJ31" s="214"/>
      <c r="EK31" s="214"/>
      <c r="EL31" s="214"/>
      <c r="EM31" s="215"/>
      <c r="EN31" s="216"/>
      <c r="EO31" s="216"/>
      <c r="EP31" s="217"/>
      <c r="EQ31" s="217"/>
      <c r="ER31" s="215"/>
      <c r="ES31" s="218"/>
      <c r="ET31" s="215"/>
      <c r="EU31" s="215"/>
      <c r="EV31" s="215"/>
      <c r="EW31" s="218"/>
      <c r="EX31" s="215"/>
      <c r="EY31" s="215"/>
      <c r="EZ31" s="218"/>
    </row>
    <row r="32" spans="1:156" ht="12.75" customHeight="1">
      <c r="M32" s="244"/>
      <c r="N32" s="246" t="str">
        <f>"- Hệ số điều kiện làm việc :"</f>
        <v>- Hệ số điều kiện làm việc :</v>
      </c>
      <c r="O32" s="246"/>
      <c r="P32" s="248"/>
      <c r="Q32" s="250"/>
      <c r="R32" s="246"/>
      <c r="S32" s="2"/>
      <c r="T32" s="2"/>
      <c r="U32" s="2"/>
      <c r="V32" s="12" t="s">
        <v>121</v>
      </c>
      <c r="W32" s="20">
        <v>1</v>
      </c>
      <c r="X32" s="253" t="s">
        <v>20</v>
      </c>
      <c r="AA32" s="18"/>
      <c r="AB32" s="18"/>
      <c r="AC32" s="18"/>
      <c r="AD32" s="19"/>
      <c r="AE32" s="19"/>
      <c r="AI32" s="18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18"/>
      <c r="BG32" s="140"/>
      <c r="BH32" s="131"/>
      <c r="BI32" s="102"/>
      <c r="BJ32" s="102"/>
      <c r="BK32" s="102"/>
      <c r="BL32" s="102"/>
      <c r="BM32" s="99"/>
      <c r="BN32" s="4"/>
      <c r="BO32" s="4"/>
      <c r="BP32" s="5"/>
      <c r="BQ32" s="5"/>
      <c r="BR32" s="99"/>
      <c r="BS32" s="159"/>
      <c r="BT32" s="99"/>
      <c r="BU32" s="99"/>
      <c r="BV32" s="99"/>
      <c r="BW32" s="159"/>
      <c r="BX32" s="99"/>
      <c r="BY32" s="99"/>
      <c r="BZ32" s="159"/>
      <c r="DA32" s="155"/>
      <c r="DB32" s="155"/>
      <c r="DC32" s="155"/>
      <c r="DD32" s="207"/>
      <c r="DE32" s="207"/>
      <c r="DF32" s="155"/>
      <c r="DG32" s="155"/>
      <c r="DH32" s="155"/>
      <c r="DI32" s="155"/>
      <c r="DJ32" s="208"/>
      <c r="DK32" s="208"/>
      <c r="DL32" s="208"/>
      <c r="DM32" s="208"/>
      <c r="DN32" s="208"/>
      <c r="DO32" s="208"/>
      <c r="DP32" s="208"/>
      <c r="DQ32" s="208"/>
      <c r="DR32" s="208"/>
      <c r="DS32" s="208"/>
      <c r="DT32" s="208"/>
      <c r="DU32" s="208"/>
      <c r="DV32" s="208"/>
      <c r="DW32" s="208"/>
      <c r="DX32" s="208"/>
      <c r="DY32" s="208"/>
      <c r="DZ32" s="208"/>
      <c r="EA32" s="210"/>
      <c r="EB32" s="211"/>
      <c r="EC32" s="211"/>
      <c r="ED32" s="211"/>
      <c r="EE32" s="211"/>
      <c r="EF32" s="207"/>
      <c r="EG32" s="209"/>
      <c r="EH32" s="213"/>
      <c r="EI32" s="214"/>
      <c r="EJ32" s="214"/>
      <c r="EK32" s="214"/>
      <c r="EL32" s="214"/>
      <c r="EM32" s="215"/>
      <c r="EN32" s="216"/>
      <c r="EO32" s="216"/>
      <c r="EP32" s="217"/>
      <c r="EQ32" s="217"/>
      <c r="ER32" s="215"/>
      <c r="ES32" s="218"/>
      <c r="ET32" s="215"/>
      <c r="EU32" s="215"/>
      <c r="EV32" s="215"/>
      <c r="EW32" s="218"/>
      <c r="EX32" s="215"/>
      <c r="EY32" s="215"/>
      <c r="EZ32" s="218"/>
    </row>
    <row r="33" spans="1:156" ht="12.75" customHeight="1">
      <c r="M33" s="244"/>
      <c r="N33" s="246" t="str">
        <f>"- Cường độ tính toán của đường hàn:"</f>
        <v>- Cường độ tính toán của đường hàn:</v>
      </c>
      <c r="O33" s="246"/>
      <c r="P33" s="248"/>
      <c r="Q33" s="250"/>
      <c r="R33" s="246"/>
      <c r="S33" s="2"/>
      <c r="T33" s="12"/>
      <c r="U33" s="20"/>
      <c r="V33" s="21" t="s">
        <v>144</v>
      </c>
      <c r="W33" s="22">
        <f>MIN(U30*W30,U31*W31)*W32</f>
        <v>125.99999999999999</v>
      </c>
      <c r="X33" s="253" t="s">
        <v>20</v>
      </c>
      <c r="AA33" s="18"/>
      <c r="AB33" s="18"/>
      <c r="AC33" s="18"/>
      <c r="AD33" s="19"/>
      <c r="AE33" s="19"/>
      <c r="AI33" s="18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18"/>
      <c r="BG33" s="140"/>
      <c r="BH33" s="131"/>
      <c r="BI33" s="102"/>
      <c r="BJ33" s="102"/>
      <c r="BK33" s="102"/>
      <c r="BL33" s="102"/>
      <c r="BM33" s="99"/>
      <c r="BN33" s="4"/>
      <c r="BO33" s="4"/>
      <c r="BP33" s="5"/>
      <c r="BQ33" s="5"/>
      <c r="BR33" s="99"/>
      <c r="BS33" s="159"/>
      <c r="BT33" s="99"/>
      <c r="BU33" s="99"/>
      <c r="BV33" s="99"/>
      <c r="BW33" s="159"/>
      <c r="BX33" s="99"/>
      <c r="BY33" s="99"/>
      <c r="BZ33" s="159"/>
      <c r="DA33" s="155"/>
      <c r="DB33" s="155"/>
      <c r="DC33" s="155"/>
      <c r="DD33" s="207"/>
      <c r="DE33" s="207"/>
      <c r="DF33" s="155"/>
      <c r="DG33" s="155"/>
      <c r="DH33" s="155"/>
      <c r="DI33" s="155"/>
      <c r="DJ33" s="208"/>
      <c r="DK33" s="208"/>
      <c r="DL33" s="208"/>
      <c r="DM33" s="208"/>
      <c r="DN33" s="208"/>
      <c r="DO33" s="208"/>
      <c r="DP33" s="208"/>
      <c r="DQ33" s="208"/>
      <c r="DR33" s="208"/>
      <c r="DS33" s="208"/>
      <c r="DT33" s="208"/>
      <c r="DU33" s="208"/>
      <c r="DV33" s="208"/>
      <c r="DW33" s="208"/>
      <c r="DX33" s="208"/>
      <c r="DY33" s="208"/>
      <c r="DZ33" s="208"/>
      <c r="EA33" s="210"/>
      <c r="EB33" s="211"/>
      <c r="EC33" s="211"/>
      <c r="ED33" s="211"/>
      <c r="EE33" s="211"/>
      <c r="EF33" s="207"/>
      <c r="EG33" s="209"/>
      <c r="EH33" s="213"/>
      <c r="EI33" s="214"/>
      <c r="EJ33" s="214"/>
      <c r="EK33" s="214"/>
      <c r="EL33" s="214"/>
      <c r="EM33" s="215"/>
      <c r="EN33" s="216"/>
      <c r="EO33" s="216"/>
      <c r="EP33" s="217"/>
      <c r="EQ33" s="217"/>
      <c r="ER33" s="215"/>
      <c r="ES33" s="218"/>
      <c r="ET33" s="215"/>
      <c r="EU33" s="215"/>
      <c r="EV33" s="215"/>
      <c r="EW33" s="218"/>
      <c r="EX33" s="215"/>
      <c r="EY33" s="215"/>
      <c r="EZ33" s="218"/>
    </row>
    <row r="34" spans="1:156" ht="12.75" customHeight="1">
      <c r="M34" s="243" t="s">
        <v>55</v>
      </c>
      <c r="N34" s="246"/>
      <c r="O34" s="246"/>
      <c r="P34" s="246"/>
      <c r="Q34" s="246"/>
      <c r="R34" s="246"/>
      <c r="S34" s="248"/>
      <c r="T34" s="249"/>
      <c r="U34" s="246"/>
      <c r="V34" s="2"/>
      <c r="W34" s="2"/>
      <c r="X34" s="247"/>
      <c r="AA34" s="18"/>
      <c r="AB34" s="18"/>
      <c r="AC34" s="18"/>
      <c r="AD34" s="19"/>
      <c r="AE34" s="19"/>
      <c r="AI34" s="18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18"/>
      <c r="BG34" s="140"/>
      <c r="BH34" s="131"/>
      <c r="BI34" s="102"/>
      <c r="BJ34" s="102"/>
      <c r="BK34" s="102"/>
      <c r="BL34" s="102"/>
      <c r="BM34" s="99"/>
      <c r="BN34" s="4"/>
      <c r="BO34" s="4"/>
      <c r="BP34" s="5"/>
      <c r="BQ34" s="5"/>
      <c r="BR34" s="99"/>
      <c r="BS34" s="159"/>
      <c r="BT34" s="99"/>
      <c r="BU34" s="99"/>
      <c r="BV34" s="99"/>
      <c r="BW34" s="159"/>
      <c r="BX34" s="99"/>
      <c r="BY34" s="99"/>
      <c r="BZ34" s="159"/>
      <c r="DA34" s="155"/>
      <c r="DB34" s="155"/>
      <c r="DC34" s="155"/>
      <c r="DD34" s="207"/>
      <c r="DE34" s="207"/>
      <c r="DF34" s="155"/>
      <c r="DG34" s="155"/>
      <c r="DH34" s="155"/>
      <c r="DI34" s="155"/>
      <c r="DJ34" s="208"/>
      <c r="DK34" s="208"/>
      <c r="DL34" s="208"/>
      <c r="DM34" s="208"/>
      <c r="DN34" s="208"/>
      <c r="DO34" s="208"/>
      <c r="DP34" s="208"/>
      <c r="DQ34" s="208"/>
      <c r="DR34" s="208"/>
      <c r="DS34" s="208"/>
      <c r="DT34" s="208"/>
      <c r="DU34" s="208"/>
      <c r="DV34" s="208"/>
      <c r="DW34" s="208"/>
      <c r="DX34" s="208"/>
      <c r="DY34" s="208"/>
      <c r="DZ34" s="208"/>
      <c r="EA34" s="210"/>
      <c r="EB34" s="211"/>
      <c r="EC34" s="211"/>
      <c r="ED34" s="211"/>
      <c r="EE34" s="211"/>
      <c r="EF34" s="207"/>
      <c r="EG34" s="209"/>
      <c r="EH34" s="213"/>
      <c r="EI34" s="214"/>
      <c r="EJ34" s="214"/>
      <c r="EK34" s="214"/>
      <c r="EL34" s="214"/>
      <c r="EM34" s="215"/>
      <c r="EN34" s="216"/>
      <c r="EO34" s="216"/>
      <c r="EP34" s="217"/>
      <c r="EQ34" s="217"/>
      <c r="ER34" s="215"/>
      <c r="ES34" s="218"/>
      <c r="ET34" s="215"/>
      <c r="EU34" s="215"/>
      <c r="EV34" s="215"/>
      <c r="EW34" s="218"/>
      <c r="EX34" s="215"/>
      <c r="EY34" s="215"/>
      <c r="EZ34" s="218"/>
    </row>
    <row r="35" spans="1:156" ht="12.75" customHeight="1">
      <c r="M35" s="244"/>
      <c r="N35" s="246" t="str">
        <f>"- Cấp độ bền bê tông:"</f>
        <v>- Cấp độ bền bê tông:</v>
      </c>
      <c r="O35" s="246"/>
      <c r="P35" s="248"/>
      <c r="Q35" s="250"/>
      <c r="R35" s="246"/>
      <c r="S35" s="2"/>
      <c r="T35" s="2"/>
      <c r="U35" s="2"/>
      <c r="V35" s="2"/>
      <c r="W35" s="20" t="s">
        <v>66</v>
      </c>
      <c r="X35" s="239"/>
      <c r="AA35" s="18"/>
      <c r="AB35" s="18"/>
      <c r="AC35" s="18"/>
      <c r="AD35" s="19"/>
      <c r="AE35" s="19"/>
      <c r="AI35" s="18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18"/>
      <c r="BG35" s="140"/>
      <c r="BH35" s="131"/>
      <c r="BI35" s="102"/>
      <c r="BJ35" s="102"/>
      <c r="BK35" s="102"/>
      <c r="BL35" s="102"/>
      <c r="BM35" s="99"/>
      <c r="BN35" s="4"/>
      <c r="BO35" s="4"/>
      <c r="BP35" s="5"/>
      <c r="BQ35" s="5"/>
      <c r="BR35" s="99"/>
      <c r="BS35" s="159"/>
      <c r="BT35" s="99"/>
      <c r="BU35" s="99"/>
      <c r="BV35" s="99"/>
      <c r="BW35" s="159"/>
      <c r="BX35" s="99"/>
      <c r="BY35" s="99"/>
      <c r="BZ35" s="159"/>
      <c r="DA35" s="155"/>
      <c r="DB35" s="155"/>
      <c r="DC35" s="155"/>
      <c r="DD35" s="207"/>
      <c r="DE35" s="207"/>
      <c r="DF35" s="155"/>
      <c r="DG35" s="155"/>
      <c r="DH35" s="155"/>
      <c r="DI35" s="155"/>
      <c r="DJ35" s="208"/>
      <c r="DK35" s="208"/>
      <c r="DL35" s="208"/>
      <c r="DM35" s="208"/>
      <c r="DN35" s="208"/>
      <c r="DO35" s="208"/>
      <c r="DP35" s="208"/>
      <c r="DQ35" s="208"/>
      <c r="DR35" s="208"/>
      <c r="DS35" s="208"/>
      <c r="DT35" s="208"/>
      <c r="DU35" s="208"/>
      <c r="DV35" s="208"/>
      <c r="DW35" s="208"/>
      <c r="DX35" s="208"/>
      <c r="DY35" s="208"/>
      <c r="DZ35" s="208"/>
      <c r="EA35" s="210"/>
      <c r="EB35" s="211"/>
      <c r="EC35" s="211"/>
      <c r="ED35" s="211"/>
      <c r="EE35" s="211"/>
      <c r="EF35" s="207"/>
      <c r="EG35" s="209"/>
      <c r="EH35" s="213"/>
      <c r="EI35" s="214"/>
      <c r="EJ35" s="214"/>
      <c r="EK35" s="214"/>
      <c r="EL35" s="214"/>
      <c r="EM35" s="215"/>
      <c r="EN35" s="216"/>
      <c r="EO35" s="216"/>
      <c r="EP35" s="217"/>
      <c r="EQ35" s="217"/>
      <c r="ER35" s="215"/>
      <c r="ES35" s="218"/>
      <c r="ET35" s="215"/>
      <c r="EU35" s="215"/>
      <c r="EV35" s="215"/>
      <c r="EW35" s="218"/>
      <c r="EX35" s="215"/>
      <c r="EY35" s="215"/>
      <c r="EZ35" s="218"/>
    </row>
    <row r="36" spans="1:156" ht="12.75" customHeight="1">
      <c r="M36" s="244"/>
      <c r="N36" s="246" t="str">
        <f>"- Cường độ chịu nén của bê tông:"</f>
        <v>- Cường độ chịu nén của bê tông:</v>
      </c>
      <c r="O36" s="246"/>
      <c r="P36" s="248"/>
      <c r="Q36" s="250"/>
      <c r="R36" s="246"/>
      <c r="S36" s="2"/>
      <c r="T36" s="2"/>
      <c r="U36" s="2"/>
      <c r="V36" s="21" t="s">
        <v>64</v>
      </c>
      <c r="W36" s="22">
        <f>VLOOKUP(W35,Data!$BJ$5:$BQ$16,4,FALSE)</f>
        <v>14.5</v>
      </c>
      <c r="X36" s="239" t="s">
        <v>20</v>
      </c>
      <c r="AA36" s="18"/>
      <c r="AB36" s="18"/>
      <c r="AC36" s="18"/>
      <c r="AD36" s="19"/>
      <c r="AE36" s="19"/>
      <c r="AI36" s="18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18"/>
      <c r="BG36" s="140"/>
      <c r="BH36" s="131"/>
      <c r="BI36" s="102"/>
      <c r="BJ36" s="102"/>
      <c r="BK36" s="102"/>
      <c r="BL36" s="102"/>
      <c r="BM36" s="99"/>
      <c r="BN36" s="4"/>
      <c r="BO36" s="4"/>
      <c r="BP36" s="5"/>
      <c r="BQ36" s="5"/>
      <c r="BR36" s="99"/>
      <c r="BS36" s="159"/>
      <c r="BT36" s="99"/>
      <c r="BU36" s="99"/>
      <c r="BV36" s="99"/>
      <c r="BW36" s="159"/>
      <c r="BX36" s="99"/>
      <c r="BY36" s="99"/>
      <c r="BZ36" s="159"/>
      <c r="DA36" s="155"/>
      <c r="DB36" s="155"/>
      <c r="DC36" s="155"/>
      <c r="DD36" s="207"/>
      <c r="DE36" s="207"/>
      <c r="DF36" s="155"/>
      <c r="DG36" s="155"/>
      <c r="DH36" s="155"/>
      <c r="DI36" s="155"/>
      <c r="DJ36" s="208"/>
      <c r="DK36" s="208"/>
      <c r="DL36" s="208"/>
      <c r="DM36" s="208"/>
      <c r="DN36" s="208"/>
      <c r="DO36" s="208"/>
      <c r="DP36" s="208"/>
      <c r="DQ36" s="208"/>
      <c r="DR36" s="208"/>
      <c r="DS36" s="208"/>
      <c r="DT36" s="208"/>
      <c r="DU36" s="208"/>
      <c r="DV36" s="208"/>
      <c r="DW36" s="208"/>
      <c r="DX36" s="208"/>
      <c r="DY36" s="208"/>
      <c r="DZ36" s="208"/>
      <c r="EA36" s="210"/>
      <c r="EB36" s="211"/>
      <c r="EC36" s="211"/>
      <c r="ED36" s="211"/>
      <c r="EE36" s="211"/>
      <c r="EF36" s="207"/>
      <c r="EG36" s="209"/>
      <c r="EH36" s="213"/>
      <c r="EI36" s="214"/>
      <c r="EJ36" s="214"/>
      <c r="EK36" s="214"/>
      <c r="EL36" s="214"/>
      <c r="EM36" s="215"/>
      <c r="EN36" s="216"/>
      <c r="EO36" s="216"/>
      <c r="EP36" s="217"/>
      <c r="EQ36" s="217"/>
      <c r="ER36" s="215"/>
      <c r="ES36" s="218"/>
      <c r="ET36" s="215"/>
      <c r="EU36" s="215"/>
      <c r="EV36" s="215"/>
      <c r="EW36" s="218"/>
      <c r="EX36" s="215"/>
      <c r="EY36" s="215"/>
      <c r="EZ36" s="218"/>
    </row>
    <row r="37" spans="1:156" ht="12.75" customHeight="1">
      <c r="M37" s="243" t="s">
        <v>56</v>
      </c>
      <c r="N37" s="246"/>
      <c r="O37" s="246"/>
      <c r="P37" s="246"/>
      <c r="Q37" s="246"/>
      <c r="R37" s="246"/>
      <c r="S37" s="248"/>
      <c r="T37" s="249"/>
      <c r="U37" s="246"/>
      <c r="V37" s="2"/>
      <c r="W37" s="2"/>
      <c r="X37" s="247"/>
      <c r="AA37" s="18"/>
      <c r="AB37" s="18"/>
      <c r="AC37" s="18"/>
      <c r="AD37" s="19"/>
      <c r="AE37" s="19"/>
      <c r="AI37" s="18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18"/>
      <c r="BG37" s="140"/>
      <c r="BH37" s="131"/>
      <c r="BI37" s="102"/>
      <c r="BJ37" s="102"/>
      <c r="BK37" s="102"/>
      <c r="BL37" s="102"/>
      <c r="BM37" s="99"/>
      <c r="BN37" s="4"/>
      <c r="BO37" s="4"/>
      <c r="BP37" s="5"/>
      <c r="BQ37" s="5"/>
      <c r="BR37" s="99"/>
      <c r="BS37" s="159"/>
      <c r="BT37" s="99"/>
      <c r="BU37" s="99"/>
      <c r="BV37" s="99"/>
      <c r="BW37" s="159"/>
      <c r="BX37" s="99"/>
      <c r="BY37" s="99"/>
      <c r="BZ37" s="159"/>
      <c r="DA37" s="155"/>
      <c r="DB37" s="155"/>
      <c r="DC37" s="155"/>
      <c r="DD37" s="207"/>
      <c r="DE37" s="207"/>
      <c r="DF37" s="155"/>
      <c r="DG37" s="155"/>
      <c r="DH37" s="155"/>
      <c r="DI37" s="155"/>
      <c r="DJ37" s="208"/>
      <c r="DK37" s="208"/>
      <c r="DL37" s="208"/>
      <c r="DM37" s="208"/>
      <c r="DN37" s="208"/>
      <c r="DO37" s="208"/>
      <c r="DP37" s="208"/>
      <c r="DQ37" s="208"/>
      <c r="DR37" s="208"/>
      <c r="DS37" s="208"/>
      <c r="DT37" s="208"/>
      <c r="DU37" s="208"/>
      <c r="DV37" s="208"/>
      <c r="DW37" s="208"/>
      <c r="DX37" s="208"/>
      <c r="DY37" s="208"/>
      <c r="DZ37" s="208"/>
      <c r="EA37" s="210"/>
      <c r="EB37" s="211"/>
      <c r="EC37" s="211"/>
      <c r="ED37" s="211"/>
      <c r="EE37" s="211"/>
      <c r="EF37" s="207"/>
      <c r="EG37" s="209"/>
      <c r="EH37" s="213"/>
      <c r="EI37" s="214"/>
      <c r="EJ37" s="214"/>
      <c r="EK37" s="214"/>
      <c r="EL37" s="214"/>
      <c r="EM37" s="215"/>
      <c r="EN37" s="216"/>
      <c r="EO37" s="216"/>
      <c r="EP37" s="217"/>
      <c r="EQ37" s="217"/>
      <c r="ER37" s="215"/>
      <c r="ES37" s="218"/>
      <c r="ET37" s="215"/>
      <c r="EU37" s="215"/>
      <c r="EV37" s="215"/>
      <c r="EW37" s="218"/>
      <c r="EX37" s="215"/>
      <c r="EY37" s="215"/>
      <c r="EZ37" s="218"/>
    </row>
    <row r="38" spans="1:156" ht="12.75" customHeight="1">
      <c r="M38" s="243" t="s">
        <v>382</v>
      </c>
      <c r="N38" s="246"/>
      <c r="O38" s="246"/>
      <c r="P38" s="246"/>
      <c r="Q38" s="246"/>
      <c r="R38" s="246"/>
      <c r="S38" s="248"/>
      <c r="T38" s="249"/>
      <c r="U38" s="246"/>
      <c r="V38" s="2"/>
      <c r="W38" s="2"/>
      <c r="X38" s="247"/>
      <c r="AA38" s="18"/>
      <c r="AB38" s="18"/>
      <c r="AC38" s="18"/>
      <c r="AD38" s="19"/>
      <c r="AE38" s="19"/>
      <c r="AI38" s="18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18"/>
      <c r="BG38" s="140"/>
      <c r="BH38" s="131"/>
      <c r="BI38" s="102"/>
      <c r="BJ38" s="102"/>
      <c r="BK38" s="102"/>
      <c r="BL38" s="102"/>
      <c r="BM38" s="99"/>
      <c r="BN38" s="4"/>
      <c r="BO38" s="4"/>
      <c r="BP38" s="5"/>
      <c r="BQ38" s="5"/>
      <c r="BR38" s="99"/>
      <c r="BS38" s="159"/>
      <c r="BT38" s="99"/>
      <c r="BU38" s="99"/>
      <c r="BV38" s="99"/>
      <c r="BW38" s="159"/>
      <c r="BX38" s="99"/>
      <c r="BY38" s="99"/>
      <c r="BZ38" s="159"/>
      <c r="DA38" s="155"/>
      <c r="DB38" s="155"/>
      <c r="DC38" s="155"/>
      <c r="DD38" s="207"/>
      <c r="DE38" s="207"/>
      <c r="DF38" s="155"/>
      <c r="DG38" s="155"/>
      <c r="DH38" s="155"/>
      <c r="DI38" s="155"/>
      <c r="DJ38" s="208"/>
      <c r="DK38" s="208"/>
      <c r="DL38" s="208"/>
      <c r="DM38" s="208"/>
      <c r="DN38" s="208"/>
      <c r="DO38" s="208"/>
      <c r="DP38" s="208"/>
      <c r="DQ38" s="208"/>
      <c r="DR38" s="208"/>
      <c r="DS38" s="208"/>
      <c r="DT38" s="208"/>
      <c r="DU38" s="208"/>
      <c r="DV38" s="208"/>
      <c r="DW38" s="208"/>
      <c r="DX38" s="208"/>
      <c r="DY38" s="208"/>
      <c r="DZ38" s="208"/>
      <c r="EA38" s="210"/>
      <c r="EB38" s="211"/>
      <c r="EC38" s="211"/>
      <c r="ED38" s="211"/>
      <c r="EE38" s="211"/>
      <c r="EF38" s="207"/>
      <c r="EG38" s="209"/>
      <c r="EH38" s="213"/>
      <c r="EI38" s="214"/>
      <c r="EJ38" s="214"/>
      <c r="EK38" s="214"/>
      <c r="EL38" s="214"/>
      <c r="EM38" s="215"/>
      <c r="EN38" s="216"/>
      <c r="EO38" s="216"/>
      <c r="EP38" s="217"/>
      <c r="EQ38" s="217"/>
      <c r="ER38" s="215"/>
      <c r="ES38" s="218"/>
      <c r="ET38" s="215"/>
      <c r="EU38" s="215"/>
      <c r="EV38" s="215"/>
      <c r="EW38" s="218"/>
      <c r="EX38" s="215"/>
      <c r="EY38" s="215"/>
      <c r="EZ38" s="218"/>
    </row>
    <row r="39" spans="1:156" ht="12.75" customHeight="1">
      <c r="M39" s="244"/>
      <c r="N39" s="246" t="str">
        <f>"- Chiều cao tiết diện:"</f>
        <v>- Chiều cao tiết diện:</v>
      </c>
      <c r="O39" s="246"/>
      <c r="P39" s="248"/>
      <c r="Q39" s="250"/>
      <c r="R39" s="246"/>
      <c r="S39" s="2"/>
      <c r="T39" s="2"/>
      <c r="U39" s="2"/>
      <c r="V39" s="21" t="s">
        <v>57</v>
      </c>
      <c r="W39" s="20">
        <v>624</v>
      </c>
      <c r="X39" s="253" t="s">
        <v>1</v>
      </c>
      <c r="AA39" s="18"/>
      <c r="AB39" s="18"/>
      <c r="AC39" s="18"/>
      <c r="AD39" s="19"/>
      <c r="AE39" s="19"/>
      <c r="AI39" s="18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18"/>
      <c r="BG39" s="140"/>
      <c r="BH39" s="131"/>
      <c r="BI39" s="102"/>
      <c r="BJ39" s="102"/>
      <c r="BK39" s="102"/>
      <c r="BL39" s="102"/>
      <c r="BM39" s="99"/>
      <c r="BN39" s="4"/>
      <c r="BO39" s="4"/>
      <c r="BP39" s="5"/>
      <c r="BQ39" s="5"/>
      <c r="BR39" s="99"/>
      <c r="BS39" s="159"/>
      <c r="BT39" s="99"/>
      <c r="BU39" s="99"/>
      <c r="BV39" s="99"/>
      <c r="BW39" s="159"/>
      <c r="BX39" s="99"/>
      <c r="BY39" s="99"/>
      <c r="BZ39" s="159"/>
      <c r="DA39" s="155"/>
      <c r="DB39" s="155"/>
      <c r="DC39" s="155"/>
      <c r="DD39" s="207"/>
      <c r="DE39" s="207"/>
      <c r="DF39" s="155"/>
      <c r="DG39" s="155"/>
      <c r="DH39" s="155"/>
      <c r="DI39" s="155"/>
      <c r="DJ39" s="208"/>
      <c r="DK39" s="208"/>
      <c r="DL39" s="208"/>
      <c r="DM39" s="208"/>
      <c r="DN39" s="208"/>
      <c r="DO39" s="208"/>
      <c r="DP39" s="208"/>
      <c r="DQ39" s="208"/>
      <c r="DR39" s="208"/>
      <c r="DS39" s="208"/>
      <c r="DT39" s="208"/>
      <c r="DU39" s="208"/>
      <c r="DV39" s="208"/>
      <c r="DW39" s="208"/>
      <c r="DX39" s="208"/>
      <c r="DY39" s="208"/>
      <c r="DZ39" s="208"/>
      <c r="EA39" s="210"/>
      <c r="EB39" s="211"/>
      <c r="EC39" s="211"/>
      <c r="ED39" s="211"/>
      <c r="EE39" s="211"/>
      <c r="EF39" s="207"/>
      <c r="EG39" s="209"/>
      <c r="EH39" s="213"/>
      <c r="EI39" s="214"/>
      <c r="EJ39" s="214"/>
      <c r="EK39" s="214"/>
      <c r="EL39" s="214"/>
      <c r="EM39" s="215"/>
      <c r="EN39" s="216"/>
      <c r="EO39" s="216"/>
      <c r="EP39" s="217"/>
      <c r="EQ39" s="217"/>
      <c r="ER39" s="215"/>
      <c r="ES39" s="218"/>
      <c r="ET39" s="215"/>
      <c r="EU39" s="215"/>
      <c r="EV39" s="215"/>
      <c r="EW39" s="218"/>
      <c r="EX39" s="215"/>
      <c r="EY39" s="215"/>
      <c r="EZ39" s="218"/>
    </row>
    <row r="40" spans="1:156" ht="12.75" customHeight="1">
      <c r="M40" s="244"/>
      <c r="N40" s="246" t="str">
        <f>"- Bề rộng bản cánh:"</f>
        <v>- Bề rộng bản cánh:</v>
      </c>
      <c r="O40" s="246"/>
      <c r="P40" s="248"/>
      <c r="Q40" s="250"/>
      <c r="R40" s="246"/>
      <c r="S40" s="2"/>
      <c r="T40" s="2"/>
      <c r="U40" s="251"/>
      <c r="V40" s="21" t="s">
        <v>127</v>
      </c>
      <c r="W40" s="20">
        <v>185</v>
      </c>
      <c r="X40" s="253" t="s">
        <v>1</v>
      </c>
      <c r="AA40" s="18"/>
      <c r="AB40" s="18"/>
      <c r="AC40" s="18"/>
      <c r="AD40" s="19"/>
      <c r="AE40" s="19"/>
      <c r="AI40" s="18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18"/>
      <c r="BG40" s="140"/>
      <c r="BH40" s="131"/>
      <c r="BI40" s="102"/>
      <c r="BJ40" s="102"/>
      <c r="BK40" s="102"/>
      <c r="BL40" s="102"/>
      <c r="BM40" s="99"/>
      <c r="BN40" s="4"/>
      <c r="BO40" s="4"/>
      <c r="BP40" s="5"/>
      <c r="BQ40" s="5"/>
      <c r="BR40" s="99"/>
      <c r="BS40" s="159"/>
      <c r="BT40" s="99"/>
      <c r="BU40" s="99"/>
      <c r="BV40" s="99"/>
      <c r="BW40" s="159"/>
      <c r="BX40" s="99"/>
      <c r="BY40" s="99"/>
      <c r="BZ40" s="159"/>
      <c r="DA40" s="155"/>
      <c r="DB40" s="155"/>
      <c r="DC40" s="155"/>
      <c r="DD40" s="207"/>
      <c r="DE40" s="207"/>
      <c r="DF40" s="155"/>
      <c r="DG40" s="155"/>
      <c r="DH40" s="155"/>
      <c r="DI40" s="155"/>
      <c r="DJ40" s="208"/>
      <c r="DK40" s="208"/>
      <c r="DL40" s="208"/>
      <c r="DM40" s="208"/>
      <c r="DN40" s="208"/>
      <c r="DO40" s="208"/>
      <c r="DP40" s="208"/>
      <c r="DQ40" s="208"/>
      <c r="DR40" s="208"/>
      <c r="DS40" s="208"/>
      <c r="DT40" s="208"/>
      <c r="DU40" s="208"/>
      <c r="DV40" s="208"/>
      <c r="DW40" s="208"/>
      <c r="DX40" s="208"/>
      <c r="DY40" s="208"/>
      <c r="DZ40" s="208"/>
      <c r="EA40" s="210"/>
      <c r="EB40" s="211"/>
      <c r="EC40" s="211"/>
      <c r="ED40" s="211"/>
      <c r="EE40" s="211"/>
      <c r="EF40" s="207"/>
      <c r="EG40" s="209"/>
      <c r="EH40" s="213"/>
      <c r="EI40" s="214"/>
      <c r="EJ40" s="214"/>
      <c r="EK40" s="214"/>
      <c r="EL40" s="214"/>
      <c r="EM40" s="215"/>
      <c r="EN40" s="216"/>
      <c r="EO40" s="216"/>
      <c r="EP40" s="217"/>
      <c r="EQ40" s="217"/>
      <c r="ER40" s="215"/>
      <c r="ES40" s="218"/>
      <c r="ET40" s="215"/>
      <c r="EU40" s="215"/>
      <c r="EV40" s="215"/>
      <c r="EW40" s="218"/>
      <c r="EX40" s="215"/>
      <c r="EY40" s="215"/>
      <c r="EZ40" s="218"/>
    </row>
    <row r="41" spans="1:156" ht="12.75" customHeight="1">
      <c r="M41" s="244"/>
      <c r="N41" s="246" t="str">
        <f>"- Chiều dày bản bụng:"</f>
        <v>- Chiều dày bản bụng:</v>
      </c>
      <c r="O41" s="246"/>
      <c r="P41" s="248"/>
      <c r="Q41" s="250"/>
      <c r="R41" s="246"/>
      <c r="S41" s="2"/>
      <c r="T41" s="2"/>
      <c r="U41" s="2"/>
      <c r="V41" s="21" t="s">
        <v>58</v>
      </c>
      <c r="W41" s="20">
        <v>6</v>
      </c>
      <c r="X41" s="253" t="s">
        <v>1</v>
      </c>
      <c r="AA41" s="18"/>
      <c r="AB41" s="18"/>
      <c r="AC41" s="18"/>
      <c r="AD41" s="19"/>
      <c r="AE41" s="19"/>
      <c r="AI41" s="18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18"/>
      <c r="BG41" s="140"/>
      <c r="BH41" s="131"/>
      <c r="BI41" s="102"/>
      <c r="BJ41" s="102"/>
      <c r="BK41" s="102"/>
      <c r="BL41" s="102"/>
      <c r="BM41" s="99"/>
      <c r="BN41" s="4"/>
      <c r="BO41" s="4"/>
      <c r="BP41" s="5"/>
      <c r="BQ41" s="5"/>
      <c r="BR41" s="99"/>
      <c r="BS41" s="159"/>
      <c r="BT41" s="99"/>
      <c r="BU41" s="99"/>
      <c r="BV41" s="99"/>
      <c r="BW41" s="159"/>
      <c r="BX41" s="99"/>
      <c r="BY41" s="99"/>
      <c r="BZ41" s="159"/>
      <c r="DA41" s="155"/>
      <c r="DB41" s="155"/>
      <c r="DC41" s="155"/>
      <c r="DD41" s="207"/>
      <c r="DE41" s="207"/>
      <c r="DF41" s="155"/>
      <c r="DG41" s="155"/>
      <c r="DH41" s="155"/>
      <c r="DI41" s="155"/>
      <c r="DJ41" s="208"/>
      <c r="DK41" s="208"/>
      <c r="DL41" s="208"/>
      <c r="DM41" s="208"/>
      <c r="DN41" s="208"/>
      <c r="DO41" s="208"/>
      <c r="DP41" s="208"/>
      <c r="DQ41" s="208"/>
      <c r="DR41" s="208"/>
      <c r="DS41" s="208"/>
      <c r="DT41" s="208"/>
      <c r="DU41" s="208"/>
      <c r="DV41" s="208"/>
      <c r="DW41" s="208"/>
      <c r="DX41" s="208"/>
      <c r="DY41" s="208"/>
      <c r="DZ41" s="208"/>
      <c r="EA41" s="210"/>
      <c r="EB41" s="211"/>
      <c r="EC41" s="211"/>
      <c r="ED41" s="211"/>
      <c r="EE41" s="211"/>
      <c r="EF41" s="207"/>
      <c r="EG41" s="209"/>
      <c r="EH41" s="213"/>
      <c r="EI41" s="214"/>
      <c r="EJ41" s="214"/>
      <c r="EK41" s="214"/>
      <c r="EL41" s="214"/>
      <c r="EM41" s="215"/>
      <c r="EN41" s="216"/>
      <c r="EO41" s="216"/>
      <c r="EP41" s="217"/>
      <c r="EQ41" s="217"/>
      <c r="ER41" s="215"/>
      <c r="ES41" s="218"/>
      <c r="ET41" s="215"/>
      <c r="EU41" s="215"/>
      <c r="EV41" s="215"/>
      <c r="EW41" s="218"/>
      <c r="EX41" s="215"/>
      <c r="EY41" s="215"/>
      <c r="EZ41" s="218"/>
    </row>
    <row r="42" spans="1:156" ht="12.75" customHeight="1" thickBot="1">
      <c r="M42" s="244"/>
      <c r="N42" s="246" t="str">
        <f>"- Chiều dày bản cánh:"</f>
        <v>- Chiều dày bản cánh:</v>
      </c>
      <c r="O42" s="2"/>
      <c r="P42" s="21"/>
      <c r="Q42" s="255"/>
      <c r="R42" s="132"/>
      <c r="S42" s="2"/>
      <c r="T42" s="2"/>
      <c r="U42" s="2"/>
      <c r="V42" s="21" t="s">
        <v>59</v>
      </c>
      <c r="W42" s="20">
        <v>12</v>
      </c>
      <c r="X42" s="253" t="s">
        <v>1</v>
      </c>
      <c r="AA42" s="18"/>
      <c r="AB42" s="18"/>
      <c r="AC42" s="18"/>
      <c r="AD42" s="19"/>
      <c r="AE42" s="19"/>
      <c r="AI42" s="18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18"/>
      <c r="BG42" s="140"/>
      <c r="BH42" s="131"/>
      <c r="BI42" s="102"/>
      <c r="BJ42" s="102"/>
      <c r="BK42" s="102"/>
      <c r="BL42" s="102"/>
      <c r="BM42" s="99"/>
      <c r="BN42" s="4"/>
      <c r="BO42" s="4"/>
      <c r="BP42" s="5"/>
      <c r="BQ42" s="5"/>
      <c r="BR42" s="99"/>
      <c r="BS42" s="159"/>
      <c r="BT42" s="99"/>
      <c r="BU42" s="99"/>
      <c r="BV42" s="99"/>
      <c r="BW42" s="159"/>
      <c r="BX42" s="99"/>
      <c r="BY42" s="99"/>
      <c r="BZ42" s="159"/>
      <c r="DA42" s="155"/>
      <c r="DB42" s="155"/>
      <c r="DC42" s="155"/>
      <c r="DD42" s="207"/>
      <c r="DE42" s="207"/>
      <c r="DF42" s="155"/>
      <c r="DG42" s="155"/>
      <c r="DH42" s="155"/>
      <c r="DI42" s="155"/>
      <c r="DJ42" s="208"/>
      <c r="DK42" s="208"/>
      <c r="DL42" s="208"/>
      <c r="DM42" s="208"/>
      <c r="DN42" s="208"/>
      <c r="DO42" s="208"/>
      <c r="DP42" s="208"/>
      <c r="DQ42" s="208"/>
      <c r="DR42" s="208"/>
      <c r="DS42" s="208"/>
      <c r="DT42" s="208"/>
      <c r="DU42" s="208"/>
      <c r="DV42" s="208"/>
      <c r="DW42" s="208"/>
      <c r="DX42" s="208"/>
      <c r="DY42" s="208"/>
      <c r="DZ42" s="208"/>
      <c r="EA42" s="210"/>
      <c r="EB42" s="211"/>
      <c r="EC42" s="211"/>
      <c r="ED42" s="211"/>
      <c r="EE42" s="211"/>
      <c r="EF42" s="207"/>
      <c r="EG42" s="209"/>
      <c r="EH42" s="213"/>
      <c r="EI42" s="214"/>
      <c r="EJ42" s="214"/>
      <c r="EK42" s="214"/>
      <c r="EL42" s="214"/>
      <c r="EM42" s="215"/>
      <c r="EN42" s="216"/>
      <c r="EO42" s="216"/>
      <c r="EP42" s="217"/>
      <c r="EQ42" s="217"/>
      <c r="ER42" s="215"/>
      <c r="ES42" s="218"/>
      <c r="ET42" s="215"/>
      <c r="EU42" s="215"/>
      <c r="EV42" s="215"/>
      <c r="EW42" s="218"/>
      <c r="EX42" s="215"/>
      <c r="EY42" s="215"/>
      <c r="EZ42" s="218"/>
    </row>
    <row r="43" spans="1:156" ht="12.75" customHeight="1">
      <c r="A43" s="329" t="s">
        <v>319</v>
      </c>
      <c r="B43" s="330"/>
      <c r="C43" s="330"/>
      <c r="D43" s="330"/>
      <c r="E43" s="129">
        <f>DceViTri(W39,A46:A57)</f>
        <v>11</v>
      </c>
      <c r="F43" s="111">
        <f>INDEX($A$46:$A$57,E43)</f>
        <v>700</v>
      </c>
      <c r="G43" s="329" t="s">
        <v>223</v>
      </c>
      <c r="H43" s="330"/>
      <c r="I43" s="330"/>
      <c r="J43" s="130">
        <f>DceViTri(W40,$G$46:$G$57)</f>
        <v>2</v>
      </c>
      <c r="K43" s="111">
        <f>INDEX($G$46:$G$57,J43)</f>
        <v>212</v>
      </c>
      <c r="M43" s="243" t="s">
        <v>115</v>
      </c>
      <c r="N43" s="246"/>
      <c r="O43" s="246"/>
      <c r="P43" s="246"/>
      <c r="Q43" s="246"/>
      <c r="R43" s="246"/>
      <c r="S43" s="248"/>
      <c r="T43" s="249"/>
      <c r="U43" s="246"/>
      <c r="V43" s="2"/>
      <c r="W43" s="2"/>
      <c r="X43" s="247"/>
      <c r="AA43" s="18"/>
      <c r="AB43" s="18"/>
      <c r="AC43" s="18"/>
      <c r="AD43" s="19"/>
      <c r="AE43" s="19"/>
      <c r="AI43" s="18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18"/>
      <c r="BG43" s="140"/>
      <c r="BH43" s="131"/>
      <c r="BI43" s="102"/>
      <c r="BJ43" s="102"/>
      <c r="BK43" s="102"/>
      <c r="BL43" s="102"/>
      <c r="BM43" s="99"/>
      <c r="BN43" s="4"/>
      <c r="BO43" s="4"/>
      <c r="BP43" s="5"/>
      <c r="BQ43" s="5"/>
      <c r="BR43" s="99"/>
      <c r="BS43" s="159"/>
      <c r="BT43" s="99"/>
      <c r="BU43" s="99"/>
      <c r="BV43" s="99"/>
      <c r="BW43" s="159"/>
      <c r="BX43" s="99"/>
      <c r="BY43" s="99"/>
      <c r="BZ43" s="159"/>
      <c r="DA43" s="155"/>
      <c r="DB43" s="155"/>
      <c r="DC43" s="155"/>
      <c r="DD43" s="207"/>
      <c r="DE43" s="207"/>
      <c r="DF43" s="155"/>
      <c r="DG43" s="155"/>
      <c r="DH43" s="155"/>
      <c r="DI43" s="155"/>
      <c r="DJ43" s="208"/>
      <c r="DK43" s="208"/>
      <c r="DL43" s="208"/>
      <c r="DM43" s="208"/>
      <c r="DN43" s="208"/>
      <c r="DO43" s="208"/>
      <c r="DP43" s="208"/>
      <c r="DQ43" s="208"/>
      <c r="DR43" s="208"/>
      <c r="DS43" s="208"/>
      <c r="DT43" s="208"/>
      <c r="DU43" s="208"/>
      <c r="DV43" s="208"/>
      <c r="DW43" s="208"/>
      <c r="DX43" s="208"/>
      <c r="DY43" s="208"/>
      <c r="DZ43" s="208"/>
      <c r="EA43" s="210"/>
      <c r="EB43" s="211"/>
      <c r="EC43" s="211"/>
      <c r="ED43" s="211"/>
      <c r="EE43" s="211"/>
      <c r="EF43" s="207"/>
      <c r="EG43" s="209"/>
      <c r="EH43" s="213"/>
      <c r="EI43" s="214"/>
      <c r="EJ43" s="214"/>
      <c r="EK43" s="214"/>
      <c r="EL43" s="214"/>
      <c r="EM43" s="215"/>
      <c r="EN43" s="216"/>
      <c r="EO43" s="216"/>
      <c r="EP43" s="217"/>
      <c r="EQ43" s="217"/>
      <c r="ER43" s="215"/>
      <c r="ES43" s="218"/>
      <c r="ET43" s="215"/>
      <c r="EU43" s="215"/>
      <c r="EV43" s="215"/>
      <c r="EW43" s="218"/>
      <c r="EX43" s="215"/>
      <c r="EY43" s="215"/>
      <c r="EZ43" s="218"/>
    </row>
    <row r="44" spans="1:156" ht="12.75" customHeight="1">
      <c r="A44" s="56" t="s">
        <v>320</v>
      </c>
      <c r="B44" s="56" t="s">
        <v>324</v>
      </c>
      <c r="C44" s="337" t="s">
        <v>378</v>
      </c>
      <c r="D44" s="56" t="s">
        <v>332</v>
      </c>
      <c r="E44" s="313" t="s">
        <v>347</v>
      </c>
      <c r="F44" s="313"/>
      <c r="G44" s="148" t="s">
        <v>224</v>
      </c>
      <c r="H44" s="57" t="s">
        <v>225</v>
      </c>
      <c r="I44" s="57" t="s">
        <v>333</v>
      </c>
      <c r="J44" s="313" t="s">
        <v>346</v>
      </c>
      <c r="K44" s="314"/>
      <c r="M44" s="244"/>
      <c r="N44" s="246" t="str">
        <f>"- Đường kính ngoài bu lông:"</f>
        <v>- Đường kính ngoài bu lông:</v>
      </c>
      <c r="O44" s="246"/>
      <c r="P44" s="248"/>
      <c r="Q44" s="250"/>
      <c r="R44" s="246"/>
      <c r="S44" s="2"/>
      <c r="T44" s="2"/>
      <c r="U44" s="2"/>
      <c r="V44" s="21" t="s">
        <v>46</v>
      </c>
      <c r="W44" s="20">
        <f>DceNoiSuy(W39,$A$46:$A$100,$C$46:$C$100)</f>
        <v>30</v>
      </c>
      <c r="X44" s="253" t="s">
        <v>1</v>
      </c>
      <c r="AA44" s="18"/>
      <c r="AB44" s="18"/>
      <c r="AC44" s="18"/>
      <c r="AD44" s="19"/>
      <c r="AE44" s="19"/>
      <c r="AI44" s="18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18"/>
      <c r="BG44" s="140"/>
      <c r="BH44" s="131"/>
      <c r="BI44" s="102"/>
      <c r="BJ44" s="102"/>
      <c r="BK44" s="102"/>
      <c r="BL44" s="102"/>
      <c r="BM44" s="99"/>
      <c r="BN44" s="4"/>
      <c r="BO44" s="4"/>
      <c r="BP44" s="5"/>
      <c r="BQ44" s="5"/>
      <c r="BR44" s="99"/>
      <c r="BS44" s="159"/>
      <c r="BT44" s="99"/>
      <c r="BU44" s="99"/>
      <c r="BV44" s="99"/>
      <c r="BW44" s="159"/>
      <c r="BX44" s="99"/>
      <c r="BY44" s="99"/>
      <c r="BZ44" s="159"/>
      <c r="DA44" s="155"/>
      <c r="DB44" s="155"/>
      <c r="DC44" s="155"/>
      <c r="DD44" s="207"/>
      <c r="DE44" s="207"/>
      <c r="DF44" s="155"/>
      <c r="DG44" s="155"/>
      <c r="DH44" s="155"/>
      <c r="DI44" s="155"/>
      <c r="DJ44" s="208"/>
      <c r="DK44" s="208"/>
      <c r="DL44" s="208"/>
      <c r="DM44" s="208"/>
      <c r="DN44" s="208"/>
      <c r="DO44" s="208"/>
      <c r="DP44" s="208"/>
      <c r="DQ44" s="208"/>
      <c r="DR44" s="208"/>
      <c r="DS44" s="208"/>
      <c r="DT44" s="208"/>
      <c r="DU44" s="208"/>
      <c r="DV44" s="208"/>
      <c r="DW44" s="208"/>
      <c r="DX44" s="208"/>
      <c r="DY44" s="208"/>
      <c r="DZ44" s="208"/>
      <c r="EA44" s="210"/>
      <c r="EB44" s="211"/>
      <c r="EC44" s="211"/>
      <c r="ED44" s="211"/>
      <c r="EE44" s="211"/>
      <c r="EF44" s="207"/>
      <c r="EG44" s="209"/>
      <c r="EH44" s="213"/>
      <c r="EI44" s="214"/>
      <c r="EJ44" s="214"/>
      <c r="EK44" s="214"/>
      <c r="EL44" s="214"/>
      <c r="EM44" s="215"/>
      <c r="EN44" s="216"/>
      <c r="EO44" s="216"/>
      <c r="EP44" s="217"/>
      <c r="EQ44" s="217"/>
      <c r="ER44" s="215"/>
      <c r="ES44" s="218"/>
      <c r="ET44" s="215"/>
      <c r="EU44" s="215"/>
      <c r="EV44" s="215"/>
      <c r="EW44" s="218"/>
      <c r="EX44" s="215"/>
      <c r="EY44" s="215"/>
      <c r="EZ44" s="218"/>
    </row>
    <row r="45" spans="1:156" ht="12.75" customHeight="1">
      <c r="A45" s="103">
        <v>1</v>
      </c>
      <c r="B45" s="103">
        <v>2</v>
      </c>
      <c r="C45" s="337"/>
      <c r="D45" s="103">
        <v>3</v>
      </c>
      <c r="E45" s="103">
        <v>4</v>
      </c>
      <c r="F45" s="103">
        <v>5</v>
      </c>
      <c r="G45" s="149">
        <v>6</v>
      </c>
      <c r="H45" s="103">
        <v>7</v>
      </c>
      <c r="I45" s="103">
        <v>8</v>
      </c>
      <c r="J45" s="103">
        <v>9</v>
      </c>
      <c r="K45" s="109">
        <v>10</v>
      </c>
      <c r="M45" s="244"/>
      <c r="N45" s="246" t="str">
        <f>"- Diện tích thực thân bu lông:"</f>
        <v>- Diện tích thực thân bu lông:</v>
      </c>
      <c r="O45" s="246"/>
      <c r="P45" s="248"/>
      <c r="Q45" s="250"/>
      <c r="R45" s="246"/>
      <c r="S45" s="2"/>
      <c r="T45" s="2"/>
      <c r="U45" s="2"/>
      <c r="V45" s="21" t="s">
        <v>125</v>
      </c>
      <c r="W45" s="22">
        <f>VLOOKUP(W44,Data!$V$4:$Z$99,4,FALSE)</f>
        <v>561</v>
      </c>
      <c r="X45" s="253" t="s">
        <v>47</v>
      </c>
      <c r="AA45" s="18"/>
      <c r="AB45" s="18"/>
      <c r="AC45" s="18"/>
      <c r="AD45" s="19"/>
      <c r="AE45" s="19"/>
      <c r="AI45" s="18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18"/>
      <c r="BG45" s="140"/>
      <c r="BH45" s="131"/>
      <c r="BI45" s="102"/>
      <c r="BJ45" s="102"/>
      <c r="BK45" s="102"/>
      <c r="BL45" s="102"/>
      <c r="BM45" s="99"/>
      <c r="BN45" s="4"/>
      <c r="BO45" s="4"/>
      <c r="BP45" s="5"/>
      <c r="BQ45" s="5"/>
      <c r="BR45" s="99"/>
      <c r="BS45" s="159"/>
      <c r="BT45" s="99"/>
      <c r="BU45" s="99"/>
      <c r="BV45" s="99"/>
      <c r="BW45" s="159"/>
      <c r="BX45" s="99"/>
      <c r="BY45" s="99"/>
      <c r="BZ45" s="159"/>
      <c r="DA45" s="155"/>
      <c r="DB45" s="155"/>
      <c r="DC45" s="155"/>
      <c r="DD45" s="207"/>
      <c r="DE45" s="207"/>
      <c r="DF45" s="155"/>
      <c r="DG45" s="155"/>
      <c r="DH45" s="155"/>
      <c r="DI45" s="155"/>
      <c r="DJ45" s="208"/>
      <c r="DK45" s="208"/>
      <c r="DL45" s="208"/>
      <c r="DM45" s="208"/>
      <c r="DN45" s="208"/>
      <c r="DO45" s="208"/>
      <c r="DP45" s="208"/>
      <c r="DQ45" s="208"/>
      <c r="DR45" s="208"/>
      <c r="DS45" s="208"/>
      <c r="DT45" s="208"/>
      <c r="DU45" s="208"/>
      <c r="DV45" s="208"/>
      <c r="DW45" s="208"/>
      <c r="DX45" s="208"/>
      <c r="DY45" s="208"/>
      <c r="DZ45" s="208"/>
      <c r="EA45" s="210"/>
      <c r="EB45" s="211"/>
      <c r="EC45" s="211"/>
      <c r="ED45" s="211"/>
      <c r="EE45" s="211"/>
      <c r="EF45" s="207"/>
      <c r="EG45" s="209"/>
      <c r="EH45" s="213"/>
      <c r="EI45" s="214"/>
      <c r="EJ45" s="214"/>
      <c r="EK45" s="214"/>
      <c r="EL45" s="214"/>
      <c r="EM45" s="215"/>
      <c r="EN45" s="216"/>
      <c r="EO45" s="216"/>
      <c r="EP45" s="217"/>
      <c r="EQ45" s="217"/>
      <c r="ER45" s="215"/>
      <c r="ES45" s="218"/>
      <c r="ET45" s="215"/>
      <c r="EU45" s="215"/>
      <c r="EV45" s="215"/>
      <c r="EW45" s="218"/>
      <c r="EX45" s="215"/>
      <c r="EY45" s="215"/>
      <c r="EZ45" s="218"/>
    </row>
    <row r="46" spans="1:156" ht="12.75" customHeight="1">
      <c r="A46" s="4">
        <v>150</v>
      </c>
      <c r="B46" s="4">
        <v>175</v>
      </c>
      <c r="C46" s="4">
        <v>20</v>
      </c>
      <c r="D46" s="4">
        <v>2</v>
      </c>
      <c r="E46" s="4">
        <v>0</v>
      </c>
      <c r="F46" s="4">
        <v>0</v>
      </c>
      <c r="G46" s="150">
        <v>184</v>
      </c>
      <c r="H46" s="4">
        <v>100</v>
      </c>
      <c r="I46" s="4">
        <v>2</v>
      </c>
      <c r="J46" s="4">
        <v>0</v>
      </c>
      <c r="K46" s="110">
        <v>0</v>
      </c>
      <c r="M46" s="244"/>
      <c r="N46" s="246" t="str">
        <f>"- Số bu lông theo phương bản cánh:"</f>
        <v>- Số bu lông theo phương bản cánh:</v>
      </c>
      <c r="O46" s="246"/>
      <c r="P46" s="248"/>
      <c r="Q46" s="250"/>
      <c r="R46" s="246"/>
      <c r="S46" s="2"/>
      <c r="T46" s="2"/>
      <c r="U46" s="251"/>
      <c r="V46" s="21" t="s">
        <v>350</v>
      </c>
      <c r="W46" s="20">
        <f>DceNoiSuy(W40,$G$46:$G$100,$I$46:$I$100)</f>
        <v>2</v>
      </c>
      <c r="X46" s="253" t="s">
        <v>1</v>
      </c>
      <c r="AA46" s="18"/>
      <c r="AB46" s="18"/>
      <c r="AC46" s="18"/>
      <c r="AD46" s="19"/>
      <c r="AE46" s="19"/>
      <c r="AI46" s="18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18"/>
      <c r="BG46" s="140"/>
      <c r="BH46" s="131"/>
      <c r="BI46" s="102"/>
      <c r="BJ46" s="102"/>
      <c r="BK46" s="102"/>
      <c r="BL46" s="102"/>
      <c r="BM46" s="99"/>
      <c r="BN46" s="4"/>
      <c r="BO46" s="4"/>
      <c r="BP46" s="5"/>
      <c r="BQ46" s="5"/>
      <c r="BR46" s="99"/>
      <c r="BS46" s="159"/>
      <c r="BT46" s="99"/>
      <c r="BU46" s="99"/>
      <c r="BV46" s="99"/>
      <c r="BW46" s="159"/>
      <c r="BX46" s="99"/>
      <c r="BY46" s="99"/>
      <c r="BZ46" s="159"/>
      <c r="DA46" s="155"/>
      <c r="DB46" s="155"/>
      <c r="DC46" s="155"/>
      <c r="DD46" s="207"/>
      <c r="DE46" s="207"/>
      <c r="DF46" s="155"/>
      <c r="DG46" s="155"/>
      <c r="DH46" s="155"/>
      <c r="DI46" s="155"/>
      <c r="DJ46" s="208"/>
      <c r="DK46" s="208"/>
      <c r="DL46" s="208"/>
      <c r="DM46" s="208"/>
      <c r="DN46" s="208"/>
      <c r="DO46" s="208"/>
      <c r="DP46" s="208"/>
      <c r="DQ46" s="208"/>
      <c r="DR46" s="208"/>
      <c r="DS46" s="208"/>
      <c r="DT46" s="208"/>
      <c r="DU46" s="208"/>
      <c r="DV46" s="208"/>
      <c r="DW46" s="208"/>
      <c r="DX46" s="208"/>
      <c r="DY46" s="208"/>
      <c r="DZ46" s="208"/>
      <c r="EA46" s="210"/>
      <c r="EB46" s="211"/>
      <c r="EC46" s="211"/>
      <c r="ED46" s="211"/>
      <c r="EE46" s="211"/>
      <c r="EF46" s="207"/>
      <c r="EG46" s="209"/>
      <c r="EH46" s="213"/>
      <c r="EI46" s="214"/>
      <c r="EJ46" s="214"/>
      <c r="EK46" s="214"/>
      <c r="EL46" s="214"/>
      <c r="EM46" s="215"/>
      <c r="EN46" s="216"/>
      <c r="EO46" s="216"/>
      <c r="EP46" s="217"/>
      <c r="EQ46" s="217"/>
      <c r="ER46" s="215"/>
      <c r="ES46" s="218"/>
      <c r="ET46" s="215"/>
      <c r="EU46" s="215"/>
      <c r="EV46" s="215"/>
      <c r="EW46" s="218"/>
      <c r="EX46" s="215"/>
      <c r="EY46" s="215"/>
      <c r="EZ46" s="218"/>
    </row>
    <row r="47" spans="1:156" ht="12.75" customHeight="1">
      <c r="A47" s="4">
        <v>175</v>
      </c>
      <c r="B47" s="4">
        <v>175</v>
      </c>
      <c r="C47" s="4">
        <v>20</v>
      </c>
      <c r="D47" s="4">
        <v>2</v>
      </c>
      <c r="E47" s="4">
        <v>0</v>
      </c>
      <c r="F47" s="4">
        <v>0</v>
      </c>
      <c r="G47" s="150">
        <v>212</v>
      </c>
      <c r="H47" s="4">
        <v>120</v>
      </c>
      <c r="I47" s="4">
        <v>2</v>
      </c>
      <c r="J47" s="4">
        <v>1</v>
      </c>
      <c r="K47" s="110">
        <v>6</v>
      </c>
      <c r="M47" s="244"/>
      <c r="N47" s="246" t="str">
        <f>"- Số bu lông theo phương bản bụng:"</f>
        <v>- Số bu lông theo phương bản bụng:</v>
      </c>
      <c r="O47" s="246"/>
      <c r="P47" s="248"/>
      <c r="Q47" s="250"/>
      <c r="R47" s="246"/>
      <c r="S47" s="2"/>
      <c r="T47" s="2"/>
      <c r="U47" s="251"/>
      <c r="V47" s="21" t="s">
        <v>351</v>
      </c>
      <c r="W47" s="20">
        <f>DceNoiSuy(W39,$A$46:$A$100,$D$46:$D$100)</f>
        <v>4</v>
      </c>
      <c r="X47" s="253" t="s">
        <v>1</v>
      </c>
      <c r="AA47" s="18"/>
      <c r="AB47" s="18"/>
      <c r="AC47" s="18"/>
      <c r="AD47" s="19"/>
      <c r="AE47" s="19"/>
      <c r="AI47" s="18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18"/>
      <c r="BG47" s="140"/>
      <c r="BH47" s="131"/>
      <c r="BI47" s="102"/>
      <c r="BJ47" s="102"/>
      <c r="BK47" s="102"/>
      <c r="BL47" s="102"/>
      <c r="BM47" s="99"/>
      <c r="BN47" s="4"/>
      <c r="BO47" s="4"/>
      <c r="BP47" s="5"/>
      <c r="BQ47" s="5"/>
      <c r="BR47" s="99"/>
      <c r="BS47" s="159"/>
      <c r="BT47" s="99"/>
      <c r="BU47" s="99"/>
      <c r="BV47" s="99"/>
      <c r="BW47" s="159"/>
      <c r="BX47" s="99"/>
      <c r="BY47" s="99"/>
      <c r="BZ47" s="159"/>
      <c r="DA47" s="155"/>
      <c r="DB47" s="155"/>
      <c r="DC47" s="155"/>
      <c r="DD47" s="207"/>
      <c r="DE47" s="207"/>
      <c r="DF47" s="155"/>
      <c r="DG47" s="155"/>
      <c r="DH47" s="155"/>
      <c r="DI47" s="155"/>
      <c r="DJ47" s="208"/>
      <c r="DK47" s="208"/>
      <c r="DL47" s="208"/>
      <c r="DM47" s="208"/>
      <c r="DN47" s="208"/>
      <c r="DO47" s="208"/>
      <c r="DP47" s="208"/>
      <c r="DQ47" s="208"/>
      <c r="DR47" s="208"/>
      <c r="DS47" s="208"/>
      <c r="DT47" s="208"/>
      <c r="DU47" s="208"/>
      <c r="DV47" s="208"/>
      <c r="DW47" s="208"/>
      <c r="DX47" s="208"/>
      <c r="DY47" s="208"/>
      <c r="DZ47" s="208"/>
      <c r="EA47" s="210"/>
      <c r="EB47" s="211"/>
      <c r="EC47" s="211"/>
      <c r="ED47" s="211"/>
      <c r="EE47" s="211"/>
      <c r="EF47" s="207"/>
      <c r="EG47" s="209"/>
      <c r="EH47" s="213"/>
      <c r="EI47" s="214"/>
      <c r="EJ47" s="214"/>
      <c r="EK47" s="214"/>
      <c r="EL47" s="214"/>
      <c r="EM47" s="215"/>
      <c r="EN47" s="216"/>
      <c r="EO47" s="216"/>
      <c r="EP47" s="217"/>
      <c r="EQ47" s="217"/>
      <c r="ER47" s="215"/>
      <c r="ES47" s="218"/>
      <c r="ET47" s="215"/>
      <c r="EU47" s="215"/>
      <c r="EV47" s="215"/>
      <c r="EW47" s="218"/>
      <c r="EX47" s="215"/>
      <c r="EY47" s="215"/>
      <c r="EZ47" s="218"/>
    </row>
    <row r="48" spans="1:156" ht="12.75" customHeight="1">
      <c r="A48" s="4">
        <v>200</v>
      </c>
      <c r="B48" s="4">
        <v>20</v>
      </c>
      <c r="C48" s="4">
        <v>20</v>
      </c>
      <c r="D48" s="4">
        <v>2</v>
      </c>
      <c r="E48" s="4">
        <v>0</v>
      </c>
      <c r="F48" s="4">
        <v>0</v>
      </c>
      <c r="G48" s="150">
        <v>250</v>
      </c>
      <c r="H48" s="4">
        <v>150</v>
      </c>
      <c r="I48" s="4">
        <v>2</v>
      </c>
      <c r="J48" s="4">
        <v>1</v>
      </c>
      <c r="K48" s="110">
        <v>6</v>
      </c>
      <c r="M48" s="244"/>
      <c r="N48" s="246" t="str">
        <f>"- Tổng số bu lông:"</f>
        <v>- Tổng số bu lông:</v>
      </c>
      <c r="O48" s="246"/>
      <c r="P48" s="248"/>
      <c r="Q48" s="250"/>
      <c r="R48" s="246"/>
      <c r="S48" s="2"/>
      <c r="T48" s="2"/>
      <c r="U48" s="2"/>
      <c r="V48" s="21" t="s">
        <v>123</v>
      </c>
      <c r="W48" s="24">
        <f>W46*2+(W47-2)*2</f>
        <v>8</v>
      </c>
      <c r="X48" s="253" t="s">
        <v>124</v>
      </c>
      <c r="AA48" s="18"/>
      <c r="AB48" s="18"/>
      <c r="AC48" s="18"/>
      <c r="AD48" s="19"/>
      <c r="AE48" s="19"/>
      <c r="AI48" s="18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18"/>
      <c r="BG48" s="140"/>
      <c r="BH48" s="131"/>
      <c r="BI48" s="102"/>
      <c r="BJ48" s="102"/>
      <c r="BK48" s="102"/>
      <c r="BL48" s="102"/>
      <c r="BM48" s="99"/>
      <c r="BN48" s="4"/>
      <c r="BO48" s="4"/>
      <c r="BP48" s="5"/>
      <c r="BQ48" s="5"/>
      <c r="BR48" s="99"/>
      <c r="BS48" s="159"/>
      <c r="BT48" s="99"/>
      <c r="BU48" s="99"/>
      <c r="BV48" s="99"/>
      <c r="BW48" s="159"/>
      <c r="BX48" s="99"/>
      <c r="BY48" s="99"/>
      <c r="BZ48" s="159"/>
      <c r="DA48" s="155"/>
      <c r="DB48" s="155"/>
      <c r="DC48" s="155"/>
      <c r="DD48" s="207"/>
      <c r="DE48" s="207"/>
      <c r="DF48" s="155"/>
      <c r="DG48" s="155"/>
      <c r="DH48" s="155"/>
      <c r="DI48" s="155"/>
      <c r="DJ48" s="208"/>
      <c r="DK48" s="208"/>
      <c r="DL48" s="208"/>
      <c r="DM48" s="208"/>
      <c r="DN48" s="208"/>
      <c r="DO48" s="208"/>
      <c r="DP48" s="208"/>
      <c r="DQ48" s="208"/>
      <c r="DR48" s="208"/>
      <c r="DS48" s="208"/>
      <c r="DT48" s="208"/>
      <c r="DU48" s="208"/>
      <c r="DV48" s="208"/>
      <c r="DW48" s="208"/>
      <c r="DX48" s="208"/>
      <c r="DY48" s="208"/>
      <c r="DZ48" s="208"/>
      <c r="EA48" s="210"/>
      <c r="EB48" s="211"/>
      <c r="EC48" s="211"/>
      <c r="ED48" s="211"/>
      <c r="EE48" s="211"/>
      <c r="EF48" s="207"/>
      <c r="EG48" s="209"/>
      <c r="EH48" s="213"/>
      <c r="EI48" s="214"/>
      <c r="EJ48" s="214"/>
      <c r="EK48" s="214"/>
      <c r="EL48" s="214"/>
      <c r="EM48" s="215"/>
      <c r="EN48" s="216"/>
      <c r="EO48" s="216"/>
      <c r="EP48" s="217"/>
      <c r="EQ48" s="217"/>
      <c r="ER48" s="215"/>
      <c r="ES48" s="218"/>
      <c r="ET48" s="215"/>
      <c r="EU48" s="215"/>
      <c r="EV48" s="215"/>
      <c r="EW48" s="218"/>
      <c r="EX48" s="215"/>
      <c r="EY48" s="215"/>
      <c r="EZ48" s="218"/>
    </row>
    <row r="49" spans="1:156" ht="12.75" customHeight="1">
      <c r="A49" s="4">
        <v>250</v>
      </c>
      <c r="B49" s="4">
        <v>20</v>
      </c>
      <c r="C49" s="4">
        <v>24</v>
      </c>
      <c r="D49" s="4">
        <v>2</v>
      </c>
      <c r="E49" s="4">
        <v>0</v>
      </c>
      <c r="F49" s="4">
        <v>0</v>
      </c>
      <c r="G49" s="150">
        <v>300</v>
      </c>
      <c r="H49" s="4">
        <v>120</v>
      </c>
      <c r="I49" s="4">
        <v>3</v>
      </c>
      <c r="J49" s="4">
        <v>2</v>
      </c>
      <c r="K49" s="110">
        <v>6</v>
      </c>
      <c r="M49" s="244"/>
      <c r="N49" s="246" t="str">
        <f>"- Chiều dài bản đế:"</f>
        <v>- Chiều dài bản đế:</v>
      </c>
      <c r="O49" s="246"/>
      <c r="P49" s="248"/>
      <c r="Q49" s="250"/>
      <c r="R49" s="246"/>
      <c r="S49" s="2"/>
      <c r="T49" s="2"/>
      <c r="U49" s="2"/>
      <c r="V49" s="21" t="s">
        <v>73</v>
      </c>
      <c r="W49" s="24">
        <f>W39+2*(VLOOKUP(W44,$A$13:$E$21,2,FALSE)+VLOOKUP(W44,$A$13:$E$21,3,FALSE))</f>
        <v>884</v>
      </c>
      <c r="X49" s="253" t="s">
        <v>1</v>
      </c>
      <c r="AA49" s="18"/>
      <c r="AB49" s="18"/>
      <c r="AC49" s="18"/>
      <c r="AD49" s="19"/>
      <c r="AE49" s="19"/>
      <c r="AI49" s="18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18"/>
      <c r="BG49" s="140"/>
      <c r="BH49" s="131"/>
      <c r="BI49" s="102"/>
      <c r="BJ49" s="102"/>
      <c r="BK49" s="102"/>
      <c r="BL49" s="102"/>
      <c r="BM49" s="99"/>
      <c r="BN49" s="4"/>
      <c r="BO49" s="4"/>
      <c r="BP49" s="5"/>
      <c r="BQ49" s="5"/>
      <c r="BR49" s="99"/>
      <c r="BS49" s="159"/>
      <c r="BT49" s="99"/>
      <c r="BU49" s="99"/>
      <c r="BV49" s="99"/>
      <c r="BW49" s="159"/>
      <c r="BX49" s="99"/>
      <c r="BY49" s="99"/>
      <c r="BZ49" s="159"/>
      <c r="DA49" s="155"/>
      <c r="DB49" s="155"/>
      <c r="DC49" s="155"/>
      <c r="DD49" s="207"/>
      <c r="DE49" s="207"/>
      <c r="DF49" s="155"/>
      <c r="DG49" s="155"/>
      <c r="DH49" s="155"/>
      <c r="DI49" s="155"/>
      <c r="DJ49" s="208"/>
      <c r="DK49" s="208"/>
      <c r="DL49" s="208"/>
      <c r="DM49" s="208"/>
      <c r="DN49" s="208"/>
      <c r="DO49" s="208"/>
      <c r="DP49" s="208"/>
      <c r="DQ49" s="208"/>
      <c r="DR49" s="208"/>
      <c r="DS49" s="208"/>
      <c r="DT49" s="208"/>
      <c r="DU49" s="208"/>
      <c r="DV49" s="208"/>
      <c r="DW49" s="208"/>
      <c r="DX49" s="208"/>
      <c r="DY49" s="208"/>
      <c r="DZ49" s="208"/>
      <c r="EA49" s="210"/>
      <c r="EB49" s="211"/>
      <c r="EC49" s="211"/>
      <c r="ED49" s="211"/>
      <c r="EE49" s="211"/>
      <c r="EF49" s="207"/>
      <c r="EG49" s="209"/>
      <c r="EH49" s="213"/>
      <c r="EI49" s="214"/>
      <c r="EJ49" s="214"/>
      <c r="EK49" s="214"/>
      <c r="EL49" s="214"/>
      <c r="EM49" s="215"/>
      <c r="EN49" s="216"/>
      <c r="EO49" s="216"/>
      <c r="EP49" s="217"/>
      <c r="EQ49" s="217"/>
      <c r="ER49" s="215"/>
      <c r="ES49" s="218"/>
      <c r="ET49" s="215"/>
      <c r="EU49" s="215"/>
      <c r="EV49" s="215"/>
      <c r="EW49" s="218"/>
      <c r="EX49" s="215"/>
      <c r="EY49" s="215"/>
      <c r="EZ49" s="218"/>
    </row>
    <row r="50" spans="1:156" ht="12.75" customHeight="1">
      <c r="A50" s="4">
        <v>300</v>
      </c>
      <c r="B50" s="4">
        <v>25</v>
      </c>
      <c r="C50" s="4">
        <v>24</v>
      </c>
      <c r="D50" s="4">
        <v>3</v>
      </c>
      <c r="E50" s="4">
        <v>0</v>
      </c>
      <c r="F50" s="4">
        <v>0</v>
      </c>
      <c r="G50" s="150">
        <v>350</v>
      </c>
      <c r="H50" s="4">
        <v>180</v>
      </c>
      <c r="I50" s="4">
        <v>3</v>
      </c>
      <c r="J50" s="4">
        <v>2</v>
      </c>
      <c r="K50" s="110">
        <v>6</v>
      </c>
      <c r="M50" s="244"/>
      <c r="N50" s="246" t="str">
        <f>"- Bề rộng bản đế:"</f>
        <v>- Bề rộng bản đế:</v>
      </c>
      <c r="O50" s="246"/>
      <c r="P50" s="248"/>
      <c r="Q50" s="250"/>
      <c r="R50" s="246"/>
      <c r="S50" s="2"/>
      <c r="T50" s="2"/>
      <c r="U50" s="251"/>
      <c r="V50" s="21" t="s">
        <v>60</v>
      </c>
      <c r="W50" s="24">
        <f>K43</f>
        <v>212</v>
      </c>
      <c r="X50" s="253" t="s">
        <v>1</v>
      </c>
      <c r="AA50" s="18"/>
      <c r="AB50" s="18"/>
      <c r="AC50" s="18"/>
      <c r="AD50" s="19"/>
      <c r="AE50" s="19"/>
      <c r="AI50" s="18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18"/>
      <c r="BG50" s="140"/>
      <c r="BH50" s="131"/>
      <c r="BI50" s="102"/>
      <c r="BJ50" s="102"/>
      <c r="BK50" s="102"/>
      <c r="BL50" s="102"/>
      <c r="BM50" s="99"/>
      <c r="BN50" s="4"/>
      <c r="BO50" s="4"/>
      <c r="BP50" s="5"/>
      <c r="BQ50" s="5"/>
      <c r="BR50" s="99"/>
      <c r="BS50" s="159"/>
      <c r="BT50" s="99"/>
      <c r="BU50" s="99"/>
      <c r="BV50" s="99"/>
      <c r="BW50" s="159"/>
      <c r="BX50" s="99"/>
      <c r="BY50" s="99"/>
      <c r="BZ50" s="159"/>
      <c r="DA50" s="155"/>
      <c r="DB50" s="155"/>
      <c r="DC50" s="155"/>
      <c r="DD50" s="207"/>
      <c r="DE50" s="207"/>
      <c r="DF50" s="155"/>
      <c r="DG50" s="155"/>
      <c r="DH50" s="155"/>
      <c r="DI50" s="155"/>
      <c r="DJ50" s="208"/>
      <c r="DK50" s="208"/>
      <c r="DL50" s="208"/>
      <c r="DM50" s="208"/>
      <c r="DN50" s="208"/>
      <c r="DO50" s="208"/>
      <c r="DP50" s="208"/>
      <c r="DQ50" s="208"/>
      <c r="DR50" s="208"/>
      <c r="DS50" s="208"/>
      <c r="DT50" s="208"/>
      <c r="DU50" s="208"/>
      <c r="DV50" s="208"/>
      <c r="DW50" s="208"/>
      <c r="DX50" s="208"/>
      <c r="DY50" s="208"/>
      <c r="DZ50" s="208"/>
      <c r="EA50" s="210"/>
      <c r="EB50" s="211"/>
      <c r="EC50" s="211"/>
      <c r="ED50" s="211"/>
      <c r="EE50" s="211"/>
      <c r="EF50" s="207"/>
      <c r="EG50" s="209"/>
      <c r="EH50" s="213"/>
      <c r="EI50" s="214"/>
      <c r="EJ50" s="214"/>
      <c r="EK50" s="214"/>
      <c r="EL50" s="214"/>
      <c r="EM50" s="215"/>
      <c r="EN50" s="216"/>
      <c r="EO50" s="216"/>
      <c r="EP50" s="217"/>
      <c r="EQ50" s="217"/>
      <c r="ER50" s="215"/>
      <c r="ES50" s="218"/>
      <c r="ET50" s="215"/>
      <c r="EU50" s="215"/>
      <c r="EV50" s="215"/>
      <c r="EW50" s="218"/>
      <c r="EX50" s="215"/>
      <c r="EY50" s="215"/>
      <c r="EZ50" s="218"/>
    </row>
    <row r="51" spans="1:156" ht="12.75" customHeight="1">
      <c r="A51" s="4">
        <v>350</v>
      </c>
      <c r="B51" s="4">
        <v>25</v>
      </c>
      <c r="C51" s="4">
        <v>24</v>
      </c>
      <c r="D51" s="4">
        <v>3</v>
      </c>
      <c r="E51" s="4">
        <v>0</v>
      </c>
      <c r="F51" s="4">
        <v>0</v>
      </c>
      <c r="G51" s="150">
        <v>370</v>
      </c>
      <c r="H51" s="4">
        <v>200</v>
      </c>
      <c r="I51" s="4">
        <v>3</v>
      </c>
      <c r="J51" s="4">
        <v>2</v>
      </c>
      <c r="K51" s="110">
        <v>6</v>
      </c>
      <c r="M51" s="244"/>
      <c r="N51" s="246" t="str">
        <f>"- Chiều dày bản đế:"</f>
        <v>- Chiều dày bản đế:</v>
      </c>
      <c r="O51" s="246"/>
      <c r="P51" s="248"/>
      <c r="Q51" s="250"/>
      <c r="R51" s="246"/>
      <c r="S51" s="2"/>
      <c r="T51" s="2"/>
      <c r="U51" s="2"/>
      <c r="V51" s="21" t="s">
        <v>61</v>
      </c>
      <c r="W51" s="24">
        <f>DceNoiSuy(W39,$A$46:$A$100,$B$46:$B$100)</f>
        <v>30</v>
      </c>
      <c r="X51" s="253" t="s">
        <v>1</v>
      </c>
      <c r="AA51" s="18"/>
      <c r="AB51" s="18"/>
      <c r="AC51" s="18"/>
      <c r="AD51" s="19"/>
      <c r="AE51" s="19"/>
      <c r="AI51" s="18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18"/>
      <c r="BG51" s="140"/>
      <c r="BH51" s="131"/>
      <c r="BI51" s="102"/>
      <c r="BJ51" s="102"/>
      <c r="BK51" s="102"/>
      <c r="BL51" s="102"/>
      <c r="BM51" s="99"/>
      <c r="BN51" s="4"/>
      <c r="BO51" s="4"/>
      <c r="BP51" s="5"/>
      <c r="BQ51" s="5"/>
      <c r="BR51" s="99"/>
      <c r="BS51" s="159"/>
      <c r="BT51" s="99"/>
      <c r="BU51" s="99"/>
      <c r="BV51" s="99"/>
      <c r="BW51" s="159"/>
      <c r="BX51" s="99"/>
      <c r="BY51" s="99"/>
      <c r="BZ51" s="159"/>
      <c r="DA51" s="155"/>
      <c r="DB51" s="155"/>
      <c r="DC51" s="155"/>
      <c r="DD51" s="207"/>
      <c r="DE51" s="207"/>
      <c r="DF51" s="155"/>
      <c r="DG51" s="155"/>
      <c r="DH51" s="155"/>
      <c r="DI51" s="155"/>
      <c r="DJ51" s="208"/>
      <c r="DK51" s="208"/>
      <c r="DL51" s="208"/>
      <c r="DM51" s="208"/>
      <c r="DN51" s="208"/>
      <c r="DO51" s="208"/>
      <c r="DP51" s="208"/>
      <c r="DQ51" s="208"/>
      <c r="DR51" s="208"/>
      <c r="DS51" s="208"/>
      <c r="DT51" s="208"/>
      <c r="DU51" s="208"/>
      <c r="DV51" s="208"/>
      <c r="DW51" s="208"/>
      <c r="DX51" s="208"/>
      <c r="DY51" s="208"/>
      <c r="DZ51" s="208"/>
      <c r="EA51" s="210"/>
      <c r="EB51" s="211"/>
      <c r="EC51" s="211"/>
      <c r="ED51" s="211"/>
      <c r="EE51" s="211"/>
      <c r="EF51" s="207"/>
      <c r="EG51" s="209"/>
      <c r="EH51" s="213"/>
      <c r="EI51" s="214"/>
      <c r="EJ51" s="214"/>
      <c r="EK51" s="214"/>
      <c r="EL51" s="214"/>
      <c r="EM51" s="215"/>
      <c r="EN51" s="216"/>
      <c r="EO51" s="216"/>
      <c r="EP51" s="217"/>
      <c r="EQ51" s="217"/>
      <c r="ER51" s="215"/>
      <c r="ES51" s="218"/>
      <c r="ET51" s="215"/>
      <c r="EU51" s="215"/>
      <c r="EV51" s="215"/>
      <c r="EW51" s="218"/>
      <c r="EX51" s="215"/>
      <c r="EY51" s="215"/>
      <c r="EZ51" s="218"/>
    </row>
    <row r="52" spans="1:156" ht="12.75" customHeight="1">
      <c r="A52" s="4">
        <v>400</v>
      </c>
      <c r="B52" s="4">
        <v>25</v>
      </c>
      <c r="C52" s="4">
        <v>24</v>
      </c>
      <c r="D52" s="4">
        <v>4</v>
      </c>
      <c r="E52" s="4">
        <v>0</v>
      </c>
      <c r="F52" s="4">
        <v>0</v>
      </c>
      <c r="G52" s="150">
        <v>400</v>
      </c>
      <c r="H52" s="4">
        <v>200</v>
      </c>
      <c r="I52" s="4">
        <v>3</v>
      </c>
      <c r="J52" s="4">
        <v>2</v>
      </c>
      <c r="K52" s="110">
        <v>6</v>
      </c>
      <c r="M52" s="244"/>
      <c r="N52" s="317" t="s">
        <v>137</v>
      </c>
      <c r="O52" s="317"/>
      <c r="P52" s="4" t="s">
        <v>358</v>
      </c>
      <c r="Q52" s="4" t="s">
        <v>359</v>
      </c>
      <c r="R52" s="4" t="s">
        <v>357</v>
      </c>
      <c r="S52" s="4" t="s">
        <v>356</v>
      </c>
      <c r="T52" s="4" t="s">
        <v>360</v>
      </c>
      <c r="U52" s="4" t="s">
        <v>361</v>
      </c>
      <c r="V52" s="4" t="s">
        <v>362</v>
      </c>
      <c r="W52" s="20"/>
      <c r="X52" s="253"/>
      <c r="AA52" s="18"/>
      <c r="AB52" s="18"/>
      <c r="AC52" s="18"/>
      <c r="AD52" s="19"/>
      <c r="AE52" s="19"/>
      <c r="AI52" s="18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18"/>
      <c r="BG52" s="140"/>
      <c r="BH52" s="131"/>
      <c r="BI52" s="102"/>
      <c r="BJ52" s="102"/>
      <c r="BK52" s="102"/>
      <c r="BL52" s="102"/>
      <c r="BM52" s="99"/>
      <c r="BN52" s="4"/>
      <c r="BO52" s="4"/>
      <c r="BP52" s="5"/>
      <c r="BQ52" s="5"/>
      <c r="BR52" s="99"/>
      <c r="BS52" s="159"/>
      <c r="BT52" s="99"/>
      <c r="BU52" s="99"/>
      <c r="BV52" s="99"/>
      <c r="BW52" s="159"/>
      <c r="BX52" s="99"/>
      <c r="BY52" s="99"/>
      <c r="BZ52" s="159"/>
      <c r="DA52" s="155"/>
      <c r="DB52" s="155"/>
      <c r="DC52" s="155"/>
      <c r="DD52" s="207"/>
      <c r="DE52" s="207"/>
      <c r="DF52" s="155"/>
      <c r="DG52" s="155"/>
      <c r="DH52" s="155"/>
      <c r="DI52" s="155"/>
      <c r="DJ52" s="208"/>
      <c r="DK52" s="208"/>
      <c r="DL52" s="208"/>
      <c r="DM52" s="208"/>
      <c r="DN52" s="208"/>
      <c r="DO52" s="208"/>
      <c r="DP52" s="208"/>
      <c r="DQ52" s="208"/>
      <c r="DR52" s="208"/>
      <c r="DS52" s="208"/>
      <c r="DT52" s="208"/>
      <c r="DU52" s="208"/>
      <c r="DV52" s="208"/>
      <c r="DW52" s="208"/>
      <c r="DX52" s="208"/>
      <c r="DY52" s="208"/>
      <c r="DZ52" s="208"/>
      <c r="EA52" s="210"/>
      <c r="EB52" s="211"/>
      <c r="EC52" s="211"/>
      <c r="ED52" s="211"/>
      <c r="EE52" s="211"/>
      <c r="EF52" s="207"/>
      <c r="EG52" s="209"/>
      <c r="EH52" s="213"/>
      <c r="EI52" s="214"/>
      <c r="EJ52" s="214"/>
      <c r="EK52" s="214"/>
      <c r="EL52" s="214"/>
      <c r="EM52" s="215"/>
      <c r="EN52" s="216"/>
      <c r="EO52" s="216"/>
      <c r="EP52" s="217"/>
      <c r="EQ52" s="217"/>
      <c r="ER52" s="215"/>
      <c r="ES52" s="218"/>
      <c r="ET52" s="215"/>
      <c r="EU52" s="215"/>
      <c r="EV52" s="215"/>
      <c r="EW52" s="218"/>
      <c r="EX52" s="215"/>
      <c r="EY52" s="215"/>
      <c r="EZ52" s="218"/>
    </row>
    <row r="53" spans="1:156" ht="12.75" customHeight="1">
      <c r="A53" s="4">
        <v>450</v>
      </c>
      <c r="B53" s="4">
        <v>25</v>
      </c>
      <c r="C53" s="4">
        <v>24</v>
      </c>
      <c r="D53" s="4">
        <v>4</v>
      </c>
      <c r="E53" s="4">
        <v>0</v>
      </c>
      <c r="F53" s="4">
        <v>0</v>
      </c>
      <c r="G53" s="150">
        <v>500</v>
      </c>
      <c r="H53" s="4">
        <v>250</v>
      </c>
      <c r="I53" s="4">
        <v>3</v>
      </c>
      <c r="J53" s="4">
        <v>2</v>
      </c>
      <c r="K53" s="110">
        <v>6</v>
      </c>
      <c r="M53" s="244"/>
      <c r="N53" s="317" t="s">
        <v>363</v>
      </c>
      <c r="O53" s="317"/>
      <c r="P53" s="18">
        <f>_xll.DCEBoltDisColBaseFix(W46, W47, W39, G13, G14,G15, G16, "NL1T")</f>
        <v>2</v>
      </c>
      <c r="Q53" s="18">
        <f>_xll.DCEBoltDisColBaseFix(W46, W47, W39, G13, G14,G15, G16, "NL2T")</f>
        <v>2</v>
      </c>
      <c r="R53" s="18">
        <f>_xll.DCEBoltDisColBaseFix(W46, W47, W39, G13, G14,G15, G16, "NL3T")</f>
        <v>0</v>
      </c>
      <c r="S53" s="18">
        <f>_xll.DCEBoltDisColBaseFix(W46, W47, W39, G13, G14,G15, G16, "NL0")</f>
        <v>0</v>
      </c>
      <c r="T53" s="18">
        <f>_xll.DCEBoltDisColBaseFix(W46, W47, W39, G13, G14,G15, G16, "NL3P")</f>
        <v>0</v>
      </c>
      <c r="U53" s="18">
        <f>_xll.DCEBoltDisColBaseFix(W46, W47, W39, G13, G14,G15, G16, "NL2P")</f>
        <v>2</v>
      </c>
      <c r="V53" s="18">
        <f>_xll.DCEBoltDisColBaseFix(W46, W47, W39, G13, G14,G15, G16, "NL1P")</f>
        <v>2</v>
      </c>
      <c r="W53" s="20"/>
      <c r="X53" s="253"/>
      <c r="AA53" s="18"/>
      <c r="AB53" s="18"/>
      <c r="AC53" s="18"/>
      <c r="AD53" s="19"/>
      <c r="AE53" s="19"/>
      <c r="AI53" s="18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18"/>
      <c r="BG53" s="140"/>
      <c r="BH53" s="131"/>
      <c r="BI53" s="102"/>
      <c r="BJ53" s="102"/>
      <c r="BK53" s="102"/>
      <c r="BL53" s="102"/>
      <c r="BM53" s="99"/>
      <c r="BN53" s="4"/>
      <c r="BO53" s="4"/>
      <c r="BP53" s="5"/>
      <c r="BQ53" s="5"/>
      <c r="BR53" s="99"/>
      <c r="BS53" s="159"/>
      <c r="BT53" s="99"/>
      <c r="BU53" s="99"/>
      <c r="BV53" s="99"/>
      <c r="BW53" s="159"/>
      <c r="BX53" s="99"/>
      <c r="BY53" s="99"/>
      <c r="BZ53" s="159"/>
      <c r="DA53" s="155"/>
      <c r="DB53" s="155"/>
      <c r="DC53" s="155"/>
      <c r="DD53" s="207"/>
      <c r="DE53" s="207"/>
      <c r="DF53" s="155"/>
      <c r="DG53" s="155"/>
      <c r="DH53" s="155"/>
      <c r="DI53" s="155"/>
      <c r="DJ53" s="208"/>
      <c r="DK53" s="208"/>
      <c r="DL53" s="208"/>
      <c r="DM53" s="208"/>
      <c r="DN53" s="208"/>
      <c r="DO53" s="208"/>
      <c r="DP53" s="208"/>
      <c r="DQ53" s="208"/>
      <c r="DR53" s="208"/>
      <c r="DS53" s="208"/>
      <c r="DT53" s="208"/>
      <c r="DU53" s="208"/>
      <c r="DV53" s="208"/>
      <c r="DW53" s="208"/>
      <c r="DX53" s="208"/>
      <c r="DY53" s="208"/>
      <c r="DZ53" s="208"/>
      <c r="EA53" s="210"/>
      <c r="EB53" s="211"/>
      <c r="EC53" s="211"/>
      <c r="ED53" s="211"/>
      <c r="EE53" s="211"/>
      <c r="EF53" s="207"/>
      <c r="EG53" s="209"/>
      <c r="EH53" s="213"/>
      <c r="EI53" s="214"/>
      <c r="EJ53" s="214"/>
      <c r="EK53" s="214"/>
      <c r="EL53" s="214"/>
      <c r="EM53" s="215"/>
      <c r="EN53" s="216"/>
      <c r="EO53" s="216"/>
      <c r="EP53" s="217"/>
      <c r="EQ53" s="217"/>
      <c r="ER53" s="215"/>
      <c r="ES53" s="218"/>
      <c r="ET53" s="215"/>
      <c r="EU53" s="215"/>
      <c r="EV53" s="215"/>
      <c r="EW53" s="218"/>
      <c r="EX53" s="215"/>
      <c r="EY53" s="215"/>
      <c r="EZ53" s="218"/>
    </row>
    <row r="54" spans="1:156" ht="12.75" customHeight="1">
      <c r="A54" s="4">
        <v>500</v>
      </c>
      <c r="B54" s="4">
        <v>30</v>
      </c>
      <c r="C54" s="4">
        <v>24</v>
      </c>
      <c r="D54" s="4">
        <v>5</v>
      </c>
      <c r="E54" s="4">
        <v>2</v>
      </c>
      <c r="F54" s="4">
        <v>6</v>
      </c>
      <c r="G54" s="151"/>
      <c r="H54" s="98"/>
      <c r="I54" s="98"/>
      <c r="J54" s="98"/>
      <c r="K54" s="122"/>
      <c r="M54" s="244"/>
      <c r="N54" s="317" t="s">
        <v>364</v>
      </c>
      <c r="O54" s="317"/>
      <c r="P54" s="18">
        <f>_xll.DCEBoltDisColBaseFix(W46, W47, W39, G13, G14,G15, G16, "L1T")</f>
        <v>382</v>
      </c>
      <c r="Q54" s="18">
        <f>_xll.DCEBoltDisColBaseFix(W46, W47, W39, G13, G14,G15, G16, "L2T")</f>
        <v>232</v>
      </c>
      <c r="R54" s="18">
        <f>_xll.DCEBoltDisColBaseFix(W46, W47, W39, G13, G14,G15, G16, "L3T")</f>
        <v>0</v>
      </c>
      <c r="S54" s="18">
        <f>_xll.DCEBoltDisColBaseFix(W46, W47, W39, G13, G14,G15, G16, "L0")</f>
        <v>0</v>
      </c>
      <c r="T54" s="18">
        <f>_xll.DCEBoltDisColBaseFix(W46, W47, W39, G13, G14,G15, G16, "L3P")</f>
        <v>0</v>
      </c>
      <c r="U54" s="18">
        <f>_xll.DCEBoltDisColBaseFix(W46, W47, W39, G13, G14,G15, G16, "L2P")</f>
        <v>232</v>
      </c>
      <c r="V54" s="18">
        <f>_xll.DCEBoltDisColBaseFix(W46, W47, W39, G13, G14,G15, G16, "L1P")</f>
        <v>382</v>
      </c>
      <c r="W54" s="20"/>
      <c r="X54" s="239"/>
      <c r="AA54" s="18"/>
      <c r="AB54" s="18"/>
      <c r="AC54" s="18"/>
      <c r="AD54" s="19"/>
      <c r="AE54" s="19"/>
      <c r="AI54" s="18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18"/>
      <c r="BG54" s="140"/>
      <c r="BH54" s="131"/>
      <c r="BI54" s="102"/>
      <c r="BJ54" s="102"/>
      <c r="BK54" s="102"/>
      <c r="BL54" s="102"/>
      <c r="BM54" s="99"/>
      <c r="BN54" s="4"/>
      <c r="BO54" s="4"/>
      <c r="BP54" s="5"/>
      <c r="BQ54" s="5"/>
      <c r="BR54" s="99"/>
      <c r="BS54" s="159"/>
      <c r="BT54" s="99"/>
      <c r="BU54" s="99"/>
      <c r="BV54" s="99"/>
      <c r="BW54" s="159"/>
      <c r="BX54" s="99"/>
      <c r="BY54" s="99"/>
      <c r="BZ54" s="159"/>
      <c r="DA54" s="155"/>
      <c r="DB54" s="155"/>
      <c r="DC54" s="155"/>
      <c r="DD54" s="207"/>
      <c r="DE54" s="207"/>
      <c r="DF54" s="155"/>
      <c r="DG54" s="155"/>
      <c r="DH54" s="155"/>
      <c r="DI54" s="155"/>
      <c r="DJ54" s="208"/>
      <c r="DK54" s="208"/>
      <c r="DL54" s="208"/>
      <c r="DM54" s="208"/>
      <c r="DN54" s="208"/>
      <c r="DO54" s="208"/>
      <c r="DP54" s="208"/>
      <c r="DQ54" s="208"/>
      <c r="DR54" s="208"/>
      <c r="DS54" s="208"/>
      <c r="DT54" s="208"/>
      <c r="DU54" s="208"/>
      <c r="DV54" s="208"/>
      <c r="DW54" s="208"/>
      <c r="DX54" s="208"/>
      <c r="DY54" s="208"/>
      <c r="DZ54" s="208"/>
      <c r="EA54" s="210"/>
      <c r="EB54" s="211"/>
      <c r="EC54" s="211"/>
      <c r="ED54" s="211"/>
      <c r="EE54" s="211"/>
      <c r="EF54" s="207"/>
      <c r="EG54" s="209"/>
      <c r="EH54" s="213"/>
      <c r="EI54" s="214"/>
      <c r="EJ54" s="214"/>
      <c r="EK54" s="214"/>
      <c r="EL54" s="214"/>
      <c r="EM54" s="215"/>
      <c r="EN54" s="216"/>
      <c r="EO54" s="216"/>
      <c r="EP54" s="217"/>
      <c r="EQ54" s="217"/>
      <c r="ER54" s="215"/>
      <c r="ES54" s="218"/>
      <c r="ET54" s="215"/>
      <c r="EU54" s="215"/>
      <c r="EV54" s="215"/>
      <c r="EW54" s="218"/>
      <c r="EX54" s="215"/>
      <c r="EY54" s="215"/>
      <c r="EZ54" s="218"/>
    </row>
    <row r="55" spans="1:156" ht="12.75" customHeight="1">
      <c r="A55" s="4">
        <v>600</v>
      </c>
      <c r="B55" s="4">
        <v>30</v>
      </c>
      <c r="C55" s="4">
        <v>27</v>
      </c>
      <c r="D55" s="4">
        <v>4</v>
      </c>
      <c r="E55" s="4">
        <v>2</v>
      </c>
      <c r="F55" s="4">
        <v>6</v>
      </c>
      <c r="G55" s="151"/>
      <c r="H55" s="98"/>
      <c r="I55" s="98"/>
      <c r="J55" s="98"/>
      <c r="K55" s="122"/>
      <c r="M55" s="244"/>
      <c r="N55" s="317" t="s">
        <v>366</v>
      </c>
      <c r="O55" s="317"/>
      <c r="P55" s="318">
        <f>SUMPRODUCT(P53:R53,P54:R54)/SUM(P53:R53)</f>
        <v>307</v>
      </c>
      <c r="Q55" s="318"/>
      <c r="R55" s="318"/>
      <c r="S55" s="4"/>
      <c r="T55" s="318">
        <f>SUMPRODUCT(T53:V53,T54:V54)/SUM(T53:V53)</f>
        <v>307</v>
      </c>
      <c r="U55" s="318"/>
      <c r="V55" s="318"/>
      <c r="W55" s="20"/>
      <c r="X55" s="239"/>
      <c r="AA55" s="18"/>
      <c r="AB55" s="18"/>
      <c r="AC55" s="18"/>
      <c r="AD55" s="19"/>
      <c r="AE55" s="19"/>
      <c r="AI55" s="18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18"/>
      <c r="BG55" s="140"/>
      <c r="BH55" s="131"/>
      <c r="BI55" s="102"/>
      <c r="BJ55" s="102"/>
      <c r="BK55" s="102"/>
      <c r="BL55" s="102"/>
      <c r="BM55" s="99"/>
      <c r="BN55" s="4"/>
      <c r="BO55" s="4"/>
      <c r="BP55" s="5"/>
      <c r="BQ55" s="5"/>
      <c r="BR55" s="99"/>
      <c r="BS55" s="159"/>
      <c r="BT55" s="99"/>
      <c r="BU55" s="99"/>
      <c r="BV55" s="99"/>
      <c r="BW55" s="159"/>
      <c r="BX55" s="99"/>
      <c r="BY55" s="99"/>
      <c r="BZ55" s="159"/>
      <c r="DA55" s="155"/>
      <c r="DB55" s="155"/>
      <c r="DC55" s="155"/>
      <c r="DD55" s="207"/>
      <c r="DE55" s="207"/>
      <c r="DF55" s="155"/>
      <c r="DG55" s="155"/>
      <c r="DH55" s="155"/>
      <c r="DI55" s="155"/>
      <c r="DJ55" s="208"/>
      <c r="DK55" s="208"/>
      <c r="DL55" s="208"/>
      <c r="DM55" s="208"/>
      <c r="DN55" s="208"/>
      <c r="DO55" s="208"/>
      <c r="DP55" s="208"/>
      <c r="DQ55" s="208"/>
      <c r="DR55" s="208"/>
      <c r="DS55" s="208"/>
      <c r="DT55" s="208"/>
      <c r="DU55" s="208"/>
      <c r="DV55" s="208"/>
      <c r="DW55" s="208"/>
      <c r="DX55" s="208"/>
      <c r="DY55" s="208"/>
      <c r="DZ55" s="208"/>
      <c r="EA55" s="210"/>
      <c r="EB55" s="211"/>
      <c r="EC55" s="211"/>
      <c r="ED55" s="211"/>
      <c r="EE55" s="211"/>
      <c r="EF55" s="207"/>
      <c r="EG55" s="209"/>
      <c r="EH55" s="213"/>
      <c r="EI55" s="214"/>
      <c r="EJ55" s="214"/>
      <c r="EK55" s="214"/>
      <c r="EL55" s="214"/>
      <c r="EM55" s="215"/>
      <c r="EN55" s="216"/>
      <c r="EO55" s="216"/>
      <c r="EP55" s="217"/>
      <c r="EQ55" s="217"/>
      <c r="ER55" s="215"/>
      <c r="ES55" s="218"/>
      <c r="ET55" s="215"/>
      <c r="EU55" s="215"/>
      <c r="EV55" s="215"/>
      <c r="EW55" s="218"/>
      <c r="EX55" s="215"/>
      <c r="EY55" s="215"/>
      <c r="EZ55" s="218"/>
    </row>
    <row r="56" spans="1:156" ht="12.75" customHeight="1">
      <c r="A56" s="4">
        <v>700</v>
      </c>
      <c r="B56" s="4">
        <v>30</v>
      </c>
      <c r="C56" s="4">
        <v>30</v>
      </c>
      <c r="D56" s="4">
        <v>4</v>
      </c>
      <c r="E56" s="4">
        <v>2</v>
      </c>
      <c r="F56" s="4">
        <v>6</v>
      </c>
      <c r="G56" s="151"/>
      <c r="H56" s="98"/>
      <c r="I56" s="98"/>
      <c r="J56" s="98"/>
      <c r="K56" s="122"/>
      <c r="M56" s="244"/>
      <c r="N56" s="246" t="str">
        <f>"- Chiều cao đường hàn bản đế vào cánh cột:"</f>
        <v>- Chiều cao đường hàn bản đế vào cánh cột:</v>
      </c>
      <c r="O56" s="2"/>
      <c r="P56" s="2"/>
      <c r="Q56" s="2"/>
      <c r="R56" s="2"/>
      <c r="S56" s="2"/>
      <c r="T56" s="2"/>
      <c r="U56" s="2"/>
      <c r="V56" s="21" t="s">
        <v>130</v>
      </c>
      <c r="W56" s="20">
        <v>8</v>
      </c>
      <c r="X56" s="239" t="s">
        <v>1</v>
      </c>
      <c r="AA56" s="18"/>
      <c r="AB56" s="18"/>
      <c r="AC56" s="18"/>
      <c r="AD56" s="19"/>
      <c r="AE56" s="19"/>
      <c r="AI56" s="18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18"/>
      <c r="BG56" s="140"/>
      <c r="BH56" s="131"/>
      <c r="BI56" s="102"/>
      <c r="BJ56" s="102"/>
      <c r="BK56" s="102"/>
      <c r="BL56" s="102"/>
      <c r="BM56" s="99"/>
      <c r="BN56" s="4"/>
      <c r="BO56" s="4"/>
      <c r="BP56" s="5"/>
      <c r="BQ56" s="5"/>
      <c r="BR56" s="99"/>
      <c r="BS56" s="159"/>
      <c r="BT56" s="99"/>
      <c r="BU56" s="99"/>
      <c r="BV56" s="99"/>
      <c r="BW56" s="159"/>
      <c r="BX56" s="99"/>
      <c r="BY56" s="99"/>
      <c r="BZ56" s="159"/>
      <c r="DA56" s="155"/>
      <c r="DB56" s="155"/>
      <c r="DC56" s="155"/>
      <c r="DD56" s="207"/>
      <c r="DE56" s="207"/>
      <c r="DF56" s="155"/>
      <c r="DG56" s="155"/>
      <c r="DH56" s="155"/>
      <c r="DI56" s="155"/>
      <c r="DJ56" s="208"/>
      <c r="DK56" s="208"/>
      <c r="DL56" s="208"/>
      <c r="DM56" s="208"/>
      <c r="DN56" s="208"/>
      <c r="DO56" s="208"/>
      <c r="DP56" s="208"/>
      <c r="DQ56" s="208"/>
      <c r="DR56" s="208"/>
      <c r="DS56" s="208"/>
      <c r="DT56" s="208"/>
      <c r="DU56" s="208"/>
      <c r="DV56" s="208"/>
      <c r="DW56" s="208"/>
      <c r="DX56" s="208"/>
      <c r="DY56" s="208"/>
      <c r="DZ56" s="208"/>
      <c r="EA56" s="210"/>
      <c r="EB56" s="211"/>
      <c r="EC56" s="211"/>
      <c r="ED56" s="211"/>
      <c r="EE56" s="211"/>
      <c r="EF56" s="207"/>
      <c r="EG56" s="209"/>
      <c r="EH56" s="213"/>
      <c r="EI56" s="214"/>
      <c r="EJ56" s="214"/>
      <c r="EK56" s="214"/>
      <c r="EL56" s="214"/>
      <c r="EM56" s="215"/>
      <c r="EN56" s="216"/>
      <c r="EO56" s="216"/>
      <c r="EP56" s="217"/>
      <c r="EQ56" s="217"/>
      <c r="ER56" s="215"/>
      <c r="ES56" s="218"/>
      <c r="ET56" s="215"/>
      <c r="EU56" s="215"/>
      <c r="EV56" s="215"/>
      <c r="EW56" s="218"/>
      <c r="EX56" s="215"/>
      <c r="EY56" s="215"/>
      <c r="EZ56" s="218"/>
    </row>
    <row r="57" spans="1:156" ht="12.75" customHeight="1">
      <c r="A57" s="4">
        <v>800</v>
      </c>
      <c r="B57" s="4">
        <v>30</v>
      </c>
      <c r="C57" s="4">
        <v>30</v>
      </c>
      <c r="D57" s="4">
        <v>4</v>
      </c>
      <c r="E57" s="4">
        <v>2</v>
      </c>
      <c r="F57" s="4">
        <v>6</v>
      </c>
      <c r="G57" s="152"/>
      <c r="H57" s="153"/>
      <c r="I57" s="153"/>
      <c r="J57" s="153"/>
      <c r="K57" s="154"/>
      <c r="M57" s="244"/>
      <c r="N57" s="246" t="str">
        <f>"- Chiều cao đường hàn bản đế vào bụng cột:"</f>
        <v>- Chiều cao đường hàn bản đế vào bụng cột:</v>
      </c>
      <c r="O57" s="2"/>
      <c r="P57" s="2"/>
      <c r="Q57" s="2"/>
      <c r="R57" s="2"/>
      <c r="S57" s="2"/>
      <c r="T57" s="2"/>
      <c r="U57" s="2"/>
      <c r="V57" s="21" t="s">
        <v>131</v>
      </c>
      <c r="W57" s="20">
        <f>W56</f>
        <v>8</v>
      </c>
      <c r="X57" s="239" t="s">
        <v>1</v>
      </c>
      <c r="AA57" s="18"/>
      <c r="AB57" s="18"/>
      <c r="AC57" s="18"/>
      <c r="AD57" s="19"/>
      <c r="AE57" s="19"/>
      <c r="AI57" s="18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18"/>
      <c r="BG57" s="140"/>
      <c r="BH57" s="131"/>
      <c r="BI57" s="102"/>
      <c r="BJ57" s="102"/>
      <c r="BK57" s="102"/>
      <c r="BL57" s="102"/>
      <c r="BM57" s="99"/>
      <c r="BN57" s="4"/>
      <c r="BO57" s="4"/>
      <c r="BP57" s="5"/>
      <c r="BQ57" s="5"/>
      <c r="BR57" s="99"/>
      <c r="BS57" s="159"/>
      <c r="BT57" s="99"/>
      <c r="BU57" s="99"/>
      <c r="BV57" s="99"/>
      <c r="BW57" s="159"/>
      <c r="BX57" s="99"/>
      <c r="BY57" s="99"/>
      <c r="BZ57" s="159"/>
      <c r="DA57" s="155"/>
      <c r="DB57" s="155"/>
      <c r="DC57" s="155"/>
      <c r="DD57" s="207"/>
      <c r="DE57" s="207"/>
      <c r="DF57" s="155"/>
      <c r="DG57" s="155"/>
      <c r="DH57" s="155"/>
      <c r="DI57" s="155"/>
      <c r="DJ57" s="208"/>
      <c r="DK57" s="208"/>
      <c r="DL57" s="208"/>
      <c r="DM57" s="208"/>
      <c r="DN57" s="208"/>
      <c r="DO57" s="208"/>
      <c r="DP57" s="208"/>
      <c r="DQ57" s="208"/>
      <c r="DR57" s="208"/>
      <c r="DS57" s="208"/>
      <c r="DT57" s="208"/>
      <c r="DU57" s="208"/>
      <c r="DV57" s="208"/>
      <c r="DW57" s="208"/>
      <c r="DX57" s="208"/>
      <c r="DY57" s="208"/>
      <c r="DZ57" s="208"/>
      <c r="EA57" s="210"/>
      <c r="EB57" s="211"/>
      <c r="EC57" s="211"/>
      <c r="ED57" s="211"/>
      <c r="EE57" s="211"/>
      <c r="EF57" s="207"/>
      <c r="EG57" s="209"/>
      <c r="EH57" s="213"/>
      <c r="EI57" s="214"/>
      <c r="EJ57" s="214"/>
      <c r="EK57" s="214"/>
      <c r="EL57" s="214"/>
      <c r="EM57" s="215"/>
      <c r="EN57" s="216"/>
      <c r="EO57" s="216"/>
      <c r="EP57" s="217"/>
      <c r="EQ57" s="217"/>
      <c r="ER57" s="215"/>
      <c r="ES57" s="218"/>
      <c r="ET57" s="215"/>
      <c r="EU57" s="215"/>
      <c r="EV57" s="215"/>
      <c r="EW57" s="218"/>
      <c r="EX57" s="215"/>
      <c r="EY57" s="215"/>
      <c r="EZ57" s="218"/>
    </row>
    <row r="58" spans="1:156" ht="12.75" customHeight="1">
      <c r="A58" s="4">
        <v>900</v>
      </c>
      <c r="B58" s="4">
        <v>30</v>
      </c>
      <c r="C58" s="4">
        <v>30</v>
      </c>
      <c r="D58" s="4">
        <v>4</v>
      </c>
      <c r="E58" s="4">
        <v>2</v>
      </c>
      <c r="F58" s="4">
        <v>6</v>
      </c>
      <c r="G58" s="348" t="s">
        <v>405</v>
      </c>
      <c r="H58" s="348"/>
      <c r="I58" s="348"/>
      <c r="J58" s="348"/>
      <c r="K58" s="348"/>
      <c r="M58" s="244"/>
      <c r="N58" s="246"/>
      <c r="O58" s="353" t="s">
        <v>353</v>
      </c>
      <c r="P58" s="353"/>
      <c r="Q58" s="349" t="s">
        <v>352</v>
      </c>
      <c r="R58" s="349" t="s">
        <v>192</v>
      </c>
      <c r="S58" s="349" t="s">
        <v>193</v>
      </c>
      <c r="T58" s="353" t="s">
        <v>194</v>
      </c>
      <c r="U58" s="349" t="s">
        <v>195</v>
      </c>
      <c r="V58" s="21"/>
      <c r="W58" s="20"/>
      <c r="X58" s="253"/>
      <c r="AA58" s="18"/>
      <c r="AB58" s="18"/>
      <c r="AC58" s="18"/>
      <c r="AD58" s="19"/>
      <c r="AE58" s="19"/>
      <c r="AI58" s="18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18"/>
      <c r="BG58" s="140"/>
      <c r="BH58" s="131"/>
      <c r="BI58" s="102"/>
      <c r="BJ58" s="102"/>
      <c r="BK58" s="102"/>
      <c r="BL58" s="102"/>
      <c r="BM58" s="99"/>
      <c r="BN58" s="4"/>
      <c r="BO58" s="4"/>
      <c r="BP58" s="5"/>
      <c r="BQ58" s="5"/>
      <c r="BR58" s="99"/>
      <c r="BS58" s="159"/>
      <c r="BT58" s="99"/>
      <c r="BU58" s="99"/>
      <c r="BV58" s="99"/>
      <c r="BW58" s="159"/>
      <c r="BX58" s="99"/>
      <c r="BY58" s="99"/>
      <c r="BZ58" s="159"/>
      <c r="DA58" s="155"/>
      <c r="DB58" s="155"/>
      <c r="DC58" s="155"/>
      <c r="DD58" s="207"/>
      <c r="DE58" s="207"/>
      <c r="DF58" s="155"/>
      <c r="DG58" s="155"/>
      <c r="DH58" s="155"/>
      <c r="DI58" s="155"/>
      <c r="DJ58" s="208"/>
      <c r="DK58" s="208"/>
      <c r="DL58" s="208"/>
      <c r="DM58" s="208"/>
      <c r="DN58" s="208"/>
      <c r="DO58" s="208"/>
      <c r="DP58" s="208"/>
      <c r="DQ58" s="208"/>
      <c r="DR58" s="208"/>
      <c r="DS58" s="208"/>
      <c r="DT58" s="208"/>
      <c r="DU58" s="208"/>
      <c r="DV58" s="208"/>
      <c r="DW58" s="208"/>
      <c r="DX58" s="208"/>
      <c r="DY58" s="208"/>
      <c r="DZ58" s="208"/>
      <c r="EA58" s="210"/>
      <c r="EB58" s="211"/>
      <c r="EC58" s="211"/>
      <c r="ED58" s="211"/>
      <c r="EE58" s="211"/>
      <c r="EF58" s="207"/>
      <c r="EG58" s="209"/>
      <c r="EH58" s="213"/>
      <c r="EI58" s="214"/>
      <c r="EJ58" s="214"/>
      <c r="EK58" s="214"/>
      <c r="EL58" s="214"/>
      <c r="EM58" s="215"/>
      <c r="EN58" s="216"/>
      <c r="EO58" s="216"/>
      <c r="EP58" s="217"/>
      <c r="EQ58" s="217"/>
      <c r="ER58" s="215"/>
      <c r="ES58" s="218"/>
      <c r="ET58" s="215"/>
      <c r="EU58" s="215"/>
      <c r="EV58" s="215"/>
      <c r="EW58" s="218"/>
      <c r="EX58" s="215"/>
      <c r="EY58" s="215"/>
      <c r="EZ58" s="218"/>
    </row>
    <row r="59" spans="1:156" ht="12.75" customHeight="1">
      <c r="A59" s="4">
        <v>1000</v>
      </c>
      <c r="B59" s="4">
        <v>30</v>
      </c>
      <c r="C59" s="4">
        <v>30</v>
      </c>
      <c r="D59" s="4">
        <v>4</v>
      </c>
      <c r="E59" s="4">
        <v>2</v>
      </c>
      <c r="F59" s="4">
        <v>6</v>
      </c>
      <c r="G59" s="348"/>
      <c r="H59" s="348"/>
      <c r="I59" s="348"/>
      <c r="J59" s="348"/>
      <c r="K59" s="348"/>
      <c r="M59" s="244"/>
      <c r="N59" s="246"/>
      <c r="O59" s="353"/>
      <c r="P59" s="353"/>
      <c r="Q59" s="349"/>
      <c r="R59" s="349"/>
      <c r="S59" s="349"/>
      <c r="T59" s="353"/>
      <c r="U59" s="349"/>
      <c r="V59" s="21"/>
      <c r="W59" s="20"/>
      <c r="X59" s="253"/>
      <c r="AA59" s="18"/>
      <c r="AB59" s="18"/>
      <c r="AC59" s="18"/>
      <c r="AD59" s="19"/>
      <c r="AE59" s="19"/>
      <c r="AI59" s="18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  <c r="BA59" s="18"/>
      <c r="BG59" s="140"/>
      <c r="BH59" s="131"/>
      <c r="BI59" s="102"/>
      <c r="BJ59" s="102"/>
      <c r="BK59" s="102"/>
      <c r="BL59" s="102"/>
      <c r="BM59" s="99"/>
      <c r="BN59" s="4"/>
      <c r="BO59" s="4"/>
      <c r="BP59" s="5"/>
      <c r="BQ59" s="5"/>
      <c r="BR59" s="99"/>
      <c r="BS59" s="159"/>
      <c r="BT59" s="99"/>
      <c r="BU59" s="99"/>
      <c r="BV59" s="99"/>
      <c r="BW59" s="159"/>
      <c r="BX59" s="99"/>
      <c r="BY59" s="99"/>
      <c r="BZ59" s="159"/>
      <c r="DA59" s="155"/>
      <c r="DB59" s="155"/>
      <c r="DC59" s="155"/>
      <c r="DD59" s="207"/>
      <c r="DE59" s="207"/>
      <c r="DF59" s="155"/>
      <c r="DG59" s="155"/>
      <c r="DH59" s="155"/>
      <c r="DI59" s="155"/>
      <c r="DJ59" s="208"/>
      <c r="DK59" s="208"/>
      <c r="DL59" s="208"/>
      <c r="DM59" s="208"/>
      <c r="DN59" s="208"/>
      <c r="DO59" s="208"/>
      <c r="DP59" s="208"/>
      <c r="DQ59" s="208"/>
      <c r="DR59" s="208"/>
      <c r="DS59" s="208"/>
      <c r="DT59" s="208"/>
      <c r="DU59" s="208"/>
      <c r="DV59" s="208"/>
      <c r="DW59" s="208"/>
      <c r="DX59" s="208"/>
      <c r="DY59" s="208"/>
      <c r="DZ59" s="208"/>
      <c r="EA59" s="210"/>
      <c r="EB59" s="211"/>
      <c r="EC59" s="211"/>
      <c r="ED59" s="211"/>
      <c r="EE59" s="211"/>
      <c r="EF59" s="207"/>
      <c r="EG59" s="209"/>
      <c r="EH59" s="213"/>
      <c r="EI59" s="214"/>
      <c r="EJ59" s="214"/>
      <c r="EK59" s="214"/>
      <c r="EL59" s="214"/>
      <c r="EM59" s="215"/>
      <c r="EN59" s="216"/>
      <c r="EO59" s="216"/>
      <c r="EP59" s="217"/>
      <c r="EQ59" s="217"/>
      <c r="ER59" s="215"/>
      <c r="ES59" s="218"/>
      <c r="ET59" s="215"/>
      <c r="EU59" s="215"/>
      <c r="EV59" s="215"/>
      <c r="EW59" s="218"/>
      <c r="EX59" s="215"/>
      <c r="EY59" s="215"/>
      <c r="EZ59" s="218"/>
    </row>
    <row r="60" spans="1:156" ht="12.75" customHeight="1">
      <c r="A60" s="4">
        <v>1100</v>
      </c>
      <c r="B60" s="4">
        <v>30</v>
      </c>
      <c r="C60" s="4">
        <v>30</v>
      </c>
      <c r="D60" s="4">
        <v>4</v>
      </c>
      <c r="E60" s="4">
        <v>2</v>
      </c>
      <c r="F60" s="4">
        <v>6</v>
      </c>
      <c r="G60" s="348"/>
      <c r="H60" s="348"/>
      <c r="I60" s="348"/>
      <c r="J60" s="348"/>
      <c r="K60" s="348"/>
      <c r="M60" s="244"/>
      <c r="N60" s="246"/>
      <c r="O60" s="325" t="s">
        <v>354</v>
      </c>
      <c r="P60" s="325"/>
      <c r="Q60" s="7">
        <f>DceNoiSuy(W39,$A$46:$A$100,$E$46:$E$100)</f>
        <v>2</v>
      </c>
      <c r="R60" s="7">
        <f>DceNoiSuy(W39,$A$46:$A$100,$F$46:$F$100)</f>
        <v>6</v>
      </c>
      <c r="S60" s="7">
        <f>IF(Q60=0,0,(W40-W41)/2)</f>
        <v>89.5</v>
      </c>
      <c r="T60" s="18">
        <v>200</v>
      </c>
      <c r="U60" s="18">
        <v>6</v>
      </c>
      <c r="V60" s="21"/>
      <c r="W60" s="20"/>
      <c r="X60" s="253"/>
      <c r="AA60" s="18"/>
      <c r="AB60" s="18"/>
      <c r="AC60" s="18"/>
      <c r="AD60" s="19"/>
      <c r="AE60" s="19"/>
      <c r="AI60" s="18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7"/>
      <c r="BA60" s="18"/>
      <c r="BG60" s="140"/>
      <c r="BH60" s="131"/>
      <c r="BI60" s="102"/>
      <c r="BJ60" s="102"/>
      <c r="BK60" s="102"/>
      <c r="BL60" s="102"/>
      <c r="BM60" s="99"/>
      <c r="BN60" s="4"/>
      <c r="BO60" s="4"/>
      <c r="BP60" s="5"/>
      <c r="BQ60" s="5"/>
      <c r="BR60" s="99"/>
      <c r="BS60" s="159"/>
      <c r="BT60" s="99"/>
      <c r="BU60" s="99"/>
      <c r="BV60" s="99"/>
      <c r="BW60" s="159"/>
      <c r="BX60" s="99"/>
      <c r="BY60" s="99"/>
      <c r="BZ60" s="159"/>
      <c r="DA60" s="155"/>
      <c r="DB60" s="155"/>
      <c r="DC60" s="155"/>
      <c r="DD60" s="207"/>
      <c r="DE60" s="207"/>
      <c r="DF60" s="155"/>
      <c r="DG60" s="155"/>
      <c r="DH60" s="155"/>
      <c r="DI60" s="155"/>
      <c r="DJ60" s="208"/>
      <c r="DK60" s="208"/>
      <c r="DL60" s="208"/>
      <c r="DM60" s="208"/>
      <c r="DN60" s="208"/>
      <c r="DO60" s="208"/>
      <c r="DP60" s="208"/>
      <c r="DQ60" s="208"/>
      <c r="DR60" s="208"/>
      <c r="DS60" s="208"/>
      <c r="DT60" s="208"/>
      <c r="DU60" s="208"/>
      <c r="DV60" s="208"/>
      <c r="DW60" s="208"/>
      <c r="DX60" s="208"/>
      <c r="DY60" s="208"/>
      <c r="DZ60" s="208"/>
      <c r="EA60" s="210"/>
      <c r="EB60" s="211"/>
      <c r="EC60" s="211"/>
      <c r="ED60" s="211"/>
      <c r="EE60" s="211"/>
      <c r="EF60" s="207"/>
      <c r="EG60" s="209"/>
      <c r="EH60" s="213"/>
      <c r="EI60" s="214"/>
      <c r="EJ60" s="214"/>
      <c r="EK60" s="214"/>
      <c r="EL60" s="214"/>
      <c r="EM60" s="215"/>
      <c r="EN60" s="216"/>
      <c r="EO60" s="216"/>
      <c r="EP60" s="217"/>
      <c r="EQ60" s="217"/>
      <c r="ER60" s="215"/>
      <c r="ES60" s="218"/>
      <c r="ET60" s="215"/>
      <c r="EU60" s="215"/>
      <c r="EV60" s="215"/>
      <c r="EW60" s="218"/>
      <c r="EX60" s="215"/>
      <c r="EY60" s="215"/>
      <c r="EZ60" s="218"/>
    </row>
    <row r="61" spans="1:156" ht="12.75" customHeight="1">
      <c r="A61" s="4">
        <v>1200</v>
      </c>
      <c r="B61" s="4">
        <v>30</v>
      </c>
      <c r="C61" s="4">
        <v>30</v>
      </c>
      <c r="D61" s="4">
        <v>4</v>
      </c>
      <c r="E61" s="4">
        <v>2</v>
      </c>
      <c r="F61" s="4">
        <v>6</v>
      </c>
      <c r="G61" s="348"/>
      <c r="H61" s="348"/>
      <c r="I61" s="348"/>
      <c r="J61" s="348"/>
      <c r="K61" s="348"/>
      <c r="M61" s="244"/>
      <c r="N61" s="246"/>
      <c r="O61" s="325" t="s">
        <v>355</v>
      </c>
      <c r="P61" s="325"/>
      <c r="Q61" s="7">
        <f>DceNoiSuy(W40,$G$46:$G$100,$J$46:$J$100)</f>
        <v>1</v>
      </c>
      <c r="R61" s="7">
        <f>DceNoiSuy(W40,$G$46:$G$100,$K$46:$K$100)</f>
        <v>6</v>
      </c>
      <c r="S61" s="7">
        <f>IF(Q61=0,0,(W49-W39)/2)</f>
        <v>130</v>
      </c>
      <c r="T61" s="18">
        <v>200</v>
      </c>
      <c r="U61" s="18">
        <v>6</v>
      </c>
      <c r="V61" s="21"/>
      <c r="W61" s="20"/>
      <c r="X61" s="253"/>
      <c r="AA61" s="18"/>
      <c r="AB61" s="18"/>
      <c r="AC61" s="18"/>
      <c r="AD61" s="19"/>
      <c r="AE61" s="19"/>
      <c r="AI61" s="18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18"/>
      <c r="BG61" s="140"/>
      <c r="BH61" s="131"/>
      <c r="BI61" s="102"/>
      <c r="BJ61" s="102"/>
      <c r="BK61" s="102"/>
      <c r="BL61" s="102"/>
      <c r="BM61" s="99"/>
      <c r="BN61" s="4"/>
      <c r="BO61" s="4"/>
      <c r="BP61" s="5"/>
      <c r="BQ61" s="5"/>
      <c r="BR61" s="99"/>
      <c r="BS61" s="159"/>
      <c r="BT61" s="99"/>
      <c r="BU61" s="99"/>
      <c r="BV61" s="99"/>
      <c r="BW61" s="159"/>
      <c r="BX61" s="99"/>
      <c r="BY61" s="99"/>
      <c r="BZ61" s="159"/>
      <c r="DA61" s="155"/>
      <c r="DB61" s="155"/>
      <c r="DC61" s="155"/>
      <c r="DD61" s="207"/>
      <c r="DE61" s="207"/>
      <c r="DF61" s="155"/>
      <c r="DG61" s="155"/>
      <c r="DH61" s="155"/>
      <c r="DI61" s="155"/>
      <c r="DJ61" s="208"/>
      <c r="DK61" s="208"/>
      <c r="DL61" s="208"/>
      <c r="DM61" s="208"/>
      <c r="DN61" s="208"/>
      <c r="DO61" s="208"/>
      <c r="DP61" s="208"/>
      <c r="DQ61" s="208"/>
      <c r="DR61" s="208"/>
      <c r="DS61" s="208"/>
      <c r="DT61" s="208"/>
      <c r="DU61" s="208"/>
      <c r="DV61" s="208"/>
      <c r="DW61" s="208"/>
      <c r="DX61" s="208"/>
      <c r="DY61" s="208"/>
      <c r="DZ61" s="208"/>
      <c r="EA61" s="210"/>
      <c r="EB61" s="211"/>
      <c r="EC61" s="211"/>
      <c r="ED61" s="211"/>
      <c r="EE61" s="211"/>
      <c r="EF61" s="207"/>
      <c r="EG61" s="209"/>
      <c r="EH61" s="213"/>
      <c r="EI61" s="214"/>
      <c r="EJ61" s="214"/>
      <c r="EK61" s="214"/>
      <c r="EL61" s="214"/>
      <c r="EM61" s="215"/>
      <c r="EN61" s="216"/>
      <c r="EO61" s="216"/>
      <c r="EP61" s="217"/>
      <c r="EQ61" s="217"/>
      <c r="ER61" s="215"/>
      <c r="ES61" s="218"/>
      <c r="ET61" s="215"/>
      <c r="EU61" s="215"/>
      <c r="EV61" s="215"/>
      <c r="EW61" s="218"/>
      <c r="EX61" s="215"/>
      <c r="EY61" s="215"/>
      <c r="EZ61" s="218"/>
    </row>
    <row r="62" spans="1:156" ht="12.75" customHeight="1">
      <c r="A62" s="4">
        <v>1300</v>
      </c>
      <c r="B62" s="4">
        <v>30</v>
      </c>
      <c r="C62" s="4">
        <v>30</v>
      </c>
      <c r="D62" s="4">
        <v>4</v>
      </c>
      <c r="E62" s="4">
        <v>2</v>
      </c>
      <c r="F62" s="4">
        <v>6</v>
      </c>
      <c r="G62" s="348"/>
      <c r="H62" s="348"/>
      <c r="I62" s="348"/>
      <c r="J62" s="348"/>
      <c r="K62" s="348"/>
      <c r="M62" s="243" t="s">
        <v>62</v>
      </c>
      <c r="N62" s="246"/>
      <c r="O62" s="246"/>
      <c r="P62" s="246"/>
      <c r="Q62" s="246"/>
      <c r="R62" s="246"/>
      <c r="S62" s="248"/>
      <c r="T62" s="249"/>
      <c r="U62" s="246"/>
      <c r="V62" s="2"/>
      <c r="W62" s="2"/>
      <c r="X62" s="247"/>
      <c r="AA62" s="18"/>
      <c r="AB62" s="18"/>
      <c r="AC62" s="18"/>
      <c r="AD62" s="19"/>
      <c r="AE62" s="19"/>
      <c r="AI62" s="18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18"/>
      <c r="BG62" s="140"/>
      <c r="BH62" s="131"/>
      <c r="BI62" s="102"/>
      <c r="BJ62" s="102"/>
      <c r="BK62" s="102"/>
      <c r="BL62" s="102"/>
      <c r="BM62" s="99"/>
      <c r="BN62" s="4"/>
      <c r="BO62" s="4"/>
      <c r="BP62" s="5"/>
      <c r="BQ62" s="5"/>
      <c r="BR62" s="99"/>
      <c r="BS62" s="159"/>
      <c r="BT62" s="99"/>
      <c r="BU62" s="99"/>
      <c r="BV62" s="99"/>
      <c r="BW62" s="159"/>
      <c r="BX62" s="99"/>
      <c r="BY62" s="99"/>
      <c r="BZ62" s="159"/>
      <c r="DA62" s="155"/>
      <c r="DB62" s="155"/>
      <c r="DC62" s="155"/>
      <c r="DD62" s="207"/>
      <c r="DE62" s="207"/>
      <c r="DF62" s="155"/>
      <c r="DG62" s="155"/>
      <c r="DH62" s="155"/>
      <c r="DI62" s="155"/>
      <c r="DJ62" s="208"/>
      <c r="DK62" s="208"/>
      <c r="DL62" s="208"/>
      <c r="DM62" s="208"/>
      <c r="DN62" s="208"/>
      <c r="DO62" s="208"/>
      <c r="DP62" s="208"/>
      <c r="DQ62" s="208"/>
      <c r="DR62" s="208"/>
      <c r="DS62" s="208"/>
      <c r="DT62" s="208"/>
      <c r="DU62" s="208"/>
      <c r="DV62" s="208"/>
      <c r="DW62" s="208"/>
      <c r="DX62" s="208"/>
      <c r="DY62" s="208"/>
      <c r="DZ62" s="208"/>
      <c r="EA62" s="210"/>
      <c r="EB62" s="211"/>
      <c r="EC62" s="211"/>
      <c r="ED62" s="211"/>
      <c r="EE62" s="211"/>
      <c r="EF62" s="207"/>
      <c r="EG62" s="209"/>
      <c r="EH62" s="213"/>
      <c r="EI62" s="214"/>
      <c r="EJ62" s="214"/>
      <c r="EK62" s="214"/>
      <c r="EL62" s="214"/>
      <c r="EM62" s="215"/>
      <c r="EN62" s="216"/>
      <c r="EO62" s="216"/>
      <c r="EP62" s="217"/>
      <c r="EQ62" s="217"/>
      <c r="ER62" s="215"/>
      <c r="ES62" s="218"/>
      <c r="ET62" s="215"/>
      <c r="EU62" s="215"/>
      <c r="EV62" s="215"/>
      <c r="EW62" s="218"/>
      <c r="EX62" s="215"/>
      <c r="EY62" s="215"/>
      <c r="EZ62" s="218"/>
    </row>
    <row r="63" spans="1:156" ht="12.75" customHeight="1">
      <c r="A63" s="4">
        <v>1400</v>
      </c>
      <c r="B63" s="4">
        <v>30</v>
      </c>
      <c r="C63" s="4">
        <v>30</v>
      </c>
      <c r="D63" s="4">
        <v>4</v>
      </c>
      <c r="E63" s="4">
        <v>2</v>
      </c>
      <c r="F63" s="4">
        <v>6</v>
      </c>
      <c r="G63" s="348"/>
      <c r="H63" s="348"/>
      <c r="I63" s="348"/>
      <c r="J63" s="348"/>
      <c r="K63" s="348"/>
      <c r="M63" s="243"/>
      <c r="N63" s="246" t="str">
        <f>"- Loại tải trọng:"</f>
        <v>- Loại tải trọng:</v>
      </c>
      <c r="O63" s="246"/>
      <c r="P63" s="246"/>
      <c r="Q63" s="250"/>
      <c r="R63" s="246"/>
      <c r="S63" s="2"/>
      <c r="T63" s="2"/>
      <c r="U63" s="250" t="s">
        <v>77</v>
      </c>
      <c r="V63" s="21" t="s">
        <v>81</v>
      </c>
      <c r="W63" s="24">
        <f>VLOOKUP(U63,Data!$DF$2:$DG$5,2,FALSE)</f>
        <v>1.05</v>
      </c>
      <c r="X63" s="253"/>
      <c r="AA63" s="18"/>
      <c r="AB63" s="18"/>
      <c r="AC63" s="18"/>
      <c r="AD63" s="19"/>
      <c r="AE63" s="19"/>
      <c r="AI63" s="18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18"/>
      <c r="BG63" s="140"/>
      <c r="BH63" s="131"/>
      <c r="BI63" s="102"/>
      <c r="BJ63" s="102"/>
      <c r="BK63" s="102"/>
      <c r="BL63" s="102"/>
      <c r="BM63" s="99"/>
      <c r="BN63" s="4"/>
      <c r="BO63" s="4"/>
      <c r="BP63" s="5"/>
      <c r="BQ63" s="5"/>
      <c r="BR63" s="99"/>
      <c r="BS63" s="159"/>
      <c r="BT63" s="99"/>
      <c r="BU63" s="99"/>
      <c r="BV63" s="99"/>
      <c r="BW63" s="159"/>
      <c r="BX63" s="99"/>
      <c r="BY63" s="99"/>
      <c r="BZ63" s="159"/>
      <c r="DA63" s="155"/>
      <c r="DB63" s="155"/>
      <c r="DC63" s="155"/>
      <c r="DD63" s="207"/>
      <c r="DE63" s="207"/>
      <c r="DF63" s="155"/>
      <c r="DG63" s="155"/>
      <c r="DH63" s="155"/>
      <c r="DI63" s="155"/>
      <c r="DJ63" s="208"/>
      <c r="DK63" s="208"/>
      <c r="DL63" s="208"/>
      <c r="DM63" s="208"/>
      <c r="DN63" s="208"/>
      <c r="DO63" s="208"/>
      <c r="DP63" s="208"/>
      <c r="DQ63" s="208"/>
      <c r="DR63" s="208"/>
      <c r="DS63" s="208"/>
      <c r="DT63" s="208"/>
      <c r="DU63" s="208"/>
      <c r="DV63" s="208"/>
      <c r="DW63" s="208"/>
      <c r="DX63" s="208"/>
      <c r="DY63" s="208"/>
      <c r="DZ63" s="208"/>
      <c r="EA63" s="210"/>
      <c r="EB63" s="211"/>
      <c r="EC63" s="211"/>
      <c r="ED63" s="211"/>
      <c r="EE63" s="211"/>
      <c r="EF63" s="207"/>
      <c r="EG63" s="209"/>
      <c r="EH63" s="213"/>
      <c r="EI63" s="214"/>
      <c r="EJ63" s="214"/>
      <c r="EK63" s="214"/>
      <c r="EL63" s="214"/>
      <c r="EM63" s="215"/>
      <c r="EN63" s="216"/>
      <c r="EO63" s="216"/>
      <c r="EP63" s="217"/>
      <c r="EQ63" s="217"/>
      <c r="ER63" s="215"/>
      <c r="ES63" s="218"/>
      <c r="ET63" s="215"/>
      <c r="EU63" s="215"/>
      <c r="EV63" s="215"/>
      <c r="EW63" s="218"/>
      <c r="EX63" s="215"/>
      <c r="EY63" s="215"/>
      <c r="EZ63" s="218"/>
    </row>
    <row r="64" spans="1:156" ht="15" customHeight="1">
      <c r="A64" s="4">
        <v>1500</v>
      </c>
      <c r="B64" s="4">
        <v>30</v>
      </c>
      <c r="C64" s="4">
        <v>30</v>
      </c>
      <c r="D64" s="4">
        <v>4</v>
      </c>
      <c r="E64" s="4">
        <v>2</v>
      </c>
      <c r="F64" s="4">
        <v>6</v>
      </c>
      <c r="G64" s="348"/>
      <c r="H64" s="348"/>
      <c r="I64" s="348"/>
      <c r="J64" s="348"/>
      <c r="K64" s="348"/>
      <c r="M64" s="243"/>
      <c r="N64" s="2"/>
      <c r="O64" s="291" t="s">
        <v>136</v>
      </c>
      <c r="P64" s="291"/>
      <c r="Q64" s="291"/>
      <c r="R64" s="363" t="s">
        <v>138</v>
      </c>
      <c r="S64" s="363"/>
      <c r="T64" s="4" t="s">
        <v>421</v>
      </c>
      <c r="U64" s="4" t="s">
        <v>422</v>
      </c>
      <c r="V64" s="4" t="s">
        <v>139</v>
      </c>
      <c r="W64" s="4" t="s">
        <v>142</v>
      </c>
      <c r="X64" s="4" t="s">
        <v>171</v>
      </c>
      <c r="AA64" s="18"/>
      <c r="AB64" s="18"/>
      <c r="AC64" s="18"/>
      <c r="AD64" s="19"/>
      <c r="AE64" s="19"/>
      <c r="AI64" s="18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7"/>
      <c r="BA64" s="18"/>
      <c r="BG64" s="140"/>
      <c r="BH64" s="131"/>
      <c r="BI64" s="102"/>
      <c r="BJ64" s="102"/>
      <c r="BK64" s="102"/>
      <c r="BL64" s="102"/>
      <c r="BM64" s="99"/>
      <c r="BN64" s="4"/>
      <c r="BO64" s="4"/>
      <c r="BP64" s="5"/>
      <c r="BQ64" s="5"/>
      <c r="BR64" s="99"/>
      <c r="BS64" s="159"/>
      <c r="BT64" s="99"/>
      <c r="BU64" s="99"/>
      <c r="BV64" s="99"/>
      <c r="BW64" s="159"/>
      <c r="BX64" s="99"/>
      <c r="BY64" s="99"/>
      <c r="BZ64" s="159"/>
      <c r="DA64" s="155"/>
      <c r="DB64" s="155"/>
      <c r="DC64" s="155"/>
      <c r="DD64" s="207"/>
      <c r="DE64" s="207"/>
      <c r="DF64" s="155"/>
      <c r="DG64" s="155"/>
      <c r="DH64" s="155"/>
      <c r="DI64" s="155"/>
      <c r="DJ64" s="208"/>
      <c r="DK64" s="208"/>
      <c r="DL64" s="208"/>
      <c r="DM64" s="208"/>
      <c r="DN64" s="208"/>
      <c r="DO64" s="208"/>
      <c r="DP64" s="208"/>
      <c r="DQ64" s="208"/>
      <c r="DR64" s="208"/>
      <c r="DS64" s="208"/>
      <c r="DT64" s="208"/>
      <c r="DU64" s="208"/>
      <c r="DV64" s="208"/>
      <c r="DW64" s="208"/>
      <c r="DX64" s="208"/>
      <c r="DY64" s="208"/>
      <c r="DZ64" s="208"/>
      <c r="EA64" s="210"/>
      <c r="EB64" s="211"/>
      <c r="EC64" s="211"/>
      <c r="ED64" s="211"/>
      <c r="EE64" s="211"/>
      <c r="EF64" s="207"/>
      <c r="EG64" s="209"/>
      <c r="EH64" s="213"/>
      <c r="EI64" s="214"/>
      <c r="EJ64" s="214"/>
      <c r="EK64" s="214"/>
      <c r="EL64" s="214"/>
      <c r="EM64" s="215"/>
      <c r="EN64" s="216"/>
      <c r="EO64" s="216"/>
      <c r="EP64" s="217"/>
      <c r="EQ64" s="217"/>
      <c r="ER64" s="215"/>
      <c r="ES64" s="218"/>
      <c r="ET64" s="215"/>
      <c r="EU64" s="215"/>
      <c r="EV64" s="215"/>
      <c r="EW64" s="218"/>
      <c r="EX64" s="215"/>
      <c r="EY64" s="215"/>
      <c r="EZ64" s="218"/>
    </row>
    <row r="65" spans="1:156">
      <c r="M65" s="244"/>
      <c r="N65" s="2"/>
      <c r="O65" s="221" t="s">
        <v>386</v>
      </c>
      <c r="P65" s="4" t="s">
        <v>423</v>
      </c>
      <c r="Q65" s="4" t="s">
        <v>387</v>
      </c>
      <c r="R65" s="363"/>
      <c r="S65" s="363"/>
      <c r="T65" s="4" t="s">
        <v>141</v>
      </c>
      <c r="U65" s="4" t="s">
        <v>141</v>
      </c>
      <c r="V65" s="4" t="s">
        <v>141</v>
      </c>
      <c r="W65" s="4" t="s">
        <v>141</v>
      </c>
      <c r="X65" s="4" t="s">
        <v>172</v>
      </c>
      <c r="AA65" s="18"/>
      <c r="AB65" s="18"/>
      <c r="AC65" s="18"/>
      <c r="AD65" s="19"/>
      <c r="AE65" s="19"/>
      <c r="AI65" s="18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18"/>
      <c r="BG65" s="140"/>
      <c r="BH65" s="131"/>
      <c r="BI65" s="102"/>
      <c r="BJ65" s="102"/>
      <c r="BK65" s="102"/>
      <c r="BL65" s="102"/>
      <c r="BM65" s="99"/>
      <c r="BN65" s="4"/>
      <c r="BO65" s="4"/>
      <c r="BP65" s="5"/>
      <c r="BQ65" s="5"/>
      <c r="BR65" s="99"/>
      <c r="BS65" s="159"/>
      <c r="BT65" s="99"/>
      <c r="BU65" s="99"/>
      <c r="BV65" s="99"/>
      <c r="BW65" s="159"/>
      <c r="BX65" s="99"/>
      <c r="BY65" s="99"/>
      <c r="BZ65" s="159"/>
      <c r="DA65" s="155"/>
      <c r="DB65" s="155"/>
      <c r="DC65" s="155"/>
      <c r="DD65" s="207"/>
      <c r="DE65" s="207"/>
      <c r="DF65" s="155"/>
      <c r="DG65" s="155"/>
      <c r="DH65" s="155"/>
      <c r="DI65" s="155"/>
      <c r="DJ65" s="208"/>
      <c r="DK65" s="208"/>
      <c r="DL65" s="208"/>
      <c r="DM65" s="208"/>
      <c r="DN65" s="208"/>
      <c r="DO65" s="208"/>
      <c r="DP65" s="208"/>
      <c r="DQ65" s="208"/>
      <c r="DR65" s="208"/>
      <c r="DS65" s="208"/>
      <c r="DT65" s="208"/>
      <c r="DU65" s="208"/>
      <c r="DV65" s="208"/>
      <c r="DW65" s="208"/>
      <c r="DX65" s="208"/>
      <c r="DY65" s="208"/>
      <c r="DZ65" s="208"/>
      <c r="EA65" s="210"/>
      <c r="EB65" s="211"/>
      <c r="EC65" s="211"/>
      <c r="ED65" s="211"/>
      <c r="EE65" s="211"/>
      <c r="EF65" s="207"/>
      <c r="EG65" s="209"/>
      <c r="EH65" s="213"/>
      <c r="EI65" s="214"/>
      <c r="EJ65" s="214"/>
      <c r="EK65" s="214"/>
      <c r="EL65" s="214"/>
      <c r="EM65" s="215"/>
      <c r="EN65" s="216"/>
      <c r="EO65" s="216"/>
      <c r="EP65" s="217"/>
      <c r="EQ65" s="217"/>
      <c r="ER65" s="215"/>
      <c r="ES65" s="218"/>
      <c r="ET65" s="215"/>
      <c r="EU65" s="215"/>
      <c r="EV65" s="215"/>
      <c r="EW65" s="218"/>
      <c r="EX65" s="215"/>
      <c r="EY65" s="215"/>
      <c r="EZ65" s="218"/>
    </row>
    <row r="66" spans="1:156" ht="15" customHeight="1">
      <c r="A66" s="1" t="s">
        <v>321</v>
      </c>
      <c r="M66" s="244"/>
      <c r="N66" s="2"/>
      <c r="O66" s="18">
        <v>74</v>
      </c>
      <c r="P66" s="18" t="s">
        <v>371</v>
      </c>
      <c r="Q66" s="19">
        <v>6.4891663959275192</v>
      </c>
      <c r="R66" s="364" t="s">
        <v>409</v>
      </c>
      <c r="S66" s="364"/>
      <c r="T66" s="19">
        <v>-28.57974689381399</v>
      </c>
      <c r="U66" s="19">
        <v>-45.384386495087327</v>
      </c>
      <c r="V66" s="140">
        <f>T66*SIN(RADIANS(Q66))+U66*COS(RADIANS(Q66))</f>
        <v>-48.323569700592955</v>
      </c>
      <c r="W66" s="140">
        <f>U66*SIN(RADIANS(Q66))+T66*COS(RADIANS(Q66))</f>
        <v>-33.525775492576706</v>
      </c>
      <c r="X66" s="19">
        <v>176.27203784786295</v>
      </c>
      <c r="AA66" s="18"/>
      <c r="AB66" s="18"/>
      <c r="AC66" s="18"/>
      <c r="AD66" s="19"/>
      <c r="AE66" s="19"/>
      <c r="AI66" s="18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7"/>
      <c r="AZ66" s="7"/>
      <c r="BA66" s="18"/>
      <c r="BG66" s="140"/>
      <c r="BH66" s="131"/>
      <c r="BI66" s="102"/>
      <c r="BJ66" s="102"/>
      <c r="BK66" s="102"/>
      <c r="BL66" s="102"/>
      <c r="BM66" s="99"/>
      <c r="BN66" s="4"/>
      <c r="BO66" s="4"/>
      <c r="BP66" s="5"/>
      <c r="BQ66" s="5"/>
      <c r="BR66" s="99"/>
      <c r="BS66" s="159"/>
      <c r="BT66" s="99"/>
      <c r="BU66" s="99"/>
      <c r="BV66" s="99"/>
      <c r="BW66" s="159"/>
      <c r="BX66" s="99"/>
      <c r="BY66" s="99"/>
      <c r="BZ66" s="159"/>
      <c r="DA66" s="155"/>
      <c r="DB66" s="155"/>
      <c r="DC66" s="155"/>
      <c r="DD66" s="207"/>
      <c r="DE66" s="207"/>
      <c r="DF66" s="155"/>
      <c r="DG66" s="155"/>
      <c r="DH66" s="155"/>
      <c r="DI66" s="155"/>
      <c r="DJ66" s="208"/>
      <c r="DK66" s="208"/>
      <c r="DL66" s="208"/>
      <c r="DM66" s="208"/>
      <c r="DN66" s="208"/>
      <c r="DO66" s="208"/>
      <c r="DP66" s="208"/>
      <c r="DQ66" s="208"/>
      <c r="DR66" s="208"/>
      <c r="DS66" s="208"/>
      <c r="DT66" s="208"/>
      <c r="DU66" s="208"/>
      <c r="DV66" s="208"/>
      <c r="DW66" s="208"/>
      <c r="DX66" s="208"/>
      <c r="DY66" s="208"/>
      <c r="DZ66" s="208"/>
      <c r="EA66" s="210"/>
      <c r="EB66" s="211"/>
      <c r="EC66" s="211"/>
      <c r="ED66" s="211"/>
      <c r="EE66" s="211"/>
      <c r="EF66" s="207"/>
      <c r="EG66" s="209"/>
      <c r="EH66" s="213"/>
      <c r="EI66" s="214"/>
      <c r="EJ66" s="214"/>
      <c r="EK66" s="214"/>
      <c r="EL66" s="214"/>
      <c r="EM66" s="215"/>
      <c r="EN66" s="216"/>
      <c r="EO66" s="216"/>
      <c r="EP66" s="217"/>
      <c r="EQ66" s="217"/>
      <c r="ER66" s="215"/>
      <c r="ES66" s="218"/>
      <c r="ET66" s="215"/>
      <c r="EU66" s="215"/>
      <c r="EV66" s="215"/>
      <c r="EW66" s="218"/>
      <c r="EX66" s="215"/>
      <c r="EY66" s="215"/>
      <c r="EZ66" s="218"/>
    </row>
    <row r="67" spans="1:156" ht="15" customHeight="1">
      <c r="M67" s="244"/>
      <c r="N67" s="2"/>
      <c r="O67" s="20"/>
      <c r="P67" s="20"/>
      <c r="Q67" s="40"/>
      <c r="R67" s="256"/>
      <c r="S67" s="256"/>
      <c r="T67" s="40"/>
      <c r="U67" s="40"/>
      <c r="V67" s="257"/>
      <c r="W67" s="257"/>
      <c r="X67" s="258"/>
      <c r="AA67" s="18"/>
      <c r="AB67" s="18"/>
      <c r="AC67" s="18"/>
      <c r="AD67" s="19"/>
      <c r="AE67" s="19"/>
      <c r="AI67" s="18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18"/>
      <c r="BG67" s="140"/>
      <c r="BH67" s="131"/>
      <c r="BI67" s="102"/>
      <c r="BJ67" s="102"/>
      <c r="BK67" s="102"/>
      <c r="BL67" s="102"/>
      <c r="BM67" s="99"/>
      <c r="BN67" s="4"/>
      <c r="BO67" s="4"/>
      <c r="BP67" s="5"/>
      <c r="BQ67" s="5"/>
      <c r="BR67" s="99"/>
      <c r="BS67" s="159"/>
      <c r="BT67" s="99"/>
      <c r="BU67" s="99"/>
      <c r="BV67" s="99"/>
      <c r="BW67" s="159"/>
      <c r="BX67" s="99"/>
      <c r="BY67" s="99"/>
      <c r="BZ67" s="159"/>
      <c r="DA67" s="155"/>
      <c r="DB67" s="155"/>
      <c r="DC67" s="155"/>
      <c r="DD67" s="207"/>
      <c r="DE67" s="207"/>
      <c r="DF67" s="155"/>
      <c r="DG67" s="155"/>
      <c r="DH67" s="155"/>
      <c r="DI67" s="155"/>
      <c r="DJ67" s="208"/>
      <c r="DK67" s="208"/>
      <c r="DL67" s="208"/>
      <c r="DM67" s="208"/>
      <c r="DN67" s="208"/>
      <c r="DO67" s="208"/>
      <c r="DP67" s="208"/>
      <c r="DQ67" s="208"/>
      <c r="DR67" s="208"/>
      <c r="DS67" s="208"/>
      <c r="DT67" s="208"/>
      <c r="DU67" s="208"/>
      <c r="DV67" s="208"/>
      <c r="DW67" s="208"/>
      <c r="DX67" s="208"/>
      <c r="DY67" s="208"/>
      <c r="DZ67" s="208"/>
      <c r="EA67" s="210"/>
      <c r="EB67" s="211"/>
      <c r="EC67" s="211"/>
      <c r="ED67" s="211"/>
      <c r="EE67" s="211"/>
      <c r="EF67" s="207"/>
      <c r="EG67" s="209"/>
      <c r="EH67" s="213"/>
      <c r="EI67" s="214"/>
      <c r="EJ67" s="214"/>
      <c r="EK67" s="214"/>
      <c r="EL67" s="214"/>
      <c r="EM67" s="215"/>
      <c r="EN67" s="216"/>
      <c r="EO67" s="216"/>
      <c r="EP67" s="217"/>
      <c r="EQ67" s="217"/>
      <c r="ER67" s="215"/>
      <c r="ES67" s="218"/>
      <c r="ET67" s="215"/>
      <c r="EU67" s="215"/>
      <c r="EV67" s="215"/>
      <c r="EW67" s="218"/>
      <c r="EX67" s="215"/>
      <c r="EY67" s="215"/>
      <c r="EZ67" s="218"/>
    </row>
    <row r="68" spans="1:156">
      <c r="A68" s="1" t="s">
        <v>322</v>
      </c>
      <c r="M68" s="309" t="s">
        <v>198</v>
      </c>
      <c r="N68" s="310"/>
      <c r="O68" s="310"/>
      <c r="P68" s="21"/>
      <c r="Q68" s="255"/>
      <c r="R68" s="132"/>
      <c r="S68" s="2"/>
      <c r="T68" s="2"/>
      <c r="U68" s="2"/>
      <c r="V68" s="2"/>
      <c r="W68" s="2"/>
      <c r="X68" s="239"/>
      <c r="AA68" s="18"/>
      <c r="AB68" s="18"/>
      <c r="AC68" s="18"/>
      <c r="AD68" s="19"/>
      <c r="AE68" s="19"/>
      <c r="AI68" s="18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18"/>
      <c r="BG68" s="140"/>
      <c r="BH68" s="131"/>
      <c r="BI68" s="102"/>
      <c r="BJ68" s="102"/>
      <c r="BK68" s="102"/>
      <c r="BL68" s="102"/>
      <c r="BM68" s="99"/>
      <c r="BN68" s="4"/>
      <c r="BO68" s="4"/>
      <c r="BP68" s="5"/>
      <c r="BQ68" s="5"/>
      <c r="BR68" s="99"/>
      <c r="BS68" s="159"/>
      <c r="BT68" s="99"/>
      <c r="BU68" s="99"/>
      <c r="BV68" s="99"/>
      <c r="BW68" s="159"/>
      <c r="BX68" s="99"/>
      <c r="BY68" s="99"/>
      <c r="BZ68" s="159"/>
      <c r="DA68" s="155"/>
      <c r="DB68" s="155"/>
      <c r="DC68" s="155"/>
      <c r="DD68" s="207"/>
      <c r="DE68" s="207"/>
      <c r="DF68" s="155"/>
      <c r="DG68" s="155"/>
      <c r="DH68" s="155"/>
      <c r="DI68" s="155"/>
      <c r="DJ68" s="208"/>
      <c r="DK68" s="208"/>
      <c r="DL68" s="208"/>
      <c r="DM68" s="208"/>
      <c r="DN68" s="208"/>
      <c r="DO68" s="208"/>
      <c r="DP68" s="208"/>
      <c r="DQ68" s="208"/>
      <c r="DR68" s="208"/>
      <c r="DS68" s="208"/>
      <c r="DT68" s="208"/>
      <c r="DU68" s="208"/>
      <c r="DV68" s="208"/>
      <c r="DW68" s="208"/>
      <c r="DX68" s="208"/>
      <c r="DY68" s="208"/>
      <c r="DZ68" s="208"/>
      <c r="EA68" s="210"/>
      <c r="EB68" s="211"/>
      <c r="EC68" s="211"/>
      <c r="ED68" s="211"/>
      <c r="EE68" s="211"/>
      <c r="EF68" s="207"/>
      <c r="EG68" s="209"/>
      <c r="EH68" s="213"/>
      <c r="EI68" s="214"/>
      <c r="EJ68" s="214"/>
      <c r="EK68" s="214"/>
      <c r="EL68" s="214"/>
      <c r="EM68" s="215"/>
      <c r="EN68" s="216"/>
      <c r="EO68" s="216"/>
      <c r="EP68" s="217"/>
      <c r="EQ68" s="217"/>
      <c r="ER68" s="215"/>
      <c r="ES68" s="218"/>
      <c r="ET68" s="215"/>
      <c r="EU68" s="215"/>
      <c r="EV68" s="215"/>
      <c r="EW68" s="218"/>
      <c r="EX68" s="215"/>
      <c r="EY68" s="215"/>
      <c r="EZ68" s="218"/>
    </row>
    <row r="69" spans="1:156" ht="15" customHeight="1">
      <c r="A69" s="1" t="s">
        <v>323</v>
      </c>
      <c r="M69" s="244"/>
      <c r="N69" s="2"/>
      <c r="O69" s="222" t="s">
        <v>199</v>
      </c>
      <c r="P69" s="354" t="s">
        <v>200</v>
      </c>
      <c r="Q69" s="354"/>
      <c r="R69" s="354"/>
      <c r="S69" s="354"/>
      <c r="T69" s="47" t="s">
        <v>202</v>
      </c>
      <c r="U69" s="362" t="s">
        <v>201</v>
      </c>
      <c r="V69" s="362"/>
      <c r="W69" s="362"/>
      <c r="X69" s="258"/>
      <c r="AA69" s="18"/>
      <c r="AB69" s="18"/>
      <c r="AC69" s="18"/>
      <c r="AD69" s="19"/>
      <c r="AE69" s="19"/>
      <c r="AI69" s="18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18"/>
      <c r="BG69" s="140"/>
      <c r="BH69" s="131"/>
      <c r="BI69" s="102"/>
      <c r="BJ69" s="102"/>
      <c r="BK69" s="102"/>
      <c r="BL69" s="102"/>
      <c r="BM69" s="99"/>
      <c r="BN69" s="4"/>
      <c r="BO69" s="4"/>
      <c r="BP69" s="5"/>
      <c r="BQ69" s="5"/>
      <c r="BR69" s="99"/>
      <c r="BS69" s="159"/>
      <c r="BT69" s="99"/>
      <c r="BU69" s="99"/>
      <c r="BV69" s="99"/>
      <c r="BW69" s="159"/>
      <c r="BX69" s="99"/>
      <c r="BY69" s="99"/>
      <c r="BZ69" s="159"/>
      <c r="DA69" s="155"/>
      <c r="DB69" s="155"/>
      <c r="DC69" s="155"/>
      <c r="DD69" s="207"/>
      <c r="DE69" s="207"/>
      <c r="DF69" s="155"/>
      <c r="DG69" s="155"/>
      <c r="DH69" s="155"/>
      <c r="DI69" s="155"/>
      <c r="DJ69" s="208"/>
      <c r="DK69" s="208"/>
      <c r="DL69" s="208"/>
      <c r="DM69" s="208"/>
      <c r="DN69" s="208"/>
      <c r="DO69" s="208"/>
      <c r="DP69" s="208"/>
      <c r="DQ69" s="208"/>
      <c r="DR69" s="208"/>
      <c r="DS69" s="208"/>
      <c r="DT69" s="208"/>
      <c r="DU69" s="208"/>
      <c r="DV69" s="208"/>
      <c r="DW69" s="208"/>
      <c r="DX69" s="208"/>
      <c r="DY69" s="208"/>
      <c r="DZ69" s="208"/>
      <c r="EA69" s="210"/>
      <c r="EB69" s="211"/>
      <c r="EC69" s="211"/>
      <c r="ED69" s="211"/>
      <c r="EE69" s="211"/>
      <c r="EF69" s="207"/>
      <c r="EG69" s="209"/>
      <c r="EH69" s="213"/>
      <c r="EI69" s="214"/>
      <c r="EJ69" s="214"/>
      <c r="EK69" s="214"/>
      <c r="EL69" s="214"/>
      <c r="EM69" s="215"/>
      <c r="EN69" s="216"/>
      <c r="EO69" s="216"/>
      <c r="EP69" s="217"/>
      <c r="EQ69" s="217"/>
      <c r="ER69" s="215"/>
      <c r="ES69" s="218"/>
      <c r="ET69" s="215"/>
      <c r="EU69" s="215"/>
      <c r="EV69" s="215"/>
      <c r="EW69" s="218"/>
      <c r="EX69" s="215"/>
      <c r="EY69" s="215"/>
      <c r="EZ69" s="218"/>
    </row>
    <row r="70" spans="1:156" ht="15" customHeight="1">
      <c r="A70" s="1" t="s">
        <v>325</v>
      </c>
      <c r="M70" s="244"/>
      <c r="N70" s="2"/>
      <c r="O70" s="41">
        <v>1</v>
      </c>
      <c r="P70" s="361" t="s">
        <v>205</v>
      </c>
      <c r="Q70" s="361"/>
      <c r="R70" s="361"/>
      <c r="S70" s="361"/>
      <c r="T70" s="42">
        <f>W93</f>
        <v>0.43435763685611473</v>
      </c>
      <c r="U70" s="355"/>
      <c r="V70" s="356"/>
      <c r="W70" s="357"/>
      <c r="X70" s="258"/>
      <c r="AA70" s="18"/>
      <c r="AB70" s="18"/>
      <c r="AC70" s="18"/>
      <c r="AD70" s="19"/>
      <c r="AE70" s="19"/>
      <c r="AI70" s="18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18"/>
      <c r="BG70" s="140"/>
      <c r="BH70" s="131"/>
      <c r="BI70" s="102"/>
      <c r="BJ70" s="102"/>
      <c r="BK70" s="102"/>
      <c r="BL70" s="102"/>
      <c r="BM70" s="99"/>
      <c r="BN70" s="4"/>
      <c r="BO70" s="4"/>
      <c r="BP70" s="5"/>
      <c r="BQ70" s="5"/>
      <c r="BR70" s="99"/>
      <c r="BS70" s="159"/>
      <c r="BT70" s="99"/>
      <c r="BU70" s="99"/>
      <c r="BV70" s="99"/>
      <c r="BW70" s="159"/>
      <c r="BX70" s="99"/>
      <c r="BY70" s="99"/>
      <c r="BZ70" s="159"/>
      <c r="DA70" s="155"/>
      <c r="DB70" s="155"/>
      <c r="DC70" s="155"/>
      <c r="DD70" s="207"/>
      <c r="DE70" s="207"/>
      <c r="DF70" s="155"/>
      <c r="DG70" s="155"/>
      <c r="DH70" s="155"/>
      <c r="DI70" s="155"/>
      <c r="DJ70" s="208"/>
      <c r="DK70" s="208"/>
      <c r="DL70" s="208"/>
      <c r="DM70" s="208"/>
      <c r="DN70" s="208"/>
      <c r="DO70" s="208"/>
      <c r="DP70" s="208"/>
      <c r="DQ70" s="208"/>
      <c r="DR70" s="208"/>
      <c r="DS70" s="208"/>
      <c r="DT70" s="208"/>
      <c r="DU70" s="208"/>
      <c r="DV70" s="208"/>
      <c r="DW70" s="208"/>
      <c r="DX70" s="208"/>
      <c r="DY70" s="208"/>
      <c r="DZ70" s="208"/>
      <c r="EA70" s="210"/>
      <c r="EB70" s="211"/>
      <c r="EC70" s="211"/>
      <c r="ED70" s="211"/>
      <c r="EE70" s="211"/>
      <c r="EF70" s="207"/>
      <c r="EG70" s="209"/>
      <c r="EH70" s="213"/>
      <c r="EI70" s="214"/>
      <c r="EJ70" s="214"/>
      <c r="EK70" s="214"/>
      <c r="EL70" s="214"/>
      <c r="EM70" s="215"/>
      <c r="EN70" s="216"/>
      <c r="EO70" s="216"/>
      <c r="EP70" s="217"/>
      <c r="EQ70" s="217"/>
      <c r="ER70" s="215"/>
      <c r="ES70" s="218"/>
      <c r="ET70" s="215"/>
      <c r="EU70" s="215"/>
      <c r="EV70" s="215"/>
      <c r="EW70" s="218"/>
      <c r="EX70" s="215"/>
      <c r="EY70" s="215"/>
      <c r="EZ70" s="218"/>
    </row>
    <row r="71" spans="1:156" ht="15" customHeight="1">
      <c r="A71" s="1" t="s">
        <v>326</v>
      </c>
      <c r="M71" s="244"/>
      <c r="N71" s="2"/>
      <c r="O71" s="43">
        <f>O70+1</f>
        <v>2</v>
      </c>
      <c r="P71" s="346" t="s">
        <v>204</v>
      </c>
      <c r="Q71" s="346"/>
      <c r="R71" s="346"/>
      <c r="S71" s="346"/>
      <c r="T71" s="44">
        <f>W103</f>
        <v>0.61074693320384799</v>
      </c>
      <c r="U71" s="326"/>
      <c r="V71" s="327"/>
      <c r="W71" s="328"/>
      <c r="X71" s="258"/>
      <c r="AA71" s="18"/>
      <c r="AB71" s="18"/>
      <c r="AC71" s="18"/>
      <c r="AD71" s="19"/>
      <c r="AE71" s="19"/>
      <c r="AI71" s="18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18"/>
      <c r="BG71" s="140"/>
      <c r="BH71" s="131"/>
      <c r="BI71" s="102"/>
      <c r="BJ71" s="102"/>
      <c r="BK71" s="102"/>
      <c r="BL71" s="102"/>
      <c r="BM71" s="99"/>
      <c r="BN71" s="4"/>
      <c r="BO71" s="4"/>
      <c r="BP71" s="5"/>
      <c r="BQ71" s="5"/>
      <c r="BR71" s="99"/>
      <c r="BS71" s="159"/>
      <c r="BT71" s="99"/>
      <c r="BU71" s="99"/>
      <c r="BV71" s="99"/>
      <c r="BW71" s="159"/>
      <c r="BX71" s="99"/>
      <c r="BY71" s="99"/>
      <c r="BZ71" s="159"/>
      <c r="DA71" s="155"/>
      <c r="DB71" s="155"/>
      <c r="DC71" s="155"/>
      <c r="DD71" s="207"/>
      <c r="DE71" s="207"/>
      <c r="DF71" s="155"/>
      <c r="DG71" s="155"/>
      <c r="DH71" s="155"/>
      <c r="DI71" s="155"/>
      <c r="DJ71" s="208"/>
      <c r="DK71" s="208"/>
      <c r="DL71" s="208"/>
      <c r="DM71" s="208"/>
      <c r="DN71" s="208"/>
      <c r="DO71" s="208"/>
      <c r="DP71" s="208"/>
      <c r="DQ71" s="208"/>
      <c r="DR71" s="208"/>
      <c r="DS71" s="208"/>
      <c r="DT71" s="208"/>
      <c r="DU71" s="208"/>
      <c r="DV71" s="208"/>
      <c r="DW71" s="208"/>
      <c r="DX71" s="208"/>
      <c r="DY71" s="208"/>
      <c r="DZ71" s="208"/>
      <c r="EA71" s="210"/>
      <c r="EB71" s="211"/>
      <c r="EC71" s="211"/>
      <c r="ED71" s="211"/>
      <c r="EE71" s="211"/>
      <c r="EF71" s="207"/>
      <c r="EG71" s="209"/>
      <c r="EH71" s="213"/>
      <c r="EI71" s="214"/>
      <c r="EJ71" s="214"/>
      <c r="EK71" s="214"/>
      <c r="EL71" s="214"/>
      <c r="EM71" s="215"/>
      <c r="EN71" s="216"/>
      <c r="EO71" s="216"/>
      <c r="EP71" s="217"/>
      <c r="EQ71" s="217"/>
      <c r="ER71" s="215"/>
      <c r="ES71" s="218"/>
      <c r="ET71" s="215"/>
      <c r="EU71" s="215"/>
      <c r="EV71" s="215"/>
      <c r="EW71" s="218"/>
      <c r="EX71" s="215"/>
      <c r="EY71" s="215"/>
      <c r="EZ71" s="218"/>
    </row>
    <row r="72" spans="1:156" ht="15" customHeight="1">
      <c r="A72" s="1" t="s">
        <v>327</v>
      </c>
      <c r="M72" s="244"/>
      <c r="N72" s="2"/>
      <c r="O72" s="43">
        <f t="shared" ref="O72:O76" si="28">O71+1</f>
        <v>3</v>
      </c>
      <c r="P72" s="346" t="s">
        <v>206</v>
      </c>
      <c r="Q72" s="346"/>
      <c r="R72" s="346"/>
      <c r="S72" s="346"/>
      <c r="T72" s="44">
        <f>W117</f>
        <v>0.47151909552105514</v>
      </c>
      <c r="U72" s="326"/>
      <c r="V72" s="327"/>
      <c r="W72" s="328"/>
      <c r="X72" s="258"/>
      <c r="AA72" s="18"/>
      <c r="AB72" s="18"/>
      <c r="AC72" s="18"/>
      <c r="AD72" s="19"/>
      <c r="AE72" s="19"/>
      <c r="AI72" s="18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18"/>
      <c r="BG72" s="140"/>
      <c r="BH72" s="131"/>
      <c r="BI72" s="102"/>
      <c r="BJ72" s="102"/>
      <c r="BK72" s="102"/>
      <c r="BL72" s="102"/>
      <c r="BM72" s="99"/>
      <c r="BN72" s="4"/>
      <c r="BO72" s="4"/>
      <c r="BP72" s="5"/>
      <c r="BQ72" s="5"/>
      <c r="BR72" s="99"/>
      <c r="BS72" s="159"/>
      <c r="BT72" s="99"/>
      <c r="BU72" s="99"/>
      <c r="BV72" s="99"/>
      <c r="BW72" s="159"/>
      <c r="BX72" s="99"/>
      <c r="BY72" s="99"/>
      <c r="BZ72" s="159"/>
      <c r="DA72" s="155"/>
      <c r="DB72" s="155"/>
      <c r="DC72" s="155"/>
      <c r="DD72" s="207"/>
      <c r="DE72" s="207"/>
      <c r="DF72" s="155"/>
      <c r="DG72" s="155"/>
      <c r="DH72" s="155"/>
      <c r="DI72" s="155"/>
      <c r="DJ72" s="208"/>
      <c r="DK72" s="208"/>
      <c r="DL72" s="208"/>
      <c r="DM72" s="208"/>
      <c r="DN72" s="208"/>
      <c r="DO72" s="208"/>
      <c r="DP72" s="208"/>
      <c r="DQ72" s="208"/>
      <c r="DR72" s="208"/>
      <c r="DS72" s="208"/>
      <c r="DT72" s="208"/>
      <c r="DU72" s="208"/>
      <c r="DV72" s="208"/>
      <c r="DW72" s="208"/>
      <c r="DX72" s="208"/>
      <c r="DY72" s="208"/>
      <c r="DZ72" s="208"/>
      <c r="EA72" s="210"/>
      <c r="EB72" s="211"/>
      <c r="EC72" s="211"/>
      <c r="ED72" s="211"/>
      <c r="EE72" s="211"/>
      <c r="EF72" s="207"/>
      <c r="EG72" s="209"/>
      <c r="EH72" s="213"/>
      <c r="EI72" s="214"/>
      <c r="EJ72" s="214"/>
      <c r="EK72" s="214"/>
      <c r="EL72" s="214"/>
      <c r="EM72" s="215"/>
      <c r="EN72" s="216"/>
      <c r="EO72" s="216"/>
      <c r="EP72" s="217"/>
      <c r="EQ72" s="217"/>
      <c r="ER72" s="215"/>
      <c r="ES72" s="218"/>
      <c r="ET72" s="215"/>
      <c r="EU72" s="215"/>
      <c r="EV72" s="215"/>
      <c r="EW72" s="218"/>
      <c r="EX72" s="215"/>
      <c r="EY72" s="215"/>
      <c r="EZ72" s="218"/>
    </row>
    <row r="73" spans="1:156" ht="15" customHeight="1">
      <c r="A73" s="1" t="s">
        <v>328</v>
      </c>
      <c r="M73" s="244"/>
      <c r="N73" s="2"/>
      <c r="O73" s="43">
        <f t="shared" si="28"/>
        <v>4</v>
      </c>
      <c r="P73" s="347" t="s">
        <v>203</v>
      </c>
      <c r="Q73" s="347"/>
      <c r="R73" s="347"/>
      <c r="S73" s="347"/>
      <c r="T73" s="44">
        <f>W132</f>
        <v>8.6182070804784683E-2</v>
      </c>
      <c r="U73" s="358" t="str">
        <f>IF(T7&gt;1,"Sử dụng mấu chống trượt","")</f>
        <v/>
      </c>
      <c r="V73" s="359"/>
      <c r="W73" s="360"/>
      <c r="X73" s="258"/>
      <c r="AA73" s="18"/>
      <c r="AB73" s="18"/>
      <c r="AC73" s="18"/>
      <c r="AD73" s="19"/>
      <c r="AE73" s="19"/>
      <c r="AI73" s="18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  <c r="BA73" s="18"/>
      <c r="BG73" s="140"/>
      <c r="BH73" s="131"/>
      <c r="BI73" s="102"/>
      <c r="BJ73" s="102"/>
      <c r="BK73" s="102"/>
      <c r="BL73" s="102"/>
      <c r="BM73" s="99"/>
      <c r="BN73" s="4"/>
      <c r="BO73" s="4"/>
      <c r="BP73" s="5"/>
      <c r="BQ73" s="5"/>
      <c r="BR73" s="99"/>
      <c r="BS73" s="159"/>
      <c r="BT73" s="99"/>
      <c r="BU73" s="99"/>
      <c r="BV73" s="99"/>
      <c r="BW73" s="159"/>
      <c r="BX73" s="99"/>
      <c r="BY73" s="99"/>
      <c r="BZ73" s="159"/>
      <c r="DA73" s="155"/>
      <c r="DB73" s="155"/>
      <c r="DC73" s="155"/>
      <c r="DD73" s="207"/>
      <c r="DE73" s="207"/>
      <c r="DF73" s="155"/>
      <c r="DG73" s="155"/>
      <c r="DH73" s="155"/>
      <c r="DI73" s="155"/>
      <c r="DJ73" s="208"/>
      <c r="DK73" s="208"/>
      <c r="DL73" s="208"/>
      <c r="DM73" s="208"/>
      <c r="DN73" s="208"/>
      <c r="DO73" s="208"/>
      <c r="DP73" s="208"/>
      <c r="DQ73" s="208"/>
      <c r="DR73" s="208"/>
      <c r="DS73" s="208"/>
      <c r="DT73" s="208"/>
      <c r="DU73" s="208"/>
      <c r="DV73" s="208"/>
      <c r="DW73" s="208"/>
      <c r="DX73" s="208"/>
      <c r="DY73" s="208"/>
      <c r="DZ73" s="208"/>
      <c r="EA73" s="210"/>
      <c r="EB73" s="211"/>
      <c r="EC73" s="211"/>
      <c r="ED73" s="211"/>
      <c r="EE73" s="211"/>
      <c r="EF73" s="207"/>
      <c r="EG73" s="209"/>
      <c r="EH73" s="213"/>
      <c r="EI73" s="214"/>
      <c r="EJ73" s="214"/>
      <c r="EK73" s="214"/>
      <c r="EL73" s="214"/>
      <c r="EM73" s="215"/>
      <c r="EN73" s="216"/>
      <c r="EO73" s="216"/>
      <c r="EP73" s="217"/>
      <c r="EQ73" s="217"/>
      <c r="ER73" s="215"/>
      <c r="ES73" s="218"/>
      <c r="ET73" s="215"/>
      <c r="EU73" s="215"/>
      <c r="EV73" s="215"/>
      <c r="EW73" s="218"/>
      <c r="EX73" s="215"/>
      <c r="EY73" s="215"/>
      <c r="EZ73" s="218"/>
    </row>
    <row r="74" spans="1:156" ht="15" customHeight="1">
      <c r="A74" s="1" t="s">
        <v>329</v>
      </c>
      <c r="M74" s="244"/>
      <c r="N74" s="2"/>
      <c r="O74" s="43">
        <f t="shared" si="28"/>
        <v>5</v>
      </c>
      <c r="P74" s="343" t="s">
        <v>207</v>
      </c>
      <c r="Q74" s="344"/>
      <c r="R74" s="344"/>
      <c r="S74" s="345"/>
      <c r="T74" s="44">
        <f>MAX(W143,W147,W149)</f>
        <v>0.34143498154070245</v>
      </c>
      <c r="U74" s="326"/>
      <c r="V74" s="327"/>
      <c r="W74" s="328"/>
      <c r="X74" s="258"/>
      <c r="AA74" s="18"/>
      <c r="AB74" s="18"/>
      <c r="AC74" s="18"/>
      <c r="AD74" s="19"/>
      <c r="AE74" s="19"/>
      <c r="AI74" s="18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18"/>
      <c r="BG74" s="140"/>
      <c r="BH74" s="131"/>
      <c r="BI74" s="102"/>
      <c r="BJ74" s="102"/>
      <c r="BK74" s="102"/>
      <c r="BL74" s="102"/>
      <c r="BM74" s="99"/>
      <c r="BN74" s="4"/>
      <c r="BO74" s="4"/>
      <c r="BP74" s="5"/>
      <c r="BQ74" s="5"/>
      <c r="BR74" s="99"/>
      <c r="BS74" s="159"/>
      <c r="BT74" s="99"/>
      <c r="BU74" s="99"/>
      <c r="BV74" s="99"/>
      <c r="BW74" s="159"/>
      <c r="BX74" s="99"/>
      <c r="BY74" s="99"/>
      <c r="BZ74" s="159"/>
      <c r="DA74" s="155"/>
      <c r="DB74" s="155"/>
      <c r="DC74" s="155"/>
      <c r="DD74" s="207"/>
      <c r="DE74" s="207"/>
      <c r="DF74" s="155"/>
      <c r="DG74" s="155"/>
      <c r="DH74" s="155"/>
      <c r="DI74" s="155"/>
      <c r="DJ74" s="208"/>
      <c r="DK74" s="208"/>
      <c r="DL74" s="208"/>
      <c r="DM74" s="208"/>
      <c r="DN74" s="208"/>
      <c r="DO74" s="208"/>
      <c r="DP74" s="208"/>
      <c r="DQ74" s="208"/>
      <c r="DR74" s="208"/>
      <c r="DS74" s="208"/>
      <c r="DT74" s="208"/>
      <c r="DU74" s="208"/>
      <c r="DV74" s="208"/>
      <c r="DW74" s="208"/>
      <c r="DX74" s="208"/>
      <c r="DY74" s="208"/>
      <c r="DZ74" s="208"/>
      <c r="EA74" s="210"/>
      <c r="EB74" s="211"/>
      <c r="EC74" s="211"/>
      <c r="ED74" s="211"/>
      <c r="EE74" s="211"/>
      <c r="EF74" s="207"/>
      <c r="EG74" s="209"/>
      <c r="EH74" s="213"/>
      <c r="EI74" s="214"/>
      <c r="EJ74" s="214"/>
      <c r="EK74" s="214"/>
      <c r="EL74" s="214"/>
      <c r="EM74" s="215"/>
      <c r="EN74" s="216"/>
      <c r="EO74" s="216"/>
      <c r="EP74" s="217"/>
      <c r="EQ74" s="217"/>
      <c r="ER74" s="215"/>
      <c r="ES74" s="218"/>
      <c r="ET74" s="215"/>
      <c r="EU74" s="215"/>
      <c r="EV74" s="215"/>
      <c r="EW74" s="218"/>
      <c r="EX74" s="215"/>
      <c r="EY74" s="215"/>
      <c r="EZ74" s="218"/>
    </row>
    <row r="75" spans="1:156" ht="15" customHeight="1">
      <c r="A75" s="1" t="s">
        <v>331</v>
      </c>
      <c r="M75" s="244"/>
      <c r="N75" s="2"/>
      <c r="O75" s="43">
        <f t="shared" si="28"/>
        <v>6</v>
      </c>
      <c r="P75" s="343" t="s">
        <v>208</v>
      </c>
      <c r="Q75" s="344"/>
      <c r="R75" s="344"/>
      <c r="S75" s="345"/>
      <c r="T75" s="44">
        <f>MAX(W159,W163,W165)</f>
        <v>1.3922004518214663</v>
      </c>
      <c r="U75" s="326"/>
      <c r="V75" s="327"/>
      <c r="W75" s="328"/>
      <c r="X75" s="258"/>
      <c r="AA75" s="18"/>
      <c r="AB75" s="18"/>
      <c r="AC75" s="18"/>
      <c r="AD75" s="19"/>
      <c r="AE75" s="19"/>
      <c r="AI75" s="18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  <c r="BA75" s="18"/>
      <c r="BG75" s="140"/>
      <c r="BH75" s="131"/>
      <c r="BI75" s="102"/>
      <c r="BJ75" s="102"/>
      <c r="BK75" s="102"/>
      <c r="BL75" s="102"/>
      <c r="BM75" s="99"/>
      <c r="BN75" s="4"/>
      <c r="BO75" s="4"/>
      <c r="BP75" s="5"/>
      <c r="BQ75" s="5"/>
      <c r="BR75" s="99"/>
      <c r="BS75" s="159"/>
      <c r="BT75" s="99"/>
      <c r="BU75" s="99"/>
      <c r="BV75" s="99"/>
      <c r="BW75" s="159"/>
      <c r="BX75" s="99"/>
      <c r="BY75" s="99"/>
      <c r="BZ75" s="159"/>
      <c r="DA75" s="155"/>
      <c r="DB75" s="155"/>
      <c r="DC75" s="155"/>
      <c r="DD75" s="207"/>
      <c r="DE75" s="207"/>
      <c r="DF75" s="155"/>
      <c r="DG75" s="155"/>
      <c r="DH75" s="155"/>
      <c r="DI75" s="155"/>
      <c r="DJ75" s="208"/>
      <c r="DK75" s="208"/>
      <c r="DL75" s="208"/>
      <c r="DM75" s="208"/>
      <c r="DN75" s="208"/>
      <c r="DO75" s="208"/>
      <c r="DP75" s="208"/>
      <c r="DQ75" s="208"/>
      <c r="DR75" s="208"/>
      <c r="DS75" s="208"/>
      <c r="DT75" s="208"/>
      <c r="DU75" s="208"/>
      <c r="DV75" s="208"/>
      <c r="DW75" s="208"/>
      <c r="DX75" s="208"/>
      <c r="DY75" s="208"/>
      <c r="DZ75" s="208"/>
      <c r="EA75" s="210"/>
      <c r="EB75" s="211"/>
      <c r="EC75" s="211"/>
      <c r="ED75" s="211"/>
      <c r="EE75" s="211"/>
      <c r="EF75" s="207"/>
      <c r="EG75" s="209"/>
      <c r="EH75" s="213"/>
      <c r="EI75" s="214"/>
      <c r="EJ75" s="214"/>
      <c r="EK75" s="214"/>
      <c r="EL75" s="214"/>
      <c r="EM75" s="215"/>
      <c r="EN75" s="216"/>
      <c r="EO75" s="216"/>
      <c r="EP75" s="217"/>
      <c r="EQ75" s="217"/>
      <c r="ER75" s="215"/>
      <c r="ES75" s="218"/>
      <c r="ET75" s="215"/>
      <c r="EU75" s="215"/>
      <c r="EV75" s="215"/>
      <c r="EW75" s="218"/>
      <c r="EX75" s="215"/>
      <c r="EY75" s="215"/>
      <c r="EZ75" s="218"/>
    </row>
    <row r="76" spans="1:156" ht="15" customHeight="1">
      <c r="A76" s="1" t="s">
        <v>330</v>
      </c>
      <c r="M76" s="244"/>
      <c r="N76" s="2"/>
      <c r="O76" s="45">
        <f t="shared" si="28"/>
        <v>7</v>
      </c>
      <c r="P76" s="340" t="s">
        <v>209</v>
      </c>
      <c r="Q76" s="341"/>
      <c r="R76" s="341"/>
      <c r="S76" s="342"/>
      <c r="T76" s="46">
        <f>MAX(W168,W169)</f>
        <v>0.72805469677384782</v>
      </c>
      <c r="U76" s="350"/>
      <c r="V76" s="351"/>
      <c r="W76" s="352"/>
      <c r="X76" s="258"/>
      <c r="AA76" s="18"/>
      <c r="AB76" s="18"/>
      <c r="AC76" s="18"/>
      <c r="AD76" s="19"/>
      <c r="AE76" s="19"/>
      <c r="AI76" s="18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7"/>
      <c r="BA76" s="18"/>
      <c r="BG76" s="140"/>
      <c r="BH76" s="131"/>
      <c r="BI76" s="102"/>
      <c r="BJ76" s="102"/>
      <c r="BK76" s="102"/>
      <c r="BL76" s="102"/>
      <c r="BM76" s="99"/>
      <c r="BN76" s="4"/>
      <c r="BO76" s="4"/>
      <c r="BP76" s="5"/>
      <c r="BQ76" s="5"/>
      <c r="BR76" s="99"/>
      <c r="BS76" s="159"/>
      <c r="BT76" s="99"/>
      <c r="BU76" s="99"/>
      <c r="BV76" s="99"/>
      <c r="BW76" s="159"/>
      <c r="BX76" s="99"/>
      <c r="BY76" s="99"/>
      <c r="BZ76" s="159"/>
      <c r="DA76" s="155"/>
      <c r="DB76" s="155"/>
      <c r="DC76" s="155"/>
      <c r="DD76" s="207"/>
      <c r="DE76" s="207"/>
      <c r="DF76" s="155"/>
      <c r="DG76" s="155"/>
      <c r="DH76" s="155"/>
      <c r="DI76" s="155"/>
      <c r="DJ76" s="208"/>
      <c r="DK76" s="208"/>
      <c r="DL76" s="208"/>
      <c r="DM76" s="208"/>
      <c r="DN76" s="208"/>
      <c r="DO76" s="208"/>
      <c r="DP76" s="208"/>
      <c r="DQ76" s="208"/>
      <c r="DR76" s="208"/>
      <c r="DS76" s="208"/>
      <c r="DT76" s="208"/>
      <c r="DU76" s="208"/>
      <c r="DV76" s="208"/>
      <c r="DW76" s="208"/>
      <c r="DX76" s="208"/>
      <c r="DY76" s="208"/>
      <c r="DZ76" s="208"/>
      <c r="EA76" s="210"/>
      <c r="EB76" s="211"/>
      <c r="EC76" s="211"/>
      <c r="ED76" s="211"/>
      <c r="EE76" s="211"/>
      <c r="EF76" s="207"/>
      <c r="EG76" s="209"/>
      <c r="EH76" s="213"/>
      <c r="EI76" s="214"/>
      <c r="EJ76" s="214"/>
      <c r="EK76" s="214"/>
      <c r="EL76" s="214"/>
      <c r="EM76" s="215"/>
      <c r="EN76" s="216"/>
      <c r="EO76" s="216"/>
      <c r="EP76" s="217"/>
      <c r="EQ76" s="217"/>
      <c r="ER76" s="215"/>
      <c r="ES76" s="218"/>
      <c r="ET76" s="215"/>
      <c r="EU76" s="215"/>
      <c r="EV76" s="215"/>
      <c r="EW76" s="218"/>
      <c r="EX76" s="215"/>
      <c r="EY76" s="215"/>
      <c r="EZ76" s="218"/>
    </row>
    <row r="77" spans="1:156" ht="15" customHeight="1">
      <c r="M77" s="244"/>
      <c r="N77" s="2"/>
      <c r="O77" s="2"/>
      <c r="P77" s="2"/>
      <c r="Q77" s="20"/>
      <c r="R77" s="40"/>
      <c r="S77" s="20"/>
      <c r="T77" s="20"/>
      <c r="U77" s="20"/>
      <c r="V77" s="20"/>
      <c r="W77" s="20"/>
      <c r="X77" s="258"/>
      <c r="AA77" s="18"/>
      <c r="AB77" s="18"/>
      <c r="AC77" s="18"/>
      <c r="AD77" s="19"/>
      <c r="AE77" s="19"/>
      <c r="AI77" s="18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  <c r="BA77" s="18"/>
      <c r="BG77" s="140"/>
      <c r="BH77" s="131"/>
      <c r="BI77" s="102"/>
      <c r="BJ77" s="102"/>
      <c r="BK77" s="102"/>
      <c r="BL77" s="102"/>
      <c r="BM77" s="99"/>
      <c r="BN77" s="4"/>
      <c r="BO77" s="4"/>
      <c r="BP77" s="5"/>
      <c r="BQ77" s="5"/>
      <c r="BR77" s="99"/>
      <c r="BS77" s="159"/>
      <c r="BT77" s="99"/>
      <c r="BU77" s="99"/>
      <c r="BV77" s="99"/>
      <c r="BW77" s="159"/>
      <c r="BX77" s="99"/>
      <c r="BY77" s="99"/>
      <c r="BZ77" s="159"/>
      <c r="DA77" s="155"/>
      <c r="DB77" s="155"/>
      <c r="DC77" s="155"/>
      <c r="DD77" s="207"/>
      <c r="DE77" s="207"/>
      <c r="DF77" s="155"/>
      <c r="DG77" s="155"/>
      <c r="DH77" s="155"/>
      <c r="DI77" s="155"/>
      <c r="DJ77" s="208"/>
      <c r="DK77" s="208"/>
      <c r="DL77" s="208"/>
      <c r="DM77" s="208"/>
      <c r="DN77" s="208"/>
      <c r="DO77" s="208"/>
      <c r="DP77" s="208"/>
      <c r="DQ77" s="208"/>
      <c r="DR77" s="208"/>
      <c r="DS77" s="208"/>
      <c r="DT77" s="208"/>
      <c r="DU77" s="208"/>
      <c r="DV77" s="208"/>
      <c r="DW77" s="208"/>
      <c r="DX77" s="208"/>
      <c r="DY77" s="208"/>
      <c r="DZ77" s="208"/>
      <c r="EA77" s="210"/>
      <c r="EB77" s="211"/>
      <c r="EC77" s="211"/>
      <c r="ED77" s="211"/>
      <c r="EE77" s="211"/>
      <c r="EF77" s="207"/>
      <c r="EG77" s="209"/>
      <c r="EH77" s="213"/>
      <c r="EI77" s="214"/>
      <c r="EJ77" s="214"/>
      <c r="EK77" s="214"/>
      <c r="EL77" s="214"/>
      <c r="EM77" s="215"/>
      <c r="EN77" s="216"/>
      <c r="EO77" s="216"/>
      <c r="EP77" s="217"/>
      <c r="EQ77" s="217"/>
      <c r="ER77" s="215"/>
      <c r="ES77" s="218"/>
      <c r="ET77" s="215"/>
      <c r="EU77" s="215"/>
      <c r="EV77" s="215"/>
      <c r="EW77" s="218"/>
      <c r="EX77" s="215"/>
      <c r="EY77" s="215"/>
      <c r="EZ77" s="218"/>
    </row>
    <row r="78" spans="1:156">
      <c r="M78" s="309" t="s">
        <v>210</v>
      </c>
      <c r="N78" s="310"/>
      <c r="O78" s="310"/>
      <c r="P78" s="21"/>
      <c r="Q78" s="255"/>
      <c r="R78" s="132"/>
      <c r="S78" s="2"/>
      <c r="T78" s="2"/>
      <c r="U78" s="2"/>
      <c r="V78" s="2"/>
      <c r="W78" s="2"/>
      <c r="X78" s="239"/>
      <c r="AA78" s="18"/>
      <c r="AB78" s="18"/>
      <c r="AC78" s="18"/>
      <c r="AD78" s="19"/>
      <c r="AE78" s="19"/>
      <c r="AI78" s="18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  <c r="BA78" s="18"/>
      <c r="BG78" s="140"/>
      <c r="BH78" s="131"/>
      <c r="BI78" s="102"/>
      <c r="BJ78" s="102"/>
      <c r="BK78" s="102"/>
      <c r="BL78" s="102"/>
      <c r="BM78" s="99"/>
      <c r="BN78" s="4"/>
      <c r="BO78" s="4"/>
      <c r="BP78" s="5"/>
      <c r="BQ78" s="5"/>
      <c r="BR78" s="99"/>
      <c r="BS78" s="159"/>
      <c r="BT78" s="99"/>
      <c r="BU78" s="99"/>
      <c r="BV78" s="99"/>
      <c r="BW78" s="159"/>
      <c r="BX78" s="99"/>
      <c r="BY78" s="99"/>
      <c r="BZ78" s="159"/>
      <c r="DA78" s="155"/>
      <c r="DB78" s="155"/>
      <c r="DC78" s="155"/>
      <c r="DD78" s="207"/>
      <c r="DE78" s="207"/>
      <c r="DF78" s="155"/>
      <c r="DG78" s="155"/>
      <c r="DH78" s="155"/>
      <c r="DI78" s="155"/>
      <c r="DJ78" s="208"/>
      <c r="DK78" s="208"/>
      <c r="DL78" s="208"/>
      <c r="DM78" s="208"/>
      <c r="DN78" s="208"/>
      <c r="DO78" s="208"/>
      <c r="DP78" s="208"/>
      <c r="DQ78" s="208"/>
      <c r="DR78" s="208"/>
      <c r="DS78" s="208"/>
      <c r="DT78" s="208"/>
      <c r="DU78" s="208"/>
      <c r="DV78" s="208"/>
      <c r="DW78" s="208"/>
      <c r="DX78" s="208"/>
      <c r="DY78" s="208"/>
      <c r="DZ78" s="208"/>
      <c r="EA78" s="210"/>
      <c r="EB78" s="211"/>
      <c r="EC78" s="211"/>
      <c r="ED78" s="211"/>
      <c r="EE78" s="211"/>
      <c r="EF78" s="207"/>
      <c r="EG78" s="209"/>
      <c r="EH78" s="213"/>
      <c r="EI78" s="214"/>
      <c r="EJ78" s="214"/>
      <c r="EK78" s="214"/>
      <c r="EL78" s="214"/>
      <c r="EM78" s="215"/>
      <c r="EN78" s="216"/>
      <c r="EO78" s="216"/>
      <c r="EP78" s="217"/>
      <c r="EQ78" s="217"/>
      <c r="ER78" s="215"/>
      <c r="ES78" s="218"/>
      <c r="ET78" s="215"/>
      <c r="EU78" s="215"/>
      <c r="EV78" s="215"/>
      <c r="EW78" s="218"/>
      <c r="EX78" s="215"/>
      <c r="EY78" s="215"/>
      <c r="EZ78" s="218"/>
    </row>
    <row r="79" spans="1:156" ht="12.75" customHeight="1">
      <c r="M79" s="243" t="s">
        <v>93</v>
      </c>
      <c r="N79" s="246"/>
      <c r="O79" s="246"/>
      <c r="P79" s="246"/>
      <c r="Q79" s="246"/>
      <c r="R79" s="246"/>
      <c r="S79" s="248"/>
      <c r="T79" s="249"/>
      <c r="U79" s="246"/>
      <c r="V79" s="2"/>
      <c r="W79" s="2"/>
      <c r="X79" s="247"/>
      <c r="AA79" s="18"/>
      <c r="AB79" s="18"/>
      <c r="AC79" s="18"/>
      <c r="AD79" s="19"/>
      <c r="AE79" s="19"/>
      <c r="AI79" s="18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18"/>
      <c r="BG79" s="140"/>
      <c r="BH79" s="131"/>
      <c r="BI79" s="102"/>
      <c r="BJ79" s="102"/>
      <c r="BK79" s="102"/>
      <c r="BL79" s="102"/>
      <c r="BM79" s="99"/>
      <c r="BN79" s="4"/>
      <c r="BO79" s="4"/>
      <c r="BP79" s="5"/>
      <c r="BQ79" s="5"/>
      <c r="BR79" s="99"/>
      <c r="BS79" s="159"/>
      <c r="BT79" s="99"/>
      <c r="BU79" s="99"/>
      <c r="BV79" s="99"/>
      <c r="BW79" s="159"/>
      <c r="BX79" s="99"/>
      <c r="BY79" s="99"/>
      <c r="BZ79" s="159"/>
      <c r="DA79" s="155"/>
      <c r="DB79" s="155"/>
      <c r="DC79" s="155"/>
      <c r="DD79" s="207"/>
      <c r="DE79" s="207"/>
      <c r="DF79" s="155"/>
      <c r="DG79" s="155"/>
      <c r="DH79" s="155"/>
      <c r="DI79" s="155"/>
      <c r="DJ79" s="208"/>
      <c r="DK79" s="208"/>
      <c r="DL79" s="208"/>
      <c r="DM79" s="208"/>
      <c r="DN79" s="208"/>
      <c r="DO79" s="208"/>
      <c r="DP79" s="208"/>
      <c r="DQ79" s="208"/>
      <c r="DR79" s="208"/>
      <c r="DS79" s="208"/>
      <c r="DT79" s="208"/>
      <c r="DU79" s="208"/>
      <c r="DV79" s="208"/>
      <c r="DW79" s="208"/>
      <c r="DX79" s="208"/>
      <c r="DY79" s="208"/>
      <c r="DZ79" s="208"/>
      <c r="EA79" s="210"/>
      <c r="EB79" s="211"/>
      <c r="EC79" s="211"/>
      <c r="ED79" s="211"/>
      <c r="EE79" s="211"/>
      <c r="EF79" s="207"/>
      <c r="EG79" s="209"/>
      <c r="EH79" s="213"/>
      <c r="EI79" s="214"/>
      <c r="EJ79" s="214"/>
      <c r="EK79" s="214"/>
      <c r="EL79" s="214"/>
      <c r="EM79" s="215"/>
      <c r="EN79" s="216"/>
      <c r="EO79" s="216"/>
      <c r="EP79" s="217"/>
      <c r="EQ79" s="217"/>
      <c r="ER79" s="215"/>
      <c r="ES79" s="218"/>
      <c r="ET79" s="215"/>
      <c r="EU79" s="215"/>
      <c r="EV79" s="215"/>
      <c r="EW79" s="218"/>
      <c r="EX79" s="215"/>
      <c r="EY79" s="215"/>
      <c r="EZ79" s="218"/>
    </row>
    <row r="80" spans="1:156" ht="12.75" customHeight="1">
      <c r="M80" s="244" t="str">
        <f>"- Độ lệch tâm của điểm đặt tải trọng:"</f>
        <v>- Độ lệch tâm của điểm đặt tải trọng:</v>
      </c>
      <c r="N80" s="246"/>
      <c r="O80" s="246"/>
      <c r="P80" s="246"/>
      <c r="Q80" s="246"/>
      <c r="R80" s="246"/>
      <c r="S80" s="248"/>
      <c r="T80" s="249"/>
      <c r="U80" s="246"/>
      <c r="V80" s="21" t="s">
        <v>183</v>
      </c>
      <c r="W80" s="257">
        <f>ABS(X66/V66)</f>
        <v>3.6477445466057943</v>
      </c>
      <c r="X80" s="253" t="s">
        <v>182</v>
      </c>
      <c r="AA80" s="18"/>
      <c r="AB80" s="18"/>
      <c r="AC80" s="18"/>
      <c r="AD80" s="19"/>
      <c r="AE80" s="19"/>
      <c r="AI80" s="18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18"/>
      <c r="BG80" s="140"/>
      <c r="BH80" s="131"/>
      <c r="BI80" s="102"/>
      <c r="BJ80" s="102"/>
      <c r="BK80" s="102"/>
      <c r="BL80" s="102"/>
      <c r="BM80" s="99"/>
      <c r="BN80" s="4"/>
      <c r="BO80" s="4"/>
      <c r="BP80" s="5"/>
      <c r="BQ80" s="5"/>
      <c r="BR80" s="99"/>
      <c r="BS80" s="159"/>
      <c r="BT80" s="99"/>
      <c r="BU80" s="99"/>
      <c r="BV80" s="99"/>
      <c r="BW80" s="159"/>
      <c r="BX80" s="99"/>
      <c r="BY80" s="99"/>
      <c r="BZ80" s="159"/>
      <c r="DA80" s="155"/>
      <c r="DB80" s="155"/>
      <c r="DC80" s="155"/>
      <c r="DD80" s="207"/>
      <c r="DE80" s="207"/>
      <c r="DF80" s="155"/>
      <c r="DG80" s="155"/>
      <c r="DH80" s="155"/>
      <c r="DI80" s="155"/>
      <c r="DJ80" s="208"/>
      <c r="DK80" s="208"/>
      <c r="DL80" s="208"/>
      <c r="DM80" s="208"/>
      <c r="DN80" s="208"/>
      <c r="DO80" s="208"/>
      <c r="DP80" s="208"/>
      <c r="DQ80" s="208"/>
      <c r="DR80" s="208"/>
      <c r="DS80" s="208"/>
      <c r="DT80" s="208"/>
      <c r="DU80" s="208"/>
      <c r="DV80" s="208"/>
      <c r="DW80" s="208"/>
      <c r="DX80" s="208"/>
      <c r="DY80" s="208"/>
      <c r="DZ80" s="208"/>
      <c r="EA80" s="210"/>
      <c r="EB80" s="211"/>
      <c r="EC80" s="211"/>
      <c r="ED80" s="211"/>
      <c r="EE80" s="211"/>
      <c r="EF80" s="207"/>
      <c r="EG80" s="209"/>
      <c r="EH80" s="213"/>
      <c r="EI80" s="214"/>
      <c r="EJ80" s="214"/>
      <c r="EK80" s="214"/>
      <c r="EL80" s="214"/>
      <c r="EM80" s="215"/>
      <c r="EN80" s="216"/>
      <c r="EO80" s="216"/>
      <c r="EP80" s="217"/>
      <c r="EQ80" s="217"/>
      <c r="ER80" s="215"/>
      <c r="ES80" s="218"/>
      <c r="ET80" s="215"/>
      <c r="EU80" s="215"/>
      <c r="EV80" s="215"/>
      <c r="EW80" s="218"/>
      <c r="EX80" s="215"/>
      <c r="EY80" s="215"/>
      <c r="EZ80" s="218"/>
    </row>
    <row r="81" spans="13:156" ht="12.75" customHeight="1">
      <c r="M81" s="244" t="str">
        <f>"- Khoảng cách từ trục của cột đến tâm nhóm bu lông chịu kéo:"</f>
        <v>- Khoảng cách từ trục của cột đến tâm nhóm bu lông chịu kéo:</v>
      </c>
      <c r="N81" s="246"/>
      <c r="O81" s="246"/>
      <c r="P81" s="246"/>
      <c r="Q81" s="246"/>
      <c r="R81" s="246"/>
      <c r="S81" s="248"/>
      <c r="T81" s="249"/>
      <c r="U81" s="20" t="s">
        <v>365</v>
      </c>
      <c r="V81" s="21" t="s">
        <v>184</v>
      </c>
      <c r="W81" s="259">
        <f>IF(U81="Trái",P55,T55)</f>
        <v>307</v>
      </c>
      <c r="X81" s="253" t="s">
        <v>1</v>
      </c>
      <c r="AA81" s="18"/>
      <c r="AB81" s="18"/>
      <c r="AC81" s="18"/>
      <c r="AD81" s="19"/>
      <c r="AE81" s="19"/>
      <c r="AI81" s="18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18"/>
      <c r="BG81" s="140"/>
      <c r="BH81" s="131"/>
      <c r="BI81" s="102"/>
      <c r="BJ81" s="102"/>
      <c r="BK81" s="102"/>
      <c r="BL81" s="102"/>
      <c r="BM81" s="99"/>
      <c r="BN81" s="4"/>
      <c r="BO81" s="4"/>
      <c r="BP81" s="5"/>
      <c r="BQ81" s="5"/>
      <c r="BR81" s="99"/>
      <c r="BS81" s="159"/>
      <c r="BT81" s="99"/>
      <c r="BU81" s="99"/>
      <c r="BV81" s="99"/>
      <c r="BW81" s="159"/>
      <c r="BX81" s="99"/>
      <c r="BY81" s="99"/>
      <c r="BZ81" s="159"/>
      <c r="DA81" s="155"/>
      <c r="DB81" s="155"/>
      <c r="DC81" s="155"/>
      <c r="DD81" s="207"/>
      <c r="DE81" s="207"/>
      <c r="DF81" s="155"/>
      <c r="DG81" s="155"/>
      <c r="DH81" s="155"/>
      <c r="DI81" s="155"/>
      <c r="DJ81" s="208"/>
      <c r="DK81" s="208"/>
      <c r="DL81" s="208"/>
      <c r="DM81" s="208"/>
      <c r="DN81" s="208"/>
      <c r="DO81" s="208"/>
      <c r="DP81" s="208"/>
      <c r="DQ81" s="208"/>
      <c r="DR81" s="208"/>
      <c r="DS81" s="208"/>
      <c r="DT81" s="208"/>
      <c r="DU81" s="208"/>
      <c r="DV81" s="208"/>
      <c r="DW81" s="208"/>
      <c r="DX81" s="208"/>
      <c r="DY81" s="208"/>
      <c r="DZ81" s="208"/>
      <c r="EA81" s="210"/>
      <c r="EB81" s="211"/>
      <c r="EC81" s="211"/>
      <c r="ED81" s="211"/>
      <c r="EE81" s="211"/>
      <c r="EF81" s="207"/>
      <c r="EG81" s="209"/>
      <c r="EH81" s="213"/>
      <c r="EI81" s="214"/>
      <c r="EJ81" s="214"/>
      <c r="EK81" s="214"/>
      <c r="EL81" s="214"/>
      <c r="EM81" s="215"/>
      <c r="EN81" s="216"/>
      <c r="EO81" s="216"/>
      <c r="EP81" s="217"/>
      <c r="EQ81" s="217"/>
      <c r="ER81" s="215"/>
      <c r="ES81" s="218"/>
      <c r="ET81" s="215"/>
      <c r="EU81" s="215"/>
      <c r="EV81" s="215"/>
      <c r="EW81" s="218"/>
      <c r="EX81" s="215"/>
      <c r="EY81" s="215"/>
      <c r="EZ81" s="218"/>
    </row>
    <row r="82" spans="13:156" ht="12.75" customHeight="1">
      <c r="M82" s="244" t="str">
        <f>"- Khoảng cách từ hợp lực trong bu lông chịu kéo đến mép đối diện:"</f>
        <v>- Khoảng cách từ hợp lực trong bu lông chịu kéo đến mép đối diện:</v>
      </c>
      <c r="N82" s="246"/>
      <c r="O82" s="246"/>
      <c r="P82" s="246"/>
      <c r="Q82" s="246"/>
      <c r="R82" s="246"/>
      <c r="S82" s="248"/>
      <c r="T82" s="249"/>
      <c r="U82" s="246"/>
      <c r="V82" s="21" t="s">
        <v>368</v>
      </c>
      <c r="W82" s="259">
        <f>W49/2+W81</f>
        <v>749</v>
      </c>
      <c r="X82" s="253" t="s">
        <v>1</v>
      </c>
      <c r="AA82" s="18"/>
      <c r="AB82" s="18"/>
      <c r="AC82" s="18"/>
      <c r="AD82" s="19"/>
      <c r="AE82" s="19"/>
      <c r="AI82" s="18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18"/>
      <c r="BG82" s="140"/>
      <c r="BH82" s="131"/>
      <c r="BI82" s="102"/>
      <c r="BJ82" s="102"/>
      <c r="BK82" s="102"/>
      <c r="BL82" s="102"/>
      <c r="BM82" s="99"/>
      <c r="BN82" s="4"/>
      <c r="BO82" s="4"/>
      <c r="BP82" s="5"/>
      <c r="BQ82" s="5"/>
      <c r="BR82" s="99"/>
      <c r="BS82" s="159"/>
      <c r="BT82" s="99"/>
      <c r="BU82" s="99"/>
      <c r="BV82" s="99"/>
      <c r="BW82" s="159"/>
      <c r="BX82" s="99"/>
      <c r="BY82" s="99"/>
      <c r="BZ82" s="159"/>
      <c r="DA82" s="155"/>
      <c r="DB82" s="155"/>
      <c r="DC82" s="155"/>
      <c r="DD82" s="207"/>
      <c r="DE82" s="207"/>
      <c r="DF82" s="155"/>
      <c r="DG82" s="155"/>
      <c r="DH82" s="155"/>
      <c r="DI82" s="155"/>
      <c r="DJ82" s="208"/>
      <c r="DK82" s="208"/>
      <c r="DL82" s="208"/>
      <c r="DM82" s="208"/>
      <c r="DN82" s="208"/>
      <c r="DO82" s="208"/>
      <c r="DP82" s="208"/>
      <c r="DQ82" s="208"/>
      <c r="DR82" s="208"/>
      <c r="DS82" s="208"/>
      <c r="DT82" s="208"/>
      <c r="DU82" s="208"/>
      <c r="DV82" s="208"/>
      <c r="DW82" s="208"/>
      <c r="DX82" s="208"/>
      <c r="DY82" s="208"/>
      <c r="DZ82" s="208"/>
      <c r="EA82" s="210"/>
      <c r="EB82" s="211"/>
      <c r="EC82" s="211"/>
      <c r="ED82" s="211"/>
      <c r="EE82" s="211"/>
      <c r="EF82" s="207"/>
      <c r="EG82" s="209"/>
      <c r="EH82" s="213"/>
      <c r="EI82" s="214"/>
      <c r="EJ82" s="214"/>
      <c r="EK82" s="214"/>
      <c r="EL82" s="214"/>
      <c r="EM82" s="215"/>
      <c r="EN82" s="216"/>
      <c r="EO82" s="216"/>
      <c r="EP82" s="217"/>
      <c r="EQ82" s="217"/>
      <c r="ER82" s="215"/>
      <c r="ES82" s="218"/>
      <c r="ET82" s="215"/>
      <c r="EU82" s="215"/>
      <c r="EV82" s="215"/>
      <c r="EW82" s="218"/>
      <c r="EX82" s="215"/>
      <c r="EY82" s="215"/>
      <c r="EZ82" s="218"/>
    </row>
    <row r="83" spans="13:156" ht="12.75" customHeight="1">
      <c r="M83" s="244" t="str">
        <f>"- Chiều cao vùng nén bê tông dưới bản đế:"</f>
        <v>- Chiều cao vùng nén bê tông dưới bản đế:</v>
      </c>
      <c r="N83" s="246"/>
      <c r="O83" s="246"/>
      <c r="P83" s="246"/>
      <c r="Q83" s="246"/>
      <c r="R83" s="246"/>
      <c r="S83" s="248"/>
      <c r="T83" s="249"/>
      <c r="U83" s="246"/>
      <c r="V83" s="21" t="s">
        <v>185</v>
      </c>
      <c r="W83" s="259">
        <f>IFERROR(W82 - (W82 ^ 2 - 2 * ABS(V66)*1000 *  (1000 *W80 + W81) / (W36 * W50)) ^ 0.5,"O/S")</f>
        <v>88.195122561220614</v>
      </c>
      <c r="X83" s="253" t="s">
        <v>1</v>
      </c>
      <c r="AA83" s="18"/>
      <c r="AB83" s="18"/>
      <c r="AC83" s="18"/>
      <c r="AD83" s="19"/>
      <c r="AE83" s="19"/>
      <c r="AI83" s="18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  <c r="BA83" s="18"/>
      <c r="BG83" s="140"/>
      <c r="BH83" s="131"/>
      <c r="BI83" s="102"/>
      <c r="BJ83" s="102"/>
      <c r="BK83" s="102"/>
      <c r="BL83" s="102"/>
      <c r="BM83" s="99"/>
      <c r="BN83" s="4"/>
      <c r="BO83" s="4"/>
      <c r="BP83" s="5"/>
      <c r="BQ83" s="5"/>
      <c r="BR83" s="99"/>
      <c r="BS83" s="159"/>
      <c r="BT83" s="99"/>
      <c r="BU83" s="99"/>
      <c r="BV83" s="99"/>
      <c r="BW83" s="159"/>
      <c r="BX83" s="99"/>
      <c r="BY83" s="99"/>
      <c r="BZ83" s="159"/>
      <c r="DA83" s="155"/>
      <c r="DB83" s="155"/>
      <c r="DC83" s="155"/>
      <c r="DD83" s="207"/>
      <c r="DE83" s="207"/>
      <c r="DF83" s="155"/>
      <c r="DG83" s="155"/>
      <c r="DH83" s="155"/>
      <c r="DI83" s="155"/>
      <c r="DJ83" s="208"/>
      <c r="DK83" s="208"/>
      <c r="DL83" s="208"/>
      <c r="DM83" s="208"/>
      <c r="DN83" s="208"/>
      <c r="DO83" s="208"/>
      <c r="DP83" s="208"/>
      <c r="DQ83" s="208"/>
      <c r="DR83" s="208"/>
      <c r="DS83" s="208"/>
      <c r="DT83" s="208"/>
      <c r="DU83" s="208"/>
      <c r="DV83" s="208"/>
      <c r="DW83" s="208"/>
      <c r="DX83" s="208"/>
      <c r="DY83" s="208"/>
      <c r="DZ83" s="208"/>
      <c r="EA83" s="210"/>
      <c r="EB83" s="211"/>
      <c r="EC83" s="211"/>
      <c r="ED83" s="211"/>
      <c r="EE83" s="211"/>
      <c r="EF83" s="207"/>
      <c r="EG83" s="209"/>
      <c r="EH83" s="213"/>
      <c r="EI83" s="214"/>
      <c r="EJ83" s="214"/>
      <c r="EK83" s="214"/>
      <c r="EL83" s="214"/>
      <c r="EM83" s="215"/>
      <c r="EN83" s="216"/>
      <c r="EO83" s="216"/>
      <c r="EP83" s="217"/>
      <c r="EQ83" s="217"/>
      <c r="ER83" s="215"/>
      <c r="ES83" s="218"/>
      <c r="ET83" s="215"/>
      <c r="EU83" s="215"/>
      <c r="EV83" s="215"/>
      <c r="EW83" s="218"/>
      <c r="EX83" s="215"/>
      <c r="EY83" s="215"/>
      <c r="EZ83" s="218"/>
    </row>
    <row r="84" spans="13:156" ht="12.75" customHeight="1">
      <c r="M84" s="244" t="str">
        <f>"- Biến dạng tương đối:"</f>
        <v>- Biến dạng tương đối:</v>
      </c>
      <c r="N84" s="246"/>
      <c r="O84" s="246"/>
      <c r="P84" s="260" t="s">
        <v>186</v>
      </c>
      <c r="Q84" s="246">
        <f>(W18/1.15)/210000</f>
        <v>1.2422360248447205E-3</v>
      </c>
      <c r="R84" s="261" t="s">
        <v>187</v>
      </c>
      <c r="S84" s="246">
        <v>3.5000000000000001E-3</v>
      </c>
      <c r="T84" s="2"/>
      <c r="U84" s="2"/>
      <c r="V84" s="12" t="s">
        <v>188</v>
      </c>
      <c r="W84" s="262">
        <f>0.8/(1+Q84/S84)</f>
        <v>0.59043876882776691</v>
      </c>
      <c r="X84" s="247"/>
      <c r="AA84" s="18"/>
      <c r="AB84" s="18"/>
      <c r="AC84" s="18"/>
      <c r="AD84" s="19"/>
      <c r="AE84" s="19"/>
      <c r="AI84" s="18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  <c r="BA84" s="18"/>
      <c r="BG84" s="140"/>
      <c r="BH84" s="131"/>
      <c r="BI84" s="102"/>
      <c r="BJ84" s="102"/>
      <c r="BK84" s="102"/>
      <c r="BL84" s="102"/>
      <c r="BM84" s="99"/>
      <c r="BN84" s="4"/>
      <c r="BO84" s="4"/>
      <c r="BP84" s="5"/>
      <c r="BQ84" s="5"/>
      <c r="BR84" s="99"/>
      <c r="BS84" s="159"/>
      <c r="BT84" s="99"/>
      <c r="BU84" s="99"/>
      <c r="BV84" s="99"/>
      <c r="BW84" s="159"/>
      <c r="BX84" s="99"/>
      <c r="BY84" s="99"/>
      <c r="BZ84" s="159"/>
      <c r="DA84" s="155"/>
      <c r="DB84" s="155"/>
      <c r="DC84" s="155"/>
      <c r="DD84" s="207"/>
      <c r="DE84" s="207"/>
      <c r="DF84" s="155"/>
      <c r="DG84" s="155"/>
      <c r="DH84" s="155"/>
      <c r="DI84" s="155"/>
      <c r="DJ84" s="208"/>
      <c r="DK84" s="208"/>
      <c r="DL84" s="208"/>
      <c r="DM84" s="208"/>
      <c r="DN84" s="208"/>
      <c r="DO84" s="208"/>
      <c r="DP84" s="208"/>
      <c r="DQ84" s="208"/>
      <c r="DR84" s="208"/>
      <c r="DS84" s="208"/>
      <c r="DT84" s="208"/>
      <c r="DU84" s="208"/>
      <c r="DV84" s="208"/>
      <c r="DW84" s="208"/>
      <c r="DX84" s="208"/>
      <c r="DY84" s="208"/>
      <c r="DZ84" s="208"/>
      <c r="EA84" s="210"/>
      <c r="EB84" s="211"/>
      <c r="EC84" s="211"/>
      <c r="ED84" s="211"/>
      <c r="EE84" s="211"/>
      <c r="EF84" s="207"/>
      <c r="EG84" s="209"/>
      <c r="EH84" s="213"/>
      <c r="EI84" s="214"/>
      <c r="EJ84" s="214"/>
      <c r="EK84" s="214"/>
      <c r="EL84" s="214"/>
      <c r="EM84" s="215"/>
      <c r="EN84" s="216"/>
      <c r="EO84" s="216"/>
      <c r="EP84" s="217"/>
      <c r="EQ84" s="217"/>
      <c r="ER84" s="215"/>
      <c r="ES84" s="218"/>
      <c r="ET84" s="215"/>
      <c r="EU84" s="215"/>
      <c r="EV84" s="215"/>
      <c r="EW84" s="218"/>
      <c r="EX84" s="215"/>
      <c r="EY84" s="215"/>
      <c r="EZ84" s="218"/>
    </row>
    <row r="85" spans="13:156" ht="12.75" customHeight="1">
      <c r="M85" s="244" t="str">
        <f>"- Chiều cao giới hạn vùng nén:"</f>
        <v>- Chiều cao giới hạn vùng nén:</v>
      </c>
      <c r="N85" s="246"/>
      <c r="O85" s="246"/>
      <c r="P85" s="246"/>
      <c r="Q85" s="246"/>
      <c r="R85" s="246"/>
      <c r="S85" s="248"/>
      <c r="T85" s="249"/>
      <c r="U85" s="246"/>
      <c r="V85" s="21" t="s">
        <v>190</v>
      </c>
      <c r="W85" s="259">
        <f>$W$84*W82</f>
        <v>442.2386378519974</v>
      </c>
      <c r="X85" s="253" t="s">
        <v>1</v>
      </c>
      <c r="AA85" s="18"/>
      <c r="AB85" s="18"/>
      <c r="AC85" s="18"/>
      <c r="AD85" s="19"/>
      <c r="AE85" s="19"/>
      <c r="AI85" s="18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18"/>
      <c r="BG85" s="140"/>
      <c r="BH85" s="131"/>
      <c r="BI85" s="102"/>
      <c r="BJ85" s="102"/>
      <c r="BK85" s="102"/>
      <c r="BL85" s="102"/>
      <c r="BM85" s="99"/>
      <c r="BN85" s="4"/>
      <c r="BO85" s="4"/>
      <c r="BP85" s="5"/>
      <c r="BQ85" s="5"/>
      <c r="BR85" s="99"/>
      <c r="BS85" s="159"/>
      <c r="BT85" s="99"/>
      <c r="BU85" s="99"/>
      <c r="BV85" s="99"/>
      <c r="BW85" s="159"/>
      <c r="BX85" s="99"/>
      <c r="BY85" s="99"/>
      <c r="BZ85" s="159"/>
      <c r="DA85" s="155"/>
      <c r="DB85" s="155"/>
      <c r="DC85" s="155"/>
      <c r="DD85" s="207"/>
      <c r="DE85" s="207"/>
      <c r="DF85" s="155"/>
      <c r="DG85" s="155"/>
      <c r="DH85" s="155"/>
      <c r="DI85" s="155"/>
      <c r="DJ85" s="208"/>
      <c r="DK85" s="208"/>
      <c r="DL85" s="208"/>
      <c r="DM85" s="208"/>
      <c r="DN85" s="208"/>
      <c r="DO85" s="208"/>
      <c r="DP85" s="208"/>
      <c r="DQ85" s="208"/>
      <c r="DR85" s="208"/>
      <c r="DS85" s="208"/>
      <c r="DT85" s="208"/>
      <c r="DU85" s="208"/>
      <c r="DV85" s="208"/>
      <c r="DW85" s="208"/>
      <c r="DX85" s="208"/>
      <c r="DY85" s="208"/>
      <c r="DZ85" s="208"/>
      <c r="EA85" s="210"/>
      <c r="EB85" s="211"/>
      <c r="EC85" s="211"/>
      <c r="ED85" s="211"/>
      <c r="EE85" s="211"/>
      <c r="EF85" s="207"/>
      <c r="EG85" s="209"/>
      <c r="EH85" s="213"/>
      <c r="EI85" s="214"/>
      <c r="EJ85" s="214"/>
      <c r="EK85" s="214"/>
      <c r="EL85" s="214"/>
      <c r="EM85" s="215"/>
      <c r="EN85" s="216"/>
      <c r="EO85" s="216"/>
      <c r="EP85" s="217"/>
      <c r="EQ85" s="217"/>
      <c r="ER85" s="215"/>
      <c r="ES85" s="218"/>
      <c r="ET85" s="215"/>
      <c r="EU85" s="215"/>
      <c r="EV85" s="215"/>
      <c r="EW85" s="218"/>
      <c r="EX85" s="215"/>
      <c r="EY85" s="215"/>
      <c r="EZ85" s="218"/>
    </row>
    <row r="86" spans="13:156" ht="12.75" customHeight="1">
      <c r="M86" s="244" t="str">
        <f>"- Kiểm tra điều kiện chiều cao của vùng nén:"</f>
        <v>- Kiểm tra điều kiện chiều cao của vùng nén:</v>
      </c>
      <c r="N86" s="246"/>
      <c r="O86" s="246"/>
      <c r="P86" s="246"/>
      <c r="Q86" s="246"/>
      <c r="R86" s="246"/>
      <c r="S86" s="248"/>
      <c r="T86" s="249"/>
      <c r="U86" s="246"/>
      <c r="V86" s="21" t="s">
        <v>189</v>
      </c>
      <c r="W86" s="263">
        <f>W83/W85</f>
        <v>0.19942880384580192</v>
      </c>
      <c r="X86" s="245" t="str">
        <f>IF(W86&lt;=1,"OK","Check")</f>
        <v>OK</v>
      </c>
      <c r="AA86" s="18"/>
      <c r="AB86" s="18"/>
      <c r="AC86" s="18"/>
      <c r="AD86" s="19"/>
      <c r="AE86" s="19"/>
      <c r="AI86" s="18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18"/>
      <c r="BG86" s="140"/>
      <c r="BH86" s="131"/>
      <c r="BI86" s="102"/>
      <c r="BJ86" s="102"/>
      <c r="BK86" s="102"/>
      <c r="BL86" s="102"/>
      <c r="BM86" s="99"/>
      <c r="BN86" s="4"/>
      <c r="BO86" s="4"/>
      <c r="BP86" s="5"/>
      <c r="BQ86" s="5"/>
      <c r="BR86" s="99"/>
      <c r="BS86" s="159"/>
      <c r="BT86" s="99"/>
      <c r="BU86" s="99"/>
      <c r="BV86" s="99"/>
      <c r="BW86" s="159"/>
      <c r="BX86" s="99"/>
      <c r="BY86" s="99"/>
      <c r="BZ86" s="159"/>
      <c r="DA86" s="155"/>
      <c r="DB86" s="155"/>
      <c r="DC86" s="155"/>
      <c r="DD86" s="207"/>
      <c r="DE86" s="207"/>
      <c r="DF86" s="155"/>
      <c r="DG86" s="155"/>
      <c r="DH86" s="155"/>
      <c r="DI86" s="155"/>
      <c r="DJ86" s="208"/>
      <c r="DK86" s="208"/>
      <c r="DL86" s="208"/>
      <c r="DM86" s="208"/>
      <c r="DN86" s="208"/>
      <c r="DO86" s="208"/>
      <c r="DP86" s="208"/>
      <c r="DQ86" s="208"/>
      <c r="DR86" s="208"/>
      <c r="DS86" s="208"/>
      <c r="DT86" s="208"/>
      <c r="DU86" s="208"/>
      <c r="DV86" s="208"/>
      <c r="DW86" s="208"/>
      <c r="DX86" s="208"/>
      <c r="DY86" s="208"/>
      <c r="DZ86" s="208"/>
      <c r="EA86" s="210"/>
      <c r="EB86" s="211"/>
      <c r="EC86" s="211"/>
      <c r="ED86" s="211"/>
      <c r="EE86" s="211"/>
      <c r="EF86" s="207"/>
      <c r="EG86" s="209"/>
      <c r="EH86" s="213"/>
      <c r="EI86" s="214"/>
      <c r="EJ86" s="214"/>
      <c r="EK86" s="214"/>
      <c r="EL86" s="214"/>
      <c r="EM86" s="215"/>
      <c r="EN86" s="216"/>
      <c r="EO86" s="216"/>
      <c r="EP86" s="217"/>
      <c r="EQ86" s="217"/>
      <c r="ER86" s="215"/>
      <c r="ES86" s="218"/>
      <c r="ET86" s="215"/>
      <c r="EU86" s="215"/>
      <c r="EV86" s="215"/>
      <c r="EW86" s="218"/>
      <c r="EX86" s="215"/>
      <c r="EY86" s="215"/>
      <c r="EZ86" s="218"/>
    </row>
    <row r="87" spans="13:156" ht="12.75" customHeight="1">
      <c r="M87" s="244" t="str">
        <f>"- Số lượng bu lông chịu kéo nằm ở một phía chân cột:"</f>
        <v>- Số lượng bu lông chịu kéo nằm ở một phía chân cột:</v>
      </c>
      <c r="N87" s="246"/>
      <c r="O87" s="246"/>
      <c r="P87" s="246"/>
      <c r="Q87" s="246"/>
      <c r="R87" s="246"/>
      <c r="S87" s="248"/>
      <c r="T87" s="249"/>
      <c r="U87" s="246"/>
      <c r="V87" s="21" t="s">
        <v>126</v>
      </c>
      <c r="W87" s="22">
        <f>IF(U81="Trái",SUM(P53:R53),SUM(T53:V53))</f>
        <v>4</v>
      </c>
      <c r="X87" s="247"/>
      <c r="AA87" s="18"/>
      <c r="AB87" s="18"/>
      <c r="AC87" s="18"/>
      <c r="AD87" s="19"/>
      <c r="AE87" s="19"/>
      <c r="AI87" s="18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18"/>
      <c r="BG87" s="140"/>
      <c r="BH87" s="131"/>
      <c r="BI87" s="102"/>
      <c r="BJ87" s="102"/>
      <c r="BK87" s="102"/>
      <c r="BL87" s="102"/>
      <c r="BM87" s="99"/>
      <c r="BN87" s="4"/>
      <c r="BO87" s="4"/>
      <c r="BP87" s="5"/>
      <c r="BQ87" s="5"/>
      <c r="BR87" s="99"/>
      <c r="BS87" s="159"/>
      <c r="BT87" s="99"/>
      <c r="BU87" s="99"/>
      <c r="BV87" s="99"/>
      <c r="BW87" s="159"/>
      <c r="BX87" s="99"/>
      <c r="BY87" s="99"/>
      <c r="BZ87" s="159"/>
      <c r="DA87" s="155"/>
      <c r="DB87" s="155"/>
      <c r="DC87" s="155"/>
      <c r="DD87" s="207"/>
      <c r="DE87" s="207"/>
      <c r="DF87" s="155"/>
      <c r="DG87" s="155"/>
      <c r="DH87" s="155"/>
      <c r="DI87" s="155"/>
      <c r="DJ87" s="208"/>
      <c r="DK87" s="208"/>
      <c r="DL87" s="208"/>
      <c r="DM87" s="208"/>
      <c r="DN87" s="208"/>
      <c r="DO87" s="208"/>
      <c r="DP87" s="208"/>
      <c r="DQ87" s="208"/>
      <c r="DR87" s="208"/>
      <c r="DS87" s="208"/>
      <c r="DT87" s="208"/>
      <c r="DU87" s="208"/>
      <c r="DV87" s="208"/>
      <c r="DW87" s="208"/>
      <c r="DX87" s="208"/>
      <c r="DY87" s="208"/>
      <c r="DZ87" s="208"/>
      <c r="EA87" s="210"/>
      <c r="EB87" s="211"/>
      <c r="EC87" s="211"/>
      <c r="ED87" s="211"/>
      <c r="EE87" s="211"/>
      <c r="EF87" s="207"/>
      <c r="EG87" s="209"/>
      <c r="EH87" s="213"/>
      <c r="EI87" s="214"/>
      <c r="EJ87" s="214"/>
      <c r="EK87" s="214"/>
      <c r="EL87" s="214"/>
      <c r="EM87" s="215"/>
      <c r="EN87" s="216"/>
      <c r="EO87" s="216"/>
      <c r="EP87" s="217"/>
      <c r="EQ87" s="217"/>
      <c r="ER87" s="215"/>
      <c r="ES87" s="218"/>
      <c r="ET87" s="215"/>
      <c r="EU87" s="215"/>
      <c r="EV87" s="215"/>
      <c r="EW87" s="218"/>
      <c r="EX87" s="215"/>
      <c r="EY87" s="215"/>
      <c r="EZ87" s="218"/>
    </row>
    <row r="88" spans="13:156" ht="12.75" customHeight="1">
      <c r="M88" s="244" t="str">
        <f>"- Tải trọng tính toán tác dụng lên bu lông:"</f>
        <v>- Tải trọng tính toán tác dụng lên bu lông:</v>
      </c>
      <c r="N88" s="246"/>
      <c r="O88" s="246"/>
      <c r="P88" s="246"/>
      <c r="Q88" s="246"/>
      <c r="R88" s="246"/>
      <c r="S88" s="248"/>
      <c r="T88" s="249"/>
      <c r="U88" s="246"/>
      <c r="V88" s="21" t="s">
        <v>191</v>
      </c>
      <c r="W88" s="259">
        <f>MAX(($W$36*W50*W83/1000+V66)/W87,0)</f>
        <v>55.697059263149796</v>
      </c>
      <c r="X88" s="253" t="s">
        <v>71</v>
      </c>
      <c r="AA88" s="18"/>
      <c r="AB88" s="18"/>
      <c r="AC88" s="18"/>
      <c r="AD88" s="19"/>
      <c r="AE88" s="19"/>
      <c r="AI88" s="18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18"/>
      <c r="BG88" s="140"/>
      <c r="BH88" s="131"/>
      <c r="BI88" s="102"/>
      <c r="BJ88" s="102"/>
      <c r="BK88" s="102"/>
      <c r="BL88" s="102"/>
      <c r="BM88" s="99"/>
      <c r="BN88" s="4"/>
      <c r="BO88" s="4"/>
      <c r="BP88" s="5"/>
      <c r="BQ88" s="5"/>
      <c r="BR88" s="99"/>
      <c r="BS88" s="159"/>
      <c r="BT88" s="99"/>
      <c r="BU88" s="99"/>
      <c r="BV88" s="99"/>
      <c r="BW88" s="159"/>
      <c r="BX88" s="99"/>
      <c r="BY88" s="99"/>
      <c r="BZ88" s="159"/>
      <c r="DA88" s="155"/>
      <c r="DB88" s="155"/>
      <c r="DC88" s="155"/>
      <c r="DD88" s="207"/>
      <c r="DE88" s="207"/>
      <c r="DF88" s="155"/>
      <c r="DG88" s="155"/>
      <c r="DH88" s="155"/>
      <c r="DI88" s="155"/>
      <c r="DJ88" s="208"/>
      <c r="DK88" s="208"/>
      <c r="DL88" s="208"/>
      <c r="DM88" s="208"/>
      <c r="DN88" s="208"/>
      <c r="DO88" s="208"/>
      <c r="DP88" s="208"/>
      <c r="DQ88" s="208"/>
      <c r="DR88" s="208"/>
      <c r="DS88" s="208"/>
      <c r="DT88" s="208"/>
      <c r="DU88" s="208"/>
      <c r="DV88" s="208"/>
      <c r="DW88" s="208"/>
      <c r="DX88" s="208"/>
      <c r="DY88" s="208"/>
      <c r="DZ88" s="208"/>
      <c r="EA88" s="210"/>
      <c r="EB88" s="211"/>
      <c r="EC88" s="211"/>
      <c r="ED88" s="211"/>
      <c r="EE88" s="211"/>
      <c r="EF88" s="207"/>
      <c r="EG88" s="209"/>
      <c r="EH88" s="213"/>
      <c r="EI88" s="214"/>
      <c r="EJ88" s="214"/>
      <c r="EK88" s="214"/>
      <c r="EL88" s="214"/>
      <c r="EM88" s="215"/>
      <c r="EN88" s="216"/>
      <c r="EO88" s="216"/>
      <c r="EP88" s="217"/>
      <c r="EQ88" s="217"/>
      <c r="ER88" s="215"/>
      <c r="ES88" s="218"/>
      <c r="ET88" s="215"/>
      <c r="EU88" s="215"/>
      <c r="EV88" s="215"/>
      <c r="EW88" s="218"/>
      <c r="EX88" s="215"/>
      <c r="EY88" s="215"/>
      <c r="EZ88" s="218"/>
    </row>
    <row r="89" spans="13:156" ht="15">
      <c r="M89" s="244" t="str">
        <f>"- Diện tích tiết diện ngang tối thiểu theo điều kiện độ bền (L.1)"</f>
        <v>- Diện tích tiết diện ngang tối thiểu theo điều kiện độ bền (L.1)</v>
      </c>
      <c r="N89" s="264"/>
      <c r="O89" s="264"/>
      <c r="P89" s="21"/>
      <c r="Q89" s="255"/>
      <c r="R89" s="132"/>
      <c r="S89" s="2"/>
      <c r="T89" s="2"/>
      <c r="U89" s="2"/>
      <c r="V89" s="21" t="s">
        <v>94</v>
      </c>
      <c r="W89" s="259">
        <f>MAX((W63*W88*1000/W19),0)</f>
        <v>243.67463427628036</v>
      </c>
      <c r="X89" s="253" t="s">
        <v>47</v>
      </c>
      <c r="AA89" s="18"/>
      <c r="AB89" s="18"/>
      <c r="AC89" s="18"/>
      <c r="AD89" s="19"/>
      <c r="AE89" s="19"/>
      <c r="AI89" s="18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18"/>
      <c r="BG89" s="140"/>
      <c r="BH89" s="131"/>
      <c r="BI89" s="102"/>
      <c r="BJ89" s="102"/>
      <c r="BK89" s="102"/>
      <c r="BL89" s="102"/>
      <c r="BM89" s="99"/>
      <c r="BN89" s="4"/>
      <c r="BO89" s="4"/>
      <c r="BP89" s="5"/>
      <c r="BQ89" s="5"/>
      <c r="BR89" s="99"/>
      <c r="BS89" s="159"/>
      <c r="BT89" s="99"/>
      <c r="BU89" s="99"/>
      <c r="BV89" s="99"/>
      <c r="BW89" s="159"/>
      <c r="BX89" s="99"/>
      <c r="BY89" s="99"/>
      <c r="BZ89" s="159"/>
      <c r="DA89" s="155"/>
      <c r="DB89" s="155"/>
      <c r="DC89" s="155"/>
      <c r="DD89" s="207"/>
      <c r="DE89" s="207"/>
      <c r="DF89" s="155"/>
      <c r="DG89" s="155"/>
      <c r="DH89" s="155"/>
      <c r="DI89" s="155"/>
      <c r="DJ89" s="208"/>
      <c r="DK89" s="208"/>
      <c r="DL89" s="208"/>
      <c r="DM89" s="208"/>
      <c r="DN89" s="208"/>
      <c r="DO89" s="208"/>
      <c r="DP89" s="208"/>
      <c r="DQ89" s="208"/>
      <c r="DR89" s="208"/>
      <c r="DS89" s="208"/>
      <c r="DT89" s="208"/>
      <c r="DU89" s="208"/>
      <c r="DV89" s="208"/>
      <c r="DW89" s="208"/>
      <c r="DX89" s="208"/>
      <c r="DY89" s="208"/>
      <c r="DZ89" s="208"/>
      <c r="EA89" s="210"/>
      <c r="EB89" s="211"/>
      <c r="EC89" s="211"/>
      <c r="ED89" s="211"/>
      <c r="EE89" s="211"/>
      <c r="EF89" s="207"/>
      <c r="EG89" s="209"/>
      <c r="EH89" s="213"/>
      <c r="EI89" s="214"/>
      <c r="EJ89" s="214"/>
      <c r="EK89" s="214"/>
      <c r="EL89" s="214"/>
      <c r="EM89" s="215"/>
      <c r="EN89" s="216"/>
      <c r="EO89" s="216"/>
      <c r="EP89" s="217"/>
      <c r="EQ89" s="217"/>
      <c r="ER89" s="215"/>
      <c r="ES89" s="218"/>
      <c r="ET89" s="215"/>
      <c r="EU89" s="215"/>
      <c r="EV89" s="215"/>
      <c r="EW89" s="218"/>
      <c r="EX89" s="215"/>
      <c r="EY89" s="215"/>
      <c r="EZ89" s="218"/>
    </row>
    <row r="90" spans="13:156">
      <c r="M90" s="244" t="str">
        <f>"- Diện tích tiết diện ngang tối thiểu theo chịu mỏi (L.2)"</f>
        <v>- Diện tích tiết diện ngang tối thiểu theo chịu mỏi (L.2)</v>
      </c>
      <c r="N90" s="264"/>
      <c r="O90" s="264"/>
      <c r="P90" s="21"/>
      <c r="Q90" s="255"/>
      <c r="R90" s="132"/>
      <c r="S90" s="2"/>
      <c r="T90" s="2"/>
      <c r="U90" s="2"/>
      <c r="V90" s="21"/>
      <c r="W90" s="265"/>
      <c r="X90" s="253"/>
      <c r="AA90" s="18"/>
      <c r="AB90" s="18"/>
      <c r="AC90" s="18"/>
      <c r="AD90" s="19"/>
      <c r="AE90" s="19"/>
      <c r="AI90" s="18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18"/>
      <c r="BG90" s="140"/>
      <c r="BH90" s="131"/>
      <c r="BI90" s="102"/>
      <c r="BJ90" s="102"/>
      <c r="BK90" s="102"/>
      <c r="BL90" s="102"/>
      <c r="BM90" s="99"/>
      <c r="BN90" s="4"/>
      <c r="BO90" s="4"/>
      <c r="BP90" s="5"/>
      <c r="BQ90" s="5"/>
      <c r="BR90" s="99"/>
      <c r="BS90" s="159"/>
      <c r="BT90" s="99"/>
      <c r="BU90" s="99"/>
      <c r="BV90" s="99"/>
      <c r="BW90" s="159"/>
      <c r="BX90" s="99"/>
      <c r="BY90" s="99"/>
      <c r="BZ90" s="159"/>
      <c r="DA90" s="155"/>
      <c r="DB90" s="155"/>
      <c r="DC90" s="155"/>
      <c r="DD90" s="207"/>
      <c r="DE90" s="207"/>
      <c r="DF90" s="155"/>
      <c r="DG90" s="155"/>
      <c r="DH90" s="155"/>
      <c r="DI90" s="155"/>
      <c r="DJ90" s="208"/>
      <c r="DK90" s="208"/>
      <c r="DL90" s="208"/>
      <c r="DM90" s="208"/>
      <c r="DN90" s="208"/>
      <c r="DO90" s="208"/>
      <c r="DP90" s="208"/>
      <c r="DQ90" s="208"/>
      <c r="DR90" s="208"/>
      <c r="DS90" s="208"/>
      <c r="DT90" s="208"/>
      <c r="DU90" s="208"/>
      <c r="DV90" s="208"/>
      <c r="DW90" s="208"/>
      <c r="DX90" s="208"/>
      <c r="DY90" s="208"/>
      <c r="DZ90" s="208"/>
      <c r="EA90" s="210"/>
      <c r="EB90" s="211"/>
      <c r="EC90" s="211"/>
      <c r="ED90" s="211"/>
      <c r="EE90" s="211"/>
      <c r="EF90" s="207"/>
      <c r="EG90" s="209"/>
      <c r="EH90" s="213"/>
      <c r="EI90" s="214"/>
      <c r="EJ90" s="214"/>
      <c r="EK90" s="214"/>
      <c r="EL90" s="214"/>
      <c r="EM90" s="215"/>
      <c r="EN90" s="216"/>
      <c r="EO90" s="216"/>
      <c r="EP90" s="217"/>
      <c r="EQ90" s="217"/>
      <c r="ER90" s="215"/>
      <c r="ES90" s="218"/>
      <c r="ET90" s="215"/>
      <c r="EU90" s="215"/>
      <c r="EV90" s="215"/>
      <c r="EW90" s="218"/>
      <c r="EX90" s="215"/>
      <c r="EY90" s="215"/>
      <c r="EZ90" s="218"/>
    </row>
    <row r="91" spans="13:156" ht="15">
      <c r="M91" s="266" t="s">
        <v>95</v>
      </c>
      <c r="N91" s="267">
        <f>VLOOKUP(W16,Data!$DH$2:$DN$7,5,FALSE)</f>
        <v>0.4</v>
      </c>
      <c r="O91" s="12" t="s">
        <v>103</v>
      </c>
      <c r="P91" s="267">
        <f>VLOOKUP(W44,Data!$V$4:$Z$15,5,FALSE)</f>
        <v>1.3</v>
      </c>
      <c r="Q91" s="12" t="s">
        <v>104</v>
      </c>
      <c r="R91" s="256">
        <v>1</v>
      </c>
      <c r="S91" s="2"/>
      <c r="T91" s="2"/>
      <c r="U91" s="21" t="str">
        <f>IF(U63="Tải trọng động","","Không áp dụng")</f>
        <v>Không áp dụng</v>
      </c>
      <c r="V91" s="21" t="s">
        <v>94</v>
      </c>
      <c r="W91" s="265" t="str">
        <f>IF(U63="Tải trọng động",1.8*N91*P91*W88*1000/(R91*W19),"-")</f>
        <v>-</v>
      </c>
      <c r="X91" s="253" t="s">
        <v>47</v>
      </c>
      <c r="AA91" s="18"/>
      <c r="AB91" s="18"/>
      <c r="AC91" s="18"/>
      <c r="AD91" s="19"/>
      <c r="AE91" s="19"/>
      <c r="AI91" s="18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  <c r="BA91" s="18"/>
      <c r="BG91" s="140"/>
      <c r="BH91" s="131"/>
      <c r="BI91" s="102"/>
      <c r="BJ91" s="102"/>
      <c r="BK91" s="102"/>
      <c r="BL91" s="102"/>
      <c r="BM91" s="99"/>
      <c r="BN91" s="4"/>
      <c r="BO91" s="4"/>
      <c r="BP91" s="5"/>
      <c r="BQ91" s="5"/>
      <c r="BR91" s="99"/>
      <c r="BS91" s="159"/>
      <c r="BT91" s="99"/>
      <c r="BU91" s="99"/>
      <c r="BV91" s="99"/>
      <c r="BW91" s="159"/>
      <c r="BX91" s="99"/>
      <c r="BY91" s="99"/>
      <c r="BZ91" s="159"/>
      <c r="DA91" s="155"/>
      <c r="DB91" s="155"/>
      <c r="DC91" s="155"/>
      <c r="DD91" s="207"/>
      <c r="DE91" s="207"/>
      <c r="DF91" s="155"/>
      <c r="DG91" s="155"/>
      <c r="DH91" s="155"/>
      <c r="DI91" s="155"/>
      <c r="DJ91" s="208"/>
      <c r="DK91" s="208"/>
      <c r="DL91" s="208"/>
      <c r="DM91" s="208"/>
      <c r="DN91" s="208"/>
      <c r="DO91" s="208"/>
      <c r="DP91" s="208"/>
      <c r="DQ91" s="208"/>
      <c r="DR91" s="208"/>
      <c r="DS91" s="208"/>
      <c r="DT91" s="208"/>
      <c r="DU91" s="208"/>
      <c r="DV91" s="208"/>
      <c r="DW91" s="208"/>
      <c r="DX91" s="208"/>
      <c r="DY91" s="208"/>
      <c r="DZ91" s="208"/>
      <c r="EA91" s="210"/>
      <c r="EB91" s="211"/>
      <c r="EC91" s="211"/>
      <c r="ED91" s="211"/>
      <c r="EE91" s="211"/>
      <c r="EF91" s="207"/>
      <c r="EG91" s="209"/>
      <c r="EH91" s="213"/>
      <c r="EI91" s="214"/>
      <c r="EJ91" s="214"/>
      <c r="EK91" s="214"/>
      <c r="EL91" s="214"/>
      <c r="EM91" s="215"/>
      <c r="EN91" s="216"/>
      <c r="EO91" s="216"/>
      <c r="EP91" s="217"/>
      <c r="EQ91" s="217"/>
      <c r="ER91" s="215"/>
      <c r="ES91" s="218"/>
      <c r="ET91" s="215"/>
      <c r="EU91" s="215"/>
      <c r="EV91" s="215"/>
      <c r="EW91" s="218"/>
      <c r="EX91" s="215"/>
      <c r="EY91" s="215"/>
      <c r="EZ91" s="218"/>
    </row>
    <row r="92" spans="13:156" ht="15">
      <c r="M92" s="244" t="str">
        <f>"- Diện tích tiết diện ngang tối thiểu:"</f>
        <v>- Diện tích tiết diện ngang tối thiểu:</v>
      </c>
      <c r="N92" s="264"/>
      <c r="O92" s="264"/>
      <c r="P92" s="21"/>
      <c r="Q92" s="255"/>
      <c r="R92" s="132"/>
      <c r="S92" s="2"/>
      <c r="T92" s="2"/>
      <c r="U92" s="2"/>
      <c r="V92" s="21" t="s">
        <v>105</v>
      </c>
      <c r="W92" s="259">
        <f>MAX(MAX(W89,IFERROR(VALUE(W91),0)),57.1)</f>
        <v>243.67463427628036</v>
      </c>
      <c r="X92" s="253" t="s">
        <v>47</v>
      </c>
      <c r="AA92" s="18"/>
      <c r="AB92" s="18"/>
      <c r="AC92" s="18"/>
      <c r="AD92" s="19"/>
      <c r="AE92" s="19"/>
      <c r="AI92" s="18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18"/>
      <c r="BG92" s="140"/>
      <c r="BH92" s="131"/>
      <c r="BI92" s="102"/>
      <c r="BJ92" s="102"/>
      <c r="BK92" s="102"/>
      <c r="BL92" s="102"/>
      <c r="BM92" s="99"/>
      <c r="BN92" s="4"/>
      <c r="BO92" s="4"/>
      <c r="BP92" s="5"/>
      <c r="BQ92" s="5"/>
      <c r="BR92" s="99"/>
      <c r="BS92" s="159"/>
      <c r="BT92" s="99"/>
      <c r="BU92" s="99"/>
      <c r="BV92" s="99"/>
      <c r="BW92" s="159"/>
      <c r="BX92" s="99"/>
      <c r="BY92" s="99"/>
      <c r="BZ92" s="159"/>
      <c r="DA92" s="155"/>
      <c r="DB92" s="155"/>
      <c r="DC92" s="155"/>
      <c r="DD92" s="207"/>
      <c r="DE92" s="207"/>
      <c r="DF92" s="155"/>
      <c r="DG92" s="155"/>
      <c r="DH92" s="155"/>
      <c r="DI92" s="155"/>
      <c r="DJ92" s="208"/>
      <c r="DK92" s="208"/>
      <c r="DL92" s="208"/>
      <c r="DM92" s="208"/>
      <c r="DN92" s="208"/>
      <c r="DO92" s="208"/>
      <c r="DP92" s="208"/>
      <c r="DQ92" s="208"/>
      <c r="DR92" s="208"/>
      <c r="DS92" s="208"/>
      <c r="DT92" s="208"/>
      <c r="DU92" s="208"/>
      <c r="DV92" s="208"/>
      <c r="DW92" s="208"/>
      <c r="DX92" s="208"/>
      <c r="DY92" s="208"/>
      <c r="DZ92" s="208"/>
      <c r="EA92" s="210"/>
      <c r="EB92" s="211"/>
      <c r="EC92" s="211"/>
      <c r="ED92" s="211"/>
      <c r="EE92" s="211"/>
      <c r="EF92" s="207"/>
      <c r="EG92" s="209"/>
      <c r="EH92" s="213"/>
      <c r="EI92" s="214"/>
      <c r="EJ92" s="214"/>
      <c r="EK92" s="214"/>
      <c r="EL92" s="214"/>
      <c r="EM92" s="215"/>
      <c r="EN92" s="216"/>
      <c r="EO92" s="216"/>
      <c r="EP92" s="217"/>
      <c r="EQ92" s="217"/>
      <c r="ER92" s="215"/>
      <c r="ES92" s="218"/>
      <c r="ET92" s="215"/>
      <c r="EU92" s="215"/>
      <c r="EV92" s="215"/>
      <c r="EW92" s="218"/>
      <c r="EX92" s="215"/>
      <c r="EY92" s="215"/>
      <c r="EZ92" s="218"/>
    </row>
    <row r="93" spans="13:156">
      <c r="M93" s="244" t="str">
        <f>"- Tỷ số huy động cấu kiện:"</f>
        <v>- Tỷ số huy động cấu kiện:</v>
      </c>
      <c r="N93" s="2"/>
      <c r="O93" s="2"/>
      <c r="P93" s="21"/>
      <c r="Q93" s="255"/>
      <c r="R93" s="132"/>
      <c r="S93" s="2"/>
      <c r="T93" s="2"/>
      <c r="U93" s="2"/>
      <c r="V93" s="21"/>
      <c r="W93" s="263">
        <f>W92/W45</f>
        <v>0.43435763685611473</v>
      </c>
      <c r="X93" s="245" t="str">
        <f>IF(W93&lt;=1,"OK","Check")</f>
        <v>OK</v>
      </c>
      <c r="AA93" s="18"/>
      <c r="AB93" s="18"/>
      <c r="AC93" s="18"/>
      <c r="AD93" s="19"/>
      <c r="AE93" s="19"/>
      <c r="AI93" s="18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  <c r="BA93" s="18"/>
      <c r="BG93" s="140"/>
      <c r="BH93" s="131"/>
      <c r="BI93" s="102"/>
      <c r="BJ93" s="102"/>
      <c r="BK93" s="102"/>
      <c r="BL93" s="102"/>
      <c r="BM93" s="99"/>
      <c r="BN93" s="4"/>
      <c r="BO93" s="4"/>
      <c r="BP93" s="5"/>
      <c r="BQ93" s="5"/>
      <c r="BR93" s="99"/>
      <c r="BS93" s="159"/>
      <c r="BT93" s="99"/>
      <c r="BU93" s="99"/>
      <c r="BV93" s="99"/>
      <c r="BW93" s="159"/>
      <c r="BX93" s="99"/>
      <c r="BY93" s="99"/>
      <c r="BZ93" s="159"/>
      <c r="DA93" s="155"/>
      <c r="DB93" s="155"/>
      <c r="DC93" s="155"/>
      <c r="DD93" s="207"/>
      <c r="DE93" s="207"/>
      <c r="DF93" s="155"/>
      <c r="DG93" s="155"/>
      <c r="DH93" s="155"/>
      <c r="DI93" s="155"/>
      <c r="DJ93" s="208"/>
      <c r="DK93" s="208"/>
      <c r="DL93" s="208"/>
      <c r="DM93" s="208"/>
      <c r="DN93" s="208"/>
      <c r="DO93" s="208"/>
      <c r="DP93" s="208"/>
      <c r="DQ93" s="208"/>
      <c r="DR93" s="208"/>
      <c r="DS93" s="208"/>
      <c r="DT93" s="208"/>
      <c r="DU93" s="208"/>
      <c r="DV93" s="208"/>
      <c r="DW93" s="208"/>
      <c r="DX93" s="208"/>
      <c r="DY93" s="208"/>
      <c r="DZ93" s="208"/>
      <c r="EA93" s="210"/>
      <c r="EB93" s="211"/>
      <c r="EC93" s="211"/>
      <c r="ED93" s="211"/>
      <c r="EE93" s="211"/>
      <c r="EF93" s="207"/>
      <c r="EG93" s="209"/>
      <c r="EH93" s="213"/>
      <c r="EI93" s="214"/>
      <c r="EJ93" s="214"/>
      <c r="EK93" s="214"/>
      <c r="EL93" s="214"/>
      <c r="EM93" s="215"/>
      <c r="EN93" s="216"/>
      <c r="EO93" s="216"/>
      <c r="EP93" s="217"/>
      <c r="EQ93" s="217"/>
      <c r="ER93" s="215"/>
      <c r="ES93" s="218"/>
      <c r="ET93" s="215"/>
      <c r="EU93" s="215"/>
      <c r="EV93" s="215"/>
      <c r="EW93" s="218"/>
      <c r="EX93" s="215"/>
      <c r="EY93" s="215"/>
      <c r="EZ93" s="218"/>
    </row>
    <row r="94" spans="13:156" ht="12.75" customHeight="1">
      <c r="M94" s="243" t="s">
        <v>166</v>
      </c>
      <c r="N94" s="246"/>
      <c r="O94" s="246"/>
      <c r="P94" s="246"/>
      <c r="Q94" s="246"/>
      <c r="R94" s="246"/>
      <c r="S94" s="248"/>
      <c r="T94" s="249"/>
      <c r="U94" s="246"/>
      <c r="V94" s="2"/>
      <c r="W94" s="2"/>
      <c r="X94" s="247"/>
      <c r="AA94" s="18"/>
      <c r="AB94" s="18"/>
      <c r="AC94" s="18"/>
      <c r="AD94" s="19"/>
      <c r="AE94" s="19"/>
      <c r="AI94" s="18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18"/>
      <c r="BG94" s="140"/>
      <c r="BH94" s="131"/>
      <c r="BI94" s="102"/>
      <c r="BJ94" s="102"/>
      <c r="BK94" s="102"/>
      <c r="BL94" s="102"/>
      <c r="BM94" s="99"/>
      <c r="BN94" s="4"/>
      <c r="BO94" s="4"/>
      <c r="BP94" s="5"/>
      <c r="BQ94" s="5"/>
      <c r="BR94" s="99"/>
      <c r="BS94" s="159"/>
      <c r="BT94" s="99"/>
      <c r="BU94" s="99"/>
      <c r="BV94" s="99"/>
      <c r="BW94" s="159"/>
      <c r="BX94" s="99"/>
      <c r="BY94" s="99"/>
      <c r="BZ94" s="159"/>
      <c r="DA94" s="155"/>
      <c r="DB94" s="155"/>
      <c r="DC94" s="155"/>
      <c r="DD94" s="207"/>
      <c r="DE94" s="207"/>
      <c r="DF94" s="155"/>
      <c r="DG94" s="155"/>
      <c r="DH94" s="155"/>
      <c r="DI94" s="155"/>
      <c r="DJ94" s="208"/>
      <c r="DK94" s="208"/>
      <c r="DL94" s="208"/>
      <c r="DM94" s="208"/>
      <c r="DN94" s="208"/>
      <c r="DO94" s="208"/>
      <c r="DP94" s="208"/>
      <c r="DQ94" s="208"/>
      <c r="DR94" s="208"/>
      <c r="DS94" s="208"/>
      <c r="DT94" s="208"/>
      <c r="DU94" s="208"/>
      <c r="DV94" s="208"/>
      <c r="DW94" s="208"/>
      <c r="DX94" s="208"/>
      <c r="DY94" s="208"/>
      <c r="DZ94" s="208"/>
      <c r="EA94" s="210"/>
      <c r="EB94" s="211"/>
      <c r="EC94" s="211"/>
      <c r="ED94" s="211"/>
      <c r="EE94" s="211"/>
      <c r="EF94" s="207"/>
      <c r="EG94" s="209"/>
      <c r="EH94" s="213"/>
      <c r="EI94" s="214"/>
      <c r="EJ94" s="214"/>
      <c r="EK94" s="214"/>
      <c r="EL94" s="214"/>
      <c r="EM94" s="215"/>
      <c r="EN94" s="216"/>
      <c r="EO94" s="216"/>
      <c r="EP94" s="217"/>
      <c r="EQ94" s="217"/>
      <c r="ER94" s="215"/>
      <c r="ES94" s="218"/>
      <c r="ET94" s="215"/>
      <c r="EU94" s="215"/>
      <c r="EV94" s="215"/>
      <c r="EW94" s="218"/>
      <c r="EX94" s="215"/>
      <c r="EY94" s="215"/>
      <c r="EZ94" s="218"/>
    </row>
    <row r="95" spans="13:156" ht="15">
      <c r="M95" s="244" t="str">
        <f>"- Tỉ số cường độ chịu kéo tính toán của bê tông:"</f>
        <v>- Tỉ số cường độ chịu kéo tính toán của bê tông:</v>
      </c>
      <c r="N95" s="264"/>
      <c r="O95" s="264"/>
      <c r="P95" s="21"/>
      <c r="Q95" s="255"/>
      <c r="R95" s="132"/>
      <c r="S95" s="2"/>
      <c r="T95" s="2"/>
      <c r="U95" s="2"/>
      <c r="V95" s="21" t="s">
        <v>107</v>
      </c>
      <c r="W95" s="262">
        <f>0.66/VLOOKUP(W35,Data!BJ5:BQ21,6,FALSE)</f>
        <v>0.62857142857142856</v>
      </c>
      <c r="X95" s="253"/>
      <c r="AA95" s="18"/>
      <c r="AB95" s="18"/>
      <c r="AC95" s="18"/>
      <c r="AD95" s="19"/>
      <c r="AE95" s="19"/>
      <c r="AI95" s="18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  <c r="BA95" s="18"/>
      <c r="BG95" s="140"/>
      <c r="BH95" s="131"/>
      <c r="BI95" s="102"/>
      <c r="BJ95" s="102"/>
      <c r="BK95" s="102"/>
      <c r="BL95" s="102"/>
      <c r="BM95" s="99"/>
      <c r="BN95" s="4"/>
      <c r="BO95" s="4"/>
      <c r="BP95" s="5"/>
      <c r="BQ95" s="5"/>
      <c r="BR95" s="99"/>
      <c r="BS95" s="159"/>
      <c r="BT95" s="99"/>
      <c r="BU95" s="99"/>
      <c r="BV95" s="99"/>
      <c r="BW95" s="159"/>
      <c r="BX95" s="99"/>
      <c r="BY95" s="99"/>
      <c r="BZ95" s="159"/>
      <c r="DA95" s="155"/>
      <c r="DB95" s="155"/>
      <c r="DC95" s="155"/>
      <c r="DD95" s="207"/>
      <c r="DE95" s="207"/>
      <c r="DF95" s="155"/>
      <c r="DG95" s="155"/>
      <c r="DH95" s="155"/>
      <c r="DI95" s="155"/>
      <c r="DJ95" s="208"/>
      <c r="DK95" s="208"/>
      <c r="DL95" s="208"/>
      <c r="DM95" s="208"/>
      <c r="DN95" s="208"/>
      <c r="DO95" s="208"/>
      <c r="DP95" s="208"/>
      <c r="DQ95" s="208"/>
      <c r="DR95" s="208"/>
      <c r="DS95" s="208"/>
      <c r="DT95" s="208"/>
      <c r="DU95" s="208"/>
      <c r="DV95" s="208"/>
      <c r="DW95" s="208"/>
      <c r="DX95" s="208"/>
      <c r="DY95" s="208"/>
      <c r="DZ95" s="208"/>
      <c r="EA95" s="210"/>
      <c r="EB95" s="211"/>
      <c r="EC95" s="211"/>
      <c r="ED95" s="211"/>
      <c r="EE95" s="211"/>
      <c r="EF95" s="207"/>
      <c r="EG95" s="209"/>
      <c r="EH95" s="213"/>
      <c r="EI95" s="214"/>
      <c r="EJ95" s="214"/>
      <c r="EK95" s="214"/>
      <c r="EL95" s="214"/>
      <c r="EM95" s="215"/>
      <c r="EN95" s="216"/>
      <c r="EO95" s="216"/>
      <c r="EP95" s="217"/>
      <c r="EQ95" s="217"/>
      <c r="ER95" s="215"/>
      <c r="ES95" s="218"/>
      <c r="ET95" s="215"/>
      <c r="EU95" s="215"/>
      <c r="EV95" s="215"/>
      <c r="EW95" s="218"/>
      <c r="EX95" s="215"/>
      <c r="EY95" s="215"/>
      <c r="EZ95" s="218"/>
    </row>
    <row r="96" spans="13:156" ht="15">
      <c r="M96" s="244" t="str">
        <f>"- Tỉ số cường độ chịu kéo tính toán của thép bu lông:"</f>
        <v>- Tỉ số cường độ chịu kéo tính toán của thép bu lông:</v>
      </c>
      <c r="N96" s="264"/>
      <c r="O96" s="264"/>
      <c r="P96" s="21"/>
      <c r="Q96" s="255"/>
      <c r="R96" s="132"/>
      <c r="S96" s="2"/>
      <c r="T96" s="2"/>
      <c r="U96" s="2"/>
      <c r="V96" s="21" t="s">
        <v>106</v>
      </c>
      <c r="W96" s="257">
        <f>W19/(235/1.05)</f>
        <v>1.0723404255319149</v>
      </c>
      <c r="X96" s="253"/>
      <c r="AA96" s="18"/>
      <c r="AB96" s="18"/>
      <c r="AC96" s="18"/>
      <c r="AD96" s="19"/>
      <c r="AE96" s="19"/>
      <c r="AI96" s="18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18"/>
      <c r="BG96" s="140"/>
      <c r="BH96" s="131"/>
      <c r="BI96" s="102"/>
      <c r="BJ96" s="102"/>
      <c r="BK96" s="102"/>
      <c r="BL96" s="102"/>
      <c r="BM96" s="99"/>
      <c r="BN96" s="4"/>
      <c r="BO96" s="4"/>
      <c r="BP96" s="5"/>
      <c r="BQ96" s="5"/>
      <c r="BR96" s="99"/>
      <c r="BS96" s="159"/>
      <c r="BT96" s="99"/>
      <c r="BU96" s="99"/>
      <c r="BV96" s="99"/>
      <c r="BW96" s="159"/>
      <c r="BX96" s="99"/>
      <c r="BY96" s="99"/>
      <c r="BZ96" s="159"/>
      <c r="DA96" s="155"/>
      <c r="DB96" s="155"/>
      <c r="DC96" s="155"/>
      <c r="DD96" s="207"/>
      <c r="DE96" s="207"/>
      <c r="DF96" s="155"/>
      <c r="DG96" s="155"/>
      <c r="DH96" s="155"/>
      <c r="DI96" s="155"/>
      <c r="DJ96" s="208"/>
      <c r="DK96" s="208"/>
      <c r="DL96" s="208"/>
      <c r="DM96" s="208"/>
      <c r="DN96" s="208"/>
      <c r="DO96" s="208"/>
      <c r="DP96" s="208"/>
      <c r="DQ96" s="208"/>
      <c r="DR96" s="208"/>
      <c r="DS96" s="208"/>
      <c r="DT96" s="208"/>
      <c r="DU96" s="208"/>
      <c r="DV96" s="208"/>
      <c r="DW96" s="208"/>
      <c r="DX96" s="208"/>
      <c r="DY96" s="208"/>
      <c r="DZ96" s="208"/>
      <c r="EA96" s="210"/>
      <c r="EB96" s="211"/>
      <c r="EC96" s="211"/>
      <c r="ED96" s="211"/>
      <c r="EE96" s="211"/>
      <c r="EF96" s="207"/>
      <c r="EG96" s="209"/>
      <c r="EH96" s="213"/>
      <c r="EI96" s="214"/>
      <c r="EJ96" s="214"/>
      <c r="EK96" s="214"/>
      <c r="EL96" s="214"/>
      <c r="EM96" s="215"/>
      <c r="EN96" s="216"/>
      <c r="EO96" s="216"/>
      <c r="EP96" s="217"/>
      <c r="EQ96" s="217"/>
      <c r="ER96" s="215"/>
      <c r="ES96" s="218"/>
      <c r="ET96" s="215"/>
      <c r="EU96" s="215"/>
      <c r="EV96" s="215"/>
      <c r="EW96" s="218"/>
      <c r="EX96" s="215"/>
      <c r="EY96" s="215"/>
      <c r="EZ96" s="218"/>
    </row>
    <row r="97" spans="13:156">
      <c r="M97" s="244" t="str">
        <f>"- Chiều sâu ngàm tối thiểu H (Bê tông B12.5 &amp; mác thép S235C):"</f>
        <v>- Chiều sâu ngàm tối thiểu H (Bê tông B12.5 &amp; mác thép S235C):</v>
      </c>
      <c r="N97" s="264"/>
      <c r="O97" s="264"/>
      <c r="P97" s="21"/>
      <c r="Q97" s="21"/>
      <c r="R97" s="132"/>
      <c r="S97" s="2"/>
      <c r="T97" s="21" t="str">
        <f>VLOOKUP(W16,Data!$DH$2:$DN$7,2,FALSE)</f>
        <v>25db</v>
      </c>
      <c r="U97" s="132" t="s">
        <v>111</v>
      </c>
      <c r="V97" s="21" t="s">
        <v>110</v>
      </c>
      <c r="W97" s="259">
        <f>IFERROR(VALUE(LEFT(T97,2)),VALUE(LEFT(T97,1)))*W44</f>
        <v>750</v>
      </c>
      <c r="X97" s="253" t="s">
        <v>1</v>
      </c>
      <c r="AA97" s="18"/>
      <c r="AB97" s="18"/>
      <c r="AC97" s="18"/>
      <c r="AD97" s="19"/>
      <c r="AE97" s="19"/>
      <c r="AI97" s="18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  <c r="BA97" s="18"/>
      <c r="BG97" s="140"/>
      <c r="BH97" s="131"/>
      <c r="BI97" s="102"/>
      <c r="BJ97" s="102"/>
      <c r="BK97" s="102"/>
      <c r="BL97" s="102"/>
      <c r="BM97" s="99"/>
      <c r="BN97" s="4"/>
      <c r="BO97" s="4"/>
      <c r="BP97" s="5"/>
      <c r="BQ97" s="5"/>
      <c r="BR97" s="99"/>
      <c r="BS97" s="159"/>
      <c r="BT97" s="99"/>
      <c r="BU97" s="99"/>
      <c r="BV97" s="99"/>
      <c r="BW97" s="159"/>
      <c r="BX97" s="99"/>
      <c r="BY97" s="99"/>
      <c r="BZ97" s="159"/>
      <c r="DA97" s="155"/>
      <c r="DB97" s="155"/>
      <c r="DC97" s="155"/>
      <c r="DD97" s="207"/>
      <c r="DE97" s="207"/>
      <c r="DF97" s="155"/>
      <c r="DG97" s="155"/>
      <c r="DH97" s="155"/>
      <c r="DI97" s="155"/>
      <c r="DJ97" s="208"/>
      <c r="DK97" s="208"/>
      <c r="DL97" s="208"/>
      <c r="DM97" s="208"/>
      <c r="DN97" s="208"/>
      <c r="DO97" s="208"/>
      <c r="DP97" s="208"/>
      <c r="DQ97" s="208"/>
      <c r="DR97" s="208"/>
      <c r="DS97" s="208"/>
      <c r="DT97" s="208"/>
      <c r="DU97" s="208"/>
      <c r="DV97" s="208"/>
      <c r="DW97" s="208"/>
      <c r="DX97" s="208"/>
      <c r="DY97" s="208"/>
      <c r="DZ97" s="208"/>
      <c r="EA97" s="210"/>
      <c r="EB97" s="211"/>
      <c r="EC97" s="211"/>
      <c r="ED97" s="211"/>
      <c r="EE97" s="211"/>
      <c r="EF97" s="207"/>
      <c r="EG97" s="209"/>
      <c r="EH97" s="213"/>
      <c r="EI97" s="214"/>
      <c r="EJ97" s="214"/>
      <c r="EK97" s="214"/>
      <c r="EL97" s="214"/>
      <c r="EM97" s="215"/>
      <c r="EN97" s="216"/>
      <c r="EO97" s="216"/>
      <c r="EP97" s="217"/>
      <c r="EQ97" s="217"/>
      <c r="ER97" s="215"/>
      <c r="ES97" s="218"/>
      <c r="ET97" s="215"/>
      <c r="EU97" s="215"/>
      <c r="EV97" s="215"/>
      <c r="EW97" s="218"/>
      <c r="EX97" s="215"/>
      <c r="EY97" s="215"/>
      <c r="EZ97" s="218"/>
    </row>
    <row r="98" spans="13:156" ht="15">
      <c r="M98" s="244" t="s">
        <v>112</v>
      </c>
      <c r="N98" s="264"/>
      <c r="O98" s="264"/>
      <c r="P98" s="21"/>
      <c r="Q98" s="21"/>
      <c r="R98" s="132"/>
      <c r="S98" s="2"/>
      <c r="T98" s="2"/>
      <c r="U98" s="2"/>
      <c r="V98" s="21" t="s">
        <v>113</v>
      </c>
      <c r="W98" s="259">
        <f>W97*W95*W96</f>
        <v>505.53191489361706</v>
      </c>
      <c r="X98" s="253" t="s">
        <v>1</v>
      </c>
      <c r="AA98" s="18"/>
      <c r="AB98" s="18"/>
      <c r="AC98" s="18"/>
      <c r="AD98" s="19"/>
      <c r="AE98" s="19"/>
      <c r="AI98" s="18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18"/>
      <c r="BG98" s="140"/>
      <c r="BH98" s="131"/>
      <c r="BI98" s="102"/>
      <c r="BJ98" s="102"/>
      <c r="BK98" s="102"/>
      <c r="BL98" s="102"/>
      <c r="BM98" s="99"/>
      <c r="BN98" s="4"/>
      <c r="BO98" s="4"/>
      <c r="BP98" s="5"/>
      <c r="BQ98" s="5"/>
      <c r="BR98" s="99"/>
      <c r="BS98" s="159"/>
      <c r="BT98" s="99"/>
      <c r="BU98" s="99"/>
      <c r="BV98" s="99"/>
      <c r="BW98" s="159"/>
      <c r="BX98" s="99"/>
      <c r="BY98" s="99"/>
      <c r="BZ98" s="159"/>
      <c r="DA98" s="155"/>
      <c r="DB98" s="155"/>
      <c r="DC98" s="155"/>
      <c r="DD98" s="207"/>
      <c r="DE98" s="207"/>
      <c r="DF98" s="155"/>
      <c r="DG98" s="155"/>
      <c r="DH98" s="155"/>
      <c r="DI98" s="155"/>
      <c r="DJ98" s="208"/>
      <c r="DK98" s="208"/>
      <c r="DL98" s="208"/>
      <c r="DM98" s="208"/>
      <c r="DN98" s="208"/>
      <c r="DO98" s="208"/>
      <c r="DP98" s="208"/>
      <c r="DQ98" s="208"/>
      <c r="DR98" s="208"/>
      <c r="DS98" s="208"/>
      <c r="DT98" s="208"/>
      <c r="DU98" s="208"/>
      <c r="DV98" s="208"/>
      <c r="DW98" s="208"/>
      <c r="DX98" s="208"/>
      <c r="DY98" s="208"/>
      <c r="DZ98" s="208"/>
      <c r="EA98" s="210"/>
      <c r="EB98" s="211"/>
      <c r="EC98" s="211"/>
      <c r="ED98" s="211"/>
      <c r="EE98" s="211"/>
      <c r="EF98" s="207"/>
      <c r="EG98" s="209"/>
      <c r="EH98" s="213"/>
      <c r="EI98" s="214"/>
      <c r="EJ98" s="214"/>
      <c r="EK98" s="214"/>
      <c r="EL98" s="214"/>
      <c r="EM98" s="215"/>
      <c r="EN98" s="216"/>
      <c r="EO98" s="216"/>
      <c r="EP98" s="217"/>
      <c r="EQ98" s="217"/>
      <c r="ER98" s="215"/>
      <c r="ES98" s="218"/>
      <c r="ET98" s="215"/>
      <c r="EU98" s="215"/>
      <c r="EV98" s="215"/>
      <c r="EW98" s="218"/>
      <c r="EX98" s="215"/>
      <c r="EY98" s="215"/>
      <c r="EZ98" s="218"/>
    </row>
    <row r="99" spans="13:156">
      <c r="M99" s="243" t="s">
        <v>114</v>
      </c>
      <c r="N99" s="2"/>
      <c r="O99" s="2"/>
      <c r="P99" s="21"/>
      <c r="Q99" s="255"/>
      <c r="R99" s="132"/>
      <c r="S99" s="2"/>
      <c r="T99" s="2"/>
      <c r="U99" s="2"/>
      <c r="V99" s="2"/>
      <c r="W99" s="2"/>
      <c r="X99" s="239"/>
      <c r="AA99" s="18"/>
      <c r="AB99" s="18"/>
      <c r="AC99" s="18"/>
      <c r="AD99" s="19"/>
      <c r="AE99" s="19"/>
      <c r="AI99" s="18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18"/>
      <c r="BG99" s="140"/>
      <c r="BH99" s="131"/>
      <c r="BI99" s="102"/>
      <c r="BJ99" s="102"/>
      <c r="BK99" s="102"/>
      <c r="BL99" s="102"/>
      <c r="BM99" s="99"/>
      <c r="BN99" s="4"/>
      <c r="BO99" s="4"/>
      <c r="BP99" s="5"/>
      <c r="BQ99" s="5"/>
      <c r="BR99" s="99"/>
      <c r="BS99" s="159"/>
      <c r="BT99" s="99"/>
      <c r="BU99" s="99"/>
      <c r="BV99" s="99"/>
      <c r="BW99" s="159"/>
      <c r="BX99" s="99"/>
      <c r="BY99" s="99"/>
      <c r="BZ99" s="159"/>
      <c r="DA99" s="155"/>
      <c r="DB99" s="155"/>
      <c r="DC99" s="155"/>
      <c r="DD99" s="207"/>
      <c r="DE99" s="207"/>
      <c r="DF99" s="155"/>
      <c r="DG99" s="155"/>
      <c r="DH99" s="155"/>
      <c r="DI99" s="155"/>
      <c r="DJ99" s="208"/>
      <c r="DK99" s="208"/>
      <c r="DL99" s="208"/>
      <c r="DM99" s="208"/>
      <c r="DN99" s="208"/>
      <c r="DO99" s="208"/>
      <c r="DP99" s="208"/>
      <c r="DQ99" s="208"/>
      <c r="DR99" s="208"/>
      <c r="DS99" s="208"/>
      <c r="DT99" s="208"/>
      <c r="DU99" s="208"/>
      <c r="DV99" s="208"/>
      <c r="DW99" s="208"/>
      <c r="DX99" s="208"/>
      <c r="DY99" s="208"/>
      <c r="DZ99" s="208"/>
      <c r="EA99" s="210"/>
      <c r="EB99" s="211"/>
      <c r="EC99" s="211"/>
      <c r="ED99" s="211"/>
      <c r="EE99" s="211"/>
      <c r="EF99" s="207"/>
      <c r="EG99" s="209"/>
      <c r="EH99" s="213"/>
      <c r="EI99" s="214"/>
      <c r="EJ99" s="214"/>
      <c r="EK99" s="214"/>
      <c r="EL99" s="214"/>
      <c r="EM99" s="215"/>
      <c r="EN99" s="216"/>
      <c r="EO99" s="216"/>
      <c r="EP99" s="217"/>
      <c r="EQ99" s="217"/>
      <c r="ER99" s="215"/>
      <c r="ES99" s="218"/>
      <c r="ET99" s="215"/>
      <c r="EU99" s="215"/>
      <c r="EV99" s="215"/>
      <c r="EW99" s="218"/>
      <c r="EX99" s="215"/>
      <c r="EY99" s="215"/>
      <c r="EZ99" s="218"/>
    </row>
    <row r="100" spans="13:156" ht="15.6">
      <c r="M100" s="244" t="str">
        <f>"- Ứng suất dưới bản đế:"</f>
        <v>- Ứng suất dưới bản đế:</v>
      </c>
      <c r="N100" s="2"/>
      <c r="O100" s="2"/>
      <c r="P100" s="21"/>
      <c r="Q100" s="255"/>
      <c r="R100" s="12"/>
      <c r="S100" s="132"/>
      <c r="T100" s="132"/>
      <c r="U100" s="132"/>
      <c r="V100" s="12" t="s">
        <v>173</v>
      </c>
      <c r="W100" s="268">
        <f>ABS(V66)/(W49*W50)*1000+6*ABS(X66*1000000)/(W50*W49^2)</f>
        <v>6.6418728985918465</v>
      </c>
      <c r="X100" s="239" t="s">
        <v>20</v>
      </c>
      <c r="AA100" s="18"/>
      <c r="AB100" s="18"/>
      <c r="AC100" s="18"/>
      <c r="AD100" s="19"/>
      <c r="AE100" s="19"/>
      <c r="AI100" s="18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  <c r="BA100" s="18"/>
      <c r="BG100" s="140"/>
      <c r="BH100" s="131"/>
      <c r="BI100" s="102"/>
      <c r="BJ100" s="102"/>
      <c r="BK100" s="102"/>
      <c r="BL100" s="102"/>
      <c r="BM100" s="99"/>
      <c r="BN100" s="4"/>
      <c r="BO100" s="4"/>
      <c r="BP100" s="5"/>
      <c r="BQ100" s="5"/>
      <c r="BR100" s="99"/>
      <c r="BS100" s="159"/>
      <c r="BT100" s="99"/>
      <c r="BU100" s="99"/>
      <c r="BV100" s="99"/>
      <c r="BW100" s="159"/>
      <c r="BX100" s="99"/>
      <c r="BY100" s="99"/>
      <c r="BZ100" s="159"/>
      <c r="DA100" s="155"/>
      <c r="DB100" s="155"/>
      <c r="DC100" s="155"/>
      <c r="DD100" s="207"/>
      <c r="DE100" s="207"/>
      <c r="DF100" s="155"/>
      <c r="DG100" s="155"/>
      <c r="DH100" s="155"/>
      <c r="DI100" s="155"/>
      <c r="DJ100" s="208"/>
      <c r="DK100" s="208"/>
      <c r="DL100" s="208"/>
      <c r="DM100" s="208"/>
      <c r="DN100" s="208"/>
      <c r="DO100" s="208"/>
      <c r="DP100" s="208"/>
      <c r="DQ100" s="208"/>
      <c r="DR100" s="208"/>
      <c r="DS100" s="208"/>
      <c r="DT100" s="208"/>
      <c r="DU100" s="208"/>
      <c r="DV100" s="208"/>
      <c r="DW100" s="208"/>
      <c r="DX100" s="208"/>
      <c r="DY100" s="208"/>
      <c r="DZ100" s="208"/>
      <c r="EA100" s="210"/>
      <c r="EB100" s="211"/>
      <c r="EC100" s="211"/>
      <c r="ED100" s="211"/>
      <c r="EE100" s="211"/>
      <c r="EF100" s="207"/>
      <c r="EG100" s="209"/>
      <c r="EH100" s="213"/>
      <c r="EI100" s="214"/>
      <c r="EJ100" s="214"/>
      <c r="EK100" s="214"/>
      <c r="EL100" s="214"/>
      <c r="EM100" s="215"/>
      <c r="EN100" s="216"/>
      <c r="EO100" s="216"/>
      <c r="EP100" s="217"/>
      <c r="EQ100" s="217"/>
      <c r="ER100" s="215"/>
      <c r="ES100" s="218"/>
      <c r="ET100" s="215"/>
      <c r="EU100" s="215"/>
      <c r="EV100" s="215"/>
      <c r="EW100" s="218"/>
      <c r="EX100" s="215"/>
      <c r="EY100" s="215"/>
      <c r="EZ100" s="218"/>
    </row>
    <row r="101" spans="13:156" ht="15.6">
      <c r="M101" s="244"/>
      <c r="N101" s="2"/>
      <c r="O101" s="2"/>
      <c r="P101" s="21"/>
      <c r="Q101" s="255"/>
      <c r="R101" s="12"/>
      <c r="S101" s="132"/>
      <c r="T101" s="132"/>
      <c r="U101" s="132"/>
      <c r="V101" s="12" t="s">
        <v>174</v>
      </c>
      <c r="W101" s="268">
        <f>ABS(V66)/(W49*W50)*1000-6*ABS(X66*1000000)/(W50*W49^2)</f>
        <v>-6.1261684494691524</v>
      </c>
      <c r="X101" s="239" t="s">
        <v>20</v>
      </c>
      <c r="AA101" s="18"/>
      <c r="AB101" s="18"/>
      <c r="AC101" s="18"/>
      <c r="AD101" s="19"/>
      <c r="AE101" s="19"/>
      <c r="AI101" s="18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  <c r="BA101" s="18"/>
      <c r="BG101" s="140"/>
      <c r="BH101" s="131"/>
      <c r="BI101" s="102"/>
      <c r="BJ101" s="102"/>
      <c r="BK101" s="102"/>
      <c r="BL101" s="102"/>
      <c r="BM101" s="99"/>
      <c r="BN101" s="4"/>
      <c r="BO101" s="4"/>
      <c r="BP101" s="5"/>
      <c r="BQ101" s="5"/>
      <c r="BR101" s="99"/>
      <c r="BS101" s="159"/>
      <c r="BT101" s="99"/>
      <c r="BU101" s="99"/>
      <c r="BV101" s="99"/>
      <c r="BW101" s="159"/>
      <c r="BX101" s="99"/>
      <c r="BY101" s="99"/>
      <c r="BZ101" s="159"/>
      <c r="DA101" s="155"/>
      <c r="DB101" s="155"/>
      <c r="DC101" s="155"/>
      <c r="DD101" s="207"/>
      <c r="DE101" s="207"/>
      <c r="DF101" s="155"/>
      <c r="DG101" s="155"/>
      <c r="DH101" s="155"/>
      <c r="DI101" s="155"/>
      <c r="DJ101" s="208"/>
      <c r="DK101" s="208"/>
      <c r="DL101" s="208"/>
      <c r="DM101" s="208"/>
      <c r="DN101" s="208"/>
      <c r="DO101" s="208"/>
      <c r="DP101" s="208"/>
      <c r="DQ101" s="208"/>
      <c r="DR101" s="208"/>
      <c r="DS101" s="208"/>
      <c r="DT101" s="208"/>
      <c r="DU101" s="208"/>
      <c r="DV101" s="208"/>
      <c r="DW101" s="208"/>
      <c r="DX101" s="208"/>
      <c r="DY101" s="208"/>
      <c r="DZ101" s="208"/>
      <c r="EA101" s="210"/>
      <c r="EB101" s="211"/>
      <c r="EC101" s="211"/>
      <c r="ED101" s="211"/>
      <c r="EE101" s="211"/>
      <c r="EF101" s="207"/>
      <c r="EG101" s="209"/>
      <c r="EH101" s="213"/>
      <c r="EI101" s="214"/>
      <c r="EJ101" s="214"/>
      <c r="EK101" s="214"/>
      <c r="EL101" s="214"/>
      <c r="EM101" s="215"/>
      <c r="EN101" s="216"/>
      <c r="EO101" s="216"/>
      <c r="EP101" s="217"/>
      <c r="EQ101" s="217"/>
      <c r="ER101" s="215"/>
      <c r="ES101" s="218"/>
      <c r="ET101" s="215"/>
      <c r="EU101" s="215"/>
      <c r="EV101" s="215"/>
      <c r="EW101" s="218"/>
      <c r="EX101" s="215"/>
      <c r="EY101" s="215"/>
      <c r="EZ101" s="218"/>
    </row>
    <row r="102" spans="13:156" ht="15">
      <c r="M102" s="244" t="str">
        <f>"- Cường độ chịu nén cục bộ của bê tông:"</f>
        <v>- Cường độ chịu nén cục bộ của bê tông:</v>
      </c>
      <c r="N102" s="2"/>
      <c r="O102" s="2"/>
      <c r="P102" s="21"/>
      <c r="Q102" s="255"/>
      <c r="R102" s="12" t="s">
        <v>63</v>
      </c>
      <c r="S102" s="267">
        <v>1</v>
      </c>
      <c r="T102" s="12" t="s">
        <v>70</v>
      </c>
      <c r="U102" s="267">
        <v>0.75</v>
      </c>
      <c r="V102" s="12" t="s">
        <v>176</v>
      </c>
      <c r="W102" s="268">
        <f>S102*W36*U102</f>
        <v>10.875</v>
      </c>
      <c r="X102" s="239" t="s">
        <v>20</v>
      </c>
      <c r="AA102" s="18"/>
      <c r="AB102" s="18"/>
      <c r="AC102" s="18"/>
      <c r="AD102" s="19"/>
      <c r="AE102" s="19"/>
      <c r="AI102" s="18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  <c r="BA102" s="18"/>
      <c r="BG102" s="140"/>
      <c r="BH102" s="131"/>
      <c r="BI102" s="102"/>
      <c r="BJ102" s="102"/>
      <c r="BK102" s="102"/>
      <c r="BL102" s="102"/>
      <c r="BM102" s="99"/>
      <c r="BN102" s="4"/>
      <c r="BO102" s="4"/>
      <c r="BP102" s="5"/>
      <c r="BQ102" s="5"/>
      <c r="BR102" s="99"/>
      <c r="BS102" s="159"/>
      <c r="BT102" s="99"/>
      <c r="BU102" s="99"/>
      <c r="BV102" s="99"/>
      <c r="BW102" s="159"/>
      <c r="BX102" s="99"/>
      <c r="BY102" s="99"/>
      <c r="BZ102" s="159"/>
      <c r="DA102" s="155"/>
      <c r="DB102" s="155"/>
      <c r="DC102" s="155"/>
      <c r="DD102" s="207"/>
      <c r="DE102" s="207"/>
      <c r="DF102" s="155"/>
      <c r="DG102" s="155"/>
      <c r="DH102" s="155"/>
      <c r="DI102" s="155"/>
      <c r="DJ102" s="208"/>
      <c r="DK102" s="208"/>
      <c r="DL102" s="208"/>
      <c r="DM102" s="208"/>
      <c r="DN102" s="208"/>
      <c r="DO102" s="208"/>
      <c r="DP102" s="208"/>
      <c r="DQ102" s="208"/>
      <c r="DR102" s="208"/>
      <c r="DS102" s="208"/>
      <c r="DT102" s="208"/>
      <c r="DU102" s="208"/>
      <c r="DV102" s="208"/>
      <c r="DW102" s="208"/>
      <c r="DX102" s="208"/>
      <c r="DY102" s="208"/>
      <c r="DZ102" s="208"/>
      <c r="EA102" s="210"/>
      <c r="EB102" s="211"/>
      <c r="EC102" s="211"/>
      <c r="ED102" s="211"/>
      <c r="EE102" s="211"/>
      <c r="EF102" s="207"/>
      <c r="EG102" s="209"/>
      <c r="EH102" s="213"/>
      <c r="EI102" s="214"/>
      <c r="EJ102" s="214"/>
      <c r="EK102" s="214"/>
      <c r="EL102" s="214"/>
      <c r="EM102" s="215"/>
      <c r="EN102" s="216"/>
      <c r="EO102" s="216"/>
      <c r="EP102" s="217"/>
      <c r="EQ102" s="217"/>
      <c r="ER102" s="215"/>
      <c r="ES102" s="218"/>
      <c r="ET102" s="215"/>
      <c r="EU102" s="215"/>
      <c r="EV102" s="215"/>
      <c r="EW102" s="218"/>
      <c r="EX102" s="215"/>
      <c r="EY102" s="215"/>
      <c r="EZ102" s="218"/>
    </row>
    <row r="103" spans="13:156" ht="15">
      <c r="M103" s="244" t="str">
        <f>"- Tỷ số huy động cấu kiện:"</f>
        <v>- Tỷ số huy động cấu kiện:</v>
      </c>
      <c r="N103" s="2"/>
      <c r="O103" s="2"/>
      <c r="P103" s="21"/>
      <c r="Q103" s="255"/>
      <c r="R103" s="132"/>
      <c r="S103" s="2"/>
      <c r="T103" s="2"/>
      <c r="U103" s="2"/>
      <c r="V103" s="12" t="s">
        <v>175</v>
      </c>
      <c r="W103" s="263">
        <f>W100/W102</f>
        <v>0.61074693320384799</v>
      </c>
      <c r="X103" s="245" t="str">
        <f>IF(W103&lt;=1,"OK","Check")</f>
        <v>OK</v>
      </c>
      <c r="AA103" s="18"/>
      <c r="AB103" s="18"/>
      <c r="AC103" s="18"/>
      <c r="AD103" s="19"/>
      <c r="AE103" s="19"/>
      <c r="AI103" s="18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  <c r="BA103" s="18"/>
      <c r="BG103" s="140"/>
      <c r="BH103" s="131"/>
      <c r="BI103" s="102"/>
      <c r="BJ103" s="102"/>
      <c r="BK103" s="102"/>
      <c r="BL103" s="102"/>
      <c r="BM103" s="99"/>
      <c r="BN103" s="4"/>
      <c r="BO103" s="4"/>
      <c r="BP103" s="5"/>
      <c r="BQ103" s="5"/>
      <c r="BR103" s="99"/>
      <c r="BS103" s="159"/>
      <c r="BT103" s="99"/>
      <c r="BU103" s="99"/>
      <c r="BV103" s="99"/>
      <c r="BW103" s="159"/>
      <c r="BX103" s="99"/>
      <c r="BY103" s="99"/>
      <c r="BZ103" s="159"/>
      <c r="DA103" s="155"/>
      <c r="DB103" s="155"/>
      <c r="DC103" s="155"/>
      <c r="DD103" s="207"/>
      <c r="DE103" s="207"/>
      <c r="DF103" s="155"/>
      <c r="DG103" s="155"/>
      <c r="DH103" s="155"/>
      <c r="DI103" s="155"/>
      <c r="DJ103" s="208"/>
      <c r="DK103" s="208"/>
      <c r="DL103" s="208"/>
      <c r="DM103" s="208"/>
      <c r="DN103" s="208"/>
      <c r="DO103" s="208"/>
      <c r="DP103" s="208"/>
      <c r="DQ103" s="208"/>
      <c r="DR103" s="208"/>
      <c r="DS103" s="208"/>
      <c r="DT103" s="208"/>
      <c r="DU103" s="208"/>
      <c r="DV103" s="208"/>
      <c r="DW103" s="208"/>
      <c r="DX103" s="208"/>
      <c r="DY103" s="208"/>
      <c r="DZ103" s="208"/>
      <c r="EA103" s="210"/>
      <c r="EB103" s="211"/>
      <c r="EC103" s="211"/>
      <c r="ED103" s="211"/>
      <c r="EE103" s="211"/>
      <c r="EF103" s="207"/>
      <c r="EG103" s="209"/>
      <c r="EH103" s="213"/>
      <c r="EI103" s="214"/>
      <c r="EJ103" s="214"/>
      <c r="EK103" s="214"/>
      <c r="EL103" s="214"/>
      <c r="EM103" s="215"/>
      <c r="EN103" s="216"/>
      <c r="EO103" s="216"/>
      <c r="EP103" s="217"/>
      <c r="EQ103" s="217"/>
      <c r="ER103" s="215"/>
      <c r="ES103" s="218"/>
      <c r="ET103" s="215"/>
      <c r="EU103" s="215"/>
      <c r="EV103" s="215"/>
      <c r="EW103" s="218"/>
      <c r="EX103" s="215"/>
      <c r="EY103" s="215"/>
      <c r="EZ103" s="218"/>
    </row>
    <row r="104" spans="13:156">
      <c r="M104" s="243" t="s">
        <v>122</v>
      </c>
      <c r="N104" s="2"/>
      <c r="O104" s="2"/>
      <c r="P104" s="21"/>
      <c r="Q104" s="255"/>
      <c r="R104" s="132"/>
      <c r="S104" s="2"/>
      <c r="T104" s="2"/>
      <c r="U104" s="2"/>
      <c r="V104" s="2"/>
      <c r="W104" s="2"/>
      <c r="X104" s="239"/>
      <c r="AA104" s="18"/>
      <c r="AB104" s="18"/>
      <c r="AC104" s="18"/>
      <c r="AD104" s="19"/>
      <c r="AE104" s="19"/>
      <c r="AI104" s="18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  <c r="BA104" s="18"/>
      <c r="BG104" s="140"/>
      <c r="BH104" s="131"/>
      <c r="BI104" s="102"/>
      <c r="BJ104" s="102"/>
      <c r="BK104" s="102"/>
      <c r="BL104" s="102"/>
      <c r="BM104" s="99"/>
      <c r="BN104" s="4"/>
      <c r="BO104" s="4"/>
      <c r="BP104" s="5"/>
      <c r="BQ104" s="5"/>
      <c r="BR104" s="99"/>
      <c r="BS104" s="159"/>
      <c r="BT104" s="99"/>
      <c r="BU104" s="99"/>
      <c r="BV104" s="99"/>
      <c r="BW104" s="159"/>
      <c r="BX104" s="99"/>
      <c r="BY104" s="99"/>
      <c r="BZ104" s="159"/>
      <c r="DA104" s="155"/>
      <c r="DB104" s="155"/>
      <c r="DC104" s="155"/>
      <c r="DD104" s="207"/>
      <c r="DE104" s="207"/>
      <c r="DF104" s="155"/>
      <c r="DG104" s="155"/>
      <c r="DH104" s="155"/>
      <c r="DI104" s="155"/>
      <c r="DJ104" s="208"/>
      <c r="DK104" s="208"/>
      <c r="DL104" s="208"/>
      <c r="DM104" s="208"/>
      <c r="DN104" s="208"/>
      <c r="DO104" s="208"/>
      <c r="DP104" s="208"/>
      <c r="DQ104" s="208"/>
      <c r="DR104" s="208"/>
      <c r="DS104" s="208"/>
      <c r="DT104" s="208"/>
      <c r="DU104" s="208"/>
      <c r="DV104" s="208"/>
      <c r="DW104" s="208"/>
      <c r="DX104" s="208"/>
      <c r="DY104" s="208"/>
      <c r="DZ104" s="208"/>
      <c r="EA104" s="210"/>
      <c r="EB104" s="211"/>
      <c r="EC104" s="211"/>
      <c r="ED104" s="211"/>
      <c r="EE104" s="211"/>
      <c r="EF104" s="207"/>
      <c r="EG104" s="209"/>
      <c r="EH104" s="213"/>
      <c r="EI104" s="214"/>
      <c r="EJ104" s="214"/>
      <c r="EK104" s="214"/>
      <c r="EL104" s="214"/>
      <c r="EM104" s="215"/>
      <c r="EN104" s="216"/>
      <c r="EO104" s="216"/>
      <c r="EP104" s="217"/>
      <c r="EQ104" s="217"/>
      <c r="ER104" s="215"/>
      <c r="ES104" s="218"/>
      <c r="ET104" s="215"/>
      <c r="EU104" s="215"/>
      <c r="EV104" s="215"/>
      <c r="EW104" s="218"/>
      <c r="EX104" s="215"/>
      <c r="EY104" s="215"/>
      <c r="EZ104" s="218"/>
    </row>
    <row r="105" spans="13:156">
      <c r="M105" s="243" t="s">
        <v>367</v>
      </c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39"/>
      <c r="AA105" s="18"/>
      <c r="AB105" s="18"/>
      <c r="AC105" s="18"/>
      <c r="AD105" s="19"/>
      <c r="AE105" s="19"/>
      <c r="AI105" s="18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  <c r="BA105" s="18"/>
      <c r="BG105" s="140"/>
      <c r="BH105" s="131"/>
      <c r="BI105" s="102"/>
      <c r="BJ105" s="102"/>
      <c r="BK105" s="102"/>
      <c r="BL105" s="102"/>
      <c r="BM105" s="99"/>
      <c r="BN105" s="4"/>
      <c r="BO105" s="4"/>
      <c r="BP105" s="5"/>
      <c r="BQ105" s="5"/>
      <c r="BR105" s="99"/>
      <c r="BS105" s="159"/>
      <c r="BT105" s="99"/>
      <c r="BU105" s="99"/>
      <c r="BV105" s="99"/>
      <c r="BW105" s="159"/>
      <c r="BX105" s="99"/>
      <c r="BY105" s="99"/>
      <c r="BZ105" s="159"/>
      <c r="DA105" s="155"/>
      <c r="DB105" s="155"/>
      <c r="DC105" s="155"/>
      <c r="DD105" s="207"/>
      <c r="DE105" s="207"/>
      <c r="DF105" s="155"/>
      <c r="DG105" s="155"/>
      <c r="DH105" s="155"/>
      <c r="DI105" s="155"/>
      <c r="DJ105" s="208"/>
      <c r="DK105" s="208"/>
      <c r="DL105" s="208"/>
      <c r="DM105" s="208"/>
      <c r="DN105" s="208"/>
      <c r="DO105" s="208"/>
      <c r="DP105" s="208"/>
      <c r="DQ105" s="208"/>
      <c r="DR105" s="208"/>
      <c r="DS105" s="208"/>
      <c r="DT105" s="208"/>
      <c r="DU105" s="208"/>
      <c r="DV105" s="208"/>
      <c r="DW105" s="208"/>
      <c r="DX105" s="208"/>
      <c r="DY105" s="208"/>
      <c r="DZ105" s="208"/>
      <c r="EA105" s="210"/>
      <c r="EB105" s="211"/>
      <c r="EC105" s="211"/>
      <c r="ED105" s="211"/>
      <c r="EE105" s="211"/>
      <c r="EF105" s="207"/>
      <c r="EG105" s="209"/>
      <c r="EH105" s="213"/>
      <c r="EI105" s="214"/>
      <c r="EJ105" s="214"/>
      <c r="EK105" s="214"/>
      <c r="EL105" s="214"/>
      <c r="EM105" s="215"/>
      <c r="EN105" s="216"/>
      <c r="EO105" s="216"/>
      <c r="EP105" s="217"/>
      <c r="EQ105" s="217"/>
      <c r="ER105" s="215"/>
      <c r="ES105" s="218"/>
      <c r="ET105" s="215"/>
      <c r="EU105" s="215"/>
      <c r="EV105" s="215"/>
      <c r="EW105" s="218"/>
      <c r="EX105" s="215"/>
      <c r="EY105" s="215"/>
      <c r="EZ105" s="218"/>
    </row>
    <row r="106" spans="13:156" ht="15">
      <c r="M106" s="243"/>
      <c r="N106" s="2"/>
      <c r="O106" s="2"/>
      <c r="P106" s="321" t="s">
        <v>74</v>
      </c>
      <c r="Q106" s="27" t="s">
        <v>117</v>
      </c>
      <c r="R106" s="27" t="s">
        <v>118</v>
      </c>
      <c r="S106" s="323" t="s">
        <v>116</v>
      </c>
      <c r="T106" s="29" t="s">
        <v>180</v>
      </c>
      <c r="U106" s="27" t="s">
        <v>178</v>
      </c>
      <c r="V106" s="2"/>
      <c r="W106" s="2"/>
      <c r="X106" s="239"/>
      <c r="AA106" s="18"/>
      <c r="AB106" s="18"/>
      <c r="AC106" s="18"/>
      <c r="AD106" s="19"/>
      <c r="AE106" s="19"/>
      <c r="AI106" s="18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  <c r="BA106" s="18"/>
      <c r="BG106" s="140"/>
      <c r="BH106" s="131"/>
      <c r="BI106" s="102"/>
      <c r="BJ106" s="102"/>
      <c r="BK106" s="102"/>
      <c r="BL106" s="102"/>
      <c r="BM106" s="99"/>
      <c r="BN106" s="4"/>
      <c r="BO106" s="4"/>
      <c r="BP106" s="5"/>
      <c r="BQ106" s="5"/>
      <c r="BR106" s="99"/>
      <c r="BS106" s="159"/>
      <c r="BT106" s="99"/>
      <c r="BU106" s="99"/>
      <c r="BV106" s="99"/>
      <c r="BW106" s="159"/>
      <c r="BX106" s="99"/>
      <c r="BY106" s="99"/>
      <c r="BZ106" s="159"/>
      <c r="DA106" s="155"/>
      <c r="DB106" s="155"/>
      <c r="DC106" s="155"/>
      <c r="DD106" s="207"/>
      <c r="DE106" s="207"/>
      <c r="DF106" s="155"/>
      <c r="DG106" s="155"/>
      <c r="DH106" s="155"/>
      <c r="DI106" s="155"/>
      <c r="DJ106" s="208"/>
      <c r="DK106" s="208"/>
      <c r="DL106" s="208"/>
      <c r="DM106" s="208"/>
      <c r="DN106" s="208"/>
      <c r="DO106" s="208"/>
      <c r="DP106" s="208"/>
      <c r="DQ106" s="208"/>
      <c r="DR106" s="208"/>
      <c r="DS106" s="208"/>
      <c r="DT106" s="208"/>
      <c r="DU106" s="208"/>
      <c r="DV106" s="208"/>
      <c r="DW106" s="208"/>
      <c r="DX106" s="208"/>
      <c r="DY106" s="208"/>
      <c r="DZ106" s="208"/>
      <c r="EA106" s="210"/>
      <c r="EB106" s="211"/>
      <c r="EC106" s="211"/>
      <c r="ED106" s="211"/>
      <c r="EE106" s="211"/>
      <c r="EF106" s="207"/>
      <c r="EG106" s="209"/>
      <c r="EH106" s="213"/>
      <c r="EI106" s="214"/>
      <c r="EJ106" s="214"/>
      <c r="EK106" s="214"/>
      <c r="EL106" s="214"/>
      <c r="EM106" s="215"/>
      <c r="EN106" s="216"/>
      <c r="EO106" s="216"/>
      <c r="EP106" s="217"/>
      <c r="EQ106" s="217"/>
      <c r="ER106" s="215"/>
      <c r="ES106" s="218"/>
      <c r="ET106" s="215"/>
      <c r="EU106" s="215"/>
      <c r="EV106" s="215"/>
      <c r="EW106" s="218"/>
      <c r="EX106" s="215"/>
      <c r="EY106" s="215"/>
      <c r="EZ106" s="218"/>
    </row>
    <row r="107" spans="13:156">
      <c r="M107" s="243"/>
      <c r="N107" s="2"/>
      <c r="O107" s="2"/>
      <c r="P107" s="322"/>
      <c r="Q107" s="28" t="s">
        <v>179</v>
      </c>
      <c r="R107" s="28" t="s">
        <v>179</v>
      </c>
      <c r="S107" s="324"/>
      <c r="T107" s="30" t="s">
        <v>20</v>
      </c>
      <c r="U107" s="26" t="s">
        <v>72</v>
      </c>
      <c r="V107" s="2"/>
      <c r="W107" s="2"/>
      <c r="X107" s="239"/>
      <c r="AA107" s="18"/>
      <c r="AB107" s="18"/>
      <c r="AC107" s="18"/>
      <c r="AD107" s="19"/>
      <c r="AE107" s="19"/>
      <c r="AI107" s="18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  <c r="BA107" s="18"/>
      <c r="BG107" s="140"/>
      <c r="BH107" s="131"/>
      <c r="BI107" s="102"/>
      <c r="BJ107" s="102"/>
      <c r="BK107" s="102"/>
      <c r="BL107" s="102"/>
      <c r="BM107" s="99"/>
      <c r="BN107" s="4"/>
      <c r="BO107" s="4"/>
      <c r="BP107" s="5"/>
      <c r="BQ107" s="5"/>
      <c r="BR107" s="99"/>
      <c r="BS107" s="159"/>
      <c r="BT107" s="99"/>
      <c r="BU107" s="99"/>
      <c r="BV107" s="99"/>
      <c r="BW107" s="159"/>
      <c r="BX107" s="99"/>
      <c r="BY107" s="99"/>
      <c r="BZ107" s="159"/>
      <c r="DA107" s="155"/>
      <c r="DB107" s="155"/>
      <c r="DC107" s="155"/>
      <c r="DD107" s="207"/>
      <c r="DE107" s="207"/>
      <c r="DF107" s="155"/>
      <c r="DG107" s="155"/>
      <c r="DH107" s="155"/>
      <c r="DI107" s="155"/>
      <c r="DJ107" s="208"/>
      <c r="DK107" s="208"/>
      <c r="DL107" s="208"/>
      <c r="DM107" s="208"/>
      <c r="DN107" s="208"/>
      <c r="DO107" s="208"/>
      <c r="DP107" s="208"/>
      <c r="DQ107" s="208"/>
      <c r="DR107" s="208"/>
      <c r="DS107" s="208"/>
      <c r="DT107" s="208"/>
      <c r="DU107" s="208"/>
      <c r="DV107" s="208"/>
      <c r="DW107" s="208"/>
      <c r="DX107" s="208"/>
      <c r="DY107" s="208"/>
      <c r="DZ107" s="208"/>
      <c r="EA107" s="210"/>
      <c r="EB107" s="211"/>
      <c r="EC107" s="211"/>
      <c r="ED107" s="211"/>
      <c r="EE107" s="211"/>
      <c r="EF107" s="207"/>
      <c r="EG107" s="209"/>
      <c r="EH107" s="213"/>
      <c r="EI107" s="214"/>
      <c r="EJ107" s="214"/>
      <c r="EK107" s="214"/>
      <c r="EL107" s="214"/>
      <c r="EM107" s="215"/>
      <c r="EN107" s="216"/>
      <c r="EO107" s="216"/>
      <c r="EP107" s="217"/>
      <c r="EQ107" s="217"/>
      <c r="ER107" s="215"/>
      <c r="ES107" s="218"/>
      <c r="ET107" s="215"/>
      <c r="EU107" s="215"/>
      <c r="EV107" s="215"/>
      <c r="EW107" s="218"/>
      <c r="EX107" s="215"/>
      <c r="EY107" s="215"/>
      <c r="EZ107" s="218"/>
    </row>
    <row r="108" spans="13:156">
      <c r="M108" s="243"/>
      <c r="N108" s="2"/>
      <c r="O108" s="2"/>
      <c r="P108" s="36" t="s">
        <v>75</v>
      </c>
      <c r="Q108" s="37">
        <f>(W39-2*W42)/(Q60+1)</f>
        <v>200</v>
      </c>
      <c r="R108" s="36">
        <f>S60</f>
        <v>89.5</v>
      </c>
      <c r="S108" s="38">
        <f>noisuy1chieu(R108/Q108,Data!$DD$5:$DD$16,Data!$DE$5:$DE$16)</f>
        <v>4.8000000417232513E-2</v>
      </c>
      <c r="T108" s="39">
        <f>FindUsBase(W100, W101, W49, (W49-W39)/2)</f>
        <v>4.7642197608947754</v>
      </c>
      <c r="U108" s="38">
        <f>S108*T108*Q108^2/1000000</f>
        <v>9.1473020204294649E-3</v>
      </c>
      <c r="V108" s="2"/>
      <c r="W108" s="2"/>
      <c r="X108" s="239"/>
      <c r="AA108" s="18"/>
      <c r="AB108" s="18"/>
      <c r="AC108" s="18"/>
      <c r="AD108" s="19"/>
      <c r="AE108" s="19"/>
      <c r="AI108" s="18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  <c r="BA108" s="18"/>
      <c r="BG108" s="140"/>
      <c r="BH108" s="131"/>
      <c r="BI108" s="102"/>
      <c r="BJ108" s="102"/>
      <c r="BK108" s="102"/>
      <c r="BL108" s="102"/>
      <c r="BM108" s="99"/>
      <c r="BN108" s="4"/>
      <c r="BO108" s="4"/>
      <c r="BP108" s="5"/>
      <c r="BQ108" s="5"/>
      <c r="BR108" s="99"/>
      <c r="BS108" s="159"/>
      <c r="BT108" s="99"/>
      <c r="BU108" s="99"/>
      <c r="BV108" s="99"/>
      <c r="BW108" s="159"/>
      <c r="BX108" s="99"/>
      <c r="BY108" s="99"/>
      <c r="BZ108" s="159"/>
      <c r="DA108" s="155"/>
      <c r="DB108" s="155"/>
      <c r="DC108" s="155"/>
      <c r="DD108" s="207"/>
      <c r="DE108" s="207"/>
      <c r="DF108" s="155"/>
      <c r="DG108" s="155"/>
      <c r="DH108" s="155"/>
      <c r="DI108" s="155"/>
      <c r="DJ108" s="208"/>
      <c r="DK108" s="208"/>
      <c r="DL108" s="208"/>
      <c r="DM108" s="208"/>
      <c r="DN108" s="208"/>
      <c r="DO108" s="208"/>
      <c r="DP108" s="208"/>
      <c r="DQ108" s="208"/>
      <c r="DR108" s="208"/>
      <c r="DS108" s="208"/>
      <c r="DT108" s="208"/>
      <c r="DU108" s="208"/>
      <c r="DV108" s="208"/>
      <c r="DW108" s="208"/>
      <c r="DX108" s="208"/>
      <c r="DY108" s="208"/>
      <c r="DZ108" s="208"/>
      <c r="EA108" s="210"/>
      <c r="EB108" s="211"/>
      <c r="EC108" s="211"/>
      <c r="ED108" s="211"/>
      <c r="EE108" s="211"/>
      <c r="EF108" s="207"/>
      <c r="EG108" s="209"/>
      <c r="EH108" s="213"/>
      <c r="EI108" s="214"/>
      <c r="EJ108" s="214"/>
      <c r="EK108" s="214"/>
      <c r="EL108" s="214"/>
      <c r="EM108" s="215"/>
      <c r="EN108" s="216"/>
      <c r="EO108" s="216"/>
      <c r="EP108" s="217"/>
      <c r="EQ108" s="217"/>
      <c r="ER108" s="215"/>
      <c r="ES108" s="218"/>
      <c r="ET108" s="215"/>
      <c r="EU108" s="215"/>
      <c r="EV108" s="215"/>
      <c r="EW108" s="218"/>
      <c r="EX108" s="215"/>
      <c r="EY108" s="215"/>
      <c r="EZ108" s="218"/>
    </row>
    <row r="109" spans="13:156">
      <c r="M109" s="243" t="s">
        <v>369</v>
      </c>
      <c r="N109" s="2"/>
      <c r="O109" s="2"/>
      <c r="P109" s="21"/>
      <c r="Q109" s="255"/>
      <c r="R109" s="132"/>
      <c r="S109" s="2"/>
      <c r="T109" s="2"/>
      <c r="U109" s="2"/>
      <c r="V109" s="2"/>
      <c r="W109" s="2"/>
      <c r="X109" s="239"/>
      <c r="AA109" s="18"/>
      <c r="AB109" s="18"/>
      <c r="AC109" s="18"/>
      <c r="AD109" s="19"/>
      <c r="AE109" s="19"/>
      <c r="AI109" s="18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  <c r="BA109" s="18"/>
      <c r="BG109" s="140"/>
      <c r="BH109" s="131"/>
      <c r="BI109" s="102"/>
      <c r="BJ109" s="102"/>
      <c r="BK109" s="102"/>
      <c r="BL109" s="102"/>
      <c r="BM109" s="99"/>
      <c r="BN109" s="4"/>
      <c r="BO109" s="4"/>
      <c r="BP109" s="5"/>
      <c r="BQ109" s="5"/>
      <c r="BR109" s="99"/>
      <c r="BS109" s="159"/>
      <c r="BT109" s="99"/>
      <c r="BU109" s="99"/>
      <c r="BV109" s="99"/>
      <c r="BW109" s="159"/>
      <c r="BX109" s="99"/>
      <c r="BY109" s="99"/>
      <c r="BZ109" s="159"/>
      <c r="DA109" s="155"/>
      <c r="DB109" s="155"/>
      <c r="DC109" s="155"/>
      <c r="DD109" s="207"/>
      <c r="DE109" s="207"/>
      <c r="DF109" s="155"/>
      <c r="DG109" s="155"/>
      <c r="DH109" s="155"/>
      <c r="DI109" s="155"/>
      <c r="DJ109" s="208"/>
      <c r="DK109" s="208"/>
      <c r="DL109" s="208"/>
      <c r="DM109" s="208"/>
      <c r="DN109" s="208"/>
      <c r="DO109" s="208"/>
      <c r="DP109" s="208"/>
      <c r="DQ109" s="208"/>
      <c r="DR109" s="208"/>
      <c r="DS109" s="208"/>
      <c r="DT109" s="208"/>
      <c r="DU109" s="208"/>
      <c r="DV109" s="208"/>
      <c r="DW109" s="208"/>
      <c r="DX109" s="208"/>
      <c r="DY109" s="208"/>
      <c r="DZ109" s="208"/>
      <c r="EA109" s="210"/>
      <c r="EB109" s="211"/>
      <c r="EC109" s="211"/>
      <c r="ED109" s="211"/>
      <c r="EE109" s="211"/>
      <c r="EF109" s="207"/>
      <c r="EG109" s="209"/>
      <c r="EH109" s="213"/>
      <c r="EI109" s="214"/>
      <c r="EJ109" s="214"/>
      <c r="EK109" s="214"/>
      <c r="EL109" s="214"/>
      <c r="EM109" s="215"/>
      <c r="EN109" s="216"/>
      <c r="EO109" s="216"/>
      <c r="EP109" s="217"/>
      <c r="EQ109" s="217"/>
      <c r="ER109" s="215"/>
      <c r="ES109" s="218"/>
      <c r="ET109" s="215"/>
      <c r="EU109" s="215"/>
      <c r="EV109" s="215"/>
      <c r="EW109" s="218"/>
      <c r="EX109" s="215"/>
      <c r="EY109" s="215"/>
      <c r="EZ109" s="218"/>
    </row>
    <row r="110" spans="13:156" ht="15">
      <c r="M110" s="243"/>
      <c r="N110" s="2"/>
      <c r="O110" s="2"/>
      <c r="P110" s="321" t="s">
        <v>74</v>
      </c>
      <c r="Q110" s="27" t="s">
        <v>117</v>
      </c>
      <c r="R110" s="27" t="s">
        <v>118</v>
      </c>
      <c r="S110" s="323" t="s">
        <v>116</v>
      </c>
      <c r="T110" s="29" t="s">
        <v>180</v>
      </c>
      <c r="U110" s="27" t="s">
        <v>178</v>
      </c>
      <c r="V110" s="2"/>
      <c r="W110" s="2"/>
      <c r="X110" s="239"/>
      <c r="AA110" s="18"/>
      <c r="AB110" s="18"/>
      <c r="AC110" s="18"/>
      <c r="AD110" s="19"/>
      <c r="AE110" s="19"/>
      <c r="AI110" s="18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  <c r="BA110" s="18"/>
      <c r="BG110" s="140"/>
      <c r="BH110" s="131"/>
      <c r="BI110" s="102"/>
      <c r="BJ110" s="102"/>
      <c r="BK110" s="102"/>
      <c r="BL110" s="102"/>
      <c r="BM110" s="99"/>
      <c r="BN110" s="4"/>
      <c r="BO110" s="4"/>
      <c r="BP110" s="5"/>
      <c r="BQ110" s="5"/>
      <c r="BR110" s="99"/>
      <c r="BS110" s="159"/>
      <c r="BT110" s="99"/>
      <c r="BU110" s="99"/>
      <c r="BV110" s="99"/>
      <c r="BW110" s="159"/>
      <c r="BX110" s="99"/>
      <c r="BY110" s="99"/>
      <c r="BZ110" s="159"/>
      <c r="DA110" s="155"/>
      <c r="DB110" s="155"/>
      <c r="DC110" s="155"/>
      <c r="DD110" s="207"/>
      <c r="DE110" s="207"/>
      <c r="DF110" s="155"/>
      <c r="DG110" s="155"/>
      <c r="DH110" s="155"/>
      <c r="DI110" s="155"/>
      <c r="DJ110" s="208"/>
      <c r="DK110" s="208"/>
      <c r="DL110" s="208"/>
      <c r="DM110" s="208"/>
      <c r="DN110" s="208"/>
      <c r="DO110" s="208"/>
      <c r="DP110" s="208"/>
      <c r="DQ110" s="208"/>
      <c r="DR110" s="208"/>
      <c r="DS110" s="208"/>
      <c r="DT110" s="208"/>
      <c r="DU110" s="208"/>
      <c r="DV110" s="208"/>
      <c r="DW110" s="208"/>
      <c r="DX110" s="208"/>
      <c r="DY110" s="208"/>
      <c r="DZ110" s="208"/>
      <c r="EA110" s="210"/>
      <c r="EB110" s="211"/>
      <c r="EC110" s="211"/>
      <c r="ED110" s="211"/>
      <c r="EE110" s="211"/>
      <c r="EF110" s="207"/>
      <c r="EG110" s="209"/>
      <c r="EH110" s="213"/>
      <c r="EI110" s="214"/>
      <c r="EJ110" s="214"/>
      <c r="EK110" s="214"/>
      <c r="EL110" s="214"/>
      <c r="EM110" s="215"/>
      <c r="EN110" s="216"/>
      <c r="EO110" s="216"/>
      <c r="EP110" s="217"/>
      <c r="EQ110" s="217"/>
      <c r="ER110" s="215"/>
      <c r="ES110" s="218"/>
      <c r="ET110" s="215"/>
      <c r="EU110" s="215"/>
      <c r="EV110" s="215"/>
      <c r="EW110" s="218"/>
      <c r="EX110" s="215"/>
      <c r="EY110" s="215"/>
      <c r="EZ110" s="218"/>
    </row>
    <row r="111" spans="13:156">
      <c r="M111" s="243"/>
      <c r="N111" s="2"/>
      <c r="O111" s="2"/>
      <c r="P111" s="322"/>
      <c r="Q111" s="28" t="s">
        <v>179</v>
      </c>
      <c r="R111" s="28" t="s">
        <v>179</v>
      </c>
      <c r="S111" s="324"/>
      <c r="T111" s="30" t="s">
        <v>20</v>
      </c>
      <c r="U111" s="26" t="s">
        <v>72</v>
      </c>
      <c r="V111" s="2"/>
      <c r="W111" s="2"/>
      <c r="X111" s="239"/>
      <c r="AA111" s="18"/>
      <c r="AB111" s="18"/>
      <c r="AC111" s="18"/>
      <c r="AD111" s="19"/>
      <c r="AE111" s="19"/>
      <c r="AI111" s="18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  <c r="BA111" s="18"/>
      <c r="BG111" s="140"/>
      <c r="BH111" s="131"/>
      <c r="BI111" s="102"/>
      <c r="BJ111" s="102"/>
      <c r="BK111" s="102"/>
      <c r="BL111" s="102"/>
      <c r="BM111" s="99"/>
      <c r="BN111" s="4"/>
      <c r="BO111" s="4"/>
      <c r="BP111" s="5"/>
      <c r="BQ111" s="5"/>
      <c r="BR111" s="99"/>
      <c r="BS111" s="159"/>
      <c r="BT111" s="99"/>
      <c r="BU111" s="99"/>
      <c r="BV111" s="99"/>
      <c r="BW111" s="159"/>
      <c r="BX111" s="99"/>
      <c r="BY111" s="99"/>
      <c r="BZ111" s="159"/>
      <c r="DA111" s="155"/>
      <c r="DB111" s="155"/>
      <c r="DC111" s="155"/>
      <c r="DD111" s="207"/>
      <c r="DE111" s="207"/>
      <c r="DF111" s="155"/>
      <c r="DG111" s="155"/>
      <c r="DH111" s="155"/>
      <c r="DI111" s="155"/>
      <c r="DJ111" s="208"/>
      <c r="DK111" s="208"/>
      <c r="DL111" s="208"/>
      <c r="DM111" s="208"/>
      <c r="DN111" s="208"/>
      <c r="DO111" s="208"/>
      <c r="DP111" s="208"/>
      <c r="DQ111" s="208"/>
      <c r="DR111" s="208"/>
      <c r="DS111" s="208"/>
      <c r="DT111" s="208"/>
      <c r="DU111" s="208"/>
      <c r="DV111" s="208"/>
      <c r="DW111" s="208"/>
      <c r="DX111" s="208"/>
      <c r="DY111" s="208"/>
      <c r="DZ111" s="208"/>
      <c r="EA111" s="210"/>
      <c r="EB111" s="211"/>
      <c r="EC111" s="211"/>
      <c r="ED111" s="211"/>
      <c r="EE111" s="211"/>
      <c r="EF111" s="207"/>
      <c r="EG111" s="209"/>
      <c r="EH111" s="213"/>
      <c r="EI111" s="214"/>
      <c r="EJ111" s="214"/>
      <c r="EK111" s="214"/>
      <c r="EL111" s="214"/>
      <c r="EM111" s="215"/>
      <c r="EN111" s="216"/>
      <c r="EO111" s="216"/>
      <c r="EP111" s="217"/>
      <c r="EQ111" s="217"/>
      <c r="ER111" s="215"/>
      <c r="ES111" s="218"/>
      <c r="ET111" s="215"/>
      <c r="EU111" s="215"/>
      <c r="EV111" s="215"/>
      <c r="EW111" s="218"/>
      <c r="EX111" s="215"/>
      <c r="EY111" s="215"/>
      <c r="EZ111" s="218"/>
    </row>
    <row r="112" spans="13:156">
      <c r="M112" s="243"/>
      <c r="N112" s="2"/>
      <c r="O112" s="2"/>
      <c r="P112" s="31" t="s">
        <v>370</v>
      </c>
      <c r="Q112" s="32" t="str">
        <f>IF(Q61=0,(W49-W39)/2,"-")</f>
        <v>-</v>
      </c>
      <c r="R112" s="33" t="s">
        <v>371</v>
      </c>
      <c r="S112" s="35" t="str">
        <f>IF(Q61=0,0.5,"-")</f>
        <v>-</v>
      </c>
      <c r="T112" s="35" t="str">
        <f>IF(Q61=0,W100,"-")</f>
        <v>-</v>
      </c>
      <c r="U112" s="34" t="str">
        <f>IFERROR(S112*T112*Q112^2/1000000,"-")</f>
        <v>-</v>
      </c>
      <c r="V112" s="2"/>
      <c r="W112" s="2"/>
      <c r="X112" s="239"/>
      <c r="AA112" s="18"/>
      <c r="AB112" s="18"/>
      <c r="AC112" s="18"/>
      <c r="AD112" s="19"/>
      <c r="AE112" s="19"/>
      <c r="AI112" s="18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  <c r="BA112" s="18"/>
      <c r="BG112" s="140"/>
      <c r="BH112" s="131"/>
      <c r="BI112" s="102"/>
      <c r="BJ112" s="102"/>
      <c r="BK112" s="102"/>
      <c r="BL112" s="102"/>
      <c r="BM112" s="99"/>
      <c r="BN112" s="4"/>
      <c r="BO112" s="4"/>
      <c r="BP112" s="5"/>
      <c r="BQ112" s="5"/>
      <c r="BR112" s="99"/>
      <c r="BS112" s="159"/>
      <c r="BT112" s="99"/>
      <c r="BU112" s="99"/>
      <c r="BV112" s="99"/>
      <c r="BW112" s="159"/>
      <c r="BX112" s="99"/>
      <c r="BY112" s="99"/>
      <c r="BZ112" s="159"/>
      <c r="DA112" s="155"/>
      <c r="DB112" s="155"/>
      <c r="DC112" s="155"/>
      <c r="DD112" s="207"/>
      <c r="DE112" s="207"/>
      <c r="DF112" s="155"/>
      <c r="DG112" s="155"/>
      <c r="DH112" s="155"/>
      <c r="DI112" s="155"/>
      <c r="DJ112" s="208"/>
      <c r="DK112" s="208"/>
      <c r="DL112" s="208"/>
      <c r="DM112" s="208"/>
      <c r="DN112" s="208"/>
      <c r="DO112" s="208"/>
      <c r="DP112" s="208"/>
      <c r="DQ112" s="208"/>
      <c r="DR112" s="208"/>
      <c r="DS112" s="208"/>
      <c r="DT112" s="208"/>
      <c r="DU112" s="208"/>
      <c r="DV112" s="208"/>
      <c r="DW112" s="208"/>
      <c r="DX112" s="208"/>
      <c r="DY112" s="208"/>
      <c r="DZ112" s="208"/>
      <c r="EA112" s="210"/>
      <c r="EB112" s="211"/>
      <c r="EC112" s="211"/>
      <c r="ED112" s="211"/>
      <c r="EE112" s="211"/>
      <c r="EF112" s="207"/>
      <c r="EG112" s="209"/>
      <c r="EH112" s="213"/>
      <c r="EI112" s="214"/>
      <c r="EJ112" s="214"/>
      <c r="EK112" s="214"/>
      <c r="EL112" s="214"/>
      <c r="EM112" s="215"/>
      <c r="EN112" s="216"/>
      <c r="EO112" s="216"/>
      <c r="EP112" s="217"/>
      <c r="EQ112" s="217"/>
      <c r="ER112" s="215"/>
      <c r="ES112" s="218"/>
      <c r="ET112" s="215"/>
      <c r="EU112" s="215"/>
      <c r="EV112" s="215"/>
      <c r="EW112" s="218"/>
      <c r="EX112" s="215"/>
      <c r="EY112" s="215"/>
      <c r="EZ112" s="218"/>
    </row>
    <row r="113" spans="13:156">
      <c r="M113" s="243"/>
      <c r="N113" s="2"/>
      <c r="O113" s="2"/>
      <c r="P113" s="123" t="s">
        <v>177</v>
      </c>
      <c r="Q113" s="124">
        <f>IF(Q61=0,"-",SQRT(((W49-W39)/2)^2+(W50/(Q61+1))^2))</f>
        <v>167.73789077009405</v>
      </c>
      <c r="R113" s="125">
        <f>IF(Q113="-","-",((W49-W39)/2)*(W50/(Q61+1))/Q113)</f>
        <v>82.151980907445818</v>
      </c>
      <c r="S113" s="126">
        <f>IFERROR(noisuy1chieu(R113/Q113,Data!$DD$5:$DD$16,Data!$DE$5:$DE$16),"-")</f>
        <v>4.8000000417232513E-2</v>
      </c>
      <c r="T113" s="127">
        <f>IF(Q61=0,"-",W100)</f>
        <v>6.6418728985918465</v>
      </c>
      <c r="U113" s="126">
        <f>IFERROR(S113*T113*Q113^2/1000000,"-")</f>
        <v>8.9700353999600836E-3</v>
      </c>
      <c r="V113" s="2"/>
      <c r="W113" s="2"/>
      <c r="X113" s="239"/>
      <c r="AA113" s="18"/>
      <c r="AB113" s="18"/>
      <c r="AC113" s="18"/>
      <c r="AD113" s="19"/>
      <c r="AE113" s="19"/>
      <c r="AI113" s="18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  <c r="BA113" s="18"/>
      <c r="BG113" s="140"/>
      <c r="BH113" s="131"/>
      <c r="BI113" s="102"/>
      <c r="BJ113" s="102"/>
      <c r="BK113" s="102"/>
      <c r="BL113" s="102"/>
      <c r="BM113" s="99"/>
      <c r="BN113" s="4"/>
      <c r="BO113" s="4"/>
      <c r="BP113" s="5"/>
      <c r="BQ113" s="5"/>
      <c r="BR113" s="99"/>
      <c r="BS113" s="159"/>
      <c r="BT113" s="99"/>
      <c r="BU113" s="99"/>
      <c r="BV113" s="99"/>
      <c r="BW113" s="159"/>
      <c r="BX113" s="99"/>
      <c r="BY113" s="99"/>
      <c r="BZ113" s="159"/>
      <c r="DA113" s="155"/>
      <c r="DB113" s="155"/>
      <c r="DC113" s="155"/>
      <c r="DD113" s="207"/>
      <c r="DE113" s="207"/>
      <c r="DF113" s="155"/>
      <c r="DG113" s="155"/>
      <c r="DH113" s="155"/>
      <c r="DI113" s="155"/>
      <c r="DJ113" s="208"/>
      <c r="DK113" s="208"/>
      <c r="DL113" s="208"/>
      <c r="DM113" s="208"/>
      <c r="DN113" s="208"/>
      <c r="DO113" s="208"/>
      <c r="DP113" s="208"/>
      <c r="DQ113" s="208"/>
      <c r="DR113" s="208"/>
      <c r="DS113" s="208"/>
      <c r="DT113" s="208"/>
      <c r="DU113" s="208"/>
      <c r="DV113" s="208"/>
      <c r="DW113" s="208"/>
      <c r="DX113" s="208"/>
      <c r="DY113" s="208"/>
      <c r="DZ113" s="208"/>
      <c r="EA113" s="210"/>
      <c r="EB113" s="211"/>
      <c r="EC113" s="211"/>
      <c r="ED113" s="211"/>
      <c r="EE113" s="211"/>
      <c r="EF113" s="207"/>
      <c r="EG113" s="209"/>
      <c r="EH113" s="213"/>
      <c r="EI113" s="214"/>
      <c r="EJ113" s="214"/>
      <c r="EK113" s="214"/>
      <c r="EL113" s="214"/>
      <c r="EM113" s="215"/>
      <c r="EN113" s="216"/>
      <c r="EO113" s="216"/>
      <c r="EP113" s="217"/>
      <c r="EQ113" s="217"/>
      <c r="ER113" s="215"/>
      <c r="ES113" s="218"/>
      <c r="ET113" s="215"/>
      <c r="EU113" s="215"/>
      <c r="EV113" s="215"/>
      <c r="EW113" s="218"/>
      <c r="EX113" s="215"/>
      <c r="EY113" s="215"/>
      <c r="EZ113" s="218"/>
    </row>
    <row r="114" spans="13:156">
      <c r="M114" s="243"/>
      <c r="N114" s="2"/>
      <c r="O114" s="2"/>
      <c r="P114" s="36" t="s">
        <v>75</v>
      </c>
      <c r="Q114" s="37" t="str">
        <f>IF(Q61&gt;=2,W50/(Q61+1),"-")</f>
        <v>-</v>
      </c>
      <c r="R114" s="36" t="str">
        <f>IF(Q61&gt;=2,((W49-W39)/2),"-")</f>
        <v>-</v>
      </c>
      <c r="S114" s="38" t="str">
        <f>IFERROR(noisuy1chieu(R114/Q114,Data!$DD$5:$DD$16,Data!$DE$5:$DE$16),"-")</f>
        <v>-</v>
      </c>
      <c r="T114" s="39" t="str">
        <f>IF(Q61&gt;=2,W100,"-")</f>
        <v>-</v>
      </c>
      <c r="U114" s="38" t="str">
        <f>IFERROR(S114*T114*Q114^2/1000000,"-")</f>
        <v>-</v>
      </c>
      <c r="V114" s="2"/>
      <c r="W114" s="2"/>
      <c r="X114" s="239"/>
      <c r="AA114" s="18"/>
      <c r="AB114" s="18"/>
      <c r="AC114" s="18"/>
      <c r="AD114" s="19"/>
      <c r="AE114" s="19"/>
      <c r="AI114" s="18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  <c r="BA114" s="18"/>
      <c r="BG114" s="140"/>
      <c r="BH114" s="131"/>
      <c r="BI114" s="102"/>
      <c r="BJ114" s="102"/>
      <c r="BK114" s="102"/>
      <c r="BL114" s="102"/>
      <c r="BM114" s="99"/>
      <c r="BN114" s="4"/>
      <c r="BO114" s="4"/>
      <c r="BP114" s="5"/>
      <c r="BQ114" s="5"/>
      <c r="BR114" s="99"/>
      <c r="BS114" s="159"/>
      <c r="BT114" s="99"/>
      <c r="BU114" s="99"/>
      <c r="BV114" s="99"/>
      <c r="BW114" s="159"/>
      <c r="BX114" s="99"/>
      <c r="BY114" s="99"/>
      <c r="BZ114" s="159"/>
      <c r="DA114" s="155"/>
      <c r="DB114" s="155"/>
      <c r="DC114" s="155"/>
      <c r="DD114" s="207"/>
      <c r="DE114" s="207"/>
      <c r="DF114" s="155"/>
      <c r="DG114" s="155"/>
      <c r="DH114" s="155"/>
      <c r="DI114" s="155"/>
      <c r="DJ114" s="208"/>
      <c r="DK114" s="208"/>
      <c r="DL114" s="208"/>
      <c r="DM114" s="208"/>
      <c r="DN114" s="208"/>
      <c r="DO114" s="208"/>
      <c r="DP114" s="208"/>
      <c r="DQ114" s="208"/>
      <c r="DR114" s="208"/>
      <c r="DS114" s="208"/>
      <c r="DT114" s="208"/>
      <c r="DU114" s="208"/>
      <c r="DV114" s="208"/>
      <c r="DW114" s="208"/>
      <c r="DX114" s="208"/>
      <c r="DY114" s="208"/>
      <c r="DZ114" s="208"/>
      <c r="EA114" s="210"/>
      <c r="EB114" s="211"/>
      <c r="EC114" s="211"/>
      <c r="ED114" s="211"/>
      <c r="EE114" s="211"/>
      <c r="EF114" s="207"/>
      <c r="EG114" s="209"/>
      <c r="EH114" s="213"/>
      <c r="EI114" s="214"/>
      <c r="EJ114" s="214"/>
      <c r="EK114" s="214"/>
      <c r="EL114" s="214"/>
      <c r="EM114" s="215"/>
      <c r="EN114" s="216"/>
      <c r="EO114" s="216"/>
      <c r="EP114" s="217"/>
      <c r="EQ114" s="217"/>
      <c r="ER114" s="215"/>
      <c r="ES114" s="218"/>
      <c r="ET114" s="215"/>
      <c r="EU114" s="215"/>
      <c r="EV114" s="215"/>
      <c r="EW114" s="218"/>
      <c r="EX114" s="215"/>
      <c r="EY114" s="215"/>
      <c r="EZ114" s="218"/>
    </row>
    <row r="115" spans="13:156" ht="15">
      <c r="M115" s="244" t="str">
        <f>"- Moment uốn trong bản đế:"</f>
        <v>- Moment uốn trong bản đế:</v>
      </c>
      <c r="N115" s="2"/>
      <c r="O115" s="2"/>
      <c r="P115" s="2"/>
      <c r="Q115" s="2"/>
      <c r="R115" s="2"/>
      <c r="S115" s="2"/>
      <c r="T115" s="2"/>
      <c r="U115" s="2"/>
      <c r="V115" s="21" t="s">
        <v>119</v>
      </c>
      <c r="W115" s="269">
        <f>MAX(IFERROR(VALUE(U108),0),IFERROR(VALUE(U112),0),IFERROR(VALUE(U113),0),IFERROR(VALUE(U114),0))</f>
        <v>9.1473020204294649E-3</v>
      </c>
      <c r="X115" s="239" t="s">
        <v>120</v>
      </c>
      <c r="AA115" s="18"/>
      <c r="AB115" s="18"/>
      <c r="AC115" s="18"/>
      <c r="AD115" s="19"/>
      <c r="AE115" s="19"/>
      <c r="AI115" s="18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  <c r="BA115" s="18"/>
      <c r="BG115" s="140"/>
      <c r="BH115" s="131"/>
      <c r="BI115" s="102"/>
      <c r="BJ115" s="102"/>
      <c r="BK115" s="102"/>
      <c r="BL115" s="102"/>
      <c r="BM115" s="99"/>
      <c r="BN115" s="4"/>
      <c r="BO115" s="4"/>
      <c r="BP115" s="5"/>
      <c r="BQ115" s="5"/>
      <c r="BR115" s="99"/>
      <c r="BS115" s="159"/>
      <c r="BT115" s="99"/>
      <c r="BU115" s="99"/>
      <c r="BV115" s="99"/>
      <c r="BW115" s="159"/>
      <c r="BX115" s="99"/>
      <c r="BY115" s="99"/>
      <c r="BZ115" s="159"/>
      <c r="DA115" s="155"/>
      <c r="DB115" s="155"/>
      <c r="DC115" s="155"/>
      <c r="DD115" s="207"/>
      <c r="DE115" s="207"/>
      <c r="DF115" s="155"/>
      <c r="DG115" s="155"/>
      <c r="DH115" s="155"/>
      <c r="DI115" s="155"/>
      <c r="DJ115" s="208"/>
      <c r="DK115" s="208"/>
      <c r="DL115" s="208"/>
      <c r="DM115" s="208"/>
      <c r="DN115" s="208"/>
      <c r="DO115" s="208"/>
      <c r="DP115" s="208"/>
      <c r="DQ115" s="208"/>
      <c r="DR115" s="208"/>
      <c r="DS115" s="208"/>
      <c r="DT115" s="208"/>
      <c r="DU115" s="208"/>
      <c r="DV115" s="208"/>
      <c r="DW115" s="208"/>
      <c r="DX115" s="208"/>
      <c r="DY115" s="208"/>
      <c r="DZ115" s="208"/>
      <c r="EA115" s="210"/>
      <c r="EB115" s="211"/>
      <c r="EC115" s="211"/>
      <c r="ED115" s="211"/>
      <c r="EE115" s="211"/>
      <c r="EF115" s="207"/>
      <c r="EG115" s="209"/>
      <c r="EH115" s="213"/>
      <c r="EI115" s="214"/>
      <c r="EJ115" s="214"/>
      <c r="EK115" s="214"/>
      <c r="EL115" s="214"/>
      <c r="EM115" s="215"/>
      <c r="EN115" s="216"/>
      <c r="EO115" s="216"/>
      <c r="EP115" s="217"/>
      <c r="EQ115" s="217"/>
      <c r="ER115" s="215"/>
      <c r="ES115" s="218"/>
      <c r="ET115" s="215"/>
      <c r="EU115" s="215"/>
      <c r="EV115" s="215"/>
      <c r="EW115" s="218"/>
      <c r="EX115" s="215"/>
      <c r="EY115" s="215"/>
      <c r="EZ115" s="218"/>
    </row>
    <row r="116" spans="13:156" ht="15">
      <c r="M116" s="244" t="str">
        <f>"- Chiều dày tối thiểu của bản đế:"</f>
        <v>- Chiều dày tối thiểu của bản đế:</v>
      </c>
      <c r="N116" s="2"/>
      <c r="O116" s="2"/>
      <c r="P116" s="2"/>
      <c r="Q116" s="2"/>
      <c r="R116" s="2"/>
      <c r="S116" s="2"/>
      <c r="T116" s="2"/>
      <c r="U116" s="2"/>
      <c r="V116" s="21" t="s">
        <v>372</v>
      </c>
      <c r="W116" s="270">
        <f>SQRT((6*W115)/(W25*W26))*1000</f>
        <v>14.145572865631655</v>
      </c>
      <c r="X116" s="239" t="s">
        <v>1</v>
      </c>
      <c r="AA116" s="18"/>
      <c r="AB116" s="18"/>
      <c r="AC116" s="18"/>
      <c r="AD116" s="19"/>
      <c r="AE116" s="19"/>
      <c r="AI116" s="18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  <c r="BA116" s="18"/>
      <c r="BG116" s="140"/>
      <c r="BH116" s="131"/>
      <c r="BI116" s="102"/>
      <c r="BJ116" s="102"/>
      <c r="BK116" s="102"/>
      <c r="BL116" s="102"/>
      <c r="BM116" s="99"/>
      <c r="BN116" s="4"/>
      <c r="BO116" s="4"/>
      <c r="BP116" s="5"/>
      <c r="BQ116" s="5"/>
      <c r="BR116" s="99"/>
      <c r="BS116" s="159"/>
      <c r="BT116" s="99"/>
      <c r="BU116" s="99"/>
      <c r="BV116" s="99"/>
      <c r="BW116" s="159"/>
      <c r="BX116" s="99"/>
      <c r="BY116" s="99"/>
      <c r="BZ116" s="159"/>
      <c r="DA116" s="155"/>
      <c r="DB116" s="155"/>
      <c r="DC116" s="155"/>
      <c r="DD116" s="207"/>
      <c r="DE116" s="207"/>
      <c r="DF116" s="155"/>
      <c r="DG116" s="155"/>
      <c r="DH116" s="155"/>
      <c r="DI116" s="155"/>
      <c r="DJ116" s="208"/>
      <c r="DK116" s="208"/>
      <c r="DL116" s="208"/>
      <c r="DM116" s="208"/>
      <c r="DN116" s="208"/>
      <c r="DO116" s="208"/>
      <c r="DP116" s="208"/>
      <c r="DQ116" s="208"/>
      <c r="DR116" s="208"/>
      <c r="DS116" s="208"/>
      <c r="DT116" s="208"/>
      <c r="DU116" s="208"/>
      <c r="DV116" s="208"/>
      <c r="DW116" s="208"/>
      <c r="DX116" s="208"/>
      <c r="DY116" s="208"/>
      <c r="DZ116" s="208"/>
      <c r="EA116" s="210"/>
      <c r="EB116" s="211"/>
      <c r="EC116" s="211"/>
      <c r="ED116" s="211"/>
      <c r="EE116" s="211"/>
      <c r="EF116" s="207"/>
      <c r="EG116" s="209"/>
      <c r="EH116" s="213"/>
      <c r="EI116" s="214"/>
      <c r="EJ116" s="214"/>
      <c r="EK116" s="214"/>
      <c r="EL116" s="214"/>
      <c r="EM116" s="215"/>
      <c r="EN116" s="216"/>
      <c r="EO116" s="216"/>
      <c r="EP116" s="217"/>
      <c r="EQ116" s="217"/>
      <c r="ER116" s="215"/>
      <c r="ES116" s="218"/>
      <c r="ET116" s="215"/>
      <c r="EU116" s="215"/>
      <c r="EV116" s="215"/>
      <c r="EW116" s="218"/>
      <c r="EX116" s="215"/>
      <c r="EY116" s="215"/>
      <c r="EZ116" s="218"/>
    </row>
    <row r="117" spans="13:156">
      <c r="M117" s="244" t="str">
        <f>"- Tỷ số huy động cấu kiện:"</f>
        <v>- Tỷ số huy động cấu kiện:</v>
      </c>
      <c r="N117" s="2"/>
      <c r="O117" s="2"/>
      <c r="P117" s="2"/>
      <c r="Q117" s="2"/>
      <c r="R117" s="2"/>
      <c r="S117" s="2"/>
      <c r="T117" s="2"/>
      <c r="U117" s="2"/>
      <c r="V117" s="21"/>
      <c r="W117" s="263">
        <f>W116/W51</f>
        <v>0.47151909552105514</v>
      </c>
      <c r="X117" s="245" t="str">
        <f>IF(W117&lt;=1,"OK","Check")</f>
        <v>OK</v>
      </c>
      <c r="AA117" s="18"/>
      <c r="AB117" s="18"/>
      <c r="AC117" s="18"/>
      <c r="AD117" s="19"/>
      <c r="AE117" s="19"/>
      <c r="AI117" s="18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  <c r="BA117" s="18"/>
      <c r="BG117" s="140"/>
      <c r="BH117" s="131"/>
      <c r="BI117" s="102"/>
      <c r="BJ117" s="102"/>
      <c r="BK117" s="102"/>
      <c r="BL117" s="102"/>
      <c r="BM117" s="99"/>
      <c r="BN117" s="4"/>
      <c r="BO117" s="4"/>
      <c r="BP117" s="5"/>
      <c r="BQ117" s="5"/>
      <c r="BR117" s="99"/>
      <c r="BS117" s="159"/>
      <c r="BT117" s="99"/>
      <c r="BU117" s="99"/>
      <c r="BV117" s="99"/>
      <c r="BW117" s="159"/>
      <c r="BX117" s="99"/>
      <c r="BY117" s="99"/>
      <c r="BZ117" s="159"/>
      <c r="DA117" s="155"/>
      <c r="DB117" s="155"/>
      <c r="DC117" s="155"/>
      <c r="DD117" s="207"/>
      <c r="DE117" s="207"/>
      <c r="DF117" s="155"/>
      <c r="DG117" s="155"/>
      <c r="DH117" s="155"/>
      <c r="DI117" s="155"/>
      <c r="DJ117" s="208"/>
      <c r="DK117" s="208"/>
      <c r="DL117" s="208"/>
      <c r="DM117" s="208"/>
      <c r="DN117" s="208"/>
      <c r="DO117" s="208"/>
      <c r="DP117" s="208"/>
      <c r="DQ117" s="208"/>
      <c r="DR117" s="208"/>
      <c r="DS117" s="208"/>
      <c r="DT117" s="208"/>
      <c r="DU117" s="208"/>
      <c r="DV117" s="208"/>
      <c r="DW117" s="208"/>
      <c r="DX117" s="208"/>
      <c r="DY117" s="208"/>
      <c r="DZ117" s="208"/>
      <c r="EA117" s="210"/>
      <c r="EB117" s="211"/>
      <c r="EC117" s="211"/>
      <c r="ED117" s="211"/>
      <c r="EE117" s="211"/>
      <c r="EF117" s="207"/>
      <c r="EG117" s="209"/>
      <c r="EH117" s="213"/>
      <c r="EI117" s="214"/>
      <c r="EJ117" s="214"/>
      <c r="EK117" s="214"/>
      <c r="EL117" s="214"/>
      <c r="EM117" s="215"/>
      <c r="EN117" s="216"/>
      <c r="EO117" s="216"/>
      <c r="EP117" s="217"/>
      <c r="EQ117" s="217"/>
      <c r="ER117" s="215"/>
      <c r="ES117" s="218"/>
      <c r="ET117" s="215"/>
      <c r="EU117" s="215"/>
      <c r="EV117" s="215"/>
      <c r="EW117" s="218"/>
      <c r="EX117" s="215"/>
      <c r="EY117" s="215"/>
      <c r="EZ117" s="218"/>
    </row>
    <row r="118" spans="13:156">
      <c r="M118" s="243" t="s">
        <v>433</v>
      </c>
      <c r="N118" s="2"/>
      <c r="O118" s="2"/>
      <c r="P118" s="21"/>
      <c r="Q118" s="255"/>
      <c r="R118" s="132"/>
      <c r="S118" s="2"/>
      <c r="T118" s="2"/>
      <c r="U118" s="2"/>
      <c r="V118" s="2"/>
      <c r="W118" s="2"/>
      <c r="X118" s="239"/>
      <c r="AA118" s="18"/>
      <c r="AB118" s="18"/>
      <c r="AC118" s="18"/>
      <c r="AD118" s="19"/>
      <c r="AE118" s="19"/>
      <c r="AI118" s="18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  <c r="BA118" s="18"/>
      <c r="BG118" s="140"/>
      <c r="BH118" s="131"/>
      <c r="BI118" s="102"/>
      <c r="BJ118" s="102"/>
      <c r="BK118" s="102"/>
      <c r="BL118" s="102"/>
      <c r="BM118" s="99"/>
      <c r="BN118" s="4"/>
      <c r="BO118" s="4"/>
      <c r="BP118" s="5"/>
      <c r="BQ118" s="5"/>
      <c r="BR118" s="99"/>
      <c r="BS118" s="159"/>
      <c r="BT118" s="99"/>
      <c r="BU118" s="99"/>
      <c r="BV118" s="99"/>
      <c r="BW118" s="159"/>
      <c r="BX118" s="99"/>
      <c r="BY118" s="99"/>
      <c r="BZ118" s="159"/>
      <c r="DA118" s="155"/>
      <c r="DB118" s="155"/>
      <c r="DC118" s="155"/>
      <c r="DD118" s="207"/>
      <c r="DE118" s="207"/>
      <c r="DF118" s="155"/>
      <c r="DG118" s="155"/>
      <c r="DH118" s="155"/>
      <c r="DI118" s="155"/>
      <c r="DJ118" s="208"/>
      <c r="DK118" s="208"/>
      <c r="DL118" s="208"/>
      <c r="DM118" s="208"/>
      <c r="DN118" s="208"/>
      <c r="DO118" s="208"/>
      <c r="DP118" s="208"/>
      <c r="DQ118" s="208"/>
      <c r="DR118" s="208"/>
      <c r="DS118" s="208"/>
      <c r="DT118" s="208"/>
      <c r="DU118" s="208"/>
      <c r="DV118" s="208"/>
      <c r="DW118" s="208"/>
      <c r="DX118" s="208"/>
      <c r="DY118" s="208"/>
      <c r="DZ118" s="208"/>
      <c r="EA118" s="210"/>
      <c r="EB118" s="211"/>
      <c r="EC118" s="211"/>
      <c r="ED118" s="211"/>
      <c r="EE118" s="211"/>
      <c r="EF118" s="207"/>
      <c r="EG118" s="209"/>
      <c r="EH118" s="213"/>
      <c r="EI118" s="214"/>
      <c r="EJ118" s="214"/>
      <c r="EK118" s="214"/>
      <c r="EL118" s="214"/>
      <c r="EM118" s="215"/>
      <c r="EN118" s="216"/>
      <c r="EO118" s="216"/>
      <c r="EP118" s="217"/>
      <c r="EQ118" s="217"/>
      <c r="ER118" s="215"/>
      <c r="ES118" s="218"/>
      <c r="ET118" s="215"/>
      <c r="EU118" s="215"/>
      <c r="EV118" s="215"/>
      <c r="EW118" s="218"/>
      <c r="EX118" s="215"/>
      <c r="EY118" s="215"/>
      <c r="EZ118" s="218"/>
    </row>
    <row r="119" spans="13:156">
      <c r="M119" s="243"/>
      <c r="N119" s="2"/>
      <c r="O119" s="2"/>
      <c r="P119" s="21"/>
      <c r="Q119" s="255"/>
      <c r="R119" s="132"/>
      <c r="S119" s="2"/>
      <c r="T119" s="2"/>
      <c r="U119" s="2"/>
      <c r="V119" s="2"/>
      <c r="W119" s="2"/>
      <c r="X119" s="239"/>
      <c r="AA119" s="18"/>
      <c r="AB119" s="18"/>
      <c r="AC119" s="18"/>
      <c r="AD119" s="19"/>
      <c r="AE119" s="19"/>
      <c r="AI119" s="18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  <c r="BA119" s="18"/>
      <c r="BG119" s="140"/>
      <c r="BH119" s="131"/>
      <c r="BI119" s="102"/>
      <c r="BJ119" s="102"/>
      <c r="BK119" s="102"/>
      <c r="BL119" s="102"/>
      <c r="BM119" s="99"/>
      <c r="BN119" s="4"/>
      <c r="BO119" s="4"/>
      <c r="BP119" s="5"/>
      <c r="BQ119" s="5"/>
      <c r="BR119" s="99"/>
      <c r="BS119" s="159"/>
      <c r="BT119" s="99"/>
      <c r="BU119" s="99"/>
      <c r="BV119" s="99"/>
      <c r="BW119" s="159"/>
      <c r="BX119" s="99"/>
      <c r="BY119" s="99"/>
      <c r="BZ119" s="159"/>
      <c r="DA119" s="155"/>
      <c r="DB119" s="155"/>
      <c r="DC119" s="155"/>
      <c r="DD119" s="207"/>
      <c r="DE119" s="207"/>
      <c r="DF119" s="155"/>
      <c r="DG119" s="155"/>
      <c r="DH119" s="155"/>
      <c r="DI119" s="155"/>
      <c r="DJ119" s="208"/>
      <c r="DK119" s="208"/>
      <c r="DL119" s="208"/>
      <c r="DM119" s="208"/>
      <c r="DN119" s="208"/>
      <c r="DO119" s="208"/>
      <c r="DP119" s="208"/>
      <c r="DQ119" s="208"/>
      <c r="DR119" s="208"/>
      <c r="DS119" s="208"/>
      <c r="DT119" s="208"/>
      <c r="DU119" s="208"/>
      <c r="DV119" s="208"/>
      <c r="DW119" s="208"/>
      <c r="DX119" s="208"/>
      <c r="DY119" s="208"/>
      <c r="DZ119" s="208"/>
      <c r="EA119" s="210"/>
      <c r="EB119" s="211"/>
      <c r="EC119" s="211"/>
      <c r="ED119" s="211"/>
      <c r="EE119" s="211"/>
      <c r="EF119" s="207"/>
      <c r="EG119" s="209"/>
      <c r="EH119" s="213"/>
      <c r="EI119" s="214"/>
      <c r="EJ119" s="214"/>
      <c r="EK119" s="214"/>
      <c r="EL119" s="214"/>
      <c r="EM119" s="215"/>
      <c r="EN119" s="216"/>
      <c r="EO119" s="216"/>
      <c r="EP119" s="217"/>
      <c r="EQ119" s="217"/>
      <c r="ER119" s="215"/>
      <c r="ES119" s="218"/>
      <c r="ET119" s="215"/>
      <c r="EU119" s="215"/>
      <c r="EV119" s="215"/>
      <c r="EW119" s="218"/>
      <c r="EX119" s="215"/>
      <c r="EY119" s="215"/>
      <c r="EZ119" s="218"/>
    </row>
    <row r="120" spans="13:156">
      <c r="M120" s="243"/>
      <c r="N120" s="2"/>
      <c r="O120" s="2"/>
      <c r="P120" s="21"/>
      <c r="Q120" s="255"/>
      <c r="R120" s="132"/>
      <c r="S120" s="2"/>
      <c r="T120" s="2"/>
      <c r="U120" s="2"/>
      <c r="V120" s="2"/>
      <c r="W120" s="2"/>
      <c r="X120" s="239"/>
      <c r="AA120" s="18"/>
      <c r="AB120" s="18"/>
      <c r="AC120" s="18"/>
      <c r="AD120" s="19"/>
      <c r="AE120" s="19"/>
      <c r="AI120" s="18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7"/>
      <c r="AX120" s="7"/>
      <c r="AY120" s="7"/>
      <c r="AZ120" s="7"/>
      <c r="BA120" s="18"/>
      <c r="BG120" s="140"/>
      <c r="BH120" s="131"/>
      <c r="BI120" s="102"/>
      <c r="BJ120" s="102"/>
      <c r="BK120" s="102"/>
      <c r="BL120" s="102"/>
      <c r="BM120" s="99"/>
      <c r="BN120" s="4"/>
      <c r="BO120" s="4"/>
      <c r="BP120" s="5"/>
      <c r="BQ120" s="5"/>
      <c r="BR120" s="99"/>
      <c r="BS120" s="159"/>
      <c r="BT120" s="99"/>
      <c r="BU120" s="99"/>
      <c r="BV120" s="99"/>
      <c r="BW120" s="159"/>
      <c r="BX120" s="99"/>
      <c r="BY120" s="99"/>
      <c r="BZ120" s="159"/>
      <c r="DA120" s="155"/>
      <c r="DB120" s="155"/>
      <c r="DC120" s="155"/>
      <c r="DD120" s="207"/>
      <c r="DE120" s="207"/>
      <c r="DF120" s="155"/>
      <c r="DG120" s="155"/>
      <c r="DH120" s="155"/>
      <c r="DI120" s="155"/>
      <c r="DJ120" s="208"/>
      <c r="DK120" s="208"/>
      <c r="DL120" s="208"/>
      <c r="DM120" s="208"/>
      <c r="DN120" s="208"/>
      <c r="DO120" s="208"/>
      <c r="DP120" s="208"/>
      <c r="DQ120" s="208"/>
      <c r="DR120" s="208"/>
      <c r="DS120" s="208"/>
      <c r="DT120" s="208"/>
      <c r="DU120" s="208"/>
      <c r="DV120" s="208"/>
      <c r="DW120" s="208"/>
      <c r="DX120" s="208"/>
      <c r="DY120" s="208"/>
      <c r="DZ120" s="208"/>
      <c r="EA120" s="210"/>
      <c r="EB120" s="211"/>
      <c r="EC120" s="211"/>
      <c r="ED120" s="211"/>
      <c r="EE120" s="211"/>
      <c r="EF120" s="207"/>
      <c r="EG120" s="209"/>
      <c r="EH120" s="213"/>
      <c r="EI120" s="214"/>
      <c r="EJ120" s="214"/>
      <c r="EK120" s="214"/>
      <c r="EL120" s="214"/>
      <c r="EM120" s="215"/>
      <c r="EN120" s="216"/>
      <c r="EO120" s="216"/>
      <c r="EP120" s="217"/>
      <c r="EQ120" s="217"/>
      <c r="ER120" s="215"/>
      <c r="ES120" s="218"/>
      <c r="ET120" s="215"/>
      <c r="EU120" s="215"/>
      <c r="EV120" s="215"/>
      <c r="EW120" s="218"/>
      <c r="EX120" s="215"/>
      <c r="EY120" s="215"/>
      <c r="EZ120" s="218"/>
    </row>
    <row r="121" spans="13:156">
      <c r="M121" s="243"/>
      <c r="N121" s="2"/>
      <c r="O121" s="2"/>
      <c r="P121" s="21"/>
      <c r="Q121" s="255"/>
      <c r="R121" s="132"/>
      <c r="S121" s="2"/>
      <c r="T121" s="2"/>
      <c r="U121" s="2"/>
      <c r="V121" s="2"/>
      <c r="W121" s="2"/>
      <c r="X121" s="239"/>
      <c r="AA121" s="18"/>
      <c r="AB121" s="18"/>
      <c r="AC121" s="18"/>
      <c r="AD121" s="19"/>
      <c r="AE121" s="19"/>
      <c r="AI121" s="18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  <c r="AU121" s="7"/>
      <c r="AV121" s="7"/>
      <c r="AW121" s="7"/>
      <c r="AX121" s="7"/>
      <c r="AY121" s="7"/>
      <c r="AZ121" s="7"/>
      <c r="BA121" s="18"/>
      <c r="BG121" s="140"/>
      <c r="BH121" s="131"/>
      <c r="BI121" s="102"/>
      <c r="BJ121" s="102"/>
      <c r="BK121" s="102"/>
      <c r="BL121" s="102"/>
      <c r="BM121" s="99"/>
      <c r="BN121" s="4"/>
      <c r="BO121" s="4"/>
      <c r="BP121" s="5"/>
      <c r="BQ121" s="5"/>
      <c r="BR121" s="99"/>
      <c r="BS121" s="159"/>
      <c r="BT121" s="99"/>
      <c r="BU121" s="99"/>
      <c r="BV121" s="99"/>
      <c r="BW121" s="159"/>
      <c r="BX121" s="99"/>
      <c r="BY121" s="99"/>
      <c r="BZ121" s="159"/>
      <c r="DA121" s="155"/>
      <c r="DB121" s="155"/>
      <c r="DC121" s="155"/>
      <c r="DD121" s="207"/>
      <c r="DE121" s="207"/>
      <c r="DF121" s="155"/>
      <c r="DG121" s="155"/>
      <c r="DH121" s="155"/>
      <c r="DI121" s="155"/>
      <c r="DJ121" s="208"/>
      <c r="DK121" s="208"/>
      <c r="DL121" s="208"/>
      <c r="DM121" s="208"/>
      <c r="DN121" s="208"/>
      <c r="DO121" s="208"/>
      <c r="DP121" s="208"/>
      <c r="DQ121" s="208"/>
      <c r="DR121" s="208"/>
      <c r="DS121" s="208"/>
      <c r="DT121" s="208"/>
      <c r="DU121" s="208"/>
      <c r="DV121" s="208"/>
      <c r="DW121" s="208"/>
      <c r="DX121" s="208"/>
      <c r="DY121" s="208"/>
      <c r="DZ121" s="208"/>
      <c r="EA121" s="210"/>
      <c r="EB121" s="211"/>
      <c r="EC121" s="211"/>
      <c r="ED121" s="211"/>
      <c r="EE121" s="211"/>
      <c r="EF121" s="207"/>
      <c r="EG121" s="209"/>
      <c r="EH121" s="213"/>
      <c r="EI121" s="214"/>
      <c r="EJ121" s="214"/>
      <c r="EK121" s="214"/>
      <c r="EL121" s="214"/>
      <c r="EM121" s="215"/>
      <c r="EN121" s="216"/>
      <c r="EO121" s="216"/>
      <c r="EP121" s="217"/>
      <c r="EQ121" s="217"/>
      <c r="ER121" s="215"/>
      <c r="ES121" s="218"/>
      <c r="ET121" s="215"/>
      <c r="EU121" s="215"/>
      <c r="EV121" s="215"/>
      <c r="EW121" s="218"/>
      <c r="EX121" s="215"/>
      <c r="EY121" s="215"/>
      <c r="EZ121" s="218"/>
    </row>
    <row r="122" spans="13:156">
      <c r="M122" s="243"/>
      <c r="N122" s="2"/>
      <c r="O122" s="2"/>
      <c r="P122" s="21"/>
      <c r="Q122" s="255"/>
      <c r="R122" s="132"/>
      <c r="S122" s="2"/>
      <c r="T122" s="2"/>
      <c r="U122" s="2"/>
      <c r="V122" s="2"/>
      <c r="W122" s="2"/>
      <c r="X122" s="239"/>
      <c r="AA122" s="18"/>
      <c r="AB122" s="18"/>
      <c r="AC122" s="18"/>
      <c r="AD122" s="19"/>
      <c r="AE122" s="19"/>
      <c r="AI122" s="18"/>
      <c r="AJ122" s="7"/>
      <c r="AK122" s="7"/>
      <c r="AL122" s="7"/>
      <c r="AM122" s="7"/>
      <c r="AN122" s="7"/>
      <c r="AO122" s="7"/>
      <c r="AP122" s="7"/>
      <c r="AQ122" s="7"/>
      <c r="AR122" s="7"/>
      <c r="AS122" s="7"/>
      <c r="AT122" s="7"/>
      <c r="AU122" s="7"/>
      <c r="AV122" s="7"/>
      <c r="AW122" s="7"/>
      <c r="AX122" s="7"/>
      <c r="AY122" s="7"/>
      <c r="AZ122" s="7"/>
      <c r="BA122" s="18"/>
      <c r="BG122" s="140"/>
      <c r="BH122" s="131"/>
      <c r="BI122" s="102"/>
      <c r="BJ122" s="102"/>
      <c r="BK122" s="102"/>
      <c r="BL122" s="102"/>
      <c r="BM122" s="99"/>
      <c r="BN122" s="4"/>
      <c r="BO122" s="4"/>
      <c r="BP122" s="5"/>
      <c r="BQ122" s="5"/>
      <c r="BR122" s="99"/>
      <c r="BS122" s="159"/>
      <c r="BT122" s="99"/>
      <c r="BU122" s="99"/>
      <c r="BV122" s="99"/>
      <c r="BW122" s="159"/>
      <c r="BX122" s="99"/>
      <c r="BY122" s="99"/>
      <c r="BZ122" s="159"/>
      <c r="DA122" s="155"/>
      <c r="DB122" s="155"/>
      <c r="DC122" s="155"/>
      <c r="DD122" s="207"/>
      <c r="DE122" s="207"/>
      <c r="DF122" s="155"/>
      <c r="DG122" s="155"/>
      <c r="DH122" s="155"/>
      <c r="DI122" s="155"/>
      <c r="DJ122" s="208"/>
      <c r="DK122" s="208"/>
      <c r="DL122" s="208"/>
      <c r="DM122" s="208"/>
      <c r="DN122" s="208"/>
      <c r="DO122" s="208"/>
      <c r="DP122" s="208"/>
      <c r="DQ122" s="208"/>
      <c r="DR122" s="208"/>
      <c r="DS122" s="208"/>
      <c r="DT122" s="208"/>
      <c r="DU122" s="208"/>
      <c r="DV122" s="208"/>
      <c r="DW122" s="208"/>
      <c r="DX122" s="208"/>
      <c r="DY122" s="208"/>
      <c r="DZ122" s="208"/>
      <c r="EA122" s="210"/>
      <c r="EB122" s="211"/>
      <c r="EC122" s="211"/>
      <c r="ED122" s="211"/>
      <c r="EE122" s="211"/>
      <c r="EF122" s="207"/>
      <c r="EG122" s="209"/>
      <c r="EH122" s="213"/>
      <c r="EI122" s="214"/>
      <c r="EJ122" s="214"/>
      <c r="EK122" s="214"/>
      <c r="EL122" s="214"/>
      <c r="EM122" s="215"/>
      <c r="EN122" s="216"/>
      <c r="EO122" s="216"/>
      <c r="EP122" s="217"/>
      <c r="EQ122" s="217"/>
      <c r="ER122" s="215"/>
      <c r="ES122" s="218"/>
      <c r="ET122" s="215"/>
      <c r="EU122" s="215"/>
      <c r="EV122" s="215"/>
      <c r="EW122" s="218"/>
      <c r="EX122" s="215"/>
      <c r="EY122" s="215"/>
      <c r="EZ122" s="218"/>
    </row>
    <row r="123" spans="13:156">
      <c r="M123" s="243"/>
      <c r="N123" s="2"/>
      <c r="O123" s="2"/>
      <c r="P123" s="21"/>
      <c r="Q123" s="255"/>
      <c r="R123" s="132"/>
      <c r="S123" s="2"/>
      <c r="T123" s="2"/>
      <c r="U123" s="2"/>
      <c r="V123" s="2"/>
      <c r="W123" s="2"/>
      <c r="X123" s="239"/>
      <c r="AA123" s="18"/>
      <c r="AB123" s="18"/>
      <c r="AC123" s="18"/>
      <c r="AD123" s="19"/>
      <c r="AE123" s="19"/>
      <c r="AI123" s="18"/>
      <c r="AJ123" s="7"/>
      <c r="AK123" s="7"/>
      <c r="AL123" s="7"/>
      <c r="AM123" s="7"/>
      <c r="AN123" s="7"/>
      <c r="AO123" s="7"/>
      <c r="AP123" s="7"/>
      <c r="AQ123" s="7"/>
      <c r="AR123" s="7"/>
      <c r="AS123" s="7"/>
      <c r="AT123" s="7"/>
      <c r="AU123" s="7"/>
      <c r="AV123" s="7"/>
      <c r="AW123" s="7"/>
      <c r="AX123" s="7"/>
      <c r="AY123" s="7"/>
      <c r="AZ123" s="7"/>
      <c r="BA123" s="18"/>
      <c r="BG123" s="140"/>
      <c r="BH123" s="131"/>
      <c r="BI123" s="102"/>
      <c r="BJ123" s="102"/>
      <c r="BK123" s="102"/>
      <c r="BL123" s="102"/>
      <c r="BM123" s="99"/>
      <c r="BN123" s="4"/>
      <c r="BO123" s="4"/>
      <c r="BP123" s="5"/>
      <c r="BQ123" s="5"/>
      <c r="BR123" s="99"/>
      <c r="BS123" s="159"/>
      <c r="BT123" s="99"/>
      <c r="BU123" s="99"/>
      <c r="BV123" s="99"/>
      <c r="BW123" s="159"/>
      <c r="BX123" s="99"/>
      <c r="BY123" s="99"/>
      <c r="BZ123" s="159"/>
      <c r="DA123" s="155"/>
      <c r="DB123" s="155"/>
      <c r="DC123" s="155"/>
      <c r="DD123" s="207"/>
      <c r="DE123" s="207"/>
      <c r="DF123" s="155"/>
      <c r="DG123" s="155"/>
      <c r="DH123" s="155"/>
      <c r="DI123" s="155"/>
      <c r="DJ123" s="208"/>
      <c r="DK123" s="208"/>
      <c r="DL123" s="208"/>
      <c r="DM123" s="208"/>
      <c r="DN123" s="208"/>
      <c r="DO123" s="208"/>
      <c r="DP123" s="208"/>
      <c r="DQ123" s="208"/>
      <c r="DR123" s="208"/>
      <c r="DS123" s="208"/>
      <c r="DT123" s="208"/>
      <c r="DU123" s="208"/>
      <c r="DV123" s="208"/>
      <c r="DW123" s="208"/>
      <c r="DX123" s="208"/>
      <c r="DY123" s="208"/>
      <c r="DZ123" s="208"/>
      <c r="EA123" s="210"/>
      <c r="EB123" s="211"/>
      <c r="EC123" s="211"/>
      <c r="ED123" s="211"/>
      <c r="EE123" s="211"/>
      <c r="EF123" s="207"/>
      <c r="EG123" s="209"/>
      <c r="EH123" s="213"/>
      <c r="EI123" s="214"/>
      <c r="EJ123" s="214"/>
      <c r="EK123" s="214"/>
      <c r="EL123" s="214"/>
      <c r="EM123" s="215"/>
      <c r="EN123" s="216"/>
      <c r="EO123" s="216"/>
      <c r="EP123" s="217"/>
      <c r="EQ123" s="217"/>
      <c r="ER123" s="215"/>
      <c r="ES123" s="218"/>
      <c r="ET123" s="215"/>
      <c r="EU123" s="215"/>
      <c r="EV123" s="215"/>
      <c r="EW123" s="218"/>
      <c r="EX123" s="215"/>
      <c r="EY123" s="215"/>
      <c r="EZ123" s="218"/>
    </row>
    <row r="124" spans="13:156">
      <c r="M124" s="243"/>
      <c r="N124" s="2"/>
      <c r="O124" s="2"/>
      <c r="P124" s="21"/>
      <c r="Q124" s="255"/>
      <c r="R124" s="132"/>
      <c r="S124" s="2"/>
      <c r="T124" s="2"/>
      <c r="U124" s="2"/>
      <c r="V124" s="2"/>
      <c r="W124" s="2"/>
      <c r="X124" s="239"/>
      <c r="AA124" s="18"/>
      <c r="AB124" s="18"/>
      <c r="AC124" s="18"/>
      <c r="AD124" s="19"/>
      <c r="AE124" s="19"/>
      <c r="AI124" s="18"/>
      <c r="AJ124" s="7"/>
      <c r="AK124" s="7"/>
      <c r="AL124" s="7"/>
      <c r="AM124" s="7"/>
      <c r="AN124" s="7"/>
      <c r="AO124" s="7"/>
      <c r="AP124" s="7"/>
      <c r="AQ124" s="7"/>
      <c r="AR124" s="7"/>
      <c r="AS124" s="7"/>
      <c r="AT124" s="7"/>
      <c r="AU124" s="7"/>
      <c r="AV124" s="7"/>
      <c r="AW124" s="7"/>
      <c r="AX124" s="7"/>
      <c r="AY124" s="7"/>
      <c r="AZ124" s="7"/>
      <c r="BA124" s="18"/>
      <c r="BG124" s="140"/>
      <c r="BH124" s="131"/>
      <c r="BI124" s="102"/>
      <c r="BJ124" s="102"/>
      <c r="BK124" s="102"/>
      <c r="BL124" s="102"/>
      <c r="BM124" s="99"/>
      <c r="BN124" s="4"/>
      <c r="BO124" s="4"/>
      <c r="BP124" s="5"/>
      <c r="BQ124" s="5"/>
      <c r="BR124" s="99"/>
      <c r="BS124" s="159"/>
      <c r="BT124" s="99"/>
      <c r="BU124" s="99"/>
      <c r="BV124" s="99"/>
      <c r="BW124" s="159"/>
      <c r="BX124" s="99"/>
      <c r="BY124" s="99"/>
      <c r="BZ124" s="159"/>
      <c r="DA124" s="155"/>
      <c r="DB124" s="155"/>
      <c r="DC124" s="155"/>
      <c r="DD124" s="207"/>
      <c r="DE124" s="207"/>
      <c r="DF124" s="155"/>
      <c r="DG124" s="155"/>
      <c r="DH124" s="155"/>
      <c r="DI124" s="155"/>
      <c r="DJ124" s="208"/>
      <c r="DK124" s="208"/>
      <c r="DL124" s="208"/>
      <c r="DM124" s="208"/>
      <c r="DN124" s="208"/>
      <c r="DO124" s="208"/>
      <c r="DP124" s="208"/>
      <c r="DQ124" s="208"/>
      <c r="DR124" s="208"/>
      <c r="DS124" s="208"/>
      <c r="DT124" s="208"/>
      <c r="DU124" s="208"/>
      <c r="DV124" s="208"/>
      <c r="DW124" s="208"/>
      <c r="DX124" s="208"/>
      <c r="DY124" s="208"/>
      <c r="DZ124" s="208"/>
      <c r="EA124" s="210"/>
      <c r="EB124" s="211"/>
      <c r="EC124" s="211"/>
      <c r="ED124" s="211"/>
      <c r="EE124" s="211"/>
      <c r="EF124" s="207"/>
      <c r="EG124" s="209"/>
      <c r="EH124" s="213"/>
      <c r="EI124" s="214"/>
      <c r="EJ124" s="214"/>
      <c r="EK124" s="214"/>
      <c r="EL124" s="214"/>
      <c r="EM124" s="215"/>
      <c r="EN124" s="216"/>
      <c r="EO124" s="216"/>
      <c r="EP124" s="217"/>
      <c r="EQ124" s="217"/>
      <c r="ER124" s="215"/>
      <c r="ES124" s="218"/>
      <c r="ET124" s="215"/>
      <c r="EU124" s="215"/>
      <c r="EV124" s="215"/>
      <c r="EW124" s="218"/>
      <c r="EX124" s="215"/>
      <c r="EY124" s="215"/>
      <c r="EZ124" s="218"/>
    </row>
    <row r="125" spans="13:156">
      <c r="M125" s="243"/>
      <c r="N125" s="2"/>
      <c r="O125" s="2"/>
      <c r="P125" s="21"/>
      <c r="Q125" s="255"/>
      <c r="R125" s="132"/>
      <c r="S125" s="2"/>
      <c r="T125" s="2"/>
      <c r="U125" s="2"/>
      <c r="V125" s="2"/>
      <c r="W125" s="2"/>
      <c r="X125" s="239"/>
      <c r="AA125" s="18"/>
      <c r="AB125" s="18"/>
      <c r="AC125" s="18"/>
      <c r="AD125" s="19"/>
      <c r="AE125" s="19"/>
      <c r="AI125" s="18"/>
      <c r="AJ125" s="7"/>
      <c r="AK125" s="7"/>
      <c r="AL125" s="7"/>
      <c r="AM125" s="7"/>
      <c r="AN125" s="7"/>
      <c r="AO125" s="7"/>
      <c r="AP125" s="7"/>
      <c r="AQ125" s="7"/>
      <c r="AR125" s="7"/>
      <c r="AS125" s="7"/>
      <c r="AT125" s="7"/>
      <c r="AU125" s="7"/>
      <c r="AV125" s="7"/>
      <c r="AW125" s="7"/>
      <c r="AX125" s="7"/>
      <c r="AY125" s="7"/>
      <c r="AZ125" s="7"/>
      <c r="BA125" s="18"/>
      <c r="BG125" s="140"/>
      <c r="BH125" s="131"/>
      <c r="BI125" s="102"/>
      <c r="BJ125" s="102"/>
      <c r="BK125" s="102"/>
      <c r="BL125" s="102"/>
      <c r="BM125" s="99"/>
      <c r="BN125" s="4"/>
      <c r="BO125" s="4"/>
      <c r="BP125" s="5"/>
      <c r="BQ125" s="5"/>
      <c r="BR125" s="99"/>
      <c r="BS125" s="159"/>
      <c r="BT125" s="99"/>
      <c r="BU125" s="99"/>
      <c r="BV125" s="99"/>
      <c r="BW125" s="159"/>
      <c r="BX125" s="99"/>
      <c r="BY125" s="99"/>
      <c r="BZ125" s="159"/>
      <c r="DA125" s="155"/>
      <c r="DB125" s="155"/>
      <c r="DC125" s="155"/>
      <c r="DD125" s="207"/>
      <c r="DE125" s="207"/>
      <c r="DF125" s="155"/>
      <c r="DG125" s="155"/>
      <c r="DH125" s="155"/>
      <c r="DI125" s="155"/>
      <c r="DJ125" s="208"/>
      <c r="DK125" s="208"/>
      <c r="DL125" s="208"/>
      <c r="DM125" s="208"/>
      <c r="DN125" s="208"/>
      <c r="DO125" s="208"/>
      <c r="DP125" s="208"/>
      <c r="DQ125" s="208"/>
      <c r="DR125" s="208"/>
      <c r="DS125" s="208"/>
      <c r="DT125" s="208"/>
      <c r="DU125" s="208"/>
      <c r="DV125" s="208"/>
      <c r="DW125" s="208"/>
      <c r="DX125" s="208"/>
      <c r="DY125" s="208"/>
      <c r="DZ125" s="208"/>
      <c r="EA125" s="210"/>
      <c r="EB125" s="211"/>
      <c r="EC125" s="211"/>
      <c r="ED125" s="211"/>
      <c r="EE125" s="211"/>
      <c r="EF125" s="207"/>
      <c r="EG125" s="209"/>
      <c r="EH125" s="213"/>
      <c r="EI125" s="214"/>
      <c r="EJ125" s="214"/>
      <c r="EK125" s="214"/>
      <c r="EL125" s="214"/>
      <c r="EM125" s="215"/>
      <c r="EN125" s="216"/>
      <c r="EO125" s="216"/>
      <c r="EP125" s="217"/>
      <c r="EQ125" s="217"/>
      <c r="ER125" s="215"/>
      <c r="ES125" s="218"/>
      <c r="ET125" s="215"/>
      <c r="EU125" s="215"/>
      <c r="EV125" s="215"/>
      <c r="EW125" s="218"/>
      <c r="EX125" s="215"/>
      <c r="EY125" s="215"/>
      <c r="EZ125" s="218"/>
    </row>
    <row r="126" spans="13:156">
      <c r="M126" s="286" t="s">
        <v>434</v>
      </c>
      <c r="N126" s="287"/>
      <c r="O126" s="287"/>
      <c r="P126" s="287"/>
      <c r="Q126" s="287"/>
      <c r="R126" s="287"/>
      <c r="S126" s="287"/>
      <c r="T126" s="287"/>
      <c r="U126" s="287"/>
      <c r="V126" s="287"/>
      <c r="W126" s="287"/>
      <c r="X126" s="288"/>
      <c r="AA126" s="18"/>
      <c r="AB126" s="18"/>
      <c r="AC126" s="18"/>
      <c r="AD126" s="19"/>
      <c r="AE126" s="19"/>
      <c r="AI126" s="18"/>
      <c r="AJ126" s="7"/>
      <c r="AK126" s="7"/>
      <c r="AL126" s="7"/>
      <c r="AM126" s="7"/>
      <c r="AN126" s="7"/>
      <c r="AO126" s="7"/>
      <c r="AP126" s="7"/>
      <c r="AQ126" s="7"/>
      <c r="AR126" s="7"/>
      <c r="AS126" s="7"/>
      <c r="AT126" s="7"/>
      <c r="AU126" s="7"/>
      <c r="AV126" s="7"/>
      <c r="AW126" s="7"/>
      <c r="AX126" s="7"/>
      <c r="AY126" s="7"/>
      <c r="AZ126" s="7"/>
      <c r="BA126" s="18"/>
      <c r="BG126" s="140"/>
      <c r="BH126" s="131"/>
      <c r="BI126" s="102"/>
      <c r="BJ126" s="102"/>
      <c r="BK126" s="102"/>
      <c r="BL126" s="102"/>
      <c r="BM126" s="99"/>
      <c r="BN126" s="4"/>
      <c r="BO126" s="4"/>
      <c r="BP126" s="5"/>
      <c r="BQ126" s="5"/>
      <c r="BR126" s="99"/>
      <c r="BS126" s="159"/>
      <c r="BT126" s="99"/>
      <c r="BU126" s="99"/>
      <c r="BV126" s="99"/>
      <c r="BW126" s="159"/>
      <c r="BX126" s="99"/>
      <c r="BY126" s="99"/>
      <c r="BZ126" s="159"/>
      <c r="DA126" s="155"/>
      <c r="DB126" s="155"/>
      <c r="DC126" s="155"/>
      <c r="DD126" s="207"/>
      <c r="DE126" s="207"/>
      <c r="DF126" s="155"/>
      <c r="DG126" s="155"/>
      <c r="DH126" s="155"/>
      <c r="DI126" s="155"/>
      <c r="DJ126" s="208"/>
      <c r="DK126" s="208"/>
      <c r="DL126" s="208"/>
      <c r="DM126" s="208"/>
      <c r="DN126" s="208"/>
      <c r="DO126" s="208"/>
      <c r="DP126" s="208"/>
      <c r="DQ126" s="208"/>
      <c r="DR126" s="208"/>
      <c r="DS126" s="208"/>
      <c r="DT126" s="208"/>
      <c r="DU126" s="208"/>
      <c r="DV126" s="208"/>
      <c r="DW126" s="208"/>
      <c r="DX126" s="208"/>
      <c r="DY126" s="208"/>
      <c r="DZ126" s="208"/>
      <c r="EA126" s="210"/>
      <c r="EB126" s="211"/>
      <c r="EC126" s="211"/>
      <c r="ED126" s="211"/>
      <c r="EE126" s="211"/>
      <c r="EF126" s="207"/>
      <c r="EG126" s="209"/>
      <c r="EH126" s="213"/>
      <c r="EI126" s="214"/>
      <c r="EJ126" s="214"/>
      <c r="EK126" s="214"/>
      <c r="EL126" s="214"/>
      <c r="EM126" s="215"/>
      <c r="EN126" s="216"/>
      <c r="EO126" s="216"/>
      <c r="EP126" s="217"/>
      <c r="EQ126" s="217"/>
      <c r="ER126" s="215"/>
      <c r="ES126" s="218"/>
      <c r="ET126" s="215"/>
      <c r="EU126" s="215"/>
      <c r="EV126" s="215"/>
      <c r="EW126" s="218"/>
      <c r="EX126" s="215"/>
      <c r="EY126" s="215"/>
      <c r="EZ126" s="218"/>
    </row>
    <row r="127" spans="13:156">
      <c r="M127" s="286"/>
      <c r="N127" s="287"/>
      <c r="O127" s="287"/>
      <c r="P127" s="287"/>
      <c r="Q127" s="287"/>
      <c r="R127" s="287"/>
      <c r="S127" s="287"/>
      <c r="T127" s="287"/>
      <c r="U127" s="287"/>
      <c r="V127" s="287"/>
      <c r="W127" s="287"/>
      <c r="X127" s="288"/>
      <c r="AA127" s="18"/>
      <c r="AB127" s="18"/>
      <c r="AC127" s="18"/>
      <c r="AD127" s="19"/>
      <c r="AE127" s="19"/>
      <c r="AI127" s="18"/>
      <c r="AJ127" s="7"/>
      <c r="AK127" s="7"/>
      <c r="AL127" s="7"/>
      <c r="AM127" s="7"/>
      <c r="AN127" s="7"/>
      <c r="AO127" s="7"/>
      <c r="AP127" s="7"/>
      <c r="AQ127" s="7"/>
      <c r="AR127" s="7"/>
      <c r="AS127" s="7"/>
      <c r="AT127" s="7"/>
      <c r="AU127" s="7"/>
      <c r="AV127" s="7"/>
      <c r="AW127" s="7"/>
      <c r="AX127" s="7"/>
      <c r="AY127" s="7"/>
      <c r="AZ127" s="7"/>
      <c r="BA127" s="18"/>
      <c r="BG127" s="140"/>
      <c r="BH127" s="131"/>
      <c r="BI127" s="102"/>
      <c r="BJ127" s="102"/>
      <c r="BK127" s="102"/>
      <c r="BL127" s="102"/>
      <c r="BM127" s="99"/>
      <c r="BN127" s="4"/>
      <c r="BO127" s="4"/>
      <c r="BP127" s="5"/>
      <c r="BQ127" s="5"/>
      <c r="BR127" s="99"/>
      <c r="BS127" s="159"/>
      <c r="BT127" s="99"/>
      <c r="BU127" s="99"/>
      <c r="BV127" s="99"/>
      <c r="BW127" s="159"/>
      <c r="BX127" s="99"/>
      <c r="BY127" s="99"/>
      <c r="BZ127" s="159"/>
      <c r="DA127" s="155"/>
      <c r="DB127" s="155"/>
      <c r="DC127" s="155"/>
      <c r="DD127" s="207"/>
      <c r="DE127" s="207"/>
      <c r="DF127" s="155"/>
      <c r="DG127" s="155"/>
      <c r="DH127" s="155"/>
      <c r="DI127" s="155"/>
      <c r="DJ127" s="208"/>
      <c r="DK127" s="208"/>
      <c r="DL127" s="208"/>
      <c r="DM127" s="208"/>
      <c r="DN127" s="208"/>
      <c r="DO127" s="208"/>
      <c r="DP127" s="208"/>
      <c r="DQ127" s="208"/>
      <c r="DR127" s="208"/>
      <c r="DS127" s="208"/>
      <c r="DT127" s="208"/>
      <c r="DU127" s="208"/>
      <c r="DV127" s="208"/>
      <c r="DW127" s="208"/>
      <c r="DX127" s="208"/>
      <c r="DY127" s="208"/>
      <c r="DZ127" s="208"/>
      <c r="EA127" s="210"/>
      <c r="EB127" s="211"/>
      <c r="EC127" s="211"/>
      <c r="ED127" s="211"/>
      <c r="EE127" s="211"/>
      <c r="EF127" s="207"/>
      <c r="EG127" s="209"/>
      <c r="EH127" s="213"/>
      <c r="EI127" s="214"/>
      <c r="EJ127" s="214"/>
      <c r="EK127" s="214"/>
      <c r="EL127" s="214"/>
      <c r="EM127" s="215"/>
      <c r="EN127" s="216"/>
      <c r="EO127" s="216"/>
      <c r="EP127" s="217"/>
      <c r="EQ127" s="217"/>
      <c r="ER127" s="215"/>
      <c r="ES127" s="218"/>
      <c r="ET127" s="215"/>
      <c r="EU127" s="215"/>
      <c r="EV127" s="215"/>
      <c r="EW127" s="218"/>
      <c r="EX127" s="215"/>
      <c r="EY127" s="215"/>
      <c r="EZ127" s="218"/>
    </row>
    <row r="128" spans="13:156">
      <c r="M128" s="244" t="s">
        <v>435</v>
      </c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39"/>
      <c r="AA128" s="18"/>
      <c r="AB128" s="18"/>
      <c r="AC128" s="18"/>
      <c r="AD128" s="19"/>
      <c r="AE128" s="19"/>
      <c r="AI128" s="18"/>
      <c r="AJ128" s="7"/>
      <c r="AK128" s="7"/>
      <c r="AL128" s="7"/>
      <c r="AM128" s="7"/>
      <c r="AN128" s="7"/>
      <c r="AO128" s="7"/>
      <c r="AP128" s="7"/>
      <c r="AQ128" s="7"/>
      <c r="AR128" s="7"/>
      <c r="AS128" s="7"/>
      <c r="AT128" s="7"/>
      <c r="AU128" s="7"/>
      <c r="AV128" s="7"/>
      <c r="AW128" s="7"/>
      <c r="AX128" s="7"/>
      <c r="AY128" s="7"/>
      <c r="AZ128" s="7"/>
      <c r="BA128" s="18"/>
      <c r="BG128" s="140"/>
      <c r="BH128" s="131"/>
      <c r="BI128" s="102"/>
      <c r="BJ128" s="102"/>
      <c r="BK128" s="102"/>
      <c r="BL128" s="102"/>
      <c r="BM128" s="99"/>
      <c r="BN128" s="4"/>
      <c r="BO128" s="4"/>
      <c r="BP128" s="5"/>
      <c r="BQ128" s="5"/>
      <c r="BR128" s="99"/>
      <c r="BS128" s="159"/>
      <c r="BT128" s="99"/>
      <c r="BU128" s="99"/>
      <c r="BV128" s="99"/>
      <c r="BW128" s="159"/>
      <c r="BX128" s="99"/>
      <c r="BY128" s="99"/>
      <c r="BZ128" s="159"/>
      <c r="DA128" s="155"/>
      <c r="DB128" s="155"/>
      <c r="DC128" s="155"/>
      <c r="DD128" s="207"/>
      <c r="DE128" s="207"/>
      <c r="DF128" s="155"/>
      <c r="DG128" s="155"/>
      <c r="DH128" s="155"/>
      <c r="DI128" s="155"/>
      <c r="DJ128" s="208"/>
      <c r="DK128" s="208"/>
      <c r="DL128" s="208"/>
      <c r="DM128" s="208"/>
      <c r="DN128" s="208"/>
      <c r="DO128" s="208"/>
      <c r="DP128" s="208"/>
      <c r="DQ128" s="208"/>
      <c r="DR128" s="208"/>
      <c r="DS128" s="208"/>
      <c r="DT128" s="208"/>
      <c r="DU128" s="208"/>
      <c r="DV128" s="208"/>
      <c r="DW128" s="208"/>
      <c r="DX128" s="208"/>
      <c r="DY128" s="208"/>
      <c r="DZ128" s="208"/>
      <c r="EA128" s="210"/>
      <c r="EB128" s="211"/>
      <c r="EC128" s="211"/>
      <c r="ED128" s="211"/>
      <c r="EE128" s="211"/>
      <c r="EF128" s="207"/>
      <c r="EG128" s="209"/>
      <c r="EH128" s="213"/>
      <c r="EI128" s="214"/>
      <c r="EJ128" s="214"/>
      <c r="EK128" s="214"/>
      <c r="EL128" s="214"/>
      <c r="EM128" s="215"/>
      <c r="EN128" s="216"/>
      <c r="EO128" s="216"/>
      <c r="EP128" s="217"/>
      <c r="EQ128" s="217"/>
      <c r="ER128" s="215"/>
      <c r="ES128" s="218"/>
      <c r="ET128" s="215"/>
      <c r="EU128" s="215"/>
      <c r="EV128" s="215"/>
      <c r="EW128" s="218"/>
      <c r="EX128" s="215"/>
      <c r="EY128" s="215"/>
      <c r="EZ128" s="218"/>
    </row>
    <row r="129" spans="13:156">
      <c r="M129" s="244" t="str">
        <f>"- Lực tính toán:"</f>
        <v>- Lực tính toán:</v>
      </c>
      <c r="N129" s="2"/>
      <c r="O129" s="2"/>
      <c r="P129" s="2"/>
      <c r="Q129" s="21"/>
      <c r="R129" s="21" t="s">
        <v>436</v>
      </c>
      <c r="S129" s="268">
        <f>MAX(W88,0)</f>
        <v>55.697059263149796</v>
      </c>
      <c r="T129" s="2" t="s">
        <v>71</v>
      </c>
      <c r="U129" s="2"/>
      <c r="V129" s="21" t="s">
        <v>437</v>
      </c>
      <c r="W129" s="268">
        <f>ABS(W66)</f>
        <v>33.525775492576706</v>
      </c>
      <c r="X129" s="239" t="s">
        <v>71</v>
      </c>
      <c r="AA129" s="18"/>
      <c r="AB129" s="18"/>
      <c r="AC129" s="18"/>
      <c r="AD129" s="19"/>
      <c r="AE129" s="19"/>
      <c r="AI129" s="18"/>
      <c r="AJ129" s="7"/>
      <c r="AK129" s="7"/>
      <c r="AL129" s="7"/>
      <c r="AM129" s="7"/>
      <c r="AN129" s="7"/>
      <c r="AO129" s="7"/>
      <c r="AP129" s="7"/>
      <c r="AQ129" s="7"/>
      <c r="AR129" s="7"/>
      <c r="AS129" s="7"/>
      <c r="AT129" s="7"/>
      <c r="AU129" s="7"/>
      <c r="AV129" s="7"/>
      <c r="AW129" s="7"/>
      <c r="AX129" s="7"/>
      <c r="AY129" s="7"/>
      <c r="AZ129" s="7"/>
      <c r="BA129" s="18"/>
      <c r="BG129" s="140"/>
      <c r="BH129" s="131"/>
      <c r="BI129" s="102"/>
      <c r="BJ129" s="102"/>
      <c r="BK129" s="102"/>
      <c r="BL129" s="102"/>
      <c r="BM129" s="99"/>
      <c r="BN129" s="4"/>
      <c r="BO129" s="4"/>
      <c r="BP129" s="5"/>
      <c r="BQ129" s="5"/>
      <c r="BR129" s="99"/>
      <c r="BS129" s="159"/>
      <c r="BT129" s="99"/>
      <c r="BU129" s="99"/>
      <c r="BV129" s="99"/>
      <c r="BW129" s="159"/>
      <c r="BX129" s="99"/>
      <c r="BY129" s="99"/>
      <c r="BZ129" s="159"/>
      <c r="DA129" s="155"/>
      <c r="DB129" s="155"/>
      <c r="DC129" s="155"/>
      <c r="DD129" s="207"/>
      <c r="DE129" s="207"/>
      <c r="DF129" s="155"/>
      <c r="DG129" s="155"/>
      <c r="DH129" s="155"/>
      <c r="DI129" s="155"/>
      <c r="DJ129" s="208"/>
      <c r="DK129" s="208"/>
      <c r="DL129" s="208"/>
      <c r="DM129" s="208"/>
      <c r="DN129" s="208"/>
      <c r="DO129" s="208"/>
      <c r="DP129" s="208"/>
      <c r="DQ129" s="208"/>
      <c r="DR129" s="208"/>
      <c r="DS129" s="208"/>
      <c r="DT129" s="208"/>
      <c r="DU129" s="208"/>
      <c r="DV129" s="208"/>
      <c r="DW129" s="208"/>
      <c r="DX129" s="208"/>
      <c r="DY129" s="208"/>
      <c r="DZ129" s="208"/>
      <c r="EA129" s="210"/>
      <c r="EB129" s="211"/>
      <c r="EC129" s="211"/>
      <c r="ED129" s="211"/>
      <c r="EE129" s="211"/>
      <c r="EF129" s="207"/>
      <c r="EG129" s="209"/>
      <c r="EH129" s="213"/>
      <c r="EI129" s="214"/>
      <c r="EJ129" s="214"/>
      <c r="EK129" s="214"/>
      <c r="EL129" s="214"/>
      <c r="EM129" s="215"/>
      <c r="EN129" s="216"/>
      <c r="EO129" s="216"/>
      <c r="EP129" s="217"/>
      <c r="EQ129" s="217"/>
      <c r="ER129" s="215"/>
      <c r="ES129" s="218"/>
      <c r="ET129" s="215"/>
      <c r="EU129" s="215"/>
      <c r="EV129" s="215"/>
      <c r="EW129" s="218"/>
      <c r="EX129" s="215"/>
      <c r="EY129" s="215"/>
      <c r="EZ129" s="218"/>
    </row>
    <row r="130" spans="13:156" ht="15">
      <c r="M130" s="244" t="str">
        <f>"- Hệ số:"</f>
        <v>- Hệ số:</v>
      </c>
      <c r="N130" s="2"/>
      <c r="O130" s="21" t="s">
        <v>125</v>
      </c>
      <c r="P130" s="22">
        <f>W45</f>
        <v>561</v>
      </c>
      <c r="Q130" s="2" t="s">
        <v>47</v>
      </c>
      <c r="R130" s="21" t="s">
        <v>438</v>
      </c>
      <c r="S130" s="22">
        <f>W19</f>
        <v>240</v>
      </c>
      <c r="T130" s="2" t="s">
        <v>20</v>
      </c>
      <c r="U130" s="2"/>
      <c r="V130" s="21" t="s">
        <v>126</v>
      </c>
      <c r="W130" s="22">
        <f>W48</f>
        <v>8</v>
      </c>
      <c r="X130" s="239"/>
      <c r="AA130" s="18"/>
      <c r="AB130" s="18"/>
      <c r="AC130" s="18"/>
      <c r="AD130" s="19"/>
      <c r="AE130" s="19"/>
      <c r="AI130" s="18"/>
      <c r="AJ130" s="7"/>
      <c r="AK130" s="7"/>
      <c r="AL130" s="7"/>
      <c r="AM130" s="7"/>
      <c r="AN130" s="7"/>
      <c r="AO130" s="7"/>
      <c r="AP130" s="7"/>
      <c r="AQ130" s="7"/>
      <c r="AR130" s="7"/>
      <c r="AS130" s="7"/>
      <c r="AT130" s="7"/>
      <c r="AU130" s="7"/>
      <c r="AV130" s="7"/>
      <c r="AW130" s="7"/>
      <c r="AX130" s="7"/>
      <c r="AY130" s="7"/>
      <c r="AZ130" s="7"/>
      <c r="BA130" s="18"/>
      <c r="BG130" s="140"/>
      <c r="BH130" s="131"/>
      <c r="BI130" s="102"/>
      <c r="BJ130" s="102"/>
      <c r="BK130" s="102"/>
      <c r="BL130" s="102"/>
      <c r="BM130" s="99"/>
      <c r="BN130" s="4"/>
      <c r="BO130" s="4"/>
      <c r="BP130" s="5"/>
      <c r="BQ130" s="5"/>
      <c r="BR130" s="99"/>
      <c r="BS130" s="159"/>
      <c r="BT130" s="99"/>
      <c r="BU130" s="99"/>
      <c r="BV130" s="99"/>
      <c r="BW130" s="159"/>
      <c r="BX130" s="99"/>
      <c r="BY130" s="99"/>
      <c r="BZ130" s="159"/>
      <c r="DA130" s="155"/>
      <c r="DB130" s="155"/>
      <c r="DC130" s="155"/>
      <c r="DD130" s="207"/>
      <c r="DE130" s="207"/>
      <c r="DF130" s="155"/>
      <c r="DG130" s="155"/>
      <c r="DH130" s="155"/>
      <c r="DI130" s="155"/>
      <c r="DJ130" s="208"/>
      <c r="DK130" s="208"/>
      <c r="DL130" s="208"/>
      <c r="DM130" s="208"/>
      <c r="DN130" s="208"/>
      <c r="DO130" s="208"/>
      <c r="DP130" s="208"/>
      <c r="DQ130" s="208"/>
      <c r="DR130" s="208"/>
      <c r="DS130" s="208"/>
      <c r="DT130" s="208"/>
      <c r="DU130" s="208"/>
      <c r="DV130" s="208"/>
      <c r="DW130" s="208"/>
      <c r="DX130" s="208"/>
      <c r="DY130" s="208"/>
      <c r="DZ130" s="208"/>
      <c r="EA130" s="210"/>
      <c r="EB130" s="211"/>
      <c r="EC130" s="211"/>
      <c r="ED130" s="211"/>
      <c r="EE130" s="211"/>
      <c r="EF130" s="207"/>
      <c r="EG130" s="209"/>
      <c r="EH130" s="213"/>
      <c r="EI130" s="214"/>
      <c r="EJ130" s="214"/>
      <c r="EK130" s="214"/>
      <c r="EL130" s="214"/>
      <c r="EM130" s="215"/>
      <c r="EN130" s="216"/>
      <c r="EO130" s="216"/>
      <c r="EP130" s="217"/>
      <c r="EQ130" s="217"/>
      <c r="ER130" s="215"/>
      <c r="ES130" s="218"/>
      <c r="ET130" s="215"/>
      <c r="EU130" s="215"/>
      <c r="EV130" s="215"/>
      <c r="EW130" s="218"/>
      <c r="EX130" s="215"/>
      <c r="EY130" s="215"/>
      <c r="EZ130" s="218"/>
    </row>
    <row r="131" spans="13:156" ht="15">
      <c r="M131" s="244" t="str">
        <f>"- Lực trượt giới hạn:"</f>
        <v>- Lực trượt giới hạn:</v>
      </c>
      <c r="N131" s="2"/>
      <c r="O131" s="2"/>
      <c r="P131" s="2"/>
      <c r="Q131" s="2"/>
      <c r="R131" s="2"/>
      <c r="S131" s="2"/>
      <c r="T131" s="2"/>
      <c r="U131" s="2"/>
      <c r="V131" s="21" t="s">
        <v>439</v>
      </c>
      <c r="W131" s="254">
        <f>0.6*P130*S130*W130/1000</f>
        <v>646.27199999999993</v>
      </c>
      <c r="X131" s="239" t="s">
        <v>71</v>
      </c>
      <c r="AA131" s="18"/>
      <c r="AB131" s="18"/>
      <c r="AC131" s="18"/>
      <c r="AD131" s="19"/>
      <c r="AE131" s="19"/>
      <c r="AI131" s="18"/>
      <c r="AJ131" s="7"/>
      <c r="AK131" s="7"/>
      <c r="AL131" s="7"/>
      <c r="AM131" s="7"/>
      <c r="AN131" s="7"/>
      <c r="AO131" s="7"/>
      <c r="AP131" s="7"/>
      <c r="AQ131" s="7"/>
      <c r="AR131" s="7"/>
      <c r="AS131" s="7"/>
      <c r="AT131" s="7"/>
      <c r="AU131" s="7"/>
      <c r="AV131" s="7"/>
      <c r="AW131" s="7"/>
      <c r="AX131" s="7"/>
      <c r="AY131" s="7"/>
      <c r="AZ131" s="7"/>
      <c r="BA131" s="18"/>
      <c r="BG131" s="140"/>
      <c r="BH131" s="131"/>
      <c r="BI131" s="102"/>
      <c r="BJ131" s="102"/>
      <c r="BK131" s="102"/>
      <c r="BL131" s="102"/>
      <c r="BM131" s="99"/>
      <c r="BN131" s="4"/>
      <c r="BO131" s="4"/>
      <c r="BP131" s="5"/>
      <c r="BQ131" s="5"/>
      <c r="BR131" s="99"/>
      <c r="BS131" s="159"/>
      <c r="BT131" s="99"/>
      <c r="BU131" s="99"/>
      <c r="BV131" s="99"/>
      <c r="BW131" s="159"/>
      <c r="BX131" s="99"/>
      <c r="BY131" s="99"/>
      <c r="BZ131" s="159"/>
      <c r="DA131" s="155"/>
      <c r="DB131" s="155"/>
      <c r="DC131" s="155"/>
      <c r="DD131" s="207"/>
      <c r="DE131" s="207"/>
      <c r="DF131" s="155"/>
      <c r="DG131" s="155"/>
      <c r="DH131" s="155"/>
      <c r="DI131" s="155"/>
      <c r="DJ131" s="208"/>
      <c r="DK131" s="208"/>
      <c r="DL131" s="208"/>
      <c r="DM131" s="208"/>
      <c r="DN131" s="208"/>
      <c r="DO131" s="208"/>
      <c r="DP131" s="208"/>
      <c r="DQ131" s="208"/>
      <c r="DR131" s="208"/>
      <c r="DS131" s="208"/>
      <c r="DT131" s="208"/>
      <c r="DU131" s="208"/>
      <c r="DV131" s="208"/>
      <c r="DW131" s="208"/>
      <c r="DX131" s="208"/>
      <c r="DY131" s="208"/>
      <c r="DZ131" s="208"/>
      <c r="EA131" s="210"/>
      <c r="EB131" s="211"/>
      <c r="EC131" s="211"/>
      <c r="ED131" s="211"/>
      <c r="EE131" s="211"/>
      <c r="EF131" s="207"/>
      <c r="EG131" s="209"/>
      <c r="EH131" s="213"/>
      <c r="EI131" s="214"/>
      <c r="EJ131" s="214"/>
      <c r="EK131" s="214"/>
      <c r="EL131" s="214"/>
      <c r="EM131" s="215"/>
      <c r="EN131" s="216"/>
      <c r="EO131" s="216"/>
      <c r="EP131" s="217"/>
      <c r="EQ131" s="217"/>
      <c r="ER131" s="215"/>
      <c r="ES131" s="218"/>
      <c r="ET131" s="215"/>
      <c r="EU131" s="215"/>
      <c r="EV131" s="215"/>
      <c r="EW131" s="218"/>
      <c r="EX131" s="215"/>
      <c r="EY131" s="215"/>
      <c r="EZ131" s="218"/>
    </row>
    <row r="132" spans="13:156" ht="15">
      <c r="M132" s="244" t="str">
        <f>"- Tỷ số huy động cấu kiện:"</f>
        <v>- Tỷ số huy động cấu kiện:</v>
      </c>
      <c r="N132" s="2"/>
      <c r="O132" s="2"/>
      <c r="P132" s="21"/>
      <c r="Q132" s="255"/>
      <c r="R132" s="132"/>
      <c r="S132" s="2"/>
      <c r="T132" s="2"/>
      <c r="U132" s="2"/>
      <c r="V132" s="21" t="s">
        <v>440</v>
      </c>
      <c r="W132" s="263">
        <f>MAX(S129,W129)/W131</f>
        <v>8.6182070804784683E-2</v>
      </c>
      <c r="X132" s="245" t="str">
        <f>IF(W132&lt;=1,"OK","Shear key")</f>
        <v>OK</v>
      </c>
      <c r="AA132" s="18"/>
      <c r="AB132" s="18"/>
      <c r="AC132" s="18"/>
      <c r="AD132" s="19"/>
      <c r="AE132" s="19"/>
      <c r="AI132" s="18"/>
      <c r="AJ132" s="7"/>
      <c r="AK132" s="7"/>
      <c r="AL132" s="7"/>
      <c r="AM132" s="7"/>
      <c r="AN132" s="7"/>
      <c r="AO132" s="7"/>
      <c r="AP132" s="7"/>
      <c r="AQ132" s="7"/>
      <c r="AR132" s="7"/>
      <c r="AS132" s="7"/>
      <c r="AT132" s="7"/>
      <c r="AU132" s="7"/>
      <c r="AV132" s="7"/>
      <c r="AW132" s="7"/>
      <c r="AX132" s="7"/>
      <c r="AY132" s="7"/>
      <c r="AZ132" s="7"/>
      <c r="BA132" s="18"/>
      <c r="BG132" s="140"/>
      <c r="BH132" s="131"/>
      <c r="BI132" s="102"/>
      <c r="BJ132" s="102"/>
      <c r="BK132" s="102"/>
      <c r="BL132" s="102"/>
      <c r="BM132" s="99"/>
      <c r="BN132" s="4"/>
      <c r="BO132" s="4"/>
      <c r="BP132" s="5"/>
      <c r="BQ132" s="5"/>
      <c r="BR132" s="99"/>
      <c r="BS132" s="159"/>
      <c r="BT132" s="99"/>
      <c r="BU132" s="99"/>
      <c r="BV132" s="99"/>
      <c r="BW132" s="159"/>
      <c r="BX132" s="99"/>
      <c r="BY132" s="99"/>
      <c r="BZ132" s="159"/>
      <c r="DA132" s="155"/>
      <c r="DB132" s="155"/>
      <c r="DC132" s="155"/>
      <c r="DD132" s="207"/>
      <c r="DE132" s="207"/>
      <c r="DF132" s="155"/>
      <c r="DG132" s="155"/>
      <c r="DH132" s="155"/>
      <c r="DI132" s="155"/>
      <c r="DJ132" s="208"/>
      <c r="DK132" s="208"/>
      <c r="DL132" s="208"/>
      <c r="DM132" s="208"/>
      <c r="DN132" s="208"/>
      <c r="DO132" s="208"/>
      <c r="DP132" s="208"/>
      <c r="DQ132" s="208"/>
      <c r="DR132" s="208"/>
      <c r="DS132" s="208"/>
      <c r="DT132" s="208"/>
      <c r="DU132" s="208"/>
      <c r="DV132" s="208"/>
      <c r="DW132" s="208"/>
      <c r="DX132" s="208"/>
      <c r="DY132" s="208"/>
      <c r="DZ132" s="208"/>
      <c r="EA132" s="210"/>
      <c r="EB132" s="211"/>
      <c r="EC132" s="211"/>
      <c r="ED132" s="211"/>
      <c r="EE132" s="211"/>
      <c r="EF132" s="207"/>
      <c r="EG132" s="209"/>
      <c r="EH132" s="213"/>
      <c r="EI132" s="214"/>
      <c r="EJ132" s="214"/>
      <c r="EK132" s="214"/>
      <c r="EL132" s="214"/>
      <c r="EM132" s="215"/>
      <c r="EN132" s="216"/>
      <c r="EO132" s="216"/>
      <c r="EP132" s="217"/>
      <c r="EQ132" s="217"/>
      <c r="ER132" s="215"/>
      <c r="ES132" s="218"/>
      <c r="ET132" s="215"/>
      <c r="EU132" s="215"/>
      <c r="EV132" s="215"/>
      <c r="EW132" s="218"/>
      <c r="EX132" s="215"/>
      <c r="EY132" s="215"/>
      <c r="EZ132" s="218"/>
    </row>
    <row r="133" spans="13:156">
      <c r="M133" s="244"/>
      <c r="N133" s="2"/>
      <c r="O133" s="2"/>
      <c r="P133" s="21"/>
      <c r="Q133" s="255"/>
      <c r="R133" s="132"/>
      <c r="S133" s="2"/>
      <c r="T133" s="2"/>
      <c r="U133" s="2"/>
      <c r="V133" s="21"/>
      <c r="W133" s="2"/>
      <c r="X133" s="245"/>
      <c r="AA133" s="18"/>
      <c r="AB133" s="18"/>
      <c r="AC133" s="18"/>
      <c r="AD133" s="19"/>
      <c r="AE133" s="19"/>
      <c r="AI133" s="18"/>
      <c r="AJ133" s="7"/>
      <c r="AK133" s="7"/>
      <c r="AL133" s="7"/>
      <c r="AM133" s="7"/>
      <c r="AN133" s="7"/>
      <c r="AO133" s="7"/>
      <c r="AP133" s="7"/>
      <c r="AQ133" s="7"/>
      <c r="AR133" s="7"/>
      <c r="AS133" s="7"/>
      <c r="AT133" s="7"/>
      <c r="AU133" s="7"/>
      <c r="AV133" s="7"/>
      <c r="AW133" s="7"/>
      <c r="AX133" s="7"/>
      <c r="AY133" s="7"/>
      <c r="AZ133" s="7"/>
      <c r="BA133" s="18"/>
      <c r="BG133" s="140"/>
      <c r="BH133" s="131"/>
      <c r="BI133" s="102"/>
      <c r="BJ133" s="102"/>
      <c r="BK133" s="102"/>
      <c r="BL133" s="102"/>
      <c r="BM133" s="99"/>
      <c r="BN133" s="4"/>
      <c r="BO133" s="4"/>
      <c r="BP133" s="5"/>
      <c r="BQ133" s="5"/>
      <c r="BR133" s="99"/>
      <c r="BS133" s="159"/>
      <c r="BT133" s="99"/>
      <c r="BU133" s="99"/>
      <c r="BV133" s="99"/>
      <c r="BW133" s="159"/>
      <c r="BX133" s="99"/>
      <c r="BY133" s="99"/>
      <c r="BZ133" s="159"/>
      <c r="DA133" s="155"/>
      <c r="DB133" s="155"/>
      <c r="DC133" s="155"/>
      <c r="DD133" s="207"/>
      <c r="DE133" s="207"/>
      <c r="DF133" s="155"/>
      <c r="DG133" s="155"/>
      <c r="DH133" s="155"/>
      <c r="DI133" s="155"/>
      <c r="DJ133" s="208"/>
      <c r="DK133" s="208"/>
      <c r="DL133" s="208"/>
      <c r="DM133" s="208"/>
      <c r="DN133" s="208"/>
      <c r="DO133" s="208"/>
      <c r="DP133" s="208"/>
      <c r="DQ133" s="208"/>
      <c r="DR133" s="208"/>
      <c r="DS133" s="208"/>
      <c r="DT133" s="208"/>
      <c r="DU133" s="208"/>
      <c r="DV133" s="208"/>
      <c r="DW133" s="208"/>
      <c r="DX133" s="208"/>
      <c r="DY133" s="208"/>
      <c r="DZ133" s="208"/>
      <c r="EA133" s="210"/>
      <c r="EB133" s="211"/>
      <c r="EC133" s="211"/>
      <c r="ED133" s="211"/>
      <c r="EE133" s="211"/>
      <c r="EF133" s="207"/>
      <c r="EG133" s="209"/>
      <c r="EH133" s="213"/>
      <c r="EI133" s="214"/>
      <c r="EJ133" s="214"/>
      <c r="EK133" s="214"/>
      <c r="EL133" s="214"/>
      <c r="EM133" s="215"/>
      <c r="EN133" s="216"/>
      <c r="EO133" s="216"/>
      <c r="EP133" s="217"/>
      <c r="EQ133" s="217"/>
      <c r="ER133" s="215"/>
      <c r="ES133" s="218"/>
      <c r="ET133" s="215"/>
      <c r="EU133" s="215"/>
      <c r="EV133" s="215"/>
      <c r="EW133" s="218"/>
      <c r="EX133" s="215"/>
      <c r="EY133" s="215"/>
      <c r="EZ133" s="218"/>
    </row>
    <row r="134" spans="13:156">
      <c r="M134" s="243" t="s">
        <v>373</v>
      </c>
      <c r="N134" s="2"/>
      <c r="O134" s="2"/>
      <c r="P134" s="21"/>
      <c r="Q134" s="255"/>
      <c r="R134" s="132"/>
      <c r="S134" s="2"/>
      <c r="T134" s="2"/>
      <c r="U134" s="2"/>
      <c r="V134" s="2"/>
      <c r="W134" s="2"/>
      <c r="X134" s="239"/>
      <c r="AA134" s="18"/>
      <c r="AB134" s="18"/>
      <c r="AC134" s="18"/>
      <c r="AD134" s="19"/>
      <c r="AE134" s="19"/>
      <c r="AI134" s="18"/>
      <c r="AJ134" s="7"/>
      <c r="AK134" s="7"/>
      <c r="AL134" s="7"/>
      <c r="AM134" s="7"/>
      <c r="AN134" s="7"/>
      <c r="AO134" s="7"/>
      <c r="AP134" s="7"/>
      <c r="AQ134" s="7"/>
      <c r="AR134" s="7"/>
      <c r="AS134" s="7"/>
      <c r="AT134" s="7"/>
      <c r="AU134" s="7"/>
      <c r="AV134" s="7"/>
      <c r="AW134" s="7"/>
      <c r="AX134" s="7"/>
      <c r="AY134" s="7"/>
      <c r="AZ134" s="7"/>
      <c r="BA134" s="18"/>
      <c r="BG134" s="140"/>
      <c r="BH134" s="131"/>
      <c r="BI134" s="102"/>
      <c r="BJ134" s="102"/>
      <c r="BK134" s="102"/>
      <c r="BL134" s="102"/>
      <c r="BM134" s="99"/>
      <c r="BN134" s="4"/>
      <c r="BO134" s="4"/>
      <c r="BP134" s="5"/>
      <c r="BQ134" s="5"/>
      <c r="BR134" s="99"/>
      <c r="BS134" s="159"/>
      <c r="BT134" s="99"/>
      <c r="BU134" s="99"/>
      <c r="BV134" s="99"/>
      <c r="BW134" s="159"/>
      <c r="BX134" s="99"/>
      <c r="BY134" s="99"/>
      <c r="BZ134" s="159"/>
      <c r="DA134" s="155"/>
      <c r="DB134" s="155"/>
      <c r="DC134" s="155"/>
      <c r="DD134" s="207"/>
      <c r="DE134" s="207"/>
      <c r="DF134" s="155"/>
      <c r="DG134" s="155"/>
      <c r="DH134" s="155"/>
      <c r="DI134" s="155"/>
      <c r="DJ134" s="208"/>
      <c r="DK134" s="208"/>
      <c r="DL134" s="208"/>
      <c r="DM134" s="208"/>
      <c r="DN134" s="208"/>
      <c r="DO134" s="208"/>
      <c r="DP134" s="208"/>
      <c r="DQ134" s="208"/>
      <c r="DR134" s="208"/>
      <c r="DS134" s="208"/>
      <c r="DT134" s="208"/>
      <c r="DU134" s="208"/>
      <c r="DV134" s="208"/>
      <c r="DW134" s="208"/>
      <c r="DX134" s="208"/>
      <c r="DY134" s="208"/>
      <c r="DZ134" s="208"/>
      <c r="EA134" s="210"/>
      <c r="EB134" s="211"/>
      <c r="EC134" s="211"/>
      <c r="ED134" s="211"/>
      <c r="EE134" s="211"/>
      <c r="EF134" s="207"/>
      <c r="EG134" s="209"/>
      <c r="EH134" s="213"/>
      <c r="EI134" s="214"/>
      <c r="EJ134" s="214"/>
      <c r="EK134" s="214"/>
      <c r="EL134" s="214"/>
      <c r="EM134" s="215"/>
      <c r="EN134" s="216"/>
      <c r="EO134" s="216"/>
      <c r="EP134" s="217"/>
      <c r="EQ134" s="217"/>
      <c r="ER134" s="215"/>
      <c r="ES134" s="218"/>
      <c r="ET134" s="215"/>
      <c r="EU134" s="215"/>
      <c r="EV134" s="215"/>
      <c r="EW134" s="218"/>
      <c r="EX134" s="215"/>
      <c r="EY134" s="215"/>
      <c r="EZ134" s="218"/>
    </row>
    <row r="135" spans="13:156">
      <c r="M135" s="244" t="s">
        <v>147</v>
      </c>
      <c r="N135" s="2"/>
      <c r="O135" s="2"/>
      <c r="P135" s="2"/>
      <c r="Q135" s="2"/>
      <c r="R135" s="2"/>
      <c r="S135" s="2"/>
      <c r="T135" s="2"/>
      <c r="U135" s="2"/>
      <c r="V135" s="271"/>
      <c r="W135" s="271"/>
      <c r="X135" s="245"/>
      <c r="AA135" s="18"/>
      <c r="AB135" s="18"/>
      <c r="AC135" s="18"/>
      <c r="AD135" s="19"/>
      <c r="AE135" s="19"/>
      <c r="AI135" s="18"/>
      <c r="AJ135" s="7"/>
      <c r="AK135" s="7"/>
      <c r="AL135" s="7"/>
      <c r="AM135" s="7"/>
      <c r="AN135" s="7"/>
      <c r="AO135" s="7"/>
      <c r="AP135" s="7"/>
      <c r="AQ135" s="7"/>
      <c r="AR135" s="7"/>
      <c r="AS135" s="7"/>
      <c r="AT135" s="7"/>
      <c r="AU135" s="7"/>
      <c r="AV135" s="7"/>
      <c r="AW135" s="7"/>
      <c r="AX135" s="7"/>
      <c r="AY135" s="7"/>
      <c r="AZ135" s="7"/>
      <c r="BA135" s="18"/>
      <c r="BG135" s="140"/>
      <c r="BH135" s="131"/>
      <c r="BI135" s="102"/>
      <c r="BJ135" s="102"/>
      <c r="BK135" s="102"/>
      <c r="BL135" s="102"/>
      <c r="BM135" s="99"/>
      <c r="BN135" s="4"/>
      <c r="BO135" s="4"/>
      <c r="BP135" s="5"/>
      <c r="BQ135" s="5"/>
      <c r="BR135" s="99"/>
      <c r="BS135" s="159"/>
      <c r="BT135" s="99"/>
      <c r="BU135" s="99"/>
      <c r="BV135" s="99"/>
      <c r="BW135" s="159"/>
      <c r="BX135" s="99"/>
      <c r="BY135" s="99"/>
      <c r="BZ135" s="159"/>
      <c r="DA135" s="155"/>
      <c r="DB135" s="155"/>
      <c r="DC135" s="155"/>
      <c r="DD135" s="207"/>
      <c r="DE135" s="207"/>
      <c r="DF135" s="155"/>
      <c r="DG135" s="155"/>
      <c r="DH135" s="155"/>
      <c r="DI135" s="155"/>
      <c r="DJ135" s="208"/>
      <c r="DK135" s="208"/>
      <c r="DL135" s="208"/>
      <c r="DM135" s="208"/>
      <c r="DN135" s="208"/>
      <c r="DO135" s="208"/>
      <c r="DP135" s="208"/>
      <c r="DQ135" s="208"/>
      <c r="DR135" s="208"/>
      <c r="DS135" s="208"/>
      <c r="DT135" s="208"/>
      <c r="DU135" s="208"/>
      <c r="DV135" s="208"/>
      <c r="DW135" s="208"/>
      <c r="DX135" s="208"/>
      <c r="DY135" s="208"/>
      <c r="DZ135" s="208"/>
      <c r="EA135" s="210"/>
      <c r="EB135" s="211"/>
      <c r="EC135" s="211"/>
      <c r="ED135" s="211"/>
      <c r="EE135" s="211"/>
      <c r="EF135" s="207"/>
      <c r="EG135" s="209"/>
      <c r="EH135" s="213"/>
      <c r="EI135" s="214"/>
      <c r="EJ135" s="214"/>
      <c r="EK135" s="214"/>
      <c r="EL135" s="214"/>
      <c r="EM135" s="215"/>
      <c r="EN135" s="216"/>
      <c r="EO135" s="216"/>
      <c r="EP135" s="217"/>
      <c r="EQ135" s="217"/>
      <c r="ER135" s="215"/>
      <c r="ES135" s="218"/>
      <c r="ET135" s="215"/>
      <c r="EU135" s="215"/>
      <c r="EV135" s="215"/>
      <c r="EW135" s="218"/>
      <c r="EX135" s="215"/>
      <c r="EY135" s="215"/>
      <c r="EZ135" s="218"/>
    </row>
    <row r="136" spans="13:156">
      <c r="M136" s="272" t="s">
        <v>157</v>
      </c>
      <c r="N136" s="2"/>
      <c r="O136" s="2"/>
      <c r="P136" s="2"/>
      <c r="Q136" s="2"/>
      <c r="R136" s="2"/>
      <c r="S136" s="2"/>
      <c r="T136" s="2"/>
      <c r="U136" s="2"/>
      <c r="V136" s="271"/>
      <c r="W136" s="271"/>
      <c r="X136" s="245"/>
      <c r="AA136" s="18"/>
      <c r="AB136" s="18"/>
      <c r="AC136" s="18"/>
      <c r="AD136" s="19"/>
      <c r="AE136" s="19"/>
      <c r="AI136" s="18"/>
      <c r="AJ136" s="7"/>
      <c r="AK136" s="7"/>
      <c r="AL136" s="7"/>
      <c r="AM136" s="7"/>
      <c r="AN136" s="7"/>
      <c r="AO136" s="7"/>
      <c r="AP136" s="7"/>
      <c r="AQ136" s="7"/>
      <c r="AR136" s="7"/>
      <c r="AS136" s="7"/>
      <c r="AT136" s="7"/>
      <c r="AU136" s="7"/>
      <c r="AV136" s="7"/>
      <c r="AW136" s="7"/>
      <c r="AX136" s="7"/>
      <c r="AY136" s="7"/>
      <c r="AZ136" s="7"/>
      <c r="BA136" s="18"/>
      <c r="BG136" s="140"/>
      <c r="BH136" s="131"/>
      <c r="BI136" s="102"/>
      <c r="BJ136" s="102"/>
      <c r="BK136" s="102"/>
      <c r="BL136" s="102"/>
      <c r="BM136" s="99"/>
      <c r="BN136" s="4"/>
      <c r="BO136" s="4"/>
      <c r="BP136" s="5"/>
      <c r="BQ136" s="5"/>
      <c r="BR136" s="99"/>
      <c r="BS136" s="159"/>
      <c r="BT136" s="99"/>
      <c r="BU136" s="99"/>
      <c r="BV136" s="99"/>
      <c r="BW136" s="159"/>
      <c r="BX136" s="99"/>
      <c r="BY136" s="99"/>
      <c r="BZ136" s="159"/>
      <c r="DA136" s="155"/>
      <c r="DB136" s="155"/>
      <c r="DC136" s="155"/>
      <c r="DD136" s="207"/>
      <c r="DE136" s="207"/>
      <c r="DF136" s="155"/>
      <c r="DG136" s="155"/>
      <c r="DH136" s="155"/>
      <c r="DI136" s="155"/>
      <c r="DJ136" s="208"/>
      <c r="DK136" s="208"/>
      <c r="DL136" s="208"/>
      <c r="DM136" s="208"/>
      <c r="DN136" s="208"/>
      <c r="DO136" s="208"/>
      <c r="DP136" s="208"/>
      <c r="DQ136" s="208"/>
      <c r="DR136" s="208"/>
      <c r="DS136" s="208"/>
      <c r="DT136" s="208"/>
      <c r="DU136" s="208"/>
      <c r="DV136" s="208"/>
      <c r="DW136" s="208"/>
      <c r="DX136" s="208"/>
      <c r="DY136" s="208"/>
      <c r="DZ136" s="208"/>
      <c r="EA136" s="210"/>
      <c r="EB136" s="211"/>
      <c r="EC136" s="211"/>
      <c r="ED136" s="211"/>
      <c r="EE136" s="211"/>
      <c r="EF136" s="207"/>
      <c r="EG136" s="209"/>
      <c r="EH136" s="213"/>
      <c r="EI136" s="214"/>
      <c r="EJ136" s="214"/>
      <c r="EK136" s="214"/>
      <c r="EL136" s="214"/>
      <c r="EM136" s="215"/>
      <c r="EN136" s="216"/>
      <c r="EO136" s="216"/>
      <c r="EP136" s="217"/>
      <c r="EQ136" s="217"/>
      <c r="ER136" s="215"/>
      <c r="ES136" s="218"/>
      <c r="ET136" s="215"/>
      <c r="EU136" s="215"/>
      <c r="EV136" s="215"/>
      <c r="EW136" s="218"/>
      <c r="EX136" s="215"/>
      <c r="EY136" s="215"/>
      <c r="EZ136" s="218"/>
    </row>
    <row r="137" spans="13:156" ht="15">
      <c r="M137" s="244" t="str">
        <f>"- Ứng suất phản lực bê tông móng để tính sườn đế:"</f>
        <v>- Ứng suất phản lực bê tông móng để tính sườn đế:</v>
      </c>
      <c r="N137" s="2"/>
      <c r="O137" s="2"/>
      <c r="P137" s="2"/>
      <c r="Q137" s="273"/>
      <c r="R137" s="273"/>
      <c r="S137" s="274"/>
      <c r="T137" s="22"/>
      <c r="U137" s="2"/>
      <c r="V137" s="12" t="s">
        <v>196</v>
      </c>
      <c r="W137" s="268">
        <f>IF(Q60=0,"-",FindUsBase(W100, W101, W49, (W49-W39)/2+W39/(Q60+1)))</f>
        <v>1.7599749565124512</v>
      </c>
      <c r="X137" s="239" t="s">
        <v>20</v>
      </c>
      <c r="AA137" s="18"/>
      <c r="AB137" s="18"/>
      <c r="AC137" s="18"/>
      <c r="AD137" s="19"/>
      <c r="AE137" s="19"/>
      <c r="AI137" s="18"/>
      <c r="AJ137" s="7"/>
      <c r="AK137" s="7"/>
      <c r="AL137" s="7"/>
      <c r="AM137" s="7"/>
      <c r="AN137" s="7"/>
      <c r="AO137" s="7"/>
      <c r="AP137" s="7"/>
      <c r="AQ137" s="7"/>
      <c r="AR137" s="7"/>
      <c r="AS137" s="7"/>
      <c r="AT137" s="7"/>
      <c r="AU137" s="7"/>
      <c r="AV137" s="7"/>
      <c r="AW137" s="7"/>
      <c r="AX137" s="7"/>
      <c r="AY137" s="7"/>
      <c r="AZ137" s="7"/>
      <c r="BA137" s="18"/>
      <c r="BG137" s="140"/>
      <c r="BH137" s="131"/>
      <c r="BI137" s="102"/>
      <c r="BJ137" s="102"/>
      <c r="BK137" s="102"/>
      <c r="BL137" s="102"/>
      <c r="BM137" s="99"/>
      <c r="BN137" s="4"/>
      <c r="BO137" s="4"/>
      <c r="BP137" s="5"/>
      <c r="BQ137" s="5"/>
      <c r="BR137" s="99"/>
      <c r="BS137" s="159"/>
      <c r="BT137" s="99"/>
      <c r="BU137" s="99"/>
      <c r="BV137" s="99"/>
      <c r="BW137" s="159"/>
      <c r="BX137" s="99"/>
      <c r="BY137" s="99"/>
      <c r="BZ137" s="159"/>
      <c r="DA137" s="155"/>
      <c r="DB137" s="155"/>
      <c r="DC137" s="155"/>
      <c r="DD137" s="207"/>
      <c r="DE137" s="207"/>
      <c r="DF137" s="155"/>
      <c r="DG137" s="155"/>
      <c r="DH137" s="155"/>
      <c r="DI137" s="155"/>
      <c r="DJ137" s="208"/>
      <c r="DK137" s="208"/>
      <c r="DL137" s="208"/>
      <c r="DM137" s="208"/>
      <c r="DN137" s="208"/>
      <c r="DO137" s="208"/>
      <c r="DP137" s="208"/>
      <c r="DQ137" s="208"/>
      <c r="DR137" s="208"/>
      <c r="DS137" s="208"/>
      <c r="DT137" s="208"/>
      <c r="DU137" s="208"/>
      <c r="DV137" s="208"/>
      <c r="DW137" s="208"/>
      <c r="DX137" s="208"/>
      <c r="DY137" s="208"/>
      <c r="DZ137" s="208"/>
      <c r="EA137" s="210"/>
      <c r="EB137" s="211"/>
      <c r="EC137" s="211"/>
      <c r="ED137" s="211"/>
      <c r="EE137" s="211"/>
      <c r="EF137" s="207"/>
      <c r="EG137" s="209"/>
      <c r="EH137" s="213"/>
      <c r="EI137" s="214"/>
      <c r="EJ137" s="214"/>
      <c r="EK137" s="214"/>
      <c r="EL137" s="214"/>
      <c r="EM137" s="215"/>
      <c r="EN137" s="216"/>
      <c r="EO137" s="216"/>
      <c r="EP137" s="217"/>
      <c r="EQ137" s="217"/>
      <c r="ER137" s="215"/>
      <c r="ES137" s="218"/>
      <c r="ET137" s="215"/>
      <c r="EU137" s="215"/>
      <c r="EV137" s="215"/>
      <c r="EW137" s="218"/>
      <c r="EX137" s="215"/>
      <c r="EY137" s="215"/>
      <c r="EZ137" s="218"/>
    </row>
    <row r="138" spans="13:156" ht="15">
      <c r="M138" s="244" t="str">
        <f>"- Bề rộng chịu tải của sườn:"</f>
        <v>- Bề rộng chịu tải của sườn:</v>
      </c>
      <c r="N138" s="2"/>
      <c r="O138" s="2"/>
      <c r="P138" s="2"/>
      <c r="Q138" s="273"/>
      <c r="R138" s="273"/>
      <c r="S138" s="273"/>
      <c r="T138" s="2"/>
      <c r="U138" s="2"/>
      <c r="V138" s="21" t="s">
        <v>170</v>
      </c>
      <c r="W138" s="254">
        <f>IF(Q60=0,"-",W39/2)</f>
        <v>312</v>
      </c>
      <c r="X138" s="239" t="s">
        <v>1</v>
      </c>
      <c r="AA138" s="18"/>
      <c r="AB138" s="18"/>
      <c r="AC138" s="18"/>
      <c r="AD138" s="19"/>
      <c r="AE138" s="19"/>
      <c r="AI138" s="18"/>
      <c r="AJ138" s="7"/>
      <c r="AK138" s="7"/>
      <c r="AL138" s="7"/>
      <c r="AM138" s="7"/>
      <c r="AN138" s="7"/>
      <c r="AO138" s="7"/>
      <c r="AP138" s="7"/>
      <c r="AQ138" s="7"/>
      <c r="AR138" s="7"/>
      <c r="AS138" s="7"/>
      <c r="AT138" s="7"/>
      <c r="AU138" s="7"/>
      <c r="AV138" s="7"/>
      <c r="AW138" s="7"/>
      <c r="AX138" s="7"/>
      <c r="AY138" s="7"/>
      <c r="AZ138" s="7"/>
      <c r="BA138" s="18"/>
      <c r="BG138" s="140"/>
      <c r="BH138" s="131"/>
      <c r="BI138" s="102"/>
      <c r="BJ138" s="102"/>
      <c r="BK138" s="102"/>
      <c r="BL138" s="102"/>
      <c r="BM138" s="99"/>
      <c r="BN138" s="4"/>
      <c r="BO138" s="4"/>
      <c r="BP138" s="5"/>
      <c r="BQ138" s="5"/>
      <c r="BR138" s="99"/>
      <c r="BS138" s="159"/>
      <c r="BT138" s="99"/>
      <c r="BU138" s="99"/>
      <c r="BV138" s="99"/>
      <c r="BW138" s="159"/>
      <c r="BX138" s="99"/>
      <c r="BY138" s="99"/>
      <c r="BZ138" s="159"/>
      <c r="DA138" s="155"/>
      <c r="DB138" s="155"/>
      <c r="DC138" s="155"/>
      <c r="DD138" s="207"/>
      <c r="DE138" s="207"/>
      <c r="DF138" s="155"/>
      <c r="DG138" s="155"/>
      <c r="DH138" s="155"/>
      <c r="DI138" s="155"/>
      <c r="DJ138" s="208"/>
      <c r="DK138" s="208"/>
      <c r="DL138" s="208"/>
      <c r="DM138" s="208"/>
      <c r="DN138" s="208"/>
      <c r="DO138" s="208"/>
      <c r="DP138" s="208"/>
      <c r="DQ138" s="208"/>
      <c r="DR138" s="208"/>
      <c r="DS138" s="208"/>
      <c r="DT138" s="208"/>
      <c r="DU138" s="208"/>
      <c r="DV138" s="208"/>
      <c r="DW138" s="208"/>
      <c r="DX138" s="208"/>
      <c r="DY138" s="208"/>
      <c r="DZ138" s="208"/>
      <c r="EA138" s="210"/>
      <c r="EB138" s="211"/>
      <c r="EC138" s="211"/>
      <c r="ED138" s="211"/>
      <c r="EE138" s="211"/>
      <c r="EF138" s="207"/>
      <c r="EG138" s="209"/>
      <c r="EH138" s="213"/>
      <c r="EI138" s="214"/>
      <c r="EJ138" s="214"/>
      <c r="EK138" s="214"/>
      <c r="EL138" s="214"/>
      <c r="EM138" s="215"/>
      <c r="EN138" s="216"/>
      <c r="EO138" s="216"/>
      <c r="EP138" s="217"/>
      <c r="EQ138" s="217"/>
      <c r="ER138" s="215"/>
      <c r="ES138" s="218"/>
      <c r="ET138" s="215"/>
      <c r="EU138" s="215"/>
      <c r="EV138" s="215"/>
      <c r="EW138" s="218"/>
      <c r="EX138" s="215"/>
      <c r="EY138" s="215"/>
      <c r="EZ138" s="218"/>
    </row>
    <row r="139" spans="13:156" ht="15">
      <c r="M139" s="244" t="str">
        <f>"- Tải trọng tác dụng lên sườn:"</f>
        <v>- Tải trọng tác dụng lên sườn:</v>
      </c>
      <c r="N139" s="2"/>
      <c r="O139" s="2"/>
      <c r="P139" s="2"/>
      <c r="Q139" s="273"/>
      <c r="R139" s="273"/>
      <c r="S139" s="273"/>
      <c r="T139" s="21"/>
      <c r="U139" s="2"/>
      <c r="V139" s="21" t="s">
        <v>148</v>
      </c>
      <c r="W139" s="254">
        <f>IF(Q60=0,"-",W137*W138)</f>
        <v>549.11218643188477</v>
      </c>
      <c r="X139" s="239" t="s">
        <v>149</v>
      </c>
      <c r="AA139" s="18"/>
      <c r="AB139" s="18"/>
      <c r="AC139" s="18"/>
      <c r="AD139" s="19"/>
      <c r="AE139" s="19"/>
      <c r="AI139" s="18"/>
      <c r="AJ139" s="7"/>
      <c r="AK139" s="7"/>
      <c r="AL139" s="7"/>
      <c r="AM139" s="7"/>
      <c r="AN139" s="7"/>
      <c r="AO139" s="7"/>
      <c r="AP139" s="7"/>
      <c r="AQ139" s="7"/>
      <c r="AR139" s="7"/>
      <c r="AS139" s="7"/>
      <c r="AT139" s="7"/>
      <c r="AU139" s="7"/>
      <c r="AV139" s="7"/>
      <c r="AW139" s="7"/>
      <c r="AX139" s="7"/>
      <c r="AY139" s="7"/>
      <c r="AZ139" s="7"/>
      <c r="BA139" s="18"/>
      <c r="BG139" s="140"/>
      <c r="BH139" s="131"/>
      <c r="BI139" s="102"/>
      <c r="BJ139" s="102"/>
      <c r="BK139" s="102"/>
      <c r="BL139" s="102"/>
      <c r="BM139" s="99"/>
      <c r="BN139" s="4"/>
      <c r="BO139" s="4"/>
      <c r="BP139" s="5"/>
      <c r="BQ139" s="5"/>
      <c r="BR139" s="99"/>
      <c r="BS139" s="159"/>
      <c r="BT139" s="99"/>
      <c r="BU139" s="99"/>
      <c r="BV139" s="99"/>
      <c r="BW139" s="159"/>
      <c r="BX139" s="99"/>
      <c r="BY139" s="99"/>
      <c r="BZ139" s="159"/>
      <c r="DA139" s="155"/>
      <c r="DB139" s="155"/>
      <c r="DC139" s="155"/>
      <c r="DD139" s="207"/>
      <c r="DE139" s="207"/>
      <c r="DF139" s="155"/>
      <c r="DG139" s="155"/>
      <c r="DH139" s="155"/>
      <c r="DI139" s="155"/>
      <c r="DJ139" s="208"/>
      <c r="DK139" s="208"/>
      <c r="DL139" s="208"/>
      <c r="DM139" s="208"/>
      <c r="DN139" s="208"/>
      <c r="DO139" s="208"/>
      <c r="DP139" s="208"/>
      <c r="DQ139" s="208"/>
      <c r="DR139" s="208"/>
      <c r="DS139" s="208"/>
      <c r="DT139" s="208"/>
      <c r="DU139" s="208"/>
      <c r="DV139" s="208"/>
      <c r="DW139" s="208"/>
      <c r="DX139" s="208"/>
      <c r="DY139" s="208"/>
      <c r="DZ139" s="208"/>
      <c r="EA139" s="210"/>
      <c r="EB139" s="211"/>
      <c r="EC139" s="211"/>
      <c r="ED139" s="211"/>
      <c r="EE139" s="211"/>
      <c r="EF139" s="207"/>
      <c r="EG139" s="209"/>
      <c r="EH139" s="213"/>
      <c r="EI139" s="214"/>
      <c r="EJ139" s="214"/>
      <c r="EK139" s="214"/>
      <c r="EL139" s="214"/>
      <c r="EM139" s="215"/>
      <c r="EN139" s="216"/>
      <c r="EO139" s="216"/>
      <c r="EP139" s="217"/>
      <c r="EQ139" s="217"/>
      <c r="ER139" s="215"/>
      <c r="ES139" s="218"/>
      <c r="ET139" s="215"/>
      <c r="EU139" s="215"/>
      <c r="EV139" s="215"/>
      <c r="EW139" s="218"/>
      <c r="EX139" s="215"/>
      <c r="EY139" s="215"/>
      <c r="EZ139" s="218"/>
    </row>
    <row r="140" spans="13:156" ht="15">
      <c r="M140" s="244" t="str">
        <f>"- Moment lớn nhất sườn đế:"</f>
        <v>- Moment lớn nhất sườn đế:</v>
      </c>
      <c r="N140" s="2"/>
      <c r="O140" s="2"/>
      <c r="P140" s="2"/>
      <c r="Q140" s="273"/>
      <c r="R140" s="273"/>
      <c r="S140" s="273"/>
      <c r="T140" s="2"/>
      <c r="U140" s="2"/>
      <c r="V140" s="21" t="s">
        <v>150</v>
      </c>
      <c r="W140" s="275">
        <f>IF(Q60=0,"-",W139*(S60/1000)^2/2)</f>
        <v>2.1992629456830026</v>
      </c>
      <c r="X140" s="239" t="s">
        <v>72</v>
      </c>
      <c r="AA140" s="18"/>
      <c r="AB140" s="18"/>
      <c r="AC140" s="18"/>
      <c r="AD140" s="19"/>
      <c r="AE140" s="19"/>
      <c r="AI140" s="18"/>
      <c r="AJ140" s="7"/>
      <c r="AK140" s="7"/>
      <c r="AL140" s="7"/>
      <c r="AM140" s="7"/>
      <c r="AN140" s="7"/>
      <c r="AO140" s="7"/>
      <c r="AP140" s="7"/>
      <c r="AQ140" s="7"/>
      <c r="AR140" s="7"/>
      <c r="AS140" s="7"/>
      <c r="AT140" s="7"/>
      <c r="AU140" s="7"/>
      <c r="AV140" s="7"/>
      <c r="AW140" s="7"/>
      <c r="AX140" s="7"/>
      <c r="AY140" s="7"/>
      <c r="AZ140" s="7"/>
      <c r="BA140" s="18"/>
      <c r="BG140" s="140"/>
      <c r="BH140" s="131"/>
      <c r="BI140" s="102"/>
      <c r="BJ140" s="102"/>
      <c r="BK140" s="102"/>
      <c r="BL140" s="102"/>
      <c r="BM140" s="99"/>
      <c r="BN140" s="4"/>
      <c r="BO140" s="4"/>
      <c r="BP140" s="5"/>
      <c r="BQ140" s="5"/>
      <c r="BR140" s="99"/>
      <c r="BS140" s="159"/>
      <c r="BT140" s="99"/>
      <c r="BU140" s="99"/>
      <c r="BV140" s="99"/>
      <c r="BW140" s="159"/>
      <c r="BX140" s="99"/>
      <c r="BY140" s="99"/>
      <c r="BZ140" s="159"/>
      <c r="DA140" s="155"/>
      <c r="DB140" s="155"/>
      <c r="DC140" s="155"/>
      <c r="DD140" s="207"/>
      <c r="DE140" s="207"/>
      <c r="DF140" s="155"/>
      <c r="DG140" s="155"/>
      <c r="DH140" s="155"/>
      <c r="DI140" s="155"/>
      <c r="DJ140" s="208"/>
      <c r="DK140" s="208"/>
      <c r="DL140" s="208"/>
      <c r="DM140" s="208"/>
      <c r="DN140" s="208"/>
      <c r="DO140" s="208"/>
      <c r="DP140" s="208"/>
      <c r="DQ140" s="208"/>
      <c r="DR140" s="208"/>
      <c r="DS140" s="208"/>
      <c r="DT140" s="208"/>
      <c r="DU140" s="208"/>
      <c r="DV140" s="208"/>
      <c r="DW140" s="208"/>
      <c r="DX140" s="208"/>
      <c r="DY140" s="208"/>
      <c r="DZ140" s="208"/>
      <c r="EA140" s="210"/>
      <c r="EB140" s="211"/>
      <c r="EC140" s="211"/>
      <c r="ED140" s="211"/>
      <c r="EE140" s="211"/>
      <c r="EF140" s="207"/>
      <c r="EG140" s="209"/>
      <c r="EH140" s="213"/>
      <c r="EI140" s="214"/>
      <c r="EJ140" s="214"/>
      <c r="EK140" s="214"/>
      <c r="EL140" s="214"/>
      <c r="EM140" s="215"/>
      <c r="EN140" s="216"/>
      <c r="EO140" s="216"/>
      <c r="EP140" s="217"/>
      <c r="EQ140" s="217"/>
      <c r="ER140" s="215"/>
      <c r="ES140" s="218"/>
      <c r="ET140" s="215"/>
      <c r="EU140" s="215"/>
      <c r="EV140" s="215"/>
      <c r="EW140" s="218"/>
      <c r="EX140" s="215"/>
      <c r="EY140" s="215"/>
      <c r="EZ140" s="218"/>
    </row>
    <row r="141" spans="13:156" ht="15">
      <c r="M141" s="244" t="str">
        <f>"- Lực cắt lớn nhất sườn đế:"</f>
        <v>- Lực cắt lớn nhất sườn đế:</v>
      </c>
      <c r="N141" s="2"/>
      <c r="O141" s="2"/>
      <c r="P141" s="2"/>
      <c r="Q141" s="2"/>
      <c r="R141" s="2"/>
      <c r="S141" s="2"/>
      <c r="T141" s="2"/>
      <c r="U141" s="2"/>
      <c r="V141" s="21" t="s">
        <v>151</v>
      </c>
      <c r="W141" s="275">
        <f>IF(Q60=0,"-",W139*S60/1000)</f>
        <v>49.145540685653685</v>
      </c>
      <c r="X141" s="239" t="s">
        <v>71</v>
      </c>
      <c r="AA141" s="18"/>
      <c r="AB141" s="18"/>
      <c r="AC141" s="18"/>
      <c r="AD141" s="19"/>
      <c r="AE141" s="19"/>
      <c r="AI141" s="18"/>
      <c r="AJ141" s="7"/>
      <c r="AK141" s="7"/>
      <c r="AL141" s="7"/>
      <c r="AM141" s="7"/>
      <c r="AN141" s="7"/>
      <c r="AO141" s="7"/>
      <c r="AP141" s="7"/>
      <c r="AQ141" s="7"/>
      <c r="AR141" s="7"/>
      <c r="AS141" s="7"/>
      <c r="AT141" s="7"/>
      <c r="AU141" s="7"/>
      <c r="AV141" s="7"/>
      <c r="AW141" s="7"/>
      <c r="AX141" s="7"/>
      <c r="AY141" s="7"/>
      <c r="AZ141" s="7"/>
      <c r="BA141" s="18"/>
      <c r="BG141" s="140"/>
      <c r="BH141" s="131"/>
      <c r="BI141" s="102"/>
      <c r="BJ141" s="102"/>
      <c r="BK141" s="102"/>
      <c r="BL141" s="102"/>
      <c r="BM141" s="99"/>
      <c r="BN141" s="4"/>
      <c r="BO141" s="4"/>
      <c r="BP141" s="5"/>
      <c r="BQ141" s="5"/>
      <c r="BR141" s="99"/>
      <c r="BS141" s="159"/>
      <c r="BT141" s="99"/>
      <c r="BU141" s="99"/>
      <c r="BV141" s="99"/>
      <c r="BW141" s="159"/>
      <c r="BX141" s="99"/>
      <c r="BY141" s="99"/>
      <c r="BZ141" s="159"/>
      <c r="DA141" s="155"/>
      <c r="DB141" s="155"/>
      <c r="DC141" s="155"/>
      <c r="DD141" s="207"/>
      <c r="DE141" s="207"/>
      <c r="DF141" s="155"/>
      <c r="DG141" s="155"/>
      <c r="DH141" s="155"/>
      <c r="DI141" s="155"/>
      <c r="DJ141" s="208"/>
      <c r="DK141" s="208"/>
      <c r="DL141" s="208"/>
      <c r="DM141" s="208"/>
      <c r="DN141" s="208"/>
      <c r="DO141" s="208"/>
      <c r="DP141" s="208"/>
      <c r="DQ141" s="208"/>
      <c r="DR141" s="208"/>
      <c r="DS141" s="208"/>
      <c r="DT141" s="208"/>
      <c r="DU141" s="208"/>
      <c r="DV141" s="208"/>
      <c r="DW141" s="208"/>
      <c r="DX141" s="208"/>
      <c r="DY141" s="208"/>
      <c r="DZ141" s="208"/>
      <c r="EA141" s="210"/>
      <c r="EB141" s="211"/>
      <c r="EC141" s="211"/>
      <c r="ED141" s="211"/>
      <c r="EE141" s="211"/>
      <c r="EF141" s="207"/>
      <c r="EG141" s="209"/>
      <c r="EH141" s="213"/>
      <c r="EI141" s="214"/>
      <c r="EJ141" s="214"/>
      <c r="EK141" s="214"/>
      <c r="EL141" s="214"/>
      <c r="EM141" s="215"/>
      <c r="EN141" s="216"/>
      <c r="EO141" s="216"/>
      <c r="EP141" s="217"/>
      <c r="EQ141" s="217"/>
      <c r="ER141" s="215"/>
      <c r="ES141" s="218"/>
      <c r="ET141" s="215"/>
      <c r="EU141" s="215"/>
      <c r="EV141" s="215"/>
      <c r="EW141" s="218"/>
      <c r="EX141" s="215"/>
      <c r="EY141" s="215"/>
      <c r="EZ141" s="218"/>
    </row>
    <row r="142" spans="13:156" ht="15" customHeight="1">
      <c r="M142" s="244" t="str">
        <f>"- Ứng suất sườn đế:"</f>
        <v>- Ứng suất sườn đế:</v>
      </c>
      <c r="N142" s="2"/>
      <c r="O142" s="2"/>
      <c r="P142" s="276" t="s">
        <v>152</v>
      </c>
      <c r="Q142" s="270">
        <f>IF(Q60=0,"-",6*W140/(R60*T60^2)*1000000)</f>
        <v>54.981573642075055</v>
      </c>
      <c r="R142" s="276" t="s">
        <v>153</v>
      </c>
      <c r="S142" s="277">
        <f>IF(Q60=0,"-",W141*1000/(R60*T60))</f>
        <v>40.95461723804474</v>
      </c>
      <c r="T142" s="132" t="s">
        <v>20</v>
      </c>
      <c r="U142" s="2"/>
      <c r="V142" s="276" t="s">
        <v>154</v>
      </c>
      <c r="W142" s="268">
        <f>IF(Q60=0,"-",SQRT(Q142^2+3*S142^2))</f>
        <v>89.748623719270356</v>
      </c>
      <c r="X142" s="278" t="s">
        <v>20</v>
      </c>
      <c r="AA142" s="18"/>
      <c r="AB142" s="18"/>
      <c r="AC142" s="18"/>
      <c r="AD142" s="19"/>
      <c r="AE142" s="19"/>
      <c r="AI142" s="18"/>
      <c r="AJ142" s="7"/>
      <c r="AK142" s="7"/>
      <c r="AL142" s="7"/>
      <c r="AM142" s="7"/>
      <c r="AN142" s="7"/>
      <c r="AO142" s="7"/>
      <c r="AP142" s="7"/>
      <c r="AQ142" s="7"/>
      <c r="AR142" s="7"/>
      <c r="AS142" s="7"/>
      <c r="AT142" s="7"/>
      <c r="AU142" s="7"/>
      <c r="AV142" s="7"/>
      <c r="AW142" s="7"/>
      <c r="AX142" s="7"/>
      <c r="AY142" s="7"/>
      <c r="AZ142" s="7"/>
      <c r="BA142" s="18"/>
      <c r="BG142" s="140"/>
      <c r="BH142" s="131"/>
      <c r="BI142" s="102"/>
      <c r="BJ142" s="102"/>
      <c r="BK142" s="102"/>
      <c r="BL142" s="102"/>
      <c r="BM142" s="99"/>
      <c r="BN142" s="4"/>
      <c r="BO142" s="4"/>
      <c r="BP142" s="5"/>
      <c r="BQ142" s="5"/>
      <c r="BR142" s="99"/>
      <c r="BS142" s="159"/>
      <c r="BT142" s="99"/>
      <c r="BU142" s="99"/>
      <c r="BV142" s="99"/>
      <c r="BW142" s="159"/>
      <c r="BX142" s="99"/>
      <c r="BY142" s="99"/>
      <c r="BZ142" s="159"/>
      <c r="DA142" s="155"/>
      <c r="DB142" s="155"/>
      <c r="DC142" s="155"/>
      <c r="DD142" s="207"/>
      <c r="DE142" s="207"/>
      <c r="DF142" s="155"/>
      <c r="DG142" s="155"/>
      <c r="DH142" s="155"/>
      <c r="DI142" s="155"/>
      <c r="DJ142" s="208"/>
      <c r="DK142" s="208"/>
      <c r="DL142" s="208"/>
      <c r="DM142" s="208"/>
      <c r="DN142" s="208"/>
      <c r="DO142" s="208"/>
      <c r="DP142" s="208"/>
      <c r="DQ142" s="208"/>
      <c r="DR142" s="208"/>
      <c r="DS142" s="208"/>
      <c r="DT142" s="208"/>
      <c r="DU142" s="208"/>
      <c r="DV142" s="208"/>
      <c r="DW142" s="208"/>
      <c r="DX142" s="208"/>
      <c r="DY142" s="208"/>
      <c r="DZ142" s="208"/>
      <c r="EA142" s="210"/>
      <c r="EB142" s="211"/>
      <c r="EC142" s="211"/>
      <c r="ED142" s="211"/>
      <c r="EE142" s="211"/>
      <c r="EF142" s="207"/>
      <c r="EG142" s="209"/>
      <c r="EH142" s="213"/>
      <c r="EI142" s="214"/>
      <c r="EJ142" s="214"/>
      <c r="EK142" s="214"/>
      <c r="EL142" s="214"/>
      <c r="EM142" s="215"/>
      <c r="EN142" s="216"/>
      <c r="EO142" s="216"/>
      <c r="EP142" s="217"/>
      <c r="EQ142" s="217"/>
      <c r="ER142" s="215"/>
      <c r="ES142" s="218"/>
      <c r="ET142" s="215"/>
      <c r="EU142" s="215"/>
      <c r="EV142" s="215"/>
      <c r="EW142" s="218"/>
      <c r="EX142" s="215"/>
      <c r="EY142" s="215"/>
      <c r="EZ142" s="218"/>
    </row>
    <row r="143" spans="13:156" ht="15" customHeight="1">
      <c r="M143" s="244" t="str">
        <f>"- Tỷ số huy động cấu kiện:"</f>
        <v>- Tỷ số huy động cấu kiện:</v>
      </c>
      <c r="N143" s="2"/>
      <c r="O143" s="2"/>
      <c r="P143" s="276"/>
      <c r="Q143" s="277"/>
      <c r="R143" s="279" t="s">
        <v>156</v>
      </c>
      <c r="S143" s="270">
        <f>IF(Q60=0,"-",1.15*1*W25)</f>
        <v>262.85714285714283</v>
      </c>
      <c r="T143" s="132" t="s">
        <v>20</v>
      </c>
      <c r="U143" s="2"/>
      <c r="V143" s="276" t="s">
        <v>155</v>
      </c>
      <c r="W143" s="263">
        <f>IF(Q60=0,"-",W142/S143)</f>
        <v>0.34143498154070245</v>
      </c>
      <c r="X143" s="245" t="str">
        <f>IF(W143="-","",IF(W143&lt;=1,"OK","Check"))</f>
        <v>OK</v>
      </c>
      <c r="AA143" s="18"/>
      <c r="AB143" s="18"/>
      <c r="AC143" s="18"/>
      <c r="AD143" s="19"/>
      <c r="AE143" s="19"/>
      <c r="AI143" s="18"/>
      <c r="AJ143" s="7"/>
      <c r="AK143" s="7"/>
      <c r="AL143" s="7"/>
      <c r="AM143" s="7"/>
      <c r="AN143" s="7"/>
      <c r="AO143" s="7"/>
      <c r="AP143" s="7"/>
      <c r="AQ143" s="7"/>
      <c r="AR143" s="7"/>
      <c r="AS143" s="7"/>
      <c r="AT143" s="7"/>
      <c r="AU143" s="7"/>
      <c r="AV143" s="7"/>
      <c r="AW143" s="7"/>
      <c r="AX143" s="7"/>
      <c r="AY143" s="7"/>
      <c r="AZ143" s="7"/>
      <c r="BA143" s="18"/>
      <c r="BG143" s="140"/>
      <c r="BH143" s="131"/>
      <c r="BI143" s="102"/>
      <c r="BJ143" s="102"/>
      <c r="BK143" s="102"/>
      <c r="BL143" s="102"/>
      <c r="BM143" s="99"/>
      <c r="BN143" s="4"/>
      <c r="BO143" s="4"/>
      <c r="BP143" s="5"/>
      <c r="BQ143" s="5"/>
      <c r="BR143" s="99"/>
      <c r="BS143" s="159"/>
      <c r="BT143" s="99"/>
      <c r="BU143" s="99"/>
      <c r="BV143" s="99"/>
      <c r="BW143" s="159"/>
      <c r="BX143" s="99"/>
      <c r="BY143" s="99"/>
      <c r="BZ143" s="159"/>
      <c r="DA143" s="155"/>
      <c r="DB143" s="155"/>
      <c r="DC143" s="155"/>
      <c r="DD143" s="207"/>
      <c r="DE143" s="207"/>
      <c r="DF143" s="155"/>
      <c r="DG143" s="155"/>
      <c r="DH143" s="155"/>
      <c r="DI143" s="155"/>
      <c r="DJ143" s="208"/>
      <c r="DK143" s="208"/>
      <c r="DL143" s="208"/>
      <c r="DM143" s="208"/>
      <c r="DN143" s="208"/>
      <c r="DO143" s="208"/>
      <c r="DP143" s="208"/>
      <c r="DQ143" s="208"/>
      <c r="DR143" s="208"/>
      <c r="DS143" s="208"/>
      <c r="DT143" s="208"/>
      <c r="DU143" s="208"/>
      <c r="DV143" s="208"/>
      <c r="DW143" s="208"/>
      <c r="DX143" s="208"/>
      <c r="DY143" s="208"/>
      <c r="DZ143" s="208"/>
      <c r="EA143" s="210"/>
      <c r="EB143" s="211"/>
      <c r="EC143" s="211"/>
      <c r="ED143" s="211"/>
      <c r="EE143" s="211"/>
      <c r="EF143" s="207"/>
      <c r="EG143" s="209"/>
      <c r="EH143" s="213"/>
      <c r="EI143" s="214"/>
      <c r="EJ143" s="214"/>
      <c r="EK143" s="214"/>
      <c r="EL143" s="214"/>
      <c r="EM143" s="215"/>
      <c r="EN143" s="216"/>
      <c r="EO143" s="216"/>
      <c r="EP143" s="217"/>
      <c r="EQ143" s="217"/>
      <c r="ER143" s="215"/>
      <c r="ES143" s="218"/>
      <c r="ET143" s="215"/>
      <c r="EU143" s="215"/>
      <c r="EV143" s="215"/>
      <c r="EW143" s="218"/>
      <c r="EX143" s="215"/>
      <c r="EY143" s="215"/>
      <c r="EZ143" s="218"/>
    </row>
    <row r="144" spans="13:156">
      <c r="M144" s="272" t="s">
        <v>158</v>
      </c>
      <c r="N144" s="2"/>
      <c r="O144" s="2"/>
      <c r="P144" s="2"/>
      <c r="Q144" s="2"/>
      <c r="R144" s="2"/>
      <c r="S144" s="2"/>
      <c r="T144" s="2"/>
      <c r="U144" s="2"/>
      <c r="V144" s="271"/>
      <c r="W144" s="25"/>
      <c r="X144" s="245"/>
      <c r="AA144" s="18"/>
      <c r="AB144" s="18"/>
      <c r="AC144" s="18"/>
      <c r="AD144" s="19"/>
      <c r="AE144" s="19"/>
      <c r="AI144" s="18"/>
      <c r="AJ144" s="7"/>
      <c r="AK144" s="7"/>
      <c r="AL144" s="7"/>
      <c r="AM144" s="7"/>
      <c r="AN144" s="7"/>
      <c r="AO144" s="7"/>
      <c r="AP144" s="7"/>
      <c r="AQ144" s="7"/>
      <c r="AR144" s="7"/>
      <c r="AS144" s="7"/>
      <c r="AT144" s="7"/>
      <c r="AU144" s="7"/>
      <c r="AV144" s="7"/>
      <c r="AW144" s="7"/>
      <c r="AX144" s="7"/>
      <c r="AY144" s="7"/>
      <c r="AZ144" s="7"/>
      <c r="BA144" s="18"/>
      <c r="BG144" s="140"/>
      <c r="BH144" s="131"/>
      <c r="BI144" s="102"/>
      <c r="BJ144" s="102"/>
      <c r="BK144" s="102"/>
      <c r="BL144" s="102"/>
      <c r="BM144" s="99"/>
      <c r="BN144" s="4"/>
      <c r="BO144" s="4"/>
      <c r="BP144" s="5"/>
      <c r="BQ144" s="5"/>
      <c r="BR144" s="99"/>
      <c r="BS144" s="159"/>
      <c r="BT144" s="99"/>
      <c r="BU144" s="99"/>
      <c r="BV144" s="99"/>
      <c r="BW144" s="159"/>
      <c r="BX144" s="99"/>
      <c r="BY144" s="99"/>
      <c r="BZ144" s="159"/>
      <c r="DA144" s="155"/>
      <c r="DB144" s="155"/>
      <c r="DC144" s="155"/>
      <c r="DD144" s="207"/>
      <c r="DE144" s="207"/>
      <c r="DF144" s="155"/>
      <c r="DG144" s="155"/>
      <c r="DH144" s="155"/>
      <c r="DI144" s="155"/>
      <c r="DJ144" s="208"/>
      <c r="DK144" s="208"/>
      <c r="DL144" s="208"/>
      <c r="DM144" s="208"/>
      <c r="DN144" s="208"/>
      <c r="DO144" s="208"/>
      <c r="DP144" s="208"/>
      <c r="DQ144" s="208"/>
      <c r="DR144" s="208"/>
      <c r="DS144" s="208"/>
      <c r="DT144" s="208"/>
      <c r="DU144" s="208"/>
      <c r="DV144" s="208"/>
      <c r="DW144" s="208"/>
      <c r="DX144" s="208"/>
      <c r="DY144" s="208"/>
      <c r="DZ144" s="208"/>
      <c r="EA144" s="210"/>
      <c r="EB144" s="211"/>
      <c r="EC144" s="211"/>
      <c r="ED144" s="211"/>
      <c r="EE144" s="211"/>
      <c r="EF144" s="207"/>
      <c r="EG144" s="209"/>
      <c r="EH144" s="213"/>
      <c r="EI144" s="214"/>
      <c r="EJ144" s="214"/>
      <c r="EK144" s="214"/>
      <c r="EL144" s="214"/>
      <c r="EM144" s="215"/>
      <c r="EN144" s="216"/>
      <c r="EO144" s="216"/>
      <c r="EP144" s="217"/>
      <c r="EQ144" s="217"/>
      <c r="ER144" s="215"/>
      <c r="ES144" s="218"/>
      <c r="ET144" s="215"/>
      <c r="EU144" s="215"/>
      <c r="EV144" s="215"/>
      <c r="EW144" s="218"/>
      <c r="EX144" s="215"/>
      <c r="EY144" s="215"/>
      <c r="EZ144" s="218"/>
    </row>
    <row r="145" spans="13:156" ht="15">
      <c r="M145" s="244" t="str">
        <f>"- Moment quán tính của tiết diện đường hàn:"</f>
        <v>- Moment quán tính của tiết diện đường hàn:</v>
      </c>
      <c r="N145" s="2"/>
      <c r="O145" s="2"/>
      <c r="P145" s="2"/>
      <c r="Q145" s="2"/>
      <c r="R145" s="2"/>
      <c r="S145" s="2"/>
      <c r="T145" s="2"/>
      <c r="U145" s="2"/>
      <c r="V145" s="21" t="s">
        <v>161</v>
      </c>
      <c r="W145" s="280">
        <f>IF(Q60=0,"-",2*(U60*T60^3/12))</f>
        <v>8000000</v>
      </c>
      <c r="X145" s="239" t="s">
        <v>159</v>
      </c>
      <c r="AA145" s="18"/>
      <c r="AB145" s="18"/>
      <c r="AC145" s="18"/>
      <c r="AD145" s="19"/>
      <c r="AE145" s="19"/>
      <c r="AI145" s="18"/>
      <c r="AJ145" s="7"/>
      <c r="AK145" s="7"/>
      <c r="AL145" s="7"/>
      <c r="AM145" s="7"/>
      <c r="AN145" s="7"/>
      <c r="AO145" s="7"/>
      <c r="AP145" s="7"/>
      <c r="AQ145" s="7"/>
      <c r="AR145" s="7"/>
      <c r="AS145" s="7"/>
      <c r="AT145" s="7"/>
      <c r="AU145" s="7"/>
      <c r="AV145" s="7"/>
      <c r="AW145" s="7"/>
      <c r="AX145" s="7"/>
      <c r="AY145" s="7"/>
      <c r="AZ145" s="7"/>
      <c r="BA145" s="18"/>
      <c r="BG145" s="140"/>
      <c r="BH145" s="131"/>
      <c r="BI145" s="102"/>
      <c r="BJ145" s="102"/>
      <c r="BK145" s="102"/>
      <c r="BL145" s="102"/>
      <c r="BM145" s="99"/>
      <c r="BN145" s="4"/>
      <c r="BO145" s="4"/>
      <c r="BP145" s="5"/>
      <c r="BQ145" s="5"/>
      <c r="BR145" s="99"/>
      <c r="BS145" s="159"/>
      <c r="BT145" s="99"/>
      <c r="BU145" s="99"/>
      <c r="BV145" s="99"/>
      <c r="BW145" s="159"/>
      <c r="BX145" s="99"/>
      <c r="BY145" s="99"/>
      <c r="BZ145" s="159"/>
      <c r="DA145" s="155"/>
      <c r="DB145" s="155"/>
      <c r="DC145" s="155"/>
      <c r="DD145" s="207"/>
      <c r="DE145" s="207"/>
      <c r="DF145" s="155"/>
      <c r="DG145" s="155"/>
      <c r="DH145" s="155"/>
      <c r="DI145" s="155"/>
      <c r="DJ145" s="208"/>
      <c r="DK145" s="208"/>
      <c r="DL145" s="208"/>
      <c r="DM145" s="208"/>
      <c r="DN145" s="208"/>
      <c r="DO145" s="208"/>
      <c r="DP145" s="208"/>
      <c r="DQ145" s="208"/>
      <c r="DR145" s="208"/>
      <c r="DS145" s="208"/>
      <c r="DT145" s="208"/>
      <c r="DU145" s="208"/>
      <c r="DV145" s="208"/>
      <c r="DW145" s="208"/>
      <c r="DX145" s="208"/>
      <c r="DY145" s="208"/>
      <c r="DZ145" s="208"/>
      <c r="EA145" s="210"/>
      <c r="EB145" s="211"/>
      <c r="EC145" s="211"/>
      <c r="ED145" s="211"/>
      <c r="EE145" s="211"/>
      <c r="EF145" s="207"/>
      <c r="EG145" s="209"/>
      <c r="EH145" s="213"/>
      <c r="EI145" s="214"/>
      <c r="EJ145" s="214"/>
      <c r="EK145" s="214"/>
      <c r="EL145" s="214"/>
      <c r="EM145" s="215"/>
      <c r="EN145" s="216"/>
      <c r="EO145" s="216"/>
      <c r="EP145" s="217"/>
      <c r="EQ145" s="217"/>
      <c r="ER145" s="215"/>
      <c r="ES145" s="218"/>
      <c r="ET145" s="215"/>
      <c r="EU145" s="215"/>
      <c r="EV145" s="215"/>
      <c r="EW145" s="218"/>
      <c r="EX145" s="215"/>
      <c r="EY145" s="215"/>
      <c r="EZ145" s="218"/>
    </row>
    <row r="146" spans="13:156" ht="15">
      <c r="M146" s="244" t="str">
        <f>"- Moment chống uốn theo kim loại đường hàn:"</f>
        <v>- Moment chống uốn theo kim loại đường hàn:</v>
      </c>
      <c r="N146" s="2"/>
      <c r="O146" s="2"/>
      <c r="P146" s="2"/>
      <c r="Q146" s="2"/>
      <c r="R146" s="2"/>
      <c r="S146" s="2"/>
      <c r="T146" s="2"/>
      <c r="U146" s="2"/>
      <c r="V146" s="21" t="s">
        <v>162</v>
      </c>
      <c r="W146" s="281">
        <f>IF(Q60=0,"-",U30*(W145/(T60/2)))</f>
        <v>56000</v>
      </c>
      <c r="X146" s="239" t="s">
        <v>160</v>
      </c>
      <c r="AA146" s="18"/>
      <c r="AB146" s="18"/>
      <c r="AC146" s="18"/>
      <c r="AD146" s="19"/>
      <c r="AE146" s="19"/>
      <c r="AI146" s="18"/>
      <c r="AJ146" s="7"/>
      <c r="AK146" s="7"/>
      <c r="AL146" s="7"/>
      <c r="AM146" s="7"/>
      <c r="AN146" s="7"/>
      <c r="AO146" s="7"/>
      <c r="AP146" s="7"/>
      <c r="AQ146" s="7"/>
      <c r="AR146" s="7"/>
      <c r="AS146" s="7"/>
      <c r="AT146" s="7"/>
      <c r="AU146" s="7"/>
      <c r="AV146" s="7"/>
      <c r="AW146" s="7"/>
      <c r="AX146" s="7"/>
      <c r="AY146" s="7"/>
      <c r="AZ146" s="7"/>
      <c r="BA146" s="18"/>
      <c r="BG146" s="140"/>
      <c r="BH146" s="131"/>
      <c r="BI146" s="102"/>
      <c r="BJ146" s="102"/>
      <c r="BK146" s="102"/>
      <c r="BL146" s="102"/>
      <c r="BM146" s="99"/>
      <c r="BN146" s="4"/>
      <c r="BO146" s="4"/>
      <c r="BP146" s="5"/>
      <c r="BQ146" s="5"/>
      <c r="BR146" s="99"/>
      <c r="BS146" s="159"/>
      <c r="BT146" s="99"/>
      <c r="BU146" s="99"/>
      <c r="BV146" s="99"/>
      <c r="BW146" s="159"/>
      <c r="BX146" s="99"/>
      <c r="BY146" s="99"/>
      <c r="BZ146" s="159"/>
      <c r="DA146" s="155"/>
      <c r="DB146" s="155"/>
      <c r="DC146" s="155"/>
      <c r="DD146" s="207"/>
      <c r="DE146" s="207"/>
      <c r="DF146" s="155"/>
      <c r="DG146" s="155"/>
      <c r="DH146" s="155"/>
      <c r="DI146" s="155"/>
      <c r="DJ146" s="208"/>
      <c r="DK146" s="208"/>
      <c r="DL146" s="208"/>
      <c r="DM146" s="208"/>
      <c r="DN146" s="208"/>
      <c r="DO146" s="208"/>
      <c r="DP146" s="208"/>
      <c r="DQ146" s="208"/>
      <c r="DR146" s="208"/>
      <c r="DS146" s="208"/>
      <c r="DT146" s="208"/>
      <c r="DU146" s="208"/>
      <c r="DV146" s="208"/>
      <c r="DW146" s="208"/>
      <c r="DX146" s="208"/>
      <c r="DY146" s="208"/>
      <c r="DZ146" s="208"/>
      <c r="EA146" s="210"/>
      <c r="EB146" s="211"/>
      <c r="EC146" s="211"/>
      <c r="ED146" s="211"/>
      <c r="EE146" s="211"/>
      <c r="EF146" s="207"/>
      <c r="EG146" s="209"/>
      <c r="EH146" s="213"/>
      <c r="EI146" s="214"/>
      <c r="EJ146" s="214"/>
      <c r="EK146" s="214"/>
      <c r="EL146" s="214"/>
      <c r="EM146" s="215"/>
      <c r="EN146" s="216"/>
      <c r="EO146" s="216"/>
      <c r="EP146" s="217"/>
      <c r="EQ146" s="217"/>
      <c r="ER146" s="215"/>
      <c r="ES146" s="218"/>
      <c r="ET146" s="215"/>
      <c r="EU146" s="215"/>
      <c r="EV146" s="215"/>
      <c r="EW146" s="218"/>
      <c r="EX146" s="215"/>
      <c r="EY146" s="215"/>
      <c r="EZ146" s="218"/>
    </row>
    <row r="147" spans="13:156" ht="15">
      <c r="M147" s="244" t="str">
        <f>"- Tỷ số huy động theo kim loại đường hàn:"</f>
        <v>- Tỷ số huy động theo kim loại đường hàn:</v>
      </c>
      <c r="N147" s="2"/>
      <c r="O147" s="2"/>
      <c r="P147" s="276"/>
      <c r="Q147" s="277"/>
      <c r="R147" s="279"/>
      <c r="S147" s="270"/>
      <c r="T147" s="132"/>
      <c r="U147" s="2"/>
      <c r="V147" s="276" t="s">
        <v>163</v>
      </c>
      <c r="W147" s="263">
        <f>IF(Q60=0,"-",W140*1000000/(W146*W30*W32))</f>
        <v>0.21818084778601216</v>
      </c>
      <c r="X147" s="245" t="str">
        <f>IF(W147="-","",IF(R60=0,"-",IF(W147&lt;=1,"OK","Check")))</f>
        <v>OK</v>
      </c>
      <c r="AA147" s="18"/>
      <c r="AB147" s="18"/>
      <c r="AC147" s="18"/>
      <c r="AD147" s="19"/>
      <c r="AE147" s="19"/>
      <c r="AI147" s="18"/>
      <c r="AJ147" s="7"/>
      <c r="AK147" s="7"/>
      <c r="AL147" s="7"/>
      <c r="AM147" s="7"/>
      <c r="AN147" s="7"/>
      <c r="AO147" s="7"/>
      <c r="AP147" s="7"/>
      <c r="AQ147" s="7"/>
      <c r="AR147" s="7"/>
      <c r="AS147" s="7"/>
      <c r="AT147" s="7"/>
      <c r="AU147" s="7"/>
      <c r="AV147" s="7"/>
      <c r="AW147" s="7"/>
      <c r="AX147" s="7"/>
      <c r="AY147" s="7"/>
      <c r="AZ147" s="7"/>
      <c r="BA147" s="18"/>
      <c r="BG147" s="140"/>
      <c r="BH147" s="131"/>
      <c r="BI147" s="102"/>
      <c r="BJ147" s="102"/>
      <c r="BK147" s="102"/>
      <c r="BL147" s="102"/>
      <c r="BM147" s="99"/>
      <c r="BN147" s="4"/>
      <c r="BO147" s="4"/>
      <c r="BP147" s="5"/>
      <c r="BQ147" s="5"/>
      <c r="BR147" s="99"/>
      <c r="BS147" s="159"/>
      <c r="BT147" s="99"/>
      <c r="BU147" s="99"/>
      <c r="BV147" s="99"/>
      <c r="BW147" s="159"/>
      <c r="BX147" s="99"/>
      <c r="BY147" s="99"/>
      <c r="BZ147" s="159"/>
      <c r="DA147" s="155"/>
      <c r="DB147" s="155"/>
      <c r="DC147" s="155"/>
      <c r="DD147" s="207"/>
      <c r="DE147" s="207"/>
      <c r="DF147" s="155"/>
      <c r="DG147" s="155"/>
      <c r="DH147" s="155"/>
      <c r="DI147" s="155"/>
      <c r="DJ147" s="208"/>
      <c r="DK147" s="208"/>
      <c r="DL147" s="208"/>
      <c r="DM147" s="208"/>
      <c r="DN147" s="208"/>
      <c r="DO147" s="208"/>
      <c r="DP147" s="208"/>
      <c r="DQ147" s="208"/>
      <c r="DR147" s="208"/>
      <c r="DS147" s="208"/>
      <c r="DT147" s="208"/>
      <c r="DU147" s="208"/>
      <c r="DV147" s="208"/>
      <c r="DW147" s="208"/>
      <c r="DX147" s="208"/>
      <c r="DY147" s="208"/>
      <c r="DZ147" s="208"/>
      <c r="EA147" s="210"/>
      <c r="EB147" s="211"/>
      <c r="EC147" s="211"/>
      <c r="ED147" s="211"/>
      <c r="EE147" s="211"/>
      <c r="EF147" s="207"/>
      <c r="EG147" s="209"/>
      <c r="EH147" s="213"/>
      <c r="EI147" s="214"/>
      <c r="EJ147" s="214"/>
      <c r="EK147" s="214"/>
      <c r="EL147" s="214"/>
      <c r="EM147" s="215"/>
      <c r="EN147" s="216"/>
      <c r="EO147" s="216"/>
      <c r="EP147" s="217"/>
      <c r="EQ147" s="217"/>
      <c r="ER147" s="215"/>
      <c r="ES147" s="218"/>
      <c r="ET147" s="215"/>
      <c r="EU147" s="215"/>
      <c r="EV147" s="215"/>
      <c r="EW147" s="218"/>
      <c r="EX147" s="215"/>
      <c r="EY147" s="215"/>
      <c r="EZ147" s="218"/>
    </row>
    <row r="148" spans="13:156" ht="15">
      <c r="M148" s="244" t="str">
        <f>"- Moment chống uốn theo kim loại kim loại biên nóng chảy:"</f>
        <v>- Moment chống uốn theo kim loại kim loại biên nóng chảy:</v>
      </c>
      <c r="N148" s="2"/>
      <c r="O148" s="2"/>
      <c r="P148" s="2"/>
      <c r="Q148" s="2"/>
      <c r="R148" s="2"/>
      <c r="S148" s="2"/>
      <c r="T148" s="2"/>
      <c r="U148" s="2"/>
      <c r="V148" s="21" t="s">
        <v>164</v>
      </c>
      <c r="W148" s="281">
        <f>IF(Q60=0,"-",U31*(W145/(T60/2)))</f>
        <v>80000</v>
      </c>
      <c r="X148" s="239" t="s">
        <v>160</v>
      </c>
      <c r="AA148" s="18"/>
      <c r="AB148" s="18"/>
      <c r="AC148" s="18"/>
      <c r="AD148" s="19"/>
      <c r="AE148" s="19"/>
      <c r="AI148" s="18"/>
      <c r="AJ148" s="7"/>
      <c r="AK148" s="7"/>
      <c r="AL148" s="7"/>
      <c r="AM148" s="7"/>
      <c r="AN148" s="7"/>
      <c r="AO148" s="7"/>
      <c r="AP148" s="7"/>
      <c r="AQ148" s="7"/>
      <c r="AR148" s="7"/>
      <c r="AS148" s="7"/>
      <c r="AT148" s="7"/>
      <c r="AU148" s="7"/>
      <c r="AV148" s="7"/>
      <c r="AW148" s="7"/>
      <c r="AX148" s="7"/>
      <c r="AY148" s="7"/>
      <c r="AZ148" s="7"/>
      <c r="BA148" s="18"/>
      <c r="BG148" s="140"/>
      <c r="BH148" s="131"/>
      <c r="BI148" s="102"/>
      <c r="BJ148" s="102"/>
      <c r="BK148" s="102"/>
      <c r="BL148" s="102"/>
      <c r="BM148" s="99"/>
      <c r="BN148" s="4"/>
      <c r="BO148" s="4"/>
      <c r="BP148" s="5"/>
      <c r="BQ148" s="5"/>
      <c r="BR148" s="99"/>
      <c r="BS148" s="159"/>
      <c r="BT148" s="99"/>
      <c r="BU148" s="99"/>
      <c r="BV148" s="99"/>
      <c r="BW148" s="159"/>
      <c r="BX148" s="99"/>
      <c r="BY148" s="99"/>
      <c r="BZ148" s="159"/>
      <c r="DA148" s="155"/>
      <c r="DB148" s="155"/>
      <c r="DC148" s="155"/>
      <c r="DD148" s="207"/>
      <c r="DE148" s="207"/>
      <c r="DF148" s="155"/>
      <c r="DG148" s="155"/>
      <c r="DH148" s="155"/>
      <c r="DI148" s="155"/>
      <c r="DJ148" s="208"/>
      <c r="DK148" s="208"/>
      <c r="DL148" s="208"/>
      <c r="DM148" s="208"/>
      <c r="DN148" s="208"/>
      <c r="DO148" s="208"/>
      <c r="DP148" s="208"/>
      <c r="DQ148" s="208"/>
      <c r="DR148" s="208"/>
      <c r="DS148" s="208"/>
      <c r="DT148" s="208"/>
      <c r="DU148" s="208"/>
      <c r="DV148" s="208"/>
      <c r="DW148" s="208"/>
      <c r="DX148" s="208"/>
      <c r="DY148" s="208"/>
      <c r="DZ148" s="208"/>
      <c r="EA148" s="210"/>
      <c r="EB148" s="211"/>
      <c r="EC148" s="211"/>
      <c r="ED148" s="211"/>
      <c r="EE148" s="211"/>
      <c r="EF148" s="207"/>
      <c r="EG148" s="209"/>
      <c r="EH148" s="213"/>
      <c r="EI148" s="214"/>
      <c r="EJ148" s="214"/>
      <c r="EK148" s="214"/>
      <c r="EL148" s="214"/>
      <c r="EM148" s="215"/>
      <c r="EN148" s="216"/>
      <c r="EO148" s="216"/>
      <c r="EP148" s="217"/>
      <c r="EQ148" s="217"/>
      <c r="ER148" s="215"/>
      <c r="ES148" s="218"/>
      <c r="ET148" s="215"/>
      <c r="EU148" s="215"/>
      <c r="EV148" s="215"/>
      <c r="EW148" s="218"/>
      <c r="EX148" s="215"/>
      <c r="EY148" s="215"/>
      <c r="EZ148" s="218"/>
    </row>
    <row r="149" spans="13:156" ht="15">
      <c r="M149" s="244" t="str">
        <f>"- Tỷ số huy động theo kim loại biên nóng chảy:"</f>
        <v>- Tỷ số huy động theo kim loại biên nóng chảy:</v>
      </c>
      <c r="N149" s="2"/>
      <c r="O149" s="2"/>
      <c r="P149" s="276"/>
      <c r="Q149" s="277"/>
      <c r="R149" s="279"/>
      <c r="S149" s="270"/>
      <c r="T149" s="132"/>
      <c r="U149" s="2"/>
      <c r="V149" s="276" t="s">
        <v>165</v>
      </c>
      <c r="W149" s="263">
        <f>IF(Q60=0,"-",W140*1000000/(W148*W31*W32))</f>
        <v>0.1607648352107458</v>
      </c>
      <c r="X149" s="245" t="str">
        <f>IF(W149="-","",IF(R60=0,"-",IF(W149&lt;=1,"OK","Check")))</f>
        <v>OK</v>
      </c>
      <c r="AA149" s="18"/>
      <c r="AB149" s="18"/>
      <c r="AC149" s="18"/>
      <c r="AD149" s="19"/>
      <c r="AE149" s="19"/>
      <c r="AI149" s="18"/>
      <c r="AJ149" s="7"/>
      <c r="AK149" s="7"/>
      <c r="AL149" s="7"/>
      <c r="AM149" s="7"/>
      <c r="AN149" s="7"/>
      <c r="AO149" s="7"/>
      <c r="AP149" s="7"/>
      <c r="AQ149" s="7"/>
      <c r="AR149" s="7"/>
      <c r="AS149" s="7"/>
      <c r="AT149" s="7"/>
      <c r="AU149" s="7"/>
      <c r="AV149" s="7"/>
      <c r="AW149" s="7"/>
      <c r="AX149" s="7"/>
      <c r="AY149" s="7"/>
      <c r="AZ149" s="7"/>
      <c r="BA149" s="18"/>
      <c r="BG149" s="140"/>
      <c r="BH149" s="131"/>
      <c r="BI149" s="102"/>
      <c r="BJ149" s="102"/>
      <c r="BK149" s="102"/>
      <c r="BL149" s="102"/>
      <c r="BM149" s="99"/>
      <c r="BN149" s="4"/>
      <c r="BO149" s="4"/>
      <c r="BP149" s="5"/>
      <c r="BQ149" s="5"/>
      <c r="BR149" s="99"/>
      <c r="BS149" s="159"/>
      <c r="BT149" s="99"/>
      <c r="BU149" s="99"/>
      <c r="BV149" s="99"/>
      <c r="BW149" s="159"/>
      <c r="BX149" s="99"/>
      <c r="BY149" s="99"/>
      <c r="BZ149" s="159"/>
      <c r="DA149" s="155"/>
      <c r="DB149" s="155"/>
      <c r="DC149" s="155"/>
      <c r="DD149" s="207"/>
      <c r="DE149" s="207"/>
      <c r="DF149" s="155"/>
      <c r="DG149" s="155"/>
      <c r="DH149" s="155"/>
      <c r="DI149" s="155"/>
      <c r="DJ149" s="208"/>
      <c r="DK149" s="208"/>
      <c r="DL149" s="208"/>
      <c r="DM149" s="208"/>
      <c r="DN149" s="208"/>
      <c r="DO149" s="208"/>
      <c r="DP149" s="208"/>
      <c r="DQ149" s="208"/>
      <c r="DR149" s="208"/>
      <c r="DS149" s="208"/>
      <c r="DT149" s="208"/>
      <c r="DU149" s="208"/>
      <c r="DV149" s="208"/>
      <c r="DW149" s="208"/>
      <c r="DX149" s="208"/>
      <c r="DY149" s="208"/>
      <c r="DZ149" s="208"/>
      <c r="EA149" s="210"/>
      <c r="EB149" s="211"/>
      <c r="EC149" s="211"/>
      <c r="ED149" s="211"/>
      <c r="EE149" s="211"/>
      <c r="EF149" s="207"/>
      <c r="EG149" s="209"/>
      <c r="EH149" s="213"/>
      <c r="EI149" s="214"/>
      <c r="EJ149" s="214"/>
      <c r="EK149" s="214"/>
      <c r="EL149" s="214"/>
      <c r="EM149" s="215"/>
      <c r="EN149" s="216"/>
      <c r="EO149" s="216"/>
      <c r="EP149" s="217"/>
      <c r="EQ149" s="217"/>
      <c r="ER149" s="215"/>
      <c r="ES149" s="218"/>
      <c r="ET149" s="215"/>
      <c r="EU149" s="215"/>
      <c r="EV149" s="215"/>
      <c r="EW149" s="218"/>
      <c r="EX149" s="215"/>
      <c r="EY149" s="215"/>
      <c r="EZ149" s="218"/>
    </row>
    <row r="150" spans="13:156">
      <c r="M150" s="243" t="s">
        <v>374</v>
      </c>
      <c r="N150" s="2"/>
      <c r="O150" s="2"/>
      <c r="P150" s="21"/>
      <c r="Q150" s="255"/>
      <c r="R150" s="132"/>
      <c r="S150" s="2"/>
      <c r="T150" s="2"/>
      <c r="U150" s="2"/>
      <c r="V150" s="2"/>
      <c r="W150" s="2"/>
      <c r="X150" s="239"/>
      <c r="AA150" s="18"/>
      <c r="AB150" s="18"/>
      <c r="AC150" s="18"/>
      <c r="AD150" s="19"/>
      <c r="AE150" s="19"/>
      <c r="AI150" s="18"/>
      <c r="AJ150" s="7"/>
      <c r="AK150" s="7"/>
      <c r="AL150" s="7"/>
      <c r="AM150" s="7"/>
      <c r="AN150" s="7"/>
      <c r="AO150" s="7"/>
      <c r="AP150" s="7"/>
      <c r="AQ150" s="7"/>
      <c r="AR150" s="7"/>
      <c r="AS150" s="7"/>
      <c r="AT150" s="7"/>
      <c r="AU150" s="7"/>
      <c r="AV150" s="7"/>
      <c r="AW150" s="7"/>
      <c r="AX150" s="7"/>
      <c r="AY150" s="7"/>
      <c r="AZ150" s="7"/>
      <c r="BA150" s="18"/>
      <c r="BG150" s="140"/>
      <c r="BH150" s="131"/>
      <c r="BI150" s="102"/>
      <c r="BJ150" s="102"/>
      <c r="BK150" s="102"/>
      <c r="BL150" s="102"/>
      <c r="BM150" s="99"/>
      <c r="BN150" s="4"/>
      <c r="BO150" s="4"/>
      <c r="BP150" s="5"/>
      <c r="BQ150" s="5"/>
      <c r="BR150" s="99"/>
      <c r="BS150" s="159"/>
      <c r="BT150" s="99"/>
      <c r="BU150" s="99"/>
      <c r="BV150" s="99"/>
      <c r="BW150" s="159"/>
      <c r="BX150" s="99"/>
      <c r="BY150" s="99"/>
      <c r="BZ150" s="159"/>
      <c r="DA150" s="155"/>
      <c r="DB150" s="155"/>
      <c r="DC150" s="155"/>
      <c r="DD150" s="207"/>
      <c r="DE150" s="207"/>
      <c r="DF150" s="155"/>
      <c r="DG150" s="155"/>
      <c r="DH150" s="155"/>
      <c r="DI150" s="155"/>
      <c r="DJ150" s="208"/>
      <c r="DK150" s="208"/>
      <c r="DL150" s="208"/>
      <c r="DM150" s="208"/>
      <c r="DN150" s="208"/>
      <c r="DO150" s="208"/>
      <c r="DP150" s="208"/>
      <c r="DQ150" s="208"/>
      <c r="DR150" s="208"/>
      <c r="DS150" s="208"/>
      <c r="DT150" s="208"/>
      <c r="DU150" s="208"/>
      <c r="DV150" s="208"/>
      <c r="DW150" s="208"/>
      <c r="DX150" s="208"/>
      <c r="DY150" s="208"/>
      <c r="DZ150" s="208"/>
      <c r="EA150" s="210"/>
      <c r="EB150" s="211"/>
      <c r="EC150" s="211"/>
      <c r="ED150" s="211"/>
      <c r="EE150" s="211"/>
      <c r="EF150" s="207"/>
      <c r="EG150" s="209"/>
      <c r="EH150" s="213"/>
      <c r="EI150" s="214"/>
      <c r="EJ150" s="214"/>
      <c r="EK150" s="214"/>
      <c r="EL150" s="214"/>
      <c r="EM150" s="215"/>
      <c r="EN150" s="216"/>
      <c r="EO150" s="216"/>
      <c r="EP150" s="217"/>
      <c r="EQ150" s="217"/>
      <c r="ER150" s="215"/>
      <c r="ES150" s="218"/>
      <c r="ET150" s="215"/>
      <c r="EU150" s="215"/>
      <c r="EV150" s="215"/>
      <c r="EW150" s="218"/>
      <c r="EX150" s="215"/>
      <c r="EY150" s="215"/>
      <c r="EZ150" s="218"/>
    </row>
    <row r="151" spans="13:156">
      <c r="M151" s="244" t="s">
        <v>147</v>
      </c>
      <c r="N151" s="2"/>
      <c r="O151" s="2"/>
      <c r="P151" s="2"/>
      <c r="Q151" s="2"/>
      <c r="R151" s="2"/>
      <c r="S151" s="2"/>
      <c r="T151" s="2"/>
      <c r="U151" s="2"/>
      <c r="V151" s="271"/>
      <c r="W151" s="271"/>
      <c r="X151" s="245"/>
      <c r="AA151" s="18"/>
      <c r="AB151" s="18"/>
      <c r="AC151" s="18"/>
      <c r="AD151" s="19"/>
      <c r="AE151" s="19"/>
      <c r="AI151" s="18"/>
      <c r="AJ151" s="7"/>
      <c r="AK151" s="7"/>
      <c r="AL151" s="7"/>
      <c r="AM151" s="7"/>
      <c r="AN151" s="7"/>
      <c r="AO151" s="7"/>
      <c r="AP151" s="7"/>
      <c r="AQ151" s="7"/>
      <c r="AR151" s="7"/>
      <c r="AS151" s="7"/>
      <c r="AT151" s="7"/>
      <c r="AU151" s="7"/>
      <c r="AV151" s="7"/>
      <c r="AW151" s="7"/>
      <c r="AX151" s="7"/>
      <c r="AY151" s="7"/>
      <c r="AZ151" s="7"/>
      <c r="BA151" s="18"/>
      <c r="BG151" s="140"/>
      <c r="BH151" s="131"/>
      <c r="BI151" s="102"/>
      <c r="BJ151" s="102"/>
      <c r="BK151" s="102"/>
      <c r="BL151" s="102"/>
      <c r="BM151" s="99"/>
      <c r="BN151" s="4"/>
      <c r="BO151" s="4"/>
      <c r="BP151" s="5"/>
      <c r="BQ151" s="5"/>
      <c r="BR151" s="99"/>
      <c r="BS151" s="159"/>
      <c r="BT151" s="99"/>
      <c r="BU151" s="99"/>
      <c r="BV151" s="99"/>
      <c r="BW151" s="159"/>
      <c r="BX151" s="99"/>
      <c r="BY151" s="99"/>
      <c r="BZ151" s="159"/>
      <c r="DA151" s="155"/>
      <c r="DB151" s="155"/>
      <c r="DC151" s="155"/>
      <c r="DD151" s="207"/>
      <c r="DE151" s="207"/>
      <c r="DF151" s="155"/>
      <c r="DG151" s="155"/>
      <c r="DH151" s="155"/>
      <c r="DI151" s="155"/>
      <c r="DJ151" s="208"/>
      <c r="DK151" s="208"/>
      <c r="DL151" s="208"/>
      <c r="DM151" s="208"/>
      <c r="DN151" s="208"/>
      <c r="DO151" s="208"/>
      <c r="DP151" s="208"/>
      <c r="DQ151" s="208"/>
      <c r="DR151" s="208"/>
      <c r="DS151" s="208"/>
      <c r="DT151" s="208"/>
      <c r="DU151" s="208"/>
      <c r="DV151" s="208"/>
      <c r="DW151" s="208"/>
      <c r="DX151" s="208"/>
      <c r="DY151" s="208"/>
      <c r="DZ151" s="208"/>
      <c r="EA151" s="210"/>
      <c r="EB151" s="211"/>
      <c r="EC151" s="211"/>
      <c r="ED151" s="211"/>
      <c r="EE151" s="211"/>
      <c r="EF151" s="207"/>
      <c r="EG151" s="209"/>
      <c r="EH151" s="213"/>
      <c r="EI151" s="214"/>
      <c r="EJ151" s="214"/>
      <c r="EK151" s="214"/>
      <c r="EL151" s="214"/>
      <c r="EM151" s="215"/>
      <c r="EN151" s="216"/>
      <c r="EO151" s="216"/>
      <c r="EP151" s="217"/>
      <c r="EQ151" s="217"/>
      <c r="ER151" s="215"/>
      <c r="ES151" s="218"/>
      <c r="ET151" s="215"/>
      <c r="EU151" s="215"/>
      <c r="EV151" s="215"/>
      <c r="EW151" s="218"/>
      <c r="EX151" s="215"/>
      <c r="EY151" s="215"/>
      <c r="EZ151" s="218"/>
    </row>
    <row r="152" spans="13:156">
      <c r="M152" s="272" t="s">
        <v>157</v>
      </c>
      <c r="N152" s="2"/>
      <c r="O152" s="2"/>
      <c r="P152" s="2"/>
      <c r="Q152" s="2"/>
      <c r="R152" s="2"/>
      <c r="S152" s="2"/>
      <c r="T152" s="2"/>
      <c r="U152" s="2"/>
      <c r="V152" s="271"/>
      <c r="W152" s="271"/>
      <c r="X152" s="245"/>
      <c r="AA152" s="18"/>
      <c r="AB152" s="18"/>
      <c r="AC152" s="18"/>
      <c r="AD152" s="19"/>
      <c r="AE152" s="19"/>
      <c r="AI152" s="18"/>
      <c r="AJ152" s="7"/>
      <c r="AK152" s="7"/>
      <c r="AL152" s="7"/>
      <c r="AM152" s="7"/>
      <c r="AN152" s="7"/>
      <c r="AO152" s="7"/>
      <c r="AP152" s="7"/>
      <c r="AQ152" s="7"/>
      <c r="AR152" s="7"/>
      <c r="AS152" s="7"/>
      <c r="AT152" s="7"/>
      <c r="AU152" s="7"/>
      <c r="AV152" s="7"/>
      <c r="AW152" s="7"/>
      <c r="AX152" s="7"/>
      <c r="AY152" s="7"/>
      <c r="AZ152" s="7"/>
      <c r="BA152" s="18"/>
      <c r="BG152" s="140"/>
      <c r="BH152" s="131"/>
      <c r="BI152" s="102"/>
      <c r="BJ152" s="102"/>
      <c r="BK152" s="102"/>
      <c r="BL152" s="102"/>
      <c r="BM152" s="99"/>
      <c r="BN152" s="4"/>
      <c r="BO152" s="4"/>
      <c r="BP152" s="5"/>
      <c r="BQ152" s="5"/>
      <c r="BR152" s="99"/>
      <c r="BS152" s="159"/>
      <c r="BT152" s="99"/>
      <c r="BU152" s="99"/>
      <c r="BV152" s="99"/>
      <c r="BW152" s="159"/>
      <c r="BX152" s="99"/>
      <c r="BY152" s="99"/>
      <c r="BZ152" s="159"/>
      <c r="DA152" s="155"/>
      <c r="DB152" s="155"/>
      <c r="DC152" s="155"/>
      <c r="DD152" s="207"/>
      <c r="DE152" s="207"/>
      <c r="DF152" s="155"/>
      <c r="DG152" s="155"/>
      <c r="DH152" s="155"/>
      <c r="DI152" s="155"/>
      <c r="DJ152" s="208"/>
      <c r="DK152" s="208"/>
      <c r="DL152" s="208"/>
      <c r="DM152" s="208"/>
      <c r="DN152" s="208"/>
      <c r="DO152" s="208"/>
      <c r="DP152" s="208"/>
      <c r="DQ152" s="208"/>
      <c r="DR152" s="208"/>
      <c r="DS152" s="208"/>
      <c r="DT152" s="208"/>
      <c r="DU152" s="208"/>
      <c r="DV152" s="208"/>
      <c r="DW152" s="208"/>
      <c r="DX152" s="208"/>
      <c r="DY152" s="208"/>
      <c r="DZ152" s="208"/>
      <c r="EA152" s="210"/>
      <c r="EB152" s="211"/>
      <c r="EC152" s="211"/>
      <c r="ED152" s="211"/>
      <c r="EE152" s="211"/>
      <c r="EF152" s="207"/>
      <c r="EG152" s="209"/>
      <c r="EH152" s="213"/>
      <c r="EI152" s="214"/>
      <c r="EJ152" s="214"/>
      <c r="EK152" s="214"/>
      <c r="EL152" s="214"/>
      <c r="EM152" s="215"/>
      <c r="EN152" s="216"/>
      <c r="EO152" s="216"/>
      <c r="EP152" s="217"/>
      <c r="EQ152" s="217"/>
      <c r="ER152" s="215"/>
      <c r="ES152" s="218"/>
      <c r="ET152" s="215"/>
      <c r="EU152" s="215"/>
      <c r="EV152" s="215"/>
      <c r="EW152" s="218"/>
      <c r="EX152" s="215"/>
      <c r="EY152" s="215"/>
      <c r="EZ152" s="218"/>
    </row>
    <row r="153" spans="13:156" ht="15">
      <c r="M153" s="244" t="str">
        <f>"- Ứng suất phản lực bê tông móng để tính sườn đế:"</f>
        <v>- Ứng suất phản lực bê tông móng để tính sườn đế:</v>
      </c>
      <c r="N153" s="2"/>
      <c r="O153" s="2"/>
      <c r="P153" s="2"/>
      <c r="Q153" s="273"/>
      <c r="R153" s="273"/>
      <c r="S153" s="274"/>
      <c r="T153" s="22"/>
      <c r="U153" s="2"/>
      <c r="V153" s="12" t="s">
        <v>196</v>
      </c>
      <c r="W153" s="268">
        <f>IF(Q61=0,"-",W100)</f>
        <v>6.6418728985918465</v>
      </c>
      <c r="X153" s="239" t="s">
        <v>20</v>
      </c>
      <c r="AA153" s="18"/>
      <c r="AB153" s="18"/>
      <c r="AC153" s="18"/>
      <c r="AD153" s="19"/>
      <c r="AE153" s="19"/>
      <c r="AI153" s="18"/>
      <c r="AJ153" s="7"/>
      <c r="AK153" s="7"/>
      <c r="AL153" s="7"/>
      <c r="AM153" s="7"/>
      <c r="AN153" s="7"/>
      <c r="AO153" s="7"/>
      <c r="AP153" s="7"/>
      <c r="AQ153" s="7"/>
      <c r="AR153" s="7"/>
      <c r="AS153" s="7"/>
      <c r="AT153" s="7"/>
      <c r="AU153" s="7"/>
      <c r="AV153" s="7"/>
      <c r="AW153" s="7"/>
      <c r="AX153" s="7"/>
      <c r="AY153" s="7"/>
      <c r="AZ153" s="7"/>
      <c r="BA153" s="18"/>
      <c r="BG153" s="140"/>
      <c r="BH153" s="131"/>
      <c r="BI153" s="102"/>
      <c r="BJ153" s="102"/>
      <c r="BK153" s="102"/>
      <c r="BL153" s="102"/>
      <c r="BM153" s="99"/>
      <c r="BN153" s="4"/>
      <c r="BO153" s="4"/>
      <c r="BP153" s="5"/>
      <c r="BQ153" s="5"/>
      <c r="BR153" s="99"/>
      <c r="BS153" s="159"/>
      <c r="BT153" s="99"/>
      <c r="BU153" s="99"/>
      <c r="BV153" s="99"/>
      <c r="BW153" s="159"/>
      <c r="BX153" s="99"/>
      <c r="BY153" s="99"/>
      <c r="BZ153" s="159"/>
      <c r="DA153" s="155"/>
      <c r="DB153" s="155"/>
      <c r="DC153" s="155"/>
      <c r="DD153" s="207"/>
      <c r="DE153" s="207"/>
      <c r="DF153" s="155"/>
      <c r="DG153" s="155"/>
      <c r="DH153" s="155"/>
      <c r="DI153" s="155"/>
      <c r="DJ153" s="208"/>
      <c r="DK153" s="208"/>
      <c r="DL153" s="208"/>
      <c r="DM153" s="208"/>
      <c r="DN153" s="208"/>
      <c r="DO153" s="208"/>
      <c r="DP153" s="208"/>
      <c r="DQ153" s="208"/>
      <c r="DR153" s="208"/>
      <c r="DS153" s="208"/>
      <c r="DT153" s="208"/>
      <c r="DU153" s="208"/>
      <c r="DV153" s="208"/>
      <c r="DW153" s="208"/>
      <c r="DX153" s="208"/>
      <c r="DY153" s="208"/>
      <c r="DZ153" s="208"/>
      <c r="EA153" s="210"/>
      <c r="EB153" s="211"/>
      <c r="EC153" s="211"/>
      <c r="ED153" s="211"/>
      <c r="EE153" s="211"/>
      <c r="EF153" s="207"/>
      <c r="EG153" s="209"/>
      <c r="EH153" s="213"/>
      <c r="EI153" s="214"/>
      <c r="EJ153" s="214"/>
      <c r="EK153" s="214"/>
      <c r="EL153" s="214"/>
      <c r="EM153" s="215"/>
      <c r="EN153" s="216"/>
      <c r="EO153" s="216"/>
      <c r="EP153" s="217"/>
      <c r="EQ153" s="217"/>
      <c r="ER153" s="215"/>
      <c r="ES153" s="218"/>
      <c r="ET153" s="215"/>
      <c r="EU153" s="215"/>
      <c r="EV153" s="215"/>
      <c r="EW153" s="218"/>
      <c r="EX153" s="215"/>
      <c r="EY153" s="215"/>
      <c r="EZ153" s="218"/>
    </row>
    <row r="154" spans="13:156" ht="15">
      <c r="M154" s="244" t="str">
        <f>"- Bề rộng chịu tải của sườn:"</f>
        <v>- Bề rộng chịu tải của sườn:</v>
      </c>
      <c r="N154" s="2"/>
      <c r="O154" s="2"/>
      <c r="P154" s="2"/>
      <c r="Q154" s="273"/>
      <c r="R154" s="273"/>
      <c r="S154" s="273"/>
      <c r="T154" s="2"/>
      <c r="U154" s="2"/>
      <c r="V154" s="21" t="s">
        <v>170</v>
      </c>
      <c r="W154" s="254">
        <f>IF(Q61=0,"-",1.5*S61)</f>
        <v>195</v>
      </c>
      <c r="X154" s="239" t="s">
        <v>1</v>
      </c>
      <c r="AA154" s="18"/>
      <c r="AB154" s="18"/>
      <c r="AC154" s="18"/>
      <c r="AD154" s="19"/>
      <c r="AE154" s="19"/>
      <c r="AI154" s="18"/>
      <c r="AJ154" s="7"/>
      <c r="AK154" s="7"/>
      <c r="AL154" s="7"/>
      <c r="AM154" s="7"/>
      <c r="AN154" s="7"/>
      <c r="AO154" s="7"/>
      <c r="AP154" s="7"/>
      <c r="AQ154" s="7"/>
      <c r="AR154" s="7"/>
      <c r="AS154" s="7"/>
      <c r="AT154" s="7"/>
      <c r="AU154" s="7"/>
      <c r="AV154" s="7"/>
      <c r="AW154" s="7"/>
      <c r="AX154" s="7"/>
      <c r="AY154" s="7"/>
      <c r="AZ154" s="7"/>
      <c r="BA154" s="18"/>
      <c r="BG154" s="140"/>
      <c r="BH154" s="131"/>
      <c r="BI154" s="102"/>
      <c r="BJ154" s="102"/>
      <c r="BK154" s="102"/>
      <c r="BL154" s="102"/>
      <c r="BM154" s="99"/>
      <c r="BN154" s="4"/>
      <c r="BO154" s="4"/>
      <c r="BP154" s="5"/>
      <c r="BQ154" s="5"/>
      <c r="BR154" s="99"/>
      <c r="BS154" s="159"/>
      <c r="BT154" s="99"/>
      <c r="BU154" s="99"/>
      <c r="BV154" s="99"/>
      <c r="BW154" s="159"/>
      <c r="BX154" s="99"/>
      <c r="BY154" s="99"/>
      <c r="BZ154" s="159"/>
      <c r="DA154" s="155"/>
      <c r="DB154" s="155"/>
      <c r="DC154" s="155"/>
      <c r="DD154" s="207"/>
      <c r="DE154" s="207"/>
      <c r="DF154" s="155"/>
      <c r="DG154" s="155"/>
      <c r="DH154" s="155"/>
      <c r="DI154" s="155"/>
      <c r="DJ154" s="208"/>
      <c r="DK154" s="208"/>
      <c r="DL154" s="208"/>
      <c r="DM154" s="208"/>
      <c r="DN154" s="208"/>
      <c r="DO154" s="208"/>
      <c r="DP154" s="208"/>
      <c r="DQ154" s="208"/>
      <c r="DR154" s="208"/>
      <c r="DS154" s="208"/>
      <c r="DT154" s="208"/>
      <c r="DU154" s="208"/>
      <c r="DV154" s="208"/>
      <c r="DW154" s="208"/>
      <c r="DX154" s="208"/>
      <c r="DY154" s="208"/>
      <c r="DZ154" s="208"/>
      <c r="EA154" s="210"/>
      <c r="EB154" s="211"/>
      <c r="EC154" s="211"/>
      <c r="ED154" s="211"/>
      <c r="EE154" s="211"/>
      <c r="EF154" s="207"/>
      <c r="EG154" s="209"/>
      <c r="EH154" s="213"/>
      <c r="EI154" s="214"/>
      <c r="EJ154" s="214"/>
      <c r="EK154" s="214"/>
      <c r="EL154" s="214"/>
      <c r="EM154" s="215"/>
      <c r="EN154" s="216"/>
      <c r="EO154" s="216"/>
      <c r="EP154" s="217"/>
      <c r="EQ154" s="217"/>
      <c r="ER154" s="215"/>
      <c r="ES154" s="218"/>
      <c r="ET154" s="215"/>
      <c r="EU154" s="215"/>
      <c r="EV154" s="215"/>
      <c r="EW154" s="218"/>
      <c r="EX154" s="215"/>
      <c r="EY154" s="215"/>
      <c r="EZ154" s="218"/>
    </row>
    <row r="155" spans="13:156" ht="15">
      <c r="M155" s="244" t="str">
        <f>"- Tải trọng tác dụng lên sườn:"</f>
        <v>- Tải trọng tác dụng lên sườn:</v>
      </c>
      <c r="N155" s="2"/>
      <c r="O155" s="2"/>
      <c r="P155" s="2"/>
      <c r="Q155" s="273"/>
      <c r="R155" s="273"/>
      <c r="S155" s="273"/>
      <c r="T155" s="21"/>
      <c r="U155" s="2"/>
      <c r="V155" s="21" t="s">
        <v>148</v>
      </c>
      <c r="W155" s="254">
        <f>IF(Q61=0,"-",W153*W154)</f>
        <v>1295.1652152254101</v>
      </c>
      <c r="X155" s="239" t="s">
        <v>149</v>
      </c>
      <c r="AA155" s="18"/>
      <c r="AB155" s="18"/>
      <c r="AC155" s="18"/>
      <c r="AD155" s="19"/>
      <c r="AE155" s="19"/>
      <c r="AI155" s="18"/>
      <c r="AJ155" s="7"/>
      <c r="AK155" s="7"/>
      <c r="AL155" s="7"/>
      <c r="AM155" s="7"/>
      <c r="AN155" s="7"/>
      <c r="AO155" s="7"/>
      <c r="AP155" s="7"/>
      <c r="AQ155" s="7"/>
      <c r="AR155" s="7"/>
      <c r="AS155" s="7"/>
      <c r="AT155" s="7"/>
      <c r="AU155" s="7"/>
      <c r="AV155" s="7"/>
      <c r="AW155" s="7"/>
      <c r="AX155" s="7"/>
      <c r="AY155" s="7"/>
      <c r="AZ155" s="7"/>
      <c r="BA155" s="18"/>
      <c r="BG155" s="140"/>
      <c r="BH155" s="131"/>
      <c r="BI155" s="102"/>
      <c r="BJ155" s="102"/>
      <c r="BK155" s="102"/>
      <c r="BL155" s="102"/>
      <c r="BM155" s="99"/>
      <c r="BN155" s="4"/>
      <c r="BO155" s="4"/>
      <c r="BP155" s="5"/>
      <c r="BQ155" s="5"/>
      <c r="BR155" s="99"/>
      <c r="BS155" s="159"/>
      <c r="BT155" s="99"/>
      <c r="BU155" s="99"/>
      <c r="BV155" s="99"/>
      <c r="BW155" s="159"/>
      <c r="BX155" s="99"/>
      <c r="BY155" s="99"/>
      <c r="BZ155" s="159"/>
      <c r="DA155" s="155"/>
      <c r="DB155" s="155"/>
      <c r="DC155" s="155"/>
      <c r="DD155" s="207"/>
      <c r="DE155" s="207"/>
      <c r="DF155" s="155"/>
      <c r="DG155" s="155"/>
      <c r="DH155" s="155"/>
      <c r="DI155" s="155"/>
      <c r="DJ155" s="208"/>
      <c r="DK155" s="208"/>
      <c r="DL155" s="208"/>
      <c r="DM155" s="208"/>
      <c r="DN155" s="208"/>
      <c r="DO155" s="208"/>
      <c r="DP155" s="208"/>
      <c r="DQ155" s="208"/>
      <c r="DR155" s="208"/>
      <c r="DS155" s="208"/>
      <c r="DT155" s="208"/>
      <c r="DU155" s="208"/>
      <c r="DV155" s="208"/>
      <c r="DW155" s="208"/>
      <c r="DX155" s="208"/>
      <c r="DY155" s="208"/>
      <c r="DZ155" s="208"/>
      <c r="EA155" s="210"/>
      <c r="EB155" s="211"/>
      <c r="EC155" s="211"/>
      <c r="ED155" s="211"/>
      <c r="EE155" s="211"/>
      <c r="EF155" s="207"/>
      <c r="EG155" s="209"/>
      <c r="EH155" s="213"/>
      <c r="EI155" s="214"/>
      <c r="EJ155" s="214"/>
      <c r="EK155" s="214"/>
      <c r="EL155" s="214"/>
      <c r="EM155" s="215"/>
      <c r="EN155" s="216"/>
      <c r="EO155" s="216"/>
      <c r="EP155" s="217"/>
      <c r="EQ155" s="217"/>
      <c r="ER155" s="215"/>
      <c r="ES155" s="218"/>
      <c r="ET155" s="215"/>
      <c r="EU155" s="215"/>
      <c r="EV155" s="215"/>
      <c r="EW155" s="218"/>
      <c r="EX155" s="215"/>
      <c r="EY155" s="215"/>
      <c r="EZ155" s="218"/>
    </row>
    <row r="156" spans="13:156" ht="15">
      <c r="M156" s="244" t="str">
        <f>"- Moment lớn nhất sườn đế:"</f>
        <v>- Moment lớn nhất sườn đế:</v>
      </c>
      <c r="N156" s="2"/>
      <c r="O156" s="2"/>
      <c r="P156" s="2"/>
      <c r="Q156" s="273"/>
      <c r="R156" s="273"/>
      <c r="S156" s="273"/>
      <c r="T156" s="2"/>
      <c r="U156" s="2"/>
      <c r="V156" s="21" t="s">
        <v>150</v>
      </c>
      <c r="W156" s="275">
        <f>IF(Q61=0,"-",W155*(S61/1000)^2/2)</f>
        <v>10.944146068654716</v>
      </c>
      <c r="X156" s="239" t="s">
        <v>72</v>
      </c>
      <c r="AA156" s="18"/>
      <c r="AB156" s="18"/>
      <c r="AC156" s="18"/>
      <c r="AD156" s="19"/>
      <c r="AE156" s="19"/>
      <c r="AI156" s="18"/>
      <c r="AJ156" s="7"/>
      <c r="AK156" s="7"/>
      <c r="AL156" s="7"/>
      <c r="AM156" s="7"/>
      <c r="AN156" s="7"/>
      <c r="AO156" s="7"/>
      <c r="AP156" s="7"/>
      <c r="AQ156" s="7"/>
      <c r="AR156" s="7"/>
      <c r="AS156" s="7"/>
      <c r="AT156" s="7"/>
      <c r="AU156" s="7"/>
      <c r="AV156" s="7"/>
      <c r="AW156" s="7"/>
      <c r="AX156" s="7"/>
      <c r="AY156" s="7"/>
      <c r="AZ156" s="7"/>
      <c r="BA156" s="18"/>
      <c r="BG156" s="140"/>
      <c r="BH156" s="131"/>
      <c r="BI156" s="102"/>
      <c r="BJ156" s="102"/>
      <c r="BK156" s="102"/>
      <c r="BL156" s="102"/>
      <c r="BM156" s="99"/>
      <c r="BN156" s="4"/>
      <c r="BO156" s="4"/>
      <c r="BP156" s="5"/>
      <c r="BQ156" s="5"/>
      <c r="BR156" s="99"/>
      <c r="BS156" s="159"/>
      <c r="BT156" s="99"/>
      <c r="BU156" s="99"/>
      <c r="BV156" s="99"/>
      <c r="BW156" s="159"/>
      <c r="BX156" s="99"/>
      <c r="BY156" s="99"/>
      <c r="BZ156" s="159"/>
      <c r="DA156" s="155"/>
      <c r="DB156" s="155"/>
      <c r="DC156" s="155"/>
      <c r="DD156" s="207"/>
      <c r="DE156" s="207"/>
      <c r="DF156" s="155"/>
      <c r="DG156" s="155"/>
      <c r="DH156" s="155"/>
      <c r="DI156" s="155"/>
      <c r="DJ156" s="208"/>
      <c r="DK156" s="208"/>
      <c r="DL156" s="208"/>
      <c r="DM156" s="208"/>
      <c r="DN156" s="208"/>
      <c r="DO156" s="208"/>
      <c r="DP156" s="208"/>
      <c r="DQ156" s="208"/>
      <c r="DR156" s="208"/>
      <c r="DS156" s="208"/>
      <c r="DT156" s="208"/>
      <c r="DU156" s="208"/>
      <c r="DV156" s="208"/>
      <c r="DW156" s="208"/>
      <c r="DX156" s="208"/>
      <c r="DY156" s="208"/>
      <c r="DZ156" s="208"/>
      <c r="EA156" s="210"/>
      <c r="EB156" s="211"/>
      <c r="EC156" s="211"/>
      <c r="ED156" s="211"/>
      <c r="EE156" s="211"/>
      <c r="EF156" s="207"/>
      <c r="EG156" s="209"/>
      <c r="EH156" s="213"/>
      <c r="EI156" s="214"/>
      <c r="EJ156" s="214"/>
      <c r="EK156" s="214"/>
      <c r="EL156" s="214"/>
      <c r="EM156" s="215"/>
      <c r="EN156" s="216"/>
      <c r="EO156" s="216"/>
      <c r="EP156" s="217"/>
      <c r="EQ156" s="217"/>
      <c r="ER156" s="215"/>
      <c r="ES156" s="218"/>
      <c r="ET156" s="215"/>
      <c r="EU156" s="215"/>
      <c r="EV156" s="215"/>
      <c r="EW156" s="218"/>
      <c r="EX156" s="215"/>
      <c r="EY156" s="215"/>
      <c r="EZ156" s="218"/>
    </row>
    <row r="157" spans="13:156" ht="15">
      <c r="M157" s="244" t="str">
        <f>"- Lực cắt lớn nhất sườn đế:"</f>
        <v>- Lực cắt lớn nhất sườn đế:</v>
      </c>
      <c r="N157" s="2"/>
      <c r="O157" s="2"/>
      <c r="P157" s="2"/>
      <c r="Q157" s="2"/>
      <c r="R157" s="2"/>
      <c r="S157" s="2"/>
      <c r="T157" s="2"/>
      <c r="U157" s="2"/>
      <c r="V157" s="21" t="s">
        <v>151</v>
      </c>
      <c r="W157" s="275">
        <f>IF(Q61=0,"-",W155*S61/1000)</f>
        <v>168.37147797930331</v>
      </c>
      <c r="X157" s="239" t="s">
        <v>71</v>
      </c>
      <c r="AA157" s="18"/>
      <c r="AB157" s="18"/>
      <c r="AC157" s="18"/>
      <c r="AD157" s="19"/>
      <c r="AE157" s="19"/>
      <c r="AI157" s="18"/>
      <c r="AJ157" s="7"/>
      <c r="AK157" s="7"/>
      <c r="AL157" s="7"/>
      <c r="AM157" s="7"/>
      <c r="AN157" s="7"/>
      <c r="AO157" s="7"/>
      <c r="AP157" s="7"/>
      <c r="AQ157" s="7"/>
      <c r="AR157" s="7"/>
      <c r="AS157" s="7"/>
      <c r="AT157" s="7"/>
      <c r="AU157" s="7"/>
      <c r="AV157" s="7"/>
      <c r="AW157" s="7"/>
      <c r="AX157" s="7"/>
      <c r="AY157" s="7"/>
      <c r="AZ157" s="7"/>
      <c r="BA157" s="18"/>
      <c r="BG157" s="140"/>
      <c r="BH157" s="131"/>
      <c r="BI157" s="102"/>
      <c r="BJ157" s="102"/>
      <c r="BK157" s="102"/>
      <c r="BL157" s="102"/>
      <c r="BM157" s="99"/>
      <c r="BN157" s="4"/>
      <c r="BO157" s="4"/>
      <c r="BP157" s="5"/>
      <c r="BQ157" s="5"/>
      <c r="BR157" s="99"/>
      <c r="BS157" s="159"/>
      <c r="BT157" s="99"/>
      <c r="BU157" s="99"/>
      <c r="BV157" s="99"/>
      <c r="BW157" s="159"/>
      <c r="BX157" s="99"/>
      <c r="BY157" s="99"/>
      <c r="BZ157" s="159"/>
      <c r="DA157" s="155"/>
      <c r="DB157" s="155"/>
      <c r="DC157" s="155"/>
      <c r="DD157" s="207"/>
      <c r="DE157" s="207"/>
      <c r="DF157" s="155"/>
      <c r="DG157" s="155"/>
      <c r="DH157" s="155"/>
      <c r="DI157" s="155"/>
      <c r="DJ157" s="208"/>
      <c r="DK157" s="208"/>
      <c r="DL157" s="208"/>
      <c r="DM157" s="208"/>
      <c r="DN157" s="208"/>
      <c r="DO157" s="208"/>
      <c r="DP157" s="208"/>
      <c r="DQ157" s="208"/>
      <c r="DR157" s="208"/>
      <c r="DS157" s="208"/>
      <c r="DT157" s="208"/>
      <c r="DU157" s="208"/>
      <c r="DV157" s="208"/>
      <c r="DW157" s="208"/>
      <c r="DX157" s="208"/>
      <c r="DY157" s="208"/>
      <c r="DZ157" s="208"/>
      <c r="EA157" s="210"/>
      <c r="EB157" s="211"/>
      <c r="EC157" s="211"/>
      <c r="ED157" s="211"/>
      <c r="EE157" s="211"/>
      <c r="EF157" s="207"/>
      <c r="EG157" s="209"/>
      <c r="EH157" s="213"/>
      <c r="EI157" s="214"/>
      <c r="EJ157" s="214"/>
      <c r="EK157" s="214"/>
      <c r="EL157" s="214"/>
      <c r="EM157" s="215"/>
      <c r="EN157" s="216"/>
      <c r="EO157" s="216"/>
      <c r="EP157" s="217"/>
      <c r="EQ157" s="217"/>
      <c r="ER157" s="215"/>
      <c r="ES157" s="218"/>
      <c r="ET157" s="215"/>
      <c r="EU157" s="215"/>
      <c r="EV157" s="215"/>
      <c r="EW157" s="218"/>
      <c r="EX157" s="215"/>
      <c r="EY157" s="215"/>
      <c r="EZ157" s="218"/>
    </row>
    <row r="158" spans="13:156" ht="15" customHeight="1">
      <c r="M158" s="244" t="str">
        <f>"- Ứng suất sườn đế:"</f>
        <v>- Ứng suất sườn đế:</v>
      </c>
      <c r="N158" s="2"/>
      <c r="O158" s="2"/>
      <c r="P158" s="276" t="s">
        <v>152</v>
      </c>
      <c r="Q158" s="270">
        <f>IF(Q61=0,"-",6*W156/(R61*T61^2)*1000000)</f>
        <v>273.60365171636784</v>
      </c>
      <c r="R158" s="276" t="s">
        <v>153</v>
      </c>
      <c r="S158" s="277">
        <f>IF(Q61=0,"-",W157*1000/(R61*T61))</f>
        <v>140.30956498275276</v>
      </c>
      <c r="T158" s="132" t="s">
        <v>20</v>
      </c>
      <c r="U158" s="2"/>
      <c r="V158" s="276" t="s">
        <v>154</v>
      </c>
      <c r="W158" s="268">
        <f>IF(Q61=0,"-",SQRT(Q158^2+3*S158^2))</f>
        <v>365.94983305021395</v>
      </c>
      <c r="X158" s="278" t="s">
        <v>20</v>
      </c>
      <c r="AA158" s="18"/>
      <c r="AB158" s="18"/>
      <c r="AC158" s="18"/>
      <c r="AD158" s="19"/>
      <c r="AE158" s="19"/>
      <c r="AI158" s="18"/>
      <c r="AJ158" s="7"/>
      <c r="AK158" s="7"/>
      <c r="AL158" s="7"/>
      <c r="AM158" s="7"/>
      <c r="AN158" s="7"/>
      <c r="AO158" s="7"/>
      <c r="AP158" s="7"/>
      <c r="AQ158" s="7"/>
      <c r="AR158" s="7"/>
      <c r="AS158" s="7"/>
      <c r="AT158" s="7"/>
      <c r="AU158" s="7"/>
      <c r="AV158" s="7"/>
      <c r="AW158" s="7"/>
      <c r="AX158" s="7"/>
      <c r="AY158" s="7"/>
      <c r="AZ158" s="7"/>
      <c r="BA158" s="18"/>
      <c r="BG158" s="140"/>
      <c r="BH158" s="131"/>
      <c r="BI158" s="102"/>
      <c r="BJ158" s="102"/>
      <c r="BK158" s="102"/>
      <c r="BL158" s="102"/>
      <c r="BM158" s="99"/>
      <c r="BN158" s="4"/>
      <c r="BO158" s="4"/>
      <c r="BP158" s="5"/>
      <c r="BQ158" s="5"/>
      <c r="BR158" s="99"/>
      <c r="BS158" s="159"/>
      <c r="BT158" s="99"/>
      <c r="BU158" s="99"/>
      <c r="BV158" s="99"/>
      <c r="BW158" s="159"/>
      <c r="BX158" s="99"/>
      <c r="BY158" s="99"/>
      <c r="BZ158" s="159"/>
      <c r="DA158" s="155"/>
      <c r="DB158" s="155"/>
      <c r="DC158" s="155"/>
      <c r="DD158" s="207"/>
      <c r="DE158" s="207"/>
      <c r="DF158" s="155"/>
      <c r="DG158" s="155"/>
      <c r="DH158" s="155"/>
      <c r="DI158" s="155"/>
      <c r="DJ158" s="208"/>
      <c r="DK158" s="208"/>
      <c r="DL158" s="208"/>
      <c r="DM158" s="208"/>
      <c r="DN158" s="208"/>
      <c r="DO158" s="208"/>
      <c r="DP158" s="208"/>
      <c r="DQ158" s="208"/>
      <c r="DR158" s="208"/>
      <c r="DS158" s="208"/>
      <c r="DT158" s="208"/>
      <c r="DU158" s="208"/>
      <c r="DV158" s="208"/>
      <c r="DW158" s="208"/>
      <c r="DX158" s="208"/>
      <c r="DY158" s="208"/>
      <c r="DZ158" s="208"/>
      <c r="EA158" s="210"/>
      <c r="EB158" s="211"/>
      <c r="EC158" s="211"/>
      <c r="ED158" s="211"/>
      <c r="EE158" s="211"/>
      <c r="EF158" s="207"/>
      <c r="EG158" s="209"/>
      <c r="EH158" s="213"/>
      <c r="EI158" s="214"/>
      <c r="EJ158" s="214"/>
      <c r="EK158" s="214"/>
      <c r="EL158" s="214"/>
      <c r="EM158" s="215"/>
      <c r="EN158" s="216"/>
      <c r="EO158" s="216"/>
      <c r="EP158" s="217"/>
      <c r="EQ158" s="217"/>
      <c r="ER158" s="215"/>
      <c r="ES158" s="218"/>
      <c r="ET158" s="215"/>
      <c r="EU158" s="215"/>
      <c r="EV158" s="215"/>
      <c r="EW158" s="218"/>
      <c r="EX158" s="215"/>
      <c r="EY158" s="215"/>
      <c r="EZ158" s="218"/>
    </row>
    <row r="159" spans="13:156" ht="15" customHeight="1">
      <c r="M159" s="244" t="str">
        <f>"- Tỷ số huy động cấu kiện:"</f>
        <v>- Tỷ số huy động cấu kiện:</v>
      </c>
      <c r="N159" s="2"/>
      <c r="O159" s="2"/>
      <c r="P159" s="276"/>
      <c r="Q159" s="277"/>
      <c r="R159" s="279" t="s">
        <v>156</v>
      </c>
      <c r="S159" s="270">
        <f>IF(Q61=0,"-",1.15*1*W25)</f>
        <v>262.85714285714283</v>
      </c>
      <c r="T159" s="132" t="s">
        <v>20</v>
      </c>
      <c r="U159" s="2"/>
      <c r="V159" s="276" t="s">
        <v>155</v>
      </c>
      <c r="W159" s="263">
        <f>IF(Q61=0,"-",W158/S159)</f>
        <v>1.3922004518214663</v>
      </c>
      <c r="X159" s="245" t="str">
        <f>IF(W159="-","",IF(R61=0,"-",IF(W159&lt;=1,"OK","Check")))</f>
        <v>Check</v>
      </c>
      <c r="AA159" s="18"/>
      <c r="AB159" s="18"/>
      <c r="AC159" s="18"/>
      <c r="AD159" s="19"/>
      <c r="AE159" s="19"/>
      <c r="AI159" s="18"/>
      <c r="AJ159" s="7"/>
      <c r="AK159" s="7"/>
      <c r="AL159" s="7"/>
      <c r="AM159" s="7"/>
      <c r="AN159" s="7"/>
      <c r="AO159" s="7"/>
      <c r="AP159" s="7"/>
      <c r="AQ159" s="7"/>
      <c r="AR159" s="7"/>
      <c r="AS159" s="7"/>
      <c r="AT159" s="7"/>
      <c r="AU159" s="7"/>
      <c r="AV159" s="7"/>
      <c r="AW159" s="7"/>
      <c r="AX159" s="7"/>
      <c r="AY159" s="7"/>
      <c r="AZ159" s="7"/>
      <c r="BA159" s="18"/>
      <c r="BG159" s="140"/>
      <c r="BH159" s="131"/>
      <c r="BI159" s="102"/>
      <c r="BJ159" s="102"/>
      <c r="BK159" s="102"/>
      <c r="BL159" s="102"/>
      <c r="BM159" s="99"/>
      <c r="BN159" s="4"/>
      <c r="BO159" s="4"/>
      <c r="BP159" s="5"/>
      <c r="BQ159" s="5"/>
      <c r="BR159" s="99"/>
      <c r="BS159" s="159"/>
      <c r="BT159" s="99"/>
      <c r="BU159" s="99"/>
      <c r="BV159" s="99"/>
      <c r="BW159" s="159"/>
      <c r="BX159" s="99"/>
      <c r="BY159" s="99"/>
      <c r="BZ159" s="159"/>
      <c r="DA159" s="155"/>
      <c r="DB159" s="155"/>
      <c r="DC159" s="155"/>
      <c r="DD159" s="207"/>
      <c r="DE159" s="207"/>
      <c r="DF159" s="155"/>
      <c r="DG159" s="155"/>
      <c r="DH159" s="155"/>
      <c r="DI159" s="155"/>
      <c r="DJ159" s="208"/>
      <c r="DK159" s="208"/>
      <c r="DL159" s="208"/>
      <c r="DM159" s="208"/>
      <c r="DN159" s="208"/>
      <c r="DO159" s="208"/>
      <c r="DP159" s="208"/>
      <c r="DQ159" s="208"/>
      <c r="DR159" s="208"/>
      <c r="DS159" s="208"/>
      <c r="DT159" s="208"/>
      <c r="DU159" s="208"/>
      <c r="DV159" s="208"/>
      <c r="DW159" s="208"/>
      <c r="DX159" s="208"/>
      <c r="DY159" s="208"/>
      <c r="DZ159" s="208"/>
      <c r="EA159" s="210"/>
      <c r="EB159" s="211"/>
      <c r="EC159" s="211"/>
      <c r="ED159" s="211"/>
      <c r="EE159" s="211"/>
      <c r="EF159" s="207"/>
      <c r="EG159" s="209"/>
      <c r="EH159" s="213"/>
      <c r="EI159" s="214"/>
      <c r="EJ159" s="214"/>
      <c r="EK159" s="214"/>
      <c r="EL159" s="214"/>
      <c r="EM159" s="215"/>
      <c r="EN159" s="216"/>
      <c r="EO159" s="216"/>
      <c r="EP159" s="217"/>
      <c r="EQ159" s="217"/>
      <c r="ER159" s="215"/>
      <c r="ES159" s="218"/>
      <c r="ET159" s="215"/>
      <c r="EU159" s="215"/>
      <c r="EV159" s="215"/>
      <c r="EW159" s="218"/>
      <c r="EX159" s="215"/>
      <c r="EY159" s="215"/>
      <c r="EZ159" s="218"/>
    </row>
    <row r="160" spans="13:156">
      <c r="M160" s="272" t="s">
        <v>158</v>
      </c>
      <c r="N160" s="2"/>
      <c r="O160" s="2"/>
      <c r="P160" s="2"/>
      <c r="Q160" s="2"/>
      <c r="R160" s="2"/>
      <c r="S160" s="2"/>
      <c r="T160" s="2"/>
      <c r="U160" s="2"/>
      <c r="V160" s="271"/>
      <c r="W160" s="25"/>
      <c r="X160" s="245"/>
      <c r="AA160" s="18"/>
      <c r="AB160" s="18"/>
      <c r="AC160" s="18"/>
      <c r="AD160" s="19"/>
      <c r="AE160" s="19"/>
      <c r="AI160" s="18"/>
      <c r="AJ160" s="7"/>
      <c r="AK160" s="7"/>
      <c r="AL160" s="7"/>
      <c r="AM160" s="7"/>
      <c r="AN160" s="7"/>
      <c r="AO160" s="7"/>
      <c r="AP160" s="7"/>
      <c r="AQ160" s="7"/>
      <c r="AR160" s="7"/>
      <c r="AS160" s="7"/>
      <c r="AT160" s="7"/>
      <c r="AU160" s="7"/>
      <c r="AV160" s="7"/>
      <c r="AW160" s="7"/>
      <c r="AX160" s="7"/>
      <c r="AY160" s="7"/>
      <c r="AZ160" s="7"/>
      <c r="BA160" s="18"/>
      <c r="BG160" s="140"/>
      <c r="BH160" s="131"/>
      <c r="BI160" s="102"/>
      <c r="BJ160" s="102"/>
      <c r="BK160" s="102"/>
      <c r="BL160" s="102"/>
      <c r="BM160" s="99"/>
      <c r="BN160" s="4"/>
      <c r="BO160" s="4"/>
      <c r="BP160" s="5"/>
      <c r="BQ160" s="5"/>
      <c r="BR160" s="99"/>
      <c r="BS160" s="159"/>
      <c r="BT160" s="99"/>
      <c r="BU160" s="99"/>
      <c r="BV160" s="99"/>
      <c r="BW160" s="159"/>
      <c r="BX160" s="99"/>
      <c r="BY160" s="99"/>
      <c r="BZ160" s="159"/>
      <c r="DA160" s="155"/>
      <c r="DB160" s="155"/>
      <c r="DC160" s="155"/>
      <c r="DD160" s="207"/>
      <c r="DE160" s="207"/>
      <c r="DF160" s="155"/>
      <c r="DG160" s="155"/>
      <c r="DH160" s="155"/>
      <c r="DI160" s="155"/>
      <c r="DJ160" s="208"/>
      <c r="DK160" s="208"/>
      <c r="DL160" s="208"/>
      <c r="DM160" s="208"/>
      <c r="DN160" s="208"/>
      <c r="DO160" s="208"/>
      <c r="DP160" s="208"/>
      <c r="DQ160" s="208"/>
      <c r="DR160" s="208"/>
      <c r="DS160" s="208"/>
      <c r="DT160" s="208"/>
      <c r="DU160" s="208"/>
      <c r="DV160" s="208"/>
      <c r="DW160" s="208"/>
      <c r="DX160" s="208"/>
      <c r="DY160" s="208"/>
      <c r="DZ160" s="208"/>
      <c r="EA160" s="210"/>
      <c r="EB160" s="211"/>
      <c r="EC160" s="211"/>
      <c r="ED160" s="211"/>
      <c r="EE160" s="211"/>
      <c r="EF160" s="207"/>
      <c r="EG160" s="209"/>
      <c r="EH160" s="213"/>
      <c r="EI160" s="214"/>
      <c r="EJ160" s="214"/>
      <c r="EK160" s="214"/>
      <c r="EL160" s="214"/>
      <c r="EM160" s="215"/>
      <c r="EN160" s="216"/>
      <c r="EO160" s="216"/>
      <c r="EP160" s="217"/>
      <c r="EQ160" s="217"/>
      <c r="ER160" s="215"/>
      <c r="ES160" s="218"/>
      <c r="ET160" s="215"/>
      <c r="EU160" s="215"/>
      <c r="EV160" s="215"/>
      <c r="EW160" s="218"/>
      <c r="EX160" s="215"/>
      <c r="EY160" s="215"/>
      <c r="EZ160" s="218"/>
    </row>
    <row r="161" spans="13:156" ht="15">
      <c r="M161" s="244" t="str">
        <f>"- Moment quán tính của tiết diện đường hàn:"</f>
        <v>- Moment quán tính của tiết diện đường hàn:</v>
      </c>
      <c r="N161" s="2"/>
      <c r="O161" s="2"/>
      <c r="P161" s="2"/>
      <c r="Q161" s="2"/>
      <c r="R161" s="2"/>
      <c r="S161" s="2"/>
      <c r="T161" s="2"/>
      <c r="U161" s="2"/>
      <c r="V161" s="21" t="s">
        <v>161</v>
      </c>
      <c r="W161" s="280">
        <f>IF(Q61=0,"-",2*(U61*T61^3/12))</f>
        <v>8000000</v>
      </c>
      <c r="X161" s="239" t="s">
        <v>159</v>
      </c>
      <c r="AA161" s="18"/>
      <c r="AB161" s="18"/>
      <c r="AC161" s="18"/>
      <c r="AD161" s="19"/>
      <c r="AE161" s="19"/>
      <c r="AI161" s="18"/>
      <c r="AJ161" s="7"/>
      <c r="AK161" s="7"/>
      <c r="AL161" s="7"/>
      <c r="AM161" s="7"/>
      <c r="AN161" s="7"/>
      <c r="AO161" s="7"/>
      <c r="AP161" s="7"/>
      <c r="AQ161" s="7"/>
      <c r="AR161" s="7"/>
      <c r="AS161" s="7"/>
      <c r="AT161" s="7"/>
      <c r="AU161" s="7"/>
      <c r="AV161" s="7"/>
      <c r="AW161" s="7"/>
      <c r="AX161" s="7"/>
      <c r="AY161" s="7"/>
      <c r="AZ161" s="7"/>
      <c r="BA161" s="18"/>
      <c r="BG161" s="140"/>
      <c r="BH161" s="131"/>
      <c r="BI161" s="102"/>
      <c r="BJ161" s="102"/>
      <c r="BK161" s="102"/>
      <c r="BL161" s="102"/>
      <c r="BM161" s="99"/>
      <c r="BN161" s="4"/>
      <c r="BO161" s="4"/>
      <c r="BP161" s="5"/>
      <c r="BQ161" s="5"/>
      <c r="BR161" s="99"/>
      <c r="BS161" s="159"/>
      <c r="BT161" s="99"/>
      <c r="BU161" s="99"/>
      <c r="BV161" s="99"/>
      <c r="BW161" s="159"/>
      <c r="BX161" s="99"/>
      <c r="BY161" s="99"/>
      <c r="BZ161" s="159"/>
      <c r="DA161" s="155"/>
      <c r="DB161" s="155"/>
      <c r="DC161" s="155"/>
      <c r="DD161" s="207"/>
      <c r="DE161" s="207"/>
      <c r="DF161" s="155"/>
      <c r="DG161" s="155"/>
      <c r="DH161" s="155"/>
      <c r="DI161" s="155"/>
      <c r="DJ161" s="208"/>
      <c r="DK161" s="208"/>
      <c r="DL161" s="208"/>
      <c r="DM161" s="208"/>
      <c r="DN161" s="208"/>
      <c r="DO161" s="208"/>
      <c r="DP161" s="208"/>
      <c r="DQ161" s="208"/>
      <c r="DR161" s="208"/>
      <c r="DS161" s="208"/>
      <c r="DT161" s="208"/>
      <c r="DU161" s="208"/>
      <c r="DV161" s="208"/>
      <c r="DW161" s="208"/>
      <c r="DX161" s="208"/>
      <c r="DY161" s="208"/>
      <c r="DZ161" s="208"/>
      <c r="EA161" s="210"/>
      <c r="EB161" s="211"/>
      <c r="EC161" s="211"/>
      <c r="ED161" s="211"/>
      <c r="EE161" s="211"/>
      <c r="EF161" s="207"/>
      <c r="EG161" s="209"/>
      <c r="EH161" s="213"/>
      <c r="EI161" s="214"/>
      <c r="EJ161" s="214"/>
      <c r="EK161" s="214"/>
      <c r="EL161" s="214"/>
      <c r="EM161" s="215"/>
      <c r="EN161" s="216"/>
      <c r="EO161" s="216"/>
      <c r="EP161" s="217"/>
      <c r="EQ161" s="217"/>
      <c r="ER161" s="215"/>
      <c r="ES161" s="218"/>
      <c r="ET161" s="215"/>
      <c r="EU161" s="215"/>
      <c r="EV161" s="215"/>
      <c r="EW161" s="218"/>
      <c r="EX161" s="215"/>
      <c r="EY161" s="215"/>
      <c r="EZ161" s="218"/>
    </row>
    <row r="162" spans="13:156" ht="15">
      <c r="M162" s="244" t="str">
        <f>"- Moment chống uốn theo kim loại đường hàn:"</f>
        <v>- Moment chống uốn theo kim loại đường hàn:</v>
      </c>
      <c r="N162" s="2"/>
      <c r="O162" s="2"/>
      <c r="P162" s="2"/>
      <c r="Q162" s="2"/>
      <c r="R162" s="2"/>
      <c r="S162" s="2"/>
      <c r="T162" s="2"/>
      <c r="U162" s="2"/>
      <c r="V162" s="21" t="s">
        <v>162</v>
      </c>
      <c r="W162" s="281">
        <f>IF(Q61=0,"-",U30*(W161/(T61/2)))</f>
        <v>56000</v>
      </c>
      <c r="X162" s="239" t="s">
        <v>160</v>
      </c>
      <c r="AA162" s="18"/>
      <c r="AB162" s="18"/>
      <c r="AC162" s="18"/>
      <c r="AD162" s="19"/>
      <c r="AE162" s="19"/>
      <c r="AI162" s="18"/>
      <c r="AJ162" s="7"/>
      <c r="AK162" s="7"/>
      <c r="AL162" s="7"/>
      <c r="AM162" s="7"/>
      <c r="AN162" s="7"/>
      <c r="AO162" s="7"/>
      <c r="AP162" s="7"/>
      <c r="AQ162" s="7"/>
      <c r="AR162" s="7"/>
      <c r="AS162" s="7"/>
      <c r="AT162" s="7"/>
      <c r="AU162" s="7"/>
      <c r="AV162" s="7"/>
      <c r="AW162" s="7"/>
      <c r="AX162" s="7"/>
      <c r="AY162" s="7"/>
      <c r="AZ162" s="7"/>
      <c r="BA162" s="18"/>
      <c r="BG162" s="140"/>
      <c r="BH162" s="131"/>
      <c r="BI162" s="102"/>
      <c r="BJ162" s="102"/>
      <c r="BK162" s="102"/>
      <c r="BL162" s="102"/>
      <c r="BM162" s="99"/>
      <c r="BN162" s="4"/>
      <c r="BO162" s="4"/>
      <c r="BP162" s="5"/>
      <c r="BQ162" s="5"/>
      <c r="BR162" s="99"/>
      <c r="BS162" s="159"/>
      <c r="BT162" s="99"/>
      <c r="BU162" s="99"/>
      <c r="BV162" s="99"/>
      <c r="BW162" s="159"/>
      <c r="BX162" s="99"/>
      <c r="BY162" s="99"/>
      <c r="BZ162" s="159"/>
      <c r="DA162" s="155"/>
      <c r="DB162" s="155"/>
      <c r="DC162" s="155"/>
      <c r="DD162" s="207"/>
      <c r="DE162" s="207"/>
      <c r="DF162" s="155"/>
      <c r="DG162" s="155"/>
      <c r="DH162" s="155"/>
      <c r="DI162" s="155"/>
      <c r="DJ162" s="208"/>
      <c r="DK162" s="208"/>
      <c r="DL162" s="208"/>
      <c r="DM162" s="208"/>
      <c r="DN162" s="208"/>
      <c r="DO162" s="208"/>
      <c r="DP162" s="208"/>
      <c r="DQ162" s="208"/>
      <c r="DR162" s="208"/>
      <c r="DS162" s="208"/>
      <c r="DT162" s="208"/>
      <c r="DU162" s="208"/>
      <c r="DV162" s="208"/>
      <c r="DW162" s="208"/>
      <c r="DX162" s="208"/>
      <c r="DY162" s="208"/>
      <c r="DZ162" s="208"/>
      <c r="EA162" s="210"/>
      <c r="EB162" s="211"/>
      <c r="EC162" s="211"/>
      <c r="ED162" s="211"/>
      <c r="EE162" s="211"/>
      <c r="EF162" s="207"/>
      <c r="EG162" s="209"/>
      <c r="EH162" s="213"/>
      <c r="EI162" s="214"/>
      <c r="EJ162" s="214"/>
      <c r="EK162" s="214"/>
      <c r="EL162" s="214"/>
      <c r="EM162" s="215"/>
      <c r="EN162" s="216"/>
      <c r="EO162" s="216"/>
      <c r="EP162" s="217"/>
      <c r="EQ162" s="217"/>
      <c r="ER162" s="215"/>
      <c r="ES162" s="218"/>
      <c r="ET162" s="215"/>
      <c r="EU162" s="215"/>
      <c r="EV162" s="215"/>
      <c r="EW162" s="218"/>
      <c r="EX162" s="215"/>
      <c r="EY162" s="215"/>
      <c r="EZ162" s="218"/>
    </row>
    <row r="163" spans="13:156" ht="15">
      <c r="M163" s="244" t="str">
        <f>"- Tỷ số huy động theo kim loại đường hàn:"</f>
        <v>- Tỷ số huy động theo kim loại đường hàn:</v>
      </c>
      <c r="N163" s="2"/>
      <c r="O163" s="2"/>
      <c r="P163" s="276"/>
      <c r="Q163" s="277"/>
      <c r="R163" s="279"/>
      <c r="S163" s="270"/>
      <c r="T163" s="132"/>
      <c r="U163" s="2"/>
      <c r="V163" s="276" t="s">
        <v>163</v>
      </c>
      <c r="W163" s="263">
        <f>IF(Q61=0,"-",W156*1000000/(W162*W30*W32))</f>
        <v>1.0857287766522536</v>
      </c>
      <c r="X163" s="245" t="str">
        <f>IF(W163="-","",IF(R61=0,"-",IF(W163&lt;=1,"OK","Check")))</f>
        <v>Check</v>
      </c>
      <c r="AA163" s="18"/>
      <c r="AB163" s="18"/>
      <c r="AC163" s="18"/>
      <c r="AD163" s="19"/>
      <c r="AE163" s="19"/>
      <c r="AI163" s="18"/>
      <c r="AJ163" s="7"/>
      <c r="AK163" s="7"/>
      <c r="AL163" s="7"/>
      <c r="AM163" s="7"/>
      <c r="AN163" s="7"/>
      <c r="AO163" s="7"/>
      <c r="AP163" s="7"/>
      <c r="AQ163" s="7"/>
      <c r="AR163" s="7"/>
      <c r="AS163" s="7"/>
      <c r="AT163" s="7"/>
      <c r="AU163" s="7"/>
      <c r="AV163" s="7"/>
      <c r="AW163" s="7"/>
      <c r="AX163" s="7"/>
      <c r="AY163" s="7"/>
      <c r="AZ163" s="7"/>
      <c r="BA163" s="18"/>
      <c r="BG163" s="140"/>
      <c r="BH163" s="131"/>
      <c r="BI163" s="102"/>
      <c r="BJ163" s="102"/>
      <c r="BK163" s="102"/>
      <c r="BL163" s="102"/>
      <c r="BM163" s="99"/>
      <c r="BN163" s="4"/>
      <c r="BO163" s="4"/>
      <c r="BP163" s="5"/>
      <c r="BQ163" s="5"/>
      <c r="BR163" s="99"/>
      <c r="BS163" s="159"/>
      <c r="BT163" s="99"/>
      <c r="BU163" s="99"/>
      <c r="BV163" s="99"/>
      <c r="BW163" s="159"/>
      <c r="BX163" s="99"/>
      <c r="BY163" s="99"/>
      <c r="BZ163" s="159"/>
      <c r="DA163" s="155"/>
      <c r="DB163" s="155"/>
      <c r="DC163" s="155"/>
      <c r="DD163" s="207"/>
      <c r="DE163" s="207"/>
      <c r="DF163" s="155"/>
      <c r="DG163" s="155"/>
      <c r="DH163" s="155"/>
      <c r="DI163" s="155"/>
      <c r="DJ163" s="208"/>
      <c r="DK163" s="208"/>
      <c r="DL163" s="208"/>
      <c r="DM163" s="208"/>
      <c r="DN163" s="208"/>
      <c r="DO163" s="208"/>
      <c r="DP163" s="208"/>
      <c r="DQ163" s="208"/>
      <c r="DR163" s="208"/>
      <c r="DS163" s="208"/>
      <c r="DT163" s="208"/>
      <c r="DU163" s="208"/>
      <c r="DV163" s="208"/>
      <c r="DW163" s="208"/>
      <c r="DX163" s="208"/>
      <c r="DY163" s="208"/>
      <c r="DZ163" s="208"/>
      <c r="EA163" s="210"/>
      <c r="EB163" s="211"/>
      <c r="EC163" s="211"/>
      <c r="ED163" s="211"/>
      <c r="EE163" s="211"/>
      <c r="EF163" s="207"/>
      <c r="EG163" s="209"/>
      <c r="EH163" s="213"/>
      <c r="EI163" s="214"/>
      <c r="EJ163" s="214"/>
      <c r="EK163" s="214"/>
      <c r="EL163" s="214"/>
      <c r="EM163" s="215"/>
      <c r="EN163" s="216"/>
      <c r="EO163" s="216"/>
      <c r="EP163" s="217"/>
      <c r="EQ163" s="217"/>
      <c r="ER163" s="215"/>
      <c r="ES163" s="218"/>
      <c r="ET163" s="215"/>
      <c r="EU163" s="215"/>
      <c r="EV163" s="215"/>
      <c r="EW163" s="218"/>
      <c r="EX163" s="215"/>
      <c r="EY163" s="215"/>
      <c r="EZ163" s="218"/>
    </row>
    <row r="164" spans="13:156" ht="15">
      <c r="M164" s="244" t="str">
        <f>"- Moment chống uốn theo kim loại kim loại biên nóng chảy:"</f>
        <v>- Moment chống uốn theo kim loại kim loại biên nóng chảy:</v>
      </c>
      <c r="N164" s="2"/>
      <c r="O164" s="2"/>
      <c r="P164" s="2"/>
      <c r="Q164" s="2"/>
      <c r="R164" s="2"/>
      <c r="S164" s="2"/>
      <c r="T164" s="2"/>
      <c r="U164" s="2"/>
      <c r="V164" s="21" t="s">
        <v>164</v>
      </c>
      <c r="W164" s="281">
        <f>IF(Q61=0,"-",U31*(W161/(T61/2)))</f>
        <v>80000</v>
      </c>
      <c r="X164" s="239" t="s">
        <v>160</v>
      </c>
      <c r="AA164" s="18"/>
      <c r="AB164" s="18"/>
      <c r="AC164" s="18"/>
      <c r="AD164" s="19"/>
      <c r="AE164" s="19"/>
      <c r="AI164" s="18"/>
      <c r="AJ164" s="7"/>
      <c r="AK164" s="7"/>
      <c r="AL164" s="7"/>
      <c r="AM164" s="7"/>
      <c r="AN164" s="7"/>
      <c r="AO164" s="7"/>
      <c r="AP164" s="7"/>
      <c r="AQ164" s="7"/>
      <c r="AR164" s="7"/>
      <c r="AS164" s="7"/>
      <c r="AT164" s="7"/>
      <c r="AU164" s="7"/>
      <c r="AV164" s="7"/>
      <c r="AW164" s="7"/>
      <c r="AX164" s="7"/>
      <c r="AY164" s="7"/>
      <c r="AZ164" s="7"/>
      <c r="BA164" s="18"/>
      <c r="BG164" s="140"/>
      <c r="BH164" s="131"/>
      <c r="BI164" s="102"/>
      <c r="BJ164" s="102"/>
      <c r="BK164" s="102"/>
      <c r="BL164" s="102"/>
      <c r="BM164" s="99"/>
      <c r="BN164" s="4"/>
      <c r="BO164" s="4"/>
      <c r="BP164" s="5"/>
      <c r="BQ164" s="5"/>
      <c r="BR164" s="99"/>
      <c r="BS164" s="159"/>
      <c r="BT164" s="99"/>
      <c r="BU164" s="99"/>
      <c r="BV164" s="99"/>
      <c r="BW164" s="159"/>
      <c r="BX164" s="99"/>
      <c r="BY164" s="99"/>
      <c r="BZ164" s="159"/>
      <c r="DA164" s="155"/>
      <c r="DB164" s="155"/>
      <c r="DC164" s="155"/>
      <c r="DD164" s="207"/>
      <c r="DE164" s="207"/>
      <c r="DF164" s="155"/>
      <c r="DG164" s="155"/>
      <c r="DH164" s="155"/>
      <c r="DI164" s="155"/>
      <c r="DJ164" s="208"/>
      <c r="DK164" s="208"/>
      <c r="DL164" s="208"/>
      <c r="DM164" s="208"/>
      <c r="DN164" s="208"/>
      <c r="DO164" s="208"/>
      <c r="DP164" s="208"/>
      <c r="DQ164" s="208"/>
      <c r="DR164" s="208"/>
      <c r="DS164" s="208"/>
      <c r="DT164" s="208"/>
      <c r="DU164" s="208"/>
      <c r="DV164" s="208"/>
      <c r="DW164" s="208"/>
      <c r="DX164" s="208"/>
      <c r="DY164" s="208"/>
      <c r="DZ164" s="208"/>
      <c r="EA164" s="210"/>
      <c r="EB164" s="211"/>
      <c r="EC164" s="211"/>
      <c r="ED164" s="211"/>
      <c r="EE164" s="211"/>
      <c r="EF164" s="207"/>
      <c r="EG164" s="209"/>
      <c r="EH164" s="213"/>
      <c r="EI164" s="214"/>
      <c r="EJ164" s="214"/>
      <c r="EK164" s="214"/>
      <c r="EL164" s="214"/>
      <c r="EM164" s="215"/>
      <c r="EN164" s="216"/>
      <c r="EO164" s="216"/>
      <c r="EP164" s="217"/>
      <c r="EQ164" s="217"/>
      <c r="ER164" s="215"/>
      <c r="ES164" s="218"/>
      <c r="ET164" s="215"/>
      <c r="EU164" s="215"/>
      <c r="EV164" s="215"/>
      <c r="EW164" s="218"/>
      <c r="EX164" s="215"/>
      <c r="EY164" s="215"/>
      <c r="EZ164" s="218"/>
    </row>
    <row r="165" spans="13:156" ht="15">
      <c r="M165" s="244" t="str">
        <f>"- Tỷ số huy động theo kim loại biên nóng chảy:"</f>
        <v>- Tỷ số huy động theo kim loại biên nóng chảy:</v>
      </c>
      <c r="N165" s="2"/>
      <c r="O165" s="2"/>
      <c r="P165" s="276"/>
      <c r="Q165" s="277"/>
      <c r="R165" s="279"/>
      <c r="S165" s="270"/>
      <c r="T165" s="132"/>
      <c r="U165" s="2"/>
      <c r="V165" s="276" t="s">
        <v>165</v>
      </c>
      <c r="W165" s="263">
        <f>IF(Q61=0,"-",W156*1000000/(W164*W31*W32))</f>
        <v>0.80001067753323951</v>
      </c>
      <c r="X165" s="245" t="str">
        <f>IF(W165="-","",IF(R61=0,"-",IF(W165&lt;=1,"OK","Check")))</f>
        <v>OK</v>
      </c>
      <c r="AA165" s="18"/>
      <c r="AB165" s="18"/>
      <c r="AC165" s="18"/>
      <c r="AD165" s="19"/>
      <c r="AE165" s="19"/>
      <c r="AI165" s="18"/>
      <c r="AJ165" s="7"/>
      <c r="AK165" s="7"/>
      <c r="AL165" s="7"/>
      <c r="AM165" s="7"/>
      <c r="AN165" s="7"/>
      <c r="AO165" s="7"/>
      <c r="AP165" s="7"/>
      <c r="AQ165" s="7"/>
      <c r="AR165" s="7"/>
      <c r="AS165" s="7"/>
      <c r="AT165" s="7"/>
      <c r="AU165" s="7"/>
      <c r="AV165" s="7"/>
      <c r="AW165" s="7"/>
      <c r="AX165" s="7"/>
      <c r="AY165" s="7"/>
      <c r="AZ165" s="7"/>
      <c r="BA165" s="18"/>
      <c r="BG165" s="140"/>
      <c r="BH165" s="131"/>
      <c r="BI165" s="102"/>
      <c r="BJ165" s="102"/>
      <c r="BK165" s="102"/>
      <c r="BL165" s="102"/>
      <c r="BM165" s="99"/>
      <c r="BN165" s="4"/>
      <c r="BO165" s="4"/>
      <c r="BP165" s="5"/>
      <c r="BQ165" s="5"/>
      <c r="BR165" s="99"/>
      <c r="BS165" s="159"/>
      <c r="BT165" s="99"/>
      <c r="BU165" s="99"/>
      <c r="BV165" s="99"/>
      <c r="BW165" s="159"/>
      <c r="BX165" s="99"/>
      <c r="BY165" s="99"/>
      <c r="BZ165" s="159"/>
      <c r="DA165" s="155"/>
      <c r="DB165" s="155"/>
      <c r="DC165" s="155"/>
      <c r="DD165" s="207"/>
      <c r="DE165" s="207"/>
      <c r="DF165" s="155"/>
      <c r="DG165" s="155"/>
      <c r="DH165" s="155"/>
      <c r="DI165" s="155"/>
      <c r="DJ165" s="208"/>
      <c r="DK165" s="208"/>
      <c r="DL165" s="208"/>
      <c r="DM165" s="208"/>
      <c r="DN165" s="208"/>
      <c r="DO165" s="208"/>
      <c r="DP165" s="208"/>
      <c r="DQ165" s="208"/>
      <c r="DR165" s="208"/>
      <c r="DS165" s="208"/>
      <c r="DT165" s="208"/>
      <c r="DU165" s="208"/>
      <c r="DV165" s="208"/>
      <c r="DW165" s="208"/>
      <c r="DX165" s="208"/>
      <c r="DY165" s="208"/>
      <c r="DZ165" s="208"/>
      <c r="EA165" s="210"/>
      <c r="EB165" s="211"/>
      <c r="EC165" s="211"/>
      <c r="ED165" s="211"/>
      <c r="EE165" s="211"/>
      <c r="EF165" s="207"/>
      <c r="EG165" s="209"/>
      <c r="EH165" s="213"/>
      <c r="EI165" s="214"/>
      <c r="EJ165" s="214"/>
      <c r="EK165" s="214"/>
      <c r="EL165" s="214"/>
      <c r="EM165" s="215"/>
      <c r="EN165" s="216"/>
      <c r="EO165" s="216"/>
      <c r="EP165" s="217"/>
      <c r="EQ165" s="217"/>
      <c r="ER165" s="215"/>
      <c r="ES165" s="218"/>
      <c r="ET165" s="215"/>
      <c r="EU165" s="215"/>
      <c r="EV165" s="215"/>
      <c r="EW165" s="218"/>
      <c r="EX165" s="215"/>
      <c r="EY165" s="215"/>
      <c r="EZ165" s="218"/>
    </row>
    <row r="166" spans="13:156">
      <c r="M166" s="243" t="s">
        <v>318</v>
      </c>
      <c r="N166" s="2"/>
      <c r="O166" s="2"/>
      <c r="P166" s="21"/>
      <c r="Q166" s="255"/>
      <c r="R166" s="132"/>
      <c r="S166" s="2"/>
      <c r="T166" s="2"/>
      <c r="U166" s="2"/>
      <c r="V166" s="2"/>
      <c r="W166" s="2"/>
      <c r="X166" s="239"/>
      <c r="AA166" s="18"/>
      <c r="AB166" s="18"/>
      <c r="AC166" s="18"/>
      <c r="AD166" s="19"/>
      <c r="AE166" s="19"/>
      <c r="AI166" s="18"/>
      <c r="AJ166" s="7"/>
      <c r="AK166" s="7"/>
      <c r="AL166" s="7"/>
      <c r="AM166" s="7"/>
      <c r="AN166" s="7"/>
      <c r="AO166" s="7"/>
      <c r="AP166" s="7"/>
      <c r="AQ166" s="7"/>
      <c r="AR166" s="7"/>
      <c r="AS166" s="7"/>
      <c r="AT166" s="7"/>
      <c r="AU166" s="7"/>
      <c r="AV166" s="7"/>
      <c r="AW166" s="7"/>
      <c r="AX166" s="7"/>
      <c r="AY166" s="7"/>
      <c r="AZ166" s="7"/>
      <c r="BA166" s="18"/>
      <c r="BG166" s="140"/>
      <c r="BH166" s="131"/>
      <c r="BI166" s="102"/>
      <c r="BJ166" s="102"/>
      <c r="BK166" s="102"/>
      <c r="BL166" s="102"/>
      <c r="BM166" s="99"/>
      <c r="BN166" s="4"/>
      <c r="BO166" s="4"/>
      <c r="BP166" s="5"/>
      <c r="BQ166" s="5"/>
      <c r="BR166" s="99"/>
      <c r="BS166" s="159"/>
      <c r="BT166" s="99"/>
      <c r="BU166" s="99"/>
      <c r="BV166" s="99"/>
      <c r="BW166" s="159"/>
      <c r="BX166" s="99"/>
      <c r="BY166" s="99"/>
      <c r="BZ166" s="159"/>
      <c r="DA166" s="155"/>
      <c r="DB166" s="155"/>
      <c r="DC166" s="155"/>
      <c r="DD166" s="207"/>
      <c r="DE166" s="207"/>
      <c r="DF166" s="155"/>
      <c r="DG166" s="155"/>
      <c r="DH166" s="155"/>
      <c r="DI166" s="155"/>
      <c r="DJ166" s="208"/>
      <c r="DK166" s="208"/>
      <c r="DL166" s="208"/>
      <c r="DM166" s="208"/>
      <c r="DN166" s="208"/>
      <c r="DO166" s="208"/>
      <c r="DP166" s="208"/>
      <c r="DQ166" s="208"/>
      <c r="DR166" s="208"/>
      <c r="DS166" s="208"/>
      <c r="DT166" s="208"/>
      <c r="DU166" s="208"/>
      <c r="DV166" s="208"/>
      <c r="DW166" s="208"/>
      <c r="DX166" s="208"/>
      <c r="DY166" s="208"/>
      <c r="DZ166" s="208"/>
      <c r="EA166" s="210"/>
      <c r="EB166" s="211"/>
      <c r="EC166" s="211"/>
      <c r="ED166" s="211"/>
      <c r="EE166" s="211"/>
      <c r="EF166" s="207"/>
      <c r="EG166" s="209"/>
      <c r="EH166" s="213"/>
      <c r="EI166" s="214"/>
      <c r="EJ166" s="214"/>
      <c r="EK166" s="214"/>
      <c r="EL166" s="214"/>
      <c r="EM166" s="215"/>
      <c r="EN166" s="216"/>
      <c r="EO166" s="216"/>
      <c r="EP166" s="217"/>
      <c r="EQ166" s="217"/>
      <c r="ER166" s="215"/>
      <c r="ES166" s="218"/>
      <c r="ET166" s="215"/>
      <c r="EU166" s="215"/>
      <c r="EV166" s="215"/>
      <c r="EW166" s="218"/>
      <c r="EX166" s="215"/>
      <c r="EY166" s="215"/>
      <c r="EZ166" s="218"/>
    </row>
    <row r="167" spans="13:156" ht="15">
      <c r="M167" s="244" t="str">
        <f>"- Lực dọc do các đường hàn bản cánh chịu:"</f>
        <v>- Lực dọc do các đường hàn bản cánh chịu:</v>
      </c>
      <c r="N167" s="2"/>
      <c r="O167" s="2"/>
      <c r="P167" s="282"/>
      <c r="Q167" s="267"/>
      <c r="R167" s="283"/>
      <c r="S167" s="267"/>
      <c r="T167" s="2"/>
      <c r="U167" s="132"/>
      <c r="V167" s="21" t="s">
        <v>197</v>
      </c>
      <c r="W167" s="270">
        <f>ABS(X66*1000)/W39+V66/2</f>
        <v>258.32545529050952</v>
      </c>
      <c r="X167" s="239" t="s">
        <v>71</v>
      </c>
      <c r="AA167" s="18"/>
      <c r="AB167" s="18"/>
      <c r="AC167" s="18"/>
      <c r="AD167" s="19"/>
      <c r="AE167" s="19"/>
      <c r="AI167" s="18"/>
      <c r="AJ167" s="7"/>
      <c r="AK167" s="7"/>
      <c r="AL167" s="7"/>
      <c r="AM167" s="7"/>
      <c r="AN167" s="7"/>
      <c r="AO167" s="7"/>
      <c r="AP167" s="7"/>
      <c r="AQ167" s="7"/>
      <c r="AR167" s="7"/>
      <c r="AS167" s="7"/>
      <c r="AT167" s="7"/>
      <c r="AU167" s="7"/>
      <c r="AV167" s="7"/>
      <c r="AW167" s="7"/>
      <c r="AX167" s="7"/>
      <c r="AY167" s="7"/>
      <c r="AZ167" s="7"/>
      <c r="BA167" s="18"/>
      <c r="BG167" s="140"/>
      <c r="BH167" s="131"/>
      <c r="BI167" s="102"/>
      <c r="BJ167" s="102"/>
      <c r="BK167" s="102"/>
      <c r="BL167" s="102"/>
      <c r="BM167" s="99"/>
      <c r="BN167" s="4"/>
      <c r="BO167" s="4"/>
      <c r="BP167" s="5"/>
      <c r="BQ167" s="5"/>
      <c r="BR167" s="99"/>
      <c r="BS167" s="159"/>
      <c r="BT167" s="99"/>
      <c r="BU167" s="99"/>
      <c r="BV167" s="99"/>
      <c r="BW167" s="159"/>
      <c r="BX167" s="99"/>
      <c r="BY167" s="99"/>
      <c r="BZ167" s="159"/>
      <c r="DA167" s="155"/>
      <c r="DB167" s="155"/>
      <c r="DC167" s="155"/>
      <c r="DD167" s="207"/>
      <c r="DE167" s="207"/>
      <c r="DF167" s="155"/>
      <c r="DG167" s="155"/>
      <c r="DH167" s="155"/>
      <c r="DI167" s="155"/>
      <c r="DJ167" s="208"/>
      <c r="DK167" s="208"/>
      <c r="DL167" s="208"/>
      <c r="DM167" s="208"/>
      <c r="DN167" s="208"/>
      <c r="DO167" s="208"/>
      <c r="DP167" s="208"/>
      <c r="DQ167" s="208"/>
      <c r="DR167" s="208"/>
      <c r="DS167" s="208"/>
      <c r="DT167" s="208"/>
      <c r="DU167" s="208"/>
      <c r="DV167" s="208"/>
      <c r="DW167" s="208"/>
      <c r="DX167" s="208"/>
      <c r="DY167" s="208"/>
      <c r="DZ167" s="208"/>
      <c r="EA167" s="210"/>
      <c r="EB167" s="211"/>
      <c r="EC167" s="211"/>
      <c r="ED167" s="211"/>
      <c r="EE167" s="211"/>
      <c r="EF167" s="207"/>
      <c r="EG167" s="209"/>
      <c r="EH167" s="213"/>
      <c r="EI167" s="214"/>
      <c r="EJ167" s="214"/>
      <c r="EK167" s="214"/>
      <c r="EL167" s="214"/>
      <c r="EM167" s="215"/>
      <c r="EN167" s="216"/>
      <c r="EO167" s="216"/>
      <c r="EP167" s="217"/>
      <c r="EQ167" s="217"/>
      <c r="ER167" s="215"/>
      <c r="ES167" s="218"/>
      <c r="ET167" s="215"/>
      <c r="EU167" s="215"/>
      <c r="EV167" s="215"/>
      <c r="EW167" s="218"/>
      <c r="EX167" s="215"/>
      <c r="EY167" s="215"/>
      <c r="EZ167" s="218"/>
    </row>
    <row r="168" spans="13:156" ht="15">
      <c r="M168" s="244" t="str">
        <f>"- Tỷ số huy động đối với đường hàn bản cánh:"</f>
        <v>- Tỷ số huy động đối với đường hàn bản cánh:</v>
      </c>
      <c r="N168" s="2"/>
      <c r="O168" s="2"/>
      <c r="P168" s="2"/>
      <c r="Q168" s="2"/>
      <c r="R168" s="12" t="s">
        <v>143</v>
      </c>
      <c r="S168" s="22">
        <f>2*((W50-R61)/2-10)+2*((W40-W41)/2-10)+2*((W50-W40)/2-10)</f>
        <v>352</v>
      </c>
      <c r="T168" s="2" t="s">
        <v>1</v>
      </c>
      <c r="U168" s="2"/>
      <c r="V168" s="21" t="s">
        <v>145</v>
      </c>
      <c r="W168" s="263">
        <f>W167*1000/(W56*S168*W33)</f>
        <v>0.72805469677384782</v>
      </c>
      <c r="X168" s="245" t="str">
        <f>IF(W168&lt;=1,"OK","Check")</f>
        <v>OK</v>
      </c>
      <c r="AA168" s="18"/>
      <c r="AB168" s="18"/>
      <c r="AC168" s="18"/>
      <c r="AD168" s="19"/>
      <c r="AE168" s="19"/>
      <c r="AI168" s="18"/>
      <c r="AJ168" s="7"/>
      <c r="AK168" s="7"/>
      <c r="AL168" s="7"/>
      <c r="AM168" s="7"/>
      <c r="AN168" s="7"/>
      <c r="AO168" s="7"/>
      <c r="AP168" s="7"/>
      <c r="AQ168" s="7"/>
      <c r="AR168" s="7"/>
      <c r="AS168" s="7"/>
      <c r="AT168" s="7"/>
      <c r="AU168" s="7"/>
      <c r="AV168" s="7"/>
      <c r="AW168" s="7"/>
      <c r="AX168" s="7"/>
      <c r="AY168" s="7"/>
      <c r="AZ168" s="7"/>
      <c r="BA168" s="18"/>
      <c r="BG168" s="140"/>
      <c r="BH168" s="131"/>
      <c r="BI168" s="102"/>
      <c r="BJ168" s="102"/>
      <c r="BK168" s="102"/>
      <c r="BL168" s="102"/>
      <c r="BM168" s="99"/>
      <c r="BN168" s="4"/>
      <c r="BO168" s="4"/>
      <c r="BP168" s="5"/>
      <c r="BQ168" s="5"/>
      <c r="BR168" s="99"/>
      <c r="BS168" s="159"/>
      <c r="BT168" s="99"/>
      <c r="BU168" s="99"/>
      <c r="BV168" s="99"/>
      <c r="BW168" s="159"/>
      <c r="BX168" s="99"/>
      <c r="BY168" s="99"/>
      <c r="BZ168" s="159"/>
      <c r="DA168" s="155"/>
      <c r="DB168" s="155"/>
      <c r="DC168" s="155"/>
      <c r="DD168" s="207"/>
      <c r="DE168" s="207"/>
      <c r="DF168" s="155"/>
      <c r="DG168" s="155"/>
      <c r="DH168" s="155"/>
      <c r="DI168" s="155"/>
      <c r="DJ168" s="208"/>
      <c r="DK168" s="208"/>
      <c r="DL168" s="208"/>
      <c r="DM168" s="208"/>
      <c r="DN168" s="208"/>
      <c r="DO168" s="208"/>
      <c r="DP168" s="208"/>
      <c r="DQ168" s="208"/>
      <c r="DR168" s="208"/>
      <c r="DS168" s="208"/>
      <c r="DT168" s="208"/>
      <c r="DU168" s="208"/>
      <c r="DV168" s="208"/>
      <c r="DW168" s="208"/>
      <c r="DX168" s="208"/>
      <c r="DY168" s="208"/>
      <c r="DZ168" s="208"/>
      <c r="EA168" s="210"/>
      <c r="EB168" s="211"/>
      <c r="EC168" s="211"/>
      <c r="ED168" s="211"/>
      <c r="EE168" s="211"/>
      <c r="EF168" s="207"/>
      <c r="EG168" s="209"/>
      <c r="EH168" s="213"/>
      <c r="EI168" s="214"/>
      <c r="EJ168" s="214"/>
      <c r="EK168" s="214"/>
      <c r="EL168" s="214"/>
      <c r="EM168" s="215"/>
      <c r="EN168" s="216"/>
      <c r="EO168" s="216"/>
      <c r="EP168" s="217"/>
      <c r="EQ168" s="217"/>
      <c r="ER168" s="215"/>
      <c r="ES168" s="218"/>
      <c r="ET168" s="215"/>
      <c r="EU168" s="215"/>
      <c r="EV168" s="215"/>
      <c r="EW168" s="218"/>
      <c r="EX168" s="215"/>
      <c r="EY168" s="215"/>
      <c r="EZ168" s="218"/>
    </row>
    <row r="169" spans="13:156" ht="15">
      <c r="M169" s="244" t="str">
        <f>"- Tỷ số huy động đối với đường hàn bản bụng:"</f>
        <v>- Tỷ số huy động đối với đường hàn bản bụng:</v>
      </c>
      <c r="N169" s="2"/>
      <c r="O169" s="2"/>
      <c r="P169" s="2"/>
      <c r="Q169" s="2"/>
      <c r="R169" s="12" t="s">
        <v>143</v>
      </c>
      <c r="S169" s="22">
        <f>2*(W39-2*W42-R60)-20+4*(S61-10)</f>
        <v>1648</v>
      </c>
      <c r="T169" s="2" t="s">
        <v>1</v>
      </c>
      <c r="U169" s="2"/>
      <c r="V169" s="21" t="s">
        <v>146</v>
      </c>
      <c r="W169" s="263">
        <f>ABS(W66)*1000/(W57*S169*W33)</f>
        <v>2.0181855527489256E-2</v>
      </c>
      <c r="X169" s="245" t="str">
        <f>IF(W169&lt;=1,"OK","Check")</f>
        <v>OK</v>
      </c>
      <c r="AA169" s="18"/>
      <c r="AB169" s="18"/>
      <c r="AC169" s="18"/>
      <c r="AD169" s="19"/>
      <c r="AE169" s="19"/>
      <c r="AI169" s="18"/>
      <c r="AJ169" s="7"/>
      <c r="AK169" s="7"/>
      <c r="AL169" s="7"/>
      <c r="AM169" s="7"/>
      <c r="AN169" s="7"/>
      <c r="AO169" s="7"/>
      <c r="AP169" s="7"/>
      <c r="AQ169" s="7"/>
      <c r="AR169" s="7"/>
      <c r="AS169" s="7"/>
      <c r="AT169" s="7"/>
      <c r="AU169" s="7"/>
      <c r="AV169" s="7"/>
      <c r="AW169" s="7"/>
      <c r="AX169" s="7"/>
      <c r="AY169" s="7"/>
      <c r="AZ169" s="7"/>
      <c r="BA169" s="18"/>
      <c r="BG169" s="140"/>
      <c r="BH169" s="131"/>
      <c r="BI169" s="102"/>
      <c r="BJ169" s="102"/>
      <c r="BK169" s="102"/>
      <c r="BL169" s="102"/>
      <c r="BM169" s="99"/>
      <c r="BN169" s="4"/>
      <c r="BO169" s="4"/>
      <c r="BP169" s="5"/>
      <c r="BQ169" s="5"/>
      <c r="BR169" s="99"/>
      <c r="BS169" s="159"/>
      <c r="BT169" s="99"/>
      <c r="BU169" s="99"/>
      <c r="BV169" s="99"/>
      <c r="BW169" s="159"/>
      <c r="BX169" s="99"/>
      <c r="BY169" s="99"/>
      <c r="BZ169" s="159"/>
      <c r="DA169" s="155"/>
      <c r="DB169" s="155"/>
      <c r="DC169" s="155"/>
      <c r="DD169" s="207"/>
      <c r="DE169" s="207"/>
      <c r="DF169" s="155"/>
      <c r="DG169" s="155"/>
      <c r="DH169" s="155"/>
      <c r="DI169" s="155"/>
      <c r="DJ169" s="208"/>
      <c r="DK169" s="208"/>
      <c r="DL169" s="208"/>
      <c r="DM169" s="208"/>
      <c r="DN169" s="208"/>
      <c r="DO169" s="208"/>
      <c r="DP169" s="208"/>
      <c r="DQ169" s="208"/>
      <c r="DR169" s="208"/>
      <c r="DS169" s="208"/>
      <c r="DT169" s="208"/>
      <c r="DU169" s="208"/>
      <c r="DV169" s="208"/>
      <c r="DW169" s="208"/>
      <c r="DX169" s="208"/>
      <c r="DY169" s="208"/>
      <c r="DZ169" s="208"/>
      <c r="EA169" s="210"/>
      <c r="EB169" s="211"/>
      <c r="EC169" s="211"/>
      <c r="ED169" s="211"/>
      <c r="EE169" s="211"/>
      <c r="EF169" s="207"/>
      <c r="EG169" s="209"/>
      <c r="EH169" s="213"/>
      <c r="EI169" s="214"/>
      <c r="EJ169" s="214"/>
      <c r="EK169" s="214"/>
      <c r="EL169" s="214"/>
      <c r="EM169" s="215"/>
      <c r="EN169" s="216"/>
      <c r="EO169" s="216"/>
      <c r="EP169" s="217"/>
      <c r="EQ169" s="217"/>
      <c r="ER169" s="215"/>
      <c r="ES169" s="218"/>
      <c r="ET169" s="215"/>
      <c r="EU169" s="215"/>
      <c r="EV169" s="215"/>
      <c r="EW169" s="218"/>
      <c r="EX169" s="215"/>
      <c r="EY169" s="215"/>
      <c r="EZ169" s="218"/>
    </row>
    <row r="170" spans="13:156" ht="12.75" customHeight="1">
      <c r="M170" s="244"/>
      <c r="N170" s="2"/>
      <c r="O170" s="2"/>
      <c r="P170" s="276"/>
      <c r="Q170" s="277"/>
      <c r="R170" s="279"/>
      <c r="S170" s="270"/>
      <c r="T170" s="132"/>
      <c r="U170" s="2"/>
      <c r="V170" s="276"/>
      <c r="W170" s="2"/>
      <c r="X170" s="245"/>
      <c r="AA170" s="18"/>
      <c r="AB170" s="18"/>
      <c r="AC170" s="18"/>
      <c r="AD170" s="19"/>
      <c r="AE170" s="19"/>
      <c r="AI170" s="18"/>
      <c r="AJ170" s="7"/>
      <c r="AK170" s="7"/>
      <c r="AL170" s="7"/>
      <c r="AM170" s="7"/>
      <c r="AN170" s="7"/>
      <c r="AO170" s="7"/>
      <c r="AP170" s="7"/>
      <c r="AQ170" s="7"/>
      <c r="AR170" s="7"/>
      <c r="AS170" s="7"/>
      <c r="AT170" s="7"/>
      <c r="AU170" s="7"/>
      <c r="AV170" s="7"/>
      <c r="AW170" s="7"/>
      <c r="AX170" s="7"/>
      <c r="AY170" s="7"/>
      <c r="AZ170" s="7"/>
      <c r="BA170" s="18"/>
      <c r="BG170" s="140"/>
      <c r="BH170" s="131"/>
      <c r="BI170" s="102"/>
      <c r="BJ170" s="102"/>
      <c r="BK170" s="102"/>
      <c r="BL170" s="102"/>
      <c r="BM170" s="99"/>
      <c r="BN170" s="4"/>
      <c r="BO170" s="4"/>
      <c r="BP170" s="5"/>
      <c r="BQ170" s="5"/>
      <c r="BR170" s="99"/>
      <c r="BS170" s="159"/>
      <c r="BT170" s="99"/>
      <c r="BU170" s="99"/>
      <c r="BV170" s="99"/>
      <c r="BW170" s="159"/>
      <c r="BX170" s="99"/>
      <c r="BY170" s="99"/>
      <c r="BZ170" s="159"/>
      <c r="DA170" s="155"/>
      <c r="DB170" s="155"/>
      <c r="DC170" s="155"/>
      <c r="DD170" s="207"/>
      <c r="DE170" s="207"/>
      <c r="DF170" s="155"/>
      <c r="DG170" s="155"/>
      <c r="DH170" s="155"/>
      <c r="DI170" s="155"/>
      <c r="DJ170" s="208"/>
      <c r="DK170" s="208"/>
      <c r="DL170" s="208"/>
      <c r="DM170" s="208"/>
      <c r="DN170" s="208"/>
      <c r="DO170" s="208"/>
      <c r="DP170" s="208"/>
      <c r="DQ170" s="208"/>
      <c r="DR170" s="208"/>
      <c r="DS170" s="208"/>
      <c r="DT170" s="208"/>
      <c r="DU170" s="208"/>
      <c r="DV170" s="208"/>
      <c r="DW170" s="208"/>
      <c r="DX170" s="208"/>
      <c r="DY170" s="208"/>
      <c r="DZ170" s="208"/>
      <c r="EA170" s="210"/>
      <c r="EB170" s="211"/>
      <c r="EC170" s="211"/>
      <c r="ED170" s="211"/>
      <c r="EE170" s="211"/>
      <c r="EF170" s="207"/>
      <c r="EG170" s="209"/>
      <c r="EH170" s="213"/>
      <c r="EI170" s="214"/>
      <c r="EJ170" s="214"/>
      <c r="EK170" s="214"/>
      <c r="EL170" s="214"/>
      <c r="EM170" s="215"/>
      <c r="EN170" s="216"/>
      <c r="EO170" s="216"/>
      <c r="EP170" s="217"/>
      <c r="EQ170" s="217"/>
      <c r="ER170" s="215"/>
      <c r="ES170" s="218"/>
      <c r="ET170" s="215"/>
      <c r="EU170" s="215"/>
      <c r="EV170" s="215"/>
      <c r="EW170" s="218"/>
      <c r="EX170" s="215"/>
      <c r="EY170" s="215"/>
      <c r="EZ170" s="218"/>
    </row>
    <row r="171" spans="13:156">
      <c r="M171" s="284" t="s">
        <v>27</v>
      </c>
      <c r="N171" s="223"/>
      <c r="O171" s="223"/>
      <c r="P171" s="224"/>
      <c r="Q171" s="225"/>
      <c r="R171" s="226"/>
      <c r="S171" s="226"/>
      <c r="T171" s="227"/>
      <c r="U171" s="228"/>
      <c r="V171" s="229"/>
      <c r="W171" s="223"/>
      <c r="X171" s="285"/>
      <c r="AA171" s="18"/>
      <c r="AB171" s="18"/>
      <c r="AC171" s="18"/>
      <c r="AD171" s="19"/>
      <c r="AE171" s="19"/>
      <c r="AI171" s="18"/>
      <c r="AJ171" s="7"/>
      <c r="AK171" s="7"/>
      <c r="AL171" s="7"/>
      <c r="AM171" s="7"/>
      <c r="AN171" s="7"/>
      <c r="AO171" s="7"/>
      <c r="AP171" s="7"/>
      <c r="AQ171" s="7"/>
      <c r="AR171" s="7"/>
      <c r="AS171" s="7"/>
      <c r="AT171" s="7"/>
      <c r="AU171" s="7"/>
      <c r="AV171" s="7"/>
      <c r="AW171" s="7"/>
      <c r="AX171" s="7"/>
      <c r="AY171" s="7"/>
      <c r="AZ171" s="7"/>
      <c r="BA171" s="18"/>
      <c r="BG171" s="140"/>
      <c r="BH171" s="131"/>
      <c r="BI171" s="102"/>
      <c r="BJ171" s="102"/>
      <c r="BK171" s="102"/>
      <c r="BL171" s="102"/>
      <c r="BM171" s="99"/>
      <c r="BN171" s="4"/>
      <c r="BO171" s="4"/>
      <c r="BP171" s="5"/>
      <c r="BQ171" s="5"/>
      <c r="BR171" s="99"/>
      <c r="BS171" s="159"/>
      <c r="BT171" s="99"/>
      <c r="BU171" s="99"/>
      <c r="BV171" s="99"/>
      <c r="BW171" s="159"/>
      <c r="BX171" s="99"/>
      <c r="BY171" s="99"/>
      <c r="BZ171" s="159"/>
      <c r="DA171" s="155"/>
      <c r="DB171" s="155"/>
      <c r="DC171" s="155"/>
      <c r="DD171" s="207"/>
      <c r="DE171" s="207"/>
      <c r="DF171" s="155"/>
      <c r="DG171" s="155"/>
      <c r="DH171" s="155"/>
      <c r="DI171" s="155"/>
      <c r="DJ171" s="208"/>
      <c r="DK171" s="208"/>
      <c r="DL171" s="208"/>
      <c r="DM171" s="208"/>
      <c r="DN171" s="208"/>
      <c r="DO171" s="208"/>
      <c r="DP171" s="208"/>
      <c r="DQ171" s="208"/>
      <c r="DR171" s="208"/>
      <c r="DS171" s="208"/>
      <c r="DT171" s="208"/>
      <c r="DU171" s="208"/>
      <c r="DV171" s="208"/>
      <c r="DW171" s="208"/>
      <c r="DX171" s="208"/>
      <c r="DY171" s="208"/>
      <c r="DZ171" s="208"/>
      <c r="EA171" s="210"/>
      <c r="EB171" s="211"/>
      <c r="EC171" s="211"/>
      <c r="ED171" s="211"/>
      <c r="EE171" s="211"/>
      <c r="EF171" s="207"/>
      <c r="EG171" s="209"/>
      <c r="EH171" s="213"/>
      <c r="EI171" s="214"/>
      <c r="EJ171" s="214"/>
      <c r="EK171" s="214"/>
      <c r="EL171" s="214"/>
      <c r="EM171" s="215"/>
      <c r="EN171" s="216"/>
      <c r="EO171" s="216"/>
      <c r="EP171" s="217"/>
      <c r="EQ171" s="217"/>
      <c r="ER171" s="215"/>
      <c r="ES171" s="218"/>
      <c r="ET171" s="215"/>
      <c r="EU171" s="215"/>
      <c r="EV171" s="215"/>
      <c r="EW171" s="218"/>
      <c r="EX171" s="215"/>
      <c r="EY171" s="215"/>
      <c r="EZ171" s="218"/>
    </row>
    <row r="172" spans="13:156">
      <c r="M172" s="236" t="s">
        <v>429</v>
      </c>
      <c r="N172" s="237"/>
      <c r="O172" s="237"/>
      <c r="P172" s="237"/>
      <c r="Q172" s="237"/>
      <c r="R172" s="237"/>
      <c r="S172" s="237"/>
      <c r="T172" s="237"/>
      <c r="U172" s="237"/>
      <c r="V172" s="237"/>
      <c r="W172" s="237"/>
      <c r="X172" s="152"/>
      <c r="AA172" s="18"/>
      <c r="AB172" s="18"/>
      <c r="AC172" s="18"/>
      <c r="AD172" s="19"/>
      <c r="AE172" s="19"/>
      <c r="AI172" s="18"/>
      <c r="AJ172" s="7"/>
      <c r="AK172" s="7"/>
      <c r="AL172" s="7"/>
      <c r="AM172" s="7"/>
      <c r="AN172" s="7"/>
      <c r="AO172" s="7"/>
      <c r="AP172" s="7"/>
      <c r="AQ172" s="7"/>
      <c r="AR172" s="7"/>
      <c r="AS172" s="7"/>
      <c r="AT172" s="7"/>
      <c r="AU172" s="7"/>
      <c r="AV172" s="7"/>
      <c r="AW172" s="7"/>
      <c r="AX172" s="7"/>
      <c r="AY172" s="7"/>
      <c r="AZ172" s="7"/>
      <c r="BA172" s="18"/>
      <c r="BG172" s="140"/>
      <c r="BH172" s="131"/>
      <c r="BI172" s="102"/>
      <c r="BJ172" s="102"/>
      <c r="BK172" s="102"/>
      <c r="BL172" s="102"/>
      <c r="BM172" s="99"/>
      <c r="BN172" s="4"/>
      <c r="BO172" s="4"/>
      <c r="BP172" s="5"/>
      <c r="BQ172" s="5"/>
      <c r="BR172" s="99"/>
      <c r="BS172" s="159"/>
      <c r="BT172" s="99"/>
      <c r="BU172" s="99"/>
      <c r="BV172" s="99"/>
      <c r="BW172" s="159"/>
      <c r="BX172" s="99"/>
      <c r="BY172" s="99"/>
      <c r="BZ172" s="159"/>
      <c r="DA172" s="155"/>
      <c r="DB172" s="155"/>
      <c r="DC172" s="155"/>
      <c r="DD172" s="207"/>
      <c r="DE172" s="207"/>
      <c r="DF172" s="155"/>
      <c r="DG172" s="155"/>
      <c r="DH172" s="155"/>
      <c r="DI172" s="155"/>
      <c r="DJ172" s="208"/>
      <c r="DK172" s="208"/>
      <c r="DL172" s="208"/>
      <c r="DM172" s="208"/>
      <c r="DN172" s="208"/>
      <c r="DO172" s="208"/>
      <c r="DP172" s="208"/>
      <c r="DQ172" s="208"/>
      <c r="DR172" s="208"/>
      <c r="DS172" s="208"/>
      <c r="DT172" s="208"/>
      <c r="DU172" s="208"/>
      <c r="DV172" s="208"/>
      <c r="DW172" s="208"/>
      <c r="DX172" s="208"/>
      <c r="DY172" s="208"/>
      <c r="DZ172" s="208"/>
      <c r="EA172" s="210"/>
      <c r="EB172" s="211"/>
      <c r="EC172" s="211"/>
      <c r="ED172" s="211"/>
      <c r="EE172" s="211"/>
      <c r="EF172" s="207"/>
      <c r="EG172" s="209"/>
      <c r="EH172" s="213"/>
      <c r="EI172" s="214"/>
      <c r="EJ172" s="214"/>
      <c r="EK172" s="214"/>
      <c r="EL172" s="214"/>
      <c r="EM172" s="215"/>
      <c r="EN172" s="216"/>
      <c r="EO172" s="216"/>
      <c r="EP172" s="217"/>
      <c r="EQ172" s="217"/>
      <c r="ER172" s="215"/>
      <c r="ES172" s="218"/>
      <c r="ET172" s="215"/>
      <c r="EU172" s="215"/>
      <c r="EV172" s="215"/>
      <c r="EW172" s="218"/>
      <c r="EX172" s="215"/>
      <c r="EY172" s="215"/>
      <c r="EZ172" s="218"/>
    </row>
    <row r="173" spans="13:156">
      <c r="M173" s="238" t="s">
        <v>430</v>
      </c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39"/>
      <c r="AA173" s="18"/>
      <c r="AB173" s="18"/>
      <c r="AC173" s="18"/>
      <c r="AD173" s="19"/>
      <c r="AE173" s="19"/>
      <c r="AI173" s="18"/>
      <c r="AJ173" s="7"/>
      <c r="AK173" s="7"/>
      <c r="AL173" s="7"/>
      <c r="AM173" s="7"/>
      <c r="AN173" s="7"/>
      <c r="AO173" s="7"/>
      <c r="AP173" s="7"/>
      <c r="AQ173" s="7"/>
      <c r="AR173" s="7"/>
      <c r="AS173" s="7"/>
      <c r="AT173" s="7"/>
      <c r="AU173" s="7"/>
      <c r="AV173" s="7"/>
      <c r="AW173" s="7"/>
      <c r="AX173" s="7"/>
      <c r="AY173" s="7"/>
      <c r="AZ173" s="7"/>
      <c r="BA173" s="18"/>
      <c r="BG173" s="140"/>
      <c r="BH173" s="131"/>
      <c r="BI173" s="102"/>
      <c r="BJ173" s="102"/>
      <c r="BK173" s="102"/>
      <c r="BL173" s="102"/>
      <c r="BM173" s="99"/>
      <c r="BN173" s="4"/>
      <c r="BO173" s="4"/>
      <c r="BP173" s="5"/>
      <c r="BQ173" s="5"/>
      <c r="BR173" s="99"/>
      <c r="BS173" s="159"/>
      <c r="BT173" s="99"/>
      <c r="BU173" s="99"/>
      <c r="BV173" s="99"/>
      <c r="BW173" s="159"/>
      <c r="BX173" s="99"/>
      <c r="BY173" s="99"/>
      <c r="BZ173" s="159"/>
      <c r="DA173" s="155"/>
      <c r="DB173" s="155"/>
      <c r="DC173" s="155"/>
      <c r="DD173" s="207"/>
      <c r="DE173" s="207"/>
      <c r="DF173" s="155"/>
      <c r="DG173" s="155"/>
      <c r="DH173" s="155"/>
      <c r="DI173" s="155"/>
      <c r="DJ173" s="208"/>
      <c r="DK173" s="208"/>
      <c r="DL173" s="208"/>
      <c r="DM173" s="208"/>
      <c r="DN173" s="208"/>
      <c r="DO173" s="208"/>
      <c r="DP173" s="208"/>
      <c r="DQ173" s="208"/>
      <c r="DR173" s="208"/>
      <c r="DS173" s="208"/>
      <c r="DT173" s="208"/>
      <c r="DU173" s="208"/>
      <c r="DV173" s="208"/>
      <c r="DW173" s="208"/>
      <c r="DX173" s="208"/>
      <c r="DY173" s="208"/>
      <c r="DZ173" s="208"/>
      <c r="EA173" s="210"/>
      <c r="EB173" s="211"/>
      <c r="EC173" s="211"/>
      <c r="ED173" s="211"/>
      <c r="EE173" s="211"/>
      <c r="EF173" s="207"/>
      <c r="EG173" s="209"/>
      <c r="EH173" s="213"/>
      <c r="EI173" s="214"/>
      <c r="EJ173" s="214"/>
      <c r="EK173" s="214"/>
      <c r="EL173" s="214"/>
      <c r="EM173" s="215"/>
      <c r="EN173" s="216"/>
      <c r="EO173" s="216"/>
      <c r="EP173" s="217"/>
      <c r="EQ173" s="217"/>
      <c r="ER173" s="215"/>
      <c r="ES173" s="218"/>
      <c r="ET173" s="215"/>
      <c r="EU173" s="215"/>
      <c r="EV173" s="215"/>
      <c r="EW173" s="218"/>
      <c r="EX173" s="215"/>
      <c r="EY173" s="215"/>
      <c r="EZ173" s="218"/>
    </row>
    <row r="174" spans="13:156">
      <c r="M174" s="238" t="s">
        <v>431</v>
      </c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39"/>
      <c r="AA174" s="18"/>
      <c r="AB174" s="18"/>
      <c r="AC174" s="18"/>
      <c r="AD174" s="19"/>
      <c r="AE174" s="19"/>
      <c r="AI174" s="18"/>
      <c r="AJ174" s="7"/>
      <c r="AK174" s="7"/>
      <c r="AL174" s="7"/>
      <c r="AM174" s="7"/>
      <c r="AN174" s="7"/>
      <c r="AO174" s="7"/>
      <c r="AP174" s="7"/>
      <c r="AQ174" s="7"/>
      <c r="AR174" s="7"/>
      <c r="AS174" s="7"/>
      <c r="AT174" s="7"/>
      <c r="AU174" s="7"/>
      <c r="AV174" s="7"/>
      <c r="AW174" s="7"/>
      <c r="AX174" s="7"/>
      <c r="AY174" s="7"/>
      <c r="AZ174" s="7"/>
      <c r="BA174" s="18"/>
      <c r="BG174" s="140"/>
      <c r="BH174" s="131"/>
      <c r="BI174" s="102"/>
      <c r="BJ174" s="102"/>
      <c r="BK174" s="102"/>
      <c r="BL174" s="102"/>
      <c r="BM174" s="99"/>
      <c r="BN174" s="4"/>
      <c r="BO174" s="4"/>
      <c r="BP174" s="5"/>
      <c r="BQ174" s="5"/>
      <c r="BR174" s="99"/>
      <c r="BS174" s="159"/>
      <c r="BT174" s="99"/>
      <c r="BU174" s="99"/>
      <c r="BV174" s="99"/>
      <c r="BW174" s="159"/>
      <c r="BX174" s="99"/>
      <c r="BY174" s="99"/>
      <c r="BZ174" s="159"/>
      <c r="DA174" s="155"/>
      <c r="DB174" s="155"/>
      <c r="DC174" s="155"/>
      <c r="DD174" s="207"/>
      <c r="DE174" s="207"/>
      <c r="DF174" s="155"/>
      <c r="DG174" s="155"/>
      <c r="DH174" s="155"/>
      <c r="DI174" s="155"/>
      <c r="DJ174" s="208"/>
      <c r="DK174" s="208"/>
      <c r="DL174" s="208"/>
      <c r="DM174" s="208"/>
      <c r="DN174" s="208"/>
      <c r="DO174" s="208"/>
      <c r="DP174" s="208"/>
      <c r="DQ174" s="208"/>
      <c r="DR174" s="208"/>
      <c r="DS174" s="208"/>
      <c r="DT174" s="208"/>
      <c r="DU174" s="208"/>
      <c r="DV174" s="208"/>
      <c r="DW174" s="208"/>
      <c r="DX174" s="208"/>
      <c r="DY174" s="208"/>
      <c r="DZ174" s="208"/>
      <c r="EA174" s="210"/>
      <c r="EB174" s="211"/>
      <c r="EC174" s="211"/>
      <c r="ED174" s="211"/>
      <c r="EE174" s="211"/>
      <c r="EF174" s="207"/>
      <c r="EG174" s="209"/>
      <c r="EH174" s="213"/>
      <c r="EI174" s="214"/>
      <c r="EJ174" s="214"/>
      <c r="EK174" s="214"/>
      <c r="EL174" s="214"/>
      <c r="EM174" s="215"/>
      <c r="EN174" s="216"/>
      <c r="EO174" s="216"/>
      <c r="EP174" s="217"/>
      <c r="EQ174" s="217"/>
      <c r="ER174" s="215"/>
      <c r="ES174" s="218"/>
      <c r="ET174" s="215"/>
      <c r="EU174" s="215"/>
      <c r="EV174" s="215"/>
      <c r="EW174" s="218"/>
      <c r="EX174" s="215"/>
      <c r="EY174" s="215"/>
      <c r="EZ174" s="218"/>
    </row>
    <row r="175" spans="13:156">
      <c r="M175" s="240" t="s">
        <v>432</v>
      </c>
      <c r="N175" s="241"/>
      <c r="O175" s="241"/>
      <c r="P175" s="241"/>
      <c r="Q175" s="241"/>
      <c r="R175" s="241"/>
      <c r="S175" s="241"/>
      <c r="T175" s="241"/>
      <c r="U175" s="241"/>
      <c r="V175" s="241"/>
      <c r="W175" s="241"/>
      <c r="X175" s="242"/>
      <c r="AA175" s="18"/>
      <c r="AB175" s="18"/>
      <c r="AC175" s="18"/>
      <c r="AD175" s="19"/>
      <c r="AE175" s="19"/>
      <c r="AI175" s="18"/>
      <c r="AJ175" s="7"/>
      <c r="AK175" s="7"/>
      <c r="AL175" s="7"/>
      <c r="AM175" s="7"/>
      <c r="AN175" s="7"/>
      <c r="AO175" s="7"/>
      <c r="AP175" s="7"/>
      <c r="AQ175" s="7"/>
      <c r="AR175" s="7"/>
      <c r="AS175" s="7"/>
      <c r="AT175" s="7"/>
      <c r="AU175" s="7"/>
      <c r="AV175" s="7"/>
      <c r="AW175" s="7"/>
      <c r="AX175" s="7"/>
      <c r="AY175" s="7"/>
      <c r="AZ175" s="7"/>
      <c r="BA175" s="18"/>
      <c r="BG175" s="140"/>
      <c r="BH175" s="131"/>
      <c r="BI175" s="102"/>
      <c r="BJ175" s="102"/>
      <c r="BK175" s="102"/>
      <c r="BL175" s="102"/>
      <c r="BM175" s="99"/>
      <c r="BN175" s="4"/>
      <c r="BO175" s="4"/>
      <c r="BP175" s="5"/>
      <c r="BQ175" s="5"/>
      <c r="BR175" s="99"/>
      <c r="BS175" s="159"/>
      <c r="BT175" s="99"/>
      <c r="BU175" s="99"/>
      <c r="BV175" s="99"/>
      <c r="BW175" s="159"/>
      <c r="BX175" s="99"/>
      <c r="BY175" s="99"/>
      <c r="BZ175" s="159"/>
      <c r="DA175" s="155"/>
      <c r="DB175" s="155"/>
      <c r="DC175" s="155"/>
      <c r="DD175" s="207"/>
      <c r="DE175" s="207"/>
      <c r="DF175" s="155"/>
      <c r="DG175" s="155"/>
      <c r="DH175" s="155"/>
      <c r="DI175" s="155"/>
      <c r="DJ175" s="208"/>
      <c r="DK175" s="208"/>
      <c r="DL175" s="208"/>
      <c r="DM175" s="208"/>
      <c r="DN175" s="208"/>
      <c r="DO175" s="208"/>
      <c r="DP175" s="208"/>
      <c r="DQ175" s="208"/>
      <c r="DR175" s="208"/>
      <c r="DS175" s="208"/>
      <c r="DT175" s="208"/>
      <c r="DU175" s="208"/>
      <c r="DV175" s="208"/>
      <c r="DW175" s="208"/>
      <c r="DX175" s="208"/>
      <c r="DY175" s="208"/>
      <c r="DZ175" s="208"/>
      <c r="EA175" s="210"/>
      <c r="EB175" s="211"/>
      <c r="EC175" s="211"/>
      <c r="ED175" s="211"/>
      <c r="EE175" s="211"/>
      <c r="EF175" s="207"/>
      <c r="EG175" s="209"/>
      <c r="EH175" s="213"/>
      <c r="EI175" s="214"/>
      <c r="EJ175" s="214"/>
      <c r="EK175" s="214"/>
      <c r="EL175" s="214"/>
      <c r="EM175" s="215"/>
      <c r="EN175" s="216"/>
      <c r="EO175" s="216"/>
      <c r="EP175" s="217"/>
      <c r="EQ175" s="217"/>
      <c r="ER175" s="215"/>
      <c r="ES175" s="218"/>
      <c r="ET175" s="215"/>
      <c r="EU175" s="215"/>
      <c r="EV175" s="215"/>
      <c r="EW175" s="218"/>
      <c r="EX175" s="215"/>
      <c r="EY175" s="215"/>
      <c r="EZ175" s="218"/>
    </row>
    <row r="176" spans="13:156">
      <c r="AA176" s="18"/>
      <c r="AB176" s="18"/>
      <c r="AC176" s="18"/>
      <c r="AD176" s="19"/>
      <c r="AE176" s="19"/>
      <c r="AI176" s="18"/>
      <c r="AJ176" s="7"/>
      <c r="AK176" s="7"/>
      <c r="AL176" s="7"/>
      <c r="AM176" s="7"/>
      <c r="AN176" s="7"/>
      <c r="AO176" s="7"/>
      <c r="AP176" s="7"/>
      <c r="AQ176" s="7"/>
      <c r="AR176" s="7"/>
      <c r="AS176" s="7"/>
      <c r="AT176" s="7"/>
      <c r="AU176" s="7"/>
      <c r="AV176" s="7"/>
      <c r="AW176" s="7"/>
      <c r="AX176" s="7"/>
      <c r="AY176" s="7"/>
      <c r="AZ176" s="7"/>
      <c r="BA176" s="18"/>
      <c r="BG176" s="140"/>
      <c r="BH176" s="131"/>
      <c r="BI176" s="102"/>
      <c r="BJ176" s="102"/>
      <c r="BK176" s="102"/>
      <c r="BL176" s="102"/>
      <c r="BM176" s="99"/>
      <c r="BN176" s="4"/>
      <c r="BO176" s="4"/>
      <c r="BP176" s="5"/>
      <c r="BQ176" s="5"/>
      <c r="BR176" s="99"/>
      <c r="BS176" s="159"/>
      <c r="BT176" s="99"/>
      <c r="BU176" s="99"/>
      <c r="BV176" s="99"/>
      <c r="BW176" s="159"/>
      <c r="BX176" s="99"/>
      <c r="BY176" s="99"/>
      <c r="BZ176" s="159"/>
      <c r="DA176" s="155"/>
      <c r="DB176" s="155"/>
      <c r="DC176" s="155"/>
      <c r="DD176" s="207"/>
      <c r="DE176" s="207"/>
      <c r="DF176" s="155"/>
      <c r="DG176" s="155"/>
      <c r="DH176" s="155"/>
      <c r="DI176" s="155"/>
      <c r="DJ176" s="208"/>
      <c r="DK176" s="208"/>
      <c r="DL176" s="208"/>
      <c r="DM176" s="208"/>
      <c r="DN176" s="208"/>
      <c r="DO176" s="208"/>
      <c r="DP176" s="208"/>
      <c r="DQ176" s="208"/>
      <c r="DR176" s="208"/>
      <c r="DS176" s="208"/>
      <c r="DT176" s="208"/>
      <c r="DU176" s="208"/>
      <c r="DV176" s="208"/>
      <c r="DW176" s="208"/>
      <c r="DX176" s="208"/>
      <c r="DY176" s="208"/>
      <c r="DZ176" s="208"/>
      <c r="EA176" s="210"/>
      <c r="EB176" s="211"/>
      <c r="EC176" s="211"/>
      <c r="ED176" s="211"/>
      <c r="EE176" s="211"/>
      <c r="EF176" s="207"/>
      <c r="EG176" s="209"/>
      <c r="EH176" s="213"/>
      <c r="EI176" s="214"/>
      <c r="EJ176" s="214"/>
      <c r="EK176" s="214"/>
      <c r="EL176" s="214"/>
      <c r="EM176" s="215"/>
      <c r="EN176" s="216"/>
      <c r="EO176" s="216"/>
      <c r="EP176" s="217"/>
      <c r="EQ176" s="217"/>
      <c r="ER176" s="215"/>
      <c r="ES176" s="218"/>
      <c r="ET176" s="215"/>
      <c r="EU176" s="215"/>
      <c r="EV176" s="215"/>
      <c r="EW176" s="218"/>
      <c r="EX176" s="215"/>
      <c r="EY176" s="215"/>
      <c r="EZ176" s="218"/>
    </row>
    <row r="177" spans="27:156">
      <c r="AA177" s="18"/>
      <c r="AB177" s="18"/>
      <c r="AC177" s="18"/>
      <c r="AD177" s="19"/>
      <c r="AE177" s="19"/>
      <c r="AI177" s="18"/>
      <c r="AJ177" s="7"/>
      <c r="AK177" s="7"/>
      <c r="AL177" s="7"/>
      <c r="AM177" s="7"/>
      <c r="AN177" s="7"/>
      <c r="AO177" s="7"/>
      <c r="AP177" s="7"/>
      <c r="AQ177" s="7"/>
      <c r="AR177" s="7"/>
      <c r="AS177" s="7"/>
      <c r="AT177" s="7"/>
      <c r="AU177" s="7"/>
      <c r="AV177" s="7"/>
      <c r="AW177" s="7"/>
      <c r="AX177" s="7"/>
      <c r="AY177" s="7"/>
      <c r="AZ177" s="7"/>
      <c r="BA177" s="18"/>
      <c r="BG177" s="140"/>
      <c r="BH177" s="131"/>
      <c r="BI177" s="102"/>
      <c r="BJ177" s="102"/>
      <c r="BK177" s="102"/>
      <c r="BL177" s="102"/>
      <c r="BM177" s="99"/>
      <c r="BN177" s="4"/>
      <c r="BO177" s="4"/>
      <c r="BP177" s="5"/>
      <c r="BQ177" s="5"/>
      <c r="BR177" s="99"/>
      <c r="BS177" s="159"/>
      <c r="BT177" s="99"/>
      <c r="BU177" s="99"/>
      <c r="BV177" s="99"/>
      <c r="BW177" s="159"/>
      <c r="BX177" s="99"/>
      <c r="BY177" s="99"/>
      <c r="BZ177" s="159"/>
      <c r="DA177" s="155"/>
      <c r="DB177" s="155"/>
      <c r="DC177" s="155"/>
      <c r="DD177" s="207"/>
      <c r="DE177" s="207"/>
      <c r="DF177" s="155"/>
      <c r="DG177" s="155"/>
      <c r="DH177" s="155"/>
      <c r="DI177" s="155"/>
      <c r="DJ177" s="208"/>
      <c r="DK177" s="208"/>
      <c r="DL177" s="208"/>
      <c r="DM177" s="208"/>
      <c r="DN177" s="208"/>
      <c r="DO177" s="208"/>
      <c r="DP177" s="208"/>
      <c r="DQ177" s="208"/>
      <c r="DR177" s="208"/>
      <c r="DS177" s="208"/>
      <c r="DT177" s="208"/>
      <c r="DU177" s="208"/>
      <c r="DV177" s="208"/>
      <c r="DW177" s="208"/>
      <c r="DX177" s="208"/>
      <c r="DY177" s="208"/>
      <c r="DZ177" s="208"/>
      <c r="EA177" s="210"/>
      <c r="EB177" s="211"/>
      <c r="EC177" s="211"/>
      <c r="ED177" s="211"/>
      <c r="EE177" s="211"/>
      <c r="EF177" s="207"/>
      <c r="EG177" s="209"/>
      <c r="EH177" s="213"/>
      <c r="EI177" s="214"/>
      <c r="EJ177" s="214"/>
      <c r="EK177" s="214"/>
      <c r="EL177" s="214"/>
      <c r="EM177" s="215"/>
      <c r="EN177" s="216"/>
      <c r="EO177" s="216"/>
      <c r="EP177" s="217"/>
      <c r="EQ177" s="217"/>
      <c r="ER177" s="215"/>
      <c r="ES177" s="218"/>
      <c r="ET177" s="215"/>
      <c r="EU177" s="215"/>
      <c r="EV177" s="215"/>
      <c r="EW177" s="218"/>
      <c r="EX177" s="215"/>
      <c r="EY177" s="215"/>
      <c r="EZ177" s="218"/>
    </row>
    <row r="178" spans="27:156">
      <c r="AA178" s="18"/>
      <c r="AB178" s="18"/>
      <c r="AC178" s="18"/>
      <c r="AD178" s="19"/>
      <c r="AE178" s="19"/>
      <c r="AI178" s="18"/>
      <c r="AJ178" s="7"/>
      <c r="AK178" s="7"/>
      <c r="AL178" s="7"/>
      <c r="AM178" s="7"/>
      <c r="AN178" s="7"/>
      <c r="AO178" s="7"/>
      <c r="AP178" s="7"/>
      <c r="AQ178" s="7"/>
      <c r="AR178" s="7"/>
      <c r="AS178" s="7"/>
      <c r="AT178" s="7"/>
      <c r="AU178" s="7"/>
      <c r="AV178" s="7"/>
      <c r="AW178" s="7"/>
      <c r="AX178" s="7"/>
      <c r="AY178" s="7"/>
      <c r="AZ178" s="7"/>
      <c r="BA178" s="18"/>
      <c r="BG178" s="140"/>
      <c r="BH178" s="131"/>
      <c r="BI178" s="102"/>
      <c r="BJ178" s="102"/>
      <c r="BK178" s="102"/>
      <c r="BL178" s="102"/>
      <c r="BM178" s="99"/>
      <c r="BN178" s="4"/>
      <c r="BO178" s="4"/>
      <c r="BP178" s="5"/>
      <c r="BQ178" s="5"/>
      <c r="BR178" s="99"/>
      <c r="BS178" s="159"/>
      <c r="BT178" s="99"/>
      <c r="BU178" s="99"/>
      <c r="BV178" s="99"/>
      <c r="BW178" s="159"/>
      <c r="BX178" s="99"/>
      <c r="BY178" s="99"/>
      <c r="BZ178" s="159"/>
      <c r="DA178" s="155"/>
      <c r="DB178" s="155"/>
      <c r="DC178" s="155"/>
      <c r="DD178" s="207"/>
      <c r="DE178" s="207"/>
      <c r="DF178" s="155"/>
      <c r="DG178" s="155"/>
      <c r="DH178" s="155"/>
      <c r="DI178" s="155"/>
      <c r="DJ178" s="208"/>
      <c r="DK178" s="208"/>
      <c r="DL178" s="208"/>
      <c r="DM178" s="208"/>
      <c r="DN178" s="208"/>
      <c r="DO178" s="208"/>
      <c r="DP178" s="208"/>
      <c r="DQ178" s="208"/>
      <c r="DR178" s="208"/>
      <c r="DS178" s="208"/>
      <c r="DT178" s="208"/>
      <c r="DU178" s="208"/>
      <c r="DV178" s="208"/>
      <c r="DW178" s="208"/>
      <c r="DX178" s="208"/>
      <c r="DY178" s="208"/>
      <c r="DZ178" s="208"/>
      <c r="EA178" s="210"/>
      <c r="EB178" s="211"/>
      <c r="EC178" s="211"/>
      <c r="ED178" s="211"/>
      <c r="EE178" s="211"/>
      <c r="EF178" s="207"/>
      <c r="EG178" s="209"/>
      <c r="EH178" s="213"/>
      <c r="EI178" s="214"/>
      <c r="EJ178" s="214"/>
      <c r="EK178" s="214"/>
      <c r="EL178" s="214"/>
      <c r="EM178" s="215"/>
      <c r="EN178" s="216"/>
      <c r="EO178" s="216"/>
      <c r="EP178" s="217"/>
      <c r="EQ178" s="217"/>
      <c r="ER178" s="215"/>
      <c r="ES178" s="218"/>
      <c r="ET178" s="215"/>
      <c r="EU178" s="215"/>
      <c r="EV178" s="215"/>
      <c r="EW178" s="218"/>
      <c r="EX178" s="215"/>
      <c r="EY178" s="215"/>
      <c r="EZ178" s="218"/>
    </row>
    <row r="179" spans="27:156">
      <c r="AA179" s="18"/>
      <c r="AB179" s="18"/>
      <c r="AC179" s="18"/>
      <c r="AD179" s="19"/>
      <c r="AE179" s="19"/>
      <c r="AI179" s="18"/>
      <c r="AJ179" s="7"/>
      <c r="AK179" s="7"/>
      <c r="AL179" s="7"/>
      <c r="AM179" s="7"/>
      <c r="AN179" s="7"/>
      <c r="AO179" s="7"/>
      <c r="AP179" s="7"/>
      <c r="AQ179" s="7"/>
      <c r="AR179" s="7"/>
      <c r="AS179" s="7"/>
      <c r="AT179" s="7"/>
      <c r="AU179" s="7"/>
      <c r="AV179" s="7"/>
      <c r="AW179" s="7"/>
      <c r="AX179" s="7"/>
      <c r="AY179" s="7"/>
      <c r="AZ179" s="7"/>
      <c r="BA179" s="18"/>
      <c r="BG179" s="140"/>
      <c r="BH179" s="131"/>
      <c r="BI179" s="102"/>
      <c r="BJ179" s="102"/>
      <c r="BK179" s="102"/>
      <c r="BL179" s="102"/>
      <c r="BM179" s="99"/>
      <c r="BN179" s="4"/>
      <c r="BO179" s="4"/>
      <c r="BP179" s="5"/>
      <c r="BQ179" s="5"/>
      <c r="BR179" s="99"/>
      <c r="BS179" s="159"/>
      <c r="BT179" s="99"/>
      <c r="BU179" s="99"/>
      <c r="BV179" s="99"/>
      <c r="BW179" s="159"/>
      <c r="BX179" s="99"/>
      <c r="BY179" s="99"/>
      <c r="BZ179" s="159"/>
      <c r="DA179" s="155"/>
      <c r="DB179" s="155"/>
      <c r="DC179" s="155"/>
      <c r="DD179" s="207"/>
      <c r="DE179" s="207"/>
      <c r="DF179" s="155"/>
      <c r="DG179" s="155"/>
      <c r="DH179" s="155"/>
      <c r="DI179" s="155"/>
      <c r="DJ179" s="208"/>
      <c r="DK179" s="208"/>
      <c r="DL179" s="208"/>
      <c r="DM179" s="208"/>
      <c r="DN179" s="208"/>
      <c r="DO179" s="208"/>
      <c r="DP179" s="208"/>
      <c r="DQ179" s="208"/>
      <c r="DR179" s="208"/>
      <c r="DS179" s="208"/>
      <c r="DT179" s="208"/>
      <c r="DU179" s="208"/>
      <c r="DV179" s="208"/>
      <c r="DW179" s="208"/>
      <c r="DX179" s="208"/>
      <c r="DY179" s="208"/>
      <c r="DZ179" s="208"/>
      <c r="EA179" s="210"/>
      <c r="EB179" s="211"/>
      <c r="EC179" s="211"/>
      <c r="ED179" s="211"/>
      <c r="EE179" s="211"/>
      <c r="EF179" s="207"/>
      <c r="EG179" s="209"/>
      <c r="EH179" s="213"/>
      <c r="EI179" s="214"/>
      <c r="EJ179" s="214"/>
      <c r="EK179" s="214"/>
      <c r="EL179" s="214"/>
      <c r="EM179" s="215"/>
      <c r="EN179" s="216"/>
      <c r="EO179" s="216"/>
      <c r="EP179" s="217"/>
      <c r="EQ179" s="217"/>
      <c r="ER179" s="215"/>
      <c r="ES179" s="218"/>
      <c r="ET179" s="215"/>
      <c r="EU179" s="215"/>
      <c r="EV179" s="215"/>
      <c r="EW179" s="218"/>
      <c r="EX179" s="215"/>
      <c r="EY179" s="215"/>
      <c r="EZ179" s="218"/>
    </row>
    <row r="180" spans="27:156">
      <c r="AA180" s="18"/>
      <c r="AB180" s="18"/>
      <c r="AC180" s="18"/>
      <c r="AD180" s="19"/>
      <c r="AE180" s="19"/>
      <c r="AI180" s="18"/>
      <c r="AJ180" s="7"/>
      <c r="AK180" s="7"/>
      <c r="AL180" s="7"/>
      <c r="AM180" s="7"/>
      <c r="AN180" s="7"/>
      <c r="AO180" s="7"/>
      <c r="AP180" s="7"/>
      <c r="AQ180" s="7"/>
      <c r="AR180" s="7"/>
      <c r="AS180" s="7"/>
      <c r="AT180" s="7"/>
      <c r="AU180" s="7"/>
      <c r="AV180" s="7"/>
      <c r="AW180" s="7"/>
      <c r="AX180" s="7"/>
      <c r="AY180" s="7"/>
      <c r="AZ180" s="7"/>
      <c r="BA180" s="18"/>
      <c r="BG180" s="140"/>
      <c r="BH180" s="131"/>
      <c r="BI180" s="102"/>
      <c r="BJ180" s="102"/>
      <c r="BK180" s="102"/>
      <c r="BL180" s="102"/>
      <c r="BM180" s="99"/>
      <c r="BN180" s="4"/>
      <c r="BO180" s="4"/>
      <c r="BP180" s="5"/>
      <c r="BQ180" s="5"/>
      <c r="BR180" s="99"/>
      <c r="BS180" s="159"/>
      <c r="BT180" s="99"/>
      <c r="BU180" s="99"/>
      <c r="BV180" s="99"/>
      <c r="BW180" s="159"/>
      <c r="BX180" s="99"/>
      <c r="BY180" s="99"/>
      <c r="BZ180" s="159"/>
      <c r="DA180" s="155"/>
      <c r="DB180" s="155"/>
      <c r="DC180" s="155"/>
      <c r="DD180" s="207"/>
      <c r="DE180" s="207"/>
      <c r="DF180" s="155"/>
      <c r="DG180" s="155"/>
      <c r="DH180" s="155"/>
      <c r="DI180" s="155"/>
      <c r="DJ180" s="208"/>
      <c r="DK180" s="208"/>
      <c r="DL180" s="208"/>
      <c r="DM180" s="208"/>
      <c r="DN180" s="208"/>
      <c r="DO180" s="208"/>
      <c r="DP180" s="208"/>
      <c r="DQ180" s="208"/>
      <c r="DR180" s="208"/>
      <c r="DS180" s="208"/>
      <c r="DT180" s="208"/>
      <c r="DU180" s="208"/>
      <c r="DV180" s="208"/>
      <c r="DW180" s="208"/>
      <c r="DX180" s="208"/>
      <c r="DY180" s="208"/>
      <c r="DZ180" s="208"/>
      <c r="EA180" s="210"/>
      <c r="EB180" s="211"/>
      <c r="EC180" s="211"/>
      <c r="ED180" s="211"/>
      <c r="EE180" s="211"/>
      <c r="EF180" s="207"/>
      <c r="EG180" s="209"/>
      <c r="EH180" s="213"/>
      <c r="EI180" s="214"/>
      <c r="EJ180" s="214"/>
      <c r="EK180" s="214"/>
      <c r="EL180" s="214"/>
      <c r="EM180" s="215"/>
      <c r="EN180" s="216"/>
      <c r="EO180" s="216"/>
      <c r="EP180" s="217"/>
      <c r="EQ180" s="217"/>
      <c r="ER180" s="215"/>
      <c r="ES180" s="218"/>
      <c r="ET180" s="215"/>
      <c r="EU180" s="215"/>
      <c r="EV180" s="215"/>
      <c r="EW180" s="218"/>
      <c r="EX180" s="215"/>
      <c r="EY180" s="215"/>
      <c r="EZ180" s="218"/>
    </row>
    <row r="181" spans="27:156">
      <c r="AA181" s="18"/>
      <c r="AB181" s="18"/>
      <c r="AC181" s="18"/>
      <c r="AD181" s="19"/>
      <c r="AE181" s="19"/>
      <c r="AI181" s="18"/>
      <c r="AJ181" s="7"/>
      <c r="AK181" s="7"/>
      <c r="AL181" s="7"/>
      <c r="AM181" s="7"/>
      <c r="AN181" s="7"/>
      <c r="AO181" s="7"/>
      <c r="AP181" s="7"/>
      <c r="AQ181" s="7"/>
      <c r="AR181" s="7"/>
      <c r="AS181" s="7"/>
      <c r="AT181" s="7"/>
      <c r="AU181" s="7"/>
      <c r="AV181" s="7"/>
      <c r="AW181" s="7"/>
      <c r="AX181" s="7"/>
      <c r="AY181" s="7"/>
      <c r="AZ181" s="7"/>
      <c r="BA181" s="18"/>
      <c r="BG181" s="140"/>
      <c r="BH181" s="131"/>
      <c r="BI181" s="102"/>
      <c r="BJ181" s="102"/>
      <c r="BK181" s="102"/>
      <c r="BL181" s="102"/>
      <c r="BM181" s="99"/>
      <c r="BN181" s="4"/>
      <c r="BO181" s="4"/>
      <c r="BP181" s="5"/>
      <c r="BQ181" s="5"/>
      <c r="BR181" s="99"/>
      <c r="BS181" s="159"/>
      <c r="BT181" s="99"/>
      <c r="BU181" s="99"/>
      <c r="BV181" s="99"/>
      <c r="BW181" s="159"/>
      <c r="BX181" s="99"/>
      <c r="BY181" s="99"/>
      <c r="BZ181" s="159"/>
      <c r="DA181" s="155"/>
      <c r="DB181" s="155"/>
      <c r="DC181" s="155"/>
      <c r="DD181" s="207"/>
      <c r="DE181" s="207"/>
      <c r="DF181" s="155"/>
      <c r="DG181" s="155"/>
      <c r="DH181" s="155"/>
      <c r="DI181" s="155"/>
      <c r="DJ181" s="208"/>
      <c r="DK181" s="208"/>
      <c r="DL181" s="208"/>
      <c r="DM181" s="208"/>
      <c r="DN181" s="208"/>
      <c r="DO181" s="208"/>
      <c r="DP181" s="208"/>
      <c r="DQ181" s="208"/>
      <c r="DR181" s="208"/>
      <c r="DS181" s="208"/>
      <c r="DT181" s="208"/>
      <c r="DU181" s="208"/>
      <c r="DV181" s="208"/>
      <c r="DW181" s="208"/>
      <c r="DX181" s="208"/>
      <c r="DY181" s="208"/>
      <c r="DZ181" s="208"/>
      <c r="EA181" s="210"/>
      <c r="EB181" s="211"/>
      <c r="EC181" s="211"/>
      <c r="ED181" s="211"/>
      <c r="EE181" s="211"/>
      <c r="EF181" s="207"/>
      <c r="EG181" s="209"/>
      <c r="EH181" s="213"/>
      <c r="EI181" s="214"/>
      <c r="EJ181" s="214"/>
      <c r="EK181" s="214"/>
      <c r="EL181" s="214"/>
      <c r="EM181" s="215"/>
      <c r="EN181" s="216"/>
      <c r="EO181" s="216"/>
      <c r="EP181" s="217"/>
      <c r="EQ181" s="217"/>
      <c r="ER181" s="215"/>
      <c r="ES181" s="218"/>
      <c r="ET181" s="215"/>
      <c r="EU181" s="215"/>
      <c r="EV181" s="215"/>
      <c r="EW181" s="218"/>
      <c r="EX181" s="215"/>
      <c r="EY181" s="215"/>
      <c r="EZ181" s="218"/>
    </row>
    <row r="182" spans="27:156">
      <c r="AA182" s="18"/>
      <c r="AB182" s="18"/>
      <c r="AC182" s="18"/>
      <c r="AD182" s="19"/>
      <c r="AE182" s="19"/>
      <c r="AI182" s="18"/>
      <c r="AJ182" s="7"/>
      <c r="AK182" s="7"/>
      <c r="AL182" s="7"/>
      <c r="AM182" s="7"/>
      <c r="AN182" s="7"/>
      <c r="AO182" s="7"/>
      <c r="AP182" s="7"/>
      <c r="AQ182" s="7"/>
      <c r="AR182" s="7"/>
      <c r="AS182" s="7"/>
      <c r="AT182" s="7"/>
      <c r="AU182" s="7"/>
      <c r="AV182" s="7"/>
      <c r="AW182" s="7"/>
      <c r="AX182" s="7"/>
      <c r="AY182" s="7"/>
      <c r="AZ182" s="7"/>
      <c r="BA182" s="18"/>
      <c r="BG182" s="140"/>
      <c r="BH182" s="131"/>
      <c r="BI182" s="102"/>
      <c r="BJ182" s="102"/>
      <c r="BK182" s="102"/>
      <c r="BL182" s="102"/>
      <c r="BM182" s="99"/>
      <c r="BN182" s="4"/>
      <c r="BO182" s="4"/>
      <c r="BP182" s="5"/>
      <c r="BQ182" s="5"/>
      <c r="BR182" s="99"/>
      <c r="BS182" s="159"/>
      <c r="BT182" s="99"/>
      <c r="BU182" s="99"/>
      <c r="BV182" s="99"/>
      <c r="BW182" s="159"/>
      <c r="BX182" s="99"/>
      <c r="BY182" s="99"/>
      <c r="BZ182" s="159"/>
      <c r="DA182" s="155"/>
      <c r="DB182" s="155"/>
      <c r="DC182" s="155"/>
      <c r="DD182" s="207"/>
      <c r="DE182" s="207"/>
      <c r="DF182" s="155"/>
      <c r="DG182" s="155"/>
      <c r="DH182" s="155"/>
      <c r="DI182" s="155"/>
      <c r="DJ182" s="208"/>
      <c r="DK182" s="208"/>
      <c r="DL182" s="208"/>
      <c r="DM182" s="208"/>
      <c r="DN182" s="208"/>
      <c r="DO182" s="208"/>
      <c r="DP182" s="208"/>
      <c r="DQ182" s="208"/>
      <c r="DR182" s="208"/>
      <c r="DS182" s="208"/>
      <c r="DT182" s="208"/>
      <c r="DU182" s="208"/>
      <c r="DV182" s="208"/>
      <c r="DW182" s="208"/>
      <c r="DX182" s="208"/>
      <c r="DY182" s="208"/>
      <c r="DZ182" s="208"/>
      <c r="EA182" s="210"/>
      <c r="EB182" s="211"/>
      <c r="EC182" s="211"/>
      <c r="ED182" s="211"/>
      <c r="EE182" s="211"/>
      <c r="EF182" s="207"/>
      <c r="EG182" s="209"/>
      <c r="EH182" s="213"/>
      <c r="EI182" s="214"/>
      <c r="EJ182" s="214"/>
      <c r="EK182" s="214"/>
      <c r="EL182" s="214"/>
      <c r="EM182" s="215"/>
      <c r="EN182" s="216"/>
      <c r="EO182" s="216"/>
      <c r="EP182" s="217"/>
      <c r="EQ182" s="217"/>
      <c r="ER182" s="215"/>
      <c r="ES182" s="218"/>
      <c r="ET182" s="215"/>
      <c r="EU182" s="215"/>
      <c r="EV182" s="215"/>
      <c r="EW182" s="218"/>
      <c r="EX182" s="215"/>
      <c r="EY182" s="215"/>
      <c r="EZ182" s="218"/>
    </row>
    <row r="183" spans="27:156">
      <c r="AA183" s="18"/>
      <c r="AB183" s="18"/>
      <c r="AC183" s="18"/>
      <c r="AD183" s="19"/>
      <c r="AE183" s="19"/>
      <c r="AI183" s="18"/>
      <c r="AJ183" s="7"/>
      <c r="AK183" s="7"/>
      <c r="AL183" s="7"/>
      <c r="AM183" s="7"/>
      <c r="AN183" s="7"/>
      <c r="AO183" s="7"/>
      <c r="AP183" s="7"/>
      <c r="AQ183" s="7"/>
      <c r="AR183" s="7"/>
      <c r="AS183" s="7"/>
      <c r="AT183" s="7"/>
      <c r="AU183" s="7"/>
      <c r="AV183" s="7"/>
      <c r="AW183" s="7"/>
      <c r="AX183" s="7"/>
      <c r="AY183" s="7"/>
      <c r="AZ183" s="7"/>
      <c r="BA183" s="18"/>
      <c r="BG183" s="140"/>
      <c r="BH183" s="131"/>
      <c r="BI183" s="102"/>
      <c r="BJ183" s="102"/>
      <c r="BK183" s="102"/>
      <c r="BL183" s="102"/>
      <c r="BM183" s="99"/>
      <c r="BN183" s="4"/>
      <c r="BO183" s="4"/>
      <c r="BP183" s="5"/>
      <c r="BQ183" s="5"/>
      <c r="BR183" s="99"/>
      <c r="BS183" s="159"/>
      <c r="BT183" s="99"/>
      <c r="BU183" s="99"/>
      <c r="BV183" s="99"/>
      <c r="BW183" s="159"/>
      <c r="BX183" s="99"/>
      <c r="BY183" s="99"/>
      <c r="BZ183" s="159"/>
      <c r="DA183" s="155"/>
      <c r="DB183" s="155"/>
      <c r="DC183" s="155"/>
      <c r="DD183" s="207"/>
      <c r="DE183" s="207"/>
      <c r="DF183" s="155"/>
      <c r="DG183" s="155"/>
      <c r="DH183" s="155"/>
      <c r="DI183" s="155"/>
      <c r="DJ183" s="208"/>
      <c r="DK183" s="208"/>
      <c r="DL183" s="208"/>
      <c r="DM183" s="208"/>
      <c r="DN183" s="208"/>
      <c r="DO183" s="208"/>
      <c r="DP183" s="208"/>
      <c r="DQ183" s="208"/>
      <c r="DR183" s="208"/>
      <c r="DS183" s="208"/>
      <c r="DT183" s="208"/>
      <c r="DU183" s="208"/>
      <c r="DV183" s="208"/>
      <c r="DW183" s="208"/>
      <c r="DX183" s="208"/>
      <c r="DY183" s="208"/>
      <c r="DZ183" s="208"/>
      <c r="EA183" s="210"/>
      <c r="EB183" s="211"/>
      <c r="EC183" s="211"/>
      <c r="ED183" s="211"/>
      <c r="EE183" s="211"/>
      <c r="EF183" s="207"/>
      <c r="EG183" s="209"/>
      <c r="EH183" s="213"/>
      <c r="EI183" s="214"/>
      <c r="EJ183" s="214"/>
      <c r="EK183" s="214"/>
      <c r="EL183" s="214"/>
      <c r="EM183" s="215"/>
      <c r="EN183" s="216"/>
      <c r="EO183" s="216"/>
      <c r="EP183" s="217"/>
      <c r="EQ183" s="217"/>
      <c r="ER183" s="215"/>
      <c r="ES183" s="218"/>
      <c r="ET183" s="215"/>
      <c r="EU183" s="215"/>
      <c r="EV183" s="215"/>
      <c r="EW183" s="218"/>
      <c r="EX183" s="215"/>
      <c r="EY183" s="215"/>
      <c r="EZ183" s="218"/>
    </row>
    <row r="184" spans="27:156">
      <c r="AA184" s="18"/>
      <c r="AB184" s="18"/>
      <c r="AC184" s="18"/>
      <c r="AD184" s="19"/>
      <c r="AE184" s="19"/>
      <c r="AI184" s="18"/>
      <c r="AJ184" s="7"/>
      <c r="AK184" s="7"/>
      <c r="AL184" s="7"/>
      <c r="AM184" s="7"/>
      <c r="AN184" s="7"/>
      <c r="AO184" s="7"/>
      <c r="AP184" s="7"/>
      <c r="AQ184" s="7"/>
      <c r="AR184" s="7"/>
      <c r="AS184" s="7"/>
      <c r="AT184" s="7"/>
      <c r="AU184" s="7"/>
      <c r="AV184" s="7"/>
      <c r="AW184" s="7"/>
      <c r="AX184" s="7"/>
      <c r="AY184" s="7"/>
      <c r="AZ184" s="7"/>
      <c r="BA184" s="18"/>
      <c r="BG184" s="140"/>
      <c r="BH184" s="131"/>
      <c r="BI184" s="102"/>
      <c r="BJ184" s="102"/>
      <c r="BK184" s="102"/>
      <c r="BL184" s="102"/>
      <c r="BM184" s="99"/>
      <c r="BN184" s="4"/>
      <c r="BO184" s="4"/>
      <c r="BP184" s="5"/>
      <c r="BQ184" s="5"/>
      <c r="BR184" s="99"/>
      <c r="BS184" s="159"/>
      <c r="BT184" s="99"/>
      <c r="BU184" s="99"/>
      <c r="BV184" s="99"/>
      <c r="BW184" s="159"/>
      <c r="BX184" s="99"/>
      <c r="BY184" s="99"/>
      <c r="BZ184" s="159"/>
      <c r="DA184" s="155"/>
      <c r="DB184" s="155"/>
      <c r="DC184" s="155"/>
      <c r="DD184" s="207"/>
      <c r="DE184" s="207"/>
      <c r="DF184" s="155"/>
      <c r="DG184" s="155"/>
      <c r="DH184" s="155"/>
      <c r="DI184" s="155"/>
      <c r="DJ184" s="208"/>
      <c r="DK184" s="208"/>
      <c r="DL184" s="208"/>
      <c r="DM184" s="208"/>
      <c r="DN184" s="208"/>
      <c r="DO184" s="208"/>
      <c r="DP184" s="208"/>
      <c r="DQ184" s="208"/>
      <c r="DR184" s="208"/>
      <c r="DS184" s="208"/>
      <c r="DT184" s="208"/>
      <c r="DU184" s="208"/>
      <c r="DV184" s="208"/>
      <c r="DW184" s="208"/>
      <c r="DX184" s="208"/>
      <c r="DY184" s="208"/>
      <c r="DZ184" s="208"/>
      <c r="EA184" s="210"/>
      <c r="EB184" s="211"/>
      <c r="EC184" s="211"/>
      <c r="ED184" s="211"/>
      <c r="EE184" s="211"/>
      <c r="EF184" s="207"/>
      <c r="EG184" s="209"/>
      <c r="EH184" s="213"/>
      <c r="EI184" s="214"/>
      <c r="EJ184" s="214"/>
      <c r="EK184" s="214"/>
      <c r="EL184" s="214"/>
      <c r="EM184" s="215"/>
      <c r="EN184" s="216"/>
      <c r="EO184" s="216"/>
      <c r="EP184" s="217"/>
      <c r="EQ184" s="217"/>
      <c r="ER184" s="215"/>
      <c r="ES184" s="218"/>
      <c r="ET184" s="215"/>
      <c r="EU184" s="215"/>
      <c r="EV184" s="215"/>
      <c r="EW184" s="218"/>
      <c r="EX184" s="215"/>
      <c r="EY184" s="215"/>
      <c r="EZ184" s="218"/>
    </row>
    <row r="185" spans="27:156">
      <c r="AA185" s="18"/>
      <c r="AB185" s="18"/>
      <c r="AC185" s="18"/>
      <c r="AD185" s="19"/>
      <c r="AE185" s="19"/>
      <c r="AI185" s="18"/>
      <c r="AJ185" s="7"/>
      <c r="AK185" s="7"/>
      <c r="AL185" s="7"/>
      <c r="AM185" s="7"/>
      <c r="AN185" s="7"/>
      <c r="AO185" s="7"/>
      <c r="AP185" s="7"/>
      <c r="AQ185" s="7"/>
      <c r="AR185" s="7"/>
      <c r="AS185" s="7"/>
      <c r="AT185" s="7"/>
      <c r="AU185" s="7"/>
      <c r="AV185" s="7"/>
      <c r="AW185" s="7"/>
      <c r="AX185" s="7"/>
      <c r="AY185" s="7"/>
      <c r="AZ185" s="7"/>
      <c r="BA185" s="18"/>
      <c r="BG185" s="140"/>
      <c r="BH185" s="131"/>
      <c r="BI185" s="102"/>
      <c r="BJ185" s="102"/>
      <c r="BK185" s="102"/>
      <c r="BL185" s="102"/>
      <c r="BM185" s="99"/>
      <c r="BN185" s="4"/>
      <c r="BO185" s="4"/>
      <c r="BP185" s="5"/>
      <c r="BQ185" s="5"/>
      <c r="BR185" s="99"/>
      <c r="BS185" s="159"/>
      <c r="BT185" s="99"/>
      <c r="BU185" s="99"/>
      <c r="BV185" s="99"/>
      <c r="BW185" s="159"/>
      <c r="BX185" s="99"/>
      <c r="BY185" s="99"/>
      <c r="BZ185" s="159"/>
      <c r="DA185" s="155"/>
      <c r="DB185" s="155"/>
      <c r="DC185" s="155"/>
      <c r="DD185" s="207"/>
      <c r="DE185" s="207"/>
      <c r="DF185" s="155"/>
      <c r="DG185" s="155"/>
      <c r="DH185" s="155"/>
      <c r="DI185" s="155"/>
      <c r="DJ185" s="208"/>
      <c r="DK185" s="208"/>
      <c r="DL185" s="208"/>
      <c r="DM185" s="208"/>
      <c r="DN185" s="208"/>
      <c r="DO185" s="208"/>
      <c r="DP185" s="208"/>
      <c r="DQ185" s="208"/>
      <c r="DR185" s="208"/>
      <c r="DS185" s="208"/>
      <c r="DT185" s="208"/>
      <c r="DU185" s="208"/>
      <c r="DV185" s="208"/>
      <c r="DW185" s="208"/>
      <c r="DX185" s="208"/>
      <c r="DY185" s="208"/>
      <c r="DZ185" s="208"/>
      <c r="EA185" s="210"/>
      <c r="EB185" s="211"/>
      <c r="EC185" s="211"/>
      <c r="ED185" s="211"/>
      <c r="EE185" s="211"/>
      <c r="EF185" s="207"/>
      <c r="EG185" s="209"/>
      <c r="EH185" s="213"/>
      <c r="EI185" s="214"/>
      <c r="EJ185" s="214"/>
      <c r="EK185" s="214"/>
      <c r="EL185" s="214"/>
      <c r="EM185" s="215"/>
      <c r="EN185" s="216"/>
      <c r="EO185" s="216"/>
      <c r="EP185" s="217"/>
      <c r="EQ185" s="217"/>
      <c r="ER185" s="215"/>
      <c r="ES185" s="218"/>
      <c r="ET185" s="215"/>
      <c r="EU185" s="215"/>
      <c r="EV185" s="215"/>
      <c r="EW185" s="218"/>
      <c r="EX185" s="215"/>
      <c r="EY185" s="215"/>
      <c r="EZ185" s="218"/>
    </row>
    <row r="186" spans="27:156">
      <c r="AA186" s="18"/>
      <c r="AB186" s="18"/>
      <c r="AC186" s="18"/>
      <c r="AD186" s="19"/>
      <c r="AE186" s="19"/>
      <c r="AI186" s="18"/>
      <c r="AJ186" s="7"/>
      <c r="AK186" s="7"/>
      <c r="AL186" s="7"/>
      <c r="AM186" s="7"/>
      <c r="AN186" s="7"/>
      <c r="AO186" s="7"/>
      <c r="AP186" s="7"/>
      <c r="AQ186" s="7"/>
      <c r="AR186" s="7"/>
      <c r="AS186" s="7"/>
      <c r="AT186" s="7"/>
      <c r="AU186" s="7"/>
      <c r="AV186" s="7"/>
      <c r="AW186" s="7"/>
      <c r="AX186" s="7"/>
      <c r="AY186" s="7"/>
      <c r="AZ186" s="7"/>
      <c r="BA186" s="18"/>
      <c r="BG186" s="140"/>
      <c r="BH186" s="131"/>
      <c r="BI186" s="102"/>
      <c r="BJ186" s="102"/>
      <c r="BK186" s="102"/>
      <c r="BL186" s="102"/>
      <c r="BM186" s="99"/>
      <c r="BN186" s="4"/>
      <c r="BO186" s="4"/>
      <c r="BP186" s="5"/>
      <c r="BQ186" s="5"/>
      <c r="BR186" s="99"/>
      <c r="BS186" s="159"/>
      <c r="BT186" s="99"/>
      <c r="BU186" s="99"/>
      <c r="BV186" s="99"/>
      <c r="BW186" s="159"/>
      <c r="BX186" s="99"/>
      <c r="BY186" s="99"/>
      <c r="BZ186" s="159"/>
      <c r="DA186" s="155"/>
      <c r="DB186" s="155"/>
      <c r="DC186" s="155"/>
      <c r="DD186" s="207"/>
      <c r="DE186" s="207"/>
      <c r="DF186" s="155"/>
      <c r="DG186" s="155"/>
      <c r="DH186" s="155"/>
      <c r="DI186" s="155"/>
      <c r="DJ186" s="208"/>
      <c r="DK186" s="208"/>
      <c r="DL186" s="208"/>
      <c r="DM186" s="208"/>
      <c r="DN186" s="208"/>
      <c r="DO186" s="208"/>
      <c r="DP186" s="208"/>
      <c r="DQ186" s="208"/>
      <c r="DR186" s="208"/>
      <c r="DS186" s="208"/>
      <c r="DT186" s="208"/>
      <c r="DU186" s="208"/>
      <c r="DV186" s="208"/>
      <c r="DW186" s="208"/>
      <c r="DX186" s="208"/>
      <c r="DY186" s="208"/>
      <c r="DZ186" s="208"/>
      <c r="EA186" s="210"/>
      <c r="EB186" s="211"/>
      <c r="EC186" s="211"/>
      <c r="ED186" s="211"/>
      <c r="EE186" s="211"/>
      <c r="EF186" s="207"/>
      <c r="EG186" s="209"/>
      <c r="EH186" s="213"/>
      <c r="EI186" s="214"/>
      <c r="EJ186" s="214"/>
      <c r="EK186" s="214"/>
      <c r="EL186" s="214"/>
      <c r="EM186" s="215"/>
      <c r="EN186" s="216"/>
      <c r="EO186" s="216"/>
      <c r="EP186" s="217"/>
      <c r="EQ186" s="217"/>
      <c r="ER186" s="215"/>
      <c r="ES186" s="218"/>
      <c r="ET186" s="215"/>
      <c r="EU186" s="215"/>
      <c r="EV186" s="215"/>
      <c r="EW186" s="218"/>
      <c r="EX186" s="215"/>
      <c r="EY186" s="215"/>
      <c r="EZ186" s="218"/>
    </row>
    <row r="187" spans="27:156">
      <c r="AA187" s="18"/>
      <c r="AB187" s="18"/>
      <c r="AC187" s="18"/>
      <c r="AD187" s="19"/>
      <c r="AE187" s="19"/>
      <c r="AI187" s="18"/>
      <c r="AJ187" s="7"/>
      <c r="AK187" s="7"/>
      <c r="AL187" s="7"/>
      <c r="AM187" s="7"/>
      <c r="AN187" s="7"/>
      <c r="AO187" s="7"/>
      <c r="AP187" s="7"/>
      <c r="AQ187" s="7"/>
      <c r="AR187" s="7"/>
      <c r="AS187" s="7"/>
      <c r="AT187" s="7"/>
      <c r="AU187" s="7"/>
      <c r="AV187" s="7"/>
      <c r="AW187" s="7"/>
      <c r="AX187" s="7"/>
      <c r="AY187" s="7"/>
      <c r="AZ187" s="7"/>
      <c r="BA187" s="18"/>
      <c r="BG187" s="140"/>
      <c r="BH187" s="131"/>
      <c r="BI187" s="102"/>
      <c r="BJ187" s="102"/>
      <c r="BK187" s="102"/>
      <c r="BL187" s="102"/>
      <c r="BM187" s="99"/>
      <c r="BN187" s="4"/>
      <c r="BO187" s="4"/>
      <c r="BP187" s="5"/>
      <c r="BQ187" s="5"/>
      <c r="BR187" s="99"/>
      <c r="BS187" s="159"/>
      <c r="BT187" s="99"/>
      <c r="BU187" s="99"/>
      <c r="BV187" s="99"/>
      <c r="BW187" s="159"/>
      <c r="BX187" s="99"/>
      <c r="BY187" s="99"/>
      <c r="BZ187" s="159"/>
      <c r="DA187" s="155"/>
      <c r="DB187" s="155"/>
      <c r="DC187" s="155"/>
      <c r="DD187" s="207"/>
      <c r="DE187" s="207"/>
      <c r="DF187" s="155"/>
      <c r="DG187" s="155"/>
      <c r="DH187" s="155"/>
      <c r="DI187" s="155"/>
      <c r="DJ187" s="208"/>
      <c r="DK187" s="208"/>
      <c r="DL187" s="208"/>
      <c r="DM187" s="208"/>
      <c r="DN187" s="208"/>
      <c r="DO187" s="208"/>
      <c r="DP187" s="208"/>
      <c r="DQ187" s="208"/>
      <c r="DR187" s="208"/>
      <c r="DS187" s="208"/>
      <c r="DT187" s="208"/>
      <c r="DU187" s="208"/>
      <c r="DV187" s="208"/>
      <c r="DW187" s="208"/>
      <c r="DX187" s="208"/>
      <c r="DY187" s="208"/>
      <c r="DZ187" s="208"/>
      <c r="EA187" s="210"/>
      <c r="EB187" s="211"/>
      <c r="EC187" s="211"/>
      <c r="ED187" s="211"/>
      <c r="EE187" s="211"/>
      <c r="EF187" s="207"/>
      <c r="EG187" s="209"/>
      <c r="EH187" s="213"/>
      <c r="EI187" s="214"/>
      <c r="EJ187" s="214"/>
      <c r="EK187" s="214"/>
      <c r="EL187" s="214"/>
      <c r="EM187" s="215"/>
      <c r="EN187" s="216"/>
      <c r="EO187" s="216"/>
      <c r="EP187" s="217"/>
      <c r="EQ187" s="217"/>
      <c r="ER187" s="215"/>
      <c r="ES187" s="218"/>
      <c r="ET187" s="215"/>
      <c r="EU187" s="215"/>
      <c r="EV187" s="215"/>
      <c r="EW187" s="218"/>
      <c r="EX187" s="215"/>
      <c r="EY187" s="215"/>
      <c r="EZ187" s="218"/>
    </row>
    <row r="188" spans="27:156">
      <c r="AA188" s="18"/>
      <c r="AB188" s="18"/>
      <c r="AC188" s="18"/>
      <c r="AD188" s="19"/>
      <c r="AE188" s="19"/>
      <c r="AI188" s="18"/>
      <c r="AJ188" s="7"/>
      <c r="AK188" s="7"/>
      <c r="AL188" s="7"/>
      <c r="AM188" s="7"/>
      <c r="AN188" s="7"/>
      <c r="AO188" s="7"/>
      <c r="AP188" s="7"/>
      <c r="AQ188" s="7"/>
      <c r="AR188" s="7"/>
      <c r="AS188" s="7"/>
      <c r="AT188" s="7"/>
      <c r="AU188" s="7"/>
      <c r="AV188" s="7"/>
      <c r="AW188" s="7"/>
      <c r="AX188" s="7"/>
      <c r="AY188" s="7"/>
      <c r="AZ188" s="7"/>
      <c r="BA188" s="18"/>
      <c r="BG188" s="140"/>
      <c r="BH188" s="131"/>
      <c r="BI188" s="102"/>
      <c r="BJ188" s="102"/>
      <c r="BK188" s="102"/>
      <c r="BL188" s="102"/>
      <c r="BM188" s="99"/>
      <c r="BN188" s="4"/>
      <c r="BO188" s="4"/>
      <c r="BP188" s="5"/>
      <c r="BQ188" s="5"/>
      <c r="BR188" s="99"/>
      <c r="BS188" s="159"/>
      <c r="BT188" s="99"/>
      <c r="BU188" s="99"/>
      <c r="BV188" s="99"/>
      <c r="BW188" s="159"/>
      <c r="BX188" s="99"/>
      <c r="BY188" s="99"/>
      <c r="BZ188" s="159"/>
      <c r="DA188" s="155"/>
      <c r="DB188" s="155"/>
      <c r="DC188" s="155"/>
      <c r="DD188" s="207"/>
      <c r="DE188" s="207"/>
      <c r="DF188" s="155"/>
      <c r="DG188" s="155"/>
      <c r="DH188" s="155"/>
      <c r="DI188" s="155"/>
      <c r="DJ188" s="208"/>
      <c r="DK188" s="208"/>
      <c r="DL188" s="208"/>
      <c r="DM188" s="208"/>
      <c r="DN188" s="208"/>
      <c r="DO188" s="208"/>
      <c r="DP188" s="208"/>
      <c r="DQ188" s="208"/>
      <c r="DR188" s="208"/>
      <c r="DS188" s="208"/>
      <c r="DT188" s="208"/>
      <c r="DU188" s="208"/>
      <c r="DV188" s="208"/>
      <c r="DW188" s="208"/>
      <c r="DX188" s="208"/>
      <c r="DY188" s="208"/>
      <c r="DZ188" s="208"/>
      <c r="EA188" s="210"/>
      <c r="EB188" s="211"/>
      <c r="EC188" s="211"/>
      <c r="ED188" s="211"/>
      <c r="EE188" s="211"/>
      <c r="EF188" s="207"/>
      <c r="EG188" s="209"/>
      <c r="EH188" s="213"/>
      <c r="EI188" s="214"/>
      <c r="EJ188" s="214"/>
      <c r="EK188" s="214"/>
      <c r="EL188" s="214"/>
      <c r="EM188" s="215"/>
      <c r="EN188" s="216"/>
      <c r="EO188" s="216"/>
      <c r="EP188" s="217"/>
      <c r="EQ188" s="217"/>
      <c r="ER188" s="215"/>
      <c r="ES188" s="218"/>
      <c r="ET188" s="215"/>
      <c r="EU188" s="215"/>
      <c r="EV188" s="215"/>
      <c r="EW188" s="218"/>
      <c r="EX188" s="215"/>
      <c r="EY188" s="215"/>
      <c r="EZ188" s="218"/>
    </row>
    <row r="189" spans="27:156">
      <c r="AA189" s="18"/>
      <c r="AB189" s="18"/>
      <c r="AC189" s="18"/>
      <c r="AD189" s="19"/>
      <c r="AE189" s="19"/>
      <c r="AI189" s="18"/>
      <c r="AJ189" s="7"/>
      <c r="AK189" s="7"/>
      <c r="AL189" s="7"/>
      <c r="AM189" s="7"/>
      <c r="AN189" s="7"/>
      <c r="AO189" s="7"/>
      <c r="AP189" s="7"/>
      <c r="AQ189" s="7"/>
      <c r="AR189" s="7"/>
      <c r="AS189" s="7"/>
      <c r="AT189" s="7"/>
      <c r="AU189" s="7"/>
      <c r="AV189" s="7"/>
      <c r="AW189" s="7"/>
      <c r="AX189" s="7"/>
      <c r="AY189" s="7"/>
      <c r="AZ189" s="7"/>
      <c r="BA189" s="18"/>
      <c r="BG189" s="140"/>
      <c r="BH189" s="131"/>
      <c r="BI189" s="102"/>
      <c r="BJ189" s="102"/>
      <c r="BK189" s="102"/>
      <c r="BL189" s="102"/>
      <c r="BM189" s="99"/>
      <c r="BN189" s="4"/>
      <c r="BO189" s="4"/>
      <c r="BP189" s="5"/>
      <c r="BQ189" s="5"/>
      <c r="BR189" s="99"/>
      <c r="BS189" s="159"/>
      <c r="BT189" s="99"/>
      <c r="BU189" s="99"/>
      <c r="BV189" s="99"/>
      <c r="BW189" s="159"/>
      <c r="BX189" s="99"/>
      <c r="BY189" s="99"/>
      <c r="BZ189" s="159"/>
      <c r="DA189" s="189"/>
      <c r="DB189" s="166"/>
      <c r="DC189" s="166"/>
      <c r="DD189" s="170"/>
      <c r="DE189" s="170"/>
      <c r="DF189" s="166"/>
      <c r="DG189" s="166"/>
      <c r="DH189" s="166"/>
      <c r="DI189" s="166"/>
      <c r="DJ189" s="190"/>
      <c r="DK189" s="190"/>
      <c r="DL189" s="190"/>
      <c r="DM189" s="190"/>
      <c r="DN189" s="190"/>
      <c r="DO189" s="190"/>
      <c r="DP189" s="190"/>
      <c r="DQ189" s="190"/>
      <c r="DR189" s="190"/>
      <c r="DS189" s="190"/>
      <c r="DT189" s="190"/>
      <c r="DU189" s="190"/>
      <c r="DV189" s="190"/>
      <c r="DW189" s="190"/>
      <c r="DX189" s="190"/>
      <c r="DY189" s="190"/>
      <c r="DZ189" s="190"/>
      <c r="EA189" s="191"/>
      <c r="EB189" s="169"/>
      <c r="EC189" s="169"/>
      <c r="ED189" s="169"/>
      <c r="EE189" s="169"/>
      <c r="EF189" s="170"/>
      <c r="EG189" s="192"/>
      <c r="EH189" s="193"/>
      <c r="EI189" s="28"/>
      <c r="EJ189" s="28"/>
      <c r="EK189" s="28"/>
      <c r="EL189" s="28"/>
      <c r="EM189" s="30"/>
      <c r="EN189" s="144"/>
      <c r="EO189" s="144"/>
      <c r="EP189" s="194"/>
      <c r="EQ189" s="194"/>
      <c r="ER189" s="30"/>
      <c r="ES189" s="195"/>
      <c r="ET189" s="30"/>
      <c r="EU189" s="30"/>
      <c r="EV189" s="30"/>
      <c r="EW189" s="195"/>
      <c r="EX189" s="30"/>
      <c r="EY189" s="30"/>
      <c r="EZ189" s="196"/>
    </row>
    <row r="190" spans="27:156">
      <c r="AA190" s="18"/>
      <c r="AB190" s="18"/>
      <c r="AC190" s="18"/>
      <c r="AD190" s="19"/>
      <c r="AE190" s="19"/>
      <c r="AI190" s="18"/>
      <c r="AJ190" s="7"/>
      <c r="AK190" s="7"/>
      <c r="AL190" s="7"/>
      <c r="AM190" s="7"/>
      <c r="AN190" s="7"/>
      <c r="AO190" s="7"/>
      <c r="AP190" s="7"/>
      <c r="AQ190" s="7"/>
      <c r="AR190" s="7"/>
      <c r="AS190" s="7"/>
      <c r="AT190" s="7"/>
      <c r="AU190" s="7"/>
      <c r="AV190" s="7"/>
      <c r="AW190" s="7"/>
      <c r="AX190" s="7"/>
      <c r="AY190" s="7"/>
      <c r="AZ190" s="7"/>
      <c r="BA190" s="18"/>
      <c r="BG190" s="140"/>
      <c r="BH190" s="131"/>
      <c r="BI190" s="102"/>
      <c r="BJ190" s="102"/>
      <c r="BK190" s="102"/>
      <c r="BL190" s="102"/>
      <c r="BM190" s="99"/>
      <c r="BN190" s="4"/>
      <c r="BO190" s="4"/>
      <c r="BP190" s="5"/>
      <c r="BQ190" s="5"/>
      <c r="BR190" s="99"/>
      <c r="BS190" s="159"/>
      <c r="BT190" s="99"/>
      <c r="BU190" s="99"/>
      <c r="BV190" s="99"/>
      <c r="BW190" s="159"/>
      <c r="BX190" s="99"/>
      <c r="BY190" s="99"/>
      <c r="BZ190" s="159"/>
      <c r="DA190" s="174"/>
      <c r="DB190" s="18"/>
      <c r="DC190" s="18"/>
      <c r="DD190" s="19"/>
      <c r="DE190" s="19"/>
      <c r="DI190" s="18"/>
      <c r="DJ190" s="7"/>
      <c r="DK190" s="7"/>
      <c r="DL190" s="7"/>
      <c r="DM190" s="7"/>
      <c r="DN190" s="7"/>
      <c r="DO190" s="7"/>
      <c r="DP190" s="7"/>
      <c r="DQ190" s="7"/>
      <c r="DR190" s="7"/>
      <c r="DS190" s="7"/>
      <c r="DT190" s="7"/>
      <c r="DU190" s="7"/>
      <c r="DV190" s="7"/>
      <c r="DW190" s="7"/>
      <c r="DX190" s="7"/>
      <c r="DY190" s="7"/>
      <c r="DZ190" s="7"/>
      <c r="EA190" s="161"/>
      <c r="EG190" s="140"/>
      <c r="EH190" s="131"/>
      <c r="EI190" s="102"/>
      <c r="EJ190" s="102"/>
      <c r="EK190" s="102"/>
      <c r="EL190" s="102"/>
      <c r="EM190" s="99"/>
      <c r="EN190" s="4"/>
      <c r="EO190" s="4"/>
      <c r="EP190" s="5"/>
      <c r="EQ190" s="5"/>
      <c r="ER190" s="99"/>
      <c r="ES190" s="159"/>
      <c r="ET190" s="99"/>
      <c r="EU190" s="99"/>
      <c r="EV190" s="99"/>
      <c r="EW190" s="159"/>
      <c r="EX190" s="99"/>
      <c r="EY190" s="99"/>
      <c r="EZ190" s="175"/>
    </row>
    <row r="191" spans="27:156">
      <c r="AA191" s="18"/>
      <c r="AB191" s="18"/>
      <c r="AC191" s="18"/>
      <c r="AD191" s="19"/>
      <c r="AE191" s="19"/>
      <c r="AI191" s="18"/>
      <c r="AJ191" s="7"/>
      <c r="AK191" s="7"/>
      <c r="AL191" s="7"/>
      <c r="AM191" s="7"/>
      <c r="AN191" s="7"/>
      <c r="AO191" s="7"/>
      <c r="AP191" s="7"/>
      <c r="AQ191" s="7"/>
      <c r="AR191" s="7"/>
      <c r="AS191" s="7"/>
      <c r="AT191" s="7"/>
      <c r="AU191" s="7"/>
      <c r="AV191" s="7"/>
      <c r="AW191" s="7"/>
      <c r="AX191" s="7"/>
      <c r="AY191" s="7"/>
      <c r="AZ191" s="7"/>
      <c r="BA191" s="18"/>
      <c r="BG191" s="140"/>
      <c r="BH191" s="131"/>
      <c r="BI191" s="102"/>
      <c r="BJ191" s="102"/>
      <c r="BK191" s="102"/>
      <c r="BL191" s="102"/>
      <c r="BM191" s="99"/>
      <c r="BN191" s="4"/>
      <c r="BO191" s="4"/>
      <c r="BP191" s="5"/>
      <c r="BQ191" s="5"/>
      <c r="BR191" s="99"/>
      <c r="BS191" s="159"/>
      <c r="BT191" s="99"/>
      <c r="BU191" s="99"/>
      <c r="BV191" s="99"/>
      <c r="BW191" s="159"/>
      <c r="BX191" s="99"/>
      <c r="BY191" s="99"/>
      <c r="BZ191" s="159"/>
      <c r="DA191" s="174"/>
      <c r="DB191" s="18"/>
      <c r="DC191" s="18"/>
      <c r="DD191" s="19"/>
      <c r="DE191" s="19"/>
      <c r="DI191" s="18"/>
      <c r="DJ191" s="7"/>
      <c r="DK191" s="7"/>
      <c r="DL191" s="7"/>
      <c r="DM191" s="7"/>
      <c r="DN191" s="7"/>
      <c r="DO191" s="7"/>
      <c r="DP191" s="7"/>
      <c r="DQ191" s="7"/>
      <c r="DR191" s="7"/>
      <c r="DS191" s="7"/>
      <c r="DT191" s="7"/>
      <c r="DU191" s="7"/>
      <c r="DV191" s="7"/>
      <c r="DW191" s="7"/>
      <c r="DX191" s="7"/>
      <c r="DY191" s="7"/>
      <c r="DZ191" s="7"/>
      <c r="EA191" s="161"/>
      <c r="EG191" s="140"/>
      <c r="EH191" s="131"/>
      <c r="EI191" s="102"/>
      <c r="EJ191" s="102"/>
      <c r="EK191" s="102"/>
      <c r="EL191" s="102"/>
      <c r="EM191" s="99"/>
      <c r="EN191" s="4"/>
      <c r="EO191" s="4"/>
      <c r="EP191" s="5"/>
      <c r="EQ191" s="5"/>
      <c r="ER191" s="99"/>
      <c r="ES191" s="159"/>
      <c r="ET191" s="99"/>
      <c r="EU191" s="99"/>
      <c r="EV191" s="99"/>
      <c r="EW191" s="159"/>
      <c r="EX191" s="99"/>
      <c r="EY191" s="99"/>
      <c r="EZ191" s="175"/>
    </row>
    <row r="192" spans="27:156">
      <c r="AA192" s="18"/>
      <c r="AB192" s="18"/>
      <c r="AC192" s="18"/>
      <c r="AD192" s="19"/>
      <c r="AE192" s="19"/>
      <c r="AI192" s="18"/>
      <c r="AJ192" s="7"/>
      <c r="AK192" s="7"/>
      <c r="AL192" s="7"/>
      <c r="AM192" s="7"/>
      <c r="AN192" s="7"/>
      <c r="AO192" s="7"/>
      <c r="AP192" s="7"/>
      <c r="AQ192" s="7"/>
      <c r="AR192" s="7"/>
      <c r="AS192" s="7"/>
      <c r="AT192" s="7"/>
      <c r="AU192" s="7"/>
      <c r="AV192" s="7"/>
      <c r="AW192" s="7"/>
      <c r="AX192" s="7"/>
      <c r="AY192" s="7"/>
      <c r="AZ192" s="7"/>
      <c r="BA192" s="18"/>
      <c r="BG192" s="140"/>
      <c r="BH192" s="131"/>
      <c r="BI192" s="102"/>
      <c r="BJ192" s="102"/>
      <c r="BK192" s="102"/>
      <c r="BL192" s="102"/>
      <c r="BM192" s="99"/>
      <c r="BN192" s="4"/>
      <c r="BO192" s="4"/>
      <c r="BP192" s="5"/>
      <c r="BQ192" s="5"/>
      <c r="BR192" s="99"/>
      <c r="BS192" s="159"/>
      <c r="BT192" s="99"/>
      <c r="BU192" s="99"/>
      <c r="BV192" s="99"/>
      <c r="BW192" s="159"/>
      <c r="BX192" s="99"/>
      <c r="BY192" s="99"/>
      <c r="BZ192" s="159"/>
      <c r="DA192" s="174"/>
      <c r="DB192" s="18"/>
      <c r="DC192" s="18"/>
      <c r="DD192" s="19"/>
      <c r="DE192" s="19"/>
      <c r="DI192" s="18"/>
      <c r="DJ192" s="7"/>
      <c r="DK192" s="7"/>
      <c r="DL192" s="7"/>
      <c r="DM192" s="7"/>
      <c r="DN192" s="7"/>
      <c r="DO192" s="7"/>
      <c r="DP192" s="7"/>
      <c r="DQ192" s="7"/>
      <c r="DR192" s="7"/>
      <c r="DS192" s="7"/>
      <c r="DT192" s="7"/>
      <c r="DU192" s="7"/>
      <c r="DV192" s="7"/>
      <c r="DW192" s="7"/>
      <c r="DX192" s="7"/>
      <c r="DY192" s="7"/>
      <c r="DZ192" s="7"/>
      <c r="EA192" s="161"/>
      <c r="EG192" s="140"/>
      <c r="EH192" s="131"/>
      <c r="EI192" s="102"/>
      <c r="EJ192" s="102"/>
      <c r="EK192" s="102"/>
      <c r="EL192" s="102"/>
      <c r="EM192" s="99"/>
      <c r="EN192" s="4"/>
      <c r="EO192" s="4"/>
      <c r="EP192" s="5"/>
      <c r="EQ192" s="5"/>
      <c r="ER192" s="99"/>
      <c r="ES192" s="159"/>
      <c r="ET192" s="99"/>
      <c r="EU192" s="99"/>
      <c r="EV192" s="99"/>
      <c r="EW192" s="159"/>
      <c r="EX192" s="99"/>
      <c r="EY192" s="99"/>
      <c r="EZ192" s="175"/>
    </row>
    <row r="193" spans="27:156">
      <c r="AA193" s="18"/>
      <c r="AB193" s="18"/>
      <c r="AC193" s="18"/>
      <c r="AD193" s="19"/>
      <c r="AE193" s="19"/>
      <c r="AI193" s="18"/>
      <c r="AJ193" s="7"/>
      <c r="AK193" s="7"/>
      <c r="AL193" s="7"/>
      <c r="AM193" s="7"/>
      <c r="AN193" s="7"/>
      <c r="AO193" s="7"/>
      <c r="AP193" s="7"/>
      <c r="AQ193" s="7"/>
      <c r="AR193" s="7"/>
      <c r="AS193" s="7"/>
      <c r="AT193" s="7"/>
      <c r="AU193" s="7"/>
      <c r="AV193" s="7"/>
      <c r="AW193" s="7"/>
      <c r="AX193" s="7"/>
      <c r="AY193" s="7"/>
      <c r="AZ193" s="7"/>
      <c r="BA193" s="18"/>
      <c r="BG193" s="140"/>
      <c r="BH193" s="131"/>
      <c r="BI193" s="102"/>
      <c r="BJ193" s="102"/>
      <c r="BK193" s="102"/>
      <c r="BL193" s="102"/>
      <c r="BM193" s="99"/>
      <c r="BN193" s="4"/>
      <c r="BO193" s="4"/>
      <c r="BP193" s="5"/>
      <c r="BQ193" s="5"/>
      <c r="BR193" s="99"/>
      <c r="BS193" s="159"/>
      <c r="BT193" s="99"/>
      <c r="BU193" s="99"/>
      <c r="BV193" s="99"/>
      <c r="BW193" s="159"/>
      <c r="BX193" s="99"/>
      <c r="BY193" s="99"/>
      <c r="BZ193" s="159"/>
      <c r="DA193" s="174"/>
      <c r="DB193" s="18"/>
      <c r="DC193" s="18"/>
      <c r="DD193" s="19"/>
      <c r="DE193" s="19"/>
      <c r="DI193" s="18"/>
      <c r="DJ193" s="7"/>
      <c r="DK193" s="7"/>
      <c r="DL193" s="7"/>
      <c r="DM193" s="7"/>
      <c r="DN193" s="7"/>
      <c r="DO193" s="7"/>
      <c r="DP193" s="7"/>
      <c r="DQ193" s="7"/>
      <c r="DR193" s="7"/>
      <c r="DS193" s="7"/>
      <c r="DT193" s="7"/>
      <c r="DU193" s="7"/>
      <c r="DV193" s="7"/>
      <c r="DW193" s="7"/>
      <c r="DX193" s="7"/>
      <c r="DY193" s="7"/>
      <c r="DZ193" s="7"/>
      <c r="EA193" s="161"/>
      <c r="EG193" s="140"/>
      <c r="EH193" s="131"/>
      <c r="EI193" s="102"/>
      <c r="EJ193" s="102"/>
      <c r="EK193" s="102"/>
      <c r="EL193" s="102"/>
      <c r="EM193" s="99"/>
      <c r="EN193" s="4"/>
      <c r="EO193" s="4"/>
      <c r="EP193" s="5"/>
      <c r="EQ193" s="5"/>
      <c r="ER193" s="99"/>
      <c r="ES193" s="159"/>
      <c r="ET193" s="99"/>
      <c r="EU193" s="99"/>
      <c r="EV193" s="99"/>
      <c r="EW193" s="159"/>
      <c r="EX193" s="99"/>
      <c r="EY193" s="99"/>
      <c r="EZ193" s="175"/>
    </row>
    <row r="194" spans="27:156">
      <c r="AA194" s="18"/>
      <c r="AB194" s="18"/>
      <c r="AC194" s="18"/>
      <c r="AD194" s="19"/>
      <c r="AE194" s="19"/>
      <c r="AI194" s="18"/>
      <c r="AJ194" s="7"/>
      <c r="AK194" s="7"/>
      <c r="AL194" s="7"/>
      <c r="AM194" s="7"/>
      <c r="AN194" s="7"/>
      <c r="AO194" s="7"/>
      <c r="AP194" s="7"/>
      <c r="AQ194" s="7"/>
      <c r="AR194" s="7"/>
      <c r="AS194" s="7"/>
      <c r="AT194" s="7"/>
      <c r="AU194" s="7"/>
      <c r="AV194" s="7"/>
      <c r="AW194" s="7"/>
      <c r="AX194" s="7"/>
      <c r="AY194" s="7"/>
      <c r="AZ194" s="7"/>
      <c r="BA194" s="18"/>
      <c r="BG194" s="140"/>
      <c r="BH194" s="131"/>
      <c r="BI194" s="102"/>
      <c r="BJ194" s="102"/>
      <c r="BK194" s="102"/>
      <c r="BL194" s="102"/>
      <c r="BM194" s="99"/>
      <c r="BN194" s="4"/>
      <c r="BO194" s="4"/>
      <c r="BP194" s="5"/>
      <c r="BQ194" s="5"/>
      <c r="BR194" s="99"/>
      <c r="BS194" s="159"/>
      <c r="BT194" s="99"/>
      <c r="BU194" s="99"/>
      <c r="BV194" s="99"/>
      <c r="BW194" s="159"/>
      <c r="BX194" s="99"/>
      <c r="BY194" s="99"/>
      <c r="BZ194" s="159"/>
      <c r="DA194" s="174"/>
      <c r="DB194" s="18"/>
      <c r="DC194" s="18"/>
      <c r="DD194" s="19"/>
      <c r="DE194" s="19"/>
      <c r="DI194" s="18"/>
      <c r="DJ194" s="7"/>
      <c r="DK194" s="7"/>
      <c r="DL194" s="7"/>
      <c r="DM194" s="7"/>
      <c r="DN194" s="7"/>
      <c r="DO194" s="7"/>
      <c r="DP194" s="7"/>
      <c r="DQ194" s="7"/>
      <c r="DR194" s="7"/>
      <c r="DS194" s="7"/>
      <c r="DT194" s="7"/>
      <c r="DU194" s="7"/>
      <c r="DV194" s="7"/>
      <c r="DW194" s="7"/>
      <c r="DX194" s="7"/>
      <c r="DY194" s="7"/>
      <c r="DZ194" s="7"/>
      <c r="EA194" s="161"/>
      <c r="EG194" s="140"/>
      <c r="EH194" s="131"/>
      <c r="EI194" s="102"/>
      <c r="EJ194" s="102"/>
      <c r="EK194" s="102"/>
      <c r="EL194" s="102"/>
      <c r="EM194" s="99"/>
      <c r="EN194" s="4"/>
      <c r="EO194" s="4"/>
      <c r="EP194" s="5"/>
      <c r="EQ194" s="5"/>
      <c r="ER194" s="99"/>
      <c r="ES194" s="159"/>
      <c r="ET194" s="99"/>
      <c r="EU194" s="99"/>
      <c r="EV194" s="99"/>
      <c r="EW194" s="159"/>
      <c r="EX194" s="99"/>
      <c r="EY194" s="99"/>
      <c r="EZ194" s="175"/>
    </row>
    <row r="195" spans="27:156">
      <c r="AA195" s="18"/>
      <c r="AB195" s="18"/>
      <c r="AC195" s="18"/>
      <c r="AD195" s="19"/>
      <c r="AE195" s="19"/>
      <c r="AI195" s="18"/>
      <c r="AJ195" s="7"/>
      <c r="AK195" s="7"/>
      <c r="AL195" s="7"/>
      <c r="AM195" s="7"/>
      <c r="AN195" s="7"/>
      <c r="AO195" s="7"/>
      <c r="AP195" s="7"/>
      <c r="AQ195" s="7"/>
      <c r="AR195" s="7"/>
      <c r="AS195" s="7"/>
      <c r="AT195" s="7"/>
      <c r="AU195" s="7"/>
      <c r="AV195" s="7"/>
      <c r="AW195" s="7"/>
      <c r="AX195" s="7"/>
      <c r="AY195" s="7"/>
      <c r="AZ195" s="7"/>
      <c r="BA195" s="18"/>
      <c r="BG195" s="140"/>
      <c r="BH195" s="131"/>
      <c r="BI195" s="102"/>
      <c r="BJ195" s="102"/>
      <c r="BK195" s="102"/>
      <c r="BL195" s="102"/>
      <c r="BM195" s="99"/>
      <c r="BN195" s="4"/>
      <c r="BO195" s="4"/>
      <c r="BP195" s="5"/>
      <c r="BQ195" s="5"/>
      <c r="BR195" s="99"/>
      <c r="BS195" s="159"/>
      <c r="BT195" s="99"/>
      <c r="BU195" s="99"/>
      <c r="BV195" s="99"/>
      <c r="BW195" s="159"/>
      <c r="BX195" s="99"/>
      <c r="BY195" s="99"/>
      <c r="BZ195" s="159"/>
      <c r="DA195" s="174"/>
      <c r="DB195" s="18"/>
      <c r="DC195" s="18"/>
      <c r="DD195" s="19"/>
      <c r="DE195" s="19"/>
      <c r="DI195" s="18"/>
      <c r="DJ195" s="7"/>
      <c r="DK195" s="7"/>
      <c r="DL195" s="7"/>
      <c r="DM195" s="7"/>
      <c r="DN195" s="7"/>
      <c r="DO195" s="7"/>
      <c r="DP195" s="7"/>
      <c r="DQ195" s="7"/>
      <c r="DR195" s="7"/>
      <c r="DS195" s="7"/>
      <c r="DT195" s="7"/>
      <c r="DU195" s="7"/>
      <c r="DV195" s="7"/>
      <c r="DW195" s="7"/>
      <c r="DX195" s="7"/>
      <c r="DY195" s="7"/>
      <c r="DZ195" s="7"/>
      <c r="EA195" s="161"/>
      <c r="EG195" s="140"/>
      <c r="EH195" s="131"/>
      <c r="EI195" s="102"/>
      <c r="EJ195" s="102"/>
      <c r="EK195" s="102"/>
      <c r="EL195" s="102"/>
      <c r="EM195" s="99"/>
      <c r="EN195" s="4"/>
      <c r="EO195" s="4"/>
      <c r="EP195" s="5"/>
      <c r="EQ195" s="5"/>
      <c r="ER195" s="99"/>
      <c r="ES195" s="159"/>
      <c r="ET195" s="99"/>
      <c r="EU195" s="99"/>
      <c r="EV195" s="99"/>
      <c r="EW195" s="159"/>
      <c r="EX195" s="99"/>
      <c r="EY195" s="99"/>
      <c r="EZ195" s="175"/>
    </row>
    <row r="196" spans="27:156">
      <c r="AA196" s="18"/>
      <c r="AB196" s="18"/>
      <c r="AC196" s="18"/>
      <c r="AD196" s="19"/>
      <c r="AE196" s="19"/>
      <c r="AI196" s="18"/>
      <c r="AJ196" s="7"/>
      <c r="AK196" s="7"/>
      <c r="AL196" s="7"/>
      <c r="AM196" s="7"/>
      <c r="AN196" s="7"/>
      <c r="AO196" s="7"/>
      <c r="AP196" s="7"/>
      <c r="AQ196" s="7"/>
      <c r="AR196" s="7"/>
      <c r="AS196" s="7"/>
      <c r="AT196" s="7"/>
      <c r="AU196" s="7"/>
      <c r="AV196" s="7"/>
      <c r="AW196" s="7"/>
      <c r="AX196" s="7"/>
      <c r="AY196" s="7"/>
      <c r="AZ196" s="7"/>
      <c r="BA196" s="18"/>
      <c r="BG196" s="140"/>
      <c r="BH196" s="131"/>
      <c r="BI196" s="102"/>
      <c r="BJ196" s="102"/>
      <c r="BK196" s="102"/>
      <c r="BL196" s="102"/>
      <c r="BM196" s="99"/>
      <c r="BN196" s="4"/>
      <c r="BO196" s="4"/>
      <c r="BP196" s="5"/>
      <c r="BQ196" s="5"/>
      <c r="BR196" s="99"/>
      <c r="BS196" s="159"/>
      <c r="BT196" s="99"/>
      <c r="BU196" s="99"/>
      <c r="BV196" s="99"/>
      <c r="BW196" s="159"/>
      <c r="BX196" s="99"/>
      <c r="BY196" s="99"/>
      <c r="BZ196" s="159"/>
      <c r="DA196" s="174"/>
      <c r="DB196" s="18"/>
      <c r="DC196" s="18"/>
      <c r="DD196" s="19"/>
      <c r="DE196" s="19"/>
      <c r="DI196" s="18"/>
      <c r="DJ196" s="7"/>
      <c r="DK196" s="7"/>
      <c r="DL196" s="7"/>
      <c r="DM196" s="7"/>
      <c r="DN196" s="7"/>
      <c r="DO196" s="7"/>
      <c r="DP196" s="7"/>
      <c r="DQ196" s="7"/>
      <c r="DR196" s="7"/>
      <c r="DS196" s="7"/>
      <c r="DT196" s="7"/>
      <c r="DU196" s="7"/>
      <c r="DV196" s="7"/>
      <c r="DW196" s="7"/>
      <c r="DX196" s="7"/>
      <c r="DY196" s="7"/>
      <c r="DZ196" s="7"/>
      <c r="EA196" s="161"/>
      <c r="EG196" s="140"/>
      <c r="EH196" s="131"/>
      <c r="EI196" s="102"/>
      <c r="EJ196" s="102"/>
      <c r="EK196" s="102"/>
      <c r="EL196" s="102"/>
      <c r="EM196" s="99"/>
      <c r="EN196" s="4"/>
      <c r="EO196" s="4"/>
      <c r="EP196" s="5"/>
      <c r="EQ196" s="5"/>
      <c r="ER196" s="99"/>
      <c r="ES196" s="159"/>
      <c r="ET196" s="99"/>
      <c r="EU196" s="99"/>
      <c r="EV196" s="99"/>
      <c r="EW196" s="159"/>
      <c r="EX196" s="99"/>
      <c r="EY196" s="99"/>
      <c r="EZ196" s="175"/>
    </row>
    <row r="197" spans="27:156">
      <c r="AA197" s="18"/>
      <c r="AB197" s="18"/>
      <c r="AC197" s="18"/>
      <c r="AD197" s="19"/>
      <c r="AE197" s="19"/>
      <c r="AI197" s="18"/>
      <c r="AJ197" s="7"/>
      <c r="AK197" s="7"/>
      <c r="AL197" s="7"/>
      <c r="AM197" s="7"/>
      <c r="AN197" s="7"/>
      <c r="AO197" s="7"/>
      <c r="AP197" s="7"/>
      <c r="AQ197" s="7"/>
      <c r="AR197" s="7"/>
      <c r="AS197" s="7"/>
      <c r="AT197" s="7"/>
      <c r="AU197" s="7"/>
      <c r="AV197" s="7"/>
      <c r="AW197" s="7"/>
      <c r="AX197" s="7"/>
      <c r="AY197" s="7"/>
      <c r="AZ197" s="7"/>
      <c r="BA197" s="18"/>
      <c r="BG197" s="140"/>
      <c r="BH197" s="131"/>
      <c r="BI197" s="102"/>
      <c r="BJ197" s="102"/>
      <c r="BK197" s="102"/>
      <c r="BL197" s="102"/>
      <c r="BM197" s="99"/>
      <c r="BN197" s="4"/>
      <c r="BO197" s="4"/>
      <c r="BP197" s="5"/>
      <c r="BQ197" s="5"/>
      <c r="BR197" s="99"/>
      <c r="BS197" s="159"/>
      <c r="BT197" s="99"/>
      <c r="BU197" s="99"/>
      <c r="BV197" s="99"/>
      <c r="BW197" s="159"/>
      <c r="BX197" s="99"/>
      <c r="BY197" s="99"/>
      <c r="BZ197" s="159"/>
      <c r="DA197" s="174"/>
      <c r="DB197" s="18"/>
      <c r="DC197" s="18"/>
      <c r="DD197" s="19"/>
      <c r="DE197" s="19"/>
      <c r="DI197" s="18"/>
      <c r="DJ197" s="7"/>
      <c r="DK197" s="7"/>
      <c r="DL197" s="7"/>
      <c r="DM197" s="7"/>
      <c r="DN197" s="7"/>
      <c r="DO197" s="7"/>
      <c r="DP197" s="7"/>
      <c r="DQ197" s="7"/>
      <c r="DR197" s="7"/>
      <c r="DS197" s="7"/>
      <c r="DT197" s="7"/>
      <c r="DU197" s="7"/>
      <c r="DV197" s="7"/>
      <c r="DW197" s="7"/>
      <c r="DX197" s="7"/>
      <c r="DY197" s="7"/>
      <c r="DZ197" s="7"/>
      <c r="EA197" s="161"/>
      <c r="EG197" s="140"/>
      <c r="EH197" s="131"/>
      <c r="EI197" s="102"/>
      <c r="EJ197" s="102"/>
      <c r="EK197" s="102"/>
      <c r="EL197" s="102"/>
      <c r="EM197" s="99"/>
      <c r="EN197" s="4"/>
      <c r="EO197" s="4"/>
      <c r="EP197" s="5"/>
      <c r="EQ197" s="5"/>
      <c r="ER197" s="99"/>
      <c r="ES197" s="159"/>
      <c r="ET197" s="99"/>
      <c r="EU197" s="99"/>
      <c r="EV197" s="99"/>
      <c r="EW197" s="159"/>
      <c r="EX197" s="99"/>
      <c r="EY197" s="99"/>
      <c r="EZ197" s="175"/>
    </row>
    <row r="198" spans="27:156">
      <c r="AA198" s="18"/>
      <c r="AB198" s="18"/>
      <c r="AC198" s="18"/>
      <c r="AD198" s="19"/>
      <c r="AE198" s="19"/>
      <c r="AI198" s="18"/>
      <c r="AJ198" s="7"/>
      <c r="AK198" s="7"/>
      <c r="AL198" s="7"/>
      <c r="AM198" s="7"/>
      <c r="AN198" s="7"/>
      <c r="AO198" s="7"/>
      <c r="AP198" s="7"/>
      <c r="AQ198" s="7"/>
      <c r="AR198" s="7"/>
      <c r="AS198" s="7"/>
      <c r="AT198" s="7"/>
      <c r="AU198" s="7"/>
      <c r="AV198" s="7"/>
      <c r="AW198" s="7"/>
      <c r="AX198" s="7"/>
      <c r="AY198" s="7"/>
      <c r="AZ198" s="7"/>
      <c r="BA198" s="18"/>
      <c r="BG198" s="140"/>
      <c r="BH198" s="131"/>
      <c r="BI198" s="102"/>
      <c r="BJ198" s="102"/>
      <c r="BK198" s="102"/>
      <c r="BL198" s="102"/>
      <c r="BM198" s="99"/>
      <c r="BN198" s="4"/>
      <c r="BO198" s="4"/>
      <c r="BP198" s="5"/>
      <c r="BQ198" s="5"/>
      <c r="BR198" s="99"/>
      <c r="BS198" s="159"/>
      <c r="BT198" s="99"/>
      <c r="BU198" s="99"/>
      <c r="BV198" s="99"/>
      <c r="BW198" s="159"/>
      <c r="BX198" s="99"/>
      <c r="BY198" s="99"/>
      <c r="BZ198" s="159"/>
      <c r="DA198" s="174"/>
      <c r="DB198" s="18"/>
      <c r="DC198" s="18"/>
      <c r="DD198" s="19"/>
      <c r="DE198" s="19"/>
      <c r="DI198" s="18"/>
      <c r="DJ198" s="7"/>
      <c r="DK198" s="7"/>
      <c r="DL198" s="7"/>
      <c r="DM198" s="7"/>
      <c r="DN198" s="7"/>
      <c r="DO198" s="7"/>
      <c r="DP198" s="7"/>
      <c r="DQ198" s="7"/>
      <c r="DR198" s="7"/>
      <c r="DS198" s="7"/>
      <c r="DT198" s="7"/>
      <c r="DU198" s="7"/>
      <c r="DV198" s="7"/>
      <c r="DW198" s="7"/>
      <c r="DX198" s="7"/>
      <c r="DY198" s="7"/>
      <c r="DZ198" s="7"/>
      <c r="EA198" s="161"/>
      <c r="EG198" s="140"/>
      <c r="EH198" s="131"/>
      <c r="EI198" s="102"/>
      <c r="EJ198" s="102"/>
      <c r="EK198" s="102"/>
      <c r="EL198" s="102"/>
      <c r="EM198" s="99"/>
      <c r="EN198" s="4"/>
      <c r="EO198" s="4"/>
      <c r="EP198" s="5"/>
      <c r="EQ198" s="5"/>
      <c r="ER198" s="99"/>
      <c r="ES198" s="159"/>
      <c r="ET198" s="99"/>
      <c r="EU198" s="99"/>
      <c r="EV198" s="99"/>
      <c r="EW198" s="159"/>
      <c r="EX198" s="99"/>
      <c r="EY198" s="99"/>
      <c r="EZ198" s="175"/>
    </row>
    <row r="199" spans="27:156">
      <c r="AA199" s="18"/>
      <c r="AB199" s="18"/>
      <c r="AC199" s="18"/>
      <c r="AD199" s="19"/>
      <c r="AE199" s="19"/>
      <c r="AI199" s="18"/>
      <c r="AJ199" s="7"/>
      <c r="AK199" s="7"/>
      <c r="AL199" s="7"/>
      <c r="AM199" s="7"/>
      <c r="AN199" s="7"/>
      <c r="AO199" s="7"/>
      <c r="AP199" s="7"/>
      <c r="AQ199" s="7"/>
      <c r="AR199" s="7"/>
      <c r="AS199" s="7"/>
      <c r="AT199" s="7"/>
      <c r="AU199" s="7"/>
      <c r="AV199" s="7"/>
      <c r="AW199" s="7"/>
      <c r="AX199" s="7"/>
      <c r="AY199" s="7"/>
      <c r="AZ199" s="7"/>
      <c r="BA199" s="18"/>
      <c r="BG199" s="140"/>
      <c r="BH199" s="131"/>
      <c r="BI199" s="102"/>
      <c r="BJ199" s="102"/>
      <c r="BK199" s="102"/>
      <c r="BL199" s="102"/>
      <c r="BM199" s="99"/>
      <c r="BN199" s="4"/>
      <c r="BO199" s="4"/>
      <c r="BP199" s="5"/>
      <c r="BQ199" s="5"/>
      <c r="BR199" s="99"/>
      <c r="BS199" s="159"/>
      <c r="BT199" s="99"/>
      <c r="BU199" s="99"/>
      <c r="BV199" s="99"/>
      <c r="BW199" s="159"/>
      <c r="BX199" s="99"/>
      <c r="BY199" s="99"/>
      <c r="BZ199" s="159"/>
      <c r="DA199" s="174"/>
      <c r="DB199" s="18"/>
      <c r="DC199" s="18"/>
      <c r="DD199" s="19"/>
      <c r="DE199" s="19"/>
      <c r="DI199" s="18"/>
      <c r="DJ199" s="7"/>
      <c r="DK199" s="7"/>
      <c r="DL199" s="7"/>
      <c r="DM199" s="7"/>
      <c r="DN199" s="7"/>
      <c r="DO199" s="7"/>
      <c r="DP199" s="7"/>
      <c r="DQ199" s="7"/>
      <c r="DR199" s="7"/>
      <c r="DS199" s="7"/>
      <c r="DT199" s="7"/>
      <c r="DU199" s="7"/>
      <c r="DV199" s="7"/>
      <c r="DW199" s="7"/>
      <c r="DX199" s="7"/>
      <c r="DY199" s="7"/>
      <c r="DZ199" s="7"/>
      <c r="EA199" s="161"/>
      <c r="EG199" s="140"/>
      <c r="EH199" s="131"/>
      <c r="EI199" s="102"/>
      <c r="EJ199" s="102"/>
      <c r="EK199" s="102"/>
      <c r="EL199" s="102"/>
      <c r="EM199" s="99"/>
      <c r="EN199" s="4"/>
      <c r="EO199" s="4"/>
      <c r="EP199" s="5"/>
      <c r="EQ199" s="5"/>
      <c r="ER199" s="99"/>
      <c r="ES199" s="159"/>
      <c r="ET199" s="99"/>
      <c r="EU199" s="99"/>
      <c r="EV199" s="99"/>
      <c r="EW199" s="159"/>
      <c r="EX199" s="99"/>
      <c r="EY199" s="99"/>
      <c r="EZ199" s="175"/>
    </row>
    <row r="200" spans="27:156">
      <c r="AA200" s="18"/>
      <c r="AB200" s="18"/>
      <c r="AC200" s="18"/>
      <c r="AD200" s="19"/>
      <c r="AE200" s="19"/>
      <c r="AI200" s="18"/>
      <c r="AJ200" s="7"/>
      <c r="AK200" s="7"/>
      <c r="AL200" s="7"/>
      <c r="AM200" s="7"/>
      <c r="AN200" s="7"/>
      <c r="AO200" s="7"/>
      <c r="AP200" s="7"/>
      <c r="AQ200" s="7"/>
      <c r="AR200" s="7"/>
      <c r="AS200" s="7"/>
      <c r="AT200" s="7"/>
      <c r="AU200" s="7"/>
      <c r="AV200" s="7"/>
      <c r="AW200" s="7"/>
      <c r="AX200" s="7"/>
      <c r="AY200" s="7"/>
      <c r="AZ200" s="7"/>
      <c r="BA200" s="18"/>
      <c r="BG200" s="140"/>
      <c r="BH200" s="131"/>
      <c r="BI200" s="102"/>
      <c r="BJ200" s="102"/>
      <c r="BK200" s="102"/>
      <c r="BL200" s="102"/>
      <c r="BM200" s="99"/>
      <c r="BN200" s="4"/>
      <c r="BO200" s="4"/>
      <c r="BP200" s="5"/>
      <c r="BQ200" s="5"/>
      <c r="BR200" s="99"/>
      <c r="BS200" s="159"/>
      <c r="BT200" s="99"/>
      <c r="BU200" s="99"/>
      <c r="BV200" s="99"/>
      <c r="BW200" s="159"/>
      <c r="BX200" s="99"/>
      <c r="BY200" s="99"/>
      <c r="BZ200" s="159"/>
      <c r="DA200" s="174"/>
      <c r="DB200" s="18"/>
      <c r="DC200" s="18"/>
      <c r="DD200" s="19"/>
      <c r="DE200" s="19"/>
      <c r="DI200" s="18"/>
      <c r="DJ200" s="7"/>
      <c r="DK200" s="7"/>
      <c r="DL200" s="7"/>
      <c r="DM200" s="7"/>
      <c r="DN200" s="7"/>
      <c r="DO200" s="7"/>
      <c r="DP200" s="7"/>
      <c r="DQ200" s="7"/>
      <c r="DR200" s="7"/>
      <c r="DS200" s="7"/>
      <c r="DT200" s="7"/>
      <c r="DU200" s="7"/>
      <c r="DV200" s="7"/>
      <c r="DW200" s="7"/>
      <c r="DX200" s="7"/>
      <c r="DY200" s="7"/>
      <c r="DZ200" s="7"/>
      <c r="EA200" s="161"/>
      <c r="EG200" s="140"/>
      <c r="EH200" s="131"/>
      <c r="EI200" s="102"/>
      <c r="EJ200" s="102"/>
      <c r="EK200" s="102"/>
      <c r="EL200" s="102"/>
      <c r="EM200" s="99"/>
      <c r="EN200" s="4"/>
      <c r="EO200" s="4"/>
      <c r="EP200" s="5"/>
      <c r="EQ200" s="5"/>
      <c r="ER200" s="99"/>
      <c r="ES200" s="159"/>
      <c r="ET200" s="99"/>
      <c r="EU200" s="99"/>
      <c r="EV200" s="99"/>
      <c r="EW200" s="159"/>
      <c r="EX200" s="99"/>
      <c r="EY200" s="99"/>
      <c r="EZ200" s="175"/>
    </row>
    <row r="201" spans="27:156">
      <c r="AA201" s="18"/>
      <c r="AB201" s="18"/>
      <c r="AC201" s="18"/>
      <c r="AD201" s="19"/>
      <c r="AE201" s="19"/>
      <c r="AI201" s="18"/>
      <c r="AJ201" s="7"/>
      <c r="AK201" s="7"/>
      <c r="AL201" s="7"/>
      <c r="AM201" s="7"/>
      <c r="AN201" s="7"/>
      <c r="AO201" s="7"/>
      <c r="AP201" s="7"/>
      <c r="AQ201" s="7"/>
      <c r="AR201" s="7"/>
      <c r="AS201" s="7"/>
      <c r="AT201" s="7"/>
      <c r="AU201" s="7"/>
      <c r="AV201" s="7"/>
      <c r="AW201" s="7"/>
      <c r="AX201" s="7"/>
      <c r="AY201" s="7"/>
      <c r="AZ201" s="7"/>
      <c r="BA201" s="18"/>
      <c r="BG201" s="140"/>
      <c r="BH201" s="131"/>
      <c r="BI201" s="102"/>
      <c r="BJ201" s="102"/>
      <c r="BK201" s="102"/>
      <c r="BL201" s="102"/>
      <c r="BM201" s="99"/>
      <c r="BN201" s="4"/>
      <c r="BO201" s="4"/>
      <c r="BP201" s="5"/>
      <c r="BQ201" s="5"/>
      <c r="BR201" s="99"/>
      <c r="BS201" s="159"/>
      <c r="BT201" s="99"/>
      <c r="BU201" s="99"/>
      <c r="BV201" s="99"/>
      <c r="BW201" s="159"/>
      <c r="BX201" s="99"/>
      <c r="BY201" s="99"/>
      <c r="BZ201" s="159"/>
      <c r="DA201" s="174"/>
      <c r="DB201" s="18"/>
      <c r="DC201" s="18"/>
      <c r="DD201" s="19"/>
      <c r="DE201" s="19"/>
      <c r="DI201" s="18"/>
      <c r="DJ201" s="7"/>
      <c r="DK201" s="7"/>
      <c r="DL201" s="7"/>
      <c r="DM201" s="7"/>
      <c r="DN201" s="7"/>
      <c r="DO201" s="7"/>
      <c r="DP201" s="7"/>
      <c r="DQ201" s="7"/>
      <c r="DR201" s="7"/>
      <c r="DS201" s="7"/>
      <c r="DT201" s="7"/>
      <c r="DU201" s="7"/>
      <c r="DV201" s="7"/>
      <c r="DW201" s="7"/>
      <c r="DX201" s="7"/>
      <c r="DY201" s="7"/>
      <c r="DZ201" s="7"/>
      <c r="EA201" s="161"/>
      <c r="EG201" s="140"/>
      <c r="EH201" s="131"/>
      <c r="EI201" s="102"/>
      <c r="EJ201" s="102"/>
      <c r="EK201" s="102"/>
      <c r="EL201" s="102"/>
      <c r="EM201" s="99"/>
      <c r="EN201" s="4"/>
      <c r="EO201" s="4"/>
      <c r="EP201" s="5"/>
      <c r="EQ201" s="5"/>
      <c r="ER201" s="99"/>
      <c r="ES201" s="159"/>
      <c r="ET201" s="99"/>
      <c r="EU201" s="99"/>
      <c r="EV201" s="99"/>
      <c r="EW201" s="159"/>
      <c r="EX201" s="99"/>
      <c r="EY201" s="99"/>
      <c r="EZ201" s="175"/>
    </row>
    <row r="202" spans="27:156">
      <c r="AA202" s="18"/>
      <c r="AB202" s="18"/>
      <c r="AC202" s="18"/>
      <c r="AD202" s="19"/>
      <c r="AE202" s="19"/>
      <c r="AI202" s="18"/>
      <c r="AJ202" s="7"/>
      <c r="AK202" s="7"/>
      <c r="AL202" s="7"/>
      <c r="AM202" s="7"/>
      <c r="AN202" s="7"/>
      <c r="AO202" s="7"/>
      <c r="AP202" s="7"/>
      <c r="AQ202" s="7"/>
      <c r="AR202" s="7"/>
      <c r="AS202" s="7"/>
      <c r="AT202" s="7"/>
      <c r="AU202" s="7"/>
      <c r="AV202" s="7"/>
      <c r="AW202" s="7"/>
      <c r="AX202" s="7"/>
      <c r="AY202" s="7"/>
      <c r="AZ202" s="7"/>
      <c r="BA202" s="18"/>
      <c r="BG202" s="140"/>
      <c r="BH202" s="131"/>
      <c r="BI202" s="102"/>
      <c r="BJ202" s="102"/>
      <c r="BK202" s="102"/>
      <c r="BL202" s="102"/>
      <c r="BM202" s="99"/>
      <c r="BN202" s="4"/>
      <c r="BO202" s="4"/>
      <c r="BP202" s="5"/>
      <c r="BQ202" s="5"/>
      <c r="BR202" s="99"/>
      <c r="BS202" s="159"/>
      <c r="BT202" s="99"/>
      <c r="BU202" s="99"/>
      <c r="BV202" s="99"/>
      <c r="BW202" s="159"/>
      <c r="BX202" s="99"/>
      <c r="BY202" s="99"/>
      <c r="BZ202" s="159"/>
      <c r="DA202" s="174"/>
      <c r="DB202" s="18"/>
      <c r="DC202" s="18"/>
      <c r="DD202" s="19"/>
      <c r="DE202" s="19"/>
      <c r="DI202" s="18"/>
      <c r="DJ202" s="7"/>
      <c r="DK202" s="7"/>
      <c r="DL202" s="7"/>
      <c r="DM202" s="7"/>
      <c r="DN202" s="7"/>
      <c r="DO202" s="7"/>
      <c r="DP202" s="7"/>
      <c r="DQ202" s="7"/>
      <c r="DR202" s="7"/>
      <c r="DS202" s="7"/>
      <c r="DT202" s="7"/>
      <c r="DU202" s="7"/>
      <c r="DV202" s="7"/>
      <c r="DW202" s="7"/>
      <c r="DX202" s="7"/>
      <c r="DY202" s="7"/>
      <c r="DZ202" s="7"/>
      <c r="EA202" s="161"/>
      <c r="EG202" s="140"/>
      <c r="EH202" s="131"/>
      <c r="EI202" s="102"/>
      <c r="EJ202" s="102"/>
      <c r="EK202" s="102"/>
      <c r="EL202" s="102"/>
      <c r="EM202" s="99"/>
      <c r="EN202" s="4"/>
      <c r="EO202" s="4"/>
      <c r="EP202" s="5"/>
      <c r="EQ202" s="5"/>
      <c r="ER202" s="99"/>
      <c r="ES202" s="159"/>
      <c r="ET202" s="99"/>
      <c r="EU202" s="99"/>
      <c r="EV202" s="99"/>
      <c r="EW202" s="159"/>
      <c r="EX202" s="99"/>
      <c r="EY202" s="99"/>
      <c r="EZ202" s="175"/>
    </row>
    <row r="203" spans="27:156">
      <c r="AA203" s="18"/>
      <c r="AB203" s="18"/>
      <c r="AC203" s="18"/>
      <c r="AD203" s="19"/>
      <c r="AE203" s="19"/>
      <c r="AI203" s="18"/>
      <c r="AJ203" s="7"/>
      <c r="AK203" s="7"/>
      <c r="AL203" s="7"/>
      <c r="AM203" s="7"/>
      <c r="AN203" s="7"/>
      <c r="AO203" s="7"/>
      <c r="AP203" s="7"/>
      <c r="AQ203" s="7"/>
      <c r="AR203" s="7"/>
      <c r="AS203" s="7"/>
      <c r="AT203" s="7"/>
      <c r="AU203" s="7"/>
      <c r="AV203" s="7"/>
      <c r="AW203" s="7"/>
      <c r="AX203" s="7"/>
      <c r="AY203" s="7"/>
      <c r="AZ203" s="7"/>
      <c r="BA203" s="18"/>
      <c r="BG203" s="140"/>
      <c r="BH203" s="131"/>
      <c r="BI203" s="102"/>
      <c r="BJ203" s="102"/>
      <c r="BK203" s="102"/>
      <c r="BL203" s="102"/>
      <c r="BM203" s="99"/>
      <c r="BN203" s="4"/>
      <c r="BO203" s="4"/>
      <c r="BP203" s="5"/>
      <c r="BQ203" s="5"/>
      <c r="BR203" s="99"/>
      <c r="BS203" s="159"/>
      <c r="BT203" s="99"/>
      <c r="BU203" s="99"/>
      <c r="BV203" s="99"/>
      <c r="BW203" s="159"/>
      <c r="BX203" s="99"/>
      <c r="BY203" s="99"/>
      <c r="BZ203" s="159"/>
      <c r="DA203" s="174"/>
      <c r="DB203" s="18"/>
      <c r="DC203" s="18"/>
      <c r="DD203" s="19"/>
      <c r="DE203" s="19"/>
      <c r="DI203" s="18"/>
      <c r="DJ203" s="7"/>
      <c r="DK203" s="7"/>
      <c r="DL203" s="7"/>
      <c r="DM203" s="7"/>
      <c r="DN203" s="7"/>
      <c r="DO203" s="7"/>
      <c r="DP203" s="7"/>
      <c r="DQ203" s="7"/>
      <c r="DR203" s="7"/>
      <c r="DS203" s="7"/>
      <c r="DT203" s="7"/>
      <c r="DU203" s="7"/>
      <c r="DV203" s="7"/>
      <c r="DW203" s="7"/>
      <c r="DX203" s="7"/>
      <c r="DY203" s="7"/>
      <c r="DZ203" s="7"/>
      <c r="EA203" s="161"/>
      <c r="EG203" s="140"/>
      <c r="EH203" s="131"/>
      <c r="EI203" s="102"/>
      <c r="EJ203" s="102"/>
      <c r="EK203" s="102"/>
      <c r="EL203" s="102"/>
      <c r="EM203" s="99"/>
      <c r="EN203" s="4"/>
      <c r="EO203" s="4"/>
      <c r="EP203" s="5"/>
      <c r="EQ203" s="5"/>
      <c r="ER203" s="99"/>
      <c r="ES203" s="159"/>
      <c r="ET203" s="99"/>
      <c r="EU203" s="99"/>
      <c r="EV203" s="99"/>
      <c r="EW203" s="159"/>
      <c r="EX203" s="99"/>
      <c r="EY203" s="99"/>
      <c r="EZ203" s="175"/>
    </row>
    <row r="204" spans="27:156">
      <c r="AA204" s="18"/>
      <c r="AB204" s="18"/>
      <c r="AC204" s="18"/>
      <c r="AD204" s="19"/>
      <c r="AE204" s="19"/>
      <c r="AI204" s="18"/>
      <c r="AJ204" s="7"/>
      <c r="AK204" s="7"/>
      <c r="AL204" s="7"/>
      <c r="AM204" s="7"/>
      <c r="AN204" s="7"/>
      <c r="AO204" s="7"/>
      <c r="AP204" s="7"/>
      <c r="AQ204" s="7"/>
      <c r="AR204" s="7"/>
      <c r="AS204" s="7"/>
      <c r="AT204" s="7"/>
      <c r="AU204" s="7"/>
      <c r="AV204" s="7"/>
      <c r="AW204" s="7"/>
      <c r="AX204" s="7"/>
      <c r="AY204" s="7"/>
      <c r="AZ204" s="7"/>
      <c r="BA204" s="18"/>
      <c r="BG204" s="140"/>
      <c r="BH204" s="131"/>
      <c r="BI204" s="102"/>
      <c r="BJ204" s="102"/>
      <c r="BK204" s="102"/>
      <c r="BL204" s="102"/>
      <c r="BM204" s="99"/>
      <c r="BN204" s="4"/>
      <c r="BO204" s="4"/>
      <c r="BP204" s="5"/>
      <c r="BQ204" s="5"/>
      <c r="BR204" s="99"/>
      <c r="BS204" s="159"/>
      <c r="BT204" s="99"/>
      <c r="BU204" s="99"/>
      <c r="BV204" s="99"/>
      <c r="BW204" s="159"/>
      <c r="BX204" s="99"/>
      <c r="BY204" s="99"/>
      <c r="BZ204" s="159"/>
      <c r="DA204" s="174"/>
      <c r="DB204" s="18"/>
      <c r="DC204" s="18"/>
      <c r="DD204" s="19"/>
      <c r="DE204" s="19"/>
      <c r="DI204" s="18"/>
      <c r="DJ204" s="7"/>
      <c r="DK204" s="7"/>
      <c r="DL204" s="7"/>
      <c r="DM204" s="7"/>
      <c r="DN204" s="7"/>
      <c r="DO204" s="7"/>
      <c r="DP204" s="7"/>
      <c r="DQ204" s="7"/>
      <c r="DR204" s="7"/>
      <c r="DS204" s="7"/>
      <c r="DT204" s="7"/>
      <c r="DU204" s="7"/>
      <c r="DV204" s="7"/>
      <c r="DW204" s="7"/>
      <c r="DX204" s="7"/>
      <c r="DY204" s="7"/>
      <c r="DZ204" s="7"/>
      <c r="EA204" s="161"/>
      <c r="EG204" s="140"/>
      <c r="EH204" s="131"/>
      <c r="EI204" s="102"/>
      <c r="EJ204" s="102"/>
      <c r="EK204" s="102"/>
      <c r="EL204" s="102"/>
      <c r="EM204" s="99"/>
      <c r="EN204" s="4"/>
      <c r="EO204" s="4"/>
      <c r="EP204" s="5"/>
      <c r="EQ204" s="5"/>
      <c r="ER204" s="99"/>
      <c r="ES204" s="159"/>
      <c r="ET204" s="99"/>
      <c r="EU204" s="99"/>
      <c r="EV204" s="99"/>
      <c r="EW204" s="159"/>
      <c r="EX204" s="99"/>
      <c r="EY204" s="99"/>
      <c r="EZ204" s="175"/>
    </row>
    <row r="205" spans="27:156">
      <c r="AA205" s="18"/>
      <c r="AB205" s="18"/>
      <c r="AC205" s="18"/>
      <c r="AD205" s="19"/>
      <c r="AE205" s="19"/>
      <c r="AI205" s="18"/>
      <c r="AJ205" s="7"/>
      <c r="AK205" s="7"/>
      <c r="AL205" s="7"/>
      <c r="AM205" s="7"/>
      <c r="AN205" s="7"/>
      <c r="AO205" s="7"/>
      <c r="AP205" s="7"/>
      <c r="AQ205" s="7"/>
      <c r="AR205" s="7"/>
      <c r="AS205" s="7"/>
      <c r="AT205" s="7"/>
      <c r="AU205" s="7"/>
      <c r="AV205" s="7"/>
      <c r="AW205" s="7"/>
      <c r="AX205" s="7"/>
      <c r="AY205" s="7"/>
      <c r="AZ205" s="7"/>
      <c r="BA205" s="18"/>
      <c r="BG205" s="140"/>
      <c r="BH205" s="131"/>
      <c r="BI205" s="102"/>
      <c r="BJ205" s="102"/>
      <c r="BK205" s="102"/>
      <c r="BL205" s="102"/>
      <c r="BM205" s="99"/>
      <c r="BN205" s="4"/>
      <c r="BO205" s="4"/>
      <c r="BP205" s="5"/>
      <c r="BQ205" s="5"/>
      <c r="BR205" s="99"/>
      <c r="BS205" s="159"/>
      <c r="BT205" s="99"/>
      <c r="BU205" s="99"/>
      <c r="BV205" s="99"/>
      <c r="BW205" s="159"/>
      <c r="BX205" s="99"/>
      <c r="BY205" s="99"/>
      <c r="BZ205" s="159"/>
      <c r="DA205" s="174"/>
      <c r="DB205" s="18"/>
      <c r="DC205" s="18"/>
      <c r="DD205" s="19"/>
      <c r="DE205" s="19"/>
      <c r="DI205" s="18"/>
      <c r="DJ205" s="7"/>
      <c r="DK205" s="7"/>
      <c r="DL205" s="7"/>
      <c r="DM205" s="7"/>
      <c r="DN205" s="7"/>
      <c r="DO205" s="7"/>
      <c r="DP205" s="7"/>
      <c r="DQ205" s="7"/>
      <c r="DR205" s="7"/>
      <c r="DS205" s="7"/>
      <c r="DT205" s="7"/>
      <c r="DU205" s="7"/>
      <c r="DV205" s="7"/>
      <c r="DW205" s="7"/>
      <c r="DX205" s="7"/>
      <c r="DY205" s="7"/>
      <c r="DZ205" s="7"/>
      <c r="EA205" s="161"/>
      <c r="EG205" s="140"/>
      <c r="EH205" s="131"/>
      <c r="EI205" s="102"/>
      <c r="EJ205" s="102"/>
      <c r="EK205" s="102"/>
      <c r="EL205" s="102"/>
      <c r="EM205" s="99"/>
      <c r="EN205" s="4"/>
      <c r="EO205" s="4"/>
      <c r="EP205" s="5"/>
      <c r="EQ205" s="5"/>
      <c r="ER205" s="99"/>
      <c r="ES205" s="159"/>
      <c r="ET205" s="99"/>
      <c r="EU205" s="99"/>
      <c r="EV205" s="99"/>
      <c r="EW205" s="159"/>
      <c r="EX205" s="99"/>
      <c r="EY205" s="99"/>
      <c r="EZ205" s="175"/>
    </row>
    <row r="206" spans="27:156">
      <c r="AA206" s="18"/>
      <c r="AB206" s="18"/>
      <c r="AC206" s="18"/>
      <c r="AD206" s="19"/>
      <c r="AE206" s="19"/>
      <c r="AI206" s="18"/>
      <c r="AJ206" s="7"/>
      <c r="AK206" s="7"/>
      <c r="AL206" s="7"/>
      <c r="AM206" s="7"/>
      <c r="AN206" s="7"/>
      <c r="AO206" s="7"/>
      <c r="AP206" s="7"/>
      <c r="AQ206" s="7"/>
      <c r="AR206" s="7"/>
      <c r="AS206" s="7"/>
      <c r="AT206" s="7"/>
      <c r="AU206" s="7"/>
      <c r="AV206" s="7"/>
      <c r="AW206" s="7"/>
      <c r="AX206" s="7"/>
      <c r="AY206" s="7"/>
      <c r="AZ206" s="7"/>
      <c r="BA206" s="18"/>
      <c r="BG206" s="140"/>
      <c r="BH206" s="131"/>
      <c r="BI206" s="102"/>
      <c r="BJ206" s="102"/>
      <c r="BK206" s="102"/>
      <c r="BL206" s="102"/>
      <c r="BM206" s="99"/>
      <c r="BN206" s="4"/>
      <c r="BO206" s="4"/>
      <c r="BP206" s="5"/>
      <c r="BQ206" s="5"/>
      <c r="BR206" s="99"/>
      <c r="BS206" s="159"/>
      <c r="BT206" s="99"/>
      <c r="BU206" s="99"/>
      <c r="BV206" s="99"/>
      <c r="BW206" s="159"/>
      <c r="BX206" s="99"/>
      <c r="BY206" s="99"/>
      <c r="BZ206" s="159"/>
      <c r="DA206" s="174"/>
      <c r="DB206" s="18"/>
      <c r="DC206" s="18"/>
      <c r="DD206" s="19"/>
      <c r="DE206" s="19"/>
      <c r="DI206" s="18"/>
      <c r="DJ206" s="7"/>
      <c r="DK206" s="7"/>
      <c r="DL206" s="7"/>
      <c r="DM206" s="7"/>
      <c r="DN206" s="7"/>
      <c r="DO206" s="7"/>
      <c r="DP206" s="7"/>
      <c r="DQ206" s="7"/>
      <c r="DR206" s="7"/>
      <c r="DS206" s="7"/>
      <c r="DT206" s="7"/>
      <c r="DU206" s="7"/>
      <c r="DV206" s="7"/>
      <c r="DW206" s="7"/>
      <c r="DX206" s="7"/>
      <c r="DY206" s="7"/>
      <c r="DZ206" s="7"/>
      <c r="EA206" s="161"/>
      <c r="EG206" s="140"/>
      <c r="EH206" s="131"/>
      <c r="EI206" s="102"/>
      <c r="EJ206" s="102"/>
      <c r="EK206" s="102"/>
      <c r="EL206" s="102"/>
      <c r="EM206" s="99"/>
      <c r="EN206" s="4"/>
      <c r="EO206" s="4"/>
      <c r="EP206" s="5"/>
      <c r="EQ206" s="5"/>
      <c r="ER206" s="99"/>
      <c r="ES206" s="159"/>
      <c r="ET206" s="99"/>
      <c r="EU206" s="99"/>
      <c r="EV206" s="99"/>
      <c r="EW206" s="159"/>
      <c r="EX206" s="99"/>
      <c r="EY206" s="99"/>
      <c r="EZ206" s="175"/>
    </row>
    <row r="207" spans="27:156">
      <c r="AA207" s="18"/>
      <c r="AB207" s="18"/>
      <c r="AC207" s="18"/>
      <c r="AD207" s="19"/>
      <c r="AE207" s="19"/>
      <c r="AI207" s="18"/>
      <c r="AJ207" s="7"/>
      <c r="AK207" s="7"/>
      <c r="AL207" s="7"/>
      <c r="AM207" s="7"/>
      <c r="AN207" s="7"/>
      <c r="AO207" s="7"/>
      <c r="AP207" s="7"/>
      <c r="AQ207" s="7"/>
      <c r="AR207" s="7"/>
      <c r="AS207" s="7"/>
      <c r="AT207" s="7"/>
      <c r="AU207" s="7"/>
      <c r="AV207" s="7"/>
      <c r="AW207" s="7"/>
      <c r="AX207" s="7"/>
      <c r="AY207" s="7"/>
      <c r="AZ207" s="7"/>
      <c r="BA207" s="18"/>
      <c r="BG207" s="140"/>
      <c r="BH207" s="131"/>
      <c r="BI207" s="102"/>
      <c r="BJ207" s="102"/>
      <c r="BK207" s="102"/>
      <c r="BL207" s="102"/>
      <c r="BM207" s="99"/>
      <c r="BN207" s="4"/>
      <c r="BO207" s="4"/>
      <c r="BP207" s="5"/>
      <c r="BQ207" s="5"/>
      <c r="BR207" s="99"/>
      <c r="BS207" s="159"/>
      <c r="BT207" s="99"/>
      <c r="BU207" s="99"/>
      <c r="BV207" s="99"/>
      <c r="BW207" s="159"/>
      <c r="BX207" s="99"/>
      <c r="BY207" s="99"/>
      <c r="BZ207" s="159"/>
      <c r="DA207" s="174"/>
      <c r="DB207" s="18"/>
      <c r="DC207" s="18"/>
      <c r="DD207" s="19"/>
      <c r="DE207" s="19"/>
      <c r="DI207" s="18"/>
      <c r="DJ207" s="7"/>
      <c r="DK207" s="7"/>
      <c r="DL207" s="7"/>
      <c r="DM207" s="7"/>
      <c r="DN207" s="7"/>
      <c r="DO207" s="7"/>
      <c r="DP207" s="7"/>
      <c r="DQ207" s="7"/>
      <c r="DR207" s="7"/>
      <c r="DS207" s="7"/>
      <c r="DT207" s="7"/>
      <c r="DU207" s="7"/>
      <c r="DV207" s="7"/>
      <c r="DW207" s="7"/>
      <c r="DX207" s="7"/>
      <c r="DY207" s="7"/>
      <c r="DZ207" s="7"/>
      <c r="EA207" s="161"/>
      <c r="EG207" s="140"/>
      <c r="EH207" s="131"/>
      <c r="EI207" s="102"/>
      <c r="EJ207" s="102"/>
      <c r="EK207" s="102"/>
      <c r="EL207" s="102"/>
      <c r="EM207" s="99"/>
      <c r="EN207" s="4"/>
      <c r="EO207" s="4"/>
      <c r="EP207" s="5"/>
      <c r="EQ207" s="5"/>
      <c r="ER207" s="99"/>
      <c r="ES207" s="159"/>
      <c r="ET207" s="99"/>
      <c r="EU207" s="99"/>
      <c r="EV207" s="99"/>
      <c r="EW207" s="159"/>
      <c r="EX207" s="99"/>
      <c r="EY207" s="99"/>
      <c r="EZ207" s="175"/>
    </row>
    <row r="208" spans="27:156">
      <c r="AA208" s="18"/>
      <c r="AB208" s="18"/>
      <c r="AC208" s="18"/>
      <c r="AD208" s="19"/>
      <c r="AE208" s="19"/>
      <c r="AI208" s="18"/>
      <c r="AJ208" s="7"/>
      <c r="AK208" s="7"/>
      <c r="AL208" s="7"/>
      <c r="AM208" s="7"/>
      <c r="AN208" s="7"/>
      <c r="AO208" s="7"/>
      <c r="AP208" s="7"/>
      <c r="AQ208" s="7"/>
      <c r="AR208" s="7"/>
      <c r="AS208" s="7"/>
      <c r="AT208" s="7"/>
      <c r="AU208" s="7"/>
      <c r="AV208" s="7"/>
      <c r="AW208" s="7"/>
      <c r="AX208" s="7"/>
      <c r="AY208" s="7"/>
      <c r="AZ208" s="7"/>
      <c r="BA208" s="18"/>
      <c r="BG208" s="140"/>
      <c r="BH208" s="131"/>
      <c r="BI208" s="102"/>
      <c r="BJ208" s="102"/>
      <c r="BK208" s="102"/>
      <c r="BL208" s="102"/>
      <c r="BM208" s="99"/>
      <c r="BN208" s="4"/>
      <c r="BO208" s="4"/>
      <c r="BP208" s="5"/>
      <c r="BQ208" s="5"/>
      <c r="BR208" s="99"/>
      <c r="BS208" s="159"/>
      <c r="BT208" s="99"/>
      <c r="BU208" s="99"/>
      <c r="BV208" s="99"/>
      <c r="BW208" s="159"/>
      <c r="BX208" s="99"/>
      <c r="BY208" s="99"/>
      <c r="BZ208" s="159"/>
      <c r="DA208" s="174"/>
      <c r="DB208" s="18"/>
      <c r="DC208" s="18"/>
      <c r="DD208" s="19"/>
      <c r="DE208" s="19"/>
      <c r="DI208" s="18"/>
      <c r="DJ208" s="7"/>
      <c r="DK208" s="7"/>
      <c r="DL208" s="7"/>
      <c r="DM208" s="7"/>
      <c r="DN208" s="7"/>
      <c r="DO208" s="7"/>
      <c r="DP208" s="7"/>
      <c r="DQ208" s="7"/>
      <c r="DR208" s="7"/>
      <c r="DS208" s="7"/>
      <c r="DT208" s="7"/>
      <c r="DU208" s="7"/>
      <c r="DV208" s="7"/>
      <c r="DW208" s="7"/>
      <c r="DX208" s="7"/>
      <c r="DY208" s="7"/>
      <c r="DZ208" s="7"/>
      <c r="EA208" s="161"/>
      <c r="EG208" s="140"/>
      <c r="EH208" s="131"/>
      <c r="EI208" s="102"/>
      <c r="EJ208" s="102"/>
      <c r="EK208" s="102"/>
      <c r="EL208" s="102"/>
      <c r="EM208" s="99"/>
      <c r="EN208" s="4"/>
      <c r="EO208" s="4"/>
      <c r="EP208" s="5"/>
      <c r="EQ208" s="5"/>
      <c r="ER208" s="99"/>
      <c r="ES208" s="159"/>
      <c r="ET208" s="99"/>
      <c r="EU208" s="99"/>
      <c r="EV208" s="99"/>
      <c r="EW208" s="159"/>
      <c r="EX208" s="99"/>
      <c r="EY208" s="99"/>
      <c r="EZ208" s="175"/>
    </row>
    <row r="209" spans="27:156">
      <c r="AA209" s="18"/>
      <c r="AB209" s="18"/>
      <c r="AC209" s="18"/>
      <c r="AD209" s="19"/>
      <c r="AE209" s="19"/>
      <c r="AI209" s="18"/>
      <c r="AJ209" s="7"/>
      <c r="AK209" s="7"/>
      <c r="AL209" s="7"/>
      <c r="AM209" s="7"/>
      <c r="AN209" s="7"/>
      <c r="AO209" s="7"/>
      <c r="AP209" s="7"/>
      <c r="AQ209" s="7"/>
      <c r="AR209" s="7"/>
      <c r="AS209" s="7"/>
      <c r="AT209" s="7"/>
      <c r="AU209" s="7"/>
      <c r="AV209" s="7"/>
      <c r="AW209" s="7"/>
      <c r="AX209" s="7"/>
      <c r="AY209" s="7"/>
      <c r="AZ209" s="7"/>
      <c r="BA209" s="18"/>
      <c r="BG209" s="140"/>
      <c r="BH209" s="131"/>
      <c r="BI209" s="102"/>
      <c r="BJ209" s="102"/>
      <c r="BK209" s="102"/>
      <c r="BL209" s="102"/>
      <c r="BM209" s="99"/>
      <c r="BN209" s="4"/>
      <c r="BO209" s="4"/>
      <c r="BP209" s="5"/>
      <c r="BQ209" s="5"/>
      <c r="BR209" s="99"/>
      <c r="BS209" s="159"/>
      <c r="BT209" s="99"/>
      <c r="BU209" s="99"/>
      <c r="BV209" s="99"/>
      <c r="BW209" s="159"/>
      <c r="BX209" s="99"/>
      <c r="BY209" s="99"/>
      <c r="BZ209" s="159"/>
      <c r="DA209" s="174"/>
      <c r="DB209" s="18"/>
      <c r="DC209" s="18"/>
      <c r="DD209" s="19"/>
      <c r="DE209" s="19"/>
      <c r="DI209" s="18"/>
      <c r="DJ209" s="7"/>
      <c r="DK209" s="7"/>
      <c r="DL209" s="7"/>
      <c r="DM209" s="7"/>
      <c r="DN209" s="7"/>
      <c r="DO209" s="7"/>
      <c r="DP209" s="7"/>
      <c r="DQ209" s="7"/>
      <c r="DR209" s="7"/>
      <c r="DS209" s="7"/>
      <c r="DT209" s="7"/>
      <c r="DU209" s="7"/>
      <c r="DV209" s="7"/>
      <c r="DW209" s="7"/>
      <c r="DX209" s="7"/>
      <c r="DY209" s="7"/>
      <c r="DZ209" s="7"/>
      <c r="EA209" s="161"/>
      <c r="EG209" s="140"/>
      <c r="EH209" s="131"/>
      <c r="EI209" s="102"/>
      <c r="EJ209" s="102"/>
      <c r="EK209" s="102"/>
      <c r="EL209" s="102"/>
      <c r="EM209" s="99"/>
      <c r="EN209" s="4"/>
      <c r="EO209" s="4"/>
      <c r="EP209" s="5"/>
      <c r="EQ209" s="5"/>
      <c r="ER209" s="99"/>
      <c r="ES209" s="159"/>
      <c r="ET209" s="99"/>
      <c r="EU209" s="99"/>
      <c r="EV209" s="99"/>
      <c r="EW209" s="159"/>
      <c r="EX209" s="99"/>
      <c r="EY209" s="99"/>
      <c r="EZ209" s="175"/>
    </row>
    <row r="210" spans="27:156">
      <c r="AA210" s="18"/>
      <c r="AB210" s="18"/>
      <c r="AC210" s="18"/>
      <c r="AD210" s="19"/>
      <c r="AE210" s="19"/>
      <c r="AI210" s="18"/>
      <c r="AJ210" s="7"/>
      <c r="AK210" s="7"/>
      <c r="AL210" s="7"/>
      <c r="AM210" s="7"/>
      <c r="AN210" s="7"/>
      <c r="AO210" s="7"/>
      <c r="AP210" s="7"/>
      <c r="AQ210" s="7"/>
      <c r="AR210" s="7"/>
      <c r="AS210" s="7"/>
      <c r="AT210" s="7"/>
      <c r="AU210" s="7"/>
      <c r="AV210" s="7"/>
      <c r="AW210" s="7"/>
      <c r="AX210" s="7"/>
      <c r="AY210" s="7"/>
      <c r="AZ210" s="7"/>
      <c r="BA210" s="18"/>
      <c r="BG210" s="140"/>
      <c r="BH210" s="131"/>
      <c r="BI210" s="102"/>
      <c r="BJ210" s="102"/>
      <c r="BK210" s="102"/>
      <c r="BL210" s="102"/>
      <c r="BM210" s="99"/>
      <c r="BN210" s="4"/>
      <c r="BO210" s="4"/>
      <c r="BP210" s="5"/>
      <c r="BQ210" s="5"/>
      <c r="BR210" s="99"/>
      <c r="BS210" s="159"/>
      <c r="BT210" s="99"/>
      <c r="BU210" s="99"/>
      <c r="BV210" s="99"/>
      <c r="BW210" s="159"/>
      <c r="BX210" s="99"/>
      <c r="BY210" s="99"/>
      <c r="BZ210" s="159"/>
      <c r="DA210" s="174"/>
      <c r="DB210" s="18"/>
      <c r="DC210" s="18"/>
      <c r="DD210" s="19"/>
      <c r="DE210" s="19"/>
      <c r="DI210" s="18"/>
      <c r="DJ210" s="7"/>
      <c r="DK210" s="7"/>
      <c r="DL210" s="7"/>
      <c r="DM210" s="7"/>
      <c r="DN210" s="7"/>
      <c r="DO210" s="7"/>
      <c r="DP210" s="7"/>
      <c r="DQ210" s="7"/>
      <c r="DR210" s="7"/>
      <c r="DS210" s="7"/>
      <c r="DT210" s="7"/>
      <c r="DU210" s="7"/>
      <c r="DV210" s="7"/>
      <c r="DW210" s="7"/>
      <c r="DX210" s="7"/>
      <c r="DY210" s="7"/>
      <c r="DZ210" s="7"/>
      <c r="EA210" s="161"/>
      <c r="EG210" s="140"/>
      <c r="EH210" s="131"/>
      <c r="EI210" s="102"/>
      <c r="EJ210" s="102"/>
      <c r="EK210" s="102"/>
      <c r="EL210" s="102"/>
      <c r="EM210" s="99"/>
      <c r="EN210" s="4"/>
      <c r="EO210" s="4"/>
      <c r="EP210" s="5"/>
      <c r="EQ210" s="5"/>
      <c r="ER210" s="99"/>
      <c r="ES210" s="159"/>
      <c r="ET210" s="99"/>
      <c r="EU210" s="99"/>
      <c r="EV210" s="99"/>
      <c r="EW210" s="159"/>
      <c r="EX210" s="99"/>
      <c r="EY210" s="99"/>
      <c r="EZ210" s="175"/>
    </row>
    <row r="211" spans="27:156">
      <c r="AA211" s="18"/>
      <c r="AB211" s="18"/>
      <c r="AC211" s="18"/>
      <c r="AD211" s="19"/>
      <c r="AE211" s="19"/>
      <c r="AI211" s="18"/>
      <c r="AJ211" s="7"/>
      <c r="AK211" s="7"/>
      <c r="AL211" s="7"/>
      <c r="AM211" s="7"/>
      <c r="AN211" s="7"/>
      <c r="AO211" s="7"/>
      <c r="AP211" s="7"/>
      <c r="AQ211" s="7"/>
      <c r="AR211" s="7"/>
      <c r="AS211" s="7"/>
      <c r="AT211" s="7"/>
      <c r="AU211" s="7"/>
      <c r="AV211" s="7"/>
      <c r="AW211" s="7"/>
      <c r="AX211" s="7"/>
      <c r="AY211" s="7"/>
      <c r="AZ211" s="7"/>
      <c r="BA211" s="18"/>
      <c r="BG211" s="140"/>
      <c r="BH211" s="131"/>
      <c r="BI211" s="102"/>
      <c r="BJ211" s="102"/>
      <c r="BK211" s="102"/>
      <c r="BL211" s="102"/>
      <c r="BM211" s="99"/>
      <c r="BN211" s="4"/>
      <c r="BO211" s="4"/>
      <c r="BP211" s="5"/>
      <c r="BQ211" s="5"/>
      <c r="BR211" s="99"/>
      <c r="BS211" s="159"/>
      <c r="BT211" s="99"/>
      <c r="BU211" s="99"/>
      <c r="BV211" s="99"/>
      <c r="BW211" s="159"/>
      <c r="BX211" s="99"/>
      <c r="BY211" s="99"/>
      <c r="BZ211" s="159"/>
      <c r="DA211" s="174"/>
      <c r="DB211" s="18"/>
      <c r="DC211" s="18"/>
      <c r="DD211" s="19"/>
      <c r="DE211" s="19"/>
      <c r="DI211" s="18"/>
      <c r="DJ211" s="7"/>
      <c r="DK211" s="7"/>
      <c r="DL211" s="7"/>
      <c r="DM211" s="7"/>
      <c r="DN211" s="7"/>
      <c r="DO211" s="7"/>
      <c r="DP211" s="7"/>
      <c r="DQ211" s="7"/>
      <c r="DR211" s="7"/>
      <c r="DS211" s="7"/>
      <c r="DT211" s="7"/>
      <c r="DU211" s="7"/>
      <c r="DV211" s="7"/>
      <c r="DW211" s="7"/>
      <c r="DX211" s="7"/>
      <c r="DY211" s="7"/>
      <c r="DZ211" s="7"/>
      <c r="EA211" s="161"/>
      <c r="EG211" s="140"/>
      <c r="EH211" s="131"/>
      <c r="EI211" s="102"/>
      <c r="EJ211" s="102"/>
      <c r="EK211" s="102"/>
      <c r="EL211" s="102"/>
      <c r="EM211" s="99"/>
      <c r="EN211" s="4"/>
      <c r="EO211" s="4"/>
      <c r="EP211" s="5"/>
      <c r="EQ211" s="5"/>
      <c r="ER211" s="99"/>
      <c r="ES211" s="159"/>
      <c r="ET211" s="99"/>
      <c r="EU211" s="99"/>
      <c r="EV211" s="99"/>
      <c r="EW211" s="159"/>
      <c r="EX211" s="99"/>
      <c r="EY211" s="99"/>
      <c r="EZ211" s="175"/>
    </row>
    <row r="212" spans="27:156">
      <c r="AA212" s="18"/>
      <c r="AB212" s="18"/>
      <c r="AC212" s="18"/>
      <c r="AD212" s="19"/>
      <c r="AE212" s="19"/>
      <c r="AI212" s="18"/>
      <c r="AJ212" s="7"/>
      <c r="AK212" s="7"/>
      <c r="AL212" s="7"/>
      <c r="AM212" s="7"/>
      <c r="AN212" s="7"/>
      <c r="AO212" s="7"/>
      <c r="AP212" s="7"/>
      <c r="AQ212" s="7"/>
      <c r="AR212" s="7"/>
      <c r="AS212" s="7"/>
      <c r="AT212" s="7"/>
      <c r="AU212" s="7"/>
      <c r="AV212" s="7"/>
      <c r="AW212" s="7"/>
      <c r="AX212" s="7"/>
      <c r="AY212" s="7"/>
      <c r="AZ212" s="7"/>
      <c r="BA212" s="18"/>
      <c r="BG212" s="140"/>
      <c r="BH212" s="131"/>
      <c r="BI212" s="102"/>
      <c r="BJ212" s="102"/>
      <c r="BK212" s="102"/>
      <c r="BL212" s="102"/>
      <c r="BM212" s="99"/>
      <c r="BN212" s="4"/>
      <c r="BO212" s="4"/>
      <c r="BP212" s="5"/>
      <c r="BQ212" s="5"/>
      <c r="BR212" s="99"/>
      <c r="BS212" s="159"/>
      <c r="BT212" s="99"/>
      <c r="BU212" s="99"/>
      <c r="BV212" s="99"/>
      <c r="BW212" s="159"/>
      <c r="BX212" s="99"/>
      <c r="BY212" s="99"/>
      <c r="BZ212" s="159"/>
      <c r="DA212" s="174"/>
      <c r="DB212" s="18"/>
      <c r="DC212" s="18"/>
      <c r="DD212" s="19"/>
      <c r="DE212" s="19"/>
      <c r="DI212" s="18"/>
      <c r="DJ212" s="7"/>
      <c r="DK212" s="7"/>
      <c r="DL212" s="7"/>
      <c r="DM212" s="7"/>
      <c r="DN212" s="7"/>
      <c r="DO212" s="7"/>
      <c r="DP212" s="7"/>
      <c r="DQ212" s="7"/>
      <c r="DR212" s="7"/>
      <c r="DS212" s="7"/>
      <c r="DT212" s="7"/>
      <c r="DU212" s="7"/>
      <c r="DV212" s="7"/>
      <c r="DW212" s="7"/>
      <c r="DX212" s="7"/>
      <c r="DY212" s="7"/>
      <c r="DZ212" s="7"/>
      <c r="EA212" s="161"/>
      <c r="EG212" s="140"/>
      <c r="EH212" s="131"/>
      <c r="EI212" s="102"/>
      <c r="EJ212" s="102"/>
      <c r="EK212" s="102"/>
      <c r="EL212" s="102"/>
      <c r="EM212" s="99"/>
      <c r="EN212" s="4"/>
      <c r="EO212" s="4"/>
      <c r="EP212" s="5"/>
      <c r="EQ212" s="5"/>
      <c r="ER212" s="99"/>
      <c r="ES212" s="159"/>
      <c r="ET212" s="99"/>
      <c r="EU212" s="99"/>
      <c r="EV212" s="99"/>
      <c r="EW212" s="159"/>
      <c r="EX212" s="99"/>
      <c r="EY212" s="99"/>
      <c r="EZ212" s="175"/>
    </row>
    <row r="213" spans="27:156">
      <c r="AA213" s="18"/>
      <c r="AB213" s="18"/>
      <c r="AC213" s="18"/>
      <c r="AD213" s="19"/>
      <c r="AE213" s="19"/>
      <c r="AI213" s="18"/>
      <c r="AJ213" s="7"/>
      <c r="AK213" s="7"/>
      <c r="AL213" s="7"/>
      <c r="AM213" s="7"/>
      <c r="AN213" s="7"/>
      <c r="AO213" s="7"/>
      <c r="AP213" s="7"/>
      <c r="AQ213" s="7"/>
      <c r="AR213" s="7"/>
      <c r="AS213" s="7"/>
      <c r="AT213" s="7"/>
      <c r="AU213" s="7"/>
      <c r="AV213" s="7"/>
      <c r="AW213" s="7"/>
      <c r="AX213" s="7"/>
      <c r="AY213" s="7"/>
      <c r="AZ213" s="7"/>
      <c r="BA213" s="18"/>
      <c r="BG213" s="140"/>
      <c r="BH213" s="131"/>
      <c r="BI213" s="102"/>
      <c r="BJ213" s="102"/>
      <c r="BK213" s="102"/>
      <c r="BL213" s="102"/>
      <c r="BM213" s="99"/>
      <c r="BN213" s="4"/>
      <c r="BO213" s="4"/>
      <c r="BP213" s="5"/>
      <c r="BQ213" s="5"/>
      <c r="BR213" s="99"/>
      <c r="BS213" s="159"/>
      <c r="BT213" s="99"/>
      <c r="BU213" s="99"/>
      <c r="BV213" s="99"/>
      <c r="BW213" s="159"/>
      <c r="BX213" s="99"/>
      <c r="BY213" s="99"/>
      <c r="BZ213" s="159"/>
      <c r="DA213" s="174"/>
      <c r="DB213" s="18"/>
      <c r="DC213" s="18"/>
      <c r="DD213" s="19"/>
      <c r="DE213" s="19"/>
      <c r="DI213" s="18"/>
      <c r="DJ213" s="7"/>
      <c r="DK213" s="7"/>
      <c r="DL213" s="7"/>
      <c r="DM213" s="7"/>
      <c r="DN213" s="7"/>
      <c r="DO213" s="7"/>
      <c r="DP213" s="7"/>
      <c r="DQ213" s="7"/>
      <c r="DR213" s="7"/>
      <c r="DS213" s="7"/>
      <c r="DT213" s="7"/>
      <c r="DU213" s="7"/>
      <c r="DV213" s="7"/>
      <c r="DW213" s="7"/>
      <c r="DX213" s="7"/>
      <c r="DY213" s="7"/>
      <c r="DZ213" s="7"/>
      <c r="EA213" s="161"/>
      <c r="EG213" s="140"/>
      <c r="EH213" s="131"/>
      <c r="EI213" s="102"/>
      <c r="EJ213" s="102"/>
      <c r="EK213" s="102"/>
      <c r="EL213" s="102"/>
      <c r="EM213" s="99"/>
      <c r="EN213" s="4"/>
      <c r="EO213" s="4"/>
      <c r="EP213" s="5"/>
      <c r="EQ213" s="5"/>
      <c r="ER213" s="99"/>
      <c r="ES213" s="159"/>
      <c r="ET213" s="99"/>
      <c r="EU213" s="99"/>
      <c r="EV213" s="99"/>
      <c r="EW213" s="159"/>
      <c r="EX213" s="99"/>
      <c r="EY213" s="99"/>
      <c r="EZ213" s="175"/>
    </row>
    <row r="214" spans="27:156">
      <c r="AA214" s="18"/>
      <c r="AB214" s="18"/>
      <c r="AC214" s="18"/>
      <c r="AD214" s="19"/>
      <c r="AE214" s="19"/>
      <c r="AI214" s="18"/>
      <c r="AJ214" s="7"/>
      <c r="AK214" s="7"/>
      <c r="AL214" s="7"/>
      <c r="AM214" s="7"/>
      <c r="AN214" s="7"/>
      <c r="AO214" s="7"/>
      <c r="AP214" s="7"/>
      <c r="AQ214" s="7"/>
      <c r="AR214" s="7"/>
      <c r="AS214" s="7"/>
      <c r="AT214" s="7"/>
      <c r="AU214" s="7"/>
      <c r="AV214" s="7"/>
      <c r="AW214" s="7"/>
      <c r="AX214" s="7"/>
      <c r="AY214" s="7"/>
      <c r="AZ214" s="7"/>
      <c r="BA214" s="18"/>
      <c r="BG214" s="140"/>
      <c r="BH214" s="131"/>
      <c r="BI214" s="102"/>
      <c r="BJ214" s="102"/>
      <c r="BK214" s="102"/>
      <c r="BL214" s="102"/>
      <c r="BM214" s="99"/>
      <c r="BN214" s="4"/>
      <c r="BO214" s="4"/>
      <c r="BP214" s="5"/>
      <c r="BQ214" s="5"/>
      <c r="BR214" s="99"/>
      <c r="BS214" s="159"/>
      <c r="BT214" s="99"/>
      <c r="BU214" s="99"/>
      <c r="BV214" s="99"/>
      <c r="BW214" s="159"/>
      <c r="BX214" s="99"/>
      <c r="BY214" s="99"/>
      <c r="BZ214" s="159"/>
      <c r="DA214" s="174"/>
      <c r="DB214" s="18"/>
      <c r="DC214" s="18"/>
      <c r="DD214" s="19"/>
      <c r="DE214" s="19"/>
      <c r="DI214" s="18"/>
      <c r="DJ214" s="7"/>
      <c r="DK214" s="7"/>
      <c r="DL214" s="7"/>
      <c r="DM214" s="7"/>
      <c r="DN214" s="7"/>
      <c r="DO214" s="7"/>
      <c r="DP214" s="7"/>
      <c r="DQ214" s="7"/>
      <c r="DR214" s="7"/>
      <c r="DS214" s="7"/>
      <c r="DT214" s="7"/>
      <c r="DU214" s="7"/>
      <c r="DV214" s="7"/>
      <c r="DW214" s="7"/>
      <c r="DX214" s="7"/>
      <c r="DY214" s="7"/>
      <c r="DZ214" s="7"/>
      <c r="EA214" s="161"/>
      <c r="EG214" s="140"/>
      <c r="EH214" s="131"/>
      <c r="EI214" s="102"/>
      <c r="EJ214" s="102"/>
      <c r="EK214" s="102"/>
      <c r="EL214" s="102"/>
      <c r="EM214" s="99"/>
      <c r="EN214" s="4"/>
      <c r="EO214" s="4"/>
      <c r="EP214" s="5"/>
      <c r="EQ214" s="5"/>
      <c r="ER214" s="99"/>
      <c r="ES214" s="159"/>
      <c r="ET214" s="99"/>
      <c r="EU214" s="99"/>
      <c r="EV214" s="99"/>
      <c r="EW214" s="159"/>
      <c r="EX214" s="99"/>
      <c r="EY214" s="99"/>
      <c r="EZ214" s="175"/>
    </row>
    <row r="215" spans="27:156">
      <c r="AA215" s="18"/>
      <c r="AB215" s="18"/>
      <c r="AC215" s="18"/>
      <c r="AD215" s="19"/>
      <c r="AE215" s="19"/>
      <c r="AI215" s="18"/>
      <c r="AJ215" s="7"/>
      <c r="AK215" s="7"/>
      <c r="AL215" s="7"/>
      <c r="AM215" s="7"/>
      <c r="AN215" s="7"/>
      <c r="AO215" s="7"/>
      <c r="AP215" s="7"/>
      <c r="AQ215" s="7"/>
      <c r="AR215" s="7"/>
      <c r="AS215" s="7"/>
      <c r="AT215" s="7"/>
      <c r="AU215" s="7"/>
      <c r="AV215" s="7"/>
      <c r="AW215" s="7"/>
      <c r="AX215" s="7"/>
      <c r="AY215" s="7"/>
      <c r="AZ215" s="7"/>
      <c r="BA215" s="18"/>
      <c r="BG215" s="140"/>
      <c r="BH215" s="131"/>
      <c r="BI215" s="102"/>
      <c r="BJ215" s="102"/>
      <c r="BK215" s="102"/>
      <c r="BL215" s="102"/>
      <c r="BM215" s="99"/>
      <c r="BN215" s="4"/>
      <c r="BO215" s="4"/>
      <c r="BP215" s="5"/>
      <c r="BQ215" s="5"/>
      <c r="BR215" s="99"/>
      <c r="BS215" s="159"/>
      <c r="BT215" s="99"/>
      <c r="BU215" s="99"/>
      <c r="BV215" s="99"/>
      <c r="BW215" s="159"/>
      <c r="BX215" s="99"/>
      <c r="BY215" s="99"/>
      <c r="BZ215" s="159"/>
      <c r="DA215" s="174"/>
      <c r="DB215" s="18"/>
      <c r="DC215" s="18"/>
      <c r="DD215" s="19"/>
      <c r="DE215" s="19"/>
      <c r="DI215" s="18"/>
      <c r="DJ215" s="7"/>
      <c r="DK215" s="7"/>
      <c r="DL215" s="7"/>
      <c r="DM215" s="7"/>
      <c r="DN215" s="7"/>
      <c r="DO215" s="7"/>
      <c r="DP215" s="7"/>
      <c r="DQ215" s="7"/>
      <c r="DR215" s="7"/>
      <c r="DS215" s="7"/>
      <c r="DT215" s="7"/>
      <c r="DU215" s="7"/>
      <c r="DV215" s="7"/>
      <c r="DW215" s="7"/>
      <c r="DX215" s="7"/>
      <c r="DY215" s="7"/>
      <c r="DZ215" s="7"/>
      <c r="EA215" s="161"/>
      <c r="EG215" s="140"/>
      <c r="EH215" s="131"/>
      <c r="EI215" s="102"/>
      <c r="EJ215" s="102"/>
      <c r="EK215" s="102"/>
      <c r="EL215" s="102"/>
      <c r="EM215" s="99"/>
      <c r="EN215" s="4"/>
      <c r="EO215" s="4"/>
      <c r="EP215" s="5"/>
      <c r="EQ215" s="5"/>
      <c r="ER215" s="99"/>
      <c r="ES215" s="159"/>
      <c r="ET215" s="99"/>
      <c r="EU215" s="99"/>
      <c r="EV215" s="99"/>
      <c r="EW215" s="159"/>
      <c r="EX215" s="99"/>
      <c r="EY215" s="99"/>
      <c r="EZ215" s="175"/>
    </row>
    <row r="216" spans="27:156">
      <c r="AA216" s="18"/>
      <c r="AB216" s="18"/>
      <c r="AC216" s="18"/>
      <c r="AD216" s="19"/>
      <c r="AE216" s="19"/>
      <c r="AI216" s="18"/>
      <c r="AJ216" s="7"/>
      <c r="AK216" s="7"/>
      <c r="AL216" s="7"/>
      <c r="AM216" s="7"/>
      <c r="AN216" s="7"/>
      <c r="AO216" s="7"/>
      <c r="AP216" s="7"/>
      <c r="AQ216" s="7"/>
      <c r="AR216" s="7"/>
      <c r="AS216" s="7"/>
      <c r="AT216" s="7"/>
      <c r="AU216" s="7"/>
      <c r="AV216" s="7"/>
      <c r="AW216" s="7"/>
      <c r="AX216" s="7"/>
      <c r="AY216" s="7"/>
      <c r="AZ216" s="7"/>
      <c r="BA216" s="18"/>
      <c r="BG216" s="140"/>
      <c r="BH216" s="131"/>
      <c r="BI216" s="102"/>
      <c r="BJ216" s="102"/>
      <c r="BK216" s="102"/>
      <c r="BL216" s="102"/>
      <c r="BM216" s="99"/>
      <c r="BN216" s="4"/>
      <c r="BO216" s="4"/>
      <c r="BP216" s="5"/>
      <c r="BQ216" s="5"/>
      <c r="BR216" s="99"/>
      <c r="BS216" s="159"/>
      <c r="BT216" s="99"/>
      <c r="BU216" s="99"/>
      <c r="BV216" s="99"/>
      <c r="BW216" s="159"/>
      <c r="BX216" s="99"/>
      <c r="BY216" s="99"/>
      <c r="BZ216" s="159"/>
      <c r="DA216" s="174"/>
      <c r="DB216" s="18"/>
      <c r="DC216" s="18"/>
      <c r="DD216" s="19"/>
      <c r="DE216" s="19"/>
      <c r="DI216" s="18"/>
      <c r="DJ216" s="7"/>
      <c r="DK216" s="7"/>
      <c r="DL216" s="7"/>
      <c r="DM216" s="7"/>
      <c r="DN216" s="7"/>
      <c r="DO216" s="7"/>
      <c r="DP216" s="7"/>
      <c r="DQ216" s="7"/>
      <c r="DR216" s="7"/>
      <c r="DS216" s="7"/>
      <c r="DT216" s="7"/>
      <c r="DU216" s="7"/>
      <c r="DV216" s="7"/>
      <c r="DW216" s="7"/>
      <c r="DX216" s="7"/>
      <c r="DY216" s="7"/>
      <c r="DZ216" s="7"/>
      <c r="EA216" s="161"/>
      <c r="EG216" s="140"/>
      <c r="EH216" s="131"/>
      <c r="EI216" s="102"/>
      <c r="EJ216" s="102"/>
      <c r="EK216" s="102"/>
      <c r="EL216" s="102"/>
      <c r="EM216" s="99"/>
      <c r="EN216" s="4"/>
      <c r="EO216" s="4"/>
      <c r="EP216" s="5"/>
      <c r="EQ216" s="5"/>
      <c r="ER216" s="99"/>
      <c r="ES216" s="159"/>
      <c r="ET216" s="99"/>
      <c r="EU216" s="99"/>
      <c r="EV216" s="99"/>
      <c r="EW216" s="159"/>
      <c r="EX216" s="99"/>
      <c r="EY216" s="99"/>
      <c r="EZ216" s="175"/>
    </row>
    <row r="217" spans="27:156">
      <c r="AA217" s="18"/>
      <c r="AB217" s="18"/>
      <c r="AC217" s="18"/>
      <c r="AD217" s="19"/>
      <c r="AE217" s="19"/>
      <c r="AI217" s="18"/>
      <c r="AJ217" s="7"/>
      <c r="AK217" s="7"/>
      <c r="AL217" s="7"/>
      <c r="AM217" s="7"/>
      <c r="AN217" s="7"/>
      <c r="AO217" s="7"/>
      <c r="AP217" s="7"/>
      <c r="AQ217" s="7"/>
      <c r="AR217" s="7"/>
      <c r="AS217" s="7"/>
      <c r="AT217" s="7"/>
      <c r="AU217" s="7"/>
      <c r="AV217" s="7"/>
      <c r="AW217" s="7"/>
      <c r="AX217" s="7"/>
      <c r="AY217" s="7"/>
      <c r="AZ217" s="7"/>
      <c r="BA217" s="18"/>
      <c r="BG217" s="140"/>
      <c r="BH217" s="131"/>
      <c r="BI217" s="102"/>
      <c r="BJ217" s="102"/>
      <c r="BK217" s="102"/>
      <c r="BL217" s="102"/>
      <c r="BM217" s="99"/>
      <c r="BN217" s="4"/>
      <c r="BO217" s="4"/>
      <c r="BP217" s="5"/>
      <c r="BQ217" s="5"/>
      <c r="BR217" s="99"/>
      <c r="BS217" s="159"/>
      <c r="BT217" s="99"/>
      <c r="BU217" s="99"/>
      <c r="BV217" s="99"/>
      <c r="BW217" s="159"/>
      <c r="BX217" s="99"/>
      <c r="BY217" s="99"/>
      <c r="BZ217" s="159"/>
      <c r="DA217" s="174"/>
      <c r="DB217" s="18"/>
      <c r="DC217" s="18"/>
      <c r="DD217" s="19"/>
      <c r="DE217" s="19"/>
      <c r="DI217" s="18"/>
      <c r="DJ217" s="7"/>
      <c r="DK217" s="7"/>
      <c r="DL217" s="7"/>
      <c r="DM217" s="7"/>
      <c r="DN217" s="7"/>
      <c r="DO217" s="7"/>
      <c r="DP217" s="7"/>
      <c r="DQ217" s="7"/>
      <c r="DR217" s="7"/>
      <c r="DS217" s="7"/>
      <c r="DT217" s="7"/>
      <c r="DU217" s="7"/>
      <c r="DV217" s="7"/>
      <c r="DW217" s="7"/>
      <c r="DX217" s="7"/>
      <c r="DY217" s="7"/>
      <c r="DZ217" s="7"/>
      <c r="EA217" s="161"/>
      <c r="EG217" s="140"/>
      <c r="EH217" s="131"/>
      <c r="EI217" s="102"/>
      <c r="EJ217" s="102"/>
      <c r="EK217" s="102"/>
      <c r="EL217" s="102"/>
      <c r="EM217" s="99"/>
      <c r="EN217" s="4"/>
      <c r="EO217" s="4"/>
      <c r="EP217" s="5"/>
      <c r="EQ217" s="5"/>
      <c r="ER217" s="99"/>
      <c r="ES217" s="159"/>
      <c r="ET217" s="99"/>
      <c r="EU217" s="99"/>
      <c r="EV217" s="99"/>
      <c r="EW217" s="159"/>
      <c r="EX217" s="99"/>
      <c r="EY217" s="99"/>
      <c r="EZ217" s="175"/>
    </row>
    <row r="218" spans="27:156">
      <c r="AA218" s="18"/>
      <c r="AB218" s="18"/>
      <c r="AC218" s="18"/>
      <c r="AD218" s="19"/>
      <c r="AE218" s="19"/>
      <c r="AI218" s="18"/>
      <c r="AJ218" s="7"/>
      <c r="AK218" s="7"/>
      <c r="AL218" s="7"/>
      <c r="AM218" s="7"/>
      <c r="AN218" s="7"/>
      <c r="AO218" s="7"/>
      <c r="AP218" s="7"/>
      <c r="AQ218" s="7"/>
      <c r="AR218" s="7"/>
      <c r="AS218" s="7"/>
      <c r="AT218" s="7"/>
      <c r="AU218" s="7"/>
      <c r="AV218" s="7"/>
      <c r="AW218" s="7"/>
      <c r="AX218" s="7"/>
      <c r="AY218" s="7"/>
      <c r="AZ218" s="7"/>
      <c r="BA218" s="18"/>
      <c r="BG218" s="140"/>
      <c r="BH218" s="131"/>
      <c r="BI218" s="102"/>
      <c r="BJ218" s="102"/>
      <c r="BK218" s="102"/>
      <c r="BL218" s="102"/>
      <c r="BM218" s="99"/>
      <c r="BN218" s="4"/>
      <c r="BO218" s="4"/>
      <c r="BP218" s="5"/>
      <c r="BQ218" s="5"/>
      <c r="BR218" s="99"/>
      <c r="BS218" s="159"/>
      <c r="BT218" s="99"/>
      <c r="BU218" s="99"/>
      <c r="BV218" s="99"/>
      <c r="BW218" s="159"/>
      <c r="BX218" s="99"/>
      <c r="BY218" s="99"/>
      <c r="BZ218" s="159"/>
      <c r="DA218" s="174"/>
      <c r="DB218" s="18"/>
      <c r="DC218" s="18"/>
      <c r="DD218" s="19"/>
      <c r="DE218" s="19"/>
      <c r="DI218" s="18"/>
      <c r="DJ218" s="7"/>
      <c r="DK218" s="7"/>
      <c r="DL218" s="7"/>
      <c r="DM218" s="7"/>
      <c r="DN218" s="7"/>
      <c r="DO218" s="7"/>
      <c r="DP218" s="7"/>
      <c r="DQ218" s="7"/>
      <c r="DR218" s="7"/>
      <c r="DS218" s="7"/>
      <c r="DT218" s="7"/>
      <c r="DU218" s="7"/>
      <c r="DV218" s="7"/>
      <c r="DW218" s="7"/>
      <c r="DX218" s="7"/>
      <c r="DY218" s="7"/>
      <c r="DZ218" s="7"/>
      <c r="EA218" s="161"/>
      <c r="EG218" s="140"/>
      <c r="EH218" s="131"/>
      <c r="EI218" s="102"/>
      <c r="EJ218" s="102"/>
      <c r="EK218" s="102"/>
      <c r="EL218" s="102"/>
      <c r="EM218" s="99"/>
      <c r="EN218" s="4"/>
      <c r="EO218" s="4"/>
      <c r="EP218" s="5"/>
      <c r="EQ218" s="5"/>
      <c r="ER218" s="99"/>
      <c r="ES218" s="159"/>
      <c r="ET218" s="99"/>
      <c r="EU218" s="99"/>
      <c r="EV218" s="99"/>
      <c r="EW218" s="159"/>
      <c r="EX218" s="99"/>
      <c r="EY218" s="99"/>
      <c r="EZ218" s="175"/>
    </row>
    <row r="219" spans="27:156">
      <c r="AA219" s="18"/>
      <c r="AB219" s="18"/>
      <c r="AC219" s="18"/>
      <c r="AD219" s="19"/>
      <c r="AE219" s="19"/>
      <c r="AI219" s="18"/>
      <c r="AJ219" s="7"/>
      <c r="AK219" s="7"/>
      <c r="AL219" s="7"/>
      <c r="AM219" s="7"/>
      <c r="AN219" s="7"/>
      <c r="AO219" s="7"/>
      <c r="AP219" s="7"/>
      <c r="AQ219" s="7"/>
      <c r="AR219" s="7"/>
      <c r="AS219" s="7"/>
      <c r="AT219" s="7"/>
      <c r="AU219" s="7"/>
      <c r="AV219" s="7"/>
      <c r="AW219" s="7"/>
      <c r="AX219" s="7"/>
      <c r="AY219" s="7"/>
      <c r="AZ219" s="7"/>
      <c r="BA219" s="18"/>
      <c r="BG219" s="140"/>
      <c r="BH219" s="131"/>
      <c r="BI219" s="102"/>
      <c r="BJ219" s="102"/>
      <c r="BK219" s="102"/>
      <c r="BL219" s="102"/>
      <c r="BM219" s="99"/>
      <c r="BN219" s="4"/>
      <c r="BO219" s="4"/>
      <c r="BP219" s="5"/>
      <c r="BQ219" s="5"/>
      <c r="BR219" s="99"/>
      <c r="BS219" s="159"/>
      <c r="BT219" s="99"/>
      <c r="BU219" s="99"/>
      <c r="BV219" s="99"/>
      <c r="BW219" s="159"/>
      <c r="BX219" s="99"/>
      <c r="BY219" s="99"/>
      <c r="BZ219" s="159"/>
      <c r="DA219" s="174"/>
      <c r="DB219" s="18"/>
      <c r="DC219" s="18"/>
      <c r="DD219" s="19"/>
      <c r="DE219" s="19"/>
      <c r="DI219" s="18"/>
      <c r="DJ219" s="7"/>
      <c r="DK219" s="7"/>
      <c r="DL219" s="7"/>
      <c r="DM219" s="7"/>
      <c r="DN219" s="7"/>
      <c r="DO219" s="7"/>
      <c r="DP219" s="7"/>
      <c r="DQ219" s="7"/>
      <c r="DR219" s="7"/>
      <c r="DS219" s="7"/>
      <c r="DT219" s="7"/>
      <c r="DU219" s="7"/>
      <c r="DV219" s="7"/>
      <c r="DW219" s="7"/>
      <c r="DX219" s="7"/>
      <c r="DY219" s="7"/>
      <c r="DZ219" s="7"/>
      <c r="EA219" s="161"/>
      <c r="EG219" s="140"/>
      <c r="EH219" s="131"/>
      <c r="EI219" s="102"/>
      <c r="EJ219" s="102"/>
      <c r="EK219" s="102"/>
      <c r="EL219" s="102"/>
      <c r="EM219" s="99"/>
      <c r="EN219" s="4"/>
      <c r="EO219" s="4"/>
      <c r="EP219" s="5"/>
      <c r="EQ219" s="5"/>
      <c r="ER219" s="99"/>
      <c r="ES219" s="159"/>
      <c r="ET219" s="99"/>
      <c r="EU219" s="99"/>
      <c r="EV219" s="99"/>
      <c r="EW219" s="159"/>
      <c r="EX219" s="99"/>
      <c r="EY219" s="99"/>
      <c r="EZ219" s="175"/>
    </row>
    <row r="220" spans="27:156">
      <c r="AA220" s="18"/>
      <c r="AB220" s="18"/>
      <c r="AC220" s="18"/>
      <c r="AD220" s="19"/>
      <c r="AE220" s="19"/>
      <c r="AI220" s="18"/>
      <c r="AJ220" s="7"/>
      <c r="AK220" s="7"/>
      <c r="AL220" s="7"/>
      <c r="AM220" s="7"/>
      <c r="AN220" s="7"/>
      <c r="AO220" s="7"/>
      <c r="AP220" s="7"/>
      <c r="AQ220" s="7"/>
      <c r="AR220" s="7"/>
      <c r="AS220" s="7"/>
      <c r="AT220" s="7"/>
      <c r="AU220" s="7"/>
      <c r="AV220" s="7"/>
      <c r="AW220" s="7"/>
      <c r="AX220" s="7"/>
      <c r="AY220" s="7"/>
      <c r="AZ220" s="7"/>
      <c r="BA220" s="18"/>
      <c r="BG220" s="140"/>
      <c r="BH220" s="131"/>
      <c r="BI220" s="102"/>
      <c r="BJ220" s="102"/>
      <c r="BK220" s="102"/>
      <c r="BL220" s="102"/>
      <c r="BM220" s="99"/>
      <c r="BN220" s="4"/>
      <c r="BO220" s="4"/>
      <c r="BP220" s="5"/>
      <c r="BQ220" s="5"/>
      <c r="BR220" s="99"/>
      <c r="BS220" s="159"/>
      <c r="BT220" s="99"/>
      <c r="BU220" s="99"/>
      <c r="BV220" s="99"/>
      <c r="BW220" s="159"/>
      <c r="BX220" s="99"/>
      <c r="BY220" s="99"/>
      <c r="BZ220" s="159"/>
      <c r="DA220" s="174"/>
      <c r="DB220" s="18"/>
      <c r="DC220" s="18"/>
      <c r="DD220" s="19"/>
      <c r="DE220" s="19"/>
      <c r="DI220" s="18"/>
      <c r="DJ220" s="7"/>
      <c r="DK220" s="7"/>
      <c r="DL220" s="7"/>
      <c r="DM220" s="7"/>
      <c r="DN220" s="7"/>
      <c r="DO220" s="7"/>
      <c r="DP220" s="7"/>
      <c r="DQ220" s="7"/>
      <c r="DR220" s="7"/>
      <c r="DS220" s="7"/>
      <c r="DT220" s="7"/>
      <c r="DU220" s="7"/>
      <c r="DV220" s="7"/>
      <c r="DW220" s="7"/>
      <c r="DX220" s="7"/>
      <c r="DY220" s="7"/>
      <c r="DZ220" s="7"/>
      <c r="EA220" s="161"/>
      <c r="EG220" s="140"/>
      <c r="EH220" s="131"/>
      <c r="EI220" s="102"/>
      <c r="EJ220" s="102"/>
      <c r="EK220" s="102"/>
      <c r="EL220" s="102"/>
      <c r="EM220" s="99"/>
      <c r="EN220" s="4"/>
      <c r="EO220" s="4"/>
      <c r="EP220" s="5"/>
      <c r="EQ220" s="5"/>
      <c r="ER220" s="99"/>
      <c r="ES220" s="159"/>
      <c r="ET220" s="99"/>
      <c r="EU220" s="99"/>
      <c r="EV220" s="99"/>
      <c r="EW220" s="159"/>
      <c r="EX220" s="99"/>
      <c r="EY220" s="99"/>
      <c r="EZ220" s="175"/>
    </row>
    <row r="221" spans="27:156">
      <c r="AA221" s="18"/>
      <c r="AB221" s="18"/>
      <c r="AC221" s="18"/>
      <c r="AD221" s="19"/>
      <c r="AE221" s="19"/>
      <c r="AI221" s="18"/>
      <c r="AJ221" s="7"/>
      <c r="AK221" s="7"/>
      <c r="AL221" s="7"/>
      <c r="AM221" s="7"/>
      <c r="AN221" s="7"/>
      <c r="AO221" s="7"/>
      <c r="AP221" s="7"/>
      <c r="AQ221" s="7"/>
      <c r="AR221" s="7"/>
      <c r="AS221" s="7"/>
      <c r="AT221" s="7"/>
      <c r="AU221" s="7"/>
      <c r="AV221" s="7"/>
      <c r="AW221" s="7"/>
      <c r="AX221" s="7"/>
      <c r="AY221" s="7"/>
      <c r="AZ221" s="7"/>
      <c r="BA221" s="18"/>
      <c r="BG221" s="140"/>
      <c r="BH221" s="131"/>
      <c r="BI221" s="102"/>
      <c r="BJ221" s="102"/>
      <c r="BK221" s="102"/>
      <c r="BL221" s="102"/>
      <c r="BM221" s="99"/>
      <c r="BN221" s="4"/>
      <c r="BO221" s="4"/>
      <c r="BP221" s="5"/>
      <c r="BQ221" s="5"/>
      <c r="BR221" s="99"/>
      <c r="BS221" s="159"/>
      <c r="BT221" s="99"/>
      <c r="BU221" s="99"/>
      <c r="BV221" s="99"/>
      <c r="BW221" s="159"/>
      <c r="BX221" s="99"/>
      <c r="BY221" s="99"/>
      <c r="BZ221" s="159"/>
      <c r="DA221" s="174"/>
      <c r="DB221" s="18"/>
      <c r="DC221" s="18"/>
      <c r="DD221" s="19"/>
      <c r="DE221" s="19"/>
      <c r="DI221" s="18"/>
      <c r="DJ221" s="7"/>
      <c r="DK221" s="7"/>
      <c r="DL221" s="7"/>
      <c r="DM221" s="7"/>
      <c r="DN221" s="7"/>
      <c r="DO221" s="7"/>
      <c r="DP221" s="7"/>
      <c r="DQ221" s="7"/>
      <c r="DR221" s="7"/>
      <c r="DS221" s="7"/>
      <c r="DT221" s="7"/>
      <c r="DU221" s="7"/>
      <c r="DV221" s="7"/>
      <c r="DW221" s="7"/>
      <c r="DX221" s="7"/>
      <c r="DY221" s="7"/>
      <c r="DZ221" s="7"/>
      <c r="EA221" s="161"/>
      <c r="EG221" s="140"/>
      <c r="EH221" s="131"/>
      <c r="EI221" s="102"/>
      <c r="EJ221" s="102"/>
      <c r="EK221" s="102"/>
      <c r="EL221" s="102"/>
      <c r="EM221" s="99"/>
      <c r="EN221" s="4"/>
      <c r="EO221" s="4"/>
      <c r="EP221" s="5"/>
      <c r="EQ221" s="5"/>
      <c r="ER221" s="99"/>
      <c r="ES221" s="159"/>
      <c r="ET221" s="99"/>
      <c r="EU221" s="99"/>
      <c r="EV221" s="99"/>
      <c r="EW221" s="159"/>
      <c r="EX221" s="99"/>
      <c r="EY221" s="99"/>
      <c r="EZ221" s="175"/>
    </row>
    <row r="222" spans="27:156">
      <c r="AA222" s="18"/>
      <c r="AB222" s="18"/>
      <c r="AC222" s="18"/>
      <c r="AD222" s="19"/>
      <c r="AE222" s="19"/>
      <c r="AI222" s="18"/>
      <c r="AJ222" s="7"/>
      <c r="AK222" s="7"/>
      <c r="AL222" s="7"/>
      <c r="AM222" s="7"/>
      <c r="AN222" s="7"/>
      <c r="AO222" s="7"/>
      <c r="AP222" s="7"/>
      <c r="AQ222" s="7"/>
      <c r="AR222" s="7"/>
      <c r="AS222" s="7"/>
      <c r="AT222" s="7"/>
      <c r="AU222" s="7"/>
      <c r="AV222" s="7"/>
      <c r="AW222" s="7"/>
      <c r="AX222" s="7"/>
      <c r="AY222" s="7"/>
      <c r="AZ222" s="7"/>
      <c r="BA222" s="18"/>
      <c r="BG222" s="140"/>
      <c r="BH222" s="131"/>
      <c r="BI222" s="102"/>
      <c r="BJ222" s="102"/>
      <c r="BK222" s="102"/>
      <c r="BL222" s="102"/>
      <c r="BM222" s="99"/>
      <c r="BN222" s="4"/>
      <c r="BO222" s="4"/>
      <c r="BP222" s="5"/>
      <c r="BQ222" s="5"/>
      <c r="BR222" s="99"/>
      <c r="BS222" s="159"/>
      <c r="BT222" s="99"/>
      <c r="BU222" s="99"/>
      <c r="BV222" s="99"/>
      <c r="BW222" s="159"/>
      <c r="BX222" s="99"/>
      <c r="BY222" s="99"/>
      <c r="BZ222" s="159"/>
      <c r="DA222" s="174"/>
      <c r="DB222" s="18"/>
      <c r="DC222" s="18"/>
      <c r="DD222" s="19"/>
      <c r="DE222" s="19"/>
      <c r="DI222" s="18"/>
      <c r="DJ222" s="7"/>
      <c r="DK222" s="7"/>
      <c r="DL222" s="7"/>
      <c r="DM222" s="7"/>
      <c r="DN222" s="7"/>
      <c r="DO222" s="7"/>
      <c r="DP222" s="7"/>
      <c r="DQ222" s="7"/>
      <c r="DR222" s="7"/>
      <c r="DS222" s="7"/>
      <c r="DT222" s="7"/>
      <c r="DU222" s="7"/>
      <c r="DV222" s="7"/>
      <c r="DW222" s="7"/>
      <c r="DX222" s="7"/>
      <c r="DY222" s="7"/>
      <c r="DZ222" s="7"/>
      <c r="EA222" s="161"/>
      <c r="EG222" s="140"/>
      <c r="EH222" s="131"/>
      <c r="EI222" s="102"/>
      <c r="EJ222" s="102"/>
      <c r="EK222" s="102"/>
      <c r="EL222" s="102"/>
      <c r="EM222" s="99"/>
      <c r="EN222" s="4"/>
      <c r="EO222" s="4"/>
      <c r="EP222" s="5"/>
      <c r="EQ222" s="5"/>
      <c r="ER222" s="99"/>
      <c r="ES222" s="159"/>
      <c r="ET222" s="99"/>
      <c r="EU222" s="99"/>
      <c r="EV222" s="99"/>
      <c r="EW222" s="159"/>
      <c r="EX222" s="99"/>
      <c r="EY222" s="99"/>
      <c r="EZ222" s="175"/>
    </row>
    <row r="223" spans="27:156">
      <c r="AA223" s="18"/>
      <c r="AB223" s="18"/>
      <c r="AC223" s="18"/>
      <c r="AD223" s="19"/>
      <c r="AE223" s="19"/>
      <c r="AI223" s="18"/>
      <c r="AJ223" s="7"/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18"/>
      <c r="BG223" s="140"/>
      <c r="BH223" s="131"/>
      <c r="BI223" s="102"/>
      <c r="BJ223" s="102"/>
      <c r="BK223" s="102"/>
      <c r="BL223" s="102"/>
      <c r="BM223" s="99"/>
      <c r="BN223" s="4"/>
      <c r="BO223" s="4"/>
      <c r="BP223" s="5"/>
      <c r="BQ223" s="5"/>
      <c r="BR223" s="99"/>
      <c r="BS223" s="159"/>
      <c r="BT223" s="99"/>
      <c r="BU223" s="99"/>
      <c r="BV223" s="99"/>
      <c r="BW223" s="159"/>
      <c r="BX223" s="99"/>
      <c r="BY223" s="99"/>
      <c r="BZ223" s="159"/>
      <c r="DA223" s="174"/>
      <c r="DB223" s="18"/>
      <c r="DC223" s="18"/>
      <c r="DD223" s="19"/>
      <c r="DE223" s="19"/>
      <c r="DI223" s="18"/>
      <c r="DJ223" s="7"/>
      <c r="DK223" s="7"/>
      <c r="DL223" s="7"/>
      <c r="DM223" s="7"/>
      <c r="DN223" s="7"/>
      <c r="DO223" s="7"/>
      <c r="DP223" s="7"/>
      <c r="DQ223" s="7"/>
      <c r="DR223" s="7"/>
      <c r="DS223" s="7"/>
      <c r="DT223" s="7"/>
      <c r="DU223" s="7"/>
      <c r="DV223" s="7"/>
      <c r="DW223" s="7"/>
      <c r="DX223" s="7"/>
      <c r="DY223" s="7"/>
      <c r="DZ223" s="7"/>
      <c r="EA223" s="161"/>
      <c r="EG223" s="140"/>
      <c r="EH223" s="131"/>
      <c r="EI223" s="102"/>
      <c r="EJ223" s="102"/>
      <c r="EK223" s="102"/>
      <c r="EL223" s="102"/>
      <c r="EM223" s="99"/>
      <c r="EN223" s="4"/>
      <c r="EO223" s="4"/>
      <c r="EP223" s="5"/>
      <c r="EQ223" s="5"/>
      <c r="ER223" s="99"/>
      <c r="ES223" s="159"/>
      <c r="ET223" s="99"/>
      <c r="EU223" s="99"/>
      <c r="EV223" s="99"/>
      <c r="EW223" s="159"/>
      <c r="EX223" s="99"/>
      <c r="EY223" s="99"/>
      <c r="EZ223" s="175"/>
    </row>
    <row r="224" spans="27:156">
      <c r="AA224" s="18"/>
      <c r="AB224" s="18"/>
      <c r="AC224" s="18"/>
      <c r="AD224" s="19"/>
      <c r="AE224" s="19"/>
      <c r="AI224" s="18"/>
      <c r="AJ224" s="7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18"/>
      <c r="BG224" s="140"/>
      <c r="BH224" s="131"/>
      <c r="BI224" s="102"/>
      <c r="BJ224" s="102"/>
      <c r="BK224" s="102"/>
      <c r="BL224" s="102"/>
      <c r="BM224" s="99"/>
      <c r="BN224" s="4"/>
      <c r="BO224" s="4"/>
      <c r="BP224" s="5"/>
      <c r="BQ224" s="5"/>
      <c r="BR224" s="99"/>
      <c r="BS224" s="159"/>
      <c r="BT224" s="99"/>
      <c r="BU224" s="99"/>
      <c r="BV224" s="99"/>
      <c r="BW224" s="159"/>
      <c r="BX224" s="99"/>
      <c r="BY224" s="99"/>
      <c r="BZ224" s="159"/>
      <c r="DA224" s="174"/>
      <c r="DB224" s="18"/>
      <c r="DC224" s="18"/>
      <c r="DD224" s="19"/>
      <c r="DE224" s="19"/>
      <c r="DI224" s="18"/>
      <c r="DJ224" s="7"/>
      <c r="DK224" s="7"/>
      <c r="DL224" s="7"/>
      <c r="DM224" s="7"/>
      <c r="DN224" s="7"/>
      <c r="DO224" s="7"/>
      <c r="DP224" s="7"/>
      <c r="DQ224" s="7"/>
      <c r="DR224" s="7"/>
      <c r="DS224" s="7"/>
      <c r="DT224" s="7"/>
      <c r="DU224" s="7"/>
      <c r="DV224" s="7"/>
      <c r="DW224" s="7"/>
      <c r="DX224" s="7"/>
      <c r="DY224" s="7"/>
      <c r="DZ224" s="7"/>
      <c r="EA224" s="161"/>
      <c r="EG224" s="140"/>
      <c r="EH224" s="131"/>
      <c r="EI224" s="102"/>
      <c r="EJ224" s="102"/>
      <c r="EK224" s="102"/>
      <c r="EL224" s="102"/>
      <c r="EM224" s="99"/>
      <c r="EN224" s="4"/>
      <c r="EO224" s="4"/>
      <c r="EP224" s="5"/>
      <c r="EQ224" s="5"/>
      <c r="ER224" s="99"/>
      <c r="ES224" s="159"/>
      <c r="ET224" s="99"/>
      <c r="EU224" s="99"/>
      <c r="EV224" s="99"/>
      <c r="EW224" s="159"/>
      <c r="EX224" s="99"/>
      <c r="EY224" s="99"/>
      <c r="EZ224" s="175"/>
    </row>
    <row r="225" spans="27:156">
      <c r="AA225" s="18"/>
      <c r="AB225" s="18"/>
      <c r="AC225" s="18"/>
      <c r="AD225" s="19"/>
      <c r="AE225" s="19"/>
      <c r="AI225" s="18"/>
      <c r="AJ225" s="7"/>
      <c r="AK225" s="7"/>
      <c r="AL225" s="7"/>
      <c r="AM225" s="7"/>
      <c r="AN225" s="7"/>
      <c r="AO225" s="7"/>
      <c r="AP225" s="7"/>
      <c r="AQ225" s="7"/>
      <c r="AR225" s="7"/>
      <c r="AS225" s="7"/>
      <c r="AT225" s="7"/>
      <c r="AU225" s="7"/>
      <c r="AV225" s="7"/>
      <c r="AW225" s="7"/>
      <c r="AX225" s="7"/>
      <c r="AY225" s="7"/>
      <c r="AZ225" s="7"/>
      <c r="BA225" s="18"/>
      <c r="BG225" s="140"/>
      <c r="BH225" s="131"/>
      <c r="BI225" s="102"/>
      <c r="BJ225" s="102"/>
      <c r="BK225" s="102"/>
      <c r="BL225" s="102"/>
      <c r="BM225" s="99"/>
      <c r="BN225" s="4"/>
      <c r="BO225" s="4"/>
      <c r="BP225" s="5"/>
      <c r="BQ225" s="5"/>
      <c r="BR225" s="99"/>
      <c r="BS225" s="159"/>
      <c r="BT225" s="99"/>
      <c r="BU225" s="99"/>
      <c r="BV225" s="99"/>
      <c r="BW225" s="159"/>
      <c r="BX225" s="99"/>
      <c r="BY225" s="99"/>
      <c r="BZ225" s="159"/>
      <c r="DA225" s="174"/>
      <c r="DB225" s="18"/>
      <c r="DC225" s="18"/>
      <c r="DD225" s="19"/>
      <c r="DE225" s="19"/>
      <c r="DI225" s="18"/>
      <c r="DJ225" s="7"/>
      <c r="DK225" s="7"/>
      <c r="DL225" s="7"/>
      <c r="DM225" s="7"/>
      <c r="DN225" s="7"/>
      <c r="DO225" s="7"/>
      <c r="DP225" s="7"/>
      <c r="DQ225" s="7"/>
      <c r="DR225" s="7"/>
      <c r="DS225" s="7"/>
      <c r="DT225" s="7"/>
      <c r="DU225" s="7"/>
      <c r="DV225" s="7"/>
      <c r="DW225" s="7"/>
      <c r="DX225" s="7"/>
      <c r="DY225" s="7"/>
      <c r="DZ225" s="7"/>
      <c r="EA225" s="161"/>
      <c r="EG225" s="140"/>
      <c r="EH225" s="131"/>
      <c r="EI225" s="102"/>
      <c r="EJ225" s="102"/>
      <c r="EK225" s="102"/>
      <c r="EL225" s="102"/>
      <c r="EM225" s="99"/>
      <c r="EN225" s="4"/>
      <c r="EO225" s="4"/>
      <c r="EP225" s="5"/>
      <c r="EQ225" s="5"/>
      <c r="ER225" s="99"/>
      <c r="ES225" s="159"/>
      <c r="ET225" s="99"/>
      <c r="EU225" s="99"/>
      <c r="EV225" s="99"/>
      <c r="EW225" s="159"/>
      <c r="EX225" s="99"/>
      <c r="EY225" s="99"/>
      <c r="EZ225" s="175"/>
    </row>
    <row r="226" spans="27:156">
      <c r="AA226" s="18"/>
      <c r="AB226" s="18"/>
      <c r="AC226" s="18"/>
      <c r="AD226" s="19"/>
      <c r="AE226" s="19"/>
      <c r="AI226" s="18"/>
      <c r="AJ226" s="7"/>
      <c r="AK226" s="7"/>
      <c r="AL226" s="7"/>
      <c r="AM226" s="7"/>
      <c r="AN226" s="7"/>
      <c r="AO226" s="7"/>
      <c r="AP226" s="7"/>
      <c r="AQ226" s="7"/>
      <c r="AR226" s="7"/>
      <c r="AS226" s="7"/>
      <c r="AT226" s="7"/>
      <c r="AU226" s="7"/>
      <c r="AV226" s="7"/>
      <c r="AW226" s="7"/>
      <c r="AX226" s="7"/>
      <c r="AY226" s="7"/>
      <c r="AZ226" s="7"/>
      <c r="BA226" s="18"/>
      <c r="BG226" s="140"/>
      <c r="BH226" s="131"/>
      <c r="BI226" s="102"/>
      <c r="BJ226" s="102"/>
      <c r="BK226" s="102"/>
      <c r="BL226" s="102"/>
      <c r="BM226" s="99"/>
      <c r="BN226" s="4"/>
      <c r="BO226" s="4"/>
      <c r="BP226" s="5"/>
      <c r="BQ226" s="5"/>
      <c r="BR226" s="99"/>
      <c r="BS226" s="159"/>
      <c r="BT226" s="99"/>
      <c r="BU226" s="99"/>
      <c r="BV226" s="99"/>
      <c r="BW226" s="159"/>
      <c r="BX226" s="99"/>
      <c r="BY226" s="99"/>
      <c r="BZ226" s="159"/>
      <c r="DA226" s="174"/>
      <c r="DB226" s="18"/>
      <c r="DC226" s="18"/>
      <c r="DD226" s="19"/>
      <c r="DE226" s="19"/>
      <c r="DI226" s="18"/>
      <c r="DJ226" s="7"/>
      <c r="DK226" s="7"/>
      <c r="DL226" s="7"/>
      <c r="DM226" s="7"/>
      <c r="DN226" s="7"/>
      <c r="DO226" s="7"/>
      <c r="DP226" s="7"/>
      <c r="DQ226" s="7"/>
      <c r="DR226" s="7"/>
      <c r="DS226" s="7"/>
      <c r="DT226" s="7"/>
      <c r="DU226" s="7"/>
      <c r="DV226" s="7"/>
      <c r="DW226" s="7"/>
      <c r="DX226" s="7"/>
      <c r="DY226" s="7"/>
      <c r="DZ226" s="7"/>
      <c r="EA226" s="161"/>
      <c r="EG226" s="140"/>
      <c r="EH226" s="131"/>
      <c r="EI226" s="102"/>
      <c r="EJ226" s="102"/>
      <c r="EK226" s="102"/>
      <c r="EL226" s="102"/>
      <c r="EM226" s="99"/>
      <c r="EN226" s="4"/>
      <c r="EO226" s="4"/>
      <c r="EP226" s="5"/>
      <c r="EQ226" s="5"/>
      <c r="ER226" s="99"/>
      <c r="ES226" s="159"/>
      <c r="ET226" s="99"/>
      <c r="EU226" s="99"/>
      <c r="EV226" s="99"/>
      <c r="EW226" s="159"/>
      <c r="EX226" s="99"/>
      <c r="EY226" s="99"/>
      <c r="EZ226" s="175"/>
    </row>
    <row r="227" spans="27:156">
      <c r="AA227" s="18"/>
      <c r="AB227" s="18"/>
      <c r="AC227" s="18"/>
      <c r="AD227" s="19"/>
      <c r="AE227" s="19"/>
      <c r="AI227" s="18"/>
      <c r="AJ227" s="7"/>
      <c r="AK227" s="7"/>
      <c r="AL227" s="7"/>
      <c r="AM227" s="7"/>
      <c r="AN227" s="7"/>
      <c r="AO227" s="7"/>
      <c r="AP227" s="7"/>
      <c r="AQ227" s="7"/>
      <c r="AR227" s="7"/>
      <c r="AS227" s="7"/>
      <c r="AT227" s="7"/>
      <c r="AU227" s="7"/>
      <c r="AV227" s="7"/>
      <c r="AW227" s="7"/>
      <c r="AX227" s="7"/>
      <c r="AY227" s="7"/>
      <c r="AZ227" s="7"/>
      <c r="BA227" s="18"/>
      <c r="BG227" s="140"/>
      <c r="BH227" s="131"/>
      <c r="BI227" s="102"/>
      <c r="BJ227" s="102"/>
      <c r="BK227" s="102"/>
      <c r="BL227" s="102"/>
      <c r="BM227" s="99"/>
      <c r="BN227" s="4"/>
      <c r="BO227" s="4"/>
      <c r="BP227" s="5"/>
      <c r="BQ227" s="5"/>
      <c r="BR227" s="99"/>
      <c r="BS227" s="159"/>
      <c r="BT227" s="99"/>
      <c r="BU227" s="99"/>
      <c r="BV227" s="99"/>
      <c r="BW227" s="159"/>
      <c r="BX227" s="99"/>
      <c r="BY227" s="99"/>
      <c r="BZ227" s="159"/>
      <c r="DA227" s="174"/>
      <c r="DB227" s="18"/>
      <c r="DC227" s="18"/>
      <c r="DD227" s="19"/>
      <c r="DE227" s="19"/>
      <c r="DI227" s="18"/>
      <c r="DJ227" s="7"/>
      <c r="DK227" s="7"/>
      <c r="DL227" s="7"/>
      <c r="DM227" s="7"/>
      <c r="DN227" s="7"/>
      <c r="DO227" s="7"/>
      <c r="DP227" s="7"/>
      <c r="DQ227" s="7"/>
      <c r="DR227" s="7"/>
      <c r="DS227" s="7"/>
      <c r="DT227" s="7"/>
      <c r="DU227" s="7"/>
      <c r="DV227" s="7"/>
      <c r="DW227" s="7"/>
      <c r="DX227" s="7"/>
      <c r="DY227" s="7"/>
      <c r="DZ227" s="7"/>
      <c r="EA227" s="161"/>
      <c r="EG227" s="140"/>
      <c r="EH227" s="131"/>
      <c r="EI227" s="102"/>
      <c r="EJ227" s="102"/>
      <c r="EK227" s="102"/>
      <c r="EL227" s="102"/>
      <c r="EM227" s="99"/>
      <c r="EN227" s="4"/>
      <c r="EO227" s="4"/>
      <c r="EP227" s="5"/>
      <c r="EQ227" s="5"/>
      <c r="ER227" s="99"/>
      <c r="ES227" s="159"/>
      <c r="ET227" s="99"/>
      <c r="EU227" s="99"/>
      <c r="EV227" s="99"/>
      <c r="EW227" s="159"/>
      <c r="EX227" s="99"/>
      <c r="EY227" s="99"/>
      <c r="EZ227" s="175"/>
    </row>
    <row r="228" spans="27:156">
      <c r="AA228" s="18"/>
      <c r="AB228" s="18"/>
      <c r="AC228" s="18"/>
      <c r="AD228" s="19"/>
      <c r="AE228" s="19"/>
      <c r="AI228" s="18"/>
      <c r="AJ228" s="7"/>
      <c r="AK228" s="7"/>
      <c r="AL228" s="7"/>
      <c r="AM228" s="7"/>
      <c r="AN228" s="7"/>
      <c r="AO228" s="7"/>
      <c r="AP228" s="7"/>
      <c r="AQ228" s="7"/>
      <c r="AR228" s="7"/>
      <c r="AS228" s="7"/>
      <c r="AT228" s="7"/>
      <c r="AU228" s="7"/>
      <c r="AV228" s="7"/>
      <c r="AW228" s="7"/>
      <c r="AX228" s="7"/>
      <c r="AY228" s="7"/>
      <c r="AZ228" s="7"/>
      <c r="BA228" s="18"/>
      <c r="BG228" s="140"/>
      <c r="BH228" s="131"/>
      <c r="BI228" s="102"/>
      <c r="BJ228" s="102"/>
      <c r="BK228" s="102"/>
      <c r="BL228" s="102"/>
      <c r="BM228" s="99"/>
      <c r="BN228" s="4"/>
      <c r="BO228" s="4"/>
      <c r="BP228" s="5"/>
      <c r="BQ228" s="5"/>
      <c r="BR228" s="99"/>
      <c r="BS228" s="159"/>
      <c r="BT228" s="99"/>
      <c r="BU228" s="99"/>
      <c r="BV228" s="99"/>
      <c r="BW228" s="159"/>
      <c r="BX228" s="99"/>
      <c r="BY228" s="99"/>
      <c r="BZ228" s="159"/>
      <c r="DA228" s="174"/>
      <c r="DB228" s="18"/>
      <c r="DC228" s="18"/>
      <c r="DD228" s="19"/>
      <c r="DE228" s="19"/>
      <c r="DI228" s="18"/>
      <c r="DJ228" s="7"/>
      <c r="DK228" s="7"/>
      <c r="DL228" s="7"/>
      <c r="DM228" s="7"/>
      <c r="DN228" s="7"/>
      <c r="DO228" s="7"/>
      <c r="DP228" s="7"/>
      <c r="DQ228" s="7"/>
      <c r="DR228" s="7"/>
      <c r="DS228" s="7"/>
      <c r="DT228" s="7"/>
      <c r="DU228" s="7"/>
      <c r="DV228" s="7"/>
      <c r="DW228" s="7"/>
      <c r="DX228" s="7"/>
      <c r="DY228" s="7"/>
      <c r="DZ228" s="7"/>
      <c r="EA228" s="161"/>
      <c r="EG228" s="140"/>
      <c r="EH228" s="131"/>
      <c r="EI228" s="102"/>
      <c r="EJ228" s="102"/>
      <c r="EK228" s="102"/>
      <c r="EL228" s="102"/>
      <c r="EM228" s="99"/>
      <c r="EN228" s="4"/>
      <c r="EO228" s="4"/>
      <c r="EP228" s="5"/>
      <c r="EQ228" s="5"/>
      <c r="ER228" s="99"/>
      <c r="ES228" s="159"/>
      <c r="ET228" s="99"/>
      <c r="EU228" s="99"/>
      <c r="EV228" s="99"/>
      <c r="EW228" s="159"/>
      <c r="EX228" s="99"/>
      <c r="EY228" s="99"/>
      <c r="EZ228" s="175"/>
    </row>
    <row r="229" spans="27:156">
      <c r="AA229" s="18"/>
      <c r="AB229" s="18"/>
      <c r="AC229" s="18"/>
      <c r="AD229" s="19"/>
      <c r="AE229" s="19"/>
      <c r="AI229" s="18"/>
      <c r="AJ229" s="7"/>
      <c r="AK229" s="7"/>
      <c r="AL229" s="7"/>
      <c r="AM229" s="7"/>
      <c r="AN229" s="7"/>
      <c r="AO229" s="7"/>
      <c r="AP229" s="7"/>
      <c r="AQ229" s="7"/>
      <c r="AR229" s="7"/>
      <c r="AS229" s="7"/>
      <c r="AT229" s="7"/>
      <c r="AU229" s="7"/>
      <c r="AV229" s="7"/>
      <c r="AW229" s="7"/>
      <c r="AX229" s="7"/>
      <c r="AY229" s="7"/>
      <c r="AZ229" s="7"/>
      <c r="BA229" s="18"/>
      <c r="BG229" s="140"/>
      <c r="BH229" s="131"/>
      <c r="BI229" s="102"/>
      <c r="BJ229" s="102"/>
      <c r="BK229" s="102"/>
      <c r="BL229" s="102"/>
      <c r="BM229" s="99"/>
      <c r="BN229" s="4"/>
      <c r="BO229" s="4"/>
      <c r="BP229" s="5"/>
      <c r="BQ229" s="5"/>
      <c r="BR229" s="99"/>
      <c r="BS229" s="159"/>
      <c r="BT229" s="99"/>
      <c r="BU229" s="99"/>
      <c r="BV229" s="99"/>
      <c r="BW229" s="159"/>
      <c r="BX229" s="99"/>
      <c r="BY229" s="99"/>
      <c r="BZ229" s="159"/>
      <c r="DA229" s="174"/>
      <c r="DB229" s="18"/>
      <c r="DC229" s="18"/>
      <c r="DD229" s="19"/>
      <c r="DE229" s="19"/>
      <c r="DI229" s="18"/>
      <c r="DJ229" s="7"/>
      <c r="DK229" s="7"/>
      <c r="DL229" s="7"/>
      <c r="DM229" s="7"/>
      <c r="DN229" s="7"/>
      <c r="DO229" s="7"/>
      <c r="DP229" s="7"/>
      <c r="DQ229" s="7"/>
      <c r="DR229" s="7"/>
      <c r="DS229" s="7"/>
      <c r="DT229" s="7"/>
      <c r="DU229" s="7"/>
      <c r="DV229" s="7"/>
      <c r="DW229" s="7"/>
      <c r="DX229" s="7"/>
      <c r="DY229" s="7"/>
      <c r="DZ229" s="7"/>
      <c r="EA229" s="161"/>
      <c r="EG229" s="140"/>
      <c r="EH229" s="131"/>
      <c r="EI229" s="102"/>
      <c r="EJ229" s="102"/>
      <c r="EK229" s="102"/>
      <c r="EL229" s="102"/>
      <c r="EM229" s="99"/>
      <c r="EN229" s="4"/>
      <c r="EO229" s="4"/>
      <c r="EP229" s="5"/>
      <c r="EQ229" s="5"/>
      <c r="ER229" s="99"/>
      <c r="ES229" s="159"/>
      <c r="ET229" s="99"/>
      <c r="EU229" s="99"/>
      <c r="EV229" s="99"/>
      <c r="EW229" s="159"/>
      <c r="EX229" s="99"/>
      <c r="EY229" s="99"/>
      <c r="EZ229" s="175"/>
    </row>
    <row r="230" spans="27:156">
      <c r="AA230" s="18"/>
      <c r="AB230" s="18"/>
      <c r="AC230" s="18"/>
      <c r="AD230" s="19"/>
      <c r="AE230" s="19"/>
      <c r="AI230" s="18"/>
      <c r="AJ230" s="7"/>
      <c r="AK230" s="7"/>
      <c r="AL230" s="7"/>
      <c r="AM230" s="7"/>
      <c r="AN230" s="7"/>
      <c r="AO230" s="7"/>
      <c r="AP230" s="7"/>
      <c r="AQ230" s="7"/>
      <c r="AR230" s="7"/>
      <c r="AS230" s="7"/>
      <c r="AT230" s="7"/>
      <c r="AU230" s="7"/>
      <c r="AV230" s="7"/>
      <c r="AW230" s="7"/>
      <c r="AX230" s="7"/>
      <c r="AY230" s="7"/>
      <c r="AZ230" s="7"/>
      <c r="BA230" s="18"/>
      <c r="BG230" s="140"/>
      <c r="BH230" s="131"/>
      <c r="BI230" s="102"/>
      <c r="BJ230" s="102"/>
      <c r="BK230" s="102"/>
      <c r="BL230" s="102"/>
      <c r="BM230" s="99"/>
      <c r="BN230" s="4"/>
      <c r="BO230" s="4"/>
      <c r="BP230" s="5"/>
      <c r="BQ230" s="5"/>
      <c r="BR230" s="99"/>
      <c r="BS230" s="159"/>
      <c r="BT230" s="99"/>
      <c r="BU230" s="99"/>
      <c r="BV230" s="99"/>
      <c r="BW230" s="159"/>
      <c r="BX230" s="99"/>
      <c r="BY230" s="99"/>
      <c r="BZ230" s="159"/>
      <c r="DA230" s="174"/>
      <c r="DB230" s="18"/>
      <c r="DC230" s="18"/>
      <c r="DD230" s="19"/>
      <c r="DE230" s="19"/>
      <c r="DI230" s="18"/>
      <c r="DJ230" s="7"/>
      <c r="DK230" s="7"/>
      <c r="DL230" s="7"/>
      <c r="DM230" s="7"/>
      <c r="DN230" s="7"/>
      <c r="DO230" s="7"/>
      <c r="DP230" s="7"/>
      <c r="DQ230" s="7"/>
      <c r="DR230" s="7"/>
      <c r="DS230" s="7"/>
      <c r="DT230" s="7"/>
      <c r="DU230" s="7"/>
      <c r="DV230" s="7"/>
      <c r="DW230" s="7"/>
      <c r="DX230" s="7"/>
      <c r="DY230" s="7"/>
      <c r="DZ230" s="7"/>
      <c r="EA230" s="161"/>
      <c r="EG230" s="140"/>
      <c r="EH230" s="131"/>
      <c r="EI230" s="102"/>
      <c r="EJ230" s="102"/>
      <c r="EK230" s="102"/>
      <c r="EL230" s="102"/>
      <c r="EM230" s="99"/>
      <c r="EN230" s="4"/>
      <c r="EO230" s="4"/>
      <c r="EP230" s="5"/>
      <c r="EQ230" s="5"/>
      <c r="ER230" s="99"/>
      <c r="ES230" s="159"/>
      <c r="ET230" s="99"/>
      <c r="EU230" s="99"/>
      <c r="EV230" s="99"/>
      <c r="EW230" s="159"/>
      <c r="EX230" s="99"/>
      <c r="EY230" s="99"/>
      <c r="EZ230" s="175"/>
    </row>
    <row r="231" spans="27:156">
      <c r="AA231" s="18"/>
      <c r="AB231" s="18"/>
      <c r="AC231" s="18"/>
      <c r="AD231" s="19"/>
      <c r="AE231" s="19"/>
      <c r="AI231" s="18"/>
      <c r="AJ231" s="7"/>
      <c r="AK231" s="7"/>
      <c r="AL231" s="7"/>
      <c r="AM231" s="7"/>
      <c r="AN231" s="7"/>
      <c r="AO231" s="7"/>
      <c r="AP231" s="7"/>
      <c r="AQ231" s="7"/>
      <c r="AR231" s="7"/>
      <c r="AS231" s="7"/>
      <c r="AT231" s="7"/>
      <c r="AU231" s="7"/>
      <c r="AV231" s="7"/>
      <c r="AW231" s="7"/>
      <c r="AX231" s="7"/>
      <c r="AY231" s="7"/>
      <c r="AZ231" s="7"/>
      <c r="BA231" s="18"/>
      <c r="BG231" s="140"/>
      <c r="BH231" s="131"/>
      <c r="BI231" s="102"/>
      <c r="BJ231" s="102"/>
      <c r="BK231" s="102"/>
      <c r="BL231" s="102"/>
      <c r="BM231" s="99"/>
      <c r="BN231" s="4"/>
      <c r="BO231" s="4"/>
      <c r="BP231" s="5"/>
      <c r="BQ231" s="5"/>
      <c r="BR231" s="99"/>
      <c r="BS231" s="159"/>
      <c r="BT231" s="99"/>
      <c r="BU231" s="99"/>
      <c r="BV231" s="99"/>
      <c r="BW231" s="159"/>
      <c r="BX231" s="99"/>
      <c r="BY231" s="99"/>
      <c r="BZ231" s="159"/>
      <c r="DA231" s="174"/>
      <c r="DB231" s="18"/>
      <c r="DC231" s="18"/>
      <c r="DD231" s="19"/>
      <c r="DE231" s="19"/>
      <c r="DI231" s="18"/>
      <c r="DJ231" s="7"/>
      <c r="DK231" s="7"/>
      <c r="DL231" s="7"/>
      <c r="DM231" s="7"/>
      <c r="DN231" s="7"/>
      <c r="DO231" s="7"/>
      <c r="DP231" s="7"/>
      <c r="DQ231" s="7"/>
      <c r="DR231" s="7"/>
      <c r="DS231" s="7"/>
      <c r="DT231" s="7"/>
      <c r="DU231" s="7"/>
      <c r="DV231" s="7"/>
      <c r="DW231" s="7"/>
      <c r="DX231" s="7"/>
      <c r="DY231" s="7"/>
      <c r="DZ231" s="7"/>
      <c r="EA231" s="161"/>
      <c r="EG231" s="140"/>
      <c r="EH231" s="131"/>
      <c r="EI231" s="102"/>
      <c r="EJ231" s="102"/>
      <c r="EK231" s="102"/>
      <c r="EL231" s="102"/>
      <c r="EM231" s="99"/>
      <c r="EN231" s="4"/>
      <c r="EO231" s="4"/>
      <c r="EP231" s="5"/>
      <c r="EQ231" s="5"/>
      <c r="ER231" s="99"/>
      <c r="ES231" s="159"/>
      <c r="ET231" s="99"/>
      <c r="EU231" s="99"/>
      <c r="EV231" s="99"/>
      <c r="EW231" s="159"/>
      <c r="EX231" s="99"/>
      <c r="EY231" s="99"/>
      <c r="EZ231" s="175"/>
    </row>
    <row r="232" spans="27:156">
      <c r="AA232" s="18"/>
      <c r="AB232" s="18"/>
      <c r="AC232" s="18"/>
      <c r="AD232" s="19"/>
      <c r="AE232" s="19"/>
      <c r="AI232" s="18"/>
      <c r="AJ232" s="7"/>
      <c r="AK232" s="7"/>
      <c r="AL232" s="7"/>
      <c r="AM232" s="7"/>
      <c r="AN232" s="7"/>
      <c r="AO232" s="7"/>
      <c r="AP232" s="7"/>
      <c r="AQ232" s="7"/>
      <c r="AR232" s="7"/>
      <c r="AS232" s="7"/>
      <c r="AT232" s="7"/>
      <c r="AU232" s="7"/>
      <c r="AV232" s="7"/>
      <c r="AW232" s="7"/>
      <c r="AX232" s="7"/>
      <c r="AY232" s="7"/>
      <c r="AZ232" s="7"/>
      <c r="BA232" s="18"/>
      <c r="BG232" s="140"/>
      <c r="BH232" s="131"/>
      <c r="BI232" s="102"/>
      <c r="BJ232" s="102"/>
      <c r="BK232" s="102"/>
      <c r="BL232" s="102"/>
      <c r="BM232" s="99"/>
      <c r="BN232" s="4"/>
      <c r="BO232" s="4"/>
      <c r="BP232" s="5"/>
      <c r="BQ232" s="5"/>
      <c r="BR232" s="99"/>
      <c r="BS232" s="159"/>
      <c r="BT232" s="99"/>
      <c r="BU232" s="99"/>
      <c r="BV232" s="99"/>
      <c r="BW232" s="159"/>
      <c r="BX232" s="99"/>
      <c r="BY232" s="99"/>
      <c r="BZ232" s="159"/>
      <c r="DA232" s="174"/>
      <c r="DB232" s="18"/>
      <c r="DC232" s="18"/>
      <c r="DD232" s="19"/>
      <c r="DE232" s="19"/>
      <c r="DI232" s="18"/>
      <c r="DJ232" s="7"/>
      <c r="DK232" s="7"/>
      <c r="DL232" s="7"/>
      <c r="DM232" s="7"/>
      <c r="DN232" s="7"/>
      <c r="DO232" s="7"/>
      <c r="DP232" s="7"/>
      <c r="DQ232" s="7"/>
      <c r="DR232" s="7"/>
      <c r="DS232" s="7"/>
      <c r="DT232" s="7"/>
      <c r="DU232" s="7"/>
      <c r="DV232" s="7"/>
      <c r="DW232" s="7"/>
      <c r="DX232" s="7"/>
      <c r="DY232" s="7"/>
      <c r="DZ232" s="7"/>
      <c r="EA232" s="161"/>
      <c r="EG232" s="140"/>
      <c r="EH232" s="131"/>
      <c r="EI232" s="102"/>
      <c r="EJ232" s="102"/>
      <c r="EK232" s="102"/>
      <c r="EL232" s="102"/>
      <c r="EM232" s="99"/>
      <c r="EN232" s="4"/>
      <c r="EO232" s="4"/>
      <c r="EP232" s="5"/>
      <c r="EQ232" s="5"/>
      <c r="ER232" s="99"/>
      <c r="ES232" s="159"/>
      <c r="ET232" s="99"/>
      <c r="EU232" s="99"/>
      <c r="EV232" s="99"/>
      <c r="EW232" s="159"/>
      <c r="EX232" s="99"/>
      <c r="EY232" s="99"/>
      <c r="EZ232" s="175"/>
    </row>
    <row r="233" spans="27:156">
      <c r="AA233" s="18"/>
      <c r="AB233" s="18"/>
      <c r="AC233" s="18"/>
      <c r="AD233" s="19"/>
      <c r="AE233" s="19"/>
      <c r="AI233" s="18"/>
      <c r="AJ233" s="7"/>
      <c r="AK233" s="7"/>
      <c r="AL233" s="7"/>
      <c r="AM233" s="7"/>
      <c r="AN233" s="7"/>
      <c r="AO233" s="7"/>
      <c r="AP233" s="7"/>
      <c r="AQ233" s="7"/>
      <c r="AR233" s="7"/>
      <c r="AS233" s="7"/>
      <c r="AT233" s="7"/>
      <c r="AU233" s="7"/>
      <c r="AV233" s="7"/>
      <c r="AW233" s="7"/>
      <c r="AX233" s="7"/>
      <c r="AY233" s="7"/>
      <c r="AZ233" s="7"/>
      <c r="BA233" s="18"/>
      <c r="BG233" s="140"/>
      <c r="BH233" s="131"/>
      <c r="BI233" s="102"/>
      <c r="BJ233" s="102"/>
      <c r="BK233" s="102"/>
      <c r="BL233" s="102"/>
      <c r="BM233" s="99"/>
      <c r="BN233" s="4"/>
      <c r="BO233" s="4"/>
      <c r="BP233" s="5"/>
      <c r="BQ233" s="5"/>
      <c r="BR233" s="99"/>
      <c r="BS233" s="159"/>
      <c r="BT233" s="99"/>
      <c r="BU233" s="99"/>
      <c r="BV233" s="99"/>
      <c r="BW233" s="159"/>
      <c r="BX233" s="99"/>
      <c r="BY233" s="99"/>
      <c r="BZ233" s="159"/>
      <c r="DA233" s="174"/>
      <c r="DB233" s="18"/>
      <c r="DC233" s="18"/>
      <c r="DD233" s="19"/>
      <c r="DE233" s="19"/>
      <c r="DI233" s="18"/>
      <c r="DJ233" s="7"/>
      <c r="DK233" s="7"/>
      <c r="DL233" s="7"/>
      <c r="DM233" s="7"/>
      <c r="DN233" s="7"/>
      <c r="DO233" s="7"/>
      <c r="DP233" s="7"/>
      <c r="DQ233" s="7"/>
      <c r="DR233" s="7"/>
      <c r="DS233" s="7"/>
      <c r="DT233" s="7"/>
      <c r="DU233" s="7"/>
      <c r="DV233" s="7"/>
      <c r="DW233" s="7"/>
      <c r="DX233" s="7"/>
      <c r="DY233" s="7"/>
      <c r="DZ233" s="7"/>
      <c r="EA233" s="161"/>
      <c r="EG233" s="140"/>
      <c r="EH233" s="131"/>
      <c r="EI233" s="102"/>
      <c r="EJ233" s="102"/>
      <c r="EK233" s="102"/>
      <c r="EL233" s="102"/>
      <c r="EM233" s="99"/>
      <c r="EN233" s="4"/>
      <c r="EO233" s="4"/>
      <c r="EP233" s="5"/>
      <c r="EQ233" s="5"/>
      <c r="ER233" s="99"/>
      <c r="ES233" s="159"/>
      <c r="ET233" s="99"/>
      <c r="EU233" s="99"/>
      <c r="EV233" s="99"/>
      <c r="EW233" s="159"/>
      <c r="EX233" s="99"/>
      <c r="EY233" s="99"/>
      <c r="EZ233" s="175"/>
    </row>
    <row r="234" spans="27:156">
      <c r="AA234" s="18"/>
      <c r="AB234" s="18"/>
      <c r="AC234" s="18"/>
      <c r="AD234" s="19"/>
      <c r="AE234" s="19"/>
      <c r="AI234" s="18"/>
      <c r="AJ234" s="7"/>
      <c r="AK234" s="7"/>
      <c r="AL234" s="7"/>
      <c r="AM234" s="7"/>
      <c r="AN234" s="7"/>
      <c r="AO234" s="7"/>
      <c r="AP234" s="7"/>
      <c r="AQ234" s="7"/>
      <c r="AR234" s="7"/>
      <c r="AS234" s="7"/>
      <c r="AT234" s="7"/>
      <c r="AU234" s="7"/>
      <c r="AV234" s="7"/>
      <c r="AW234" s="7"/>
      <c r="AX234" s="7"/>
      <c r="AY234" s="7"/>
      <c r="AZ234" s="7"/>
      <c r="BA234" s="18"/>
      <c r="BG234" s="140"/>
      <c r="BH234" s="131"/>
      <c r="BI234" s="102"/>
      <c r="BJ234" s="102"/>
      <c r="BK234" s="102"/>
      <c r="BL234" s="102"/>
      <c r="BM234" s="99"/>
      <c r="BN234" s="4"/>
      <c r="BO234" s="4"/>
      <c r="BP234" s="5"/>
      <c r="BQ234" s="5"/>
      <c r="BR234" s="99"/>
      <c r="BS234" s="159"/>
      <c r="BT234" s="99"/>
      <c r="BU234" s="99"/>
      <c r="BV234" s="99"/>
      <c r="BW234" s="159"/>
      <c r="BX234" s="99"/>
      <c r="BY234" s="99"/>
      <c r="BZ234" s="159"/>
      <c r="DA234" s="174"/>
      <c r="DB234" s="18"/>
      <c r="DC234" s="18"/>
      <c r="DD234" s="19"/>
      <c r="DE234" s="19"/>
      <c r="DI234" s="18"/>
      <c r="DJ234" s="7"/>
      <c r="DK234" s="7"/>
      <c r="DL234" s="7"/>
      <c r="DM234" s="7"/>
      <c r="DN234" s="7"/>
      <c r="DO234" s="7"/>
      <c r="DP234" s="7"/>
      <c r="DQ234" s="7"/>
      <c r="DR234" s="7"/>
      <c r="DS234" s="7"/>
      <c r="DT234" s="7"/>
      <c r="DU234" s="7"/>
      <c r="DV234" s="7"/>
      <c r="DW234" s="7"/>
      <c r="DX234" s="7"/>
      <c r="DY234" s="7"/>
      <c r="DZ234" s="7"/>
      <c r="EA234" s="161"/>
      <c r="EG234" s="140"/>
      <c r="EH234" s="131"/>
      <c r="EI234" s="102"/>
      <c r="EJ234" s="102"/>
      <c r="EK234" s="102"/>
      <c r="EL234" s="102"/>
      <c r="EM234" s="99"/>
      <c r="EN234" s="4"/>
      <c r="EO234" s="4"/>
      <c r="EP234" s="5"/>
      <c r="EQ234" s="5"/>
      <c r="ER234" s="99"/>
      <c r="ES234" s="159"/>
      <c r="ET234" s="99"/>
      <c r="EU234" s="99"/>
      <c r="EV234" s="99"/>
      <c r="EW234" s="159"/>
      <c r="EX234" s="99"/>
      <c r="EY234" s="99"/>
      <c r="EZ234" s="175"/>
    </row>
    <row r="235" spans="27:156">
      <c r="AA235" s="18"/>
      <c r="AB235" s="18"/>
      <c r="AC235" s="18"/>
      <c r="AD235" s="19"/>
      <c r="AE235" s="19"/>
      <c r="AI235" s="18"/>
      <c r="AJ235" s="7"/>
      <c r="AK235" s="7"/>
      <c r="AL235" s="7"/>
      <c r="AM235" s="7"/>
      <c r="AN235" s="7"/>
      <c r="AO235" s="7"/>
      <c r="AP235" s="7"/>
      <c r="AQ235" s="7"/>
      <c r="AR235" s="7"/>
      <c r="AS235" s="7"/>
      <c r="AT235" s="7"/>
      <c r="AU235" s="7"/>
      <c r="AV235" s="7"/>
      <c r="AW235" s="7"/>
      <c r="AX235" s="7"/>
      <c r="AY235" s="7"/>
      <c r="AZ235" s="7"/>
      <c r="BA235" s="18"/>
      <c r="BG235" s="140"/>
      <c r="BH235" s="131"/>
      <c r="BI235" s="102"/>
      <c r="BJ235" s="102"/>
      <c r="BK235" s="102"/>
      <c r="BL235" s="102"/>
      <c r="BM235" s="99"/>
      <c r="BN235" s="4"/>
      <c r="BO235" s="4"/>
      <c r="BP235" s="5"/>
      <c r="BQ235" s="5"/>
      <c r="BR235" s="99"/>
      <c r="BS235" s="159"/>
      <c r="BT235" s="99"/>
      <c r="BU235" s="99"/>
      <c r="BV235" s="99"/>
      <c r="BW235" s="159"/>
      <c r="BX235" s="99"/>
      <c r="BY235" s="99"/>
      <c r="BZ235" s="159"/>
      <c r="DA235" s="174"/>
      <c r="DB235" s="18"/>
      <c r="DC235" s="18"/>
      <c r="DD235" s="19"/>
      <c r="DE235" s="19"/>
      <c r="DI235" s="18"/>
      <c r="DJ235" s="7"/>
      <c r="DK235" s="7"/>
      <c r="DL235" s="7"/>
      <c r="DM235" s="7"/>
      <c r="DN235" s="7"/>
      <c r="DO235" s="7"/>
      <c r="DP235" s="7"/>
      <c r="DQ235" s="7"/>
      <c r="DR235" s="7"/>
      <c r="DS235" s="7"/>
      <c r="DT235" s="7"/>
      <c r="DU235" s="7"/>
      <c r="DV235" s="7"/>
      <c r="DW235" s="7"/>
      <c r="DX235" s="7"/>
      <c r="DY235" s="7"/>
      <c r="DZ235" s="7"/>
      <c r="EA235" s="161"/>
      <c r="EG235" s="140"/>
      <c r="EH235" s="131"/>
      <c r="EI235" s="102"/>
      <c r="EJ235" s="102"/>
      <c r="EK235" s="102"/>
      <c r="EL235" s="102"/>
      <c r="EM235" s="99"/>
      <c r="EN235" s="4"/>
      <c r="EO235" s="4"/>
      <c r="EP235" s="5"/>
      <c r="EQ235" s="5"/>
      <c r="ER235" s="99"/>
      <c r="ES235" s="159"/>
      <c r="ET235" s="99"/>
      <c r="EU235" s="99"/>
      <c r="EV235" s="99"/>
      <c r="EW235" s="159"/>
      <c r="EX235" s="99"/>
      <c r="EY235" s="99"/>
      <c r="EZ235" s="175"/>
    </row>
    <row r="236" spans="27:156">
      <c r="AA236" s="18"/>
      <c r="AB236" s="18"/>
      <c r="AC236" s="18"/>
      <c r="AD236" s="19"/>
      <c r="AE236" s="19"/>
      <c r="AI236" s="18"/>
      <c r="AJ236" s="7"/>
      <c r="AK236" s="7"/>
      <c r="AL236" s="7"/>
      <c r="AM236" s="7"/>
      <c r="AN236" s="7"/>
      <c r="AO236" s="7"/>
      <c r="AP236" s="7"/>
      <c r="AQ236" s="7"/>
      <c r="AR236" s="7"/>
      <c r="AS236" s="7"/>
      <c r="AT236" s="7"/>
      <c r="AU236" s="7"/>
      <c r="AV236" s="7"/>
      <c r="AW236" s="7"/>
      <c r="AX236" s="7"/>
      <c r="AY236" s="7"/>
      <c r="AZ236" s="7"/>
      <c r="BA236" s="18"/>
      <c r="BG236" s="140"/>
      <c r="BH236" s="131"/>
      <c r="BI236" s="102"/>
      <c r="BJ236" s="102"/>
      <c r="BK236" s="102"/>
      <c r="BL236" s="102"/>
      <c r="BM236" s="99"/>
      <c r="BN236" s="4"/>
      <c r="BO236" s="4"/>
      <c r="BP236" s="5"/>
      <c r="BQ236" s="5"/>
      <c r="BR236" s="99"/>
      <c r="BS236" s="159"/>
      <c r="BT236" s="99"/>
      <c r="BU236" s="99"/>
      <c r="BV236" s="99"/>
      <c r="BW236" s="159"/>
      <c r="BX236" s="99"/>
      <c r="BY236" s="99"/>
      <c r="BZ236" s="159"/>
      <c r="DA236" s="174"/>
      <c r="DB236" s="18"/>
      <c r="DC236" s="18"/>
      <c r="DD236" s="19"/>
      <c r="DE236" s="19"/>
      <c r="DI236" s="18"/>
      <c r="DJ236" s="7"/>
      <c r="DK236" s="7"/>
      <c r="DL236" s="7"/>
      <c r="DM236" s="7"/>
      <c r="DN236" s="7"/>
      <c r="DO236" s="7"/>
      <c r="DP236" s="7"/>
      <c r="DQ236" s="7"/>
      <c r="DR236" s="7"/>
      <c r="DS236" s="7"/>
      <c r="DT236" s="7"/>
      <c r="DU236" s="7"/>
      <c r="DV236" s="7"/>
      <c r="DW236" s="7"/>
      <c r="DX236" s="7"/>
      <c r="DY236" s="7"/>
      <c r="DZ236" s="7"/>
      <c r="EA236" s="161"/>
      <c r="EG236" s="140"/>
      <c r="EH236" s="131"/>
      <c r="EI236" s="102"/>
      <c r="EJ236" s="102"/>
      <c r="EK236" s="102"/>
      <c r="EL236" s="102"/>
      <c r="EM236" s="99"/>
      <c r="EN236" s="4"/>
      <c r="EO236" s="4"/>
      <c r="EP236" s="5"/>
      <c r="EQ236" s="5"/>
      <c r="ER236" s="99"/>
      <c r="ES236" s="159"/>
      <c r="ET236" s="99"/>
      <c r="EU236" s="99"/>
      <c r="EV236" s="99"/>
      <c r="EW236" s="159"/>
      <c r="EX236" s="99"/>
      <c r="EY236" s="99"/>
      <c r="EZ236" s="175"/>
    </row>
    <row r="237" spans="27:156">
      <c r="AA237" s="18"/>
      <c r="AB237" s="18"/>
      <c r="AC237" s="18"/>
      <c r="AD237" s="19"/>
      <c r="AE237" s="19"/>
      <c r="AI237" s="18"/>
      <c r="AJ237" s="7"/>
      <c r="AK237" s="7"/>
      <c r="AL237" s="7"/>
      <c r="AM237" s="7"/>
      <c r="AN237" s="7"/>
      <c r="AO237" s="7"/>
      <c r="AP237" s="7"/>
      <c r="AQ237" s="7"/>
      <c r="AR237" s="7"/>
      <c r="AS237" s="7"/>
      <c r="AT237" s="7"/>
      <c r="AU237" s="7"/>
      <c r="AV237" s="7"/>
      <c r="AW237" s="7"/>
      <c r="AX237" s="7"/>
      <c r="AY237" s="7"/>
      <c r="AZ237" s="7"/>
      <c r="BA237" s="18"/>
      <c r="BG237" s="140"/>
      <c r="BH237" s="131"/>
      <c r="BI237" s="102"/>
      <c r="BJ237" s="102"/>
      <c r="BK237" s="102"/>
      <c r="BL237" s="102"/>
      <c r="BM237" s="99"/>
      <c r="BN237" s="4"/>
      <c r="BO237" s="4"/>
      <c r="BP237" s="5"/>
      <c r="BQ237" s="5"/>
      <c r="BR237" s="99"/>
      <c r="BS237" s="159"/>
      <c r="BT237" s="99"/>
      <c r="BU237" s="99"/>
      <c r="BV237" s="99"/>
      <c r="BW237" s="159"/>
      <c r="BX237" s="99"/>
      <c r="BY237" s="99"/>
      <c r="BZ237" s="159"/>
      <c r="DA237" s="174"/>
      <c r="DB237" s="18"/>
      <c r="DC237" s="18"/>
      <c r="DD237" s="19"/>
      <c r="DE237" s="19"/>
      <c r="DI237" s="18"/>
      <c r="DJ237" s="7"/>
      <c r="DK237" s="7"/>
      <c r="DL237" s="7"/>
      <c r="DM237" s="7"/>
      <c r="DN237" s="7"/>
      <c r="DO237" s="7"/>
      <c r="DP237" s="7"/>
      <c r="DQ237" s="7"/>
      <c r="DR237" s="7"/>
      <c r="DS237" s="7"/>
      <c r="DT237" s="7"/>
      <c r="DU237" s="7"/>
      <c r="DV237" s="7"/>
      <c r="DW237" s="7"/>
      <c r="DX237" s="7"/>
      <c r="DY237" s="7"/>
      <c r="DZ237" s="7"/>
      <c r="EA237" s="161"/>
      <c r="EG237" s="140"/>
      <c r="EH237" s="131"/>
      <c r="EI237" s="102"/>
      <c r="EJ237" s="102"/>
      <c r="EK237" s="102"/>
      <c r="EL237" s="102"/>
      <c r="EM237" s="99"/>
      <c r="EN237" s="4"/>
      <c r="EO237" s="4"/>
      <c r="EP237" s="5"/>
      <c r="EQ237" s="5"/>
      <c r="ER237" s="99"/>
      <c r="ES237" s="159"/>
      <c r="ET237" s="99"/>
      <c r="EU237" s="99"/>
      <c r="EV237" s="99"/>
      <c r="EW237" s="159"/>
      <c r="EX237" s="99"/>
      <c r="EY237" s="99"/>
      <c r="EZ237" s="175"/>
    </row>
    <row r="238" spans="27:156">
      <c r="AA238" s="18"/>
      <c r="AB238" s="18"/>
      <c r="AC238" s="18"/>
      <c r="AD238" s="19"/>
      <c r="AE238" s="19"/>
      <c r="AI238" s="18"/>
      <c r="AJ238" s="7"/>
      <c r="AK238" s="7"/>
      <c r="AL238" s="7"/>
      <c r="AM238" s="7"/>
      <c r="AN238" s="7"/>
      <c r="AO238" s="7"/>
      <c r="AP238" s="7"/>
      <c r="AQ238" s="7"/>
      <c r="AR238" s="7"/>
      <c r="AS238" s="7"/>
      <c r="AT238" s="7"/>
      <c r="AU238" s="7"/>
      <c r="AV238" s="7"/>
      <c r="AW238" s="7"/>
      <c r="AX238" s="7"/>
      <c r="AY238" s="7"/>
      <c r="AZ238" s="7"/>
      <c r="BA238" s="18"/>
      <c r="BG238" s="140"/>
      <c r="BH238" s="131"/>
      <c r="BI238" s="102"/>
      <c r="BJ238" s="102"/>
      <c r="BK238" s="102"/>
      <c r="BL238" s="102"/>
      <c r="BM238" s="99"/>
      <c r="BN238" s="4"/>
      <c r="BO238" s="4"/>
      <c r="BP238" s="5"/>
      <c r="BQ238" s="5"/>
      <c r="BR238" s="99"/>
      <c r="BS238" s="159"/>
      <c r="BT238" s="99"/>
      <c r="BU238" s="99"/>
      <c r="BV238" s="99"/>
      <c r="BW238" s="159"/>
      <c r="BX238" s="99"/>
      <c r="BY238" s="99"/>
      <c r="BZ238" s="159"/>
      <c r="DA238" s="174"/>
      <c r="DB238" s="18"/>
      <c r="DC238" s="18"/>
      <c r="DD238" s="19"/>
      <c r="DE238" s="19"/>
      <c r="DI238" s="18"/>
      <c r="DJ238" s="7"/>
      <c r="DK238" s="7"/>
      <c r="DL238" s="7"/>
      <c r="DM238" s="7"/>
      <c r="DN238" s="7"/>
      <c r="DO238" s="7"/>
      <c r="DP238" s="7"/>
      <c r="DQ238" s="7"/>
      <c r="DR238" s="7"/>
      <c r="DS238" s="7"/>
      <c r="DT238" s="7"/>
      <c r="DU238" s="7"/>
      <c r="DV238" s="7"/>
      <c r="DW238" s="7"/>
      <c r="DX238" s="7"/>
      <c r="DY238" s="7"/>
      <c r="DZ238" s="7"/>
      <c r="EA238" s="161"/>
      <c r="EG238" s="140"/>
      <c r="EH238" s="131"/>
      <c r="EI238" s="102"/>
      <c r="EJ238" s="102"/>
      <c r="EK238" s="102"/>
      <c r="EL238" s="102"/>
      <c r="EM238" s="99"/>
      <c r="EN238" s="4"/>
      <c r="EO238" s="4"/>
      <c r="EP238" s="5"/>
      <c r="EQ238" s="5"/>
      <c r="ER238" s="99"/>
      <c r="ES238" s="159"/>
      <c r="ET238" s="99"/>
      <c r="EU238" s="99"/>
      <c r="EV238" s="99"/>
      <c r="EW238" s="159"/>
      <c r="EX238" s="99"/>
      <c r="EY238" s="99"/>
      <c r="EZ238" s="175"/>
    </row>
    <row r="239" spans="27:156">
      <c r="AA239" s="18"/>
      <c r="AB239" s="18"/>
      <c r="AC239" s="18"/>
      <c r="AD239" s="19"/>
      <c r="AE239" s="19"/>
      <c r="AI239" s="18"/>
      <c r="AJ239" s="7"/>
      <c r="AK239" s="7"/>
      <c r="AL239" s="7"/>
      <c r="AM239" s="7"/>
      <c r="AN239" s="7"/>
      <c r="AO239" s="7"/>
      <c r="AP239" s="7"/>
      <c r="AQ239" s="7"/>
      <c r="AR239" s="7"/>
      <c r="AS239" s="7"/>
      <c r="AT239" s="7"/>
      <c r="AU239" s="7"/>
      <c r="AV239" s="7"/>
      <c r="AW239" s="7"/>
      <c r="AX239" s="7"/>
      <c r="AY239" s="7"/>
      <c r="AZ239" s="7"/>
      <c r="BA239" s="18"/>
      <c r="BG239" s="140"/>
      <c r="BH239" s="131"/>
      <c r="BI239" s="102"/>
      <c r="BJ239" s="102"/>
      <c r="BK239" s="102"/>
      <c r="BL239" s="102"/>
      <c r="BM239" s="99"/>
      <c r="BN239" s="4"/>
      <c r="BO239" s="4"/>
      <c r="BP239" s="5"/>
      <c r="BQ239" s="5"/>
      <c r="BR239" s="99"/>
      <c r="BS239" s="159"/>
      <c r="BT239" s="99"/>
      <c r="BU239" s="99"/>
      <c r="BV239" s="99"/>
      <c r="BW239" s="159"/>
      <c r="BX239" s="99"/>
      <c r="BY239" s="99"/>
      <c r="BZ239" s="159"/>
      <c r="DA239" s="174"/>
      <c r="DB239" s="18"/>
      <c r="DC239" s="18"/>
      <c r="DD239" s="19"/>
      <c r="DE239" s="19"/>
      <c r="DI239" s="18"/>
      <c r="DJ239" s="7"/>
      <c r="DK239" s="7"/>
      <c r="DL239" s="7"/>
      <c r="DM239" s="7"/>
      <c r="DN239" s="7"/>
      <c r="DO239" s="7"/>
      <c r="DP239" s="7"/>
      <c r="DQ239" s="7"/>
      <c r="DR239" s="7"/>
      <c r="DS239" s="7"/>
      <c r="DT239" s="7"/>
      <c r="DU239" s="7"/>
      <c r="DV239" s="7"/>
      <c r="DW239" s="7"/>
      <c r="DX239" s="7"/>
      <c r="DY239" s="7"/>
      <c r="DZ239" s="7"/>
      <c r="EA239" s="161"/>
      <c r="EG239" s="140"/>
      <c r="EH239" s="131"/>
      <c r="EI239" s="102"/>
      <c r="EJ239" s="102"/>
      <c r="EK239" s="102"/>
      <c r="EL239" s="102"/>
      <c r="EM239" s="99"/>
      <c r="EN239" s="4"/>
      <c r="EO239" s="4"/>
      <c r="EP239" s="5"/>
      <c r="EQ239" s="5"/>
      <c r="ER239" s="99"/>
      <c r="ES239" s="159"/>
      <c r="ET239" s="99"/>
      <c r="EU239" s="99"/>
      <c r="EV239" s="99"/>
      <c r="EW239" s="159"/>
      <c r="EX239" s="99"/>
      <c r="EY239" s="99"/>
      <c r="EZ239" s="175"/>
    </row>
    <row r="240" spans="27:156">
      <c r="AA240" s="18"/>
      <c r="AB240" s="18"/>
      <c r="AC240" s="18"/>
      <c r="AD240" s="19"/>
      <c r="AE240" s="19"/>
      <c r="AI240" s="18"/>
      <c r="AJ240" s="7"/>
      <c r="AK240" s="7"/>
      <c r="AL240" s="7"/>
      <c r="AM240" s="7"/>
      <c r="AN240" s="7"/>
      <c r="AO240" s="7"/>
      <c r="AP240" s="7"/>
      <c r="AQ240" s="7"/>
      <c r="AR240" s="7"/>
      <c r="AS240" s="7"/>
      <c r="AT240" s="7"/>
      <c r="AU240" s="7"/>
      <c r="AV240" s="7"/>
      <c r="AW240" s="7"/>
      <c r="AX240" s="7"/>
      <c r="AY240" s="7"/>
      <c r="AZ240" s="7"/>
      <c r="BA240" s="18"/>
      <c r="BG240" s="140"/>
      <c r="BH240" s="131"/>
      <c r="BI240" s="102"/>
      <c r="BJ240" s="102"/>
      <c r="BK240" s="102"/>
      <c r="BL240" s="102"/>
      <c r="BM240" s="99"/>
      <c r="BN240" s="4"/>
      <c r="BO240" s="4"/>
      <c r="BP240" s="5"/>
      <c r="BQ240" s="5"/>
      <c r="BR240" s="99"/>
      <c r="BS240" s="159"/>
      <c r="BT240" s="99"/>
      <c r="BU240" s="99"/>
      <c r="BV240" s="99"/>
      <c r="BW240" s="159"/>
      <c r="BX240" s="99"/>
      <c r="BY240" s="99"/>
      <c r="BZ240" s="159"/>
      <c r="DA240" s="174"/>
      <c r="DB240" s="18"/>
      <c r="DC240" s="18"/>
      <c r="DD240" s="19"/>
      <c r="DE240" s="19"/>
      <c r="DI240" s="18"/>
      <c r="DJ240" s="7"/>
      <c r="DK240" s="7"/>
      <c r="DL240" s="7"/>
      <c r="DM240" s="7"/>
      <c r="DN240" s="7"/>
      <c r="DO240" s="7"/>
      <c r="DP240" s="7"/>
      <c r="DQ240" s="7"/>
      <c r="DR240" s="7"/>
      <c r="DS240" s="7"/>
      <c r="DT240" s="7"/>
      <c r="DU240" s="7"/>
      <c r="DV240" s="7"/>
      <c r="DW240" s="7"/>
      <c r="DX240" s="7"/>
      <c r="DY240" s="7"/>
      <c r="DZ240" s="7"/>
      <c r="EA240" s="161"/>
      <c r="EG240" s="140"/>
      <c r="EH240" s="131"/>
      <c r="EI240" s="102"/>
      <c r="EJ240" s="102"/>
      <c r="EK240" s="102"/>
      <c r="EL240" s="102"/>
      <c r="EM240" s="99"/>
      <c r="EN240" s="4"/>
      <c r="EO240" s="4"/>
      <c r="EP240" s="5"/>
      <c r="EQ240" s="5"/>
      <c r="ER240" s="99"/>
      <c r="ES240" s="159"/>
      <c r="ET240" s="99"/>
      <c r="EU240" s="99"/>
      <c r="EV240" s="99"/>
      <c r="EW240" s="159"/>
      <c r="EX240" s="99"/>
      <c r="EY240" s="99"/>
      <c r="EZ240" s="175"/>
    </row>
    <row r="241" spans="27:156">
      <c r="AA241" s="18"/>
      <c r="AB241" s="18"/>
      <c r="AC241" s="18"/>
      <c r="AD241" s="19"/>
      <c r="AE241" s="19"/>
      <c r="AI241" s="18"/>
      <c r="AJ241" s="7"/>
      <c r="AK241" s="7"/>
      <c r="AL241" s="7"/>
      <c r="AM241" s="7"/>
      <c r="AN241" s="7"/>
      <c r="AO241" s="7"/>
      <c r="AP241" s="7"/>
      <c r="AQ241" s="7"/>
      <c r="AR241" s="7"/>
      <c r="AS241" s="7"/>
      <c r="AT241" s="7"/>
      <c r="AU241" s="7"/>
      <c r="AV241" s="7"/>
      <c r="AW241" s="7"/>
      <c r="AX241" s="7"/>
      <c r="AY241" s="7"/>
      <c r="AZ241" s="7"/>
      <c r="BA241" s="18"/>
      <c r="BG241" s="140"/>
      <c r="BH241" s="131"/>
      <c r="BI241" s="102"/>
      <c r="BJ241" s="102"/>
      <c r="BK241" s="102"/>
      <c r="BL241" s="102"/>
      <c r="BM241" s="99"/>
      <c r="BN241" s="4"/>
      <c r="BO241" s="4"/>
      <c r="BP241" s="5"/>
      <c r="BQ241" s="5"/>
      <c r="BR241" s="99"/>
      <c r="BS241" s="159"/>
      <c r="BT241" s="99"/>
      <c r="BU241" s="99"/>
      <c r="BV241" s="99"/>
      <c r="BW241" s="159"/>
      <c r="BX241" s="99"/>
      <c r="BY241" s="99"/>
      <c r="BZ241" s="159"/>
      <c r="DA241" s="174"/>
      <c r="DB241" s="18"/>
      <c r="DC241" s="18"/>
      <c r="DD241" s="19"/>
      <c r="DE241" s="19"/>
      <c r="DI241" s="18"/>
      <c r="DJ241" s="7"/>
      <c r="DK241" s="7"/>
      <c r="DL241" s="7"/>
      <c r="DM241" s="7"/>
      <c r="DN241" s="7"/>
      <c r="DO241" s="7"/>
      <c r="DP241" s="7"/>
      <c r="DQ241" s="7"/>
      <c r="DR241" s="7"/>
      <c r="DS241" s="7"/>
      <c r="DT241" s="7"/>
      <c r="DU241" s="7"/>
      <c r="DV241" s="7"/>
      <c r="DW241" s="7"/>
      <c r="DX241" s="7"/>
      <c r="DY241" s="7"/>
      <c r="DZ241" s="7"/>
      <c r="EA241" s="161"/>
      <c r="EG241" s="140"/>
      <c r="EH241" s="131"/>
      <c r="EI241" s="102"/>
      <c r="EJ241" s="102"/>
      <c r="EK241" s="102"/>
      <c r="EL241" s="102"/>
      <c r="EM241" s="99"/>
      <c r="EN241" s="4"/>
      <c r="EO241" s="4"/>
      <c r="EP241" s="5"/>
      <c r="EQ241" s="5"/>
      <c r="ER241" s="99"/>
      <c r="ES241" s="159"/>
      <c r="ET241" s="99"/>
      <c r="EU241" s="99"/>
      <c r="EV241" s="99"/>
      <c r="EW241" s="159"/>
      <c r="EX241" s="99"/>
      <c r="EY241" s="99"/>
      <c r="EZ241" s="175"/>
    </row>
    <row r="242" spans="27:156">
      <c r="AA242" s="18"/>
      <c r="AB242" s="18"/>
      <c r="AC242" s="18"/>
      <c r="AD242" s="19"/>
      <c r="AE242" s="19"/>
      <c r="AI242" s="18"/>
      <c r="AJ242" s="7"/>
      <c r="AK242" s="7"/>
      <c r="AL242" s="7"/>
      <c r="AM242" s="7"/>
      <c r="AN242" s="7"/>
      <c r="AO242" s="7"/>
      <c r="AP242" s="7"/>
      <c r="AQ242" s="7"/>
      <c r="AR242" s="7"/>
      <c r="AS242" s="7"/>
      <c r="AT242" s="7"/>
      <c r="AU242" s="7"/>
      <c r="AV242" s="7"/>
      <c r="AW242" s="7"/>
      <c r="AX242" s="7"/>
      <c r="AY242" s="7"/>
      <c r="AZ242" s="7"/>
      <c r="BA242" s="18"/>
      <c r="BG242" s="140"/>
      <c r="BH242" s="131"/>
      <c r="BI242" s="102"/>
      <c r="BJ242" s="102"/>
      <c r="BK242" s="102"/>
      <c r="BL242" s="102"/>
      <c r="BM242" s="99"/>
      <c r="BN242" s="4"/>
      <c r="BO242" s="4"/>
      <c r="BP242" s="5"/>
      <c r="BQ242" s="5"/>
      <c r="BR242" s="99"/>
      <c r="BS242" s="159"/>
      <c r="BT242" s="99"/>
      <c r="BU242" s="99"/>
      <c r="BV242" s="99"/>
      <c r="BW242" s="159"/>
      <c r="BX242" s="99"/>
      <c r="BY242" s="99"/>
      <c r="BZ242" s="159"/>
      <c r="DA242" s="174"/>
      <c r="DB242" s="18"/>
      <c r="DC242" s="18"/>
      <c r="DD242" s="19"/>
      <c r="DE242" s="19"/>
      <c r="DI242" s="18"/>
      <c r="DJ242" s="7"/>
      <c r="DK242" s="7"/>
      <c r="DL242" s="7"/>
      <c r="DM242" s="7"/>
      <c r="DN242" s="7"/>
      <c r="DO242" s="7"/>
      <c r="DP242" s="7"/>
      <c r="DQ242" s="7"/>
      <c r="DR242" s="7"/>
      <c r="DS242" s="7"/>
      <c r="DT242" s="7"/>
      <c r="DU242" s="7"/>
      <c r="DV242" s="7"/>
      <c r="DW242" s="7"/>
      <c r="DX242" s="7"/>
      <c r="DY242" s="7"/>
      <c r="DZ242" s="7"/>
      <c r="EA242" s="161"/>
      <c r="EG242" s="140"/>
      <c r="EH242" s="131"/>
      <c r="EI242" s="102"/>
      <c r="EJ242" s="102"/>
      <c r="EK242" s="102"/>
      <c r="EL242" s="102"/>
      <c r="EM242" s="99"/>
      <c r="EN242" s="4"/>
      <c r="EO242" s="4"/>
      <c r="EP242" s="5"/>
      <c r="EQ242" s="5"/>
      <c r="ER242" s="99"/>
      <c r="ES242" s="159"/>
      <c r="ET242" s="99"/>
      <c r="EU242" s="99"/>
      <c r="EV242" s="99"/>
      <c r="EW242" s="159"/>
      <c r="EX242" s="99"/>
      <c r="EY242" s="99"/>
      <c r="EZ242" s="175"/>
    </row>
    <row r="243" spans="27:156">
      <c r="AA243" s="18"/>
      <c r="AB243" s="18"/>
      <c r="AC243" s="18"/>
      <c r="AD243" s="19"/>
      <c r="AE243" s="19"/>
      <c r="AI243" s="18"/>
      <c r="AJ243" s="7"/>
      <c r="AK243" s="7"/>
      <c r="AL243" s="7"/>
      <c r="AM243" s="7"/>
      <c r="AN243" s="7"/>
      <c r="AO243" s="7"/>
      <c r="AP243" s="7"/>
      <c r="AQ243" s="7"/>
      <c r="AR243" s="7"/>
      <c r="AS243" s="7"/>
      <c r="AT243" s="7"/>
      <c r="AU243" s="7"/>
      <c r="AV243" s="7"/>
      <c r="AW243" s="7"/>
      <c r="AX243" s="7"/>
      <c r="AY243" s="7"/>
      <c r="AZ243" s="7"/>
      <c r="BA243" s="18"/>
      <c r="BG243" s="140"/>
      <c r="BH243" s="131"/>
      <c r="BI243" s="102"/>
      <c r="BJ243" s="102"/>
      <c r="BK243" s="102"/>
      <c r="BL243" s="102"/>
      <c r="BM243" s="99"/>
      <c r="BN243" s="4"/>
      <c r="BO243" s="4"/>
      <c r="BP243" s="5"/>
      <c r="BQ243" s="5"/>
      <c r="BR243" s="99"/>
      <c r="BS243" s="159"/>
      <c r="BT243" s="99"/>
      <c r="BU243" s="99"/>
      <c r="BV243" s="99"/>
      <c r="BW243" s="159"/>
      <c r="BX243" s="99"/>
      <c r="BY243" s="99"/>
      <c r="BZ243" s="159"/>
      <c r="DA243" s="174"/>
      <c r="DB243" s="18"/>
      <c r="DC243" s="18"/>
      <c r="DD243" s="19"/>
      <c r="DE243" s="19"/>
      <c r="DI243" s="18"/>
      <c r="DJ243" s="7"/>
      <c r="DK243" s="7"/>
      <c r="DL243" s="7"/>
      <c r="DM243" s="7"/>
      <c r="DN243" s="7"/>
      <c r="DO243" s="7"/>
      <c r="DP243" s="7"/>
      <c r="DQ243" s="7"/>
      <c r="DR243" s="7"/>
      <c r="DS243" s="7"/>
      <c r="DT243" s="7"/>
      <c r="DU243" s="7"/>
      <c r="DV243" s="7"/>
      <c r="DW243" s="7"/>
      <c r="DX243" s="7"/>
      <c r="DY243" s="7"/>
      <c r="DZ243" s="7"/>
      <c r="EA243" s="161"/>
      <c r="EG243" s="140"/>
      <c r="EH243" s="131"/>
      <c r="EI243" s="102"/>
      <c r="EJ243" s="102"/>
      <c r="EK243" s="102"/>
      <c r="EL243" s="102"/>
      <c r="EM243" s="99"/>
      <c r="EN243" s="4"/>
      <c r="EO243" s="4"/>
      <c r="EP243" s="5"/>
      <c r="EQ243" s="5"/>
      <c r="ER243" s="99"/>
      <c r="ES243" s="159"/>
      <c r="ET243" s="99"/>
      <c r="EU243" s="99"/>
      <c r="EV243" s="99"/>
      <c r="EW243" s="159"/>
      <c r="EX243" s="99"/>
      <c r="EY243" s="99"/>
      <c r="EZ243" s="175"/>
    </row>
    <row r="244" spans="27:156">
      <c r="AA244" s="18"/>
      <c r="AB244" s="18"/>
      <c r="AC244" s="18"/>
      <c r="AD244" s="19"/>
      <c r="AE244" s="19"/>
      <c r="AI244" s="18"/>
      <c r="AJ244" s="7"/>
      <c r="AK244" s="7"/>
      <c r="AL244" s="7"/>
      <c r="AM244" s="7"/>
      <c r="AN244" s="7"/>
      <c r="AO244" s="7"/>
      <c r="AP244" s="7"/>
      <c r="AQ244" s="7"/>
      <c r="AR244" s="7"/>
      <c r="AS244" s="7"/>
      <c r="AT244" s="7"/>
      <c r="AU244" s="7"/>
      <c r="AV244" s="7"/>
      <c r="AW244" s="7"/>
      <c r="AX244" s="7"/>
      <c r="AY244" s="7"/>
      <c r="AZ244" s="7"/>
      <c r="BA244" s="18"/>
      <c r="BG244" s="140"/>
      <c r="BH244" s="131"/>
      <c r="BI244" s="102"/>
      <c r="BJ244" s="102"/>
      <c r="BK244" s="102"/>
      <c r="BL244" s="102"/>
      <c r="BM244" s="99"/>
      <c r="BN244" s="4"/>
      <c r="BO244" s="4"/>
      <c r="BP244" s="5"/>
      <c r="BQ244" s="5"/>
      <c r="BR244" s="99"/>
      <c r="BS244" s="159"/>
      <c r="BT244" s="99"/>
      <c r="BU244" s="99"/>
      <c r="BV244" s="99"/>
      <c r="BW244" s="159"/>
      <c r="BX244" s="99"/>
      <c r="BY244" s="99"/>
      <c r="BZ244" s="159"/>
      <c r="DA244" s="174"/>
      <c r="DB244" s="18"/>
      <c r="DC244" s="18"/>
      <c r="DD244" s="19"/>
      <c r="DE244" s="19"/>
      <c r="DI244" s="18"/>
      <c r="DJ244" s="7"/>
      <c r="DK244" s="7"/>
      <c r="DL244" s="7"/>
      <c r="DM244" s="7"/>
      <c r="DN244" s="7"/>
      <c r="DO244" s="7"/>
      <c r="DP244" s="7"/>
      <c r="DQ244" s="7"/>
      <c r="DR244" s="7"/>
      <c r="DS244" s="7"/>
      <c r="DT244" s="7"/>
      <c r="DU244" s="7"/>
      <c r="DV244" s="7"/>
      <c r="DW244" s="7"/>
      <c r="DX244" s="7"/>
      <c r="DY244" s="7"/>
      <c r="DZ244" s="7"/>
      <c r="EA244" s="161"/>
      <c r="EG244" s="140"/>
      <c r="EH244" s="131"/>
      <c r="EI244" s="102"/>
      <c r="EJ244" s="102"/>
      <c r="EK244" s="102"/>
      <c r="EL244" s="102"/>
      <c r="EM244" s="99"/>
      <c r="EN244" s="4"/>
      <c r="EO244" s="4"/>
      <c r="EP244" s="5"/>
      <c r="EQ244" s="5"/>
      <c r="ER244" s="99"/>
      <c r="ES244" s="159"/>
      <c r="ET244" s="99"/>
      <c r="EU244" s="99"/>
      <c r="EV244" s="99"/>
      <c r="EW244" s="159"/>
      <c r="EX244" s="99"/>
      <c r="EY244" s="99"/>
      <c r="EZ244" s="175"/>
    </row>
    <row r="245" spans="27:156">
      <c r="AA245" s="18"/>
      <c r="AB245" s="18"/>
      <c r="AC245" s="18"/>
      <c r="AD245" s="19"/>
      <c r="AE245" s="19"/>
      <c r="AI245" s="18"/>
      <c r="AJ245" s="7"/>
      <c r="AK245" s="7"/>
      <c r="AL245" s="7"/>
      <c r="AM245" s="7"/>
      <c r="AN245" s="7"/>
      <c r="AO245" s="7"/>
      <c r="AP245" s="7"/>
      <c r="AQ245" s="7"/>
      <c r="AR245" s="7"/>
      <c r="AS245" s="7"/>
      <c r="AT245" s="7"/>
      <c r="AU245" s="7"/>
      <c r="AV245" s="7"/>
      <c r="AW245" s="7"/>
      <c r="AX245" s="7"/>
      <c r="AY245" s="7"/>
      <c r="AZ245" s="7"/>
      <c r="BA245" s="18"/>
      <c r="BG245" s="140"/>
      <c r="BH245" s="131"/>
      <c r="BI245" s="102"/>
      <c r="BJ245" s="102"/>
      <c r="BK245" s="102"/>
      <c r="BL245" s="102"/>
      <c r="BM245" s="99"/>
      <c r="BN245" s="4"/>
      <c r="BO245" s="4"/>
      <c r="BP245" s="5"/>
      <c r="BQ245" s="5"/>
      <c r="BR245" s="99"/>
      <c r="BS245" s="159"/>
      <c r="BT245" s="99"/>
      <c r="BU245" s="99"/>
      <c r="BV245" s="99"/>
      <c r="BW245" s="159"/>
      <c r="BX245" s="99"/>
      <c r="BY245" s="99"/>
      <c r="BZ245" s="159"/>
      <c r="DA245" s="174"/>
      <c r="DB245" s="18"/>
      <c r="DC245" s="18"/>
      <c r="DD245" s="19"/>
      <c r="DE245" s="19"/>
      <c r="DI245" s="18"/>
      <c r="DJ245" s="7"/>
      <c r="DK245" s="7"/>
      <c r="DL245" s="7"/>
      <c r="DM245" s="7"/>
      <c r="DN245" s="7"/>
      <c r="DO245" s="7"/>
      <c r="DP245" s="7"/>
      <c r="DQ245" s="7"/>
      <c r="DR245" s="7"/>
      <c r="DS245" s="7"/>
      <c r="DT245" s="7"/>
      <c r="DU245" s="7"/>
      <c r="DV245" s="7"/>
      <c r="DW245" s="7"/>
      <c r="DX245" s="7"/>
      <c r="DY245" s="7"/>
      <c r="DZ245" s="7"/>
      <c r="EA245" s="161"/>
      <c r="EG245" s="140"/>
      <c r="EH245" s="131"/>
      <c r="EI245" s="102"/>
      <c r="EJ245" s="102"/>
      <c r="EK245" s="102"/>
      <c r="EL245" s="102"/>
      <c r="EM245" s="99"/>
      <c r="EN245" s="4"/>
      <c r="EO245" s="4"/>
      <c r="EP245" s="5"/>
      <c r="EQ245" s="5"/>
      <c r="ER245" s="99"/>
      <c r="ES245" s="159"/>
      <c r="ET245" s="99"/>
      <c r="EU245" s="99"/>
      <c r="EV245" s="99"/>
      <c r="EW245" s="159"/>
      <c r="EX245" s="99"/>
      <c r="EY245" s="99"/>
      <c r="EZ245" s="175"/>
    </row>
    <row r="246" spans="27:156">
      <c r="AA246" s="18"/>
      <c r="AB246" s="18"/>
      <c r="AC246" s="18"/>
      <c r="AD246" s="19"/>
      <c r="AE246" s="19"/>
      <c r="AI246" s="18"/>
      <c r="AJ246" s="7"/>
      <c r="AK246" s="7"/>
      <c r="AL246" s="7"/>
      <c r="AM246" s="7"/>
      <c r="AN246" s="7"/>
      <c r="AO246" s="7"/>
      <c r="AP246" s="7"/>
      <c r="AQ246" s="7"/>
      <c r="AR246" s="7"/>
      <c r="AS246" s="7"/>
      <c r="AT246" s="7"/>
      <c r="AU246" s="7"/>
      <c r="AV246" s="7"/>
      <c r="AW246" s="7"/>
      <c r="AX246" s="7"/>
      <c r="AY246" s="7"/>
      <c r="AZ246" s="7"/>
      <c r="BA246" s="18"/>
      <c r="BG246" s="140"/>
      <c r="BH246" s="131"/>
      <c r="BI246" s="102"/>
      <c r="BJ246" s="102"/>
      <c r="BK246" s="102"/>
      <c r="BL246" s="102"/>
      <c r="BM246" s="99"/>
      <c r="BN246" s="4"/>
      <c r="BO246" s="4"/>
      <c r="BP246" s="5"/>
      <c r="BQ246" s="5"/>
      <c r="BR246" s="99"/>
      <c r="BS246" s="159"/>
      <c r="BT246" s="99"/>
      <c r="BU246" s="99"/>
      <c r="BV246" s="99"/>
      <c r="BW246" s="159"/>
      <c r="BX246" s="99"/>
      <c r="BY246" s="99"/>
      <c r="BZ246" s="159"/>
      <c r="DA246" s="174"/>
      <c r="DB246" s="18"/>
      <c r="DC246" s="18"/>
      <c r="DD246" s="19"/>
      <c r="DE246" s="19"/>
      <c r="DI246" s="18"/>
      <c r="DJ246" s="7"/>
      <c r="DK246" s="7"/>
      <c r="DL246" s="7"/>
      <c r="DM246" s="7"/>
      <c r="DN246" s="7"/>
      <c r="DO246" s="7"/>
      <c r="DP246" s="7"/>
      <c r="DQ246" s="7"/>
      <c r="DR246" s="7"/>
      <c r="DS246" s="7"/>
      <c r="DT246" s="7"/>
      <c r="DU246" s="7"/>
      <c r="DV246" s="7"/>
      <c r="DW246" s="7"/>
      <c r="DX246" s="7"/>
      <c r="DY246" s="7"/>
      <c r="DZ246" s="7"/>
      <c r="EA246" s="161"/>
      <c r="EG246" s="140"/>
      <c r="EH246" s="131"/>
      <c r="EI246" s="102"/>
      <c r="EJ246" s="102"/>
      <c r="EK246" s="102"/>
      <c r="EL246" s="102"/>
      <c r="EM246" s="99"/>
      <c r="EN246" s="4"/>
      <c r="EO246" s="4"/>
      <c r="EP246" s="5"/>
      <c r="EQ246" s="5"/>
      <c r="ER246" s="99"/>
      <c r="ES246" s="159"/>
      <c r="ET246" s="99"/>
      <c r="EU246" s="99"/>
      <c r="EV246" s="99"/>
      <c r="EW246" s="159"/>
      <c r="EX246" s="99"/>
      <c r="EY246" s="99"/>
      <c r="EZ246" s="175"/>
    </row>
    <row r="247" spans="27:156">
      <c r="AA247" s="18"/>
      <c r="AB247" s="18"/>
      <c r="AC247" s="18"/>
      <c r="AD247" s="19"/>
      <c r="AE247" s="19"/>
      <c r="AI247" s="18"/>
      <c r="AJ247" s="7"/>
      <c r="AK247" s="7"/>
      <c r="AL247" s="7"/>
      <c r="AM247" s="7"/>
      <c r="AN247" s="7"/>
      <c r="AO247" s="7"/>
      <c r="AP247" s="7"/>
      <c r="AQ247" s="7"/>
      <c r="AR247" s="7"/>
      <c r="AS247" s="7"/>
      <c r="AT247" s="7"/>
      <c r="AU247" s="7"/>
      <c r="AV247" s="7"/>
      <c r="AW247" s="7"/>
      <c r="AX247" s="7"/>
      <c r="AY247" s="7"/>
      <c r="AZ247" s="7"/>
      <c r="BA247" s="18"/>
      <c r="BG247" s="140"/>
      <c r="BH247" s="131"/>
      <c r="BI247" s="102"/>
      <c r="BJ247" s="102"/>
      <c r="BK247" s="102"/>
      <c r="BL247" s="102"/>
      <c r="BM247" s="99"/>
      <c r="BN247" s="4"/>
      <c r="BO247" s="4"/>
      <c r="BP247" s="5"/>
      <c r="BQ247" s="5"/>
      <c r="BR247" s="99"/>
      <c r="BS247" s="159"/>
      <c r="BT247" s="99"/>
      <c r="BU247" s="99"/>
      <c r="BV247" s="99"/>
      <c r="BW247" s="159"/>
      <c r="BX247" s="99"/>
      <c r="BY247" s="99"/>
      <c r="BZ247" s="159"/>
      <c r="DA247" s="174"/>
      <c r="DB247" s="18"/>
      <c r="DC247" s="18"/>
      <c r="DD247" s="19"/>
      <c r="DE247" s="19"/>
      <c r="DI247" s="18"/>
      <c r="DJ247" s="7"/>
      <c r="DK247" s="7"/>
      <c r="DL247" s="7"/>
      <c r="DM247" s="7"/>
      <c r="DN247" s="7"/>
      <c r="DO247" s="7"/>
      <c r="DP247" s="7"/>
      <c r="DQ247" s="7"/>
      <c r="DR247" s="7"/>
      <c r="DS247" s="7"/>
      <c r="DT247" s="7"/>
      <c r="DU247" s="7"/>
      <c r="DV247" s="7"/>
      <c r="DW247" s="7"/>
      <c r="DX247" s="7"/>
      <c r="DY247" s="7"/>
      <c r="DZ247" s="7"/>
      <c r="EA247" s="161"/>
      <c r="EG247" s="140"/>
      <c r="EH247" s="131"/>
      <c r="EI247" s="102"/>
      <c r="EJ247" s="102"/>
      <c r="EK247" s="102"/>
      <c r="EL247" s="102"/>
      <c r="EM247" s="99"/>
      <c r="EN247" s="4"/>
      <c r="EO247" s="4"/>
      <c r="EP247" s="5"/>
      <c r="EQ247" s="5"/>
      <c r="ER247" s="99"/>
      <c r="ES247" s="159"/>
      <c r="ET247" s="99"/>
      <c r="EU247" s="99"/>
      <c r="EV247" s="99"/>
      <c r="EW247" s="159"/>
      <c r="EX247" s="99"/>
      <c r="EY247" s="99"/>
      <c r="EZ247" s="175"/>
    </row>
    <row r="248" spans="27:156">
      <c r="AA248" s="18"/>
      <c r="AB248" s="18"/>
      <c r="AC248" s="18"/>
      <c r="AD248" s="19"/>
      <c r="AE248" s="19"/>
      <c r="AI248" s="18"/>
      <c r="AJ248" s="7"/>
      <c r="AK248" s="7"/>
      <c r="AL248" s="7"/>
      <c r="AM248" s="7"/>
      <c r="AN248" s="7"/>
      <c r="AO248" s="7"/>
      <c r="AP248" s="7"/>
      <c r="AQ248" s="7"/>
      <c r="AR248" s="7"/>
      <c r="AS248" s="7"/>
      <c r="AT248" s="7"/>
      <c r="AU248" s="7"/>
      <c r="AV248" s="7"/>
      <c r="AW248" s="7"/>
      <c r="AX248" s="7"/>
      <c r="AY248" s="7"/>
      <c r="AZ248" s="7"/>
      <c r="BA248" s="18"/>
      <c r="BG248" s="140"/>
      <c r="BH248" s="131"/>
      <c r="BI248" s="102"/>
      <c r="BJ248" s="102"/>
      <c r="BK248" s="102"/>
      <c r="BL248" s="102"/>
      <c r="BM248" s="99"/>
      <c r="BN248" s="4"/>
      <c r="BO248" s="4"/>
      <c r="BP248" s="5"/>
      <c r="BQ248" s="5"/>
      <c r="BR248" s="99"/>
      <c r="BS248" s="159"/>
      <c r="BT248" s="99"/>
      <c r="BU248" s="99"/>
      <c r="BV248" s="99"/>
      <c r="BW248" s="159"/>
      <c r="BX248" s="99"/>
      <c r="BY248" s="99"/>
      <c r="BZ248" s="159"/>
      <c r="DA248" s="174"/>
      <c r="DB248" s="18"/>
      <c r="DC248" s="18"/>
      <c r="DD248" s="19"/>
      <c r="DE248" s="19"/>
      <c r="DI248" s="18"/>
      <c r="DJ248" s="7"/>
      <c r="DK248" s="7"/>
      <c r="DL248" s="7"/>
      <c r="DM248" s="7"/>
      <c r="DN248" s="7"/>
      <c r="DO248" s="7"/>
      <c r="DP248" s="7"/>
      <c r="DQ248" s="7"/>
      <c r="DR248" s="7"/>
      <c r="DS248" s="7"/>
      <c r="DT248" s="7"/>
      <c r="DU248" s="7"/>
      <c r="DV248" s="7"/>
      <c r="DW248" s="7"/>
      <c r="DX248" s="7"/>
      <c r="DY248" s="7"/>
      <c r="DZ248" s="7"/>
      <c r="EA248" s="161"/>
      <c r="EG248" s="140"/>
      <c r="EH248" s="131"/>
      <c r="EI248" s="102"/>
      <c r="EJ248" s="102"/>
      <c r="EK248" s="102"/>
      <c r="EL248" s="102"/>
      <c r="EM248" s="99"/>
      <c r="EN248" s="4"/>
      <c r="EO248" s="4"/>
      <c r="EP248" s="5"/>
      <c r="EQ248" s="5"/>
      <c r="ER248" s="99"/>
      <c r="ES248" s="159"/>
      <c r="ET248" s="99"/>
      <c r="EU248" s="99"/>
      <c r="EV248" s="99"/>
      <c r="EW248" s="159"/>
      <c r="EX248" s="99"/>
      <c r="EY248" s="99"/>
      <c r="EZ248" s="175"/>
    </row>
    <row r="249" spans="27:156">
      <c r="AA249" s="18"/>
      <c r="AB249" s="18"/>
      <c r="AC249" s="18"/>
      <c r="AD249" s="19"/>
      <c r="AE249" s="19"/>
      <c r="AI249" s="18"/>
      <c r="AJ249" s="7"/>
      <c r="AK249" s="7"/>
      <c r="AL249" s="7"/>
      <c r="AM249" s="7"/>
      <c r="AN249" s="7"/>
      <c r="AO249" s="7"/>
      <c r="AP249" s="7"/>
      <c r="AQ249" s="7"/>
      <c r="AR249" s="7"/>
      <c r="AS249" s="7"/>
      <c r="AT249" s="7"/>
      <c r="AU249" s="7"/>
      <c r="AV249" s="7"/>
      <c r="AW249" s="7"/>
      <c r="AX249" s="7"/>
      <c r="AY249" s="7"/>
      <c r="AZ249" s="7"/>
      <c r="BA249" s="18"/>
      <c r="BG249" s="140"/>
      <c r="BH249" s="131"/>
      <c r="BI249" s="102"/>
      <c r="BJ249" s="102"/>
      <c r="BK249" s="102"/>
      <c r="BL249" s="102"/>
      <c r="BM249" s="99"/>
      <c r="BN249" s="4"/>
      <c r="BO249" s="4"/>
      <c r="BP249" s="5"/>
      <c r="BQ249" s="5"/>
      <c r="BR249" s="99"/>
      <c r="BS249" s="159"/>
      <c r="BT249" s="99"/>
      <c r="BU249" s="99"/>
      <c r="BV249" s="99"/>
      <c r="BW249" s="159"/>
      <c r="BX249" s="99"/>
      <c r="BY249" s="99"/>
      <c r="BZ249" s="159"/>
      <c r="DA249" s="174"/>
      <c r="DB249" s="18"/>
      <c r="DC249" s="18"/>
      <c r="DD249" s="19"/>
      <c r="DE249" s="19"/>
      <c r="DI249" s="18"/>
      <c r="DJ249" s="7"/>
      <c r="DK249" s="7"/>
      <c r="DL249" s="7"/>
      <c r="DM249" s="7"/>
      <c r="DN249" s="7"/>
      <c r="DO249" s="7"/>
      <c r="DP249" s="7"/>
      <c r="DQ249" s="7"/>
      <c r="DR249" s="7"/>
      <c r="DS249" s="7"/>
      <c r="DT249" s="7"/>
      <c r="DU249" s="7"/>
      <c r="DV249" s="7"/>
      <c r="DW249" s="7"/>
      <c r="DX249" s="7"/>
      <c r="DY249" s="7"/>
      <c r="DZ249" s="7"/>
      <c r="EA249" s="161"/>
      <c r="EG249" s="140"/>
      <c r="EH249" s="131"/>
      <c r="EI249" s="102"/>
      <c r="EJ249" s="102"/>
      <c r="EK249" s="102"/>
      <c r="EL249" s="102"/>
      <c r="EM249" s="99"/>
      <c r="EN249" s="4"/>
      <c r="EO249" s="4"/>
      <c r="EP249" s="5"/>
      <c r="EQ249" s="5"/>
      <c r="ER249" s="99"/>
      <c r="ES249" s="159"/>
      <c r="ET249" s="99"/>
      <c r="EU249" s="99"/>
      <c r="EV249" s="99"/>
      <c r="EW249" s="159"/>
      <c r="EX249" s="99"/>
      <c r="EY249" s="99"/>
      <c r="EZ249" s="175"/>
    </row>
    <row r="250" spans="27:156">
      <c r="AA250" s="18"/>
      <c r="AB250" s="18"/>
      <c r="AC250" s="18"/>
      <c r="AD250" s="19"/>
      <c r="AE250" s="19"/>
      <c r="AI250" s="18"/>
      <c r="AJ250" s="7"/>
      <c r="AK250" s="7"/>
      <c r="AL250" s="7"/>
      <c r="AM250" s="7"/>
      <c r="AN250" s="7"/>
      <c r="AO250" s="7"/>
      <c r="AP250" s="7"/>
      <c r="AQ250" s="7"/>
      <c r="AR250" s="7"/>
      <c r="AS250" s="7"/>
      <c r="AT250" s="7"/>
      <c r="AU250" s="7"/>
      <c r="AV250" s="7"/>
      <c r="AW250" s="7"/>
      <c r="AX250" s="7"/>
      <c r="AY250" s="7"/>
      <c r="AZ250" s="7"/>
      <c r="BA250" s="18"/>
      <c r="BG250" s="140"/>
      <c r="BH250" s="131"/>
      <c r="BI250" s="102"/>
      <c r="BJ250" s="102"/>
      <c r="BK250" s="102"/>
      <c r="BL250" s="102"/>
      <c r="BM250" s="99"/>
      <c r="BN250" s="4"/>
      <c r="BO250" s="4"/>
      <c r="BP250" s="5"/>
      <c r="BQ250" s="5"/>
      <c r="BR250" s="99"/>
      <c r="BS250" s="159"/>
      <c r="BT250" s="99"/>
      <c r="BU250" s="99"/>
      <c r="BV250" s="99"/>
      <c r="BW250" s="159"/>
      <c r="BX250" s="99"/>
      <c r="BY250" s="99"/>
      <c r="BZ250" s="159"/>
      <c r="DA250" s="174"/>
      <c r="DB250" s="18"/>
      <c r="DC250" s="18"/>
      <c r="DD250" s="19"/>
      <c r="DE250" s="19"/>
      <c r="DI250" s="18"/>
      <c r="DJ250" s="7"/>
      <c r="DK250" s="7"/>
      <c r="DL250" s="7"/>
      <c r="DM250" s="7"/>
      <c r="DN250" s="7"/>
      <c r="DO250" s="7"/>
      <c r="DP250" s="7"/>
      <c r="DQ250" s="7"/>
      <c r="DR250" s="7"/>
      <c r="DS250" s="7"/>
      <c r="DT250" s="7"/>
      <c r="DU250" s="7"/>
      <c r="DV250" s="7"/>
      <c r="DW250" s="7"/>
      <c r="DX250" s="7"/>
      <c r="DY250" s="7"/>
      <c r="DZ250" s="7"/>
      <c r="EA250" s="161"/>
      <c r="EG250" s="140"/>
      <c r="EH250" s="131"/>
      <c r="EI250" s="102"/>
      <c r="EJ250" s="102"/>
      <c r="EK250" s="102"/>
      <c r="EL250" s="102"/>
      <c r="EM250" s="99"/>
      <c r="EN250" s="4"/>
      <c r="EO250" s="4"/>
      <c r="EP250" s="5"/>
      <c r="EQ250" s="5"/>
      <c r="ER250" s="99"/>
      <c r="ES250" s="159"/>
      <c r="ET250" s="99"/>
      <c r="EU250" s="99"/>
      <c r="EV250" s="99"/>
      <c r="EW250" s="159"/>
      <c r="EX250" s="99"/>
      <c r="EY250" s="99"/>
      <c r="EZ250" s="175"/>
    </row>
    <row r="251" spans="27:156">
      <c r="AA251" s="18"/>
      <c r="AB251" s="18"/>
      <c r="AC251" s="18"/>
      <c r="AD251" s="19"/>
      <c r="AE251" s="19"/>
      <c r="AI251" s="18"/>
      <c r="AJ251" s="7"/>
      <c r="AK251" s="7"/>
      <c r="AL251" s="7"/>
      <c r="AM251" s="7"/>
      <c r="AN251" s="7"/>
      <c r="AO251" s="7"/>
      <c r="AP251" s="7"/>
      <c r="AQ251" s="7"/>
      <c r="AR251" s="7"/>
      <c r="AS251" s="7"/>
      <c r="AT251" s="7"/>
      <c r="AU251" s="7"/>
      <c r="AV251" s="7"/>
      <c r="AW251" s="7"/>
      <c r="AX251" s="7"/>
      <c r="AY251" s="7"/>
      <c r="AZ251" s="7"/>
      <c r="BA251" s="18"/>
      <c r="BG251" s="140"/>
      <c r="BH251" s="131"/>
      <c r="BI251" s="102"/>
      <c r="BJ251" s="102"/>
      <c r="BK251" s="102"/>
      <c r="BL251" s="102"/>
      <c r="BM251" s="99"/>
      <c r="BN251" s="4"/>
      <c r="BO251" s="4"/>
      <c r="BP251" s="5"/>
      <c r="BQ251" s="5"/>
      <c r="BR251" s="99"/>
      <c r="BS251" s="159"/>
      <c r="BT251" s="99"/>
      <c r="BU251" s="99"/>
      <c r="BV251" s="99"/>
      <c r="BW251" s="159"/>
      <c r="BX251" s="99"/>
      <c r="BY251" s="99"/>
      <c r="BZ251" s="159"/>
      <c r="DA251" s="174"/>
      <c r="DB251" s="18"/>
      <c r="DC251" s="18"/>
      <c r="DD251" s="19"/>
      <c r="DE251" s="19"/>
      <c r="DI251" s="18"/>
      <c r="DJ251" s="7"/>
      <c r="DK251" s="7"/>
      <c r="DL251" s="7"/>
      <c r="DM251" s="7"/>
      <c r="DN251" s="7"/>
      <c r="DO251" s="7"/>
      <c r="DP251" s="7"/>
      <c r="DQ251" s="7"/>
      <c r="DR251" s="7"/>
      <c r="DS251" s="7"/>
      <c r="DT251" s="7"/>
      <c r="DU251" s="7"/>
      <c r="DV251" s="7"/>
      <c r="DW251" s="7"/>
      <c r="DX251" s="7"/>
      <c r="DY251" s="7"/>
      <c r="DZ251" s="7"/>
      <c r="EA251" s="161"/>
      <c r="EG251" s="140"/>
      <c r="EH251" s="131"/>
      <c r="EI251" s="102"/>
      <c r="EJ251" s="102"/>
      <c r="EK251" s="102"/>
      <c r="EL251" s="102"/>
      <c r="EM251" s="99"/>
      <c r="EN251" s="4"/>
      <c r="EO251" s="4"/>
      <c r="EP251" s="5"/>
      <c r="EQ251" s="5"/>
      <c r="ER251" s="99"/>
      <c r="ES251" s="159"/>
      <c r="ET251" s="99"/>
      <c r="EU251" s="99"/>
      <c r="EV251" s="99"/>
      <c r="EW251" s="159"/>
      <c r="EX251" s="99"/>
      <c r="EY251" s="99"/>
      <c r="EZ251" s="175"/>
    </row>
    <row r="252" spans="27:156">
      <c r="AA252" s="18"/>
      <c r="AB252" s="18"/>
      <c r="AC252" s="18"/>
      <c r="AD252" s="19"/>
      <c r="AE252" s="19"/>
      <c r="AI252" s="18"/>
      <c r="AJ252" s="7"/>
      <c r="AK252" s="7"/>
      <c r="AL252" s="7"/>
      <c r="AM252" s="7"/>
      <c r="AN252" s="7"/>
      <c r="AO252" s="7"/>
      <c r="AP252" s="7"/>
      <c r="AQ252" s="7"/>
      <c r="AR252" s="7"/>
      <c r="AS252" s="7"/>
      <c r="AT252" s="7"/>
      <c r="AU252" s="7"/>
      <c r="AV252" s="7"/>
      <c r="AW252" s="7"/>
      <c r="AX252" s="7"/>
      <c r="AY252" s="7"/>
      <c r="AZ252" s="7"/>
      <c r="BA252" s="18"/>
      <c r="BG252" s="140"/>
      <c r="BH252" s="131"/>
      <c r="BI252" s="102"/>
      <c r="BJ252" s="102"/>
      <c r="BK252" s="102"/>
      <c r="BL252" s="102"/>
      <c r="BM252" s="99"/>
      <c r="BN252" s="4"/>
      <c r="BO252" s="4"/>
      <c r="BP252" s="5"/>
      <c r="BQ252" s="5"/>
      <c r="BR252" s="99"/>
      <c r="BS252" s="159"/>
      <c r="BT252" s="99"/>
      <c r="BU252" s="99"/>
      <c r="BV252" s="99"/>
      <c r="BW252" s="159"/>
      <c r="BX252" s="99"/>
      <c r="BY252" s="99"/>
      <c r="BZ252" s="159"/>
      <c r="DA252" s="174"/>
      <c r="DB252" s="18"/>
      <c r="DC252" s="18"/>
      <c r="DD252" s="19"/>
      <c r="DE252" s="19"/>
      <c r="DI252" s="18"/>
      <c r="DJ252" s="7"/>
      <c r="DK252" s="7"/>
      <c r="DL252" s="7"/>
      <c r="DM252" s="7"/>
      <c r="DN252" s="7"/>
      <c r="DO252" s="7"/>
      <c r="DP252" s="7"/>
      <c r="DQ252" s="7"/>
      <c r="DR252" s="7"/>
      <c r="DS252" s="7"/>
      <c r="DT252" s="7"/>
      <c r="DU252" s="7"/>
      <c r="DV252" s="7"/>
      <c r="DW252" s="7"/>
      <c r="DX252" s="7"/>
      <c r="DY252" s="7"/>
      <c r="DZ252" s="7"/>
      <c r="EA252" s="161"/>
      <c r="EG252" s="140"/>
      <c r="EH252" s="131"/>
      <c r="EI252" s="102"/>
      <c r="EJ252" s="102"/>
      <c r="EK252" s="102"/>
      <c r="EL252" s="102"/>
      <c r="EM252" s="99"/>
      <c r="EN252" s="4"/>
      <c r="EO252" s="4"/>
      <c r="EP252" s="5"/>
      <c r="EQ252" s="5"/>
      <c r="ER252" s="99"/>
      <c r="ES252" s="159"/>
      <c r="ET252" s="99"/>
      <c r="EU252" s="99"/>
      <c r="EV252" s="99"/>
      <c r="EW252" s="159"/>
      <c r="EX252" s="99"/>
      <c r="EY252" s="99"/>
      <c r="EZ252" s="175"/>
    </row>
    <row r="253" spans="27:156">
      <c r="AA253" s="18"/>
      <c r="AB253" s="18"/>
      <c r="AC253" s="18"/>
      <c r="AD253" s="19"/>
      <c r="AE253" s="19"/>
      <c r="AI253" s="18"/>
      <c r="AJ253" s="7"/>
      <c r="AK253" s="7"/>
      <c r="AL253" s="7"/>
      <c r="AM253" s="7"/>
      <c r="AN253" s="7"/>
      <c r="AO253" s="7"/>
      <c r="AP253" s="7"/>
      <c r="AQ253" s="7"/>
      <c r="AR253" s="7"/>
      <c r="AS253" s="7"/>
      <c r="AT253" s="7"/>
      <c r="AU253" s="7"/>
      <c r="AV253" s="7"/>
      <c r="AW253" s="7"/>
      <c r="AX253" s="7"/>
      <c r="AY253" s="7"/>
      <c r="AZ253" s="7"/>
      <c r="BA253" s="18"/>
      <c r="BG253" s="140"/>
      <c r="BH253" s="131"/>
      <c r="BI253" s="102"/>
      <c r="BJ253" s="102"/>
      <c r="BK253" s="102"/>
      <c r="BL253" s="102"/>
      <c r="BM253" s="99"/>
      <c r="BN253" s="4"/>
      <c r="BO253" s="4"/>
      <c r="BP253" s="5"/>
      <c r="BQ253" s="5"/>
      <c r="BR253" s="99"/>
      <c r="BS253" s="159"/>
      <c r="BT253" s="99"/>
      <c r="BU253" s="99"/>
      <c r="BV253" s="99"/>
      <c r="BW253" s="159"/>
      <c r="BX253" s="99"/>
      <c r="BY253" s="99"/>
      <c r="BZ253" s="159"/>
      <c r="DA253" s="174"/>
      <c r="DB253" s="18"/>
      <c r="DC253" s="18"/>
      <c r="DD253" s="19"/>
      <c r="DE253" s="19"/>
      <c r="DI253" s="18"/>
      <c r="DJ253" s="7"/>
      <c r="DK253" s="7"/>
      <c r="DL253" s="7"/>
      <c r="DM253" s="7"/>
      <c r="DN253" s="7"/>
      <c r="DO253" s="7"/>
      <c r="DP253" s="7"/>
      <c r="DQ253" s="7"/>
      <c r="DR253" s="7"/>
      <c r="DS253" s="7"/>
      <c r="DT253" s="7"/>
      <c r="DU253" s="7"/>
      <c r="DV253" s="7"/>
      <c r="DW253" s="7"/>
      <c r="DX253" s="7"/>
      <c r="DY253" s="7"/>
      <c r="DZ253" s="7"/>
      <c r="EA253" s="161"/>
      <c r="EG253" s="140"/>
      <c r="EH253" s="131"/>
      <c r="EI253" s="102"/>
      <c r="EJ253" s="102"/>
      <c r="EK253" s="102"/>
      <c r="EL253" s="102"/>
      <c r="EM253" s="99"/>
      <c r="EN253" s="4"/>
      <c r="EO253" s="4"/>
      <c r="EP253" s="5"/>
      <c r="EQ253" s="5"/>
      <c r="ER253" s="99"/>
      <c r="ES253" s="159"/>
      <c r="ET253" s="99"/>
      <c r="EU253" s="99"/>
      <c r="EV253" s="99"/>
      <c r="EW253" s="159"/>
      <c r="EX253" s="99"/>
      <c r="EY253" s="99"/>
      <c r="EZ253" s="175"/>
    </row>
    <row r="254" spans="27:156">
      <c r="AA254" s="18"/>
      <c r="AB254" s="18"/>
      <c r="AC254" s="18"/>
      <c r="AD254" s="19"/>
      <c r="AE254" s="19"/>
      <c r="AI254" s="18"/>
      <c r="AJ254" s="7"/>
      <c r="AK254" s="7"/>
      <c r="AL254" s="7"/>
      <c r="AM254" s="7"/>
      <c r="AN254" s="7"/>
      <c r="AO254" s="7"/>
      <c r="AP254" s="7"/>
      <c r="AQ254" s="7"/>
      <c r="AR254" s="7"/>
      <c r="AS254" s="7"/>
      <c r="AT254" s="7"/>
      <c r="AU254" s="7"/>
      <c r="AV254" s="7"/>
      <c r="AW254" s="7"/>
      <c r="AX254" s="7"/>
      <c r="AY254" s="7"/>
      <c r="AZ254" s="7"/>
      <c r="BA254" s="18"/>
      <c r="BG254" s="140"/>
      <c r="BH254" s="131"/>
      <c r="BI254" s="102"/>
      <c r="BJ254" s="102"/>
      <c r="BK254" s="102"/>
      <c r="BL254" s="102"/>
      <c r="BM254" s="99"/>
      <c r="BN254" s="4"/>
      <c r="BO254" s="4"/>
      <c r="BP254" s="5"/>
      <c r="BQ254" s="5"/>
      <c r="BR254" s="99"/>
      <c r="BS254" s="159"/>
      <c r="BT254" s="99"/>
      <c r="BU254" s="99"/>
      <c r="BV254" s="99"/>
      <c r="BW254" s="159"/>
      <c r="BX254" s="99"/>
      <c r="BY254" s="99"/>
      <c r="BZ254" s="159"/>
      <c r="DA254" s="174"/>
      <c r="DB254" s="18"/>
      <c r="DC254" s="18"/>
      <c r="DD254" s="19"/>
      <c r="DE254" s="19"/>
      <c r="DI254" s="18"/>
      <c r="DJ254" s="7"/>
      <c r="DK254" s="7"/>
      <c r="DL254" s="7"/>
      <c r="DM254" s="7"/>
      <c r="DN254" s="7"/>
      <c r="DO254" s="7"/>
      <c r="DP254" s="7"/>
      <c r="DQ254" s="7"/>
      <c r="DR254" s="7"/>
      <c r="DS254" s="7"/>
      <c r="DT254" s="7"/>
      <c r="DU254" s="7"/>
      <c r="DV254" s="7"/>
      <c r="DW254" s="7"/>
      <c r="DX254" s="7"/>
      <c r="DY254" s="7"/>
      <c r="DZ254" s="7"/>
      <c r="EA254" s="161"/>
      <c r="EG254" s="140"/>
      <c r="EH254" s="131"/>
      <c r="EI254" s="102"/>
      <c r="EJ254" s="102"/>
      <c r="EK254" s="102"/>
      <c r="EL254" s="102"/>
      <c r="EM254" s="99"/>
      <c r="EN254" s="4"/>
      <c r="EO254" s="4"/>
      <c r="EP254" s="5"/>
      <c r="EQ254" s="5"/>
      <c r="ER254" s="99"/>
      <c r="ES254" s="159"/>
      <c r="ET254" s="99"/>
      <c r="EU254" s="99"/>
      <c r="EV254" s="99"/>
      <c r="EW254" s="159"/>
      <c r="EX254" s="99"/>
      <c r="EY254" s="99"/>
      <c r="EZ254" s="175"/>
    </row>
    <row r="255" spans="27:156">
      <c r="AA255" s="18"/>
      <c r="AB255" s="18"/>
      <c r="AC255" s="18"/>
      <c r="AD255" s="19"/>
      <c r="AE255" s="19"/>
      <c r="AI255" s="18"/>
      <c r="AJ255" s="7"/>
      <c r="AK255" s="7"/>
      <c r="AL255" s="7"/>
      <c r="AM255" s="7"/>
      <c r="AN255" s="7"/>
      <c r="AO255" s="7"/>
      <c r="AP255" s="7"/>
      <c r="AQ255" s="7"/>
      <c r="AR255" s="7"/>
      <c r="AS255" s="7"/>
      <c r="AT255" s="7"/>
      <c r="AU255" s="7"/>
      <c r="AV255" s="7"/>
      <c r="AW255" s="7"/>
      <c r="AX255" s="7"/>
      <c r="AY255" s="7"/>
      <c r="AZ255" s="7"/>
      <c r="BA255" s="18"/>
      <c r="BG255" s="140"/>
      <c r="BH255" s="131"/>
      <c r="BI255" s="102"/>
      <c r="BJ255" s="102"/>
      <c r="BK255" s="102"/>
      <c r="BL255" s="102"/>
      <c r="BM255" s="99"/>
      <c r="BN255" s="4"/>
      <c r="BO255" s="4"/>
      <c r="BP255" s="5"/>
      <c r="BQ255" s="5"/>
      <c r="BR255" s="99"/>
      <c r="BS255" s="159"/>
      <c r="BT255" s="99"/>
      <c r="BU255" s="99"/>
      <c r="BV255" s="99"/>
      <c r="BW255" s="159"/>
      <c r="BX255" s="99"/>
      <c r="BY255" s="99"/>
      <c r="BZ255" s="159"/>
      <c r="DA255" s="174"/>
      <c r="DB255" s="18"/>
      <c r="DC255" s="18"/>
      <c r="DD255" s="19"/>
      <c r="DE255" s="19"/>
      <c r="DI255" s="18"/>
      <c r="DJ255" s="7"/>
      <c r="DK255" s="7"/>
      <c r="DL255" s="7"/>
      <c r="DM255" s="7"/>
      <c r="DN255" s="7"/>
      <c r="DO255" s="7"/>
      <c r="DP255" s="7"/>
      <c r="DQ255" s="7"/>
      <c r="DR255" s="7"/>
      <c r="DS255" s="7"/>
      <c r="DT255" s="7"/>
      <c r="DU255" s="7"/>
      <c r="DV255" s="7"/>
      <c r="DW255" s="7"/>
      <c r="DX255" s="7"/>
      <c r="DY255" s="7"/>
      <c r="DZ255" s="7"/>
      <c r="EA255" s="161"/>
      <c r="EG255" s="140"/>
      <c r="EH255" s="131"/>
      <c r="EI255" s="102"/>
      <c r="EJ255" s="102"/>
      <c r="EK255" s="102"/>
      <c r="EL255" s="102"/>
      <c r="EM255" s="99"/>
      <c r="EN255" s="4"/>
      <c r="EO255" s="4"/>
      <c r="EP255" s="5"/>
      <c r="EQ255" s="5"/>
      <c r="ER255" s="99"/>
      <c r="ES255" s="159"/>
      <c r="ET255" s="99"/>
      <c r="EU255" s="99"/>
      <c r="EV255" s="99"/>
      <c r="EW255" s="159"/>
      <c r="EX255" s="99"/>
      <c r="EY255" s="99"/>
      <c r="EZ255" s="175"/>
    </row>
    <row r="256" spans="27:156">
      <c r="AA256" s="18"/>
      <c r="AB256" s="18"/>
      <c r="AC256" s="18"/>
      <c r="AD256" s="19"/>
      <c r="AE256" s="19"/>
      <c r="AI256" s="18"/>
      <c r="AJ256" s="7"/>
      <c r="AK256" s="7"/>
      <c r="AL256" s="7"/>
      <c r="AM256" s="7"/>
      <c r="AN256" s="7"/>
      <c r="AO256" s="7"/>
      <c r="AP256" s="7"/>
      <c r="AQ256" s="7"/>
      <c r="AR256" s="7"/>
      <c r="AS256" s="7"/>
      <c r="AT256" s="7"/>
      <c r="AU256" s="7"/>
      <c r="AV256" s="7"/>
      <c r="AW256" s="7"/>
      <c r="AX256" s="7"/>
      <c r="AY256" s="7"/>
      <c r="AZ256" s="7"/>
      <c r="BA256" s="18"/>
      <c r="BG256" s="140"/>
      <c r="BH256" s="131"/>
      <c r="BI256" s="102"/>
      <c r="BJ256" s="102"/>
      <c r="BK256" s="102"/>
      <c r="BL256" s="102"/>
      <c r="BM256" s="99"/>
      <c r="BN256" s="4"/>
      <c r="BO256" s="4"/>
      <c r="BP256" s="5"/>
      <c r="BQ256" s="5"/>
      <c r="BR256" s="99"/>
      <c r="BS256" s="159"/>
      <c r="BT256" s="99"/>
      <c r="BU256" s="99"/>
      <c r="BV256" s="99"/>
      <c r="BW256" s="159"/>
      <c r="BX256" s="99"/>
      <c r="BY256" s="99"/>
      <c r="BZ256" s="159"/>
      <c r="DA256" s="174"/>
      <c r="DB256" s="18"/>
      <c r="DC256" s="18"/>
      <c r="DD256" s="19"/>
      <c r="DE256" s="19"/>
      <c r="DI256" s="18"/>
      <c r="DJ256" s="7"/>
      <c r="DK256" s="7"/>
      <c r="DL256" s="7"/>
      <c r="DM256" s="7"/>
      <c r="DN256" s="7"/>
      <c r="DO256" s="7"/>
      <c r="DP256" s="7"/>
      <c r="DQ256" s="7"/>
      <c r="DR256" s="7"/>
      <c r="DS256" s="7"/>
      <c r="DT256" s="7"/>
      <c r="DU256" s="7"/>
      <c r="DV256" s="7"/>
      <c r="DW256" s="7"/>
      <c r="DX256" s="7"/>
      <c r="DY256" s="7"/>
      <c r="DZ256" s="7"/>
      <c r="EA256" s="161"/>
      <c r="EG256" s="140"/>
      <c r="EH256" s="131"/>
      <c r="EI256" s="102"/>
      <c r="EJ256" s="102"/>
      <c r="EK256" s="102"/>
      <c r="EL256" s="102"/>
      <c r="EM256" s="99"/>
      <c r="EN256" s="4"/>
      <c r="EO256" s="4"/>
      <c r="EP256" s="5"/>
      <c r="EQ256" s="5"/>
      <c r="ER256" s="99"/>
      <c r="ES256" s="159"/>
      <c r="ET256" s="99"/>
      <c r="EU256" s="99"/>
      <c r="EV256" s="99"/>
      <c r="EW256" s="159"/>
      <c r="EX256" s="99"/>
      <c r="EY256" s="99"/>
      <c r="EZ256" s="175"/>
    </row>
    <row r="257" spans="27:156">
      <c r="AA257" s="18"/>
      <c r="AB257" s="18"/>
      <c r="AC257" s="18"/>
      <c r="AD257" s="19"/>
      <c r="AE257" s="19"/>
      <c r="AI257" s="18"/>
      <c r="AJ257" s="7"/>
      <c r="AK257" s="7"/>
      <c r="AL257" s="7"/>
      <c r="AM257" s="7"/>
      <c r="AN257" s="7"/>
      <c r="AO257" s="7"/>
      <c r="AP257" s="7"/>
      <c r="AQ257" s="7"/>
      <c r="AR257" s="7"/>
      <c r="AS257" s="7"/>
      <c r="AT257" s="7"/>
      <c r="AU257" s="7"/>
      <c r="AV257" s="7"/>
      <c r="AW257" s="7"/>
      <c r="AX257" s="7"/>
      <c r="AY257" s="7"/>
      <c r="AZ257" s="7"/>
      <c r="BA257" s="18"/>
      <c r="BG257" s="140"/>
      <c r="BH257" s="131"/>
      <c r="BI257" s="102"/>
      <c r="BJ257" s="102"/>
      <c r="BK257" s="102"/>
      <c r="BL257" s="102"/>
      <c r="BM257" s="99"/>
      <c r="BN257" s="4"/>
      <c r="BO257" s="4"/>
      <c r="BP257" s="5"/>
      <c r="BQ257" s="5"/>
      <c r="BR257" s="99"/>
      <c r="BS257" s="159"/>
      <c r="BT257" s="99"/>
      <c r="BU257" s="99"/>
      <c r="BV257" s="99"/>
      <c r="BW257" s="159"/>
      <c r="BX257" s="99"/>
      <c r="BY257" s="99"/>
      <c r="BZ257" s="159"/>
      <c r="DA257" s="174"/>
      <c r="DB257" s="18"/>
      <c r="DC257" s="18"/>
      <c r="DD257" s="19"/>
      <c r="DE257" s="19"/>
      <c r="DI257" s="18"/>
      <c r="DJ257" s="7"/>
      <c r="DK257" s="7"/>
      <c r="DL257" s="7"/>
      <c r="DM257" s="7"/>
      <c r="DN257" s="7"/>
      <c r="DO257" s="7"/>
      <c r="DP257" s="7"/>
      <c r="DQ257" s="7"/>
      <c r="DR257" s="7"/>
      <c r="DS257" s="7"/>
      <c r="DT257" s="7"/>
      <c r="DU257" s="7"/>
      <c r="DV257" s="7"/>
      <c r="DW257" s="7"/>
      <c r="DX257" s="7"/>
      <c r="DY257" s="7"/>
      <c r="DZ257" s="7"/>
      <c r="EA257" s="161"/>
      <c r="EG257" s="140"/>
      <c r="EH257" s="131"/>
      <c r="EI257" s="102"/>
      <c r="EJ257" s="102"/>
      <c r="EK257" s="102"/>
      <c r="EL257" s="102"/>
      <c r="EM257" s="99"/>
      <c r="EN257" s="4"/>
      <c r="EO257" s="4"/>
      <c r="EP257" s="5"/>
      <c r="EQ257" s="5"/>
      <c r="ER257" s="99"/>
      <c r="ES257" s="159"/>
      <c r="ET257" s="99"/>
      <c r="EU257" s="99"/>
      <c r="EV257" s="99"/>
      <c r="EW257" s="159"/>
      <c r="EX257" s="99"/>
      <c r="EY257" s="99"/>
      <c r="EZ257" s="175"/>
    </row>
    <row r="258" spans="27:156">
      <c r="AA258" s="18"/>
      <c r="AB258" s="18"/>
      <c r="AC258" s="18"/>
      <c r="AD258" s="19"/>
      <c r="AE258" s="19"/>
      <c r="AI258" s="18"/>
      <c r="AJ258" s="7"/>
      <c r="AK258" s="7"/>
      <c r="AL258" s="7"/>
      <c r="AM258" s="7"/>
      <c r="AN258" s="7"/>
      <c r="AO258" s="7"/>
      <c r="AP258" s="7"/>
      <c r="AQ258" s="7"/>
      <c r="AR258" s="7"/>
      <c r="AS258" s="7"/>
      <c r="AT258" s="7"/>
      <c r="AU258" s="7"/>
      <c r="AV258" s="7"/>
      <c r="AW258" s="7"/>
      <c r="AX258" s="7"/>
      <c r="AY258" s="7"/>
      <c r="AZ258" s="7"/>
      <c r="BA258" s="18"/>
      <c r="BG258" s="140"/>
      <c r="BH258" s="131"/>
      <c r="BI258" s="102"/>
      <c r="BJ258" s="102"/>
      <c r="BK258" s="102"/>
      <c r="BL258" s="102"/>
      <c r="BM258" s="99"/>
      <c r="BN258" s="4"/>
      <c r="BO258" s="4"/>
      <c r="BP258" s="5"/>
      <c r="BQ258" s="5"/>
      <c r="BR258" s="99"/>
      <c r="BS258" s="159"/>
      <c r="BT258" s="99"/>
      <c r="BU258" s="99"/>
      <c r="BV258" s="99"/>
      <c r="BW258" s="159"/>
      <c r="BX258" s="99"/>
      <c r="BY258" s="99"/>
      <c r="BZ258" s="159"/>
      <c r="DA258" s="174"/>
      <c r="DB258" s="18"/>
      <c r="DC258" s="18"/>
      <c r="DD258" s="19"/>
      <c r="DE258" s="19"/>
      <c r="DI258" s="18"/>
      <c r="DJ258" s="7"/>
      <c r="DK258" s="7"/>
      <c r="DL258" s="7"/>
      <c r="DM258" s="7"/>
      <c r="DN258" s="7"/>
      <c r="DO258" s="7"/>
      <c r="DP258" s="7"/>
      <c r="DQ258" s="7"/>
      <c r="DR258" s="7"/>
      <c r="DS258" s="7"/>
      <c r="DT258" s="7"/>
      <c r="DU258" s="7"/>
      <c r="DV258" s="7"/>
      <c r="DW258" s="7"/>
      <c r="DX258" s="7"/>
      <c r="DY258" s="7"/>
      <c r="DZ258" s="7"/>
      <c r="EA258" s="161"/>
      <c r="EG258" s="140"/>
      <c r="EH258" s="131"/>
      <c r="EI258" s="102"/>
      <c r="EJ258" s="102"/>
      <c r="EK258" s="102"/>
      <c r="EL258" s="102"/>
      <c r="EM258" s="99"/>
      <c r="EN258" s="4"/>
      <c r="EO258" s="4"/>
      <c r="EP258" s="5"/>
      <c r="EQ258" s="5"/>
      <c r="ER258" s="99"/>
      <c r="ES258" s="159"/>
      <c r="ET258" s="99"/>
      <c r="EU258" s="99"/>
      <c r="EV258" s="99"/>
      <c r="EW258" s="159"/>
      <c r="EX258" s="99"/>
      <c r="EY258" s="99"/>
      <c r="EZ258" s="175"/>
    </row>
    <row r="259" spans="27:156">
      <c r="AA259" s="18"/>
      <c r="AB259" s="18"/>
      <c r="AC259" s="18"/>
      <c r="AD259" s="19"/>
      <c r="AE259" s="19"/>
      <c r="AI259" s="18"/>
      <c r="AJ259" s="7"/>
      <c r="AK259" s="7"/>
      <c r="AL259" s="7"/>
      <c r="AM259" s="7"/>
      <c r="AN259" s="7"/>
      <c r="AO259" s="7"/>
      <c r="AP259" s="7"/>
      <c r="AQ259" s="7"/>
      <c r="AR259" s="7"/>
      <c r="AS259" s="7"/>
      <c r="AT259" s="7"/>
      <c r="AU259" s="7"/>
      <c r="AV259" s="7"/>
      <c r="AW259" s="7"/>
      <c r="AX259" s="7"/>
      <c r="AY259" s="7"/>
      <c r="AZ259" s="7"/>
      <c r="BA259" s="18"/>
      <c r="BG259" s="140"/>
      <c r="BH259" s="131"/>
      <c r="BI259" s="102"/>
      <c r="BJ259" s="102"/>
      <c r="BK259" s="102"/>
      <c r="BL259" s="102"/>
      <c r="BM259" s="99"/>
      <c r="BN259" s="4"/>
      <c r="BO259" s="4"/>
      <c r="BP259" s="5"/>
      <c r="BQ259" s="5"/>
      <c r="BR259" s="99"/>
      <c r="BS259" s="159"/>
      <c r="BT259" s="99"/>
      <c r="BU259" s="99"/>
      <c r="BV259" s="99"/>
      <c r="BW259" s="159"/>
      <c r="BX259" s="99"/>
      <c r="BY259" s="99"/>
      <c r="BZ259" s="159"/>
      <c r="DA259" s="174"/>
      <c r="DB259" s="18"/>
      <c r="DC259" s="18"/>
      <c r="DD259" s="19"/>
      <c r="DE259" s="19"/>
      <c r="DI259" s="18"/>
      <c r="DJ259" s="7"/>
      <c r="DK259" s="7"/>
      <c r="DL259" s="7"/>
      <c r="DM259" s="7"/>
      <c r="DN259" s="7"/>
      <c r="DO259" s="7"/>
      <c r="DP259" s="7"/>
      <c r="DQ259" s="7"/>
      <c r="DR259" s="7"/>
      <c r="DS259" s="7"/>
      <c r="DT259" s="7"/>
      <c r="DU259" s="7"/>
      <c r="DV259" s="7"/>
      <c r="DW259" s="7"/>
      <c r="DX259" s="7"/>
      <c r="DY259" s="7"/>
      <c r="DZ259" s="7"/>
      <c r="EA259" s="161"/>
      <c r="EG259" s="140"/>
      <c r="EH259" s="131"/>
      <c r="EI259" s="102"/>
      <c r="EJ259" s="102"/>
      <c r="EK259" s="102"/>
      <c r="EL259" s="102"/>
      <c r="EM259" s="99"/>
      <c r="EN259" s="4"/>
      <c r="EO259" s="4"/>
      <c r="EP259" s="5"/>
      <c r="EQ259" s="5"/>
      <c r="ER259" s="99"/>
      <c r="ES259" s="159"/>
      <c r="ET259" s="99"/>
      <c r="EU259" s="99"/>
      <c r="EV259" s="99"/>
      <c r="EW259" s="159"/>
      <c r="EX259" s="99"/>
      <c r="EY259" s="99"/>
      <c r="EZ259" s="175"/>
    </row>
    <row r="260" spans="27:156">
      <c r="AA260" s="18"/>
      <c r="AB260" s="18"/>
      <c r="AC260" s="18"/>
      <c r="AD260" s="19"/>
      <c r="AE260" s="19"/>
      <c r="AI260" s="18"/>
      <c r="AJ260" s="7"/>
      <c r="AK260" s="7"/>
      <c r="AL260" s="7"/>
      <c r="AM260" s="7"/>
      <c r="AN260" s="7"/>
      <c r="AO260" s="7"/>
      <c r="AP260" s="7"/>
      <c r="AQ260" s="7"/>
      <c r="AR260" s="7"/>
      <c r="AS260" s="7"/>
      <c r="AT260" s="7"/>
      <c r="AU260" s="7"/>
      <c r="AV260" s="7"/>
      <c r="AW260" s="7"/>
      <c r="AX260" s="7"/>
      <c r="AY260" s="7"/>
      <c r="AZ260" s="7"/>
      <c r="BA260" s="18"/>
      <c r="BG260" s="140"/>
      <c r="BH260" s="131"/>
      <c r="BI260" s="102"/>
      <c r="BJ260" s="102"/>
      <c r="BK260" s="102"/>
      <c r="BL260" s="102"/>
      <c r="BM260" s="99"/>
      <c r="BN260" s="4"/>
      <c r="BO260" s="4"/>
      <c r="BP260" s="5"/>
      <c r="BQ260" s="5"/>
      <c r="BR260" s="99"/>
      <c r="BS260" s="159"/>
      <c r="BT260" s="99"/>
      <c r="BU260" s="99"/>
      <c r="BV260" s="99"/>
      <c r="BW260" s="159"/>
      <c r="BX260" s="99"/>
      <c r="BY260" s="99"/>
      <c r="BZ260" s="159"/>
      <c r="DA260" s="174"/>
      <c r="DB260" s="18"/>
      <c r="DC260" s="18"/>
      <c r="DD260" s="19"/>
      <c r="DE260" s="19"/>
      <c r="DI260" s="18"/>
      <c r="DJ260" s="7"/>
      <c r="DK260" s="7"/>
      <c r="DL260" s="7"/>
      <c r="DM260" s="7"/>
      <c r="DN260" s="7"/>
      <c r="DO260" s="7"/>
      <c r="DP260" s="7"/>
      <c r="DQ260" s="7"/>
      <c r="DR260" s="7"/>
      <c r="DS260" s="7"/>
      <c r="DT260" s="7"/>
      <c r="DU260" s="7"/>
      <c r="DV260" s="7"/>
      <c r="DW260" s="7"/>
      <c r="DX260" s="7"/>
      <c r="DY260" s="7"/>
      <c r="DZ260" s="7"/>
      <c r="EA260" s="161"/>
      <c r="EG260" s="140"/>
      <c r="EH260" s="131"/>
      <c r="EI260" s="102"/>
      <c r="EJ260" s="102"/>
      <c r="EK260" s="102"/>
      <c r="EL260" s="102"/>
      <c r="EM260" s="99"/>
      <c r="EN260" s="4"/>
      <c r="EO260" s="4"/>
      <c r="EP260" s="5"/>
      <c r="EQ260" s="5"/>
      <c r="ER260" s="99"/>
      <c r="ES260" s="159"/>
      <c r="ET260" s="99"/>
      <c r="EU260" s="99"/>
      <c r="EV260" s="99"/>
      <c r="EW260" s="159"/>
      <c r="EX260" s="99"/>
      <c r="EY260" s="99"/>
      <c r="EZ260" s="175"/>
    </row>
    <row r="261" spans="27:156">
      <c r="AA261" s="18"/>
      <c r="AB261" s="18"/>
      <c r="AC261" s="18"/>
      <c r="AD261" s="19"/>
      <c r="AE261" s="19"/>
      <c r="AI261" s="18"/>
      <c r="AJ261" s="7"/>
      <c r="AK261" s="7"/>
      <c r="AL261" s="7"/>
      <c r="AM261" s="7"/>
      <c r="AN261" s="7"/>
      <c r="AO261" s="7"/>
      <c r="AP261" s="7"/>
      <c r="AQ261" s="7"/>
      <c r="AR261" s="7"/>
      <c r="AS261" s="7"/>
      <c r="AT261" s="7"/>
      <c r="AU261" s="7"/>
      <c r="AV261" s="7"/>
      <c r="AW261" s="7"/>
      <c r="AX261" s="7"/>
      <c r="AY261" s="7"/>
      <c r="AZ261" s="7"/>
      <c r="BA261" s="18"/>
      <c r="BG261" s="140"/>
      <c r="BH261" s="131"/>
      <c r="BI261" s="102"/>
      <c r="BJ261" s="102"/>
      <c r="BK261" s="102"/>
      <c r="BL261" s="102"/>
      <c r="BM261" s="99"/>
      <c r="BN261" s="4"/>
      <c r="BO261" s="4"/>
      <c r="BP261" s="5"/>
      <c r="BQ261" s="5"/>
      <c r="BR261" s="99"/>
      <c r="BS261" s="159"/>
      <c r="BT261" s="99"/>
      <c r="BU261" s="99"/>
      <c r="BV261" s="99"/>
      <c r="BW261" s="159"/>
      <c r="BX261" s="99"/>
      <c r="BY261" s="99"/>
      <c r="BZ261" s="159"/>
      <c r="DA261" s="174"/>
      <c r="DB261" s="18"/>
      <c r="DC261" s="18"/>
      <c r="DD261" s="19"/>
      <c r="DE261" s="19"/>
      <c r="DI261" s="18"/>
      <c r="DJ261" s="7"/>
      <c r="DK261" s="7"/>
      <c r="DL261" s="7"/>
      <c r="DM261" s="7"/>
      <c r="DN261" s="7"/>
      <c r="DO261" s="7"/>
      <c r="DP261" s="7"/>
      <c r="DQ261" s="7"/>
      <c r="DR261" s="7"/>
      <c r="DS261" s="7"/>
      <c r="DT261" s="7"/>
      <c r="DU261" s="7"/>
      <c r="DV261" s="7"/>
      <c r="DW261" s="7"/>
      <c r="DX261" s="7"/>
      <c r="DY261" s="7"/>
      <c r="DZ261" s="7"/>
      <c r="EA261" s="161"/>
      <c r="EG261" s="140"/>
      <c r="EH261" s="131"/>
      <c r="EI261" s="102"/>
      <c r="EJ261" s="102"/>
      <c r="EK261" s="102"/>
      <c r="EL261" s="102"/>
      <c r="EM261" s="99"/>
      <c r="EN261" s="4"/>
      <c r="EO261" s="4"/>
      <c r="EP261" s="5"/>
      <c r="EQ261" s="5"/>
      <c r="ER261" s="99"/>
      <c r="ES261" s="159"/>
      <c r="ET261" s="99"/>
      <c r="EU261" s="99"/>
      <c r="EV261" s="99"/>
      <c r="EW261" s="159"/>
      <c r="EX261" s="99"/>
      <c r="EY261" s="99"/>
      <c r="EZ261" s="175"/>
    </row>
    <row r="262" spans="27:156">
      <c r="AA262" s="18"/>
      <c r="AB262" s="18"/>
      <c r="AC262" s="18"/>
      <c r="AD262" s="19"/>
      <c r="AE262" s="19"/>
      <c r="AI262" s="18"/>
      <c r="AJ262" s="7"/>
      <c r="AK262" s="7"/>
      <c r="AL262" s="7"/>
      <c r="AM262" s="7"/>
      <c r="AN262" s="7"/>
      <c r="AO262" s="7"/>
      <c r="AP262" s="7"/>
      <c r="AQ262" s="7"/>
      <c r="AR262" s="7"/>
      <c r="AS262" s="7"/>
      <c r="AT262" s="7"/>
      <c r="AU262" s="7"/>
      <c r="AV262" s="7"/>
      <c r="AW262" s="7"/>
      <c r="AX262" s="7"/>
      <c r="AY262" s="7"/>
      <c r="AZ262" s="7"/>
      <c r="BA262" s="18"/>
      <c r="BG262" s="140"/>
      <c r="BH262" s="131"/>
      <c r="BI262" s="102"/>
      <c r="BJ262" s="102"/>
      <c r="BK262" s="102"/>
      <c r="BL262" s="102"/>
      <c r="BM262" s="99"/>
      <c r="BN262" s="4"/>
      <c r="BO262" s="4"/>
      <c r="BP262" s="5"/>
      <c r="BQ262" s="5"/>
      <c r="BR262" s="99"/>
      <c r="BS262" s="159"/>
      <c r="BT262" s="99"/>
      <c r="BU262" s="99"/>
      <c r="BV262" s="99"/>
      <c r="BW262" s="159"/>
      <c r="BX262" s="99"/>
      <c r="BY262" s="99"/>
      <c r="BZ262" s="159"/>
      <c r="DA262" s="174"/>
      <c r="DB262" s="18"/>
      <c r="DC262" s="18"/>
      <c r="DD262" s="19"/>
      <c r="DE262" s="19"/>
      <c r="DI262" s="18"/>
      <c r="DJ262" s="7"/>
      <c r="DK262" s="7"/>
      <c r="DL262" s="7"/>
      <c r="DM262" s="7"/>
      <c r="DN262" s="7"/>
      <c r="DO262" s="7"/>
      <c r="DP262" s="7"/>
      <c r="DQ262" s="7"/>
      <c r="DR262" s="7"/>
      <c r="DS262" s="7"/>
      <c r="DT262" s="7"/>
      <c r="DU262" s="7"/>
      <c r="DV262" s="7"/>
      <c r="DW262" s="7"/>
      <c r="DX262" s="7"/>
      <c r="DY262" s="7"/>
      <c r="DZ262" s="7"/>
      <c r="EA262" s="161"/>
      <c r="EG262" s="140"/>
      <c r="EH262" s="131"/>
      <c r="EI262" s="102"/>
      <c r="EJ262" s="102"/>
      <c r="EK262" s="102"/>
      <c r="EL262" s="102"/>
      <c r="EM262" s="99"/>
      <c r="EN262" s="4"/>
      <c r="EO262" s="4"/>
      <c r="EP262" s="5"/>
      <c r="EQ262" s="5"/>
      <c r="ER262" s="99"/>
      <c r="ES262" s="159"/>
      <c r="ET262" s="99"/>
      <c r="EU262" s="99"/>
      <c r="EV262" s="99"/>
      <c r="EW262" s="159"/>
      <c r="EX262" s="99"/>
      <c r="EY262" s="99"/>
      <c r="EZ262" s="175"/>
    </row>
    <row r="263" spans="27:156">
      <c r="AA263" s="18"/>
      <c r="AB263" s="18"/>
      <c r="AC263" s="18"/>
      <c r="AD263" s="19"/>
      <c r="AE263" s="19"/>
      <c r="AI263" s="18"/>
      <c r="AJ263" s="7"/>
      <c r="AK263" s="7"/>
      <c r="AL263" s="7"/>
      <c r="AM263" s="7"/>
      <c r="AN263" s="7"/>
      <c r="AO263" s="7"/>
      <c r="AP263" s="7"/>
      <c r="AQ263" s="7"/>
      <c r="AR263" s="7"/>
      <c r="AS263" s="7"/>
      <c r="AT263" s="7"/>
      <c r="AU263" s="7"/>
      <c r="AV263" s="7"/>
      <c r="AW263" s="7"/>
      <c r="AX263" s="7"/>
      <c r="AY263" s="7"/>
      <c r="AZ263" s="7"/>
      <c r="BA263" s="18"/>
      <c r="BG263" s="140"/>
      <c r="BH263" s="131"/>
      <c r="BI263" s="102"/>
      <c r="BJ263" s="102"/>
      <c r="BK263" s="102"/>
      <c r="BL263" s="102"/>
      <c r="BM263" s="99"/>
      <c r="BN263" s="4"/>
      <c r="BO263" s="4"/>
      <c r="BP263" s="5"/>
      <c r="BQ263" s="5"/>
      <c r="BR263" s="99"/>
      <c r="BS263" s="159"/>
      <c r="BT263" s="99"/>
      <c r="BU263" s="99"/>
      <c r="BV263" s="99"/>
      <c r="BW263" s="159"/>
      <c r="BX263" s="99"/>
      <c r="BY263" s="99"/>
      <c r="BZ263" s="159"/>
      <c r="DA263" s="174"/>
      <c r="DB263" s="18"/>
      <c r="DC263" s="18"/>
      <c r="DD263" s="19"/>
      <c r="DE263" s="19"/>
      <c r="DI263" s="18"/>
      <c r="DJ263" s="7"/>
      <c r="DK263" s="7"/>
      <c r="DL263" s="7"/>
      <c r="DM263" s="7"/>
      <c r="DN263" s="7"/>
      <c r="DO263" s="7"/>
      <c r="DP263" s="7"/>
      <c r="DQ263" s="7"/>
      <c r="DR263" s="7"/>
      <c r="DS263" s="7"/>
      <c r="DT263" s="7"/>
      <c r="DU263" s="7"/>
      <c r="DV263" s="7"/>
      <c r="DW263" s="7"/>
      <c r="DX263" s="7"/>
      <c r="DY263" s="7"/>
      <c r="DZ263" s="7"/>
      <c r="EA263" s="161"/>
      <c r="EG263" s="140"/>
      <c r="EH263" s="131"/>
      <c r="EI263" s="102"/>
      <c r="EJ263" s="102"/>
      <c r="EK263" s="102"/>
      <c r="EL263" s="102"/>
      <c r="EM263" s="99"/>
      <c r="EN263" s="4"/>
      <c r="EO263" s="4"/>
      <c r="EP263" s="5"/>
      <c r="EQ263" s="5"/>
      <c r="ER263" s="99"/>
      <c r="ES263" s="159"/>
      <c r="ET263" s="99"/>
      <c r="EU263" s="99"/>
      <c r="EV263" s="99"/>
      <c r="EW263" s="159"/>
      <c r="EX263" s="99"/>
      <c r="EY263" s="99"/>
      <c r="EZ263" s="175"/>
    </row>
    <row r="264" spans="27:156">
      <c r="AA264" s="18"/>
      <c r="AB264" s="18"/>
      <c r="AC264" s="18"/>
      <c r="AD264" s="19"/>
      <c r="AE264" s="19"/>
      <c r="AI264" s="18"/>
      <c r="AJ264" s="7"/>
      <c r="AK264" s="7"/>
      <c r="AL264" s="7"/>
      <c r="AM264" s="7"/>
      <c r="AN264" s="7"/>
      <c r="AO264" s="7"/>
      <c r="AP264" s="7"/>
      <c r="AQ264" s="7"/>
      <c r="AR264" s="7"/>
      <c r="AS264" s="7"/>
      <c r="AT264" s="7"/>
      <c r="AU264" s="7"/>
      <c r="AV264" s="7"/>
      <c r="AW264" s="7"/>
      <c r="AX264" s="7"/>
      <c r="AY264" s="7"/>
      <c r="AZ264" s="7"/>
      <c r="BA264" s="18"/>
      <c r="BG264" s="140"/>
      <c r="BH264" s="131"/>
      <c r="BI264" s="102"/>
      <c r="BJ264" s="102"/>
      <c r="BK264" s="102"/>
      <c r="BL264" s="102"/>
      <c r="BM264" s="99"/>
      <c r="BN264" s="4"/>
      <c r="BO264" s="4"/>
      <c r="BP264" s="5"/>
      <c r="BQ264" s="5"/>
      <c r="BR264" s="99"/>
      <c r="BS264" s="159"/>
      <c r="BT264" s="99"/>
      <c r="BU264" s="99"/>
      <c r="BV264" s="99"/>
      <c r="BW264" s="159"/>
      <c r="BX264" s="99"/>
      <c r="BY264" s="99"/>
      <c r="BZ264" s="159"/>
      <c r="DA264" s="174"/>
      <c r="DB264" s="18"/>
      <c r="DC264" s="18"/>
      <c r="DD264" s="19"/>
      <c r="DE264" s="19"/>
      <c r="DI264" s="18"/>
      <c r="DJ264" s="7"/>
      <c r="DK264" s="7"/>
      <c r="DL264" s="7"/>
      <c r="DM264" s="7"/>
      <c r="DN264" s="7"/>
      <c r="DO264" s="7"/>
      <c r="DP264" s="7"/>
      <c r="DQ264" s="7"/>
      <c r="DR264" s="7"/>
      <c r="DS264" s="7"/>
      <c r="DT264" s="7"/>
      <c r="DU264" s="7"/>
      <c r="DV264" s="7"/>
      <c r="DW264" s="7"/>
      <c r="DX264" s="7"/>
      <c r="DY264" s="7"/>
      <c r="DZ264" s="7"/>
      <c r="EA264" s="161"/>
      <c r="EG264" s="140"/>
      <c r="EH264" s="131"/>
      <c r="EI264" s="102"/>
      <c r="EJ264" s="102"/>
      <c r="EK264" s="102"/>
      <c r="EL264" s="102"/>
      <c r="EM264" s="99"/>
      <c r="EN264" s="4"/>
      <c r="EO264" s="4"/>
      <c r="EP264" s="5"/>
      <c r="EQ264" s="5"/>
      <c r="ER264" s="99"/>
      <c r="ES264" s="159"/>
      <c r="ET264" s="99"/>
      <c r="EU264" s="99"/>
      <c r="EV264" s="99"/>
      <c r="EW264" s="159"/>
      <c r="EX264" s="99"/>
      <c r="EY264" s="99"/>
      <c r="EZ264" s="175"/>
    </row>
    <row r="265" spans="27:156">
      <c r="AA265" s="18"/>
      <c r="AB265" s="18"/>
      <c r="AC265" s="18"/>
      <c r="AD265" s="19"/>
      <c r="AE265" s="19"/>
      <c r="AI265" s="18"/>
      <c r="AJ265" s="7"/>
      <c r="AK265" s="7"/>
      <c r="AL265" s="7"/>
      <c r="AM265" s="7"/>
      <c r="AN265" s="7"/>
      <c r="AO265" s="7"/>
      <c r="AP265" s="7"/>
      <c r="AQ265" s="7"/>
      <c r="AR265" s="7"/>
      <c r="AS265" s="7"/>
      <c r="AT265" s="7"/>
      <c r="AU265" s="7"/>
      <c r="AV265" s="7"/>
      <c r="AW265" s="7"/>
      <c r="AX265" s="7"/>
      <c r="AY265" s="7"/>
      <c r="AZ265" s="7"/>
      <c r="BA265" s="18"/>
      <c r="BG265" s="140"/>
      <c r="BH265" s="131"/>
      <c r="BI265" s="102"/>
      <c r="BJ265" s="102"/>
      <c r="BK265" s="102"/>
      <c r="BL265" s="102"/>
      <c r="BM265" s="99"/>
      <c r="BN265" s="4"/>
      <c r="BO265" s="4"/>
      <c r="BP265" s="5"/>
      <c r="BQ265" s="5"/>
      <c r="BR265" s="99"/>
      <c r="BS265" s="159"/>
      <c r="BT265" s="99"/>
      <c r="BU265" s="99"/>
      <c r="BV265" s="99"/>
      <c r="BW265" s="159"/>
      <c r="BX265" s="99"/>
      <c r="BY265" s="99"/>
      <c r="BZ265" s="159"/>
      <c r="DA265" s="174"/>
      <c r="DB265" s="18"/>
      <c r="DC265" s="18"/>
      <c r="DD265" s="19"/>
      <c r="DE265" s="19"/>
      <c r="DI265" s="18"/>
      <c r="DJ265" s="7"/>
      <c r="DK265" s="7"/>
      <c r="DL265" s="7"/>
      <c r="DM265" s="7"/>
      <c r="DN265" s="7"/>
      <c r="DO265" s="7"/>
      <c r="DP265" s="7"/>
      <c r="DQ265" s="7"/>
      <c r="DR265" s="7"/>
      <c r="DS265" s="7"/>
      <c r="DT265" s="7"/>
      <c r="DU265" s="7"/>
      <c r="DV265" s="7"/>
      <c r="DW265" s="7"/>
      <c r="DX265" s="7"/>
      <c r="DY265" s="7"/>
      <c r="DZ265" s="7"/>
      <c r="EA265" s="161"/>
      <c r="EG265" s="140"/>
      <c r="EH265" s="131"/>
      <c r="EI265" s="102"/>
      <c r="EJ265" s="102"/>
      <c r="EK265" s="102"/>
      <c r="EL265" s="102"/>
      <c r="EM265" s="99"/>
      <c r="EN265" s="4"/>
      <c r="EO265" s="4"/>
      <c r="EP265" s="5"/>
      <c r="EQ265" s="5"/>
      <c r="ER265" s="99"/>
      <c r="ES265" s="159"/>
      <c r="ET265" s="99"/>
      <c r="EU265" s="99"/>
      <c r="EV265" s="99"/>
      <c r="EW265" s="159"/>
      <c r="EX265" s="99"/>
      <c r="EY265" s="99"/>
      <c r="EZ265" s="175"/>
    </row>
    <row r="266" spans="27:156">
      <c r="AA266" s="18"/>
      <c r="AB266" s="18"/>
      <c r="AC266" s="18"/>
      <c r="AD266" s="19"/>
      <c r="AE266" s="19"/>
      <c r="AI266" s="18"/>
      <c r="AJ266" s="7"/>
      <c r="AK266" s="7"/>
      <c r="AL266" s="7"/>
      <c r="AM266" s="7"/>
      <c r="AN266" s="7"/>
      <c r="AO266" s="7"/>
      <c r="AP266" s="7"/>
      <c r="AQ266" s="7"/>
      <c r="AR266" s="7"/>
      <c r="AS266" s="7"/>
      <c r="AT266" s="7"/>
      <c r="AU266" s="7"/>
      <c r="AV266" s="7"/>
      <c r="AW266" s="7"/>
      <c r="AX266" s="7"/>
      <c r="AY266" s="7"/>
      <c r="AZ266" s="7"/>
      <c r="BA266" s="18"/>
      <c r="BG266" s="140"/>
      <c r="BH266" s="131"/>
      <c r="BI266" s="102"/>
      <c r="BJ266" s="102"/>
      <c r="BK266" s="102"/>
      <c r="BL266" s="102"/>
      <c r="BM266" s="99"/>
      <c r="BN266" s="4"/>
      <c r="BO266" s="4"/>
      <c r="BP266" s="5"/>
      <c r="BQ266" s="5"/>
      <c r="BR266" s="99"/>
      <c r="BS266" s="159"/>
      <c r="BT266" s="99"/>
      <c r="BU266" s="99"/>
      <c r="BV266" s="99"/>
      <c r="BW266" s="159"/>
      <c r="BX266" s="99"/>
      <c r="BY266" s="99"/>
      <c r="BZ266" s="159"/>
      <c r="DA266" s="174"/>
      <c r="DB266" s="18"/>
      <c r="DC266" s="18"/>
      <c r="DD266" s="19"/>
      <c r="DE266" s="19"/>
      <c r="DI266" s="18"/>
      <c r="DJ266" s="7"/>
      <c r="DK266" s="7"/>
      <c r="DL266" s="7"/>
      <c r="DM266" s="7"/>
      <c r="DN266" s="7"/>
      <c r="DO266" s="7"/>
      <c r="DP266" s="7"/>
      <c r="DQ266" s="7"/>
      <c r="DR266" s="7"/>
      <c r="DS266" s="7"/>
      <c r="DT266" s="7"/>
      <c r="DU266" s="7"/>
      <c r="DV266" s="7"/>
      <c r="DW266" s="7"/>
      <c r="DX266" s="7"/>
      <c r="DY266" s="7"/>
      <c r="DZ266" s="7"/>
      <c r="EA266" s="161"/>
      <c r="EG266" s="140"/>
      <c r="EH266" s="131"/>
      <c r="EI266" s="102"/>
      <c r="EJ266" s="102"/>
      <c r="EK266" s="102"/>
      <c r="EL266" s="102"/>
      <c r="EM266" s="99"/>
      <c r="EN266" s="4"/>
      <c r="EO266" s="4"/>
      <c r="EP266" s="5"/>
      <c r="EQ266" s="5"/>
      <c r="ER266" s="99"/>
      <c r="ES266" s="159"/>
      <c r="ET266" s="99"/>
      <c r="EU266" s="99"/>
      <c r="EV266" s="99"/>
      <c r="EW266" s="159"/>
      <c r="EX266" s="99"/>
      <c r="EY266" s="99"/>
      <c r="EZ266" s="175"/>
    </row>
    <row r="267" spans="27:156">
      <c r="AA267" s="18"/>
      <c r="AB267" s="18"/>
      <c r="AC267" s="18"/>
      <c r="AD267" s="19"/>
      <c r="AE267" s="19"/>
      <c r="AI267" s="18"/>
      <c r="AJ267" s="7"/>
      <c r="AK267" s="7"/>
      <c r="AL267" s="7"/>
      <c r="AM267" s="7"/>
      <c r="AN267" s="7"/>
      <c r="AO267" s="7"/>
      <c r="AP267" s="7"/>
      <c r="AQ267" s="7"/>
      <c r="AR267" s="7"/>
      <c r="AS267" s="7"/>
      <c r="AT267" s="7"/>
      <c r="AU267" s="7"/>
      <c r="AV267" s="7"/>
      <c r="AW267" s="7"/>
      <c r="AX267" s="7"/>
      <c r="AY267" s="7"/>
      <c r="AZ267" s="7"/>
      <c r="BA267" s="18"/>
      <c r="BG267" s="140"/>
      <c r="BH267" s="131"/>
      <c r="BI267" s="102"/>
      <c r="BJ267" s="102"/>
      <c r="BK267" s="102"/>
      <c r="BL267" s="102"/>
      <c r="BM267" s="99"/>
      <c r="BN267" s="4"/>
      <c r="BO267" s="4"/>
      <c r="BP267" s="5"/>
      <c r="BQ267" s="5"/>
      <c r="BR267" s="99"/>
      <c r="BS267" s="159"/>
      <c r="BT267" s="99"/>
      <c r="BU267" s="99"/>
      <c r="BV267" s="99"/>
      <c r="BW267" s="159"/>
      <c r="BX267" s="99"/>
      <c r="BY267" s="99"/>
      <c r="BZ267" s="159"/>
      <c r="DA267" s="174"/>
      <c r="DB267" s="18"/>
      <c r="DC267" s="18"/>
      <c r="DD267" s="19"/>
      <c r="DE267" s="19"/>
      <c r="DI267" s="18"/>
      <c r="DJ267" s="7"/>
      <c r="DK267" s="7"/>
      <c r="DL267" s="7"/>
      <c r="DM267" s="7"/>
      <c r="DN267" s="7"/>
      <c r="DO267" s="7"/>
      <c r="DP267" s="7"/>
      <c r="DQ267" s="7"/>
      <c r="DR267" s="7"/>
      <c r="DS267" s="7"/>
      <c r="DT267" s="7"/>
      <c r="DU267" s="7"/>
      <c r="DV267" s="7"/>
      <c r="DW267" s="7"/>
      <c r="DX267" s="7"/>
      <c r="DY267" s="7"/>
      <c r="DZ267" s="7"/>
      <c r="EA267" s="161"/>
      <c r="EG267" s="140"/>
      <c r="EH267" s="131"/>
      <c r="EI267" s="102"/>
      <c r="EJ267" s="102"/>
      <c r="EK267" s="102"/>
      <c r="EL267" s="102"/>
      <c r="EM267" s="99"/>
      <c r="EN267" s="4"/>
      <c r="EO267" s="4"/>
      <c r="EP267" s="5"/>
      <c r="EQ267" s="5"/>
      <c r="ER267" s="99"/>
      <c r="ES267" s="159"/>
      <c r="ET267" s="99"/>
      <c r="EU267" s="99"/>
      <c r="EV267" s="99"/>
      <c r="EW267" s="159"/>
      <c r="EX267" s="99"/>
      <c r="EY267" s="99"/>
      <c r="EZ267" s="175"/>
    </row>
    <row r="268" spans="27:156">
      <c r="AA268" s="18"/>
      <c r="AB268" s="18"/>
      <c r="AC268" s="18"/>
      <c r="AD268" s="19"/>
      <c r="AE268" s="19"/>
      <c r="AI268" s="18"/>
      <c r="AJ268" s="7"/>
      <c r="AK268" s="7"/>
      <c r="AL268" s="7"/>
      <c r="AM268" s="7"/>
      <c r="AN268" s="7"/>
      <c r="AO268" s="7"/>
      <c r="AP268" s="7"/>
      <c r="AQ268" s="7"/>
      <c r="AR268" s="7"/>
      <c r="AS268" s="7"/>
      <c r="AT268" s="7"/>
      <c r="AU268" s="7"/>
      <c r="AV268" s="7"/>
      <c r="AW268" s="7"/>
      <c r="AX268" s="7"/>
      <c r="AY268" s="7"/>
      <c r="AZ268" s="7"/>
      <c r="BA268" s="18"/>
      <c r="BG268" s="140"/>
      <c r="BH268" s="131"/>
      <c r="BI268" s="102"/>
      <c r="BJ268" s="102"/>
      <c r="BK268" s="102"/>
      <c r="BL268" s="102"/>
      <c r="BM268" s="99"/>
      <c r="BN268" s="4"/>
      <c r="BO268" s="4"/>
      <c r="BP268" s="5"/>
      <c r="BQ268" s="5"/>
      <c r="BR268" s="99"/>
      <c r="BS268" s="159"/>
      <c r="BT268" s="99"/>
      <c r="BU268" s="99"/>
      <c r="BV268" s="99"/>
      <c r="BW268" s="159"/>
      <c r="BX268" s="99"/>
      <c r="BY268" s="99"/>
      <c r="BZ268" s="159"/>
      <c r="DA268" s="174"/>
      <c r="DB268" s="18"/>
      <c r="DC268" s="18"/>
      <c r="DD268" s="19"/>
      <c r="DE268" s="19"/>
      <c r="DI268" s="18"/>
      <c r="DJ268" s="7"/>
      <c r="DK268" s="7"/>
      <c r="DL268" s="7"/>
      <c r="DM268" s="7"/>
      <c r="DN268" s="7"/>
      <c r="DO268" s="7"/>
      <c r="DP268" s="7"/>
      <c r="DQ268" s="7"/>
      <c r="DR268" s="7"/>
      <c r="DS268" s="7"/>
      <c r="DT268" s="7"/>
      <c r="DU268" s="7"/>
      <c r="DV268" s="7"/>
      <c r="DW268" s="7"/>
      <c r="DX268" s="7"/>
      <c r="DY268" s="7"/>
      <c r="DZ268" s="7"/>
      <c r="EA268" s="161"/>
      <c r="EG268" s="140"/>
      <c r="EH268" s="131"/>
      <c r="EI268" s="102"/>
      <c r="EJ268" s="102"/>
      <c r="EK268" s="102"/>
      <c r="EL268" s="102"/>
      <c r="EM268" s="99"/>
      <c r="EN268" s="4"/>
      <c r="EO268" s="4"/>
      <c r="EP268" s="5"/>
      <c r="EQ268" s="5"/>
      <c r="ER268" s="99"/>
      <c r="ES268" s="159"/>
      <c r="ET268" s="99"/>
      <c r="EU268" s="99"/>
      <c r="EV268" s="99"/>
      <c r="EW268" s="159"/>
      <c r="EX268" s="99"/>
      <c r="EY268" s="99"/>
      <c r="EZ268" s="175"/>
    </row>
    <row r="269" spans="27:156">
      <c r="AA269" s="18"/>
      <c r="AB269" s="18"/>
      <c r="AC269" s="18"/>
      <c r="AD269" s="19"/>
      <c r="AE269" s="19"/>
      <c r="AI269" s="18"/>
      <c r="AJ269" s="7"/>
      <c r="AK269" s="7"/>
      <c r="AL269" s="7"/>
      <c r="AM269" s="7"/>
      <c r="AN269" s="7"/>
      <c r="AO269" s="7"/>
      <c r="AP269" s="7"/>
      <c r="AQ269" s="7"/>
      <c r="AR269" s="7"/>
      <c r="AS269" s="7"/>
      <c r="AT269" s="7"/>
      <c r="AU269" s="7"/>
      <c r="AV269" s="7"/>
      <c r="AW269" s="7"/>
      <c r="AX269" s="7"/>
      <c r="AY269" s="7"/>
      <c r="AZ269" s="7"/>
      <c r="BA269" s="18"/>
      <c r="BG269" s="140"/>
      <c r="BH269" s="131"/>
      <c r="BI269" s="102"/>
      <c r="BJ269" s="102"/>
      <c r="BK269" s="102"/>
      <c r="BL269" s="102"/>
      <c r="BM269" s="99"/>
      <c r="BN269" s="4"/>
      <c r="BO269" s="4"/>
      <c r="BP269" s="5"/>
      <c r="BQ269" s="5"/>
      <c r="BR269" s="99"/>
      <c r="BS269" s="159"/>
      <c r="BT269" s="99"/>
      <c r="BU269" s="99"/>
      <c r="BV269" s="99"/>
      <c r="BW269" s="159"/>
      <c r="BX269" s="99"/>
      <c r="BY269" s="99"/>
      <c r="BZ269" s="159"/>
      <c r="DA269" s="174"/>
      <c r="DB269" s="18"/>
      <c r="DC269" s="18"/>
      <c r="DD269" s="19"/>
      <c r="DE269" s="19"/>
      <c r="DI269" s="18"/>
      <c r="DJ269" s="7"/>
      <c r="DK269" s="7"/>
      <c r="DL269" s="7"/>
      <c r="DM269" s="7"/>
      <c r="DN269" s="7"/>
      <c r="DO269" s="7"/>
      <c r="DP269" s="7"/>
      <c r="DQ269" s="7"/>
      <c r="DR269" s="7"/>
      <c r="DS269" s="7"/>
      <c r="DT269" s="7"/>
      <c r="DU269" s="7"/>
      <c r="DV269" s="7"/>
      <c r="DW269" s="7"/>
      <c r="DX269" s="7"/>
      <c r="DY269" s="7"/>
      <c r="DZ269" s="7"/>
      <c r="EA269" s="161"/>
      <c r="EG269" s="140"/>
      <c r="EH269" s="131"/>
      <c r="EI269" s="102"/>
      <c r="EJ269" s="102"/>
      <c r="EK269" s="102"/>
      <c r="EL269" s="102"/>
      <c r="EM269" s="99"/>
      <c r="EN269" s="4"/>
      <c r="EO269" s="4"/>
      <c r="EP269" s="5"/>
      <c r="EQ269" s="5"/>
      <c r="ER269" s="99"/>
      <c r="ES269" s="159"/>
      <c r="ET269" s="99"/>
      <c r="EU269" s="99"/>
      <c r="EV269" s="99"/>
      <c r="EW269" s="159"/>
      <c r="EX269" s="99"/>
      <c r="EY269" s="99"/>
      <c r="EZ269" s="175"/>
    </row>
    <row r="270" spans="27:156">
      <c r="AA270" s="18"/>
      <c r="AB270" s="18"/>
      <c r="AC270" s="18"/>
      <c r="AD270" s="19"/>
      <c r="AE270" s="19"/>
      <c r="AI270" s="18"/>
      <c r="AJ270" s="7"/>
      <c r="AK270" s="7"/>
      <c r="AL270" s="7"/>
      <c r="AM270" s="7"/>
      <c r="AN270" s="7"/>
      <c r="AO270" s="7"/>
      <c r="AP270" s="7"/>
      <c r="AQ270" s="7"/>
      <c r="AR270" s="7"/>
      <c r="AS270" s="7"/>
      <c r="AT270" s="7"/>
      <c r="AU270" s="7"/>
      <c r="AV270" s="7"/>
      <c r="AW270" s="7"/>
      <c r="AX270" s="7"/>
      <c r="AY270" s="7"/>
      <c r="AZ270" s="7"/>
      <c r="BA270" s="18"/>
      <c r="BG270" s="140"/>
      <c r="BH270" s="131"/>
      <c r="BI270" s="102"/>
      <c r="BJ270" s="102"/>
      <c r="BK270" s="102"/>
      <c r="BL270" s="102"/>
      <c r="BM270" s="99"/>
      <c r="BN270" s="4"/>
      <c r="BO270" s="4"/>
      <c r="BP270" s="5"/>
      <c r="BQ270" s="5"/>
      <c r="BR270" s="99"/>
      <c r="BS270" s="159"/>
      <c r="BT270" s="99"/>
      <c r="BU270" s="99"/>
      <c r="BV270" s="99"/>
      <c r="BW270" s="159"/>
      <c r="BX270" s="99"/>
      <c r="BY270" s="99"/>
      <c r="BZ270" s="159"/>
      <c r="DA270" s="174"/>
      <c r="DB270" s="18"/>
      <c r="DC270" s="18"/>
      <c r="DD270" s="19"/>
      <c r="DE270" s="19"/>
      <c r="DI270" s="18"/>
      <c r="DJ270" s="7"/>
      <c r="DK270" s="7"/>
      <c r="DL270" s="7"/>
      <c r="DM270" s="7"/>
      <c r="DN270" s="7"/>
      <c r="DO270" s="7"/>
      <c r="DP270" s="7"/>
      <c r="DQ270" s="7"/>
      <c r="DR270" s="7"/>
      <c r="DS270" s="7"/>
      <c r="DT270" s="7"/>
      <c r="DU270" s="7"/>
      <c r="DV270" s="7"/>
      <c r="DW270" s="7"/>
      <c r="DX270" s="7"/>
      <c r="DY270" s="7"/>
      <c r="DZ270" s="7"/>
      <c r="EA270" s="161"/>
      <c r="EG270" s="140"/>
      <c r="EH270" s="131"/>
      <c r="EI270" s="102"/>
      <c r="EJ270" s="102"/>
      <c r="EK270" s="102"/>
      <c r="EL270" s="102"/>
      <c r="EM270" s="99"/>
      <c r="EN270" s="4"/>
      <c r="EO270" s="4"/>
      <c r="EP270" s="5"/>
      <c r="EQ270" s="5"/>
      <c r="ER270" s="99"/>
      <c r="ES270" s="159"/>
      <c r="ET270" s="99"/>
      <c r="EU270" s="99"/>
      <c r="EV270" s="99"/>
      <c r="EW270" s="159"/>
      <c r="EX270" s="99"/>
      <c r="EY270" s="99"/>
      <c r="EZ270" s="175"/>
    </row>
    <row r="271" spans="27:156">
      <c r="AA271" s="18"/>
      <c r="AB271" s="18"/>
      <c r="AC271" s="18"/>
      <c r="AD271" s="19"/>
      <c r="AE271" s="19"/>
      <c r="AI271" s="18"/>
      <c r="AJ271" s="7"/>
      <c r="AK271" s="7"/>
      <c r="AL271" s="7"/>
      <c r="AM271" s="7"/>
      <c r="AN271" s="7"/>
      <c r="AO271" s="7"/>
      <c r="AP271" s="7"/>
      <c r="AQ271" s="7"/>
      <c r="AR271" s="7"/>
      <c r="AS271" s="7"/>
      <c r="AT271" s="7"/>
      <c r="AU271" s="7"/>
      <c r="AV271" s="7"/>
      <c r="AW271" s="7"/>
      <c r="AX271" s="7"/>
      <c r="AY271" s="7"/>
      <c r="AZ271" s="7"/>
      <c r="BA271" s="18"/>
      <c r="BG271" s="140"/>
      <c r="BH271" s="131"/>
      <c r="BI271" s="102"/>
      <c r="BJ271" s="102"/>
      <c r="BK271" s="102"/>
      <c r="BL271" s="102"/>
      <c r="BM271" s="99"/>
      <c r="BN271" s="4"/>
      <c r="BO271" s="4"/>
      <c r="BP271" s="5"/>
      <c r="BQ271" s="5"/>
      <c r="BR271" s="99"/>
      <c r="BS271" s="159"/>
      <c r="BT271" s="99"/>
      <c r="BU271" s="99"/>
      <c r="BV271" s="99"/>
      <c r="BW271" s="159"/>
      <c r="BX271" s="99"/>
      <c r="BY271" s="99"/>
      <c r="BZ271" s="159"/>
      <c r="DA271" s="174"/>
      <c r="DB271" s="18"/>
      <c r="DC271" s="18"/>
      <c r="DD271" s="19"/>
      <c r="DE271" s="19"/>
      <c r="DI271" s="18"/>
      <c r="DJ271" s="7"/>
      <c r="DK271" s="7"/>
      <c r="DL271" s="7"/>
      <c r="DM271" s="7"/>
      <c r="DN271" s="7"/>
      <c r="DO271" s="7"/>
      <c r="DP271" s="7"/>
      <c r="DQ271" s="7"/>
      <c r="DR271" s="7"/>
      <c r="DS271" s="7"/>
      <c r="DT271" s="7"/>
      <c r="DU271" s="7"/>
      <c r="DV271" s="7"/>
      <c r="DW271" s="7"/>
      <c r="DX271" s="7"/>
      <c r="DY271" s="7"/>
      <c r="DZ271" s="7"/>
      <c r="EA271" s="161"/>
      <c r="EG271" s="140"/>
      <c r="EH271" s="131"/>
      <c r="EI271" s="102"/>
      <c r="EJ271" s="102"/>
      <c r="EK271" s="102"/>
      <c r="EL271" s="102"/>
      <c r="EM271" s="99"/>
      <c r="EN271" s="4"/>
      <c r="EO271" s="4"/>
      <c r="EP271" s="5"/>
      <c r="EQ271" s="5"/>
      <c r="ER271" s="99"/>
      <c r="ES271" s="159"/>
      <c r="ET271" s="99"/>
      <c r="EU271" s="99"/>
      <c r="EV271" s="99"/>
      <c r="EW271" s="159"/>
      <c r="EX271" s="99"/>
      <c r="EY271" s="99"/>
      <c r="EZ271" s="175"/>
    </row>
    <row r="272" spans="27:156">
      <c r="AA272" s="18"/>
      <c r="AB272" s="18"/>
      <c r="AC272" s="18"/>
      <c r="AD272" s="19"/>
      <c r="AE272" s="19"/>
      <c r="AI272" s="18"/>
      <c r="AJ272" s="7"/>
      <c r="AK272" s="7"/>
      <c r="AL272" s="7"/>
      <c r="AM272" s="7"/>
      <c r="AN272" s="7"/>
      <c r="AO272" s="7"/>
      <c r="AP272" s="7"/>
      <c r="AQ272" s="7"/>
      <c r="AR272" s="7"/>
      <c r="AS272" s="7"/>
      <c r="AT272" s="7"/>
      <c r="AU272" s="7"/>
      <c r="AV272" s="7"/>
      <c r="AW272" s="7"/>
      <c r="AX272" s="7"/>
      <c r="AY272" s="7"/>
      <c r="AZ272" s="7"/>
      <c r="BA272" s="18"/>
      <c r="BG272" s="140"/>
      <c r="BH272" s="131"/>
      <c r="BI272" s="102"/>
      <c r="BJ272" s="102"/>
      <c r="BK272" s="102"/>
      <c r="BL272" s="102"/>
      <c r="BM272" s="99"/>
      <c r="BN272" s="4"/>
      <c r="BO272" s="4"/>
      <c r="BP272" s="5"/>
      <c r="BQ272" s="5"/>
      <c r="BR272" s="99"/>
      <c r="BS272" s="159"/>
      <c r="BT272" s="99"/>
      <c r="BU272" s="99"/>
      <c r="BV272" s="99"/>
      <c r="BW272" s="159"/>
      <c r="BX272" s="99"/>
      <c r="BY272" s="99"/>
      <c r="BZ272" s="159"/>
      <c r="DA272" s="174"/>
      <c r="DB272" s="18"/>
      <c r="DC272" s="18"/>
      <c r="DD272" s="19"/>
      <c r="DE272" s="19"/>
      <c r="DI272" s="18"/>
      <c r="DJ272" s="7"/>
      <c r="DK272" s="7"/>
      <c r="DL272" s="7"/>
      <c r="DM272" s="7"/>
      <c r="DN272" s="7"/>
      <c r="DO272" s="7"/>
      <c r="DP272" s="7"/>
      <c r="DQ272" s="7"/>
      <c r="DR272" s="7"/>
      <c r="DS272" s="7"/>
      <c r="DT272" s="7"/>
      <c r="DU272" s="7"/>
      <c r="DV272" s="7"/>
      <c r="DW272" s="7"/>
      <c r="DX272" s="7"/>
      <c r="DY272" s="7"/>
      <c r="DZ272" s="7"/>
      <c r="EA272" s="161"/>
      <c r="EG272" s="140"/>
      <c r="EH272" s="131"/>
      <c r="EI272" s="102"/>
      <c r="EJ272" s="102"/>
      <c r="EK272" s="102"/>
      <c r="EL272" s="102"/>
      <c r="EM272" s="99"/>
      <c r="EN272" s="4"/>
      <c r="EO272" s="4"/>
      <c r="EP272" s="5"/>
      <c r="EQ272" s="5"/>
      <c r="ER272" s="99"/>
      <c r="ES272" s="159"/>
      <c r="ET272" s="99"/>
      <c r="EU272" s="99"/>
      <c r="EV272" s="99"/>
      <c r="EW272" s="159"/>
      <c r="EX272" s="99"/>
      <c r="EY272" s="99"/>
      <c r="EZ272" s="175"/>
    </row>
    <row r="273" spans="27:156">
      <c r="AA273" s="18"/>
      <c r="AB273" s="18"/>
      <c r="AC273" s="18"/>
      <c r="AD273" s="19"/>
      <c r="AE273" s="19"/>
      <c r="AI273" s="18"/>
      <c r="AJ273" s="7"/>
      <c r="AK273" s="7"/>
      <c r="AL273" s="7"/>
      <c r="AM273" s="7"/>
      <c r="AN273" s="7"/>
      <c r="AO273" s="7"/>
      <c r="AP273" s="7"/>
      <c r="AQ273" s="7"/>
      <c r="AR273" s="7"/>
      <c r="AS273" s="7"/>
      <c r="AT273" s="7"/>
      <c r="AU273" s="7"/>
      <c r="AV273" s="7"/>
      <c r="AW273" s="7"/>
      <c r="AX273" s="7"/>
      <c r="AY273" s="7"/>
      <c r="AZ273" s="7"/>
      <c r="BA273" s="18"/>
      <c r="BG273" s="140"/>
      <c r="BH273" s="131"/>
      <c r="BI273" s="102"/>
      <c r="BJ273" s="102"/>
      <c r="BK273" s="102"/>
      <c r="BL273" s="102"/>
      <c r="BM273" s="99"/>
      <c r="BN273" s="4"/>
      <c r="BO273" s="4"/>
      <c r="BP273" s="5"/>
      <c r="BQ273" s="5"/>
      <c r="BR273" s="99"/>
      <c r="BS273" s="159"/>
      <c r="BT273" s="99"/>
      <c r="BU273" s="99"/>
      <c r="BV273" s="99"/>
      <c r="BW273" s="159"/>
      <c r="BX273" s="99"/>
      <c r="BY273" s="99"/>
      <c r="BZ273" s="159"/>
      <c r="DA273" s="174"/>
      <c r="DB273" s="18"/>
      <c r="DC273" s="18"/>
      <c r="DD273" s="19"/>
      <c r="DE273" s="19"/>
      <c r="DI273" s="18"/>
      <c r="DJ273" s="7"/>
      <c r="DK273" s="7"/>
      <c r="DL273" s="7"/>
      <c r="DM273" s="7"/>
      <c r="DN273" s="7"/>
      <c r="DO273" s="7"/>
      <c r="DP273" s="7"/>
      <c r="DQ273" s="7"/>
      <c r="DR273" s="7"/>
      <c r="DS273" s="7"/>
      <c r="DT273" s="7"/>
      <c r="DU273" s="7"/>
      <c r="DV273" s="7"/>
      <c r="DW273" s="7"/>
      <c r="DX273" s="7"/>
      <c r="DY273" s="7"/>
      <c r="DZ273" s="7"/>
      <c r="EA273" s="161"/>
      <c r="EG273" s="140"/>
      <c r="EH273" s="131"/>
      <c r="EI273" s="102"/>
      <c r="EJ273" s="102"/>
      <c r="EK273" s="102"/>
      <c r="EL273" s="102"/>
      <c r="EM273" s="99"/>
      <c r="EN273" s="4"/>
      <c r="EO273" s="4"/>
      <c r="EP273" s="5"/>
      <c r="EQ273" s="5"/>
      <c r="ER273" s="99"/>
      <c r="ES273" s="159"/>
      <c r="ET273" s="99"/>
      <c r="EU273" s="99"/>
      <c r="EV273" s="99"/>
      <c r="EW273" s="159"/>
      <c r="EX273" s="99"/>
      <c r="EY273" s="99"/>
      <c r="EZ273" s="175"/>
    </row>
    <row r="274" spans="27:156">
      <c r="AA274" s="18"/>
      <c r="AB274" s="18"/>
      <c r="AC274" s="18"/>
      <c r="AD274" s="19"/>
      <c r="AE274" s="19"/>
      <c r="AI274" s="18"/>
      <c r="AJ274" s="7"/>
      <c r="AK274" s="7"/>
      <c r="AL274" s="7"/>
      <c r="AM274" s="7"/>
      <c r="AN274" s="7"/>
      <c r="AO274" s="7"/>
      <c r="AP274" s="7"/>
      <c r="AQ274" s="7"/>
      <c r="AR274" s="7"/>
      <c r="AS274" s="7"/>
      <c r="AT274" s="7"/>
      <c r="AU274" s="7"/>
      <c r="AV274" s="7"/>
      <c r="AW274" s="7"/>
      <c r="AX274" s="7"/>
      <c r="AY274" s="7"/>
      <c r="AZ274" s="7"/>
      <c r="BA274" s="18"/>
      <c r="BG274" s="140"/>
      <c r="BH274" s="131"/>
      <c r="BI274" s="102"/>
      <c r="BJ274" s="102"/>
      <c r="BK274" s="102"/>
      <c r="BL274" s="102"/>
      <c r="BM274" s="99"/>
      <c r="BN274" s="4"/>
      <c r="BO274" s="4"/>
      <c r="BP274" s="5"/>
      <c r="BQ274" s="5"/>
      <c r="BR274" s="99"/>
      <c r="BS274" s="159"/>
      <c r="BT274" s="99"/>
      <c r="BU274" s="99"/>
      <c r="BV274" s="99"/>
      <c r="BW274" s="159"/>
      <c r="BX274" s="99"/>
      <c r="BY274" s="99"/>
      <c r="BZ274" s="159"/>
      <c r="DA274" s="174"/>
      <c r="DB274" s="18"/>
      <c r="DC274" s="18"/>
      <c r="DD274" s="19"/>
      <c r="DE274" s="19"/>
      <c r="DI274" s="18"/>
      <c r="DJ274" s="7"/>
      <c r="DK274" s="7"/>
      <c r="DL274" s="7"/>
      <c r="DM274" s="7"/>
      <c r="DN274" s="7"/>
      <c r="DO274" s="7"/>
      <c r="DP274" s="7"/>
      <c r="DQ274" s="7"/>
      <c r="DR274" s="7"/>
      <c r="DS274" s="7"/>
      <c r="DT274" s="7"/>
      <c r="DU274" s="7"/>
      <c r="DV274" s="7"/>
      <c r="DW274" s="7"/>
      <c r="DX274" s="7"/>
      <c r="DY274" s="7"/>
      <c r="DZ274" s="7"/>
      <c r="EA274" s="161"/>
      <c r="EG274" s="140"/>
      <c r="EH274" s="131"/>
      <c r="EI274" s="102"/>
      <c r="EJ274" s="102"/>
      <c r="EK274" s="102"/>
      <c r="EL274" s="102"/>
      <c r="EM274" s="99"/>
      <c r="EN274" s="4"/>
      <c r="EO274" s="4"/>
      <c r="EP274" s="5"/>
      <c r="EQ274" s="5"/>
      <c r="ER274" s="99"/>
      <c r="ES274" s="159"/>
      <c r="ET274" s="99"/>
      <c r="EU274" s="99"/>
      <c r="EV274" s="99"/>
      <c r="EW274" s="159"/>
      <c r="EX274" s="99"/>
      <c r="EY274" s="99"/>
      <c r="EZ274" s="175"/>
    </row>
    <row r="275" spans="27:156">
      <c r="AA275" s="18"/>
      <c r="AB275" s="18"/>
      <c r="AC275" s="18"/>
      <c r="AD275" s="19"/>
      <c r="AE275" s="19"/>
      <c r="AI275" s="18"/>
      <c r="AJ275" s="7"/>
      <c r="AK275" s="7"/>
      <c r="AL275" s="7"/>
      <c r="AM275" s="7"/>
      <c r="AN275" s="7"/>
      <c r="AO275" s="7"/>
      <c r="AP275" s="7"/>
      <c r="AQ275" s="7"/>
      <c r="AR275" s="7"/>
      <c r="AS275" s="7"/>
      <c r="AT275" s="7"/>
      <c r="AU275" s="7"/>
      <c r="AV275" s="7"/>
      <c r="AW275" s="7"/>
      <c r="AX275" s="7"/>
      <c r="AY275" s="7"/>
      <c r="AZ275" s="7"/>
      <c r="BA275" s="18"/>
      <c r="BG275" s="140"/>
      <c r="BH275" s="131"/>
      <c r="BI275" s="102"/>
      <c r="BJ275" s="102"/>
      <c r="BK275" s="102"/>
      <c r="BL275" s="102"/>
      <c r="BM275" s="99"/>
      <c r="BN275" s="4"/>
      <c r="BO275" s="4"/>
      <c r="BP275" s="5"/>
      <c r="BQ275" s="5"/>
      <c r="BR275" s="99"/>
      <c r="BS275" s="159"/>
      <c r="BT275" s="99"/>
      <c r="BU275" s="99"/>
      <c r="BV275" s="99"/>
      <c r="BW275" s="159"/>
      <c r="BX275" s="99"/>
      <c r="BY275" s="99"/>
      <c r="BZ275" s="159"/>
      <c r="DA275" s="174"/>
      <c r="DB275" s="18"/>
      <c r="DC275" s="18"/>
      <c r="DD275" s="19"/>
      <c r="DE275" s="19"/>
      <c r="DI275" s="18"/>
      <c r="DJ275" s="7"/>
      <c r="DK275" s="7"/>
      <c r="DL275" s="7"/>
      <c r="DM275" s="7"/>
      <c r="DN275" s="7"/>
      <c r="DO275" s="7"/>
      <c r="DP275" s="7"/>
      <c r="DQ275" s="7"/>
      <c r="DR275" s="7"/>
      <c r="DS275" s="7"/>
      <c r="DT275" s="7"/>
      <c r="DU275" s="7"/>
      <c r="DV275" s="7"/>
      <c r="DW275" s="7"/>
      <c r="DX275" s="7"/>
      <c r="DY275" s="7"/>
      <c r="DZ275" s="7"/>
      <c r="EA275" s="161"/>
      <c r="EG275" s="140"/>
      <c r="EH275" s="131"/>
      <c r="EI275" s="102"/>
      <c r="EJ275" s="102"/>
      <c r="EK275" s="102"/>
      <c r="EL275" s="102"/>
      <c r="EM275" s="99"/>
      <c r="EN275" s="4"/>
      <c r="EO275" s="4"/>
      <c r="EP275" s="5"/>
      <c r="EQ275" s="5"/>
      <c r="ER275" s="99"/>
      <c r="ES275" s="159"/>
      <c r="ET275" s="99"/>
      <c r="EU275" s="99"/>
      <c r="EV275" s="99"/>
      <c r="EW275" s="159"/>
      <c r="EX275" s="99"/>
      <c r="EY275" s="99"/>
      <c r="EZ275" s="175"/>
    </row>
    <row r="276" spans="27:156">
      <c r="AA276" s="18"/>
      <c r="AB276" s="18"/>
      <c r="AC276" s="18"/>
      <c r="AD276" s="19"/>
      <c r="AE276" s="19"/>
      <c r="AI276" s="18"/>
      <c r="AJ276" s="7"/>
      <c r="AK276" s="7"/>
      <c r="AL276" s="7"/>
      <c r="AM276" s="7"/>
      <c r="AN276" s="7"/>
      <c r="AO276" s="7"/>
      <c r="AP276" s="7"/>
      <c r="AQ276" s="7"/>
      <c r="AR276" s="7"/>
      <c r="AS276" s="7"/>
      <c r="AT276" s="7"/>
      <c r="AU276" s="7"/>
      <c r="AV276" s="7"/>
      <c r="AW276" s="7"/>
      <c r="AX276" s="7"/>
      <c r="AY276" s="7"/>
      <c r="AZ276" s="7"/>
      <c r="BA276" s="18"/>
      <c r="BG276" s="140"/>
      <c r="BH276" s="131"/>
      <c r="BI276" s="102"/>
      <c r="BJ276" s="102"/>
      <c r="BK276" s="102"/>
      <c r="BL276" s="102"/>
      <c r="BM276" s="99"/>
      <c r="BN276" s="4"/>
      <c r="BO276" s="4"/>
      <c r="BP276" s="5"/>
      <c r="BQ276" s="5"/>
      <c r="BR276" s="99"/>
      <c r="BS276" s="159"/>
      <c r="BT276" s="99"/>
      <c r="BU276" s="99"/>
      <c r="BV276" s="99"/>
      <c r="BW276" s="159"/>
      <c r="BX276" s="99"/>
      <c r="BY276" s="99"/>
      <c r="BZ276" s="159"/>
      <c r="DA276" s="174"/>
      <c r="DB276" s="18"/>
      <c r="DC276" s="18"/>
      <c r="DD276" s="19"/>
      <c r="DE276" s="19"/>
      <c r="DI276" s="18"/>
      <c r="DJ276" s="7"/>
      <c r="DK276" s="7"/>
      <c r="DL276" s="7"/>
      <c r="DM276" s="7"/>
      <c r="DN276" s="7"/>
      <c r="DO276" s="7"/>
      <c r="DP276" s="7"/>
      <c r="DQ276" s="7"/>
      <c r="DR276" s="7"/>
      <c r="DS276" s="7"/>
      <c r="DT276" s="7"/>
      <c r="DU276" s="7"/>
      <c r="DV276" s="7"/>
      <c r="DW276" s="7"/>
      <c r="DX276" s="7"/>
      <c r="DY276" s="7"/>
      <c r="DZ276" s="7"/>
      <c r="EA276" s="161"/>
      <c r="EG276" s="140"/>
      <c r="EH276" s="131"/>
      <c r="EI276" s="102"/>
      <c r="EJ276" s="102"/>
      <c r="EK276" s="102"/>
      <c r="EL276" s="102"/>
      <c r="EM276" s="99"/>
      <c r="EN276" s="4"/>
      <c r="EO276" s="4"/>
      <c r="EP276" s="5"/>
      <c r="EQ276" s="5"/>
      <c r="ER276" s="99"/>
      <c r="ES276" s="159"/>
      <c r="ET276" s="99"/>
      <c r="EU276" s="99"/>
      <c r="EV276" s="99"/>
      <c r="EW276" s="159"/>
      <c r="EX276" s="99"/>
      <c r="EY276" s="99"/>
      <c r="EZ276" s="175"/>
    </row>
    <row r="277" spans="27:156">
      <c r="AA277" s="18"/>
      <c r="AB277" s="18"/>
      <c r="AC277" s="18"/>
      <c r="AD277" s="19"/>
      <c r="AE277" s="19"/>
      <c r="AI277" s="18"/>
      <c r="AJ277" s="7"/>
      <c r="AK277" s="7"/>
      <c r="AL277" s="7"/>
      <c r="AM277" s="7"/>
      <c r="AN277" s="7"/>
      <c r="AO277" s="7"/>
      <c r="AP277" s="7"/>
      <c r="AQ277" s="7"/>
      <c r="AR277" s="7"/>
      <c r="AS277" s="7"/>
      <c r="AT277" s="7"/>
      <c r="AU277" s="7"/>
      <c r="AV277" s="7"/>
      <c r="AW277" s="7"/>
      <c r="AX277" s="7"/>
      <c r="AY277" s="7"/>
      <c r="AZ277" s="7"/>
      <c r="BA277" s="18"/>
      <c r="BG277" s="140"/>
      <c r="BH277" s="131"/>
      <c r="BI277" s="102"/>
      <c r="BJ277" s="102"/>
      <c r="BK277" s="102"/>
      <c r="BL277" s="102"/>
      <c r="BM277" s="99"/>
      <c r="BN277" s="4"/>
      <c r="BO277" s="4"/>
      <c r="BP277" s="5"/>
      <c r="BQ277" s="5"/>
      <c r="BR277" s="99"/>
      <c r="BS277" s="159"/>
      <c r="BT277" s="99"/>
      <c r="BU277" s="99"/>
      <c r="BV277" s="99"/>
      <c r="BW277" s="159"/>
      <c r="BX277" s="99"/>
      <c r="BY277" s="99"/>
      <c r="BZ277" s="159"/>
      <c r="DA277" s="174"/>
      <c r="DB277" s="18"/>
      <c r="DC277" s="18"/>
      <c r="DD277" s="19"/>
      <c r="DE277" s="19"/>
      <c r="DI277" s="18"/>
      <c r="DJ277" s="7"/>
      <c r="DK277" s="7"/>
      <c r="DL277" s="7"/>
      <c r="DM277" s="7"/>
      <c r="DN277" s="7"/>
      <c r="DO277" s="7"/>
      <c r="DP277" s="7"/>
      <c r="DQ277" s="7"/>
      <c r="DR277" s="7"/>
      <c r="DS277" s="7"/>
      <c r="DT277" s="7"/>
      <c r="DU277" s="7"/>
      <c r="DV277" s="7"/>
      <c r="DW277" s="7"/>
      <c r="DX277" s="7"/>
      <c r="DY277" s="7"/>
      <c r="DZ277" s="7"/>
      <c r="EA277" s="161"/>
      <c r="EG277" s="140"/>
      <c r="EH277" s="131"/>
      <c r="EI277" s="102"/>
      <c r="EJ277" s="102"/>
      <c r="EK277" s="102"/>
      <c r="EL277" s="102"/>
      <c r="EM277" s="99"/>
      <c r="EN277" s="4"/>
      <c r="EO277" s="4"/>
      <c r="EP277" s="5"/>
      <c r="EQ277" s="5"/>
      <c r="ER277" s="99"/>
      <c r="ES277" s="159"/>
      <c r="ET277" s="99"/>
      <c r="EU277" s="99"/>
      <c r="EV277" s="99"/>
      <c r="EW277" s="159"/>
      <c r="EX277" s="99"/>
      <c r="EY277" s="99"/>
      <c r="EZ277" s="175"/>
    </row>
    <row r="278" spans="27:156">
      <c r="AA278" s="18"/>
      <c r="AB278" s="18"/>
      <c r="AC278" s="18"/>
      <c r="AD278" s="19"/>
      <c r="AE278" s="19"/>
      <c r="AI278" s="18"/>
      <c r="AJ278" s="7"/>
      <c r="AK278" s="7"/>
      <c r="AL278" s="7"/>
      <c r="AM278" s="7"/>
      <c r="AN278" s="7"/>
      <c r="AO278" s="7"/>
      <c r="AP278" s="7"/>
      <c r="AQ278" s="7"/>
      <c r="AR278" s="7"/>
      <c r="AS278" s="7"/>
      <c r="AT278" s="7"/>
      <c r="AU278" s="7"/>
      <c r="AV278" s="7"/>
      <c r="AW278" s="7"/>
      <c r="AX278" s="7"/>
      <c r="AY278" s="7"/>
      <c r="AZ278" s="7"/>
      <c r="BA278" s="18"/>
      <c r="BG278" s="140"/>
      <c r="BH278" s="131"/>
      <c r="BI278" s="102"/>
      <c r="BJ278" s="102"/>
      <c r="BK278" s="102"/>
      <c r="BL278" s="102"/>
      <c r="BM278" s="99"/>
      <c r="BN278" s="4"/>
      <c r="BO278" s="4"/>
      <c r="BP278" s="5"/>
      <c r="BQ278" s="5"/>
      <c r="BR278" s="99"/>
      <c r="BS278" s="159"/>
      <c r="BT278" s="99"/>
      <c r="BU278" s="99"/>
      <c r="BV278" s="99"/>
      <c r="BW278" s="159"/>
      <c r="BX278" s="99"/>
      <c r="BY278" s="99"/>
      <c r="BZ278" s="159"/>
      <c r="DA278" s="174"/>
      <c r="DB278" s="18"/>
      <c r="DC278" s="18"/>
      <c r="DD278" s="19"/>
      <c r="DE278" s="19"/>
      <c r="DI278" s="18"/>
      <c r="DJ278" s="7"/>
      <c r="DK278" s="7"/>
      <c r="DL278" s="7"/>
      <c r="DM278" s="7"/>
      <c r="DN278" s="7"/>
      <c r="DO278" s="7"/>
      <c r="DP278" s="7"/>
      <c r="DQ278" s="7"/>
      <c r="DR278" s="7"/>
      <c r="DS278" s="7"/>
      <c r="DT278" s="7"/>
      <c r="DU278" s="7"/>
      <c r="DV278" s="7"/>
      <c r="DW278" s="7"/>
      <c r="DX278" s="7"/>
      <c r="DY278" s="7"/>
      <c r="DZ278" s="7"/>
      <c r="EA278" s="161"/>
      <c r="EG278" s="140"/>
      <c r="EH278" s="131"/>
      <c r="EI278" s="102"/>
      <c r="EJ278" s="102"/>
      <c r="EK278" s="102"/>
      <c r="EL278" s="102"/>
      <c r="EM278" s="99"/>
      <c r="EN278" s="4"/>
      <c r="EO278" s="4"/>
      <c r="EP278" s="5"/>
      <c r="EQ278" s="5"/>
      <c r="ER278" s="99"/>
      <c r="ES278" s="159"/>
      <c r="ET278" s="99"/>
      <c r="EU278" s="99"/>
      <c r="EV278" s="99"/>
      <c r="EW278" s="159"/>
      <c r="EX278" s="99"/>
      <c r="EY278" s="99"/>
      <c r="EZ278" s="175"/>
    </row>
    <row r="279" spans="27:156">
      <c r="AA279" s="18"/>
      <c r="AB279" s="18"/>
      <c r="AC279" s="18"/>
      <c r="AD279" s="19"/>
      <c r="AE279" s="19"/>
      <c r="AI279" s="18"/>
      <c r="AJ279" s="7"/>
      <c r="AK279" s="7"/>
      <c r="AL279" s="7"/>
      <c r="AM279" s="7"/>
      <c r="AN279" s="7"/>
      <c r="AO279" s="7"/>
      <c r="AP279" s="7"/>
      <c r="AQ279" s="7"/>
      <c r="AR279" s="7"/>
      <c r="AS279" s="7"/>
      <c r="AT279" s="7"/>
      <c r="AU279" s="7"/>
      <c r="AV279" s="7"/>
      <c r="AW279" s="7"/>
      <c r="AX279" s="7"/>
      <c r="AY279" s="7"/>
      <c r="AZ279" s="7"/>
      <c r="BA279" s="18"/>
      <c r="BG279" s="140"/>
      <c r="BH279" s="131"/>
      <c r="BI279" s="102"/>
      <c r="BJ279" s="102"/>
      <c r="BK279" s="102"/>
      <c r="BL279" s="102"/>
      <c r="BM279" s="99"/>
      <c r="BN279" s="4"/>
      <c r="BO279" s="4"/>
      <c r="BP279" s="5"/>
      <c r="BQ279" s="5"/>
      <c r="BR279" s="99"/>
      <c r="BS279" s="159"/>
      <c r="BT279" s="99"/>
      <c r="BU279" s="99"/>
      <c r="BV279" s="99"/>
      <c r="BW279" s="159"/>
      <c r="BX279" s="99"/>
      <c r="BY279" s="99"/>
      <c r="BZ279" s="159"/>
      <c r="DA279" s="174"/>
      <c r="DB279" s="18"/>
      <c r="DC279" s="18"/>
      <c r="DD279" s="19"/>
      <c r="DE279" s="19"/>
      <c r="DI279" s="18"/>
      <c r="DJ279" s="7"/>
      <c r="DK279" s="7"/>
      <c r="DL279" s="7"/>
      <c r="DM279" s="7"/>
      <c r="DN279" s="7"/>
      <c r="DO279" s="7"/>
      <c r="DP279" s="7"/>
      <c r="DQ279" s="7"/>
      <c r="DR279" s="7"/>
      <c r="DS279" s="7"/>
      <c r="DT279" s="7"/>
      <c r="DU279" s="7"/>
      <c r="DV279" s="7"/>
      <c r="DW279" s="7"/>
      <c r="DX279" s="7"/>
      <c r="DY279" s="7"/>
      <c r="DZ279" s="7"/>
      <c r="EA279" s="161"/>
      <c r="EG279" s="140"/>
      <c r="EH279" s="131"/>
      <c r="EI279" s="102"/>
      <c r="EJ279" s="102"/>
      <c r="EK279" s="102"/>
      <c r="EL279" s="102"/>
      <c r="EM279" s="99"/>
      <c r="EN279" s="4"/>
      <c r="EO279" s="4"/>
      <c r="EP279" s="5"/>
      <c r="EQ279" s="5"/>
      <c r="ER279" s="99"/>
      <c r="ES279" s="159"/>
      <c r="ET279" s="99"/>
      <c r="EU279" s="99"/>
      <c r="EV279" s="99"/>
      <c r="EW279" s="159"/>
      <c r="EX279" s="99"/>
      <c r="EY279" s="99"/>
      <c r="EZ279" s="175"/>
    </row>
    <row r="280" spans="27:156">
      <c r="AA280" s="18"/>
      <c r="AB280" s="18"/>
      <c r="AC280" s="18"/>
      <c r="AD280" s="19"/>
      <c r="AE280" s="19"/>
      <c r="AI280" s="18"/>
      <c r="AJ280" s="7"/>
      <c r="AK280" s="7"/>
      <c r="AL280" s="7"/>
      <c r="AM280" s="7"/>
      <c r="AN280" s="7"/>
      <c r="AO280" s="7"/>
      <c r="AP280" s="7"/>
      <c r="AQ280" s="7"/>
      <c r="AR280" s="7"/>
      <c r="AS280" s="7"/>
      <c r="AT280" s="7"/>
      <c r="AU280" s="7"/>
      <c r="AV280" s="7"/>
      <c r="AW280" s="7"/>
      <c r="AX280" s="7"/>
      <c r="AY280" s="7"/>
      <c r="AZ280" s="7"/>
      <c r="BA280" s="18"/>
      <c r="BG280" s="140"/>
      <c r="BH280" s="131"/>
      <c r="BI280" s="102"/>
      <c r="BJ280" s="102"/>
      <c r="BK280" s="102"/>
      <c r="BL280" s="102"/>
      <c r="BM280" s="99"/>
      <c r="BN280" s="4"/>
      <c r="BO280" s="4"/>
      <c r="BP280" s="5"/>
      <c r="BQ280" s="5"/>
      <c r="BR280" s="99"/>
      <c r="BS280" s="159"/>
      <c r="BT280" s="99"/>
      <c r="BU280" s="99"/>
      <c r="BV280" s="99"/>
      <c r="BW280" s="159"/>
      <c r="BX280" s="99"/>
      <c r="BY280" s="99"/>
      <c r="BZ280" s="159"/>
      <c r="DA280" s="174"/>
      <c r="DB280" s="18"/>
      <c r="DC280" s="18"/>
      <c r="DD280" s="19"/>
      <c r="DE280" s="19"/>
      <c r="DI280" s="18"/>
      <c r="DJ280" s="7"/>
      <c r="DK280" s="7"/>
      <c r="DL280" s="7"/>
      <c r="DM280" s="7"/>
      <c r="DN280" s="7"/>
      <c r="DO280" s="7"/>
      <c r="DP280" s="7"/>
      <c r="DQ280" s="7"/>
      <c r="DR280" s="7"/>
      <c r="DS280" s="7"/>
      <c r="DT280" s="7"/>
      <c r="DU280" s="7"/>
      <c r="DV280" s="7"/>
      <c r="DW280" s="7"/>
      <c r="DX280" s="7"/>
      <c r="DY280" s="7"/>
      <c r="DZ280" s="7"/>
      <c r="EA280" s="161"/>
      <c r="EG280" s="140"/>
      <c r="EH280" s="131"/>
      <c r="EI280" s="102"/>
      <c r="EJ280" s="102"/>
      <c r="EK280" s="102"/>
      <c r="EL280" s="102"/>
      <c r="EM280" s="99"/>
      <c r="EN280" s="4"/>
      <c r="EO280" s="4"/>
      <c r="EP280" s="5"/>
      <c r="EQ280" s="5"/>
      <c r="ER280" s="99"/>
      <c r="ES280" s="159"/>
      <c r="ET280" s="99"/>
      <c r="EU280" s="99"/>
      <c r="EV280" s="99"/>
      <c r="EW280" s="159"/>
      <c r="EX280" s="99"/>
      <c r="EY280" s="99"/>
      <c r="EZ280" s="175"/>
    </row>
    <row r="281" spans="27:156">
      <c r="AA281" s="18"/>
      <c r="AB281" s="18"/>
      <c r="AC281" s="18"/>
      <c r="AD281" s="19"/>
      <c r="AE281" s="19"/>
      <c r="AI281" s="18"/>
      <c r="AJ281" s="7"/>
      <c r="AK281" s="7"/>
      <c r="AL281" s="7"/>
      <c r="AM281" s="7"/>
      <c r="AN281" s="7"/>
      <c r="AO281" s="7"/>
      <c r="AP281" s="7"/>
      <c r="AQ281" s="7"/>
      <c r="AR281" s="7"/>
      <c r="AS281" s="7"/>
      <c r="AT281" s="7"/>
      <c r="AU281" s="7"/>
      <c r="AV281" s="7"/>
      <c r="AW281" s="7"/>
      <c r="AX281" s="7"/>
      <c r="AY281" s="7"/>
      <c r="AZ281" s="7"/>
      <c r="BA281" s="18"/>
      <c r="BG281" s="140"/>
      <c r="BH281" s="131"/>
      <c r="BI281" s="102"/>
      <c r="BJ281" s="102"/>
      <c r="BK281" s="102"/>
      <c r="BL281" s="102"/>
      <c r="BM281" s="99"/>
      <c r="BN281" s="4"/>
      <c r="BO281" s="4"/>
      <c r="BP281" s="5"/>
      <c r="BQ281" s="5"/>
      <c r="BR281" s="99"/>
      <c r="BS281" s="159"/>
      <c r="BT281" s="99"/>
      <c r="BU281" s="99"/>
      <c r="BV281" s="99"/>
      <c r="BW281" s="159"/>
      <c r="BX281" s="99"/>
      <c r="BY281" s="99"/>
      <c r="BZ281" s="159"/>
      <c r="DA281" s="174"/>
      <c r="DB281" s="18"/>
      <c r="DC281" s="18"/>
      <c r="DD281" s="19"/>
      <c r="DE281" s="19"/>
      <c r="DI281" s="18"/>
      <c r="DJ281" s="7"/>
      <c r="DK281" s="7"/>
      <c r="DL281" s="7"/>
      <c r="DM281" s="7"/>
      <c r="DN281" s="7"/>
      <c r="DO281" s="7"/>
      <c r="DP281" s="7"/>
      <c r="DQ281" s="7"/>
      <c r="DR281" s="7"/>
      <c r="DS281" s="7"/>
      <c r="DT281" s="7"/>
      <c r="DU281" s="7"/>
      <c r="DV281" s="7"/>
      <c r="DW281" s="7"/>
      <c r="DX281" s="7"/>
      <c r="DY281" s="7"/>
      <c r="DZ281" s="7"/>
      <c r="EA281" s="161"/>
      <c r="EG281" s="140"/>
      <c r="EH281" s="131"/>
      <c r="EI281" s="102"/>
      <c r="EJ281" s="102"/>
      <c r="EK281" s="102"/>
      <c r="EL281" s="102"/>
      <c r="EM281" s="99"/>
      <c r="EN281" s="4"/>
      <c r="EO281" s="4"/>
      <c r="EP281" s="5"/>
      <c r="EQ281" s="5"/>
      <c r="ER281" s="99"/>
      <c r="ES281" s="159"/>
      <c r="ET281" s="99"/>
      <c r="EU281" s="99"/>
      <c r="EV281" s="99"/>
      <c r="EW281" s="159"/>
      <c r="EX281" s="99"/>
      <c r="EY281" s="99"/>
      <c r="EZ281" s="175"/>
    </row>
    <row r="282" spans="27:156">
      <c r="AA282" s="18"/>
      <c r="AB282" s="18"/>
      <c r="AC282" s="18"/>
      <c r="AD282" s="19"/>
      <c r="AE282" s="19"/>
      <c r="AI282" s="18"/>
      <c r="AJ282" s="7"/>
      <c r="AK282" s="7"/>
      <c r="AL282" s="7"/>
      <c r="AM282" s="7"/>
      <c r="AN282" s="7"/>
      <c r="AO282" s="7"/>
      <c r="AP282" s="7"/>
      <c r="AQ282" s="7"/>
      <c r="AR282" s="7"/>
      <c r="AS282" s="7"/>
      <c r="AT282" s="7"/>
      <c r="AU282" s="7"/>
      <c r="AV282" s="7"/>
      <c r="AW282" s="7"/>
      <c r="AX282" s="7"/>
      <c r="AY282" s="7"/>
      <c r="AZ282" s="7"/>
      <c r="BA282" s="18"/>
      <c r="BG282" s="140"/>
      <c r="BH282" s="131"/>
      <c r="BI282" s="102"/>
      <c r="BJ282" s="102"/>
      <c r="BK282" s="102"/>
      <c r="BL282" s="102"/>
      <c r="BM282" s="99"/>
      <c r="BN282" s="4"/>
      <c r="BO282" s="4"/>
      <c r="BP282" s="5"/>
      <c r="BQ282" s="5"/>
      <c r="BR282" s="99"/>
      <c r="BS282" s="159"/>
      <c r="BT282" s="99"/>
      <c r="BU282" s="99"/>
      <c r="BV282" s="99"/>
      <c r="BW282" s="159"/>
      <c r="BX282" s="99"/>
      <c r="BY282" s="99"/>
      <c r="BZ282" s="159"/>
      <c r="DA282" s="174"/>
      <c r="DB282" s="18"/>
      <c r="DC282" s="18"/>
      <c r="DD282" s="19"/>
      <c r="DE282" s="19"/>
      <c r="DI282" s="18"/>
      <c r="DJ282" s="7"/>
      <c r="DK282" s="7"/>
      <c r="DL282" s="7"/>
      <c r="DM282" s="7"/>
      <c r="DN282" s="7"/>
      <c r="DO282" s="7"/>
      <c r="DP282" s="7"/>
      <c r="DQ282" s="7"/>
      <c r="DR282" s="7"/>
      <c r="DS282" s="7"/>
      <c r="DT282" s="7"/>
      <c r="DU282" s="7"/>
      <c r="DV282" s="7"/>
      <c r="DW282" s="7"/>
      <c r="DX282" s="7"/>
      <c r="DY282" s="7"/>
      <c r="DZ282" s="7"/>
      <c r="EA282" s="161"/>
      <c r="EG282" s="140"/>
      <c r="EH282" s="131"/>
      <c r="EI282" s="102"/>
      <c r="EJ282" s="102"/>
      <c r="EK282" s="102"/>
      <c r="EL282" s="102"/>
      <c r="EM282" s="99"/>
      <c r="EN282" s="4"/>
      <c r="EO282" s="4"/>
      <c r="EP282" s="5"/>
      <c r="EQ282" s="5"/>
      <c r="ER282" s="99"/>
      <c r="ES282" s="159"/>
      <c r="ET282" s="99"/>
      <c r="EU282" s="99"/>
      <c r="EV282" s="99"/>
      <c r="EW282" s="159"/>
      <c r="EX282" s="99"/>
      <c r="EY282" s="99"/>
      <c r="EZ282" s="175"/>
    </row>
    <row r="283" spans="27:156">
      <c r="AA283" s="18"/>
      <c r="AB283" s="18"/>
      <c r="AC283" s="18"/>
      <c r="AD283" s="19"/>
      <c r="AE283" s="19"/>
      <c r="AI283" s="18"/>
      <c r="AJ283" s="7"/>
      <c r="AK283" s="7"/>
      <c r="AL283" s="7"/>
      <c r="AM283" s="7"/>
      <c r="AN283" s="7"/>
      <c r="AO283" s="7"/>
      <c r="AP283" s="7"/>
      <c r="AQ283" s="7"/>
      <c r="AR283" s="7"/>
      <c r="AS283" s="7"/>
      <c r="AT283" s="7"/>
      <c r="AU283" s="7"/>
      <c r="AV283" s="7"/>
      <c r="AW283" s="7"/>
      <c r="AX283" s="7"/>
      <c r="AY283" s="7"/>
      <c r="AZ283" s="7"/>
      <c r="BA283" s="18"/>
      <c r="BG283" s="140"/>
      <c r="BH283" s="131"/>
      <c r="BI283" s="102"/>
      <c r="BJ283" s="102"/>
      <c r="BK283" s="102"/>
      <c r="BL283" s="102"/>
      <c r="BM283" s="99"/>
      <c r="BN283" s="4"/>
      <c r="BO283" s="4"/>
      <c r="BP283" s="5"/>
      <c r="BQ283" s="5"/>
      <c r="BR283" s="99"/>
      <c r="BS283" s="159"/>
      <c r="BT283" s="99"/>
      <c r="BU283" s="99"/>
      <c r="BV283" s="99"/>
      <c r="BW283" s="159"/>
      <c r="BX283" s="99"/>
      <c r="BY283" s="99"/>
      <c r="BZ283" s="159"/>
      <c r="DA283" s="174"/>
      <c r="DB283" s="18"/>
      <c r="DC283" s="18"/>
      <c r="DD283" s="19"/>
      <c r="DE283" s="19"/>
      <c r="DI283" s="18"/>
      <c r="DJ283" s="7"/>
      <c r="DK283" s="7"/>
      <c r="DL283" s="7"/>
      <c r="DM283" s="7"/>
      <c r="DN283" s="7"/>
      <c r="DO283" s="7"/>
      <c r="DP283" s="7"/>
      <c r="DQ283" s="7"/>
      <c r="DR283" s="7"/>
      <c r="DS283" s="7"/>
      <c r="DT283" s="7"/>
      <c r="DU283" s="7"/>
      <c r="DV283" s="7"/>
      <c r="DW283" s="7"/>
      <c r="DX283" s="7"/>
      <c r="DY283" s="7"/>
      <c r="DZ283" s="7"/>
      <c r="EA283" s="161"/>
      <c r="EG283" s="140"/>
      <c r="EH283" s="131"/>
      <c r="EI283" s="102"/>
      <c r="EJ283" s="102"/>
      <c r="EK283" s="102"/>
      <c r="EL283" s="102"/>
      <c r="EM283" s="99"/>
      <c r="EN283" s="4"/>
      <c r="EO283" s="4"/>
      <c r="EP283" s="5"/>
      <c r="EQ283" s="5"/>
      <c r="ER283" s="99"/>
      <c r="ES283" s="159"/>
      <c r="ET283" s="99"/>
      <c r="EU283" s="99"/>
      <c r="EV283" s="99"/>
      <c r="EW283" s="159"/>
      <c r="EX283" s="99"/>
      <c r="EY283" s="99"/>
      <c r="EZ283" s="175"/>
    </row>
    <row r="284" spans="27:156">
      <c r="AA284" s="18"/>
      <c r="AB284" s="18"/>
      <c r="AC284" s="18"/>
      <c r="AD284" s="19"/>
      <c r="AE284" s="19"/>
      <c r="AI284" s="18"/>
      <c r="AJ284" s="7"/>
      <c r="AK284" s="7"/>
      <c r="AL284" s="7"/>
      <c r="AM284" s="7"/>
      <c r="AN284" s="7"/>
      <c r="AO284" s="7"/>
      <c r="AP284" s="7"/>
      <c r="AQ284" s="7"/>
      <c r="AR284" s="7"/>
      <c r="AS284" s="7"/>
      <c r="AT284" s="7"/>
      <c r="AU284" s="7"/>
      <c r="AV284" s="7"/>
      <c r="AW284" s="7"/>
      <c r="AX284" s="7"/>
      <c r="AY284" s="7"/>
      <c r="AZ284" s="7"/>
      <c r="BA284" s="18"/>
      <c r="BG284" s="140"/>
      <c r="BH284" s="131"/>
      <c r="BI284" s="102"/>
      <c r="BJ284" s="102"/>
      <c r="BK284" s="102"/>
      <c r="BL284" s="102"/>
      <c r="BM284" s="99"/>
      <c r="BN284" s="4"/>
      <c r="BO284" s="4"/>
      <c r="BP284" s="5"/>
      <c r="BQ284" s="5"/>
      <c r="BR284" s="99"/>
      <c r="BS284" s="159"/>
      <c r="BT284" s="99"/>
      <c r="BU284" s="99"/>
      <c r="BV284" s="99"/>
      <c r="BW284" s="159"/>
      <c r="BX284" s="99"/>
      <c r="BY284" s="99"/>
      <c r="BZ284" s="159"/>
      <c r="DA284" s="174"/>
      <c r="DB284" s="18"/>
      <c r="DC284" s="18"/>
      <c r="DD284" s="19"/>
      <c r="DE284" s="19"/>
      <c r="DI284" s="18"/>
      <c r="DJ284" s="7"/>
      <c r="DK284" s="7"/>
      <c r="DL284" s="7"/>
      <c r="DM284" s="7"/>
      <c r="DN284" s="7"/>
      <c r="DO284" s="7"/>
      <c r="DP284" s="7"/>
      <c r="DQ284" s="7"/>
      <c r="DR284" s="7"/>
      <c r="DS284" s="7"/>
      <c r="DT284" s="7"/>
      <c r="DU284" s="7"/>
      <c r="DV284" s="7"/>
      <c r="DW284" s="7"/>
      <c r="DX284" s="7"/>
      <c r="DY284" s="7"/>
      <c r="DZ284" s="7"/>
      <c r="EA284" s="161"/>
      <c r="EG284" s="140"/>
      <c r="EH284" s="131"/>
      <c r="EI284" s="102"/>
      <c r="EJ284" s="102"/>
      <c r="EK284" s="102"/>
      <c r="EL284" s="102"/>
      <c r="EM284" s="99"/>
      <c r="EN284" s="4"/>
      <c r="EO284" s="4"/>
      <c r="EP284" s="5"/>
      <c r="EQ284" s="5"/>
      <c r="ER284" s="99"/>
      <c r="ES284" s="159"/>
      <c r="ET284" s="99"/>
      <c r="EU284" s="99"/>
      <c r="EV284" s="99"/>
      <c r="EW284" s="159"/>
      <c r="EX284" s="99"/>
      <c r="EY284" s="99"/>
      <c r="EZ284" s="175"/>
    </row>
    <row r="285" spans="27:156">
      <c r="AA285" s="18"/>
      <c r="AB285" s="18"/>
      <c r="AC285" s="18"/>
      <c r="AD285" s="19"/>
      <c r="AE285" s="19"/>
      <c r="AI285" s="18"/>
      <c r="AJ285" s="7"/>
      <c r="AK285" s="7"/>
      <c r="AL285" s="7"/>
      <c r="AM285" s="7"/>
      <c r="AN285" s="7"/>
      <c r="AO285" s="7"/>
      <c r="AP285" s="7"/>
      <c r="AQ285" s="7"/>
      <c r="AR285" s="7"/>
      <c r="AS285" s="7"/>
      <c r="AT285" s="7"/>
      <c r="AU285" s="7"/>
      <c r="AV285" s="7"/>
      <c r="AW285" s="7"/>
      <c r="AX285" s="7"/>
      <c r="AY285" s="7"/>
      <c r="AZ285" s="7"/>
      <c r="BA285" s="18"/>
      <c r="BG285" s="140"/>
      <c r="BH285" s="131"/>
      <c r="BI285" s="102"/>
      <c r="BJ285" s="102"/>
      <c r="BK285" s="102"/>
      <c r="BL285" s="102"/>
      <c r="BM285" s="99"/>
      <c r="BN285" s="4"/>
      <c r="BO285" s="4"/>
      <c r="BP285" s="5"/>
      <c r="BQ285" s="5"/>
      <c r="BR285" s="99"/>
      <c r="BS285" s="159"/>
      <c r="BT285" s="99"/>
      <c r="BU285" s="99"/>
      <c r="BV285" s="99"/>
      <c r="BW285" s="159"/>
      <c r="BX285" s="99"/>
      <c r="BY285" s="99"/>
      <c r="BZ285" s="159"/>
      <c r="DA285" s="174"/>
      <c r="DB285" s="18"/>
      <c r="DC285" s="18"/>
      <c r="DD285" s="19"/>
      <c r="DE285" s="19"/>
      <c r="DI285" s="18"/>
      <c r="DJ285" s="7"/>
      <c r="DK285" s="7"/>
      <c r="DL285" s="7"/>
      <c r="DM285" s="7"/>
      <c r="DN285" s="7"/>
      <c r="DO285" s="7"/>
      <c r="DP285" s="7"/>
      <c r="DQ285" s="7"/>
      <c r="DR285" s="7"/>
      <c r="DS285" s="7"/>
      <c r="DT285" s="7"/>
      <c r="DU285" s="7"/>
      <c r="DV285" s="7"/>
      <c r="DW285" s="7"/>
      <c r="DX285" s="7"/>
      <c r="DY285" s="7"/>
      <c r="DZ285" s="7"/>
      <c r="EA285" s="161"/>
      <c r="EG285" s="140"/>
      <c r="EH285" s="131"/>
      <c r="EI285" s="102"/>
      <c r="EJ285" s="102"/>
      <c r="EK285" s="102"/>
      <c r="EL285" s="102"/>
      <c r="EM285" s="99"/>
      <c r="EN285" s="4"/>
      <c r="EO285" s="4"/>
      <c r="EP285" s="5"/>
      <c r="EQ285" s="5"/>
      <c r="ER285" s="99"/>
      <c r="ES285" s="159"/>
      <c r="ET285" s="99"/>
      <c r="EU285" s="99"/>
      <c r="EV285" s="99"/>
      <c r="EW285" s="159"/>
      <c r="EX285" s="99"/>
      <c r="EY285" s="99"/>
      <c r="EZ285" s="175"/>
    </row>
    <row r="286" spans="27:156">
      <c r="AA286" s="18"/>
      <c r="AB286" s="18"/>
      <c r="AC286" s="18"/>
      <c r="AD286" s="19"/>
      <c r="AE286" s="19"/>
      <c r="AI286" s="18"/>
      <c r="AJ286" s="7"/>
      <c r="AK286" s="7"/>
      <c r="AL286" s="7"/>
      <c r="AM286" s="7"/>
      <c r="AN286" s="7"/>
      <c r="AO286" s="7"/>
      <c r="AP286" s="7"/>
      <c r="AQ286" s="7"/>
      <c r="AR286" s="7"/>
      <c r="AS286" s="7"/>
      <c r="AT286" s="7"/>
      <c r="AU286" s="7"/>
      <c r="AV286" s="7"/>
      <c r="AW286" s="7"/>
      <c r="AX286" s="7"/>
      <c r="AY286" s="7"/>
      <c r="AZ286" s="7"/>
      <c r="BA286" s="18"/>
      <c r="BG286" s="140"/>
      <c r="BH286" s="131"/>
      <c r="BI286" s="102"/>
      <c r="BJ286" s="102"/>
      <c r="BK286" s="102"/>
      <c r="BL286" s="102"/>
      <c r="BM286" s="99"/>
      <c r="BN286" s="4"/>
      <c r="BO286" s="4"/>
      <c r="BP286" s="5"/>
      <c r="BQ286" s="5"/>
      <c r="BR286" s="99"/>
      <c r="BS286" s="159"/>
      <c r="BT286" s="99"/>
      <c r="BU286" s="99"/>
      <c r="BV286" s="99"/>
      <c r="BW286" s="159"/>
      <c r="BX286" s="99"/>
      <c r="BY286" s="99"/>
      <c r="BZ286" s="159"/>
      <c r="DA286" s="174"/>
      <c r="DB286" s="18"/>
      <c r="DC286" s="18"/>
      <c r="DD286" s="19"/>
      <c r="DE286" s="19"/>
      <c r="DI286" s="18"/>
      <c r="DJ286" s="7"/>
      <c r="DK286" s="7"/>
      <c r="DL286" s="7"/>
      <c r="DM286" s="7"/>
      <c r="DN286" s="7"/>
      <c r="DO286" s="7"/>
      <c r="DP286" s="7"/>
      <c r="DQ286" s="7"/>
      <c r="DR286" s="7"/>
      <c r="DS286" s="7"/>
      <c r="DT286" s="7"/>
      <c r="DU286" s="7"/>
      <c r="DV286" s="7"/>
      <c r="DW286" s="7"/>
      <c r="DX286" s="7"/>
      <c r="DY286" s="7"/>
      <c r="DZ286" s="7"/>
      <c r="EA286" s="161"/>
      <c r="EG286" s="140"/>
      <c r="EH286" s="131"/>
      <c r="EI286" s="102"/>
      <c r="EJ286" s="102"/>
      <c r="EK286" s="102"/>
      <c r="EL286" s="102"/>
      <c r="EM286" s="99"/>
      <c r="EN286" s="4"/>
      <c r="EO286" s="4"/>
      <c r="EP286" s="5"/>
      <c r="EQ286" s="5"/>
      <c r="ER286" s="99"/>
      <c r="ES286" s="159"/>
      <c r="ET286" s="99"/>
      <c r="EU286" s="99"/>
      <c r="EV286" s="99"/>
      <c r="EW286" s="159"/>
      <c r="EX286" s="99"/>
      <c r="EY286" s="99"/>
      <c r="EZ286" s="175"/>
    </row>
    <row r="287" spans="27:156">
      <c r="AA287" s="18"/>
      <c r="AB287" s="18"/>
      <c r="AC287" s="18"/>
      <c r="AD287" s="19"/>
      <c r="AE287" s="19"/>
      <c r="AI287" s="18"/>
      <c r="AJ287" s="7"/>
      <c r="AK287" s="7"/>
      <c r="AL287" s="7"/>
      <c r="AM287" s="7"/>
      <c r="AN287" s="7"/>
      <c r="AO287" s="7"/>
      <c r="AP287" s="7"/>
      <c r="AQ287" s="7"/>
      <c r="AR287" s="7"/>
      <c r="AS287" s="7"/>
      <c r="AT287" s="7"/>
      <c r="AU287" s="7"/>
      <c r="AV287" s="7"/>
      <c r="AW287" s="7"/>
      <c r="AX287" s="7"/>
      <c r="AY287" s="7"/>
      <c r="AZ287" s="7"/>
      <c r="BA287" s="18"/>
      <c r="BG287" s="140"/>
      <c r="BH287" s="131"/>
      <c r="BI287" s="102"/>
      <c r="BJ287" s="102"/>
      <c r="BK287" s="102"/>
      <c r="BL287" s="102"/>
      <c r="BM287" s="99"/>
      <c r="BN287" s="4"/>
      <c r="BO287" s="4"/>
      <c r="BP287" s="5"/>
      <c r="BQ287" s="5"/>
      <c r="BR287" s="99"/>
      <c r="BS287" s="159"/>
      <c r="BT287" s="99"/>
      <c r="BU287" s="99"/>
      <c r="BV287" s="99"/>
      <c r="BW287" s="159"/>
      <c r="BX287" s="99"/>
      <c r="BY287" s="99"/>
      <c r="BZ287" s="159"/>
      <c r="DA287" s="174"/>
      <c r="DB287" s="18"/>
      <c r="DC287" s="18"/>
      <c r="DD287" s="19"/>
      <c r="DE287" s="19"/>
      <c r="DI287" s="18"/>
      <c r="DJ287" s="7"/>
      <c r="DK287" s="7"/>
      <c r="DL287" s="7"/>
      <c r="DM287" s="7"/>
      <c r="DN287" s="7"/>
      <c r="DO287" s="7"/>
      <c r="DP287" s="7"/>
      <c r="DQ287" s="7"/>
      <c r="DR287" s="7"/>
      <c r="DS287" s="7"/>
      <c r="DT287" s="7"/>
      <c r="DU287" s="7"/>
      <c r="DV287" s="7"/>
      <c r="DW287" s="7"/>
      <c r="DX287" s="7"/>
      <c r="DY287" s="7"/>
      <c r="DZ287" s="7"/>
      <c r="EA287" s="161"/>
      <c r="EG287" s="140"/>
      <c r="EH287" s="131"/>
      <c r="EI287" s="102"/>
      <c r="EJ287" s="102"/>
      <c r="EK287" s="102"/>
      <c r="EL287" s="102"/>
      <c r="EM287" s="99"/>
      <c r="EN287" s="4"/>
      <c r="EO287" s="4"/>
      <c r="EP287" s="5"/>
      <c r="EQ287" s="5"/>
      <c r="ER287" s="99"/>
      <c r="ES287" s="159"/>
      <c r="ET287" s="99"/>
      <c r="EU287" s="99"/>
      <c r="EV287" s="99"/>
      <c r="EW287" s="159"/>
      <c r="EX287" s="99"/>
      <c r="EY287" s="99"/>
      <c r="EZ287" s="175"/>
    </row>
    <row r="288" spans="27:156">
      <c r="AA288" s="18"/>
      <c r="AB288" s="18"/>
      <c r="AC288" s="18"/>
      <c r="AD288" s="19"/>
      <c r="AE288" s="19"/>
      <c r="AI288" s="18"/>
      <c r="AJ288" s="7"/>
      <c r="AK288" s="7"/>
      <c r="AL288" s="7"/>
      <c r="AM288" s="7"/>
      <c r="AN288" s="7"/>
      <c r="AO288" s="7"/>
      <c r="AP288" s="7"/>
      <c r="AQ288" s="7"/>
      <c r="AR288" s="7"/>
      <c r="AS288" s="7"/>
      <c r="AT288" s="7"/>
      <c r="AU288" s="7"/>
      <c r="AV288" s="7"/>
      <c r="AW288" s="7"/>
      <c r="AX288" s="7"/>
      <c r="AY288" s="7"/>
      <c r="AZ288" s="7"/>
      <c r="BA288" s="18"/>
      <c r="BG288" s="140"/>
      <c r="BH288" s="131"/>
      <c r="BI288" s="102"/>
      <c r="BJ288" s="102"/>
      <c r="BK288" s="102"/>
      <c r="BL288" s="102"/>
      <c r="BM288" s="99"/>
      <c r="BN288" s="4"/>
      <c r="BO288" s="4"/>
      <c r="BP288" s="5"/>
      <c r="BQ288" s="5"/>
      <c r="BR288" s="99"/>
      <c r="BS288" s="159"/>
      <c r="BT288" s="99"/>
      <c r="BU288" s="99"/>
      <c r="BV288" s="99"/>
      <c r="BW288" s="159"/>
      <c r="BX288" s="99"/>
      <c r="BY288" s="99"/>
      <c r="BZ288" s="159"/>
      <c r="DA288" s="174"/>
      <c r="DB288" s="18"/>
      <c r="DC288" s="18"/>
      <c r="DD288" s="19"/>
      <c r="DE288" s="19"/>
      <c r="DI288" s="18"/>
      <c r="DJ288" s="7"/>
      <c r="DK288" s="7"/>
      <c r="DL288" s="7"/>
      <c r="DM288" s="7"/>
      <c r="DN288" s="7"/>
      <c r="DO288" s="7"/>
      <c r="DP288" s="7"/>
      <c r="DQ288" s="7"/>
      <c r="DR288" s="7"/>
      <c r="DS288" s="7"/>
      <c r="DT288" s="7"/>
      <c r="DU288" s="7"/>
      <c r="DV288" s="7"/>
      <c r="DW288" s="7"/>
      <c r="DX288" s="7"/>
      <c r="DY288" s="7"/>
      <c r="DZ288" s="7"/>
      <c r="EA288" s="161"/>
      <c r="EG288" s="140"/>
      <c r="EH288" s="131"/>
      <c r="EI288" s="102"/>
      <c r="EJ288" s="102"/>
      <c r="EK288" s="102"/>
      <c r="EL288" s="102"/>
      <c r="EM288" s="99"/>
      <c r="EN288" s="4"/>
      <c r="EO288" s="4"/>
      <c r="EP288" s="5"/>
      <c r="EQ288" s="5"/>
      <c r="ER288" s="99"/>
      <c r="ES288" s="159"/>
      <c r="ET288" s="99"/>
      <c r="EU288" s="99"/>
      <c r="EV288" s="99"/>
      <c r="EW288" s="159"/>
      <c r="EX288" s="99"/>
      <c r="EY288" s="99"/>
      <c r="EZ288" s="175"/>
    </row>
    <row r="289" spans="27:156">
      <c r="AA289" s="18"/>
      <c r="AB289" s="18"/>
      <c r="AC289" s="18"/>
      <c r="AD289" s="19"/>
      <c r="AE289" s="19"/>
      <c r="AI289" s="18"/>
      <c r="AJ289" s="7"/>
      <c r="AK289" s="7"/>
      <c r="AL289" s="7"/>
      <c r="AM289" s="7"/>
      <c r="AN289" s="7"/>
      <c r="AO289" s="7"/>
      <c r="AP289" s="7"/>
      <c r="AQ289" s="7"/>
      <c r="AR289" s="7"/>
      <c r="AS289" s="7"/>
      <c r="AT289" s="7"/>
      <c r="AU289" s="7"/>
      <c r="AV289" s="7"/>
      <c r="AW289" s="7"/>
      <c r="AX289" s="7"/>
      <c r="AY289" s="7"/>
      <c r="AZ289" s="7"/>
      <c r="BA289" s="18"/>
      <c r="BG289" s="140"/>
      <c r="BH289" s="131"/>
      <c r="BI289" s="102"/>
      <c r="BJ289" s="102"/>
      <c r="BK289" s="102"/>
      <c r="BL289" s="102"/>
      <c r="BM289" s="99"/>
      <c r="BN289" s="4"/>
      <c r="BO289" s="4"/>
      <c r="BP289" s="5"/>
      <c r="BQ289" s="5"/>
      <c r="BR289" s="99"/>
      <c r="BS289" s="159"/>
      <c r="BT289" s="99"/>
      <c r="BU289" s="99"/>
      <c r="BV289" s="99"/>
      <c r="BW289" s="159"/>
      <c r="BX289" s="99"/>
      <c r="BY289" s="99"/>
      <c r="BZ289" s="159"/>
      <c r="DA289" s="174"/>
      <c r="DB289" s="18"/>
      <c r="DC289" s="18"/>
      <c r="DD289" s="19"/>
      <c r="DE289" s="19"/>
      <c r="DI289" s="18"/>
      <c r="DJ289" s="7"/>
      <c r="DK289" s="7"/>
      <c r="DL289" s="7"/>
      <c r="DM289" s="7"/>
      <c r="DN289" s="7"/>
      <c r="DO289" s="7"/>
      <c r="DP289" s="7"/>
      <c r="DQ289" s="7"/>
      <c r="DR289" s="7"/>
      <c r="DS289" s="7"/>
      <c r="DT289" s="7"/>
      <c r="DU289" s="7"/>
      <c r="DV289" s="7"/>
      <c r="DW289" s="7"/>
      <c r="DX289" s="7"/>
      <c r="DY289" s="7"/>
      <c r="DZ289" s="7"/>
      <c r="EA289" s="161"/>
      <c r="EG289" s="140"/>
      <c r="EH289" s="131"/>
      <c r="EI289" s="102"/>
      <c r="EJ289" s="102"/>
      <c r="EK289" s="102"/>
      <c r="EL289" s="102"/>
      <c r="EM289" s="99"/>
      <c r="EN289" s="4"/>
      <c r="EO289" s="4"/>
      <c r="EP289" s="5"/>
      <c r="EQ289" s="5"/>
      <c r="ER289" s="99"/>
      <c r="ES289" s="159"/>
      <c r="ET289" s="99"/>
      <c r="EU289" s="99"/>
      <c r="EV289" s="99"/>
      <c r="EW289" s="159"/>
      <c r="EX289" s="99"/>
      <c r="EY289" s="99"/>
      <c r="EZ289" s="175"/>
    </row>
    <row r="290" spans="27:156">
      <c r="AA290" s="18"/>
      <c r="AB290" s="18"/>
      <c r="AC290" s="18"/>
      <c r="AD290" s="19"/>
      <c r="AE290" s="19"/>
      <c r="AI290" s="18"/>
      <c r="AJ290" s="7"/>
      <c r="AK290" s="7"/>
      <c r="AL290" s="7"/>
      <c r="AM290" s="7"/>
      <c r="AN290" s="7"/>
      <c r="AO290" s="7"/>
      <c r="AP290" s="7"/>
      <c r="AQ290" s="7"/>
      <c r="AR290" s="7"/>
      <c r="AS290" s="7"/>
      <c r="AT290" s="7"/>
      <c r="AU290" s="7"/>
      <c r="AV290" s="7"/>
      <c r="AW290" s="7"/>
      <c r="AX290" s="7"/>
      <c r="AY290" s="7"/>
      <c r="AZ290" s="7"/>
      <c r="BA290" s="18"/>
      <c r="BG290" s="140"/>
      <c r="BH290" s="131"/>
      <c r="BI290" s="102"/>
      <c r="BJ290" s="102"/>
      <c r="BK290" s="102"/>
      <c r="BL290" s="102"/>
      <c r="BM290" s="99"/>
      <c r="BN290" s="4"/>
      <c r="BO290" s="4"/>
      <c r="BP290" s="5"/>
      <c r="BQ290" s="5"/>
      <c r="BR290" s="99"/>
      <c r="BS290" s="159"/>
      <c r="BT290" s="99"/>
      <c r="BU290" s="99"/>
      <c r="BV290" s="99"/>
      <c r="BW290" s="159"/>
      <c r="BX290" s="99"/>
      <c r="BY290" s="99"/>
      <c r="BZ290" s="159"/>
      <c r="DA290" s="174"/>
      <c r="DB290" s="18"/>
      <c r="DC290" s="18"/>
      <c r="DD290" s="19"/>
      <c r="DE290" s="19"/>
      <c r="DI290" s="18"/>
      <c r="DJ290" s="7"/>
      <c r="DK290" s="7"/>
      <c r="DL290" s="7"/>
      <c r="DM290" s="7"/>
      <c r="DN290" s="7"/>
      <c r="DO290" s="7"/>
      <c r="DP290" s="7"/>
      <c r="DQ290" s="7"/>
      <c r="DR290" s="7"/>
      <c r="DS290" s="7"/>
      <c r="DT290" s="7"/>
      <c r="DU290" s="7"/>
      <c r="DV290" s="7"/>
      <c r="DW290" s="7"/>
      <c r="DX290" s="7"/>
      <c r="DY290" s="7"/>
      <c r="DZ290" s="7"/>
      <c r="EA290" s="161"/>
      <c r="EG290" s="140"/>
      <c r="EH290" s="131"/>
      <c r="EI290" s="102"/>
      <c r="EJ290" s="102"/>
      <c r="EK290" s="102"/>
      <c r="EL290" s="102"/>
      <c r="EM290" s="99"/>
      <c r="EN290" s="4"/>
      <c r="EO290" s="4"/>
      <c r="EP290" s="5"/>
      <c r="EQ290" s="5"/>
      <c r="ER290" s="99"/>
      <c r="ES290" s="159"/>
      <c r="ET290" s="99"/>
      <c r="EU290" s="99"/>
      <c r="EV290" s="99"/>
      <c r="EW290" s="159"/>
      <c r="EX290" s="99"/>
      <c r="EY290" s="99"/>
      <c r="EZ290" s="175"/>
    </row>
    <row r="291" spans="27:156">
      <c r="AA291" s="18"/>
      <c r="AB291" s="18"/>
      <c r="AC291" s="18"/>
      <c r="AD291" s="19"/>
      <c r="AE291" s="19"/>
      <c r="AI291" s="18"/>
      <c r="AJ291" s="7"/>
      <c r="AK291" s="7"/>
      <c r="AL291" s="7"/>
      <c r="AM291" s="7"/>
      <c r="AN291" s="7"/>
      <c r="AO291" s="7"/>
      <c r="AP291" s="7"/>
      <c r="AQ291" s="7"/>
      <c r="AR291" s="7"/>
      <c r="AS291" s="7"/>
      <c r="AT291" s="7"/>
      <c r="AU291" s="7"/>
      <c r="AV291" s="7"/>
      <c r="AW291" s="7"/>
      <c r="AX291" s="7"/>
      <c r="AY291" s="7"/>
      <c r="AZ291" s="7"/>
      <c r="BA291" s="18"/>
      <c r="BG291" s="140"/>
      <c r="BH291" s="131"/>
      <c r="BI291" s="102"/>
      <c r="BJ291" s="102"/>
      <c r="BK291" s="102"/>
      <c r="BL291" s="102"/>
      <c r="BM291" s="99"/>
      <c r="BN291" s="4"/>
      <c r="BO291" s="4"/>
      <c r="BP291" s="5"/>
      <c r="BQ291" s="5"/>
      <c r="BR291" s="99"/>
      <c r="BS291" s="159"/>
      <c r="BT291" s="99"/>
      <c r="BU291" s="99"/>
      <c r="BV291" s="99"/>
      <c r="BW291" s="159"/>
      <c r="BX291" s="99"/>
      <c r="BY291" s="99"/>
      <c r="BZ291" s="159"/>
      <c r="DA291" s="174"/>
      <c r="DB291" s="18"/>
      <c r="DC291" s="18"/>
      <c r="DD291" s="19"/>
      <c r="DE291" s="19"/>
      <c r="DI291" s="18"/>
      <c r="DJ291" s="7"/>
      <c r="DK291" s="7"/>
      <c r="DL291" s="7"/>
      <c r="DM291" s="7"/>
      <c r="DN291" s="7"/>
      <c r="DO291" s="7"/>
      <c r="DP291" s="7"/>
      <c r="DQ291" s="7"/>
      <c r="DR291" s="7"/>
      <c r="DS291" s="7"/>
      <c r="DT291" s="7"/>
      <c r="DU291" s="7"/>
      <c r="DV291" s="7"/>
      <c r="DW291" s="7"/>
      <c r="DX291" s="7"/>
      <c r="DY291" s="7"/>
      <c r="DZ291" s="7"/>
      <c r="EA291" s="161"/>
      <c r="EG291" s="140"/>
      <c r="EH291" s="131"/>
      <c r="EI291" s="102"/>
      <c r="EJ291" s="102"/>
      <c r="EK291" s="102"/>
      <c r="EL291" s="102"/>
      <c r="EM291" s="99"/>
      <c r="EN291" s="4"/>
      <c r="EO291" s="4"/>
      <c r="EP291" s="5"/>
      <c r="EQ291" s="5"/>
      <c r="ER291" s="99"/>
      <c r="ES291" s="159"/>
      <c r="ET291" s="99"/>
      <c r="EU291" s="99"/>
      <c r="EV291" s="99"/>
      <c r="EW291" s="159"/>
      <c r="EX291" s="99"/>
      <c r="EY291" s="99"/>
      <c r="EZ291" s="175"/>
    </row>
    <row r="292" spans="27:156">
      <c r="AA292" s="18"/>
      <c r="AB292" s="18"/>
      <c r="AC292" s="18"/>
      <c r="AD292" s="19"/>
      <c r="AE292" s="19"/>
      <c r="AI292" s="18"/>
      <c r="AJ292" s="7"/>
      <c r="AK292" s="7"/>
      <c r="AL292" s="7"/>
      <c r="AM292" s="7"/>
      <c r="AN292" s="7"/>
      <c r="AO292" s="7"/>
      <c r="AP292" s="7"/>
      <c r="AQ292" s="7"/>
      <c r="AR292" s="7"/>
      <c r="AS292" s="7"/>
      <c r="AT292" s="7"/>
      <c r="AU292" s="7"/>
      <c r="AV292" s="7"/>
      <c r="AW292" s="7"/>
      <c r="AX292" s="7"/>
      <c r="AY292" s="7"/>
      <c r="AZ292" s="7"/>
      <c r="BA292" s="18"/>
      <c r="BG292" s="140"/>
      <c r="BH292" s="131"/>
      <c r="BI292" s="102"/>
      <c r="BJ292" s="102"/>
      <c r="BK292" s="102"/>
      <c r="BL292" s="102"/>
      <c r="BM292" s="99"/>
      <c r="BN292" s="4"/>
      <c r="BO292" s="4"/>
      <c r="BP292" s="5"/>
      <c r="BQ292" s="5"/>
      <c r="BR292" s="99"/>
      <c r="BS292" s="159"/>
      <c r="BT292" s="99"/>
      <c r="BU292" s="99"/>
      <c r="BV292" s="99"/>
      <c r="BW292" s="159"/>
      <c r="BX292" s="99"/>
      <c r="BY292" s="99"/>
      <c r="BZ292" s="159"/>
      <c r="DA292" s="174"/>
      <c r="DB292" s="18"/>
      <c r="DC292" s="18"/>
      <c r="DD292" s="19"/>
      <c r="DE292" s="19"/>
      <c r="DI292" s="18"/>
      <c r="DJ292" s="7"/>
      <c r="DK292" s="7"/>
      <c r="DL292" s="7"/>
      <c r="DM292" s="7"/>
      <c r="DN292" s="7"/>
      <c r="DO292" s="7"/>
      <c r="DP292" s="7"/>
      <c r="DQ292" s="7"/>
      <c r="DR292" s="7"/>
      <c r="DS292" s="7"/>
      <c r="DT292" s="7"/>
      <c r="DU292" s="7"/>
      <c r="DV292" s="7"/>
      <c r="DW292" s="7"/>
      <c r="DX292" s="7"/>
      <c r="DY292" s="7"/>
      <c r="DZ292" s="7"/>
      <c r="EA292" s="161"/>
      <c r="EG292" s="140"/>
      <c r="EH292" s="131"/>
      <c r="EI292" s="102"/>
      <c r="EJ292" s="102"/>
      <c r="EK292" s="102"/>
      <c r="EL292" s="102"/>
      <c r="EM292" s="99"/>
      <c r="EN292" s="4"/>
      <c r="EO292" s="4"/>
      <c r="EP292" s="5"/>
      <c r="EQ292" s="5"/>
      <c r="ER292" s="99"/>
      <c r="ES292" s="159"/>
      <c r="ET292" s="99"/>
      <c r="EU292" s="99"/>
      <c r="EV292" s="99"/>
      <c r="EW292" s="159"/>
      <c r="EX292" s="99"/>
      <c r="EY292" s="99"/>
      <c r="EZ292" s="175"/>
    </row>
    <row r="293" spans="27:156">
      <c r="AA293" s="18"/>
      <c r="AB293" s="18"/>
      <c r="AC293" s="18"/>
      <c r="AD293" s="19"/>
      <c r="AE293" s="19"/>
      <c r="AI293" s="18"/>
      <c r="AJ293" s="7"/>
      <c r="AK293" s="7"/>
      <c r="AL293" s="7"/>
      <c r="AM293" s="7"/>
      <c r="AN293" s="7"/>
      <c r="AO293" s="7"/>
      <c r="AP293" s="7"/>
      <c r="AQ293" s="7"/>
      <c r="AR293" s="7"/>
      <c r="AS293" s="7"/>
      <c r="AT293" s="7"/>
      <c r="AU293" s="7"/>
      <c r="AV293" s="7"/>
      <c r="AW293" s="7"/>
      <c r="AX293" s="7"/>
      <c r="AY293" s="7"/>
      <c r="AZ293" s="7"/>
      <c r="BA293" s="18"/>
      <c r="BG293" s="140"/>
      <c r="BH293" s="131"/>
      <c r="BI293" s="102"/>
      <c r="BJ293" s="102"/>
      <c r="BK293" s="102"/>
      <c r="BL293" s="102"/>
      <c r="BM293" s="99"/>
      <c r="BN293" s="4"/>
      <c r="BO293" s="4"/>
      <c r="BP293" s="5"/>
      <c r="BQ293" s="5"/>
      <c r="BR293" s="99"/>
      <c r="BS293" s="159"/>
      <c r="BT293" s="99"/>
      <c r="BU293" s="99"/>
      <c r="BV293" s="99"/>
      <c r="BW293" s="159"/>
      <c r="BX293" s="99"/>
      <c r="BY293" s="99"/>
      <c r="BZ293" s="159"/>
      <c r="DA293" s="174"/>
      <c r="DB293" s="18"/>
      <c r="DC293" s="18"/>
      <c r="DD293" s="19"/>
      <c r="DE293" s="19"/>
      <c r="DI293" s="18"/>
      <c r="DJ293" s="7"/>
      <c r="DK293" s="7"/>
      <c r="DL293" s="7"/>
      <c r="DM293" s="7"/>
      <c r="DN293" s="7"/>
      <c r="DO293" s="7"/>
      <c r="DP293" s="7"/>
      <c r="DQ293" s="7"/>
      <c r="DR293" s="7"/>
      <c r="DS293" s="7"/>
      <c r="DT293" s="7"/>
      <c r="DU293" s="7"/>
      <c r="DV293" s="7"/>
      <c r="DW293" s="7"/>
      <c r="DX293" s="7"/>
      <c r="DY293" s="7"/>
      <c r="DZ293" s="7"/>
      <c r="EA293" s="161"/>
      <c r="EG293" s="140"/>
      <c r="EH293" s="131"/>
      <c r="EI293" s="102"/>
      <c r="EJ293" s="102"/>
      <c r="EK293" s="102"/>
      <c r="EL293" s="102"/>
      <c r="EM293" s="99"/>
      <c r="EN293" s="4"/>
      <c r="EO293" s="4"/>
      <c r="EP293" s="5"/>
      <c r="EQ293" s="5"/>
      <c r="ER293" s="99"/>
      <c r="ES293" s="159"/>
      <c r="ET293" s="99"/>
      <c r="EU293" s="99"/>
      <c r="EV293" s="99"/>
      <c r="EW293" s="159"/>
      <c r="EX293" s="99"/>
      <c r="EY293" s="99"/>
      <c r="EZ293" s="175"/>
    </row>
    <row r="294" spans="27:156">
      <c r="AA294" s="18"/>
      <c r="AB294" s="18"/>
      <c r="AC294" s="18"/>
      <c r="AD294" s="19"/>
      <c r="AE294" s="19"/>
      <c r="AI294" s="18"/>
      <c r="AJ294" s="7"/>
      <c r="AK294" s="7"/>
      <c r="AL294" s="7"/>
      <c r="AM294" s="7"/>
      <c r="AN294" s="7"/>
      <c r="AO294" s="7"/>
      <c r="AP294" s="7"/>
      <c r="AQ294" s="7"/>
      <c r="AR294" s="7"/>
      <c r="AS294" s="7"/>
      <c r="AT294" s="7"/>
      <c r="AU294" s="7"/>
      <c r="AV294" s="7"/>
      <c r="AW294" s="7"/>
      <c r="AX294" s="7"/>
      <c r="AY294" s="7"/>
      <c r="AZ294" s="7"/>
      <c r="BA294" s="18"/>
      <c r="BG294" s="140"/>
      <c r="BH294" s="131"/>
      <c r="BI294" s="102"/>
      <c r="BJ294" s="102"/>
      <c r="BK294" s="102"/>
      <c r="BL294" s="102"/>
      <c r="BM294" s="99"/>
      <c r="BN294" s="4"/>
      <c r="BO294" s="4"/>
      <c r="BP294" s="5"/>
      <c r="BQ294" s="5"/>
      <c r="BR294" s="99"/>
      <c r="BS294" s="159"/>
      <c r="BT294" s="99"/>
      <c r="BU294" s="99"/>
      <c r="BV294" s="99"/>
      <c r="BW294" s="159"/>
      <c r="BX294" s="99"/>
      <c r="BY294" s="99"/>
      <c r="BZ294" s="159"/>
      <c r="DA294" s="174"/>
      <c r="DB294" s="18"/>
      <c r="DC294" s="18"/>
      <c r="DD294" s="19"/>
      <c r="DE294" s="19"/>
      <c r="DI294" s="18"/>
      <c r="DJ294" s="7"/>
      <c r="DK294" s="7"/>
      <c r="DL294" s="7"/>
      <c r="DM294" s="7"/>
      <c r="DN294" s="7"/>
      <c r="DO294" s="7"/>
      <c r="DP294" s="7"/>
      <c r="DQ294" s="7"/>
      <c r="DR294" s="7"/>
      <c r="DS294" s="7"/>
      <c r="DT294" s="7"/>
      <c r="DU294" s="7"/>
      <c r="DV294" s="7"/>
      <c r="DW294" s="7"/>
      <c r="DX294" s="7"/>
      <c r="DY294" s="7"/>
      <c r="DZ294" s="7"/>
      <c r="EA294" s="161"/>
      <c r="EG294" s="140"/>
      <c r="EH294" s="131"/>
      <c r="EI294" s="102"/>
      <c r="EJ294" s="102"/>
      <c r="EK294" s="102"/>
      <c r="EL294" s="102"/>
      <c r="EM294" s="99"/>
      <c r="EN294" s="4"/>
      <c r="EO294" s="4"/>
      <c r="EP294" s="5"/>
      <c r="EQ294" s="5"/>
      <c r="ER294" s="99"/>
      <c r="ES294" s="159"/>
      <c r="ET294" s="99"/>
      <c r="EU294" s="99"/>
      <c r="EV294" s="99"/>
      <c r="EW294" s="159"/>
      <c r="EX294" s="99"/>
      <c r="EY294" s="99"/>
      <c r="EZ294" s="175"/>
    </row>
    <row r="295" spans="27:156">
      <c r="AA295" s="18"/>
      <c r="AB295" s="18"/>
      <c r="AC295" s="18"/>
      <c r="AD295" s="19"/>
      <c r="AE295" s="19"/>
      <c r="AI295" s="18"/>
      <c r="AJ295" s="7"/>
      <c r="AK295" s="7"/>
      <c r="AL295" s="7"/>
      <c r="AM295" s="7"/>
      <c r="AN295" s="7"/>
      <c r="AO295" s="7"/>
      <c r="AP295" s="7"/>
      <c r="AQ295" s="7"/>
      <c r="AR295" s="7"/>
      <c r="AS295" s="7"/>
      <c r="AT295" s="7"/>
      <c r="AU295" s="7"/>
      <c r="AV295" s="7"/>
      <c r="AW295" s="7"/>
      <c r="AX295" s="7"/>
      <c r="AY295" s="7"/>
      <c r="AZ295" s="7"/>
      <c r="BA295" s="18"/>
      <c r="BG295" s="140"/>
      <c r="BH295" s="131"/>
      <c r="BI295" s="102"/>
      <c r="BJ295" s="102"/>
      <c r="BK295" s="102"/>
      <c r="BL295" s="102"/>
      <c r="BM295" s="99"/>
      <c r="BN295" s="4"/>
      <c r="BO295" s="4"/>
      <c r="BP295" s="5"/>
      <c r="BQ295" s="5"/>
      <c r="BR295" s="99"/>
      <c r="BS295" s="159"/>
      <c r="BT295" s="99"/>
      <c r="BU295" s="99"/>
      <c r="BV295" s="99"/>
      <c r="BW295" s="159"/>
      <c r="BX295" s="99"/>
      <c r="BY295" s="99"/>
      <c r="BZ295" s="159"/>
      <c r="DA295" s="174"/>
      <c r="DB295" s="18"/>
      <c r="DC295" s="18"/>
      <c r="DD295" s="19"/>
      <c r="DE295" s="19"/>
      <c r="DI295" s="18"/>
      <c r="DJ295" s="7"/>
      <c r="DK295" s="7"/>
      <c r="DL295" s="7"/>
      <c r="DM295" s="7"/>
      <c r="DN295" s="7"/>
      <c r="DO295" s="7"/>
      <c r="DP295" s="7"/>
      <c r="DQ295" s="7"/>
      <c r="DR295" s="7"/>
      <c r="DS295" s="7"/>
      <c r="DT295" s="7"/>
      <c r="DU295" s="7"/>
      <c r="DV295" s="7"/>
      <c r="DW295" s="7"/>
      <c r="DX295" s="7"/>
      <c r="DY295" s="7"/>
      <c r="DZ295" s="7"/>
      <c r="EA295" s="161"/>
      <c r="EG295" s="140"/>
      <c r="EH295" s="131"/>
      <c r="EI295" s="102"/>
      <c r="EJ295" s="102"/>
      <c r="EK295" s="102"/>
      <c r="EL295" s="102"/>
      <c r="EM295" s="99"/>
      <c r="EN295" s="4"/>
      <c r="EO295" s="4"/>
      <c r="EP295" s="5"/>
      <c r="EQ295" s="5"/>
      <c r="ER295" s="99"/>
      <c r="ES295" s="159"/>
      <c r="ET295" s="99"/>
      <c r="EU295" s="99"/>
      <c r="EV295" s="99"/>
      <c r="EW295" s="159"/>
      <c r="EX295" s="99"/>
      <c r="EY295" s="99"/>
      <c r="EZ295" s="175"/>
    </row>
    <row r="296" spans="27:156">
      <c r="AA296" s="18"/>
      <c r="AB296" s="18"/>
      <c r="AC296" s="18"/>
      <c r="AD296" s="19"/>
      <c r="AE296" s="19"/>
      <c r="AI296" s="18"/>
      <c r="AJ296" s="7"/>
      <c r="AK296" s="7"/>
      <c r="AL296" s="7"/>
      <c r="AM296" s="7"/>
      <c r="AN296" s="7"/>
      <c r="AO296" s="7"/>
      <c r="AP296" s="7"/>
      <c r="AQ296" s="7"/>
      <c r="AR296" s="7"/>
      <c r="AS296" s="7"/>
      <c r="AT296" s="7"/>
      <c r="AU296" s="7"/>
      <c r="AV296" s="7"/>
      <c r="AW296" s="7"/>
      <c r="AX296" s="7"/>
      <c r="AY296" s="7"/>
      <c r="AZ296" s="7"/>
      <c r="BA296" s="18"/>
      <c r="BG296" s="140"/>
      <c r="BH296" s="131"/>
      <c r="BI296" s="102"/>
      <c r="BJ296" s="102"/>
      <c r="BK296" s="102"/>
      <c r="BL296" s="102"/>
      <c r="BM296" s="99"/>
      <c r="BN296" s="4"/>
      <c r="BO296" s="4"/>
      <c r="BP296" s="5"/>
      <c r="BQ296" s="5"/>
      <c r="BR296" s="99"/>
      <c r="BS296" s="159"/>
      <c r="BT296" s="99"/>
      <c r="BU296" s="99"/>
      <c r="BV296" s="99"/>
      <c r="BW296" s="159"/>
      <c r="BX296" s="99"/>
      <c r="BY296" s="99"/>
      <c r="BZ296" s="159"/>
      <c r="DA296" s="174"/>
      <c r="DB296" s="18"/>
      <c r="DC296" s="18"/>
      <c r="DD296" s="19"/>
      <c r="DE296" s="19"/>
      <c r="DI296" s="18"/>
      <c r="DJ296" s="7"/>
      <c r="DK296" s="7"/>
      <c r="DL296" s="7"/>
      <c r="DM296" s="7"/>
      <c r="DN296" s="7"/>
      <c r="DO296" s="7"/>
      <c r="DP296" s="7"/>
      <c r="DQ296" s="7"/>
      <c r="DR296" s="7"/>
      <c r="DS296" s="7"/>
      <c r="DT296" s="7"/>
      <c r="DU296" s="7"/>
      <c r="DV296" s="7"/>
      <c r="DW296" s="7"/>
      <c r="DX296" s="7"/>
      <c r="DY296" s="7"/>
      <c r="DZ296" s="7"/>
      <c r="EA296" s="161"/>
      <c r="EG296" s="140"/>
      <c r="EH296" s="131"/>
      <c r="EI296" s="102"/>
      <c r="EJ296" s="102"/>
      <c r="EK296" s="102"/>
      <c r="EL296" s="102"/>
      <c r="EM296" s="99"/>
      <c r="EN296" s="4"/>
      <c r="EO296" s="4"/>
      <c r="EP296" s="5"/>
      <c r="EQ296" s="5"/>
      <c r="ER296" s="99"/>
      <c r="ES296" s="159"/>
      <c r="ET296" s="99"/>
      <c r="EU296" s="99"/>
      <c r="EV296" s="99"/>
      <c r="EW296" s="159"/>
      <c r="EX296" s="99"/>
      <c r="EY296" s="99"/>
      <c r="EZ296" s="175"/>
    </row>
    <row r="297" spans="27:156">
      <c r="AA297" s="18"/>
      <c r="AB297" s="18"/>
      <c r="AC297" s="18"/>
      <c r="AD297" s="19"/>
      <c r="AE297" s="19"/>
      <c r="AI297" s="18"/>
      <c r="AJ297" s="7"/>
      <c r="AK297" s="7"/>
      <c r="AL297" s="7"/>
      <c r="AM297" s="7"/>
      <c r="AN297" s="7"/>
      <c r="AO297" s="7"/>
      <c r="AP297" s="7"/>
      <c r="AQ297" s="7"/>
      <c r="AR297" s="7"/>
      <c r="AS297" s="7"/>
      <c r="AT297" s="7"/>
      <c r="AU297" s="7"/>
      <c r="AV297" s="7"/>
      <c r="AW297" s="7"/>
      <c r="AX297" s="7"/>
      <c r="AY297" s="7"/>
      <c r="AZ297" s="7"/>
      <c r="BA297" s="18"/>
      <c r="BG297" s="140"/>
      <c r="BH297" s="131"/>
      <c r="BI297" s="102"/>
      <c r="BJ297" s="102"/>
      <c r="BK297" s="102"/>
      <c r="BL297" s="102"/>
      <c r="BM297" s="99"/>
      <c r="BN297" s="4"/>
      <c r="BO297" s="4"/>
      <c r="BP297" s="5"/>
      <c r="BQ297" s="5"/>
      <c r="BR297" s="99"/>
      <c r="BS297" s="159"/>
      <c r="BT297" s="99"/>
      <c r="BU297" s="99"/>
      <c r="BV297" s="99"/>
      <c r="BW297" s="159"/>
      <c r="BX297" s="99"/>
      <c r="BY297" s="99"/>
      <c r="BZ297" s="159"/>
      <c r="DA297" s="174"/>
      <c r="DB297" s="18"/>
      <c r="DC297" s="18"/>
      <c r="DD297" s="19"/>
      <c r="DE297" s="19"/>
      <c r="DI297" s="18"/>
      <c r="DJ297" s="7"/>
      <c r="DK297" s="7"/>
      <c r="DL297" s="7"/>
      <c r="DM297" s="7"/>
      <c r="DN297" s="7"/>
      <c r="DO297" s="7"/>
      <c r="DP297" s="7"/>
      <c r="DQ297" s="7"/>
      <c r="DR297" s="7"/>
      <c r="DS297" s="7"/>
      <c r="DT297" s="7"/>
      <c r="DU297" s="7"/>
      <c r="DV297" s="7"/>
      <c r="DW297" s="7"/>
      <c r="DX297" s="7"/>
      <c r="DY297" s="7"/>
      <c r="DZ297" s="7"/>
      <c r="EA297" s="161"/>
      <c r="EG297" s="140"/>
      <c r="EH297" s="131"/>
      <c r="EI297" s="102"/>
      <c r="EJ297" s="102"/>
      <c r="EK297" s="102"/>
      <c r="EL297" s="102"/>
      <c r="EM297" s="99"/>
      <c r="EN297" s="4"/>
      <c r="EO297" s="4"/>
      <c r="EP297" s="5"/>
      <c r="EQ297" s="5"/>
      <c r="ER297" s="99"/>
      <c r="ES297" s="159"/>
      <c r="ET297" s="99"/>
      <c r="EU297" s="99"/>
      <c r="EV297" s="99"/>
      <c r="EW297" s="159"/>
      <c r="EX297" s="99"/>
      <c r="EY297" s="99"/>
      <c r="EZ297" s="175"/>
    </row>
    <row r="298" spans="27:156">
      <c r="AA298" s="18"/>
      <c r="AB298" s="18"/>
      <c r="AC298" s="18"/>
      <c r="AD298" s="19"/>
      <c r="AE298" s="19"/>
      <c r="AI298" s="18"/>
      <c r="AJ298" s="7"/>
      <c r="AK298" s="7"/>
      <c r="AL298" s="7"/>
      <c r="AM298" s="7"/>
      <c r="AN298" s="7"/>
      <c r="AO298" s="7"/>
      <c r="AP298" s="7"/>
      <c r="AQ298" s="7"/>
      <c r="AR298" s="7"/>
      <c r="AS298" s="7"/>
      <c r="AT298" s="7"/>
      <c r="AU298" s="7"/>
      <c r="AV298" s="7"/>
      <c r="AW298" s="7"/>
      <c r="AX298" s="7"/>
      <c r="AY298" s="7"/>
      <c r="AZ298" s="7"/>
      <c r="BA298" s="18"/>
      <c r="BG298" s="140"/>
      <c r="BH298" s="131"/>
      <c r="BI298" s="102"/>
      <c r="BJ298" s="102"/>
      <c r="BK298" s="102"/>
      <c r="BL298" s="102"/>
      <c r="BM298" s="99"/>
      <c r="BN298" s="4"/>
      <c r="BO298" s="4"/>
      <c r="BP298" s="5"/>
      <c r="BQ298" s="5"/>
      <c r="BR298" s="99"/>
      <c r="BS298" s="159"/>
      <c r="BT298" s="99"/>
      <c r="BU298" s="99"/>
      <c r="BV298" s="99"/>
      <c r="BW298" s="159"/>
      <c r="BX298" s="99"/>
      <c r="BY298" s="99"/>
      <c r="BZ298" s="159"/>
      <c r="DA298" s="174"/>
      <c r="DB298" s="18"/>
      <c r="DC298" s="18"/>
      <c r="DD298" s="19"/>
      <c r="DE298" s="19"/>
      <c r="DI298" s="18"/>
      <c r="DJ298" s="7"/>
      <c r="DK298" s="7"/>
      <c r="DL298" s="7"/>
      <c r="DM298" s="7"/>
      <c r="DN298" s="7"/>
      <c r="DO298" s="7"/>
      <c r="DP298" s="7"/>
      <c r="DQ298" s="7"/>
      <c r="DR298" s="7"/>
      <c r="DS298" s="7"/>
      <c r="DT298" s="7"/>
      <c r="DU298" s="7"/>
      <c r="DV298" s="7"/>
      <c r="DW298" s="7"/>
      <c r="DX298" s="7"/>
      <c r="DY298" s="7"/>
      <c r="DZ298" s="7"/>
      <c r="EA298" s="161"/>
      <c r="EG298" s="140"/>
      <c r="EH298" s="131"/>
      <c r="EI298" s="102"/>
      <c r="EJ298" s="102"/>
      <c r="EK298" s="102"/>
      <c r="EL298" s="102"/>
      <c r="EM298" s="99"/>
      <c r="EN298" s="4"/>
      <c r="EO298" s="4"/>
      <c r="EP298" s="5"/>
      <c r="EQ298" s="5"/>
      <c r="ER298" s="99"/>
      <c r="ES298" s="159"/>
      <c r="ET298" s="99"/>
      <c r="EU298" s="99"/>
      <c r="EV298" s="99"/>
      <c r="EW298" s="159"/>
      <c r="EX298" s="99"/>
      <c r="EY298" s="99"/>
      <c r="EZ298" s="175"/>
    </row>
    <row r="299" spans="27:156">
      <c r="AA299" s="18"/>
      <c r="AB299" s="18"/>
      <c r="AC299" s="18"/>
      <c r="AD299" s="19"/>
      <c r="AE299" s="19"/>
      <c r="AI299" s="18"/>
      <c r="AJ299" s="7"/>
      <c r="AK299" s="7"/>
      <c r="AL299" s="7"/>
      <c r="AM299" s="7"/>
      <c r="AN299" s="7"/>
      <c r="AO299" s="7"/>
      <c r="AP299" s="7"/>
      <c r="AQ299" s="7"/>
      <c r="AR299" s="7"/>
      <c r="AS299" s="7"/>
      <c r="AT299" s="7"/>
      <c r="AU299" s="7"/>
      <c r="AV299" s="7"/>
      <c r="AW299" s="7"/>
      <c r="AX299" s="7"/>
      <c r="AY299" s="7"/>
      <c r="AZ299" s="7"/>
      <c r="BA299" s="18"/>
      <c r="BG299" s="140"/>
      <c r="BH299" s="131"/>
      <c r="BI299" s="102"/>
      <c r="BJ299" s="102"/>
      <c r="BK299" s="102"/>
      <c r="BL299" s="102"/>
      <c r="BM299" s="99"/>
      <c r="BN299" s="4"/>
      <c r="BO299" s="4"/>
      <c r="BP299" s="5"/>
      <c r="BQ299" s="5"/>
      <c r="BR299" s="99"/>
      <c r="BS299" s="159"/>
      <c r="BT299" s="99"/>
      <c r="BU299" s="99"/>
      <c r="BV299" s="99"/>
      <c r="BW299" s="159"/>
      <c r="BX299" s="99"/>
      <c r="BY299" s="99"/>
      <c r="BZ299" s="159"/>
      <c r="DA299" s="174"/>
      <c r="DB299" s="18"/>
      <c r="DC299" s="18"/>
      <c r="DD299" s="19"/>
      <c r="DE299" s="19"/>
      <c r="DI299" s="18"/>
      <c r="DJ299" s="7"/>
      <c r="DK299" s="7"/>
      <c r="DL299" s="7"/>
      <c r="DM299" s="7"/>
      <c r="DN299" s="7"/>
      <c r="DO299" s="7"/>
      <c r="DP299" s="7"/>
      <c r="DQ299" s="7"/>
      <c r="DR299" s="7"/>
      <c r="DS299" s="7"/>
      <c r="DT299" s="7"/>
      <c r="DU299" s="7"/>
      <c r="DV299" s="7"/>
      <c r="DW299" s="7"/>
      <c r="DX299" s="7"/>
      <c r="DY299" s="7"/>
      <c r="DZ299" s="7"/>
      <c r="EA299" s="161"/>
      <c r="EG299" s="140"/>
      <c r="EH299" s="131"/>
      <c r="EI299" s="102"/>
      <c r="EJ299" s="102"/>
      <c r="EK299" s="102"/>
      <c r="EL299" s="102"/>
      <c r="EM299" s="99"/>
      <c r="EN299" s="4"/>
      <c r="EO299" s="4"/>
      <c r="EP299" s="5"/>
      <c r="EQ299" s="5"/>
      <c r="ER299" s="99"/>
      <c r="ES299" s="159"/>
      <c r="ET299" s="99"/>
      <c r="EU299" s="99"/>
      <c r="EV299" s="99"/>
      <c r="EW299" s="159"/>
      <c r="EX299" s="99"/>
      <c r="EY299" s="99"/>
      <c r="EZ299" s="175"/>
    </row>
    <row r="300" spans="27:156">
      <c r="AA300" s="18"/>
      <c r="AB300" s="18"/>
      <c r="AC300" s="18"/>
      <c r="AD300" s="19"/>
      <c r="AE300" s="19"/>
      <c r="AI300" s="18"/>
      <c r="AJ300" s="7"/>
      <c r="AK300" s="7"/>
      <c r="AL300" s="7"/>
      <c r="AM300" s="7"/>
      <c r="AN300" s="7"/>
      <c r="AO300" s="7"/>
      <c r="AP300" s="7"/>
      <c r="AQ300" s="7"/>
      <c r="AR300" s="7"/>
      <c r="AS300" s="7"/>
      <c r="AT300" s="7"/>
      <c r="AU300" s="7"/>
      <c r="AV300" s="7"/>
      <c r="AW300" s="7"/>
      <c r="AX300" s="7"/>
      <c r="AY300" s="7"/>
      <c r="AZ300" s="7"/>
      <c r="BA300" s="18"/>
      <c r="BG300" s="140"/>
      <c r="BH300" s="131"/>
      <c r="BI300" s="102"/>
      <c r="BJ300" s="102"/>
      <c r="BK300" s="102"/>
      <c r="BL300" s="102"/>
      <c r="BM300" s="99"/>
      <c r="BN300" s="4"/>
      <c r="BO300" s="4"/>
      <c r="BP300" s="5"/>
      <c r="BQ300" s="5"/>
      <c r="BR300" s="99"/>
      <c r="BS300" s="159"/>
      <c r="BT300" s="99"/>
      <c r="BU300" s="99"/>
      <c r="BV300" s="99"/>
      <c r="BW300" s="159"/>
      <c r="BX300" s="99"/>
      <c r="BY300" s="99"/>
      <c r="BZ300" s="159"/>
      <c r="DA300" s="174"/>
      <c r="DB300" s="18"/>
      <c r="DC300" s="18"/>
      <c r="DD300" s="19"/>
      <c r="DE300" s="19"/>
      <c r="DI300" s="18"/>
      <c r="DJ300" s="7"/>
      <c r="DK300" s="7"/>
      <c r="DL300" s="7"/>
      <c r="DM300" s="7"/>
      <c r="DN300" s="7"/>
      <c r="DO300" s="7"/>
      <c r="DP300" s="7"/>
      <c r="DQ300" s="7"/>
      <c r="DR300" s="7"/>
      <c r="DS300" s="7"/>
      <c r="DT300" s="7"/>
      <c r="DU300" s="7"/>
      <c r="DV300" s="7"/>
      <c r="DW300" s="7"/>
      <c r="DX300" s="7"/>
      <c r="DY300" s="7"/>
      <c r="DZ300" s="7"/>
      <c r="EA300" s="161"/>
      <c r="EG300" s="140"/>
      <c r="EH300" s="131"/>
      <c r="EI300" s="102"/>
      <c r="EJ300" s="102"/>
      <c r="EK300" s="102"/>
      <c r="EL300" s="102"/>
      <c r="EM300" s="99"/>
      <c r="EN300" s="4"/>
      <c r="EO300" s="4"/>
      <c r="EP300" s="5"/>
      <c r="EQ300" s="5"/>
      <c r="ER300" s="99"/>
      <c r="ES300" s="159"/>
      <c r="ET300" s="99"/>
      <c r="EU300" s="99"/>
      <c r="EV300" s="99"/>
      <c r="EW300" s="159"/>
      <c r="EX300" s="99"/>
      <c r="EY300" s="99"/>
      <c r="EZ300" s="175"/>
    </row>
    <row r="301" spans="27:156">
      <c r="AA301" s="18"/>
      <c r="AB301" s="18"/>
      <c r="AC301" s="18"/>
      <c r="AD301" s="19"/>
      <c r="AE301" s="19"/>
      <c r="AI301" s="18"/>
      <c r="AJ301" s="7"/>
      <c r="AK301" s="7"/>
      <c r="AL301" s="7"/>
      <c r="AM301" s="7"/>
      <c r="AN301" s="7"/>
      <c r="AO301" s="7"/>
      <c r="AP301" s="7"/>
      <c r="AQ301" s="7"/>
      <c r="AR301" s="7"/>
      <c r="AS301" s="7"/>
      <c r="AT301" s="7"/>
      <c r="AU301" s="7"/>
      <c r="AV301" s="7"/>
      <c r="AW301" s="7"/>
      <c r="AX301" s="7"/>
      <c r="AY301" s="7"/>
      <c r="AZ301" s="7"/>
      <c r="BA301" s="18"/>
      <c r="BG301" s="140"/>
      <c r="BH301" s="131"/>
      <c r="BI301" s="102"/>
      <c r="BJ301" s="102"/>
      <c r="BK301" s="102"/>
      <c r="BL301" s="102"/>
      <c r="BM301" s="99"/>
      <c r="BN301" s="4"/>
      <c r="BO301" s="4"/>
      <c r="BP301" s="5"/>
      <c r="BQ301" s="5"/>
      <c r="BR301" s="99"/>
      <c r="BS301" s="159"/>
      <c r="BT301" s="99"/>
      <c r="BU301" s="99"/>
      <c r="BV301" s="99"/>
      <c r="BW301" s="159"/>
      <c r="BX301" s="99"/>
      <c r="BY301" s="99"/>
      <c r="BZ301" s="159"/>
      <c r="DA301" s="174"/>
      <c r="DB301" s="18"/>
      <c r="DC301" s="18"/>
      <c r="DD301" s="19"/>
      <c r="DE301" s="19"/>
      <c r="DI301" s="18"/>
      <c r="DJ301" s="7"/>
      <c r="DK301" s="7"/>
      <c r="DL301" s="7"/>
      <c r="DM301" s="7"/>
      <c r="DN301" s="7"/>
      <c r="DO301" s="7"/>
      <c r="DP301" s="7"/>
      <c r="DQ301" s="7"/>
      <c r="DR301" s="7"/>
      <c r="DS301" s="7"/>
      <c r="DT301" s="7"/>
      <c r="DU301" s="7"/>
      <c r="DV301" s="7"/>
      <c r="DW301" s="7"/>
      <c r="DX301" s="7"/>
      <c r="DY301" s="7"/>
      <c r="DZ301" s="7"/>
      <c r="EA301" s="161"/>
      <c r="EG301" s="140"/>
      <c r="EH301" s="131"/>
      <c r="EI301" s="102"/>
      <c r="EJ301" s="102"/>
      <c r="EK301" s="102"/>
      <c r="EL301" s="102"/>
      <c r="EM301" s="99"/>
      <c r="EN301" s="4"/>
      <c r="EO301" s="4"/>
      <c r="EP301" s="5"/>
      <c r="EQ301" s="5"/>
      <c r="ER301" s="99"/>
      <c r="ES301" s="159"/>
      <c r="ET301" s="99"/>
      <c r="EU301" s="99"/>
      <c r="EV301" s="99"/>
      <c r="EW301" s="159"/>
      <c r="EX301" s="99"/>
      <c r="EY301" s="99"/>
      <c r="EZ301" s="175"/>
    </row>
    <row r="302" spans="27:156">
      <c r="AA302" s="18"/>
      <c r="AB302" s="18"/>
      <c r="AC302" s="18"/>
      <c r="AD302" s="19"/>
      <c r="AE302" s="19"/>
      <c r="AI302" s="18"/>
      <c r="AJ302" s="7"/>
      <c r="AK302" s="7"/>
      <c r="AL302" s="7"/>
      <c r="AM302" s="7"/>
      <c r="AN302" s="7"/>
      <c r="AO302" s="7"/>
      <c r="AP302" s="7"/>
      <c r="AQ302" s="7"/>
      <c r="AR302" s="7"/>
      <c r="AS302" s="7"/>
      <c r="AT302" s="7"/>
      <c r="AU302" s="7"/>
      <c r="AV302" s="7"/>
      <c r="AW302" s="7"/>
      <c r="AX302" s="7"/>
      <c r="AY302" s="7"/>
      <c r="AZ302" s="7"/>
      <c r="BA302" s="18"/>
      <c r="BG302" s="140"/>
      <c r="BH302" s="131"/>
      <c r="BI302" s="102"/>
      <c r="BJ302" s="102"/>
      <c r="BK302" s="102"/>
      <c r="BL302" s="102"/>
      <c r="BM302" s="99"/>
      <c r="BN302" s="4"/>
      <c r="BO302" s="4"/>
      <c r="BP302" s="5"/>
      <c r="BQ302" s="5"/>
      <c r="BR302" s="99"/>
      <c r="BS302" s="159"/>
      <c r="BT302" s="99"/>
      <c r="BU302" s="99"/>
      <c r="BV302" s="99"/>
      <c r="BW302" s="159"/>
      <c r="BX302" s="99"/>
      <c r="BY302" s="99"/>
      <c r="BZ302" s="159"/>
      <c r="DA302" s="174"/>
      <c r="DB302" s="18"/>
      <c r="DC302" s="18"/>
      <c r="DD302" s="19"/>
      <c r="DE302" s="19"/>
      <c r="DI302" s="18"/>
      <c r="DJ302" s="7"/>
      <c r="DK302" s="7"/>
      <c r="DL302" s="7"/>
      <c r="DM302" s="7"/>
      <c r="DN302" s="7"/>
      <c r="DO302" s="7"/>
      <c r="DP302" s="7"/>
      <c r="DQ302" s="7"/>
      <c r="DR302" s="7"/>
      <c r="DS302" s="7"/>
      <c r="DT302" s="7"/>
      <c r="DU302" s="7"/>
      <c r="DV302" s="7"/>
      <c r="DW302" s="7"/>
      <c r="DX302" s="7"/>
      <c r="DY302" s="7"/>
      <c r="DZ302" s="7"/>
      <c r="EA302" s="161"/>
      <c r="EG302" s="140"/>
      <c r="EH302" s="131"/>
      <c r="EI302" s="102"/>
      <c r="EJ302" s="102"/>
      <c r="EK302" s="102"/>
      <c r="EL302" s="102"/>
      <c r="EM302" s="99"/>
      <c r="EN302" s="4"/>
      <c r="EO302" s="4"/>
      <c r="EP302" s="5"/>
      <c r="EQ302" s="5"/>
      <c r="ER302" s="99"/>
      <c r="ES302" s="159"/>
      <c r="ET302" s="99"/>
      <c r="EU302" s="99"/>
      <c r="EV302" s="99"/>
      <c r="EW302" s="159"/>
      <c r="EX302" s="99"/>
      <c r="EY302" s="99"/>
      <c r="EZ302" s="175"/>
    </row>
    <row r="303" spans="27:156">
      <c r="AA303" s="18"/>
      <c r="AB303" s="18"/>
      <c r="AC303" s="18"/>
      <c r="AD303" s="19"/>
      <c r="AE303" s="19"/>
      <c r="AI303" s="18"/>
      <c r="AJ303" s="7"/>
      <c r="AK303" s="7"/>
      <c r="AL303" s="7"/>
      <c r="AM303" s="7"/>
      <c r="AN303" s="7"/>
      <c r="AO303" s="7"/>
      <c r="AP303" s="7"/>
      <c r="AQ303" s="7"/>
      <c r="AR303" s="7"/>
      <c r="AS303" s="7"/>
      <c r="AT303" s="7"/>
      <c r="AU303" s="7"/>
      <c r="AV303" s="7"/>
      <c r="AW303" s="7"/>
      <c r="AX303" s="7"/>
      <c r="AY303" s="7"/>
      <c r="AZ303" s="7"/>
      <c r="BA303" s="18"/>
      <c r="BG303" s="140"/>
      <c r="BH303" s="131"/>
      <c r="BI303" s="102"/>
      <c r="BJ303" s="102"/>
      <c r="BK303" s="102"/>
      <c r="BL303" s="102"/>
      <c r="BM303" s="99"/>
      <c r="BN303" s="4"/>
      <c r="BO303" s="4"/>
      <c r="BP303" s="5"/>
      <c r="BQ303" s="5"/>
      <c r="BR303" s="99"/>
      <c r="BS303" s="159"/>
      <c r="BT303" s="99"/>
      <c r="BU303" s="99"/>
      <c r="BV303" s="99"/>
      <c r="BW303" s="159"/>
      <c r="BX303" s="99"/>
      <c r="BY303" s="99"/>
      <c r="BZ303" s="159"/>
      <c r="DA303" s="174"/>
      <c r="DB303" s="18"/>
      <c r="DC303" s="18"/>
      <c r="DD303" s="19"/>
      <c r="DE303" s="19"/>
      <c r="DI303" s="18"/>
      <c r="DJ303" s="7"/>
      <c r="DK303" s="7"/>
      <c r="DL303" s="7"/>
      <c r="DM303" s="7"/>
      <c r="DN303" s="7"/>
      <c r="DO303" s="7"/>
      <c r="DP303" s="7"/>
      <c r="DQ303" s="7"/>
      <c r="DR303" s="7"/>
      <c r="DS303" s="7"/>
      <c r="DT303" s="7"/>
      <c r="DU303" s="7"/>
      <c r="DV303" s="7"/>
      <c r="DW303" s="7"/>
      <c r="DX303" s="7"/>
      <c r="DY303" s="7"/>
      <c r="DZ303" s="7"/>
      <c r="EA303" s="161"/>
      <c r="EG303" s="140"/>
      <c r="EH303" s="131"/>
      <c r="EI303" s="102"/>
      <c r="EJ303" s="102"/>
      <c r="EK303" s="102"/>
      <c r="EL303" s="102"/>
      <c r="EM303" s="99"/>
      <c r="EN303" s="4"/>
      <c r="EO303" s="4"/>
      <c r="EP303" s="5"/>
      <c r="EQ303" s="5"/>
      <c r="ER303" s="99"/>
      <c r="ES303" s="159"/>
      <c r="ET303" s="99"/>
      <c r="EU303" s="99"/>
      <c r="EV303" s="99"/>
      <c r="EW303" s="159"/>
      <c r="EX303" s="99"/>
      <c r="EY303" s="99"/>
      <c r="EZ303" s="175"/>
    </row>
    <row r="304" spans="27:156">
      <c r="AA304" s="18"/>
      <c r="AB304" s="18"/>
      <c r="AC304" s="18"/>
      <c r="AD304" s="19"/>
      <c r="AE304" s="19"/>
      <c r="AI304" s="18"/>
      <c r="AJ304" s="7"/>
      <c r="AK304" s="7"/>
      <c r="AL304" s="7"/>
      <c r="AM304" s="7"/>
      <c r="AN304" s="7"/>
      <c r="AO304" s="7"/>
      <c r="AP304" s="7"/>
      <c r="AQ304" s="7"/>
      <c r="AR304" s="7"/>
      <c r="AS304" s="7"/>
      <c r="AT304" s="7"/>
      <c r="AU304" s="7"/>
      <c r="AV304" s="7"/>
      <c r="AW304" s="7"/>
      <c r="AX304" s="7"/>
      <c r="AY304" s="7"/>
      <c r="AZ304" s="7"/>
      <c r="BA304" s="18"/>
      <c r="BG304" s="140"/>
      <c r="BH304" s="131"/>
      <c r="BI304" s="102"/>
      <c r="BJ304" s="102"/>
      <c r="BK304" s="102"/>
      <c r="BL304" s="102"/>
      <c r="BM304" s="99"/>
      <c r="BN304" s="4"/>
      <c r="BO304" s="4"/>
      <c r="BP304" s="5"/>
      <c r="BQ304" s="5"/>
      <c r="BR304" s="99"/>
      <c r="BS304" s="159"/>
      <c r="BT304" s="99"/>
      <c r="BU304" s="99"/>
      <c r="BV304" s="99"/>
      <c r="BW304" s="159"/>
      <c r="BX304" s="99"/>
      <c r="BY304" s="99"/>
      <c r="BZ304" s="159"/>
      <c r="DA304" s="174"/>
      <c r="DB304" s="18"/>
      <c r="DC304" s="18"/>
      <c r="DD304" s="19"/>
      <c r="DE304" s="19"/>
      <c r="DI304" s="18"/>
      <c r="DJ304" s="7"/>
      <c r="DK304" s="7"/>
      <c r="DL304" s="7"/>
      <c r="DM304" s="7"/>
      <c r="DN304" s="7"/>
      <c r="DO304" s="7"/>
      <c r="DP304" s="7"/>
      <c r="DQ304" s="7"/>
      <c r="DR304" s="7"/>
      <c r="DS304" s="7"/>
      <c r="DT304" s="7"/>
      <c r="DU304" s="7"/>
      <c r="DV304" s="7"/>
      <c r="DW304" s="7"/>
      <c r="DX304" s="7"/>
      <c r="DY304" s="7"/>
      <c r="DZ304" s="7"/>
      <c r="EA304" s="161"/>
      <c r="EG304" s="140"/>
      <c r="EH304" s="131"/>
      <c r="EI304" s="102"/>
      <c r="EJ304" s="102"/>
      <c r="EK304" s="102"/>
      <c r="EL304" s="102"/>
      <c r="EM304" s="99"/>
      <c r="EN304" s="4"/>
      <c r="EO304" s="4"/>
      <c r="EP304" s="5"/>
      <c r="EQ304" s="5"/>
      <c r="ER304" s="99"/>
      <c r="ES304" s="159"/>
      <c r="ET304" s="99"/>
      <c r="EU304" s="99"/>
      <c r="EV304" s="99"/>
      <c r="EW304" s="159"/>
      <c r="EX304" s="99"/>
      <c r="EY304" s="99"/>
      <c r="EZ304" s="175"/>
    </row>
    <row r="305" spans="27:156">
      <c r="AA305" s="18"/>
      <c r="AB305" s="18"/>
      <c r="AC305" s="18"/>
      <c r="AD305" s="19"/>
      <c r="AE305" s="19"/>
      <c r="AI305" s="18"/>
      <c r="AJ305" s="7"/>
      <c r="AK305" s="7"/>
      <c r="AL305" s="7"/>
      <c r="AM305" s="7"/>
      <c r="AN305" s="7"/>
      <c r="AO305" s="7"/>
      <c r="AP305" s="7"/>
      <c r="AQ305" s="7"/>
      <c r="AR305" s="7"/>
      <c r="AS305" s="7"/>
      <c r="AT305" s="7"/>
      <c r="AU305" s="7"/>
      <c r="AV305" s="7"/>
      <c r="AW305" s="7"/>
      <c r="AX305" s="7"/>
      <c r="AY305" s="7"/>
      <c r="AZ305" s="7"/>
      <c r="BA305" s="18"/>
      <c r="BG305" s="140"/>
      <c r="BH305" s="131"/>
      <c r="BI305" s="102"/>
      <c r="BJ305" s="102"/>
      <c r="BK305" s="102"/>
      <c r="BL305" s="102"/>
      <c r="BM305" s="99"/>
      <c r="BN305" s="4"/>
      <c r="BO305" s="4"/>
      <c r="BP305" s="5"/>
      <c r="BQ305" s="5"/>
      <c r="BR305" s="99"/>
      <c r="BS305" s="159"/>
      <c r="BT305" s="99"/>
      <c r="BU305" s="99"/>
      <c r="BV305" s="99"/>
      <c r="BW305" s="159"/>
      <c r="BX305" s="99"/>
      <c r="BY305" s="99"/>
      <c r="BZ305" s="159"/>
      <c r="DA305" s="174"/>
      <c r="DB305" s="18"/>
      <c r="DC305" s="18"/>
      <c r="DD305" s="19"/>
      <c r="DE305" s="19"/>
      <c r="DI305" s="18"/>
      <c r="DJ305" s="7"/>
      <c r="DK305" s="7"/>
      <c r="DL305" s="7"/>
      <c r="DM305" s="7"/>
      <c r="DN305" s="7"/>
      <c r="DO305" s="7"/>
      <c r="DP305" s="7"/>
      <c r="DQ305" s="7"/>
      <c r="DR305" s="7"/>
      <c r="DS305" s="7"/>
      <c r="DT305" s="7"/>
      <c r="DU305" s="7"/>
      <c r="DV305" s="7"/>
      <c r="DW305" s="7"/>
      <c r="DX305" s="7"/>
      <c r="DY305" s="7"/>
      <c r="DZ305" s="7"/>
      <c r="EA305" s="161"/>
      <c r="EG305" s="140"/>
      <c r="EH305" s="131"/>
      <c r="EI305" s="102"/>
      <c r="EJ305" s="102"/>
      <c r="EK305" s="102"/>
      <c r="EL305" s="102"/>
      <c r="EM305" s="99"/>
      <c r="EN305" s="4"/>
      <c r="EO305" s="4"/>
      <c r="EP305" s="5"/>
      <c r="EQ305" s="5"/>
      <c r="ER305" s="99"/>
      <c r="ES305" s="159"/>
      <c r="ET305" s="99"/>
      <c r="EU305" s="99"/>
      <c r="EV305" s="99"/>
      <c r="EW305" s="159"/>
      <c r="EX305" s="99"/>
      <c r="EY305" s="99"/>
      <c r="EZ305" s="175"/>
    </row>
    <row r="306" spans="27:156">
      <c r="AA306" s="18"/>
      <c r="AB306" s="18"/>
      <c r="AC306" s="18"/>
      <c r="AD306" s="19"/>
      <c r="AE306" s="19"/>
      <c r="AI306" s="18"/>
      <c r="AJ306" s="7"/>
      <c r="AK306" s="7"/>
      <c r="AL306" s="7"/>
      <c r="AM306" s="7"/>
      <c r="AN306" s="7"/>
      <c r="AO306" s="7"/>
      <c r="AP306" s="7"/>
      <c r="AQ306" s="7"/>
      <c r="AR306" s="7"/>
      <c r="AS306" s="7"/>
      <c r="AT306" s="7"/>
      <c r="AU306" s="7"/>
      <c r="AV306" s="7"/>
      <c r="AW306" s="7"/>
      <c r="AX306" s="7"/>
      <c r="AY306" s="7"/>
      <c r="AZ306" s="7"/>
      <c r="BA306" s="18"/>
      <c r="BG306" s="140"/>
      <c r="BH306" s="131"/>
      <c r="BI306" s="102"/>
      <c r="BJ306" s="102"/>
      <c r="BK306" s="102"/>
      <c r="BL306" s="102"/>
      <c r="BM306" s="99"/>
      <c r="BN306" s="4"/>
      <c r="BO306" s="4"/>
      <c r="BP306" s="5"/>
      <c r="BQ306" s="5"/>
      <c r="BR306" s="99"/>
      <c r="BS306" s="159"/>
      <c r="BT306" s="99"/>
      <c r="BU306" s="99"/>
      <c r="BV306" s="99"/>
      <c r="BW306" s="159"/>
      <c r="BX306" s="99"/>
      <c r="BY306" s="99"/>
      <c r="BZ306" s="159"/>
      <c r="DA306" s="174"/>
      <c r="DB306" s="18"/>
      <c r="DC306" s="18"/>
      <c r="DD306" s="19"/>
      <c r="DE306" s="19"/>
      <c r="DI306" s="18"/>
      <c r="DJ306" s="7"/>
      <c r="DK306" s="7"/>
      <c r="DL306" s="7"/>
      <c r="DM306" s="7"/>
      <c r="DN306" s="7"/>
      <c r="DO306" s="7"/>
      <c r="DP306" s="7"/>
      <c r="DQ306" s="7"/>
      <c r="DR306" s="7"/>
      <c r="DS306" s="7"/>
      <c r="DT306" s="7"/>
      <c r="DU306" s="7"/>
      <c r="DV306" s="7"/>
      <c r="DW306" s="7"/>
      <c r="DX306" s="7"/>
      <c r="DY306" s="7"/>
      <c r="DZ306" s="7"/>
      <c r="EA306" s="161"/>
      <c r="EG306" s="140"/>
      <c r="EH306" s="131"/>
      <c r="EI306" s="102"/>
      <c r="EJ306" s="102"/>
      <c r="EK306" s="102"/>
      <c r="EL306" s="102"/>
      <c r="EM306" s="99"/>
      <c r="EN306" s="4"/>
      <c r="EO306" s="4"/>
      <c r="EP306" s="5"/>
      <c r="EQ306" s="5"/>
      <c r="ER306" s="99"/>
      <c r="ES306" s="159"/>
      <c r="ET306" s="99"/>
      <c r="EU306" s="99"/>
      <c r="EV306" s="99"/>
      <c r="EW306" s="159"/>
      <c r="EX306" s="99"/>
      <c r="EY306" s="99"/>
      <c r="EZ306" s="175"/>
    </row>
    <row r="307" spans="27:156">
      <c r="AA307" s="18"/>
      <c r="AB307" s="18"/>
      <c r="AC307" s="18"/>
      <c r="AD307" s="19"/>
      <c r="AE307" s="19"/>
      <c r="AI307" s="18"/>
      <c r="AJ307" s="7"/>
      <c r="AK307" s="7"/>
      <c r="AL307" s="7"/>
      <c r="AM307" s="7"/>
      <c r="AN307" s="7"/>
      <c r="AO307" s="7"/>
      <c r="AP307" s="7"/>
      <c r="AQ307" s="7"/>
      <c r="AR307" s="7"/>
      <c r="AS307" s="7"/>
      <c r="AT307" s="7"/>
      <c r="AU307" s="7"/>
      <c r="AV307" s="7"/>
      <c r="AW307" s="7"/>
      <c r="AX307" s="7"/>
      <c r="AY307" s="7"/>
      <c r="AZ307" s="7"/>
      <c r="BA307" s="18"/>
      <c r="BG307" s="140"/>
      <c r="BH307" s="131"/>
      <c r="BI307" s="102"/>
      <c r="BJ307" s="102"/>
      <c r="BK307" s="102"/>
      <c r="BL307" s="102"/>
      <c r="BM307" s="99"/>
      <c r="BN307" s="4"/>
      <c r="BO307" s="4"/>
      <c r="BP307" s="5"/>
      <c r="BQ307" s="5"/>
      <c r="BR307" s="99"/>
      <c r="BS307" s="159"/>
      <c r="BT307" s="99"/>
      <c r="BU307" s="99"/>
      <c r="BV307" s="99"/>
      <c r="BW307" s="159"/>
      <c r="BX307" s="99"/>
      <c r="BY307" s="99"/>
      <c r="BZ307" s="159"/>
      <c r="DA307" s="174"/>
      <c r="DB307" s="18"/>
      <c r="DC307" s="18"/>
      <c r="DD307" s="19"/>
      <c r="DE307" s="19"/>
      <c r="DI307" s="18"/>
      <c r="DJ307" s="7"/>
      <c r="DK307" s="7"/>
      <c r="DL307" s="7"/>
      <c r="DM307" s="7"/>
      <c r="DN307" s="7"/>
      <c r="DO307" s="7"/>
      <c r="DP307" s="7"/>
      <c r="DQ307" s="7"/>
      <c r="DR307" s="7"/>
      <c r="DS307" s="7"/>
      <c r="DT307" s="7"/>
      <c r="DU307" s="7"/>
      <c r="DV307" s="7"/>
      <c r="DW307" s="7"/>
      <c r="DX307" s="7"/>
      <c r="DY307" s="7"/>
      <c r="DZ307" s="7"/>
      <c r="EA307" s="161"/>
      <c r="EG307" s="140"/>
      <c r="EH307" s="131"/>
      <c r="EI307" s="102"/>
      <c r="EJ307" s="102"/>
      <c r="EK307" s="102"/>
      <c r="EL307" s="102"/>
      <c r="EM307" s="99"/>
      <c r="EN307" s="4"/>
      <c r="EO307" s="4"/>
      <c r="EP307" s="5"/>
      <c r="EQ307" s="5"/>
      <c r="ER307" s="99"/>
      <c r="ES307" s="159"/>
      <c r="ET307" s="99"/>
      <c r="EU307" s="99"/>
      <c r="EV307" s="99"/>
      <c r="EW307" s="159"/>
      <c r="EX307" s="99"/>
      <c r="EY307" s="99"/>
      <c r="EZ307" s="175"/>
    </row>
    <row r="308" spans="27:156">
      <c r="AA308" s="18"/>
      <c r="AB308" s="18"/>
      <c r="AC308" s="18"/>
      <c r="AD308" s="19"/>
      <c r="AE308" s="19"/>
      <c r="AI308" s="18"/>
      <c r="AJ308" s="7"/>
      <c r="AK308" s="7"/>
      <c r="AL308" s="7"/>
      <c r="AM308" s="7"/>
      <c r="AN308" s="7"/>
      <c r="AO308" s="7"/>
      <c r="AP308" s="7"/>
      <c r="AQ308" s="7"/>
      <c r="AR308" s="7"/>
      <c r="AS308" s="7"/>
      <c r="AT308" s="7"/>
      <c r="AU308" s="7"/>
      <c r="AV308" s="7"/>
      <c r="AW308" s="7"/>
      <c r="AX308" s="7"/>
      <c r="AY308" s="7"/>
      <c r="AZ308" s="7"/>
      <c r="BA308" s="18"/>
      <c r="BG308" s="140"/>
      <c r="BH308" s="131"/>
      <c r="BI308" s="102"/>
      <c r="BJ308" s="102"/>
      <c r="BK308" s="102"/>
      <c r="BL308" s="102"/>
      <c r="BM308" s="99"/>
      <c r="BN308" s="4"/>
      <c r="BO308" s="4"/>
      <c r="BP308" s="5"/>
      <c r="BQ308" s="5"/>
      <c r="BR308" s="99"/>
      <c r="BS308" s="159"/>
      <c r="BT308" s="99"/>
      <c r="BU308" s="99"/>
      <c r="BV308" s="99"/>
      <c r="BW308" s="159"/>
      <c r="BX308" s="99"/>
      <c r="BY308" s="99"/>
      <c r="BZ308" s="159"/>
      <c r="DA308" s="174"/>
      <c r="DB308" s="18"/>
      <c r="DC308" s="18"/>
      <c r="DD308" s="19"/>
      <c r="DE308" s="19"/>
      <c r="DI308" s="18"/>
      <c r="DJ308" s="7"/>
      <c r="DK308" s="7"/>
      <c r="DL308" s="7"/>
      <c r="DM308" s="7"/>
      <c r="DN308" s="7"/>
      <c r="DO308" s="7"/>
      <c r="DP308" s="7"/>
      <c r="DQ308" s="7"/>
      <c r="DR308" s="7"/>
      <c r="DS308" s="7"/>
      <c r="DT308" s="7"/>
      <c r="DU308" s="7"/>
      <c r="DV308" s="7"/>
      <c r="DW308" s="7"/>
      <c r="DX308" s="7"/>
      <c r="DY308" s="7"/>
      <c r="DZ308" s="7"/>
      <c r="EA308" s="161"/>
      <c r="EG308" s="140"/>
      <c r="EH308" s="131"/>
      <c r="EI308" s="102"/>
      <c r="EJ308" s="102"/>
      <c r="EK308" s="102"/>
      <c r="EL308" s="102"/>
      <c r="EM308" s="99"/>
      <c r="EN308" s="4"/>
      <c r="EO308" s="4"/>
      <c r="EP308" s="5"/>
      <c r="EQ308" s="5"/>
      <c r="ER308" s="99"/>
      <c r="ES308" s="159"/>
      <c r="ET308" s="99"/>
      <c r="EU308" s="99"/>
      <c r="EV308" s="99"/>
      <c r="EW308" s="159"/>
      <c r="EX308" s="99"/>
      <c r="EY308" s="99"/>
      <c r="EZ308" s="175"/>
    </row>
    <row r="309" spans="27:156">
      <c r="AA309" s="18"/>
      <c r="AB309" s="18"/>
      <c r="AC309" s="18"/>
      <c r="AD309" s="19"/>
      <c r="AE309" s="19"/>
      <c r="AI309" s="18"/>
      <c r="AJ309" s="7"/>
      <c r="AK309" s="7"/>
      <c r="AL309" s="7"/>
      <c r="AM309" s="7"/>
      <c r="AN309" s="7"/>
      <c r="AO309" s="7"/>
      <c r="AP309" s="7"/>
      <c r="AQ309" s="7"/>
      <c r="AR309" s="7"/>
      <c r="AS309" s="7"/>
      <c r="AT309" s="7"/>
      <c r="AU309" s="7"/>
      <c r="AV309" s="7"/>
      <c r="AW309" s="7"/>
      <c r="AX309" s="7"/>
      <c r="AY309" s="7"/>
      <c r="AZ309" s="7"/>
      <c r="BA309" s="18"/>
      <c r="BG309" s="140"/>
      <c r="BH309" s="131"/>
      <c r="BI309" s="102"/>
      <c r="BJ309" s="102"/>
      <c r="BK309" s="102"/>
      <c r="BL309" s="102"/>
      <c r="BM309" s="99"/>
      <c r="BN309" s="4"/>
      <c r="BO309" s="4"/>
      <c r="BP309" s="5"/>
      <c r="BQ309" s="5"/>
      <c r="BR309" s="99"/>
      <c r="BS309" s="159"/>
      <c r="BT309" s="99"/>
      <c r="BU309" s="99"/>
      <c r="BV309" s="99"/>
      <c r="BW309" s="159"/>
      <c r="BX309" s="99"/>
      <c r="BY309" s="99"/>
      <c r="BZ309" s="159"/>
      <c r="DA309" s="174"/>
      <c r="DB309" s="18"/>
      <c r="DC309" s="18"/>
      <c r="DD309" s="19"/>
      <c r="DE309" s="19"/>
      <c r="DI309" s="18"/>
      <c r="DJ309" s="7"/>
      <c r="DK309" s="7"/>
      <c r="DL309" s="7"/>
      <c r="DM309" s="7"/>
      <c r="DN309" s="7"/>
      <c r="DO309" s="7"/>
      <c r="DP309" s="7"/>
      <c r="DQ309" s="7"/>
      <c r="DR309" s="7"/>
      <c r="DS309" s="7"/>
      <c r="DT309" s="7"/>
      <c r="DU309" s="7"/>
      <c r="DV309" s="7"/>
      <c r="DW309" s="7"/>
      <c r="DX309" s="7"/>
      <c r="DY309" s="7"/>
      <c r="DZ309" s="7"/>
      <c r="EA309" s="161"/>
      <c r="EG309" s="140"/>
      <c r="EH309" s="131"/>
      <c r="EI309" s="102"/>
      <c r="EJ309" s="102"/>
      <c r="EK309" s="102"/>
      <c r="EL309" s="102"/>
      <c r="EM309" s="99"/>
      <c r="EN309" s="4"/>
      <c r="EO309" s="4"/>
      <c r="EP309" s="5"/>
      <c r="EQ309" s="5"/>
      <c r="ER309" s="99"/>
      <c r="ES309" s="159"/>
      <c r="ET309" s="99"/>
      <c r="EU309" s="99"/>
      <c r="EV309" s="99"/>
      <c r="EW309" s="159"/>
      <c r="EX309" s="99"/>
      <c r="EY309" s="99"/>
      <c r="EZ309" s="175"/>
    </row>
    <row r="310" spans="27:156">
      <c r="AA310" s="18"/>
      <c r="AB310" s="18"/>
      <c r="AC310" s="18"/>
      <c r="AD310" s="19"/>
      <c r="AE310" s="19"/>
      <c r="AI310" s="18"/>
      <c r="AJ310" s="7"/>
      <c r="AK310" s="7"/>
      <c r="AL310" s="7"/>
      <c r="AM310" s="7"/>
      <c r="AN310" s="7"/>
      <c r="AO310" s="7"/>
      <c r="AP310" s="7"/>
      <c r="AQ310" s="7"/>
      <c r="AR310" s="7"/>
      <c r="AS310" s="7"/>
      <c r="AT310" s="7"/>
      <c r="AU310" s="7"/>
      <c r="AV310" s="7"/>
      <c r="AW310" s="7"/>
      <c r="AX310" s="7"/>
      <c r="AY310" s="7"/>
      <c r="AZ310" s="7"/>
      <c r="BA310" s="18"/>
      <c r="BG310" s="140"/>
      <c r="BH310" s="131"/>
      <c r="BI310" s="102"/>
      <c r="BJ310" s="102"/>
      <c r="BK310" s="102"/>
      <c r="BL310" s="102"/>
      <c r="BM310" s="99"/>
      <c r="BN310" s="4"/>
      <c r="BO310" s="4"/>
      <c r="BP310" s="5"/>
      <c r="BQ310" s="5"/>
      <c r="BR310" s="99"/>
      <c r="BS310" s="159"/>
      <c r="BT310" s="99"/>
      <c r="BU310" s="99"/>
      <c r="BV310" s="99"/>
      <c r="BW310" s="159"/>
      <c r="BX310" s="99"/>
      <c r="BY310" s="99"/>
      <c r="BZ310" s="159"/>
      <c r="DA310" s="174"/>
      <c r="DB310" s="18"/>
      <c r="DC310" s="18"/>
      <c r="DD310" s="19"/>
      <c r="DE310" s="19"/>
      <c r="DI310" s="18"/>
      <c r="DJ310" s="7"/>
      <c r="DK310" s="7"/>
      <c r="DL310" s="7"/>
      <c r="DM310" s="7"/>
      <c r="DN310" s="7"/>
      <c r="DO310" s="7"/>
      <c r="DP310" s="7"/>
      <c r="DQ310" s="7"/>
      <c r="DR310" s="7"/>
      <c r="DS310" s="7"/>
      <c r="DT310" s="7"/>
      <c r="DU310" s="7"/>
      <c r="DV310" s="7"/>
      <c r="DW310" s="7"/>
      <c r="DX310" s="7"/>
      <c r="DY310" s="7"/>
      <c r="DZ310" s="7"/>
      <c r="EA310" s="161"/>
      <c r="EG310" s="140"/>
      <c r="EH310" s="131"/>
      <c r="EI310" s="102"/>
      <c r="EJ310" s="102"/>
      <c r="EK310" s="102"/>
      <c r="EL310" s="102"/>
      <c r="EM310" s="99"/>
      <c r="EN310" s="4"/>
      <c r="EO310" s="4"/>
      <c r="EP310" s="5"/>
      <c r="EQ310" s="5"/>
      <c r="ER310" s="99"/>
      <c r="ES310" s="159"/>
      <c r="ET310" s="99"/>
      <c r="EU310" s="99"/>
      <c r="EV310" s="99"/>
      <c r="EW310" s="159"/>
      <c r="EX310" s="99"/>
      <c r="EY310" s="99"/>
      <c r="EZ310" s="175"/>
    </row>
    <row r="311" spans="27:156">
      <c r="AA311" s="18"/>
      <c r="AB311" s="18"/>
      <c r="AC311" s="18"/>
      <c r="AD311" s="19"/>
      <c r="AE311" s="19"/>
      <c r="AI311" s="18"/>
      <c r="AJ311" s="7"/>
      <c r="AK311" s="7"/>
      <c r="AL311" s="7"/>
      <c r="AM311" s="7"/>
      <c r="AN311" s="7"/>
      <c r="AO311" s="7"/>
      <c r="AP311" s="7"/>
      <c r="AQ311" s="7"/>
      <c r="AR311" s="7"/>
      <c r="AS311" s="7"/>
      <c r="AT311" s="7"/>
      <c r="AU311" s="7"/>
      <c r="AV311" s="7"/>
      <c r="AW311" s="7"/>
      <c r="AX311" s="7"/>
      <c r="AY311" s="7"/>
      <c r="AZ311" s="7"/>
      <c r="BA311" s="18"/>
      <c r="BG311" s="140"/>
      <c r="BH311" s="131"/>
      <c r="BI311" s="102"/>
      <c r="BJ311" s="102"/>
      <c r="BK311" s="102"/>
      <c r="BL311" s="102"/>
      <c r="BM311" s="99"/>
      <c r="BN311" s="4"/>
      <c r="BO311" s="4"/>
      <c r="BP311" s="5"/>
      <c r="BQ311" s="5"/>
      <c r="BR311" s="99"/>
      <c r="BS311" s="159"/>
      <c r="BT311" s="99"/>
      <c r="BU311" s="99"/>
      <c r="BV311" s="99"/>
      <c r="BW311" s="159"/>
      <c r="BX311" s="99"/>
      <c r="BY311" s="99"/>
      <c r="BZ311" s="159"/>
      <c r="DA311" s="174"/>
      <c r="DB311" s="18"/>
      <c r="DC311" s="18"/>
      <c r="DD311" s="19"/>
      <c r="DE311" s="19"/>
      <c r="DI311" s="18"/>
      <c r="DJ311" s="7"/>
      <c r="DK311" s="7"/>
      <c r="DL311" s="7"/>
      <c r="DM311" s="7"/>
      <c r="DN311" s="7"/>
      <c r="DO311" s="7"/>
      <c r="DP311" s="7"/>
      <c r="DQ311" s="7"/>
      <c r="DR311" s="7"/>
      <c r="DS311" s="7"/>
      <c r="DT311" s="7"/>
      <c r="DU311" s="7"/>
      <c r="DV311" s="7"/>
      <c r="DW311" s="7"/>
      <c r="DX311" s="7"/>
      <c r="DY311" s="7"/>
      <c r="DZ311" s="7"/>
      <c r="EA311" s="161"/>
      <c r="EG311" s="140"/>
      <c r="EH311" s="131"/>
      <c r="EI311" s="102"/>
      <c r="EJ311" s="102"/>
      <c r="EK311" s="102"/>
      <c r="EL311" s="102"/>
      <c r="EM311" s="99"/>
      <c r="EN311" s="4"/>
      <c r="EO311" s="4"/>
      <c r="EP311" s="5"/>
      <c r="EQ311" s="5"/>
      <c r="ER311" s="99"/>
      <c r="ES311" s="159"/>
      <c r="ET311" s="99"/>
      <c r="EU311" s="99"/>
      <c r="EV311" s="99"/>
      <c r="EW311" s="159"/>
      <c r="EX311" s="99"/>
      <c r="EY311" s="99"/>
      <c r="EZ311" s="175"/>
    </row>
    <row r="312" spans="27:156">
      <c r="AA312" s="18"/>
      <c r="AB312" s="18"/>
      <c r="AC312" s="18"/>
      <c r="AD312" s="19"/>
      <c r="AE312" s="19"/>
      <c r="AI312" s="18"/>
      <c r="AJ312" s="7"/>
      <c r="AK312" s="7"/>
      <c r="AL312" s="7"/>
      <c r="AM312" s="7"/>
      <c r="AN312" s="7"/>
      <c r="AO312" s="7"/>
      <c r="AP312" s="7"/>
      <c r="AQ312" s="7"/>
      <c r="AR312" s="7"/>
      <c r="AS312" s="7"/>
      <c r="AT312" s="7"/>
      <c r="AU312" s="7"/>
      <c r="AV312" s="7"/>
      <c r="AW312" s="7"/>
      <c r="AX312" s="7"/>
      <c r="AY312" s="7"/>
      <c r="AZ312" s="7"/>
      <c r="BA312" s="18"/>
      <c r="BG312" s="140"/>
      <c r="BH312" s="131"/>
      <c r="BI312" s="102"/>
      <c r="BJ312" s="102"/>
      <c r="BK312" s="102"/>
      <c r="BL312" s="102"/>
      <c r="BM312" s="99"/>
      <c r="BN312" s="4"/>
      <c r="BO312" s="4"/>
      <c r="BP312" s="5"/>
      <c r="BQ312" s="5"/>
      <c r="BR312" s="99"/>
      <c r="BS312" s="159"/>
      <c r="BT312" s="99"/>
      <c r="BU312" s="99"/>
      <c r="BV312" s="99"/>
      <c r="BW312" s="159"/>
      <c r="BX312" s="99"/>
      <c r="BY312" s="99"/>
      <c r="BZ312" s="159"/>
      <c r="DA312" s="174"/>
      <c r="DB312" s="18"/>
      <c r="DC312" s="18"/>
      <c r="DD312" s="19"/>
      <c r="DE312" s="19"/>
      <c r="DI312" s="18"/>
      <c r="DJ312" s="7"/>
      <c r="DK312" s="7"/>
      <c r="DL312" s="7"/>
      <c r="DM312" s="7"/>
      <c r="DN312" s="7"/>
      <c r="DO312" s="7"/>
      <c r="DP312" s="7"/>
      <c r="DQ312" s="7"/>
      <c r="DR312" s="7"/>
      <c r="DS312" s="7"/>
      <c r="DT312" s="7"/>
      <c r="DU312" s="7"/>
      <c r="DV312" s="7"/>
      <c r="DW312" s="7"/>
      <c r="DX312" s="7"/>
      <c r="DY312" s="7"/>
      <c r="DZ312" s="7"/>
      <c r="EA312" s="161"/>
      <c r="EG312" s="140"/>
      <c r="EH312" s="131"/>
      <c r="EI312" s="102"/>
      <c r="EJ312" s="102"/>
      <c r="EK312" s="102"/>
      <c r="EL312" s="102"/>
      <c r="EM312" s="99"/>
      <c r="EN312" s="4"/>
      <c r="EO312" s="4"/>
      <c r="EP312" s="5"/>
      <c r="EQ312" s="5"/>
      <c r="ER312" s="99"/>
      <c r="ES312" s="159"/>
      <c r="ET312" s="99"/>
      <c r="EU312" s="99"/>
      <c r="EV312" s="99"/>
      <c r="EW312" s="159"/>
      <c r="EX312" s="99"/>
      <c r="EY312" s="99"/>
      <c r="EZ312" s="175"/>
    </row>
    <row r="313" spans="27:156">
      <c r="AA313" s="18"/>
      <c r="AB313" s="18"/>
      <c r="AC313" s="18"/>
      <c r="AD313" s="19"/>
      <c r="AE313" s="19"/>
      <c r="AI313" s="18"/>
      <c r="AJ313" s="7"/>
      <c r="AK313" s="7"/>
      <c r="AL313" s="7"/>
      <c r="AM313" s="7"/>
      <c r="AN313" s="7"/>
      <c r="AO313" s="7"/>
      <c r="AP313" s="7"/>
      <c r="AQ313" s="7"/>
      <c r="AR313" s="7"/>
      <c r="AS313" s="7"/>
      <c r="AT313" s="7"/>
      <c r="AU313" s="7"/>
      <c r="AV313" s="7"/>
      <c r="AW313" s="7"/>
      <c r="AX313" s="7"/>
      <c r="AY313" s="7"/>
      <c r="AZ313" s="7"/>
      <c r="BA313" s="18"/>
      <c r="BG313" s="140"/>
      <c r="BH313" s="131"/>
      <c r="BI313" s="102"/>
      <c r="BJ313" s="102"/>
      <c r="BK313" s="102"/>
      <c r="BL313" s="102"/>
      <c r="BM313" s="99"/>
      <c r="BN313" s="4"/>
      <c r="BO313" s="4"/>
      <c r="BP313" s="5"/>
      <c r="BQ313" s="5"/>
      <c r="BR313" s="99"/>
      <c r="BS313" s="159"/>
      <c r="BT313" s="99"/>
      <c r="BU313" s="99"/>
      <c r="BV313" s="99"/>
      <c r="BW313" s="159"/>
      <c r="BX313" s="99"/>
      <c r="BY313" s="99"/>
      <c r="BZ313" s="159"/>
      <c r="DA313" s="174"/>
      <c r="DB313" s="18"/>
      <c r="DC313" s="18"/>
      <c r="DD313" s="19"/>
      <c r="DE313" s="19"/>
      <c r="DI313" s="18"/>
      <c r="DJ313" s="7"/>
      <c r="DK313" s="7"/>
      <c r="DL313" s="7"/>
      <c r="DM313" s="7"/>
      <c r="DN313" s="7"/>
      <c r="DO313" s="7"/>
      <c r="DP313" s="7"/>
      <c r="DQ313" s="7"/>
      <c r="DR313" s="7"/>
      <c r="DS313" s="7"/>
      <c r="DT313" s="7"/>
      <c r="DU313" s="7"/>
      <c r="DV313" s="7"/>
      <c r="DW313" s="7"/>
      <c r="DX313" s="7"/>
      <c r="DY313" s="7"/>
      <c r="DZ313" s="7"/>
      <c r="EA313" s="161"/>
      <c r="EG313" s="140"/>
      <c r="EH313" s="131"/>
      <c r="EI313" s="102"/>
      <c r="EJ313" s="102"/>
      <c r="EK313" s="102"/>
      <c r="EL313" s="102"/>
      <c r="EM313" s="99"/>
      <c r="EN313" s="4"/>
      <c r="EO313" s="4"/>
      <c r="EP313" s="5"/>
      <c r="EQ313" s="5"/>
      <c r="ER313" s="99"/>
      <c r="ES313" s="159"/>
      <c r="ET313" s="99"/>
      <c r="EU313" s="99"/>
      <c r="EV313" s="99"/>
      <c r="EW313" s="159"/>
      <c r="EX313" s="99"/>
      <c r="EY313" s="99"/>
      <c r="EZ313" s="175"/>
    </row>
    <row r="314" spans="27:156">
      <c r="AA314" s="18"/>
      <c r="AB314" s="18"/>
      <c r="AC314" s="18"/>
      <c r="AD314" s="19"/>
      <c r="AE314" s="19"/>
      <c r="AI314" s="18"/>
      <c r="AJ314" s="7"/>
      <c r="AK314" s="7"/>
      <c r="AL314" s="7"/>
      <c r="AM314" s="7"/>
      <c r="AN314" s="7"/>
      <c r="AO314" s="7"/>
      <c r="AP314" s="7"/>
      <c r="AQ314" s="7"/>
      <c r="AR314" s="7"/>
      <c r="AS314" s="7"/>
      <c r="AT314" s="7"/>
      <c r="AU314" s="7"/>
      <c r="AV314" s="7"/>
      <c r="AW314" s="7"/>
      <c r="AX314" s="7"/>
      <c r="AY314" s="7"/>
      <c r="AZ314" s="7"/>
      <c r="BA314" s="18"/>
      <c r="BG314" s="140"/>
      <c r="BH314" s="131"/>
      <c r="BI314" s="102"/>
      <c r="BJ314" s="102"/>
      <c r="BK314" s="102"/>
      <c r="BL314" s="102"/>
      <c r="BM314" s="99"/>
      <c r="BN314" s="4"/>
      <c r="BO314" s="4"/>
      <c r="BP314" s="5"/>
      <c r="BQ314" s="5"/>
      <c r="BR314" s="99"/>
      <c r="BS314" s="159"/>
      <c r="BT314" s="99"/>
      <c r="BU314" s="99"/>
      <c r="BV314" s="99"/>
      <c r="BW314" s="159"/>
      <c r="BX314" s="99"/>
      <c r="BY314" s="99"/>
      <c r="BZ314" s="159"/>
      <c r="DA314" s="174"/>
      <c r="DB314" s="18"/>
      <c r="DC314" s="18"/>
      <c r="DD314" s="19"/>
      <c r="DE314" s="19"/>
      <c r="DI314" s="18"/>
      <c r="DJ314" s="7"/>
      <c r="DK314" s="7"/>
      <c r="DL314" s="7"/>
      <c r="DM314" s="7"/>
      <c r="DN314" s="7"/>
      <c r="DO314" s="7"/>
      <c r="DP314" s="7"/>
      <c r="DQ314" s="7"/>
      <c r="DR314" s="7"/>
      <c r="DS314" s="7"/>
      <c r="DT314" s="7"/>
      <c r="DU314" s="7"/>
      <c r="DV314" s="7"/>
      <c r="DW314" s="7"/>
      <c r="DX314" s="7"/>
      <c r="DY314" s="7"/>
      <c r="DZ314" s="7"/>
      <c r="EA314" s="161"/>
      <c r="EG314" s="140"/>
      <c r="EH314" s="131"/>
      <c r="EI314" s="102"/>
      <c r="EJ314" s="102"/>
      <c r="EK314" s="102"/>
      <c r="EL314" s="102"/>
      <c r="EM314" s="99"/>
      <c r="EN314" s="4"/>
      <c r="EO314" s="4"/>
      <c r="EP314" s="5"/>
      <c r="EQ314" s="5"/>
      <c r="ER314" s="99"/>
      <c r="ES314" s="159"/>
      <c r="ET314" s="99"/>
      <c r="EU314" s="99"/>
      <c r="EV314" s="99"/>
      <c r="EW314" s="159"/>
      <c r="EX314" s="99"/>
      <c r="EY314" s="99"/>
      <c r="EZ314" s="175"/>
    </row>
    <row r="315" spans="27:156">
      <c r="AA315" s="18"/>
      <c r="AB315" s="18"/>
      <c r="AC315" s="18"/>
      <c r="AD315" s="19"/>
      <c r="AE315" s="19"/>
      <c r="AI315" s="18"/>
      <c r="AJ315" s="7"/>
      <c r="AK315" s="7"/>
      <c r="AL315" s="7"/>
      <c r="AM315" s="7"/>
      <c r="AN315" s="7"/>
      <c r="AO315" s="7"/>
      <c r="AP315" s="7"/>
      <c r="AQ315" s="7"/>
      <c r="AR315" s="7"/>
      <c r="AS315" s="7"/>
      <c r="AT315" s="7"/>
      <c r="AU315" s="7"/>
      <c r="AV315" s="7"/>
      <c r="AW315" s="7"/>
      <c r="AX315" s="7"/>
      <c r="AY315" s="7"/>
      <c r="AZ315" s="7"/>
      <c r="BA315" s="18"/>
      <c r="BG315" s="140"/>
      <c r="BH315" s="131"/>
      <c r="BI315" s="102"/>
      <c r="BJ315" s="102"/>
      <c r="BK315" s="102"/>
      <c r="BL315" s="102"/>
      <c r="BM315" s="99"/>
      <c r="BN315" s="4"/>
      <c r="BO315" s="4"/>
      <c r="BP315" s="5"/>
      <c r="BQ315" s="5"/>
      <c r="BR315" s="99"/>
      <c r="BS315" s="159"/>
      <c r="BT315" s="99"/>
      <c r="BU315" s="99"/>
      <c r="BV315" s="99"/>
      <c r="BW315" s="159"/>
      <c r="BX315" s="99"/>
      <c r="BY315" s="99"/>
      <c r="BZ315" s="159"/>
      <c r="DA315" s="174"/>
      <c r="DB315" s="18"/>
      <c r="DC315" s="18"/>
      <c r="DD315" s="19"/>
      <c r="DE315" s="19"/>
      <c r="DI315" s="18"/>
      <c r="DJ315" s="7"/>
      <c r="DK315" s="7"/>
      <c r="DL315" s="7"/>
      <c r="DM315" s="7"/>
      <c r="DN315" s="7"/>
      <c r="DO315" s="7"/>
      <c r="DP315" s="7"/>
      <c r="DQ315" s="7"/>
      <c r="DR315" s="7"/>
      <c r="DS315" s="7"/>
      <c r="DT315" s="7"/>
      <c r="DU315" s="7"/>
      <c r="DV315" s="7"/>
      <c r="DW315" s="7"/>
      <c r="DX315" s="7"/>
      <c r="DY315" s="7"/>
      <c r="DZ315" s="7"/>
      <c r="EA315" s="161"/>
      <c r="EG315" s="140"/>
      <c r="EH315" s="131"/>
      <c r="EI315" s="102"/>
      <c r="EJ315" s="102"/>
      <c r="EK315" s="102"/>
      <c r="EL315" s="102"/>
      <c r="EM315" s="99"/>
      <c r="EN315" s="4"/>
      <c r="EO315" s="4"/>
      <c r="EP315" s="5"/>
      <c r="EQ315" s="5"/>
      <c r="ER315" s="99"/>
      <c r="ES315" s="159"/>
      <c r="ET315" s="99"/>
      <c r="EU315" s="99"/>
      <c r="EV315" s="99"/>
      <c r="EW315" s="159"/>
      <c r="EX315" s="99"/>
      <c r="EY315" s="99"/>
      <c r="EZ315" s="175"/>
    </row>
    <row r="316" spans="27:156">
      <c r="AA316" s="18"/>
      <c r="AB316" s="18"/>
      <c r="AC316" s="18"/>
      <c r="AD316" s="19"/>
      <c r="AE316" s="19"/>
      <c r="AI316" s="18"/>
      <c r="AJ316" s="7"/>
      <c r="AK316" s="7"/>
      <c r="AL316" s="7"/>
      <c r="AM316" s="7"/>
      <c r="AN316" s="7"/>
      <c r="AO316" s="7"/>
      <c r="AP316" s="7"/>
      <c r="AQ316" s="7"/>
      <c r="AR316" s="7"/>
      <c r="AS316" s="7"/>
      <c r="AT316" s="7"/>
      <c r="AU316" s="7"/>
      <c r="AV316" s="7"/>
      <c r="AW316" s="7"/>
      <c r="AX316" s="7"/>
      <c r="AY316" s="7"/>
      <c r="AZ316" s="7"/>
      <c r="BA316" s="18"/>
      <c r="BG316" s="140"/>
      <c r="BH316" s="131"/>
      <c r="BI316" s="102"/>
      <c r="BJ316" s="102"/>
      <c r="BK316" s="102"/>
      <c r="BL316" s="102"/>
      <c r="BM316" s="99"/>
      <c r="BN316" s="4"/>
      <c r="BO316" s="4"/>
      <c r="BP316" s="5"/>
      <c r="BQ316" s="5"/>
      <c r="BR316" s="99"/>
      <c r="BS316" s="159"/>
      <c r="BT316" s="99"/>
      <c r="BU316" s="99"/>
      <c r="BV316" s="99"/>
      <c r="BW316" s="159"/>
      <c r="BX316" s="99"/>
      <c r="BY316" s="99"/>
      <c r="BZ316" s="159"/>
      <c r="DA316" s="174"/>
      <c r="DB316" s="18"/>
      <c r="DC316" s="18"/>
      <c r="DD316" s="19"/>
      <c r="DE316" s="19"/>
      <c r="DI316" s="18"/>
      <c r="DJ316" s="7"/>
      <c r="DK316" s="7"/>
      <c r="DL316" s="7"/>
      <c r="DM316" s="7"/>
      <c r="DN316" s="7"/>
      <c r="DO316" s="7"/>
      <c r="DP316" s="7"/>
      <c r="DQ316" s="7"/>
      <c r="DR316" s="7"/>
      <c r="DS316" s="7"/>
      <c r="DT316" s="7"/>
      <c r="DU316" s="7"/>
      <c r="DV316" s="7"/>
      <c r="DW316" s="7"/>
      <c r="DX316" s="7"/>
      <c r="DY316" s="7"/>
      <c r="DZ316" s="7"/>
      <c r="EA316" s="161"/>
      <c r="EG316" s="140"/>
      <c r="EH316" s="131"/>
      <c r="EI316" s="102"/>
      <c r="EJ316" s="102"/>
      <c r="EK316" s="102"/>
      <c r="EL316" s="102"/>
      <c r="EM316" s="99"/>
      <c r="EN316" s="4"/>
      <c r="EO316" s="4"/>
      <c r="EP316" s="5"/>
      <c r="EQ316" s="5"/>
      <c r="ER316" s="99"/>
      <c r="ES316" s="159"/>
      <c r="ET316" s="99"/>
      <c r="EU316" s="99"/>
      <c r="EV316" s="99"/>
      <c r="EW316" s="159"/>
      <c r="EX316" s="99"/>
      <c r="EY316" s="99"/>
      <c r="EZ316" s="175"/>
    </row>
    <row r="317" spans="27:156">
      <c r="AA317" s="18"/>
      <c r="AB317" s="18"/>
      <c r="AC317" s="18"/>
      <c r="AD317" s="19"/>
      <c r="AE317" s="19"/>
      <c r="AI317" s="18"/>
      <c r="AJ317" s="7"/>
      <c r="AK317" s="7"/>
      <c r="AL317" s="7"/>
      <c r="AM317" s="7"/>
      <c r="AN317" s="7"/>
      <c r="AO317" s="7"/>
      <c r="AP317" s="7"/>
      <c r="AQ317" s="7"/>
      <c r="AR317" s="7"/>
      <c r="AS317" s="7"/>
      <c r="AT317" s="7"/>
      <c r="AU317" s="7"/>
      <c r="AV317" s="7"/>
      <c r="AW317" s="7"/>
      <c r="AX317" s="7"/>
      <c r="AY317" s="7"/>
      <c r="AZ317" s="7"/>
      <c r="BA317" s="18"/>
      <c r="BG317" s="140"/>
      <c r="BH317" s="131"/>
      <c r="BI317" s="102"/>
      <c r="BJ317" s="102"/>
      <c r="BK317" s="102"/>
      <c r="BL317" s="102"/>
      <c r="BM317" s="99"/>
      <c r="BN317" s="4"/>
      <c r="BO317" s="4"/>
      <c r="BP317" s="5"/>
      <c r="BQ317" s="5"/>
      <c r="BR317" s="99"/>
      <c r="BS317" s="159"/>
      <c r="BT317" s="99"/>
      <c r="BU317" s="99"/>
      <c r="BV317" s="99"/>
      <c r="BW317" s="159"/>
      <c r="BX317" s="99"/>
      <c r="BY317" s="99"/>
      <c r="BZ317" s="159"/>
      <c r="DA317" s="174"/>
      <c r="DB317" s="18"/>
      <c r="DC317" s="18"/>
      <c r="DD317" s="19"/>
      <c r="DE317" s="19"/>
      <c r="DI317" s="18"/>
      <c r="DJ317" s="7"/>
      <c r="DK317" s="7"/>
      <c r="DL317" s="7"/>
      <c r="DM317" s="7"/>
      <c r="DN317" s="7"/>
      <c r="DO317" s="7"/>
      <c r="DP317" s="7"/>
      <c r="DQ317" s="7"/>
      <c r="DR317" s="7"/>
      <c r="DS317" s="7"/>
      <c r="DT317" s="7"/>
      <c r="DU317" s="7"/>
      <c r="DV317" s="7"/>
      <c r="DW317" s="7"/>
      <c r="DX317" s="7"/>
      <c r="DY317" s="7"/>
      <c r="DZ317" s="7"/>
      <c r="EA317" s="161"/>
      <c r="EG317" s="140"/>
      <c r="EH317" s="131"/>
      <c r="EI317" s="102"/>
      <c r="EJ317" s="102"/>
      <c r="EK317" s="102"/>
      <c r="EL317" s="102"/>
      <c r="EM317" s="99"/>
      <c r="EN317" s="4"/>
      <c r="EO317" s="4"/>
      <c r="EP317" s="5"/>
      <c r="EQ317" s="5"/>
      <c r="ER317" s="99"/>
      <c r="ES317" s="159"/>
      <c r="ET317" s="99"/>
      <c r="EU317" s="99"/>
      <c r="EV317" s="99"/>
      <c r="EW317" s="159"/>
      <c r="EX317" s="99"/>
      <c r="EY317" s="99"/>
      <c r="EZ317" s="175"/>
    </row>
    <row r="318" spans="27:156">
      <c r="AA318" s="18"/>
      <c r="AB318" s="18"/>
      <c r="AC318" s="18"/>
      <c r="AD318" s="19"/>
      <c r="AE318" s="19"/>
      <c r="AI318" s="18"/>
      <c r="AJ318" s="7"/>
      <c r="AK318" s="7"/>
      <c r="AL318" s="7"/>
      <c r="AM318" s="7"/>
      <c r="AN318" s="7"/>
      <c r="AO318" s="7"/>
      <c r="AP318" s="7"/>
      <c r="AQ318" s="7"/>
      <c r="AR318" s="7"/>
      <c r="AS318" s="7"/>
      <c r="AT318" s="7"/>
      <c r="AU318" s="7"/>
      <c r="AV318" s="7"/>
      <c r="AW318" s="7"/>
      <c r="AX318" s="7"/>
      <c r="AY318" s="7"/>
      <c r="AZ318" s="7"/>
      <c r="BA318" s="18"/>
      <c r="BG318" s="140"/>
      <c r="BH318" s="131"/>
      <c r="BI318" s="102"/>
      <c r="BJ318" s="102"/>
      <c r="BK318" s="102"/>
      <c r="BL318" s="102"/>
      <c r="BM318" s="99"/>
      <c r="BN318" s="4"/>
      <c r="BO318" s="4"/>
      <c r="BP318" s="5"/>
      <c r="BQ318" s="5"/>
      <c r="BR318" s="99"/>
      <c r="BS318" s="159"/>
      <c r="BT318" s="99"/>
      <c r="BU318" s="99"/>
      <c r="BV318" s="99"/>
      <c r="BW318" s="159"/>
      <c r="BX318" s="99"/>
      <c r="BY318" s="99"/>
      <c r="BZ318" s="159"/>
      <c r="DA318" s="174"/>
      <c r="DB318" s="18"/>
      <c r="DC318" s="18"/>
      <c r="DD318" s="19"/>
      <c r="DE318" s="19"/>
      <c r="DI318" s="18"/>
      <c r="DJ318" s="7"/>
      <c r="DK318" s="7"/>
      <c r="DL318" s="7"/>
      <c r="DM318" s="7"/>
      <c r="DN318" s="7"/>
      <c r="DO318" s="7"/>
      <c r="DP318" s="7"/>
      <c r="DQ318" s="7"/>
      <c r="DR318" s="7"/>
      <c r="DS318" s="7"/>
      <c r="DT318" s="7"/>
      <c r="DU318" s="7"/>
      <c r="DV318" s="7"/>
      <c r="DW318" s="7"/>
      <c r="DX318" s="7"/>
      <c r="DY318" s="7"/>
      <c r="DZ318" s="7"/>
      <c r="EA318" s="161"/>
      <c r="EG318" s="140"/>
      <c r="EH318" s="131"/>
      <c r="EI318" s="102"/>
      <c r="EJ318" s="102"/>
      <c r="EK318" s="102"/>
      <c r="EL318" s="102"/>
      <c r="EM318" s="99"/>
      <c r="EN318" s="4"/>
      <c r="EO318" s="4"/>
      <c r="EP318" s="5"/>
      <c r="EQ318" s="5"/>
      <c r="ER318" s="99"/>
      <c r="ES318" s="159"/>
      <c r="ET318" s="99"/>
      <c r="EU318" s="99"/>
      <c r="EV318" s="99"/>
      <c r="EW318" s="159"/>
      <c r="EX318" s="99"/>
      <c r="EY318" s="99"/>
      <c r="EZ318" s="175"/>
    </row>
    <row r="319" spans="27:156">
      <c r="AA319" s="18"/>
      <c r="AB319" s="18"/>
      <c r="AC319" s="18"/>
      <c r="AD319" s="19"/>
      <c r="AE319" s="19"/>
      <c r="AI319" s="18"/>
      <c r="AJ319" s="7"/>
      <c r="AK319" s="7"/>
      <c r="AL319" s="7"/>
      <c r="AM319" s="7"/>
      <c r="AN319" s="7"/>
      <c r="AO319" s="7"/>
      <c r="AP319" s="7"/>
      <c r="AQ319" s="7"/>
      <c r="AR319" s="7"/>
      <c r="AS319" s="7"/>
      <c r="AT319" s="7"/>
      <c r="AU319" s="7"/>
      <c r="AV319" s="7"/>
      <c r="AW319" s="7"/>
      <c r="AX319" s="7"/>
      <c r="AY319" s="7"/>
      <c r="AZ319" s="7"/>
      <c r="BA319" s="18"/>
      <c r="BG319" s="140"/>
      <c r="BH319" s="131"/>
      <c r="BI319" s="102"/>
      <c r="BJ319" s="102"/>
      <c r="BK319" s="102"/>
      <c r="BL319" s="102"/>
      <c r="BM319" s="99"/>
      <c r="BN319" s="4"/>
      <c r="BO319" s="4"/>
      <c r="BP319" s="5"/>
      <c r="BQ319" s="5"/>
      <c r="BR319" s="99"/>
      <c r="BS319" s="159"/>
      <c r="BT319" s="99"/>
      <c r="BU319" s="99"/>
      <c r="BV319" s="99"/>
      <c r="BW319" s="159"/>
      <c r="BX319" s="99"/>
      <c r="BY319" s="99"/>
      <c r="BZ319" s="159"/>
      <c r="DA319" s="174"/>
      <c r="DB319" s="18"/>
      <c r="DC319" s="18"/>
      <c r="DD319" s="19"/>
      <c r="DE319" s="19"/>
      <c r="DI319" s="18"/>
      <c r="DJ319" s="7"/>
      <c r="DK319" s="7"/>
      <c r="DL319" s="7"/>
      <c r="DM319" s="7"/>
      <c r="DN319" s="7"/>
      <c r="DO319" s="7"/>
      <c r="DP319" s="7"/>
      <c r="DQ319" s="7"/>
      <c r="DR319" s="7"/>
      <c r="DS319" s="7"/>
      <c r="DT319" s="7"/>
      <c r="DU319" s="7"/>
      <c r="DV319" s="7"/>
      <c r="DW319" s="7"/>
      <c r="DX319" s="7"/>
      <c r="DY319" s="7"/>
      <c r="DZ319" s="7"/>
      <c r="EA319" s="161"/>
      <c r="EG319" s="140"/>
      <c r="EH319" s="131"/>
      <c r="EI319" s="102"/>
      <c r="EJ319" s="102"/>
      <c r="EK319" s="102"/>
      <c r="EL319" s="102"/>
      <c r="EM319" s="99"/>
      <c r="EN319" s="4"/>
      <c r="EO319" s="4"/>
      <c r="EP319" s="5"/>
      <c r="EQ319" s="5"/>
      <c r="ER319" s="99"/>
      <c r="ES319" s="159"/>
      <c r="ET319" s="99"/>
      <c r="EU319" s="99"/>
      <c r="EV319" s="99"/>
      <c r="EW319" s="159"/>
      <c r="EX319" s="99"/>
      <c r="EY319" s="99"/>
      <c r="EZ319" s="175"/>
    </row>
    <row r="320" spans="27:156">
      <c r="AA320" s="18"/>
      <c r="AB320" s="18"/>
      <c r="AC320" s="18"/>
      <c r="AD320" s="19"/>
      <c r="AE320" s="19"/>
      <c r="AI320" s="18"/>
      <c r="AJ320" s="7"/>
      <c r="AK320" s="7"/>
      <c r="AL320" s="7"/>
      <c r="AM320" s="7"/>
      <c r="AN320" s="7"/>
      <c r="AO320" s="7"/>
      <c r="AP320" s="7"/>
      <c r="AQ320" s="7"/>
      <c r="AR320" s="7"/>
      <c r="AS320" s="7"/>
      <c r="AT320" s="7"/>
      <c r="AU320" s="7"/>
      <c r="AV320" s="7"/>
      <c r="AW320" s="7"/>
      <c r="AX320" s="7"/>
      <c r="AY320" s="7"/>
      <c r="AZ320" s="7"/>
      <c r="BA320" s="18"/>
      <c r="BG320" s="140"/>
      <c r="BH320" s="131"/>
      <c r="BI320" s="102"/>
      <c r="BJ320" s="102"/>
      <c r="BK320" s="102"/>
      <c r="BL320" s="102"/>
      <c r="BM320" s="99"/>
      <c r="BN320" s="4"/>
      <c r="BO320" s="4"/>
      <c r="BP320" s="5"/>
      <c r="BQ320" s="5"/>
      <c r="BR320" s="99"/>
      <c r="BS320" s="159"/>
      <c r="BT320" s="99"/>
      <c r="BU320" s="99"/>
      <c r="BV320" s="99"/>
      <c r="BW320" s="159"/>
      <c r="BX320" s="99"/>
      <c r="BY320" s="99"/>
      <c r="BZ320" s="159"/>
      <c r="DA320" s="174"/>
      <c r="DB320" s="18"/>
      <c r="DC320" s="18"/>
      <c r="DD320" s="19"/>
      <c r="DE320" s="19"/>
      <c r="DI320" s="18"/>
      <c r="DJ320" s="7"/>
      <c r="DK320" s="7"/>
      <c r="DL320" s="7"/>
      <c r="DM320" s="7"/>
      <c r="DN320" s="7"/>
      <c r="DO320" s="7"/>
      <c r="DP320" s="7"/>
      <c r="DQ320" s="7"/>
      <c r="DR320" s="7"/>
      <c r="DS320" s="7"/>
      <c r="DT320" s="7"/>
      <c r="DU320" s="7"/>
      <c r="DV320" s="7"/>
      <c r="DW320" s="7"/>
      <c r="DX320" s="7"/>
      <c r="DY320" s="7"/>
      <c r="DZ320" s="7"/>
      <c r="EA320" s="161"/>
      <c r="EG320" s="140"/>
      <c r="EH320" s="131"/>
      <c r="EI320" s="102"/>
      <c r="EJ320" s="102"/>
      <c r="EK320" s="102"/>
      <c r="EL320" s="102"/>
      <c r="EM320" s="99"/>
      <c r="EN320" s="4"/>
      <c r="EO320" s="4"/>
      <c r="EP320" s="5"/>
      <c r="EQ320" s="5"/>
      <c r="ER320" s="99"/>
      <c r="ES320" s="159"/>
      <c r="ET320" s="99"/>
      <c r="EU320" s="99"/>
      <c r="EV320" s="99"/>
      <c r="EW320" s="159"/>
      <c r="EX320" s="99"/>
      <c r="EY320" s="99"/>
      <c r="EZ320" s="175"/>
    </row>
    <row r="321" spans="27:156">
      <c r="AA321" s="18"/>
      <c r="AB321" s="18"/>
      <c r="AC321" s="18"/>
      <c r="AD321" s="19"/>
      <c r="AE321" s="19"/>
      <c r="AI321" s="18"/>
      <c r="AJ321" s="7"/>
      <c r="AK321" s="7"/>
      <c r="AL321" s="7"/>
      <c r="AM321" s="7"/>
      <c r="AN321" s="7"/>
      <c r="AO321" s="7"/>
      <c r="AP321" s="7"/>
      <c r="AQ321" s="7"/>
      <c r="AR321" s="7"/>
      <c r="AS321" s="7"/>
      <c r="AT321" s="7"/>
      <c r="AU321" s="7"/>
      <c r="AV321" s="7"/>
      <c r="AW321" s="7"/>
      <c r="AX321" s="7"/>
      <c r="AY321" s="7"/>
      <c r="AZ321" s="7"/>
      <c r="BA321" s="18"/>
      <c r="BG321" s="140"/>
      <c r="BH321" s="131"/>
      <c r="BI321" s="102"/>
      <c r="BJ321" s="102"/>
      <c r="BK321" s="102"/>
      <c r="BL321" s="102"/>
      <c r="BM321" s="99"/>
      <c r="BN321" s="4"/>
      <c r="BO321" s="4"/>
      <c r="BP321" s="5"/>
      <c r="BQ321" s="5"/>
      <c r="BR321" s="99"/>
      <c r="BS321" s="159"/>
      <c r="BT321" s="99"/>
      <c r="BU321" s="99"/>
      <c r="BV321" s="99"/>
      <c r="BW321" s="159"/>
      <c r="BX321" s="99"/>
      <c r="BY321" s="99"/>
      <c r="BZ321" s="159"/>
      <c r="DA321" s="174"/>
      <c r="DB321" s="18"/>
      <c r="DC321" s="18"/>
      <c r="DD321" s="19"/>
      <c r="DE321" s="19"/>
      <c r="DI321" s="18"/>
      <c r="DJ321" s="7"/>
      <c r="DK321" s="7"/>
      <c r="DL321" s="7"/>
      <c r="DM321" s="7"/>
      <c r="DN321" s="7"/>
      <c r="DO321" s="7"/>
      <c r="DP321" s="7"/>
      <c r="DQ321" s="7"/>
      <c r="DR321" s="7"/>
      <c r="DS321" s="7"/>
      <c r="DT321" s="7"/>
      <c r="DU321" s="7"/>
      <c r="DV321" s="7"/>
      <c r="DW321" s="7"/>
      <c r="DX321" s="7"/>
      <c r="DY321" s="7"/>
      <c r="DZ321" s="7"/>
      <c r="EA321" s="161"/>
      <c r="EG321" s="140"/>
      <c r="EH321" s="131"/>
      <c r="EI321" s="102"/>
      <c r="EJ321" s="102"/>
      <c r="EK321" s="102"/>
      <c r="EL321" s="102"/>
      <c r="EM321" s="99"/>
      <c r="EN321" s="4"/>
      <c r="EO321" s="4"/>
      <c r="EP321" s="5"/>
      <c r="EQ321" s="5"/>
      <c r="ER321" s="99"/>
      <c r="ES321" s="159"/>
      <c r="ET321" s="99"/>
      <c r="EU321" s="99"/>
      <c r="EV321" s="99"/>
      <c r="EW321" s="159"/>
      <c r="EX321" s="99"/>
      <c r="EY321" s="99"/>
      <c r="EZ321" s="175"/>
    </row>
    <row r="322" spans="27:156">
      <c r="AA322" s="18"/>
      <c r="AB322" s="18"/>
      <c r="AC322" s="18"/>
      <c r="AD322" s="19"/>
      <c r="AE322" s="19"/>
      <c r="AI322" s="18"/>
      <c r="AJ322" s="7"/>
      <c r="AK322" s="7"/>
      <c r="AL322" s="7"/>
      <c r="AM322" s="7"/>
      <c r="AN322" s="7"/>
      <c r="AO322" s="7"/>
      <c r="AP322" s="7"/>
      <c r="AQ322" s="7"/>
      <c r="AR322" s="7"/>
      <c r="AS322" s="7"/>
      <c r="AT322" s="7"/>
      <c r="AU322" s="7"/>
      <c r="AV322" s="7"/>
      <c r="AW322" s="7"/>
      <c r="AX322" s="7"/>
      <c r="AY322" s="7"/>
      <c r="AZ322" s="7"/>
      <c r="BA322" s="18"/>
      <c r="BG322" s="140"/>
      <c r="BH322" s="131"/>
      <c r="BI322" s="102"/>
      <c r="BJ322" s="102"/>
      <c r="BK322" s="102"/>
      <c r="BL322" s="102"/>
      <c r="BM322" s="99"/>
      <c r="BN322" s="4"/>
      <c r="BO322" s="4"/>
      <c r="BP322" s="5"/>
      <c r="BQ322" s="5"/>
      <c r="BR322" s="99"/>
      <c r="BS322" s="159"/>
      <c r="BT322" s="99"/>
      <c r="BU322" s="99"/>
      <c r="BV322" s="99"/>
      <c r="BW322" s="159"/>
      <c r="BX322" s="99"/>
      <c r="BY322" s="99"/>
      <c r="BZ322" s="159"/>
      <c r="DA322" s="174"/>
      <c r="DB322" s="18"/>
      <c r="DC322" s="18"/>
      <c r="DD322" s="19"/>
      <c r="DE322" s="19"/>
      <c r="DI322" s="18"/>
      <c r="DJ322" s="7"/>
      <c r="DK322" s="7"/>
      <c r="DL322" s="7"/>
      <c r="DM322" s="7"/>
      <c r="DN322" s="7"/>
      <c r="DO322" s="7"/>
      <c r="DP322" s="7"/>
      <c r="DQ322" s="7"/>
      <c r="DR322" s="7"/>
      <c r="DS322" s="7"/>
      <c r="DT322" s="7"/>
      <c r="DU322" s="7"/>
      <c r="DV322" s="7"/>
      <c r="DW322" s="7"/>
      <c r="DX322" s="7"/>
      <c r="DY322" s="7"/>
      <c r="DZ322" s="7"/>
      <c r="EA322" s="161"/>
      <c r="EG322" s="140"/>
      <c r="EH322" s="131"/>
      <c r="EI322" s="102"/>
      <c r="EJ322" s="102"/>
      <c r="EK322" s="102"/>
      <c r="EL322" s="102"/>
      <c r="EM322" s="99"/>
      <c r="EN322" s="4"/>
      <c r="EO322" s="4"/>
      <c r="EP322" s="5"/>
      <c r="EQ322" s="5"/>
      <c r="ER322" s="99"/>
      <c r="ES322" s="159"/>
      <c r="ET322" s="99"/>
      <c r="EU322" s="99"/>
      <c r="EV322" s="99"/>
      <c r="EW322" s="159"/>
      <c r="EX322" s="99"/>
      <c r="EY322" s="99"/>
      <c r="EZ322" s="175"/>
    </row>
    <row r="323" spans="27:156">
      <c r="AA323" s="18"/>
      <c r="AB323" s="18"/>
      <c r="AC323" s="18"/>
      <c r="AD323" s="19"/>
      <c r="AE323" s="19"/>
      <c r="AI323" s="18"/>
      <c r="AJ323" s="7"/>
      <c r="AK323" s="7"/>
      <c r="AL323" s="7"/>
      <c r="AM323" s="7"/>
      <c r="AN323" s="7"/>
      <c r="AO323" s="7"/>
      <c r="AP323" s="7"/>
      <c r="AQ323" s="7"/>
      <c r="AR323" s="7"/>
      <c r="AS323" s="7"/>
      <c r="AT323" s="7"/>
      <c r="AU323" s="7"/>
      <c r="AV323" s="7"/>
      <c r="AW323" s="7"/>
      <c r="AX323" s="7"/>
      <c r="AY323" s="7"/>
      <c r="AZ323" s="7"/>
      <c r="BA323" s="18"/>
      <c r="BG323" s="140"/>
      <c r="BH323" s="131"/>
      <c r="BI323" s="102"/>
      <c r="BJ323" s="102"/>
      <c r="BK323" s="102"/>
      <c r="BL323" s="102"/>
      <c r="BM323" s="99"/>
      <c r="BN323" s="4"/>
      <c r="BO323" s="4"/>
      <c r="BP323" s="5"/>
      <c r="BQ323" s="5"/>
      <c r="BR323" s="99"/>
      <c r="BS323" s="159"/>
      <c r="BT323" s="99"/>
      <c r="BU323" s="99"/>
      <c r="BV323" s="99"/>
      <c r="BW323" s="159"/>
      <c r="BX323" s="99"/>
      <c r="BY323" s="99"/>
      <c r="BZ323" s="159"/>
      <c r="DA323" s="174"/>
      <c r="DB323" s="18"/>
      <c r="DC323" s="18"/>
      <c r="DD323" s="19"/>
      <c r="DE323" s="19"/>
      <c r="DI323" s="18"/>
      <c r="DJ323" s="7"/>
      <c r="DK323" s="7"/>
      <c r="DL323" s="7"/>
      <c r="DM323" s="7"/>
      <c r="DN323" s="7"/>
      <c r="DO323" s="7"/>
      <c r="DP323" s="7"/>
      <c r="DQ323" s="7"/>
      <c r="DR323" s="7"/>
      <c r="DS323" s="7"/>
      <c r="DT323" s="7"/>
      <c r="DU323" s="7"/>
      <c r="DV323" s="7"/>
      <c r="DW323" s="7"/>
      <c r="DX323" s="7"/>
      <c r="DY323" s="7"/>
      <c r="DZ323" s="7"/>
      <c r="EA323" s="161"/>
      <c r="EG323" s="140"/>
      <c r="EH323" s="131"/>
      <c r="EI323" s="102"/>
      <c r="EJ323" s="102"/>
      <c r="EK323" s="102"/>
      <c r="EL323" s="102"/>
      <c r="EM323" s="99"/>
      <c r="EN323" s="4"/>
      <c r="EO323" s="4"/>
      <c r="EP323" s="5"/>
      <c r="EQ323" s="5"/>
      <c r="ER323" s="99"/>
      <c r="ES323" s="159"/>
      <c r="ET323" s="99"/>
      <c r="EU323" s="99"/>
      <c r="EV323" s="99"/>
      <c r="EW323" s="159"/>
      <c r="EX323" s="99"/>
      <c r="EY323" s="99"/>
      <c r="EZ323" s="175"/>
    </row>
    <row r="324" spans="27:156">
      <c r="AA324" s="18"/>
      <c r="AB324" s="18"/>
      <c r="AC324" s="18"/>
      <c r="AD324" s="19"/>
      <c r="AE324" s="19"/>
      <c r="AI324" s="18"/>
      <c r="AJ324" s="7"/>
      <c r="AK324" s="7"/>
      <c r="AL324" s="7"/>
      <c r="AM324" s="7"/>
      <c r="AN324" s="7"/>
      <c r="AO324" s="7"/>
      <c r="AP324" s="7"/>
      <c r="AQ324" s="7"/>
      <c r="AR324" s="7"/>
      <c r="AS324" s="7"/>
      <c r="AT324" s="7"/>
      <c r="AU324" s="7"/>
      <c r="AV324" s="7"/>
      <c r="AW324" s="7"/>
      <c r="AX324" s="7"/>
      <c r="AY324" s="7"/>
      <c r="AZ324" s="7"/>
      <c r="BA324" s="18"/>
      <c r="BG324" s="140"/>
      <c r="BH324" s="131"/>
      <c r="BI324" s="102"/>
      <c r="BJ324" s="102"/>
      <c r="BK324" s="102"/>
      <c r="BL324" s="102"/>
      <c r="BM324" s="99"/>
      <c r="BN324" s="4"/>
      <c r="BO324" s="4"/>
      <c r="BP324" s="5"/>
      <c r="BQ324" s="5"/>
      <c r="BR324" s="99"/>
      <c r="BS324" s="159"/>
      <c r="BT324" s="99"/>
      <c r="BU324" s="99"/>
      <c r="BV324" s="99"/>
      <c r="BW324" s="159"/>
      <c r="BX324" s="99"/>
      <c r="BY324" s="99"/>
      <c r="BZ324" s="159"/>
      <c r="DA324" s="174"/>
      <c r="DB324" s="18"/>
      <c r="DC324" s="18"/>
      <c r="DD324" s="19"/>
      <c r="DE324" s="19"/>
      <c r="DI324" s="18"/>
      <c r="DJ324" s="7"/>
      <c r="DK324" s="7"/>
      <c r="DL324" s="7"/>
      <c r="DM324" s="7"/>
      <c r="DN324" s="7"/>
      <c r="DO324" s="7"/>
      <c r="DP324" s="7"/>
      <c r="DQ324" s="7"/>
      <c r="DR324" s="7"/>
      <c r="DS324" s="7"/>
      <c r="DT324" s="7"/>
      <c r="DU324" s="7"/>
      <c r="DV324" s="7"/>
      <c r="DW324" s="7"/>
      <c r="DX324" s="7"/>
      <c r="DY324" s="7"/>
      <c r="DZ324" s="7"/>
      <c r="EA324" s="161"/>
      <c r="EG324" s="140"/>
      <c r="EH324" s="131"/>
      <c r="EI324" s="102"/>
      <c r="EJ324" s="102"/>
      <c r="EK324" s="102"/>
      <c r="EL324" s="102"/>
      <c r="EM324" s="99"/>
      <c r="EN324" s="4"/>
      <c r="EO324" s="4"/>
      <c r="EP324" s="5"/>
      <c r="EQ324" s="5"/>
      <c r="ER324" s="99"/>
      <c r="ES324" s="159"/>
      <c r="ET324" s="99"/>
      <c r="EU324" s="99"/>
      <c r="EV324" s="99"/>
      <c r="EW324" s="159"/>
      <c r="EX324" s="99"/>
      <c r="EY324" s="99"/>
      <c r="EZ324" s="175"/>
    </row>
    <row r="325" spans="27:156">
      <c r="AA325" s="18"/>
      <c r="AB325" s="18"/>
      <c r="AC325" s="18"/>
      <c r="AD325" s="19"/>
      <c r="AE325" s="19"/>
      <c r="AI325" s="18"/>
      <c r="AJ325" s="7"/>
      <c r="AK325" s="7"/>
      <c r="AL325" s="7"/>
      <c r="AM325" s="7"/>
      <c r="AN325" s="7"/>
      <c r="AO325" s="7"/>
      <c r="AP325" s="7"/>
      <c r="AQ325" s="7"/>
      <c r="AR325" s="7"/>
      <c r="AS325" s="7"/>
      <c r="AT325" s="7"/>
      <c r="AU325" s="7"/>
      <c r="AV325" s="7"/>
      <c r="AW325" s="7"/>
      <c r="AX325" s="7"/>
      <c r="AY325" s="7"/>
      <c r="AZ325" s="7"/>
      <c r="BA325" s="18"/>
      <c r="BG325" s="140"/>
      <c r="BH325" s="131"/>
      <c r="BI325" s="102"/>
      <c r="BJ325" s="102"/>
      <c r="BK325" s="102"/>
      <c r="BL325" s="102"/>
      <c r="BM325" s="99"/>
      <c r="BN325" s="4"/>
      <c r="BO325" s="4"/>
      <c r="BP325" s="5"/>
      <c r="BQ325" s="5"/>
      <c r="BR325" s="99"/>
      <c r="BS325" s="159"/>
      <c r="BT325" s="99"/>
      <c r="BU325" s="99"/>
      <c r="BV325" s="99"/>
      <c r="BW325" s="159"/>
      <c r="BX325" s="99"/>
      <c r="BY325" s="99"/>
      <c r="BZ325" s="159"/>
      <c r="DA325" s="174"/>
      <c r="DB325" s="18"/>
      <c r="DC325" s="18"/>
      <c r="DD325" s="19"/>
      <c r="DE325" s="19"/>
      <c r="DI325" s="18"/>
      <c r="DJ325" s="7"/>
      <c r="DK325" s="7"/>
      <c r="DL325" s="7"/>
      <c r="DM325" s="7"/>
      <c r="DN325" s="7"/>
      <c r="DO325" s="7"/>
      <c r="DP325" s="7"/>
      <c r="DQ325" s="7"/>
      <c r="DR325" s="7"/>
      <c r="DS325" s="7"/>
      <c r="DT325" s="7"/>
      <c r="DU325" s="7"/>
      <c r="DV325" s="7"/>
      <c r="DW325" s="7"/>
      <c r="DX325" s="7"/>
      <c r="DY325" s="7"/>
      <c r="DZ325" s="7"/>
      <c r="EA325" s="161"/>
      <c r="EG325" s="140"/>
      <c r="EH325" s="131"/>
      <c r="EI325" s="102"/>
      <c r="EJ325" s="102"/>
      <c r="EK325" s="102"/>
      <c r="EL325" s="102"/>
      <c r="EM325" s="99"/>
      <c r="EN325" s="4"/>
      <c r="EO325" s="4"/>
      <c r="EP325" s="5"/>
      <c r="EQ325" s="5"/>
      <c r="ER325" s="99"/>
      <c r="ES325" s="159"/>
      <c r="ET325" s="99"/>
      <c r="EU325" s="99"/>
      <c r="EV325" s="99"/>
      <c r="EW325" s="159"/>
      <c r="EX325" s="99"/>
      <c r="EY325" s="99"/>
      <c r="EZ325" s="175"/>
    </row>
    <row r="326" spans="27:156">
      <c r="AA326" s="18"/>
      <c r="AB326" s="18"/>
      <c r="AC326" s="18"/>
      <c r="AD326" s="19"/>
      <c r="AE326" s="19"/>
      <c r="AI326" s="18"/>
      <c r="AJ326" s="7"/>
      <c r="AK326" s="7"/>
      <c r="AL326" s="7"/>
      <c r="AM326" s="7"/>
      <c r="AN326" s="7"/>
      <c r="AO326" s="7"/>
      <c r="AP326" s="7"/>
      <c r="AQ326" s="7"/>
      <c r="AR326" s="7"/>
      <c r="AS326" s="7"/>
      <c r="AT326" s="7"/>
      <c r="AU326" s="7"/>
      <c r="AV326" s="7"/>
      <c r="AW326" s="7"/>
      <c r="AX326" s="7"/>
      <c r="AY326" s="7"/>
      <c r="AZ326" s="7"/>
      <c r="BA326" s="18"/>
      <c r="BG326" s="140"/>
      <c r="BH326" s="131"/>
      <c r="BI326" s="102"/>
      <c r="BJ326" s="102"/>
      <c r="BK326" s="102"/>
      <c r="BL326" s="102"/>
      <c r="BM326" s="99"/>
      <c r="BN326" s="4"/>
      <c r="BO326" s="4"/>
      <c r="BP326" s="5"/>
      <c r="BQ326" s="5"/>
      <c r="BR326" s="99"/>
      <c r="BS326" s="159"/>
      <c r="BT326" s="99"/>
      <c r="BU326" s="99"/>
      <c r="BV326" s="99"/>
      <c r="BW326" s="159"/>
      <c r="BX326" s="99"/>
      <c r="BY326" s="99"/>
      <c r="BZ326" s="159"/>
      <c r="DA326" s="174"/>
      <c r="DB326" s="18"/>
      <c r="DC326" s="18"/>
      <c r="DD326" s="19"/>
      <c r="DE326" s="19"/>
      <c r="DI326" s="18"/>
      <c r="DJ326" s="7"/>
      <c r="DK326" s="7"/>
      <c r="DL326" s="7"/>
      <c r="DM326" s="7"/>
      <c r="DN326" s="7"/>
      <c r="DO326" s="7"/>
      <c r="DP326" s="7"/>
      <c r="DQ326" s="7"/>
      <c r="DR326" s="7"/>
      <c r="DS326" s="7"/>
      <c r="DT326" s="7"/>
      <c r="DU326" s="7"/>
      <c r="DV326" s="7"/>
      <c r="DW326" s="7"/>
      <c r="DX326" s="7"/>
      <c r="DY326" s="7"/>
      <c r="DZ326" s="7"/>
      <c r="EA326" s="161"/>
      <c r="EG326" s="140"/>
      <c r="EH326" s="131"/>
      <c r="EI326" s="102"/>
      <c r="EJ326" s="102"/>
      <c r="EK326" s="102"/>
      <c r="EL326" s="102"/>
      <c r="EM326" s="99"/>
      <c r="EN326" s="4"/>
      <c r="EO326" s="4"/>
      <c r="EP326" s="5"/>
      <c r="EQ326" s="5"/>
      <c r="ER326" s="99"/>
      <c r="ES326" s="159"/>
      <c r="ET326" s="99"/>
      <c r="EU326" s="99"/>
      <c r="EV326" s="99"/>
      <c r="EW326" s="159"/>
      <c r="EX326" s="99"/>
      <c r="EY326" s="99"/>
      <c r="EZ326" s="175"/>
    </row>
    <row r="327" spans="27:156">
      <c r="AA327" s="18"/>
      <c r="AB327" s="18"/>
      <c r="AC327" s="18"/>
      <c r="AD327" s="19"/>
      <c r="AE327" s="19"/>
      <c r="AI327" s="18"/>
      <c r="AJ327" s="7"/>
      <c r="AK327" s="7"/>
      <c r="AL327" s="7"/>
      <c r="AM327" s="7"/>
      <c r="AN327" s="7"/>
      <c r="AO327" s="7"/>
      <c r="AP327" s="7"/>
      <c r="AQ327" s="7"/>
      <c r="AR327" s="7"/>
      <c r="AS327" s="7"/>
      <c r="AT327" s="7"/>
      <c r="AU327" s="7"/>
      <c r="AV327" s="7"/>
      <c r="AW327" s="7"/>
      <c r="AX327" s="7"/>
      <c r="AY327" s="7"/>
      <c r="AZ327" s="7"/>
      <c r="BA327" s="18"/>
      <c r="BG327" s="140"/>
      <c r="BH327" s="131"/>
      <c r="BI327" s="102"/>
      <c r="BJ327" s="102"/>
      <c r="BK327" s="102"/>
      <c r="BL327" s="102"/>
      <c r="BM327" s="99"/>
      <c r="BN327" s="4"/>
      <c r="BO327" s="4"/>
      <c r="BP327" s="5"/>
      <c r="BQ327" s="5"/>
      <c r="BR327" s="99"/>
      <c r="BS327" s="159"/>
      <c r="BT327" s="99"/>
      <c r="BU327" s="99"/>
      <c r="BV327" s="99"/>
      <c r="BW327" s="159"/>
      <c r="BX327" s="99"/>
      <c r="BY327" s="99"/>
      <c r="BZ327" s="159"/>
      <c r="DA327" s="174"/>
      <c r="DB327" s="18"/>
      <c r="DC327" s="18"/>
      <c r="DD327" s="19"/>
      <c r="DE327" s="19"/>
      <c r="DI327" s="18"/>
      <c r="DJ327" s="7"/>
      <c r="DK327" s="7"/>
      <c r="DL327" s="7"/>
      <c r="DM327" s="7"/>
      <c r="DN327" s="7"/>
      <c r="DO327" s="7"/>
      <c r="DP327" s="7"/>
      <c r="DQ327" s="7"/>
      <c r="DR327" s="7"/>
      <c r="DS327" s="7"/>
      <c r="DT327" s="7"/>
      <c r="DU327" s="7"/>
      <c r="DV327" s="7"/>
      <c r="DW327" s="7"/>
      <c r="DX327" s="7"/>
      <c r="DY327" s="7"/>
      <c r="DZ327" s="7"/>
      <c r="EA327" s="161"/>
      <c r="EG327" s="140"/>
      <c r="EH327" s="131"/>
      <c r="EI327" s="102"/>
      <c r="EJ327" s="102"/>
      <c r="EK327" s="102"/>
      <c r="EL327" s="102"/>
      <c r="EM327" s="99"/>
      <c r="EN327" s="4"/>
      <c r="EO327" s="4"/>
      <c r="EP327" s="5"/>
      <c r="EQ327" s="5"/>
      <c r="ER327" s="99"/>
      <c r="ES327" s="159"/>
      <c r="ET327" s="99"/>
      <c r="EU327" s="99"/>
      <c r="EV327" s="99"/>
      <c r="EW327" s="159"/>
      <c r="EX327" s="99"/>
      <c r="EY327" s="99"/>
      <c r="EZ327" s="175"/>
    </row>
    <row r="328" spans="27:156">
      <c r="AA328" s="18"/>
      <c r="AB328" s="18"/>
      <c r="AC328" s="18"/>
      <c r="AD328" s="19"/>
      <c r="AE328" s="19"/>
      <c r="AI328" s="18"/>
      <c r="AJ328" s="7"/>
      <c r="AK328" s="7"/>
      <c r="AL328" s="7"/>
      <c r="AM328" s="7"/>
      <c r="AN328" s="7"/>
      <c r="AO328" s="7"/>
      <c r="AP328" s="7"/>
      <c r="AQ328" s="7"/>
      <c r="AR328" s="7"/>
      <c r="AS328" s="7"/>
      <c r="AT328" s="7"/>
      <c r="AU328" s="7"/>
      <c r="AV328" s="7"/>
      <c r="AW328" s="7"/>
      <c r="AX328" s="7"/>
      <c r="AY328" s="7"/>
      <c r="AZ328" s="7"/>
      <c r="BA328" s="18"/>
      <c r="BG328" s="140"/>
      <c r="BH328" s="131"/>
      <c r="BI328" s="102"/>
      <c r="BJ328" s="102"/>
      <c r="BK328" s="102"/>
      <c r="BL328" s="102"/>
      <c r="BM328" s="99"/>
      <c r="BN328" s="4"/>
      <c r="BO328" s="4"/>
      <c r="BP328" s="5"/>
      <c r="BQ328" s="5"/>
      <c r="BR328" s="99"/>
      <c r="BS328" s="159"/>
      <c r="BT328" s="99"/>
      <c r="BU328" s="99"/>
      <c r="BV328" s="99"/>
      <c r="BW328" s="159"/>
      <c r="BX328" s="99"/>
      <c r="BY328" s="99"/>
      <c r="BZ328" s="159"/>
      <c r="DA328" s="174"/>
      <c r="DB328" s="18"/>
      <c r="DC328" s="18"/>
      <c r="DD328" s="19"/>
      <c r="DE328" s="19"/>
      <c r="DI328" s="18"/>
      <c r="DJ328" s="7"/>
      <c r="DK328" s="7"/>
      <c r="DL328" s="7"/>
      <c r="DM328" s="7"/>
      <c r="DN328" s="7"/>
      <c r="DO328" s="7"/>
      <c r="DP328" s="7"/>
      <c r="DQ328" s="7"/>
      <c r="DR328" s="7"/>
      <c r="DS328" s="7"/>
      <c r="DT328" s="7"/>
      <c r="DU328" s="7"/>
      <c r="DV328" s="7"/>
      <c r="DW328" s="7"/>
      <c r="DX328" s="7"/>
      <c r="DY328" s="7"/>
      <c r="DZ328" s="7"/>
      <c r="EA328" s="161"/>
      <c r="EG328" s="140"/>
      <c r="EH328" s="131"/>
      <c r="EI328" s="102"/>
      <c r="EJ328" s="102"/>
      <c r="EK328" s="102"/>
      <c r="EL328" s="102"/>
      <c r="EM328" s="99"/>
      <c r="EN328" s="4"/>
      <c r="EO328" s="4"/>
      <c r="EP328" s="5"/>
      <c r="EQ328" s="5"/>
      <c r="ER328" s="99"/>
      <c r="ES328" s="159"/>
      <c r="ET328" s="99"/>
      <c r="EU328" s="99"/>
      <c r="EV328" s="99"/>
      <c r="EW328" s="159"/>
      <c r="EX328" s="99"/>
      <c r="EY328" s="99"/>
      <c r="EZ328" s="175"/>
    </row>
    <row r="329" spans="27:156">
      <c r="AA329" s="18"/>
      <c r="AB329" s="18"/>
      <c r="AC329" s="18"/>
      <c r="AD329" s="19"/>
      <c r="AE329" s="19"/>
      <c r="AI329" s="18"/>
      <c r="AJ329" s="7"/>
      <c r="AK329" s="7"/>
      <c r="AL329" s="7"/>
      <c r="AM329" s="7"/>
      <c r="AN329" s="7"/>
      <c r="AO329" s="7"/>
      <c r="AP329" s="7"/>
      <c r="AQ329" s="7"/>
      <c r="AR329" s="7"/>
      <c r="AS329" s="7"/>
      <c r="AT329" s="7"/>
      <c r="AU329" s="7"/>
      <c r="AV329" s="7"/>
      <c r="AW329" s="7"/>
      <c r="AX329" s="7"/>
      <c r="AY329" s="7"/>
      <c r="AZ329" s="7"/>
      <c r="BA329" s="18"/>
      <c r="BG329" s="140"/>
      <c r="BH329" s="131"/>
      <c r="BI329" s="102"/>
      <c r="BJ329" s="102"/>
      <c r="BK329" s="102"/>
      <c r="BL329" s="102"/>
      <c r="BM329" s="99"/>
      <c r="BN329" s="4"/>
      <c r="BO329" s="4"/>
      <c r="BP329" s="5"/>
      <c r="BQ329" s="5"/>
      <c r="BR329" s="99"/>
      <c r="BS329" s="159"/>
      <c r="BT329" s="99"/>
      <c r="BU329" s="99"/>
      <c r="BV329" s="99"/>
      <c r="BW329" s="159"/>
      <c r="BX329" s="99"/>
      <c r="BY329" s="99"/>
      <c r="BZ329" s="159"/>
      <c r="DA329" s="174"/>
      <c r="DB329" s="18"/>
      <c r="DC329" s="18"/>
      <c r="DD329" s="19"/>
      <c r="DE329" s="19"/>
      <c r="DI329" s="18"/>
      <c r="DJ329" s="7"/>
      <c r="DK329" s="7"/>
      <c r="DL329" s="7"/>
      <c r="DM329" s="7"/>
      <c r="DN329" s="7"/>
      <c r="DO329" s="7"/>
      <c r="DP329" s="7"/>
      <c r="DQ329" s="7"/>
      <c r="DR329" s="7"/>
      <c r="DS329" s="7"/>
      <c r="DT329" s="7"/>
      <c r="DU329" s="7"/>
      <c r="DV329" s="7"/>
      <c r="DW329" s="7"/>
      <c r="DX329" s="7"/>
      <c r="DY329" s="7"/>
      <c r="DZ329" s="7"/>
      <c r="EA329" s="161"/>
      <c r="EG329" s="140"/>
      <c r="EH329" s="131"/>
      <c r="EI329" s="102"/>
      <c r="EJ329" s="102"/>
      <c r="EK329" s="102"/>
      <c r="EL329" s="102"/>
      <c r="EM329" s="99"/>
      <c r="EN329" s="4"/>
      <c r="EO329" s="4"/>
      <c r="EP329" s="5"/>
      <c r="EQ329" s="5"/>
      <c r="ER329" s="99"/>
      <c r="ES329" s="159"/>
      <c r="ET329" s="99"/>
      <c r="EU329" s="99"/>
      <c r="EV329" s="99"/>
      <c r="EW329" s="159"/>
      <c r="EX329" s="99"/>
      <c r="EY329" s="99"/>
      <c r="EZ329" s="175"/>
    </row>
    <row r="330" spans="27:156">
      <c r="AA330" s="18"/>
      <c r="AB330" s="18"/>
      <c r="AC330" s="18"/>
      <c r="AD330" s="19"/>
      <c r="AE330" s="19"/>
      <c r="AI330" s="18"/>
      <c r="AJ330" s="7"/>
      <c r="AK330" s="7"/>
      <c r="AL330" s="7"/>
      <c r="AM330" s="7"/>
      <c r="AN330" s="7"/>
      <c r="AO330" s="7"/>
      <c r="AP330" s="7"/>
      <c r="AQ330" s="7"/>
      <c r="AR330" s="7"/>
      <c r="AS330" s="7"/>
      <c r="AT330" s="7"/>
      <c r="AU330" s="7"/>
      <c r="AV330" s="7"/>
      <c r="AW330" s="7"/>
      <c r="AX330" s="7"/>
      <c r="AY330" s="7"/>
      <c r="AZ330" s="7"/>
      <c r="BA330" s="18"/>
      <c r="BG330" s="140"/>
      <c r="BH330" s="131"/>
      <c r="BI330" s="102"/>
      <c r="BJ330" s="102"/>
      <c r="BK330" s="102"/>
      <c r="BL330" s="102"/>
      <c r="BM330" s="99"/>
      <c r="BN330" s="4"/>
      <c r="BO330" s="4"/>
      <c r="BP330" s="5"/>
      <c r="BQ330" s="5"/>
      <c r="BR330" s="99"/>
      <c r="BS330" s="159"/>
      <c r="BT330" s="99"/>
      <c r="BU330" s="99"/>
      <c r="BV330" s="99"/>
      <c r="BW330" s="159"/>
      <c r="BX330" s="99"/>
      <c r="BY330" s="99"/>
      <c r="BZ330" s="159"/>
      <c r="DA330" s="174"/>
      <c r="DB330" s="18"/>
      <c r="DC330" s="18"/>
      <c r="DD330" s="19"/>
      <c r="DE330" s="19"/>
      <c r="DI330" s="18"/>
      <c r="DJ330" s="7"/>
      <c r="DK330" s="7"/>
      <c r="DL330" s="7"/>
      <c r="DM330" s="7"/>
      <c r="DN330" s="7"/>
      <c r="DO330" s="7"/>
      <c r="DP330" s="7"/>
      <c r="DQ330" s="7"/>
      <c r="DR330" s="7"/>
      <c r="DS330" s="7"/>
      <c r="DT330" s="7"/>
      <c r="DU330" s="7"/>
      <c r="DV330" s="7"/>
      <c r="DW330" s="7"/>
      <c r="DX330" s="7"/>
      <c r="DY330" s="7"/>
      <c r="DZ330" s="7"/>
      <c r="EA330" s="161"/>
      <c r="EG330" s="140"/>
      <c r="EH330" s="131"/>
      <c r="EI330" s="102"/>
      <c r="EJ330" s="102"/>
      <c r="EK330" s="102"/>
      <c r="EL330" s="102"/>
      <c r="EM330" s="99"/>
      <c r="EN330" s="4"/>
      <c r="EO330" s="4"/>
      <c r="EP330" s="5"/>
      <c r="EQ330" s="5"/>
      <c r="ER330" s="99"/>
      <c r="ES330" s="159"/>
      <c r="ET330" s="99"/>
      <c r="EU330" s="99"/>
      <c r="EV330" s="99"/>
      <c r="EW330" s="159"/>
      <c r="EX330" s="99"/>
      <c r="EY330" s="99"/>
      <c r="EZ330" s="175"/>
    </row>
    <row r="331" spans="27:156">
      <c r="AA331" s="18"/>
      <c r="AB331" s="18"/>
      <c r="AC331" s="18"/>
      <c r="AD331" s="19"/>
      <c r="AE331" s="19"/>
      <c r="AI331" s="18"/>
      <c r="AJ331" s="7"/>
      <c r="AK331" s="7"/>
      <c r="AL331" s="7"/>
      <c r="AM331" s="7"/>
      <c r="AN331" s="7"/>
      <c r="AO331" s="7"/>
      <c r="AP331" s="7"/>
      <c r="AQ331" s="7"/>
      <c r="AR331" s="7"/>
      <c r="AS331" s="7"/>
      <c r="AT331" s="7"/>
      <c r="AU331" s="7"/>
      <c r="AV331" s="7"/>
      <c r="AW331" s="7"/>
      <c r="AX331" s="7"/>
      <c r="AY331" s="7"/>
      <c r="AZ331" s="7"/>
      <c r="BA331" s="18"/>
      <c r="BG331" s="140"/>
      <c r="BH331" s="131"/>
      <c r="BI331" s="102"/>
      <c r="BJ331" s="102"/>
      <c r="BK331" s="102"/>
      <c r="BL331" s="102"/>
      <c r="BM331" s="99"/>
      <c r="BN331" s="4"/>
      <c r="BO331" s="4"/>
      <c r="BP331" s="5"/>
      <c r="BQ331" s="5"/>
      <c r="BR331" s="99"/>
      <c r="BS331" s="159"/>
      <c r="BT331" s="99"/>
      <c r="BU331" s="99"/>
      <c r="BV331" s="99"/>
      <c r="BW331" s="159"/>
      <c r="BX331" s="99"/>
      <c r="BY331" s="99"/>
      <c r="BZ331" s="159"/>
      <c r="DA331" s="174"/>
      <c r="DB331" s="18"/>
      <c r="DC331" s="18"/>
      <c r="DD331" s="19"/>
      <c r="DE331" s="19"/>
      <c r="DI331" s="18"/>
      <c r="DJ331" s="7"/>
      <c r="DK331" s="7"/>
      <c r="DL331" s="7"/>
      <c r="DM331" s="7"/>
      <c r="DN331" s="7"/>
      <c r="DO331" s="7"/>
      <c r="DP331" s="7"/>
      <c r="DQ331" s="7"/>
      <c r="DR331" s="7"/>
      <c r="DS331" s="7"/>
      <c r="DT331" s="7"/>
      <c r="DU331" s="7"/>
      <c r="DV331" s="7"/>
      <c r="DW331" s="7"/>
      <c r="DX331" s="7"/>
      <c r="DY331" s="7"/>
      <c r="DZ331" s="7"/>
      <c r="EA331" s="161"/>
      <c r="EG331" s="140"/>
      <c r="EH331" s="131"/>
      <c r="EI331" s="102"/>
      <c r="EJ331" s="102"/>
      <c r="EK331" s="102"/>
      <c r="EL331" s="102"/>
      <c r="EM331" s="99"/>
      <c r="EN331" s="4"/>
      <c r="EO331" s="4"/>
      <c r="EP331" s="5"/>
      <c r="EQ331" s="5"/>
      <c r="ER331" s="99"/>
      <c r="ES331" s="159"/>
      <c r="ET331" s="99"/>
      <c r="EU331" s="99"/>
      <c r="EV331" s="99"/>
      <c r="EW331" s="159"/>
      <c r="EX331" s="99"/>
      <c r="EY331" s="99"/>
      <c r="EZ331" s="175"/>
    </row>
    <row r="332" spans="27:156">
      <c r="AA332" s="18"/>
      <c r="AB332" s="18"/>
      <c r="AC332" s="18"/>
      <c r="AD332" s="19"/>
      <c r="AE332" s="19"/>
      <c r="AI332" s="18"/>
      <c r="AJ332" s="7"/>
      <c r="AK332" s="7"/>
      <c r="AL332" s="7"/>
      <c r="AM332" s="7"/>
      <c r="AN332" s="7"/>
      <c r="AO332" s="7"/>
      <c r="AP332" s="7"/>
      <c r="AQ332" s="7"/>
      <c r="AR332" s="7"/>
      <c r="AS332" s="7"/>
      <c r="AT332" s="7"/>
      <c r="AU332" s="7"/>
      <c r="AV332" s="7"/>
      <c r="AW332" s="7"/>
      <c r="AX332" s="7"/>
      <c r="AY332" s="7"/>
      <c r="AZ332" s="7"/>
      <c r="BA332" s="18"/>
      <c r="BG332" s="140"/>
      <c r="BH332" s="131"/>
      <c r="BI332" s="102"/>
      <c r="BJ332" s="102"/>
      <c r="BK332" s="102"/>
      <c r="BL332" s="102"/>
      <c r="BM332" s="99"/>
      <c r="BN332" s="4"/>
      <c r="BO332" s="4"/>
      <c r="BP332" s="5"/>
      <c r="BQ332" s="5"/>
      <c r="BR332" s="99"/>
      <c r="BS332" s="159"/>
      <c r="BT332" s="99"/>
      <c r="BU332" s="99"/>
      <c r="BV332" s="99"/>
      <c r="BW332" s="159"/>
      <c r="BX332" s="99"/>
      <c r="BY332" s="99"/>
      <c r="BZ332" s="159"/>
      <c r="DA332" s="174"/>
      <c r="DB332" s="18"/>
      <c r="DC332" s="18"/>
      <c r="DD332" s="19"/>
      <c r="DE332" s="19"/>
      <c r="DI332" s="18"/>
      <c r="DJ332" s="7"/>
      <c r="DK332" s="7"/>
      <c r="DL332" s="7"/>
      <c r="DM332" s="7"/>
      <c r="DN332" s="7"/>
      <c r="DO332" s="7"/>
      <c r="DP332" s="7"/>
      <c r="DQ332" s="7"/>
      <c r="DR332" s="7"/>
      <c r="DS332" s="7"/>
      <c r="DT332" s="7"/>
      <c r="DU332" s="7"/>
      <c r="DV332" s="7"/>
      <c r="DW332" s="7"/>
      <c r="DX332" s="7"/>
      <c r="DY332" s="7"/>
      <c r="DZ332" s="7"/>
      <c r="EA332" s="161"/>
      <c r="EG332" s="140"/>
      <c r="EH332" s="131"/>
      <c r="EI332" s="102"/>
      <c r="EJ332" s="102"/>
      <c r="EK332" s="102"/>
      <c r="EL332" s="102"/>
      <c r="EM332" s="99"/>
      <c r="EN332" s="4"/>
      <c r="EO332" s="4"/>
      <c r="EP332" s="5"/>
      <c r="EQ332" s="5"/>
      <c r="ER332" s="99"/>
      <c r="ES332" s="159"/>
      <c r="ET332" s="99"/>
      <c r="EU332" s="99"/>
      <c r="EV332" s="99"/>
      <c r="EW332" s="159"/>
      <c r="EX332" s="99"/>
      <c r="EY332" s="99"/>
      <c r="EZ332" s="175"/>
    </row>
    <row r="333" spans="27:156">
      <c r="AA333" s="18"/>
      <c r="AB333" s="18"/>
      <c r="AC333" s="18"/>
      <c r="AD333" s="19"/>
      <c r="AE333" s="19"/>
      <c r="AI333" s="18"/>
      <c r="AJ333" s="7"/>
      <c r="AK333" s="7"/>
      <c r="AL333" s="7"/>
      <c r="AM333" s="7"/>
      <c r="AN333" s="7"/>
      <c r="AO333" s="7"/>
      <c r="AP333" s="7"/>
      <c r="AQ333" s="7"/>
      <c r="AR333" s="7"/>
      <c r="AS333" s="7"/>
      <c r="AT333" s="7"/>
      <c r="AU333" s="7"/>
      <c r="AV333" s="7"/>
      <c r="AW333" s="7"/>
      <c r="AX333" s="7"/>
      <c r="AY333" s="7"/>
      <c r="AZ333" s="7"/>
      <c r="BA333" s="18"/>
      <c r="BG333" s="140"/>
      <c r="BH333" s="131"/>
      <c r="BI333" s="102"/>
      <c r="BJ333" s="102"/>
      <c r="BK333" s="102"/>
      <c r="BL333" s="102"/>
      <c r="BM333" s="99"/>
      <c r="BN333" s="4"/>
      <c r="BO333" s="4"/>
      <c r="BP333" s="5"/>
      <c r="BQ333" s="5"/>
      <c r="BR333" s="99"/>
      <c r="BS333" s="159"/>
      <c r="BT333" s="99"/>
      <c r="BU333" s="99"/>
      <c r="BV333" s="99"/>
      <c r="BW333" s="159"/>
      <c r="BX333" s="99"/>
      <c r="BY333" s="99"/>
      <c r="BZ333" s="159"/>
      <c r="DA333" s="174"/>
      <c r="DB333" s="18"/>
      <c r="DC333" s="18"/>
      <c r="DD333" s="19"/>
      <c r="DE333" s="19"/>
      <c r="DI333" s="18"/>
      <c r="DJ333" s="7"/>
      <c r="DK333" s="7"/>
      <c r="DL333" s="7"/>
      <c r="DM333" s="7"/>
      <c r="DN333" s="7"/>
      <c r="DO333" s="7"/>
      <c r="DP333" s="7"/>
      <c r="DQ333" s="7"/>
      <c r="DR333" s="7"/>
      <c r="DS333" s="7"/>
      <c r="DT333" s="7"/>
      <c r="DU333" s="7"/>
      <c r="DV333" s="7"/>
      <c r="DW333" s="7"/>
      <c r="DX333" s="7"/>
      <c r="DY333" s="7"/>
      <c r="DZ333" s="7"/>
      <c r="EA333" s="161"/>
      <c r="EG333" s="140"/>
      <c r="EH333" s="131"/>
      <c r="EI333" s="102"/>
      <c r="EJ333" s="102"/>
      <c r="EK333" s="102"/>
      <c r="EL333" s="102"/>
      <c r="EM333" s="99"/>
      <c r="EN333" s="4"/>
      <c r="EO333" s="4"/>
      <c r="EP333" s="5"/>
      <c r="EQ333" s="5"/>
      <c r="ER333" s="99"/>
      <c r="ES333" s="159"/>
      <c r="ET333" s="99"/>
      <c r="EU333" s="99"/>
      <c r="EV333" s="99"/>
      <c r="EW333" s="159"/>
      <c r="EX333" s="99"/>
      <c r="EY333" s="99"/>
      <c r="EZ333" s="175"/>
    </row>
    <row r="334" spans="27:156">
      <c r="AA334" s="18"/>
      <c r="AB334" s="18"/>
      <c r="AC334" s="18"/>
      <c r="AD334" s="19"/>
      <c r="AE334" s="19"/>
      <c r="AI334" s="18"/>
      <c r="AJ334" s="7"/>
      <c r="AK334" s="7"/>
      <c r="AL334" s="7"/>
      <c r="AM334" s="7"/>
      <c r="AN334" s="7"/>
      <c r="AO334" s="7"/>
      <c r="AP334" s="7"/>
      <c r="AQ334" s="7"/>
      <c r="AR334" s="7"/>
      <c r="AS334" s="7"/>
      <c r="AT334" s="7"/>
      <c r="AU334" s="7"/>
      <c r="AV334" s="7"/>
      <c r="AW334" s="7"/>
      <c r="AX334" s="7"/>
      <c r="AY334" s="7"/>
      <c r="AZ334" s="7"/>
      <c r="BA334" s="18"/>
      <c r="BG334" s="140"/>
      <c r="BH334" s="131"/>
      <c r="BI334" s="102"/>
      <c r="BJ334" s="102"/>
      <c r="BK334" s="102"/>
      <c r="BL334" s="102"/>
      <c r="BM334" s="99"/>
      <c r="BN334" s="4"/>
      <c r="BO334" s="4"/>
      <c r="BP334" s="5"/>
      <c r="BQ334" s="5"/>
      <c r="BR334" s="99"/>
      <c r="BS334" s="159"/>
      <c r="BT334" s="99"/>
      <c r="BU334" s="99"/>
      <c r="BV334" s="99"/>
      <c r="BW334" s="159"/>
      <c r="BX334" s="99"/>
      <c r="BY334" s="99"/>
      <c r="BZ334" s="159"/>
      <c r="DA334" s="174"/>
      <c r="DB334" s="18"/>
      <c r="DC334" s="18"/>
      <c r="DD334" s="19"/>
      <c r="DE334" s="19"/>
      <c r="DI334" s="18"/>
      <c r="DJ334" s="7"/>
      <c r="DK334" s="7"/>
      <c r="DL334" s="7"/>
      <c r="DM334" s="7"/>
      <c r="DN334" s="7"/>
      <c r="DO334" s="7"/>
      <c r="DP334" s="7"/>
      <c r="DQ334" s="7"/>
      <c r="DR334" s="7"/>
      <c r="DS334" s="7"/>
      <c r="DT334" s="7"/>
      <c r="DU334" s="7"/>
      <c r="DV334" s="7"/>
      <c r="DW334" s="7"/>
      <c r="DX334" s="7"/>
      <c r="DY334" s="7"/>
      <c r="DZ334" s="7"/>
      <c r="EA334" s="161"/>
      <c r="EG334" s="140"/>
      <c r="EH334" s="131"/>
      <c r="EI334" s="102"/>
      <c r="EJ334" s="102"/>
      <c r="EK334" s="102"/>
      <c r="EL334" s="102"/>
      <c r="EM334" s="99"/>
      <c r="EN334" s="4"/>
      <c r="EO334" s="4"/>
      <c r="EP334" s="5"/>
      <c r="EQ334" s="5"/>
      <c r="ER334" s="99"/>
      <c r="ES334" s="159"/>
      <c r="ET334" s="99"/>
      <c r="EU334" s="99"/>
      <c r="EV334" s="99"/>
      <c r="EW334" s="159"/>
      <c r="EX334" s="99"/>
      <c r="EY334" s="99"/>
      <c r="EZ334" s="175"/>
    </row>
    <row r="335" spans="27:156">
      <c r="AA335" s="18"/>
      <c r="AB335" s="18"/>
      <c r="AC335" s="18"/>
      <c r="AD335" s="19"/>
      <c r="AE335" s="19"/>
      <c r="AI335" s="18"/>
      <c r="AJ335" s="7"/>
      <c r="AK335" s="7"/>
      <c r="AL335" s="7"/>
      <c r="AM335" s="7"/>
      <c r="AN335" s="7"/>
      <c r="AO335" s="7"/>
      <c r="AP335" s="7"/>
      <c r="AQ335" s="7"/>
      <c r="AR335" s="7"/>
      <c r="AS335" s="7"/>
      <c r="AT335" s="7"/>
      <c r="AU335" s="7"/>
      <c r="AV335" s="7"/>
      <c r="AW335" s="7"/>
      <c r="AX335" s="7"/>
      <c r="AY335" s="7"/>
      <c r="AZ335" s="7"/>
      <c r="BA335" s="18"/>
      <c r="BG335" s="140"/>
      <c r="BH335" s="131"/>
      <c r="BI335" s="102"/>
      <c r="BJ335" s="102"/>
      <c r="BK335" s="102"/>
      <c r="BL335" s="102"/>
      <c r="BM335" s="99"/>
      <c r="BN335" s="4"/>
      <c r="BO335" s="4"/>
      <c r="BP335" s="5"/>
      <c r="BQ335" s="5"/>
      <c r="BR335" s="99"/>
      <c r="BS335" s="159"/>
      <c r="BT335" s="99"/>
      <c r="BU335" s="99"/>
      <c r="BV335" s="99"/>
      <c r="BW335" s="159"/>
      <c r="BX335" s="99"/>
      <c r="BY335" s="99"/>
      <c r="BZ335" s="159"/>
      <c r="DA335" s="174"/>
      <c r="DB335" s="18"/>
      <c r="DC335" s="18"/>
      <c r="DD335" s="19"/>
      <c r="DE335" s="19"/>
      <c r="DI335" s="18"/>
      <c r="DJ335" s="7"/>
      <c r="DK335" s="7"/>
      <c r="DL335" s="7"/>
      <c r="DM335" s="7"/>
      <c r="DN335" s="7"/>
      <c r="DO335" s="7"/>
      <c r="DP335" s="7"/>
      <c r="DQ335" s="7"/>
      <c r="DR335" s="7"/>
      <c r="DS335" s="7"/>
      <c r="DT335" s="7"/>
      <c r="DU335" s="7"/>
      <c r="DV335" s="7"/>
      <c r="DW335" s="7"/>
      <c r="DX335" s="7"/>
      <c r="DY335" s="7"/>
      <c r="DZ335" s="7"/>
      <c r="EA335" s="161"/>
      <c r="EG335" s="140"/>
      <c r="EH335" s="131"/>
      <c r="EI335" s="102"/>
      <c r="EJ335" s="102"/>
      <c r="EK335" s="102"/>
      <c r="EL335" s="102"/>
      <c r="EM335" s="99"/>
      <c r="EN335" s="4"/>
      <c r="EO335" s="4"/>
      <c r="EP335" s="5"/>
      <c r="EQ335" s="5"/>
      <c r="ER335" s="99"/>
      <c r="ES335" s="159"/>
      <c r="ET335" s="99"/>
      <c r="EU335" s="99"/>
      <c r="EV335" s="99"/>
      <c r="EW335" s="159"/>
      <c r="EX335" s="99"/>
      <c r="EY335" s="99"/>
      <c r="EZ335" s="175"/>
    </row>
    <row r="336" spans="27:156">
      <c r="AA336" s="18"/>
      <c r="AB336" s="18"/>
      <c r="AC336" s="18"/>
      <c r="AD336" s="19"/>
      <c r="AE336" s="19"/>
      <c r="AI336" s="18"/>
      <c r="AJ336" s="7"/>
      <c r="AK336" s="7"/>
      <c r="AL336" s="7"/>
      <c r="AM336" s="7"/>
      <c r="AN336" s="7"/>
      <c r="AO336" s="7"/>
      <c r="AP336" s="7"/>
      <c r="AQ336" s="7"/>
      <c r="AR336" s="7"/>
      <c r="AS336" s="7"/>
      <c r="AT336" s="7"/>
      <c r="AU336" s="7"/>
      <c r="AV336" s="7"/>
      <c r="AW336" s="7"/>
      <c r="AX336" s="7"/>
      <c r="AY336" s="7"/>
      <c r="AZ336" s="7"/>
      <c r="BA336" s="18"/>
      <c r="BG336" s="140"/>
      <c r="BH336" s="131"/>
      <c r="BI336" s="102"/>
      <c r="BJ336" s="102"/>
      <c r="BK336" s="102"/>
      <c r="BL336" s="102"/>
      <c r="BM336" s="99"/>
      <c r="BN336" s="4"/>
      <c r="BO336" s="4"/>
      <c r="BP336" s="5"/>
      <c r="BQ336" s="5"/>
      <c r="BR336" s="99"/>
      <c r="BS336" s="159"/>
      <c r="BT336" s="99"/>
      <c r="BU336" s="99"/>
      <c r="BV336" s="99"/>
      <c r="BW336" s="159"/>
      <c r="BX336" s="99"/>
      <c r="BY336" s="99"/>
      <c r="BZ336" s="159"/>
      <c r="DA336" s="174"/>
      <c r="DB336" s="18"/>
      <c r="DC336" s="18"/>
      <c r="DD336" s="19"/>
      <c r="DE336" s="19"/>
      <c r="DI336" s="18"/>
      <c r="DJ336" s="7"/>
      <c r="DK336" s="7"/>
      <c r="DL336" s="7"/>
      <c r="DM336" s="7"/>
      <c r="DN336" s="7"/>
      <c r="DO336" s="7"/>
      <c r="DP336" s="7"/>
      <c r="DQ336" s="7"/>
      <c r="DR336" s="7"/>
      <c r="DS336" s="7"/>
      <c r="DT336" s="7"/>
      <c r="DU336" s="7"/>
      <c r="DV336" s="7"/>
      <c r="DW336" s="7"/>
      <c r="DX336" s="7"/>
      <c r="DY336" s="7"/>
      <c r="DZ336" s="7"/>
      <c r="EA336" s="161"/>
      <c r="EG336" s="140"/>
      <c r="EH336" s="131"/>
      <c r="EI336" s="102"/>
      <c r="EJ336" s="102"/>
      <c r="EK336" s="102"/>
      <c r="EL336" s="102"/>
      <c r="EM336" s="99"/>
      <c r="EN336" s="4"/>
      <c r="EO336" s="4"/>
      <c r="EP336" s="5"/>
      <c r="EQ336" s="5"/>
      <c r="ER336" s="99"/>
      <c r="ES336" s="159"/>
      <c r="ET336" s="99"/>
      <c r="EU336" s="99"/>
      <c r="EV336" s="99"/>
      <c r="EW336" s="159"/>
      <c r="EX336" s="99"/>
      <c r="EY336" s="99"/>
      <c r="EZ336" s="175"/>
    </row>
    <row r="337" spans="27:156">
      <c r="AA337" s="18"/>
      <c r="AB337" s="18"/>
      <c r="AC337" s="18"/>
      <c r="AD337" s="19"/>
      <c r="AE337" s="19"/>
      <c r="AI337" s="18"/>
      <c r="AJ337" s="7"/>
      <c r="AK337" s="7"/>
      <c r="AL337" s="7"/>
      <c r="AM337" s="7"/>
      <c r="AN337" s="7"/>
      <c r="AO337" s="7"/>
      <c r="AP337" s="7"/>
      <c r="AQ337" s="7"/>
      <c r="AR337" s="7"/>
      <c r="AS337" s="7"/>
      <c r="AT337" s="7"/>
      <c r="AU337" s="7"/>
      <c r="AV337" s="7"/>
      <c r="AW337" s="7"/>
      <c r="AX337" s="7"/>
      <c r="AY337" s="7"/>
      <c r="AZ337" s="7"/>
      <c r="BA337" s="18"/>
      <c r="BG337" s="140"/>
      <c r="BH337" s="131"/>
      <c r="BI337" s="102"/>
      <c r="BJ337" s="102"/>
      <c r="BK337" s="102"/>
      <c r="BL337" s="102"/>
      <c r="BM337" s="99"/>
      <c r="BN337" s="4"/>
      <c r="BO337" s="4"/>
      <c r="BP337" s="5"/>
      <c r="BQ337" s="5"/>
      <c r="BR337" s="99"/>
      <c r="BS337" s="159"/>
      <c r="BT337" s="99"/>
      <c r="BU337" s="99"/>
      <c r="BV337" s="99"/>
      <c r="BW337" s="159"/>
      <c r="BX337" s="99"/>
      <c r="BY337" s="99"/>
      <c r="BZ337" s="159"/>
      <c r="DA337" s="174"/>
      <c r="DB337" s="18"/>
      <c r="DC337" s="18"/>
      <c r="DD337" s="19"/>
      <c r="DE337" s="19"/>
      <c r="DI337" s="18"/>
      <c r="DJ337" s="7"/>
      <c r="DK337" s="7"/>
      <c r="DL337" s="7"/>
      <c r="DM337" s="7"/>
      <c r="DN337" s="7"/>
      <c r="DO337" s="7"/>
      <c r="DP337" s="7"/>
      <c r="DQ337" s="7"/>
      <c r="DR337" s="7"/>
      <c r="DS337" s="7"/>
      <c r="DT337" s="7"/>
      <c r="DU337" s="7"/>
      <c r="DV337" s="7"/>
      <c r="DW337" s="7"/>
      <c r="DX337" s="7"/>
      <c r="DY337" s="7"/>
      <c r="DZ337" s="7"/>
      <c r="EA337" s="161"/>
      <c r="EG337" s="140"/>
      <c r="EH337" s="131"/>
      <c r="EI337" s="102"/>
      <c r="EJ337" s="102"/>
      <c r="EK337" s="102"/>
      <c r="EL337" s="102"/>
      <c r="EM337" s="99"/>
      <c r="EN337" s="4"/>
      <c r="EO337" s="4"/>
      <c r="EP337" s="5"/>
      <c r="EQ337" s="5"/>
      <c r="ER337" s="99"/>
      <c r="ES337" s="159"/>
      <c r="ET337" s="99"/>
      <c r="EU337" s="99"/>
      <c r="EV337" s="99"/>
      <c r="EW337" s="159"/>
      <c r="EX337" s="99"/>
      <c r="EY337" s="99"/>
      <c r="EZ337" s="175"/>
    </row>
    <row r="338" spans="27:156">
      <c r="AA338" s="18"/>
      <c r="AB338" s="18"/>
      <c r="AC338" s="18"/>
      <c r="AD338" s="19"/>
      <c r="AE338" s="19"/>
      <c r="AI338" s="18"/>
      <c r="AJ338" s="7"/>
      <c r="AK338" s="7"/>
      <c r="AL338" s="7"/>
      <c r="AM338" s="7"/>
      <c r="AN338" s="7"/>
      <c r="AO338" s="7"/>
      <c r="AP338" s="7"/>
      <c r="AQ338" s="7"/>
      <c r="AR338" s="7"/>
      <c r="AS338" s="7"/>
      <c r="AT338" s="7"/>
      <c r="AU338" s="7"/>
      <c r="AV338" s="7"/>
      <c r="AW338" s="7"/>
      <c r="AX338" s="7"/>
      <c r="AY338" s="7"/>
      <c r="AZ338" s="7"/>
      <c r="BA338" s="18"/>
      <c r="BG338" s="140"/>
      <c r="BH338" s="131"/>
      <c r="BI338" s="102"/>
      <c r="BJ338" s="102"/>
      <c r="BK338" s="102"/>
      <c r="BL338" s="102"/>
      <c r="BM338" s="99"/>
      <c r="BN338" s="4"/>
      <c r="BO338" s="4"/>
      <c r="BP338" s="5"/>
      <c r="BQ338" s="5"/>
      <c r="BR338" s="99"/>
      <c r="BS338" s="159"/>
      <c r="BT338" s="99"/>
      <c r="BU338" s="99"/>
      <c r="BV338" s="99"/>
      <c r="BW338" s="159"/>
      <c r="BX338" s="99"/>
      <c r="BY338" s="99"/>
      <c r="BZ338" s="159"/>
      <c r="DA338" s="174"/>
      <c r="DB338" s="18"/>
      <c r="DC338" s="18"/>
      <c r="DD338" s="19"/>
      <c r="DE338" s="19"/>
      <c r="DI338" s="18"/>
      <c r="DJ338" s="7"/>
      <c r="DK338" s="7"/>
      <c r="DL338" s="7"/>
      <c r="DM338" s="7"/>
      <c r="DN338" s="7"/>
      <c r="DO338" s="7"/>
      <c r="DP338" s="7"/>
      <c r="DQ338" s="7"/>
      <c r="DR338" s="7"/>
      <c r="DS338" s="7"/>
      <c r="DT338" s="7"/>
      <c r="DU338" s="7"/>
      <c r="DV338" s="7"/>
      <c r="DW338" s="7"/>
      <c r="DX338" s="7"/>
      <c r="DY338" s="7"/>
      <c r="DZ338" s="7"/>
      <c r="EA338" s="161"/>
      <c r="EG338" s="140"/>
      <c r="EH338" s="131"/>
      <c r="EI338" s="102"/>
      <c r="EJ338" s="102"/>
      <c r="EK338" s="102"/>
      <c r="EL338" s="102"/>
      <c r="EM338" s="99"/>
      <c r="EN338" s="4"/>
      <c r="EO338" s="4"/>
      <c r="EP338" s="5"/>
      <c r="EQ338" s="5"/>
      <c r="ER338" s="99"/>
      <c r="ES338" s="159"/>
      <c r="ET338" s="99"/>
      <c r="EU338" s="99"/>
      <c r="EV338" s="99"/>
      <c r="EW338" s="159"/>
      <c r="EX338" s="99"/>
      <c r="EY338" s="99"/>
      <c r="EZ338" s="175"/>
    </row>
    <row r="339" spans="27:156">
      <c r="AA339" s="18"/>
      <c r="AB339" s="18"/>
      <c r="AC339" s="18"/>
      <c r="AD339" s="19"/>
      <c r="AE339" s="19"/>
      <c r="AI339" s="18"/>
      <c r="AJ339" s="7"/>
      <c r="AK339" s="7"/>
      <c r="AL339" s="7"/>
      <c r="AM339" s="7"/>
      <c r="AN339" s="7"/>
      <c r="AO339" s="7"/>
      <c r="AP339" s="7"/>
      <c r="AQ339" s="7"/>
      <c r="AR339" s="7"/>
      <c r="AS339" s="7"/>
      <c r="AT339" s="7"/>
      <c r="AU339" s="7"/>
      <c r="AV339" s="7"/>
      <c r="AW339" s="7"/>
      <c r="AX339" s="7"/>
      <c r="AY339" s="7"/>
      <c r="AZ339" s="7"/>
      <c r="BA339" s="18"/>
      <c r="BG339" s="140"/>
      <c r="BH339" s="131"/>
      <c r="BI339" s="102"/>
      <c r="BJ339" s="102"/>
      <c r="BK339" s="102"/>
      <c r="BL339" s="102"/>
      <c r="BM339" s="99"/>
      <c r="BN339" s="4"/>
      <c r="BO339" s="4"/>
      <c r="BP339" s="5"/>
      <c r="BQ339" s="5"/>
      <c r="BR339" s="99"/>
      <c r="BS339" s="159"/>
      <c r="BT339" s="99"/>
      <c r="BU339" s="99"/>
      <c r="BV339" s="99"/>
      <c r="BW339" s="159"/>
      <c r="BX339" s="99"/>
      <c r="BY339" s="99"/>
      <c r="BZ339" s="159"/>
      <c r="DA339" s="174"/>
      <c r="DB339" s="18"/>
      <c r="DC339" s="18"/>
      <c r="DD339" s="19"/>
      <c r="DE339" s="19"/>
      <c r="DI339" s="18"/>
      <c r="DJ339" s="7"/>
      <c r="DK339" s="7"/>
      <c r="DL339" s="7"/>
      <c r="DM339" s="7"/>
      <c r="DN339" s="7"/>
      <c r="DO339" s="7"/>
      <c r="DP339" s="7"/>
      <c r="DQ339" s="7"/>
      <c r="DR339" s="7"/>
      <c r="DS339" s="7"/>
      <c r="DT339" s="7"/>
      <c r="DU339" s="7"/>
      <c r="DV339" s="7"/>
      <c r="DW339" s="7"/>
      <c r="DX339" s="7"/>
      <c r="DY339" s="7"/>
      <c r="DZ339" s="7"/>
      <c r="EA339" s="161"/>
      <c r="EG339" s="140"/>
      <c r="EH339" s="131"/>
      <c r="EI339" s="102"/>
      <c r="EJ339" s="102"/>
      <c r="EK339" s="102"/>
      <c r="EL339" s="102"/>
      <c r="EM339" s="99"/>
      <c r="EN339" s="4"/>
      <c r="EO339" s="4"/>
      <c r="EP339" s="5"/>
      <c r="EQ339" s="5"/>
      <c r="ER339" s="99"/>
      <c r="ES339" s="159"/>
      <c r="ET339" s="99"/>
      <c r="EU339" s="99"/>
      <c r="EV339" s="99"/>
      <c r="EW339" s="159"/>
      <c r="EX339" s="99"/>
      <c r="EY339" s="99"/>
      <c r="EZ339" s="175"/>
    </row>
    <row r="340" spans="27:156">
      <c r="AA340" s="18"/>
      <c r="AB340" s="18"/>
      <c r="AC340" s="18"/>
      <c r="AD340" s="19"/>
      <c r="AE340" s="19"/>
      <c r="AI340" s="18"/>
      <c r="AJ340" s="7"/>
      <c r="AK340" s="7"/>
      <c r="AL340" s="7"/>
      <c r="AM340" s="7"/>
      <c r="AN340" s="7"/>
      <c r="AO340" s="7"/>
      <c r="AP340" s="7"/>
      <c r="AQ340" s="7"/>
      <c r="AR340" s="7"/>
      <c r="AS340" s="7"/>
      <c r="AT340" s="7"/>
      <c r="AU340" s="7"/>
      <c r="AV340" s="7"/>
      <c r="AW340" s="7"/>
      <c r="AX340" s="7"/>
      <c r="AY340" s="7"/>
      <c r="AZ340" s="7"/>
      <c r="BA340" s="18"/>
      <c r="BG340" s="140"/>
      <c r="BH340" s="131"/>
      <c r="BI340" s="102"/>
      <c r="BJ340" s="102"/>
      <c r="BK340" s="102"/>
      <c r="BL340" s="102"/>
      <c r="BM340" s="99"/>
      <c r="BN340" s="4"/>
      <c r="BO340" s="4"/>
      <c r="BP340" s="5"/>
      <c r="BQ340" s="5"/>
      <c r="BR340" s="99"/>
      <c r="BS340" s="159"/>
      <c r="BT340" s="99"/>
      <c r="BU340" s="99"/>
      <c r="BV340" s="99"/>
      <c r="BW340" s="159"/>
      <c r="BX340" s="99"/>
      <c r="BY340" s="99"/>
      <c r="BZ340" s="159"/>
      <c r="DA340" s="174"/>
      <c r="DB340" s="18"/>
      <c r="DC340" s="18"/>
      <c r="DD340" s="19"/>
      <c r="DE340" s="19"/>
      <c r="DI340" s="18"/>
      <c r="DJ340" s="7"/>
      <c r="DK340" s="7"/>
      <c r="DL340" s="7"/>
      <c r="DM340" s="7"/>
      <c r="DN340" s="7"/>
      <c r="DO340" s="7"/>
      <c r="DP340" s="7"/>
      <c r="DQ340" s="7"/>
      <c r="DR340" s="7"/>
      <c r="DS340" s="7"/>
      <c r="DT340" s="7"/>
      <c r="DU340" s="7"/>
      <c r="DV340" s="7"/>
      <c r="DW340" s="7"/>
      <c r="DX340" s="7"/>
      <c r="DY340" s="7"/>
      <c r="DZ340" s="7"/>
      <c r="EA340" s="161"/>
      <c r="EG340" s="140"/>
      <c r="EH340" s="131"/>
      <c r="EI340" s="102"/>
      <c r="EJ340" s="102"/>
      <c r="EK340" s="102"/>
      <c r="EL340" s="102"/>
      <c r="EM340" s="99"/>
      <c r="EN340" s="4"/>
      <c r="EO340" s="4"/>
      <c r="EP340" s="5"/>
      <c r="EQ340" s="5"/>
      <c r="ER340" s="99"/>
      <c r="ES340" s="159"/>
      <c r="ET340" s="99"/>
      <c r="EU340" s="99"/>
      <c r="EV340" s="99"/>
      <c r="EW340" s="159"/>
      <c r="EX340" s="99"/>
      <c r="EY340" s="99"/>
      <c r="EZ340" s="175"/>
    </row>
    <row r="341" spans="27:156">
      <c r="AA341" s="18"/>
      <c r="AB341" s="18"/>
      <c r="AC341" s="18"/>
      <c r="AD341" s="19"/>
      <c r="AE341" s="19"/>
      <c r="AI341" s="18"/>
      <c r="AJ341" s="7"/>
      <c r="AK341" s="7"/>
      <c r="AL341" s="7"/>
      <c r="AM341" s="7"/>
      <c r="AN341" s="7"/>
      <c r="AO341" s="7"/>
      <c r="AP341" s="7"/>
      <c r="AQ341" s="7"/>
      <c r="AR341" s="7"/>
      <c r="AS341" s="7"/>
      <c r="AT341" s="7"/>
      <c r="AU341" s="7"/>
      <c r="AV341" s="7"/>
      <c r="AW341" s="7"/>
      <c r="AX341" s="7"/>
      <c r="AY341" s="7"/>
      <c r="AZ341" s="7"/>
      <c r="BA341" s="18"/>
      <c r="BG341" s="140"/>
      <c r="BH341" s="131"/>
      <c r="BI341" s="102"/>
      <c r="BJ341" s="102"/>
      <c r="BK341" s="102"/>
      <c r="BL341" s="102"/>
      <c r="BM341" s="99"/>
      <c r="BN341" s="4"/>
      <c r="BO341" s="4"/>
      <c r="BP341" s="5"/>
      <c r="BQ341" s="5"/>
      <c r="BR341" s="99"/>
      <c r="BS341" s="159"/>
      <c r="BT341" s="99"/>
      <c r="BU341" s="99"/>
      <c r="BV341" s="99"/>
      <c r="BW341" s="159"/>
      <c r="BX341" s="99"/>
      <c r="BY341" s="99"/>
      <c r="BZ341" s="159"/>
      <c r="DA341" s="174"/>
      <c r="DB341" s="18"/>
      <c r="DC341" s="18"/>
      <c r="DD341" s="19"/>
      <c r="DE341" s="19"/>
      <c r="DI341" s="18"/>
      <c r="DJ341" s="7"/>
      <c r="DK341" s="7"/>
      <c r="DL341" s="7"/>
      <c r="DM341" s="7"/>
      <c r="DN341" s="7"/>
      <c r="DO341" s="7"/>
      <c r="DP341" s="7"/>
      <c r="DQ341" s="7"/>
      <c r="DR341" s="7"/>
      <c r="DS341" s="7"/>
      <c r="DT341" s="7"/>
      <c r="DU341" s="7"/>
      <c r="DV341" s="7"/>
      <c r="DW341" s="7"/>
      <c r="DX341" s="7"/>
      <c r="DY341" s="7"/>
      <c r="DZ341" s="7"/>
      <c r="EA341" s="161"/>
      <c r="EG341" s="140"/>
      <c r="EH341" s="131"/>
      <c r="EI341" s="102"/>
      <c r="EJ341" s="102"/>
      <c r="EK341" s="102"/>
      <c r="EL341" s="102"/>
      <c r="EM341" s="99"/>
      <c r="EN341" s="4"/>
      <c r="EO341" s="4"/>
      <c r="EP341" s="5"/>
      <c r="EQ341" s="5"/>
      <c r="ER341" s="99"/>
      <c r="ES341" s="159"/>
      <c r="ET341" s="99"/>
      <c r="EU341" s="99"/>
      <c r="EV341" s="99"/>
      <c r="EW341" s="159"/>
      <c r="EX341" s="99"/>
      <c r="EY341" s="99"/>
      <c r="EZ341" s="175"/>
    </row>
    <row r="342" spans="27:156">
      <c r="AA342" s="18"/>
      <c r="AB342" s="18"/>
      <c r="AC342" s="18"/>
      <c r="AD342" s="19"/>
      <c r="AE342" s="19"/>
      <c r="AI342" s="18"/>
      <c r="AJ342" s="7"/>
      <c r="AK342" s="7"/>
      <c r="AL342" s="7"/>
      <c r="AM342" s="7"/>
      <c r="AN342" s="7"/>
      <c r="AO342" s="7"/>
      <c r="AP342" s="7"/>
      <c r="AQ342" s="7"/>
      <c r="AR342" s="7"/>
      <c r="AS342" s="7"/>
      <c r="AT342" s="7"/>
      <c r="AU342" s="7"/>
      <c r="AV342" s="7"/>
      <c r="AW342" s="7"/>
      <c r="AX342" s="7"/>
      <c r="AY342" s="7"/>
      <c r="AZ342" s="7"/>
      <c r="BA342" s="18"/>
      <c r="BG342" s="140"/>
      <c r="BH342" s="131"/>
      <c r="BI342" s="102"/>
      <c r="BJ342" s="102"/>
      <c r="BK342" s="102"/>
      <c r="BL342" s="102"/>
      <c r="BM342" s="99"/>
      <c r="BN342" s="4"/>
      <c r="BO342" s="4"/>
      <c r="BP342" s="5"/>
      <c r="BQ342" s="5"/>
      <c r="BR342" s="99"/>
      <c r="BS342" s="159"/>
      <c r="BT342" s="99"/>
      <c r="BU342" s="99"/>
      <c r="BV342" s="99"/>
      <c r="BW342" s="159"/>
      <c r="BX342" s="99"/>
      <c r="BY342" s="99"/>
      <c r="BZ342" s="159"/>
      <c r="DA342" s="174"/>
      <c r="DB342" s="18"/>
      <c r="DC342" s="18"/>
      <c r="DD342" s="19"/>
      <c r="DE342" s="19"/>
      <c r="DI342" s="18"/>
      <c r="DJ342" s="7"/>
      <c r="DK342" s="7"/>
      <c r="DL342" s="7"/>
      <c r="DM342" s="7"/>
      <c r="DN342" s="7"/>
      <c r="DO342" s="7"/>
      <c r="DP342" s="7"/>
      <c r="DQ342" s="7"/>
      <c r="DR342" s="7"/>
      <c r="DS342" s="7"/>
      <c r="DT342" s="7"/>
      <c r="DU342" s="7"/>
      <c r="DV342" s="7"/>
      <c r="DW342" s="7"/>
      <c r="DX342" s="7"/>
      <c r="DY342" s="7"/>
      <c r="DZ342" s="7"/>
      <c r="EA342" s="161"/>
      <c r="EG342" s="140"/>
      <c r="EH342" s="131"/>
      <c r="EI342" s="102"/>
      <c r="EJ342" s="102"/>
      <c r="EK342" s="102"/>
      <c r="EL342" s="102"/>
      <c r="EM342" s="99"/>
      <c r="EN342" s="4"/>
      <c r="EO342" s="4"/>
      <c r="EP342" s="5"/>
      <c r="EQ342" s="5"/>
      <c r="ER342" s="99"/>
      <c r="ES342" s="159"/>
      <c r="ET342" s="99"/>
      <c r="EU342" s="99"/>
      <c r="EV342" s="99"/>
      <c r="EW342" s="159"/>
      <c r="EX342" s="99"/>
      <c r="EY342" s="99"/>
      <c r="EZ342" s="175"/>
    </row>
    <row r="343" spans="27:156">
      <c r="AA343" s="18"/>
      <c r="AB343" s="18"/>
      <c r="AC343" s="18"/>
      <c r="AD343" s="19"/>
      <c r="AE343" s="19"/>
      <c r="AI343" s="18"/>
      <c r="AJ343" s="7"/>
      <c r="AK343" s="7"/>
      <c r="AL343" s="7"/>
      <c r="AM343" s="7"/>
      <c r="AN343" s="7"/>
      <c r="AO343" s="7"/>
      <c r="AP343" s="7"/>
      <c r="AQ343" s="7"/>
      <c r="AR343" s="7"/>
      <c r="AS343" s="7"/>
      <c r="AT343" s="7"/>
      <c r="AU343" s="7"/>
      <c r="AV343" s="7"/>
      <c r="AW343" s="7"/>
      <c r="AX343" s="7"/>
      <c r="AY343" s="7"/>
      <c r="AZ343" s="7"/>
      <c r="BA343" s="18"/>
      <c r="BG343" s="140"/>
      <c r="BH343" s="131"/>
      <c r="BI343" s="102"/>
      <c r="BJ343" s="102"/>
      <c r="BK343" s="102"/>
      <c r="BL343" s="102"/>
      <c r="BM343" s="99"/>
      <c r="BN343" s="4"/>
      <c r="BO343" s="4"/>
      <c r="BP343" s="5"/>
      <c r="BQ343" s="5"/>
      <c r="BR343" s="99"/>
      <c r="BS343" s="159"/>
      <c r="BT343" s="99"/>
      <c r="BU343" s="99"/>
      <c r="BV343" s="99"/>
      <c r="BW343" s="159"/>
      <c r="BX343" s="99"/>
      <c r="BY343" s="99"/>
      <c r="BZ343" s="159"/>
      <c r="DA343" s="174"/>
      <c r="DB343" s="18"/>
      <c r="DC343" s="18"/>
      <c r="DD343" s="19"/>
      <c r="DE343" s="19"/>
      <c r="DI343" s="18"/>
      <c r="DJ343" s="7"/>
      <c r="DK343" s="7"/>
      <c r="DL343" s="7"/>
      <c r="DM343" s="7"/>
      <c r="DN343" s="7"/>
      <c r="DO343" s="7"/>
      <c r="DP343" s="7"/>
      <c r="DQ343" s="7"/>
      <c r="DR343" s="7"/>
      <c r="DS343" s="7"/>
      <c r="DT343" s="7"/>
      <c r="DU343" s="7"/>
      <c r="DV343" s="7"/>
      <c r="DW343" s="7"/>
      <c r="DX343" s="7"/>
      <c r="DY343" s="7"/>
      <c r="DZ343" s="7"/>
      <c r="EA343" s="161"/>
      <c r="EG343" s="140"/>
      <c r="EH343" s="131"/>
      <c r="EI343" s="102"/>
      <c r="EJ343" s="102"/>
      <c r="EK343" s="102"/>
      <c r="EL343" s="102"/>
      <c r="EM343" s="99"/>
      <c r="EN343" s="4"/>
      <c r="EO343" s="4"/>
      <c r="EP343" s="5"/>
      <c r="EQ343" s="5"/>
      <c r="ER343" s="99"/>
      <c r="ES343" s="159"/>
      <c r="ET343" s="99"/>
      <c r="EU343" s="99"/>
      <c r="EV343" s="99"/>
      <c r="EW343" s="159"/>
      <c r="EX343" s="99"/>
      <c r="EY343" s="99"/>
      <c r="EZ343" s="175"/>
    </row>
    <row r="344" spans="27:156">
      <c r="AA344" s="18"/>
      <c r="AB344" s="18"/>
      <c r="AC344" s="18"/>
      <c r="AD344" s="19"/>
      <c r="AE344" s="19"/>
      <c r="AI344" s="18"/>
      <c r="AJ344" s="7"/>
      <c r="AK344" s="7"/>
      <c r="AL344" s="7"/>
      <c r="AM344" s="7"/>
      <c r="AN344" s="7"/>
      <c r="AO344" s="7"/>
      <c r="AP344" s="7"/>
      <c r="AQ344" s="7"/>
      <c r="AR344" s="7"/>
      <c r="AS344" s="7"/>
      <c r="AT344" s="7"/>
      <c r="AU344" s="7"/>
      <c r="AV344" s="7"/>
      <c r="AW344" s="7"/>
      <c r="AX344" s="7"/>
      <c r="AY344" s="7"/>
      <c r="AZ344" s="7"/>
      <c r="BA344" s="18"/>
      <c r="BG344" s="140"/>
      <c r="BH344" s="131"/>
      <c r="BI344" s="102"/>
      <c r="BJ344" s="102"/>
      <c r="BK344" s="102"/>
      <c r="BL344" s="102"/>
      <c r="BM344" s="99"/>
      <c r="BN344" s="4"/>
      <c r="BO344" s="4"/>
      <c r="BP344" s="5"/>
      <c r="BQ344" s="5"/>
      <c r="BR344" s="99"/>
      <c r="BS344" s="159"/>
      <c r="BT344" s="99"/>
      <c r="BU344" s="99"/>
      <c r="BV344" s="99"/>
      <c r="BW344" s="159"/>
      <c r="BX344" s="99"/>
      <c r="BY344" s="99"/>
      <c r="BZ344" s="159"/>
      <c r="DA344" s="174"/>
      <c r="DB344" s="18"/>
      <c r="DC344" s="18"/>
      <c r="DD344" s="19"/>
      <c r="DE344" s="19"/>
      <c r="DI344" s="18"/>
      <c r="DJ344" s="7"/>
      <c r="DK344" s="7"/>
      <c r="DL344" s="7"/>
      <c r="DM344" s="7"/>
      <c r="DN344" s="7"/>
      <c r="DO344" s="7"/>
      <c r="DP344" s="7"/>
      <c r="DQ344" s="7"/>
      <c r="DR344" s="7"/>
      <c r="DS344" s="7"/>
      <c r="DT344" s="7"/>
      <c r="DU344" s="7"/>
      <c r="DV344" s="7"/>
      <c r="DW344" s="7"/>
      <c r="DX344" s="7"/>
      <c r="DY344" s="7"/>
      <c r="DZ344" s="7"/>
      <c r="EA344" s="161"/>
      <c r="EG344" s="140"/>
      <c r="EH344" s="131"/>
      <c r="EI344" s="102"/>
      <c r="EJ344" s="102"/>
      <c r="EK344" s="102"/>
      <c r="EL344" s="102"/>
      <c r="EM344" s="99"/>
      <c r="EN344" s="4"/>
      <c r="EO344" s="4"/>
      <c r="EP344" s="5"/>
      <c r="EQ344" s="5"/>
      <c r="ER344" s="99"/>
      <c r="ES344" s="159"/>
      <c r="ET344" s="99"/>
      <c r="EU344" s="99"/>
      <c r="EV344" s="99"/>
      <c r="EW344" s="159"/>
      <c r="EX344" s="99"/>
      <c r="EY344" s="99"/>
      <c r="EZ344" s="175"/>
    </row>
    <row r="345" spans="27:156">
      <c r="AA345" s="18"/>
      <c r="AB345" s="18"/>
      <c r="AC345" s="18"/>
      <c r="AD345" s="19"/>
      <c r="AE345" s="19"/>
      <c r="AI345" s="18"/>
      <c r="AJ345" s="7"/>
      <c r="AK345" s="7"/>
      <c r="AL345" s="7"/>
      <c r="AM345" s="7"/>
      <c r="AN345" s="7"/>
      <c r="AO345" s="7"/>
      <c r="AP345" s="7"/>
      <c r="AQ345" s="7"/>
      <c r="AR345" s="7"/>
      <c r="AS345" s="7"/>
      <c r="AT345" s="7"/>
      <c r="AU345" s="7"/>
      <c r="AV345" s="7"/>
      <c r="AW345" s="7"/>
      <c r="AX345" s="7"/>
      <c r="AY345" s="7"/>
      <c r="AZ345" s="7"/>
      <c r="BA345" s="18"/>
      <c r="BG345" s="140"/>
      <c r="BH345" s="131"/>
      <c r="BI345" s="102"/>
      <c r="BJ345" s="102"/>
      <c r="BK345" s="102"/>
      <c r="BL345" s="102"/>
      <c r="BM345" s="99"/>
      <c r="BN345" s="4"/>
      <c r="BO345" s="4"/>
      <c r="BP345" s="5"/>
      <c r="BQ345" s="5"/>
      <c r="BR345" s="99"/>
      <c r="BS345" s="159"/>
      <c r="BT345" s="99"/>
      <c r="BU345" s="99"/>
      <c r="BV345" s="99"/>
      <c r="BW345" s="159"/>
      <c r="BX345" s="99"/>
      <c r="BY345" s="99"/>
      <c r="BZ345" s="159"/>
      <c r="DA345" s="174"/>
      <c r="DB345" s="18"/>
      <c r="DC345" s="18"/>
      <c r="DD345" s="19"/>
      <c r="DE345" s="19"/>
      <c r="DI345" s="18"/>
      <c r="DJ345" s="7"/>
      <c r="DK345" s="7"/>
      <c r="DL345" s="7"/>
      <c r="DM345" s="7"/>
      <c r="DN345" s="7"/>
      <c r="DO345" s="7"/>
      <c r="DP345" s="7"/>
      <c r="DQ345" s="7"/>
      <c r="DR345" s="7"/>
      <c r="DS345" s="7"/>
      <c r="DT345" s="7"/>
      <c r="DU345" s="7"/>
      <c r="DV345" s="7"/>
      <c r="DW345" s="7"/>
      <c r="DX345" s="7"/>
      <c r="DY345" s="7"/>
      <c r="DZ345" s="7"/>
      <c r="EA345" s="161"/>
      <c r="EG345" s="140"/>
      <c r="EH345" s="131"/>
      <c r="EI345" s="102"/>
      <c r="EJ345" s="102"/>
      <c r="EK345" s="102"/>
      <c r="EL345" s="102"/>
      <c r="EM345" s="99"/>
      <c r="EN345" s="4"/>
      <c r="EO345" s="4"/>
      <c r="EP345" s="5"/>
      <c r="EQ345" s="5"/>
      <c r="ER345" s="99"/>
      <c r="ES345" s="159"/>
      <c r="ET345" s="99"/>
      <c r="EU345" s="99"/>
      <c r="EV345" s="99"/>
      <c r="EW345" s="159"/>
      <c r="EX345" s="99"/>
      <c r="EY345" s="99"/>
      <c r="EZ345" s="175"/>
    </row>
    <row r="346" spans="27:156">
      <c r="AA346" s="18"/>
      <c r="AB346" s="18"/>
      <c r="AC346" s="18"/>
      <c r="AD346" s="19"/>
      <c r="AE346" s="19"/>
      <c r="AI346" s="18"/>
      <c r="AJ346" s="7"/>
      <c r="AK346" s="7"/>
      <c r="AL346" s="7"/>
      <c r="AM346" s="7"/>
      <c r="AN346" s="7"/>
      <c r="AO346" s="7"/>
      <c r="AP346" s="7"/>
      <c r="AQ346" s="7"/>
      <c r="AR346" s="7"/>
      <c r="AS346" s="7"/>
      <c r="AT346" s="7"/>
      <c r="AU346" s="7"/>
      <c r="AV346" s="7"/>
      <c r="AW346" s="7"/>
      <c r="AX346" s="7"/>
      <c r="AY346" s="7"/>
      <c r="AZ346" s="7"/>
      <c r="BA346" s="18"/>
      <c r="BG346" s="140"/>
      <c r="BH346" s="131"/>
      <c r="BI346" s="102"/>
      <c r="BJ346" s="102"/>
      <c r="BK346" s="102"/>
      <c r="BL346" s="102"/>
      <c r="BM346" s="99"/>
      <c r="BN346" s="4"/>
      <c r="BO346" s="4"/>
      <c r="BP346" s="5"/>
      <c r="BQ346" s="5"/>
      <c r="BR346" s="99"/>
      <c r="BS346" s="159"/>
      <c r="BT346" s="99"/>
      <c r="BU346" s="99"/>
      <c r="BV346" s="99"/>
      <c r="BW346" s="159"/>
      <c r="BX346" s="99"/>
      <c r="BY346" s="99"/>
      <c r="BZ346" s="159"/>
      <c r="DA346" s="174"/>
      <c r="DB346" s="18"/>
      <c r="DC346" s="18"/>
      <c r="DD346" s="19"/>
      <c r="DE346" s="19"/>
      <c r="DI346" s="18"/>
      <c r="DJ346" s="7"/>
      <c r="DK346" s="7"/>
      <c r="DL346" s="7"/>
      <c r="DM346" s="7"/>
      <c r="DN346" s="7"/>
      <c r="DO346" s="7"/>
      <c r="DP346" s="7"/>
      <c r="DQ346" s="7"/>
      <c r="DR346" s="7"/>
      <c r="DS346" s="7"/>
      <c r="DT346" s="7"/>
      <c r="DU346" s="7"/>
      <c r="DV346" s="7"/>
      <c r="DW346" s="7"/>
      <c r="DX346" s="7"/>
      <c r="DY346" s="7"/>
      <c r="DZ346" s="7"/>
      <c r="EA346" s="161"/>
      <c r="EG346" s="140"/>
      <c r="EH346" s="131"/>
      <c r="EI346" s="102"/>
      <c r="EJ346" s="102"/>
      <c r="EK346" s="102"/>
      <c r="EL346" s="102"/>
      <c r="EM346" s="99"/>
      <c r="EN346" s="4"/>
      <c r="EO346" s="4"/>
      <c r="EP346" s="5"/>
      <c r="EQ346" s="5"/>
      <c r="ER346" s="99"/>
      <c r="ES346" s="159"/>
      <c r="ET346" s="99"/>
      <c r="EU346" s="99"/>
      <c r="EV346" s="99"/>
      <c r="EW346" s="159"/>
      <c r="EX346" s="99"/>
      <c r="EY346" s="99"/>
      <c r="EZ346" s="175"/>
    </row>
    <row r="347" spans="27:156">
      <c r="AA347" s="18"/>
      <c r="AB347" s="18"/>
      <c r="AC347" s="18"/>
      <c r="AD347" s="19"/>
      <c r="AE347" s="19"/>
      <c r="AI347" s="18"/>
      <c r="AJ347" s="7"/>
      <c r="AK347" s="7"/>
      <c r="AL347" s="7"/>
      <c r="AM347" s="7"/>
      <c r="AN347" s="7"/>
      <c r="AO347" s="7"/>
      <c r="AP347" s="7"/>
      <c r="AQ347" s="7"/>
      <c r="AR347" s="7"/>
      <c r="AS347" s="7"/>
      <c r="AT347" s="7"/>
      <c r="AU347" s="7"/>
      <c r="AV347" s="7"/>
      <c r="AW347" s="7"/>
      <c r="AX347" s="7"/>
      <c r="AY347" s="7"/>
      <c r="AZ347" s="7"/>
      <c r="BA347" s="18"/>
      <c r="BG347" s="140"/>
      <c r="BH347" s="131"/>
      <c r="BI347" s="102"/>
      <c r="BJ347" s="102"/>
      <c r="BK347" s="102"/>
      <c r="BL347" s="102"/>
      <c r="BM347" s="99"/>
      <c r="BN347" s="4"/>
      <c r="BO347" s="4"/>
      <c r="BP347" s="5"/>
      <c r="BQ347" s="5"/>
      <c r="BR347" s="99"/>
      <c r="BS347" s="159"/>
      <c r="BT347" s="99"/>
      <c r="BU347" s="99"/>
      <c r="BV347" s="99"/>
      <c r="BW347" s="159"/>
      <c r="BX347" s="99"/>
      <c r="BY347" s="99"/>
      <c r="BZ347" s="159"/>
      <c r="DA347" s="174"/>
      <c r="DB347" s="18"/>
      <c r="DC347" s="18"/>
      <c r="DD347" s="19"/>
      <c r="DE347" s="19"/>
      <c r="DI347" s="18"/>
      <c r="DJ347" s="7"/>
      <c r="DK347" s="7"/>
      <c r="DL347" s="7"/>
      <c r="DM347" s="7"/>
      <c r="DN347" s="7"/>
      <c r="DO347" s="7"/>
      <c r="DP347" s="7"/>
      <c r="DQ347" s="7"/>
      <c r="DR347" s="7"/>
      <c r="DS347" s="7"/>
      <c r="DT347" s="7"/>
      <c r="DU347" s="7"/>
      <c r="DV347" s="7"/>
      <c r="DW347" s="7"/>
      <c r="DX347" s="7"/>
      <c r="DY347" s="7"/>
      <c r="DZ347" s="7"/>
      <c r="EA347" s="161"/>
      <c r="EG347" s="140"/>
      <c r="EH347" s="131"/>
      <c r="EI347" s="102"/>
      <c r="EJ347" s="102"/>
      <c r="EK347" s="102"/>
      <c r="EL347" s="102"/>
      <c r="EM347" s="99"/>
      <c r="EN347" s="4"/>
      <c r="EO347" s="4"/>
      <c r="EP347" s="5"/>
      <c r="EQ347" s="5"/>
      <c r="ER347" s="99"/>
      <c r="ES347" s="159"/>
      <c r="ET347" s="99"/>
      <c r="EU347" s="99"/>
      <c r="EV347" s="99"/>
      <c r="EW347" s="159"/>
      <c r="EX347" s="99"/>
      <c r="EY347" s="99"/>
      <c r="EZ347" s="175"/>
    </row>
    <row r="348" spans="27:156">
      <c r="AA348" s="18"/>
      <c r="AB348" s="18"/>
      <c r="AC348" s="18"/>
      <c r="AD348" s="19"/>
      <c r="AE348" s="19"/>
      <c r="AI348" s="18"/>
      <c r="AJ348" s="7"/>
      <c r="AK348" s="7"/>
      <c r="AL348" s="7"/>
      <c r="AM348" s="7"/>
      <c r="AN348" s="7"/>
      <c r="AO348" s="7"/>
      <c r="AP348" s="7"/>
      <c r="AQ348" s="7"/>
      <c r="AR348" s="7"/>
      <c r="AS348" s="7"/>
      <c r="AT348" s="7"/>
      <c r="AU348" s="7"/>
      <c r="AV348" s="7"/>
      <c r="AW348" s="7"/>
      <c r="AX348" s="7"/>
      <c r="AY348" s="7"/>
      <c r="AZ348" s="7"/>
      <c r="BA348" s="18"/>
      <c r="BG348" s="140"/>
      <c r="BH348" s="131"/>
      <c r="BI348" s="102"/>
      <c r="BJ348" s="102"/>
      <c r="BK348" s="102"/>
      <c r="BL348" s="102"/>
      <c r="BM348" s="99"/>
      <c r="BN348" s="4"/>
      <c r="BO348" s="4"/>
      <c r="BP348" s="5"/>
      <c r="BQ348" s="5"/>
      <c r="BR348" s="99"/>
      <c r="BS348" s="159"/>
      <c r="BT348" s="99"/>
      <c r="BU348" s="99"/>
      <c r="BV348" s="99"/>
      <c r="BW348" s="159"/>
      <c r="BX348" s="99"/>
      <c r="BY348" s="99"/>
      <c r="BZ348" s="159"/>
      <c r="DA348" s="174"/>
      <c r="DB348" s="18"/>
      <c r="DC348" s="18"/>
      <c r="DD348" s="19"/>
      <c r="DE348" s="19"/>
      <c r="DI348" s="18"/>
      <c r="DJ348" s="7"/>
      <c r="DK348" s="7"/>
      <c r="DL348" s="7"/>
      <c r="DM348" s="7"/>
      <c r="DN348" s="7"/>
      <c r="DO348" s="7"/>
      <c r="DP348" s="7"/>
      <c r="DQ348" s="7"/>
      <c r="DR348" s="7"/>
      <c r="DS348" s="7"/>
      <c r="DT348" s="7"/>
      <c r="DU348" s="7"/>
      <c r="DV348" s="7"/>
      <c r="DW348" s="7"/>
      <c r="DX348" s="7"/>
      <c r="DY348" s="7"/>
      <c r="DZ348" s="7"/>
      <c r="EA348" s="161"/>
      <c r="EG348" s="140"/>
      <c r="EH348" s="131"/>
      <c r="EI348" s="102"/>
      <c r="EJ348" s="102"/>
      <c r="EK348" s="102"/>
      <c r="EL348" s="102"/>
      <c r="EM348" s="99"/>
      <c r="EN348" s="4"/>
      <c r="EO348" s="4"/>
      <c r="EP348" s="5"/>
      <c r="EQ348" s="5"/>
      <c r="ER348" s="99"/>
      <c r="ES348" s="159"/>
      <c r="ET348" s="99"/>
      <c r="EU348" s="99"/>
      <c r="EV348" s="99"/>
      <c r="EW348" s="159"/>
      <c r="EX348" s="99"/>
      <c r="EY348" s="99"/>
      <c r="EZ348" s="175"/>
    </row>
    <row r="349" spans="27:156">
      <c r="AA349" s="18"/>
      <c r="AB349" s="18"/>
      <c r="AC349" s="18"/>
      <c r="AD349" s="19"/>
      <c r="AE349" s="19"/>
      <c r="AI349" s="18"/>
      <c r="AJ349" s="7"/>
      <c r="AK349" s="7"/>
      <c r="AL349" s="7"/>
      <c r="AM349" s="7"/>
      <c r="AN349" s="7"/>
      <c r="AO349" s="7"/>
      <c r="AP349" s="7"/>
      <c r="AQ349" s="7"/>
      <c r="AR349" s="7"/>
      <c r="AS349" s="7"/>
      <c r="AT349" s="7"/>
      <c r="AU349" s="7"/>
      <c r="AV349" s="7"/>
      <c r="AW349" s="7"/>
      <c r="AX349" s="7"/>
      <c r="AY349" s="7"/>
      <c r="AZ349" s="7"/>
      <c r="BA349" s="18"/>
      <c r="BG349" s="140"/>
      <c r="BH349" s="131"/>
      <c r="BI349" s="102"/>
      <c r="BJ349" s="102"/>
      <c r="BK349" s="102"/>
      <c r="BL349" s="102"/>
      <c r="BM349" s="99"/>
      <c r="BN349" s="4"/>
      <c r="BO349" s="4"/>
      <c r="BP349" s="5"/>
      <c r="BQ349" s="5"/>
      <c r="BR349" s="99"/>
      <c r="BS349" s="159"/>
      <c r="BT349" s="99"/>
      <c r="BU349" s="99"/>
      <c r="BV349" s="99"/>
      <c r="BW349" s="159"/>
      <c r="BX349" s="99"/>
      <c r="BY349" s="99"/>
      <c r="BZ349" s="159"/>
      <c r="DA349" s="174"/>
      <c r="DB349" s="18"/>
      <c r="DC349" s="18"/>
      <c r="DD349" s="19"/>
      <c r="DE349" s="19"/>
      <c r="DI349" s="18"/>
      <c r="DJ349" s="7"/>
      <c r="DK349" s="7"/>
      <c r="DL349" s="7"/>
      <c r="DM349" s="7"/>
      <c r="DN349" s="7"/>
      <c r="DO349" s="7"/>
      <c r="DP349" s="7"/>
      <c r="DQ349" s="7"/>
      <c r="DR349" s="7"/>
      <c r="DS349" s="7"/>
      <c r="DT349" s="7"/>
      <c r="DU349" s="7"/>
      <c r="DV349" s="7"/>
      <c r="DW349" s="7"/>
      <c r="DX349" s="7"/>
      <c r="DY349" s="7"/>
      <c r="DZ349" s="7"/>
      <c r="EA349" s="161"/>
      <c r="EG349" s="140"/>
      <c r="EH349" s="131"/>
      <c r="EI349" s="102"/>
      <c r="EJ349" s="102"/>
      <c r="EK349" s="102"/>
      <c r="EL349" s="102"/>
      <c r="EM349" s="99"/>
      <c r="EN349" s="4"/>
      <c r="EO349" s="4"/>
      <c r="EP349" s="5"/>
      <c r="EQ349" s="5"/>
      <c r="ER349" s="99"/>
      <c r="ES349" s="159"/>
      <c r="ET349" s="99"/>
      <c r="EU349" s="99"/>
      <c r="EV349" s="99"/>
      <c r="EW349" s="159"/>
      <c r="EX349" s="99"/>
      <c r="EY349" s="99"/>
      <c r="EZ349" s="175"/>
    </row>
    <row r="350" spans="27:156">
      <c r="AA350" s="18"/>
      <c r="AB350" s="18"/>
      <c r="AC350" s="18"/>
      <c r="AD350" s="19"/>
      <c r="AE350" s="19"/>
      <c r="AI350" s="18"/>
      <c r="AJ350" s="7"/>
      <c r="AK350" s="7"/>
      <c r="AL350" s="7"/>
      <c r="AM350" s="7"/>
      <c r="AN350" s="7"/>
      <c r="AO350" s="7"/>
      <c r="AP350" s="7"/>
      <c r="AQ350" s="7"/>
      <c r="AR350" s="7"/>
      <c r="AS350" s="7"/>
      <c r="AT350" s="7"/>
      <c r="AU350" s="7"/>
      <c r="AV350" s="7"/>
      <c r="AW350" s="7"/>
      <c r="AX350" s="7"/>
      <c r="AY350" s="7"/>
      <c r="AZ350" s="7"/>
      <c r="BA350" s="18"/>
      <c r="BG350" s="140"/>
      <c r="BH350" s="131"/>
      <c r="BI350" s="102"/>
      <c r="BJ350" s="102"/>
      <c r="BK350" s="102"/>
      <c r="BL350" s="102"/>
      <c r="BM350" s="99"/>
      <c r="BN350" s="4"/>
      <c r="BO350" s="4"/>
      <c r="BP350" s="5"/>
      <c r="BQ350" s="5"/>
      <c r="BR350" s="99"/>
      <c r="BS350" s="159"/>
      <c r="BT350" s="99"/>
      <c r="BU350" s="99"/>
      <c r="BV350" s="99"/>
      <c r="BW350" s="159"/>
      <c r="BX350" s="99"/>
      <c r="BY350" s="99"/>
      <c r="BZ350" s="159"/>
      <c r="DA350" s="174"/>
      <c r="DB350" s="18"/>
      <c r="DC350" s="18"/>
      <c r="DD350" s="19"/>
      <c r="DE350" s="19"/>
      <c r="DI350" s="18"/>
      <c r="DJ350" s="7"/>
      <c r="DK350" s="7"/>
      <c r="DL350" s="7"/>
      <c r="DM350" s="7"/>
      <c r="DN350" s="7"/>
      <c r="DO350" s="7"/>
      <c r="DP350" s="7"/>
      <c r="DQ350" s="7"/>
      <c r="DR350" s="7"/>
      <c r="DS350" s="7"/>
      <c r="DT350" s="7"/>
      <c r="DU350" s="7"/>
      <c r="DV350" s="7"/>
      <c r="DW350" s="7"/>
      <c r="DX350" s="7"/>
      <c r="DY350" s="7"/>
      <c r="DZ350" s="7"/>
      <c r="EA350" s="161"/>
      <c r="EG350" s="140"/>
      <c r="EH350" s="131"/>
      <c r="EI350" s="102"/>
      <c r="EJ350" s="102"/>
      <c r="EK350" s="102"/>
      <c r="EL350" s="102"/>
      <c r="EM350" s="99"/>
      <c r="EN350" s="4"/>
      <c r="EO350" s="4"/>
      <c r="EP350" s="5"/>
      <c r="EQ350" s="5"/>
      <c r="ER350" s="99"/>
      <c r="ES350" s="159"/>
      <c r="ET350" s="99"/>
      <c r="EU350" s="99"/>
      <c r="EV350" s="99"/>
      <c r="EW350" s="159"/>
      <c r="EX350" s="99"/>
      <c r="EY350" s="99"/>
      <c r="EZ350" s="175"/>
    </row>
    <row r="351" spans="27:156">
      <c r="AA351" s="18"/>
      <c r="AB351" s="18"/>
      <c r="AC351" s="18"/>
      <c r="AD351" s="19"/>
      <c r="AE351" s="19"/>
      <c r="AI351" s="18"/>
      <c r="AJ351" s="7"/>
      <c r="AK351" s="7"/>
      <c r="AL351" s="7"/>
      <c r="AM351" s="7"/>
      <c r="AN351" s="7"/>
      <c r="AO351" s="7"/>
      <c r="AP351" s="7"/>
      <c r="AQ351" s="7"/>
      <c r="AR351" s="7"/>
      <c r="AS351" s="7"/>
      <c r="AT351" s="7"/>
      <c r="AU351" s="7"/>
      <c r="AV351" s="7"/>
      <c r="AW351" s="7"/>
      <c r="AX351" s="7"/>
      <c r="AY351" s="7"/>
      <c r="AZ351" s="7"/>
      <c r="BA351" s="18"/>
      <c r="BG351" s="140"/>
      <c r="BH351" s="131"/>
      <c r="BI351" s="102"/>
      <c r="BJ351" s="102"/>
      <c r="BK351" s="102"/>
      <c r="BL351" s="102"/>
      <c r="BM351" s="99"/>
      <c r="BN351" s="4"/>
      <c r="BO351" s="4"/>
      <c r="BP351" s="5"/>
      <c r="BQ351" s="5"/>
      <c r="BR351" s="99"/>
      <c r="BS351" s="159"/>
      <c r="BT351" s="99"/>
      <c r="BU351" s="99"/>
      <c r="BV351" s="99"/>
      <c r="BW351" s="159"/>
      <c r="BX351" s="99"/>
      <c r="BY351" s="99"/>
      <c r="BZ351" s="159"/>
      <c r="DA351" s="174"/>
      <c r="DB351" s="18"/>
      <c r="DC351" s="18"/>
      <c r="DD351" s="19"/>
      <c r="DE351" s="19"/>
      <c r="DI351" s="18"/>
      <c r="DJ351" s="7"/>
      <c r="DK351" s="7"/>
      <c r="DL351" s="7"/>
      <c r="DM351" s="7"/>
      <c r="DN351" s="7"/>
      <c r="DO351" s="7"/>
      <c r="DP351" s="7"/>
      <c r="DQ351" s="7"/>
      <c r="DR351" s="7"/>
      <c r="DS351" s="7"/>
      <c r="DT351" s="7"/>
      <c r="DU351" s="7"/>
      <c r="DV351" s="7"/>
      <c r="DW351" s="7"/>
      <c r="DX351" s="7"/>
      <c r="DY351" s="7"/>
      <c r="DZ351" s="7"/>
      <c r="EA351" s="161"/>
      <c r="EG351" s="140"/>
      <c r="EH351" s="131"/>
      <c r="EI351" s="102"/>
      <c r="EJ351" s="102"/>
      <c r="EK351" s="102"/>
      <c r="EL351" s="102"/>
      <c r="EM351" s="99"/>
      <c r="EN351" s="4"/>
      <c r="EO351" s="4"/>
      <c r="EP351" s="5"/>
      <c r="EQ351" s="5"/>
      <c r="ER351" s="99"/>
      <c r="ES351" s="159"/>
      <c r="ET351" s="99"/>
      <c r="EU351" s="99"/>
      <c r="EV351" s="99"/>
      <c r="EW351" s="159"/>
      <c r="EX351" s="99"/>
      <c r="EY351" s="99"/>
      <c r="EZ351" s="175"/>
    </row>
    <row r="352" spans="27:156">
      <c r="AA352" s="18"/>
      <c r="AB352" s="18"/>
      <c r="AC352" s="18"/>
      <c r="AD352" s="19"/>
      <c r="AE352" s="19"/>
      <c r="AI352" s="18"/>
      <c r="AJ352" s="7"/>
      <c r="AK352" s="7"/>
      <c r="AL352" s="7"/>
      <c r="AM352" s="7"/>
      <c r="AN352" s="7"/>
      <c r="AO352" s="7"/>
      <c r="AP352" s="7"/>
      <c r="AQ352" s="7"/>
      <c r="AR352" s="7"/>
      <c r="AS352" s="7"/>
      <c r="AT352" s="7"/>
      <c r="AU352" s="7"/>
      <c r="AV352" s="7"/>
      <c r="AW352" s="7"/>
      <c r="AX352" s="7"/>
      <c r="AY352" s="7"/>
      <c r="AZ352" s="7"/>
      <c r="BA352" s="18"/>
      <c r="BG352" s="140"/>
      <c r="BH352" s="131"/>
      <c r="BI352" s="102"/>
      <c r="BJ352" s="102"/>
      <c r="BK352" s="102"/>
      <c r="BL352" s="102"/>
      <c r="BM352" s="99"/>
      <c r="BN352" s="4"/>
      <c r="BO352" s="4"/>
      <c r="BP352" s="5"/>
      <c r="BQ352" s="5"/>
      <c r="BR352" s="99"/>
      <c r="BS352" s="159"/>
      <c r="BT352" s="99"/>
      <c r="BU352" s="99"/>
      <c r="BV352" s="99"/>
      <c r="BW352" s="159"/>
      <c r="BX352" s="99"/>
      <c r="BY352" s="99"/>
      <c r="BZ352" s="159"/>
      <c r="DA352" s="174"/>
      <c r="DB352" s="18"/>
      <c r="DC352" s="18"/>
      <c r="DD352" s="19"/>
      <c r="DE352" s="19"/>
      <c r="DI352" s="18"/>
      <c r="DJ352" s="7"/>
      <c r="DK352" s="7"/>
      <c r="DL352" s="7"/>
      <c r="DM352" s="7"/>
      <c r="DN352" s="7"/>
      <c r="DO352" s="7"/>
      <c r="DP352" s="7"/>
      <c r="DQ352" s="7"/>
      <c r="DR352" s="7"/>
      <c r="DS352" s="7"/>
      <c r="DT352" s="7"/>
      <c r="DU352" s="7"/>
      <c r="DV352" s="7"/>
      <c r="DW352" s="7"/>
      <c r="DX352" s="7"/>
      <c r="DY352" s="7"/>
      <c r="DZ352" s="7"/>
      <c r="EA352" s="161"/>
      <c r="EG352" s="140"/>
      <c r="EH352" s="131"/>
      <c r="EI352" s="102"/>
      <c r="EJ352" s="102"/>
      <c r="EK352" s="102"/>
      <c r="EL352" s="102"/>
      <c r="EM352" s="99"/>
      <c r="EN352" s="4"/>
      <c r="EO352" s="4"/>
      <c r="EP352" s="5"/>
      <c r="EQ352" s="5"/>
      <c r="ER352" s="99"/>
      <c r="ES352" s="159"/>
      <c r="ET352" s="99"/>
      <c r="EU352" s="99"/>
      <c r="EV352" s="99"/>
      <c r="EW352" s="159"/>
      <c r="EX352" s="99"/>
      <c r="EY352" s="99"/>
      <c r="EZ352" s="175"/>
    </row>
    <row r="353" spans="27:156">
      <c r="AA353" s="18"/>
      <c r="AB353" s="18"/>
      <c r="AC353" s="18"/>
      <c r="AD353" s="19"/>
      <c r="AE353" s="19"/>
      <c r="AI353" s="18"/>
      <c r="AJ353" s="7"/>
      <c r="AK353" s="7"/>
      <c r="AL353" s="7"/>
      <c r="AM353" s="7"/>
      <c r="AN353" s="7"/>
      <c r="AO353" s="7"/>
      <c r="AP353" s="7"/>
      <c r="AQ353" s="7"/>
      <c r="AR353" s="7"/>
      <c r="AS353" s="7"/>
      <c r="AT353" s="7"/>
      <c r="AU353" s="7"/>
      <c r="AV353" s="7"/>
      <c r="AW353" s="7"/>
      <c r="AX353" s="7"/>
      <c r="AY353" s="7"/>
      <c r="AZ353" s="7"/>
      <c r="BA353" s="18"/>
      <c r="BG353" s="140"/>
      <c r="BH353" s="131"/>
      <c r="BI353" s="102"/>
      <c r="BJ353" s="102"/>
      <c r="BK353" s="102"/>
      <c r="BL353" s="102"/>
      <c r="BM353" s="99"/>
      <c r="BN353" s="4"/>
      <c r="BO353" s="4"/>
      <c r="BP353" s="5"/>
      <c r="BQ353" s="5"/>
      <c r="BR353" s="99"/>
      <c r="BS353" s="159"/>
      <c r="BT353" s="99"/>
      <c r="BU353" s="99"/>
      <c r="BV353" s="99"/>
      <c r="BW353" s="159"/>
      <c r="BX353" s="99"/>
      <c r="BY353" s="99"/>
      <c r="BZ353" s="159"/>
      <c r="DA353" s="174"/>
      <c r="DB353" s="18"/>
      <c r="DC353" s="18"/>
      <c r="DD353" s="19"/>
      <c r="DE353" s="19"/>
      <c r="DI353" s="18"/>
      <c r="DJ353" s="7"/>
      <c r="DK353" s="7"/>
      <c r="DL353" s="7"/>
      <c r="DM353" s="7"/>
      <c r="DN353" s="7"/>
      <c r="DO353" s="7"/>
      <c r="DP353" s="7"/>
      <c r="DQ353" s="7"/>
      <c r="DR353" s="7"/>
      <c r="DS353" s="7"/>
      <c r="DT353" s="7"/>
      <c r="DU353" s="7"/>
      <c r="DV353" s="7"/>
      <c r="DW353" s="7"/>
      <c r="DX353" s="7"/>
      <c r="DY353" s="7"/>
      <c r="DZ353" s="7"/>
      <c r="EA353" s="161"/>
      <c r="EG353" s="140"/>
      <c r="EH353" s="131"/>
      <c r="EI353" s="102"/>
      <c r="EJ353" s="102"/>
      <c r="EK353" s="102"/>
      <c r="EL353" s="102"/>
      <c r="EM353" s="99"/>
      <c r="EN353" s="4"/>
      <c r="EO353" s="4"/>
      <c r="EP353" s="5"/>
      <c r="EQ353" s="5"/>
      <c r="ER353" s="99"/>
      <c r="ES353" s="159"/>
      <c r="ET353" s="99"/>
      <c r="EU353" s="99"/>
      <c r="EV353" s="99"/>
      <c r="EW353" s="159"/>
      <c r="EX353" s="99"/>
      <c r="EY353" s="99"/>
      <c r="EZ353" s="175"/>
    </row>
    <row r="354" spans="27:156">
      <c r="AA354" s="18"/>
      <c r="AB354" s="18"/>
      <c r="AC354" s="18"/>
      <c r="AD354" s="19"/>
      <c r="AE354" s="19"/>
      <c r="AI354" s="18"/>
      <c r="AJ354" s="7"/>
      <c r="AK354" s="7"/>
      <c r="AL354" s="7"/>
      <c r="AM354" s="7"/>
      <c r="AN354" s="7"/>
      <c r="AO354" s="7"/>
      <c r="AP354" s="7"/>
      <c r="AQ354" s="7"/>
      <c r="AR354" s="7"/>
      <c r="AS354" s="7"/>
      <c r="AT354" s="7"/>
      <c r="AU354" s="7"/>
      <c r="AV354" s="7"/>
      <c r="AW354" s="7"/>
      <c r="AX354" s="7"/>
      <c r="AY354" s="7"/>
      <c r="AZ354" s="7"/>
      <c r="BA354" s="18"/>
      <c r="BG354" s="140"/>
      <c r="BH354" s="131"/>
      <c r="BI354" s="102"/>
      <c r="BJ354" s="102"/>
      <c r="BK354" s="102"/>
      <c r="BL354" s="102"/>
      <c r="BM354" s="99"/>
      <c r="BN354" s="4"/>
      <c r="BO354" s="4"/>
      <c r="BP354" s="5"/>
      <c r="BQ354" s="5"/>
      <c r="BR354" s="99"/>
      <c r="BS354" s="159"/>
      <c r="BT354" s="99"/>
      <c r="BU354" s="99"/>
      <c r="BV354" s="99"/>
      <c r="BW354" s="159"/>
      <c r="BX354" s="99"/>
      <c r="BY354" s="99"/>
      <c r="BZ354" s="159"/>
      <c r="DA354" s="174"/>
      <c r="DB354" s="18"/>
      <c r="DC354" s="18"/>
      <c r="DD354" s="19"/>
      <c r="DE354" s="19"/>
      <c r="DI354" s="18"/>
      <c r="DJ354" s="7"/>
      <c r="DK354" s="7"/>
      <c r="DL354" s="7"/>
      <c r="DM354" s="7"/>
      <c r="DN354" s="7"/>
      <c r="DO354" s="7"/>
      <c r="DP354" s="7"/>
      <c r="DQ354" s="7"/>
      <c r="DR354" s="7"/>
      <c r="DS354" s="7"/>
      <c r="DT354" s="7"/>
      <c r="DU354" s="7"/>
      <c r="DV354" s="7"/>
      <c r="DW354" s="7"/>
      <c r="DX354" s="7"/>
      <c r="DY354" s="7"/>
      <c r="DZ354" s="7"/>
      <c r="EA354" s="161"/>
      <c r="EG354" s="140"/>
      <c r="EH354" s="131"/>
      <c r="EI354" s="102"/>
      <c r="EJ354" s="102"/>
      <c r="EK354" s="102"/>
      <c r="EL354" s="102"/>
      <c r="EM354" s="99"/>
      <c r="EN354" s="4"/>
      <c r="EO354" s="4"/>
      <c r="EP354" s="5"/>
      <c r="EQ354" s="5"/>
      <c r="ER354" s="99"/>
      <c r="ES354" s="159"/>
      <c r="ET354" s="99"/>
      <c r="EU354" s="99"/>
      <c r="EV354" s="99"/>
      <c r="EW354" s="159"/>
      <c r="EX354" s="99"/>
      <c r="EY354" s="99"/>
      <c r="EZ354" s="175"/>
    </row>
    <row r="355" spans="27:156">
      <c r="AA355" s="18"/>
      <c r="AB355" s="18"/>
      <c r="AC355" s="18"/>
      <c r="AD355" s="19"/>
      <c r="AE355" s="19"/>
      <c r="AI355" s="18"/>
      <c r="AJ355" s="7"/>
      <c r="AK355" s="7"/>
      <c r="AL355" s="7"/>
      <c r="AM355" s="7"/>
      <c r="AN355" s="7"/>
      <c r="AO355" s="7"/>
      <c r="AP355" s="7"/>
      <c r="AQ355" s="7"/>
      <c r="AR355" s="7"/>
      <c r="AS355" s="7"/>
      <c r="AT355" s="7"/>
      <c r="AU355" s="7"/>
      <c r="AV355" s="7"/>
      <c r="AW355" s="7"/>
      <c r="AX355" s="7"/>
      <c r="AY355" s="7"/>
      <c r="AZ355" s="7"/>
      <c r="BA355" s="18"/>
      <c r="BG355" s="140"/>
      <c r="BH355" s="131"/>
      <c r="BI355" s="102"/>
      <c r="BJ355" s="102"/>
      <c r="BK355" s="102"/>
      <c r="BL355" s="102"/>
      <c r="BM355" s="99"/>
      <c r="BN355" s="4"/>
      <c r="BO355" s="4"/>
      <c r="BP355" s="5"/>
      <c r="BQ355" s="5"/>
      <c r="BR355" s="99"/>
      <c r="BS355" s="159"/>
      <c r="BT355" s="99"/>
      <c r="BU355" s="99"/>
      <c r="BV355" s="99"/>
      <c r="BW355" s="159"/>
      <c r="BX355" s="99"/>
      <c r="BY355" s="99"/>
      <c r="BZ355" s="159"/>
      <c r="DA355" s="174"/>
      <c r="DB355" s="18"/>
      <c r="DC355" s="18"/>
      <c r="DD355" s="19"/>
      <c r="DE355" s="19"/>
      <c r="DI355" s="18"/>
      <c r="DJ355" s="7"/>
      <c r="DK355" s="7"/>
      <c r="DL355" s="7"/>
      <c r="DM355" s="7"/>
      <c r="DN355" s="7"/>
      <c r="DO355" s="7"/>
      <c r="DP355" s="7"/>
      <c r="DQ355" s="7"/>
      <c r="DR355" s="7"/>
      <c r="DS355" s="7"/>
      <c r="DT355" s="7"/>
      <c r="DU355" s="7"/>
      <c r="DV355" s="7"/>
      <c r="DW355" s="7"/>
      <c r="DX355" s="7"/>
      <c r="DY355" s="7"/>
      <c r="DZ355" s="7"/>
      <c r="EA355" s="161"/>
      <c r="EG355" s="140"/>
      <c r="EH355" s="131"/>
      <c r="EI355" s="102"/>
      <c r="EJ355" s="102"/>
      <c r="EK355" s="102"/>
      <c r="EL355" s="102"/>
      <c r="EM355" s="99"/>
      <c r="EN355" s="4"/>
      <c r="EO355" s="4"/>
      <c r="EP355" s="5"/>
      <c r="EQ355" s="5"/>
      <c r="ER355" s="99"/>
      <c r="ES355" s="159"/>
      <c r="ET355" s="99"/>
      <c r="EU355" s="99"/>
      <c r="EV355" s="99"/>
      <c r="EW355" s="159"/>
      <c r="EX355" s="99"/>
      <c r="EY355" s="99"/>
      <c r="EZ355" s="175"/>
    </row>
    <row r="356" spans="27:156">
      <c r="AA356" s="18"/>
      <c r="AB356" s="18"/>
      <c r="AC356" s="18"/>
      <c r="AD356" s="19"/>
      <c r="AE356" s="19"/>
      <c r="AI356" s="18"/>
      <c r="AJ356" s="7"/>
      <c r="AK356" s="7"/>
      <c r="AL356" s="7"/>
      <c r="AM356" s="7"/>
      <c r="AN356" s="7"/>
      <c r="AO356" s="7"/>
      <c r="AP356" s="7"/>
      <c r="AQ356" s="7"/>
      <c r="AR356" s="7"/>
      <c r="AS356" s="7"/>
      <c r="AT356" s="7"/>
      <c r="AU356" s="7"/>
      <c r="AV356" s="7"/>
      <c r="AW356" s="7"/>
      <c r="AX356" s="7"/>
      <c r="AY356" s="7"/>
      <c r="AZ356" s="7"/>
      <c r="BA356" s="18"/>
      <c r="BG356" s="140"/>
      <c r="BH356" s="131"/>
      <c r="BI356" s="102"/>
      <c r="BJ356" s="102"/>
      <c r="BK356" s="102"/>
      <c r="BL356" s="102"/>
      <c r="BM356" s="99"/>
      <c r="BN356" s="4"/>
      <c r="BO356" s="4"/>
      <c r="BP356" s="5"/>
      <c r="BQ356" s="5"/>
      <c r="BR356" s="99"/>
      <c r="BS356" s="159"/>
      <c r="BT356" s="99"/>
      <c r="BU356" s="99"/>
      <c r="BV356" s="99"/>
      <c r="BW356" s="159"/>
      <c r="BX356" s="99"/>
      <c r="BY356" s="99"/>
      <c r="BZ356" s="159"/>
      <c r="DA356" s="174"/>
      <c r="DB356" s="18"/>
      <c r="DC356" s="18"/>
      <c r="DD356" s="19"/>
      <c r="DE356" s="19"/>
      <c r="DI356" s="18"/>
      <c r="DJ356" s="7"/>
      <c r="DK356" s="7"/>
      <c r="DL356" s="7"/>
      <c r="DM356" s="7"/>
      <c r="DN356" s="7"/>
      <c r="DO356" s="7"/>
      <c r="DP356" s="7"/>
      <c r="DQ356" s="7"/>
      <c r="DR356" s="7"/>
      <c r="DS356" s="7"/>
      <c r="DT356" s="7"/>
      <c r="DU356" s="7"/>
      <c r="DV356" s="7"/>
      <c r="DW356" s="7"/>
      <c r="DX356" s="7"/>
      <c r="DY356" s="7"/>
      <c r="DZ356" s="7"/>
      <c r="EA356" s="161"/>
      <c r="EG356" s="140"/>
      <c r="EH356" s="131"/>
      <c r="EI356" s="102"/>
      <c r="EJ356" s="102"/>
      <c r="EK356" s="102"/>
      <c r="EL356" s="102"/>
      <c r="EM356" s="99"/>
      <c r="EN356" s="4"/>
      <c r="EO356" s="4"/>
      <c r="EP356" s="5"/>
      <c r="EQ356" s="5"/>
      <c r="ER356" s="99"/>
      <c r="ES356" s="159"/>
      <c r="ET356" s="99"/>
      <c r="EU356" s="99"/>
      <c r="EV356" s="99"/>
      <c r="EW356" s="159"/>
      <c r="EX356" s="99"/>
      <c r="EY356" s="99"/>
      <c r="EZ356" s="175"/>
    </row>
    <row r="357" spans="27:156">
      <c r="AA357" s="18"/>
      <c r="AB357" s="18"/>
      <c r="AC357" s="18"/>
      <c r="AD357" s="19"/>
      <c r="AE357" s="19"/>
      <c r="AI357" s="18"/>
      <c r="AJ357" s="7"/>
      <c r="AK357" s="7"/>
      <c r="AL357" s="7"/>
      <c r="AM357" s="7"/>
      <c r="AN357" s="7"/>
      <c r="AO357" s="7"/>
      <c r="AP357" s="7"/>
      <c r="AQ357" s="7"/>
      <c r="AR357" s="7"/>
      <c r="AS357" s="7"/>
      <c r="AT357" s="7"/>
      <c r="AU357" s="7"/>
      <c r="AV357" s="7"/>
      <c r="AW357" s="7"/>
      <c r="AX357" s="7"/>
      <c r="AY357" s="7"/>
      <c r="AZ357" s="7"/>
      <c r="BA357" s="18"/>
      <c r="BG357" s="140"/>
      <c r="BH357" s="131"/>
      <c r="BI357" s="102"/>
      <c r="BJ357" s="102"/>
      <c r="BK357" s="102"/>
      <c r="BL357" s="102"/>
      <c r="BM357" s="99"/>
      <c r="BN357" s="4"/>
      <c r="BO357" s="4"/>
      <c r="BP357" s="5"/>
      <c r="BQ357" s="5"/>
      <c r="BR357" s="99"/>
      <c r="BS357" s="159"/>
      <c r="BT357" s="99"/>
      <c r="BU357" s="99"/>
      <c r="BV357" s="99"/>
      <c r="BW357" s="159"/>
      <c r="BX357" s="99"/>
      <c r="BY357" s="99"/>
      <c r="BZ357" s="159"/>
      <c r="DA357" s="174"/>
      <c r="DB357" s="18"/>
      <c r="DC357" s="18"/>
      <c r="DD357" s="19"/>
      <c r="DE357" s="19"/>
      <c r="DI357" s="18"/>
      <c r="DJ357" s="7"/>
      <c r="DK357" s="7"/>
      <c r="DL357" s="7"/>
      <c r="DM357" s="7"/>
      <c r="DN357" s="7"/>
      <c r="DO357" s="7"/>
      <c r="DP357" s="7"/>
      <c r="DQ357" s="7"/>
      <c r="DR357" s="7"/>
      <c r="DS357" s="7"/>
      <c r="DT357" s="7"/>
      <c r="DU357" s="7"/>
      <c r="DV357" s="7"/>
      <c r="DW357" s="7"/>
      <c r="DX357" s="7"/>
      <c r="DY357" s="7"/>
      <c r="DZ357" s="7"/>
      <c r="EA357" s="161"/>
      <c r="EG357" s="140"/>
      <c r="EH357" s="131"/>
      <c r="EI357" s="102"/>
      <c r="EJ357" s="102"/>
      <c r="EK357" s="102"/>
      <c r="EL357" s="102"/>
      <c r="EM357" s="99"/>
      <c r="EN357" s="4"/>
      <c r="EO357" s="4"/>
      <c r="EP357" s="5"/>
      <c r="EQ357" s="5"/>
      <c r="ER357" s="99"/>
      <c r="ES357" s="159"/>
      <c r="ET357" s="99"/>
      <c r="EU357" s="99"/>
      <c r="EV357" s="99"/>
      <c r="EW357" s="159"/>
      <c r="EX357" s="99"/>
      <c r="EY357" s="99"/>
      <c r="EZ357" s="175"/>
    </row>
    <row r="358" spans="27:156">
      <c r="AA358" s="18"/>
      <c r="AB358" s="18"/>
      <c r="AC358" s="18"/>
      <c r="AD358" s="19"/>
      <c r="AE358" s="19"/>
      <c r="AI358" s="18"/>
      <c r="AJ358" s="7"/>
      <c r="AK358" s="7"/>
      <c r="AL358" s="7"/>
      <c r="AM358" s="7"/>
      <c r="AN358" s="7"/>
      <c r="AO358" s="7"/>
      <c r="AP358" s="7"/>
      <c r="AQ358" s="7"/>
      <c r="AR358" s="7"/>
      <c r="AS358" s="7"/>
      <c r="AT358" s="7"/>
      <c r="AU358" s="7"/>
      <c r="AV358" s="7"/>
      <c r="AW358" s="7"/>
      <c r="AX358" s="7"/>
      <c r="AY358" s="7"/>
      <c r="AZ358" s="7"/>
      <c r="BA358" s="18"/>
      <c r="BG358" s="140"/>
      <c r="BH358" s="131"/>
      <c r="BI358" s="102"/>
      <c r="BJ358" s="102"/>
      <c r="BK358" s="102"/>
      <c r="BL358" s="102"/>
      <c r="BM358" s="99"/>
      <c r="BN358" s="4"/>
      <c r="BO358" s="4"/>
      <c r="BP358" s="5"/>
      <c r="BQ358" s="5"/>
      <c r="BR358" s="99"/>
      <c r="BS358" s="159"/>
      <c r="BT358" s="99"/>
      <c r="BU358" s="99"/>
      <c r="BV358" s="99"/>
      <c r="BW358" s="159"/>
      <c r="BX358" s="99"/>
      <c r="BY358" s="99"/>
      <c r="BZ358" s="159"/>
      <c r="DA358" s="174"/>
      <c r="DB358" s="18"/>
      <c r="DC358" s="18"/>
      <c r="DD358" s="19"/>
      <c r="DE358" s="19"/>
      <c r="DI358" s="18"/>
      <c r="DJ358" s="7"/>
      <c r="DK358" s="7"/>
      <c r="DL358" s="7"/>
      <c r="DM358" s="7"/>
      <c r="DN358" s="7"/>
      <c r="DO358" s="7"/>
      <c r="DP358" s="7"/>
      <c r="DQ358" s="7"/>
      <c r="DR358" s="7"/>
      <c r="DS358" s="7"/>
      <c r="DT358" s="7"/>
      <c r="DU358" s="7"/>
      <c r="DV358" s="7"/>
      <c r="DW358" s="7"/>
      <c r="DX358" s="7"/>
      <c r="DY358" s="7"/>
      <c r="DZ358" s="7"/>
      <c r="EA358" s="161"/>
      <c r="EG358" s="140"/>
      <c r="EH358" s="131"/>
      <c r="EI358" s="102"/>
      <c r="EJ358" s="102"/>
      <c r="EK358" s="102"/>
      <c r="EL358" s="102"/>
      <c r="EM358" s="99"/>
      <c r="EN358" s="4"/>
      <c r="EO358" s="4"/>
      <c r="EP358" s="5"/>
      <c r="EQ358" s="5"/>
      <c r="ER358" s="99"/>
      <c r="ES358" s="159"/>
      <c r="ET358" s="99"/>
      <c r="EU358" s="99"/>
      <c r="EV358" s="99"/>
      <c r="EW358" s="159"/>
      <c r="EX358" s="99"/>
      <c r="EY358" s="99"/>
      <c r="EZ358" s="175"/>
    </row>
    <row r="359" spans="27:156">
      <c r="AA359" s="18"/>
      <c r="AB359" s="18"/>
      <c r="AC359" s="18"/>
      <c r="AD359" s="19"/>
      <c r="AE359" s="19"/>
      <c r="AI359" s="18"/>
      <c r="AJ359" s="7"/>
      <c r="AK359" s="7"/>
      <c r="AL359" s="7"/>
      <c r="AM359" s="7"/>
      <c r="AN359" s="7"/>
      <c r="AO359" s="7"/>
      <c r="AP359" s="7"/>
      <c r="AQ359" s="7"/>
      <c r="AR359" s="7"/>
      <c r="AS359" s="7"/>
      <c r="AT359" s="7"/>
      <c r="AU359" s="7"/>
      <c r="AV359" s="7"/>
      <c r="AW359" s="7"/>
      <c r="AX359" s="7"/>
      <c r="AY359" s="7"/>
      <c r="AZ359" s="7"/>
      <c r="BA359" s="18"/>
      <c r="BG359" s="140"/>
      <c r="BH359" s="131"/>
      <c r="BI359" s="102"/>
      <c r="BJ359" s="102"/>
      <c r="BK359" s="102"/>
      <c r="BL359" s="102"/>
      <c r="BM359" s="99"/>
      <c r="BN359" s="4"/>
      <c r="BO359" s="4"/>
      <c r="BP359" s="5"/>
      <c r="BQ359" s="5"/>
      <c r="BR359" s="99"/>
      <c r="BS359" s="159"/>
      <c r="BT359" s="99"/>
      <c r="BU359" s="99"/>
      <c r="BV359" s="99"/>
      <c r="BW359" s="159"/>
      <c r="BX359" s="99"/>
      <c r="BY359" s="99"/>
      <c r="BZ359" s="159"/>
      <c r="DA359" s="174"/>
      <c r="DB359" s="18"/>
      <c r="DC359" s="18"/>
      <c r="DD359" s="19"/>
      <c r="DE359" s="19"/>
      <c r="DI359" s="18"/>
      <c r="DJ359" s="7"/>
      <c r="DK359" s="7"/>
      <c r="DL359" s="7"/>
      <c r="DM359" s="7"/>
      <c r="DN359" s="7"/>
      <c r="DO359" s="7"/>
      <c r="DP359" s="7"/>
      <c r="DQ359" s="7"/>
      <c r="DR359" s="7"/>
      <c r="DS359" s="7"/>
      <c r="DT359" s="7"/>
      <c r="DU359" s="7"/>
      <c r="DV359" s="7"/>
      <c r="DW359" s="7"/>
      <c r="DX359" s="7"/>
      <c r="DY359" s="7"/>
      <c r="DZ359" s="7"/>
      <c r="EA359" s="161"/>
      <c r="EG359" s="140"/>
      <c r="EH359" s="131"/>
      <c r="EI359" s="102"/>
      <c r="EJ359" s="102"/>
      <c r="EK359" s="102"/>
      <c r="EL359" s="102"/>
      <c r="EM359" s="99"/>
      <c r="EN359" s="4"/>
      <c r="EO359" s="4"/>
      <c r="EP359" s="5"/>
      <c r="EQ359" s="5"/>
      <c r="ER359" s="99"/>
      <c r="ES359" s="159"/>
      <c r="ET359" s="99"/>
      <c r="EU359" s="99"/>
      <c r="EV359" s="99"/>
      <c r="EW359" s="159"/>
      <c r="EX359" s="99"/>
      <c r="EY359" s="99"/>
      <c r="EZ359" s="175"/>
    </row>
    <row r="360" spans="27:156">
      <c r="AA360" s="18"/>
      <c r="AB360" s="18"/>
      <c r="AC360" s="18"/>
      <c r="AD360" s="19"/>
      <c r="AE360" s="19"/>
      <c r="AI360" s="18"/>
      <c r="AJ360" s="7"/>
      <c r="AK360" s="7"/>
      <c r="AL360" s="7"/>
      <c r="AM360" s="7"/>
      <c r="AN360" s="7"/>
      <c r="AO360" s="7"/>
      <c r="AP360" s="7"/>
      <c r="AQ360" s="7"/>
      <c r="AR360" s="7"/>
      <c r="AS360" s="7"/>
      <c r="AT360" s="7"/>
      <c r="AU360" s="7"/>
      <c r="AV360" s="7"/>
      <c r="AW360" s="7"/>
      <c r="AX360" s="7"/>
      <c r="AY360" s="7"/>
      <c r="AZ360" s="7"/>
      <c r="BA360" s="18"/>
      <c r="BG360" s="140"/>
      <c r="BH360" s="131"/>
      <c r="BI360" s="102"/>
      <c r="BJ360" s="102"/>
      <c r="BK360" s="102"/>
      <c r="BL360" s="102"/>
      <c r="BM360" s="99"/>
      <c r="BN360" s="4"/>
      <c r="BO360" s="4"/>
      <c r="BP360" s="5"/>
      <c r="BQ360" s="5"/>
      <c r="BR360" s="99"/>
      <c r="BS360" s="159"/>
      <c r="BT360" s="99"/>
      <c r="BU360" s="99"/>
      <c r="BV360" s="99"/>
      <c r="BW360" s="159"/>
      <c r="BX360" s="99"/>
      <c r="BY360" s="99"/>
      <c r="BZ360" s="159"/>
      <c r="DA360" s="174"/>
      <c r="DB360" s="18"/>
      <c r="DC360" s="18"/>
      <c r="DD360" s="19"/>
      <c r="DE360" s="19"/>
      <c r="DI360" s="18"/>
      <c r="DJ360" s="7"/>
      <c r="DK360" s="7"/>
      <c r="DL360" s="7"/>
      <c r="DM360" s="7"/>
      <c r="DN360" s="7"/>
      <c r="DO360" s="7"/>
      <c r="DP360" s="7"/>
      <c r="DQ360" s="7"/>
      <c r="DR360" s="7"/>
      <c r="DS360" s="7"/>
      <c r="DT360" s="7"/>
      <c r="DU360" s="7"/>
      <c r="DV360" s="7"/>
      <c r="DW360" s="7"/>
      <c r="DX360" s="7"/>
      <c r="DY360" s="7"/>
      <c r="DZ360" s="7"/>
      <c r="EA360" s="161"/>
      <c r="EG360" s="140"/>
      <c r="EH360" s="131"/>
      <c r="EI360" s="102"/>
      <c r="EJ360" s="102"/>
      <c r="EK360" s="102"/>
      <c r="EL360" s="102"/>
      <c r="EM360" s="99"/>
      <c r="EN360" s="4"/>
      <c r="EO360" s="4"/>
      <c r="EP360" s="5"/>
      <c r="EQ360" s="5"/>
      <c r="ER360" s="99"/>
      <c r="ES360" s="159"/>
      <c r="ET360" s="99"/>
      <c r="EU360" s="99"/>
      <c r="EV360" s="99"/>
      <c r="EW360" s="159"/>
      <c r="EX360" s="99"/>
      <c r="EY360" s="99"/>
      <c r="EZ360" s="175"/>
    </row>
    <row r="361" spans="27:156">
      <c r="AA361" s="18"/>
      <c r="AB361" s="18"/>
      <c r="AC361" s="18"/>
      <c r="AD361" s="19"/>
      <c r="AE361" s="19"/>
      <c r="AI361" s="18"/>
      <c r="AJ361" s="7"/>
      <c r="AK361" s="7"/>
      <c r="AL361" s="7"/>
      <c r="AM361" s="7"/>
      <c r="AN361" s="7"/>
      <c r="AO361" s="7"/>
      <c r="AP361" s="7"/>
      <c r="AQ361" s="7"/>
      <c r="AR361" s="7"/>
      <c r="AS361" s="7"/>
      <c r="AT361" s="7"/>
      <c r="AU361" s="7"/>
      <c r="AV361" s="7"/>
      <c r="AW361" s="7"/>
      <c r="AX361" s="7"/>
      <c r="AY361" s="7"/>
      <c r="AZ361" s="7"/>
      <c r="BA361" s="18"/>
      <c r="BG361" s="140"/>
      <c r="BH361" s="131"/>
      <c r="BI361" s="102"/>
      <c r="BJ361" s="102"/>
      <c r="BK361" s="102"/>
      <c r="BL361" s="102"/>
      <c r="BM361" s="99"/>
      <c r="BN361" s="4"/>
      <c r="BO361" s="4"/>
      <c r="BP361" s="5"/>
      <c r="BQ361" s="5"/>
      <c r="BR361" s="99"/>
      <c r="BS361" s="159"/>
      <c r="BT361" s="99"/>
      <c r="BU361" s="99"/>
      <c r="BV361" s="99"/>
      <c r="BW361" s="159"/>
      <c r="BX361" s="99"/>
      <c r="BY361" s="99"/>
      <c r="BZ361" s="159"/>
      <c r="DA361" s="174"/>
      <c r="DB361" s="18"/>
      <c r="DC361" s="18"/>
      <c r="DD361" s="19"/>
      <c r="DE361" s="19"/>
      <c r="DI361" s="18"/>
      <c r="DJ361" s="7"/>
      <c r="DK361" s="7"/>
      <c r="DL361" s="7"/>
      <c r="DM361" s="7"/>
      <c r="DN361" s="7"/>
      <c r="DO361" s="7"/>
      <c r="DP361" s="7"/>
      <c r="DQ361" s="7"/>
      <c r="DR361" s="7"/>
      <c r="DS361" s="7"/>
      <c r="DT361" s="7"/>
      <c r="DU361" s="7"/>
      <c r="DV361" s="7"/>
      <c r="DW361" s="7"/>
      <c r="DX361" s="7"/>
      <c r="DY361" s="7"/>
      <c r="DZ361" s="7"/>
      <c r="EA361" s="161"/>
      <c r="EG361" s="140"/>
      <c r="EH361" s="131"/>
      <c r="EI361" s="102"/>
      <c r="EJ361" s="102"/>
      <c r="EK361" s="102"/>
      <c r="EL361" s="102"/>
      <c r="EM361" s="99"/>
      <c r="EN361" s="4"/>
      <c r="EO361" s="4"/>
      <c r="EP361" s="5"/>
      <c r="EQ361" s="5"/>
      <c r="ER361" s="99"/>
      <c r="ES361" s="159"/>
      <c r="ET361" s="99"/>
      <c r="EU361" s="99"/>
      <c r="EV361" s="99"/>
      <c r="EW361" s="159"/>
      <c r="EX361" s="99"/>
      <c r="EY361" s="99"/>
      <c r="EZ361" s="175"/>
    </row>
    <row r="362" spans="27:156">
      <c r="AA362" s="18"/>
      <c r="AB362" s="18"/>
      <c r="AC362" s="18"/>
      <c r="AD362" s="19"/>
      <c r="AE362" s="19"/>
      <c r="AI362" s="18"/>
      <c r="AJ362" s="7"/>
      <c r="AK362" s="7"/>
      <c r="AL362" s="7"/>
      <c r="AM362" s="7"/>
      <c r="AN362" s="7"/>
      <c r="AO362" s="7"/>
      <c r="AP362" s="7"/>
      <c r="AQ362" s="7"/>
      <c r="AR362" s="7"/>
      <c r="AS362" s="7"/>
      <c r="AT362" s="7"/>
      <c r="AU362" s="7"/>
      <c r="AV362" s="7"/>
      <c r="AW362" s="7"/>
      <c r="AX362" s="7"/>
      <c r="AY362" s="7"/>
      <c r="AZ362" s="7"/>
      <c r="BA362" s="18"/>
      <c r="BG362" s="140"/>
      <c r="BH362" s="131"/>
      <c r="BI362" s="102"/>
      <c r="BJ362" s="102"/>
      <c r="BK362" s="102"/>
      <c r="BL362" s="102"/>
      <c r="BM362" s="99"/>
      <c r="BN362" s="4"/>
      <c r="BO362" s="4"/>
      <c r="BP362" s="5"/>
      <c r="BQ362" s="5"/>
      <c r="BR362" s="99"/>
      <c r="BS362" s="159"/>
      <c r="BT362" s="99"/>
      <c r="BU362" s="99"/>
      <c r="BV362" s="99"/>
      <c r="BW362" s="159"/>
      <c r="BX362" s="99"/>
      <c r="BY362" s="99"/>
      <c r="BZ362" s="159"/>
      <c r="DA362" s="174"/>
      <c r="DB362" s="18"/>
      <c r="DC362" s="18"/>
      <c r="DD362" s="19"/>
      <c r="DE362" s="19"/>
      <c r="DI362" s="18"/>
      <c r="DJ362" s="7"/>
      <c r="DK362" s="7"/>
      <c r="DL362" s="7"/>
      <c r="DM362" s="7"/>
      <c r="DN362" s="7"/>
      <c r="DO362" s="7"/>
      <c r="DP362" s="7"/>
      <c r="DQ362" s="7"/>
      <c r="DR362" s="7"/>
      <c r="DS362" s="7"/>
      <c r="DT362" s="7"/>
      <c r="DU362" s="7"/>
      <c r="DV362" s="7"/>
      <c r="DW362" s="7"/>
      <c r="DX362" s="7"/>
      <c r="DY362" s="7"/>
      <c r="DZ362" s="7"/>
      <c r="EA362" s="161"/>
      <c r="EG362" s="140"/>
      <c r="EH362" s="131"/>
      <c r="EI362" s="102"/>
      <c r="EJ362" s="102"/>
      <c r="EK362" s="102"/>
      <c r="EL362" s="102"/>
      <c r="EM362" s="99"/>
      <c r="EN362" s="4"/>
      <c r="EO362" s="4"/>
      <c r="EP362" s="5"/>
      <c r="EQ362" s="5"/>
      <c r="ER362" s="99"/>
      <c r="ES362" s="159"/>
      <c r="ET362" s="99"/>
      <c r="EU362" s="99"/>
      <c r="EV362" s="99"/>
      <c r="EW362" s="159"/>
      <c r="EX362" s="99"/>
      <c r="EY362" s="99"/>
      <c r="EZ362" s="175"/>
    </row>
    <row r="363" spans="27:156">
      <c r="AA363" s="18"/>
      <c r="AB363" s="18"/>
      <c r="AC363" s="18"/>
      <c r="AD363" s="19"/>
      <c r="AE363" s="19"/>
      <c r="AI363" s="18"/>
      <c r="AJ363" s="7"/>
      <c r="AK363" s="7"/>
      <c r="AL363" s="7"/>
      <c r="AM363" s="7"/>
      <c r="AN363" s="7"/>
      <c r="AO363" s="7"/>
      <c r="AP363" s="7"/>
      <c r="AQ363" s="7"/>
      <c r="AR363" s="7"/>
      <c r="AS363" s="7"/>
      <c r="AT363" s="7"/>
      <c r="AU363" s="7"/>
      <c r="AV363" s="7"/>
      <c r="AW363" s="7"/>
      <c r="AX363" s="7"/>
      <c r="AY363" s="7"/>
      <c r="AZ363" s="7"/>
      <c r="BA363" s="18"/>
      <c r="BG363" s="140"/>
      <c r="BH363" s="131"/>
      <c r="BI363" s="102"/>
      <c r="BJ363" s="102"/>
      <c r="BK363" s="102"/>
      <c r="BL363" s="102"/>
      <c r="BM363" s="99"/>
      <c r="BN363" s="4"/>
      <c r="BO363" s="4"/>
      <c r="BP363" s="5"/>
      <c r="BQ363" s="5"/>
      <c r="BR363" s="99"/>
      <c r="BS363" s="159"/>
      <c r="BT363" s="99"/>
      <c r="BU363" s="99"/>
      <c r="BV363" s="99"/>
      <c r="BW363" s="159"/>
      <c r="BX363" s="99"/>
      <c r="BY363" s="99"/>
      <c r="BZ363" s="159"/>
      <c r="DA363" s="174"/>
      <c r="DB363" s="18"/>
      <c r="DC363" s="18"/>
      <c r="DD363" s="19"/>
      <c r="DE363" s="19"/>
      <c r="DI363" s="18"/>
      <c r="DJ363" s="7"/>
      <c r="DK363" s="7"/>
      <c r="DL363" s="7"/>
      <c r="DM363" s="7"/>
      <c r="DN363" s="7"/>
      <c r="DO363" s="7"/>
      <c r="DP363" s="7"/>
      <c r="DQ363" s="7"/>
      <c r="DR363" s="7"/>
      <c r="DS363" s="7"/>
      <c r="DT363" s="7"/>
      <c r="DU363" s="7"/>
      <c r="DV363" s="7"/>
      <c r="DW363" s="7"/>
      <c r="DX363" s="7"/>
      <c r="DY363" s="7"/>
      <c r="DZ363" s="7"/>
      <c r="EA363" s="161"/>
      <c r="EG363" s="140"/>
      <c r="EH363" s="131"/>
      <c r="EI363" s="102"/>
      <c r="EJ363" s="102"/>
      <c r="EK363" s="102"/>
      <c r="EL363" s="102"/>
      <c r="EM363" s="99"/>
      <c r="EN363" s="4"/>
      <c r="EO363" s="4"/>
      <c r="EP363" s="5"/>
      <c r="EQ363" s="5"/>
      <c r="ER363" s="99"/>
      <c r="ES363" s="159"/>
      <c r="ET363" s="99"/>
      <c r="EU363" s="99"/>
      <c r="EV363" s="99"/>
      <c r="EW363" s="159"/>
      <c r="EX363" s="99"/>
      <c r="EY363" s="99"/>
      <c r="EZ363" s="175"/>
    </row>
    <row r="364" spans="27:156">
      <c r="AA364" s="18"/>
      <c r="AB364" s="18"/>
      <c r="AC364" s="18"/>
      <c r="AD364" s="19"/>
      <c r="AE364" s="19"/>
      <c r="AI364" s="18"/>
      <c r="AJ364" s="7"/>
      <c r="AK364" s="7"/>
      <c r="AL364" s="7"/>
      <c r="AM364" s="7"/>
      <c r="AN364" s="7"/>
      <c r="AO364" s="7"/>
      <c r="AP364" s="7"/>
      <c r="AQ364" s="7"/>
      <c r="AR364" s="7"/>
      <c r="AS364" s="7"/>
      <c r="AT364" s="7"/>
      <c r="AU364" s="7"/>
      <c r="AV364" s="7"/>
      <c r="AW364" s="7"/>
      <c r="AX364" s="7"/>
      <c r="AY364" s="7"/>
      <c r="AZ364" s="7"/>
      <c r="BA364" s="18"/>
      <c r="BG364" s="140"/>
      <c r="BH364" s="131"/>
      <c r="BI364" s="102"/>
      <c r="BJ364" s="102"/>
      <c r="BK364" s="102"/>
      <c r="BL364" s="102"/>
      <c r="BM364" s="99"/>
      <c r="BN364" s="4"/>
      <c r="BO364" s="4"/>
      <c r="BP364" s="5"/>
      <c r="BQ364" s="5"/>
      <c r="BR364" s="99"/>
      <c r="BS364" s="159"/>
      <c r="BT364" s="99"/>
      <c r="BU364" s="99"/>
      <c r="BV364" s="99"/>
      <c r="BW364" s="159"/>
      <c r="BX364" s="99"/>
      <c r="BY364" s="99"/>
      <c r="BZ364" s="159"/>
      <c r="DA364" s="174"/>
      <c r="DB364" s="18"/>
      <c r="DC364" s="18"/>
      <c r="DD364" s="19"/>
      <c r="DE364" s="19"/>
      <c r="DI364" s="18"/>
      <c r="DJ364" s="7"/>
      <c r="DK364" s="7"/>
      <c r="DL364" s="7"/>
      <c r="DM364" s="7"/>
      <c r="DN364" s="7"/>
      <c r="DO364" s="7"/>
      <c r="DP364" s="7"/>
      <c r="DQ364" s="7"/>
      <c r="DR364" s="7"/>
      <c r="DS364" s="7"/>
      <c r="DT364" s="7"/>
      <c r="DU364" s="7"/>
      <c r="DV364" s="7"/>
      <c r="DW364" s="7"/>
      <c r="DX364" s="7"/>
      <c r="DY364" s="7"/>
      <c r="DZ364" s="7"/>
      <c r="EA364" s="161"/>
      <c r="EG364" s="140"/>
      <c r="EH364" s="131"/>
      <c r="EI364" s="102"/>
      <c r="EJ364" s="102"/>
      <c r="EK364" s="102"/>
      <c r="EL364" s="102"/>
      <c r="EM364" s="99"/>
      <c r="EN364" s="4"/>
      <c r="EO364" s="4"/>
      <c r="EP364" s="5"/>
      <c r="EQ364" s="5"/>
      <c r="ER364" s="99"/>
      <c r="ES364" s="159"/>
      <c r="ET364" s="99"/>
      <c r="EU364" s="99"/>
      <c r="EV364" s="99"/>
      <c r="EW364" s="159"/>
      <c r="EX364" s="99"/>
      <c r="EY364" s="99"/>
      <c r="EZ364" s="175"/>
    </row>
    <row r="365" spans="27:156">
      <c r="AA365" s="18"/>
      <c r="AB365" s="18"/>
      <c r="AC365" s="18"/>
      <c r="AD365" s="19"/>
      <c r="AE365" s="19"/>
      <c r="AI365" s="18"/>
      <c r="AJ365" s="7"/>
      <c r="AK365" s="7"/>
      <c r="AL365" s="7"/>
      <c r="AM365" s="7"/>
      <c r="AN365" s="7"/>
      <c r="AO365" s="7"/>
      <c r="AP365" s="7"/>
      <c r="AQ365" s="7"/>
      <c r="AR365" s="7"/>
      <c r="AS365" s="7"/>
      <c r="AT365" s="7"/>
      <c r="AU365" s="7"/>
      <c r="AV365" s="7"/>
      <c r="AW365" s="7"/>
      <c r="AX365" s="7"/>
      <c r="AY365" s="7"/>
      <c r="AZ365" s="7"/>
      <c r="BA365" s="18"/>
      <c r="BG365" s="140"/>
      <c r="BH365" s="131"/>
      <c r="BI365" s="102"/>
      <c r="BJ365" s="102"/>
      <c r="BK365" s="102"/>
      <c r="BL365" s="102"/>
      <c r="BM365" s="99"/>
      <c r="BN365" s="4"/>
      <c r="BO365" s="4"/>
      <c r="BP365" s="5"/>
      <c r="BQ365" s="5"/>
      <c r="BR365" s="99"/>
      <c r="BS365" s="159"/>
      <c r="BT365" s="99"/>
      <c r="BU365" s="99"/>
      <c r="BV365" s="99"/>
      <c r="BW365" s="159"/>
      <c r="BX365" s="99"/>
      <c r="BY365" s="99"/>
      <c r="BZ365" s="159"/>
      <c r="DA365" s="174"/>
      <c r="DB365" s="18"/>
      <c r="DC365" s="18"/>
      <c r="DD365" s="19"/>
      <c r="DE365" s="19"/>
      <c r="DI365" s="18"/>
      <c r="DJ365" s="7"/>
      <c r="DK365" s="7"/>
      <c r="DL365" s="7"/>
      <c r="DM365" s="7"/>
      <c r="DN365" s="7"/>
      <c r="DO365" s="7"/>
      <c r="DP365" s="7"/>
      <c r="DQ365" s="7"/>
      <c r="DR365" s="7"/>
      <c r="DS365" s="7"/>
      <c r="DT365" s="7"/>
      <c r="DU365" s="7"/>
      <c r="DV365" s="7"/>
      <c r="DW365" s="7"/>
      <c r="DX365" s="7"/>
      <c r="DY365" s="7"/>
      <c r="DZ365" s="7"/>
      <c r="EA365" s="161"/>
      <c r="EG365" s="140"/>
      <c r="EH365" s="131"/>
      <c r="EI365" s="102"/>
      <c r="EJ365" s="102"/>
      <c r="EK365" s="102"/>
      <c r="EL365" s="102"/>
      <c r="EM365" s="99"/>
      <c r="EN365" s="4"/>
      <c r="EO365" s="4"/>
      <c r="EP365" s="5"/>
      <c r="EQ365" s="5"/>
      <c r="ER365" s="99"/>
      <c r="ES365" s="159"/>
      <c r="ET365" s="99"/>
      <c r="EU365" s="99"/>
      <c r="EV365" s="99"/>
      <c r="EW365" s="159"/>
      <c r="EX365" s="99"/>
      <c r="EY365" s="99"/>
      <c r="EZ365" s="175"/>
    </row>
    <row r="366" spans="27:156">
      <c r="AA366" s="18"/>
      <c r="AB366" s="18"/>
      <c r="AC366" s="18"/>
      <c r="AD366" s="19"/>
      <c r="AE366" s="19"/>
      <c r="AI366" s="18"/>
      <c r="AJ366" s="7"/>
      <c r="AK366" s="7"/>
      <c r="AL366" s="7"/>
      <c r="AM366" s="7"/>
      <c r="AN366" s="7"/>
      <c r="AO366" s="7"/>
      <c r="AP366" s="7"/>
      <c r="AQ366" s="7"/>
      <c r="AR366" s="7"/>
      <c r="AS366" s="7"/>
      <c r="AT366" s="7"/>
      <c r="AU366" s="7"/>
      <c r="AV366" s="7"/>
      <c r="AW366" s="7"/>
      <c r="AX366" s="7"/>
      <c r="AY366" s="7"/>
      <c r="AZ366" s="7"/>
      <c r="BA366" s="18"/>
      <c r="BG366" s="140"/>
      <c r="BH366" s="131"/>
      <c r="BI366" s="102"/>
      <c r="BJ366" s="102"/>
      <c r="BK366" s="102"/>
      <c r="BL366" s="102"/>
      <c r="BM366" s="99"/>
      <c r="BN366" s="4"/>
      <c r="BO366" s="4"/>
      <c r="BP366" s="5"/>
      <c r="BQ366" s="5"/>
      <c r="BR366" s="99"/>
      <c r="BS366" s="159"/>
      <c r="BT366" s="99"/>
      <c r="BU366" s="99"/>
      <c r="BV366" s="99"/>
      <c r="BW366" s="159"/>
      <c r="BX366" s="99"/>
      <c r="BY366" s="99"/>
      <c r="BZ366" s="159"/>
      <c r="DA366" s="174"/>
      <c r="DB366" s="18"/>
      <c r="DC366" s="18"/>
      <c r="DD366" s="19"/>
      <c r="DE366" s="19"/>
      <c r="DI366" s="18"/>
      <c r="DJ366" s="7"/>
      <c r="DK366" s="7"/>
      <c r="DL366" s="7"/>
      <c r="DM366" s="7"/>
      <c r="DN366" s="7"/>
      <c r="DO366" s="7"/>
      <c r="DP366" s="7"/>
      <c r="DQ366" s="7"/>
      <c r="DR366" s="7"/>
      <c r="DS366" s="7"/>
      <c r="DT366" s="7"/>
      <c r="DU366" s="7"/>
      <c r="DV366" s="7"/>
      <c r="DW366" s="7"/>
      <c r="DX366" s="7"/>
      <c r="DY366" s="7"/>
      <c r="DZ366" s="7"/>
      <c r="EA366" s="161"/>
      <c r="EG366" s="140"/>
      <c r="EH366" s="131"/>
      <c r="EI366" s="102"/>
      <c r="EJ366" s="102"/>
      <c r="EK366" s="102"/>
      <c r="EL366" s="102"/>
      <c r="EM366" s="99"/>
      <c r="EN366" s="4"/>
      <c r="EO366" s="4"/>
      <c r="EP366" s="5"/>
      <c r="EQ366" s="5"/>
      <c r="ER366" s="99"/>
      <c r="ES366" s="159"/>
      <c r="ET366" s="99"/>
      <c r="EU366" s="99"/>
      <c r="EV366" s="99"/>
      <c r="EW366" s="159"/>
      <c r="EX366" s="99"/>
      <c r="EY366" s="99"/>
      <c r="EZ366" s="175"/>
    </row>
    <row r="367" spans="27:156">
      <c r="AA367" s="18"/>
      <c r="AB367" s="18"/>
      <c r="AC367" s="18"/>
      <c r="AD367" s="19"/>
      <c r="AE367" s="19"/>
      <c r="AI367" s="18"/>
      <c r="AJ367" s="7"/>
      <c r="AK367" s="7"/>
      <c r="AL367" s="7"/>
      <c r="AM367" s="7"/>
      <c r="AN367" s="7"/>
      <c r="AO367" s="7"/>
      <c r="AP367" s="7"/>
      <c r="AQ367" s="7"/>
      <c r="AR367" s="7"/>
      <c r="AS367" s="7"/>
      <c r="AT367" s="7"/>
      <c r="AU367" s="7"/>
      <c r="AV367" s="7"/>
      <c r="AW367" s="7"/>
      <c r="AX367" s="7"/>
      <c r="AY367" s="7"/>
      <c r="AZ367" s="7"/>
      <c r="BA367" s="18"/>
      <c r="BG367" s="140"/>
      <c r="BH367" s="131"/>
      <c r="BI367" s="102"/>
      <c r="BJ367" s="102"/>
      <c r="BK367" s="102"/>
      <c r="BL367" s="102"/>
      <c r="BM367" s="99"/>
      <c r="BN367" s="4"/>
      <c r="BO367" s="4"/>
      <c r="BP367" s="5"/>
      <c r="BQ367" s="5"/>
      <c r="BR367" s="99"/>
      <c r="BS367" s="159"/>
      <c r="BT367" s="99"/>
      <c r="BU367" s="99"/>
      <c r="BV367" s="99"/>
      <c r="BW367" s="159"/>
      <c r="BX367" s="99"/>
      <c r="BY367" s="99"/>
      <c r="BZ367" s="159"/>
      <c r="DA367" s="174"/>
      <c r="DB367" s="18"/>
      <c r="DC367" s="18"/>
      <c r="DD367" s="19"/>
      <c r="DE367" s="19"/>
      <c r="DI367" s="18"/>
      <c r="DJ367" s="7"/>
      <c r="DK367" s="7"/>
      <c r="DL367" s="7"/>
      <c r="DM367" s="7"/>
      <c r="DN367" s="7"/>
      <c r="DO367" s="7"/>
      <c r="DP367" s="7"/>
      <c r="DQ367" s="7"/>
      <c r="DR367" s="7"/>
      <c r="DS367" s="7"/>
      <c r="DT367" s="7"/>
      <c r="DU367" s="7"/>
      <c r="DV367" s="7"/>
      <c r="DW367" s="7"/>
      <c r="DX367" s="7"/>
      <c r="DY367" s="7"/>
      <c r="DZ367" s="7"/>
      <c r="EA367" s="161"/>
      <c r="EG367" s="140"/>
      <c r="EH367" s="131"/>
      <c r="EI367" s="102"/>
      <c r="EJ367" s="102"/>
      <c r="EK367" s="102"/>
      <c r="EL367" s="102"/>
      <c r="EM367" s="99"/>
      <c r="EN367" s="4"/>
      <c r="EO367" s="4"/>
      <c r="EP367" s="5"/>
      <c r="EQ367" s="5"/>
      <c r="ER367" s="99"/>
      <c r="ES367" s="159"/>
      <c r="ET367" s="99"/>
      <c r="EU367" s="99"/>
      <c r="EV367" s="99"/>
      <c r="EW367" s="159"/>
      <c r="EX367" s="99"/>
      <c r="EY367" s="99"/>
      <c r="EZ367" s="175"/>
    </row>
    <row r="368" spans="27:156">
      <c r="AA368" s="18"/>
      <c r="AB368" s="18"/>
      <c r="AC368" s="18"/>
      <c r="AD368" s="19"/>
      <c r="AE368" s="19"/>
      <c r="AI368" s="18"/>
      <c r="AJ368" s="7"/>
      <c r="AK368" s="7"/>
      <c r="AL368" s="7"/>
      <c r="AM368" s="7"/>
      <c r="AN368" s="7"/>
      <c r="AO368" s="7"/>
      <c r="AP368" s="7"/>
      <c r="AQ368" s="7"/>
      <c r="AR368" s="7"/>
      <c r="AS368" s="7"/>
      <c r="AT368" s="7"/>
      <c r="AU368" s="7"/>
      <c r="AV368" s="7"/>
      <c r="AW368" s="7"/>
      <c r="AX368" s="7"/>
      <c r="AY368" s="7"/>
      <c r="AZ368" s="7"/>
      <c r="BA368" s="18"/>
      <c r="BG368" s="140"/>
      <c r="BH368" s="131"/>
      <c r="BI368" s="102"/>
      <c r="BJ368" s="102"/>
      <c r="BK368" s="102"/>
      <c r="BL368" s="102"/>
      <c r="BM368" s="99"/>
      <c r="BN368" s="4"/>
      <c r="BO368" s="4"/>
      <c r="BP368" s="5"/>
      <c r="BQ368" s="5"/>
      <c r="BR368" s="99"/>
      <c r="BS368" s="159"/>
      <c r="BT368" s="99"/>
      <c r="BU368" s="99"/>
      <c r="BV368" s="99"/>
      <c r="BW368" s="159"/>
      <c r="BX368" s="99"/>
      <c r="BY368" s="99"/>
      <c r="BZ368" s="159"/>
      <c r="DA368" s="174"/>
      <c r="DB368" s="18"/>
      <c r="DC368" s="18"/>
      <c r="DD368" s="19"/>
      <c r="DE368" s="19"/>
      <c r="DI368" s="18"/>
      <c r="DJ368" s="7"/>
      <c r="DK368" s="7"/>
      <c r="DL368" s="7"/>
      <c r="DM368" s="7"/>
      <c r="DN368" s="7"/>
      <c r="DO368" s="7"/>
      <c r="DP368" s="7"/>
      <c r="DQ368" s="7"/>
      <c r="DR368" s="7"/>
      <c r="DS368" s="7"/>
      <c r="DT368" s="7"/>
      <c r="DU368" s="7"/>
      <c r="DV368" s="7"/>
      <c r="DW368" s="7"/>
      <c r="DX368" s="7"/>
      <c r="DY368" s="7"/>
      <c r="DZ368" s="7"/>
      <c r="EA368" s="161"/>
      <c r="EG368" s="140"/>
      <c r="EH368" s="131"/>
      <c r="EI368" s="102"/>
      <c r="EJ368" s="102"/>
      <c r="EK368" s="102"/>
      <c r="EL368" s="102"/>
      <c r="EM368" s="99"/>
      <c r="EN368" s="4"/>
      <c r="EO368" s="4"/>
      <c r="EP368" s="5"/>
      <c r="EQ368" s="5"/>
      <c r="ER368" s="99"/>
      <c r="ES368" s="159"/>
      <c r="ET368" s="99"/>
      <c r="EU368" s="99"/>
      <c r="EV368" s="99"/>
      <c r="EW368" s="159"/>
      <c r="EX368" s="99"/>
      <c r="EY368" s="99"/>
      <c r="EZ368" s="175"/>
    </row>
    <row r="369" spans="27:156">
      <c r="AA369" s="18"/>
      <c r="AB369" s="18"/>
      <c r="AC369" s="18"/>
      <c r="AD369" s="19"/>
      <c r="AE369" s="19"/>
      <c r="AI369" s="18"/>
      <c r="AJ369" s="7"/>
      <c r="AK369" s="7"/>
      <c r="AL369" s="7"/>
      <c r="AM369" s="7"/>
      <c r="AN369" s="7"/>
      <c r="AO369" s="7"/>
      <c r="AP369" s="7"/>
      <c r="AQ369" s="7"/>
      <c r="AR369" s="7"/>
      <c r="AS369" s="7"/>
      <c r="AT369" s="7"/>
      <c r="AU369" s="7"/>
      <c r="AV369" s="7"/>
      <c r="AW369" s="7"/>
      <c r="AX369" s="7"/>
      <c r="AY369" s="7"/>
      <c r="AZ369" s="7"/>
      <c r="BA369" s="18"/>
      <c r="BG369" s="140"/>
      <c r="BH369" s="131"/>
      <c r="BI369" s="102"/>
      <c r="BJ369" s="102"/>
      <c r="BK369" s="102"/>
      <c r="BL369" s="102"/>
      <c r="BM369" s="99"/>
      <c r="BN369" s="4"/>
      <c r="BO369" s="4"/>
      <c r="BP369" s="5"/>
      <c r="BQ369" s="5"/>
      <c r="BR369" s="99"/>
      <c r="BS369" s="159"/>
      <c r="BT369" s="99"/>
      <c r="BU369" s="99"/>
      <c r="BV369" s="99"/>
      <c r="BW369" s="159"/>
      <c r="BX369" s="99"/>
      <c r="BY369" s="99"/>
      <c r="BZ369" s="159"/>
      <c r="DA369" s="174"/>
      <c r="DB369" s="18"/>
      <c r="DC369" s="18"/>
      <c r="DD369" s="19"/>
      <c r="DE369" s="19"/>
      <c r="DI369" s="18"/>
      <c r="DJ369" s="7"/>
      <c r="DK369" s="7"/>
      <c r="DL369" s="7"/>
      <c r="DM369" s="7"/>
      <c r="DN369" s="7"/>
      <c r="DO369" s="7"/>
      <c r="DP369" s="7"/>
      <c r="DQ369" s="7"/>
      <c r="DR369" s="7"/>
      <c r="DS369" s="7"/>
      <c r="DT369" s="7"/>
      <c r="DU369" s="7"/>
      <c r="DV369" s="7"/>
      <c r="DW369" s="7"/>
      <c r="DX369" s="7"/>
      <c r="DY369" s="7"/>
      <c r="DZ369" s="7"/>
      <c r="EA369" s="161"/>
      <c r="EG369" s="140"/>
      <c r="EH369" s="131"/>
      <c r="EI369" s="102"/>
      <c r="EJ369" s="102"/>
      <c r="EK369" s="102"/>
      <c r="EL369" s="102"/>
      <c r="EM369" s="99"/>
      <c r="EN369" s="4"/>
      <c r="EO369" s="4"/>
      <c r="EP369" s="5"/>
      <c r="EQ369" s="5"/>
      <c r="ER369" s="99"/>
      <c r="ES369" s="159"/>
      <c r="ET369" s="99"/>
      <c r="EU369" s="99"/>
      <c r="EV369" s="99"/>
      <c r="EW369" s="159"/>
      <c r="EX369" s="99"/>
      <c r="EY369" s="99"/>
      <c r="EZ369" s="175"/>
    </row>
    <row r="370" spans="27:156">
      <c r="AA370" s="18"/>
      <c r="AB370" s="18"/>
      <c r="AC370" s="18"/>
      <c r="AD370" s="19"/>
      <c r="AE370" s="19"/>
      <c r="AI370" s="18"/>
      <c r="AJ370" s="7"/>
      <c r="AK370" s="7"/>
      <c r="AL370" s="7"/>
      <c r="AM370" s="7"/>
      <c r="AN370" s="7"/>
      <c r="AO370" s="7"/>
      <c r="AP370" s="7"/>
      <c r="AQ370" s="7"/>
      <c r="AR370" s="7"/>
      <c r="AS370" s="7"/>
      <c r="AT370" s="7"/>
      <c r="AU370" s="7"/>
      <c r="AV370" s="7"/>
      <c r="AW370" s="7"/>
      <c r="AX370" s="7"/>
      <c r="AY370" s="7"/>
      <c r="AZ370" s="7"/>
      <c r="BA370" s="18"/>
      <c r="BG370" s="140"/>
      <c r="BH370" s="131"/>
      <c r="BI370" s="102"/>
      <c r="BJ370" s="102"/>
      <c r="BK370" s="102"/>
      <c r="BL370" s="102"/>
      <c r="BM370" s="99"/>
      <c r="BN370" s="4"/>
      <c r="BO370" s="4"/>
      <c r="BP370" s="5"/>
      <c r="BQ370" s="5"/>
      <c r="BR370" s="99"/>
      <c r="BS370" s="159"/>
      <c r="BT370" s="99"/>
      <c r="BU370" s="99"/>
      <c r="BV370" s="99"/>
      <c r="BW370" s="159"/>
      <c r="BX370" s="99"/>
      <c r="BY370" s="99"/>
      <c r="BZ370" s="159"/>
      <c r="DA370" s="174"/>
      <c r="DB370" s="18"/>
      <c r="DC370" s="18"/>
      <c r="DD370" s="19"/>
      <c r="DE370" s="19"/>
      <c r="DI370" s="18"/>
      <c r="DJ370" s="7"/>
      <c r="DK370" s="7"/>
      <c r="DL370" s="7"/>
      <c r="DM370" s="7"/>
      <c r="DN370" s="7"/>
      <c r="DO370" s="7"/>
      <c r="DP370" s="7"/>
      <c r="DQ370" s="7"/>
      <c r="DR370" s="7"/>
      <c r="DS370" s="7"/>
      <c r="DT370" s="7"/>
      <c r="DU370" s="7"/>
      <c r="DV370" s="7"/>
      <c r="DW370" s="7"/>
      <c r="DX370" s="7"/>
      <c r="DY370" s="7"/>
      <c r="DZ370" s="7"/>
      <c r="EA370" s="161"/>
      <c r="EG370" s="140"/>
      <c r="EH370" s="131"/>
      <c r="EI370" s="102"/>
      <c r="EJ370" s="102"/>
      <c r="EK370" s="102"/>
      <c r="EL370" s="102"/>
      <c r="EM370" s="99"/>
      <c r="EN370" s="4"/>
      <c r="EO370" s="4"/>
      <c r="EP370" s="5"/>
      <c r="EQ370" s="5"/>
      <c r="ER370" s="99"/>
      <c r="ES370" s="159"/>
      <c r="ET370" s="99"/>
      <c r="EU370" s="99"/>
      <c r="EV370" s="99"/>
      <c r="EW370" s="159"/>
      <c r="EX370" s="99"/>
      <c r="EY370" s="99"/>
      <c r="EZ370" s="175"/>
    </row>
    <row r="371" spans="27:156">
      <c r="AA371" s="18"/>
      <c r="AB371" s="18"/>
      <c r="AC371" s="18"/>
      <c r="AD371" s="19"/>
      <c r="AE371" s="19"/>
      <c r="AI371" s="18"/>
      <c r="AJ371" s="7"/>
      <c r="AK371" s="7"/>
      <c r="AL371" s="7"/>
      <c r="AM371" s="7"/>
      <c r="AN371" s="7"/>
      <c r="AO371" s="7"/>
      <c r="AP371" s="7"/>
      <c r="AQ371" s="7"/>
      <c r="AR371" s="7"/>
      <c r="AS371" s="7"/>
      <c r="AT371" s="7"/>
      <c r="AU371" s="7"/>
      <c r="AV371" s="7"/>
      <c r="AW371" s="7"/>
      <c r="AX371" s="7"/>
      <c r="AY371" s="7"/>
      <c r="AZ371" s="7"/>
      <c r="BA371" s="18"/>
      <c r="BG371" s="140"/>
      <c r="BH371" s="131"/>
      <c r="BI371" s="102"/>
      <c r="BJ371" s="102"/>
      <c r="BK371" s="102"/>
      <c r="BL371" s="102"/>
      <c r="BM371" s="99"/>
      <c r="BN371" s="4"/>
      <c r="BO371" s="4"/>
      <c r="BP371" s="5"/>
      <c r="BQ371" s="5"/>
      <c r="BR371" s="99"/>
      <c r="BS371" s="159"/>
      <c r="BT371" s="99"/>
      <c r="BU371" s="99"/>
      <c r="BV371" s="99"/>
      <c r="BW371" s="159"/>
      <c r="BX371" s="99"/>
      <c r="BY371" s="99"/>
      <c r="BZ371" s="159"/>
      <c r="DA371" s="174"/>
      <c r="DB371" s="18"/>
      <c r="DC371" s="18"/>
      <c r="DD371" s="19"/>
      <c r="DE371" s="19"/>
      <c r="DI371" s="18"/>
      <c r="DJ371" s="7"/>
      <c r="DK371" s="7"/>
      <c r="DL371" s="7"/>
      <c r="DM371" s="7"/>
      <c r="DN371" s="7"/>
      <c r="DO371" s="7"/>
      <c r="DP371" s="7"/>
      <c r="DQ371" s="7"/>
      <c r="DR371" s="7"/>
      <c r="DS371" s="7"/>
      <c r="DT371" s="7"/>
      <c r="DU371" s="7"/>
      <c r="DV371" s="7"/>
      <c r="DW371" s="7"/>
      <c r="DX371" s="7"/>
      <c r="DY371" s="7"/>
      <c r="DZ371" s="7"/>
      <c r="EA371" s="161"/>
      <c r="EG371" s="140"/>
      <c r="EH371" s="131"/>
      <c r="EI371" s="102"/>
      <c r="EJ371" s="102"/>
      <c r="EK371" s="102"/>
      <c r="EL371" s="102"/>
      <c r="EM371" s="99"/>
      <c r="EN371" s="4"/>
      <c r="EO371" s="4"/>
      <c r="EP371" s="5"/>
      <c r="EQ371" s="5"/>
      <c r="ER371" s="99"/>
      <c r="ES371" s="159"/>
      <c r="ET371" s="99"/>
      <c r="EU371" s="99"/>
      <c r="EV371" s="99"/>
      <c r="EW371" s="159"/>
      <c r="EX371" s="99"/>
      <c r="EY371" s="99"/>
      <c r="EZ371" s="175"/>
    </row>
    <row r="372" spans="27:156">
      <c r="AA372" s="18"/>
      <c r="AB372" s="18"/>
      <c r="AC372" s="18"/>
      <c r="AD372" s="19"/>
      <c r="AE372" s="19"/>
      <c r="AI372" s="18"/>
      <c r="AJ372" s="7"/>
      <c r="AK372" s="7"/>
      <c r="AL372" s="7"/>
      <c r="AM372" s="7"/>
      <c r="AN372" s="7"/>
      <c r="AO372" s="7"/>
      <c r="AP372" s="7"/>
      <c r="AQ372" s="7"/>
      <c r="AR372" s="7"/>
      <c r="AS372" s="7"/>
      <c r="AT372" s="7"/>
      <c r="AU372" s="7"/>
      <c r="AV372" s="7"/>
      <c r="AW372" s="7"/>
      <c r="AX372" s="7"/>
      <c r="AY372" s="7"/>
      <c r="AZ372" s="7"/>
      <c r="BA372" s="18"/>
      <c r="BG372" s="140"/>
      <c r="BH372" s="131"/>
      <c r="BI372" s="102"/>
      <c r="BJ372" s="102"/>
      <c r="BK372" s="102"/>
      <c r="BL372" s="102"/>
      <c r="BM372" s="99"/>
      <c r="BN372" s="4"/>
      <c r="BO372" s="4"/>
      <c r="BP372" s="5"/>
      <c r="BQ372" s="5"/>
      <c r="BR372" s="99"/>
      <c r="BS372" s="159"/>
      <c r="BT372" s="99"/>
      <c r="BU372" s="99"/>
      <c r="BV372" s="99"/>
      <c r="BW372" s="159"/>
      <c r="BX372" s="99"/>
      <c r="BY372" s="99"/>
      <c r="BZ372" s="159"/>
      <c r="DA372" s="174"/>
      <c r="DB372" s="18"/>
      <c r="DC372" s="18"/>
      <c r="DD372" s="19"/>
      <c r="DE372" s="19"/>
      <c r="DI372" s="18"/>
      <c r="DJ372" s="7"/>
      <c r="DK372" s="7"/>
      <c r="DL372" s="7"/>
      <c r="DM372" s="7"/>
      <c r="DN372" s="7"/>
      <c r="DO372" s="7"/>
      <c r="DP372" s="7"/>
      <c r="DQ372" s="7"/>
      <c r="DR372" s="7"/>
      <c r="DS372" s="7"/>
      <c r="DT372" s="7"/>
      <c r="DU372" s="7"/>
      <c r="DV372" s="7"/>
      <c r="DW372" s="7"/>
      <c r="DX372" s="7"/>
      <c r="DY372" s="7"/>
      <c r="DZ372" s="7"/>
      <c r="EA372" s="161"/>
      <c r="EG372" s="140"/>
      <c r="EH372" s="131"/>
      <c r="EI372" s="102"/>
      <c r="EJ372" s="102"/>
      <c r="EK372" s="102"/>
      <c r="EL372" s="102"/>
      <c r="EM372" s="99"/>
      <c r="EN372" s="4"/>
      <c r="EO372" s="4"/>
      <c r="EP372" s="5"/>
      <c r="EQ372" s="5"/>
      <c r="ER372" s="99"/>
      <c r="ES372" s="159"/>
      <c r="ET372" s="99"/>
      <c r="EU372" s="99"/>
      <c r="EV372" s="99"/>
      <c r="EW372" s="159"/>
      <c r="EX372" s="99"/>
      <c r="EY372" s="99"/>
      <c r="EZ372" s="175"/>
    </row>
    <row r="373" spans="27:156">
      <c r="AA373" s="18"/>
      <c r="AB373" s="18"/>
      <c r="AC373" s="18"/>
      <c r="AD373" s="19"/>
      <c r="AE373" s="19"/>
      <c r="AI373" s="18"/>
      <c r="AJ373" s="7"/>
      <c r="AK373" s="7"/>
      <c r="AL373" s="7"/>
      <c r="AM373" s="7"/>
      <c r="AN373" s="7"/>
      <c r="AO373" s="7"/>
      <c r="AP373" s="7"/>
      <c r="AQ373" s="7"/>
      <c r="AR373" s="7"/>
      <c r="AS373" s="7"/>
      <c r="AT373" s="7"/>
      <c r="AU373" s="7"/>
      <c r="AV373" s="7"/>
      <c r="AW373" s="7"/>
      <c r="AX373" s="7"/>
      <c r="AY373" s="7"/>
      <c r="AZ373" s="7"/>
      <c r="BA373" s="18"/>
      <c r="BG373" s="140"/>
      <c r="BH373" s="131"/>
      <c r="BI373" s="102"/>
      <c r="BJ373" s="102"/>
      <c r="BK373" s="102"/>
      <c r="BL373" s="102"/>
      <c r="BM373" s="99"/>
      <c r="BN373" s="4"/>
      <c r="BO373" s="4"/>
      <c r="BP373" s="5"/>
      <c r="BQ373" s="5"/>
      <c r="BR373" s="99"/>
      <c r="BS373" s="159"/>
      <c r="BT373" s="99"/>
      <c r="BU373" s="99"/>
      <c r="BV373" s="99"/>
      <c r="BW373" s="159"/>
      <c r="BX373" s="99"/>
      <c r="BY373" s="99"/>
      <c r="BZ373" s="159"/>
      <c r="DA373" s="174"/>
      <c r="DB373" s="18"/>
      <c r="DC373" s="18"/>
      <c r="DD373" s="19"/>
      <c r="DE373" s="19"/>
      <c r="DI373" s="18"/>
      <c r="DJ373" s="7"/>
      <c r="DK373" s="7"/>
      <c r="DL373" s="7"/>
      <c r="DM373" s="7"/>
      <c r="DN373" s="7"/>
      <c r="DO373" s="7"/>
      <c r="DP373" s="7"/>
      <c r="DQ373" s="7"/>
      <c r="DR373" s="7"/>
      <c r="DS373" s="7"/>
      <c r="DT373" s="7"/>
      <c r="DU373" s="7"/>
      <c r="DV373" s="7"/>
      <c r="DW373" s="7"/>
      <c r="DX373" s="7"/>
      <c r="DY373" s="7"/>
      <c r="DZ373" s="7"/>
      <c r="EA373" s="161"/>
      <c r="EG373" s="140"/>
      <c r="EH373" s="131"/>
      <c r="EI373" s="102"/>
      <c r="EJ373" s="102"/>
      <c r="EK373" s="102"/>
      <c r="EL373" s="102"/>
      <c r="EM373" s="99"/>
      <c r="EN373" s="4"/>
      <c r="EO373" s="4"/>
      <c r="EP373" s="5"/>
      <c r="EQ373" s="5"/>
      <c r="ER373" s="99"/>
      <c r="ES373" s="159"/>
      <c r="ET373" s="99"/>
      <c r="EU373" s="99"/>
      <c r="EV373" s="99"/>
      <c r="EW373" s="159"/>
      <c r="EX373" s="99"/>
      <c r="EY373" s="99"/>
      <c r="EZ373" s="175"/>
    </row>
    <row r="374" spans="27:156">
      <c r="AA374" s="18"/>
      <c r="AB374" s="18"/>
      <c r="AC374" s="18"/>
      <c r="AD374" s="19"/>
      <c r="AE374" s="19"/>
      <c r="AI374" s="18"/>
      <c r="AJ374" s="7"/>
      <c r="AK374" s="7"/>
      <c r="AL374" s="7"/>
      <c r="AM374" s="7"/>
      <c r="AN374" s="7"/>
      <c r="AO374" s="7"/>
      <c r="AP374" s="7"/>
      <c r="AQ374" s="7"/>
      <c r="AR374" s="7"/>
      <c r="AS374" s="7"/>
      <c r="AT374" s="7"/>
      <c r="AU374" s="7"/>
      <c r="AV374" s="7"/>
      <c r="AW374" s="7"/>
      <c r="AX374" s="7"/>
      <c r="AY374" s="7"/>
      <c r="AZ374" s="7"/>
      <c r="BA374" s="18"/>
      <c r="BG374" s="140"/>
      <c r="BH374" s="131"/>
      <c r="BI374" s="102"/>
      <c r="BJ374" s="102"/>
      <c r="BK374" s="102"/>
      <c r="BL374" s="102"/>
      <c r="BM374" s="99"/>
      <c r="BN374" s="4"/>
      <c r="BO374" s="4"/>
      <c r="BP374" s="5"/>
      <c r="BQ374" s="5"/>
      <c r="BR374" s="99"/>
      <c r="BS374" s="159"/>
      <c r="BT374" s="99"/>
      <c r="BU374" s="99"/>
      <c r="BV374" s="99"/>
      <c r="BW374" s="159"/>
      <c r="BX374" s="99"/>
      <c r="BY374" s="99"/>
      <c r="BZ374" s="159"/>
      <c r="DA374" s="174"/>
      <c r="DB374" s="18"/>
      <c r="DC374" s="18"/>
      <c r="DD374" s="19"/>
      <c r="DE374" s="19"/>
      <c r="DI374" s="18"/>
      <c r="DJ374" s="7"/>
      <c r="DK374" s="7"/>
      <c r="DL374" s="7"/>
      <c r="DM374" s="7"/>
      <c r="DN374" s="7"/>
      <c r="DO374" s="7"/>
      <c r="DP374" s="7"/>
      <c r="DQ374" s="7"/>
      <c r="DR374" s="7"/>
      <c r="DS374" s="7"/>
      <c r="DT374" s="7"/>
      <c r="DU374" s="7"/>
      <c r="DV374" s="7"/>
      <c r="DW374" s="7"/>
      <c r="DX374" s="7"/>
      <c r="DY374" s="7"/>
      <c r="DZ374" s="7"/>
      <c r="EA374" s="161"/>
      <c r="EG374" s="140"/>
      <c r="EH374" s="131"/>
      <c r="EI374" s="102"/>
      <c r="EJ374" s="102"/>
      <c r="EK374" s="102"/>
      <c r="EL374" s="102"/>
      <c r="EM374" s="99"/>
      <c r="EN374" s="4"/>
      <c r="EO374" s="4"/>
      <c r="EP374" s="5"/>
      <c r="EQ374" s="5"/>
      <c r="ER374" s="99"/>
      <c r="ES374" s="159"/>
      <c r="ET374" s="99"/>
      <c r="EU374" s="99"/>
      <c r="EV374" s="99"/>
      <c r="EW374" s="159"/>
      <c r="EX374" s="99"/>
      <c r="EY374" s="99"/>
      <c r="EZ374" s="175"/>
    </row>
    <row r="375" spans="27:156">
      <c r="AA375" s="18"/>
      <c r="AB375" s="18"/>
      <c r="AC375" s="18"/>
      <c r="AD375" s="19"/>
      <c r="AE375" s="19"/>
      <c r="AI375" s="18"/>
      <c r="AJ375" s="7"/>
      <c r="AK375" s="7"/>
      <c r="AL375" s="7"/>
      <c r="AM375" s="7"/>
      <c r="AN375" s="7"/>
      <c r="AO375" s="7"/>
      <c r="AP375" s="7"/>
      <c r="AQ375" s="7"/>
      <c r="AR375" s="7"/>
      <c r="AS375" s="7"/>
      <c r="AT375" s="7"/>
      <c r="AU375" s="7"/>
      <c r="AV375" s="7"/>
      <c r="AW375" s="7"/>
      <c r="AX375" s="7"/>
      <c r="AY375" s="7"/>
      <c r="AZ375" s="7"/>
      <c r="BA375" s="18"/>
      <c r="BG375" s="140"/>
      <c r="BH375" s="131"/>
      <c r="BI375" s="102"/>
      <c r="BJ375" s="102"/>
      <c r="BK375" s="102"/>
      <c r="BL375" s="102"/>
      <c r="BM375" s="99"/>
      <c r="BN375" s="4"/>
      <c r="BO375" s="4"/>
      <c r="BP375" s="5"/>
      <c r="BQ375" s="5"/>
      <c r="BR375" s="99"/>
      <c r="BS375" s="159"/>
      <c r="BT375" s="99"/>
      <c r="BU375" s="99"/>
      <c r="BV375" s="99"/>
      <c r="BW375" s="159"/>
      <c r="BX375" s="99"/>
      <c r="BY375" s="99"/>
      <c r="BZ375" s="159"/>
      <c r="DA375" s="174"/>
      <c r="DB375" s="18"/>
      <c r="DC375" s="18"/>
      <c r="DD375" s="19"/>
      <c r="DE375" s="19"/>
      <c r="DI375" s="18"/>
      <c r="DJ375" s="7"/>
      <c r="DK375" s="7"/>
      <c r="DL375" s="7"/>
      <c r="DM375" s="7"/>
      <c r="DN375" s="7"/>
      <c r="DO375" s="7"/>
      <c r="DP375" s="7"/>
      <c r="DQ375" s="7"/>
      <c r="DR375" s="7"/>
      <c r="DS375" s="7"/>
      <c r="DT375" s="7"/>
      <c r="DU375" s="7"/>
      <c r="DV375" s="7"/>
      <c r="DW375" s="7"/>
      <c r="DX375" s="7"/>
      <c r="DY375" s="7"/>
      <c r="DZ375" s="7"/>
      <c r="EA375" s="161"/>
      <c r="EG375" s="140"/>
      <c r="EH375" s="131"/>
      <c r="EI375" s="102"/>
      <c r="EJ375" s="102"/>
      <c r="EK375" s="102"/>
      <c r="EL375" s="102"/>
      <c r="EM375" s="99"/>
      <c r="EN375" s="4"/>
      <c r="EO375" s="4"/>
      <c r="EP375" s="5"/>
      <c r="EQ375" s="5"/>
      <c r="ER375" s="99"/>
      <c r="ES375" s="159"/>
      <c r="ET375" s="99"/>
      <c r="EU375" s="99"/>
      <c r="EV375" s="99"/>
      <c r="EW375" s="159"/>
      <c r="EX375" s="99"/>
      <c r="EY375" s="99"/>
      <c r="EZ375" s="175"/>
    </row>
    <row r="376" spans="27:156">
      <c r="AA376" s="18"/>
      <c r="AB376" s="18"/>
      <c r="AC376" s="18"/>
      <c r="AD376" s="19"/>
      <c r="AE376" s="19"/>
      <c r="AI376" s="18"/>
      <c r="AJ376" s="7"/>
      <c r="AK376" s="7"/>
      <c r="AL376" s="7"/>
      <c r="AM376" s="7"/>
      <c r="AN376" s="7"/>
      <c r="AO376" s="7"/>
      <c r="AP376" s="7"/>
      <c r="AQ376" s="7"/>
      <c r="AR376" s="7"/>
      <c r="AS376" s="7"/>
      <c r="AT376" s="7"/>
      <c r="AU376" s="7"/>
      <c r="AV376" s="7"/>
      <c r="AW376" s="7"/>
      <c r="AX376" s="7"/>
      <c r="AY376" s="7"/>
      <c r="AZ376" s="7"/>
      <c r="BA376" s="18"/>
      <c r="BG376" s="140"/>
      <c r="BH376" s="131"/>
      <c r="BI376" s="102"/>
      <c r="BJ376" s="102"/>
      <c r="BK376" s="102"/>
      <c r="BL376" s="102"/>
      <c r="BM376" s="99"/>
      <c r="BN376" s="4"/>
      <c r="BO376" s="4"/>
      <c r="BP376" s="5"/>
      <c r="BQ376" s="5"/>
      <c r="BR376" s="99"/>
      <c r="BS376" s="159"/>
      <c r="BT376" s="99"/>
      <c r="BU376" s="99"/>
      <c r="BV376" s="99"/>
      <c r="BW376" s="159"/>
      <c r="BX376" s="99"/>
      <c r="BY376" s="99"/>
      <c r="BZ376" s="159"/>
      <c r="DA376" s="174"/>
      <c r="DB376" s="18"/>
      <c r="DC376" s="18"/>
      <c r="DD376" s="19"/>
      <c r="DE376" s="19"/>
      <c r="DI376" s="18"/>
      <c r="DJ376" s="7"/>
      <c r="DK376" s="7"/>
      <c r="DL376" s="7"/>
      <c r="DM376" s="7"/>
      <c r="DN376" s="7"/>
      <c r="DO376" s="7"/>
      <c r="DP376" s="7"/>
      <c r="DQ376" s="7"/>
      <c r="DR376" s="7"/>
      <c r="DS376" s="7"/>
      <c r="DT376" s="7"/>
      <c r="DU376" s="7"/>
      <c r="DV376" s="7"/>
      <c r="DW376" s="7"/>
      <c r="DX376" s="7"/>
      <c r="DY376" s="7"/>
      <c r="DZ376" s="7"/>
      <c r="EA376" s="161"/>
      <c r="EG376" s="140"/>
      <c r="EH376" s="131"/>
      <c r="EI376" s="102"/>
      <c r="EJ376" s="102"/>
      <c r="EK376" s="102"/>
      <c r="EL376" s="102"/>
      <c r="EM376" s="99"/>
      <c r="EN376" s="4"/>
      <c r="EO376" s="4"/>
      <c r="EP376" s="5"/>
      <c r="EQ376" s="5"/>
      <c r="ER376" s="99"/>
      <c r="ES376" s="159"/>
      <c r="ET376" s="99"/>
      <c r="EU376" s="99"/>
      <c r="EV376" s="99"/>
      <c r="EW376" s="159"/>
      <c r="EX376" s="99"/>
      <c r="EY376" s="99"/>
      <c r="EZ376" s="175"/>
    </row>
    <row r="377" spans="27:156">
      <c r="AA377" s="18"/>
      <c r="AB377" s="18"/>
      <c r="AC377" s="18"/>
      <c r="AD377" s="19"/>
      <c r="AE377" s="19"/>
      <c r="AI377" s="18"/>
      <c r="AJ377" s="7"/>
      <c r="AK377" s="7"/>
      <c r="AL377" s="7"/>
      <c r="AM377" s="7"/>
      <c r="AN377" s="7"/>
      <c r="AO377" s="7"/>
      <c r="AP377" s="7"/>
      <c r="AQ377" s="7"/>
      <c r="AR377" s="7"/>
      <c r="AS377" s="7"/>
      <c r="AT377" s="7"/>
      <c r="AU377" s="7"/>
      <c r="AV377" s="7"/>
      <c r="AW377" s="7"/>
      <c r="AX377" s="7"/>
      <c r="AY377" s="7"/>
      <c r="AZ377" s="7"/>
      <c r="BA377" s="18"/>
      <c r="BG377" s="140"/>
      <c r="BH377" s="131"/>
      <c r="BI377" s="102"/>
      <c r="BJ377" s="102"/>
      <c r="BK377" s="102"/>
      <c r="BL377" s="102"/>
      <c r="BM377" s="99"/>
      <c r="BN377" s="4"/>
      <c r="BO377" s="4"/>
      <c r="BP377" s="5"/>
      <c r="BQ377" s="5"/>
      <c r="BR377" s="99"/>
      <c r="BS377" s="159"/>
      <c r="BT377" s="99"/>
      <c r="BU377" s="99"/>
      <c r="BV377" s="99"/>
      <c r="BW377" s="159"/>
      <c r="BX377" s="99"/>
      <c r="BY377" s="99"/>
      <c r="BZ377" s="159"/>
      <c r="DA377" s="174"/>
      <c r="DB377" s="18"/>
      <c r="DC377" s="18"/>
      <c r="DD377" s="19"/>
      <c r="DE377" s="19"/>
      <c r="DI377" s="18"/>
      <c r="DJ377" s="7"/>
      <c r="DK377" s="7"/>
      <c r="DL377" s="7"/>
      <c r="DM377" s="7"/>
      <c r="DN377" s="7"/>
      <c r="DO377" s="7"/>
      <c r="DP377" s="7"/>
      <c r="DQ377" s="7"/>
      <c r="DR377" s="7"/>
      <c r="DS377" s="7"/>
      <c r="DT377" s="7"/>
      <c r="DU377" s="7"/>
      <c r="DV377" s="7"/>
      <c r="DW377" s="7"/>
      <c r="DX377" s="7"/>
      <c r="DY377" s="7"/>
      <c r="DZ377" s="7"/>
      <c r="EA377" s="161"/>
      <c r="EG377" s="140"/>
      <c r="EH377" s="131"/>
      <c r="EI377" s="102"/>
      <c r="EJ377" s="102"/>
      <c r="EK377" s="102"/>
      <c r="EL377" s="102"/>
      <c r="EM377" s="99"/>
      <c r="EN377" s="4"/>
      <c r="EO377" s="4"/>
      <c r="EP377" s="5"/>
      <c r="EQ377" s="5"/>
      <c r="ER377" s="99"/>
      <c r="ES377" s="159"/>
      <c r="ET377" s="99"/>
      <c r="EU377" s="99"/>
      <c r="EV377" s="99"/>
      <c r="EW377" s="159"/>
      <c r="EX377" s="99"/>
      <c r="EY377" s="99"/>
      <c r="EZ377" s="175"/>
    </row>
    <row r="378" spans="27:156">
      <c r="AA378" s="18"/>
      <c r="AB378" s="18"/>
      <c r="AC378" s="18"/>
      <c r="AD378" s="19"/>
      <c r="AE378" s="19"/>
      <c r="AI378" s="18"/>
      <c r="AJ378" s="7"/>
      <c r="AK378" s="7"/>
      <c r="AL378" s="7"/>
      <c r="AM378" s="7"/>
      <c r="AN378" s="7"/>
      <c r="AO378" s="7"/>
      <c r="AP378" s="7"/>
      <c r="AQ378" s="7"/>
      <c r="AR378" s="7"/>
      <c r="AS378" s="7"/>
      <c r="AT378" s="7"/>
      <c r="AU378" s="7"/>
      <c r="AV378" s="7"/>
      <c r="AW378" s="7"/>
      <c r="AX378" s="7"/>
      <c r="AY378" s="7"/>
      <c r="AZ378" s="7"/>
      <c r="BA378" s="18"/>
      <c r="BG378" s="140"/>
      <c r="BH378" s="131"/>
      <c r="BI378" s="102"/>
      <c r="BJ378" s="102"/>
      <c r="BK378" s="102"/>
      <c r="BL378" s="102"/>
      <c r="BM378" s="99"/>
      <c r="BN378" s="4"/>
      <c r="BO378" s="4"/>
      <c r="BP378" s="5"/>
      <c r="BQ378" s="5"/>
      <c r="BR378" s="99"/>
      <c r="BS378" s="159"/>
      <c r="BT378" s="99"/>
      <c r="BU378" s="99"/>
      <c r="BV378" s="99"/>
      <c r="BW378" s="159"/>
      <c r="BX378" s="99"/>
      <c r="BY378" s="99"/>
      <c r="BZ378" s="159"/>
      <c r="DA378" s="174"/>
      <c r="DB378" s="18"/>
      <c r="DC378" s="18"/>
      <c r="DD378" s="19"/>
      <c r="DE378" s="19"/>
      <c r="DI378" s="18"/>
      <c r="DJ378" s="7"/>
      <c r="DK378" s="7"/>
      <c r="DL378" s="7"/>
      <c r="DM378" s="7"/>
      <c r="DN378" s="7"/>
      <c r="DO378" s="7"/>
      <c r="DP378" s="7"/>
      <c r="DQ378" s="7"/>
      <c r="DR378" s="7"/>
      <c r="DS378" s="7"/>
      <c r="DT378" s="7"/>
      <c r="DU378" s="7"/>
      <c r="DV378" s="7"/>
      <c r="DW378" s="7"/>
      <c r="DX378" s="7"/>
      <c r="DY378" s="7"/>
      <c r="DZ378" s="7"/>
      <c r="EA378" s="161"/>
      <c r="EG378" s="140"/>
      <c r="EH378" s="131"/>
      <c r="EI378" s="102"/>
      <c r="EJ378" s="102"/>
      <c r="EK378" s="102"/>
      <c r="EL378" s="102"/>
      <c r="EM378" s="99"/>
      <c r="EN378" s="4"/>
      <c r="EO378" s="4"/>
      <c r="EP378" s="5"/>
      <c r="EQ378" s="5"/>
      <c r="ER378" s="99"/>
      <c r="ES378" s="159"/>
      <c r="ET378" s="99"/>
      <c r="EU378" s="99"/>
      <c r="EV378" s="99"/>
      <c r="EW378" s="159"/>
      <c r="EX378" s="99"/>
      <c r="EY378" s="99"/>
      <c r="EZ378" s="175"/>
    </row>
    <row r="379" spans="27:156">
      <c r="AA379" s="18"/>
      <c r="AB379" s="18"/>
      <c r="AC379" s="18"/>
      <c r="AD379" s="19"/>
      <c r="AE379" s="19"/>
      <c r="AI379" s="18"/>
      <c r="AJ379" s="7"/>
      <c r="AK379" s="7"/>
      <c r="AL379" s="7"/>
      <c r="AM379" s="7"/>
      <c r="AN379" s="7"/>
      <c r="AO379" s="7"/>
      <c r="AP379" s="7"/>
      <c r="AQ379" s="7"/>
      <c r="AR379" s="7"/>
      <c r="AS379" s="7"/>
      <c r="AT379" s="7"/>
      <c r="AU379" s="7"/>
      <c r="AV379" s="7"/>
      <c r="AW379" s="7"/>
      <c r="AX379" s="7"/>
      <c r="AY379" s="7"/>
      <c r="AZ379" s="7"/>
      <c r="BA379" s="18"/>
      <c r="BG379" s="140"/>
      <c r="BH379" s="131"/>
      <c r="BI379" s="102"/>
      <c r="BJ379" s="102"/>
      <c r="BK379" s="102"/>
      <c r="BL379" s="102"/>
      <c r="BM379" s="99"/>
      <c r="BN379" s="4"/>
      <c r="BO379" s="4"/>
      <c r="BP379" s="5"/>
      <c r="BQ379" s="5"/>
      <c r="BR379" s="99"/>
      <c r="BS379" s="159"/>
      <c r="BT379" s="99"/>
      <c r="BU379" s="99"/>
      <c r="BV379" s="99"/>
      <c r="BW379" s="159"/>
      <c r="BX379" s="99"/>
      <c r="BY379" s="99"/>
      <c r="BZ379" s="159"/>
      <c r="DA379" s="174"/>
      <c r="DB379" s="18"/>
      <c r="DC379" s="18"/>
      <c r="DD379" s="19"/>
      <c r="DE379" s="19"/>
      <c r="DI379" s="18"/>
      <c r="DJ379" s="7"/>
      <c r="DK379" s="7"/>
      <c r="DL379" s="7"/>
      <c r="DM379" s="7"/>
      <c r="DN379" s="7"/>
      <c r="DO379" s="7"/>
      <c r="DP379" s="7"/>
      <c r="DQ379" s="7"/>
      <c r="DR379" s="7"/>
      <c r="DS379" s="7"/>
      <c r="DT379" s="7"/>
      <c r="DU379" s="7"/>
      <c r="DV379" s="7"/>
      <c r="DW379" s="7"/>
      <c r="DX379" s="7"/>
      <c r="DY379" s="7"/>
      <c r="DZ379" s="7"/>
      <c r="EA379" s="161"/>
      <c r="EG379" s="140"/>
      <c r="EH379" s="131"/>
      <c r="EI379" s="102"/>
      <c r="EJ379" s="102"/>
      <c r="EK379" s="102"/>
      <c r="EL379" s="102"/>
      <c r="EM379" s="99"/>
      <c r="EN379" s="4"/>
      <c r="EO379" s="4"/>
      <c r="EP379" s="5"/>
      <c r="EQ379" s="5"/>
      <c r="ER379" s="99"/>
      <c r="ES379" s="159"/>
      <c r="ET379" s="99"/>
      <c r="EU379" s="99"/>
      <c r="EV379" s="99"/>
      <c r="EW379" s="159"/>
      <c r="EX379" s="99"/>
      <c r="EY379" s="99"/>
      <c r="EZ379" s="175"/>
    </row>
    <row r="380" spans="27:156">
      <c r="AA380" s="18"/>
      <c r="AB380" s="18"/>
      <c r="AC380" s="18"/>
      <c r="AD380" s="19"/>
      <c r="AE380" s="19"/>
      <c r="AI380" s="18"/>
      <c r="AJ380" s="7"/>
      <c r="AK380" s="7"/>
      <c r="AL380" s="7"/>
      <c r="AM380" s="7"/>
      <c r="AN380" s="7"/>
      <c r="AO380" s="7"/>
      <c r="AP380" s="7"/>
      <c r="AQ380" s="7"/>
      <c r="AR380" s="7"/>
      <c r="AS380" s="7"/>
      <c r="AT380" s="7"/>
      <c r="AU380" s="7"/>
      <c r="AV380" s="7"/>
      <c r="AW380" s="7"/>
      <c r="AX380" s="7"/>
      <c r="AY380" s="7"/>
      <c r="AZ380" s="7"/>
      <c r="BA380" s="18"/>
      <c r="BG380" s="140"/>
      <c r="BH380" s="131"/>
      <c r="BI380" s="102"/>
      <c r="BJ380" s="102"/>
      <c r="BK380" s="102"/>
      <c r="BL380" s="102"/>
      <c r="BM380" s="99"/>
      <c r="BN380" s="4"/>
      <c r="BO380" s="4"/>
      <c r="BP380" s="5"/>
      <c r="BQ380" s="5"/>
      <c r="BR380" s="99"/>
      <c r="BS380" s="159"/>
      <c r="BT380" s="99"/>
      <c r="BU380" s="99"/>
      <c r="BV380" s="99"/>
      <c r="BW380" s="159"/>
      <c r="BX380" s="99"/>
      <c r="BY380" s="99"/>
      <c r="BZ380" s="159"/>
      <c r="DA380" s="174"/>
      <c r="DB380" s="18"/>
      <c r="DC380" s="18"/>
      <c r="DD380" s="19"/>
      <c r="DE380" s="19"/>
      <c r="DI380" s="18"/>
      <c r="DJ380" s="7"/>
      <c r="DK380" s="7"/>
      <c r="DL380" s="7"/>
      <c r="DM380" s="7"/>
      <c r="DN380" s="7"/>
      <c r="DO380" s="7"/>
      <c r="DP380" s="7"/>
      <c r="DQ380" s="7"/>
      <c r="DR380" s="7"/>
      <c r="DS380" s="7"/>
      <c r="DT380" s="7"/>
      <c r="DU380" s="7"/>
      <c r="DV380" s="7"/>
      <c r="DW380" s="7"/>
      <c r="DX380" s="7"/>
      <c r="DY380" s="7"/>
      <c r="DZ380" s="7"/>
      <c r="EA380" s="161"/>
      <c r="EG380" s="140"/>
      <c r="EH380" s="131"/>
      <c r="EI380" s="102"/>
      <c r="EJ380" s="102"/>
      <c r="EK380" s="102"/>
      <c r="EL380" s="102"/>
      <c r="EM380" s="99"/>
      <c r="EN380" s="4"/>
      <c r="EO380" s="4"/>
      <c r="EP380" s="5"/>
      <c r="EQ380" s="5"/>
      <c r="ER380" s="99"/>
      <c r="ES380" s="159"/>
      <c r="ET380" s="99"/>
      <c r="EU380" s="99"/>
      <c r="EV380" s="99"/>
      <c r="EW380" s="159"/>
      <c r="EX380" s="99"/>
      <c r="EY380" s="99"/>
      <c r="EZ380" s="175"/>
    </row>
    <row r="381" spans="27:156">
      <c r="AA381" s="18"/>
      <c r="AB381" s="18"/>
      <c r="AC381" s="18"/>
      <c r="AD381" s="19"/>
      <c r="AE381" s="19"/>
      <c r="AI381" s="18"/>
      <c r="AJ381" s="7"/>
      <c r="AK381" s="7"/>
      <c r="AL381" s="7"/>
      <c r="AM381" s="7"/>
      <c r="AN381" s="7"/>
      <c r="AO381" s="7"/>
      <c r="AP381" s="7"/>
      <c r="AQ381" s="7"/>
      <c r="AR381" s="7"/>
      <c r="AS381" s="7"/>
      <c r="AT381" s="7"/>
      <c r="AU381" s="7"/>
      <c r="AV381" s="7"/>
      <c r="AW381" s="7"/>
      <c r="AX381" s="7"/>
      <c r="AY381" s="7"/>
      <c r="AZ381" s="7"/>
      <c r="BA381" s="18"/>
      <c r="BG381" s="140"/>
      <c r="BH381" s="131"/>
      <c r="BI381" s="102"/>
      <c r="BJ381" s="102"/>
      <c r="BK381" s="102"/>
      <c r="BL381" s="102"/>
      <c r="BM381" s="99"/>
      <c r="BN381" s="4"/>
      <c r="BO381" s="4"/>
      <c r="BP381" s="5"/>
      <c r="BQ381" s="5"/>
      <c r="BR381" s="99"/>
      <c r="BS381" s="159"/>
      <c r="BT381" s="99"/>
      <c r="BU381" s="99"/>
      <c r="BV381" s="99"/>
      <c r="BW381" s="159"/>
      <c r="BX381" s="99"/>
      <c r="BY381" s="99"/>
      <c r="BZ381" s="159"/>
      <c r="DA381" s="174"/>
      <c r="DB381" s="18"/>
      <c r="DC381" s="18"/>
      <c r="DD381" s="19"/>
      <c r="DE381" s="19"/>
      <c r="DI381" s="18"/>
      <c r="DJ381" s="7"/>
      <c r="DK381" s="7"/>
      <c r="DL381" s="7"/>
      <c r="DM381" s="7"/>
      <c r="DN381" s="7"/>
      <c r="DO381" s="7"/>
      <c r="DP381" s="7"/>
      <c r="DQ381" s="7"/>
      <c r="DR381" s="7"/>
      <c r="DS381" s="7"/>
      <c r="DT381" s="7"/>
      <c r="DU381" s="7"/>
      <c r="DV381" s="7"/>
      <c r="DW381" s="7"/>
      <c r="DX381" s="7"/>
      <c r="DY381" s="7"/>
      <c r="DZ381" s="7"/>
      <c r="EA381" s="161"/>
      <c r="EG381" s="140"/>
      <c r="EH381" s="131"/>
      <c r="EI381" s="102"/>
      <c r="EJ381" s="102"/>
      <c r="EK381" s="102"/>
      <c r="EL381" s="102"/>
      <c r="EM381" s="99"/>
      <c r="EN381" s="4"/>
      <c r="EO381" s="4"/>
      <c r="EP381" s="5"/>
      <c r="EQ381" s="5"/>
      <c r="ER381" s="99"/>
      <c r="ES381" s="159"/>
      <c r="ET381" s="99"/>
      <c r="EU381" s="99"/>
      <c r="EV381" s="99"/>
      <c r="EW381" s="159"/>
      <c r="EX381" s="99"/>
      <c r="EY381" s="99"/>
      <c r="EZ381" s="175"/>
    </row>
    <row r="382" spans="27:156">
      <c r="AA382" s="18"/>
      <c r="AB382" s="18"/>
      <c r="AC382" s="18"/>
      <c r="AD382" s="19"/>
      <c r="AE382" s="19"/>
      <c r="AI382" s="18"/>
      <c r="AJ382" s="7"/>
      <c r="AK382" s="7"/>
      <c r="AL382" s="7"/>
      <c r="AM382" s="7"/>
      <c r="AN382" s="7"/>
      <c r="AO382" s="7"/>
      <c r="AP382" s="7"/>
      <c r="AQ382" s="7"/>
      <c r="AR382" s="7"/>
      <c r="AS382" s="7"/>
      <c r="AT382" s="7"/>
      <c r="AU382" s="7"/>
      <c r="AV382" s="7"/>
      <c r="AW382" s="7"/>
      <c r="AX382" s="7"/>
      <c r="AY382" s="7"/>
      <c r="AZ382" s="7"/>
      <c r="BA382" s="18"/>
      <c r="BG382" s="140"/>
      <c r="BH382" s="131"/>
      <c r="BI382" s="102"/>
      <c r="BJ382" s="102"/>
      <c r="BK382" s="102"/>
      <c r="BL382" s="102"/>
      <c r="BM382" s="99"/>
      <c r="BN382" s="4"/>
      <c r="BO382" s="4"/>
      <c r="BP382" s="5"/>
      <c r="BQ382" s="5"/>
      <c r="BR382" s="99"/>
      <c r="BS382" s="159"/>
      <c r="BT382" s="99"/>
      <c r="BU382" s="99"/>
      <c r="BV382" s="99"/>
      <c r="BW382" s="159"/>
      <c r="BX382" s="99"/>
      <c r="BY382" s="99"/>
      <c r="BZ382" s="159"/>
      <c r="DA382" s="174"/>
      <c r="DB382" s="18"/>
      <c r="DC382" s="18"/>
      <c r="DD382" s="19"/>
      <c r="DE382" s="19"/>
      <c r="DI382" s="18"/>
      <c r="DJ382" s="7"/>
      <c r="DK382" s="7"/>
      <c r="DL382" s="7"/>
      <c r="DM382" s="7"/>
      <c r="DN382" s="7"/>
      <c r="DO382" s="7"/>
      <c r="DP382" s="7"/>
      <c r="DQ382" s="7"/>
      <c r="DR382" s="7"/>
      <c r="DS382" s="7"/>
      <c r="DT382" s="7"/>
      <c r="DU382" s="7"/>
      <c r="DV382" s="7"/>
      <c r="DW382" s="7"/>
      <c r="DX382" s="7"/>
      <c r="DY382" s="7"/>
      <c r="DZ382" s="7"/>
      <c r="EA382" s="161"/>
      <c r="EG382" s="140"/>
      <c r="EH382" s="131"/>
      <c r="EI382" s="102"/>
      <c r="EJ382" s="102"/>
      <c r="EK382" s="102"/>
      <c r="EL382" s="102"/>
      <c r="EM382" s="99"/>
      <c r="EN382" s="4"/>
      <c r="EO382" s="4"/>
      <c r="EP382" s="5"/>
      <c r="EQ382" s="5"/>
      <c r="ER382" s="99"/>
      <c r="ES382" s="159"/>
      <c r="ET382" s="99"/>
      <c r="EU382" s="99"/>
      <c r="EV382" s="99"/>
      <c r="EW382" s="159"/>
      <c r="EX382" s="99"/>
      <c r="EY382" s="99"/>
      <c r="EZ382" s="175"/>
    </row>
    <row r="383" spans="27:156">
      <c r="AA383" s="18"/>
      <c r="AB383" s="18"/>
      <c r="AC383" s="18"/>
      <c r="AD383" s="19"/>
      <c r="AE383" s="19"/>
      <c r="AI383" s="18"/>
      <c r="AJ383" s="7"/>
      <c r="AK383" s="7"/>
      <c r="AL383" s="7"/>
      <c r="AM383" s="7"/>
      <c r="AN383" s="7"/>
      <c r="AO383" s="7"/>
      <c r="AP383" s="7"/>
      <c r="AQ383" s="7"/>
      <c r="AR383" s="7"/>
      <c r="AS383" s="7"/>
      <c r="AT383" s="7"/>
      <c r="AU383" s="7"/>
      <c r="AV383" s="7"/>
      <c r="AW383" s="7"/>
      <c r="AX383" s="7"/>
      <c r="AY383" s="7"/>
      <c r="AZ383" s="7"/>
      <c r="BA383" s="18"/>
      <c r="BG383" s="140"/>
      <c r="BH383" s="131"/>
      <c r="BI383" s="102"/>
      <c r="BJ383" s="102"/>
      <c r="BK383" s="102"/>
      <c r="BL383" s="102"/>
      <c r="BM383" s="99"/>
      <c r="BN383" s="4"/>
      <c r="BO383" s="4"/>
      <c r="BP383" s="5"/>
      <c r="BQ383" s="5"/>
      <c r="BR383" s="99"/>
      <c r="BS383" s="159"/>
      <c r="BT383" s="99"/>
      <c r="BU383" s="99"/>
      <c r="BV383" s="99"/>
      <c r="BW383" s="159"/>
      <c r="BX383" s="99"/>
      <c r="BY383" s="99"/>
      <c r="BZ383" s="159"/>
      <c r="DA383" s="174"/>
      <c r="DB383" s="18"/>
      <c r="DC383" s="18"/>
      <c r="DD383" s="19"/>
      <c r="DE383" s="19"/>
      <c r="DI383" s="18"/>
      <c r="DJ383" s="7"/>
      <c r="DK383" s="7"/>
      <c r="DL383" s="7"/>
      <c r="DM383" s="7"/>
      <c r="DN383" s="7"/>
      <c r="DO383" s="7"/>
      <c r="DP383" s="7"/>
      <c r="DQ383" s="7"/>
      <c r="DR383" s="7"/>
      <c r="DS383" s="7"/>
      <c r="DT383" s="7"/>
      <c r="DU383" s="7"/>
      <c r="DV383" s="7"/>
      <c r="DW383" s="7"/>
      <c r="DX383" s="7"/>
      <c r="DY383" s="7"/>
      <c r="DZ383" s="7"/>
      <c r="EA383" s="161"/>
      <c r="EG383" s="140"/>
      <c r="EH383" s="131"/>
      <c r="EI383" s="102"/>
      <c r="EJ383" s="102"/>
      <c r="EK383" s="102"/>
      <c r="EL383" s="102"/>
      <c r="EM383" s="99"/>
      <c r="EN383" s="4"/>
      <c r="EO383" s="4"/>
      <c r="EP383" s="5"/>
      <c r="EQ383" s="5"/>
      <c r="ER383" s="99"/>
      <c r="ES383" s="159"/>
      <c r="ET383" s="99"/>
      <c r="EU383" s="99"/>
      <c r="EV383" s="99"/>
      <c r="EW383" s="159"/>
      <c r="EX383" s="99"/>
      <c r="EY383" s="99"/>
      <c r="EZ383" s="175"/>
    </row>
    <row r="384" spans="27:156">
      <c r="AA384" s="18"/>
      <c r="AB384" s="18"/>
      <c r="AC384" s="18"/>
      <c r="AD384" s="19"/>
      <c r="AE384" s="19"/>
      <c r="AI384" s="18"/>
      <c r="AJ384" s="7"/>
      <c r="AK384" s="7"/>
      <c r="AL384" s="7"/>
      <c r="AM384" s="7"/>
      <c r="AN384" s="7"/>
      <c r="AO384" s="7"/>
      <c r="AP384" s="7"/>
      <c r="AQ384" s="7"/>
      <c r="AR384" s="7"/>
      <c r="AS384" s="7"/>
      <c r="AT384" s="7"/>
      <c r="AU384" s="7"/>
      <c r="AV384" s="7"/>
      <c r="AW384" s="7"/>
      <c r="AX384" s="7"/>
      <c r="AY384" s="7"/>
      <c r="AZ384" s="7"/>
      <c r="BA384" s="18"/>
      <c r="BG384" s="140"/>
      <c r="BH384" s="131"/>
      <c r="BI384" s="102"/>
      <c r="BJ384" s="102"/>
      <c r="BK384" s="102"/>
      <c r="BL384" s="102"/>
      <c r="BM384" s="99"/>
      <c r="BN384" s="4"/>
      <c r="BO384" s="4"/>
      <c r="BP384" s="5"/>
      <c r="BQ384" s="5"/>
      <c r="BR384" s="99"/>
      <c r="BS384" s="159"/>
      <c r="BT384" s="99"/>
      <c r="BU384" s="99"/>
      <c r="BV384" s="99"/>
      <c r="BW384" s="159"/>
      <c r="BX384" s="99"/>
      <c r="BY384" s="99"/>
      <c r="BZ384" s="159"/>
      <c r="DA384" s="174"/>
      <c r="DB384" s="18"/>
      <c r="DC384" s="18"/>
      <c r="DD384" s="19"/>
      <c r="DE384" s="19"/>
      <c r="DI384" s="18"/>
      <c r="DJ384" s="7"/>
      <c r="DK384" s="7"/>
      <c r="DL384" s="7"/>
      <c r="DM384" s="7"/>
      <c r="DN384" s="7"/>
      <c r="DO384" s="7"/>
      <c r="DP384" s="7"/>
      <c r="DQ384" s="7"/>
      <c r="DR384" s="7"/>
      <c r="DS384" s="7"/>
      <c r="DT384" s="7"/>
      <c r="DU384" s="7"/>
      <c r="DV384" s="7"/>
      <c r="DW384" s="7"/>
      <c r="DX384" s="7"/>
      <c r="DY384" s="7"/>
      <c r="DZ384" s="7"/>
      <c r="EA384" s="161"/>
      <c r="EG384" s="140"/>
      <c r="EH384" s="131"/>
      <c r="EI384" s="102"/>
      <c r="EJ384" s="102"/>
      <c r="EK384" s="102"/>
      <c r="EL384" s="102"/>
      <c r="EM384" s="99"/>
      <c r="EN384" s="4"/>
      <c r="EO384" s="4"/>
      <c r="EP384" s="5"/>
      <c r="EQ384" s="5"/>
      <c r="ER384" s="99"/>
      <c r="ES384" s="159"/>
      <c r="ET384" s="99"/>
      <c r="EU384" s="99"/>
      <c r="EV384" s="99"/>
      <c r="EW384" s="159"/>
      <c r="EX384" s="99"/>
      <c r="EY384" s="99"/>
      <c r="EZ384" s="175"/>
    </row>
    <row r="385" spans="27:156">
      <c r="AA385" s="18"/>
      <c r="AB385" s="18"/>
      <c r="AC385" s="18"/>
      <c r="AD385" s="19"/>
      <c r="AE385" s="19"/>
      <c r="AI385" s="18"/>
      <c r="AJ385" s="7"/>
      <c r="AK385" s="7"/>
      <c r="AL385" s="7"/>
      <c r="AM385" s="7"/>
      <c r="AN385" s="7"/>
      <c r="AO385" s="7"/>
      <c r="AP385" s="7"/>
      <c r="AQ385" s="7"/>
      <c r="AR385" s="7"/>
      <c r="AS385" s="7"/>
      <c r="AT385" s="7"/>
      <c r="AU385" s="7"/>
      <c r="AV385" s="7"/>
      <c r="AW385" s="7"/>
      <c r="AX385" s="7"/>
      <c r="AY385" s="7"/>
      <c r="AZ385" s="7"/>
      <c r="BA385" s="18"/>
      <c r="BG385" s="140"/>
      <c r="BH385" s="131"/>
      <c r="BI385" s="102"/>
      <c r="BJ385" s="102"/>
      <c r="BK385" s="102"/>
      <c r="BL385" s="102"/>
      <c r="BM385" s="99"/>
      <c r="BN385" s="4"/>
      <c r="BO385" s="4"/>
      <c r="BP385" s="5"/>
      <c r="BQ385" s="5"/>
      <c r="BR385" s="99"/>
      <c r="BS385" s="159"/>
      <c r="BT385" s="99"/>
      <c r="BU385" s="99"/>
      <c r="BV385" s="99"/>
      <c r="BW385" s="159"/>
      <c r="BX385" s="99"/>
      <c r="BY385" s="99"/>
      <c r="BZ385" s="159"/>
      <c r="DA385" s="174"/>
      <c r="DB385" s="18"/>
      <c r="DC385" s="18"/>
      <c r="DD385" s="19"/>
      <c r="DE385" s="19"/>
      <c r="DI385" s="18"/>
      <c r="DJ385" s="7"/>
      <c r="DK385" s="7"/>
      <c r="DL385" s="7"/>
      <c r="DM385" s="7"/>
      <c r="DN385" s="7"/>
      <c r="DO385" s="7"/>
      <c r="DP385" s="7"/>
      <c r="DQ385" s="7"/>
      <c r="DR385" s="7"/>
      <c r="DS385" s="7"/>
      <c r="DT385" s="7"/>
      <c r="DU385" s="7"/>
      <c r="DV385" s="7"/>
      <c r="DW385" s="7"/>
      <c r="DX385" s="7"/>
      <c r="DY385" s="7"/>
      <c r="DZ385" s="7"/>
      <c r="EA385" s="161"/>
      <c r="EG385" s="140"/>
      <c r="EH385" s="131"/>
      <c r="EI385" s="102"/>
      <c r="EJ385" s="102"/>
      <c r="EK385" s="102"/>
      <c r="EL385" s="102"/>
      <c r="EM385" s="99"/>
      <c r="EN385" s="4"/>
      <c r="EO385" s="4"/>
      <c r="EP385" s="5"/>
      <c r="EQ385" s="5"/>
      <c r="ER385" s="99"/>
      <c r="ES385" s="159"/>
      <c r="ET385" s="99"/>
      <c r="EU385" s="99"/>
      <c r="EV385" s="99"/>
      <c r="EW385" s="159"/>
      <c r="EX385" s="99"/>
      <c r="EY385" s="99"/>
      <c r="EZ385" s="175"/>
    </row>
    <row r="386" spans="27:156">
      <c r="AA386" s="18"/>
      <c r="AB386" s="18"/>
      <c r="AC386" s="18"/>
      <c r="AD386" s="19"/>
      <c r="AE386" s="19"/>
      <c r="AI386" s="18"/>
      <c r="AJ386" s="7"/>
      <c r="AK386" s="7"/>
      <c r="AL386" s="7"/>
      <c r="AM386" s="7"/>
      <c r="AN386" s="7"/>
      <c r="AO386" s="7"/>
      <c r="AP386" s="7"/>
      <c r="AQ386" s="7"/>
      <c r="AR386" s="7"/>
      <c r="AS386" s="7"/>
      <c r="AT386" s="7"/>
      <c r="AU386" s="7"/>
      <c r="AV386" s="7"/>
      <c r="AW386" s="7"/>
      <c r="AX386" s="7"/>
      <c r="AY386" s="7"/>
      <c r="AZ386" s="7"/>
      <c r="BA386" s="18"/>
      <c r="BG386" s="140"/>
      <c r="BH386" s="131"/>
      <c r="BI386" s="102"/>
      <c r="BJ386" s="102"/>
      <c r="BK386" s="102"/>
      <c r="BL386" s="102"/>
      <c r="BM386" s="99"/>
      <c r="BN386" s="4"/>
      <c r="BO386" s="4"/>
      <c r="BP386" s="5"/>
      <c r="BQ386" s="5"/>
      <c r="BR386" s="99"/>
      <c r="BS386" s="159"/>
      <c r="BT386" s="99"/>
      <c r="BU386" s="99"/>
      <c r="BV386" s="99"/>
      <c r="BW386" s="159"/>
      <c r="BX386" s="99"/>
      <c r="BY386" s="99"/>
      <c r="BZ386" s="159"/>
      <c r="DA386" s="174"/>
      <c r="DB386" s="18"/>
      <c r="DC386" s="18"/>
      <c r="DD386" s="19"/>
      <c r="DE386" s="19"/>
      <c r="DI386" s="18"/>
      <c r="DJ386" s="7"/>
      <c r="DK386" s="7"/>
      <c r="DL386" s="7"/>
      <c r="DM386" s="7"/>
      <c r="DN386" s="7"/>
      <c r="DO386" s="7"/>
      <c r="DP386" s="7"/>
      <c r="DQ386" s="7"/>
      <c r="DR386" s="7"/>
      <c r="DS386" s="7"/>
      <c r="DT386" s="7"/>
      <c r="DU386" s="7"/>
      <c r="DV386" s="7"/>
      <c r="DW386" s="7"/>
      <c r="DX386" s="7"/>
      <c r="DY386" s="7"/>
      <c r="DZ386" s="7"/>
      <c r="EA386" s="161"/>
      <c r="EG386" s="140"/>
      <c r="EH386" s="131"/>
      <c r="EI386" s="102"/>
      <c r="EJ386" s="102"/>
      <c r="EK386" s="102"/>
      <c r="EL386" s="102"/>
      <c r="EM386" s="99"/>
      <c r="EN386" s="4"/>
      <c r="EO386" s="4"/>
      <c r="EP386" s="5"/>
      <c r="EQ386" s="5"/>
      <c r="ER386" s="99"/>
      <c r="ES386" s="159"/>
      <c r="ET386" s="99"/>
      <c r="EU386" s="99"/>
      <c r="EV386" s="99"/>
      <c r="EW386" s="159"/>
      <c r="EX386" s="99"/>
      <c r="EY386" s="99"/>
      <c r="EZ386" s="175"/>
    </row>
    <row r="387" spans="27:156">
      <c r="AA387" s="18"/>
      <c r="AB387" s="18"/>
      <c r="AC387" s="18"/>
      <c r="AD387" s="19"/>
      <c r="AE387" s="19"/>
      <c r="AI387" s="18"/>
      <c r="AJ387" s="7"/>
      <c r="AK387" s="7"/>
      <c r="AL387" s="7"/>
      <c r="AM387" s="7"/>
      <c r="AN387" s="7"/>
      <c r="AO387" s="7"/>
      <c r="AP387" s="7"/>
      <c r="AQ387" s="7"/>
      <c r="AR387" s="7"/>
      <c r="AS387" s="7"/>
      <c r="AT387" s="7"/>
      <c r="AU387" s="7"/>
      <c r="AV387" s="7"/>
      <c r="AW387" s="7"/>
      <c r="AX387" s="7"/>
      <c r="AY387" s="7"/>
      <c r="AZ387" s="7"/>
      <c r="BA387" s="18"/>
      <c r="BG387" s="140"/>
      <c r="BH387" s="131"/>
      <c r="BI387" s="102"/>
      <c r="BJ387" s="102"/>
      <c r="BK387" s="102"/>
      <c r="BL387" s="102"/>
      <c r="BM387" s="99"/>
      <c r="BN387" s="4"/>
      <c r="BO387" s="4"/>
      <c r="BP387" s="5"/>
      <c r="BQ387" s="5"/>
      <c r="BR387" s="99"/>
      <c r="BS387" s="159"/>
      <c r="BT387" s="99"/>
      <c r="BU387" s="99"/>
      <c r="BV387" s="99"/>
      <c r="BW387" s="159"/>
      <c r="BX387" s="99"/>
      <c r="BY387" s="99"/>
      <c r="BZ387" s="159"/>
      <c r="DA387" s="174"/>
      <c r="DB387" s="18"/>
      <c r="DC387" s="18"/>
      <c r="DD387" s="19"/>
      <c r="DE387" s="19"/>
      <c r="DI387" s="18"/>
      <c r="DJ387" s="7"/>
      <c r="DK387" s="7"/>
      <c r="DL387" s="7"/>
      <c r="DM387" s="7"/>
      <c r="DN387" s="7"/>
      <c r="DO387" s="7"/>
      <c r="DP387" s="7"/>
      <c r="DQ387" s="7"/>
      <c r="DR387" s="7"/>
      <c r="DS387" s="7"/>
      <c r="DT387" s="7"/>
      <c r="DU387" s="7"/>
      <c r="DV387" s="7"/>
      <c r="DW387" s="7"/>
      <c r="DX387" s="7"/>
      <c r="DY387" s="7"/>
      <c r="DZ387" s="7"/>
      <c r="EA387" s="161"/>
      <c r="EG387" s="140"/>
      <c r="EH387" s="131"/>
      <c r="EI387" s="102"/>
      <c r="EJ387" s="102"/>
      <c r="EK387" s="102"/>
      <c r="EL387" s="102"/>
      <c r="EM387" s="99"/>
      <c r="EN387" s="4"/>
      <c r="EO387" s="4"/>
      <c r="EP387" s="5"/>
      <c r="EQ387" s="5"/>
      <c r="ER387" s="99"/>
      <c r="ES387" s="159"/>
      <c r="ET387" s="99"/>
      <c r="EU387" s="99"/>
      <c r="EV387" s="99"/>
      <c r="EW387" s="159"/>
      <c r="EX387" s="99"/>
      <c r="EY387" s="99"/>
      <c r="EZ387" s="175"/>
    </row>
    <row r="388" spans="27:156">
      <c r="AA388" s="18"/>
      <c r="AB388" s="18"/>
      <c r="AC388" s="18"/>
      <c r="AD388" s="19"/>
      <c r="AE388" s="19"/>
      <c r="AI388" s="18"/>
      <c r="AJ388" s="7"/>
      <c r="AK388" s="7"/>
      <c r="AL388" s="7"/>
      <c r="AM388" s="7"/>
      <c r="AN388" s="7"/>
      <c r="AO388" s="7"/>
      <c r="AP388" s="7"/>
      <c r="AQ388" s="7"/>
      <c r="AR388" s="7"/>
      <c r="AS388" s="7"/>
      <c r="AT388" s="7"/>
      <c r="AU388" s="7"/>
      <c r="AV388" s="7"/>
      <c r="AW388" s="7"/>
      <c r="AX388" s="7"/>
      <c r="AY388" s="7"/>
      <c r="AZ388" s="7"/>
      <c r="BA388" s="18"/>
      <c r="BG388" s="140"/>
      <c r="BH388" s="131"/>
      <c r="BI388" s="102"/>
      <c r="BJ388" s="102"/>
      <c r="BK388" s="102"/>
      <c r="BL388" s="102"/>
      <c r="BM388" s="99"/>
      <c r="BN388" s="4"/>
      <c r="BO388" s="4"/>
      <c r="BP388" s="5"/>
      <c r="BQ388" s="5"/>
      <c r="BR388" s="99"/>
      <c r="BS388" s="159"/>
      <c r="BT388" s="99"/>
      <c r="BU388" s="99"/>
      <c r="BV388" s="99"/>
      <c r="BW388" s="159"/>
      <c r="BX388" s="99"/>
      <c r="BY388" s="99"/>
      <c r="BZ388" s="159"/>
      <c r="DA388" s="174"/>
      <c r="DB388" s="18"/>
      <c r="DC388" s="18"/>
      <c r="DD388" s="19"/>
      <c r="DE388" s="19"/>
      <c r="DI388" s="18"/>
      <c r="DJ388" s="7"/>
      <c r="DK388" s="7"/>
      <c r="DL388" s="7"/>
      <c r="DM388" s="7"/>
      <c r="DN388" s="7"/>
      <c r="DO388" s="7"/>
      <c r="DP388" s="7"/>
      <c r="DQ388" s="7"/>
      <c r="DR388" s="7"/>
      <c r="DS388" s="7"/>
      <c r="DT388" s="7"/>
      <c r="DU388" s="7"/>
      <c r="DV388" s="7"/>
      <c r="DW388" s="7"/>
      <c r="DX388" s="7"/>
      <c r="DY388" s="7"/>
      <c r="DZ388" s="7"/>
      <c r="EA388" s="161"/>
      <c r="EG388" s="140"/>
      <c r="EH388" s="131"/>
      <c r="EI388" s="102"/>
      <c r="EJ388" s="102"/>
      <c r="EK388" s="102"/>
      <c r="EL388" s="102"/>
      <c r="EM388" s="99"/>
      <c r="EN388" s="4"/>
      <c r="EO388" s="4"/>
      <c r="EP388" s="5"/>
      <c r="EQ388" s="5"/>
      <c r="ER388" s="99"/>
      <c r="ES388" s="159"/>
      <c r="ET388" s="99"/>
      <c r="EU388" s="99"/>
      <c r="EV388" s="99"/>
      <c r="EW388" s="159"/>
      <c r="EX388" s="99"/>
      <c r="EY388" s="99"/>
      <c r="EZ388" s="175"/>
    </row>
    <row r="389" spans="27:156">
      <c r="AA389" s="18"/>
      <c r="AB389" s="18"/>
      <c r="AC389" s="18"/>
      <c r="AD389" s="19"/>
      <c r="AE389" s="19"/>
      <c r="AI389" s="18"/>
      <c r="AJ389" s="7"/>
      <c r="AK389" s="7"/>
      <c r="AL389" s="7"/>
      <c r="AM389" s="7"/>
      <c r="AN389" s="7"/>
      <c r="AO389" s="7"/>
      <c r="AP389" s="7"/>
      <c r="AQ389" s="7"/>
      <c r="AR389" s="7"/>
      <c r="AS389" s="7"/>
      <c r="AT389" s="7"/>
      <c r="AU389" s="7"/>
      <c r="AV389" s="7"/>
      <c r="AW389" s="7"/>
      <c r="AX389" s="7"/>
      <c r="AY389" s="7"/>
      <c r="AZ389" s="7"/>
      <c r="BA389" s="18"/>
      <c r="BG389" s="140"/>
      <c r="BH389" s="131"/>
      <c r="BI389" s="102"/>
      <c r="BJ389" s="102"/>
      <c r="BK389" s="102"/>
      <c r="BL389" s="102"/>
      <c r="BM389" s="99"/>
      <c r="BN389" s="4"/>
      <c r="BO389" s="4"/>
      <c r="BP389" s="5"/>
      <c r="BQ389" s="5"/>
      <c r="BR389" s="99"/>
      <c r="BS389" s="159"/>
      <c r="BT389" s="99"/>
      <c r="BU389" s="99"/>
      <c r="BV389" s="99"/>
      <c r="BW389" s="159"/>
      <c r="BX389" s="99"/>
      <c r="BY389" s="99"/>
      <c r="BZ389" s="159"/>
      <c r="DA389" s="174"/>
      <c r="DB389" s="18"/>
      <c r="DC389" s="18"/>
      <c r="DD389" s="19"/>
      <c r="DE389" s="19"/>
      <c r="DI389" s="18"/>
      <c r="DJ389" s="7"/>
      <c r="DK389" s="7"/>
      <c r="DL389" s="7"/>
      <c r="DM389" s="7"/>
      <c r="DN389" s="7"/>
      <c r="DO389" s="7"/>
      <c r="DP389" s="7"/>
      <c r="DQ389" s="7"/>
      <c r="DR389" s="7"/>
      <c r="DS389" s="7"/>
      <c r="DT389" s="7"/>
      <c r="DU389" s="7"/>
      <c r="DV389" s="7"/>
      <c r="DW389" s="7"/>
      <c r="DX389" s="7"/>
      <c r="DY389" s="7"/>
      <c r="DZ389" s="7"/>
      <c r="EA389" s="161"/>
      <c r="EG389" s="140"/>
      <c r="EH389" s="131"/>
      <c r="EI389" s="102"/>
      <c r="EJ389" s="102"/>
      <c r="EK389" s="102"/>
      <c r="EL389" s="102"/>
      <c r="EM389" s="99"/>
      <c r="EN389" s="4"/>
      <c r="EO389" s="4"/>
      <c r="EP389" s="5"/>
      <c r="EQ389" s="5"/>
      <c r="ER389" s="99"/>
      <c r="ES389" s="159"/>
      <c r="ET389" s="99"/>
      <c r="EU389" s="99"/>
      <c r="EV389" s="99"/>
      <c r="EW389" s="159"/>
      <c r="EX389" s="99"/>
      <c r="EY389" s="99"/>
      <c r="EZ389" s="175"/>
    </row>
    <row r="390" spans="27:156">
      <c r="AA390" s="18"/>
      <c r="AB390" s="18"/>
      <c r="AC390" s="18"/>
      <c r="AD390" s="19"/>
      <c r="AE390" s="19"/>
      <c r="AI390" s="18"/>
      <c r="AJ390" s="7"/>
      <c r="AK390" s="7"/>
      <c r="AL390" s="7"/>
      <c r="AM390" s="7"/>
      <c r="AN390" s="7"/>
      <c r="AO390" s="7"/>
      <c r="AP390" s="7"/>
      <c r="AQ390" s="7"/>
      <c r="AR390" s="7"/>
      <c r="AS390" s="7"/>
      <c r="AT390" s="7"/>
      <c r="AU390" s="7"/>
      <c r="AV390" s="7"/>
      <c r="AW390" s="7"/>
      <c r="AX390" s="7"/>
      <c r="AY390" s="7"/>
      <c r="AZ390" s="7"/>
      <c r="BA390" s="18"/>
      <c r="BG390" s="140"/>
      <c r="BH390" s="131"/>
      <c r="BI390" s="102"/>
      <c r="BJ390" s="102"/>
      <c r="BK390" s="102"/>
      <c r="BL390" s="102"/>
      <c r="BM390" s="99"/>
      <c r="BN390" s="4"/>
      <c r="BO390" s="4"/>
      <c r="BP390" s="5"/>
      <c r="BQ390" s="5"/>
      <c r="BR390" s="99"/>
      <c r="BS390" s="159"/>
      <c r="BT390" s="99"/>
      <c r="BU390" s="99"/>
      <c r="BV390" s="99"/>
      <c r="BW390" s="159"/>
      <c r="BX390" s="99"/>
      <c r="BY390" s="99"/>
      <c r="BZ390" s="159"/>
      <c r="DA390" s="174"/>
      <c r="DB390" s="18"/>
      <c r="DC390" s="18"/>
      <c r="DD390" s="19"/>
      <c r="DE390" s="19"/>
      <c r="DI390" s="18"/>
      <c r="DJ390" s="7"/>
      <c r="DK390" s="7"/>
      <c r="DL390" s="7"/>
      <c r="DM390" s="7"/>
      <c r="DN390" s="7"/>
      <c r="DO390" s="7"/>
      <c r="DP390" s="7"/>
      <c r="DQ390" s="7"/>
      <c r="DR390" s="7"/>
      <c r="DS390" s="7"/>
      <c r="DT390" s="7"/>
      <c r="DU390" s="7"/>
      <c r="DV390" s="7"/>
      <c r="DW390" s="7"/>
      <c r="DX390" s="7"/>
      <c r="DY390" s="7"/>
      <c r="DZ390" s="7"/>
      <c r="EA390" s="161"/>
      <c r="EG390" s="140"/>
      <c r="EH390" s="131"/>
      <c r="EI390" s="102"/>
      <c r="EJ390" s="102"/>
      <c r="EK390" s="102"/>
      <c r="EL390" s="102"/>
      <c r="EM390" s="99"/>
      <c r="EN390" s="4"/>
      <c r="EO390" s="4"/>
      <c r="EP390" s="5"/>
      <c r="EQ390" s="5"/>
      <c r="ER390" s="99"/>
      <c r="ES390" s="159"/>
      <c r="ET390" s="99"/>
      <c r="EU390" s="99"/>
      <c r="EV390" s="99"/>
      <c r="EW390" s="159"/>
      <c r="EX390" s="99"/>
      <c r="EY390" s="99"/>
      <c r="EZ390" s="175"/>
    </row>
    <row r="391" spans="27:156">
      <c r="AA391" s="18"/>
      <c r="AB391" s="18"/>
      <c r="AC391" s="18"/>
      <c r="AD391" s="19"/>
      <c r="AE391" s="19"/>
      <c r="AI391" s="18"/>
      <c r="AJ391" s="7"/>
      <c r="AK391" s="7"/>
      <c r="AL391" s="7"/>
      <c r="AM391" s="7"/>
      <c r="AN391" s="7"/>
      <c r="AO391" s="7"/>
      <c r="AP391" s="7"/>
      <c r="AQ391" s="7"/>
      <c r="AR391" s="7"/>
      <c r="AS391" s="7"/>
      <c r="AT391" s="7"/>
      <c r="AU391" s="7"/>
      <c r="AV391" s="7"/>
      <c r="AW391" s="7"/>
      <c r="AX391" s="7"/>
      <c r="AY391" s="7"/>
      <c r="AZ391" s="7"/>
      <c r="BA391" s="18"/>
      <c r="BG391" s="140"/>
      <c r="BH391" s="131"/>
      <c r="BI391" s="102"/>
      <c r="BJ391" s="102"/>
      <c r="BK391" s="102"/>
      <c r="BL391" s="102"/>
      <c r="BM391" s="99"/>
      <c r="BN391" s="4"/>
      <c r="BO391" s="4"/>
      <c r="BP391" s="5"/>
      <c r="BQ391" s="5"/>
      <c r="BR391" s="99"/>
      <c r="BS391" s="159"/>
      <c r="BT391" s="99"/>
      <c r="BU391" s="99"/>
      <c r="BV391" s="99"/>
      <c r="BW391" s="159"/>
      <c r="BX391" s="99"/>
      <c r="BY391" s="99"/>
      <c r="BZ391" s="159"/>
      <c r="DA391" s="174"/>
      <c r="DB391" s="18"/>
      <c r="DC391" s="18"/>
      <c r="DD391" s="19"/>
      <c r="DE391" s="19"/>
      <c r="DI391" s="18"/>
      <c r="DJ391" s="7"/>
      <c r="DK391" s="7"/>
      <c r="DL391" s="7"/>
      <c r="DM391" s="7"/>
      <c r="DN391" s="7"/>
      <c r="DO391" s="7"/>
      <c r="DP391" s="7"/>
      <c r="DQ391" s="7"/>
      <c r="DR391" s="7"/>
      <c r="DS391" s="7"/>
      <c r="DT391" s="7"/>
      <c r="DU391" s="7"/>
      <c r="DV391" s="7"/>
      <c r="DW391" s="7"/>
      <c r="DX391" s="7"/>
      <c r="DY391" s="7"/>
      <c r="DZ391" s="7"/>
      <c r="EA391" s="161"/>
      <c r="EG391" s="140"/>
      <c r="EH391" s="131"/>
      <c r="EI391" s="102"/>
      <c r="EJ391" s="102"/>
      <c r="EK391" s="102"/>
      <c r="EL391" s="102"/>
      <c r="EM391" s="99"/>
      <c r="EN391" s="4"/>
      <c r="EO391" s="4"/>
      <c r="EP391" s="5"/>
      <c r="EQ391" s="5"/>
      <c r="ER391" s="99"/>
      <c r="ES391" s="159"/>
      <c r="ET391" s="99"/>
      <c r="EU391" s="99"/>
      <c r="EV391" s="99"/>
      <c r="EW391" s="159"/>
      <c r="EX391" s="99"/>
      <c r="EY391" s="99"/>
      <c r="EZ391" s="175"/>
    </row>
    <row r="392" spans="27:156">
      <c r="AA392" s="18"/>
      <c r="AB392" s="18"/>
      <c r="AC392" s="18"/>
      <c r="AD392" s="19"/>
      <c r="AE392" s="19"/>
      <c r="AI392" s="18"/>
      <c r="AJ392" s="7"/>
      <c r="AK392" s="7"/>
      <c r="AL392" s="7"/>
      <c r="AM392" s="7"/>
      <c r="AN392" s="7"/>
      <c r="AO392" s="7"/>
      <c r="AP392" s="7"/>
      <c r="AQ392" s="7"/>
      <c r="AR392" s="7"/>
      <c r="AS392" s="7"/>
      <c r="AT392" s="7"/>
      <c r="AU392" s="7"/>
      <c r="AV392" s="7"/>
      <c r="AW392" s="7"/>
      <c r="AX392" s="7"/>
      <c r="AY392" s="7"/>
      <c r="AZ392" s="7"/>
      <c r="BA392" s="18"/>
      <c r="BG392" s="140"/>
      <c r="BH392" s="131"/>
      <c r="BI392" s="102"/>
      <c r="BJ392" s="102"/>
      <c r="BK392" s="102"/>
      <c r="BL392" s="102"/>
      <c r="BM392" s="99"/>
      <c r="BN392" s="4"/>
      <c r="BO392" s="4"/>
      <c r="BP392" s="5"/>
      <c r="BQ392" s="5"/>
      <c r="BR392" s="99"/>
      <c r="BS392" s="159"/>
      <c r="BT392" s="99"/>
      <c r="BU392" s="99"/>
      <c r="BV392" s="99"/>
      <c r="BW392" s="159"/>
      <c r="BX392" s="99"/>
      <c r="BY392" s="99"/>
      <c r="BZ392" s="159"/>
      <c r="DA392" s="174"/>
      <c r="DB392" s="18"/>
      <c r="DC392" s="18"/>
      <c r="DD392" s="19"/>
      <c r="DE392" s="19"/>
      <c r="DI392" s="18"/>
      <c r="DJ392" s="7"/>
      <c r="DK392" s="7"/>
      <c r="DL392" s="7"/>
      <c r="DM392" s="7"/>
      <c r="DN392" s="7"/>
      <c r="DO392" s="7"/>
      <c r="DP392" s="7"/>
      <c r="DQ392" s="7"/>
      <c r="DR392" s="7"/>
      <c r="DS392" s="7"/>
      <c r="DT392" s="7"/>
      <c r="DU392" s="7"/>
      <c r="DV392" s="7"/>
      <c r="DW392" s="7"/>
      <c r="DX392" s="7"/>
      <c r="DY392" s="7"/>
      <c r="DZ392" s="7"/>
      <c r="EA392" s="161"/>
      <c r="EG392" s="140"/>
      <c r="EH392" s="131"/>
      <c r="EI392" s="102"/>
      <c r="EJ392" s="102"/>
      <c r="EK392" s="102"/>
      <c r="EL392" s="102"/>
      <c r="EM392" s="99"/>
      <c r="EN392" s="4"/>
      <c r="EO392" s="4"/>
      <c r="EP392" s="5"/>
      <c r="EQ392" s="5"/>
      <c r="ER392" s="99"/>
      <c r="ES392" s="159"/>
      <c r="ET392" s="99"/>
      <c r="EU392" s="99"/>
      <c r="EV392" s="99"/>
      <c r="EW392" s="159"/>
      <c r="EX392" s="99"/>
      <c r="EY392" s="99"/>
      <c r="EZ392" s="175"/>
    </row>
    <row r="393" spans="27:156">
      <c r="AA393" s="18"/>
      <c r="AB393" s="18"/>
      <c r="AC393" s="18"/>
      <c r="AD393" s="19"/>
      <c r="AE393" s="19"/>
      <c r="AI393" s="18"/>
      <c r="AJ393" s="7"/>
      <c r="AK393" s="7"/>
      <c r="AL393" s="7"/>
      <c r="AM393" s="7"/>
      <c r="AN393" s="7"/>
      <c r="AO393" s="7"/>
      <c r="AP393" s="7"/>
      <c r="AQ393" s="7"/>
      <c r="AR393" s="7"/>
      <c r="AS393" s="7"/>
      <c r="AT393" s="7"/>
      <c r="AU393" s="7"/>
      <c r="AV393" s="7"/>
      <c r="AW393" s="7"/>
      <c r="AX393" s="7"/>
      <c r="AY393" s="7"/>
      <c r="AZ393" s="7"/>
      <c r="BA393" s="18"/>
      <c r="BG393" s="140"/>
      <c r="BH393" s="131"/>
      <c r="BI393" s="102"/>
      <c r="BJ393" s="102"/>
      <c r="BK393" s="102"/>
      <c r="BL393" s="102"/>
      <c r="BM393" s="99"/>
      <c r="BN393" s="4"/>
      <c r="BO393" s="4"/>
      <c r="BP393" s="5"/>
      <c r="BQ393" s="5"/>
      <c r="BR393" s="99"/>
      <c r="BS393" s="159"/>
      <c r="BT393" s="99"/>
      <c r="BU393" s="99"/>
      <c r="BV393" s="99"/>
      <c r="BW393" s="159"/>
      <c r="BX393" s="99"/>
      <c r="BY393" s="99"/>
      <c r="BZ393" s="159"/>
      <c r="DA393" s="174"/>
      <c r="DB393" s="18"/>
      <c r="DC393" s="18"/>
      <c r="DD393" s="19"/>
      <c r="DE393" s="19"/>
      <c r="DI393" s="18"/>
      <c r="DJ393" s="7"/>
      <c r="DK393" s="7"/>
      <c r="DL393" s="7"/>
      <c r="DM393" s="7"/>
      <c r="DN393" s="7"/>
      <c r="DO393" s="7"/>
      <c r="DP393" s="7"/>
      <c r="DQ393" s="7"/>
      <c r="DR393" s="7"/>
      <c r="DS393" s="7"/>
      <c r="DT393" s="7"/>
      <c r="DU393" s="7"/>
      <c r="DV393" s="7"/>
      <c r="DW393" s="7"/>
      <c r="DX393" s="7"/>
      <c r="DY393" s="7"/>
      <c r="DZ393" s="7"/>
      <c r="EA393" s="161"/>
      <c r="EG393" s="140"/>
      <c r="EH393" s="131"/>
      <c r="EI393" s="102"/>
      <c r="EJ393" s="102"/>
      <c r="EK393" s="102"/>
      <c r="EL393" s="102"/>
      <c r="EM393" s="99"/>
      <c r="EN393" s="4"/>
      <c r="EO393" s="4"/>
      <c r="EP393" s="5"/>
      <c r="EQ393" s="5"/>
      <c r="ER393" s="99"/>
      <c r="ES393" s="159"/>
      <c r="ET393" s="99"/>
      <c r="EU393" s="99"/>
      <c r="EV393" s="99"/>
      <c r="EW393" s="159"/>
      <c r="EX393" s="99"/>
      <c r="EY393" s="99"/>
      <c r="EZ393" s="175"/>
    </row>
    <row r="394" spans="27:156">
      <c r="AA394" s="18"/>
      <c r="AB394" s="18"/>
      <c r="AC394" s="18"/>
      <c r="AD394" s="19"/>
      <c r="AE394" s="19"/>
      <c r="AI394" s="18"/>
      <c r="AJ394" s="7"/>
      <c r="AK394" s="7"/>
      <c r="AL394" s="7"/>
      <c r="AM394" s="7"/>
      <c r="AN394" s="7"/>
      <c r="AO394" s="7"/>
      <c r="AP394" s="7"/>
      <c r="AQ394" s="7"/>
      <c r="AR394" s="7"/>
      <c r="AS394" s="7"/>
      <c r="AT394" s="7"/>
      <c r="AU394" s="7"/>
      <c r="AV394" s="7"/>
      <c r="AW394" s="7"/>
      <c r="AX394" s="7"/>
      <c r="AY394" s="7"/>
      <c r="AZ394" s="7"/>
      <c r="BA394" s="18"/>
      <c r="BG394" s="140"/>
      <c r="BH394" s="131"/>
      <c r="BI394" s="102"/>
      <c r="BJ394" s="102"/>
      <c r="BK394" s="102"/>
      <c r="BL394" s="102"/>
      <c r="BM394" s="99"/>
      <c r="BN394" s="4"/>
      <c r="BO394" s="4"/>
      <c r="BP394" s="5"/>
      <c r="BQ394" s="5"/>
      <c r="BR394" s="99"/>
      <c r="BS394" s="159"/>
      <c r="BT394" s="99"/>
      <c r="BU394" s="99"/>
      <c r="BV394" s="99"/>
      <c r="BW394" s="159"/>
      <c r="BX394" s="99"/>
      <c r="BY394" s="99"/>
      <c r="BZ394" s="159"/>
      <c r="DA394" s="174"/>
      <c r="DB394" s="18"/>
      <c r="DC394" s="18"/>
      <c r="DD394" s="19"/>
      <c r="DE394" s="19"/>
      <c r="DI394" s="18"/>
      <c r="DJ394" s="7"/>
      <c r="DK394" s="7"/>
      <c r="DL394" s="7"/>
      <c r="DM394" s="7"/>
      <c r="DN394" s="7"/>
      <c r="DO394" s="7"/>
      <c r="DP394" s="7"/>
      <c r="DQ394" s="7"/>
      <c r="DR394" s="7"/>
      <c r="DS394" s="7"/>
      <c r="DT394" s="7"/>
      <c r="DU394" s="7"/>
      <c r="DV394" s="7"/>
      <c r="DW394" s="7"/>
      <c r="DX394" s="7"/>
      <c r="DY394" s="7"/>
      <c r="DZ394" s="7"/>
      <c r="EA394" s="161"/>
      <c r="EG394" s="140"/>
      <c r="EH394" s="131"/>
      <c r="EI394" s="102"/>
      <c r="EJ394" s="102"/>
      <c r="EK394" s="102"/>
      <c r="EL394" s="102"/>
      <c r="EM394" s="99"/>
      <c r="EN394" s="4"/>
      <c r="EO394" s="4"/>
      <c r="EP394" s="5"/>
      <c r="EQ394" s="5"/>
      <c r="ER394" s="99"/>
      <c r="ES394" s="159"/>
      <c r="ET394" s="99"/>
      <c r="EU394" s="99"/>
      <c r="EV394" s="99"/>
      <c r="EW394" s="159"/>
      <c r="EX394" s="99"/>
      <c r="EY394" s="99"/>
      <c r="EZ394" s="175"/>
    </row>
    <row r="395" spans="27:156">
      <c r="AA395" s="18"/>
      <c r="AB395" s="18"/>
      <c r="AC395" s="18"/>
      <c r="AD395" s="19"/>
      <c r="AE395" s="19"/>
      <c r="AI395" s="18"/>
      <c r="AJ395" s="7"/>
      <c r="AK395" s="7"/>
      <c r="AL395" s="7"/>
      <c r="AM395" s="7"/>
      <c r="AN395" s="7"/>
      <c r="AO395" s="7"/>
      <c r="AP395" s="7"/>
      <c r="AQ395" s="7"/>
      <c r="AR395" s="7"/>
      <c r="AS395" s="7"/>
      <c r="AT395" s="7"/>
      <c r="AU395" s="7"/>
      <c r="AV395" s="7"/>
      <c r="AW395" s="7"/>
      <c r="AX395" s="7"/>
      <c r="AY395" s="7"/>
      <c r="AZ395" s="7"/>
      <c r="BA395" s="18"/>
      <c r="BG395" s="140"/>
      <c r="BH395" s="131"/>
      <c r="BI395" s="102"/>
      <c r="BJ395" s="102"/>
      <c r="BK395" s="102"/>
      <c r="BL395" s="102"/>
      <c r="BM395" s="99"/>
      <c r="BN395" s="4"/>
      <c r="BO395" s="4"/>
      <c r="BP395" s="5"/>
      <c r="BQ395" s="5"/>
      <c r="BR395" s="99"/>
      <c r="BS395" s="159"/>
      <c r="BT395" s="99"/>
      <c r="BU395" s="99"/>
      <c r="BV395" s="99"/>
      <c r="BW395" s="159"/>
      <c r="BX395" s="99"/>
      <c r="BY395" s="99"/>
      <c r="BZ395" s="159"/>
      <c r="DA395" s="174"/>
      <c r="DB395" s="18"/>
      <c r="DC395" s="18"/>
      <c r="DD395" s="19"/>
      <c r="DE395" s="19"/>
      <c r="DI395" s="18"/>
      <c r="DJ395" s="7"/>
      <c r="DK395" s="7"/>
      <c r="DL395" s="7"/>
      <c r="DM395" s="7"/>
      <c r="DN395" s="7"/>
      <c r="DO395" s="7"/>
      <c r="DP395" s="7"/>
      <c r="DQ395" s="7"/>
      <c r="DR395" s="7"/>
      <c r="DS395" s="7"/>
      <c r="DT395" s="7"/>
      <c r="DU395" s="7"/>
      <c r="DV395" s="7"/>
      <c r="DW395" s="7"/>
      <c r="DX395" s="7"/>
      <c r="DY395" s="7"/>
      <c r="DZ395" s="7"/>
      <c r="EA395" s="161"/>
      <c r="EG395" s="140"/>
      <c r="EH395" s="131"/>
      <c r="EI395" s="102"/>
      <c r="EJ395" s="102"/>
      <c r="EK395" s="102"/>
      <c r="EL395" s="102"/>
      <c r="EM395" s="99"/>
      <c r="EN395" s="4"/>
      <c r="EO395" s="4"/>
      <c r="EP395" s="5"/>
      <c r="EQ395" s="5"/>
      <c r="ER395" s="99"/>
      <c r="ES395" s="159"/>
      <c r="ET395" s="99"/>
      <c r="EU395" s="99"/>
      <c r="EV395" s="99"/>
      <c r="EW395" s="159"/>
      <c r="EX395" s="99"/>
      <c r="EY395" s="99"/>
      <c r="EZ395" s="175"/>
    </row>
    <row r="396" spans="27:156">
      <c r="AA396" s="18"/>
      <c r="AB396" s="18"/>
      <c r="AC396" s="18"/>
      <c r="AD396" s="19"/>
      <c r="AE396" s="19"/>
      <c r="AI396" s="18"/>
      <c r="AJ396" s="7"/>
      <c r="AK396" s="7"/>
      <c r="AL396" s="7"/>
      <c r="AM396" s="7"/>
      <c r="AN396" s="7"/>
      <c r="AO396" s="7"/>
      <c r="AP396" s="7"/>
      <c r="AQ396" s="7"/>
      <c r="AR396" s="7"/>
      <c r="AS396" s="7"/>
      <c r="AT396" s="7"/>
      <c r="AU396" s="7"/>
      <c r="AV396" s="7"/>
      <c r="AW396" s="7"/>
      <c r="AX396" s="7"/>
      <c r="AY396" s="7"/>
      <c r="AZ396" s="7"/>
      <c r="BA396" s="18"/>
      <c r="BG396" s="140"/>
      <c r="BH396" s="131"/>
      <c r="BI396" s="102"/>
      <c r="BJ396" s="102"/>
      <c r="BK396" s="102"/>
      <c r="BL396" s="102"/>
      <c r="BM396" s="99"/>
      <c r="BN396" s="4"/>
      <c r="BO396" s="4"/>
      <c r="BP396" s="5"/>
      <c r="BQ396" s="5"/>
      <c r="BR396" s="99"/>
      <c r="BS396" s="159"/>
      <c r="BT396" s="99"/>
      <c r="BU396" s="99"/>
      <c r="BV396" s="99"/>
      <c r="BW396" s="159"/>
      <c r="BX396" s="99"/>
      <c r="BY396" s="99"/>
      <c r="BZ396" s="159"/>
      <c r="DA396" s="174"/>
      <c r="DB396" s="18"/>
      <c r="DC396" s="18"/>
      <c r="DD396" s="19"/>
      <c r="DE396" s="19"/>
      <c r="DI396" s="18"/>
      <c r="DJ396" s="7"/>
      <c r="DK396" s="7"/>
      <c r="DL396" s="7"/>
      <c r="DM396" s="7"/>
      <c r="DN396" s="7"/>
      <c r="DO396" s="7"/>
      <c r="DP396" s="7"/>
      <c r="DQ396" s="7"/>
      <c r="DR396" s="7"/>
      <c r="DS396" s="7"/>
      <c r="DT396" s="7"/>
      <c r="DU396" s="7"/>
      <c r="DV396" s="7"/>
      <c r="DW396" s="7"/>
      <c r="DX396" s="7"/>
      <c r="DY396" s="7"/>
      <c r="DZ396" s="7"/>
      <c r="EA396" s="161"/>
      <c r="EG396" s="140"/>
      <c r="EH396" s="131"/>
      <c r="EI396" s="102"/>
      <c r="EJ396" s="102"/>
      <c r="EK396" s="102"/>
      <c r="EL396" s="102"/>
      <c r="EM396" s="99"/>
      <c r="EN396" s="4"/>
      <c r="EO396" s="4"/>
      <c r="EP396" s="5"/>
      <c r="EQ396" s="5"/>
      <c r="ER396" s="99"/>
      <c r="ES396" s="159"/>
      <c r="ET396" s="99"/>
      <c r="EU396" s="99"/>
      <c r="EV396" s="99"/>
      <c r="EW396" s="159"/>
      <c r="EX396" s="99"/>
      <c r="EY396" s="99"/>
      <c r="EZ396" s="175"/>
    </row>
    <row r="397" spans="27:156">
      <c r="AA397" s="18"/>
      <c r="AB397" s="18"/>
      <c r="AC397" s="18"/>
      <c r="AD397" s="19"/>
      <c r="AE397" s="19"/>
      <c r="AI397" s="18"/>
      <c r="AJ397" s="7"/>
      <c r="AK397" s="7"/>
      <c r="AL397" s="7"/>
      <c r="AM397" s="7"/>
      <c r="AN397" s="7"/>
      <c r="AO397" s="7"/>
      <c r="AP397" s="7"/>
      <c r="AQ397" s="7"/>
      <c r="AR397" s="7"/>
      <c r="AS397" s="7"/>
      <c r="AT397" s="7"/>
      <c r="AU397" s="7"/>
      <c r="AV397" s="7"/>
      <c r="AW397" s="7"/>
      <c r="AX397" s="7"/>
      <c r="AY397" s="7"/>
      <c r="AZ397" s="7"/>
      <c r="BA397" s="18"/>
      <c r="BG397" s="140"/>
      <c r="BH397" s="131"/>
      <c r="BI397" s="102"/>
      <c r="BJ397" s="102"/>
      <c r="BK397" s="102"/>
      <c r="BL397" s="102"/>
      <c r="BM397" s="99"/>
      <c r="BN397" s="4"/>
      <c r="BO397" s="4"/>
      <c r="BP397" s="5"/>
      <c r="BQ397" s="5"/>
      <c r="BR397" s="99"/>
      <c r="BS397" s="159"/>
      <c r="BT397" s="99"/>
      <c r="BU397" s="99"/>
      <c r="BV397" s="99"/>
      <c r="BW397" s="159"/>
      <c r="BX397" s="99"/>
      <c r="BY397" s="99"/>
      <c r="BZ397" s="159"/>
      <c r="DA397" s="174"/>
      <c r="DB397" s="18"/>
      <c r="DC397" s="18"/>
      <c r="DD397" s="19"/>
      <c r="DE397" s="19"/>
      <c r="DI397" s="18"/>
      <c r="DJ397" s="7"/>
      <c r="DK397" s="7"/>
      <c r="DL397" s="7"/>
      <c r="DM397" s="7"/>
      <c r="DN397" s="7"/>
      <c r="DO397" s="7"/>
      <c r="DP397" s="7"/>
      <c r="DQ397" s="7"/>
      <c r="DR397" s="7"/>
      <c r="DS397" s="7"/>
      <c r="DT397" s="7"/>
      <c r="DU397" s="7"/>
      <c r="DV397" s="7"/>
      <c r="DW397" s="7"/>
      <c r="DX397" s="7"/>
      <c r="DY397" s="7"/>
      <c r="DZ397" s="7"/>
      <c r="EA397" s="161"/>
      <c r="EG397" s="140"/>
      <c r="EH397" s="131"/>
      <c r="EI397" s="102"/>
      <c r="EJ397" s="102"/>
      <c r="EK397" s="102"/>
      <c r="EL397" s="102"/>
      <c r="EM397" s="99"/>
      <c r="EN397" s="4"/>
      <c r="EO397" s="4"/>
      <c r="EP397" s="5"/>
      <c r="EQ397" s="5"/>
      <c r="ER397" s="99"/>
      <c r="ES397" s="159"/>
      <c r="ET397" s="99"/>
      <c r="EU397" s="99"/>
      <c r="EV397" s="99"/>
      <c r="EW397" s="159"/>
      <c r="EX397" s="99"/>
      <c r="EY397" s="99"/>
      <c r="EZ397" s="175"/>
    </row>
    <row r="398" spans="27:156">
      <c r="AA398" s="18"/>
      <c r="AB398" s="18"/>
      <c r="AC398" s="18"/>
      <c r="AD398" s="19"/>
      <c r="AE398" s="19"/>
      <c r="AI398" s="18"/>
      <c r="AJ398" s="7"/>
      <c r="AK398" s="7"/>
      <c r="AL398" s="7"/>
      <c r="AM398" s="7"/>
      <c r="AN398" s="7"/>
      <c r="AO398" s="7"/>
      <c r="AP398" s="7"/>
      <c r="AQ398" s="7"/>
      <c r="AR398" s="7"/>
      <c r="AS398" s="7"/>
      <c r="AT398" s="7"/>
      <c r="AU398" s="7"/>
      <c r="AV398" s="7"/>
      <c r="AW398" s="7"/>
      <c r="AX398" s="7"/>
      <c r="AY398" s="7"/>
      <c r="AZ398" s="7"/>
      <c r="BA398" s="18"/>
      <c r="BG398" s="140"/>
      <c r="BH398" s="131"/>
      <c r="BI398" s="102"/>
      <c r="BJ398" s="102"/>
      <c r="BK398" s="102"/>
      <c r="BL398" s="102"/>
      <c r="BM398" s="99"/>
      <c r="BN398" s="4"/>
      <c r="BO398" s="4"/>
      <c r="BP398" s="5"/>
      <c r="BQ398" s="5"/>
      <c r="BR398" s="99"/>
      <c r="BS398" s="159"/>
      <c r="BT398" s="99"/>
      <c r="BU398" s="99"/>
      <c r="BV398" s="99"/>
      <c r="BW398" s="159"/>
      <c r="BX398" s="99"/>
      <c r="BY398" s="99"/>
      <c r="BZ398" s="159"/>
      <c r="DA398" s="174"/>
      <c r="DB398" s="18"/>
      <c r="DC398" s="18"/>
      <c r="DD398" s="19"/>
      <c r="DE398" s="19"/>
      <c r="DI398" s="18"/>
      <c r="DJ398" s="7"/>
      <c r="DK398" s="7"/>
      <c r="DL398" s="7"/>
      <c r="DM398" s="7"/>
      <c r="DN398" s="7"/>
      <c r="DO398" s="7"/>
      <c r="DP398" s="7"/>
      <c r="DQ398" s="7"/>
      <c r="DR398" s="7"/>
      <c r="DS398" s="7"/>
      <c r="DT398" s="7"/>
      <c r="DU398" s="7"/>
      <c r="DV398" s="7"/>
      <c r="DW398" s="7"/>
      <c r="DX398" s="7"/>
      <c r="DY398" s="7"/>
      <c r="DZ398" s="7"/>
      <c r="EA398" s="161"/>
      <c r="EG398" s="140"/>
      <c r="EH398" s="131"/>
      <c r="EI398" s="102"/>
      <c r="EJ398" s="102"/>
      <c r="EK398" s="102"/>
      <c r="EL398" s="102"/>
      <c r="EM398" s="99"/>
      <c r="EN398" s="4"/>
      <c r="EO398" s="4"/>
      <c r="EP398" s="5"/>
      <c r="EQ398" s="5"/>
      <c r="ER398" s="99"/>
      <c r="ES398" s="159"/>
      <c r="ET398" s="99"/>
      <c r="EU398" s="99"/>
      <c r="EV398" s="99"/>
      <c r="EW398" s="159"/>
      <c r="EX398" s="99"/>
      <c r="EY398" s="99"/>
      <c r="EZ398" s="175"/>
    </row>
    <row r="399" spans="27:156">
      <c r="AA399" s="18"/>
      <c r="AB399" s="18"/>
      <c r="AC399" s="18"/>
      <c r="AD399" s="19"/>
      <c r="AE399" s="19"/>
      <c r="AI399" s="18"/>
      <c r="AJ399" s="7"/>
      <c r="AK399" s="7"/>
      <c r="AL399" s="7"/>
      <c r="AM399" s="7"/>
      <c r="AN399" s="7"/>
      <c r="AO399" s="7"/>
      <c r="AP399" s="7"/>
      <c r="AQ399" s="7"/>
      <c r="AR399" s="7"/>
      <c r="AS399" s="7"/>
      <c r="AT399" s="7"/>
      <c r="AU399" s="7"/>
      <c r="AV399" s="7"/>
      <c r="AW399" s="7"/>
      <c r="AX399" s="7"/>
      <c r="AY399" s="7"/>
      <c r="AZ399" s="7"/>
      <c r="BA399" s="18"/>
      <c r="BG399" s="140"/>
      <c r="BH399" s="131"/>
      <c r="BI399" s="102"/>
      <c r="BJ399" s="102"/>
      <c r="BK399" s="102"/>
      <c r="BL399" s="102"/>
      <c r="BM399" s="99"/>
      <c r="BN399" s="4"/>
      <c r="BO399" s="4"/>
      <c r="BP399" s="5"/>
      <c r="BQ399" s="5"/>
      <c r="BR399" s="99"/>
      <c r="BS399" s="159"/>
      <c r="BT399" s="99"/>
      <c r="BU399" s="99"/>
      <c r="BV399" s="99"/>
      <c r="BW399" s="159"/>
      <c r="BX399" s="99"/>
      <c r="BY399" s="99"/>
      <c r="BZ399" s="159"/>
      <c r="DA399" s="174"/>
      <c r="DB399" s="18"/>
      <c r="DC399" s="18"/>
      <c r="DD399" s="19"/>
      <c r="DE399" s="19"/>
      <c r="DI399" s="18"/>
      <c r="DJ399" s="7"/>
      <c r="DK399" s="7"/>
      <c r="DL399" s="7"/>
      <c r="DM399" s="7"/>
      <c r="DN399" s="7"/>
      <c r="DO399" s="7"/>
      <c r="DP399" s="7"/>
      <c r="DQ399" s="7"/>
      <c r="DR399" s="7"/>
      <c r="DS399" s="7"/>
      <c r="DT399" s="7"/>
      <c r="DU399" s="7"/>
      <c r="DV399" s="7"/>
      <c r="DW399" s="7"/>
      <c r="DX399" s="7"/>
      <c r="DY399" s="7"/>
      <c r="DZ399" s="7"/>
      <c r="EA399" s="161"/>
      <c r="EG399" s="140"/>
      <c r="EH399" s="131"/>
      <c r="EI399" s="102"/>
      <c r="EJ399" s="102"/>
      <c r="EK399" s="102"/>
      <c r="EL399" s="102"/>
      <c r="EM399" s="99"/>
      <c r="EN399" s="4"/>
      <c r="EO399" s="4"/>
      <c r="EP399" s="5"/>
      <c r="EQ399" s="5"/>
      <c r="ER399" s="99"/>
      <c r="ES399" s="159"/>
      <c r="ET399" s="99"/>
      <c r="EU399" s="99"/>
      <c r="EV399" s="99"/>
      <c r="EW399" s="159"/>
      <c r="EX399" s="99"/>
      <c r="EY399" s="99"/>
      <c r="EZ399" s="175"/>
    </row>
    <row r="400" spans="27:156">
      <c r="AA400" s="18"/>
      <c r="AB400" s="18"/>
      <c r="AC400" s="18"/>
      <c r="AD400" s="19"/>
      <c r="AE400" s="19"/>
      <c r="AI400" s="18"/>
      <c r="AJ400" s="7"/>
      <c r="AK400" s="7"/>
      <c r="AL400" s="7"/>
      <c r="AM400" s="7"/>
      <c r="AN400" s="7"/>
      <c r="AO400" s="7"/>
      <c r="AP400" s="7"/>
      <c r="AQ400" s="7"/>
      <c r="AR400" s="7"/>
      <c r="AS400" s="7"/>
      <c r="AT400" s="7"/>
      <c r="AU400" s="7"/>
      <c r="AV400" s="7"/>
      <c r="AW400" s="7"/>
      <c r="AX400" s="7"/>
      <c r="AY400" s="7"/>
      <c r="AZ400" s="7"/>
      <c r="BA400" s="18"/>
      <c r="BG400" s="140"/>
      <c r="BH400" s="131"/>
      <c r="BI400" s="102"/>
      <c r="BJ400" s="102"/>
      <c r="BK400" s="102"/>
      <c r="BL400" s="102"/>
      <c r="BM400" s="99"/>
      <c r="BN400" s="4"/>
      <c r="BO400" s="4"/>
      <c r="BP400" s="5"/>
      <c r="BQ400" s="5"/>
      <c r="BR400" s="99"/>
      <c r="BS400" s="159"/>
      <c r="BT400" s="99"/>
      <c r="BU400" s="99"/>
      <c r="BV400" s="99"/>
      <c r="BW400" s="159"/>
      <c r="BX400" s="99"/>
      <c r="BY400" s="99"/>
      <c r="BZ400" s="159"/>
      <c r="DA400" s="174"/>
      <c r="DB400" s="18"/>
      <c r="DC400" s="18"/>
      <c r="DD400" s="19"/>
      <c r="DE400" s="19"/>
      <c r="DI400" s="18"/>
      <c r="DJ400" s="7"/>
      <c r="DK400" s="7"/>
      <c r="DL400" s="7"/>
      <c r="DM400" s="7"/>
      <c r="DN400" s="7"/>
      <c r="DO400" s="7"/>
      <c r="DP400" s="7"/>
      <c r="DQ400" s="7"/>
      <c r="DR400" s="7"/>
      <c r="DS400" s="7"/>
      <c r="DT400" s="7"/>
      <c r="DU400" s="7"/>
      <c r="DV400" s="7"/>
      <c r="DW400" s="7"/>
      <c r="DX400" s="7"/>
      <c r="DY400" s="7"/>
      <c r="DZ400" s="7"/>
      <c r="EA400" s="161"/>
      <c r="EG400" s="140"/>
      <c r="EH400" s="131"/>
      <c r="EI400" s="102"/>
      <c r="EJ400" s="102"/>
      <c r="EK400" s="102"/>
      <c r="EL400" s="102"/>
      <c r="EM400" s="99"/>
      <c r="EN400" s="4"/>
      <c r="EO400" s="4"/>
      <c r="EP400" s="5"/>
      <c r="EQ400" s="5"/>
      <c r="ER400" s="99"/>
      <c r="ES400" s="159"/>
      <c r="ET400" s="99"/>
      <c r="EU400" s="99"/>
      <c r="EV400" s="99"/>
      <c r="EW400" s="159"/>
      <c r="EX400" s="99"/>
      <c r="EY400" s="99"/>
      <c r="EZ400" s="175"/>
    </row>
    <row r="401" spans="27:156">
      <c r="AA401" s="18"/>
      <c r="AB401" s="18"/>
      <c r="AC401" s="18"/>
      <c r="AD401" s="19"/>
      <c r="AE401" s="19"/>
      <c r="AI401" s="18"/>
      <c r="AJ401" s="7"/>
      <c r="AK401" s="7"/>
      <c r="AL401" s="7"/>
      <c r="AM401" s="7"/>
      <c r="AN401" s="7"/>
      <c r="AO401" s="7"/>
      <c r="AP401" s="7"/>
      <c r="AQ401" s="7"/>
      <c r="AR401" s="7"/>
      <c r="AS401" s="7"/>
      <c r="AT401" s="7"/>
      <c r="AU401" s="7"/>
      <c r="AV401" s="7"/>
      <c r="AW401" s="7"/>
      <c r="AX401" s="7"/>
      <c r="AY401" s="7"/>
      <c r="AZ401" s="7"/>
      <c r="BA401" s="18"/>
      <c r="BG401" s="140"/>
      <c r="BH401" s="131"/>
      <c r="BI401" s="102"/>
      <c r="BJ401" s="102"/>
      <c r="BK401" s="102"/>
      <c r="BL401" s="102"/>
      <c r="BM401" s="99"/>
      <c r="BN401" s="4"/>
      <c r="BO401" s="4"/>
      <c r="BP401" s="5"/>
      <c r="BQ401" s="5"/>
      <c r="BR401" s="99"/>
      <c r="BS401" s="159"/>
      <c r="BT401" s="99"/>
      <c r="BU401" s="99"/>
      <c r="BV401" s="99"/>
      <c r="BW401" s="159"/>
      <c r="BX401" s="99"/>
      <c r="BY401" s="99"/>
      <c r="BZ401" s="159"/>
      <c r="DA401" s="174"/>
      <c r="DB401" s="18"/>
      <c r="DC401" s="18"/>
      <c r="DD401" s="19"/>
      <c r="DE401" s="19"/>
      <c r="DI401" s="18"/>
      <c r="DJ401" s="7"/>
      <c r="DK401" s="7"/>
      <c r="DL401" s="7"/>
      <c r="DM401" s="7"/>
      <c r="DN401" s="7"/>
      <c r="DO401" s="7"/>
      <c r="DP401" s="7"/>
      <c r="DQ401" s="7"/>
      <c r="DR401" s="7"/>
      <c r="DS401" s="7"/>
      <c r="DT401" s="7"/>
      <c r="DU401" s="7"/>
      <c r="DV401" s="7"/>
      <c r="DW401" s="7"/>
      <c r="DX401" s="7"/>
      <c r="DY401" s="7"/>
      <c r="DZ401" s="7"/>
      <c r="EA401" s="161"/>
      <c r="EG401" s="140"/>
      <c r="EH401" s="131"/>
      <c r="EI401" s="102"/>
      <c r="EJ401" s="102"/>
      <c r="EK401" s="102"/>
      <c r="EL401" s="102"/>
      <c r="EM401" s="99"/>
      <c r="EN401" s="4"/>
      <c r="EO401" s="4"/>
      <c r="EP401" s="5"/>
      <c r="EQ401" s="5"/>
      <c r="ER401" s="99"/>
      <c r="ES401" s="159"/>
      <c r="ET401" s="99"/>
      <c r="EU401" s="99"/>
      <c r="EV401" s="99"/>
      <c r="EW401" s="159"/>
      <c r="EX401" s="99"/>
      <c r="EY401" s="99"/>
      <c r="EZ401" s="175"/>
    </row>
    <row r="402" spans="27:156">
      <c r="AA402" s="18"/>
      <c r="AB402" s="18"/>
      <c r="AC402" s="18"/>
      <c r="AD402" s="19"/>
      <c r="AE402" s="19"/>
      <c r="AI402" s="18"/>
      <c r="AJ402" s="7"/>
      <c r="AK402" s="7"/>
      <c r="AL402" s="7"/>
      <c r="AM402" s="7"/>
      <c r="AN402" s="7"/>
      <c r="AO402" s="7"/>
      <c r="AP402" s="7"/>
      <c r="AQ402" s="7"/>
      <c r="AR402" s="7"/>
      <c r="AS402" s="7"/>
      <c r="AT402" s="7"/>
      <c r="AU402" s="7"/>
      <c r="AV402" s="7"/>
      <c r="AW402" s="7"/>
      <c r="AX402" s="7"/>
      <c r="AY402" s="7"/>
      <c r="AZ402" s="7"/>
      <c r="BA402" s="18"/>
      <c r="BG402" s="140"/>
      <c r="BH402" s="131"/>
      <c r="BI402" s="102"/>
      <c r="BJ402" s="102"/>
      <c r="BK402" s="102"/>
      <c r="BL402" s="102"/>
      <c r="BM402" s="99"/>
      <c r="BN402" s="4"/>
      <c r="BO402" s="4"/>
      <c r="BP402" s="5"/>
      <c r="BQ402" s="5"/>
      <c r="BR402" s="99"/>
      <c r="BS402" s="159"/>
      <c r="BT402" s="99"/>
      <c r="BU402" s="99"/>
      <c r="BV402" s="99"/>
      <c r="BW402" s="159"/>
      <c r="BX402" s="99"/>
      <c r="BY402" s="99"/>
      <c r="BZ402" s="159"/>
      <c r="DA402" s="174"/>
      <c r="DB402" s="18"/>
      <c r="DC402" s="18"/>
      <c r="DD402" s="19"/>
      <c r="DE402" s="19"/>
      <c r="DI402" s="18"/>
      <c r="DJ402" s="7"/>
      <c r="DK402" s="7"/>
      <c r="DL402" s="7"/>
      <c r="DM402" s="7"/>
      <c r="DN402" s="7"/>
      <c r="DO402" s="7"/>
      <c r="DP402" s="7"/>
      <c r="DQ402" s="7"/>
      <c r="DR402" s="7"/>
      <c r="DS402" s="7"/>
      <c r="DT402" s="7"/>
      <c r="DU402" s="7"/>
      <c r="DV402" s="7"/>
      <c r="DW402" s="7"/>
      <c r="DX402" s="7"/>
      <c r="DY402" s="7"/>
      <c r="DZ402" s="7"/>
      <c r="EA402" s="161"/>
      <c r="EG402" s="140"/>
      <c r="EH402" s="131"/>
      <c r="EI402" s="102"/>
      <c r="EJ402" s="102"/>
      <c r="EK402" s="102"/>
      <c r="EL402" s="102"/>
      <c r="EM402" s="99"/>
      <c r="EN402" s="4"/>
      <c r="EO402" s="4"/>
      <c r="EP402" s="5"/>
      <c r="EQ402" s="5"/>
      <c r="ER402" s="99"/>
      <c r="ES402" s="159"/>
      <c r="ET402" s="99"/>
      <c r="EU402" s="99"/>
      <c r="EV402" s="99"/>
      <c r="EW402" s="159"/>
      <c r="EX402" s="99"/>
      <c r="EY402" s="99"/>
      <c r="EZ402" s="175"/>
    </row>
    <row r="403" spans="27:156">
      <c r="AA403" s="18"/>
      <c r="AB403" s="18"/>
      <c r="AC403" s="18"/>
      <c r="AD403" s="19"/>
      <c r="AE403" s="19"/>
      <c r="AI403" s="18"/>
      <c r="AJ403" s="7"/>
      <c r="AK403" s="7"/>
      <c r="AL403" s="7"/>
      <c r="AM403" s="7"/>
      <c r="AN403" s="7"/>
      <c r="AO403" s="7"/>
      <c r="AP403" s="7"/>
      <c r="AQ403" s="7"/>
      <c r="AR403" s="7"/>
      <c r="AS403" s="7"/>
      <c r="AT403" s="7"/>
      <c r="AU403" s="7"/>
      <c r="AV403" s="7"/>
      <c r="AW403" s="7"/>
      <c r="AX403" s="7"/>
      <c r="AY403" s="7"/>
      <c r="AZ403" s="7"/>
      <c r="BA403" s="18"/>
      <c r="BG403" s="140"/>
      <c r="BH403" s="131"/>
      <c r="BI403" s="102"/>
      <c r="BJ403" s="102"/>
      <c r="BK403" s="102"/>
      <c r="BL403" s="102"/>
      <c r="BM403" s="99"/>
      <c r="BN403" s="4"/>
      <c r="BO403" s="4"/>
      <c r="BP403" s="5"/>
      <c r="BQ403" s="5"/>
      <c r="BR403" s="99"/>
      <c r="BS403" s="159"/>
      <c r="BT403" s="99"/>
      <c r="BU403" s="99"/>
      <c r="BV403" s="99"/>
      <c r="BW403" s="159"/>
      <c r="BX403" s="99"/>
      <c r="BY403" s="99"/>
      <c r="BZ403" s="159"/>
      <c r="DA403" s="174"/>
      <c r="DB403" s="18"/>
      <c r="DC403" s="18"/>
      <c r="DD403" s="19"/>
      <c r="DE403" s="19"/>
      <c r="DI403" s="18"/>
      <c r="DJ403" s="7"/>
      <c r="DK403" s="7"/>
      <c r="DL403" s="7"/>
      <c r="DM403" s="7"/>
      <c r="DN403" s="7"/>
      <c r="DO403" s="7"/>
      <c r="DP403" s="7"/>
      <c r="DQ403" s="7"/>
      <c r="DR403" s="7"/>
      <c r="DS403" s="7"/>
      <c r="DT403" s="7"/>
      <c r="DU403" s="7"/>
      <c r="DV403" s="7"/>
      <c r="DW403" s="7"/>
      <c r="DX403" s="7"/>
      <c r="DY403" s="7"/>
      <c r="DZ403" s="7"/>
      <c r="EA403" s="161"/>
      <c r="EG403" s="140"/>
      <c r="EH403" s="131"/>
      <c r="EI403" s="102"/>
      <c r="EJ403" s="102"/>
      <c r="EK403" s="102"/>
      <c r="EL403" s="102"/>
      <c r="EM403" s="99"/>
      <c r="EN403" s="4"/>
      <c r="EO403" s="4"/>
      <c r="EP403" s="5"/>
      <c r="EQ403" s="5"/>
      <c r="ER403" s="99"/>
      <c r="ES403" s="159"/>
      <c r="ET403" s="99"/>
      <c r="EU403" s="99"/>
      <c r="EV403" s="99"/>
      <c r="EW403" s="159"/>
      <c r="EX403" s="99"/>
      <c r="EY403" s="99"/>
      <c r="EZ403" s="175"/>
    </row>
    <row r="404" spans="27:156">
      <c r="AA404" s="18"/>
      <c r="AB404" s="18"/>
      <c r="AC404" s="18"/>
      <c r="AD404" s="19"/>
      <c r="AE404" s="19"/>
      <c r="AI404" s="18"/>
      <c r="AJ404" s="7"/>
      <c r="AK404" s="7"/>
      <c r="AL404" s="7"/>
      <c r="AM404" s="7"/>
      <c r="AN404" s="7"/>
      <c r="AO404" s="7"/>
      <c r="AP404" s="7"/>
      <c r="AQ404" s="7"/>
      <c r="AR404" s="7"/>
      <c r="AS404" s="7"/>
      <c r="AT404" s="7"/>
      <c r="AU404" s="7"/>
      <c r="AV404" s="7"/>
      <c r="AW404" s="7"/>
      <c r="AX404" s="7"/>
      <c r="AY404" s="7"/>
      <c r="AZ404" s="7"/>
      <c r="BA404" s="18"/>
      <c r="BG404" s="140"/>
      <c r="BH404" s="131"/>
      <c r="BI404" s="102"/>
      <c r="BJ404" s="102"/>
      <c r="BK404" s="102"/>
      <c r="BL404" s="102"/>
      <c r="BM404" s="99"/>
      <c r="BN404" s="4"/>
      <c r="BO404" s="4"/>
      <c r="BP404" s="5"/>
      <c r="BQ404" s="5"/>
      <c r="BR404" s="99"/>
      <c r="BS404" s="159"/>
      <c r="BT404" s="99"/>
      <c r="BU404" s="99"/>
      <c r="BV404" s="99"/>
      <c r="BW404" s="159"/>
      <c r="BX404" s="99"/>
      <c r="BY404" s="99"/>
      <c r="BZ404" s="159"/>
      <c r="DA404" s="174"/>
      <c r="DB404" s="18"/>
      <c r="DC404" s="18"/>
      <c r="DD404" s="19"/>
      <c r="DE404" s="19"/>
      <c r="DI404" s="18"/>
      <c r="DJ404" s="7"/>
      <c r="DK404" s="7"/>
      <c r="DL404" s="7"/>
      <c r="DM404" s="7"/>
      <c r="DN404" s="7"/>
      <c r="DO404" s="7"/>
      <c r="DP404" s="7"/>
      <c r="DQ404" s="7"/>
      <c r="DR404" s="7"/>
      <c r="DS404" s="7"/>
      <c r="DT404" s="7"/>
      <c r="DU404" s="7"/>
      <c r="DV404" s="7"/>
      <c r="DW404" s="7"/>
      <c r="DX404" s="7"/>
      <c r="DY404" s="7"/>
      <c r="DZ404" s="7"/>
      <c r="EA404" s="161"/>
      <c r="EG404" s="140"/>
      <c r="EH404" s="131"/>
      <c r="EI404" s="102"/>
      <c r="EJ404" s="102"/>
      <c r="EK404" s="102"/>
      <c r="EL404" s="102"/>
      <c r="EM404" s="99"/>
      <c r="EN404" s="4"/>
      <c r="EO404" s="4"/>
      <c r="EP404" s="5"/>
      <c r="EQ404" s="5"/>
      <c r="ER404" s="99"/>
      <c r="ES404" s="159"/>
      <c r="ET404" s="99"/>
      <c r="EU404" s="99"/>
      <c r="EV404" s="99"/>
      <c r="EW404" s="159"/>
      <c r="EX404" s="99"/>
      <c r="EY404" s="99"/>
      <c r="EZ404" s="175"/>
    </row>
    <row r="405" spans="27:156">
      <c r="AA405" s="18"/>
      <c r="AB405" s="18"/>
      <c r="AC405" s="18"/>
      <c r="AD405" s="19"/>
      <c r="AE405" s="19"/>
      <c r="AI405" s="18"/>
      <c r="AJ405" s="7"/>
      <c r="AK405" s="7"/>
      <c r="AL405" s="7"/>
      <c r="AM405" s="7"/>
      <c r="AN405" s="7"/>
      <c r="AO405" s="7"/>
      <c r="AP405" s="7"/>
      <c r="AQ405" s="7"/>
      <c r="AR405" s="7"/>
      <c r="AS405" s="7"/>
      <c r="AT405" s="7"/>
      <c r="AU405" s="7"/>
      <c r="AV405" s="7"/>
      <c r="AW405" s="7"/>
      <c r="AX405" s="7"/>
      <c r="AY405" s="7"/>
      <c r="AZ405" s="7"/>
      <c r="BA405" s="18"/>
      <c r="BG405" s="140"/>
      <c r="BH405" s="131"/>
      <c r="BI405" s="102"/>
      <c r="BJ405" s="102"/>
      <c r="BK405" s="102"/>
      <c r="BL405" s="102"/>
      <c r="BM405" s="99"/>
      <c r="BN405" s="4"/>
      <c r="BO405" s="4"/>
      <c r="BP405" s="5"/>
      <c r="BQ405" s="5"/>
      <c r="BR405" s="99"/>
      <c r="BS405" s="159"/>
      <c r="BT405" s="99"/>
      <c r="BU405" s="99"/>
      <c r="BV405" s="99"/>
      <c r="BW405" s="159"/>
      <c r="BX405" s="99"/>
      <c r="BY405" s="99"/>
      <c r="BZ405" s="159"/>
      <c r="DA405" s="174"/>
      <c r="DB405" s="18"/>
      <c r="DC405" s="18"/>
      <c r="DD405" s="19"/>
      <c r="DE405" s="19"/>
      <c r="DI405" s="18"/>
      <c r="DJ405" s="7"/>
      <c r="DK405" s="7"/>
      <c r="DL405" s="7"/>
      <c r="DM405" s="7"/>
      <c r="DN405" s="7"/>
      <c r="DO405" s="7"/>
      <c r="DP405" s="7"/>
      <c r="DQ405" s="7"/>
      <c r="DR405" s="7"/>
      <c r="DS405" s="7"/>
      <c r="DT405" s="7"/>
      <c r="DU405" s="7"/>
      <c r="DV405" s="7"/>
      <c r="DW405" s="7"/>
      <c r="DX405" s="7"/>
      <c r="DY405" s="7"/>
      <c r="DZ405" s="7"/>
      <c r="EA405" s="161"/>
      <c r="EG405" s="140"/>
      <c r="EH405" s="131"/>
      <c r="EI405" s="102"/>
      <c r="EJ405" s="102"/>
      <c r="EK405" s="102"/>
      <c r="EL405" s="102"/>
      <c r="EM405" s="99"/>
      <c r="EN405" s="4"/>
      <c r="EO405" s="4"/>
      <c r="EP405" s="5"/>
      <c r="EQ405" s="5"/>
      <c r="ER405" s="99"/>
      <c r="ES405" s="159"/>
      <c r="ET405" s="99"/>
      <c r="EU405" s="99"/>
      <c r="EV405" s="99"/>
      <c r="EW405" s="159"/>
      <c r="EX405" s="99"/>
      <c r="EY405" s="99"/>
      <c r="EZ405" s="175"/>
    </row>
    <row r="406" spans="27:156">
      <c r="AA406" s="18"/>
      <c r="AB406" s="18"/>
      <c r="AC406" s="18"/>
      <c r="AD406" s="19"/>
      <c r="AE406" s="19"/>
      <c r="AI406" s="18"/>
      <c r="AJ406" s="7"/>
      <c r="AK406" s="7"/>
      <c r="AL406" s="7"/>
      <c r="AM406" s="7"/>
      <c r="AN406" s="7"/>
      <c r="AO406" s="7"/>
      <c r="AP406" s="7"/>
      <c r="AQ406" s="7"/>
      <c r="AR406" s="7"/>
      <c r="AS406" s="7"/>
      <c r="AT406" s="7"/>
      <c r="AU406" s="7"/>
      <c r="AV406" s="7"/>
      <c r="AW406" s="7"/>
      <c r="AX406" s="7"/>
      <c r="AY406" s="7"/>
      <c r="AZ406" s="7"/>
      <c r="BA406" s="18"/>
      <c r="BG406" s="140"/>
      <c r="BH406" s="131"/>
      <c r="BI406" s="102"/>
      <c r="BJ406" s="102"/>
      <c r="BK406" s="102"/>
      <c r="BL406" s="102"/>
      <c r="BM406" s="99"/>
      <c r="BN406" s="4"/>
      <c r="BO406" s="4"/>
      <c r="BP406" s="5"/>
      <c r="BQ406" s="5"/>
      <c r="BR406" s="99"/>
      <c r="BS406" s="159"/>
      <c r="BT406" s="99"/>
      <c r="BU406" s="99"/>
      <c r="BV406" s="99"/>
      <c r="BW406" s="159"/>
      <c r="BX406" s="99"/>
      <c r="BY406" s="99"/>
      <c r="BZ406" s="159"/>
      <c r="DA406" s="174"/>
      <c r="DB406" s="18"/>
      <c r="DC406" s="18"/>
      <c r="DD406" s="19"/>
      <c r="DE406" s="19"/>
      <c r="DI406" s="18"/>
      <c r="DJ406" s="7"/>
      <c r="DK406" s="7"/>
      <c r="DL406" s="7"/>
      <c r="DM406" s="7"/>
      <c r="DN406" s="7"/>
      <c r="DO406" s="7"/>
      <c r="DP406" s="7"/>
      <c r="DQ406" s="7"/>
      <c r="DR406" s="7"/>
      <c r="DS406" s="7"/>
      <c r="DT406" s="7"/>
      <c r="DU406" s="7"/>
      <c r="DV406" s="7"/>
      <c r="DW406" s="7"/>
      <c r="DX406" s="7"/>
      <c r="DY406" s="7"/>
      <c r="DZ406" s="7"/>
      <c r="EA406" s="161"/>
      <c r="EG406" s="140"/>
      <c r="EH406" s="131"/>
      <c r="EI406" s="102"/>
      <c r="EJ406" s="102"/>
      <c r="EK406" s="102"/>
      <c r="EL406" s="102"/>
      <c r="EM406" s="99"/>
      <c r="EN406" s="4"/>
      <c r="EO406" s="4"/>
      <c r="EP406" s="5"/>
      <c r="EQ406" s="5"/>
      <c r="ER406" s="99"/>
      <c r="ES406" s="159"/>
      <c r="ET406" s="99"/>
      <c r="EU406" s="99"/>
      <c r="EV406" s="99"/>
      <c r="EW406" s="159"/>
      <c r="EX406" s="99"/>
      <c r="EY406" s="99"/>
      <c r="EZ406" s="175"/>
    </row>
    <row r="407" spans="27:156">
      <c r="AA407" s="18"/>
      <c r="AB407" s="18"/>
      <c r="AC407" s="18"/>
      <c r="AD407" s="19"/>
      <c r="AE407" s="19"/>
      <c r="AI407" s="18"/>
      <c r="AJ407" s="7"/>
      <c r="AK407" s="7"/>
      <c r="AL407" s="7"/>
      <c r="AM407" s="7"/>
      <c r="AN407" s="7"/>
      <c r="AO407" s="7"/>
      <c r="AP407" s="7"/>
      <c r="AQ407" s="7"/>
      <c r="AR407" s="7"/>
      <c r="AS407" s="7"/>
      <c r="AT407" s="7"/>
      <c r="AU407" s="7"/>
      <c r="AV407" s="7"/>
      <c r="AW407" s="7"/>
      <c r="AX407" s="7"/>
      <c r="AY407" s="7"/>
      <c r="AZ407" s="7"/>
      <c r="BA407" s="18"/>
      <c r="BG407" s="140"/>
      <c r="BH407" s="131"/>
      <c r="BI407" s="102"/>
      <c r="BJ407" s="102"/>
      <c r="BK407" s="102"/>
      <c r="BL407" s="102"/>
      <c r="BM407" s="99"/>
      <c r="BN407" s="4"/>
      <c r="BO407" s="4"/>
      <c r="BP407" s="5"/>
      <c r="BQ407" s="5"/>
      <c r="BR407" s="99"/>
      <c r="BS407" s="159"/>
      <c r="BT407" s="99"/>
      <c r="BU407" s="99"/>
      <c r="BV407" s="99"/>
      <c r="BW407" s="159"/>
      <c r="BX407" s="99"/>
      <c r="BY407" s="99"/>
      <c r="BZ407" s="159"/>
      <c r="DA407" s="174"/>
      <c r="DB407" s="18"/>
      <c r="DC407" s="18"/>
      <c r="DD407" s="19"/>
      <c r="DE407" s="19"/>
      <c r="DI407" s="18"/>
      <c r="DJ407" s="7"/>
      <c r="DK407" s="7"/>
      <c r="DL407" s="7"/>
      <c r="DM407" s="7"/>
      <c r="DN407" s="7"/>
      <c r="DO407" s="7"/>
      <c r="DP407" s="7"/>
      <c r="DQ407" s="7"/>
      <c r="DR407" s="7"/>
      <c r="DS407" s="7"/>
      <c r="DT407" s="7"/>
      <c r="DU407" s="7"/>
      <c r="DV407" s="7"/>
      <c r="DW407" s="7"/>
      <c r="DX407" s="7"/>
      <c r="DY407" s="7"/>
      <c r="DZ407" s="7"/>
      <c r="EA407" s="161"/>
      <c r="EG407" s="140"/>
      <c r="EH407" s="131"/>
      <c r="EI407" s="102"/>
      <c r="EJ407" s="102"/>
      <c r="EK407" s="102"/>
      <c r="EL407" s="102"/>
      <c r="EM407" s="99"/>
      <c r="EN407" s="4"/>
      <c r="EO407" s="4"/>
      <c r="EP407" s="5"/>
      <c r="EQ407" s="5"/>
      <c r="ER407" s="99"/>
      <c r="ES407" s="159"/>
      <c r="ET407" s="99"/>
      <c r="EU407" s="99"/>
      <c r="EV407" s="99"/>
      <c r="EW407" s="159"/>
      <c r="EX407" s="99"/>
      <c r="EY407" s="99"/>
      <c r="EZ407" s="175"/>
    </row>
    <row r="408" spans="27:156">
      <c r="AA408" s="18"/>
      <c r="AB408" s="18"/>
      <c r="AC408" s="18"/>
      <c r="AD408" s="19"/>
      <c r="AE408" s="19"/>
      <c r="AI408" s="18"/>
      <c r="AJ408" s="7"/>
      <c r="AK408" s="7"/>
      <c r="AL408" s="7"/>
      <c r="AM408" s="7"/>
      <c r="AN408" s="7"/>
      <c r="AO408" s="7"/>
      <c r="AP408" s="7"/>
      <c r="AQ408" s="7"/>
      <c r="AR408" s="7"/>
      <c r="AS408" s="7"/>
      <c r="AT408" s="7"/>
      <c r="AU408" s="7"/>
      <c r="AV408" s="7"/>
      <c r="AW408" s="7"/>
      <c r="AX408" s="7"/>
      <c r="AY408" s="7"/>
      <c r="AZ408" s="7"/>
      <c r="BA408" s="18"/>
      <c r="BG408" s="140"/>
      <c r="BH408" s="131"/>
      <c r="BI408" s="102"/>
      <c r="BJ408" s="102"/>
      <c r="BK408" s="102"/>
      <c r="BL408" s="102"/>
      <c r="BM408" s="99"/>
      <c r="BN408" s="4"/>
      <c r="BO408" s="4"/>
      <c r="BP408" s="5"/>
      <c r="BQ408" s="5"/>
      <c r="BR408" s="99"/>
      <c r="BS408" s="159"/>
      <c r="BT408" s="99"/>
      <c r="BU408" s="99"/>
      <c r="BV408" s="99"/>
      <c r="BW408" s="159"/>
      <c r="BX408" s="99"/>
      <c r="BY408" s="99"/>
      <c r="BZ408" s="159"/>
      <c r="DA408" s="174"/>
      <c r="DB408" s="18"/>
      <c r="DC408" s="18"/>
      <c r="DD408" s="19"/>
      <c r="DE408" s="19"/>
      <c r="DI408" s="18"/>
      <c r="DJ408" s="7"/>
      <c r="DK408" s="7"/>
      <c r="DL408" s="7"/>
      <c r="DM408" s="7"/>
      <c r="DN408" s="7"/>
      <c r="DO408" s="7"/>
      <c r="DP408" s="7"/>
      <c r="DQ408" s="7"/>
      <c r="DR408" s="7"/>
      <c r="DS408" s="7"/>
      <c r="DT408" s="7"/>
      <c r="DU408" s="7"/>
      <c r="DV408" s="7"/>
      <c r="DW408" s="7"/>
      <c r="DX408" s="7"/>
      <c r="DY408" s="7"/>
      <c r="DZ408" s="7"/>
      <c r="EA408" s="161"/>
      <c r="EG408" s="140"/>
      <c r="EH408" s="131"/>
      <c r="EI408" s="102"/>
      <c r="EJ408" s="102"/>
      <c r="EK408" s="102"/>
      <c r="EL408" s="102"/>
      <c r="EM408" s="99"/>
      <c r="EN408" s="4"/>
      <c r="EO408" s="4"/>
      <c r="EP408" s="5"/>
      <c r="EQ408" s="5"/>
      <c r="ER408" s="99"/>
      <c r="ES408" s="159"/>
      <c r="ET408" s="99"/>
      <c r="EU408" s="99"/>
      <c r="EV408" s="99"/>
      <c r="EW408" s="159"/>
      <c r="EX408" s="99"/>
      <c r="EY408" s="99"/>
      <c r="EZ408" s="175"/>
    </row>
    <row r="409" spans="27:156">
      <c r="AA409" s="18"/>
      <c r="AB409" s="18"/>
      <c r="AC409" s="18"/>
      <c r="AD409" s="19"/>
      <c r="AE409" s="19"/>
      <c r="AI409" s="18"/>
      <c r="AJ409" s="7"/>
      <c r="AK409" s="7"/>
      <c r="AL409" s="7"/>
      <c r="AM409" s="7"/>
      <c r="AN409" s="7"/>
      <c r="AO409" s="7"/>
      <c r="AP409" s="7"/>
      <c r="AQ409" s="7"/>
      <c r="AR409" s="7"/>
      <c r="AS409" s="7"/>
      <c r="AT409" s="7"/>
      <c r="AU409" s="7"/>
      <c r="AV409" s="7"/>
      <c r="AW409" s="7"/>
      <c r="AX409" s="7"/>
      <c r="AY409" s="7"/>
      <c r="AZ409" s="7"/>
      <c r="BA409" s="18"/>
      <c r="BG409" s="140"/>
      <c r="BH409" s="131"/>
      <c r="BI409" s="102"/>
      <c r="BJ409" s="102"/>
      <c r="BK409" s="102"/>
      <c r="BL409" s="102"/>
      <c r="BM409" s="99"/>
      <c r="BN409" s="4"/>
      <c r="BO409" s="4"/>
      <c r="BP409" s="5"/>
      <c r="BQ409" s="5"/>
      <c r="BR409" s="99"/>
      <c r="BS409" s="159"/>
      <c r="BT409" s="99"/>
      <c r="BU409" s="99"/>
      <c r="BV409" s="99"/>
      <c r="BW409" s="159"/>
      <c r="BX409" s="99"/>
      <c r="BY409" s="99"/>
      <c r="BZ409" s="159"/>
      <c r="DA409" s="174"/>
      <c r="DB409" s="18"/>
      <c r="DC409" s="18"/>
      <c r="DD409" s="19"/>
      <c r="DE409" s="19"/>
      <c r="DI409" s="18"/>
      <c r="DJ409" s="7"/>
      <c r="DK409" s="7"/>
      <c r="DL409" s="7"/>
      <c r="DM409" s="7"/>
      <c r="DN409" s="7"/>
      <c r="DO409" s="7"/>
      <c r="DP409" s="7"/>
      <c r="DQ409" s="7"/>
      <c r="DR409" s="7"/>
      <c r="DS409" s="7"/>
      <c r="DT409" s="7"/>
      <c r="DU409" s="7"/>
      <c r="DV409" s="7"/>
      <c r="DW409" s="7"/>
      <c r="DX409" s="7"/>
      <c r="DY409" s="7"/>
      <c r="DZ409" s="7"/>
      <c r="EA409" s="161"/>
      <c r="EG409" s="140"/>
      <c r="EH409" s="131"/>
      <c r="EI409" s="102"/>
      <c r="EJ409" s="102"/>
      <c r="EK409" s="102"/>
      <c r="EL409" s="102"/>
      <c r="EM409" s="99"/>
      <c r="EN409" s="4"/>
      <c r="EO409" s="4"/>
      <c r="EP409" s="5"/>
      <c r="EQ409" s="5"/>
      <c r="ER409" s="99"/>
      <c r="ES409" s="159"/>
      <c r="ET409" s="99"/>
      <c r="EU409" s="99"/>
      <c r="EV409" s="99"/>
      <c r="EW409" s="159"/>
      <c r="EX409" s="99"/>
      <c r="EY409" s="99"/>
      <c r="EZ409" s="175"/>
    </row>
    <row r="410" spans="27:156">
      <c r="AA410" s="18"/>
      <c r="AB410" s="18"/>
      <c r="AC410" s="18"/>
      <c r="AD410" s="19"/>
      <c r="AE410" s="19"/>
      <c r="AI410" s="18"/>
      <c r="AJ410" s="7"/>
      <c r="AK410" s="7"/>
      <c r="AL410" s="7"/>
      <c r="AM410" s="7"/>
      <c r="AN410" s="7"/>
      <c r="AO410" s="7"/>
      <c r="AP410" s="7"/>
      <c r="AQ410" s="7"/>
      <c r="AR410" s="7"/>
      <c r="AS410" s="7"/>
      <c r="AT410" s="7"/>
      <c r="AU410" s="7"/>
      <c r="AV410" s="7"/>
      <c r="AW410" s="7"/>
      <c r="AX410" s="7"/>
      <c r="AY410" s="7"/>
      <c r="AZ410" s="7"/>
      <c r="BA410" s="18"/>
      <c r="BG410" s="140"/>
      <c r="BH410" s="131"/>
      <c r="BI410" s="102"/>
      <c r="BJ410" s="102"/>
      <c r="BK410" s="102"/>
      <c r="BL410" s="102"/>
      <c r="BM410" s="99"/>
      <c r="BN410" s="4"/>
      <c r="BO410" s="4"/>
      <c r="BP410" s="5"/>
      <c r="BQ410" s="5"/>
      <c r="BR410" s="99"/>
      <c r="BS410" s="159"/>
      <c r="BT410" s="99"/>
      <c r="BU410" s="99"/>
      <c r="BV410" s="99"/>
      <c r="BW410" s="159"/>
      <c r="BX410" s="99"/>
      <c r="BY410" s="99"/>
      <c r="BZ410" s="159"/>
      <c r="DA410" s="174"/>
      <c r="DB410" s="18"/>
      <c r="DC410" s="18"/>
      <c r="DD410" s="19"/>
      <c r="DE410" s="19"/>
      <c r="DI410" s="18"/>
      <c r="DJ410" s="7"/>
      <c r="DK410" s="7"/>
      <c r="DL410" s="7"/>
      <c r="DM410" s="7"/>
      <c r="DN410" s="7"/>
      <c r="DO410" s="7"/>
      <c r="DP410" s="7"/>
      <c r="DQ410" s="7"/>
      <c r="DR410" s="7"/>
      <c r="DS410" s="7"/>
      <c r="DT410" s="7"/>
      <c r="DU410" s="7"/>
      <c r="DV410" s="7"/>
      <c r="DW410" s="7"/>
      <c r="DX410" s="7"/>
      <c r="DY410" s="7"/>
      <c r="DZ410" s="7"/>
      <c r="EA410" s="161"/>
      <c r="EG410" s="140"/>
      <c r="EH410" s="131"/>
      <c r="EI410" s="102"/>
      <c r="EJ410" s="102"/>
      <c r="EK410" s="102"/>
      <c r="EL410" s="102"/>
      <c r="EM410" s="99"/>
      <c r="EN410" s="4"/>
      <c r="EO410" s="4"/>
      <c r="EP410" s="5"/>
      <c r="EQ410" s="5"/>
      <c r="ER410" s="99"/>
      <c r="ES410" s="159"/>
      <c r="ET410" s="99"/>
      <c r="EU410" s="99"/>
      <c r="EV410" s="99"/>
      <c r="EW410" s="159"/>
      <c r="EX410" s="99"/>
      <c r="EY410" s="99"/>
      <c r="EZ410" s="175"/>
    </row>
    <row r="411" spans="27:156">
      <c r="AA411" s="18"/>
      <c r="AB411" s="18"/>
      <c r="AC411" s="18"/>
      <c r="AD411" s="19"/>
      <c r="AE411" s="19"/>
      <c r="AI411" s="18"/>
      <c r="AJ411" s="7"/>
      <c r="AK411" s="7"/>
      <c r="AL411" s="7"/>
      <c r="AM411" s="7"/>
      <c r="AN411" s="7"/>
      <c r="AO411" s="7"/>
      <c r="AP411" s="7"/>
      <c r="AQ411" s="7"/>
      <c r="AR411" s="7"/>
      <c r="AS411" s="7"/>
      <c r="AT411" s="7"/>
      <c r="AU411" s="7"/>
      <c r="AV411" s="7"/>
      <c r="AW411" s="7"/>
      <c r="AX411" s="7"/>
      <c r="AY411" s="7"/>
      <c r="AZ411" s="7"/>
      <c r="BA411" s="18"/>
      <c r="BG411" s="140"/>
      <c r="BH411" s="131"/>
      <c r="BI411" s="102"/>
      <c r="BJ411" s="102"/>
      <c r="BK411" s="102"/>
      <c r="BL411" s="102"/>
      <c r="BM411" s="99"/>
      <c r="BN411" s="4"/>
      <c r="BO411" s="4"/>
      <c r="BP411" s="5"/>
      <c r="BQ411" s="5"/>
      <c r="BR411" s="99"/>
      <c r="BS411" s="159"/>
      <c r="BT411" s="99"/>
      <c r="BU411" s="99"/>
      <c r="BV411" s="99"/>
      <c r="BW411" s="159"/>
      <c r="BX411" s="99"/>
      <c r="BY411" s="99"/>
      <c r="BZ411" s="159"/>
      <c r="DA411" s="174"/>
      <c r="DB411" s="18"/>
      <c r="DC411" s="18"/>
      <c r="DD411" s="19"/>
      <c r="DE411" s="19"/>
      <c r="DI411" s="18"/>
      <c r="DJ411" s="7"/>
      <c r="DK411" s="7"/>
      <c r="DL411" s="7"/>
      <c r="DM411" s="7"/>
      <c r="DN411" s="7"/>
      <c r="DO411" s="7"/>
      <c r="DP411" s="7"/>
      <c r="DQ411" s="7"/>
      <c r="DR411" s="7"/>
      <c r="DS411" s="7"/>
      <c r="DT411" s="7"/>
      <c r="DU411" s="7"/>
      <c r="DV411" s="7"/>
      <c r="DW411" s="7"/>
      <c r="DX411" s="7"/>
      <c r="DY411" s="7"/>
      <c r="DZ411" s="7"/>
      <c r="EA411" s="161"/>
      <c r="EG411" s="140"/>
      <c r="EH411" s="131"/>
      <c r="EI411" s="102"/>
      <c r="EJ411" s="102"/>
      <c r="EK411" s="102"/>
      <c r="EL411" s="102"/>
      <c r="EM411" s="99"/>
      <c r="EN411" s="4"/>
      <c r="EO411" s="4"/>
      <c r="EP411" s="5"/>
      <c r="EQ411" s="5"/>
      <c r="ER411" s="99"/>
      <c r="ES411" s="159"/>
      <c r="ET411" s="99"/>
      <c r="EU411" s="99"/>
      <c r="EV411" s="99"/>
      <c r="EW411" s="159"/>
      <c r="EX411" s="99"/>
      <c r="EY411" s="99"/>
      <c r="EZ411" s="175"/>
    </row>
    <row r="412" spans="27:156">
      <c r="AA412" s="18"/>
      <c r="AB412" s="18"/>
      <c r="AC412" s="18"/>
      <c r="AD412" s="19"/>
      <c r="AE412" s="19"/>
      <c r="AI412" s="18"/>
      <c r="AJ412" s="7"/>
      <c r="AK412" s="7"/>
      <c r="AL412" s="7"/>
      <c r="AM412" s="7"/>
      <c r="AN412" s="7"/>
      <c r="AO412" s="7"/>
      <c r="AP412" s="7"/>
      <c r="AQ412" s="7"/>
      <c r="AR412" s="7"/>
      <c r="AS412" s="7"/>
      <c r="AT412" s="7"/>
      <c r="AU412" s="7"/>
      <c r="AV412" s="7"/>
      <c r="AW412" s="7"/>
      <c r="AX412" s="7"/>
      <c r="AY412" s="7"/>
      <c r="AZ412" s="7"/>
      <c r="BA412" s="18"/>
      <c r="BG412" s="140"/>
      <c r="BH412" s="131"/>
      <c r="BI412" s="102"/>
      <c r="BJ412" s="102"/>
      <c r="BK412" s="102"/>
      <c r="BL412" s="102"/>
      <c r="BM412" s="99"/>
      <c r="BN412" s="4"/>
      <c r="BO412" s="4"/>
      <c r="BP412" s="5"/>
      <c r="BQ412" s="5"/>
      <c r="BR412" s="99"/>
      <c r="BS412" s="159"/>
      <c r="BT412" s="99"/>
      <c r="BU412" s="99"/>
      <c r="BV412" s="99"/>
      <c r="BW412" s="159"/>
      <c r="BX412" s="99"/>
      <c r="BY412" s="99"/>
      <c r="BZ412" s="159"/>
      <c r="DA412" s="174"/>
      <c r="DB412" s="18"/>
      <c r="DC412" s="18"/>
      <c r="DD412" s="19"/>
      <c r="DE412" s="19"/>
      <c r="DI412" s="18"/>
      <c r="DJ412" s="7"/>
      <c r="DK412" s="7"/>
      <c r="DL412" s="7"/>
      <c r="DM412" s="7"/>
      <c r="DN412" s="7"/>
      <c r="DO412" s="7"/>
      <c r="DP412" s="7"/>
      <c r="DQ412" s="7"/>
      <c r="DR412" s="7"/>
      <c r="DS412" s="7"/>
      <c r="DT412" s="7"/>
      <c r="DU412" s="7"/>
      <c r="DV412" s="7"/>
      <c r="DW412" s="7"/>
      <c r="DX412" s="7"/>
      <c r="DY412" s="7"/>
      <c r="DZ412" s="7"/>
      <c r="EA412" s="161"/>
      <c r="EG412" s="140"/>
      <c r="EH412" s="131"/>
      <c r="EI412" s="102"/>
      <c r="EJ412" s="102"/>
      <c r="EK412" s="102"/>
      <c r="EL412" s="102"/>
      <c r="EM412" s="99"/>
      <c r="EN412" s="4"/>
      <c r="EO412" s="4"/>
      <c r="EP412" s="5"/>
      <c r="EQ412" s="5"/>
      <c r="ER412" s="99"/>
      <c r="ES412" s="159"/>
      <c r="ET412" s="99"/>
      <c r="EU412" s="99"/>
      <c r="EV412" s="99"/>
      <c r="EW412" s="159"/>
      <c r="EX412" s="99"/>
      <c r="EY412" s="99"/>
      <c r="EZ412" s="175"/>
    </row>
    <row r="413" spans="27:156">
      <c r="AA413" s="18"/>
      <c r="AB413" s="18"/>
      <c r="AC413" s="18"/>
      <c r="AD413" s="19"/>
      <c r="AE413" s="19"/>
      <c r="AI413" s="18"/>
      <c r="AJ413" s="7"/>
      <c r="AK413" s="7"/>
      <c r="AL413" s="7"/>
      <c r="AM413" s="7"/>
      <c r="AN413" s="7"/>
      <c r="AO413" s="7"/>
      <c r="AP413" s="7"/>
      <c r="AQ413" s="7"/>
      <c r="AR413" s="7"/>
      <c r="AS413" s="7"/>
      <c r="AT413" s="7"/>
      <c r="AU413" s="7"/>
      <c r="AV413" s="7"/>
      <c r="AW413" s="7"/>
      <c r="AX413" s="7"/>
      <c r="AY413" s="7"/>
      <c r="AZ413" s="7"/>
      <c r="BA413" s="18"/>
      <c r="BG413" s="140"/>
      <c r="BH413" s="131"/>
      <c r="BI413" s="102"/>
      <c r="BJ413" s="102"/>
      <c r="BK413" s="102"/>
      <c r="BL413" s="102"/>
      <c r="BM413" s="99"/>
      <c r="BN413" s="4"/>
      <c r="BO413" s="4"/>
      <c r="BP413" s="5"/>
      <c r="BQ413" s="5"/>
      <c r="BR413" s="99"/>
      <c r="BS413" s="159"/>
      <c r="BT413" s="99"/>
      <c r="BU413" s="99"/>
      <c r="BV413" s="99"/>
      <c r="BW413" s="159"/>
      <c r="BX413" s="99"/>
      <c r="BY413" s="99"/>
      <c r="BZ413" s="159"/>
      <c r="DA413" s="174"/>
      <c r="DB413" s="18"/>
      <c r="DC413" s="18"/>
      <c r="DD413" s="19"/>
      <c r="DE413" s="19"/>
      <c r="DI413" s="18"/>
      <c r="DJ413" s="7"/>
      <c r="DK413" s="7"/>
      <c r="DL413" s="7"/>
      <c r="DM413" s="7"/>
      <c r="DN413" s="7"/>
      <c r="DO413" s="7"/>
      <c r="DP413" s="7"/>
      <c r="DQ413" s="7"/>
      <c r="DR413" s="7"/>
      <c r="DS413" s="7"/>
      <c r="DT413" s="7"/>
      <c r="DU413" s="7"/>
      <c r="DV413" s="7"/>
      <c r="DW413" s="7"/>
      <c r="DX413" s="7"/>
      <c r="DY413" s="7"/>
      <c r="DZ413" s="7"/>
      <c r="EA413" s="161"/>
      <c r="EG413" s="140"/>
      <c r="EH413" s="131"/>
      <c r="EI413" s="102"/>
      <c r="EJ413" s="102"/>
      <c r="EK413" s="102"/>
      <c r="EL413" s="102"/>
      <c r="EM413" s="99"/>
      <c r="EN413" s="4"/>
      <c r="EO413" s="4"/>
      <c r="EP413" s="5"/>
      <c r="EQ413" s="5"/>
      <c r="ER413" s="99"/>
      <c r="ES413" s="159"/>
      <c r="ET413" s="99"/>
      <c r="EU413" s="99"/>
      <c r="EV413" s="99"/>
      <c r="EW413" s="159"/>
      <c r="EX413" s="99"/>
      <c r="EY413" s="99"/>
      <c r="EZ413" s="175"/>
    </row>
    <row r="414" spans="27:156">
      <c r="AA414" s="18"/>
      <c r="AB414" s="18"/>
      <c r="AC414" s="18"/>
      <c r="AD414" s="19"/>
      <c r="AE414" s="19"/>
      <c r="AI414" s="18"/>
      <c r="AJ414" s="7"/>
      <c r="AK414" s="7"/>
      <c r="AL414" s="7"/>
      <c r="AM414" s="7"/>
      <c r="AN414" s="7"/>
      <c r="AO414" s="7"/>
      <c r="AP414" s="7"/>
      <c r="AQ414" s="7"/>
      <c r="AR414" s="7"/>
      <c r="AS414" s="7"/>
      <c r="AT414" s="7"/>
      <c r="AU414" s="7"/>
      <c r="AV414" s="7"/>
      <c r="AW414" s="7"/>
      <c r="AX414" s="7"/>
      <c r="AY414" s="7"/>
      <c r="AZ414" s="7"/>
      <c r="BA414" s="18"/>
      <c r="BG414" s="140"/>
      <c r="BH414" s="131"/>
      <c r="BI414" s="102"/>
      <c r="BJ414" s="102"/>
      <c r="BK414" s="102"/>
      <c r="BL414" s="102"/>
      <c r="BM414" s="99"/>
      <c r="BN414" s="4"/>
      <c r="BO414" s="4"/>
      <c r="BP414" s="5"/>
      <c r="BQ414" s="5"/>
      <c r="BR414" s="99"/>
      <c r="BS414" s="159"/>
      <c r="BT414" s="99"/>
      <c r="BU414" s="99"/>
      <c r="BV414" s="99"/>
      <c r="BW414" s="159"/>
      <c r="BX414" s="99"/>
      <c r="BY414" s="99"/>
      <c r="BZ414" s="159"/>
      <c r="DA414" s="174"/>
      <c r="DB414" s="18"/>
      <c r="DC414" s="18"/>
      <c r="DD414" s="19"/>
      <c r="DE414" s="19"/>
      <c r="DI414" s="18"/>
      <c r="DJ414" s="7"/>
      <c r="DK414" s="7"/>
      <c r="DL414" s="7"/>
      <c r="DM414" s="7"/>
      <c r="DN414" s="7"/>
      <c r="DO414" s="7"/>
      <c r="DP414" s="7"/>
      <c r="DQ414" s="7"/>
      <c r="DR414" s="7"/>
      <c r="DS414" s="7"/>
      <c r="DT414" s="7"/>
      <c r="DU414" s="7"/>
      <c r="DV414" s="7"/>
      <c r="DW414" s="7"/>
      <c r="DX414" s="7"/>
      <c r="DY414" s="7"/>
      <c r="DZ414" s="7"/>
      <c r="EA414" s="161"/>
      <c r="EG414" s="140"/>
      <c r="EH414" s="131"/>
      <c r="EI414" s="102"/>
      <c r="EJ414" s="102"/>
      <c r="EK414" s="102"/>
      <c r="EL414" s="102"/>
      <c r="EM414" s="99"/>
      <c r="EN414" s="4"/>
      <c r="EO414" s="4"/>
      <c r="EP414" s="5"/>
      <c r="EQ414" s="5"/>
      <c r="ER414" s="99"/>
      <c r="ES414" s="159"/>
      <c r="ET414" s="99"/>
      <c r="EU414" s="99"/>
      <c r="EV414" s="99"/>
      <c r="EW414" s="159"/>
      <c r="EX414" s="99"/>
      <c r="EY414" s="99"/>
      <c r="EZ414" s="175"/>
    </row>
    <row r="415" spans="27:156">
      <c r="AA415" s="18"/>
      <c r="AB415" s="18"/>
      <c r="AC415" s="18"/>
      <c r="AD415" s="19"/>
      <c r="AE415" s="19"/>
      <c r="AI415" s="18"/>
      <c r="AJ415" s="7"/>
      <c r="AK415" s="7"/>
      <c r="AL415" s="7"/>
      <c r="AM415" s="7"/>
      <c r="AN415" s="7"/>
      <c r="AO415" s="7"/>
      <c r="AP415" s="7"/>
      <c r="AQ415" s="7"/>
      <c r="AR415" s="7"/>
      <c r="AS415" s="7"/>
      <c r="AT415" s="7"/>
      <c r="AU415" s="7"/>
      <c r="AV415" s="7"/>
      <c r="AW415" s="7"/>
      <c r="AX415" s="7"/>
      <c r="AY415" s="7"/>
      <c r="AZ415" s="7"/>
      <c r="BA415" s="18"/>
      <c r="BG415" s="140"/>
      <c r="BH415" s="131"/>
      <c r="BI415" s="102"/>
      <c r="BJ415" s="102"/>
      <c r="BK415" s="102"/>
      <c r="BL415" s="102"/>
      <c r="BM415" s="99"/>
      <c r="BN415" s="4"/>
      <c r="BO415" s="4"/>
      <c r="BP415" s="5"/>
      <c r="BQ415" s="5"/>
      <c r="BR415" s="99"/>
      <c r="BS415" s="159"/>
      <c r="BT415" s="99"/>
      <c r="BU415" s="99"/>
      <c r="BV415" s="99"/>
      <c r="BW415" s="159"/>
      <c r="BX415" s="99"/>
      <c r="BY415" s="99"/>
      <c r="BZ415" s="159"/>
      <c r="DA415" s="174"/>
      <c r="DB415" s="18"/>
      <c r="DC415" s="18"/>
      <c r="DD415" s="19"/>
      <c r="DE415" s="19"/>
      <c r="DI415" s="18"/>
      <c r="DJ415" s="7"/>
      <c r="DK415" s="7"/>
      <c r="DL415" s="7"/>
      <c r="DM415" s="7"/>
      <c r="DN415" s="7"/>
      <c r="DO415" s="7"/>
      <c r="DP415" s="7"/>
      <c r="DQ415" s="7"/>
      <c r="DR415" s="7"/>
      <c r="DS415" s="7"/>
      <c r="DT415" s="7"/>
      <c r="DU415" s="7"/>
      <c r="DV415" s="7"/>
      <c r="DW415" s="7"/>
      <c r="DX415" s="7"/>
      <c r="DY415" s="7"/>
      <c r="DZ415" s="7"/>
      <c r="EA415" s="161"/>
      <c r="EG415" s="140"/>
      <c r="EH415" s="131"/>
      <c r="EI415" s="102"/>
      <c r="EJ415" s="102"/>
      <c r="EK415" s="102"/>
      <c r="EL415" s="102"/>
      <c r="EM415" s="99"/>
      <c r="EN415" s="4"/>
      <c r="EO415" s="4"/>
      <c r="EP415" s="5"/>
      <c r="EQ415" s="5"/>
      <c r="ER415" s="99"/>
      <c r="ES415" s="159"/>
      <c r="ET415" s="99"/>
      <c r="EU415" s="99"/>
      <c r="EV415" s="99"/>
      <c r="EW415" s="159"/>
      <c r="EX415" s="99"/>
      <c r="EY415" s="99"/>
      <c r="EZ415" s="175"/>
    </row>
    <row r="416" spans="27:156">
      <c r="AA416" s="18"/>
      <c r="AB416" s="18"/>
      <c r="AC416" s="18"/>
      <c r="AD416" s="19"/>
      <c r="AE416" s="19"/>
      <c r="AI416" s="18"/>
      <c r="AJ416" s="7"/>
      <c r="AK416" s="7"/>
      <c r="AL416" s="7"/>
      <c r="AM416" s="7"/>
      <c r="AN416" s="7"/>
      <c r="AO416" s="7"/>
      <c r="AP416" s="7"/>
      <c r="AQ416" s="7"/>
      <c r="AR416" s="7"/>
      <c r="AS416" s="7"/>
      <c r="AT416" s="7"/>
      <c r="AU416" s="7"/>
      <c r="AV416" s="7"/>
      <c r="AW416" s="7"/>
      <c r="AX416" s="7"/>
      <c r="AY416" s="7"/>
      <c r="AZ416" s="7"/>
      <c r="BA416" s="18"/>
      <c r="BG416" s="140"/>
      <c r="BH416" s="131"/>
      <c r="BI416" s="102"/>
      <c r="BJ416" s="102"/>
      <c r="BK416" s="102"/>
      <c r="BL416" s="102"/>
      <c r="BM416" s="99"/>
      <c r="BN416" s="4"/>
      <c r="BO416" s="4"/>
      <c r="BP416" s="5"/>
      <c r="BQ416" s="5"/>
      <c r="BR416" s="99"/>
      <c r="BS416" s="159"/>
      <c r="BT416" s="99"/>
      <c r="BU416" s="99"/>
      <c r="BV416" s="99"/>
      <c r="BW416" s="159"/>
      <c r="BX416" s="99"/>
      <c r="BY416" s="99"/>
      <c r="BZ416" s="159"/>
      <c r="DA416" s="174"/>
      <c r="DB416" s="18"/>
      <c r="DC416" s="18"/>
      <c r="DD416" s="19"/>
      <c r="DE416" s="19"/>
      <c r="DI416" s="18"/>
      <c r="DJ416" s="7"/>
      <c r="DK416" s="7"/>
      <c r="DL416" s="7"/>
      <c r="DM416" s="7"/>
      <c r="DN416" s="7"/>
      <c r="DO416" s="7"/>
      <c r="DP416" s="7"/>
      <c r="DQ416" s="7"/>
      <c r="DR416" s="7"/>
      <c r="DS416" s="7"/>
      <c r="DT416" s="7"/>
      <c r="DU416" s="7"/>
      <c r="DV416" s="7"/>
      <c r="DW416" s="7"/>
      <c r="DX416" s="7"/>
      <c r="DY416" s="7"/>
      <c r="DZ416" s="7"/>
      <c r="EA416" s="161"/>
      <c r="EG416" s="140"/>
      <c r="EH416" s="131"/>
      <c r="EI416" s="102"/>
      <c r="EJ416" s="102"/>
      <c r="EK416" s="102"/>
      <c r="EL416" s="102"/>
      <c r="EM416" s="99"/>
      <c r="EN416" s="4"/>
      <c r="EO416" s="4"/>
      <c r="EP416" s="5"/>
      <c r="EQ416" s="5"/>
      <c r="ER416" s="99"/>
      <c r="ES416" s="159"/>
      <c r="ET416" s="99"/>
      <c r="EU416" s="99"/>
      <c r="EV416" s="99"/>
      <c r="EW416" s="159"/>
      <c r="EX416" s="99"/>
      <c r="EY416" s="99"/>
      <c r="EZ416" s="175"/>
    </row>
    <row r="417" spans="27:156">
      <c r="AA417" s="18"/>
      <c r="AB417" s="18"/>
      <c r="AC417" s="18"/>
      <c r="AD417" s="19"/>
      <c r="AE417" s="19"/>
      <c r="AI417" s="18"/>
      <c r="AJ417" s="7"/>
      <c r="AK417" s="7"/>
      <c r="AL417" s="7"/>
      <c r="AM417" s="7"/>
      <c r="AN417" s="7"/>
      <c r="AO417" s="7"/>
      <c r="AP417" s="7"/>
      <c r="AQ417" s="7"/>
      <c r="AR417" s="7"/>
      <c r="AS417" s="7"/>
      <c r="AT417" s="7"/>
      <c r="AU417" s="7"/>
      <c r="AV417" s="7"/>
      <c r="AW417" s="7"/>
      <c r="AX417" s="7"/>
      <c r="AY417" s="7"/>
      <c r="AZ417" s="7"/>
      <c r="BA417" s="18"/>
      <c r="BG417" s="140"/>
      <c r="BH417" s="131"/>
      <c r="BI417" s="102"/>
      <c r="BJ417" s="102"/>
      <c r="BK417" s="102"/>
      <c r="BL417" s="102"/>
      <c r="BM417" s="99"/>
      <c r="BN417" s="4"/>
      <c r="BO417" s="4"/>
      <c r="BP417" s="5"/>
      <c r="BQ417" s="5"/>
      <c r="BR417" s="99"/>
      <c r="BS417" s="159"/>
      <c r="BT417" s="99"/>
      <c r="BU417" s="99"/>
      <c r="BV417" s="99"/>
      <c r="BW417" s="159"/>
      <c r="BX417" s="99"/>
      <c r="BY417" s="99"/>
      <c r="BZ417" s="159"/>
      <c r="DA417" s="174"/>
      <c r="DB417" s="18"/>
      <c r="DC417" s="18"/>
      <c r="DD417" s="19"/>
      <c r="DE417" s="19"/>
      <c r="DI417" s="18"/>
      <c r="DJ417" s="7"/>
      <c r="DK417" s="7"/>
      <c r="DL417" s="7"/>
      <c r="DM417" s="7"/>
      <c r="DN417" s="7"/>
      <c r="DO417" s="7"/>
      <c r="DP417" s="7"/>
      <c r="DQ417" s="7"/>
      <c r="DR417" s="7"/>
      <c r="DS417" s="7"/>
      <c r="DT417" s="7"/>
      <c r="DU417" s="7"/>
      <c r="DV417" s="7"/>
      <c r="DW417" s="7"/>
      <c r="DX417" s="7"/>
      <c r="DY417" s="7"/>
      <c r="DZ417" s="7"/>
      <c r="EA417" s="161"/>
      <c r="EG417" s="140"/>
      <c r="EH417" s="131"/>
      <c r="EI417" s="102"/>
      <c r="EJ417" s="102"/>
      <c r="EK417" s="102"/>
      <c r="EL417" s="102"/>
      <c r="EM417" s="99"/>
      <c r="EN417" s="4"/>
      <c r="EO417" s="4"/>
      <c r="EP417" s="5"/>
      <c r="EQ417" s="5"/>
      <c r="ER417" s="99"/>
      <c r="ES417" s="159"/>
      <c r="ET417" s="99"/>
      <c r="EU417" s="99"/>
      <c r="EV417" s="99"/>
      <c r="EW417" s="159"/>
      <c r="EX417" s="99"/>
      <c r="EY417" s="99"/>
      <c r="EZ417" s="175"/>
    </row>
    <row r="418" spans="27:156">
      <c r="AA418" s="18"/>
      <c r="AB418" s="18"/>
      <c r="AC418" s="18"/>
      <c r="AD418" s="19"/>
      <c r="AE418" s="19"/>
      <c r="AI418" s="18"/>
      <c r="AJ418" s="7"/>
      <c r="AK418" s="7"/>
      <c r="AL418" s="7"/>
      <c r="AM418" s="7"/>
      <c r="AN418" s="7"/>
      <c r="AO418" s="7"/>
      <c r="AP418" s="7"/>
      <c r="AQ418" s="7"/>
      <c r="AR418" s="7"/>
      <c r="AS418" s="7"/>
      <c r="AT418" s="7"/>
      <c r="AU418" s="7"/>
      <c r="AV418" s="7"/>
      <c r="AW418" s="7"/>
      <c r="AX418" s="7"/>
      <c r="AY418" s="7"/>
      <c r="AZ418" s="7"/>
      <c r="BA418" s="18"/>
      <c r="BG418" s="140"/>
      <c r="BH418" s="131"/>
      <c r="BI418" s="102"/>
      <c r="BJ418" s="102"/>
      <c r="BK418" s="102"/>
      <c r="BL418" s="102"/>
      <c r="BM418" s="99"/>
      <c r="BN418" s="4"/>
      <c r="BO418" s="4"/>
      <c r="BP418" s="5"/>
      <c r="BQ418" s="5"/>
      <c r="BR418" s="99"/>
      <c r="BS418" s="159"/>
      <c r="BT418" s="99"/>
      <c r="BU418" s="99"/>
      <c r="BV418" s="99"/>
      <c r="BW418" s="159"/>
      <c r="BX418" s="99"/>
      <c r="BY418" s="99"/>
      <c r="BZ418" s="159"/>
      <c r="DA418" s="174"/>
      <c r="DB418" s="18"/>
      <c r="DC418" s="18"/>
      <c r="DD418" s="19"/>
      <c r="DE418" s="19"/>
      <c r="DI418" s="18"/>
      <c r="DJ418" s="7"/>
      <c r="DK418" s="7"/>
      <c r="DL418" s="7"/>
      <c r="DM418" s="7"/>
      <c r="DN418" s="7"/>
      <c r="DO418" s="7"/>
      <c r="DP418" s="7"/>
      <c r="DQ418" s="7"/>
      <c r="DR418" s="7"/>
      <c r="DS418" s="7"/>
      <c r="DT418" s="7"/>
      <c r="DU418" s="7"/>
      <c r="DV418" s="7"/>
      <c r="DW418" s="7"/>
      <c r="DX418" s="7"/>
      <c r="DY418" s="7"/>
      <c r="DZ418" s="7"/>
      <c r="EA418" s="161"/>
      <c r="EG418" s="140"/>
      <c r="EH418" s="131"/>
      <c r="EI418" s="102"/>
      <c r="EJ418" s="102"/>
      <c r="EK418" s="102"/>
      <c r="EL418" s="102"/>
      <c r="EM418" s="99"/>
      <c r="EN418" s="4"/>
      <c r="EO418" s="4"/>
      <c r="EP418" s="5"/>
      <c r="EQ418" s="5"/>
      <c r="ER418" s="99"/>
      <c r="ES418" s="159"/>
      <c r="ET418" s="99"/>
      <c r="EU418" s="99"/>
      <c r="EV418" s="99"/>
      <c r="EW418" s="159"/>
      <c r="EX418" s="99"/>
      <c r="EY418" s="99"/>
      <c r="EZ418" s="175"/>
    </row>
    <row r="419" spans="27:156">
      <c r="AA419" s="18"/>
      <c r="AB419" s="18"/>
      <c r="AC419" s="18"/>
      <c r="AD419" s="19"/>
      <c r="AE419" s="19"/>
      <c r="AI419" s="18"/>
      <c r="AJ419" s="7"/>
      <c r="AK419" s="7"/>
      <c r="AL419" s="7"/>
      <c r="AM419" s="7"/>
      <c r="AN419" s="7"/>
      <c r="AO419" s="7"/>
      <c r="AP419" s="7"/>
      <c r="AQ419" s="7"/>
      <c r="AR419" s="7"/>
      <c r="AS419" s="7"/>
      <c r="AT419" s="7"/>
      <c r="AU419" s="7"/>
      <c r="AV419" s="7"/>
      <c r="AW419" s="7"/>
      <c r="AX419" s="7"/>
      <c r="AY419" s="7"/>
      <c r="AZ419" s="7"/>
      <c r="BA419" s="18"/>
      <c r="BG419" s="140"/>
      <c r="BH419" s="131"/>
      <c r="BI419" s="102"/>
      <c r="BJ419" s="102"/>
      <c r="BK419" s="102"/>
      <c r="BL419" s="102"/>
      <c r="BM419" s="99"/>
      <c r="BN419" s="4"/>
      <c r="BO419" s="4"/>
      <c r="BP419" s="5"/>
      <c r="BQ419" s="5"/>
      <c r="BR419" s="99"/>
      <c r="BS419" s="159"/>
      <c r="BT419" s="99"/>
      <c r="BU419" s="99"/>
      <c r="BV419" s="99"/>
      <c r="BW419" s="159"/>
      <c r="BX419" s="99"/>
      <c r="BY419" s="99"/>
      <c r="BZ419" s="159"/>
      <c r="DA419" s="174"/>
      <c r="DB419" s="18"/>
      <c r="DC419" s="18"/>
      <c r="DD419" s="19"/>
      <c r="DE419" s="19"/>
      <c r="DI419" s="18"/>
      <c r="DJ419" s="7"/>
      <c r="DK419" s="7"/>
      <c r="DL419" s="7"/>
      <c r="DM419" s="7"/>
      <c r="DN419" s="7"/>
      <c r="DO419" s="7"/>
      <c r="DP419" s="7"/>
      <c r="DQ419" s="7"/>
      <c r="DR419" s="7"/>
      <c r="DS419" s="7"/>
      <c r="DT419" s="7"/>
      <c r="DU419" s="7"/>
      <c r="DV419" s="7"/>
      <c r="DW419" s="7"/>
      <c r="DX419" s="7"/>
      <c r="DY419" s="7"/>
      <c r="DZ419" s="7"/>
      <c r="EA419" s="161"/>
      <c r="EG419" s="140"/>
      <c r="EH419" s="131"/>
      <c r="EI419" s="102"/>
      <c r="EJ419" s="102"/>
      <c r="EK419" s="102"/>
      <c r="EL419" s="102"/>
      <c r="EM419" s="99"/>
      <c r="EN419" s="4"/>
      <c r="EO419" s="4"/>
      <c r="EP419" s="5"/>
      <c r="EQ419" s="5"/>
      <c r="ER419" s="99"/>
      <c r="ES419" s="159"/>
      <c r="ET419" s="99"/>
      <c r="EU419" s="99"/>
      <c r="EV419" s="99"/>
      <c r="EW419" s="159"/>
      <c r="EX419" s="99"/>
      <c r="EY419" s="99"/>
      <c r="EZ419" s="175"/>
    </row>
    <row r="420" spans="27:156">
      <c r="AA420" s="18"/>
      <c r="AB420" s="18"/>
      <c r="AC420" s="18"/>
      <c r="AD420" s="19"/>
      <c r="AE420" s="19"/>
      <c r="AI420" s="18"/>
      <c r="AJ420" s="7"/>
      <c r="AK420" s="7"/>
      <c r="AL420" s="7"/>
      <c r="AM420" s="7"/>
      <c r="AN420" s="7"/>
      <c r="AO420" s="7"/>
      <c r="AP420" s="7"/>
      <c r="AQ420" s="7"/>
      <c r="AR420" s="7"/>
      <c r="AS420" s="7"/>
      <c r="AT420" s="7"/>
      <c r="AU420" s="7"/>
      <c r="AV420" s="7"/>
      <c r="AW420" s="7"/>
      <c r="AX420" s="7"/>
      <c r="AY420" s="7"/>
      <c r="AZ420" s="7"/>
      <c r="BA420" s="18"/>
      <c r="BG420" s="140"/>
      <c r="BH420" s="131"/>
      <c r="BI420" s="102"/>
      <c r="BJ420" s="102"/>
      <c r="BK420" s="102"/>
      <c r="BL420" s="102"/>
      <c r="BM420" s="99"/>
      <c r="BN420" s="4"/>
      <c r="BO420" s="4"/>
      <c r="BP420" s="5"/>
      <c r="BQ420" s="5"/>
      <c r="BR420" s="99"/>
      <c r="BS420" s="159"/>
      <c r="BT420" s="99"/>
      <c r="BU420" s="99"/>
      <c r="BV420" s="99"/>
      <c r="BW420" s="159"/>
      <c r="BX420" s="99"/>
      <c r="BY420" s="99"/>
      <c r="BZ420" s="159"/>
      <c r="DA420" s="174"/>
      <c r="DB420" s="18"/>
      <c r="DC420" s="18"/>
      <c r="DD420" s="19"/>
      <c r="DE420" s="19"/>
      <c r="DI420" s="18"/>
      <c r="DJ420" s="7"/>
      <c r="DK420" s="7"/>
      <c r="DL420" s="7"/>
      <c r="DM420" s="7"/>
      <c r="DN420" s="7"/>
      <c r="DO420" s="7"/>
      <c r="DP420" s="7"/>
      <c r="DQ420" s="7"/>
      <c r="DR420" s="7"/>
      <c r="DS420" s="7"/>
      <c r="DT420" s="7"/>
      <c r="DU420" s="7"/>
      <c r="DV420" s="7"/>
      <c r="DW420" s="7"/>
      <c r="DX420" s="7"/>
      <c r="DY420" s="7"/>
      <c r="DZ420" s="7"/>
      <c r="EA420" s="161"/>
      <c r="EG420" s="140"/>
      <c r="EH420" s="131"/>
      <c r="EI420" s="102"/>
      <c r="EJ420" s="102"/>
      <c r="EK420" s="102"/>
      <c r="EL420" s="102"/>
      <c r="EM420" s="99"/>
      <c r="EN420" s="4"/>
      <c r="EO420" s="4"/>
      <c r="EP420" s="5"/>
      <c r="EQ420" s="5"/>
      <c r="ER420" s="99"/>
      <c r="ES420" s="159"/>
      <c r="ET420" s="99"/>
      <c r="EU420" s="99"/>
      <c r="EV420" s="99"/>
      <c r="EW420" s="159"/>
      <c r="EX420" s="99"/>
      <c r="EY420" s="99"/>
      <c r="EZ420" s="175"/>
    </row>
    <row r="421" spans="27:156">
      <c r="AA421" s="18"/>
      <c r="AB421" s="18"/>
      <c r="AC421" s="18"/>
      <c r="AD421" s="19"/>
      <c r="AE421" s="19"/>
      <c r="AI421" s="18"/>
      <c r="AJ421" s="7"/>
      <c r="AK421" s="7"/>
      <c r="AL421" s="7"/>
      <c r="AM421" s="7"/>
      <c r="AN421" s="7"/>
      <c r="AO421" s="7"/>
      <c r="AP421" s="7"/>
      <c r="AQ421" s="7"/>
      <c r="AR421" s="7"/>
      <c r="AS421" s="7"/>
      <c r="AT421" s="7"/>
      <c r="AU421" s="7"/>
      <c r="AV421" s="7"/>
      <c r="AW421" s="7"/>
      <c r="AX421" s="7"/>
      <c r="AY421" s="7"/>
      <c r="AZ421" s="7"/>
      <c r="BA421" s="18"/>
      <c r="BG421" s="140"/>
      <c r="BH421" s="131"/>
      <c r="BI421" s="102"/>
      <c r="BJ421" s="102"/>
      <c r="BK421" s="102"/>
      <c r="BL421" s="102"/>
      <c r="BM421" s="99"/>
      <c r="BN421" s="4"/>
      <c r="BO421" s="4"/>
      <c r="BP421" s="5"/>
      <c r="BQ421" s="5"/>
      <c r="BR421" s="99"/>
      <c r="BS421" s="159"/>
      <c r="BT421" s="99"/>
      <c r="BU421" s="99"/>
      <c r="BV421" s="99"/>
      <c r="BW421" s="159"/>
      <c r="BX421" s="99"/>
      <c r="BY421" s="99"/>
      <c r="BZ421" s="159"/>
      <c r="DA421" s="174"/>
      <c r="DB421" s="18"/>
      <c r="DC421" s="18"/>
      <c r="DD421" s="19"/>
      <c r="DE421" s="19"/>
      <c r="DI421" s="18"/>
      <c r="DJ421" s="7"/>
      <c r="DK421" s="7"/>
      <c r="DL421" s="7"/>
      <c r="DM421" s="7"/>
      <c r="DN421" s="7"/>
      <c r="DO421" s="7"/>
      <c r="DP421" s="7"/>
      <c r="DQ421" s="7"/>
      <c r="DR421" s="7"/>
      <c r="DS421" s="7"/>
      <c r="DT421" s="7"/>
      <c r="DU421" s="7"/>
      <c r="DV421" s="7"/>
      <c r="DW421" s="7"/>
      <c r="DX421" s="7"/>
      <c r="DY421" s="7"/>
      <c r="DZ421" s="7"/>
      <c r="EA421" s="161"/>
      <c r="EG421" s="140"/>
      <c r="EH421" s="131"/>
      <c r="EI421" s="102"/>
      <c r="EJ421" s="102"/>
      <c r="EK421" s="102"/>
      <c r="EL421" s="102"/>
      <c r="EM421" s="99"/>
      <c r="EN421" s="4"/>
      <c r="EO421" s="4"/>
      <c r="EP421" s="5"/>
      <c r="EQ421" s="5"/>
      <c r="ER421" s="99"/>
      <c r="ES421" s="159"/>
      <c r="ET421" s="99"/>
      <c r="EU421" s="99"/>
      <c r="EV421" s="99"/>
      <c r="EW421" s="159"/>
      <c r="EX421" s="99"/>
      <c r="EY421" s="99"/>
      <c r="EZ421" s="175"/>
    </row>
    <row r="422" spans="27:156">
      <c r="AA422" s="18"/>
      <c r="AB422" s="18"/>
      <c r="AC422" s="18"/>
      <c r="AD422" s="19"/>
      <c r="AE422" s="19"/>
      <c r="AI422" s="18"/>
      <c r="AJ422" s="7"/>
      <c r="AK422" s="7"/>
      <c r="AL422" s="7"/>
      <c r="AM422" s="7"/>
      <c r="AN422" s="7"/>
      <c r="AO422" s="7"/>
      <c r="AP422" s="7"/>
      <c r="AQ422" s="7"/>
      <c r="AR422" s="7"/>
      <c r="AS422" s="7"/>
      <c r="AT422" s="7"/>
      <c r="AU422" s="7"/>
      <c r="AV422" s="7"/>
      <c r="AW422" s="7"/>
      <c r="AX422" s="7"/>
      <c r="AY422" s="7"/>
      <c r="AZ422" s="7"/>
      <c r="BA422" s="18"/>
      <c r="BG422" s="140"/>
      <c r="BH422" s="131"/>
      <c r="BI422" s="102"/>
      <c r="BJ422" s="102"/>
      <c r="BK422" s="102"/>
      <c r="BL422" s="102"/>
      <c r="BM422" s="99"/>
      <c r="BN422" s="4"/>
      <c r="BO422" s="4"/>
      <c r="BP422" s="5"/>
      <c r="BQ422" s="5"/>
      <c r="BR422" s="99"/>
      <c r="BS422" s="159"/>
      <c r="BT422" s="99"/>
      <c r="BU422" s="99"/>
      <c r="BV422" s="99"/>
      <c r="BW422" s="159"/>
      <c r="BX422" s="99"/>
      <c r="BY422" s="99"/>
      <c r="BZ422" s="159"/>
      <c r="DA422" s="174"/>
      <c r="DB422" s="18"/>
      <c r="DC422" s="18"/>
      <c r="DD422" s="19"/>
      <c r="DE422" s="19"/>
      <c r="DI422" s="18"/>
      <c r="DJ422" s="7"/>
      <c r="DK422" s="7"/>
      <c r="DL422" s="7"/>
      <c r="DM422" s="7"/>
      <c r="DN422" s="7"/>
      <c r="DO422" s="7"/>
      <c r="DP422" s="7"/>
      <c r="DQ422" s="7"/>
      <c r="DR422" s="7"/>
      <c r="DS422" s="7"/>
      <c r="DT422" s="7"/>
      <c r="DU422" s="7"/>
      <c r="DV422" s="7"/>
      <c r="DW422" s="7"/>
      <c r="DX422" s="7"/>
      <c r="DY422" s="7"/>
      <c r="DZ422" s="7"/>
      <c r="EA422" s="161"/>
      <c r="EG422" s="140"/>
      <c r="EH422" s="131"/>
      <c r="EI422" s="102"/>
      <c r="EJ422" s="102"/>
      <c r="EK422" s="102"/>
      <c r="EL422" s="102"/>
      <c r="EM422" s="99"/>
      <c r="EN422" s="4"/>
      <c r="EO422" s="4"/>
      <c r="EP422" s="5"/>
      <c r="EQ422" s="5"/>
      <c r="ER422" s="99"/>
      <c r="ES422" s="159"/>
      <c r="ET422" s="99"/>
      <c r="EU422" s="99"/>
      <c r="EV422" s="99"/>
      <c r="EW422" s="159"/>
      <c r="EX422" s="99"/>
      <c r="EY422" s="99"/>
      <c r="EZ422" s="175"/>
    </row>
    <row r="423" spans="27:156">
      <c r="AA423" s="18"/>
      <c r="AB423" s="18"/>
      <c r="AC423" s="18"/>
      <c r="AD423" s="19"/>
      <c r="AE423" s="19"/>
      <c r="AI423" s="18"/>
      <c r="AJ423" s="7"/>
      <c r="AK423" s="7"/>
      <c r="AL423" s="7"/>
      <c r="AM423" s="7"/>
      <c r="AN423" s="7"/>
      <c r="AO423" s="7"/>
      <c r="AP423" s="7"/>
      <c r="AQ423" s="7"/>
      <c r="AR423" s="7"/>
      <c r="AS423" s="7"/>
      <c r="AT423" s="7"/>
      <c r="AU423" s="7"/>
      <c r="AV423" s="7"/>
      <c r="AW423" s="7"/>
      <c r="AX423" s="7"/>
      <c r="AY423" s="7"/>
      <c r="AZ423" s="7"/>
      <c r="BA423" s="18"/>
      <c r="BG423" s="140"/>
      <c r="BH423" s="131"/>
      <c r="BI423" s="102"/>
      <c r="BJ423" s="102"/>
      <c r="BK423" s="102"/>
      <c r="BL423" s="102"/>
      <c r="BM423" s="99"/>
      <c r="BN423" s="4"/>
      <c r="BO423" s="4"/>
      <c r="BP423" s="5"/>
      <c r="BQ423" s="5"/>
      <c r="BR423" s="99"/>
      <c r="BS423" s="159"/>
      <c r="BT423" s="99"/>
      <c r="BU423" s="99"/>
      <c r="BV423" s="99"/>
      <c r="BW423" s="159"/>
      <c r="BX423" s="99"/>
      <c r="BY423" s="99"/>
      <c r="BZ423" s="159"/>
      <c r="DA423" s="174"/>
      <c r="DB423" s="18"/>
      <c r="DC423" s="18"/>
      <c r="DD423" s="19"/>
      <c r="DE423" s="19"/>
      <c r="DI423" s="18"/>
      <c r="DJ423" s="7"/>
      <c r="DK423" s="7"/>
      <c r="DL423" s="7"/>
      <c r="DM423" s="7"/>
      <c r="DN423" s="7"/>
      <c r="DO423" s="7"/>
      <c r="DP423" s="7"/>
      <c r="DQ423" s="7"/>
      <c r="DR423" s="7"/>
      <c r="DS423" s="7"/>
      <c r="DT423" s="7"/>
      <c r="DU423" s="7"/>
      <c r="DV423" s="7"/>
      <c r="DW423" s="7"/>
      <c r="DX423" s="7"/>
      <c r="DY423" s="7"/>
      <c r="DZ423" s="7"/>
      <c r="EA423" s="161"/>
      <c r="EG423" s="140"/>
      <c r="EH423" s="131"/>
      <c r="EI423" s="102"/>
      <c r="EJ423" s="102"/>
      <c r="EK423" s="102"/>
      <c r="EL423" s="102"/>
      <c r="EM423" s="99"/>
      <c r="EN423" s="4"/>
      <c r="EO423" s="4"/>
      <c r="EP423" s="5"/>
      <c r="EQ423" s="5"/>
      <c r="ER423" s="99"/>
      <c r="ES423" s="159"/>
      <c r="ET423" s="99"/>
      <c r="EU423" s="99"/>
      <c r="EV423" s="99"/>
      <c r="EW423" s="159"/>
      <c r="EX423" s="99"/>
      <c r="EY423" s="99"/>
      <c r="EZ423" s="175"/>
    </row>
    <row r="424" spans="27:156">
      <c r="AA424" s="18"/>
      <c r="AB424" s="18"/>
      <c r="AC424" s="18"/>
      <c r="AD424" s="19"/>
      <c r="AE424" s="19"/>
      <c r="AI424" s="18"/>
      <c r="AJ424" s="7"/>
      <c r="AK424" s="7"/>
      <c r="AL424" s="7"/>
      <c r="AM424" s="7"/>
      <c r="AN424" s="7"/>
      <c r="AO424" s="7"/>
      <c r="AP424" s="7"/>
      <c r="AQ424" s="7"/>
      <c r="AR424" s="7"/>
      <c r="AS424" s="7"/>
      <c r="AT424" s="7"/>
      <c r="AU424" s="7"/>
      <c r="AV424" s="7"/>
      <c r="AW424" s="7"/>
      <c r="AX424" s="7"/>
      <c r="AY424" s="7"/>
      <c r="AZ424" s="7"/>
      <c r="BA424" s="18"/>
      <c r="BG424" s="140"/>
      <c r="BH424" s="131"/>
      <c r="BI424" s="102"/>
      <c r="BJ424" s="102"/>
      <c r="BK424" s="102"/>
      <c r="BL424" s="102"/>
      <c r="BM424" s="99"/>
      <c r="BN424" s="4"/>
      <c r="BO424" s="4"/>
      <c r="BP424" s="5"/>
      <c r="BQ424" s="5"/>
      <c r="BR424" s="99"/>
      <c r="BS424" s="159"/>
      <c r="BT424" s="99"/>
      <c r="BU424" s="99"/>
      <c r="BV424" s="99"/>
      <c r="BW424" s="159"/>
      <c r="BX424" s="99"/>
      <c r="BY424" s="99"/>
      <c r="BZ424" s="159"/>
      <c r="DA424" s="174"/>
      <c r="DB424" s="18"/>
      <c r="DC424" s="18"/>
      <c r="DD424" s="19"/>
      <c r="DE424" s="19"/>
      <c r="DI424" s="18"/>
      <c r="DJ424" s="7"/>
      <c r="DK424" s="7"/>
      <c r="DL424" s="7"/>
      <c r="DM424" s="7"/>
      <c r="DN424" s="7"/>
      <c r="DO424" s="7"/>
      <c r="DP424" s="7"/>
      <c r="DQ424" s="7"/>
      <c r="DR424" s="7"/>
      <c r="DS424" s="7"/>
      <c r="DT424" s="7"/>
      <c r="DU424" s="7"/>
      <c r="DV424" s="7"/>
      <c r="DW424" s="7"/>
      <c r="DX424" s="7"/>
      <c r="DY424" s="7"/>
      <c r="DZ424" s="7"/>
      <c r="EA424" s="161"/>
      <c r="EG424" s="140"/>
      <c r="EH424" s="131"/>
      <c r="EI424" s="102"/>
      <c r="EJ424" s="102"/>
      <c r="EK424" s="102"/>
      <c r="EL424" s="102"/>
      <c r="EM424" s="99"/>
      <c r="EN424" s="4"/>
      <c r="EO424" s="4"/>
      <c r="EP424" s="5"/>
      <c r="EQ424" s="5"/>
      <c r="ER424" s="99"/>
      <c r="ES424" s="159"/>
      <c r="ET424" s="99"/>
      <c r="EU424" s="99"/>
      <c r="EV424" s="99"/>
      <c r="EW424" s="159"/>
      <c r="EX424" s="99"/>
      <c r="EY424" s="99"/>
      <c r="EZ424" s="175"/>
    </row>
    <row r="425" spans="27:156">
      <c r="AA425" s="18"/>
      <c r="AB425" s="18"/>
      <c r="AC425" s="18"/>
      <c r="AD425" s="19"/>
      <c r="AE425" s="19"/>
      <c r="AI425" s="18"/>
      <c r="AJ425" s="7"/>
      <c r="AK425" s="7"/>
      <c r="AL425" s="7"/>
      <c r="AM425" s="7"/>
      <c r="AN425" s="7"/>
      <c r="AO425" s="7"/>
      <c r="AP425" s="7"/>
      <c r="AQ425" s="7"/>
      <c r="AR425" s="7"/>
      <c r="AS425" s="7"/>
      <c r="AT425" s="7"/>
      <c r="AU425" s="7"/>
      <c r="AV425" s="7"/>
      <c r="AW425" s="7"/>
      <c r="AX425" s="7"/>
      <c r="AY425" s="7"/>
      <c r="AZ425" s="7"/>
      <c r="BA425" s="18"/>
      <c r="BG425" s="140"/>
      <c r="BH425" s="131"/>
      <c r="BI425" s="102"/>
      <c r="BJ425" s="102"/>
      <c r="BK425" s="102"/>
      <c r="BL425" s="102"/>
      <c r="BM425" s="99"/>
      <c r="BN425" s="4"/>
      <c r="BO425" s="4"/>
      <c r="BP425" s="5"/>
      <c r="BQ425" s="5"/>
      <c r="BR425" s="99"/>
      <c r="BS425" s="159"/>
      <c r="BT425" s="99"/>
      <c r="BU425" s="99"/>
      <c r="BV425" s="99"/>
      <c r="BW425" s="159"/>
      <c r="BX425" s="99"/>
      <c r="BY425" s="99"/>
      <c r="BZ425" s="159"/>
      <c r="DA425" s="174"/>
      <c r="DB425" s="18"/>
      <c r="DC425" s="18"/>
      <c r="DD425" s="19"/>
      <c r="DE425" s="19"/>
      <c r="DI425" s="18"/>
      <c r="DJ425" s="7"/>
      <c r="DK425" s="7"/>
      <c r="DL425" s="7"/>
      <c r="DM425" s="7"/>
      <c r="DN425" s="7"/>
      <c r="DO425" s="7"/>
      <c r="DP425" s="7"/>
      <c r="DQ425" s="7"/>
      <c r="DR425" s="7"/>
      <c r="DS425" s="7"/>
      <c r="DT425" s="7"/>
      <c r="DU425" s="7"/>
      <c r="DV425" s="7"/>
      <c r="DW425" s="7"/>
      <c r="DX425" s="7"/>
      <c r="DY425" s="7"/>
      <c r="DZ425" s="7"/>
      <c r="EA425" s="161"/>
      <c r="EG425" s="140"/>
      <c r="EH425" s="131"/>
      <c r="EI425" s="102"/>
      <c r="EJ425" s="102"/>
      <c r="EK425" s="102"/>
      <c r="EL425" s="102"/>
      <c r="EM425" s="99"/>
      <c r="EN425" s="4"/>
      <c r="EO425" s="4"/>
      <c r="EP425" s="5"/>
      <c r="EQ425" s="5"/>
      <c r="ER425" s="99"/>
      <c r="ES425" s="159"/>
      <c r="ET425" s="99"/>
      <c r="EU425" s="99"/>
      <c r="EV425" s="99"/>
      <c r="EW425" s="159"/>
      <c r="EX425" s="99"/>
      <c r="EY425" s="99"/>
      <c r="EZ425" s="175"/>
    </row>
    <row r="426" spans="27:156">
      <c r="AA426" s="18"/>
      <c r="AB426" s="18"/>
      <c r="AC426" s="18"/>
      <c r="AD426" s="19"/>
      <c r="AE426" s="19"/>
      <c r="AI426" s="18"/>
      <c r="AJ426" s="7"/>
      <c r="AK426" s="7"/>
      <c r="AL426" s="7"/>
      <c r="AM426" s="7"/>
      <c r="AN426" s="7"/>
      <c r="AO426" s="7"/>
      <c r="AP426" s="7"/>
      <c r="AQ426" s="7"/>
      <c r="AR426" s="7"/>
      <c r="AS426" s="7"/>
      <c r="AT426" s="7"/>
      <c r="AU426" s="7"/>
      <c r="AV426" s="7"/>
      <c r="AW426" s="7"/>
      <c r="AX426" s="7"/>
      <c r="AY426" s="7"/>
      <c r="AZ426" s="7"/>
      <c r="BA426" s="18"/>
      <c r="BG426" s="140"/>
      <c r="BH426" s="131"/>
      <c r="BI426" s="102"/>
      <c r="BJ426" s="102"/>
      <c r="BK426" s="102"/>
      <c r="BL426" s="102"/>
      <c r="BM426" s="99"/>
      <c r="BN426" s="4"/>
      <c r="BO426" s="4"/>
      <c r="BP426" s="5"/>
      <c r="BQ426" s="5"/>
      <c r="BR426" s="99"/>
      <c r="BS426" s="159"/>
      <c r="BT426" s="99"/>
      <c r="BU426" s="99"/>
      <c r="BV426" s="99"/>
      <c r="BW426" s="159"/>
      <c r="BX426" s="99"/>
      <c r="BY426" s="99"/>
      <c r="BZ426" s="159"/>
      <c r="DA426" s="174"/>
      <c r="DB426" s="18"/>
      <c r="DC426" s="18"/>
      <c r="DD426" s="19"/>
      <c r="DE426" s="19"/>
      <c r="DI426" s="18"/>
      <c r="DJ426" s="7"/>
      <c r="DK426" s="7"/>
      <c r="DL426" s="7"/>
      <c r="DM426" s="7"/>
      <c r="DN426" s="7"/>
      <c r="DO426" s="7"/>
      <c r="DP426" s="7"/>
      <c r="DQ426" s="7"/>
      <c r="DR426" s="7"/>
      <c r="DS426" s="7"/>
      <c r="DT426" s="7"/>
      <c r="DU426" s="7"/>
      <c r="DV426" s="7"/>
      <c r="DW426" s="7"/>
      <c r="DX426" s="7"/>
      <c r="DY426" s="7"/>
      <c r="DZ426" s="7"/>
      <c r="EA426" s="161"/>
      <c r="EG426" s="140"/>
      <c r="EH426" s="131"/>
      <c r="EI426" s="102"/>
      <c r="EJ426" s="102"/>
      <c r="EK426" s="102"/>
      <c r="EL426" s="102"/>
      <c r="EM426" s="99"/>
      <c r="EN426" s="4"/>
      <c r="EO426" s="4"/>
      <c r="EP426" s="5"/>
      <c r="EQ426" s="5"/>
      <c r="ER426" s="99"/>
      <c r="ES426" s="159"/>
      <c r="ET426" s="99"/>
      <c r="EU426" s="99"/>
      <c r="EV426" s="99"/>
      <c r="EW426" s="159"/>
      <c r="EX426" s="99"/>
      <c r="EY426" s="99"/>
      <c r="EZ426" s="175"/>
    </row>
    <row r="427" spans="27:156">
      <c r="AA427" s="18"/>
      <c r="AB427" s="18"/>
      <c r="AC427" s="18"/>
      <c r="AD427" s="19"/>
      <c r="AE427" s="19"/>
      <c r="AI427" s="18"/>
      <c r="AJ427" s="7"/>
      <c r="AK427" s="7"/>
      <c r="AL427" s="7"/>
      <c r="AM427" s="7"/>
      <c r="AN427" s="7"/>
      <c r="AO427" s="7"/>
      <c r="AP427" s="7"/>
      <c r="AQ427" s="7"/>
      <c r="AR427" s="7"/>
      <c r="AS427" s="7"/>
      <c r="AT427" s="7"/>
      <c r="AU427" s="7"/>
      <c r="AV427" s="7"/>
      <c r="AW427" s="7"/>
      <c r="AX427" s="7"/>
      <c r="AY427" s="7"/>
      <c r="AZ427" s="7"/>
      <c r="BA427" s="18"/>
      <c r="BG427" s="140"/>
      <c r="BH427" s="131"/>
      <c r="BI427" s="102"/>
      <c r="BJ427" s="102"/>
      <c r="BK427" s="102"/>
      <c r="BL427" s="102"/>
      <c r="BM427" s="99"/>
      <c r="BN427" s="4"/>
      <c r="BO427" s="4"/>
      <c r="BP427" s="5"/>
      <c r="BQ427" s="5"/>
      <c r="BR427" s="99"/>
      <c r="BS427" s="159"/>
      <c r="BT427" s="99"/>
      <c r="BU427" s="99"/>
      <c r="BV427" s="99"/>
      <c r="BW427" s="159"/>
      <c r="BX427" s="99"/>
      <c r="BY427" s="99"/>
      <c r="BZ427" s="159"/>
      <c r="DA427" s="174"/>
      <c r="DB427" s="18"/>
      <c r="DC427" s="18"/>
      <c r="DD427" s="19"/>
      <c r="DE427" s="19"/>
      <c r="DI427" s="18"/>
      <c r="DJ427" s="7"/>
      <c r="DK427" s="7"/>
      <c r="DL427" s="7"/>
      <c r="DM427" s="7"/>
      <c r="DN427" s="7"/>
      <c r="DO427" s="7"/>
      <c r="DP427" s="7"/>
      <c r="DQ427" s="7"/>
      <c r="DR427" s="7"/>
      <c r="DS427" s="7"/>
      <c r="DT427" s="7"/>
      <c r="DU427" s="7"/>
      <c r="DV427" s="7"/>
      <c r="DW427" s="7"/>
      <c r="DX427" s="7"/>
      <c r="DY427" s="7"/>
      <c r="DZ427" s="7"/>
      <c r="EA427" s="161"/>
      <c r="EG427" s="140"/>
      <c r="EH427" s="131"/>
      <c r="EI427" s="102"/>
      <c r="EJ427" s="102"/>
      <c r="EK427" s="102"/>
      <c r="EL427" s="102"/>
      <c r="EM427" s="99"/>
      <c r="EN427" s="4"/>
      <c r="EO427" s="4"/>
      <c r="EP427" s="5"/>
      <c r="EQ427" s="5"/>
      <c r="ER427" s="99"/>
      <c r="ES427" s="159"/>
      <c r="ET427" s="99"/>
      <c r="EU427" s="99"/>
      <c r="EV427" s="99"/>
      <c r="EW427" s="159"/>
      <c r="EX427" s="99"/>
      <c r="EY427" s="99"/>
      <c r="EZ427" s="175"/>
    </row>
    <row r="428" spans="27:156">
      <c r="AA428" s="18"/>
      <c r="AB428" s="18"/>
      <c r="AC428" s="18"/>
      <c r="AD428" s="19"/>
      <c r="AE428" s="19"/>
      <c r="AI428" s="18"/>
      <c r="AJ428" s="7"/>
      <c r="AK428" s="7"/>
      <c r="AL428" s="7"/>
      <c r="AM428" s="7"/>
      <c r="AN428" s="7"/>
      <c r="AO428" s="7"/>
      <c r="AP428" s="7"/>
      <c r="AQ428" s="7"/>
      <c r="AR428" s="7"/>
      <c r="AS428" s="7"/>
      <c r="AT428" s="7"/>
      <c r="AU428" s="7"/>
      <c r="AV428" s="7"/>
      <c r="AW428" s="7"/>
      <c r="AX428" s="7"/>
      <c r="AY428" s="7"/>
      <c r="AZ428" s="7"/>
      <c r="BA428" s="18"/>
      <c r="BG428" s="140"/>
      <c r="BH428" s="131"/>
      <c r="BI428" s="102"/>
      <c r="BJ428" s="102"/>
      <c r="BK428" s="102"/>
      <c r="BL428" s="102"/>
      <c r="BM428" s="99"/>
      <c r="BN428" s="4"/>
      <c r="BO428" s="4"/>
      <c r="BP428" s="5"/>
      <c r="BQ428" s="5"/>
      <c r="BR428" s="99"/>
      <c r="BS428" s="159"/>
      <c r="BT428" s="99"/>
      <c r="BU428" s="99"/>
      <c r="BV428" s="99"/>
      <c r="BW428" s="159"/>
      <c r="BX428" s="99"/>
      <c r="BY428" s="99"/>
      <c r="BZ428" s="159"/>
      <c r="DA428" s="174"/>
      <c r="DB428" s="18"/>
      <c r="DC428" s="18"/>
      <c r="DD428" s="19"/>
      <c r="DE428" s="19"/>
      <c r="DI428" s="18"/>
      <c r="DJ428" s="7"/>
      <c r="DK428" s="7"/>
      <c r="DL428" s="7"/>
      <c r="DM428" s="7"/>
      <c r="DN428" s="7"/>
      <c r="DO428" s="7"/>
      <c r="DP428" s="7"/>
      <c r="DQ428" s="7"/>
      <c r="DR428" s="7"/>
      <c r="DS428" s="7"/>
      <c r="DT428" s="7"/>
      <c r="DU428" s="7"/>
      <c r="DV428" s="7"/>
      <c r="DW428" s="7"/>
      <c r="DX428" s="7"/>
      <c r="DY428" s="7"/>
      <c r="DZ428" s="7"/>
      <c r="EA428" s="161"/>
      <c r="EG428" s="140"/>
      <c r="EH428" s="131"/>
      <c r="EI428" s="102"/>
      <c r="EJ428" s="102"/>
      <c r="EK428" s="102"/>
      <c r="EL428" s="102"/>
      <c r="EM428" s="99"/>
      <c r="EN428" s="4"/>
      <c r="EO428" s="4"/>
      <c r="EP428" s="5"/>
      <c r="EQ428" s="5"/>
      <c r="ER428" s="99"/>
      <c r="ES428" s="159"/>
      <c r="ET428" s="99"/>
      <c r="EU428" s="99"/>
      <c r="EV428" s="99"/>
      <c r="EW428" s="159"/>
      <c r="EX428" s="99"/>
      <c r="EY428" s="99"/>
      <c r="EZ428" s="175"/>
    </row>
    <row r="429" spans="27:156">
      <c r="AA429" s="18"/>
      <c r="AB429" s="18"/>
      <c r="AC429" s="18"/>
      <c r="AD429" s="19"/>
      <c r="AE429" s="19"/>
      <c r="AI429" s="18"/>
      <c r="AJ429" s="7"/>
      <c r="AK429" s="7"/>
      <c r="AL429" s="7"/>
      <c r="AM429" s="7"/>
      <c r="AN429" s="7"/>
      <c r="AO429" s="7"/>
      <c r="AP429" s="7"/>
      <c r="AQ429" s="7"/>
      <c r="AR429" s="7"/>
      <c r="AS429" s="7"/>
      <c r="AT429" s="7"/>
      <c r="AU429" s="7"/>
      <c r="AV429" s="7"/>
      <c r="AW429" s="7"/>
      <c r="AX429" s="7"/>
      <c r="AY429" s="7"/>
      <c r="AZ429" s="7"/>
      <c r="BA429" s="18"/>
      <c r="BG429" s="140"/>
      <c r="BH429" s="131"/>
      <c r="BI429" s="102"/>
      <c r="BJ429" s="102"/>
      <c r="BK429" s="102"/>
      <c r="BL429" s="102"/>
      <c r="BM429" s="99"/>
      <c r="BN429" s="4"/>
      <c r="BO429" s="4"/>
      <c r="BP429" s="5"/>
      <c r="BQ429" s="5"/>
      <c r="BR429" s="99"/>
      <c r="BS429" s="159"/>
      <c r="BT429" s="99"/>
      <c r="BU429" s="99"/>
      <c r="BV429" s="99"/>
      <c r="BW429" s="159"/>
      <c r="BX429" s="99"/>
      <c r="BY429" s="99"/>
      <c r="BZ429" s="159"/>
      <c r="DA429" s="174"/>
      <c r="DB429" s="18"/>
      <c r="DC429" s="18"/>
      <c r="DD429" s="19"/>
      <c r="DE429" s="19"/>
      <c r="DI429" s="18"/>
      <c r="DJ429" s="7"/>
      <c r="DK429" s="7"/>
      <c r="DL429" s="7"/>
      <c r="DM429" s="7"/>
      <c r="DN429" s="7"/>
      <c r="DO429" s="7"/>
      <c r="DP429" s="7"/>
      <c r="DQ429" s="7"/>
      <c r="DR429" s="7"/>
      <c r="DS429" s="7"/>
      <c r="DT429" s="7"/>
      <c r="DU429" s="7"/>
      <c r="DV429" s="7"/>
      <c r="DW429" s="7"/>
      <c r="DX429" s="7"/>
      <c r="DY429" s="7"/>
      <c r="DZ429" s="7"/>
      <c r="EA429" s="161"/>
      <c r="EG429" s="140"/>
      <c r="EH429" s="131"/>
      <c r="EI429" s="102"/>
      <c r="EJ429" s="102"/>
      <c r="EK429" s="102"/>
      <c r="EL429" s="102"/>
      <c r="EM429" s="99"/>
      <c r="EN429" s="4"/>
      <c r="EO429" s="4"/>
      <c r="EP429" s="5"/>
      <c r="EQ429" s="5"/>
      <c r="ER429" s="99"/>
      <c r="ES429" s="159"/>
      <c r="ET429" s="99"/>
      <c r="EU429" s="99"/>
      <c r="EV429" s="99"/>
      <c r="EW429" s="159"/>
      <c r="EX429" s="99"/>
      <c r="EY429" s="99"/>
      <c r="EZ429" s="175"/>
    </row>
    <row r="430" spans="27:156">
      <c r="AA430" s="18"/>
      <c r="AB430" s="18"/>
      <c r="AC430" s="18"/>
      <c r="AD430" s="19"/>
      <c r="AE430" s="19"/>
      <c r="AI430" s="18"/>
      <c r="AJ430" s="7"/>
      <c r="AK430" s="7"/>
      <c r="AL430" s="7"/>
      <c r="AM430" s="7"/>
      <c r="AN430" s="7"/>
      <c r="AO430" s="7"/>
      <c r="AP430" s="7"/>
      <c r="AQ430" s="7"/>
      <c r="AR430" s="7"/>
      <c r="AS430" s="7"/>
      <c r="AT430" s="7"/>
      <c r="AU430" s="7"/>
      <c r="AV430" s="7"/>
      <c r="AW430" s="7"/>
      <c r="AX430" s="7"/>
      <c r="AY430" s="7"/>
      <c r="AZ430" s="7"/>
      <c r="BA430" s="18"/>
      <c r="BG430" s="140"/>
      <c r="BH430" s="131"/>
      <c r="BI430" s="102"/>
      <c r="BJ430" s="102"/>
      <c r="BK430" s="102"/>
      <c r="BL430" s="102"/>
      <c r="BM430" s="99"/>
      <c r="BN430" s="4"/>
      <c r="BO430" s="4"/>
      <c r="BP430" s="5"/>
      <c r="BQ430" s="5"/>
      <c r="BR430" s="99"/>
      <c r="BS430" s="159"/>
      <c r="BT430" s="99"/>
      <c r="BU430" s="99"/>
      <c r="BV430" s="99"/>
      <c r="BW430" s="159"/>
      <c r="BX430" s="99"/>
      <c r="BY430" s="99"/>
      <c r="BZ430" s="159"/>
      <c r="DA430" s="174"/>
      <c r="DB430" s="18"/>
      <c r="DC430" s="18"/>
      <c r="DD430" s="19"/>
      <c r="DE430" s="19"/>
      <c r="DI430" s="18"/>
      <c r="DJ430" s="7"/>
      <c r="DK430" s="7"/>
      <c r="DL430" s="7"/>
      <c r="DM430" s="7"/>
      <c r="DN430" s="7"/>
      <c r="DO430" s="7"/>
      <c r="DP430" s="7"/>
      <c r="DQ430" s="7"/>
      <c r="DR430" s="7"/>
      <c r="DS430" s="7"/>
      <c r="DT430" s="7"/>
      <c r="DU430" s="7"/>
      <c r="DV430" s="7"/>
      <c r="DW430" s="7"/>
      <c r="DX430" s="7"/>
      <c r="DY430" s="7"/>
      <c r="DZ430" s="7"/>
      <c r="EA430" s="161"/>
      <c r="EG430" s="140"/>
      <c r="EH430" s="131"/>
      <c r="EI430" s="102"/>
      <c r="EJ430" s="102"/>
      <c r="EK430" s="102"/>
      <c r="EL430" s="102"/>
      <c r="EM430" s="99"/>
      <c r="EN430" s="4"/>
      <c r="EO430" s="4"/>
      <c r="EP430" s="5"/>
      <c r="EQ430" s="5"/>
      <c r="ER430" s="99"/>
      <c r="ES430" s="159"/>
      <c r="ET430" s="99"/>
      <c r="EU430" s="99"/>
      <c r="EV430" s="99"/>
      <c r="EW430" s="159"/>
      <c r="EX430" s="99"/>
      <c r="EY430" s="99"/>
      <c r="EZ430" s="175"/>
    </row>
    <row r="431" spans="27:156">
      <c r="AA431" s="18"/>
      <c r="AB431" s="18"/>
      <c r="AC431" s="18"/>
      <c r="AD431" s="19"/>
      <c r="AE431" s="19"/>
      <c r="AI431" s="18"/>
      <c r="AJ431" s="7"/>
      <c r="AK431" s="7"/>
      <c r="AL431" s="7"/>
      <c r="AM431" s="7"/>
      <c r="AN431" s="7"/>
      <c r="AO431" s="7"/>
      <c r="AP431" s="7"/>
      <c r="AQ431" s="7"/>
      <c r="AR431" s="7"/>
      <c r="AS431" s="7"/>
      <c r="AT431" s="7"/>
      <c r="AU431" s="7"/>
      <c r="AV431" s="7"/>
      <c r="AW431" s="7"/>
      <c r="AX431" s="7"/>
      <c r="AY431" s="7"/>
      <c r="AZ431" s="7"/>
      <c r="BA431" s="18"/>
      <c r="BG431" s="140"/>
      <c r="BH431" s="131"/>
      <c r="BI431" s="102"/>
      <c r="BJ431" s="102"/>
      <c r="BK431" s="102"/>
      <c r="BL431" s="102"/>
      <c r="BM431" s="99"/>
      <c r="BN431" s="4"/>
      <c r="BO431" s="4"/>
      <c r="BP431" s="5"/>
      <c r="BQ431" s="5"/>
      <c r="BR431" s="99"/>
      <c r="BS431" s="159"/>
      <c r="BT431" s="99"/>
      <c r="BU431" s="99"/>
      <c r="BV431" s="99"/>
      <c r="BW431" s="159"/>
      <c r="BX431" s="99"/>
      <c r="BY431" s="99"/>
      <c r="BZ431" s="159"/>
      <c r="DA431" s="174"/>
      <c r="DB431" s="18"/>
      <c r="DC431" s="18"/>
      <c r="DD431" s="19"/>
      <c r="DE431" s="19"/>
      <c r="DI431" s="18"/>
      <c r="DJ431" s="7"/>
      <c r="DK431" s="7"/>
      <c r="DL431" s="7"/>
      <c r="DM431" s="7"/>
      <c r="DN431" s="7"/>
      <c r="DO431" s="7"/>
      <c r="DP431" s="7"/>
      <c r="DQ431" s="7"/>
      <c r="DR431" s="7"/>
      <c r="DS431" s="7"/>
      <c r="DT431" s="7"/>
      <c r="DU431" s="7"/>
      <c r="DV431" s="7"/>
      <c r="DW431" s="7"/>
      <c r="DX431" s="7"/>
      <c r="DY431" s="7"/>
      <c r="DZ431" s="7"/>
      <c r="EA431" s="161"/>
      <c r="EG431" s="140"/>
      <c r="EH431" s="131"/>
      <c r="EI431" s="102"/>
      <c r="EJ431" s="102"/>
      <c r="EK431" s="102"/>
      <c r="EL431" s="102"/>
      <c r="EM431" s="99"/>
      <c r="EN431" s="4"/>
      <c r="EO431" s="4"/>
      <c r="EP431" s="5"/>
      <c r="EQ431" s="5"/>
      <c r="ER431" s="99"/>
      <c r="ES431" s="159"/>
      <c r="ET431" s="99"/>
      <c r="EU431" s="99"/>
      <c r="EV431" s="99"/>
      <c r="EW431" s="159"/>
      <c r="EX431" s="99"/>
      <c r="EY431" s="99"/>
      <c r="EZ431" s="175"/>
    </row>
    <row r="432" spans="27:156">
      <c r="AA432" s="18"/>
      <c r="AB432" s="18"/>
      <c r="AC432" s="18"/>
      <c r="AD432" s="19"/>
      <c r="AE432" s="19"/>
      <c r="AI432" s="18"/>
      <c r="AJ432" s="7"/>
      <c r="AK432" s="7"/>
      <c r="AL432" s="7"/>
      <c r="AM432" s="7"/>
      <c r="AN432" s="7"/>
      <c r="AO432" s="7"/>
      <c r="AP432" s="7"/>
      <c r="AQ432" s="7"/>
      <c r="AR432" s="7"/>
      <c r="AS432" s="7"/>
      <c r="AT432" s="7"/>
      <c r="AU432" s="7"/>
      <c r="AV432" s="7"/>
      <c r="AW432" s="7"/>
      <c r="AX432" s="7"/>
      <c r="AY432" s="7"/>
      <c r="AZ432" s="7"/>
      <c r="BA432" s="18"/>
      <c r="BG432" s="140"/>
      <c r="BH432" s="131"/>
      <c r="BI432" s="102"/>
      <c r="BJ432" s="102"/>
      <c r="BK432" s="102"/>
      <c r="BL432" s="102"/>
      <c r="BM432" s="99"/>
      <c r="BN432" s="4"/>
      <c r="BO432" s="4"/>
      <c r="BP432" s="5"/>
      <c r="BQ432" s="5"/>
      <c r="BR432" s="99"/>
      <c r="BS432" s="159"/>
      <c r="BT432" s="99"/>
      <c r="BU432" s="99"/>
      <c r="BV432" s="99"/>
      <c r="BW432" s="159"/>
      <c r="BX432" s="99"/>
      <c r="BY432" s="99"/>
      <c r="BZ432" s="159"/>
      <c r="DA432" s="174"/>
      <c r="DB432" s="18"/>
      <c r="DC432" s="18"/>
      <c r="DD432" s="19"/>
      <c r="DE432" s="19"/>
      <c r="DI432" s="18"/>
      <c r="DJ432" s="7"/>
      <c r="DK432" s="7"/>
      <c r="DL432" s="7"/>
      <c r="DM432" s="7"/>
      <c r="DN432" s="7"/>
      <c r="DO432" s="7"/>
      <c r="DP432" s="7"/>
      <c r="DQ432" s="7"/>
      <c r="DR432" s="7"/>
      <c r="DS432" s="7"/>
      <c r="DT432" s="7"/>
      <c r="DU432" s="7"/>
      <c r="DV432" s="7"/>
      <c r="DW432" s="7"/>
      <c r="DX432" s="7"/>
      <c r="DY432" s="7"/>
      <c r="DZ432" s="7"/>
      <c r="EA432" s="161"/>
      <c r="EG432" s="140"/>
      <c r="EH432" s="131"/>
      <c r="EI432" s="102"/>
      <c r="EJ432" s="102"/>
      <c r="EK432" s="102"/>
      <c r="EL432" s="102"/>
      <c r="EM432" s="99"/>
      <c r="EN432" s="4"/>
      <c r="EO432" s="4"/>
      <c r="EP432" s="5"/>
      <c r="EQ432" s="5"/>
      <c r="ER432" s="99"/>
      <c r="ES432" s="159"/>
      <c r="ET432" s="99"/>
      <c r="EU432" s="99"/>
      <c r="EV432" s="99"/>
      <c r="EW432" s="159"/>
      <c r="EX432" s="99"/>
      <c r="EY432" s="99"/>
      <c r="EZ432" s="175"/>
    </row>
    <row r="433" spans="27:156">
      <c r="AA433" s="18"/>
      <c r="AB433" s="18"/>
      <c r="AC433" s="18"/>
      <c r="AD433" s="19"/>
      <c r="AE433" s="19"/>
      <c r="AI433" s="18"/>
      <c r="AJ433" s="7"/>
      <c r="AK433" s="7"/>
      <c r="AL433" s="7"/>
      <c r="AM433" s="7"/>
      <c r="AN433" s="7"/>
      <c r="AO433" s="7"/>
      <c r="AP433" s="7"/>
      <c r="AQ433" s="7"/>
      <c r="AR433" s="7"/>
      <c r="AS433" s="7"/>
      <c r="AT433" s="7"/>
      <c r="AU433" s="7"/>
      <c r="AV433" s="7"/>
      <c r="AW433" s="7"/>
      <c r="AX433" s="7"/>
      <c r="AY433" s="7"/>
      <c r="AZ433" s="7"/>
      <c r="BA433" s="18"/>
      <c r="BG433" s="140"/>
      <c r="BH433" s="131"/>
      <c r="BI433" s="102"/>
      <c r="BJ433" s="102"/>
      <c r="BK433" s="102"/>
      <c r="BL433" s="102"/>
      <c r="BM433" s="99"/>
      <c r="BN433" s="4"/>
      <c r="BO433" s="4"/>
      <c r="BP433" s="5"/>
      <c r="BQ433" s="5"/>
      <c r="BR433" s="99"/>
      <c r="BS433" s="159"/>
      <c r="BT433" s="99"/>
      <c r="BU433" s="99"/>
      <c r="BV433" s="99"/>
      <c r="BW433" s="159"/>
      <c r="BX433" s="99"/>
      <c r="BY433" s="99"/>
      <c r="BZ433" s="159"/>
      <c r="DA433" s="174"/>
      <c r="DB433" s="18"/>
      <c r="DC433" s="18"/>
      <c r="DD433" s="19"/>
      <c r="DE433" s="19"/>
      <c r="DI433" s="18"/>
      <c r="DJ433" s="7"/>
      <c r="DK433" s="7"/>
      <c r="DL433" s="7"/>
      <c r="DM433" s="7"/>
      <c r="DN433" s="7"/>
      <c r="DO433" s="7"/>
      <c r="DP433" s="7"/>
      <c r="DQ433" s="7"/>
      <c r="DR433" s="7"/>
      <c r="DS433" s="7"/>
      <c r="DT433" s="7"/>
      <c r="DU433" s="7"/>
      <c r="DV433" s="7"/>
      <c r="DW433" s="7"/>
      <c r="DX433" s="7"/>
      <c r="DY433" s="7"/>
      <c r="DZ433" s="7"/>
      <c r="EA433" s="161"/>
      <c r="EG433" s="140"/>
      <c r="EH433" s="131"/>
      <c r="EI433" s="102"/>
      <c r="EJ433" s="102"/>
      <c r="EK433" s="102"/>
      <c r="EL433" s="102"/>
      <c r="EM433" s="99"/>
      <c r="EN433" s="4"/>
      <c r="EO433" s="4"/>
      <c r="EP433" s="5"/>
      <c r="EQ433" s="5"/>
      <c r="ER433" s="99"/>
      <c r="ES433" s="159"/>
      <c r="ET433" s="99"/>
      <c r="EU433" s="99"/>
      <c r="EV433" s="99"/>
      <c r="EW433" s="159"/>
      <c r="EX433" s="99"/>
      <c r="EY433" s="99"/>
      <c r="EZ433" s="175"/>
    </row>
    <row r="434" spans="27:156">
      <c r="AA434" s="18"/>
      <c r="AB434" s="18"/>
      <c r="AC434" s="18"/>
      <c r="AD434" s="19"/>
      <c r="AE434" s="19"/>
      <c r="AI434" s="18"/>
      <c r="AJ434" s="7"/>
      <c r="AK434" s="7"/>
      <c r="AL434" s="7"/>
      <c r="AM434" s="7"/>
      <c r="AN434" s="7"/>
      <c r="AO434" s="7"/>
      <c r="AP434" s="7"/>
      <c r="AQ434" s="7"/>
      <c r="AR434" s="7"/>
      <c r="AS434" s="7"/>
      <c r="AT434" s="7"/>
      <c r="AU434" s="7"/>
      <c r="AV434" s="7"/>
      <c r="AW434" s="7"/>
      <c r="AX434" s="7"/>
      <c r="AY434" s="7"/>
      <c r="AZ434" s="7"/>
      <c r="BA434" s="18"/>
      <c r="BG434" s="140"/>
      <c r="BH434" s="131"/>
      <c r="BI434" s="102"/>
      <c r="BJ434" s="102"/>
      <c r="BK434" s="102"/>
      <c r="BL434" s="102"/>
      <c r="BM434" s="99"/>
      <c r="BN434" s="4"/>
      <c r="BO434" s="4"/>
      <c r="BP434" s="5"/>
      <c r="BQ434" s="5"/>
      <c r="BR434" s="99"/>
      <c r="BS434" s="159"/>
      <c r="BT434" s="99"/>
      <c r="BU434" s="99"/>
      <c r="BV434" s="99"/>
      <c r="BW434" s="159"/>
      <c r="BX434" s="99"/>
      <c r="BY434" s="99"/>
      <c r="BZ434" s="159"/>
      <c r="DA434" s="174"/>
      <c r="DB434" s="18"/>
      <c r="DC434" s="18"/>
      <c r="DD434" s="19"/>
      <c r="DE434" s="19"/>
      <c r="DI434" s="18"/>
      <c r="DJ434" s="7"/>
      <c r="DK434" s="7"/>
      <c r="DL434" s="7"/>
      <c r="DM434" s="7"/>
      <c r="DN434" s="7"/>
      <c r="DO434" s="7"/>
      <c r="DP434" s="7"/>
      <c r="DQ434" s="7"/>
      <c r="DR434" s="7"/>
      <c r="DS434" s="7"/>
      <c r="DT434" s="7"/>
      <c r="DU434" s="7"/>
      <c r="DV434" s="7"/>
      <c r="DW434" s="7"/>
      <c r="DX434" s="7"/>
      <c r="DY434" s="7"/>
      <c r="DZ434" s="7"/>
      <c r="EA434" s="161"/>
      <c r="EG434" s="140"/>
      <c r="EH434" s="131"/>
      <c r="EI434" s="102"/>
      <c r="EJ434" s="102"/>
      <c r="EK434" s="102"/>
      <c r="EL434" s="102"/>
      <c r="EM434" s="99"/>
      <c r="EN434" s="4"/>
      <c r="EO434" s="4"/>
      <c r="EP434" s="5"/>
      <c r="EQ434" s="5"/>
      <c r="ER434" s="99"/>
      <c r="ES434" s="159"/>
      <c r="ET434" s="99"/>
      <c r="EU434" s="99"/>
      <c r="EV434" s="99"/>
      <c r="EW434" s="159"/>
      <c r="EX434" s="99"/>
      <c r="EY434" s="99"/>
      <c r="EZ434" s="175"/>
    </row>
    <row r="435" spans="27:156">
      <c r="AA435" s="18"/>
      <c r="AB435" s="18"/>
      <c r="AC435" s="18"/>
      <c r="AD435" s="19"/>
      <c r="AE435" s="19"/>
      <c r="AI435" s="18"/>
      <c r="AJ435" s="7"/>
      <c r="AK435" s="7"/>
      <c r="AL435" s="7"/>
      <c r="AM435" s="7"/>
      <c r="AN435" s="7"/>
      <c r="AO435" s="7"/>
      <c r="AP435" s="7"/>
      <c r="AQ435" s="7"/>
      <c r="AR435" s="7"/>
      <c r="AS435" s="7"/>
      <c r="AT435" s="7"/>
      <c r="AU435" s="7"/>
      <c r="AV435" s="7"/>
      <c r="AW435" s="7"/>
      <c r="AX435" s="7"/>
      <c r="AY435" s="7"/>
      <c r="AZ435" s="7"/>
      <c r="BA435" s="18"/>
      <c r="BG435" s="140"/>
      <c r="BH435" s="131"/>
      <c r="BI435" s="102"/>
      <c r="BJ435" s="102"/>
      <c r="BK435" s="102"/>
      <c r="BL435" s="102"/>
      <c r="BM435" s="99"/>
      <c r="BN435" s="4"/>
      <c r="BO435" s="4"/>
      <c r="BP435" s="5"/>
      <c r="BQ435" s="5"/>
      <c r="BR435" s="99"/>
      <c r="BS435" s="159"/>
      <c r="BT435" s="99"/>
      <c r="BU435" s="99"/>
      <c r="BV435" s="99"/>
      <c r="BW435" s="159"/>
      <c r="BX435" s="99"/>
      <c r="BY435" s="99"/>
      <c r="BZ435" s="159"/>
      <c r="DA435" s="174"/>
      <c r="DB435" s="18"/>
      <c r="DC435" s="18"/>
      <c r="DD435" s="19"/>
      <c r="DE435" s="19"/>
      <c r="DI435" s="18"/>
      <c r="DJ435" s="7"/>
      <c r="DK435" s="7"/>
      <c r="DL435" s="7"/>
      <c r="DM435" s="7"/>
      <c r="DN435" s="7"/>
      <c r="DO435" s="7"/>
      <c r="DP435" s="7"/>
      <c r="DQ435" s="7"/>
      <c r="DR435" s="7"/>
      <c r="DS435" s="7"/>
      <c r="DT435" s="7"/>
      <c r="DU435" s="7"/>
      <c r="DV435" s="7"/>
      <c r="DW435" s="7"/>
      <c r="DX435" s="7"/>
      <c r="DY435" s="7"/>
      <c r="DZ435" s="7"/>
      <c r="EA435" s="161"/>
      <c r="EG435" s="140"/>
      <c r="EH435" s="131"/>
      <c r="EI435" s="102"/>
      <c r="EJ435" s="102"/>
      <c r="EK435" s="102"/>
      <c r="EL435" s="102"/>
      <c r="EM435" s="99"/>
      <c r="EN435" s="4"/>
      <c r="EO435" s="4"/>
      <c r="EP435" s="5"/>
      <c r="EQ435" s="5"/>
      <c r="ER435" s="99"/>
      <c r="ES435" s="159"/>
      <c r="ET435" s="99"/>
      <c r="EU435" s="99"/>
      <c r="EV435" s="99"/>
      <c r="EW435" s="159"/>
      <c r="EX435" s="99"/>
      <c r="EY435" s="99"/>
      <c r="EZ435" s="175"/>
    </row>
    <row r="436" spans="27:156">
      <c r="AA436" s="18"/>
      <c r="AB436" s="18"/>
      <c r="AC436" s="18"/>
      <c r="AD436" s="19"/>
      <c r="AE436" s="19"/>
      <c r="AI436" s="18"/>
      <c r="AJ436" s="7"/>
      <c r="AK436" s="7"/>
      <c r="AL436" s="7"/>
      <c r="AM436" s="7"/>
      <c r="AN436" s="7"/>
      <c r="AO436" s="7"/>
      <c r="AP436" s="7"/>
      <c r="AQ436" s="7"/>
      <c r="AR436" s="7"/>
      <c r="AS436" s="7"/>
      <c r="AT436" s="7"/>
      <c r="AU436" s="7"/>
      <c r="AV436" s="7"/>
      <c r="AW436" s="7"/>
      <c r="AX436" s="7"/>
      <c r="AY436" s="7"/>
      <c r="AZ436" s="7"/>
      <c r="BA436" s="18"/>
      <c r="BG436" s="140"/>
      <c r="BH436" s="131"/>
      <c r="BI436" s="102"/>
      <c r="BJ436" s="102"/>
      <c r="BK436" s="102"/>
      <c r="BL436" s="102"/>
      <c r="BM436" s="99"/>
      <c r="BN436" s="4"/>
      <c r="BO436" s="4"/>
      <c r="BP436" s="5"/>
      <c r="BQ436" s="5"/>
      <c r="BR436" s="99"/>
      <c r="BS436" s="159"/>
      <c r="BT436" s="99"/>
      <c r="BU436" s="99"/>
      <c r="BV436" s="99"/>
      <c r="BW436" s="159"/>
      <c r="BX436" s="99"/>
      <c r="BY436" s="99"/>
      <c r="BZ436" s="159"/>
      <c r="DA436" s="174"/>
      <c r="DB436" s="18"/>
      <c r="DC436" s="18"/>
      <c r="DD436" s="19"/>
      <c r="DE436" s="19"/>
      <c r="DI436" s="18"/>
      <c r="DJ436" s="7"/>
      <c r="DK436" s="7"/>
      <c r="DL436" s="7"/>
      <c r="DM436" s="7"/>
      <c r="DN436" s="7"/>
      <c r="DO436" s="7"/>
      <c r="DP436" s="7"/>
      <c r="DQ436" s="7"/>
      <c r="DR436" s="7"/>
      <c r="DS436" s="7"/>
      <c r="DT436" s="7"/>
      <c r="DU436" s="7"/>
      <c r="DV436" s="7"/>
      <c r="DW436" s="7"/>
      <c r="DX436" s="7"/>
      <c r="DY436" s="7"/>
      <c r="DZ436" s="7"/>
      <c r="EA436" s="161"/>
      <c r="EG436" s="140"/>
      <c r="EH436" s="131"/>
      <c r="EI436" s="102"/>
      <c r="EJ436" s="102"/>
      <c r="EK436" s="102"/>
      <c r="EL436" s="102"/>
      <c r="EM436" s="99"/>
      <c r="EN436" s="4"/>
      <c r="EO436" s="4"/>
      <c r="EP436" s="5"/>
      <c r="EQ436" s="5"/>
      <c r="ER436" s="99"/>
      <c r="ES436" s="159"/>
      <c r="ET436" s="99"/>
      <c r="EU436" s="99"/>
      <c r="EV436" s="99"/>
      <c r="EW436" s="159"/>
      <c r="EX436" s="99"/>
      <c r="EY436" s="99"/>
      <c r="EZ436" s="175"/>
    </row>
    <row r="437" spans="27:156">
      <c r="AA437" s="18"/>
      <c r="AB437" s="18"/>
      <c r="AC437" s="18"/>
      <c r="AD437" s="19"/>
      <c r="AE437" s="19"/>
      <c r="AI437" s="18"/>
      <c r="AJ437" s="7"/>
      <c r="AK437" s="7"/>
      <c r="AL437" s="7"/>
      <c r="AM437" s="7"/>
      <c r="AN437" s="7"/>
      <c r="AO437" s="7"/>
      <c r="AP437" s="7"/>
      <c r="AQ437" s="7"/>
      <c r="AR437" s="7"/>
      <c r="AS437" s="7"/>
      <c r="AT437" s="7"/>
      <c r="AU437" s="7"/>
      <c r="AV437" s="7"/>
      <c r="AW437" s="7"/>
      <c r="AX437" s="7"/>
      <c r="AY437" s="7"/>
      <c r="AZ437" s="7"/>
      <c r="BA437" s="18"/>
      <c r="BG437" s="140"/>
      <c r="BH437" s="131"/>
      <c r="BI437" s="102"/>
      <c r="BJ437" s="102"/>
      <c r="BK437" s="102"/>
      <c r="BL437" s="102"/>
      <c r="BM437" s="99"/>
      <c r="BN437" s="4"/>
      <c r="BO437" s="4"/>
      <c r="BP437" s="5"/>
      <c r="BQ437" s="5"/>
      <c r="BR437" s="99"/>
      <c r="BS437" s="159"/>
      <c r="BT437" s="99"/>
      <c r="BU437" s="99"/>
      <c r="BV437" s="99"/>
      <c r="BW437" s="159"/>
      <c r="BX437" s="99"/>
      <c r="BY437" s="99"/>
      <c r="BZ437" s="159"/>
      <c r="DA437" s="174"/>
      <c r="DB437" s="18"/>
      <c r="DC437" s="18"/>
      <c r="DD437" s="19"/>
      <c r="DE437" s="19"/>
      <c r="DI437" s="18"/>
      <c r="DJ437" s="7"/>
      <c r="DK437" s="7"/>
      <c r="DL437" s="7"/>
      <c r="DM437" s="7"/>
      <c r="DN437" s="7"/>
      <c r="DO437" s="7"/>
      <c r="DP437" s="7"/>
      <c r="DQ437" s="7"/>
      <c r="DR437" s="7"/>
      <c r="DS437" s="7"/>
      <c r="DT437" s="7"/>
      <c r="DU437" s="7"/>
      <c r="DV437" s="7"/>
      <c r="DW437" s="7"/>
      <c r="DX437" s="7"/>
      <c r="DY437" s="7"/>
      <c r="DZ437" s="7"/>
      <c r="EA437" s="161"/>
      <c r="EG437" s="140"/>
      <c r="EH437" s="131"/>
      <c r="EI437" s="102"/>
      <c r="EJ437" s="102"/>
      <c r="EK437" s="102"/>
      <c r="EL437" s="102"/>
      <c r="EM437" s="99"/>
      <c r="EN437" s="4"/>
      <c r="EO437" s="4"/>
      <c r="EP437" s="5"/>
      <c r="EQ437" s="5"/>
      <c r="ER437" s="99"/>
      <c r="ES437" s="159"/>
      <c r="ET437" s="99"/>
      <c r="EU437" s="99"/>
      <c r="EV437" s="99"/>
      <c r="EW437" s="159"/>
      <c r="EX437" s="99"/>
      <c r="EY437" s="99"/>
      <c r="EZ437" s="175"/>
    </row>
    <row r="438" spans="27:156">
      <c r="AA438" s="18"/>
      <c r="AB438" s="18"/>
      <c r="AC438" s="18"/>
      <c r="AD438" s="19"/>
      <c r="AE438" s="19"/>
      <c r="AI438" s="18"/>
      <c r="AJ438" s="7"/>
      <c r="AK438" s="7"/>
      <c r="AL438" s="7"/>
      <c r="AM438" s="7"/>
      <c r="AN438" s="7"/>
      <c r="AO438" s="7"/>
      <c r="AP438" s="7"/>
      <c r="AQ438" s="7"/>
      <c r="AR438" s="7"/>
      <c r="AS438" s="7"/>
      <c r="AT438" s="7"/>
      <c r="AU438" s="7"/>
      <c r="AV438" s="7"/>
      <c r="AW438" s="7"/>
      <c r="AX438" s="7"/>
      <c r="AY438" s="7"/>
      <c r="AZ438" s="7"/>
      <c r="BA438" s="18"/>
      <c r="BG438" s="140"/>
      <c r="BH438" s="131"/>
      <c r="BI438" s="102"/>
      <c r="BJ438" s="102"/>
      <c r="BK438" s="102"/>
      <c r="BL438" s="102"/>
      <c r="BM438" s="99"/>
      <c r="BN438" s="4"/>
      <c r="BO438" s="4"/>
      <c r="BP438" s="5"/>
      <c r="BQ438" s="5"/>
      <c r="BR438" s="99"/>
      <c r="BS438" s="159"/>
      <c r="BT438" s="99"/>
      <c r="BU438" s="99"/>
      <c r="BV438" s="99"/>
      <c r="BW438" s="159"/>
      <c r="BX438" s="99"/>
      <c r="BY438" s="99"/>
      <c r="BZ438" s="159"/>
      <c r="DA438" s="174"/>
      <c r="DB438" s="18"/>
      <c r="DC438" s="18"/>
      <c r="DD438" s="19"/>
      <c r="DE438" s="19"/>
      <c r="DI438" s="18"/>
      <c r="DJ438" s="7"/>
      <c r="DK438" s="7"/>
      <c r="DL438" s="7"/>
      <c r="DM438" s="7"/>
      <c r="DN438" s="7"/>
      <c r="DO438" s="7"/>
      <c r="DP438" s="7"/>
      <c r="DQ438" s="7"/>
      <c r="DR438" s="7"/>
      <c r="DS438" s="7"/>
      <c r="DT438" s="7"/>
      <c r="DU438" s="7"/>
      <c r="DV438" s="7"/>
      <c r="DW438" s="7"/>
      <c r="DX438" s="7"/>
      <c r="DY438" s="7"/>
      <c r="DZ438" s="7"/>
      <c r="EA438" s="161"/>
      <c r="EG438" s="140"/>
      <c r="EH438" s="131"/>
      <c r="EI438" s="102"/>
      <c r="EJ438" s="102"/>
      <c r="EK438" s="102"/>
      <c r="EL438" s="102"/>
      <c r="EM438" s="99"/>
      <c r="EN438" s="4"/>
      <c r="EO438" s="4"/>
      <c r="EP438" s="5"/>
      <c r="EQ438" s="5"/>
      <c r="ER438" s="99"/>
      <c r="ES438" s="159"/>
      <c r="ET438" s="99"/>
      <c r="EU438" s="99"/>
      <c r="EV438" s="99"/>
      <c r="EW438" s="159"/>
      <c r="EX438" s="99"/>
      <c r="EY438" s="99"/>
      <c r="EZ438" s="175"/>
    </row>
    <row r="439" spans="27:156">
      <c r="AA439" s="18"/>
      <c r="AB439" s="18"/>
      <c r="AC439" s="18"/>
      <c r="AD439" s="19"/>
      <c r="AE439" s="19"/>
      <c r="AI439" s="18"/>
      <c r="AJ439" s="7"/>
      <c r="AK439" s="7"/>
      <c r="AL439" s="7"/>
      <c r="AM439" s="7"/>
      <c r="AN439" s="7"/>
      <c r="AO439" s="7"/>
      <c r="AP439" s="7"/>
      <c r="AQ439" s="7"/>
      <c r="AR439" s="7"/>
      <c r="AS439" s="7"/>
      <c r="AT439" s="7"/>
      <c r="AU439" s="7"/>
      <c r="AV439" s="7"/>
      <c r="AW439" s="7"/>
      <c r="AX439" s="7"/>
      <c r="AY439" s="7"/>
      <c r="AZ439" s="7"/>
      <c r="BA439" s="18"/>
      <c r="BG439" s="140"/>
      <c r="BH439" s="131"/>
      <c r="BI439" s="102"/>
      <c r="BJ439" s="102"/>
      <c r="BK439" s="102"/>
      <c r="BL439" s="102"/>
      <c r="BM439" s="99"/>
      <c r="BN439" s="4"/>
      <c r="BO439" s="4"/>
      <c r="BP439" s="5"/>
      <c r="BQ439" s="5"/>
      <c r="BR439" s="99"/>
      <c r="BS439" s="159"/>
      <c r="BT439" s="99"/>
      <c r="BU439" s="99"/>
      <c r="BV439" s="99"/>
      <c r="BW439" s="159"/>
      <c r="BX439" s="99"/>
      <c r="BY439" s="99"/>
      <c r="BZ439" s="159"/>
      <c r="DA439" s="174"/>
      <c r="DB439" s="18"/>
      <c r="DC439" s="18"/>
      <c r="DD439" s="19"/>
      <c r="DE439" s="19"/>
      <c r="DI439" s="18"/>
      <c r="DJ439" s="7"/>
      <c r="DK439" s="7"/>
      <c r="DL439" s="7"/>
      <c r="DM439" s="7"/>
      <c r="DN439" s="7"/>
      <c r="DO439" s="7"/>
      <c r="DP439" s="7"/>
      <c r="DQ439" s="7"/>
      <c r="DR439" s="7"/>
      <c r="DS439" s="7"/>
      <c r="DT439" s="7"/>
      <c r="DU439" s="7"/>
      <c r="DV439" s="7"/>
      <c r="DW439" s="7"/>
      <c r="DX439" s="7"/>
      <c r="DY439" s="7"/>
      <c r="DZ439" s="7"/>
      <c r="EA439" s="161"/>
      <c r="EG439" s="140"/>
      <c r="EH439" s="131"/>
      <c r="EI439" s="102"/>
      <c r="EJ439" s="102"/>
      <c r="EK439" s="102"/>
      <c r="EL439" s="102"/>
      <c r="EM439" s="99"/>
      <c r="EN439" s="4"/>
      <c r="EO439" s="4"/>
      <c r="EP439" s="5"/>
      <c r="EQ439" s="5"/>
      <c r="ER439" s="99"/>
      <c r="ES439" s="159"/>
      <c r="ET439" s="99"/>
      <c r="EU439" s="99"/>
      <c r="EV439" s="99"/>
      <c r="EW439" s="159"/>
      <c r="EX439" s="99"/>
      <c r="EY439" s="99"/>
      <c r="EZ439" s="175"/>
    </row>
    <row r="440" spans="27:156">
      <c r="AA440" s="18"/>
      <c r="AB440" s="18"/>
      <c r="AC440" s="18"/>
      <c r="AD440" s="19"/>
      <c r="AE440" s="19"/>
      <c r="AI440" s="18"/>
      <c r="AJ440" s="7"/>
      <c r="AK440" s="7"/>
      <c r="AL440" s="7"/>
      <c r="AM440" s="7"/>
      <c r="AN440" s="7"/>
      <c r="AO440" s="7"/>
      <c r="AP440" s="7"/>
      <c r="AQ440" s="7"/>
      <c r="AR440" s="7"/>
      <c r="AS440" s="7"/>
      <c r="AT440" s="7"/>
      <c r="AU440" s="7"/>
      <c r="AV440" s="7"/>
      <c r="AW440" s="7"/>
      <c r="AX440" s="7"/>
      <c r="AY440" s="7"/>
      <c r="AZ440" s="7"/>
      <c r="BA440" s="18"/>
      <c r="BG440" s="140"/>
      <c r="BH440" s="131"/>
      <c r="BI440" s="102"/>
      <c r="BJ440" s="102"/>
      <c r="BK440" s="102"/>
      <c r="BL440" s="102"/>
      <c r="BM440" s="99"/>
      <c r="BN440" s="4"/>
      <c r="BO440" s="4"/>
      <c r="BP440" s="5"/>
      <c r="BQ440" s="5"/>
      <c r="BR440" s="99"/>
      <c r="BS440" s="159"/>
      <c r="BT440" s="99"/>
      <c r="BU440" s="99"/>
      <c r="BV440" s="99"/>
      <c r="BW440" s="159"/>
      <c r="BX440" s="99"/>
      <c r="BY440" s="99"/>
      <c r="BZ440" s="159"/>
      <c r="DA440" s="174"/>
      <c r="DB440" s="18"/>
      <c r="DC440" s="18"/>
      <c r="DD440" s="19"/>
      <c r="DE440" s="19"/>
      <c r="DI440" s="18"/>
      <c r="DJ440" s="7"/>
      <c r="DK440" s="7"/>
      <c r="DL440" s="7"/>
      <c r="DM440" s="7"/>
      <c r="DN440" s="7"/>
      <c r="DO440" s="7"/>
      <c r="DP440" s="7"/>
      <c r="DQ440" s="7"/>
      <c r="DR440" s="7"/>
      <c r="DS440" s="7"/>
      <c r="DT440" s="7"/>
      <c r="DU440" s="7"/>
      <c r="DV440" s="7"/>
      <c r="DW440" s="7"/>
      <c r="DX440" s="7"/>
      <c r="DY440" s="7"/>
      <c r="DZ440" s="7"/>
      <c r="EA440" s="161"/>
      <c r="EG440" s="140"/>
      <c r="EH440" s="131"/>
      <c r="EI440" s="102"/>
      <c r="EJ440" s="102"/>
      <c r="EK440" s="102"/>
      <c r="EL440" s="102"/>
      <c r="EM440" s="99"/>
      <c r="EN440" s="4"/>
      <c r="EO440" s="4"/>
      <c r="EP440" s="5"/>
      <c r="EQ440" s="5"/>
      <c r="ER440" s="99"/>
      <c r="ES440" s="159"/>
      <c r="ET440" s="99"/>
      <c r="EU440" s="99"/>
      <c r="EV440" s="99"/>
      <c r="EW440" s="159"/>
      <c r="EX440" s="99"/>
      <c r="EY440" s="99"/>
      <c r="EZ440" s="175"/>
    </row>
    <row r="441" spans="27:156">
      <c r="AA441" s="18"/>
      <c r="AB441" s="18"/>
      <c r="AC441" s="18"/>
      <c r="AD441" s="19"/>
      <c r="AE441" s="19"/>
      <c r="AI441" s="18"/>
      <c r="AJ441" s="7"/>
      <c r="AK441" s="7"/>
      <c r="AL441" s="7"/>
      <c r="AM441" s="7"/>
      <c r="AN441" s="7"/>
      <c r="AO441" s="7"/>
      <c r="AP441" s="7"/>
      <c r="AQ441" s="7"/>
      <c r="AR441" s="7"/>
      <c r="AS441" s="7"/>
      <c r="AT441" s="7"/>
      <c r="AU441" s="7"/>
      <c r="AV441" s="7"/>
      <c r="AW441" s="7"/>
      <c r="AX441" s="7"/>
      <c r="AY441" s="7"/>
      <c r="AZ441" s="7"/>
      <c r="BA441" s="18"/>
      <c r="BG441" s="140"/>
      <c r="BH441" s="131"/>
      <c r="BI441" s="102"/>
      <c r="BJ441" s="102"/>
      <c r="BK441" s="102"/>
      <c r="BL441" s="102"/>
      <c r="BM441" s="99"/>
      <c r="BN441" s="4"/>
      <c r="BO441" s="4"/>
      <c r="BP441" s="5"/>
      <c r="BQ441" s="5"/>
      <c r="BR441" s="99"/>
      <c r="BS441" s="159"/>
      <c r="BT441" s="99"/>
      <c r="BU441" s="99"/>
      <c r="BV441" s="99"/>
      <c r="BW441" s="159"/>
      <c r="BX441" s="99"/>
      <c r="BY441" s="99"/>
      <c r="BZ441" s="159"/>
      <c r="DA441" s="174"/>
      <c r="DB441" s="18"/>
      <c r="DC441" s="18"/>
      <c r="DD441" s="19"/>
      <c r="DE441" s="19"/>
      <c r="DI441" s="18"/>
      <c r="DJ441" s="7"/>
      <c r="DK441" s="7"/>
      <c r="DL441" s="7"/>
      <c r="DM441" s="7"/>
      <c r="DN441" s="7"/>
      <c r="DO441" s="7"/>
      <c r="DP441" s="7"/>
      <c r="DQ441" s="7"/>
      <c r="DR441" s="7"/>
      <c r="DS441" s="7"/>
      <c r="DT441" s="7"/>
      <c r="DU441" s="7"/>
      <c r="DV441" s="7"/>
      <c r="DW441" s="7"/>
      <c r="DX441" s="7"/>
      <c r="DY441" s="7"/>
      <c r="DZ441" s="7"/>
      <c r="EA441" s="161"/>
      <c r="EG441" s="140"/>
      <c r="EH441" s="131"/>
      <c r="EI441" s="102"/>
      <c r="EJ441" s="102"/>
      <c r="EK441" s="102"/>
      <c r="EL441" s="102"/>
      <c r="EM441" s="99"/>
      <c r="EN441" s="4"/>
      <c r="EO441" s="4"/>
      <c r="EP441" s="5"/>
      <c r="EQ441" s="5"/>
      <c r="ER441" s="99"/>
      <c r="ES441" s="159"/>
      <c r="ET441" s="99"/>
      <c r="EU441" s="99"/>
      <c r="EV441" s="99"/>
      <c r="EW441" s="159"/>
      <c r="EX441" s="99"/>
      <c r="EY441" s="99"/>
      <c r="EZ441" s="175"/>
    </row>
    <row r="442" spans="27:156">
      <c r="AA442" s="18"/>
      <c r="AB442" s="18"/>
      <c r="AC442" s="18"/>
      <c r="AD442" s="19"/>
      <c r="AE442" s="19"/>
      <c r="AI442" s="18"/>
      <c r="AJ442" s="7"/>
      <c r="AK442" s="7"/>
      <c r="AL442" s="7"/>
      <c r="AM442" s="7"/>
      <c r="AN442" s="7"/>
      <c r="AO442" s="7"/>
      <c r="AP442" s="7"/>
      <c r="AQ442" s="7"/>
      <c r="AR442" s="7"/>
      <c r="AS442" s="7"/>
      <c r="AT442" s="7"/>
      <c r="AU442" s="7"/>
      <c r="AV442" s="7"/>
      <c r="AW442" s="7"/>
      <c r="AX442" s="7"/>
      <c r="AY442" s="7"/>
      <c r="AZ442" s="7"/>
      <c r="BA442" s="18"/>
      <c r="BG442" s="140"/>
      <c r="BH442" s="131"/>
      <c r="BI442" s="102"/>
      <c r="BJ442" s="102"/>
      <c r="BK442" s="102"/>
      <c r="BL442" s="102"/>
      <c r="BM442" s="99"/>
      <c r="BN442" s="4"/>
      <c r="BO442" s="4"/>
      <c r="BP442" s="5"/>
      <c r="BQ442" s="5"/>
      <c r="BR442" s="99"/>
      <c r="BS442" s="159"/>
      <c r="BT442" s="99"/>
      <c r="BU442" s="99"/>
      <c r="BV442" s="99"/>
      <c r="BW442" s="159"/>
      <c r="BX442" s="99"/>
      <c r="BY442" s="99"/>
      <c r="BZ442" s="159"/>
      <c r="DA442" s="174"/>
      <c r="DB442" s="18"/>
      <c r="DC442" s="18"/>
      <c r="DD442" s="19"/>
      <c r="DE442" s="19"/>
      <c r="DI442" s="18"/>
      <c r="DJ442" s="7"/>
      <c r="DK442" s="7"/>
      <c r="DL442" s="7"/>
      <c r="DM442" s="7"/>
      <c r="DN442" s="7"/>
      <c r="DO442" s="7"/>
      <c r="DP442" s="7"/>
      <c r="DQ442" s="7"/>
      <c r="DR442" s="7"/>
      <c r="DS442" s="7"/>
      <c r="DT442" s="7"/>
      <c r="DU442" s="7"/>
      <c r="DV442" s="7"/>
      <c r="DW442" s="7"/>
      <c r="DX442" s="7"/>
      <c r="DY442" s="7"/>
      <c r="DZ442" s="7"/>
      <c r="EA442" s="161"/>
      <c r="EG442" s="140"/>
      <c r="EH442" s="131"/>
      <c r="EI442" s="102"/>
      <c r="EJ442" s="102"/>
      <c r="EK442" s="102"/>
      <c r="EL442" s="102"/>
      <c r="EM442" s="99"/>
      <c r="EN442" s="4"/>
      <c r="EO442" s="4"/>
      <c r="EP442" s="5"/>
      <c r="EQ442" s="5"/>
      <c r="ER442" s="99"/>
      <c r="ES442" s="159"/>
      <c r="ET442" s="99"/>
      <c r="EU442" s="99"/>
      <c r="EV442" s="99"/>
      <c r="EW442" s="159"/>
      <c r="EX442" s="99"/>
      <c r="EY442" s="99"/>
      <c r="EZ442" s="175"/>
    </row>
    <row r="443" spans="27:156">
      <c r="AA443" s="18"/>
      <c r="AB443" s="18"/>
      <c r="AC443" s="18"/>
      <c r="AD443" s="19"/>
      <c r="AE443" s="19"/>
      <c r="AI443" s="18"/>
      <c r="AJ443" s="7"/>
      <c r="AK443" s="7"/>
      <c r="AL443" s="7"/>
      <c r="AM443" s="7"/>
      <c r="AN443" s="7"/>
      <c r="AO443" s="7"/>
      <c r="AP443" s="7"/>
      <c r="AQ443" s="7"/>
      <c r="AR443" s="7"/>
      <c r="AS443" s="7"/>
      <c r="AT443" s="7"/>
      <c r="AU443" s="7"/>
      <c r="AV443" s="7"/>
      <c r="AW443" s="7"/>
      <c r="AX443" s="7"/>
      <c r="AY443" s="7"/>
      <c r="AZ443" s="7"/>
      <c r="BA443" s="18"/>
      <c r="BG443" s="140"/>
      <c r="BH443" s="131"/>
      <c r="BI443" s="102"/>
      <c r="BJ443" s="102"/>
      <c r="BK443" s="102"/>
      <c r="BL443" s="102"/>
      <c r="BM443" s="99"/>
      <c r="BN443" s="4"/>
      <c r="BO443" s="4"/>
      <c r="BP443" s="5"/>
      <c r="BQ443" s="5"/>
      <c r="BR443" s="99"/>
      <c r="BS443" s="159"/>
      <c r="BT443" s="99"/>
      <c r="BU443" s="99"/>
      <c r="BV443" s="99"/>
      <c r="BW443" s="159"/>
      <c r="BX443" s="99"/>
      <c r="BY443" s="99"/>
      <c r="BZ443" s="159"/>
      <c r="DA443" s="174"/>
      <c r="DB443" s="18"/>
      <c r="DC443" s="18"/>
      <c r="DD443" s="19"/>
      <c r="DE443" s="19"/>
      <c r="DI443" s="18"/>
      <c r="DJ443" s="7"/>
      <c r="DK443" s="7"/>
      <c r="DL443" s="7"/>
      <c r="DM443" s="7"/>
      <c r="DN443" s="7"/>
      <c r="DO443" s="7"/>
      <c r="DP443" s="7"/>
      <c r="DQ443" s="7"/>
      <c r="DR443" s="7"/>
      <c r="DS443" s="7"/>
      <c r="DT443" s="7"/>
      <c r="DU443" s="7"/>
      <c r="DV443" s="7"/>
      <c r="DW443" s="7"/>
      <c r="DX443" s="7"/>
      <c r="DY443" s="7"/>
      <c r="DZ443" s="7"/>
      <c r="EA443" s="161"/>
      <c r="EG443" s="140"/>
      <c r="EH443" s="131"/>
      <c r="EI443" s="102"/>
      <c r="EJ443" s="102"/>
      <c r="EK443" s="102"/>
      <c r="EL443" s="102"/>
      <c r="EM443" s="99"/>
      <c r="EN443" s="4"/>
      <c r="EO443" s="4"/>
      <c r="EP443" s="5"/>
      <c r="EQ443" s="5"/>
      <c r="ER443" s="99"/>
      <c r="ES443" s="159"/>
      <c r="ET443" s="99"/>
      <c r="EU443" s="99"/>
      <c r="EV443" s="99"/>
      <c r="EW443" s="159"/>
      <c r="EX443" s="99"/>
      <c r="EY443" s="99"/>
      <c r="EZ443" s="175"/>
    </row>
    <row r="444" spans="27:156">
      <c r="AA444" s="18"/>
      <c r="AB444" s="18"/>
      <c r="AC444" s="18"/>
      <c r="AD444" s="19"/>
      <c r="AE444" s="19"/>
      <c r="AI444" s="18"/>
      <c r="AJ444" s="7"/>
      <c r="AK444" s="7"/>
      <c r="AL444" s="7"/>
      <c r="AM444" s="7"/>
      <c r="AN444" s="7"/>
      <c r="AO444" s="7"/>
      <c r="AP444" s="7"/>
      <c r="AQ444" s="7"/>
      <c r="AR444" s="7"/>
      <c r="AS444" s="7"/>
      <c r="AT444" s="7"/>
      <c r="AU444" s="7"/>
      <c r="AV444" s="7"/>
      <c r="AW444" s="7"/>
      <c r="AX444" s="7"/>
      <c r="AY444" s="7"/>
      <c r="AZ444" s="7"/>
      <c r="BA444" s="18"/>
      <c r="BG444" s="140"/>
      <c r="BH444" s="131"/>
      <c r="BI444" s="102"/>
      <c r="BJ444" s="102"/>
      <c r="BK444" s="102"/>
      <c r="BL444" s="102"/>
      <c r="BM444" s="99"/>
      <c r="BN444" s="4"/>
      <c r="BO444" s="4"/>
      <c r="BP444" s="5"/>
      <c r="BQ444" s="5"/>
      <c r="BR444" s="99"/>
      <c r="BS444" s="159"/>
      <c r="BT444" s="99"/>
      <c r="BU444" s="99"/>
      <c r="BV444" s="99"/>
      <c r="BW444" s="159"/>
      <c r="BX444" s="99"/>
      <c r="BY444" s="99"/>
      <c r="BZ444" s="159"/>
      <c r="DA444" s="174"/>
      <c r="DB444" s="18"/>
      <c r="DC444" s="18"/>
      <c r="DD444" s="19"/>
      <c r="DE444" s="19"/>
      <c r="DI444" s="18"/>
      <c r="DJ444" s="7"/>
      <c r="DK444" s="7"/>
      <c r="DL444" s="7"/>
      <c r="DM444" s="7"/>
      <c r="DN444" s="7"/>
      <c r="DO444" s="7"/>
      <c r="DP444" s="7"/>
      <c r="DQ444" s="7"/>
      <c r="DR444" s="7"/>
      <c r="DS444" s="7"/>
      <c r="DT444" s="7"/>
      <c r="DU444" s="7"/>
      <c r="DV444" s="7"/>
      <c r="DW444" s="7"/>
      <c r="DX444" s="7"/>
      <c r="DY444" s="7"/>
      <c r="DZ444" s="7"/>
      <c r="EA444" s="161"/>
      <c r="EG444" s="140"/>
      <c r="EH444" s="131"/>
      <c r="EI444" s="102"/>
      <c r="EJ444" s="102"/>
      <c r="EK444" s="102"/>
      <c r="EL444" s="102"/>
      <c r="EM444" s="99"/>
      <c r="EN444" s="4"/>
      <c r="EO444" s="4"/>
      <c r="EP444" s="5"/>
      <c r="EQ444" s="5"/>
      <c r="ER444" s="99"/>
      <c r="ES444" s="159"/>
      <c r="ET444" s="99"/>
      <c r="EU444" s="99"/>
      <c r="EV444" s="99"/>
      <c r="EW444" s="159"/>
      <c r="EX444" s="99"/>
      <c r="EY444" s="99"/>
      <c r="EZ444" s="175"/>
    </row>
    <row r="445" spans="27:156">
      <c r="AA445" s="18"/>
      <c r="AB445" s="18"/>
      <c r="AC445" s="18"/>
      <c r="AD445" s="19"/>
      <c r="AE445" s="19"/>
      <c r="AI445" s="18"/>
      <c r="AJ445" s="7"/>
      <c r="AK445" s="7"/>
      <c r="AL445" s="7"/>
      <c r="AM445" s="7"/>
      <c r="AN445" s="7"/>
      <c r="AO445" s="7"/>
      <c r="AP445" s="7"/>
      <c r="AQ445" s="7"/>
      <c r="AR445" s="7"/>
      <c r="AS445" s="7"/>
      <c r="AT445" s="7"/>
      <c r="AU445" s="7"/>
      <c r="AV445" s="7"/>
      <c r="AW445" s="7"/>
      <c r="AX445" s="7"/>
      <c r="AY445" s="7"/>
      <c r="AZ445" s="7"/>
      <c r="BA445" s="18"/>
      <c r="BG445" s="140"/>
      <c r="BH445" s="131"/>
      <c r="BI445" s="102"/>
      <c r="BJ445" s="102"/>
      <c r="BK445" s="102"/>
      <c r="BL445" s="102"/>
      <c r="BM445" s="99"/>
      <c r="BN445" s="4"/>
      <c r="BO445" s="4"/>
      <c r="BP445" s="5"/>
      <c r="BQ445" s="5"/>
      <c r="BR445" s="99"/>
      <c r="BS445" s="159"/>
      <c r="BT445" s="99"/>
      <c r="BU445" s="99"/>
      <c r="BV445" s="99"/>
      <c r="BW445" s="159"/>
      <c r="BX445" s="99"/>
      <c r="BY445" s="99"/>
      <c r="BZ445" s="159"/>
      <c r="DA445" s="174"/>
      <c r="DB445" s="18"/>
      <c r="DC445" s="18"/>
      <c r="DD445" s="19"/>
      <c r="DE445" s="19"/>
      <c r="DI445" s="18"/>
      <c r="DJ445" s="7"/>
      <c r="DK445" s="7"/>
      <c r="DL445" s="7"/>
      <c r="DM445" s="7"/>
      <c r="DN445" s="7"/>
      <c r="DO445" s="7"/>
      <c r="DP445" s="7"/>
      <c r="DQ445" s="7"/>
      <c r="DR445" s="7"/>
      <c r="DS445" s="7"/>
      <c r="DT445" s="7"/>
      <c r="DU445" s="7"/>
      <c r="DV445" s="7"/>
      <c r="DW445" s="7"/>
      <c r="DX445" s="7"/>
      <c r="DY445" s="7"/>
      <c r="DZ445" s="7"/>
      <c r="EA445" s="161"/>
      <c r="EG445" s="140"/>
      <c r="EH445" s="131"/>
      <c r="EI445" s="102"/>
      <c r="EJ445" s="102"/>
      <c r="EK445" s="102"/>
      <c r="EL445" s="102"/>
      <c r="EM445" s="99"/>
      <c r="EN445" s="4"/>
      <c r="EO445" s="4"/>
      <c r="EP445" s="5"/>
      <c r="EQ445" s="5"/>
      <c r="ER445" s="99"/>
      <c r="ES445" s="159"/>
      <c r="ET445" s="99"/>
      <c r="EU445" s="99"/>
      <c r="EV445" s="99"/>
      <c r="EW445" s="159"/>
      <c r="EX445" s="99"/>
      <c r="EY445" s="99"/>
      <c r="EZ445" s="175"/>
    </row>
    <row r="446" spans="27:156">
      <c r="AA446" s="18"/>
      <c r="AB446" s="18"/>
      <c r="AC446" s="18"/>
      <c r="AD446" s="19"/>
      <c r="AE446" s="19"/>
      <c r="AI446" s="18"/>
      <c r="AJ446" s="7"/>
      <c r="AK446" s="7"/>
      <c r="AL446" s="7"/>
      <c r="AM446" s="7"/>
      <c r="AN446" s="7"/>
      <c r="AO446" s="7"/>
      <c r="AP446" s="7"/>
      <c r="AQ446" s="7"/>
      <c r="AR446" s="7"/>
      <c r="AS446" s="7"/>
      <c r="AT446" s="7"/>
      <c r="AU446" s="7"/>
      <c r="AV446" s="7"/>
      <c r="AW446" s="7"/>
      <c r="AX446" s="7"/>
      <c r="AY446" s="7"/>
      <c r="AZ446" s="7"/>
      <c r="BA446" s="18"/>
      <c r="BG446" s="140"/>
      <c r="BH446" s="131"/>
      <c r="BI446" s="102"/>
      <c r="BJ446" s="102"/>
      <c r="BK446" s="102"/>
      <c r="BL446" s="102"/>
      <c r="BM446" s="99"/>
      <c r="BN446" s="4"/>
      <c r="BO446" s="4"/>
      <c r="BP446" s="5"/>
      <c r="BQ446" s="5"/>
      <c r="BR446" s="99"/>
      <c r="BS446" s="159"/>
      <c r="BT446" s="99"/>
      <c r="BU446" s="99"/>
      <c r="BV446" s="99"/>
      <c r="BW446" s="159"/>
      <c r="BX446" s="99"/>
      <c r="BY446" s="99"/>
      <c r="BZ446" s="159"/>
      <c r="DA446" s="174"/>
      <c r="DB446" s="18"/>
      <c r="DC446" s="18"/>
      <c r="DD446" s="19"/>
      <c r="DE446" s="19"/>
      <c r="DI446" s="18"/>
      <c r="DJ446" s="7"/>
      <c r="DK446" s="7"/>
      <c r="DL446" s="7"/>
      <c r="DM446" s="7"/>
      <c r="DN446" s="7"/>
      <c r="DO446" s="7"/>
      <c r="DP446" s="7"/>
      <c r="DQ446" s="7"/>
      <c r="DR446" s="7"/>
      <c r="DS446" s="7"/>
      <c r="DT446" s="7"/>
      <c r="DU446" s="7"/>
      <c r="DV446" s="7"/>
      <c r="DW446" s="7"/>
      <c r="DX446" s="7"/>
      <c r="DY446" s="7"/>
      <c r="DZ446" s="7"/>
      <c r="EA446" s="161"/>
      <c r="EG446" s="140"/>
      <c r="EH446" s="131"/>
      <c r="EI446" s="102"/>
      <c r="EJ446" s="102"/>
      <c r="EK446" s="102"/>
      <c r="EL446" s="102"/>
      <c r="EM446" s="99"/>
      <c r="EN446" s="4"/>
      <c r="EO446" s="4"/>
      <c r="EP446" s="5"/>
      <c r="EQ446" s="5"/>
      <c r="ER446" s="99"/>
      <c r="ES446" s="159"/>
      <c r="ET446" s="99"/>
      <c r="EU446" s="99"/>
      <c r="EV446" s="99"/>
      <c r="EW446" s="159"/>
      <c r="EX446" s="99"/>
      <c r="EY446" s="99"/>
      <c r="EZ446" s="175"/>
    </row>
    <row r="447" spans="27:156">
      <c r="AA447" s="18"/>
      <c r="AB447" s="18"/>
      <c r="AC447" s="18"/>
      <c r="AD447" s="19"/>
      <c r="AE447" s="19"/>
      <c r="AI447" s="18"/>
      <c r="AJ447" s="7"/>
      <c r="AK447" s="7"/>
      <c r="AL447" s="7"/>
      <c r="AM447" s="7"/>
      <c r="AN447" s="7"/>
      <c r="AO447" s="7"/>
      <c r="AP447" s="7"/>
      <c r="AQ447" s="7"/>
      <c r="AR447" s="7"/>
      <c r="AS447" s="7"/>
      <c r="AT447" s="7"/>
      <c r="AU447" s="7"/>
      <c r="AV447" s="7"/>
      <c r="AW447" s="7"/>
      <c r="AX447" s="7"/>
      <c r="AY447" s="7"/>
      <c r="AZ447" s="7"/>
      <c r="BA447" s="18"/>
      <c r="BG447" s="140"/>
      <c r="BH447" s="131"/>
      <c r="BI447" s="102"/>
      <c r="BJ447" s="102"/>
      <c r="BK447" s="102"/>
      <c r="BL447" s="102"/>
      <c r="BM447" s="99"/>
      <c r="BN447" s="4"/>
      <c r="BO447" s="4"/>
      <c r="BP447" s="5"/>
      <c r="BQ447" s="5"/>
      <c r="BR447" s="99"/>
      <c r="BS447" s="159"/>
      <c r="BT447" s="99"/>
      <c r="BU447" s="99"/>
      <c r="BV447" s="99"/>
      <c r="BW447" s="159"/>
      <c r="BX447" s="99"/>
      <c r="BY447" s="99"/>
      <c r="BZ447" s="159"/>
      <c r="DA447" s="174"/>
      <c r="DB447" s="18"/>
      <c r="DC447" s="18"/>
      <c r="DD447" s="19"/>
      <c r="DE447" s="19"/>
      <c r="DI447" s="18"/>
      <c r="DJ447" s="7"/>
      <c r="DK447" s="7"/>
      <c r="DL447" s="7"/>
      <c r="DM447" s="7"/>
      <c r="DN447" s="7"/>
      <c r="DO447" s="7"/>
      <c r="DP447" s="7"/>
      <c r="DQ447" s="7"/>
      <c r="DR447" s="7"/>
      <c r="DS447" s="7"/>
      <c r="DT447" s="7"/>
      <c r="DU447" s="7"/>
      <c r="DV447" s="7"/>
      <c r="DW447" s="7"/>
      <c r="DX447" s="7"/>
      <c r="DY447" s="7"/>
      <c r="DZ447" s="7"/>
      <c r="EA447" s="161"/>
      <c r="EG447" s="140"/>
      <c r="EH447" s="131"/>
      <c r="EI447" s="102"/>
      <c r="EJ447" s="102"/>
      <c r="EK447" s="102"/>
      <c r="EL447" s="102"/>
      <c r="EM447" s="99"/>
      <c r="EN447" s="4"/>
      <c r="EO447" s="4"/>
      <c r="EP447" s="5"/>
      <c r="EQ447" s="5"/>
      <c r="ER447" s="99"/>
      <c r="ES447" s="159"/>
      <c r="ET447" s="99"/>
      <c r="EU447" s="99"/>
      <c r="EV447" s="99"/>
      <c r="EW447" s="159"/>
      <c r="EX447" s="99"/>
      <c r="EY447" s="99"/>
      <c r="EZ447" s="175"/>
    </row>
    <row r="448" spans="27:156">
      <c r="AA448" s="18"/>
      <c r="AB448" s="18"/>
      <c r="AC448" s="18"/>
      <c r="AD448" s="19"/>
      <c r="AE448" s="19"/>
      <c r="AI448" s="18"/>
      <c r="AJ448" s="7"/>
      <c r="AK448" s="7"/>
      <c r="AL448" s="7"/>
      <c r="AM448" s="7"/>
      <c r="AN448" s="7"/>
      <c r="AO448" s="7"/>
      <c r="AP448" s="7"/>
      <c r="AQ448" s="7"/>
      <c r="AR448" s="7"/>
      <c r="AS448" s="7"/>
      <c r="AT448" s="7"/>
      <c r="AU448" s="7"/>
      <c r="AV448" s="7"/>
      <c r="AW448" s="7"/>
      <c r="AX448" s="7"/>
      <c r="AY448" s="7"/>
      <c r="AZ448" s="7"/>
      <c r="BA448" s="18"/>
      <c r="BG448" s="140"/>
      <c r="BH448" s="131"/>
      <c r="BI448" s="102"/>
      <c r="BJ448" s="102"/>
      <c r="BK448" s="102"/>
      <c r="BL448" s="102"/>
      <c r="BM448" s="99"/>
      <c r="BN448" s="4"/>
      <c r="BO448" s="4"/>
      <c r="BP448" s="5"/>
      <c r="BQ448" s="5"/>
      <c r="BR448" s="99"/>
      <c r="BS448" s="159"/>
      <c r="BT448" s="99"/>
      <c r="BU448" s="99"/>
      <c r="BV448" s="99"/>
      <c r="BW448" s="159"/>
      <c r="BX448" s="99"/>
      <c r="BY448" s="99"/>
      <c r="BZ448" s="159"/>
      <c r="DA448" s="174"/>
      <c r="DB448" s="18"/>
      <c r="DC448" s="18"/>
      <c r="DD448" s="19"/>
      <c r="DE448" s="19"/>
      <c r="DI448" s="18"/>
      <c r="DJ448" s="7"/>
      <c r="DK448" s="7"/>
      <c r="DL448" s="7"/>
      <c r="DM448" s="7"/>
      <c r="DN448" s="7"/>
      <c r="DO448" s="7"/>
      <c r="DP448" s="7"/>
      <c r="DQ448" s="7"/>
      <c r="DR448" s="7"/>
      <c r="DS448" s="7"/>
      <c r="DT448" s="7"/>
      <c r="DU448" s="7"/>
      <c r="DV448" s="7"/>
      <c r="DW448" s="7"/>
      <c r="DX448" s="7"/>
      <c r="DY448" s="7"/>
      <c r="DZ448" s="7"/>
      <c r="EA448" s="161"/>
      <c r="EG448" s="140"/>
      <c r="EH448" s="131"/>
      <c r="EI448" s="102"/>
      <c r="EJ448" s="102"/>
      <c r="EK448" s="102"/>
      <c r="EL448" s="102"/>
      <c r="EM448" s="99"/>
      <c r="EN448" s="4"/>
      <c r="EO448" s="4"/>
      <c r="EP448" s="5"/>
      <c r="EQ448" s="5"/>
      <c r="ER448" s="99"/>
      <c r="ES448" s="159"/>
      <c r="ET448" s="99"/>
      <c r="EU448" s="99"/>
      <c r="EV448" s="99"/>
      <c r="EW448" s="159"/>
      <c r="EX448" s="99"/>
      <c r="EY448" s="99"/>
      <c r="EZ448" s="175"/>
    </row>
    <row r="449" spans="27:156">
      <c r="AA449" s="18"/>
      <c r="AB449" s="18"/>
      <c r="AC449" s="18"/>
      <c r="AD449" s="19"/>
      <c r="AE449" s="19"/>
      <c r="AI449" s="18"/>
      <c r="AJ449" s="7"/>
      <c r="AK449" s="7"/>
      <c r="AL449" s="7"/>
      <c r="AM449" s="7"/>
      <c r="AN449" s="7"/>
      <c r="AO449" s="7"/>
      <c r="AP449" s="7"/>
      <c r="AQ449" s="7"/>
      <c r="AR449" s="7"/>
      <c r="AS449" s="7"/>
      <c r="AT449" s="7"/>
      <c r="AU449" s="7"/>
      <c r="AV449" s="7"/>
      <c r="AW449" s="7"/>
      <c r="AX449" s="7"/>
      <c r="AY449" s="7"/>
      <c r="AZ449" s="7"/>
      <c r="BA449" s="18"/>
      <c r="BG449" s="140"/>
      <c r="BH449" s="131"/>
      <c r="BI449" s="102"/>
      <c r="BJ449" s="102"/>
      <c r="BK449" s="102"/>
      <c r="BL449" s="102"/>
      <c r="BM449" s="99"/>
      <c r="BN449" s="4"/>
      <c r="BO449" s="4"/>
      <c r="BP449" s="5"/>
      <c r="BQ449" s="5"/>
      <c r="BR449" s="99"/>
      <c r="BS449" s="159"/>
      <c r="BT449" s="99"/>
      <c r="BU449" s="99"/>
      <c r="BV449" s="99"/>
      <c r="BW449" s="159"/>
      <c r="BX449" s="99"/>
      <c r="BY449" s="99"/>
      <c r="BZ449" s="159"/>
      <c r="DA449" s="174"/>
      <c r="DB449" s="18"/>
      <c r="DC449" s="18"/>
      <c r="DD449" s="19"/>
      <c r="DE449" s="19"/>
      <c r="DI449" s="18"/>
      <c r="DJ449" s="7"/>
      <c r="DK449" s="7"/>
      <c r="DL449" s="7"/>
      <c r="DM449" s="7"/>
      <c r="DN449" s="7"/>
      <c r="DO449" s="7"/>
      <c r="DP449" s="7"/>
      <c r="DQ449" s="7"/>
      <c r="DR449" s="7"/>
      <c r="DS449" s="7"/>
      <c r="DT449" s="7"/>
      <c r="DU449" s="7"/>
      <c r="DV449" s="7"/>
      <c r="DW449" s="7"/>
      <c r="DX449" s="7"/>
      <c r="DY449" s="7"/>
      <c r="DZ449" s="7"/>
      <c r="EA449" s="161"/>
      <c r="EG449" s="140"/>
      <c r="EH449" s="131"/>
      <c r="EI449" s="102"/>
      <c r="EJ449" s="102"/>
      <c r="EK449" s="102"/>
      <c r="EL449" s="102"/>
      <c r="EM449" s="99"/>
      <c r="EN449" s="4"/>
      <c r="EO449" s="4"/>
      <c r="EP449" s="5"/>
      <c r="EQ449" s="5"/>
      <c r="ER449" s="99"/>
      <c r="ES449" s="159"/>
      <c r="ET449" s="99"/>
      <c r="EU449" s="99"/>
      <c r="EV449" s="99"/>
      <c r="EW449" s="159"/>
      <c r="EX449" s="99"/>
      <c r="EY449" s="99"/>
      <c r="EZ449" s="175"/>
    </row>
    <row r="450" spans="27:156">
      <c r="AA450" s="18"/>
      <c r="AB450" s="18"/>
      <c r="AC450" s="18"/>
      <c r="AD450" s="19"/>
      <c r="AE450" s="19"/>
      <c r="AI450" s="18"/>
      <c r="AJ450" s="7"/>
      <c r="AK450" s="7"/>
      <c r="AL450" s="7"/>
      <c r="AM450" s="7"/>
      <c r="AN450" s="7"/>
      <c r="AO450" s="7"/>
      <c r="AP450" s="7"/>
      <c r="AQ450" s="7"/>
      <c r="AR450" s="7"/>
      <c r="AS450" s="7"/>
      <c r="AT450" s="7"/>
      <c r="AU450" s="7"/>
      <c r="AV450" s="7"/>
      <c r="AW450" s="7"/>
      <c r="AX450" s="7"/>
      <c r="AY450" s="7"/>
      <c r="AZ450" s="7"/>
      <c r="BA450" s="18"/>
      <c r="BG450" s="140"/>
      <c r="BH450" s="131"/>
      <c r="BI450" s="102"/>
      <c r="BJ450" s="102"/>
      <c r="BK450" s="102"/>
      <c r="BL450" s="102"/>
      <c r="BM450" s="99"/>
      <c r="BN450" s="4"/>
      <c r="BO450" s="4"/>
      <c r="BP450" s="5"/>
      <c r="BQ450" s="5"/>
      <c r="BR450" s="99"/>
      <c r="BS450" s="159"/>
      <c r="BT450" s="99"/>
      <c r="BU450" s="99"/>
      <c r="BV450" s="99"/>
      <c r="BW450" s="159"/>
      <c r="BX450" s="99"/>
      <c r="BY450" s="99"/>
      <c r="BZ450" s="159"/>
      <c r="DA450" s="174"/>
      <c r="DB450" s="18"/>
      <c r="DC450" s="18"/>
      <c r="DD450" s="19"/>
      <c r="DE450" s="19"/>
      <c r="DI450" s="18"/>
      <c r="DJ450" s="7"/>
      <c r="DK450" s="7"/>
      <c r="DL450" s="7"/>
      <c r="DM450" s="7"/>
      <c r="DN450" s="7"/>
      <c r="DO450" s="7"/>
      <c r="DP450" s="7"/>
      <c r="DQ450" s="7"/>
      <c r="DR450" s="7"/>
      <c r="DS450" s="7"/>
      <c r="DT450" s="7"/>
      <c r="DU450" s="7"/>
      <c r="DV450" s="7"/>
      <c r="DW450" s="7"/>
      <c r="DX450" s="7"/>
      <c r="DY450" s="7"/>
      <c r="DZ450" s="7"/>
      <c r="EA450" s="161"/>
      <c r="EG450" s="140"/>
      <c r="EH450" s="131"/>
      <c r="EI450" s="102"/>
      <c r="EJ450" s="102"/>
      <c r="EK450" s="102"/>
      <c r="EL450" s="102"/>
      <c r="EM450" s="99"/>
      <c r="EN450" s="4"/>
      <c r="EO450" s="4"/>
      <c r="EP450" s="5"/>
      <c r="EQ450" s="5"/>
      <c r="ER450" s="99"/>
      <c r="ES450" s="159"/>
      <c r="ET450" s="99"/>
      <c r="EU450" s="99"/>
      <c r="EV450" s="99"/>
      <c r="EW450" s="159"/>
      <c r="EX450" s="99"/>
      <c r="EY450" s="99"/>
      <c r="EZ450" s="175"/>
    </row>
    <row r="451" spans="27:156">
      <c r="AA451" s="18"/>
      <c r="AB451" s="18"/>
      <c r="AC451" s="18"/>
      <c r="AD451" s="19"/>
      <c r="AE451" s="19"/>
      <c r="AI451" s="18"/>
      <c r="AJ451" s="7"/>
      <c r="AK451" s="7"/>
      <c r="AL451" s="7"/>
      <c r="AM451" s="7"/>
      <c r="AN451" s="7"/>
      <c r="AO451" s="7"/>
      <c r="AP451" s="7"/>
      <c r="AQ451" s="7"/>
      <c r="AR451" s="7"/>
      <c r="AS451" s="7"/>
      <c r="AT451" s="7"/>
      <c r="AU451" s="7"/>
      <c r="AV451" s="7"/>
      <c r="AW451" s="7"/>
      <c r="AX451" s="7"/>
      <c r="AY451" s="7"/>
      <c r="AZ451" s="7"/>
      <c r="BA451" s="18"/>
      <c r="BG451" s="140"/>
      <c r="BH451" s="131"/>
      <c r="BI451" s="102"/>
      <c r="BJ451" s="102"/>
      <c r="BK451" s="102"/>
      <c r="BL451" s="102"/>
      <c r="BM451" s="99"/>
      <c r="BN451" s="4"/>
      <c r="BO451" s="4"/>
      <c r="BP451" s="5"/>
      <c r="BQ451" s="5"/>
      <c r="BR451" s="99"/>
      <c r="BS451" s="159"/>
      <c r="BT451" s="99"/>
      <c r="BU451" s="99"/>
      <c r="BV451" s="99"/>
      <c r="BW451" s="159"/>
      <c r="BX451" s="99"/>
      <c r="BY451" s="99"/>
      <c r="BZ451" s="159"/>
      <c r="DA451" s="174"/>
      <c r="DB451" s="18"/>
      <c r="DC451" s="18"/>
      <c r="DD451" s="19"/>
      <c r="DE451" s="19"/>
      <c r="DI451" s="18"/>
      <c r="DJ451" s="7"/>
      <c r="DK451" s="7"/>
      <c r="DL451" s="7"/>
      <c r="DM451" s="7"/>
      <c r="DN451" s="7"/>
      <c r="DO451" s="7"/>
      <c r="DP451" s="7"/>
      <c r="DQ451" s="7"/>
      <c r="DR451" s="7"/>
      <c r="DS451" s="7"/>
      <c r="DT451" s="7"/>
      <c r="DU451" s="7"/>
      <c r="DV451" s="7"/>
      <c r="DW451" s="7"/>
      <c r="DX451" s="7"/>
      <c r="DY451" s="7"/>
      <c r="DZ451" s="7"/>
      <c r="EA451" s="161"/>
      <c r="EG451" s="140"/>
      <c r="EH451" s="131"/>
      <c r="EI451" s="102"/>
      <c r="EJ451" s="102"/>
      <c r="EK451" s="102"/>
      <c r="EL451" s="102"/>
      <c r="EM451" s="99"/>
      <c r="EN451" s="4"/>
      <c r="EO451" s="4"/>
      <c r="EP451" s="5"/>
      <c r="EQ451" s="5"/>
      <c r="ER451" s="99"/>
      <c r="ES451" s="159"/>
      <c r="ET451" s="99"/>
      <c r="EU451" s="99"/>
      <c r="EV451" s="99"/>
      <c r="EW451" s="159"/>
      <c r="EX451" s="99"/>
      <c r="EY451" s="99"/>
      <c r="EZ451" s="175"/>
    </row>
    <row r="452" spans="27:156">
      <c r="AA452" s="18"/>
      <c r="AB452" s="18"/>
      <c r="AC452" s="18"/>
      <c r="AD452" s="19"/>
      <c r="AE452" s="19"/>
      <c r="AI452" s="18"/>
      <c r="AJ452" s="7"/>
      <c r="AK452" s="7"/>
      <c r="AL452" s="7"/>
      <c r="AM452" s="7"/>
      <c r="AN452" s="7"/>
      <c r="AO452" s="7"/>
      <c r="AP452" s="7"/>
      <c r="AQ452" s="7"/>
      <c r="AR452" s="7"/>
      <c r="AS452" s="7"/>
      <c r="AT452" s="7"/>
      <c r="AU452" s="7"/>
      <c r="AV452" s="7"/>
      <c r="AW452" s="7"/>
      <c r="AX452" s="7"/>
      <c r="AY452" s="7"/>
      <c r="AZ452" s="7"/>
      <c r="BA452" s="18"/>
      <c r="BG452" s="140"/>
      <c r="BH452" s="131"/>
      <c r="BI452" s="102"/>
      <c r="BJ452" s="102"/>
      <c r="BK452" s="102"/>
      <c r="BL452" s="102"/>
      <c r="BM452" s="99"/>
      <c r="BN452" s="4"/>
      <c r="BO452" s="4"/>
      <c r="BP452" s="5"/>
      <c r="BQ452" s="5"/>
      <c r="BR452" s="99"/>
      <c r="BS452" s="159"/>
      <c r="BT452" s="99"/>
      <c r="BU452" s="99"/>
      <c r="BV452" s="99"/>
      <c r="BW452" s="159"/>
      <c r="BX452" s="99"/>
      <c r="BY452" s="99"/>
      <c r="BZ452" s="159"/>
      <c r="DA452" s="174"/>
      <c r="DB452" s="18"/>
      <c r="DC452" s="18"/>
      <c r="DD452" s="19"/>
      <c r="DE452" s="19"/>
      <c r="DI452" s="18"/>
      <c r="DJ452" s="7"/>
      <c r="DK452" s="7"/>
      <c r="DL452" s="7"/>
      <c r="DM452" s="7"/>
      <c r="DN452" s="7"/>
      <c r="DO452" s="7"/>
      <c r="DP452" s="7"/>
      <c r="DQ452" s="7"/>
      <c r="DR452" s="7"/>
      <c r="DS452" s="7"/>
      <c r="DT452" s="7"/>
      <c r="DU452" s="7"/>
      <c r="DV452" s="7"/>
      <c r="DW452" s="7"/>
      <c r="DX452" s="7"/>
      <c r="DY452" s="7"/>
      <c r="DZ452" s="7"/>
      <c r="EA452" s="161"/>
      <c r="EG452" s="140"/>
      <c r="EH452" s="131"/>
      <c r="EI452" s="102"/>
      <c r="EJ452" s="102"/>
      <c r="EK452" s="102"/>
      <c r="EL452" s="102"/>
      <c r="EM452" s="99"/>
      <c r="EN452" s="4"/>
      <c r="EO452" s="4"/>
      <c r="EP452" s="5"/>
      <c r="EQ452" s="5"/>
      <c r="ER452" s="99"/>
      <c r="ES452" s="159"/>
      <c r="ET452" s="99"/>
      <c r="EU452" s="99"/>
      <c r="EV452" s="99"/>
      <c r="EW452" s="159"/>
      <c r="EX452" s="99"/>
      <c r="EY452" s="99"/>
      <c r="EZ452" s="175"/>
    </row>
    <row r="453" spans="27:156">
      <c r="AA453" s="18"/>
      <c r="AB453" s="18"/>
      <c r="AC453" s="18"/>
      <c r="AD453" s="19"/>
      <c r="AE453" s="19"/>
      <c r="AI453" s="18"/>
      <c r="AJ453" s="7"/>
      <c r="AK453" s="7"/>
      <c r="AL453" s="7"/>
      <c r="AM453" s="7"/>
      <c r="AN453" s="7"/>
      <c r="AO453" s="7"/>
      <c r="AP453" s="7"/>
      <c r="AQ453" s="7"/>
      <c r="AR453" s="7"/>
      <c r="AS453" s="7"/>
      <c r="AT453" s="7"/>
      <c r="AU453" s="7"/>
      <c r="AV453" s="7"/>
      <c r="AW453" s="7"/>
      <c r="AX453" s="7"/>
      <c r="AY453" s="7"/>
      <c r="AZ453" s="7"/>
      <c r="BA453" s="18"/>
      <c r="BG453" s="140"/>
      <c r="BH453" s="131"/>
      <c r="BI453" s="102"/>
      <c r="BJ453" s="102"/>
      <c r="BK453" s="102"/>
      <c r="BL453" s="102"/>
      <c r="BM453" s="99"/>
      <c r="BN453" s="4"/>
      <c r="BO453" s="4"/>
      <c r="BP453" s="5"/>
      <c r="BQ453" s="5"/>
      <c r="BR453" s="99"/>
      <c r="BS453" s="159"/>
      <c r="BT453" s="99"/>
      <c r="BU453" s="99"/>
      <c r="BV453" s="99"/>
      <c r="BW453" s="159"/>
      <c r="BX453" s="99"/>
      <c r="BY453" s="99"/>
      <c r="BZ453" s="159"/>
      <c r="DA453" s="174"/>
      <c r="DB453" s="18"/>
      <c r="DC453" s="18"/>
      <c r="DD453" s="19"/>
      <c r="DE453" s="19"/>
      <c r="DI453" s="18"/>
      <c r="DJ453" s="7"/>
      <c r="DK453" s="7"/>
      <c r="DL453" s="7"/>
      <c r="DM453" s="7"/>
      <c r="DN453" s="7"/>
      <c r="DO453" s="7"/>
      <c r="DP453" s="7"/>
      <c r="DQ453" s="7"/>
      <c r="DR453" s="7"/>
      <c r="DS453" s="7"/>
      <c r="DT453" s="7"/>
      <c r="DU453" s="7"/>
      <c r="DV453" s="7"/>
      <c r="DW453" s="7"/>
      <c r="DX453" s="7"/>
      <c r="DY453" s="7"/>
      <c r="DZ453" s="7"/>
      <c r="EA453" s="161"/>
      <c r="EG453" s="140"/>
      <c r="EH453" s="131"/>
      <c r="EI453" s="102"/>
      <c r="EJ453" s="102"/>
      <c r="EK453" s="102"/>
      <c r="EL453" s="102"/>
      <c r="EM453" s="99"/>
      <c r="EN453" s="4"/>
      <c r="EO453" s="4"/>
      <c r="EP453" s="5"/>
      <c r="EQ453" s="5"/>
      <c r="ER453" s="99"/>
      <c r="ES453" s="159"/>
      <c r="ET453" s="99"/>
      <c r="EU453" s="99"/>
      <c r="EV453" s="99"/>
      <c r="EW453" s="159"/>
      <c r="EX453" s="99"/>
      <c r="EY453" s="99"/>
      <c r="EZ453" s="175"/>
    </row>
    <row r="454" spans="27:156">
      <c r="AA454" s="18"/>
      <c r="AB454" s="18"/>
      <c r="AC454" s="18"/>
      <c r="AD454" s="19"/>
      <c r="AE454" s="19"/>
      <c r="AI454" s="18"/>
      <c r="AJ454" s="7"/>
      <c r="AK454" s="7"/>
      <c r="AL454" s="7"/>
      <c r="AM454" s="7"/>
      <c r="AN454" s="7"/>
      <c r="AO454" s="7"/>
      <c r="AP454" s="7"/>
      <c r="AQ454" s="7"/>
      <c r="AR454" s="7"/>
      <c r="AS454" s="7"/>
      <c r="AT454" s="7"/>
      <c r="AU454" s="7"/>
      <c r="AV454" s="7"/>
      <c r="AW454" s="7"/>
      <c r="AX454" s="7"/>
      <c r="AY454" s="7"/>
      <c r="AZ454" s="7"/>
      <c r="BA454" s="18"/>
      <c r="BG454" s="140"/>
      <c r="BH454" s="131"/>
      <c r="BI454" s="102"/>
      <c r="BJ454" s="102"/>
      <c r="BK454" s="102"/>
      <c r="BL454" s="102"/>
      <c r="BM454" s="99"/>
      <c r="BN454" s="4"/>
      <c r="BO454" s="4"/>
      <c r="BP454" s="5"/>
      <c r="BQ454" s="5"/>
      <c r="BR454" s="99"/>
      <c r="BS454" s="159"/>
      <c r="BT454" s="99"/>
      <c r="BU454" s="99"/>
      <c r="BV454" s="99"/>
      <c r="BW454" s="159"/>
      <c r="BX454" s="99"/>
      <c r="BY454" s="99"/>
      <c r="BZ454" s="159"/>
      <c r="DA454" s="174"/>
      <c r="DB454" s="18"/>
      <c r="DC454" s="18"/>
      <c r="DD454" s="19"/>
      <c r="DE454" s="19"/>
      <c r="DI454" s="18"/>
      <c r="DJ454" s="7"/>
      <c r="DK454" s="7"/>
      <c r="DL454" s="7"/>
      <c r="DM454" s="7"/>
      <c r="DN454" s="7"/>
      <c r="DO454" s="7"/>
      <c r="DP454" s="7"/>
      <c r="DQ454" s="7"/>
      <c r="DR454" s="7"/>
      <c r="DS454" s="7"/>
      <c r="DT454" s="7"/>
      <c r="DU454" s="7"/>
      <c r="DV454" s="7"/>
      <c r="DW454" s="7"/>
      <c r="DX454" s="7"/>
      <c r="DY454" s="7"/>
      <c r="DZ454" s="7"/>
      <c r="EA454" s="161"/>
      <c r="EG454" s="140"/>
      <c r="EH454" s="131"/>
      <c r="EI454" s="102"/>
      <c r="EJ454" s="102"/>
      <c r="EK454" s="102"/>
      <c r="EL454" s="102"/>
      <c r="EM454" s="99"/>
      <c r="EN454" s="4"/>
      <c r="EO454" s="4"/>
      <c r="EP454" s="5"/>
      <c r="EQ454" s="5"/>
      <c r="ER454" s="99"/>
      <c r="ES454" s="159"/>
      <c r="ET454" s="99"/>
      <c r="EU454" s="99"/>
      <c r="EV454" s="99"/>
      <c r="EW454" s="159"/>
      <c r="EX454" s="99"/>
      <c r="EY454" s="99"/>
      <c r="EZ454" s="175"/>
    </row>
    <row r="455" spans="27:156">
      <c r="AA455" s="18"/>
      <c r="AB455" s="18"/>
      <c r="AC455" s="18"/>
      <c r="AD455" s="19"/>
      <c r="AE455" s="19"/>
      <c r="AI455" s="18"/>
      <c r="AJ455" s="7"/>
      <c r="AK455" s="7"/>
      <c r="AL455" s="7"/>
      <c r="AM455" s="7"/>
      <c r="AN455" s="7"/>
      <c r="AO455" s="7"/>
      <c r="AP455" s="7"/>
      <c r="AQ455" s="7"/>
      <c r="AR455" s="7"/>
      <c r="AS455" s="7"/>
      <c r="AT455" s="7"/>
      <c r="AU455" s="7"/>
      <c r="AV455" s="7"/>
      <c r="AW455" s="7"/>
      <c r="AX455" s="7"/>
      <c r="AY455" s="7"/>
      <c r="AZ455" s="7"/>
      <c r="BA455" s="18"/>
      <c r="BG455" s="140"/>
      <c r="BH455" s="131"/>
      <c r="BI455" s="102"/>
      <c r="BJ455" s="102"/>
      <c r="BK455" s="102"/>
      <c r="BL455" s="102"/>
      <c r="BM455" s="99"/>
      <c r="BN455" s="4"/>
      <c r="BO455" s="4"/>
      <c r="BP455" s="5"/>
      <c r="BQ455" s="5"/>
      <c r="BR455" s="99"/>
      <c r="BS455" s="159"/>
      <c r="BT455" s="99"/>
      <c r="BU455" s="99"/>
      <c r="BV455" s="99"/>
      <c r="BW455" s="159"/>
      <c r="BX455" s="99"/>
      <c r="BY455" s="99"/>
      <c r="BZ455" s="159"/>
      <c r="DA455" s="174"/>
      <c r="DB455" s="18"/>
      <c r="DC455" s="18"/>
      <c r="DD455" s="19"/>
      <c r="DE455" s="19"/>
      <c r="DI455" s="18"/>
      <c r="DJ455" s="7"/>
      <c r="DK455" s="7"/>
      <c r="DL455" s="7"/>
      <c r="DM455" s="7"/>
      <c r="DN455" s="7"/>
      <c r="DO455" s="7"/>
      <c r="DP455" s="7"/>
      <c r="DQ455" s="7"/>
      <c r="DR455" s="7"/>
      <c r="DS455" s="7"/>
      <c r="DT455" s="7"/>
      <c r="DU455" s="7"/>
      <c r="DV455" s="7"/>
      <c r="DW455" s="7"/>
      <c r="DX455" s="7"/>
      <c r="DY455" s="7"/>
      <c r="DZ455" s="7"/>
      <c r="EA455" s="161"/>
      <c r="EG455" s="140"/>
      <c r="EH455" s="131"/>
      <c r="EI455" s="102"/>
      <c r="EJ455" s="102"/>
      <c r="EK455" s="102"/>
      <c r="EL455" s="102"/>
      <c r="EM455" s="99"/>
      <c r="EN455" s="4"/>
      <c r="EO455" s="4"/>
      <c r="EP455" s="5"/>
      <c r="EQ455" s="5"/>
      <c r="ER455" s="99"/>
      <c r="ES455" s="159"/>
      <c r="ET455" s="99"/>
      <c r="EU455" s="99"/>
      <c r="EV455" s="99"/>
      <c r="EW455" s="159"/>
      <c r="EX455" s="99"/>
      <c r="EY455" s="99"/>
      <c r="EZ455" s="175"/>
    </row>
    <row r="456" spans="27:156">
      <c r="AA456" s="18"/>
      <c r="AB456" s="18"/>
      <c r="AC456" s="18"/>
      <c r="AD456" s="19"/>
      <c r="AE456" s="19"/>
      <c r="AI456" s="18"/>
      <c r="AJ456" s="7"/>
      <c r="AK456" s="7"/>
      <c r="AL456" s="7"/>
      <c r="AM456" s="7"/>
      <c r="AN456" s="7"/>
      <c r="AO456" s="7"/>
      <c r="AP456" s="7"/>
      <c r="AQ456" s="7"/>
      <c r="AR456" s="7"/>
      <c r="AS456" s="7"/>
      <c r="AT456" s="7"/>
      <c r="AU456" s="7"/>
      <c r="AV456" s="7"/>
      <c r="AW456" s="7"/>
      <c r="AX456" s="7"/>
      <c r="AY456" s="7"/>
      <c r="AZ456" s="7"/>
      <c r="BA456" s="18"/>
      <c r="BG456" s="140"/>
      <c r="BH456" s="131"/>
      <c r="BI456" s="102"/>
      <c r="BJ456" s="102"/>
      <c r="BK456" s="102"/>
      <c r="BL456" s="102"/>
      <c r="BM456" s="99"/>
      <c r="BN456" s="4"/>
      <c r="BO456" s="4"/>
      <c r="BP456" s="5"/>
      <c r="BQ456" s="5"/>
      <c r="BR456" s="99"/>
      <c r="BS456" s="159"/>
      <c r="BT456" s="99"/>
      <c r="BU456" s="99"/>
      <c r="BV456" s="99"/>
      <c r="BW456" s="159"/>
      <c r="BX456" s="99"/>
      <c r="BY456" s="99"/>
      <c r="BZ456" s="159"/>
      <c r="DA456" s="174"/>
      <c r="DB456" s="18"/>
      <c r="DC456" s="18"/>
      <c r="DD456" s="19"/>
      <c r="DE456" s="19"/>
      <c r="DI456" s="18"/>
      <c r="DJ456" s="7"/>
      <c r="DK456" s="7"/>
      <c r="DL456" s="7"/>
      <c r="DM456" s="7"/>
      <c r="DN456" s="7"/>
      <c r="DO456" s="7"/>
      <c r="DP456" s="7"/>
      <c r="DQ456" s="7"/>
      <c r="DR456" s="7"/>
      <c r="DS456" s="7"/>
      <c r="DT456" s="7"/>
      <c r="DU456" s="7"/>
      <c r="DV456" s="7"/>
      <c r="DW456" s="7"/>
      <c r="DX456" s="7"/>
      <c r="DY456" s="7"/>
      <c r="DZ456" s="7"/>
      <c r="EA456" s="161"/>
      <c r="EG456" s="140"/>
      <c r="EH456" s="131"/>
      <c r="EI456" s="102"/>
      <c r="EJ456" s="102"/>
      <c r="EK456" s="102"/>
      <c r="EL456" s="102"/>
      <c r="EM456" s="99"/>
      <c r="EN456" s="4"/>
      <c r="EO456" s="4"/>
      <c r="EP456" s="5"/>
      <c r="EQ456" s="5"/>
      <c r="ER456" s="99"/>
      <c r="ES456" s="159"/>
      <c r="ET456" s="99"/>
      <c r="EU456" s="99"/>
      <c r="EV456" s="99"/>
      <c r="EW456" s="159"/>
      <c r="EX456" s="99"/>
      <c r="EY456" s="99"/>
      <c r="EZ456" s="175"/>
    </row>
    <row r="457" spans="27:156">
      <c r="AA457" s="18"/>
      <c r="AB457" s="18"/>
      <c r="AC457" s="18"/>
      <c r="AD457" s="19"/>
      <c r="AE457" s="19"/>
      <c r="AI457" s="18"/>
      <c r="AJ457" s="7"/>
      <c r="AK457" s="7"/>
      <c r="AL457" s="7"/>
      <c r="AM457" s="7"/>
      <c r="AN457" s="7"/>
      <c r="AO457" s="7"/>
      <c r="AP457" s="7"/>
      <c r="AQ457" s="7"/>
      <c r="AR457" s="7"/>
      <c r="AS457" s="7"/>
      <c r="AT457" s="7"/>
      <c r="AU457" s="7"/>
      <c r="AV457" s="7"/>
      <c r="AW457" s="7"/>
      <c r="AX457" s="7"/>
      <c r="AY457" s="7"/>
      <c r="AZ457" s="7"/>
      <c r="BA457" s="18"/>
      <c r="BG457" s="140"/>
      <c r="BH457" s="131"/>
      <c r="BI457" s="102"/>
      <c r="BJ457" s="102"/>
      <c r="BK457" s="102"/>
      <c r="BL457" s="102"/>
      <c r="BM457" s="99"/>
      <c r="BN457" s="4"/>
      <c r="BO457" s="4"/>
      <c r="BP457" s="5"/>
      <c r="BQ457" s="5"/>
      <c r="BR457" s="99"/>
      <c r="BS457" s="159"/>
      <c r="BT457" s="99"/>
      <c r="BU457" s="99"/>
      <c r="BV457" s="99"/>
      <c r="BW457" s="159"/>
      <c r="BX457" s="99"/>
      <c r="BY457" s="99"/>
      <c r="BZ457" s="159"/>
      <c r="DA457" s="174"/>
      <c r="DB457" s="18"/>
      <c r="DC457" s="18"/>
      <c r="DD457" s="19"/>
      <c r="DE457" s="19"/>
      <c r="DI457" s="18"/>
      <c r="DJ457" s="7"/>
      <c r="DK457" s="7"/>
      <c r="DL457" s="7"/>
      <c r="DM457" s="7"/>
      <c r="DN457" s="7"/>
      <c r="DO457" s="7"/>
      <c r="DP457" s="7"/>
      <c r="DQ457" s="7"/>
      <c r="DR457" s="7"/>
      <c r="DS457" s="7"/>
      <c r="DT457" s="7"/>
      <c r="DU457" s="7"/>
      <c r="DV457" s="7"/>
      <c r="DW457" s="7"/>
      <c r="DX457" s="7"/>
      <c r="DY457" s="7"/>
      <c r="DZ457" s="7"/>
      <c r="EA457" s="161"/>
      <c r="EG457" s="140"/>
      <c r="EH457" s="131"/>
      <c r="EI457" s="102"/>
      <c r="EJ457" s="102"/>
      <c r="EK457" s="102"/>
      <c r="EL457" s="102"/>
      <c r="EM457" s="99"/>
      <c r="EN457" s="4"/>
      <c r="EO457" s="4"/>
      <c r="EP457" s="5"/>
      <c r="EQ457" s="5"/>
      <c r="ER457" s="99"/>
      <c r="ES457" s="159"/>
      <c r="ET457" s="99"/>
      <c r="EU457" s="99"/>
      <c r="EV457" s="99"/>
      <c r="EW457" s="159"/>
      <c r="EX457" s="99"/>
      <c r="EY457" s="99"/>
      <c r="EZ457" s="175"/>
    </row>
    <row r="458" spans="27:156">
      <c r="AA458" s="18"/>
      <c r="AB458" s="18"/>
      <c r="AC458" s="18"/>
      <c r="AD458" s="19"/>
      <c r="AE458" s="19"/>
      <c r="AI458" s="18"/>
      <c r="AJ458" s="7"/>
      <c r="AK458" s="7"/>
      <c r="AL458" s="7"/>
      <c r="AM458" s="7"/>
      <c r="AN458" s="7"/>
      <c r="AO458" s="7"/>
      <c r="AP458" s="7"/>
      <c r="AQ458" s="7"/>
      <c r="AR458" s="7"/>
      <c r="AS458" s="7"/>
      <c r="AT458" s="7"/>
      <c r="AU458" s="7"/>
      <c r="AV458" s="7"/>
      <c r="AW458" s="7"/>
      <c r="AX458" s="7"/>
      <c r="AY458" s="7"/>
      <c r="AZ458" s="7"/>
      <c r="BA458" s="18"/>
      <c r="BG458" s="140"/>
      <c r="BH458" s="131"/>
      <c r="BI458" s="102"/>
      <c r="BJ458" s="102"/>
      <c r="BK458" s="102"/>
      <c r="BL458" s="102"/>
      <c r="BM458" s="99"/>
      <c r="BN458" s="4"/>
      <c r="BO458" s="4"/>
      <c r="BP458" s="5"/>
      <c r="BQ458" s="5"/>
      <c r="BR458" s="99"/>
      <c r="BS458" s="159"/>
      <c r="BT458" s="99"/>
      <c r="BU458" s="99"/>
      <c r="BV458" s="99"/>
      <c r="BW458" s="159"/>
      <c r="BX458" s="99"/>
      <c r="BY458" s="99"/>
      <c r="BZ458" s="159"/>
      <c r="DA458" s="174"/>
      <c r="DB458" s="18"/>
      <c r="DC458" s="18"/>
      <c r="DD458" s="19"/>
      <c r="DE458" s="19"/>
      <c r="DI458" s="18"/>
      <c r="DJ458" s="7"/>
      <c r="DK458" s="7"/>
      <c r="DL458" s="7"/>
      <c r="DM458" s="7"/>
      <c r="DN458" s="7"/>
      <c r="DO458" s="7"/>
      <c r="DP458" s="7"/>
      <c r="DQ458" s="7"/>
      <c r="DR458" s="7"/>
      <c r="DS458" s="7"/>
      <c r="DT458" s="7"/>
      <c r="DU458" s="7"/>
      <c r="DV458" s="7"/>
      <c r="DW458" s="7"/>
      <c r="DX458" s="7"/>
      <c r="DY458" s="7"/>
      <c r="DZ458" s="7"/>
      <c r="EA458" s="161"/>
      <c r="EG458" s="140"/>
      <c r="EH458" s="131"/>
      <c r="EI458" s="102"/>
      <c r="EJ458" s="102"/>
      <c r="EK458" s="102"/>
      <c r="EL458" s="102"/>
      <c r="EM458" s="99"/>
      <c r="EN458" s="4"/>
      <c r="EO458" s="4"/>
      <c r="EP458" s="5"/>
      <c r="EQ458" s="5"/>
      <c r="ER458" s="99"/>
      <c r="ES458" s="159"/>
      <c r="ET458" s="99"/>
      <c r="EU458" s="99"/>
      <c r="EV458" s="99"/>
      <c r="EW458" s="159"/>
      <c r="EX458" s="99"/>
      <c r="EY458" s="99"/>
      <c r="EZ458" s="175"/>
    </row>
    <row r="459" spans="27:156">
      <c r="AA459" s="18"/>
      <c r="AB459" s="18"/>
      <c r="AC459" s="18"/>
      <c r="AD459" s="19"/>
      <c r="AE459" s="19"/>
      <c r="AI459" s="18"/>
      <c r="AJ459" s="7"/>
      <c r="AK459" s="7"/>
      <c r="AL459" s="7"/>
      <c r="AM459" s="7"/>
      <c r="AN459" s="7"/>
      <c r="AO459" s="7"/>
      <c r="AP459" s="7"/>
      <c r="AQ459" s="7"/>
      <c r="AR459" s="7"/>
      <c r="AS459" s="7"/>
      <c r="AT459" s="7"/>
      <c r="AU459" s="7"/>
      <c r="AV459" s="7"/>
      <c r="AW459" s="7"/>
      <c r="AX459" s="7"/>
      <c r="AY459" s="7"/>
      <c r="AZ459" s="7"/>
      <c r="BA459" s="18"/>
      <c r="BG459" s="140"/>
      <c r="BH459" s="131"/>
      <c r="BI459" s="102"/>
      <c r="BJ459" s="102"/>
      <c r="BK459" s="102"/>
      <c r="BL459" s="102"/>
      <c r="BM459" s="99"/>
      <c r="BN459" s="4"/>
      <c r="BO459" s="4"/>
      <c r="BP459" s="5"/>
      <c r="BQ459" s="5"/>
      <c r="BR459" s="99"/>
      <c r="BS459" s="159"/>
      <c r="BT459" s="99"/>
      <c r="BU459" s="99"/>
      <c r="BV459" s="99"/>
      <c r="BW459" s="159"/>
      <c r="BX459" s="99"/>
      <c r="BY459" s="99"/>
      <c r="BZ459" s="159"/>
      <c r="DA459" s="174"/>
      <c r="DB459" s="18"/>
      <c r="DC459" s="18"/>
      <c r="DD459" s="19"/>
      <c r="DE459" s="19"/>
      <c r="DI459" s="18"/>
      <c r="DJ459" s="7"/>
      <c r="DK459" s="7"/>
      <c r="DL459" s="7"/>
      <c r="DM459" s="7"/>
      <c r="DN459" s="7"/>
      <c r="DO459" s="7"/>
      <c r="DP459" s="7"/>
      <c r="DQ459" s="7"/>
      <c r="DR459" s="7"/>
      <c r="DS459" s="7"/>
      <c r="DT459" s="7"/>
      <c r="DU459" s="7"/>
      <c r="DV459" s="7"/>
      <c r="DW459" s="7"/>
      <c r="DX459" s="7"/>
      <c r="DY459" s="7"/>
      <c r="DZ459" s="7"/>
      <c r="EA459" s="161"/>
      <c r="EG459" s="140"/>
      <c r="EH459" s="131"/>
      <c r="EI459" s="102"/>
      <c r="EJ459" s="102"/>
      <c r="EK459" s="102"/>
      <c r="EL459" s="102"/>
      <c r="EM459" s="99"/>
      <c r="EN459" s="4"/>
      <c r="EO459" s="4"/>
      <c r="EP459" s="5"/>
      <c r="EQ459" s="5"/>
      <c r="ER459" s="99"/>
      <c r="ES459" s="159"/>
      <c r="ET459" s="99"/>
      <c r="EU459" s="99"/>
      <c r="EV459" s="99"/>
      <c r="EW459" s="159"/>
      <c r="EX459" s="99"/>
      <c r="EY459" s="99"/>
      <c r="EZ459" s="175"/>
    </row>
    <row r="460" spans="27:156">
      <c r="AA460" s="18"/>
      <c r="AB460" s="18"/>
      <c r="AC460" s="18"/>
      <c r="AD460" s="19"/>
      <c r="AE460" s="19"/>
      <c r="AI460" s="18"/>
      <c r="AJ460" s="7"/>
      <c r="AK460" s="7"/>
      <c r="AL460" s="7"/>
      <c r="AM460" s="7"/>
      <c r="AN460" s="7"/>
      <c r="AO460" s="7"/>
      <c r="AP460" s="7"/>
      <c r="AQ460" s="7"/>
      <c r="AR460" s="7"/>
      <c r="AS460" s="7"/>
      <c r="AT460" s="7"/>
      <c r="AU460" s="7"/>
      <c r="AV460" s="7"/>
      <c r="AW460" s="7"/>
      <c r="AX460" s="7"/>
      <c r="AY460" s="7"/>
      <c r="AZ460" s="7"/>
      <c r="BA460" s="18"/>
      <c r="BG460" s="140"/>
      <c r="BH460" s="131"/>
      <c r="BI460" s="102"/>
      <c r="BJ460" s="102"/>
      <c r="BK460" s="102"/>
      <c r="BL460" s="102"/>
      <c r="BM460" s="99"/>
      <c r="BN460" s="4"/>
      <c r="BO460" s="4"/>
      <c r="BP460" s="5"/>
      <c r="BQ460" s="5"/>
      <c r="BR460" s="99"/>
      <c r="BS460" s="159"/>
      <c r="BT460" s="99"/>
      <c r="BU460" s="99"/>
      <c r="BV460" s="99"/>
      <c r="BW460" s="159"/>
      <c r="BX460" s="99"/>
      <c r="BY460" s="99"/>
      <c r="BZ460" s="159"/>
      <c r="DA460" s="174"/>
      <c r="DB460" s="18"/>
      <c r="DC460" s="18"/>
      <c r="DD460" s="19"/>
      <c r="DE460" s="19"/>
      <c r="DI460" s="18"/>
      <c r="DJ460" s="7"/>
      <c r="DK460" s="7"/>
      <c r="DL460" s="7"/>
      <c r="DM460" s="7"/>
      <c r="DN460" s="7"/>
      <c r="DO460" s="7"/>
      <c r="DP460" s="7"/>
      <c r="DQ460" s="7"/>
      <c r="DR460" s="7"/>
      <c r="DS460" s="7"/>
      <c r="DT460" s="7"/>
      <c r="DU460" s="7"/>
      <c r="DV460" s="7"/>
      <c r="DW460" s="7"/>
      <c r="DX460" s="7"/>
      <c r="DY460" s="7"/>
      <c r="DZ460" s="7"/>
      <c r="EA460" s="161"/>
      <c r="EG460" s="140"/>
      <c r="EH460" s="131"/>
      <c r="EI460" s="102"/>
      <c r="EJ460" s="102"/>
      <c r="EK460" s="102"/>
      <c r="EL460" s="102"/>
      <c r="EM460" s="99"/>
      <c r="EN460" s="4"/>
      <c r="EO460" s="4"/>
      <c r="EP460" s="5"/>
      <c r="EQ460" s="5"/>
      <c r="ER460" s="99"/>
      <c r="ES460" s="159"/>
      <c r="ET460" s="99"/>
      <c r="EU460" s="99"/>
      <c r="EV460" s="99"/>
      <c r="EW460" s="159"/>
      <c r="EX460" s="99"/>
      <c r="EY460" s="99"/>
      <c r="EZ460" s="175"/>
    </row>
    <row r="461" spans="27:156">
      <c r="AA461" s="18"/>
      <c r="AB461" s="18"/>
      <c r="AC461" s="18"/>
      <c r="AD461" s="19"/>
      <c r="AE461" s="19"/>
      <c r="AI461" s="18"/>
      <c r="AJ461" s="7"/>
      <c r="AK461" s="7"/>
      <c r="AL461" s="7"/>
      <c r="AM461" s="7"/>
      <c r="AN461" s="7"/>
      <c r="AO461" s="7"/>
      <c r="AP461" s="7"/>
      <c r="AQ461" s="7"/>
      <c r="AR461" s="7"/>
      <c r="AS461" s="7"/>
      <c r="AT461" s="7"/>
      <c r="AU461" s="7"/>
      <c r="AV461" s="7"/>
      <c r="AW461" s="7"/>
      <c r="AX461" s="7"/>
      <c r="AY461" s="7"/>
      <c r="AZ461" s="7"/>
      <c r="BA461" s="18"/>
      <c r="BG461" s="140"/>
      <c r="BH461" s="131"/>
      <c r="BI461" s="102"/>
      <c r="BJ461" s="102"/>
      <c r="BK461" s="102"/>
      <c r="BL461" s="102"/>
      <c r="BM461" s="99"/>
      <c r="BN461" s="4"/>
      <c r="BO461" s="4"/>
      <c r="BP461" s="5"/>
      <c r="BQ461" s="5"/>
      <c r="BR461" s="99"/>
      <c r="BS461" s="159"/>
      <c r="BT461" s="99"/>
      <c r="BU461" s="99"/>
      <c r="BV461" s="99"/>
      <c r="BW461" s="159"/>
      <c r="BX461" s="99"/>
      <c r="BY461" s="99"/>
      <c r="BZ461" s="159"/>
      <c r="DA461" s="174"/>
      <c r="DB461" s="18"/>
      <c r="DC461" s="18"/>
      <c r="DD461" s="19"/>
      <c r="DE461" s="19"/>
      <c r="DI461" s="18"/>
      <c r="DJ461" s="7"/>
      <c r="DK461" s="7"/>
      <c r="DL461" s="7"/>
      <c r="DM461" s="7"/>
      <c r="DN461" s="7"/>
      <c r="DO461" s="7"/>
      <c r="DP461" s="7"/>
      <c r="DQ461" s="7"/>
      <c r="DR461" s="7"/>
      <c r="DS461" s="7"/>
      <c r="DT461" s="7"/>
      <c r="DU461" s="7"/>
      <c r="DV461" s="7"/>
      <c r="DW461" s="7"/>
      <c r="DX461" s="7"/>
      <c r="DY461" s="7"/>
      <c r="DZ461" s="7"/>
      <c r="EA461" s="161"/>
      <c r="EG461" s="140"/>
      <c r="EH461" s="131"/>
      <c r="EI461" s="102"/>
      <c r="EJ461" s="102"/>
      <c r="EK461" s="102"/>
      <c r="EL461" s="102"/>
      <c r="EM461" s="99"/>
      <c r="EN461" s="4"/>
      <c r="EO461" s="4"/>
      <c r="EP461" s="5"/>
      <c r="EQ461" s="5"/>
      <c r="ER461" s="99"/>
      <c r="ES461" s="159"/>
      <c r="ET461" s="99"/>
      <c r="EU461" s="99"/>
      <c r="EV461" s="99"/>
      <c r="EW461" s="159"/>
      <c r="EX461" s="99"/>
      <c r="EY461" s="99"/>
      <c r="EZ461" s="175"/>
    </row>
    <row r="462" spans="27:156">
      <c r="AA462" s="18"/>
      <c r="AB462" s="18"/>
      <c r="AC462" s="18"/>
      <c r="AD462" s="19"/>
      <c r="AE462" s="19"/>
      <c r="AI462" s="18"/>
      <c r="AJ462" s="7"/>
      <c r="AK462" s="7"/>
      <c r="AL462" s="7"/>
      <c r="AM462" s="7"/>
      <c r="AN462" s="7"/>
      <c r="AO462" s="7"/>
      <c r="AP462" s="7"/>
      <c r="AQ462" s="7"/>
      <c r="AR462" s="7"/>
      <c r="AS462" s="7"/>
      <c r="AT462" s="7"/>
      <c r="AU462" s="7"/>
      <c r="AV462" s="7"/>
      <c r="AW462" s="7"/>
      <c r="AX462" s="7"/>
      <c r="AY462" s="7"/>
      <c r="AZ462" s="7"/>
      <c r="BA462" s="18"/>
      <c r="BG462" s="140"/>
      <c r="BH462" s="131"/>
      <c r="BI462" s="102"/>
      <c r="BJ462" s="102"/>
      <c r="BK462" s="102"/>
      <c r="BL462" s="102"/>
      <c r="BM462" s="99"/>
      <c r="BN462" s="4"/>
      <c r="BO462" s="4"/>
      <c r="BP462" s="5"/>
      <c r="BQ462" s="5"/>
      <c r="BR462" s="99"/>
      <c r="BS462" s="159"/>
      <c r="BT462" s="99"/>
      <c r="BU462" s="99"/>
      <c r="BV462" s="99"/>
      <c r="BW462" s="159"/>
      <c r="BX462" s="99"/>
      <c r="BY462" s="99"/>
      <c r="BZ462" s="159"/>
      <c r="DA462" s="174"/>
      <c r="DB462" s="18"/>
      <c r="DC462" s="18"/>
      <c r="DD462" s="19"/>
      <c r="DE462" s="19"/>
      <c r="DI462" s="18"/>
      <c r="DJ462" s="7"/>
      <c r="DK462" s="7"/>
      <c r="DL462" s="7"/>
      <c r="DM462" s="7"/>
      <c r="DN462" s="7"/>
      <c r="DO462" s="7"/>
      <c r="DP462" s="7"/>
      <c r="DQ462" s="7"/>
      <c r="DR462" s="7"/>
      <c r="DS462" s="7"/>
      <c r="DT462" s="7"/>
      <c r="DU462" s="7"/>
      <c r="DV462" s="7"/>
      <c r="DW462" s="7"/>
      <c r="DX462" s="7"/>
      <c r="DY462" s="7"/>
      <c r="DZ462" s="7"/>
      <c r="EA462" s="161"/>
      <c r="EG462" s="140"/>
      <c r="EH462" s="131"/>
      <c r="EI462" s="102"/>
      <c r="EJ462" s="102"/>
      <c r="EK462" s="102"/>
      <c r="EL462" s="102"/>
      <c r="EM462" s="99"/>
      <c r="EN462" s="4"/>
      <c r="EO462" s="4"/>
      <c r="EP462" s="5"/>
      <c r="EQ462" s="5"/>
      <c r="ER462" s="99"/>
      <c r="ES462" s="159"/>
      <c r="ET462" s="99"/>
      <c r="EU462" s="99"/>
      <c r="EV462" s="99"/>
      <c r="EW462" s="159"/>
      <c r="EX462" s="99"/>
      <c r="EY462" s="99"/>
      <c r="EZ462" s="175"/>
    </row>
    <row r="463" spans="27:156">
      <c r="AA463" s="18"/>
      <c r="AB463" s="18"/>
      <c r="AC463" s="18"/>
      <c r="AD463" s="19"/>
      <c r="AE463" s="19"/>
      <c r="AI463" s="18"/>
      <c r="AJ463" s="7"/>
      <c r="AK463" s="7"/>
      <c r="AL463" s="7"/>
      <c r="AM463" s="7"/>
      <c r="AN463" s="7"/>
      <c r="AO463" s="7"/>
      <c r="AP463" s="7"/>
      <c r="AQ463" s="7"/>
      <c r="AR463" s="7"/>
      <c r="AS463" s="7"/>
      <c r="AT463" s="7"/>
      <c r="AU463" s="7"/>
      <c r="AV463" s="7"/>
      <c r="AW463" s="7"/>
      <c r="AX463" s="7"/>
      <c r="AY463" s="7"/>
      <c r="AZ463" s="7"/>
      <c r="BA463" s="18"/>
      <c r="BG463" s="140"/>
      <c r="BH463" s="131"/>
      <c r="BI463" s="102"/>
      <c r="BJ463" s="102"/>
      <c r="BK463" s="102"/>
      <c r="BL463" s="102"/>
      <c r="BM463" s="99"/>
      <c r="BN463" s="4"/>
      <c r="BO463" s="4"/>
      <c r="BP463" s="5"/>
      <c r="BQ463" s="5"/>
      <c r="BR463" s="99"/>
      <c r="BS463" s="159"/>
      <c r="BT463" s="99"/>
      <c r="BU463" s="99"/>
      <c r="BV463" s="99"/>
      <c r="BW463" s="159"/>
      <c r="BX463" s="99"/>
      <c r="BY463" s="99"/>
      <c r="BZ463" s="159"/>
      <c r="DA463" s="174"/>
      <c r="DB463" s="18"/>
      <c r="DC463" s="18"/>
      <c r="DD463" s="19"/>
      <c r="DE463" s="19"/>
      <c r="DI463" s="18"/>
      <c r="DJ463" s="7"/>
      <c r="DK463" s="7"/>
      <c r="DL463" s="7"/>
      <c r="DM463" s="7"/>
      <c r="DN463" s="7"/>
      <c r="DO463" s="7"/>
      <c r="DP463" s="7"/>
      <c r="DQ463" s="7"/>
      <c r="DR463" s="7"/>
      <c r="DS463" s="7"/>
      <c r="DT463" s="7"/>
      <c r="DU463" s="7"/>
      <c r="DV463" s="7"/>
      <c r="DW463" s="7"/>
      <c r="DX463" s="7"/>
      <c r="DY463" s="7"/>
      <c r="DZ463" s="7"/>
      <c r="EA463" s="161"/>
      <c r="EG463" s="140"/>
      <c r="EH463" s="131"/>
      <c r="EI463" s="102"/>
      <c r="EJ463" s="102"/>
      <c r="EK463" s="102"/>
      <c r="EL463" s="102"/>
      <c r="EM463" s="99"/>
      <c r="EN463" s="4"/>
      <c r="EO463" s="4"/>
      <c r="EP463" s="5"/>
      <c r="EQ463" s="5"/>
      <c r="ER463" s="99"/>
      <c r="ES463" s="159"/>
      <c r="ET463" s="99"/>
      <c r="EU463" s="99"/>
      <c r="EV463" s="99"/>
      <c r="EW463" s="159"/>
      <c r="EX463" s="99"/>
      <c r="EY463" s="99"/>
      <c r="EZ463" s="175"/>
    </row>
    <row r="464" spans="27:156">
      <c r="AA464" s="18"/>
      <c r="AB464" s="18"/>
      <c r="AC464" s="18"/>
      <c r="AD464" s="19"/>
      <c r="AE464" s="19"/>
      <c r="AI464" s="18"/>
      <c r="AJ464" s="7"/>
      <c r="AK464" s="7"/>
      <c r="AL464" s="7"/>
      <c r="AM464" s="7"/>
      <c r="AN464" s="7"/>
      <c r="AO464" s="7"/>
      <c r="AP464" s="7"/>
      <c r="AQ464" s="7"/>
      <c r="AR464" s="7"/>
      <c r="AS464" s="7"/>
      <c r="AT464" s="7"/>
      <c r="AU464" s="7"/>
      <c r="AV464" s="7"/>
      <c r="AW464" s="7"/>
      <c r="AX464" s="7"/>
      <c r="AY464" s="7"/>
      <c r="AZ464" s="7"/>
      <c r="BA464" s="18"/>
      <c r="BG464" s="140"/>
      <c r="BH464" s="131"/>
      <c r="BI464" s="102"/>
      <c r="BJ464" s="102"/>
      <c r="BK464" s="102"/>
      <c r="BL464" s="102"/>
      <c r="BM464" s="99"/>
      <c r="BN464" s="4"/>
      <c r="BO464" s="4"/>
      <c r="BP464" s="5"/>
      <c r="BQ464" s="5"/>
      <c r="BR464" s="99"/>
      <c r="BS464" s="159"/>
      <c r="BT464" s="99"/>
      <c r="BU464" s="99"/>
      <c r="BV464" s="99"/>
      <c r="BW464" s="159"/>
      <c r="BX464" s="99"/>
      <c r="BY464" s="99"/>
      <c r="BZ464" s="159"/>
      <c r="DA464" s="174"/>
      <c r="DB464" s="18"/>
      <c r="DC464" s="18"/>
      <c r="DD464" s="19"/>
      <c r="DE464" s="19"/>
      <c r="DI464" s="18"/>
      <c r="DJ464" s="7"/>
      <c r="DK464" s="7"/>
      <c r="DL464" s="7"/>
      <c r="DM464" s="7"/>
      <c r="DN464" s="7"/>
      <c r="DO464" s="7"/>
      <c r="DP464" s="7"/>
      <c r="DQ464" s="7"/>
      <c r="DR464" s="7"/>
      <c r="DS464" s="7"/>
      <c r="DT464" s="7"/>
      <c r="DU464" s="7"/>
      <c r="DV464" s="7"/>
      <c r="DW464" s="7"/>
      <c r="DX464" s="7"/>
      <c r="DY464" s="7"/>
      <c r="DZ464" s="7"/>
      <c r="EA464" s="161"/>
      <c r="EG464" s="140"/>
      <c r="EH464" s="131"/>
      <c r="EI464" s="102"/>
      <c r="EJ464" s="102"/>
      <c r="EK464" s="102"/>
      <c r="EL464" s="102"/>
      <c r="EM464" s="99"/>
      <c r="EN464" s="4"/>
      <c r="EO464" s="4"/>
      <c r="EP464" s="5"/>
      <c r="EQ464" s="5"/>
      <c r="ER464" s="99"/>
      <c r="ES464" s="159"/>
      <c r="ET464" s="99"/>
      <c r="EU464" s="99"/>
      <c r="EV464" s="99"/>
      <c r="EW464" s="159"/>
      <c r="EX464" s="99"/>
      <c r="EY464" s="99"/>
      <c r="EZ464" s="175"/>
    </row>
    <row r="465" spans="27:156">
      <c r="AA465" s="18"/>
      <c r="AB465" s="18"/>
      <c r="AC465" s="18"/>
      <c r="AD465" s="19"/>
      <c r="AE465" s="19"/>
      <c r="AI465" s="18"/>
      <c r="AJ465" s="7"/>
      <c r="AK465" s="7"/>
      <c r="AL465" s="7"/>
      <c r="AM465" s="7"/>
      <c r="AN465" s="7"/>
      <c r="AO465" s="7"/>
      <c r="AP465" s="7"/>
      <c r="AQ465" s="7"/>
      <c r="AR465" s="7"/>
      <c r="AS465" s="7"/>
      <c r="AT465" s="7"/>
      <c r="AU465" s="7"/>
      <c r="AV465" s="7"/>
      <c r="AW465" s="7"/>
      <c r="AX465" s="7"/>
      <c r="AY465" s="7"/>
      <c r="AZ465" s="7"/>
      <c r="BA465" s="18"/>
      <c r="BG465" s="140"/>
      <c r="BH465" s="131"/>
      <c r="BI465" s="102"/>
      <c r="BJ465" s="102"/>
      <c r="BK465" s="102"/>
      <c r="BL465" s="102"/>
      <c r="BM465" s="99"/>
      <c r="BN465" s="4"/>
      <c r="BO465" s="4"/>
      <c r="BP465" s="5"/>
      <c r="BQ465" s="5"/>
      <c r="BR465" s="99"/>
      <c r="BS465" s="159"/>
      <c r="BT465" s="99"/>
      <c r="BU465" s="99"/>
      <c r="BV465" s="99"/>
      <c r="BW465" s="159"/>
      <c r="BX465" s="99"/>
      <c r="BY465" s="99"/>
      <c r="BZ465" s="159"/>
      <c r="DA465" s="174"/>
      <c r="DB465" s="18"/>
      <c r="DC465" s="18"/>
      <c r="DD465" s="19"/>
      <c r="DE465" s="19"/>
      <c r="DI465" s="18"/>
      <c r="DJ465" s="7"/>
      <c r="DK465" s="7"/>
      <c r="DL465" s="7"/>
      <c r="DM465" s="7"/>
      <c r="DN465" s="7"/>
      <c r="DO465" s="7"/>
      <c r="DP465" s="7"/>
      <c r="DQ465" s="7"/>
      <c r="DR465" s="7"/>
      <c r="DS465" s="7"/>
      <c r="DT465" s="7"/>
      <c r="DU465" s="7"/>
      <c r="DV465" s="7"/>
      <c r="DW465" s="7"/>
      <c r="DX465" s="7"/>
      <c r="DY465" s="7"/>
      <c r="DZ465" s="7"/>
      <c r="EA465" s="161"/>
      <c r="EG465" s="140"/>
      <c r="EH465" s="131"/>
      <c r="EI465" s="102"/>
      <c r="EJ465" s="102"/>
      <c r="EK465" s="102"/>
      <c r="EL465" s="102"/>
      <c r="EM465" s="99"/>
      <c r="EN465" s="4"/>
      <c r="EO465" s="4"/>
      <c r="EP465" s="5"/>
      <c r="EQ465" s="5"/>
      <c r="ER465" s="99"/>
      <c r="ES465" s="159"/>
      <c r="ET465" s="99"/>
      <c r="EU465" s="99"/>
      <c r="EV465" s="99"/>
      <c r="EW465" s="159"/>
      <c r="EX465" s="99"/>
      <c r="EY465" s="99"/>
      <c r="EZ465" s="175"/>
    </row>
    <row r="466" spans="27:156">
      <c r="AA466" s="18"/>
      <c r="AB466" s="18"/>
      <c r="AC466" s="18"/>
      <c r="AD466" s="19"/>
      <c r="AE466" s="19"/>
      <c r="AI466" s="18"/>
      <c r="AJ466" s="7"/>
      <c r="AK466" s="7"/>
      <c r="AL466" s="7"/>
      <c r="AM466" s="7"/>
      <c r="AN466" s="7"/>
      <c r="AO466" s="7"/>
      <c r="AP466" s="7"/>
      <c r="AQ466" s="7"/>
      <c r="AR466" s="7"/>
      <c r="AS466" s="7"/>
      <c r="AT466" s="7"/>
      <c r="AU466" s="7"/>
      <c r="AV466" s="7"/>
      <c r="AW466" s="7"/>
      <c r="AX466" s="7"/>
      <c r="AY466" s="7"/>
      <c r="AZ466" s="7"/>
      <c r="BA466" s="18"/>
      <c r="BG466" s="140"/>
      <c r="BH466" s="131"/>
      <c r="BI466" s="102"/>
      <c r="BJ466" s="102"/>
      <c r="BK466" s="102"/>
      <c r="BL466" s="102"/>
      <c r="BM466" s="99"/>
      <c r="BN466" s="4"/>
      <c r="BO466" s="4"/>
      <c r="BP466" s="5"/>
      <c r="BQ466" s="5"/>
      <c r="BR466" s="99"/>
      <c r="BS466" s="159"/>
      <c r="BT466" s="99"/>
      <c r="BU466" s="99"/>
      <c r="BV466" s="99"/>
      <c r="BW466" s="159"/>
      <c r="BX466" s="99"/>
      <c r="BY466" s="99"/>
      <c r="BZ466" s="159"/>
      <c r="DA466" s="174"/>
      <c r="DB466" s="18"/>
      <c r="DC466" s="18"/>
      <c r="DD466" s="19"/>
      <c r="DE466" s="19"/>
      <c r="DI466" s="18"/>
      <c r="DJ466" s="7"/>
      <c r="DK466" s="7"/>
      <c r="DL466" s="7"/>
      <c r="DM466" s="7"/>
      <c r="DN466" s="7"/>
      <c r="DO466" s="7"/>
      <c r="DP466" s="7"/>
      <c r="DQ466" s="7"/>
      <c r="DR466" s="7"/>
      <c r="DS466" s="7"/>
      <c r="DT466" s="7"/>
      <c r="DU466" s="7"/>
      <c r="DV466" s="7"/>
      <c r="DW466" s="7"/>
      <c r="DX466" s="7"/>
      <c r="DY466" s="7"/>
      <c r="DZ466" s="7"/>
      <c r="EA466" s="161"/>
      <c r="EG466" s="140"/>
      <c r="EH466" s="131"/>
      <c r="EI466" s="102"/>
      <c r="EJ466" s="102"/>
      <c r="EK466" s="102"/>
      <c r="EL466" s="102"/>
      <c r="EM466" s="99"/>
      <c r="EN466" s="4"/>
      <c r="EO466" s="4"/>
      <c r="EP466" s="5"/>
      <c r="EQ466" s="5"/>
      <c r="ER466" s="99"/>
      <c r="ES466" s="159"/>
      <c r="ET466" s="99"/>
      <c r="EU466" s="99"/>
      <c r="EV466" s="99"/>
      <c r="EW466" s="159"/>
      <c r="EX466" s="99"/>
      <c r="EY466" s="99"/>
      <c r="EZ466" s="175"/>
    </row>
    <row r="467" spans="27:156">
      <c r="AA467" s="18"/>
      <c r="AB467" s="18"/>
      <c r="AC467" s="18"/>
      <c r="AD467" s="19"/>
      <c r="AE467" s="19"/>
      <c r="AI467" s="18"/>
      <c r="AJ467" s="7"/>
      <c r="AK467" s="7"/>
      <c r="AL467" s="7"/>
      <c r="AM467" s="7"/>
      <c r="AN467" s="7"/>
      <c r="AO467" s="7"/>
      <c r="AP467" s="7"/>
      <c r="AQ467" s="7"/>
      <c r="AR467" s="7"/>
      <c r="AS467" s="7"/>
      <c r="AT467" s="7"/>
      <c r="AU467" s="7"/>
      <c r="AV467" s="7"/>
      <c r="AW467" s="7"/>
      <c r="AX467" s="7"/>
      <c r="AY467" s="7"/>
      <c r="AZ467" s="7"/>
      <c r="BA467" s="18"/>
      <c r="BG467" s="140"/>
      <c r="BH467" s="131"/>
      <c r="BI467" s="102"/>
      <c r="BJ467" s="102"/>
      <c r="BK467" s="102"/>
      <c r="BL467" s="102"/>
      <c r="BM467" s="99"/>
      <c r="BN467" s="4"/>
      <c r="BO467" s="4"/>
      <c r="BP467" s="5"/>
      <c r="BQ467" s="5"/>
      <c r="BR467" s="99"/>
      <c r="BS467" s="159"/>
      <c r="BT467" s="99"/>
      <c r="BU467" s="99"/>
      <c r="BV467" s="99"/>
      <c r="BW467" s="159"/>
      <c r="BX467" s="99"/>
      <c r="BY467" s="99"/>
      <c r="BZ467" s="159"/>
      <c r="DA467" s="174"/>
      <c r="DB467" s="18"/>
      <c r="DC467" s="18"/>
      <c r="DD467" s="19"/>
      <c r="DE467" s="19"/>
      <c r="DI467" s="18"/>
      <c r="DJ467" s="7"/>
      <c r="DK467" s="7"/>
      <c r="DL467" s="7"/>
      <c r="DM467" s="7"/>
      <c r="DN467" s="7"/>
      <c r="DO467" s="7"/>
      <c r="DP467" s="7"/>
      <c r="DQ467" s="7"/>
      <c r="DR467" s="7"/>
      <c r="DS467" s="7"/>
      <c r="DT467" s="7"/>
      <c r="DU467" s="7"/>
      <c r="DV467" s="7"/>
      <c r="DW467" s="7"/>
      <c r="DX467" s="7"/>
      <c r="DY467" s="7"/>
      <c r="DZ467" s="7"/>
      <c r="EA467" s="161"/>
      <c r="EG467" s="140"/>
      <c r="EH467" s="131"/>
      <c r="EI467" s="102"/>
      <c r="EJ467" s="102"/>
      <c r="EK467" s="102"/>
      <c r="EL467" s="102"/>
      <c r="EM467" s="99"/>
      <c r="EN467" s="4"/>
      <c r="EO467" s="4"/>
      <c r="EP467" s="5"/>
      <c r="EQ467" s="5"/>
      <c r="ER467" s="99"/>
      <c r="ES467" s="159"/>
      <c r="ET467" s="99"/>
      <c r="EU467" s="99"/>
      <c r="EV467" s="99"/>
      <c r="EW467" s="159"/>
      <c r="EX467" s="99"/>
      <c r="EY467" s="99"/>
      <c r="EZ467" s="175"/>
    </row>
    <row r="468" spans="27:156">
      <c r="AA468" s="18"/>
      <c r="AB468" s="18"/>
      <c r="AC468" s="18"/>
      <c r="AD468" s="19"/>
      <c r="AE468" s="19"/>
      <c r="AI468" s="18"/>
      <c r="AJ468" s="7"/>
      <c r="AK468" s="7"/>
      <c r="AL468" s="7"/>
      <c r="AM468" s="7"/>
      <c r="AN468" s="7"/>
      <c r="AO468" s="7"/>
      <c r="AP468" s="7"/>
      <c r="AQ468" s="7"/>
      <c r="AR468" s="7"/>
      <c r="AS468" s="7"/>
      <c r="AT468" s="7"/>
      <c r="AU468" s="7"/>
      <c r="AV468" s="7"/>
      <c r="AW468" s="7"/>
      <c r="AX468" s="7"/>
      <c r="AY468" s="7"/>
      <c r="AZ468" s="7"/>
      <c r="BA468" s="18"/>
      <c r="BG468" s="140"/>
      <c r="BH468" s="131"/>
      <c r="BI468" s="102"/>
      <c r="BJ468" s="102"/>
      <c r="BK468" s="102"/>
      <c r="BL468" s="102"/>
      <c r="BM468" s="99"/>
      <c r="BN468" s="4"/>
      <c r="BO468" s="4"/>
      <c r="BP468" s="5"/>
      <c r="BQ468" s="5"/>
      <c r="BR468" s="99"/>
      <c r="BS468" s="159"/>
      <c r="BT468" s="99"/>
      <c r="BU468" s="99"/>
      <c r="BV468" s="99"/>
      <c r="BW468" s="159"/>
      <c r="BX468" s="99"/>
      <c r="BY468" s="99"/>
      <c r="BZ468" s="159"/>
      <c r="DA468" s="174"/>
      <c r="DB468" s="18"/>
      <c r="DC468" s="18"/>
      <c r="DD468" s="19"/>
      <c r="DE468" s="19"/>
      <c r="DI468" s="18"/>
      <c r="DJ468" s="7"/>
      <c r="DK468" s="7"/>
      <c r="DL468" s="7"/>
      <c r="DM468" s="7"/>
      <c r="DN468" s="7"/>
      <c r="DO468" s="7"/>
      <c r="DP468" s="7"/>
      <c r="DQ468" s="7"/>
      <c r="DR468" s="7"/>
      <c r="DS468" s="7"/>
      <c r="DT468" s="7"/>
      <c r="DU468" s="7"/>
      <c r="DV468" s="7"/>
      <c r="DW468" s="7"/>
      <c r="DX468" s="7"/>
      <c r="DY468" s="7"/>
      <c r="DZ468" s="7"/>
      <c r="EA468" s="161"/>
      <c r="EG468" s="140"/>
      <c r="EH468" s="131"/>
      <c r="EI468" s="102"/>
      <c r="EJ468" s="102"/>
      <c r="EK468" s="102"/>
      <c r="EL468" s="102"/>
      <c r="EM468" s="99"/>
      <c r="EN468" s="4"/>
      <c r="EO468" s="4"/>
      <c r="EP468" s="5"/>
      <c r="EQ468" s="5"/>
      <c r="ER468" s="99"/>
      <c r="ES468" s="159"/>
      <c r="ET468" s="99"/>
      <c r="EU468" s="99"/>
      <c r="EV468" s="99"/>
      <c r="EW468" s="159"/>
      <c r="EX468" s="99"/>
      <c r="EY468" s="99"/>
      <c r="EZ468" s="175"/>
    </row>
    <row r="469" spans="27:156">
      <c r="AA469" s="18"/>
      <c r="AB469" s="18"/>
      <c r="AC469" s="18"/>
      <c r="AD469" s="19"/>
      <c r="AE469" s="19"/>
      <c r="AI469" s="18"/>
      <c r="AJ469" s="7"/>
      <c r="AK469" s="7"/>
      <c r="AL469" s="7"/>
      <c r="AM469" s="7"/>
      <c r="AN469" s="7"/>
      <c r="AO469" s="7"/>
      <c r="AP469" s="7"/>
      <c r="AQ469" s="7"/>
      <c r="AR469" s="7"/>
      <c r="AS469" s="7"/>
      <c r="AT469" s="7"/>
      <c r="AU469" s="7"/>
      <c r="AV469" s="7"/>
      <c r="AW469" s="7"/>
      <c r="AX469" s="7"/>
      <c r="AY469" s="7"/>
      <c r="AZ469" s="7"/>
      <c r="BA469" s="18"/>
      <c r="BG469" s="140"/>
      <c r="BH469" s="131"/>
      <c r="BI469" s="102"/>
      <c r="BJ469" s="102"/>
      <c r="BK469" s="102"/>
      <c r="BL469" s="102"/>
      <c r="BM469" s="99"/>
      <c r="BN469" s="4"/>
      <c r="BO469" s="4"/>
      <c r="BP469" s="5"/>
      <c r="BQ469" s="5"/>
      <c r="BR469" s="99"/>
      <c r="BS469" s="159"/>
      <c r="BT469" s="99"/>
      <c r="BU469" s="99"/>
      <c r="BV469" s="99"/>
      <c r="BW469" s="159"/>
      <c r="BX469" s="99"/>
      <c r="BY469" s="99"/>
      <c r="BZ469" s="159"/>
      <c r="DA469" s="174"/>
      <c r="DB469" s="18"/>
      <c r="DC469" s="18"/>
      <c r="DD469" s="19"/>
      <c r="DE469" s="19"/>
      <c r="DI469" s="18"/>
      <c r="DJ469" s="7"/>
      <c r="DK469" s="7"/>
      <c r="DL469" s="7"/>
      <c r="DM469" s="7"/>
      <c r="DN469" s="7"/>
      <c r="DO469" s="7"/>
      <c r="DP469" s="7"/>
      <c r="DQ469" s="7"/>
      <c r="DR469" s="7"/>
      <c r="DS469" s="7"/>
      <c r="DT469" s="7"/>
      <c r="DU469" s="7"/>
      <c r="DV469" s="7"/>
      <c r="DW469" s="7"/>
      <c r="DX469" s="7"/>
      <c r="DY469" s="7"/>
      <c r="DZ469" s="7"/>
      <c r="EA469" s="161"/>
      <c r="EG469" s="140"/>
      <c r="EH469" s="131"/>
      <c r="EI469" s="102"/>
      <c r="EJ469" s="102"/>
      <c r="EK469" s="102"/>
      <c r="EL469" s="102"/>
      <c r="EM469" s="99"/>
      <c r="EN469" s="4"/>
      <c r="EO469" s="4"/>
      <c r="EP469" s="5"/>
      <c r="EQ469" s="5"/>
      <c r="ER469" s="99"/>
      <c r="ES469" s="159"/>
      <c r="ET469" s="99"/>
      <c r="EU469" s="99"/>
      <c r="EV469" s="99"/>
      <c r="EW469" s="159"/>
      <c r="EX469" s="99"/>
      <c r="EY469" s="99"/>
      <c r="EZ469" s="175"/>
    </row>
    <row r="470" spans="27:156">
      <c r="AA470" s="18"/>
      <c r="AB470" s="18"/>
      <c r="AC470" s="18"/>
      <c r="AD470" s="19"/>
      <c r="AE470" s="19"/>
      <c r="AI470" s="18"/>
      <c r="AJ470" s="7"/>
      <c r="AK470" s="7"/>
      <c r="AL470" s="7"/>
      <c r="AM470" s="7"/>
      <c r="AN470" s="7"/>
      <c r="AO470" s="7"/>
      <c r="AP470" s="7"/>
      <c r="AQ470" s="7"/>
      <c r="AR470" s="7"/>
      <c r="AS470" s="7"/>
      <c r="AT470" s="7"/>
      <c r="AU470" s="7"/>
      <c r="AV470" s="7"/>
      <c r="AW470" s="7"/>
      <c r="AX470" s="7"/>
      <c r="AY470" s="7"/>
      <c r="AZ470" s="7"/>
      <c r="BA470" s="18"/>
      <c r="BG470" s="140"/>
      <c r="BH470" s="131"/>
      <c r="BI470" s="102"/>
      <c r="BJ470" s="102"/>
      <c r="BK470" s="102"/>
      <c r="BL470" s="102"/>
      <c r="BM470" s="99"/>
      <c r="BN470" s="4"/>
      <c r="BO470" s="4"/>
      <c r="BP470" s="5"/>
      <c r="BQ470" s="5"/>
      <c r="BR470" s="99"/>
      <c r="BS470" s="159"/>
      <c r="BT470" s="99"/>
      <c r="BU470" s="99"/>
      <c r="BV470" s="99"/>
      <c r="BW470" s="159"/>
      <c r="BX470" s="99"/>
      <c r="BY470" s="99"/>
      <c r="BZ470" s="159"/>
      <c r="DA470" s="174"/>
      <c r="DB470" s="18"/>
      <c r="DC470" s="18"/>
      <c r="DD470" s="19"/>
      <c r="DE470" s="19"/>
      <c r="DI470" s="18"/>
      <c r="DJ470" s="7"/>
      <c r="DK470" s="7"/>
      <c r="DL470" s="7"/>
      <c r="DM470" s="7"/>
      <c r="DN470" s="7"/>
      <c r="DO470" s="7"/>
      <c r="DP470" s="7"/>
      <c r="DQ470" s="7"/>
      <c r="DR470" s="7"/>
      <c r="DS470" s="7"/>
      <c r="DT470" s="7"/>
      <c r="DU470" s="7"/>
      <c r="DV470" s="7"/>
      <c r="DW470" s="7"/>
      <c r="DX470" s="7"/>
      <c r="DY470" s="7"/>
      <c r="DZ470" s="7"/>
      <c r="EA470" s="161"/>
      <c r="EG470" s="140"/>
      <c r="EH470" s="131"/>
      <c r="EI470" s="102"/>
      <c r="EJ470" s="102"/>
      <c r="EK470" s="102"/>
      <c r="EL470" s="102"/>
      <c r="EM470" s="99"/>
      <c r="EN470" s="4"/>
      <c r="EO470" s="4"/>
      <c r="EP470" s="5"/>
      <c r="EQ470" s="5"/>
      <c r="ER470" s="99"/>
      <c r="ES470" s="159"/>
      <c r="ET470" s="99"/>
      <c r="EU470" s="99"/>
      <c r="EV470" s="99"/>
      <c r="EW470" s="159"/>
      <c r="EX470" s="99"/>
      <c r="EY470" s="99"/>
      <c r="EZ470" s="175"/>
    </row>
    <row r="471" spans="27:156">
      <c r="AA471" s="18"/>
      <c r="AB471" s="18"/>
      <c r="AC471" s="18"/>
      <c r="AD471" s="19"/>
      <c r="AE471" s="19"/>
      <c r="AI471" s="18"/>
      <c r="AJ471" s="7"/>
      <c r="AK471" s="7"/>
      <c r="AL471" s="7"/>
      <c r="AM471" s="7"/>
      <c r="AN471" s="7"/>
      <c r="AO471" s="7"/>
      <c r="AP471" s="7"/>
      <c r="AQ471" s="7"/>
      <c r="AR471" s="7"/>
      <c r="AS471" s="7"/>
      <c r="AT471" s="7"/>
      <c r="AU471" s="7"/>
      <c r="AV471" s="7"/>
      <c r="AW471" s="7"/>
      <c r="AX471" s="7"/>
      <c r="AY471" s="7"/>
      <c r="AZ471" s="7"/>
      <c r="BA471" s="18"/>
      <c r="BG471" s="140"/>
      <c r="BH471" s="131"/>
      <c r="BI471" s="102"/>
      <c r="BJ471" s="102"/>
      <c r="BK471" s="102"/>
      <c r="BL471" s="102"/>
      <c r="BM471" s="99"/>
      <c r="BN471" s="4"/>
      <c r="BO471" s="4"/>
      <c r="BP471" s="5"/>
      <c r="BQ471" s="5"/>
      <c r="BR471" s="99"/>
      <c r="BS471" s="159"/>
      <c r="BT471" s="99"/>
      <c r="BU471" s="99"/>
      <c r="BV471" s="99"/>
      <c r="BW471" s="159"/>
      <c r="BX471" s="99"/>
      <c r="BY471" s="99"/>
      <c r="BZ471" s="159"/>
      <c r="DA471" s="174"/>
      <c r="DB471" s="18"/>
      <c r="DC471" s="18"/>
      <c r="DD471" s="19"/>
      <c r="DE471" s="19"/>
      <c r="DI471" s="18"/>
      <c r="DJ471" s="7"/>
      <c r="DK471" s="7"/>
      <c r="DL471" s="7"/>
      <c r="DM471" s="7"/>
      <c r="DN471" s="7"/>
      <c r="DO471" s="7"/>
      <c r="DP471" s="7"/>
      <c r="DQ471" s="7"/>
      <c r="DR471" s="7"/>
      <c r="DS471" s="7"/>
      <c r="DT471" s="7"/>
      <c r="DU471" s="7"/>
      <c r="DV471" s="7"/>
      <c r="DW471" s="7"/>
      <c r="DX471" s="7"/>
      <c r="DY471" s="7"/>
      <c r="DZ471" s="7"/>
      <c r="EA471" s="161"/>
      <c r="EG471" s="140"/>
      <c r="EH471" s="131"/>
      <c r="EI471" s="102"/>
      <c r="EJ471" s="102"/>
      <c r="EK471" s="102"/>
      <c r="EL471" s="102"/>
      <c r="EM471" s="99"/>
      <c r="EN471" s="4"/>
      <c r="EO471" s="4"/>
      <c r="EP471" s="5"/>
      <c r="EQ471" s="5"/>
      <c r="ER471" s="99"/>
      <c r="ES471" s="159"/>
      <c r="ET471" s="99"/>
      <c r="EU471" s="99"/>
      <c r="EV471" s="99"/>
      <c r="EW471" s="159"/>
      <c r="EX471" s="99"/>
      <c r="EY471" s="99"/>
      <c r="EZ471" s="175"/>
    </row>
    <row r="472" spans="27:156">
      <c r="AA472" s="18"/>
      <c r="AB472" s="18"/>
      <c r="AC472" s="18"/>
      <c r="AD472" s="19"/>
      <c r="AE472" s="19"/>
      <c r="AI472" s="18"/>
      <c r="AJ472" s="7"/>
      <c r="AK472" s="7"/>
      <c r="AL472" s="7"/>
      <c r="AM472" s="7"/>
      <c r="AN472" s="7"/>
      <c r="AO472" s="7"/>
      <c r="AP472" s="7"/>
      <c r="AQ472" s="7"/>
      <c r="AR472" s="7"/>
      <c r="AS472" s="7"/>
      <c r="AT472" s="7"/>
      <c r="AU472" s="7"/>
      <c r="AV472" s="7"/>
      <c r="AW472" s="7"/>
      <c r="AX472" s="7"/>
      <c r="AY472" s="7"/>
      <c r="AZ472" s="7"/>
      <c r="BA472" s="18"/>
      <c r="BG472" s="140"/>
      <c r="BH472" s="131"/>
      <c r="BI472" s="102"/>
      <c r="BJ472" s="102"/>
      <c r="BK472" s="102"/>
      <c r="BL472" s="102"/>
      <c r="BM472" s="99"/>
      <c r="BN472" s="4"/>
      <c r="BO472" s="4"/>
      <c r="BP472" s="5"/>
      <c r="BQ472" s="5"/>
      <c r="BR472" s="99"/>
      <c r="BS472" s="159"/>
      <c r="BT472" s="99"/>
      <c r="BU472" s="99"/>
      <c r="BV472" s="99"/>
      <c r="BW472" s="159"/>
      <c r="BX472" s="99"/>
      <c r="BY472" s="99"/>
      <c r="BZ472" s="159"/>
      <c r="DA472" s="174"/>
      <c r="DB472" s="18"/>
      <c r="DC472" s="18"/>
      <c r="DD472" s="19"/>
      <c r="DE472" s="19"/>
      <c r="DI472" s="18"/>
      <c r="DJ472" s="7"/>
      <c r="DK472" s="7"/>
      <c r="DL472" s="7"/>
      <c r="DM472" s="7"/>
      <c r="DN472" s="7"/>
      <c r="DO472" s="7"/>
      <c r="DP472" s="7"/>
      <c r="DQ472" s="7"/>
      <c r="DR472" s="7"/>
      <c r="DS472" s="7"/>
      <c r="DT472" s="7"/>
      <c r="DU472" s="7"/>
      <c r="DV472" s="7"/>
      <c r="DW472" s="7"/>
      <c r="DX472" s="7"/>
      <c r="DY472" s="7"/>
      <c r="DZ472" s="7"/>
      <c r="EA472" s="161"/>
      <c r="EG472" s="140"/>
      <c r="EH472" s="131"/>
      <c r="EI472" s="102"/>
      <c r="EJ472" s="102"/>
      <c r="EK472" s="102"/>
      <c r="EL472" s="102"/>
      <c r="EM472" s="99"/>
      <c r="EN472" s="4"/>
      <c r="EO472" s="4"/>
      <c r="EP472" s="5"/>
      <c r="EQ472" s="5"/>
      <c r="ER472" s="99"/>
      <c r="ES472" s="159"/>
      <c r="ET472" s="99"/>
      <c r="EU472" s="99"/>
      <c r="EV472" s="99"/>
      <c r="EW472" s="159"/>
      <c r="EX472" s="99"/>
      <c r="EY472" s="99"/>
      <c r="EZ472" s="175"/>
    </row>
    <row r="473" spans="27:156">
      <c r="AA473" s="18"/>
      <c r="AB473" s="18"/>
      <c r="AC473" s="18"/>
      <c r="AD473" s="19"/>
      <c r="AE473" s="19"/>
      <c r="AI473" s="18"/>
      <c r="AJ473" s="7"/>
      <c r="AK473" s="7"/>
      <c r="AL473" s="7"/>
      <c r="AM473" s="7"/>
      <c r="AN473" s="7"/>
      <c r="AO473" s="7"/>
      <c r="AP473" s="7"/>
      <c r="AQ473" s="7"/>
      <c r="AR473" s="7"/>
      <c r="AS473" s="7"/>
      <c r="AT473" s="7"/>
      <c r="AU473" s="7"/>
      <c r="AV473" s="7"/>
      <c r="AW473" s="7"/>
      <c r="AX473" s="7"/>
      <c r="AY473" s="7"/>
      <c r="AZ473" s="7"/>
      <c r="BA473" s="18"/>
      <c r="BG473" s="140"/>
      <c r="BH473" s="131"/>
      <c r="BI473" s="102"/>
      <c r="BJ473" s="102"/>
      <c r="BK473" s="102"/>
      <c r="BL473" s="102"/>
      <c r="BM473" s="99"/>
      <c r="BN473" s="4"/>
      <c r="BO473" s="4"/>
      <c r="BP473" s="5"/>
      <c r="BQ473" s="5"/>
      <c r="BR473" s="99"/>
      <c r="BS473" s="159"/>
      <c r="BT473" s="99"/>
      <c r="BU473" s="99"/>
      <c r="BV473" s="99"/>
      <c r="BW473" s="159"/>
      <c r="BX473" s="99"/>
      <c r="BY473" s="99"/>
      <c r="BZ473" s="159"/>
      <c r="DA473" s="174"/>
      <c r="DB473" s="18"/>
      <c r="DC473" s="18"/>
      <c r="DD473" s="19"/>
      <c r="DE473" s="19"/>
      <c r="DI473" s="18"/>
      <c r="DJ473" s="7"/>
      <c r="DK473" s="7"/>
      <c r="DL473" s="7"/>
      <c r="DM473" s="7"/>
      <c r="DN473" s="7"/>
      <c r="DO473" s="7"/>
      <c r="DP473" s="7"/>
      <c r="DQ473" s="7"/>
      <c r="DR473" s="7"/>
      <c r="DS473" s="7"/>
      <c r="DT473" s="7"/>
      <c r="DU473" s="7"/>
      <c r="DV473" s="7"/>
      <c r="DW473" s="7"/>
      <c r="DX473" s="7"/>
      <c r="DY473" s="7"/>
      <c r="DZ473" s="7"/>
      <c r="EA473" s="161"/>
      <c r="EG473" s="140"/>
      <c r="EH473" s="131"/>
      <c r="EI473" s="102"/>
      <c r="EJ473" s="102"/>
      <c r="EK473" s="102"/>
      <c r="EL473" s="102"/>
      <c r="EM473" s="99"/>
      <c r="EN473" s="4"/>
      <c r="EO473" s="4"/>
      <c r="EP473" s="5"/>
      <c r="EQ473" s="5"/>
      <c r="ER473" s="99"/>
      <c r="ES473" s="159"/>
      <c r="ET473" s="99"/>
      <c r="EU473" s="99"/>
      <c r="EV473" s="99"/>
      <c r="EW473" s="159"/>
      <c r="EX473" s="99"/>
      <c r="EY473" s="99"/>
      <c r="EZ473" s="175"/>
    </row>
    <row r="474" spans="27:156">
      <c r="AA474" s="18"/>
      <c r="AB474" s="18"/>
      <c r="AC474" s="18"/>
      <c r="AD474" s="19"/>
      <c r="AE474" s="19"/>
      <c r="AI474" s="18"/>
      <c r="AJ474" s="7"/>
      <c r="AK474" s="7"/>
      <c r="AL474" s="7"/>
      <c r="AM474" s="7"/>
      <c r="AN474" s="7"/>
      <c r="AO474" s="7"/>
      <c r="AP474" s="7"/>
      <c r="AQ474" s="7"/>
      <c r="AR474" s="7"/>
      <c r="AS474" s="7"/>
      <c r="AT474" s="7"/>
      <c r="AU474" s="7"/>
      <c r="AV474" s="7"/>
      <c r="AW474" s="7"/>
      <c r="AX474" s="7"/>
      <c r="AY474" s="7"/>
      <c r="AZ474" s="7"/>
      <c r="BA474" s="18"/>
      <c r="BG474" s="140"/>
      <c r="BH474" s="131"/>
      <c r="BI474" s="102"/>
      <c r="BJ474" s="102"/>
      <c r="BK474" s="102"/>
      <c r="BL474" s="102"/>
      <c r="BM474" s="99"/>
      <c r="BN474" s="4"/>
      <c r="BO474" s="4"/>
      <c r="BP474" s="5"/>
      <c r="BQ474" s="5"/>
      <c r="BR474" s="99"/>
      <c r="BS474" s="159"/>
      <c r="BT474" s="99"/>
      <c r="BU474" s="99"/>
      <c r="BV474" s="99"/>
      <c r="BW474" s="159"/>
      <c r="BX474" s="99"/>
      <c r="BY474" s="99"/>
      <c r="BZ474" s="159"/>
      <c r="DA474" s="174"/>
      <c r="DB474" s="18"/>
      <c r="DC474" s="18"/>
      <c r="DD474" s="19"/>
      <c r="DE474" s="19"/>
      <c r="DI474" s="18"/>
      <c r="DJ474" s="7"/>
      <c r="DK474" s="7"/>
      <c r="DL474" s="7"/>
      <c r="DM474" s="7"/>
      <c r="DN474" s="7"/>
      <c r="DO474" s="7"/>
      <c r="DP474" s="7"/>
      <c r="DQ474" s="7"/>
      <c r="DR474" s="7"/>
      <c r="DS474" s="7"/>
      <c r="DT474" s="7"/>
      <c r="DU474" s="7"/>
      <c r="DV474" s="7"/>
      <c r="DW474" s="7"/>
      <c r="DX474" s="7"/>
      <c r="DY474" s="7"/>
      <c r="DZ474" s="7"/>
      <c r="EA474" s="161"/>
      <c r="EG474" s="140"/>
      <c r="EH474" s="131"/>
      <c r="EI474" s="102"/>
      <c r="EJ474" s="102"/>
      <c r="EK474" s="102"/>
      <c r="EL474" s="102"/>
      <c r="EM474" s="99"/>
      <c r="EN474" s="4"/>
      <c r="EO474" s="4"/>
      <c r="EP474" s="5"/>
      <c r="EQ474" s="5"/>
      <c r="ER474" s="99"/>
      <c r="ES474" s="159"/>
      <c r="ET474" s="99"/>
      <c r="EU474" s="99"/>
      <c r="EV474" s="99"/>
      <c r="EW474" s="159"/>
      <c r="EX474" s="99"/>
      <c r="EY474" s="99"/>
      <c r="EZ474" s="175"/>
    </row>
    <row r="475" spans="27:156">
      <c r="AA475" s="18"/>
      <c r="AB475" s="18"/>
      <c r="AC475" s="18"/>
      <c r="AD475" s="19"/>
      <c r="AE475" s="19"/>
      <c r="AI475" s="18"/>
      <c r="AJ475" s="7"/>
      <c r="AK475" s="7"/>
      <c r="AL475" s="7"/>
      <c r="AM475" s="7"/>
      <c r="AN475" s="7"/>
      <c r="AO475" s="7"/>
      <c r="AP475" s="7"/>
      <c r="AQ475" s="7"/>
      <c r="AR475" s="7"/>
      <c r="AS475" s="7"/>
      <c r="AT475" s="7"/>
      <c r="AU475" s="7"/>
      <c r="AV475" s="7"/>
      <c r="AW475" s="7"/>
      <c r="AX475" s="7"/>
      <c r="AY475" s="7"/>
      <c r="AZ475" s="7"/>
      <c r="BA475" s="18"/>
      <c r="BG475" s="140"/>
      <c r="BH475" s="131"/>
      <c r="BI475" s="102"/>
      <c r="BJ475" s="102"/>
      <c r="BK475" s="102"/>
      <c r="BL475" s="102"/>
      <c r="BM475" s="99"/>
      <c r="BN475" s="4"/>
      <c r="BO475" s="4"/>
      <c r="BP475" s="5"/>
      <c r="BQ475" s="5"/>
      <c r="BR475" s="99"/>
      <c r="BS475" s="159"/>
      <c r="BT475" s="99"/>
      <c r="BU475" s="99"/>
      <c r="BV475" s="99"/>
      <c r="BW475" s="159"/>
      <c r="BX475" s="99"/>
      <c r="BY475" s="99"/>
      <c r="BZ475" s="159"/>
      <c r="DA475" s="174"/>
      <c r="DB475" s="18"/>
      <c r="DC475" s="18"/>
      <c r="DD475" s="19"/>
      <c r="DE475" s="19"/>
      <c r="DI475" s="18"/>
      <c r="DJ475" s="7"/>
      <c r="DK475" s="7"/>
      <c r="DL475" s="7"/>
      <c r="DM475" s="7"/>
      <c r="DN475" s="7"/>
      <c r="DO475" s="7"/>
      <c r="DP475" s="7"/>
      <c r="DQ475" s="7"/>
      <c r="DR475" s="7"/>
      <c r="DS475" s="7"/>
      <c r="DT475" s="7"/>
      <c r="DU475" s="7"/>
      <c r="DV475" s="7"/>
      <c r="DW475" s="7"/>
      <c r="DX475" s="7"/>
      <c r="DY475" s="7"/>
      <c r="DZ475" s="7"/>
      <c r="EA475" s="161"/>
      <c r="EG475" s="140"/>
      <c r="EH475" s="131"/>
      <c r="EI475" s="102"/>
      <c r="EJ475" s="102"/>
      <c r="EK475" s="102"/>
      <c r="EL475" s="102"/>
      <c r="EM475" s="99"/>
      <c r="EN475" s="4"/>
      <c r="EO475" s="4"/>
      <c r="EP475" s="5"/>
      <c r="EQ475" s="5"/>
      <c r="ER475" s="99"/>
      <c r="ES475" s="159"/>
      <c r="ET475" s="99"/>
      <c r="EU475" s="99"/>
      <c r="EV475" s="99"/>
      <c r="EW475" s="159"/>
      <c r="EX475" s="99"/>
      <c r="EY475" s="99"/>
      <c r="EZ475" s="175"/>
    </row>
    <row r="476" spans="27:156">
      <c r="AA476" s="18"/>
      <c r="AB476" s="18"/>
      <c r="AC476" s="18"/>
      <c r="AD476" s="19"/>
      <c r="AE476" s="19"/>
      <c r="AI476" s="18"/>
      <c r="AJ476" s="7"/>
      <c r="AK476" s="7"/>
      <c r="AL476" s="7"/>
      <c r="AM476" s="7"/>
      <c r="AN476" s="7"/>
      <c r="AO476" s="7"/>
      <c r="AP476" s="7"/>
      <c r="AQ476" s="7"/>
      <c r="AR476" s="7"/>
      <c r="AS476" s="7"/>
      <c r="AT476" s="7"/>
      <c r="AU476" s="7"/>
      <c r="AV476" s="7"/>
      <c r="AW476" s="7"/>
      <c r="AX476" s="7"/>
      <c r="AY476" s="7"/>
      <c r="AZ476" s="7"/>
      <c r="BA476" s="18"/>
      <c r="BG476" s="140"/>
      <c r="BH476" s="131"/>
      <c r="BI476" s="102"/>
      <c r="BJ476" s="102"/>
      <c r="BK476" s="102"/>
      <c r="BL476" s="102"/>
      <c r="BM476" s="99"/>
      <c r="BN476" s="4"/>
      <c r="BO476" s="4"/>
      <c r="BP476" s="5"/>
      <c r="BQ476" s="5"/>
      <c r="BR476" s="99"/>
      <c r="BS476" s="159"/>
      <c r="BT476" s="99"/>
      <c r="BU476" s="99"/>
      <c r="BV476" s="99"/>
      <c r="BW476" s="159"/>
      <c r="BX476" s="99"/>
      <c r="BY476" s="99"/>
      <c r="BZ476" s="159"/>
      <c r="DA476" s="174"/>
      <c r="DB476" s="18"/>
      <c r="DC476" s="18"/>
      <c r="DD476" s="19"/>
      <c r="DE476" s="19"/>
      <c r="DI476" s="18"/>
      <c r="DJ476" s="7"/>
      <c r="DK476" s="7"/>
      <c r="DL476" s="7"/>
      <c r="DM476" s="7"/>
      <c r="DN476" s="7"/>
      <c r="DO476" s="7"/>
      <c r="DP476" s="7"/>
      <c r="DQ476" s="7"/>
      <c r="DR476" s="7"/>
      <c r="DS476" s="7"/>
      <c r="DT476" s="7"/>
      <c r="DU476" s="7"/>
      <c r="DV476" s="7"/>
      <c r="DW476" s="7"/>
      <c r="DX476" s="7"/>
      <c r="DY476" s="7"/>
      <c r="DZ476" s="7"/>
      <c r="EA476" s="161"/>
      <c r="EG476" s="140"/>
      <c r="EH476" s="131"/>
      <c r="EI476" s="102"/>
      <c r="EJ476" s="102"/>
      <c r="EK476" s="102"/>
      <c r="EL476" s="102"/>
      <c r="EM476" s="99"/>
      <c r="EN476" s="4"/>
      <c r="EO476" s="4"/>
      <c r="EP476" s="5"/>
      <c r="EQ476" s="5"/>
      <c r="ER476" s="99"/>
      <c r="ES476" s="159"/>
      <c r="ET476" s="99"/>
      <c r="EU476" s="99"/>
      <c r="EV476" s="99"/>
      <c r="EW476" s="159"/>
      <c r="EX476" s="99"/>
      <c r="EY476" s="99"/>
      <c r="EZ476" s="175"/>
    </row>
    <row r="477" spans="27:156">
      <c r="AA477" s="18"/>
      <c r="AB477" s="18"/>
      <c r="AC477" s="18"/>
      <c r="AD477" s="19"/>
      <c r="AE477" s="19"/>
      <c r="AI477" s="18"/>
      <c r="AJ477" s="7"/>
      <c r="AK477" s="7"/>
      <c r="AL477" s="7"/>
      <c r="AM477" s="7"/>
      <c r="AN477" s="7"/>
      <c r="AO477" s="7"/>
      <c r="AP477" s="7"/>
      <c r="AQ477" s="7"/>
      <c r="AR477" s="7"/>
      <c r="AS477" s="7"/>
      <c r="AT477" s="7"/>
      <c r="AU477" s="7"/>
      <c r="AV477" s="7"/>
      <c r="AW477" s="7"/>
      <c r="AX477" s="7"/>
      <c r="AY477" s="7"/>
      <c r="AZ477" s="7"/>
      <c r="BA477" s="18"/>
      <c r="BG477" s="140"/>
      <c r="BH477" s="131"/>
      <c r="BI477" s="102"/>
      <c r="BJ477" s="102"/>
      <c r="BK477" s="102"/>
      <c r="BL477" s="102"/>
      <c r="BM477" s="99"/>
      <c r="BN477" s="4"/>
      <c r="BO477" s="4"/>
      <c r="BP477" s="5"/>
      <c r="BQ477" s="5"/>
      <c r="BR477" s="99"/>
      <c r="BS477" s="159"/>
      <c r="BT477" s="99"/>
      <c r="BU477" s="99"/>
      <c r="BV477" s="99"/>
      <c r="BW477" s="159"/>
      <c r="BX477" s="99"/>
      <c r="BY477" s="99"/>
      <c r="BZ477" s="159"/>
      <c r="DA477" s="174"/>
      <c r="DB477" s="18"/>
      <c r="DC477" s="18"/>
      <c r="DD477" s="19"/>
      <c r="DE477" s="19"/>
      <c r="DI477" s="18"/>
      <c r="DJ477" s="7"/>
      <c r="DK477" s="7"/>
      <c r="DL477" s="7"/>
      <c r="DM477" s="7"/>
      <c r="DN477" s="7"/>
      <c r="DO477" s="7"/>
      <c r="DP477" s="7"/>
      <c r="DQ477" s="7"/>
      <c r="DR477" s="7"/>
      <c r="DS477" s="7"/>
      <c r="DT477" s="7"/>
      <c r="DU477" s="7"/>
      <c r="DV477" s="7"/>
      <c r="DW477" s="7"/>
      <c r="DX477" s="7"/>
      <c r="DY477" s="7"/>
      <c r="DZ477" s="7"/>
      <c r="EA477" s="161"/>
      <c r="EG477" s="140"/>
      <c r="EH477" s="131"/>
      <c r="EI477" s="102"/>
      <c r="EJ477" s="102"/>
      <c r="EK477" s="102"/>
      <c r="EL477" s="102"/>
      <c r="EM477" s="99"/>
      <c r="EN477" s="4"/>
      <c r="EO477" s="4"/>
      <c r="EP477" s="5"/>
      <c r="EQ477" s="5"/>
      <c r="ER477" s="99"/>
      <c r="ES477" s="159"/>
      <c r="ET477" s="99"/>
      <c r="EU477" s="99"/>
      <c r="EV477" s="99"/>
      <c r="EW477" s="159"/>
      <c r="EX477" s="99"/>
      <c r="EY477" s="99"/>
      <c r="EZ477" s="175"/>
    </row>
    <row r="478" spans="27:156">
      <c r="AA478" s="18"/>
      <c r="AB478" s="18"/>
      <c r="AC478" s="18"/>
      <c r="AD478" s="19"/>
      <c r="AE478" s="19"/>
      <c r="AI478" s="18"/>
      <c r="AJ478" s="7"/>
      <c r="AK478" s="7"/>
      <c r="AL478" s="7"/>
      <c r="AM478" s="7"/>
      <c r="AN478" s="7"/>
      <c r="AO478" s="7"/>
      <c r="AP478" s="7"/>
      <c r="AQ478" s="7"/>
      <c r="AR478" s="7"/>
      <c r="AS478" s="7"/>
      <c r="AT478" s="7"/>
      <c r="AU478" s="7"/>
      <c r="AV478" s="7"/>
      <c r="AW478" s="7"/>
      <c r="AX478" s="7"/>
      <c r="AY478" s="7"/>
      <c r="AZ478" s="7"/>
      <c r="BA478" s="18"/>
      <c r="BG478" s="140"/>
      <c r="BH478" s="131"/>
      <c r="BI478" s="102"/>
      <c r="BJ478" s="102"/>
      <c r="BK478" s="102"/>
      <c r="BL478" s="102"/>
      <c r="BM478" s="99"/>
      <c r="BN478" s="4"/>
      <c r="BO478" s="4"/>
      <c r="BP478" s="5"/>
      <c r="BQ478" s="5"/>
      <c r="BR478" s="99"/>
      <c r="BS478" s="159"/>
      <c r="BT478" s="99"/>
      <c r="BU478" s="99"/>
      <c r="BV478" s="99"/>
      <c r="BW478" s="159"/>
      <c r="BX478" s="99"/>
      <c r="BY478" s="99"/>
      <c r="BZ478" s="159"/>
      <c r="DA478" s="174"/>
      <c r="DB478" s="18"/>
      <c r="DC478" s="18"/>
      <c r="DD478" s="19"/>
      <c r="DE478" s="19"/>
      <c r="DI478" s="18"/>
      <c r="DJ478" s="7"/>
      <c r="DK478" s="7"/>
      <c r="DL478" s="7"/>
      <c r="DM478" s="7"/>
      <c r="DN478" s="7"/>
      <c r="DO478" s="7"/>
      <c r="DP478" s="7"/>
      <c r="DQ478" s="7"/>
      <c r="DR478" s="7"/>
      <c r="DS478" s="7"/>
      <c r="DT478" s="7"/>
      <c r="DU478" s="7"/>
      <c r="DV478" s="7"/>
      <c r="DW478" s="7"/>
      <c r="DX478" s="7"/>
      <c r="DY478" s="7"/>
      <c r="DZ478" s="7"/>
      <c r="EA478" s="161"/>
      <c r="EG478" s="140"/>
      <c r="EH478" s="131"/>
      <c r="EI478" s="102"/>
      <c r="EJ478" s="102"/>
      <c r="EK478" s="102"/>
      <c r="EL478" s="102"/>
      <c r="EM478" s="99"/>
      <c r="EN478" s="4"/>
      <c r="EO478" s="4"/>
      <c r="EP478" s="5"/>
      <c r="EQ478" s="5"/>
      <c r="ER478" s="99"/>
      <c r="ES478" s="159"/>
      <c r="ET478" s="99"/>
      <c r="EU478" s="99"/>
      <c r="EV478" s="99"/>
      <c r="EW478" s="159"/>
      <c r="EX478" s="99"/>
      <c r="EY478" s="99"/>
      <c r="EZ478" s="175"/>
    </row>
    <row r="479" spans="27:156">
      <c r="AA479" s="18"/>
      <c r="AB479" s="18"/>
      <c r="AC479" s="18"/>
      <c r="AD479" s="19"/>
      <c r="AE479" s="19"/>
      <c r="AI479" s="18"/>
      <c r="AJ479" s="7"/>
      <c r="AK479" s="7"/>
      <c r="AL479" s="7"/>
      <c r="AM479" s="7"/>
      <c r="AN479" s="7"/>
      <c r="AO479" s="7"/>
      <c r="AP479" s="7"/>
      <c r="AQ479" s="7"/>
      <c r="AR479" s="7"/>
      <c r="AS479" s="7"/>
      <c r="AT479" s="7"/>
      <c r="AU479" s="7"/>
      <c r="AV479" s="7"/>
      <c r="AW479" s="7"/>
      <c r="AX479" s="7"/>
      <c r="AY479" s="7"/>
      <c r="AZ479" s="7"/>
      <c r="BA479" s="18"/>
      <c r="BG479" s="140"/>
      <c r="BH479" s="131"/>
      <c r="BI479" s="102"/>
      <c r="BJ479" s="102"/>
      <c r="BK479" s="102"/>
      <c r="BL479" s="102"/>
      <c r="BM479" s="99"/>
      <c r="BN479" s="4"/>
      <c r="BO479" s="4"/>
      <c r="BP479" s="5"/>
      <c r="BQ479" s="5"/>
      <c r="BR479" s="99"/>
      <c r="BS479" s="159"/>
      <c r="BT479" s="99"/>
      <c r="BU479" s="99"/>
      <c r="BV479" s="99"/>
      <c r="BW479" s="159"/>
      <c r="BX479" s="99"/>
      <c r="BY479" s="99"/>
      <c r="BZ479" s="159"/>
      <c r="DA479" s="174"/>
      <c r="DB479" s="18"/>
      <c r="DC479" s="18"/>
      <c r="DD479" s="19"/>
      <c r="DE479" s="19"/>
      <c r="DI479" s="18"/>
      <c r="DJ479" s="7"/>
      <c r="DK479" s="7"/>
      <c r="DL479" s="7"/>
      <c r="DM479" s="7"/>
      <c r="DN479" s="7"/>
      <c r="DO479" s="7"/>
      <c r="DP479" s="7"/>
      <c r="DQ479" s="7"/>
      <c r="DR479" s="7"/>
      <c r="DS479" s="7"/>
      <c r="DT479" s="7"/>
      <c r="DU479" s="7"/>
      <c r="DV479" s="7"/>
      <c r="DW479" s="7"/>
      <c r="DX479" s="7"/>
      <c r="DY479" s="7"/>
      <c r="DZ479" s="7"/>
      <c r="EA479" s="161"/>
      <c r="EG479" s="140"/>
      <c r="EH479" s="131"/>
      <c r="EI479" s="102"/>
      <c r="EJ479" s="102"/>
      <c r="EK479" s="102"/>
      <c r="EL479" s="102"/>
      <c r="EM479" s="99"/>
      <c r="EN479" s="4"/>
      <c r="EO479" s="4"/>
      <c r="EP479" s="5"/>
      <c r="EQ479" s="5"/>
      <c r="ER479" s="99"/>
      <c r="ES479" s="159"/>
      <c r="ET479" s="99"/>
      <c r="EU479" s="99"/>
      <c r="EV479" s="99"/>
      <c r="EW479" s="159"/>
      <c r="EX479" s="99"/>
      <c r="EY479" s="99"/>
      <c r="EZ479" s="175"/>
    </row>
    <row r="480" spans="27:156">
      <c r="AA480" s="18"/>
      <c r="AB480" s="18"/>
      <c r="AC480" s="18"/>
      <c r="AD480" s="19"/>
      <c r="AE480" s="19"/>
      <c r="AI480" s="18"/>
      <c r="AJ480" s="7"/>
      <c r="AK480" s="7"/>
      <c r="AL480" s="7"/>
      <c r="AM480" s="7"/>
      <c r="AN480" s="7"/>
      <c r="AO480" s="7"/>
      <c r="AP480" s="7"/>
      <c r="AQ480" s="7"/>
      <c r="AR480" s="7"/>
      <c r="AS480" s="7"/>
      <c r="AT480" s="7"/>
      <c r="AU480" s="7"/>
      <c r="AV480" s="7"/>
      <c r="AW480" s="7"/>
      <c r="AX480" s="7"/>
      <c r="AY480" s="7"/>
      <c r="AZ480" s="7"/>
      <c r="BA480" s="18"/>
      <c r="BG480" s="140"/>
      <c r="BH480" s="131"/>
      <c r="BI480" s="102"/>
      <c r="BJ480" s="102"/>
      <c r="BK480" s="102"/>
      <c r="BL480" s="102"/>
      <c r="BM480" s="99"/>
      <c r="BN480" s="4"/>
      <c r="BO480" s="4"/>
      <c r="BP480" s="5"/>
      <c r="BQ480" s="5"/>
      <c r="BR480" s="99"/>
      <c r="BS480" s="159"/>
      <c r="BT480" s="99"/>
      <c r="BU480" s="99"/>
      <c r="BV480" s="99"/>
      <c r="BW480" s="159"/>
      <c r="BX480" s="99"/>
      <c r="BY480" s="99"/>
      <c r="BZ480" s="159"/>
      <c r="DA480" s="174"/>
      <c r="DB480" s="18"/>
      <c r="DC480" s="18"/>
      <c r="DD480" s="19"/>
      <c r="DE480" s="19"/>
      <c r="DI480" s="18"/>
      <c r="DJ480" s="7"/>
      <c r="DK480" s="7"/>
      <c r="DL480" s="7"/>
      <c r="DM480" s="7"/>
      <c r="DN480" s="7"/>
      <c r="DO480" s="7"/>
      <c r="DP480" s="7"/>
      <c r="DQ480" s="7"/>
      <c r="DR480" s="7"/>
      <c r="DS480" s="7"/>
      <c r="DT480" s="7"/>
      <c r="DU480" s="7"/>
      <c r="DV480" s="7"/>
      <c r="DW480" s="7"/>
      <c r="DX480" s="7"/>
      <c r="DY480" s="7"/>
      <c r="DZ480" s="7"/>
      <c r="EA480" s="161"/>
      <c r="EG480" s="140"/>
      <c r="EH480" s="131"/>
      <c r="EI480" s="102"/>
      <c r="EJ480" s="102"/>
      <c r="EK480" s="102"/>
      <c r="EL480" s="102"/>
      <c r="EM480" s="99"/>
      <c r="EN480" s="4"/>
      <c r="EO480" s="4"/>
      <c r="EP480" s="5"/>
      <c r="EQ480" s="5"/>
      <c r="ER480" s="99"/>
      <c r="ES480" s="159"/>
      <c r="ET480" s="99"/>
      <c r="EU480" s="99"/>
      <c r="EV480" s="99"/>
      <c r="EW480" s="159"/>
      <c r="EX480" s="99"/>
      <c r="EY480" s="99"/>
      <c r="EZ480" s="175"/>
    </row>
    <row r="481" spans="27:156">
      <c r="AA481" s="18"/>
      <c r="AB481" s="18"/>
      <c r="AC481" s="18"/>
      <c r="AD481" s="19"/>
      <c r="AE481" s="19"/>
      <c r="AI481" s="18"/>
      <c r="AJ481" s="7"/>
      <c r="AK481" s="7"/>
      <c r="AL481" s="7"/>
      <c r="AM481" s="7"/>
      <c r="AN481" s="7"/>
      <c r="AO481" s="7"/>
      <c r="AP481" s="7"/>
      <c r="AQ481" s="7"/>
      <c r="AR481" s="7"/>
      <c r="AS481" s="7"/>
      <c r="AT481" s="7"/>
      <c r="AU481" s="7"/>
      <c r="AV481" s="7"/>
      <c r="AW481" s="7"/>
      <c r="AX481" s="7"/>
      <c r="AY481" s="7"/>
      <c r="AZ481" s="7"/>
      <c r="BA481" s="18"/>
      <c r="BG481" s="140"/>
      <c r="BH481" s="131"/>
      <c r="BI481" s="102"/>
      <c r="BJ481" s="102"/>
      <c r="BK481" s="102"/>
      <c r="BL481" s="102"/>
      <c r="BM481" s="99"/>
      <c r="BN481" s="4"/>
      <c r="BO481" s="4"/>
      <c r="BP481" s="5"/>
      <c r="BQ481" s="5"/>
      <c r="BR481" s="99"/>
      <c r="BS481" s="159"/>
      <c r="BT481" s="99"/>
      <c r="BU481" s="99"/>
      <c r="BV481" s="99"/>
      <c r="BW481" s="159"/>
      <c r="BX481" s="99"/>
      <c r="BY481" s="99"/>
      <c r="BZ481" s="159"/>
      <c r="DA481" s="174"/>
      <c r="DB481" s="18"/>
      <c r="DC481" s="18"/>
      <c r="DD481" s="19"/>
      <c r="DE481" s="19"/>
      <c r="DI481" s="18"/>
      <c r="DJ481" s="7"/>
      <c r="DK481" s="7"/>
      <c r="DL481" s="7"/>
      <c r="DM481" s="7"/>
      <c r="DN481" s="7"/>
      <c r="DO481" s="7"/>
      <c r="DP481" s="7"/>
      <c r="DQ481" s="7"/>
      <c r="DR481" s="7"/>
      <c r="DS481" s="7"/>
      <c r="DT481" s="7"/>
      <c r="DU481" s="7"/>
      <c r="DV481" s="7"/>
      <c r="DW481" s="7"/>
      <c r="DX481" s="7"/>
      <c r="DY481" s="7"/>
      <c r="DZ481" s="7"/>
      <c r="EA481" s="161"/>
      <c r="EG481" s="140"/>
      <c r="EH481" s="131"/>
      <c r="EI481" s="102"/>
      <c r="EJ481" s="102"/>
      <c r="EK481" s="102"/>
      <c r="EL481" s="102"/>
      <c r="EM481" s="99"/>
      <c r="EN481" s="4"/>
      <c r="EO481" s="4"/>
      <c r="EP481" s="5"/>
      <c r="EQ481" s="5"/>
      <c r="ER481" s="99"/>
      <c r="ES481" s="159"/>
      <c r="ET481" s="99"/>
      <c r="EU481" s="99"/>
      <c r="EV481" s="99"/>
      <c r="EW481" s="159"/>
      <c r="EX481" s="99"/>
      <c r="EY481" s="99"/>
      <c r="EZ481" s="175"/>
    </row>
    <row r="482" spans="27:156">
      <c r="AA482" s="18"/>
      <c r="AB482" s="18"/>
      <c r="AC482" s="18"/>
      <c r="AD482" s="19"/>
      <c r="AE482" s="19"/>
      <c r="AI482" s="18"/>
      <c r="AJ482" s="7"/>
      <c r="AK482" s="7"/>
      <c r="AL482" s="7"/>
      <c r="AM482" s="7"/>
      <c r="AN482" s="7"/>
      <c r="AO482" s="7"/>
      <c r="AP482" s="7"/>
      <c r="AQ482" s="7"/>
      <c r="AR482" s="7"/>
      <c r="AS482" s="7"/>
      <c r="AT482" s="7"/>
      <c r="AU482" s="7"/>
      <c r="AV482" s="7"/>
      <c r="AW482" s="7"/>
      <c r="AX482" s="7"/>
      <c r="AY482" s="7"/>
      <c r="AZ482" s="7"/>
      <c r="BA482" s="18"/>
      <c r="BG482" s="140"/>
      <c r="BH482" s="131"/>
      <c r="BI482" s="102"/>
      <c r="BJ482" s="102"/>
      <c r="BK482" s="102"/>
      <c r="BL482" s="102"/>
      <c r="BM482" s="99"/>
      <c r="BN482" s="4"/>
      <c r="BO482" s="4"/>
      <c r="BP482" s="5"/>
      <c r="BQ482" s="5"/>
      <c r="BR482" s="99"/>
      <c r="BS482" s="159"/>
      <c r="BT482" s="99"/>
      <c r="BU482" s="99"/>
      <c r="BV482" s="99"/>
      <c r="BW482" s="159"/>
      <c r="BX482" s="99"/>
      <c r="BY482" s="99"/>
      <c r="BZ482" s="159"/>
      <c r="DA482" s="174"/>
      <c r="DB482" s="18"/>
      <c r="DC482" s="18"/>
      <c r="DD482" s="19"/>
      <c r="DE482" s="19"/>
      <c r="DI482" s="18"/>
      <c r="DJ482" s="7"/>
      <c r="DK482" s="7"/>
      <c r="DL482" s="7"/>
      <c r="DM482" s="7"/>
      <c r="DN482" s="7"/>
      <c r="DO482" s="7"/>
      <c r="DP482" s="7"/>
      <c r="DQ482" s="7"/>
      <c r="DR482" s="7"/>
      <c r="DS482" s="7"/>
      <c r="DT482" s="7"/>
      <c r="DU482" s="7"/>
      <c r="DV482" s="7"/>
      <c r="DW482" s="7"/>
      <c r="DX482" s="7"/>
      <c r="DY482" s="7"/>
      <c r="DZ482" s="7"/>
      <c r="EA482" s="161"/>
      <c r="EG482" s="140"/>
      <c r="EH482" s="131"/>
      <c r="EI482" s="102"/>
      <c r="EJ482" s="102"/>
      <c r="EK482" s="102"/>
      <c r="EL482" s="102"/>
      <c r="EM482" s="99"/>
      <c r="EN482" s="4"/>
      <c r="EO482" s="4"/>
      <c r="EP482" s="5"/>
      <c r="EQ482" s="5"/>
      <c r="ER482" s="99"/>
      <c r="ES482" s="159"/>
      <c r="ET482" s="99"/>
      <c r="EU482" s="99"/>
      <c r="EV482" s="99"/>
      <c r="EW482" s="159"/>
      <c r="EX482" s="99"/>
      <c r="EY482" s="99"/>
      <c r="EZ482" s="175"/>
    </row>
    <row r="483" spans="27:156">
      <c r="AA483" s="18"/>
      <c r="AB483" s="18"/>
      <c r="AC483" s="18"/>
      <c r="AD483" s="19"/>
      <c r="AE483" s="19"/>
      <c r="AI483" s="18"/>
      <c r="AJ483" s="7"/>
      <c r="AK483" s="7"/>
      <c r="AL483" s="7"/>
      <c r="AM483" s="7"/>
      <c r="AN483" s="7"/>
      <c r="AO483" s="7"/>
      <c r="AP483" s="7"/>
      <c r="AQ483" s="7"/>
      <c r="AR483" s="7"/>
      <c r="AS483" s="7"/>
      <c r="AT483" s="7"/>
      <c r="AU483" s="7"/>
      <c r="AV483" s="7"/>
      <c r="AW483" s="7"/>
      <c r="AX483" s="7"/>
      <c r="AY483" s="7"/>
      <c r="AZ483" s="7"/>
      <c r="BA483" s="18"/>
      <c r="BG483" s="140"/>
      <c r="BH483" s="131"/>
      <c r="BI483" s="102"/>
      <c r="BJ483" s="102"/>
      <c r="BK483" s="102"/>
      <c r="BL483" s="102"/>
      <c r="BM483" s="99"/>
      <c r="BN483" s="4"/>
      <c r="BO483" s="4"/>
      <c r="BP483" s="5"/>
      <c r="BQ483" s="5"/>
      <c r="BR483" s="99"/>
      <c r="BS483" s="159"/>
      <c r="BT483" s="99"/>
      <c r="BU483" s="99"/>
      <c r="BV483" s="99"/>
      <c r="BW483" s="159"/>
      <c r="BX483" s="99"/>
      <c r="BY483" s="99"/>
      <c r="BZ483" s="159"/>
      <c r="DA483" s="174"/>
      <c r="DB483" s="18"/>
      <c r="DC483" s="18"/>
      <c r="DD483" s="19"/>
      <c r="DE483" s="19"/>
      <c r="DI483" s="18"/>
      <c r="DJ483" s="7"/>
      <c r="DK483" s="7"/>
      <c r="DL483" s="7"/>
      <c r="DM483" s="7"/>
      <c r="DN483" s="7"/>
      <c r="DO483" s="7"/>
      <c r="DP483" s="7"/>
      <c r="DQ483" s="7"/>
      <c r="DR483" s="7"/>
      <c r="DS483" s="7"/>
      <c r="DT483" s="7"/>
      <c r="DU483" s="7"/>
      <c r="DV483" s="7"/>
      <c r="DW483" s="7"/>
      <c r="DX483" s="7"/>
      <c r="DY483" s="7"/>
      <c r="DZ483" s="7"/>
      <c r="EA483" s="161"/>
      <c r="EG483" s="140"/>
      <c r="EH483" s="131"/>
      <c r="EI483" s="102"/>
      <c r="EJ483" s="102"/>
      <c r="EK483" s="102"/>
      <c r="EL483" s="102"/>
      <c r="EM483" s="99"/>
      <c r="EN483" s="4"/>
      <c r="EO483" s="4"/>
      <c r="EP483" s="5"/>
      <c r="EQ483" s="5"/>
      <c r="ER483" s="99"/>
      <c r="ES483" s="159"/>
      <c r="ET483" s="99"/>
      <c r="EU483" s="99"/>
      <c r="EV483" s="99"/>
      <c r="EW483" s="159"/>
      <c r="EX483" s="99"/>
      <c r="EY483" s="99"/>
      <c r="EZ483" s="175"/>
    </row>
    <row r="484" spans="27:156">
      <c r="AA484" s="18"/>
      <c r="AB484" s="18"/>
      <c r="AC484" s="18"/>
      <c r="AD484" s="19"/>
      <c r="AE484" s="19"/>
      <c r="AI484" s="18"/>
      <c r="AJ484" s="7"/>
      <c r="AK484" s="7"/>
      <c r="AL484" s="7"/>
      <c r="AM484" s="7"/>
      <c r="AN484" s="7"/>
      <c r="AO484" s="7"/>
      <c r="AP484" s="7"/>
      <c r="AQ484" s="7"/>
      <c r="AR484" s="7"/>
      <c r="AS484" s="7"/>
      <c r="AT484" s="7"/>
      <c r="AU484" s="7"/>
      <c r="AV484" s="7"/>
      <c r="AW484" s="7"/>
      <c r="AX484" s="7"/>
      <c r="AY484" s="7"/>
      <c r="AZ484" s="7"/>
      <c r="BA484" s="18"/>
      <c r="BG484" s="140"/>
      <c r="BH484" s="131"/>
      <c r="BI484" s="102"/>
      <c r="BJ484" s="102"/>
      <c r="BK484" s="102"/>
      <c r="BL484" s="102"/>
      <c r="BM484" s="99"/>
      <c r="BN484" s="4"/>
      <c r="BO484" s="4"/>
      <c r="BP484" s="5"/>
      <c r="BQ484" s="5"/>
      <c r="BR484" s="99"/>
      <c r="BS484" s="159"/>
      <c r="BT484" s="99"/>
      <c r="BU484" s="99"/>
      <c r="BV484" s="99"/>
      <c r="BW484" s="159"/>
      <c r="BX484" s="99"/>
      <c r="BY484" s="99"/>
      <c r="BZ484" s="159"/>
      <c r="DA484" s="174"/>
      <c r="DB484" s="18"/>
      <c r="DC484" s="18"/>
      <c r="DD484" s="19"/>
      <c r="DE484" s="19"/>
      <c r="DI484" s="18"/>
      <c r="DJ484" s="7"/>
      <c r="DK484" s="7"/>
      <c r="DL484" s="7"/>
      <c r="DM484" s="7"/>
      <c r="DN484" s="7"/>
      <c r="DO484" s="7"/>
      <c r="DP484" s="7"/>
      <c r="DQ484" s="7"/>
      <c r="DR484" s="7"/>
      <c r="DS484" s="7"/>
      <c r="DT484" s="7"/>
      <c r="DU484" s="7"/>
      <c r="DV484" s="7"/>
      <c r="DW484" s="7"/>
      <c r="DX484" s="7"/>
      <c r="DY484" s="7"/>
      <c r="DZ484" s="7"/>
      <c r="EA484" s="161"/>
      <c r="EG484" s="140"/>
      <c r="EH484" s="131"/>
      <c r="EI484" s="102"/>
      <c r="EJ484" s="102"/>
      <c r="EK484" s="102"/>
      <c r="EL484" s="102"/>
      <c r="EM484" s="99"/>
      <c r="EN484" s="4"/>
      <c r="EO484" s="4"/>
      <c r="EP484" s="5"/>
      <c r="EQ484" s="5"/>
      <c r="ER484" s="99"/>
      <c r="ES484" s="159"/>
      <c r="ET484" s="99"/>
      <c r="EU484" s="99"/>
      <c r="EV484" s="99"/>
      <c r="EW484" s="159"/>
      <c r="EX484" s="99"/>
      <c r="EY484" s="99"/>
      <c r="EZ484" s="175"/>
    </row>
    <row r="485" spans="27:156">
      <c r="AA485" s="18"/>
      <c r="AB485" s="18"/>
      <c r="AC485" s="18"/>
      <c r="AD485" s="19"/>
      <c r="AE485" s="19"/>
      <c r="AI485" s="18"/>
      <c r="AJ485" s="7"/>
      <c r="AK485" s="7"/>
      <c r="AL485" s="7"/>
      <c r="AM485" s="7"/>
      <c r="AN485" s="7"/>
      <c r="AO485" s="7"/>
      <c r="AP485" s="7"/>
      <c r="AQ485" s="7"/>
      <c r="AR485" s="7"/>
      <c r="AS485" s="7"/>
      <c r="AT485" s="7"/>
      <c r="AU485" s="7"/>
      <c r="AV485" s="7"/>
      <c r="AW485" s="7"/>
      <c r="AX485" s="7"/>
      <c r="AY485" s="7"/>
      <c r="AZ485" s="7"/>
      <c r="BA485" s="18"/>
      <c r="BG485" s="140"/>
      <c r="BH485" s="131"/>
      <c r="BI485" s="102"/>
      <c r="BJ485" s="102"/>
      <c r="BK485" s="102"/>
      <c r="BL485" s="102"/>
      <c r="BM485" s="99"/>
      <c r="BN485" s="4"/>
      <c r="BO485" s="4"/>
      <c r="BP485" s="5"/>
      <c r="BQ485" s="5"/>
      <c r="BR485" s="99"/>
      <c r="BS485" s="159"/>
      <c r="BT485" s="99"/>
      <c r="BU485" s="99"/>
      <c r="BV485" s="99"/>
      <c r="BW485" s="159"/>
      <c r="BX485" s="99"/>
      <c r="BY485" s="99"/>
      <c r="BZ485" s="159"/>
      <c r="DA485" s="174"/>
      <c r="DB485" s="18"/>
      <c r="DC485" s="18"/>
      <c r="DD485" s="19"/>
      <c r="DE485" s="19"/>
      <c r="DI485" s="18"/>
      <c r="DJ485" s="7"/>
      <c r="DK485" s="7"/>
      <c r="DL485" s="7"/>
      <c r="DM485" s="7"/>
      <c r="DN485" s="7"/>
      <c r="DO485" s="7"/>
      <c r="DP485" s="7"/>
      <c r="DQ485" s="7"/>
      <c r="DR485" s="7"/>
      <c r="DS485" s="7"/>
      <c r="DT485" s="7"/>
      <c r="DU485" s="7"/>
      <c r="DV485" s="7"/>
      <c r="DW485" s="7"/>
      <c r="DX485" s="7"/>
      <c r="DY485" s="7"/>
      <c r="DZ485" s="7"/>
      <c r="EA485" s="161"/>
      <c r="EG485" s="140"/>
      <c r="EH485" s="131"/>
      <c r="EI485" s="102"/>
      <c r="EJ485" s="102"/>
      <c r="EK485" s="102"/>
      <c r="EL485" s="102"/>
      <c r="EM485" s="99"/>
      <c r="EN485" s="4"/>
      <c r="EO485" s="4"/>
      <c r="EP485" s="5"/>
      <c r="EQ485" s="5"/>
      <c r="ER485" s="99"/>
      <c r="ES485" s="159"/>
      <c r="ET485" s="99"/>
      <c r="EU485" s="99"/>
      <c r="EV485" s="99"/>
      <c r="EW485" s="159"/>
      <c r="EX485" s="99"/>
      <c r="EY485" s="99"/>
      <c r="EZ485" s="175"/>
    </row>
    <row r="486" spans="27:156">
      <c r="AA486" s="18"/>
      <c r="AB486" s="18"/>
      <c r="AC486" s="18"/>
      <c r="AD486" s="19"/>
      <c r="AE486" s="19"/>
      <c r="AI486" s="18"/>
      <c r="AJ486" s="7"/>
      <c r="AK486" s="7"/>
      <c r="AL486" s="7"/>
      <c r="AM486" s="7"/>
      <c r="AN486" s="7"/>
      <c r="AO486" s="7"/>
      <c r="AP486" s="7"/>
      <c r="AQ486" s="7"/>
      <c r="AR486" s="7"/>
      <c r="AS486" s="7"/>
      <c r="AT486" s="7"/>
      <c r="AU486" s="7"/>
      <c r="AV486" s="7"/>
      <c r="AW486" s="7"/>
      <c r="AX486" s="7"/>
      <c r="AY486" s="7"/>
      <c r="AZ486" s="7"/>
      <c r="BA486" s="18"/>
      <c r="BG486" s="140"/>
      <c r="BH486" s="131"/>
      <c r="BI486" s="102"/>
      <c r="BJ486" s="102"/>
      <c r="BK486" s="102"/>
      <c r="BL486" s="102"/>
      <c r="BM486" s="99"/>
      <c r="BN486" s="4"/>
      <c r="BO486" s="4"/>
      <c r="BP486" s="5"/>
      <c r="BQ486" s="5"/>
      <c r="BR486" s="99"/>
      <c r="BS486" s="159"/>
      <c r="BT486" s="99"/>
      <c r="BU486" s="99"/>
      <c r="BV486" s="99"/>
      <c r="BW486" s="159"/>
      <c r="BX486" s="99"/>
      <c r="BY486" s="99"/>
      <c r="BZ486" s="159"/>
      <c r="DA486" s="174"/>
      <c r="DB486" s="18"/>
      <c r="DC486" s="18"/>
      <c r="DD486" s="19"/>
      <c r="DE486" s="19"/>
      <c r="DI486" s="18"/>
      <c r="DJ486" s="7"/>
      <c r="DK486" s="7"/>
      <c r="DL486" s="7"/>
      <c r="DM486" s="7"/>
      <c r="DN486" s="7"/>
      <c r="DO486" s="7"/>
      <c r="DP486" s="7"/>
      <c r="DQ486" s="7"/>
      <c r="DR486" s="7"/>
      <c r="DS486" s="7"/>
      <c r="DT486" s="7"/>
      <c r="DU486" s="7"/>
      <c r="DV486" s="7"/>
      <c r="DW486" s="7"/>
      <c r="DX486" s="7"/>
      <c r="DY486" s="7"/>
      <c r="DZ486" s="7"/>
      <c r="EA486" s="161"/>
      <c r="EG486" s="140"/>
      <c r="EH486" s="131"/>
      <c r="EI486" s="102"/>
      <c r="EJ486" s="102"/>
      <c r="EK486" s="102"/>
      <c r="EL486" s="102"/>
      <c r="EM486" s="99"/>
      <c r="EN486" s="4"/>
      <c r="EO486" s="4"/>
      <c r="EP486" s="5"/>
      <c r="EQ486" s="5"/>
      <c r="ER486" s="99"/>
      <c r="ES486" s="159"/>
      <c r="ET486" s="99"/>
      <c r="EU486" s="99"/>
      <c r="EV486" s="99"/>
      <c r="EW486" s="159"/>
      <c r="EX486" s="99"/>
      <c r="EY486" s="99"/>
      <c r="EZ486" s="175"/>
    </row>
    <row r="487" spans="27:156">
      <c r="AA487" s="18"/>
      <c r="AB487" s="18"/>
      <c r="AC487" s="18"/>
      <c r="AD487" s="19"/>
      <c r="AE487" s="19"/>
      <c r="AI487" s="18"/>
      <c r="AJ487" s="7"/>
      <c r="AK487" s="7"/>
      <c r="AL487" s="7"/>
      <c r="AM487" s="7"/>
      <c r="AN487" s="7"/>
      <c r="AO487" s="7"/>
      <c r="AP487" s="7"/>
      <c r="AQ487" s="7"/>
      <c r="AR487" s="7"/>
      <c r="AS487" s="7"/>
      <c r="AT487" s="7"/>
      <c r="AU487" s="7"/>
      <c r="AV487" s="7"/>
      <c r="AW487" s="7"/>
      <c r="AX487" s="7"/>
      <c r="AY487" s="7"/>
      <c r="AZ487" s="7"/>
      <c r="BA487" s="18"/>
      <c r="BG487" s="140"/>
      <c r="BH487" s="131"/>
      <c r="BI487" s="102"/>
      <c r="BJ487" s="102"/>
      <c r="BK487" s="102"/>
      <c r="BL487" s="102"/>
      <c r="BM487" s="99"/>
      <c r="BN487" s="4"/>
      <c r="BO487" s="4"/>
      <c r="BP487" s="5"/>
      <c r="BQ487" s="5"/>
      <c r="BR487" s="99"/>
      <c r="BS487" s="159"/>
      <c r="BT487" s="99"/>
      <c r="BU487" s="99"/>
      <c r="BV487" s="99"/>
      <c r="BW487" s="159"/>
      <c r="BX487" s="99"/>
      <c r="BY487" s="99"/>
      <c r="BZ487" s="159"/>
      <c r="DA487" s="174"/>
      <c r="DB487" s="18"/>
      <c r="DC487" s="18"/>
      <c r="DD487" s="19"/>
      <c r="DE487" s="19"/>
      <c r="DI487" s="18"/>
      <c r="DJ487" s="7"/>
      <c r="DK487" s="7"/>
      <c r="DL487" s="7"/>
      <c r="DM487" s="7"/>
      <c r="DN487" s="7"/>
      <c r="DO487" s="7"/>
      <c r="DP487" s="7"/>
      <c r="DQ487" s="7"/>
      <c r="DR487" s="7"/>
      <c r="DS487" s="7"/>
      <c r="DT487" s="7"/>
      <c r="DU487" s="7"/>
      <c r="DV487" s="7"/>
      <c r="DW487" s="7"/>
      <c r="DX487" s="7"/>
      <c r="DY487" s="7"/>
      <c r="DZ487" s="7"/>
      <c r="EA487" s="161"/>
      <c r="EG487" s="140"/>
      <c r="EH487" s="131"/>
      <c r="EI487" s="102"/>
      <c r="EJ487" s="102"/>
      <c r="EK487" s="102"/>
      <c r="EL487" s="102"/>
      <c r="EM487" s="99"/>
      <c r="EN487" s="4"/>
      <c r="EO487" s="4"/>
      <c r="EP487" s="5"/>
      <c r="EQ487" s="5"/>
      <c r="ER487" s="99"/>
      <c r="ES487" s="159"/>
      <c r="ET487" s="99"/>
      <c r="EU487" s="99"/>
      <c r="EV487" s="99"/>
      <c r="EW487" s="159"/>
      <c r="EX487" s="99"/>
      <c r="EY487" s="99"/>
      <c r="EZ487" s="175"/>
    </row>
    <row r="488" spans="27:156">
      <c r="AA488" s="18"/>
      <c r="AB488" s="18"/>
      <c r="AC488" s="18"/>
      <c r="AD488" s="19"/>
      <c r="AE488" s="19"/>
      <c r="AI488" s="18"/>
      <c r="AJ488" s="7"/>
      <c r="AK488" s="7"/>
      <c r="AL488" s="7"/>
      <c r="AM488" s="7"/>
      <c r="AN488" s="7"/>
      <c r="AO488" s="7"/>
      <c r="AP488" s="7"/>
      <c r="AQ488" s="7"/>
      <c r="AR488" s="7"/>
      <c r="AS488" s="7"/>
      <c r="AT488" s="7"/>
      <c r="AU488" s="7"/>
      <c r="AV488" s="7"/>
      <c r="AW488" s="7"/>
      <c r="AX488" s="7"/>
      <c r="AY488" s="7"/>
      <c r="AZ488" s="7"/>
      <c r="BA488" s="18"/>
      <c r="BG488" s="140"/>
      <c r="BH488" s="131"/>
      <c r="BI488" s="102"/>
      <c r="BJ488" s="102"/>
      <c r="BK488" s="102"/>
      <c r="BL488" s="102"/>
      <c r="BM488" s="99"/>
      <c r="BN488" s="4"/>
      <c r="BO488" s="4"/>
      <c r="BP488" s="5"/>
      <c r="BQ488" s="5"/>
      <c r="BR488" s="99"/>
      <c r="BS488" s="159"/>
      <c r="BT488" s="99"/>
      <c r="BU488" s="99"/>
      <c r="BV488" s="99"/>
      <c r="BW488" s="159"/>
      <c r="BX488" s="99"/>
      <c r="BY488" s="99"/>
      <c r="BZ488" s="159"/>
      <c r="DA488" s="174"/>
      <c r="DB488" s="18"/>
      <c r="DC488" s="18"/>
      <c r="DD488" s="19"/>
      <c r="DE488" s="19"/>
      <c r="DI488" s="18"/>
      <c r="DJ488" s="7"/>
      <c r="DK488" s="7"/>
      <c r="DL488" s="7"/>
      <c r="DM488" s="7"/>
      <c r="DN488" s="7"/>
      <c r="DO488" s="7"/>
      <c r="DP488" s="7"/>
      <c r="DQ488" s="7"/>
      <c r="DR488" s="7"/>
      <c r="DS488" s="7"/>
      <c r="DT488" s="7"/>
      <c r="DU488" s="7"/>
      <c r="DV488" s="7"/>
      <c r="DW488" s="7"/>
      <c r="DX488" s="7"/>
      <c r="DY488" s="7"/>
      <c r="DZ488" s="7"/>
      <c r="EA488" s="161"/>
      <c r="EG488" s="140"/>
      <c r="EH488" s="131"/>
      <c r="EI488" s="102"/>
      <c r="EJ488" s="102"/>
      <c r="EK488" s="102"/>
      <c r="EL488" s="102"/>
      <c r="EM488" s="99"/>
      <c r="EN488" s="4"/>
      <c r="EO488" s="4"/>
      <c r="EP488" s="5"/>
      <c r="EQ488" s="5"/>
      <c r="ER488" s="99"/>
      <c r="ES488" s="159"/>
      <c r="ET488" s="99"/>
      <c r="EU488" s="99"/>
      <c r="EV488" s="99"/>
      <c r="EW488" s="159"/>
      <c r="EX488" s="99"/>
      <c r="EY488" s="99"/>
      <c r="EZ488" s="175"/>
    </row>
    <row r="489" spans="27:156">
      <c r="AA489" s="18"/>
      <c r="AB489" s="18"/>
      <c r="AC489" s="18"/>
      <c r="AD489" s="19"/>
      <c r="AE489" s="19"/>
      <c r="AI489" s="18"/>
      <c r="AJ489" s="7"/>
      <c r="AK489" s="7"/>
      <c r="AL489" s="7"/>
      <c r="AM489" s="7"/>
      <c r="AN489" s="7"/>
      <c r="AO489" s="7"/>
      <c r="AP489" s="7"/>
      <c r="AQ489" s="7"/>
      <c r="AR489" s="7"/>
      <c r="AS489" s="7"/>
      <c r="AT489" s="7"/>
      <c r="AU489" s="7"/>
      <c r="AV489" s="7"/>
      <c r="AW489" s="7"/>
      <c r="AX489" s="7"/>
      <c r="AY489" s="7"/>
      <c r="AZ489" s="7"/>
      <c r="BA489" s="18"/>
      <c r="BG489" s="140"/>
      <c r="BH489" s="131"/>
      <c r="BI489" s="102"/>
      <c r="BJ489" s="102"/>
      <c r="BK489" s="102"/>
      <c r="BL489" s="102"/>
      <c r="BM489" s="99"/>
      <c r="BN489" s="4"/>
      <c r="BO489" s="4"/>
      <c r="BP489" s="5"/>
      <c r="BQ489" s="5"/>
      <c r="BR489" s="99"/>
      <c r="BS489" s="159"/>
      <c r="BT489" s="99"/>
      <c r="BU489" s="99"/>
      <c r="BV489" s="99"/>
      <c r="BW489" s="159"/>
      <c r="BX489" s="99"/>
      <c r="BY489" s="99"/>
      <c r="BZ489" s="159"/>
      <c r="DA489" s="174"/>
      <c r="DB489" s="18"/>
      <c r="DC489" s="18"/>
      <c r="DD489" s="19"/>
      <c r="DE489" s="19"/>
      <c r="DI489" s="18"/>
      <c r="DJ489" s="7"/>
      <c r="DK489" s="7"/>
      <c r="DL489" s="7"/>
      <c r="DM489" s="7"/>
      <c r="DN489" s="7"/>
      <c r="DO489" s="7"/>
      <c r="DP489" s="7"/>
      <c r="DQ489" s="7"/>
      <c r="DR489" s="7"/>
      <c r="DS489" s="7"/>
      <c r="DT489" s="7"/>
      <c r="DU489" s="7"/>
      <c r="DV489" s="7"/>
      <c r="DW489" s="7"/>
      <c r="DX489" s="7"/>
      <c r="DY489" s="7"/>
      <c r="DZ489" s="7"/>
      <c r="EA489" s="161"/>
      <c r="EG489" s="140"/>
      <c r="EH489" s="131"/>
      <c r="EI489" s="102"/>
      <c r="EJ489" s="102"/>
      <c r="EK489" s="102"/>
      <c r="EL489" s="102"/>
      <c r="EM489" s="99"/>
      <c r="EN489" s="4"/>
      <c r="EO489" s="4"/>
      <c r="EP489" s="5"/>
      <c r="EQ489" s="5"/>
      <c r="ER489" s="99"/>
      <c r="ES489" s="159"/>
      <c r="ET489" s="99"/>
      <c r="EU489" s="99"/>
      <c r="EV489" s="99"/>
      <c r="EW489" s="159"/>
      <c r="EX489" s="99"/>
      <c r="EY489" s="99"/>
      <c r="EZ489" s="175"/>
    </row>
    <row r="490" spans="27:156">
      <c r="AA490" s="18"/>
      <c r="AB490" s="18"/>
      <c r="AC490" s="18"/>
      <c r="AD490" s="19"/>
      <c r="AE490" s="19"/>
      <c r="AI490" s="18"/>
      <c r="AJ490" s="7"/>
      <c r="AK490" s="7"/>
      <c r="AL490" s="7"/>
      <c r="AM490" s="7"/>
      <c r="AN490" s="7"/>
      <c r="AO490" s="7"/>
      <c r="AP490" s="7"/>
      <c r="AQ490" s="7"/>
      <c r="AR490" s="7"/>
      <c r="AS490" s="7"/>
      <c r="AT490" s="7"/>
      <c r="AU490" s="7"/>
      <c r="AV490" s="7"/>
      <c r="AW490" s="7"/>
      <c r="AX490" s="7"/>
      <c r="AY490" s="7"/>
      <c r="AZ490" s="7"/>
      <c r="BA490" s="18"/>
      <c r="BG490" s="140"/>
      <c r="BH490" s="131"/>
      <c r="BI490" s="102"/>
      <c r="BJ490" s="102"/>
      <c r="BK490" s="102"/>
      <c r="BL490" s="102"/>
      <c r="BM490" s="99"/>
      <c r="BN490" s="4"/>
      <c r="BO490" s="4"/>
      <c r="BP490" s="5"/>
      <c r="BQ490" s="5"/>
      <c r="BR490" s="99"/>
      <c r="BS490" s="159"/>
      <c r="BT490" s="99"/>
      <c r="BU490" s="99"/>
      <c r="BV490" s="99"/>
      <c r="BW490" s="159"/>
      <c r="BX490" s="99"/>
      <c r="BY490" s="99"/>
      <c r="BZ490" s="159"/>
      <c r="DA490" s="174"/>
      <c r="DB490" s="18"/>
      <c r="DC490" s="18"/>
      <c r="DD490" s="19"/>
      <c r="DE490" s="19"/>
      <c r="DI490" s="18"/>
      <c r="DJ490" s="7"/>
      <c r="DK490" s="7"/>
      <c r="DL490" s="7"/>
      <c r="DM490" s="7"/>
      <c r="DN490" s="7"/>
      <c r="DO490" s="7"/>
      <c r="DP490" s="7"/>
      <c r="DQ490" s="7"/>
      <c r="DR490" s="7"/>
      <c r="DS490" s="7"/>
      <c r="DT490" s="7"/>
      <c r="DU490" s="7"/>
      <c r="DV490" s="7"/>
      <c r="DW490" s="7"/>
      <c r="DX490" s="7"/>
      <c r="DY490" s="7"/>
      <c r="DZ490" s="7"/>
      <c r="EA490" s="161"/>
      <c r="EG490" s="140"/>
      <c r="EH490" s="131"/>
      <c r="EI490" s="102"/>
      <c r="EJ490" s="102"/>
      <c r="EK490" s="102"/>
      <c r="EL490" s="102"/>
      <c r="EM490" s="99"/>
      <c r="EN490" s="4"/>
      <c r="EO490" s="4"/>
      <c r="EP490" s="5"/>
      <c r="EQ490" s="5"/>
      <c r="ER490" s="99"/>
      <c r="ES490" s="159"/>
      <c r="ET490" s="99"/>
      <c r="EU490" s="99"/>
      <c r="EV490" s="99"/>
      <c r="EW490" s="159"/>
      <c r="EX490" s="99"/>
      <c r="EY490" s="99"/>
      <c r="EZ490" s="175"/>
    </row>
    <row r="491" spans="27:156">
      <c r="AA491" s="18"/>
      <c r="AB491" s="18"/>
      <c r="AC491" s="18"/>
      <c r="AD491" s="19"/>
      <c r="AE491" s="19"/>
      <c r="AI491" s="18"/>
      <c r="AJ491" s="7"/>
      <c r="AK491" s="7"/>
      <c r="AL491" s="7"/>
      <c r="AM491" s="7"/>
      <c r="AN491" s="7"/>
      <c r="AO491" s="7"/>
      <c r="AP491" s="7"/>
      <c r="AQ491" s="7"/>
      <c r="AR491" s="7"/>
      <c r="AS491" s="7"/>
      <c r="AT491" s="7"/>
      <c r="AU491" s="7"/>
      <c r="AV491" s="7"/>
      <c r="AW491" s="7"/>
      <c r="AX491" s="7"/>
      <c r="AY491" s="7"/>
      <c r="AZ491" s="7"/>
      <c r="BA491" s="18"/>
      <c r="BG491" s="140"/>
      <c r="BH491" s="131"/>
      <c r="BI491" s="102"/>
      <c r="BJ491" s="102"/>
      <c r="BK491" s="102"/>
      <c r="BL491" s="102"/>
      <c r="BM491" s="99"/>
      <c r="BN491" s="4"/>
      <c r="BO491" s="4"/>
      <c r="BP491" s="5"/>
      <c r="BQ491" s="5"/>
      <c r="BR491" s="99"/>
      <c r="BS491" s="159"/>
      <c r="BT491" s="99"/>
      <c r="BU491" s="99"/>
      <c r="BV491" s="99"/>
      <c r="BW491" s="159"/>
      <c r="BX491" s="99"/>
      <c r="BY491" s="99"/>
      <c r="BZ491" s="159"/>
      <c r="DA491" s="174"/>
      <c r="DB491" s="18"/>
      <c r="DC491" s="18"/>
      <c r="DD491" s="19"/>
      <c r="DE491" s="19"/>
      <c r="DI491" s="18"/>
      <c r="DJ491" s="7"/>
      <c r="DK491" s="7"/>
      <c r="DL491" s="7"/>
      <c r="DM491" s="7"/>
      <c r="DN491" s="7"/>
      <c r="DO491" s="7"/>
      <c r="DP491" s="7"/>
      <c r="DQ491" s="7"/>
      <c r="DR491" s="7"/>
      <c r="DS491" s="7"/>
      <c r="DT491" s="7"/>
      <c r="DU491" s="7"/>
      <c r="DV491" s="7"/>
      <c r="DW491" s="7"/>
      <c r="DX491" s="7"/>
      <c r="DY491" s="7"/>
      <c r="DZ491" s="7"/>
      <c r="EA491" s="161"/>
      <c r="EG491" s="140"/>
      <c r="EH491" s="131"/>
      <c r="EI491" s="102"/>
      <c r="EJ491" s="102"/>
      <c r="EK491" s="102"/>
      <c r="EL491" s="102"/>
      <c r="EM491" s="99"/>
      <c r="EN491" s="4"/>
      <c r="EO491" s="4"/>
      <c r="EP491" s="5"/>
      <c r="EQ491" s="5"/>
      <c r="ER491" s="99"/>
      <c r="ES491" s="159"/>
      <c r="ET491" s="99"/>
      <c r="EU491" s="99"/>
      <c r="EV491" s="99"/>
      <c r="EW491" s="159"/>
      <c r="EX491" s="99"/>
      <c r="EY491" s="99"/>
      <c r="EZ491" s="175"/>
    </row>
    <row r="492" spans="27:156">
      <c r="AA492" s="18"/>
      <c r="AB492" s="18"/>
      <c r="AC492" s="18"/>
      <c r="AD492" s="19"/>
      <c r="AE492" s="19"/>
      <c r="AI492" s="18"/>
      <c r="AJ492" s="7"/>
      <c r="AK492" s="7"/>
      <c r="AL492" s="7"/>
      <c r="AM492" s="7"/>
      <c r="AN492" s="7"/>
      <c r="AO492" s="7"/>
      <c r="AP492" s="7"/>
      <c r="AQ492" s="7"/>
      <c r="AR492" s="7"/>
      <c r="AS492" s="7"/>
      <c r="AT492" s="7"/>
      <c r="AU492" s="7"/>
      <c r="AV492" s="7"/>
      <c r="AW492" s="7"/>
      <c r="AX492" s="7"/>
      <c r="AY492" s="7"/>
      <c r="AZ492" s="7"/>
      <c r="BA492" s="18"/>
      <c r="BG492" s="140"/>
      <c r="BH492" s="131"/>
      <c r="BI492" s="102"/>
      <c r="BJ492" s="102"/>
      <c r="BK492" s="102"/>
      <c r="BL492" s="102"/>
      <c r="BM492" s="99"/>
      <c r="BN492" s="4"/>
      <c r="BO492" s="4"/>
      <c r="BP492" s="5"/>
      <c r="BQ492" s="5"/>
      <c r="BR492" s="99"/>
      <c r="BS492" s="159"/>
      <c r="BT492" s="99"/>
      <c r="BU492" s="99"/>
      <c r="BV492" s="99"/>
      <c r="BW492" s="159"/>
      <c r="BX492" s="99"/>
      <c r="BY492" s="99"/>
      <c r="BZ492" s="159"/>
      <c r="DA492" s="174"/>
      <c r="DB492" s="18"/>
      <c r="DC492" s="18"/>
      <c r="DD492" s="19"/>
      <c r="DE492" s="19"/>
      <c r="DI492" s="18"/>
      <c r="DJ492" s="7"/>
      <c r="DK492" s="7"/>
      <c r="DL492" s="7"/>
      <c r="DM492" s="7"/>
      <c r="DN492" s="7"/>
      <c r="DO492" s="7"/>
      <c r="DP492" s="7"/>
      <c r="DQ492" s="7"/>
      <c r="DR492" s="7"/>
      <c r="DS492" s="7"/>
      <c r="DT492" s="7"/>
      <c r="DU492" s="7"/>
      <c r="DV492" s="7"/>
      <c r="DW492" s="7"/>
      <c r="DX492" s="7"/>
      <c r="DY492" s="7"/>
      <c r="DZ492" s="7"/>
      <c r="EA492" s="161"/>
      <c r="EG492" s="140"/>
      <c r="EH492" s="131"/>
      <c r="EI492" s="102"/>
      <c r="EJ492" s="102"/>
      <c r="EK492" s="102"/>
      <c r="EL492" s="102"/>
      <c r="EM492" s="99"/>
      <c r="EN492" s="4"/>
      <c r="EO492" s="4"/>
      <c r="EP492" s="5"/>
      <c r="EQ492" s="5"/>
      <c r="ER492" s="99"/>
      <c r="ES492" s="159"/>
      <c r="ET492" s="99"/>
      <c r="EU492" s="99"/>
      <c r="EV492" s="99"/>
      <c r="EW492" s="159"/>
      <c r="EX492" s="99"/>
      <c r="EY492" s="99"/>
      <c r="EZ492" s="175"/>
    </row>
    <row r="493" spans="27:156">
      <c r="AA493" s="18"/>
      <c r="AB493" s="18"/>
      <c r="AC493" s="18"/>
      <c r="AD493" s="19"/>
      <c r="AE493" s="19"/>
      <c r="AI493" s="18"/>
      <c r="AJ493" s="7"/>
      <c r="AK493" s="7"/>
      <c r="AL493" s="7"/>
      <c r="AM493" s="7"/>
      <c r="AN493" s="7"/>
      <c r="AO493" s="7"/>
      <c r="AP493" s="7"/>
      <c r="AQ493" s="7"/>
      <c r="AR493" s="7"/>
      <c r="AS493" s="7"/>
      <c r="AT493" s="7"/>
      <c r="AU493" s="7"/>
      <c r="AV493" s="7"/>
      <c r="AW493" s="7"/>
      <c r="AX493" s="7"/>
      <c r="AY493" s="7"/>
      <c r="AZ493" s="7"/>
      <c r="BA493" s="18"/>
      <c r="BG493" s="140"/>
      <c r="BH493" s="131"/>
      <c r="BI493" s="102"/>
      <c r="BJ493" s="102"/>
      <c r="BK493" s="102"/>
      <c r="BL493" s="102"/>
      <c r="BM493" s="99"/>
      <c r="BN493" s="4"/>
      <c r="BO493" s="4"/>
      <c r="BP493" s="5"/>
      <c r="BQ493" s="5"/>
      <c r="BR493" s="99"/>
      <c r="BS493" s="159"/>
      <c r="BT493" s="99"/>
      <c r="BU493" s="99"/>
      <c r="BV493" s="99"/>
      <c r="BW493" s="159"/>
      <c r="BX493" s="99"/>
      <c r="BY493" s="99"/>
      <c r="BZ493" s="159"/>
      <c r="DA493" s="174"/>
      <c r="DB493" s="18"/>
      <c r="DC493" s="18"/>
      <c r="DD493" s="19"/>
      <c r="DE493" s="19"/>
      <c r="DI493" s="18"/>
      <c r="DJ493" s="7"/>
      <c r="DK493" s="7"/>
      <c r="DL493" s="7"/>
      <c r="DM493" s="7"/>
      <c r="DN493" s="7"/>
      <c r="DO493" s="7"/>
      <c r="DP493" s="7"/>
      <c r="DQ493" s="7"/>
      <c r="DR493" s="7"/>
      <c r="DS493" s="7"/>
      <c r="DT493" s="7"/>
      <c r="DU493" s="7"/>
      <c r="DV493" s="7"/>
      <c r="DW493" s="7"/>
      <c r="DX493" s="7"/>
      <c r="DY493" s="7"/>
      <c r="DZ493" s="7"/>
      <c r="EA493" s="161"/>
      <c r="EG493" s="140"/>
      <c r="EH493" s="131"/>
      <c r="EI493" s="102"/>
      <c r="EJ493" s="102"/>
      <c r="EK493" s="102"/>
      <c r="EL493" s="102"/>
      <c r="EM493" s="99"/>
      <c r="EN493" s="4"/>
      <c r="EO493" s="4"/>
      <c r="EP493" s="5"/>
      <c r="EQ493" s="5"/>
      <c r="ER493" s="99"/>
      <c r="ES493" s="159"/>
      <c r="ET493" s="99"/>
      <c r="EU493" s="99"/>
      <c r="EV493" s="99"/>
      <c r="EW493" s="159"/>
      <c r="EX493" s="99"/>
      <c r="EY493" s="99"/>
      <c r="EZ493" s="175"/>
    </row>
    <row r="494" spans="27:156">
      <c r="AA494" s="18"/>
      <c r="AB494" s="18"/>
      <c r="AC494" s="18"/>
      <c r="AD494" s="19"/>
      <c r="AE494" s="19"/>
      <c r="AI494" s="18"/>
      <c r="AJ494" s="7"/>
      <c r="AK494" s="7"/>
      <c r="AL494" s="7"/>
      <c r="AM494" s="7"/>
      <c r="AN494" s="7"/>
      <c r="AO494" s="7"/>
      <c r="AP494" s="7"/>
      <c r="AQ494" s="7"/>
      <c r="AR494" s="7"/>
      <c r="AS494" s="7"/>
      <c r="AT494" s="7"/>
      <c r="AU494" s="7"/>
      <c r="AV494" s="7"/>
      <c r="AW494" s="7"/>
      <c r="AX494" s="7"/>
      <c r="AY494" s="7"/>
      <c r="AZ494" s="7"/>
      <c r="BA494" s="18"/>
      <c r="BG494" s="140"/>
      <c r="BH494" s="131"/>
      <c r="BI494" s="102"/>
      <c r="BJ494" s="102"/>
      <c r="BK494" s="102"/>
      <c r="BL494" s="102"/>
      <c r="BM494" s="99"/>
      <c r="BN494" s="4"/>
      <c r="BO494" s="4"/>
      <c r="BP494" s="5"/>
      <c r="BQ494" s="5"/>
      <c r="BR494" s="99"/>
      <c r="BS494" s="159"/>
      <c r="BT494" s="99"/>
      <c r="BU494" s="99"/>
      <c r="BV494" s="99"/>
      <c r="BW494" s="159"/>
      <c r="BX494" s="99"/>
      <c r="BY494" s="99"/>
      <c r="BZ494" s="159"/>
      <c r="DA494" s="174"/>
      <c r="DB494" s="18"/>
      <c r="DC494" s="18"/>
      <c r="DD494" s="19"/>
      <c r="DE494" s="19"/>
      <c r="DI494" s="18"/>
      <c r="DJ494" s="7"/>
      <c r="DK494" s="7"/>
      <c r="DL494" s="7"/>
      <c r="DM494" s="7"/>
      <c r="DN494" s="7"/>
      <c r="DO494" s="7"/>
      <c r="DP494" s="7"/>
      <c r="DQ494" s="7"/>
      <c r="DR494" s="7"/>
      <c r="DS494" s="7"/>
      <c r="DT494" s="7"/>
      <c r="DU494" s="7"/>
      <c r="DV494" s="7"/>
      <c r="DW494" s="7"/>
      <c r="DX494" s="7"/>
      <c r="DY494" s="7"/>
      <c r="DZ494" s="7"/>
      <c r="EA494" s="161"/>
      <c r="EG494" s="140"/>
      <c r="EH494" s="131"/>
      <c r="EI494" s="102"/>
      <c r="EJ494" s="102"/>
      <c r="EK494" s="102"/>
      <c r="EL494" s="102"/>
      <c r="EM494" s="99"/>
      <c r="EN494" s="4"/>
      <c r="EO494" s="4"/>
      <c r="EP494" s="5"/>
      <c r="EQ494" s="5"/>
      <c r="ER494" s="99"/>
      <c r="ES494" s="159"/>
      <c r="ET494" s="99"/>
      <c r="EU494" s="99"/>
      <c r="EV494" s="99"/>
      <c r="EW494" s="159"/>
      <c r="EX494" s="99"/>
      <c r="EY494" s="99"/>
      <c r="EZ494" s="175"/>
    </row>
    <row r="495" spans="27:156">
      <c r="AA495" s="18"/>
      <c r="AB495" s="18"/>
      <c r="AC495" s="18"/>
      <c r="AD495" s="19"/>
      <c r="AE495" s="19"/>
      <c r="AI495" s="18"/>
      <c r="AJ495" s="7"/>
      <c r="AK495" s="7"/>
      <c r="AL495" s="7"/>
      <c r="AM495" s="7"/>
      <c r="AN495" s="7"/>
      <c r="AO495" s="7"/>
      <c r="AP495" s="7"/>
      <c r="AQ495" s="7"/>
      <c r="AR495" s="7"/>
      <c r="AS495" s="7"/>
      <c r="AT495" s="7"/>
      <c r="AU495" s="7"/>
      <c r="AV495" s="7"/>
      <c r="AW495" s="7"/>
      <c r="AX495" s="7"/>
      <c r="AY495" s="7"/>
      <c r="AZ495" s="7"/>
      <c r="BA495" s="18"/>
      <c r="BG495" s="140"/>
      <c r="BH495" s="131"/>
      <c r="BI495" s="102"/>
      <c r="BJ495" s="102"/>
      <c r="BK495" s="102"/>
      <c r="BL495" s="102"/>
      <c r="BM495" s="99"/>
      <c r="BN495" s="4"/>
      <c r="BO495" s="4"/>
      <c r="BP495" s="5"/>
      <c r="BQ495" s="5"/>
      <c r="BR495" s="99"/>
      <c r="BS495" s="159"/>
      <c r="BT495" s="99"/>
      <c r="BU495" s="99"/>
      <c r="BV495" s="99"/>
      <c r="BW495" s="159"/>
      <c r="BX495" s="99"/>
      <c r="BY495" s="99"/>
      <c r="BZ495" s="159"/>
      <c r="DA495" s="174"/>
      <c r="DB495" s="18"/>
      <c r="DC495" s="18"/>
      <c r="DD495" s="19"/>
      <c r="DE495" s="19"/>
      <c r="DI495" s="18"/>
      <c r="DJ495" s="7"/>
      <c r="DK495" s="7"/>
      <c r="DL495" s="7"/>
      <c r="DM495" s="7"/>
      <c r="DN495" s="7"/>
      <c r="DO495" s="7"/>
      <c r="DP495" s="7"/>
      <c r="DQ495" s="7"/>
      <c r="DR495" s="7"/>
      <c r="DS495" s="7"/>
      <c r="DT495" s="7"/>
      <c r="DU495" s="7"/>
      <c r="DV495" s="7"/>
      <c r="DW495" s="7"/>
      <c r="DX495" s="7"/>
      <c r="DY495" s="7"/>
      <c r="DZ495" s="7"/>
      <c r="EA495" s="161"/>
      <c r="EG495" s="140"/>
      <c r="EH495" s="131"/>
      <c r="EI495" s="102"/>
      <c r="EJ495" s="102"/>
      <c r="EK495" s="102"/>
      <c r="EL495" s="102"/>
      <c r="EM495" s="99"/>
      <c r="EN495" s="4"/>
      <c r="EO495" s="4"/>
      <c r="EP495" s="5"/>
      <c r="EQ495" s="5"/>
      <c r="ER495" s="99"/>
      <c r="ES495" s="159"/>
      <c r="ET495" s="99"/>
      <c r="EU495" s="99"/>
      <c r="EV495" s="99"/>
      <c r="EW495" s="159"/>
      <c r="EX495" s="99"/>
      <c r="EY495" s="99"/>
      <c r="EZ495" s="175"/>
    </row>
    <row r="496" spans="27:156">
      <c r="AA496" s="18"/>
      <c r="AB496" s="18"/>
      <c r="AC496" s="18"/>
      <c r="AD496" s="19"/>
      <c r="AE496" s="19"/>
      <c r="AI496" s="18"/>
      <c r="AJ496" s="7"/>
      <c r="AK496" s="7"/>
      <c r="AL496" s="7"/>
      <c r="AM496" s="7"/>
      <c r="AN496" s="7"/>
      <c r="AO496" s="7"/>
      <c r="AP496" s="7"/>
      <c r="AQ496" s="7"/>
      <c r="AR496" s="7"/>
      <c r="AS496" s="7"/>
      <c r="AT496" s="7"/>
      <c r="AU496" s="7"/>
      <c r="AV496" s="7"/>
      <c r="AW496" s="7"/>
      <c r="AX496" s="7"/>
      <c r="AY496" s="7"/>
      <c r="AZ496" s="7"/>
      <c r="BA496" s="18"/>
      <c r="BG496" s="140"/>
      <c r="BH496" s="131"/>
      <c r="BI496" s="102"/>
      <c r="BJ496" s="102"/>
      <c r="BK496" s="102"/>
      <c r="BL496" s="102"/>
      <c r="BM496" s="99"/>
      <c r="BN496" s="4"/>
      <c r="BO496" s="4"/>
      <c r="BP496" s="5"/>
      <c r="BQ496" s="5"/>
      <c r="BR496" s="99"/>
      <c r="BS496" s="159"/>
      <c r="BT496" s="99"/>
      <c r="BU496" s="99"/>
      <c r="BV496" s="99"/>
      <c r="BW496" s="159"/>
      <c r="BX496" s="99"/>
      <c r="BY496" s="99"/>
      <c r="BZ496" s="159"/>
      <c r="DA496" s="174"/>
      <c r="DB496" s="18"/>
      <c r="DC496" s="18"/>
      <c r="DD496" s="19"/>
      <c r="DE496" s="19"/>
      <c r="DI496" s="18"/>
      <c r="DJ496" s="7"/>
      <c r="DK496" s="7"/>
      <c r="DL496" s="7"/>
      <c r="DM496" s="7"/>
      <c r="DN496" s="7"/>
      <c r="DO496" s="7"/>
      <c r="DP496" s="7"/>
      <c r="DQ496" s="7"/>
      <c r="DR496" s="7"/>
      <c r="DS496" s="7"/>
      <c r="DT496" s="7"/>
      <c r="DU496" s="7"/>
      <c r="DV496" s="7"/>
      <c r="DW496" s="7"/>
      <c r="DX496" s="7"/>
      <c r="DY496" s="7"/>
      <c r="DZ496" s="7"/>
      <c r="EA496" s="161"/>
      <c r="EG496" s="140"/>
      <c r="EH496" s="131"/>
      <c r="EI496" s="102"/>
      <c r="EJ496" s="102"/>
      <c r="EK496" s="102"/>
      <c r="EL496" s="102"/>
      <c r="EM496" s="99"/>
      <c r="EN496" s="4"/>
      <c r="EO496" s="4"/>
      <c r="EP496" s="5"/>
      <c r="EQ496" s="5"/>
      <c r="ER496" s="99"/>
      <c r="ES496" s="159"/>
      <c r="ET496" s="99"/>
      <c r="EU496" s="99"/>
      <c r="EV496" s="99"/>
      <c r="EW496" s="159"/>
      <c r="EX496" s="99"/>
      <c r="EY496" s="99"/>
      <c r="EZ496" s="175"/>
    </row>
    <row r="497" spans="27:156">
      <c r="AA497" s="18"/>
      <c r="AB497" s="18"/>
      <c r="AC497" s="18"/>
      <c r="AD497" s="19"/>
      <c r="AE497" s="19"/>
      <c r="AI497" s="18"/>
      <c r="AJ497" s="7"/>
      <c r="AK497" s="7"/>
      <c r="AL497" s="7"/>
      <c r="AM497" s="7"/>
      <c r="AN497" s="7"/>
      <c r="AO497" s="7"/>
      <c r="AP497" s="7"/>
      <c r="AQ497" s="7"/>
      <c r="AR497" s="7"/>
      <c r="AS497" s="7"/>
      <c r="AT497" s="7"/>
      <c r="AU497" s="7"/>
      <c r="AV497" s="7"/>
      <c r="AW497" s="7"/>
      <c r="AX497" s="7"/>
      <c r="AY497" s="7"/>
      <c r="AZ497" s="7"/>
      <c r="BA497" s="18"/>
      <c r="BG497" s="140"/>
      <c r="BH497" s="131"/>
      <c r="BI497" s="102"/>
      <c r="BJ497" s="102"/>
      <c r="BK497" s="102"/>
      <c r="BL497" s="102"/>
      <c r="BM497" s="99"/>
      <c r="BN497" s="4"/>
      <c r="BO497" s="4"/>
      <c r="BP497" s="5"/>
      <c r="BQ497" s="5"/>
      <c r="BR497" s="99"/>
      <c r="BS497" s="159"/>
      <c r="BT497" s="99"/>
      <c r="BU497" s="99"/>
      <c r="BV497" s="99"/>
      <c r="BW497" s="159"/>
      <c r="BX497" s="99"/>
      <c r="BY497" s="99"/>
      <c r="BZ497" s="159"/>
      <c r="DA497" s="174"/>
      <c r="DB497" s="18"/>
      <c r="DC497" s="18"/>
      <c r="DD497" s="19"/>
      <c r="DE497" s="19"/>
      <c r="DI497" s="18"/>
      <c r="DJ497" s="7"/>
      <c r="DK497" s="7"/>
      <c r="DL497" s="7"/>
      <c r="DM497" s="7"/>
      <c r="DN497" s="7"/>
      <c r="DO497" s="7"/>
      <c r="DP497" s="7"/>
      <c r="DQ497" s="7"/>
      <c r="DR497" s="7"/>
      <c r="DS497" s="7"/>
      <c r="DT497" s="7"/>
      <c r="DU497" s="7"/>
      <c r="DV497" s="7"/>
      <c r="DW497" s="7"/>
      <c r="DX497" s="7"/>
      <c r="DY497" s="7"/>
      <c r="DZ497" s="7"/>
      <c r="EA497" s="161"/>
      <c r="EG497" s="140"/>
      <c r="EH497" s="131"/>
      <c r="EI497" s="102"/>
      <c r="EJ497" s="102"/>
      <c r="EK497" s="102"/>
      <c r="EL497" s="102"/>
      <c r="EM497" s="99"/>
      <c r="EN497" s="4"/>
      <c r="EO497" s="4"/>
      <c r="EP497" s="5"/>
      <c r="EQ497" s="5"/>
      <c r="ER497" s="99"/>
      <c r="ES497" s="159"/>
      <c r="ET497" s="99"/>
      <c r="EU497" s="99"/>
      <c r="EV497" s="99"/>
      <c r="EW497" s="159"/>
      <c r="EX497" s="99"/>
      <c r="EY497" s="99"/>
      <c r="EZ497" s="175"/>
    </row>
    <row r="498" spans="27:156">
      <c r="AA498" s="18"/>
      <c r="AB498" s="18"/>
      <c r="AC498" s="18"/>
      <c r="AD498" s="19"/>
      <c r="AE498" s="19"/>
      <c r="AI498" s="18"/>
      <c r="AJ498" s="7"/>
      <c r="AK498" s="7"/>
      <c r="AL498" s="7"/>
      <c r="AM498" s="7"/>
      <c r="AN498" s="7"/>
      <c r="AO498" s="7"/>
      <c r="AP498" s="7"/>
      <c r="AQ498" s="7"/>
      <c r="AR498" s="7"/>
      <c r="AS498" s="7"/>
      <c r="AT498" s="7"/>
      <c r="AU498" s="7"/>
      <c r="AV498" s="7"/>
      <c r="AW498" s="7"/>
      <c r="AX498" s="7"/>
      <c r="AY498" s="7"/>
      <c r="AZ498" s="7"/>
      <c r="BA498" s="18"/>
      <c r="BG498" s="140"/>
      <c r="BH498" s="131"/>
      <c r="BI498" s="102"/>
      <c r="BJ498" s="102"/>
      <c r="BK498" s="102"/>
      <c r="BL498" s="102"/>
      <c r="BM498" s="99"/>
      <c r="BN498" s="4"/>
      <c r="BO498" s="4"/>
      <c r="BP498" s="5"/>
      <c r="BQ498" s="5"/>
      <c r="BR498" s="99"/>
      <c r="BS498" s="159"/>
      <c r="BT498" s="99"/>
      <c r="BU498" s="99"/>
      <c r="BV498" s="99"/>
      <c r="BW498" s="159"/>
      <c r="BX498" s="99"/>
      <c r="BY498" s="99"/>
      <c r="BZ498" s="159"/>
      <c r="DA498" s="174"/>
      <c r="DB498" s="18"/>
      <c r="DC498" s="18"/>
      <c r="DD498" s="19"/>
      <c r="DE498" s="19"/>
      <c r="DI498" s="18"/>
      <c r="DJ498" s="7"/>
      <c r="DK498" s="7"/>
      <c r="DL498" s="7"/>
      <c r="DM498" s="7"/>
      <c r="DN498" s="7"/>
      <c r="DO498" s="7"/>
      <c r="DP498" s="7"/>
      <c r="DQ498" s="7"/>
      <c r="DR498" s="7"/>
      <c r="DS498" s="7"/>
      <c r="DT498" s="7"/>
      <c r="DU498" s="7"/>
      <c r="DV498" s="7"/>
      <c r="DW498" s="7"/>
      <c r="DX498" s="7"/>
      <c r="DY498" s="7"/>
      <c r="DZ498" s="7"/>
      <c r="EA498" s="161"/>
      <c r="EG498" s="140"/>
      <c r="EH498" s="131"/>
      <c r="EI498" s="102"/>
      <c r="EJ498" s="102"/>
      <c r="EK498" s="102"/>
      <c r="EL498" s="102"/>
      <c r="EM498" s="99"/>
      <c r="EN498" s="4"/>
      <c r="EO498" s="4"/>
      <c r="EP498" s="5"/>
      <c r="EQ498" s="5"/>
      <c r="ER498" s="99"/>
      <c r="ES498" s="159"/>
      <c r="ET498" s="99"/>
      <c r="EU498" s="99"/>
      <c r="EV498" s="99"/>
      <c r="EW498" s="159"/>
      <c r="EX498" s="99"/>
      <c r="EY498" s="99"/>
      <c r="EZ498" s="175"/>
    </row>
    <row r="499" spans="27:156">
      <c r="AA499" s="18"/>
      <c r="AB499" s="18"/>
      <c r="AC499" s="18"/>
      <c r="AD499" s="19"/>
      <c r="AE499" s="19"/>
      <c r="AI499" s="18"/>
      <c r="AJ499" s="7"/>
      <c r="AK499" s="7"/>
      <c r="AL499" s="7"/>
      <c r="AM499" s="7"/>
      <c r="AN499" s="7"/>
      <c r="AO499" s="7"/>
      <c r="AP499" s="7"/>
      <c r="AQ499" s="7"/>
      <c r="AR499" s="7"/>
      <c r="AS499" s="7"/>
      <c r="AT499" s="7"/>
      <c r="AU499" s="7"/>
      <c r="AV499" s="7"/>
      <c r="AW499" s="7"/>
      <c r="AX499" s="7"/>
      <c r="AY499" s="7"/>
      <c r="AZ499" s="7"/>
      <c r="BA499" s="18"/>
      <c r="BG499" s="140"/>
      <c r="BH499" s="131"/>
      <c r="BI499" s="102"/>
      <c r="BJ499" s="102"/>
      <c r="BK499" s="102"/>
      <c r="BL499" s="102"/>
      <c r="BM499" s="99"/>
      <c r="BN499" s="4"/>
      <c r="BO499" s="4"/>
      <c r="BP499" s="5"/>
      <c r="BQ499" s="5"/>
      <c r="BR499" s="99"/>
      <c r="BS499" s="159"/>
      <c r="BT499" s="99"/>
      <c r="BU499" s="99"/>
      <c r="BV499" s="99"/>
      <c r="BW499" s="159"/>
      <c r="BX499" s="99"/>
      <c r="BY499" s="99"/>
      <c r="BZ499" s="159"/>
      <c r="DA499" s="174"/>
      <c r="DB499" s="18"/>
      <c r="DC499" s="18"/>
      <c r="DD499" s="19"/>
      <c r="DE499" s="19"/>
      <c r="DI499" s="18"/>
      <c r="DJ499" s="7"/>
      <c r="DK499" s="7"/>
      <c r="DL499" s="7"/>
      <c r="DM499" s="7"/>
      <c r="DN499" s="7"/>
      <c r="DO499" s="7"/>
      <c r="DP499" s="7"/>
      <c r="DQ499" s="7"/>
      <c r="DR499" s="7"/>
      <c r="DS499" s="7"/>
      <c r="DT499" s="7"/>
      <c r="DU499" s="7"/>
      <c r="DV499" s="7"/>
      <c r="DW499" s="7"/>
      <c r="DX499" s="7"/>
      <c r="DY499" s="7"/>
      <c r="DZ499" s="7"/>
      <c r="EA499" s="161"/>
      <c r="EG499" s="140"/>
      <c r="EH499" s="131"/>
      <c r="EI499" s="102"/>
      <c r="EJ499" s="102"/>
      <c r="EK499" s="102"/>
      <c r="EL499" s="102"/>
      <c r="EM499" s="99"/>
      <c r="EN499" s="4"/>
      <c r="EO499" s="4"/>
      <c r="EP499" s="5"/>
      <c r="EQ499" s="5"/>
      <c r="ER499" s="99"/>
      <c r="ES499" s="159"/>
      <c r="ET499" s="99"/>
      <c r="EU499" s="99"/>
      <c r="EV499" s="99"/>
      <c r="EW499" s="159"/>
      <c r="EX499" s="99"/>
      <c r="EY499" s="99"/>
      <c r="EZ499" s="175"/>
    </row>
    <row r="500" spans="27:156">
      <c r="AA500" s="18"/>
      <c r="AB500" s="18"/>
      <c r="AC500" s="18"/>
      <c r="AD500" s="19"/>
      <c r="AE500" s="19"/>
      <c r="AI500" s="18"/>
      <c r="AJ500" s="7"/>
      <c r="AK500" s="7"/>
      <c r="AL500" s="7"/>
      <c r="AM500" s="7"/>
      <c r="AN500" s="7"/>
      <c r="AO500" s="7"/>
      <c r="AP500" s="7"/>
      <c r="AQ500" s="7"/>
      <c r="AR500" s="7"/>
      <c r="AS500" s="7"/>
      <c r="AT500" s="7"/>
      <c r="AU500" s="7"/>
      <c r="AV500" s="7"/>
      <c r="AW500" s="7"/>
      <c r="AX500" s="7"/>
      <c r="AY500" s="7"/>
      <c r="AZ500" s="7"/>
      <c r="BA500" s="18"/>
      <c r="BG500" s="140"/>
      <c r="BH500" s="131"/>
      <c r="BI500" s="102"/>
      <c r="BJ500" s="102"/>
      <c r="BK500" s="102"/>
      <c r="BL500" s="102"/>
      <c r="BM500" s="99"/>
      <c r="BN500" s="4"/>
      <c r="BO500" s="4"/>
      <c r="BP500" s="5"/>
      <c r="BQ500" s="5"/>
      <c r="BR500" s="99"/>
      <c r="BS500" s="159"/>
      <c r="BT500" s="99"/>
      <c r="BU500" s="99"/>
      <c r="BV500" s="99"/>
      <c r="BW500" s="159"/>
      <c r="BX500" s="99"/>
      <c r="BY500" s="99"/>
      <c r="BZ500" s="159"/>
      <c r="DA500" s="174"/>
      <c r="DB500" s="18"/>
      <c r="DC500" s="18"/>
      <c r="DD500" s="19"/>
      <c r="DE500" s="19"/>
      <c r="DI500" s="18"/>
      <c r="DJ500" s="7"/>
      <c r="DK500" s="7"/>
      <c r="DL500" s="7"/>
      <c r="DM500" s="7"/>
      <c r="DN500" s="7"/>
      <c r="DO500" s="7"/>
      <c r="DP500" s="7"/>
      <c r="DQ500" s="7"/>
      <c r="DR500" s="7"/>
      <c r="DS500" s="7"/>
      <c r="DT500" s="7"/>
      <c r="DU500" s="7"/>
      <c r="DV500" s="7"/>
      <c r="DW500" s="7"/>
      <c r="DX500" s="7"/>
      <c r="DY500" s="7"/>
      <c r="DZ500" s="7"/>
      <c r="EA500" s="161"/>
      <c r="EG500" s="140"/>
      <c r="EH500" s="131"/>
      <c r="EI500" s="102"/>
      <c r="EJ500" s="102"/>
      <c r="EK500" s="102"/>
      <c r="EL500" s="102"/>
      <c r="EM500" s="99"/>
      <c r="EN500" s="4"/>
      <c r="EO500" s="4"/>
      <c r="EP500" s="5"/>
      <c r="EQ500" s="5"/>
      <c r="ER500" s="99"/>
      <c r="ES500" s="159"/>
      <c r="ET500" s="99"/>
      <c r="EU500" s="99"/>
      <c r="EV500" s="99"/>
      <c r="EW500" s="159"/>
      <c r="EX500" s="99"/>
      <c r="EY500" s="99"/>
      <c r="EZ500" s="175"/>
    </row>
    <row r="501" spans="27:156">
      <c r="AA501" s="18"/>
      <c r="AB501" s="18"/>
      <c r="AC501" s="18"/>
      <c r="AD501" s="19"/>
      <c r="AE501" s="19"/>
      <c r="AI501" s="18"/>
      <c r="AJ501" s="7"/>
      <c r="AK501" s="7"/>
      <c r="AL501" s="7"/>
      <c r="AM501" s="7"/>
      <c r="AN501" s="7"/>
      <c r="AO501" s="7"/>
      <c r="AP501" s="7"/>
      <c r="AQ501" s="7"/>
      <c r="AR501" s="7"/>
      <c r="AS501" s="7"/>
      <c r="AT501" s="7"/>
      <c r="AU501" s="7"/>
      <c r="AV501" s="7"/>
      <c r="AW501" s="7"/>
      <c r="AX501" s="7"/>
      <c r="AY501" s="7"/>
      <c r="AZ501" s="7"/>
      <c r="BA501" s="18"/>
      <c r="BG501" s="140"/>
      <c r="BH501" s="131"/>
      <c r="BI501" s="102"/>
      <c r="BJ501" s="102"/>
      <c r="BK501" s="102"/>
      <c r="BL501" s="102"/>
      <c r="BM501" s="99"/>
      <c r="BN501" s="4"/>
      <c r="BO501" s="4"/>
      <c r="BP501" s="5"/>
      <c r="BQ501" s="5"/>
      <c r="BR501" s="99"/>
      <c r="BS501" s="159"/>
      <c r="BT501" s="99"/>
      <c r="BU501" s="99"/>
      <c r="BV501" s="99"/>
      <c r="BW501" s="159"/>
      <c r="BX501" s="99"/>
      <c r="BY501" s="99"/>
      <c r="BZ501" s="159"/>
      <c r="DA501" s="174"/>
      <c r="DB501" s="18"/>
      <c r="DC501" s="18"/>
      <c r="DD501" s="19"/>
      <c r="DE501" s="19"/>
      <c r="DI501" s="18"/>
      <c r="DJ501" s="7"/>
      <c r="DK501" s="7"/>
      <c r="DL501" s="7"/>
      <c r="DM501" s="7"/>
      <c r="DN501" s="7"/>
      <c r="DO501" s="7"/>
      <c r="DP501" s="7"/>
      <c r="DQ501" s="7"/>
      <c r="DR501" s="7"/>
      <c r="DS501" s="7"/>
      <c r="DT501" s="7"/>
      <c r="DU501" s="7"/>
      <c r="DV501" s="7"/>
      <c r="DW501" s="7"/>
      <c r="DX501" s="7"/>
      <c r="DY501" s="7"/>
      <c r="DZ501" s="7"/>
      <c r="EA501" s="161"/>
      <c r="EG501" s="140"/>
      <c r="EH501" s="131"/>
      <c r="EI501" s="102"/>
      <c r="EJ501" s="102"/>
      <c r="EK501" s="102"/>
      <c r="EL501" s="102"/>
      <c r="EM501" s="99"/>
      <c r="EN501" s="4"/>
      <c r="EO501" s="4"/>
      <c r="EP501" s="5"/>
      <c r="EQ501" s="5"/>
      <c r="ER501" s="99"/>
      <c r="ES501" s="159"/>
      <c r="ET501" s="99"/>
      <c r="EU501" s="99"/>
      <c r="EV501" s="99"/>
      <c r="EW501" s="159"/>
      <c r="EX501" s="99"/>
      <c r="EY501" s="99"/>
      <c r="EZ501" s="175"/>
    </row>
    <row r="502" spans="27:156">
      <c r="AA502" s="18"/>
      <c r="AB502" s="18"/>
      <c r="AC502" s="18"/>
      <c r="AD502" s="19"/>
      <c r="AE502" s="19"/>
      <c r="AI502" s="18"/>
      <c r="AJ502" s="7"/>
      <c r="AK502" s="7"/>
      <c r="AL502" s="7"/>
      <c r="AM502" s="7"/>
      <c r="AN502" s="7"/>
      <c r="AO502" s="7"/>
      <c r="AP502" s="7"/>
      <c r="AQ502" s="7"/>
      <c r="AR502" s="7"/>
      <c r="AS502" s="7"/>
      <c r="AT502" s="7"/>
      <c r="AU502" s="7"/>
      <c r="AV502" s="7"/>
      <c r="AW502" s="7"/>
      <c r="AX502" s="7"/>
      <c r="AY502" s="7"/>
      <c r="AZ502" s="7"/>
      <c r="BA502" s="18"/>
      <c r="BG502" s="140"/>
      <c r="BH502" s="131"/>
      <c r="BI502" s="102"/>
      <c r="BJ502" s="102"/>
      <c r="BK502" s="102"/>
      <c r="BL502" s="102"/>
      <c r="BM502" s="99"/>
      <c r="BN502" s="4"/>
      <c r="BO502" s="4"/>
      <c r="BP502" s="5"/>
      <c r="BQ502" s="5"/>
      <c r="BR502" s="99"/>
      <c r="BS502" s="159"/>
      <c r="BT502" s="99"/>
      <c r="BU502" s="99"/>
      <c r="BV502" s="99"/>
      <c r="BW502" s="159"/>
      <c r="BX502" s="99"/>
      <c r="BY502" s="99"/>
      <c r="BZ502" s="159"/>
      <c r="DA502" s="174"/>
      <c r="DB502" s="18"/>
      <c r="DC502" s="18"/>
      <c r="DD502" s="19"/>
      <c r="DE502" s="19"/>
      <c r="DI502" s="18"/>
      <c r="DJ502" s="7"/>
      <c r="DK502" s="7"/>
      <c r="DL502" s="7"/>
      <c r="DM502" s="7"/>
      <c r="DN502" s="7"/>
      <c r="DO502" s="7"/>
      <c r="DP502" s="7"/>
      <c r="DQ502" s="7"/>
      <c r="DR502" s="7"/>
      <c r="DS502" s="7"/>
      <c r="DT502" s="7"/>
      <c r="DU502" s="7"/>
      <c r="DV502" s="7"/>
      <c r="DW502" s="7"/>
      <c r="DX502" s="7"/>
      <c r="DY502" s="7"/>
      <c r="DZ502" s="7"/>
      <c r="EA502" s="161"/>
      <c r="EG502" s="140"/>
      <c r="EH502" s="131"/>
      <c r="EI502" s="102"/>
      <c r="EJ502" s="102"/>
      <c r="EK502" s="102"/>
      <c r="EL502" s="102"/>
      <c r="EM502" s="99"/>
      <c r="EN502" s="4"/>
      <c r="EO502" s="4"/>
      <c r="EP502" s="5"/>
      <c r="EQ502" s="5"/>
      <c r="ER502" s="99"/>
      <c r="ES502" s="159"/>
      <c r="ET502" s="99"/>
      <c r="EU502" s="99"/>
      <c r="EV502" s="99"/>
      <c r="EW502" s="159"/>
      <c r="EX502" s="99"/>
      <c r="EY502" s="99"/>
      <c r="EZ502" s="175"/>
    </row>
    <row r="503" spans="27:156">
      <c r="AA503" s="18"/>
      <c r="AB503" s="18"/>
      <c r="AC503" s="18"/>
      <c r="AD503" s="19"/>
      <c r="AE503" s="19"/>
      <c r="AI503" s="18"/>
      <c r="AJ503" s="7"/>
      <c r="AK503" s="7"/>
      <c r="AL503" s="7"/>
      <c r="AM503" s="7"/>
      <c r="AN503" s="7"/>
      <c r="AO503" s="7"/>
      <c r="AP503" s="7"/>
      <c r="AQ503" s="7"/>
      <c r="AR503" s="7"/>
      <c r="AS503" s="7"/>
      <c r="AT503" s="7"/>
      <c r="AU503" s="7"/>
      <c r="AV503" s="7"/>
      <c r="AW503" s="7"/>
      <c r="AX503" s="7"/>
      <c r="AY503" s="7"/>
      <c r="AZ503" s="7"/>
      <c r="BA503" s="18"/>
      <c r="BG503" s="140"/>
      <c r="BH503" s="131"/>
      <c r="BI503" s="102"/>
      <c r="BJ503" s="102"/>
      <c r="BK503" s="102"/>
      <c r="BL503" s="102"/>
      <c r="BM503" s="99"/>
      <c r="BN503" s="4"/>
      <c r="BO503" s="4"/>
      <c r="BP503" s="5"/>
      <c r="BQ503" s="5"/>
      <c r="BR503" s="99"/>
      <c r="BS503" s="159"/>
      <c r="BT503" s="99"/>
      <c r="BU503" s="99"/>
      <c r="BV503" s="99"/>
      <c r="BW503" s="159"/>
      <c r="BX503" s="99"/>
      <c r="BY503" s="99"/>
      <c r="BZ503" s="159"/>
      <c r="DA503" s="174"/>
      <c r="DB503" s="18"/>
      <c r="DC503" s="18"/>
      <c r="DD503" s="19"/>
      <c r="DE503" s="19"/>
      <c r="DI503" s="18"/>
      <c r="DJ503" s="7"/>
      <c r="DK503" s="7"/>
      <c r="DL503" s="7"/>
      <c r="DM503" s="7"/>
      <c r="DN503" s="7"/>
      <c r="DO503" s="7"/>
      <c r="DP503" s="7"/>
      <c r="DQ503" s="7"/>
      <c r="DR503" s="7"/>
      <c r="DS503" s="7"/>
      <c r="DT503" s="7"/>
      <c r="DU503" s="7"/>
      <c r="DV503" s="7"/>
      <c r="DW503" s="7"/>
      <c r="DX503" s="7"/>
      <c r="DY503" s="7"/>
      <c r="DZ503" s="7"/>
      <c r="EA503" s="161"/>
      <c r="EG503" s="140"/>
      <c r="EH503" s="131"/>
      <c r="EI503" s="102"/>
      <c r="EJ503" s="102"/>
      <c r="EK503" s="102"/>
      <c r="EL503" s="102"/>
      <c r="EM503" s="99"/>
      <c r="EN503" s="4"/>
      <c r="EO503" s="4"/>
      <c r="EP503" s="5"/>
      <c r="EQ503" s="5"/>
      <c r="ER503" s="99"/>
      <c r="ES503" s="159"/>
      <c r="ET503" s="99"/>
      <c r="EU503" s="99"/>
      <c r="EV503" s="99"/>
      <c r="EW503" s="159"/>
      <c r="EX503" s="99"/>
      <c r="EY503" s="99"/>
      <c r="EZ503" s="175"/>
    </row>
    <row r="504" spans="27:156">
      <c r="AA504" s="18"/>
      <c r="AB504" s="18"/>
      <c r="AC504" s="18"/>
      <c r="AD504" s="19"/>
      <c r="AE504" s="19"/>
      <c r="AI504" s="18"/>
      <c r="AJ504" s="7"/>
      <c r="AK504" s="7"/>
      <c r="AL504" s="7"/>
      <c r="AM504" s="7"/>
      <c r="AN504" s="7"/>
      <c r="AO504" s="7"/>
      <c r="AP504" s="7"/>
      <c r="AQ504" s="7"/>
      <c r="AR504" s="7"/>
      <c r="AS504" s="7"/>
      <c r="AT504" s="7"/>
      <c r="AU504" s="7"/>
      <c r="AV504" s="7"/>
      <c r="AW504" s="7"/>
      <c r="AX504" s="7"/>
      <c r="AY504" s="7"/>
      <c r="AZ504" s="7"/>
      <c r="BA504" s="18"/>
      <c r="BG504" s="140"/>
      <c r="BH504" s="131"/>
      <c r="BI504" s="102"/>
      <c r="BJ504" s="102"/>
      <c r="BK504" s="102"/>
      <c r="BL504" s="102"/>
      <c r="BM504" s="99"/>
      <c r="BN504" s="4"/>
      <c r="BO504" s="4"/>
      <c r="BP504" s="5"/>
      <c r="BQ504" s="5"/>
      <c r="BR504" s="99"/>
      <c r="BS504" s="159"/>
      <c r="BT504" s="99"/>
      <c r="BU504" s="99"/>
      <c r="BV504" s="99"/>
      <c r="BW504" s="159"/>
      <c r="BX504" s="99"/>
      <c r="BY504" s="99"/>
      <c r="BZ504" s="159"/>
      <c r="DA504" s="174"/>
      <c r="DB504" s="18"/>
      <c r="DC504" s="18"/>
      <c r="DD504" s="19"/>
      <c r="DE504" s="19"/>
      <c r="DI504" s="18"/>
      <c r="DJ504" s="7"/>
      <c r="DK504" s="7"/>
      <c r="DL504" s="7"/>
      <c r="DM504" s="7"/>
      <c r="DN504" s="7"/>
      <c r="DO504" s="7"/>
      <c r="DP504" s="7"/>
      <c r="DQ504" s="7"/>
      <c r="DR504" s="7"/>
      <c r="DS504" s="7"/>
      <c r="DT504" s="7"/>
      <c r="DU504" s="7"/>
      <c r="DV504" s="7"/>
      <c r="DW504" s="7"/>
      <c r="DX504" s="7"/>
      <c r="DY504" s="7"/>
      <c r="DZ504" s="7"/>
      <c r="EA504" s="161"/>
      <c r="EG504" s="140"/>
      <c r="EH504" s="131"/>
      <c r="EI504" s="102"/>
      <c r="EJ504" s="102"/>
      <c r="EK504" s="102"/>
      <c r="EL504" s="102"/>
      <c r="EM504" s="99"/>
      <c r="EN504" s="4"/>
      <c r="EO504" s="4"/>
      <c r="EP504" s="5"/>
      <c r="EQ504" s="5"/>
      <c r="ER504" s="99"/>
      <c r="ES504" s="159"/>
      <c r="ET504" s="99"/>
      <c r="EU504" s="99"/>
      <c r="EV504" s="99"/>
      <c r="EW504" s="159"/>
      <c r="EX504" s="99"/>
      <c r="EY504" s="99"/>
      <c r="EZ504" s="175"/>
    </row>
    <row r="505" spans="27:156">
      <c r="AA505" s="18"/>
      <c r="AB505" s="18"/>
      <c r="AC505" s="18"/>
      <c r="AD505" s="19"/>
      <c r="AE505" s="19"/>
      <c r="AI505" s="18"/>
      <c r="AJ505" s="7"/>
      <c r="AK505" s="7"/>
      <c r="AL505" s="7"/>
      <c r="AM505" s="7"/>
      <c r="AN505" s="7"/>
      <c r="AO505" s="7"/>
      <c r="AP505" s="7"/>
      <c r="AQ505" s="7"/>
      <c r="AR505" s="7"/>
      <c r="AS505" s="7"/>
      <c r="AT505" s="7"/>
      <c r="AU505" s="7"/>
      <c r="AV505" s="7"/>
      <c r="AW505" s="7"/>
      <c r="AX505" s="7"/>
      <c r="AY505" s="7"/>
      <c r="AZ505" s="7"/>
      <c r="BA505" s="18"/>
      <c r="BG505" s="140"/>
      <c r="BH505" s="131"/>
      <c r="BI505" s="102"/>
      <c r="BJ505" s="102"/>
      <c r="BK505" s="102"/>
      <c r="BL505" s="102"/>
      <c r="BM505" s="99"/>
      <c r="BN505" s="4"/>
      <c r="BO505" s="4"/>
      <c r="BP505" s="5"/>
      <c r="BQ505" s="5"/>
      <c r="BR505" s="99"/>
      <c r="BS505" s="159"/>
      <c r="BT505" s="99"/>
      <c r="BU505" s="99"/>
      <c r="BV505" s="99"/>
      <c r="BW505" s="159"/>
      <c r="BX505" s="99"/>
      <c r="BY505" s="99"/>
      <c r="BZ505" s="159"/>
      <c r="DA505" s="174"/>
      <c r="DB505" s="18"/>
      <c r="DC505" s="18"/>
      <c r="DD505" s="19"/>
      <c r="DE505" s="19"/>
      <c r="DI505" s="18"/>
      <c r="DJ505" s="7"/>
      <c r="DK505" s="7"/>
      <c r="DL505" s="7"/>
      <c r="DM505" s="7"/>
      <c r="DN505" s="7"/>
      <c r="DO505" s="7"/>
      <c r="DP505" s="7"/>
      <c r="DQ505" s="7"/>
      <c r="DR505" s="7"/>
      <c r="DS505" s="7"/>
      <c r="DT505" s="7"/>
      <c r="DU505" s="7"/>
      <c r="DV505" s="7"/>
      <c r="DW505" s="7"/>
      <c r="DX505" s="7"/>
      <c r="DY505" s="7"/>
      <c r="DZ505" s="7"/>
      <c r="EA505" s="161"/>
      <c r="EG505" s="140"/>
      <c r="EH505" s="131"/>
      <c r="EI505" s="102"/>
      <c r="EJ505" s="102"/>
      <c r="EK505" s="102"/>
      <c r="EL505" s="102"/>
      <c r="EM505" s="99"/>
      <c r="EN505" s="4"/>
      <c r="EO505" s="4"/>
      <c r="EP505" s="5"/>
      <c r="EQ505" s="5"/>
      <c r="ER505" s="99"/>
      <c r="ES505" s="159"/>
      <c r="ET505" s="99"/>
      <c r="EU505" s="99"/>
      <c r="EV505" s="99"/>
      <c r="EW505" s="159"/>
      <c r="EX505" s="99"/>
      <c r="EY505" s="99"/>
      <c r="EZ505" s="175"/>
    </row>
    <row r="506" spans="27:156">
      <c r="AA506" s="18"/>
      <c r="AB506" s="18"/>
      <c r="AC506" s="18"/>
      <c r="AD506" s="19"/>
      <c r="AE506" s="19"/>
      <c r="AI506" s="18"/>
      <c r="AJ506" s="7"/>
      <c r="AK506" s="7"/>
      <c r="AL506" s="7"/>
      <c r="AM506" s="7"/>
      <c r="AN506" s="7"/>
      <c r="AO506" s="7"/>
      <c r="AP506" s="7"/>
      <c r="AQ506" s="7"/>
      <c r="AR506" s="7"/>
      <c r="AS506" s="7"/>
      <c r="AT506" s="7"/>
      <c r="AU506" s="7"/>
      <c r="AV506" s="7"/>
      <c r="AW506" s="7"/>
      <c r="AX506" s="7"/>
      <c r="AY506" s="7"/>
      <c r="AZ506" s="7"/>
      <c r="BA506" s="18"/>
      <c r="BG506" s="140"/>
      <c r="BH506" s="131"/>
      <c r="BI506" s="102"/>
      <c r="BJ506" s="102"/>
      <c r="BK506" s="102"/>
      <c r="BL506" s="102"/>
      <c r="BM506" s="99"/>
      <c r="BN506" s="4"/>
      <c r="BO506" s="4"/>
      <c r="BP506" s="5"/>
      <c r="BQ506" s="5"/>
      <c r="BR506" s="99"/>
      <c r="BS506" s="159"/>
      <c r="BT506" s="99"/>
      <c r="BU506" s="99"/>
      <c r="BV506" s="99"/>
      <c r="BW506" s="159"/>
      <c r="BX506" s="99"/>
      <c r="BY506" s="99"/>
      <c r="BZ506" s="159"/>
      <c r="DA506" s="174"/>
      <c r="DB506" s="18"/>
      <c r="DC506" s="18"/>
      <c r="DD506" s="19"/>
      <c r="DE506" s="19"/>
      <c r="DI506" s="18"/>
      <c r="DJ506" s="7"/>
      <c r="DK506" s="7"/>
      <c r="DL506" s="7"/>
      <c r="DM506" s="7"/>
      <c r="DN506" s="7"/>
      <c r="DO506" s="7"/>
      <c r="DP506" s="7"/>
      <c r="DQ506" s="7"/>
      <c r="DR506" s="7"/>
      <c r="DS506" s="7"/>
      <c r="DT506" s="7"/>
      <c r="DU506" s="7"/>
      <c r="DV506" s="7"/>
      <c r="DW506" s="7"/>
      <c r="DX506" s="7"/>
      <c r="DY506" s="7"/>
      <c r="DZ506" s="7"/>
      <c r="EA506" s="161"/>
      <c r="EG506" s="140"/>
      <c r="EH506" s="131"/>
      <c r="EI506" s="102"/>
      <c r="EJ506" s="102"/>
      <c r="EK506" s="102"/>
      <c r="EL506" s="102"/>
      <c r="EM506" s="99"/>
      <c r="EN506" s="4"/>
      <c r="EO506" s="4"/>
      <c r="EP506" s="5"/>
      <c r="EQ506" s="5"/>
      <c r="ER506" s="99"/>
      <c r="ES506" s="159"/>
      <c r="ET506" s="99"/>
      <c r="EU506" s="99"/>
      <c r="EV506" s="99"/>
      <c r="EW506" s="159"/>
      <c r="EX506" s="99"/>
      <c r="EY506" s="99"/>
      <c r="EZ506" s="175"/>
    </row>
    <row r="507" spans="27:156">
      <c r="AA507" s="18"/>
      <c r="AB507" s="18"/>
      <c r="AC507" s="18"/>
      <c r="AD507" s="19"/>
      <c r="AE507" s="19"/>
      <c r="AI507" s="18"/>
      <c r="AJ507" s="7"/>
      <c r="AK507" s="7"/>
      <c r="AL507" s="7"/>
      <c r="AM507" s="7"/>
      <c r="AN507" s="7"/>
      <c r="AO507" s="7"/>
      <c r="AP507" s="7"/>
      <c r="AQ507" s="7"/>
      <c r="AR507" s="7"/>
      <c r="AS507" s="7"/>
      <c r="AT507" s="7"/>
      <c r="AU507" s="7"/>
      <c r="AV507" s="7"/>
      <c r="AW507" s="7"/>
      <c r="AX507" s="7"/>
      <c r="AY507" s="7"/>
      <c r="AZ507" s="7"/>
      <c r="BA507" s="18"/>
      <c r="BG507" s="140"/>
      <c r="BH507" s="131"/>
      <c r="BI507" s="102"/>
      <c r="BJ507" s="102"/>
      <c r="BK507" s="102"/>
      <c r="BL507" s="102"/>
      <c r="BM507" s="99"/>
      <c r="BN507" s="4"/>
      <c r="BO507" s="4"/>
      <c r="BP507" s="5"/>
      <c r="BQ507" s="5"/>
      <c r="BR507" s="99"/>
      <c r="BS507" s="159"/>
      <c r="BT507" s="99"/>
      <c r="BU507" s="99"/>
      <c r="BV507" s="99"/>
      <c r="BW507" s="159"/>
      <c r="BX507" s="99"/>
      <c r="BY507" s="99"/>
      <c r="BZ507" s="159"/>
      <c r="DA507" s="174"/>
      <c r="DB507" s="18"/>
      <c r="DC507" s="18"/>
      <c r="DD507" s="19"/>
      <c r="DE507" s="19"/>
      <c r="DI507" s="18"/>
      <c r="DJ507" s="7"/>
      <c r="DK507" s="7"/>
      <c r="DL507" s="7"/>
      <c r="DM507" s="7"/>
      <c r="DN507" s="7"/>
      <c r="DO507" s="7"/>
      <c r="DP507" s="7"/>
      <c r="DQ507" s="7"/>
      <c r="DR507" s="7"/>
      <c r="DS507" s="7"/>
      <c r="DT507" s="7"/>
      <c r="DU507" s="7"/>
      <c r="DV507" s="7"/>
      <c r="DW507" s="7"/>
      <c r="DX507" s="7"/>
      <c r="DY507" s="7"/>
      <c r="DZ507" s="7"/>
      <c r="EA507" s="161"/>
      <c r="EG507" s="140"/>
      <c r="EH507" s="131"/>
      <c r="EI507" s="102"/>
      <c r="EJ507" s="102"/>
      <c r="EK507" s="102"/>
      <c r="EL507" s="102"/>
      <c r="EM507" s="99"/>
      <c r="EN507" s="4"/>
      <c r="EO507" s="4"/>
      <c r="EP507" s="5"/>
      <c r="EQ507" s="5"/>
      <c r="ER507" s="99"/>
      <c r="ES507" s="159"/>
      <c r="ET507" s="99"/>
      <c r="EU507" s="99"/>
      <c r="EV507" s="99"/>
      <c r="EW507" s="159"/>
      <c r="EX507" s="99"/>
      <c r="EY507" s="99"/>
      <c r="EZ507" s="175"/>
    </row>
    <row r="508" spans="27:156">
      <c r="AA508" s="18"/>
      <c r="AB508" s="18"/>
      <c r="AC508" s="18"/>
      <c r="AD508" s="19"/>
      <c r="AE508" s="19"/>
      <c r="AI508" s="18"/>
      <c r="AJ508" s="7"/>
      <c r="AK508" s="7"/>
      <c r="AL508" s="7"/>
      <c r="AM508" s="7"/>
      <c r="AN508" s="7"/>
      <c r="AO508" s="7"/>
      <c r="AP508" s="7"/>
      <c r="AQ508" s="7"/>
      <c r="AR508" s="7"/>
      <c r="AS508" s="7"/>
      <c r="AT508" s="7"/>
      <c r="AU508" s="7"/>
      <c r="AV508" s="7"/>
      <c r="AW508" s="7"/>
      <c r="AX508" s="7"/>
      <c r="AY508" s="7"/>
      <c r="AZ508" s="7"/>
      <c r="BA508" s="18"/>
      <c r="BG508" s="140"/>
      <c r="BH508" s="131"/>
      <c r="BI508" s="102"/>
      <c r="BJ508" s="102"/>
      <c r="BK508" s="102"/>
      <c r="BL508" s="102"/>
      <c r="BM508" s="99"/>
      <c r="BN508" s="4"/>
      <c r="BO508" s="4"/>
      <c r="BP508" s="5"/>
      <c r="BQ508" s="5"/>
      <c r="BR508" s="99"/>
      <c r="BS508" s="159"/>
      <c r="BT508" s="99"/>
      <c r="BU508" s="99"/>
      <c r="BV508" s="99"/>
      <c r="BW508" s="159"/>
      <c r="BX508" s="99"/>
      <c r="BY508" s="99"/>
      <c r="BZ508" s="159"/>
      <c r="DA508" s="174"/>
      <c r="DB508" s="18"/>
      <c r="DC508" s="18"/>
      <c r="DD508" s="19"/>
      <c r="DE508" s="19"/>
      <c r="DI508" s="18"/>
      <c r="DJ508" s="7"/>
      <c r="DK508" s="7"/>
      <c r="DL508" s="7"/>
      <c r="DM508" s="7"/>
      <c r="DN508" s="7"/>
      <c r="DO508" s="7"/>
      <c r="DP508" s="7"/>
      <c r="DQ508" s="7"/>
      <c r="DR508" s="7"/>
      <c r="DS508" s="7"/>
      <c r="DT508" s="7"/>
      <c r="DU508" s="7"/>
      <c r="DV508" s="7"/>
      <c r="DW508" s="7"/>
      <c r="DX508" s="7"/>
      <c r="DY508" s="7"/>
      <c r="DZ508" s="7"/>
      <c r="EA508" s="161"/>
      <c r="EG508" s="140"/>
      <c r="EH508" s="131"/>
      <c r="EI508" s="102"/>
      <c r="EJ508" s="102"/>
      <c r="EK508" s="102"/>
      <c r="EL508" s="102"/>
      <c r="EM508" s="99"/>
      <c r="EN508" s="4"/>
      <c r="EO508" s="4"/>
      <c r="EP508" s="5"/>
      <c r="EQ508" s="5"/>
      <c r="ER508" s="99"/>
      <c r="ES508" s="159"/>
      <c r="ET508" s="99"/>
      <c r="EU508" s="99"/>
      <c r="EV508" s="99"/>
      <c r="EW508" s="159"/>
      <c r="EX508" s="99"/>
      <c r="EY508" s="99"/>
      <c r="EZ508" s="175"/>
    </row>
    <row r="509" spans="27:156">
      <c r="AA509" s="18"/>
      <c r="AB509" s="18"/>
      <c r="AC509" s="18"/>
      <c r="AD509" s="19"/>
      <c r="AE509" s="19"/>
      <c r="AI509" s="18"/>
      <c r="AJ509" s="7"/>
      <c r="AK509" s="7"/>
      <c r="AL509" s="7"/>
      <c r="AM509" s="7"/>
      <c r="AN509" s="7"/>
      <c r="AO509" s="7"/>
      <c r="AP509" s="7"/>
      <c r="AQ509" s="7"/>
      <c r="AR509" s="7"/>
      <c r="AS509" s="7"/>
      <c r="AT509" s="7"/>
      <c r="AU509" s="7"/>
      <c r="AV509" s="7"/>
      <c r="AW509" s="7"/>
      <c r="AX509" s="7"/>
      <c r="AY509" s="7"/>
      <c r="AZ509" s="7"/>
      <c r="BA509" s="18"/>
      <c r="BG509" s="140"/>
      <c r="BH509" s="131"/>
      <c r="BI509" s="102"/>
      <c r="BJ509" s="102"/>
      <c r="BK509" s="102"/>
      <c r="BL509" s="102"/>
      <c r="BM509" s="99"/>
      <c r="BN509" s="4"/>
      <c r="BO509" s="4"/>
      <c r="BP509" s="5"/>
      <c r="BQ509" s="5"/>
      <c r="BR509" s="99"/>
      <c r="BS509" s="159"/>
      <c r="BT509" s="99"/>
      <c r="BU509" s="99"/>
      <c r="BV509" s="99"/>
      <c r="BW509" s="159"/>
      <c r="BX509" s="99"/>
      <c r="BY509" s="99"/>
      <c r="BZ509" s="159"/>
      <c r="DA509" s="174"/>
      <c r="DB509" s="18"/>
      <c r="DC509" s="18"/>
      <c r="DD509" s="19"/>
      <c r="DE509" s="19"/>
      <c r="DI509" s="18"/>
      <c r="DJ509" s="7"/>
      <c r="DK509" s="7"/>
      <c r="DL509" s="7"/>
      <c r="DM509" s="7"/>
      <c r="DN509" s="7"/>
      <c r="DO509" s="7"/>
      <c r="DP509" s="7"/>
      <c r="DQ509" s="7"/>
      <c r="DR509" s="7"/>
      <c r="DS509" s="7"/>
      <c r="DT509" s="7"/>
      <c r="DU509" s="7"/>
      <c r="DV509" s="7"/>
      <c r="DW509" s="7"/>
      <c r="DX509" s="7"/>
      <c r="DY509" s="7"/>
      <c r="DZ509" s="7"/>
      <c r="EA509" s="161"/>
      <c r="EG509" s="140"/>
      <c r="EH509" s="131"/>
      <c r="EI509" s="102"/>
      <c r="EJ509" s="102"/>
      <c r="EK509" s="102"/>
      <c r="EL509" s="102"/>
      <c r="EM509" s="99"/>
      <c r="EN509" s="4"/>
      <c r="EO509" s="4"/>
      <c r="EP509" s="5"/>
      <c r="EQ509" s="5"/>
      <c r="ER509" s="99"/>
      <c r="ES509" s="159"/>
      <c r="ET509" s="99"/>
      <c r="EU509" s="99"/>
      <c r="EV509" s="99"/>
      <c r="EW509" s="159"/>
      <c r="EX509" s="99"/>
      <c r="EY509" s="99"/>
      <c r="EZ509" s="175"/>
    </row>
    <row r="510" spans="27:156">
      <c r="AA510" s="18"/>
      <c r="AB510" s="18"/>
      <c r="AC510" s="18"/>
      <c r="AD510" s="19"/>
      <c r="AE510" s="19"/>
      <c r="AI510" s="18"/>
      <c r="AJ510" s="7"/>
      <c r="AK510" s="7"/>
      <c r="AL510" s="7"/>
      <c r="AM510" s="7"/>
      <c r="AN510" s="7"/>
      <c r="AO510" s="7"/>
      <c r="AP510" s="7"/>
      <c r="AQ510" s="7"/>
      <c r="AR510" s="7"/>
      <c r="AS510" s="7"/>
      <c r="AT510" s="7"/>
      <c r="AU510" s="7"/>
      <c r="AV510" s="7"/>
      <c r="AW510" s="7"/>
      <c r="AX510" s="7"/>
      <c r="AY510" s="7"/>
      <c r="AZ510" s="7"/>
      <c r="BA510" s="18"/>
      <c r="BG510" s="140"/>
      <c r="BH510" s="131"/>
      <c r="BI510" s="102"/>
      <c r="BJ510" s="102"/>
      <c r="BK510" s="102"/>
      <c r="BL510" s="102"/>
      <c r="BM510" s="99"/>
      <c r="BN510" s="4"/>
      <c r="BO510" s="4"/>
      <c r="BP510" s="5"/>
      <c r="BQ510" s="5"/>
      <c r="BR510" s="99"/>
      <c r="BS510" s="159"/>
      <c r="BT510" s="99"/>
      <c r="BU510" s="99"/>
      <c r="BV510" s="99"/>
      <c r="BW510" s="159"/>
      <c r="BX510" s="99"/>
      <c r="BY510" s="99"/>
      <c r="BZ510" s="159"/>
      <c r="DA510" s="174"/>
      <c r="DB510" s="18"/>
      <c r="DC510" s="18"/>
      <c r="DD510" s="19"/>
      <c r="DE510" s="19"/>
      <c r="DI510" s="18"/>
      <c r="DJ510" s="7"/>
      <c r="DK510" s="7"/>
      <c r="DL510" s="7"/>
      <c r="DM510" s="7"/>
      <c r="DN510" s="7"/>
      <c r="DO510" s="7"/>
      <c r="DP510" s="7"/>
      <c r="DQ510" s="7"/>
      <c r="DR510" s="7"/>
      <c r="DS510" s="7"/>
      <c r="DT510" s="7"/>
      <c r="DU510" s="7"/>
      <c r="DV510" s="7"/>
      <c r="DW510" s="7"/>
      <c r="DX510" s="7"/>
      <c r="DY510" s="7"/>
      <c r="DZ510" s="7"/>
      <c r="EA510" s="161"/>
      <c r="EG510" s="140"/>
      <c r="EH510" s="131"/>
      <c r="EI510" s="102"/>
      <c r="EJ510" s="102"/>
      <c r="EK510" s="102"/>
      <c r="EL510" s="102"/>
      <c r="EM510" s="99"/>
      <c r="EN510" s="4"/>
      <c r="EO510" s="4"/>
      <c r="EP510" s="5"/>
      <c r="EQ510" s="5"/>
      <c r="ER510" s="99"/>
      <c r="ES510" s="159"/>
      <c r="ET510" s="99"/>
      <c r="EU510" s="99"/>
      <c r="EV510" s="99"/>
      <c r="EW510" s="159"/>
      <c r="EX510" s="99"/>
      <c r="EY510" s="99"/>
      <c r="EZ510" s="175"/>
    </row>
    <row r="511" spans="27:156">
      <c r="AA511" s="18"/>
      <c r="AB511" s="18"/>
      <c r="AC511" s="18"/>
      <c r="AD511" s="19"/>
      <c r="AE511" s="19"/>
      <c r="AI511" s="18"/>
      <c r="AJ511" s="7"/>
      <c r="AK511" s="7"/>
      <c r="AL511" s="7"/>
      <c r="AM511" s="7"/>
      <c r="AN511" s="7"/>
      <c r="AO511" s="7"/>
      <c r="AP511" s="7"/>
      <c r="AQ511" s="7"/>
      <c r="AR511" s="7"/>
      <c r="AS511" s="7"/>
      <c r="AT511" s="7"/>
      <c r="AU511" s="7"/>
      <c r="AV511" s="7"/>
      <c r="AW511" s="7"/>
      <c r="AX511" s="7"/>
      <c r="AY511" s="7"/>
      <c r="AZ511" s="7"/>
      <c r="BA511" s="18"/>
      <c r="BG511" s="140"/>
      <c r="BH511" s="131"/>
      <c r="BI511" s="102"/>
      <c r="BJ511" s="102"/>
      <c r="BK511" s="102"/>
      <c r="BL511" s="102"/>
      <c r="BM511" s="99"/>
      <c r="BN511" s="4"/>
      <c r="BO511" s="4"/>
      <c r="BP511" s="5"/>
      <c r="BQ511" s="5"/>
      <c r="BR511" s="99"/>
      <c r="BS511" s="159"/>
      <c r="BT511" s="99"/>
      <c r="BU511" s="99"/>
      <c r="BV511" s="99"/>
      <c r="BW511" s="159"/>
      <c r="BX511" s="99"/>
      <c r="BY511" s="99"/>
      <c r="BZ511" s="159"/>
      <c r="DA511" s="174"/>
      <c r="DB511" s="18"/>
      <c r="DC511" s="18"/>
      <c r="DD511" s="19"/>
      <c r="DE511" s="19"/>
      <c r="DI511" s="18"/>
      <c r="DJ511" s="7"/>
      <c r="DK511" s="7"/>
      <c r="DL511" s="7"/>
      <c r="DM511" s="7"/>
      <c r="DN511" s="7"/>
      <c r="DO511" s="7"/>
      <c r="DP511" s="7"/>
      <c r="DQ511" s="7"/>
      <c r="DR511" s="7"/>
      <c r="DS511" s="7"/>
      <c r="DT511" s="7"/>
      <c r="DU511" s="7"/>
      <c r="DV511" s="7"/>
      <c r="DW511" s="7"/>
      <c r="DX511" s="7"/>
      <c r="DY511" s="7"/>
      <c r="DZ511" s="7"/>
      <c r="EA511" s="161"/>
      <c r="EG511" s="140"/>
      <c r="EH511" s="131"/>
      <c r="EI511" s="102"/>
      <c r="EJ511" s="102"/>
      <c r="EK511" s="102"/>
      <c r="EL511" s="102"/>
      <c r="EM511" s="99"/>
      <c r="EN511" s="4"/>
      <c r="EO511" s="4"/>
      <c r="EP511" s="5"/>
      <c r="EQ511" s="5"/>
      <c r="ER511" s="99"/>
      <c r="ES511" s="159"/>
      <c r="ET511" s="99"/>
      <c r="EU511" s="99"/>
      <c r="EV511" s="99"/>
      <c r="EW511" s="159"/>
      <c r="EX511" s="99"/>
      <c r="EY511" s="99"/>
      <c r="EZ511" s="175"/>
    </row>
    <row r="512" spans="27:156">
      <c r="AA512" s="18"/>
      <c r="AB512" s="18"/>
      <c r="AC512" s="18"/>
      <c r="AD512" s="19"/>
      <c r="AE512" s="19"/>
      <c r="AI512" s="18"/>
      <c r="AJ512" s="7"/>
      <c r="AK512" s="7"/>
      <c r="AL512" s="7"/>
      <c r="AM512" s="7"/>
      <c r="AN512" s="7"/>
      <c r="AO512" s="7"/>
      <c r="AP512" s="7"/>
      <c r="AQ512" s="7"/>
      <c r="AR512" s="7"/>
      <c r="AS512" s="7"/>
      <c r="AT512" s="7"/>
      <c r="AU512" s="7"/>
      <c r="AV512" s="7"/>
      <c r="AW512" s="7"/>
      <c r="AX512" s="7"/>
      <c r="AY512" s="7"/>
      <c r="AZ512" s="7"/>
      <c r="BA512" s="18"/>
      <c r="BG512" s="140"/>
      <c r="BH512" s="131"/>
      <c r="BI512" s="102"/>
      <c r="BJ512" s="102"/>
      <c r="BK512" s="102"/>
      <c r="BL512" s="102"/>
      <c r="BM512" s="99"/>
      <c r="BN512" s="4"/>
      <c r="BO512" s="4"/>
      <c r="BP512" s="5"/>
      <c r="BQ512" s="5"/>
      <c r="BR512" s="99"/>
      <c r="BS512" s="159"/>
      <c r="BT512" s="99"/>
      <c r="BU512" s="99"/>
      <c r="BV512" s="99"/>
      <c r="BW512" s="159"/>
      <c r="BX512" s="99"/>
      <c r="BY512" s="99"/>
      <c r="BZ512" s="159"/>
      <c r="DA512" s="174"/>
      <c r="DB512" s="18"/>
      <c r="DC512" s="18"/>
      <c r="DD512" s="19"/>
      <c r="DE512" s="19"/>
      <c r="DI512" s="18"/>
      <c r="DJ512" s="7"/>
      <c r="DK512" s="7"/>
      <c r="DL512" s="7"/>
      <c r="DM512" s="7"/>
      <c r="DN512" s="7"/>
      <c r="DO512" s="7"/>
      <c r="DP512" s="7"/>
      <c r="DQ512" s="7"/>
      <c r="DR512" s="7"/>
      <c r="DS512" s="7"/>
      <c r="DT512" s="7"/>
      <c r="DU512" s="7"/>
      <c r="DV512" s="7"/>
      <c r="DW512" s="7"/>
      <c r="DX512" s="7"/>
      <c r="DY512" s="7"/>
      <c r="DZ512" s="7"/>
      <c r="EA512" s="161"/>
      <c r="EG512" s="140"/>
      <c r="EH512" s="131"/>
      <c r="EI512" s="102"/>
      <c r="EJ512" s="102"/>
      <c r="EK512" s="102"/>
      <c r="EL512" s="102"/>
      <c r="EM512" s="99"/>
      <c r="EN512" s="4"/>
      <c r="EO512" s="4"/>
      <c r="EP512" s="5"/>
      <c r="EQ512" s="5"/>
      <c r="ER512" s="99"/>
      <c r="ES512" s="159"/>
      <c r="ET512" s="99"/>
      <c r="EU512" s="99"/>
      <c r="EV512" s="99"/>
      <c r="EW512" s="159"/>
      <c r="EX512" s="99"/>
      <c r="EY512" s="99"/>
      <c r="EZ512" s="175"/>
    </row>
    <row r="513" spans="27:156">
      <c r="AA513" s="18"/>
      <c r="AB513" s="18"/>
      <c r="AC513" s="18"/>
      <c r="AD513" s="19"/>
      <c r="AE513" s="19"/>
      <c r="AI513" s="18"/>
      <c r="AJ513" s="7"/>
      <c r="AK513" s="7"/>
      <c r="AL513" s="7"/>
      <c r="AM513" s="7"/>
      <c r="AN513" s="7"/>
      <c r="AO513" s="7"/>
      <c r="AP513" s="7"/>
      <c r="AQ513" s="7"/>
      <c r="AR513" s="7"/>
      <c r="AS513" s="7"/>
      <c r="AT513" s="7"/>
      <c r="AU513" s="7"/>
      <c r="AV513" s="7"/>
      <c r="AW513" s="7"/>
      <c r="AX513" s="7"/>
      <c r="AY513" s="7"/>
      <c r="AZ513" s="7"/>
      <c r="BA513" s="18"/>
      <c r="BG513" s="140"/>
      <c r="BH513" s="131"/>
      <c r="BI513" s="102"/>
      <c r="BJ513" s="102"/>
      <c r="BK513" s="102"/>
      <c r="BL513" s="102"/>
      <c r="BM513" s="99"/>
      <c r="BN513" s="4"/>
      <c r="BO513" s="4"/>
      <c r="BP513" s="5"/>
      <c r="BQ513" s="5"/>
      <c r="BR513" s="99"/>
      <c r="BS513" s="159"/>
      <c r="BT513" s="99"/>
      <c r="BU513" s="99"/>
      <c r="BV513" s="99"/>
      <c r="BW513" s="159"/>
      <c r="BX513" s="99"/>
      <c r="BY513" s="99"/>
      <c r="BZ513" s="159"/>
      <c r="DA513" s="174"/>
      <c r="DB513" s="18"/>
      <c r="DC513" s="18"/>
      <c r="DD513" s="19"/>
      <c r="DE513" s="19"/>
      <c r="DI513" s="18"/>
      <c r="DJ513" s="7"/>
      <c r="DK513" s="7"/>
      <c r="DL513" s="7"/>
      <c r="DM513" s="7"/>
      <c r="DN513" s="7"/>
      <c r="DO513" s="7"/>
      <c r="DP513" s="7"/>
      <c r="DQ513" s="7"/>
      <c r="DR513" s="7"/>
      <c r="DS513" s="7"/>
      <c r="DT513" s="7"/>
      <c r="DU513" s="7"/>
      <c r="DV513" s="7"/>
      <c r="DW513" s="7"/>
      <c r="DX513" s="7"/>
      <c r="DY513" s="7"/>
      <c r="DZ513" s="7"/>
      <c r="EA513" s="161"/>
      <c r="EG513" s="140"/>
      <c r="EH513" s="131"/>
      <c r="EI513" s="102"/>
      <c r="EJ513" s="102"/>
      <c r="EK513" s="102"/>
      <c r="EL513" s="102"/>
      <c r="EM513" s="99"/>
      <c r="EN513" s="4"/>
      <c r="EO513" s="4"/>
      <c r="EP513" s="5"/>
      <c r="EQ513" s="5"/>
      <c r="ER513" s="99"/>
      <c r="ES513" s="159"/>
      <c r="ET513" s="99"/>
      <c r="EU513" s="99"/>
      <c r="EV513" s="99"/>
      <c r="EW513" s="159"/>
      <c r="EX513" s="99"/>
      <c r="EY513" s="99"/>
      <c r="EZ513" s="175"/>
    </row>
    <row r="514" spans="27:156">
      <c r="AA514" s="18"/>
      <c r="AB514" s="18"/>
      <c r="AC514" s="18"/>
      <c r="AD514" s="19"/>
      <c r="AE514" s="19"/>
      <c r="AI514" s="18"/>
      <c r="AJ514" s="7"/>
      <c r="AK514" s="7"/>
      <c r="AL514" s="7"/>
      <c r="AM514" s="7"/>
      <c r="AN514" s="7"/>
      <c r="AO514" s="7"/>
      <c r="AP514" s="7"/>
      <c r="AQ514" s="7"/>
      <c r="AR514" s="7"/>
      <c r="AS514" s="7"/>
      <c r="AT514" s="7"/>
      <c r="AU514" s="7"/>
      <c r="AV514" s="7"/>
      <c r="AW514" s="7"/>
      <c r="AX514" s="7"/>
      <c r="AY514" s="7"/>
      <c r="AZ514" s="7"/>
      <c r="BA514" s="18"/>
      <c r="BG514" s="140"/>
      <c r="BH514" s="131"/>
      <c r="BI514" s="102"/>
      <c r="BJ514" s="102"/>
      <c r="BK514" s="102"/>
      <c r="BL514" s="102"/>
      <c r="BM514" s="99"/>
      <c r="BN514" s="4"/>
      <c r="BO514" s="4"/>
      <c r="BP514" s="5"/>
      <c r="BQ514" s="5"/>
      <c r="BR514" s="99"/>
      <c r="BS514" s="159"/>
      <c r="BT514" s="99"/>
      <c r="BU514" s="99"/>
      <c r="BV514" s="99"/>
      <c r="BW514" s="159"/>
      <c r="BX514" s="99"/>
      <c r="BY514" s="99"/>
      <c r="BZ514" s="159"/>
      <c r="DA514" s="174"/>
      <c r="DB514" s="18"/>
      <c r="DC514" s="18"/>
      <c r="DD514" s="19"/>
      <c r="DE514" s="19"/>
      <c r="DI514" s="18"/>
      <c r="DJ514" s="7"/>
      <c r="DK514" s="7"/>
      <c r="DL514" s="7"/>
      <c r="DM514" s="7"/>
      <c r="DN514" s="7"/>
      <c r="DO514" s="7"/>
      <c r="DP514" s="7"/>
      <c r="DQ514" s="7"/>
      <c r="DR514" s="7"/>
      <c r="DS514" s="7"/>
      <c r="DT514" s="7"/>
      <c r="DU514" s="7"/>
      <c r="DV514" s="7"/>
      <c r="DW514" s="7"/>
      <c r="DX514" s="7"/>
      <c r="DY514" s="7"/>
      <c r="DZ514" s="7"/>
      <c r="EA514" s="161"/>
      <c r="EG514" s="140"/>
      <c r="EH514" s="131"/>
      <c r="EI514" s="102"/>
      <c r="EJ514" s="102"/>
      <c r="EK514" s="102"/>
      <c r="EL514" s="102"/>
      <c r="EM514" s="99"/>
      <c r="EN514" s="4"/>
      <c r="EO514" s="4"/>
      <c r="EP514" s="5"/>
      <c r="EQ514" s="5"/>
      <c r="ER514" s="99"/>
      <c r="ES514" s="159"/>
      <c r="ET514" s="99"/>
      <c r="EU514" s="99"/>
      <c r="EV514" s="99"/>
      <c r="EW514" s="159"/>
      <c r="EX514" s="99"/>
      <c r="EY514" s="99"/>
      <c r="EZ514" s="175"/>
    </row>
    <row r="515" spans="27:156">
      <c r="AA515" s="18"/>
      <c r="AB515" s="18"/>
      <c r="AC515" s="18"/>
      <c r="AD515" s="19"/>
      <c r="AE515" s="19"/>
      <c r="AI515" s="18"/>
      <c r="AJ515" s="7"/>
      <c r="AK515" s="7"/>
      <c r="AL515" s="7"/>
      <c r="AM515" s="7"/>
      <c r="AN515" s="7"/>
      <c r="AO515" s="7"/>
      <c r="AP515" s="7"/>
      <c r="AQ515" s="7"/>
      <c r="AR515" s="7"/>
      <c r="AS515" s="7"/>
      <c r="AT515" s="7"/>
      <c r="AU515" s="7"/>
      <c r="AV515" s="7"/>
      <c r="AW515" s="7"/>
      <c r="AX515" s="7"/>
      <c r="AY515" s="7"/>
      <c r="AZ515" s="7"/>
      <c r="BA515" s="18"/>
      <c r="BG515" s="140"/>
      <c r="BH515" s="131"/>
      <c r="BI515" s="102"/>
      <c r="BJ515" s="102"/>
      <c r="BK515" s="102"/>
      <c r="BL515" s="102"/>
      <c r="BM515" s="99"/>
      <c r="BN515" s="4"/>
      <c r="BO515" s="4"/>
      <c r="BP515" s="5"/>
      <c r="BQ515" s="5"/>
      <c r="BR515" s="99"/>
      <c r="BS515" s="159"/>
      <c r="BT515" s="99"/>
      <c r="BU515" s="99"/>
      <c r="BV515" s="99"/>
      <c r="BW515" s="159"/>
      <c r="BX515" s="99"/>
      <c r="BY515" s="99"/>
      <c r="BZ515" s="159"/>
      <c r="DA515" s="174"/>
      <c r="DB515" s="18"/>
      <c r="DC515" s="18"/>
      <c r="DD515" s="19"/>
      <c r="DE515" s="19"/>
      <c r="DI515" s="18"/>
      <c r="DJ515" s="7"/>
      <c r="DK515" s="7"/>
      <c r="DL515" s="7"/>
      <c r="DM515" s="7"/>
      <c r="DN515" s="7"/>
      <c r="DO515" s="7"/>
      <c r="DP515" s="7"/>
      <c r="DQ515" s="7"/>
      <c r="DR515" s="7"/>
      <c r="DS515" s="7"/>
      <c r="DT515" s="7"/>
      <c r="DU515" s="7"/>
      <c r="DV515" s="7"/>
      <c r="DW515" s="7"/>
      <c r="DX515" s="7"/>
      <c r="DY515" s="7"/>
      <c r="DZ515" s="7"/>
      <c r="EA515" s="161"/>
      <c r="EG515" s="140"/>
      <c r="EH515" s="131"/>
      <c r="EI515" s="102"/>
      <c r="EJ515" s="102"/>
      <c r="EK515" s="102"/>
      <c r="EL515" s="102"/>
      <c r="EM515" s="99"/>
      <c r="EN515" s="4"/>
      <c r="EO515" s="4"/>
      <c r="EP515" s="5"/>
      <c r="EQ515" s="5"/>
      <c r="ER515" s="99"/>
      <c r="ES515" s="159"/>
      <c r="ET515" s="99"/>
      <c r="EU515" s="99"/>
      <c r="EV515" s="99"/>
      <c r="EW515" s="159"/>
      <c r="EX515" s="99"/>
      <c r="EY515" s="99"/>
      <c r="EZ515" s="175"/>
    </row>
    <row r="516" spans="27:156">
      <c r="AA516" s="18"/>
      <c r="AB516" s="18"/>
      <c r="AC516" s="18"/>
      <c r="AD516" s="19"/>
      <c r="AE516" s="19"/>
      <c r="AI516" s="18"/>
      <c r="AJ516" s="7"/>
      <c r="AK516" s="7"/>
      <c r="AL516" s="7"/>
      <c r="AM516" s="7"/>
      <c r="AN516" s="7"/>
      <c r="AO516" s="7"/>
      <c r="AP516" s="7"/>
      <c r="AQ516" s="7"/>
      <c r="AR516" s="7"/>
      <c r="AS516" s="7"/>
      <c r="AT516" s="7"/>
      <c r="AU516" s="7"/>
      <c r="AV516" s="7"/>
      <c r="AW516" s="7"/>
      <c r="AX516" s="7"/>
      <c r="AY516" s="7"/>
      <c r="AZ516" s="7"/>
      <c r="BA516" s="18"/>
      <c r="BG516" s="140"/>
      <c r="BH516" s="131"/>
      <c r="BI516" s="102"/>
      <c r="BJ516" s="102"/>
      <c r="BK516" s="102"/>
      <c r="BL516" s="102"/>
      <c r="BM516" s="99"/>
      <c r="BN516" s="4"/>
      <c r="BO516" s="4"/>
      <c r="BP516" s="5"/>
      <c r="BQ516" s="5"/>
      <c r="BR516" s="99"/>
      <c r="BS516" s="159"/>
      <c r="BT516" s="99"/>
      <c r="BU516" s="99"/>
      <c r="BV516" s="99"/>
      <c r="BW516" s="159"/>
      <c r="BX516" s="99"/>
      <c r="BY516" s="99"/>
      <c r="BZ516" s="159"/>
      <c r="DA516" s="174"/>
      <c r="DB516" s="18"/>
      <c r="DC516" s="18"/>
      <c r="DD516" s="19"/>
      <c r="DE516" s="19"/>
      <c r="DI516" s="18"/>
      <c r="DJ516" s="7"/>
      <c r="DK516" s="7"/>
      <c r="DL516" s="7"/>
      <c r="DM516" s="7"/>
      <c r="DN516" s="7"/>
      <c r="DO516" s="7"/>
      <c r="DP516" s="7"/>
      <c r="DQ516" s="7"/>
      <c r="DR516" s="7"/>
      <c r="DS516" s="7"/>
      <c r="DT516" s="7"/>
      <c r="DU516" s="7"/>
      <c r="DV516" s="7"/>
      <c r="DW516" s="7"/>
      <c r="DX516" s="7"/>
      <c r="DY516" s="7"/>
      <c r="DZ516" s="7"/>
      <c r="EA516" s="161"/>
      <c r="EG516" s="140"/>
      <c r="EH516" s="131"/>
      <c r="EI516" s="102"/>
      <c r="EJ516" s="102"/>
      <c r="EK516" s="102"/>
      <c r="EL516" s="102"/>
      <c r="EM516" s="99"/>
      <c r="EN516" s="4"/>
      <c r="EO516" s="4"/>
      <c r="EP516" s="5"/>
      <c r="EQ516" s="5"/>
      <c r="ER516" s="99"/>
      <c r="ES516" s="159"/>
      <c r="ET516" s="99"/>
      <c r="EU516" s="99"/>
      <c r="EV516" s="99"/>
      <c r="EW516" s="159"/>
      <c r="EX516" s="99"/>
      <c r="EY516" s="99"/>
      <c r="EZ516" s="175"/>
    </row>
    <row r="517" spans="27:156">
      <c r="AA517" s="18"/>
      <c r="AB517" s="18"/>
      <c r="AC517" s="18"/>
      <c r="AD517" s="19"/>
      <c r="AE517" s="19"/>
      <c r="AI517" s="18"/>
      <c r="AJ517" s="7"/>
      <c r="AK517" s="7"/>
      <c r="AL517" s="7"/>
      <c r="AM517" s="7"/>
      <c r="AN517" s="7"/>
      <c r="AO517" s="7"/>
      <c r="AP517" s="7"/>
      <c r="AQ517" s="7"/>
      <c r="AR517" s="7"/>
      <c r="AS517" s="7"/>
      <c r="AT517" s="7"/>
      <c r="AU517" s="7"/>
      <c r="AV517" s="7"/>
      <c r="AW517" s="7"/>
      <c r="AX517" s="7"/>
      <c r="AY517" s="7"/>
      <c r="AZ517" s="7"/>
      <c r="BA517" s="18"/>
      <c r="BG517" s="140"/>
      <c r="BH517" s="131"/>
      <c r="BI517" s="102"/>
      <c r="BJ517" s="102"/>
      <c r="BK517" s="102"/>
      <c r="BL517" s="102"/>
      <c r="BM517" s="99"/>
      <c r="BN517" s="4"/>
      <c r="BO517" s="4"/>
      <c r="BP517" s="5"/>
      <c r="BQ517" s="5"/>
      <c r="BR517" s="99"/>
      <c r="BS517" s="159"/>
      <c r="BT517" s="99"/>
      <c r="BU517" s="99"/>
      <c r="BV517" s="99"/>
      <c r="BW517" s="159"/>
      <c r="BX517" s="99"/>
      <c r="BY517" s="99"/>
      <c r="BZ517" s="159"/>
      <c r="DA517" s="174"/>
      <c r="DB517" s="18"/>
      <c r="DC517" s="18"/>
      <c r="DD517" s="19"/>
      <c r="DE517" s="19"/>
      <c r="DI517" s="18"/>
      <c r="DJ517" s="7"/>
      <c r="DK517" s="7"/>
      <c r="DL517" s="7"/>
      <c r="DM517" s="7"/>
      <c r="DN517" s="7"/>
      <c r="DO517" s="7"/>
      <c r="DP517" s="7"/>
      <c r="DQ517" s="7"/>
      <c r="DR517" s="7"/>
      <c r="DS517" s="7"/>
      <c r="DT517" s="7"/>
      <c r="DU517" s="7"/>
      <c r="DV517" s="7"/>
      <c r="DW517" s="7"/>
      <c r="DX517" s="7"/>
      <c r="DY517" s="7"/>
      <c r="DZ517" s="7"/>
      <c r="EA517" s="161"/>
      <c r="EG517" s="140"/>
      <c r="EH517" s="131"/>
      <c r="EI517" s="102"/>
      <c r="EJ517" s="102"/>
      <c r="EK517" s="102"/>
      <c r="EL517" s="102"/>
      <c r="EM517" s="99"/>
      <c r="EN517" s="4"/>
      <c r="EO517" s="4"/>
      <c r="EP517" s="5"/>
      <c r="EQ517" s="5"/>
      <c r="ER517" s="99"/>
      <c r="ES517" s="159"/>
      <c r="ET517" s="99"/>
      <c r="EU517" s="99"/>
      <c r="EV517" s="99"/>
      <c r="EW517" s="159"/>
      <c r="EX517" s="99"/>
      <c r="EY517" s="99"/>
      <c r="EZ517" s="175"/>
    </row>
    <row r="518" spans="27:156">
      <c r="AA518" s="18"/>
      <c r="AB518" s="18"/>
      <c r="AC518" s="18"/>
      <c r="AD518" s="19"/>
      <c r="AE518" s="19"/>
      <c r="AI518" s="18"/>
      <c r="AJ518" s="7"/>
      <c r="AK518" s="7"/>
      <c r="AL518" s="7"/>
      <c r="AM518" s="7"/>
      <c r="AN518" s="7"/>
      <c r="AO518" s="7"/>
      <c r="AP518" s="7"/>
      <c r="AQ518" s="7"/>
      <c r="AR518" s="7"/>
      <c r="AS518" s="7"/>
      <c r="AT518" s="7"/>
      <c r="AU518" s="7"/>
      <c r="AV518" s="7"/>
      <c r="AW518" s="7"/>
      <c r="AX518" s="7"/>
      <c r="AY518" s="7"/>
      <c r="AZ518" s="7"/>
      <c r="BA518" s="18"/>
      <c r="BG518" s="140"/>
      <c r="BH518" s="131"/>
      <c r="BI518" s="102"/>
      <c r="BJ518" s="102"/>
      <c r="BK518" s="102"/>
      <c r="BL518" s="102"/>
      <c r="BM518" s="99"/>
      <c r="BN518" s="4"/>
      <c r="BO518" s="4"/>
      <c r="BP518" s="5"/>
      <c r="BQ518" s="5"/>
      <c r="BR518" s="99"/>
      <c r="BS518" s="159"/>
      <c r="BT518" s="99"/>
      <c r="BU518" s="99"/>
      <c r="BV518" s="99"/>
      <c r="BW518" s="159"/>
      <c r="BX518" s="99"/>
      <c r="BY518" s="99"/>
      <c r="BZ518" s="159"/>
      <c r="DA518" s="174"/>
      <c r="DB518" s="18"/>
      <c r="DC518" s="18"/>
      <c r="DD518" s="19"/>
      <c r="DE518" s="19"/>
      <c r="DI518" s="18"/>
      <c r="DJ518" s="7"/>
      <c r="DK518" s="7"/>
      <c r="DL518" s="7"/>
      <c r="DM518" s="7"/>
      <c r="DN518" s="7"/>
      <c r="DO518" s="7"/>
      <c r="DP518" s="7"/>
      <c r="DQ518" s="7"/>
      <c r="DR518" s="7"/>
      <c r="DS518" s="7"/>
      <c r="DT518" s="7"/>
      <c r="DU518" s="7"/>
      <c r="DV518" s="7"/>
      <c r="DW518" s="7"/>
      <c r="DX518" s="7"/>
      <c r="DY518" s="7"/>
      <c r="DZ518" s="7"/>
      <c r="EA518" s="161"/>
      <c r="EG518" s="140"/>
      <c r="EH518" s="131"/>
      <c r="EI518" s="102"/>
      <c r="EJ518" s="102"/>
      <c r="EK518" s="102"/>
      <c r="EL518" s="102"/>
      <c r="EM518" s="99"/>
      <c r="EN518" s="4"/>
      <c r="EO518" s="4"/>
      <c r="EP518" s="5"/>
      <c r="EQ518" s="5"/>
      <c r="ER518" s="99"/>
      <c r="ES518" s="159"/>
      <c r="ET518" s="99"/>
      <c r="EU518" s="99"/>
      <c r="EV518" s="99"/>
      <c r="EW518" s="159"/>
      <c r="EX518" s="99"/>
      <c r="EY518" s="99"/>
      <c r="EZ518" s="175"/>
    </row>
    <row r="519" spans="27:156">
      <c r="AA519" s="18"/>
      <c r="AB519" s="18"/>
      <c r="AC519" s="18"/>
      <c r="AD519" s="19"/>
      <c r="AE519" s="19"/>
      <c r="AI519" s="18"/>
      <c r="AJ519" s="7"/>
      <c r="AK519" s="7"/>
      <c r="AL519" s="7"/>
      <c r="AM519" s="7"/>
      <c r="AN519" s="7"/>
      <c r="AO519" s="7"/>
      <c r="AP519" s="7"/>
      <c r="AQ519" s="7"/>
      <c r="AR519" s="7"/>
      <c r="AS519" s="7"/>
      <c r="AT519" s="7"/>
      <c r="AU519" s="7"/>
      <c r="AV519" s="7"/>
      <c r="AW519" s="7"/>
      <c r="AX519" s="7"/>
      <c r="AY519" s="7"/>
      <c r="AZ519" s="7"/>
      <c r="BA519" s="18"/>
      <c r="BG519" s="140"/>
      <c r="BH519" s="131"/>
      <c r="BI519" s="102"/>
      <c r="BJ519" s="102"/>
      <c r="BK519" s="102"/>
      <c r="BL519" s="102"/>
      <c r="BM519" s="99"/>
      <c r="BN519" s="4"/>
      <c r="BO519" s="4"/>
      <c r="BP519" s="5"/>
      <c r="BQ519" s="5"/>
      <c r="BR519" s="99"/>
      <c r="BS519" s="159"/>
      <c r="BT519" s="99"/>
      <c r="BU519" s="99"/>
      <c r="BV519" s="99"/>
      <c r="BW519" s="159"/>
      <c r="BX519" s="99"/>
      <c r="BY519" s="99"/>
      <c r="BZ519" s="159"/>
      <c r="DA519" s="174"/>
      <c r="DB519" s="18"/>
      <c r="DC519" s="18"/>
      <c r="DD519" s="19"/>
      <c r="DE519" s="19"/>
      <c r="DI519" s="18"/>
      <c r="DJ519" s="7"/>
      <c r="DK519" s="7"/>
      <c r="DL519" s="7"/>
      <c r="DM519" s="7"/>
      <c r="DN519" s="7"/>
      <c r="DO519" s="7"/>
      <c r="DP519" s="7"/>
      <c r="DQ519" s="7"/>
      <c r="DR519" s="7"/>
      <c r="DS519" s="7"/>
      <c r="DT519" s="7"/>
      <c r="DU519" s="7"/>
      <c r="DV519" s="7"/>
      <c r="DW519" s="7"/>
      <c r="DX519" s="7"/>
      <c r="DY519" s="7"/>
      <c r="DZ519" s="7"/>
      <c r="EA519" s="161"/>
      <c r="EG519" s="140"/>
      <c r="EH519" s="131"/>
      <c r="EI519" s="102"/>
      <c r="EJ519" s="102"/>
      <c r="EK519" s="102"/>
      <c r="EL519" s="102"/>
      <c r="EM519" s="99"/>
      <c r="EN519" s="4"/>
      <c r="EO519" s="4"/>
      <c r="EP519" s="5"/>
      <c r="EQ519" s="5"/>
      <c r="ER519" s="99"/>
      <c r="ES519" s="159"/>
      <c r="ET519" s="99"/>
      <c r="EU519" s="99"/>
      <c r="EV519" s="99"/>
      <c r="EW519" s="159"/>
      <c r="EX519" s="99"/>
      <c r="EY519" s="99"/>
      <c r="EZ519" s="175"/>
    </row>
    <row r="520" spans="27:156">
      <c r="AA520" s="18"/>
      <c r="AB520" s="18"/>
      <c r="AC520" s="18"/>
      <c r="AD520" s="19"/>
      <c r="AE520" s="19"/>
      <c r="AI520" s="18"/>
      <c r="AJ520" s="7"/>
      <c r="AK520" s="7"/>
      <c r="AL520" s="7"/>
      <c r="AM520" s="7"/>
      <c r="AN520" s="7"/>
      <c r="AO520" s="7"/>
      <c r="AP520" s="7"/>
      <c r="AQ520" s="7"/>
      <c r="AR520" s="7"/>
      <c r="AS520" s="7"/>
      <c r="AT520" s="7"/>
      <c r="AU520" s="7"/>
      <c r="AV520" s="7"/>
      <c r="AW520" s="7"/>
      <c r="AX520" s="7"/>
      <c r="AY520" s="7"/>
      <c r="AZ520" s="7"/>
      <c r="BA520" s="18"/>
      <c r="BG520" s="140"/>
      <c r="BH520" s="131"/>
      <c r="BI520" s="102"/>
      <c r="BJ520" s="102"/>
      <c r="BK520" s="102"/>
      <c r="BL520" s="102"/>
      <c r="BM520" s="99"/>
      <c r="BN520" s="4"/>
      <c r="BO520" s="4"/>
      <c r="BP520" s="5"/>
      <c r="BQ520" s="5"/>
      <c r="BR520" s="99"/>
      <c r="BS520" s="159"/>
      <c r="BT520" s="99"/>
      <c r="BU520" s="99"/>
      <c r="BV520" s="99"/>
      <c r="BW520" s="159"/>
      <c r="BX520" s="99"/>
      <c r="BY520" s="99"/>
      <c r="BZ520" s="159"/>
      <c r="DA520" s="174"/>
      <c r="DB520" s="18"/>
      <c r="DC520" s="18"/>
      <c r="DD520" s="19"/>
      <c r="DE520" s="19"/>
      <c r="DI520" s="18"/>
      <c r="DJ520" s="7"/>
      <c r="DK520" s="7"/>
      <c r="DL520" s="7"/>
      <c r="DM520" s="7"/>
      <c r="DN520" s="7"/>
      <c r="DO520" s="7"/>
      <c r="DP520" s="7"/>
      <c r="DQ520" s="7"/>
      <c r="DR520" s="7"/>
      <c r="DS520" s="7"/>
      <c r="DT520" s="7"/>
      <c r="DU520" s="7"/>
      <c r="DV520" s="7"/>
      <c r="DW520" s="7"/>
      <c r="DX520" s="7"/>
      <c r="DY520" s="7"/>
      <c r="DZ520" s="7"/>
      <c r="EA520" s="161"/>
      <c r="EG520" s="140"/>
      <c r="EH520" s="131"/>
      <c r="EI520" s="102"/>
      <c r="EJ520" s="102"/>
      <c r="EK520" s="102"/>
      <c r="EL520" s="102"/>
      <c r="EM520" s="99"/>
      <c r="EN520" s="4"/>
      <c r="EO520" s="4"/>
      <c r="EP520" s="5"/>
      <c r="EQ520" s="5"/>
      <c r="ER520" s="99"/>
      <c r="ES520" s="159"/>
      <c r="ET520" s="99"/>
      <c r="EU520" s="99"/>
      <c r="EV520" s="99"/>
      <c r="EW520" s="159"/>
      <c r="EX520" s="99"/>
      <c r="EY520" s="99"/>
      <c r="EZ520" s="175"/>
    </row>
    <row r="521" spans="27:156">
      <c r="AA521" s="18"/>
      <c r="AB521" s="18"/>
      <c r="AC521" s="18"/>
      <c r="AD521" s="19"/>
      <c r="AE521" s="19"/>
      <c r="AI521" s="18"/>
      <c r="AJ521" s="7"/>
      <c r="AK521" s="7"/>
      <c r="AL521" s="7"/>
      <c r="AM521" s="7"/>
      <c r="AN521" s="7"/>
      <c r="AO521" s="7"/>
      <c r="AP521" s="7"/>
      <c r="AQ521" s="7"/>
      <c r="AR521" s="7"/>
      <c r="AS521" s="7"/>
      <c r="AT521" s="7"/>
      <c r="AU521" s="7"/>
      <c r="AV521" s="7"/>
      <c r="AW521" s="7"/>
      <c r="AX521" s="7"/>
      <c r="AY521" s="7"/>
      <c r="AZ521" s="7"/>
      <c r="BA521" s="18"/>
      <c r="BG521" s="140"/>
      <c r="BH521" s="131"/>
      <c r="BI521" s="102"/>
      <c r="BJ521" s="102"/>
      <c r="BK521" s="102"/>
      <c r="BL521" s="102"/>
      <c r="BM521" s="99"/>
      <c r="BN521" s="4"/>
      <c r="BO521" s="4"/>
      <c r="BP521" s="5"/>
      <c r="BQ521" s="5"/>
      <c r="BR521" s="99"/>
      <c r="BS521" s="159"/>
      <c r="BT521" s="99"/>
      <c r="BU521" s="99"/>
      <c r="BV521" s="99"/>
      <c r="BW521" s="159"/>
      <c r="BX521" s="99"/>
      <c r="BY521" s="99"/>
      <c r="BZ521" s="159"/>
      <c r="DA521" s="174"/>
      <c r="DB521" s="18"/>
      <c r="DC521" s="18"/>
      <c r="DD521" s="19"/>
      <c r="DE521" s="19"/>
      <c r="DI521" s="18"/>
      <c r="DJ521" s="7"/>
      <c r="DK521" s="7"/>
      <c r="DL521" s="7"/>
      <c r="DM521" s="7"/>
      <c r="DN521" s="7"/>
      <c r="DO521" s="7"/>
      <c r="DP521" s="7"/>
      <c r="DQ521" s="7"/>
      <c r="DR521" s="7"/>
      <c r="DS521" s="7"/>
      <c r="DT521" s="7"/>
      <c r="DU521" s="7"/>
      <c r="DV521" s="7"/>
      <c r="DW521" s="7"/>
      <c r="DX521" s="7"/>
      <c r="DY521" s="7"/>
      <c r="DZ521" s="7"/>
      <c r="EA521" s="161"/>
      <c r="EG521" s="140"/>
      <c r="EH521" s="131"/>
      <c r="EI521" s="102"/>
      <c r="EJ521" s="102"/>
      <c r="EK521" s="102"/>
      <c r="EL521" s="102"/>
      <c r="EM521" s="99"/>
      <c r="EN521" s="4"/>
      <c r="EO521" s="4"/>
      <c r="EP521" s="5"/>
      <c r="EQ521" s="5"/>
      <c r="ER521" s="99"/>
      <c r="ES521" s="159"/>
      <c r="ET521" s="99"/>
      <c r="EU521" s="99"/>
      <c r="EV521" s="99"/>
      <c r="EW521" s="159"/>
      <c r="EX521" s="99"/>
      <c r="EY521" s="99"/>
      <c r="EZ521" s="175"/>
    </row>
    <row r="522" spans="27:156">
      <c r="AA522" s="18"/>
      <c r="AB522" s="18"/>
      <c r="AC522" s="18"/>
      <c r="AD522" s="19"/>
      <c r="AE522" s="19"/>
      <c r="AI522" s="18"/>
      <c r="AJ522" s="7"/>
      <c r="AK522" s="7"/>
      <c r="AL522" s="7"/>
      <c r="AM522" s="7"/>
      <c r="AN522" s="7"/>
      <c r="AO522" s="7"/>
      <c r="AP522" s="7"/>
      <c r="AQ522" s="7"/>
      <c r="AR522" s="7"/>
      <c r="AS522" s="7"/>
      <c r="AT522" s="7"/>
      <c r="AU522" s="7"/>
      <c r="AV522" s="7"/>
      <c r="AW522" s="7"/>
      <c r="AX522" s="7"/>
      <c r="AY522" s="7"/>
      <c r="AZ522" s="7"/>
      <c r="BA522" s="18"/>
      <c r="BG522" s="140"/>
      <c r="BH522" s="131"/>
      <c r="BI522" s="102"/>
      <c r="BJ522" s="102"/>
      <c r="BK522" s="102"/>
      <c r="BL522" s="102"/>
      <c r="BM522" s="99"/>
      <c r="BN522" s="4"/>
      <c r="BO522" s="4"/>
      <c r="BP522" s="5"/>
      <c r="BQ522" s="5"/>
      <c r="BR522" s="99"/>
      <c r="BS522" s="159"/>
      <c r="BT522" s="99"/>
      <c r="BU522" s="99"/>
      <c r="BV522" s="99"/>
      <c r="BW522" s="159"/>
      <c r="BX522" s="99"/>
      <c r="BY522" s="99"/>
      <c r="BZ522" s="159"/>
      <c r="DA522" s="174"/>
      <c r="DB522" s="18"/>
      <c r="DC522" s="18"/>
      <c r="DD522" s="19"/>
      <c r="DE522" s="19"/>
      <c r="DI522" s="18"/>
      <c r="DJ522" s="7"/>
      <c r="DK522" s="7"/>
      <c r="DL522" s="7"/>
      <c r="DM522" s="7"/>
      <c r="DN522" s="7"/>
      <c r="DO522" s="7"/>
      <c r="DP522" s="7"/>
      <c r="DQ522" s="7"/>
      <c r="DR522" s="7"/>
      <c r="DS522" s="7"/>
      <c r="DT522" s="7"/>
      <c r="DU522" s="7"/>
      <c r="DV522" s="7"/>
      <c r="DW522" s="7"/>
      <c r="DX522" s="7"/>
      <c r="DY522" s="7"/>
      <c r="DZ522" s="7"/>
      <c r="EA522" s="161"/>
      <c r="EG522" s="140"/>
      <c r="EH522" s="131"/>
      <c r="EI522" s="102"/>
      <c r="EJ522" s="102"/>
      <c r="EK522" s="102"/>
      <c r="EL522" s="102"/>
      <c r="EM522" s="99"/>
      <c r="EN522" s="4"/>
      <c r="EO522" s="4"/>
      <c r="EP522" s="5"/>
      <c r="EQ522" s="5"/>
      <c r="ER522" s="99"/>
      <c r="ES522" s="159"/>
      <c r="ET522" s="99"/>
      <c r="EU522" s="99"/>
      <c r="EV522" s="99"/>
      <c r="EW522" s="159"/>
      <c r="EX522" s="99"/>
      <c r="EY522" s="99"/>
      <c r="EZ522" s="175"/>
    </row>
    <row r="523" spans="27:156">
      <c r="AA523" s="18"/>
      <c r="AB523" s="18"/>
      <c r="AC523" s="18"/>
      <c r="AD523" s="19"/>
      <c r="AE523" s="19"/>
      <c r="AI523" s="18"/>
      <c r="AJ523" s="7"/>
      <c r="AK523" s="7"/>
      <c r="AL523" s="7"/>
      <c r="AM523" s="7"/>
      <c r="AN523" s="7"/>
      <c r="AO523" s="7"/>
      <c r="AP523" s="7"/>
      <c r="AQ523" s="7"/>
      <c r="AR523" s="7"/>
      <c r="AS523" s="7"/>
      <c r="AT523" s="7"/>
      <c r="AU523" s="7"/>
      <c r="AV523" s="7"/>
      <c r="AW523" s="7"/>
      <c r="AX523" s="7"/>
      <c r="AY523" s="7"/>
      <c r="AZ523" s="7"/>
      <c r="BA523" s="18"/>
      <c r="BG523" s="140"/>
      <c r="BH523" s="131"/>
      <c r="BI523" s="102"/>
      <c r="BJ523" s="102"/>
      <c r="BK523" s="102"/>
      <c r="BL523" s="102"/>
      <c r="BM523" s="99"/>
      <c r="BN523" s="4"/>
      <c r="BO523" s="4"/>
      <c r="BP523" s="5"/>
      <c r="BQ523" s="5"/>
      <c r="BR523" s="99"/>
      <c r="BS523" s="159"/>
      <c r="BT523" s="99"/>
      <c r="BU523" s="99"/>
      <c r="BV523" s="99"/>
      <c r="BW523" s="159"/>
      <c r="BX523" s="99"/>
      <c r="BY523" s="99"/>
      <c r="BZ523" s="159"/>
      <c r="DA523" s="174"/>
      <c r="DB523" s="18"/>
      <c r="DC523" s="18"/>
      <c r="DD523" s="19"/>
      <c r="DE523" s="19"/>
      <c r="DI523" s="18"/>
      <c r="DJ523" s="7"/>
      <c r="DK523" s="7"/>
      <c r="DL523" s="7"/>
      <c r="DM523" s="7"/>
      <c r="DN523" s="7"/>
      <c r="DO523" s="7"/>
      <c r="DP523" s="7"/>
      <c r="DQ523" s="7"/>
      <c r="DR523" s="7"/>
      <c r="DS523" s="7"/>
      <c r="DT523" s="7"/>
      <c r="DU523" s="7"/>
      <c r="DV523" s="7"/>
      <c r="DW523" s="7"/>
      <c r="DX523" s="7"/>
      <c r="DY523" s="7"/>
      <c r="DZ523" s="7"/>
      <c r="EA523" s="161"/>
      <c r="EG523" s="140"/>
      <c r="EH523" s="131"/>
      <c r="EI523" s="102"/>
      <c r="EJ523" s="102"/>
      <c r="EK523" s="102"/>
      <c r="EL523" s="102"/>
      <c r="EM523" s="99"/>
      <c r="EN523" s="4"/>
      <c r="EO523" s="4"/>
      <c r="EP523" s="5"/>
      <c r="EQ523" s="5"/>
      <c r="ER523" s="99"/>
      <c r="ES523" s="159"/>
      <c r="ET523" s="99"/>
      <c r="EU523" s="99"/>
      <c r="EV523" s="99"/>
      <c r="EW523" s="159"/>
      <c r="EX523" s="99"/>
      <c r="EY523" s="99"/>
      <c r="EZ523" s="175"/>
    </row>
    <row r="524" spans="27:156">
      <c r="AA524" s="18"/>
      <c r="AB524" s="18"/>
      <c r="AC524" s="18"/>
      <c r="AD524" s="19"/>
      <c r="AE524" s="19"/>
      <c r="AI524" s="18"/>
      <c r="AJ524" s="7"/>
      <c r="AK524" s="7"/>
      <c r="AL524" s="7"/>
      <c r="AM524" s="7"/>
      <c r="AN524" s="7"/>
      <c r="AO524" s="7"/>
      <c r="AP524" s="7"/>
      <c r="AQ524" s="7"/>
      <c r="AR524" s="7"/>
      <c r="AS524" s="7"/>
      <c r="AT524" s="7"/>
      <c r="AU524" s="7"/>
      <c r="AV524" s="7"/>
      <c r="AW524" s="7"/>
      <c r="AX524" s="7"/>
      <c r="AY524" s="7"/>
      <c r="AZ524" s="7"/>
      <c r="BA524" s="18"/>
      <c r="BG524" s="140"/>
      <c r="BH524" s="131"/>
      <c r="BI524" s="102"/>
      <c r="BJ524" s="102"/>
      <c r="BK524" s="102"/>
      <c r="BL524" s="102"/>
      <c r="BM524" s="99"/>
      <c r="BN524" s="4"/>
      <c r="BO524" s="4"/>
      <c r="BP524" s="5"/>
      <c r="BQ524" s="5"/>
      <c r="BR524" s="99"/>
      <c r="BS524" s="159"/>
      <c r="BT524" s="99"/>
      <c r="BU524" s="99"/>
      <c r="BV524" s="99"/>
      <c r="BW524" s="159"/>
      <c r="BX524" s="99"/>
      <c r="BY524" s="99"/>
      <c r="BZ524" s="159"/>
      <c r="DA524" s="174"/>
      <c r="DB524" s="18"/>
      <c r="DC524" s="18"/>
      <c r="DD524" s="19"/>
      <c r="DE524" s="19"/>
      <c r="DI524" s="18"/>
      <c r="DJ524" s="7"/>
      <c r="DK524" s="7"/>
      <c r="DL524" s="7"/>
      <c r="DM524" s="7"/>
      <c r="DN524" s="7"/>
      <c r="DO524" s="7"/>
      <c r="DP524" s="7"/>
      <c r="DQ524" s="7"/>
      <c r="DR524" s="7"/>
      <c r="DS524" s="7"/>
      <c r="DT524" s="7"/>
      <c r="DU524" s="7"/>
      <c r="DV524" s="7"/>
      <c r="DW524" s="7"/>
      <c r="DX524" s="7"/>
      <c r="DY524" s="7"/>
      <c r="DZ524" s="7"/>
      <c r="EA524" s="161"/>
      <c r="EG524" s="140"/>
      <c r="EH524" s="131"/>
      <c r="EI524" s="102"/>
      <c r="EJ524" s="102"/>
      <c r="EK524" s="102"/>
      <c r="EL524" s="102"/>
      <c r="EM524" s="99"/>
      <c r="EN524" s="4"/>
      <c r="EO524" s="4"/>
      <c r="EP524" s="5"/>
      <c r="EQ524" s="5"/>
      <c r="ER524" s="99"/>
      <c r="ES524" s="159"/>
      <c r="ET524" s="99"/>
      <c r="EU524" s="99"/>
      <c r="EV524" s="99"/>
      <c r="EW524" s="159"/>
      <c r="EX524" s="99"/>
      <c r="EY524" s="99"/>
      <c r="EZ524" s="175"/>
    </row>
    <row r="525" spans="27:156">
      <c r="AA525" s="18"/>
      <c r="AB525" s="18"/>
      <c r="AC525" s="18"/>
      <c r="AD525" s="19"/>
      <c r="AE525" s="19"/>
      <c r="AI525" s="18"/>
      <c r="AJ525" s="7"/>
      <c r="AK525" s="7"/>
      <c r="AL525" s="7"/>
      <c r="AM525" s="7"/>
      <c r="AN525" s="7"/>
      <c r="AO525" s="7"/>
      <c r="AP525" s="7"/>
      <c r="AQ525" s="7"/>
      <c r="AR525" s="7"/>
      <c r="AS525" s="7"/>
      <c r="AT525" s="7"/>
      <c r="AU525" s="7"/>
      <c r="AV525" s="7"/>
      <c r="AW525" s="7"/>
      <c r="AX525" s="7"/>
      <c r="AY525" s="7"/>
      <c r="AZ525" s="7"/>
      <c r="BA525" s="18"/>
      <c r="BG525" s="140"/>
      <c r="BH525" s="131"/>
      <c r="BI525" s="102"/>
      <c r="BJ525" s="102"/>
      <c r="BK525" s="102"/>
      <c r="BL525" s="102"/>
      <c r="BM525" s="99"/>
      <c r="BN525" s="4"/>
      <c r="BO525" s="4"/>
      <c r="BP525" s="5"/>
      <c r="BQ525" s="5"/>
      <c r="BR525" s="99"/>
      <c r="BS525" s="159"/>
      <c r="BT525" s="99"/>
      <c r="BU525" s="99"/>
      <c r="BV525" s="99"/>
      <c r="BW525" s="159"/>
      <c r="BX525" s="99"/>
      <c r="BY525" s="99"/>
      <c r="BZ525" s="159"/>
      <c r="DA525" s="174"/>
      <c r="DB525" s="18"/>
      <c r="DC525" s="18"/>
      <c r="DD525" s="19"/>
      <c r="DE525" s="19"/>
      <c r="DI525" s="18"/>
      <c r="DJ525" s="7"/>
      <c r="DK525" s="7"/>
      <c r="DL525" s="7"/>
      <c r="DM525" s="7"/>
      <c r="DN525" s="7"/>
      <c r="DO525" s="7"/>
      <c r="DP525" s="7"/>
      <c r="DQ525" s="7"/>
      <c r="DR525" s="7"/>
      <c r="DS525" s="7"/>
      <c r="DT525" s="7"/>
      <c r="DU525" s="7"/>
      <c r="DV525" s="7"/>
      <c r="DW525" s="7"/>
      <c r="DX525" s="7"/>
      <c r="DY525" s="7"/>
      <c r="DZ525" s="7"/>
      <c r="EA525" s="161"/>
      <c r="EG525" s="140"/>
      <c r="EH525" s="131"/>
      <c r="EI525" s="102"/>
      <c r="EJ525" s="102"/>
      <c r="EK525" s="102"/>
      <c r="EL525" s="102"/>
      <c r="EM525" s="99"/>
      <c r="EN525" s="4"/>
      <c r="EO525" s="4"/>
      <c r="EP525" s="5"/>
      <c r="EQ525" s="5"/>
      <c r="ER525" s="99"/>
      <c r="ES525" s="159"/>
      <c r="ET525" s="99"/>
      <c r="EU525" s="99"/>
      <c r="EV525" s="99"/>
      <c r="EW525" s="159"/>
      <c r="EX525" s="99"/>
      <c r="EY525" s="99"/>
      <c r="EZ525" s="175"/>
    </row>
    <row r="526" spans="27:156">
      <c r="AA526" s="18"/>
      <c r="AB526" s="18"/>
      <c r="AC526" s="18"/>
      <c r="AD526" s="19"/>
      <c r="AE526" s="19"/>
      <c r="AI526" s="18"/>
      <c r="AJ526" s="7"/>
      <c r="AK526" s="7"/>
      <c r="AL526" s="7"/>
      <c r="AM526" s="7"/>
      <c r="AN526" s="7"/>
      <c r="AO526" s="7"/>
      <c r="AP526" s="7"/>
      <c r="AQ526" s="7"/>
      <c r="AR526" s="7"/>
      <c r="AS526" s="7"/>
      <c r="AT526" s="7"/>
      <c r="AU526" s="7"/>
      <c r="AV526" s="7"/>
      <c r="AW526" s="7"/>
      <c r="AX526" s="7"/>
      <c r="AY526" s="7"/>
      <c r="AZ526" s="7"/>
      <c r="BA526" s="18"/>
      <c r="BG526" s="140"/>
      <c r="BH526" s="131"/>
      <c r="BI526" s="102"/>
      <c r="BJ526" s="102"/>
      <c r="BK526" s="102"/>
      <c r="BL526" s="102"/>
      <c r="BM526" s="99"/>
      <c r="BN526" s="4"/>
      <c r="BO526" s="4"/>
      <c r="BP526" s="5"/>
      <c r="BQ526" s="5"/>
      <c r="BR526" s="99"/>
      <c r="BS526" s="159"/>
      <c r="BT526" s="99"/>
      <c r="BU526" s="99"/>
      <c r="BV526" s="99"/>
      <c r="BW526" s="159"/>
      <c r="BX526" s="99"/>
      <c r="BY526" s="99"/>
      <c r="BZ526" s="159"/>
      <c r="DA526" s="174"/>
      <c r="DB526" s="18"/>
      <c r="DC526" s="18"/>
      <c r="DD526" s="19"/>
      <c r="DE526" s="19"/>
      <c r="DI526" s="18"/>
      <c r="DJ526" s="7"/>
      <c r="DK526" s="7"/>
      <c r="DL526" s="7"/>
      <c r="DM526" s="7"/>
      <c r="DN526" s="7"/>
      <c r="DO526" s="7"/>
      <c r="DP526" s="7"/>
      <c r="DQ526" s="7"/>
      <c r="DR526" s="7"/>
      <c r="DS526" s="7"/>
      <c r="DT526" s="7"/>
      <c r="DU526" s="7"/>
      <c r="DV526" s="7"/>
      <c r="DW526" s="7"/>
      <c r="DX526" s="7"/>
      <c r="DY526" s="7"/>
      <c r="DZ526" s="7"/>
      <c r="EA526" s="161"/>
      <c r="EG526" s="140"/>
      <c r="EH526" s="131"/>
      <c r="EI526" s="102"/>
      <c r="EJ526" s="102"/>
      <c r="EK526" s="102"/>
      <c r="EL526" s="102"/>
      <c r="EM526" s="99"/>
      <c r="EN526" s="4"/>
      <c r="EO526" s="4"/>
      <c r="EP526" s="5"/>
      <c r="EQ526" s="5"/>
      <c r="ER526" s="99"/>
      <c r="ES526" s="159"/>
      <c r="ET526" s="99"/>
      <c r="EU526" s="99"/>
      <c r="EV526" s="99"/>
      <c r="EW526" s="159"/>
      <c r="EX526" s="99"/>
      <c r="EY526" s="99"/>
      <c r="EZ526" s="175"/>
    </row>
    <row r="527" spans="27:156">
      <c r="AA527" s="18"/>
      <c r="AB527" s="18"/>
      <c r="AC527" s="18"/>
      <c r="AD527" s="19"/>
      <c r="AE527" s="19"/>
      <c r="AI527" s="18"/>
      <c r="AJ527" s="7"/>
      <c r="AK527" s="7"/>
      <c r="AL527" s="7"/>
      <c r="AM527" s="7"/>
      <c r="AN527" s="7"/>
      <c r="AO527" s="7"/>
      <c r="AP527" s="7"/>
      <c r="AQ527" s="7"/>
      <c r="AR527" s="7"/>
      <c r="AS527" s="7"/>
      <c r="AT527" s="7"/>
      <c r="AU527" s="7"/>
      <c r="AV527" s="7"/>
      <c r="AW527" s="7"/>
      <c r="AX527" s="7"/>
      <c r="AY527" s="7"/>
      <c r="AZ527" s="7"/>
      <c r="BA527" s="18"/>
      <c r="BG527" s="140"/>
      <c r="BH527" s="131"/>
      <c r="BI527" s="102"/>
      <c r="BJ527" s="102"/>
      <c r="BK527" s="102"/>
      <c r="BL527" s="102"/>
      <c r="BM527" s="99"/>
      <c r="BN527" s="4"/>
      <c r="BO527" s="4"/>
      <c r="BP527" s="5"/>
      <c r="BQ527" s="5"/>
      <c r="BR527" s="99"/>
      <c r="BS527" s="159"/>
      <c r="BT527" s="99"/>
      <c r="BU527" s="99"/>
      <c r="BV527" s="99"/>
      <c r="BW527" s="159"/>
      <c r="BX527" s="99"/>
      <c r="BY527" s="99"/>
      <c r="BZ527" s="159"/>
      <c r="DA527" s="174"/>
      <c r="DB527" s="18"/>
      <c r="DC527" s="18"/>
      <c r="DD527" s="19"/>
      <c r="DE527" s="19"/>
      <c r="DI527" s="18"/>
      <c r="DJ527" s="7"/>
      <c r="DK527" s="7"/>
      <c r="DL527" s="7"/>
      <c r="DM527" s="7"/>
      <c r="DN527" s="7"/>
      <c r="DO527" s="7"/>
      <c r="DP527" s="7"/>
      <c r="DQ527" s="7"/>
      <c r="DR527" s="7"/>
      <c r="DS527" s="7"/>
      <c r="DT527" s="7"/>
      <c r="DU527" s="7"/>
      <c r="DV527" s="7"/>
      <c r="DW527" s="7"/>
      <c r="DX527" s="7"/>
      <c r="DY527" s="7"/>
      <c r="DZ527" s="7"/>
      <c r="EA527" s="161"/>
      <c r="EG527" s="140"/>
      <c r="EH527" s="131"/>
      <c r="EI527" s="102"/>
      <c r="EJ527" s="102"/>
      <c r="EK527" s="102"/>
      <c r="EL527" s="102"/>
      <c r="EM527" s="99"/>
      <c r="EN527" s="4"/>
      <c r="EO527" s="4"/>
      <c r="EP527" s="5"/>
      <c r="EQ527" s="5"/>
      <c r="ER527" s="99"/>
      <c r="ES527" s="159"/>
      <c r="ET527" s="99"/>
      <c r="EU527" s="99"/>
      <c r="EV527" s="99"/>
      <c r="EW527" s="159"/>
      <c r="EX527" s="99"/>
      <c r="EY527" s="99"/>
      <c r="EZ527" s="175"/>
    </row>
    <row r="528" spans="27:156">
      <c r="AA528" s="18"/>
      <c r="AB528" s="18"/>
      <c r="AC528" s="18"/>
      <c r="AD528" s="19"/>
      <c r="AE528" s="19"/>
      <c r="AI528" s="18"/>
      <c r="AJ528" s="7"/>
      <c r="AK528" s="7"/>
      <c r="AL528" s="7"/>
      <c r="AM528" s="7"/>
      <c r="AN528" s="7"/>
      <c r="AO528" s="7"/>
      <c r="AP528" s="7"/>
      <c r="AQ528" s="7"/>
      <c r="AR528" s="7"/>
      <c r="AS528" s="7"/>
      <c r="AT528" s="7"/>
      <c r="AU528" s="7"/>
      <c r="AV528" s="7"/>
      <c r="AW528" s="7"/>
      <c r="AX528" s="7"/>
      <c r="AY528" s="7"/>
      <c r="AZ528" s="7"/>
      <c r="BA528" s="18"/>
      <c r="BG528" s="140"/>
      <c r="BH528" s="131"/>
      <c r="BI528" s="102"/>
      <c r="BJ528" s="102"/>
      <c r="BK528" s="102"/>
      <c r="BL528" s="102"/>
      <c r="BM528" s="99"/>
      <c r="BN528" s="4"/>
      <c r="BO528" s="4"/>
      <c r="BP528" s="5"/>
      <c r="BQ528" s="5"/>
      <c r="BR528" s="99"/>
      <c r="BS528" s="159"/>
      <c r="BT528" s="99"/>
      <c r="BU528" s="99"/>
      <c r="BV528" s="99"/>
      <c r="BW528" s="159"/>
      <c r="BX528" s="99"/>
      <c r="BY528" s="99"/>
      <c r="BZ528" s="159"/>
      <c r="DA528" s="174"/>
      <c r="DB528" s="18"/>
      <c r="DC528" s="18"/>
      <c r="DD528" s="19"/>
      <c r="DE528" s="19"/>
      <c r="DI528" s="18"/>
      <c r="DJ528" s="7"/>
      <c r="DK528" s="7"/>
      <c r="DL528" s="7"/>
      <c r="DM528" s="7"/>
      <c r="DN528" s="7"/>
      <c r="DO528" s="7"/>
      <c r="DP528" s="7"/>
      <c r="DQ528" s="7"/>
      <c r="DR528" s="7"/>
      <c r="DS528" s="7"/>
      <c r="DT528" s="7"/>
      <c r="DU528" s="7"/>
      <c r="DV528" s="7"/>
      <c r="DW528" s="7"/>
      <c r="DX528" s="7"/>
      <c r="DY528" s="7"/>
      <c r="DZ528" s="7"/>
      <c r="EA528" s="161"/>
      <c r="EG528" s="140"/>
      <c r="EH528" s="131"/>
      <c r="EI528" s="102"/>
      <c r="EJ528" s="102"/>
      <c r="EK528" s="102"/>
      <c r="EL528" s="102"/>
      <c r="EM528" s="99"/>
      <c r="EN528" s="4"/>
      <c r="EO528" s="4"/>
      <c r="EP528" s="5"/>
      <c r="EQ528" s="5"/>
      <c r="ER528" s="99"/>
      <c r="ES528" s="159"/>
      <c r="ET528" s="99"/>
      <c r="EU528" s="99"/>
      <c r="EV528" s="99"/>
      <c r="EW528" s="159"/>
      <c r="EX528" s="99"/>
      <c r="EY528" s="99"/>
      <c r="EZ528" s="175"/>
    </row>
    <row r="529" spans="27:156">
      <c r="AA529" s="18"/>
      <c r="AB529" s="18"/>
      <c r="AC529" s="18"/>
      <c r="AD529" s="19"/>
      <c r="AE529" s="19"/>
      <c r="AI529" s="18"/>
      <c r="AJ529" s="7"/>
      <c r="AK529" s="7"/>
      <c r="AL529" s="7"/>
      <c r="AM529" s="7"/>
      <c r="AN529" s="7"/>
      <c r="AO529" s="7"/>
      <c r="AP529" s="7"/>
      <c r="AQ529" s="7"/>
      <c r="AR529" s="7"/>
      <c r="AS529" s="7"/>
      <c r="AT529" s="7"/>
      <c r="AU529" s="7"/>
      <c r="AV529" s="7"/>
      <c r="AW529" s="7"/>
      <c r="AX529" s="7"/>
      <c r="AY529" s="7"/>
      <c r="AZ529" s="7"/>
      <c r="BA529" s="18"/>
      <c r="BG529" s="140"/>
      <c r="BH529" s="131"/>
      <c r="BI529" s="102"/>
      <c r="BJ529" s="102"/>
      <c r="BK529" s="102"/>
      <c r="BL529" s="102"/>
      <c r="BM529" s="99"/>
      <c r="BN529" s="4"/>
      <c r="BO529" s="4"/>
      <c r="BP529" s="5"/>
      <c r="BQ529" s="5"/>
      <c r="BR529" s="99"/>
      <c r="BS529" s="159"/>
      <c r="BT529" s="99"/>
      <c r="BU529" s="99"/>
      <c r="BV529" s="99"/>
      <c r="BW529" s="159"/>
      <c r="BX529" s="99"/>
      <c r="BY529" s="99"/>
      <c r="BZ529" s="159"/>
      <c r="DA529" s="174"/>
      <c r="DB529" s="18"/>
      <c r="DC529" s="18"/>
      <c r="DD529" s="19"/>
      <c r="DE529" s="19"/>
      <c r="DI529" s="18"/>
      <c r="DJ529" s="7"/>
      <c r="DK529" s="7"/>
      <c r="DL529" s="7"/>
      <c r="DM529" s="7"/>
      <c r="DN529" s="7"/>
      <c r="DO529" s="7"/>
      <c r="DP529" s="7"/>
      <c r="DQ529" s="7"/>
      <c r="DR529" s="7"/>
      <c r="DS529" s="7"/>
      <c r="DT529" s="7"/>
      <c r="DU529" s="7"/>
      <c r="DV529" s="7"/>
      <c r="DW529" s="7"/>
      <c r="DX529" s="7"/>
      <c r="DY529" s="7"/>
      <c r="DZ529" s="7"/>
      <c r="EA529" s="161"/>
      <c r="EG529" s="140"/>
      <c r="EH529" s="131"/>
      <c r="EI529" s="102"/>
      <c r="EJ529" s="102"/>
      <c r="EK529" s="102"/>
      <c r="EL529" s="102"/>
      <c r="EM529" s="99"/>
      <c r="EN529" s="4"/>
      <c r="EO529" s="4"/>
      <c r="EP529" s="5"/>
      <c r="EQ529" s="5"/>
      <c r="ER529" s="99"/>
      <c r="ES529" s="159"/>
      <c r="ET529" s="99"/>
      <c r="EU529" s="99"/>
      <c r="EV529" s="99"/>
      <c r="EW529" s="159"/>
      <c r="EX529" s="99"/>
      <c r="EY529" s="99"/>
      <c r="EZ529" s="175"/>
    </row>
    <row r="530" spans="27:156">
      <c r="AA530" s="18"/>
      <c r="AB530" s="18"/>
      <c r="AC530" s="18"/>
      <c r="AD530" s="19"/>
      <c r="AE530" s="19"/>
      <c r="AI530" s="18"/>
      <c r="AJ530" s="7"/>
      <c r="AK530" s="7"/>
      <c r="AL530" s="7"/>
      <c r="AM530" s="7"/>
      <c r="AN530" s="7"/>
      <c r="AO530" s="7"/>
      <c r="AP530" s="7"/>
      <c r="AQ530" s="7"/>
      <c r="AR530" s="7"/>
      <c r="AS530" s="7"/>
      <c r="AT530" s="7"/>
      <c r="AU530" s="7"/>
      <c r="AV530" s="7"/>
      <c r="AW530" s="7"/>
      <c r="AX530" s="7"/>
      <c r="AY530" s="7"/>
      <c r="AZ530" s="7"/>
      <c r="BA530" s="18"/>
      <c r="BG530" s="140"/>
      <c r="BH530" s="131"/>
      <c r="BI530" s="102"/>
      <c r="BJ530" s="102"/>
      <c r="BK530" s="102"/>
      <c r="BL530" s="102"/>
      <c r="BM530" s="99"/>
      <c r="BN530" s="4"/>
      <c r="BO530" s="4"/>
      <c r="BP530" s="5"/>
      <c r="BQ530" s="5"/>
      <c r="BR530" s="99"/>
      <c r="BS530" s="159"/>
      <c r="BT530" s="99"/>
      <c r="BU530" s="99"/>
      <c r="BV530" s="99"/>
      <c r="BW530" s="159"/>
      <c r="BX530" s="99"/>
      <c r="BY530" s="99"/>
      <c r="BZ530" s="159"/>
      <c r="DA530" s="174"/>
      <c r="DB530" s="18"/>
      <c r="DC530" s="18"/>
      <c r="DD530" s="19"/>
      <c r="DE530" s="19"/>
      <c r="DI530" s="18"/>
      <c r="DJ530" s="7"/>
      <c r="DK530" s="7"/>
      <c r="DL530" s="7"/>
      <c r="DM530" s="7"/>
      <c r="DN530" s="7"/>
      <c r="DO530" s="7"/>
      <c r="DP530" s="7"/>
      <c r="DQ530" s="7"/>
      <c r="DR530" s="7"/>
      <c r="DS530" s="7"/>
      <c r="DT530" s="7"/>
      <c r="DU530" s="7"/>
      <c r="DV530" s="7"/>
      <c r="DW530" s="7"/>
      <c r="DX530" s="7"/>
      <c r="DY530" s="7"/>
      <c r="DZ530" s="7"/>
      <c r="EA530" s="161"/>
      <c r="EG530" s="140"/>
      <c r="EH530" s="131"/>
      <c r="EI530" s="102"/>
      <c r="EJ530" s="102"/>
      <c r="EK530" s="102"/>
      <c r="EL530" s="102"/>
      <c r="EM530" s="99"/>
      <c r="EN530" s="4"/>
      <c r="EO530" s="4"/>
      <c r="EP530" s="5"/>
      <c r="EQ530" s="5"/>
      <c r="ER530" s="99"/>
      <c r="ES530" s="159"/>
      <c r="ET530" s="99"/>
      <c r="EU530" s="99"/>
      <c r="EV530" s="99"/>
      <c r="EW530" s="159"/>
      <c r="EX530" s="99"/>
      <c r="EY530" s="99"/>
      <c r="EZ530" s="175"/>
    </row>
    <row r="531" spans="27:156">
      <c r="AA531" s="18"/>
      <c r="AB531" s="18"/>
      <c r="AC531" s="18"/>
      <c r="AD531" s="19"/>
      <c r="AE531" s="19"/>
      <c r="AI531" s="18"/>
      <c r="AJ531" s="7"/>
      <c r="AK531" s="7"/>
      <c r="AL531" s="7"/>
      <c r="AM531" s="7"/>
      <c r="AN531" s="7"/>
      <c r="AO531" s="7"/>
      <c r="AP531" s="7"/>
      <c r="AQ531" s="7"/>
      <c r="AR531" s="7"/>
      <c r="AS531" s="7"/>
      <c r="AT531" s="7"/>
      <c r="AU531" s="7"/>
      <c r="AV531" s="7"/>
      <c r="AW531" s="7"/>
      <c r="AX531" s="7"/>
      <c r="AY531" s="7"/>
      <c r="AZ531" s="7"/>
      <c r="BA531" s="18"/>
      <c r="BG531" s="140"/>
      <c r="BH531" s="131"/>
      <c r="BI531" s="102"/>
      <c r="BJ531" s="102"/>
      <c r="BK531" s="102"/>
      <c r="BL531" s="102"/>
      <c r="BM531" s="99"/>
      <c r="BN531" s="4"/>
      <c r="BO531" s="4"/>
      <c r="BP531" s="5"/>
      <c r="BQ531" s="5"/>
      <c r="BR531" s="99"/>
      <c r="BS531" s="159"/>
      <c r="BT531" s="99"/>
      <c r="BU531" s="99"/>
      <c r="BV531" s="99"/>
      <c r="BW531" s="159"/>
      <c r="BX531" s="99"/>
      <c r="BY531" s="99"/>
      <c r="BZ531" s="159"/>
      <c r="DA531" s="174"/>
      <c r="DB531" s="18"/>
      <c r="DC531" s="18"/>
      <c r="DD531" s="19"/>
      <c r="DE531" s="19"/>
      <c r="DI531" s="18"/>
      <c r="DJ531" s="7"/>
      <c r="DK531" s="7"/>
      <c r="DL531" s="7"/>
      <c r="DM531" s="7"/>
      <c r="DN531" s="7"/>
      <c r="DO531" s="7"/>
      <c r="DP531" s="7"/>
      <c r="DQ531" s="7"/>
      <c r="DR531" s="7"/>
      <c r="DS531" s="7"/>
      <c r="DT531" s="7"/>
      <c r="DU531" s="7"/>
      <c r="DV531" s="7"/>
      <c r="DW531" s="7"/>
      <c r="DX531" s="7"/>
      <c r="DY531" s="7"/>
      <c r="DZ531" s="7"/>
      <c r="EA531" s="161"/>
      <c r="EG531" s="140"/>
      <c r="EH531" s="131"/>
      <c r="EI531" s="102"/>
      <c r="EJ531" s="102"/>
      <c r="EK531" s="102"/>
      <c r="EL531" s="102"/>
      <c r="EM531" s="99"/>
      <c r="EN531" s="4"/>
      <c r="EO531" s="4"/>
      <c r="EP531" s="5"/>
      <c r="EQ531" s="5"/>
      <c r="ER531" s="99"/>
      <c r="ES531" s="159"/>
      <c r="ET531" s="99"/>
      <c r="EU531" s="99"/>
      <c r="EV531" s="99"/>
      <c r="EW531" s="159"/>
      <c r="EX531" s="99"/>
      <c r="EY531" s="99"/>
      <c r="EZ531" s="175"/>
    </row>
    <row r="532" spans="27:156">
      <c r="AA532" s="18"/>
      <c r="AB532" s="18"/>
      <c r="AC532" s="18"/>
      <c r="AD532" s="19"/>
      <c r="AE532" s="19"/>
      <c r="AI532" s="18"/>
      <c r="AJ532" s="7"/>
      <c r="AK532" s="7"/>
      <c r="AL532" s="7"/>
      <c r="AM532" s="7"/>
      <c r="AN532" s="7"/>
      <c r="AO532" s="7"/>
      <c r="AP532" s="7"/>
      <c r="AQ532" s="7"/>
      <c r="AR532" s="7"/>
      <c r="AS532" s="7"/>
      <c r="AT532" s="7"/>
      <c r="AU532" s="7"/>
      <c r="AV532" s="7"/>
      <c r="AW532" s="7"/>
      <c r="AX532" s="7"/>
      <c r="AY532" s="7"/>
      <c r="AZ532" s="7"/>
      <c r="BA532" s="18"/>
      <c r="BG532" s="140"/>
      <c r="BH532" s="131"/>
      <c r="BI532" s="102"/>
      <c r="BJ532" s="102"/>
      <c r="BK532" s="102"/>
      <c r="BL532" s="102"/>
      <c r="BM532" s="99"/>
      <c r="BN532" s="4"/>
      <c r="BO532" s="4"/>
      <c r="BP532" s="5"/>
      <c r="BQ532" s="5"/>
      <c r="BR532" s="99"/>
      <c r="BS532" s="159"/>
      <c r="BT532" s="99"/>
      <c r="BU532" s="99"/>
      <c r="BV532" s="99"/>
      <c r="BW532" s="159"/>
      <c r="BX532" s="99"/>
      <c r="BY532" s="99"/>
      <c r="BZ532" s="159"/>
      <c r="DA532" s="174"/>
      <c r="DB532" s="18"/>
      <c r="DC532" s="18"/>
      <c r="DD532" s="19"/>
      <c r="DE532" s="19"/>
      <c r="DI532" s="18"/>
      <c r="DJ532" s="7"/>
      <c r="DK532" s="7"/>
      <c r="DL532" s="7"/>
      <c r="DM532" s="7"/>
      <c r="DN532" s="7"/>
      <c r="DO532" s="7"/>
      <c r="DP532" s="7"/>
      <c r="DQ532" s="7"/>
      <c r="DR532" s="7"/>
      <c r="DS532" s="7"/>
      <c r="DT532" s="7"/>
      <c r="DU532" s="7"/>
      <c r="DV532" s="7"/>
      <c r="DW532" s="7"/>
      <c r="DX532" s="7"/>
      <c r="DY532" s="7"/>
      <c r="DZ532" s="7"/>
      <c r="EA532" s="161"/>
      <c r="EG532" s="140"/>
      <c r="EH532" s="131"/>
      <c r="EI532" s="102"/>
      <c r="EJ532" s="102"/>
      <c r="EK532" s="102"/>
      <c r="EL532" s="102"/>
      <c r="EM532" s="99"/>
      <c r="EN532" s="4"/>
      <c r="EO532" s="4"/>
      <c r="EP532" s="5"/>
      <c r="EQ532" s="5"/>
      <c r="ER532" s="99"/>
      <c r="ES532" s="159"/>
      <c r="ET532" s="99"/>
      <c r="EU532" s="99"/>
      <c r="EV532" s="99"/>
      <c r="EW532" s="159"/>
      <c r="EX532" s="99"/>
      <c r="EY532" s="99"/>
      <c r="EZ532" s="175"/>
    </row>
    <row r="533" spans="27:156">
      <c r="AA533" s="18"/>
      <c r="AB533" s="18"/>
      <c r="AC533" s="18"/>
      <c r="AD533" s="19"/>
      <c r="AE533" s="19"/>
      <c r="AI533" s="18"/>
      <c r="AJ533" s="7"/>
      <c r="AK533" s="7"/>
      <c r="AL533" s="7"/>
      <c r="AM533" s="7"/>
      <c r="AN533" s="7"/>
      <c r="AO533" s="7"/>
      <c r="AP533" s="7"/>
      <c r="AQ533" s="7"/>
      <c r="AR533" s="7"/>
      <c r="AS533" s="7"/>
      <c r="AT533" s="7"/>
      <c r="AU533" s="7"/>
      <c r="AV533" s="7"/>
      <c r="AW533" s="7"/>
      <c r="AX533" s="7"/>
      <c r="AY533" s="7"/>
      <c r="AZ533" s="7"/>
      <c r="BA533" s="18"/>
      <c r="BG533" s="140"/>
      <c r="BH533" s="131"/>
      <c r="BI533" s="102"/>
      <c r="BJ533" s="102"/>
      <c r="BK533" s="102"/>
      <c r="BL533" s="102"/>
      <c r="BM533" s="99"/>
      <c r="BN533" s="4"/>
      <c r="BO533" s="4"/>
      <c r="BP533" s="5"/>
      <c r="BQ533" s="5"/>
      <c r="BR533" s="99"/>
      <c r="BS533" s="159"/>
      <c r="BT533" s="99"/>
      <c r="BU533" s="99"/>
      <c r="BV533" s="99"/>
      <c r="BW533" s="159"/>
      <c r="BX533" s="99"/>
      <c r="BY533" s="99"/>
      <c r="BZ533" s="159"/>
      <c r="DA533" s="174"/>
      <c r="DB533" s="18"/>
      <c r="DC533" s="18"/>
      <c r="DD533" s="19"/>
      <c r="DE533" s="19"/>
      <c r="DI533" s="18"/>
      <c r="DJ533" s="7"/>
      <c r="DK533" s="7"/>
      <c r="DL533" s="7"/>
      <c r="DM533" s="7"/>
      <c r="DN533" s="7"/>
      <c r="DO533" s="7"/>
      <c r="DP533" s="7"/>
      <c r="DQ533" s="7"/>
      <c r="DR533" s="7"/>
      <c r="DS533" s="7"/>
      <c r="DT533" s="7"/>
      <c r="DU533" s="7"/>
      <c r="DV533" s="7"/>
      <c r="DW533" s="7"/>
      <c r="DX533" s="7"/>
      <c r="DY533" s="7"/>
      <c r="DZ533" s="7"/>
      <c r="EA533" s="161"/>
      <c r="EG533" s="140"/>
      <c r="EH533" s="131"/>
      <c r="EI533" s="102"/>
      <c r="EJ533" s="102"/>
      <c r="EK533" s="102"/>
      <c r="EL533" s="102"/>
      <c r="EM533" s="99"/>
      <c r="EN533" s="4"/>
      <c r="EO533" s="4"/>
      <c r="EP533" s="5"/>
      <c r="EQ533" s="5"/>
      <c r="ER533" s="99"/>
      <c r="ES533" s="159"/>
      <c r="ET533" s="99"/>
      <c r="EU533" s="99"/>
      <c r="EV533" s="99"/>
      <c r="EW533" s="159"/>
      <c r="EX533" s="99"/>
      <c r="EY533" s="99"/>
      <c r="EZ533" s="175"/>
    </row>
    <row r="534" spans="27:156">
      <c r="AA534" s="18"/>
      <c r="AB534" s="18"/>
      <c r="AC534" s="18"/>
      <c r="AD534" s="19"/>
      <c r="AE534" s="19"/>
      <c r="AI534" s="18"/>
      <c r="AJ534" s="7"/>
      <c r="AK534" s="7"/>
      <c r="AL534" s="7"/>
      <c r="AM534" s="7"/>
      <c r="AN534" s="7"/>
      <c r="AO534" s="7"/>
      <c r="AP534" s="7"/>
      <c r="AQ534" s="7"/>
      <c r="AR534" s="7"/>
      <c r="AS534" s="7"/>
      <c r="AT534" s="7"/>
      <c r="AU534" s="7"/>
      <c r="AV534" s="7"/>
      <c r="AW534" s="7"/>
      <c r="AX534" s="7"/>
      <c r="AY534" s="7"/>
      <c r="AZ534" s="7"/>
      <c r="BA534" s="18"/>
      <c r="BG534" s="140"/>
      <c r="BH534" s="131"/>
      <c r="BI534" s="102"/>
      <c r="BJ534" s="102"/>
      <c r="BK534" s="102"/>
      <c r="BL534" s="102"/>
      <c r="BM534" s="99"/>
      <c r="BN534" s="4"/>
      <c r="BO534" s="4"/>
      <c r="BP534" s="5"/>
      <c r="BQ534" s="5"/>
      <c r="BR534" s="99"/>
      <c r="BS534" s="159"/>
      <c r="BT534" s="99"/>
      <c r="BU534" s="99"/>
      <c r="BV534" s="99"/>
      <c r="BW534" s="159"/>
      <c r="BX534" s="99"/>
      <c r="BY534" s="99"/>
      <c r="BZ534" s="159"/>
      <c r="DA534" s="174"/>
      <c r="DB534" s="18"/>
      <c r="DC534" s="18"/>
      <c r="DD534" s="19"/>
      <c r="DE534" s="19"/>
      <c r="DI534" s="18"/>
      <c r="DJ534" s="7"/>
      <c r="DK534" s="7"/>
      <c r="DL534" s="7"/>
      <c r="DM534" s="7"/>
      <c r="DN534" s="7"/>
      <c r="DO534" s="7"/>
      <c r="DP534" s="7"/>
      <c r="DQ534" s="7"/>
      <c r="DR534" s="7"/>
      <c r="DS534" s="7"/>
      <c r="DT534" s="7"/>
      <c r="DU534" s="7"/>
      <c r="DV534" s="7"/>
      <c r="DW534" s="7"/>
      <c r="DX534" s="7"/>
      <c r="DY534" s="7"/>
      <c r="DZ534" s="7"/>
      <c r="EA534" s="161"/>
      <c r="EG534" s="140"/>
      <c r="EH534" s="131"/>
      <c r="EI534" s="102"/>
      <c r="EJ534" s="102"/>
      <c r="EK534" s="102"/>
      <c r="EL534" s="102"/>
      <c r="EM534" s="99"/>
      <c r="EN534" s="4"/>
      <c r="EO534" s="4"/>
      <c r="EP534" s="5"/>
      <c r="EQ534" s="5"/>
      <c r="ER534" s="99"/>
      <c r="ES534" s="159"/>
      <c r="ET534" s="99"/>
      <c r="EU534" s="99"/>
      <c r="EV534" s="99"/>
      <c r="EW534" s="159"/>
      <c r="EX534" s="99"/>
      <c r="EY534" s="99"/>
      <c r="EZ534" s="175"/>
    </row>
    <row r="535" spans="27:156">
      <c r="AA535" s="18"/>
      <c r="AB535" s="18"/>
      <c r="AC535" s="18"/>
      <c r="AD535" s="19"/>
      <c r="AE535" s="19"/>
      <c r="AI535" s="18"/>
      <c r="AJ535" s="7"/>
      <c r="AK535" s="7"/>
      <c r="AL535" s="7"/>
      <c r="AM535" s="7"/>
      <c r="AN535" s="7"/>
      <c r="AO535" s="7"/>
      <c r="AP535" s="7"/>
      <c r="AQ535" s="7"/>
      <c r="AR535" s="7"/>
      <c r="AS535" s="7"/>
      <c r="AT535" s="7"/>
      <c r="AU535" s="7"/>
      <c r="AV535" s="7"/>
      <c r="AW535" s="7"/>
      <c r="AX535" s="7"/>
      <c r="AY535" s="7"/>
      <c r="AZ535" s="7"/>
      <c r="BA535" s="18"/>
      <c r="BG535" s="140"/>
      <c r="BH535" s="131"/>
      <c r="BI535" s="102"/>
      <c r="BJ535" s="102"/>
      <c r="BK535" s="102"/>
      <c r="BL535" s="102"/>
      <c r="BM535" s="99"/>
      <c r="BN535" s="4"/>
      <c r="BO535" s="4"/>
      <c r="BP535" s="5"/>
      <c r="BQ535" s="5"/>
      <c r="BR535" s="99"/>
      <c r="BS535" s="159"/>
      <c r="BT535" s="99"/>
      <c r="BU535" s="99"/>
      <c r="BV535" s="99"/>
      <c r="BW535" s="159"/>
      <c r="BX535" s="99"/>
      <c r="BY535" s="99"/>
      <c r="BZ535" s="159"/>
      <c r="DA535" s="174"/>
      <c r="DB535" s="18"/>
      <c r="DC535" s="18"/>
      <c r="DD535" s="19"/>
      <c r="DE535" s="19"/>
      <c r="DI535" s="18"/>
      <c r="DJ535" s="7"/>
      <c r="DK535" s="7"/>
      <c r="DL535" s="7"/>
      <c r="DM535" s="7"/>
      <c r="DN535" s="7"/>
      <c r="DO535" s="7"/>
      <c r="DP535" s="7"/>
      <c r="DQ535" s="7"/>
      <c r="DR535" s="7"/>
      <c r="DS535" s="7"/>
      <c r="DT535" s="7"/>
      <c r="DU535" s="7"/>
      <c r="DV535" s="7"/>
      <c r="DW535" s="7"/>
      <c r="DX535" s="7"/>
      <c r="DY535" s="7"/>
      <c r="DZ535" s="7"/>
      <c r="EA535" s="161"/>
      <c r="EG535" s="140"/>
      <c r="EH535" s="131"/>
      <c r="EI535" s="102"/>
      <c r="EJ535" s="102"/>
      <c r="EK535" s="102"/>
      <c r="EL535" s="102"/>
      <c r="EM535" s="99"/>
      <c r="EN535" s="4"/>
      <c r="EO535" s="4"/>
      <c r="EP535" s="5"/>
      <c r="EQ535" s="5"/>
      <c r="ER535" s="99"/>
      <c r="ES535" s="159"/>
      <c r="ET535" s="99"/>
      <c r="EU535" s="99"/>
      <c r="EV535" s="99"/>
      <c r="EW535" s="159"/>
      <c r="EX535" s="99"/>
      <c r="EY535" s="99"/>
      <c r="EZ535" s="175"/>
    </row>
    <row r="536" spans="27:156">
      <c r="AA536" s="18"/>
      <c r="AB536" s="18"/>
      <c r="AC536" s="18"/>
      <c r="AD536" s="19"/>
      <c r="AE536" s="19"/>
      <c r="AI536" s="18"/>
      <c r="AJ536" s="7"/>
      <c r="AK536" s="7"/>
      <c r="AL536" s="7"/>
      <c r="AM536" s="7"/>
      <c r="AN536" s="7"/>
      <c r="AO536" s="7"/>
      <c r="AP536" s="7"/>
      <c r="AQ536" s="7"/>
      <c r="AR536" s="7"/>
      <c r="AS536" s="7"/>
      <c r="AT536" s="7"/>
      <c r="AU536" s="7"/>
      <c r="AV536" s="7"/>
      <c r="AW536" s="7"/>
      <c r="AX536" s="7"/>
      <c r="AY536" s="7"/>
      <c r="AZ536" s="7"/>
      <c r="BA536" s="18"/>
      <c r="BG536" s="140"/>
      <c r="BH536" s="131"/>
      <c r="BI536" s="102"/>
      <c r="BJ536" s="102"/>
      <c r="BK536" s="102"/>
      <c r="BL536" s="102"/>
      <c r="BM536" s="99"/>
      <c r="BN536" s="4"/>
      <c r="BO536" s="4"/>
      <c r="BP536" s="5"/>
      <c r="BQ536" s="5"/>
      <c r="BR536" s="99"/>
      <c r="BS536" s="159"/>
      <c r="BT536" s="99"/>
      <c r="BU536" s="99"/>
      <c r="BV536" s="99"/>
      <c r="BW536" s="159"/>
      <c r="BX536" s="99"/>
      <c r="BY536" s="99"/>
      <c r="BZ536" s="159"/>
      <c r="DA536" s="174"/>
      <c r="DB536" s="18"/>
      <c r="DC536" s="18"/>
      <c r="DD536" s="19"/>
      <c r="DE536" s="19"/>
      <c r="DI536" s="18"/>
      <c r="DJ536" s="7"/>
      <c r="DK536" s="7"/>
      <c r="DL536" s="7"/>
      <c r="DM536" s="7"/>
      <c r="DN536" s="7"/>
      <c r="DO536" s="7"/>
      <c r="DP536" s="7"/>
      <c r="DQ536" s="7"/>
      <c r="DR536" s="7"/>
      <c r="DS536" s="7"/>
      <c r="DT536" s="7"/>
      <c r="DU536" s="7"/>
      <c r="DV536" s="7"/>
      <c r="DW536" s="7"/>
      <c r="DX536" s="7"/>
      <c r="DY536" s="7"/>
      <c r="DZ536" s="7"/>
      <c r="EA536" s="161"/>
      <c r="EG536" s="140"/>
      <c r="EH536" s="131"/>
      <c r="EI536" s="102"/>
      <c r="EJ536" s="102"/>
      <c r="EK536" s="102"/>
      <c r="EL536" s="102"/>
      <c r="EM536" s="99"/>
      <c r="EN536" s="4"/>
      <c r="EO536" s="4"/>
      <c r="EP536" s="5"/>
      <c r="EQ536" s="5"/>
      <c r="ER536" s="99"/>
      <c r="ES536" s="159"/>
      <c r="ET536" s="99"/>
      <c r="EU536" s="99"/>
      <c r="EV536" s="99"/>
      <c r="EW536" s="159"/>
      <c r="EX536" s="99"/>
      <c r="EY536" s="99"/>
      <c r="EZ536" s="175"/>
    </row>
    <row r="537" spans="27:156">
      <c r="AA537" s="18"/>
      <c r="AB537" s="18"/>
      <c r="AC537" s="18"/>
      <c r="AD537" s="19"/>
      <c r="AE537" s="19"/>
      <c r="AI537" s="18"/>
      <c r="AJ537" s="7"/>
      <c r="AK537" s="7"/>
      <c r="AL537" s="7"/>
      <c r="AM537" s="7"/>
      <c r="AN537" s="7"/>
      <c r="AO537" s="7"/>
      <c r="AP537" s="7"/>
      <c r="AQ537" s="7"/>
      <c r="AR537" s="7"/>
      <c r="AS537" s="7"/>
      <c r="AT537" s="7"/>
      <c r="AU537" s="7"/>
      <c r="AV537" s="7"/>
      <c r="AW537" s="7"/>
      <c r="AX537" s="7"/>
      <c r="AY537" s="7"/>
      <c r="AZ537" s="7"/>
      <c r="BA537" s="18"/>
      <c r="BG537" s="140"/>
      <c r="BH537" s="131"/>
      <c r="BI537" s="102"/>
      <c r="BJ537" s="102"/>
      <c r="BK537" s="102"/>
      <c r="BL537" s="102"/>
      <c r="BM537" s="99"/>
      <c r="BN537" s="4"/>
      <c r="BO537" s="4"/>
      <c r="BP537" s="5"/>
      <c r="BQ537" s="5"/>
      <c r="BR537" s="99"/>
      <c r="BS537" s="159"/>
      <c r="BT537" s="99"/>
      <c r="BU537" s="99"/>
      <c r="BV537" s="99"/>
      <c r="BW537" s="159"/>
      <c r="BX537" s="99"/>
      <c r="BY537" s="99"/>
      <c r="BZ537" s="159"/>
      <c r="DA537" s="174"/>
      <c r="DB537" s="18"/>
      <c r="DC537" s="18"/>
      <c r="DD537" s="19"/>
      <c r="DE537" s="19"/>
      <c r="DI537" s="18"/>
      <c r="DJ537" s="7"/>
      <c r="DK537" s="7"/>
      <c r="DL537" s="7"/>
      <c r="DM537" s="7"/>
      <c r="DN537" s="7"/>
      <c r="DO537" s="7"/>
      <c r="DP537" s="7"/>
      <c r="DQ537" s="7"/>
      <c r="DR537" s="7"/>
      <c r="DS537" s="7"/>
      <c r="DT537" s="7"/>
      <c r="DU537" s="7"/>
      <c r="DV537" s="7"/>
      <c r="DW537" s="7"/>
      <c r="DX537" s="7"/>
      <c r="DY537" s="7"/>
      <c r="DZ537" s="7"/>
      <c r="EA537" s="161"/>
      <c r="EG537" s="140"/>
      <c r="EH537" s="131"/>
      <c r="EI537" s="102"/>
      <c r="EJ537" s="102"/>
      <c r="EK537" s="102"/>
      <c r="EL537" s="102"/>
      <c r="EM537" s="99"/>
      <c r="EN537" s="4"/>
      <c r="EO537" s="4"/>
      <c r="EP537" s="5"/>
      <c r="EQ537" s="5"/>
      <c r="ER537" s="99"/>
      <c r="ES537" s="159"/>
      <c r="ET537" s="99"/>
      <c r="EU537" s="99"/>
      <c r="EV537" s="99"/>
      <c r="EW537" s="159"/>
      <c r="EX537" s="99"/>
      <c r="EY537" s="99"/>
      <c r="EZ537" s="175"/>
    </row>
    <row r="538" spans="27:156">
      <c r="AA538" s="18"/>
      <c r="AB538" s="18"/>
      <c r="AC538" s="18"/>
      <c r="AD538" s="19"/>
      <c r="AE538" s="19"/>
      <c r="AI538" s="18"/>
      <c r="AJ538" s="7"/>
      <c r="AK538" s="7"/>
      <c r="AL538" s="7"/>
      <c r="AM538" s="7"/>
      <c r="AN538" s="7"/>
      <c r="AO538" s="7"/>
      <c r="AP538" s="7"/>
      <c r="AQ538" s="7"/>
      <c r="AR538" s="7"/>
      <c r="AS538" s="7"/>
      <c r="AT538" s="7"/>
      <c r="AU538" s="7"/>
      <c r="AV538" s="7"/>
      <c r="AW538" s="7"/>
      <c r="AX538" s="7"/>
      <c r="AY538" s="7"/>
      <c r="AZ538" s="7"/>
      <c r="BA538" s="18"/>
      <c r="BG538" s="140"/>
      <c r="BH538" s="131"/>
      <c r="BI538" s="102"/>
      <c r="BJ538" s="102"/>
      <c r="BK538" s="102"/>
      <c r="BL538" s="102"/>
      <c r="BM538" s="99"/>
      <c r="BN538" s="4"/>
      <c r="BO538" s="4"/>
      <c r="BP538" s="5"/>
      <c r="BQ538" s="5"/>
      <c r="BR538" s="99"/>
      <c r="BS538" s="159"/>
      <c r="BT538" s="99"/>
      <c r="BU538" s="99"/>
      <c r="BV538" s="99"/>
      <c r="BW538" s="159"/>
      <c r="BX538" s="99"/>
      <c r="BY538" s="99"/>
      <c r="BZ538" s="159"/>
      <c r="DA538" s="174"/>
      <c r="DB538" s="18"/>
      <c r="DC538" s="18"/>
      <c r="DD538" s="19"/>
      <c r="DE538" s="19"/>
      <c r="DI538" s="18"/>
      <c r="DJ538" s="7"/>
      <c r="DK538" s="7"/>
      <c r="DL538" s="7"/>
      <c r="DM538" s="7"/>
      <c r="DN538" s="7"/>
      <c r="DO538" s="7"/>
      <c r="DP538" s="7"/>
      <c r="DQ538" s="7"/>
      <c r="DR538" s="7"/>
      <c r="DS538" s="7"/>
      <c r="DT538" s="7"/>
      <c r="DU538" s="7"/>
      <c r="DV538" s="7"/>
      <c r="DW538" s="7"/>
      <c r="DX538" s="7"/>
      <c r="DY538" s="7"/>
      <c r="DZ538" s="7"/>
      <c r="EA538" s="161"/>
      <c r="EG538" s="140"/>
      <c r="EH538" s="131"/>
      <c r="EI538" s="102"/>
      <c r="EJ538" s="102"/>
      <c r="EK538" s="102"/>
      <c r="EL538" s="102"/>
      <c r="EM538" s="99"/>
      <c r="EN538" s="4"/>
      <c r="EO538" s="4"/>
      <c r="EP538" s="5"/>
      <c r="EQ538" s="5"/>
      <c r="ER538" s="99"/>
      <c r="ES538" s="159"/>
      <c r="ET538" s="99"/>
      <c r="EU538" s="99"/>
      <c r="EV538" s="99"/>
      <c r="EW538" s="159"/>
      <c r="EX538" s="99"/>
      <c r="EY538" s="99"/>
      <c r="EZ538" s="175"/>
    </row>
    <row r="539" spans="27:156">
      <c r="AA539" s="18"/>
      <c r="AB539" s="18"/>
      <c r="AC539" s="18"/>
      <c r="AD539" s="19"/>
      <c r="AE539" s="19"/>
      <c r="AI539" s="18"/>
      <c r="AJ539" s="7"/>
      <c r="AK539" s="7"/>
      <c r="AL539" s="7"/>
      <c r="AM539" s="7"/>
      <c r="AN539" s="7"/>
      <c r="AO539" s="7"/>
      <c r="AP539" s="7"/>
      <c r="AQ539" s="7"/>
      <c r="AR539" s="7"/>
      <c r="AS539" s="7"/>
      <c r="AT539" s="7"/>
      <c r="AU539" s="7"/>
      <c r="AV539" s="7"/>
      <c r="AW539" s="7"/>
      <c r="AX539" s="7"/>
      <c r="AY539" s="7"/>
      <c r="AZ539" s="7"/>
      <c r="BA539" s="18"/>
      <c r="BG539" s="140"/>
      <c r="BH539" s="131"/>
      <c r="BI539" s="102"/>
      <c r="BJ539" s="102"/>
      <c r="BK539" s="102"/>
      <c r="BL539" s="102"/>
      <c r="BM539" s="99"/>
      <c r="BN539" s="4"/>
      <c r="BO539" s="4"/>
      <c r="BP539" s="5"/>
      <c r="BQ539" s="5"/>
      <c r="BR539" s="99"/>
      <c r="BS539" s="159"/>
      <c r="BT539" s="99"/>
      <c r="BU539" s="99"/>
      <c r="BV539" s="99"/>
      <c r="BW539" s="159"/>
      <c r="BX539" s="99"/>
      <c r="BY539" s="99"/>
      <c r="BZ539" s="159"/>
      <c r="DA539" s="174"/>
      <c r="DB539" s="18"/>
      <c r="DC539" s="18"/>
      <c r="DD539" s="19"/>
      <c r="DE539" s="19"/>
      <c r="DI539" s="18"/>
      <c r="DJ539" s="7"/>
      <c r="DK539" s="7"/>
      <c r="DL539" s="7"/>
      <c r="DM539" s="7"/>
      <c r="DN539" s="7"/>
      <c r="DO539" s="7"/>
      <c r="DP539" s="7"/>
      <c r="DQ539" s="7"/>
      <c r="DR539" s="7"/>
      <c r="DS539" s="7"/>
      <c r="DT539" s="7"/>
      <c r="DU539" s="7"/>
      <c r="DV539" s="7"/>
      <c r="DW539" s="7"/>
      <c r="DX539" s="7"/>
      <c r="DY539" s="7"/>
      <c r="DZ539" s="7"/>
      <c r="EA539" s="161"/>
      <c r="EG539" s="140"/>
      <c r="EH539" s="131"/>
      <c r="EI539" s="102"/>
      <c r="EJ539" s="102"/>
      <c r="EK539" s="102"/>
      <c r="EL539" s="102"/>
      <c r="EM539" s="99"/>
      <c r="EN539" s="4"/>
      <c r="EO539" s="4"/>
      <c r="EP539" s="5"/>
      <c r="EQ539" s="5"/>
      <c r="ER539" s="99"/>
      <c r="ES539" s="159"/>
      <c r="ET539" s="99"/>
      <c r="EU539" s="99"/>
      <c r="EV539" s="99"/>
      <c r="EW539" s="159"/>
      <c r="EX539" s="99"/>
      <c r="EY539" s="99"/>
      <c r="EZ539" s="175"/>
    </row>
    <row r="540" spans="27:156">
      <c r="AA540" s="18"/>
      <c r="AB540" s="18"/>
      <c r="AC540" s="18"/>
      <c r="AD540" s="19"/>
      <c r="AE540" s="19"/>
      <c r="AI540" s="18"/>
      <c r="AJ540" s="7"/>
      <c r="AK540" s="7"/>
      <c r="AL540" s="7"/>
      <c r="AM540" s="7"/>
      <c r="AN540" s="7"/>
      <c r="AO540" s="7"/>
      <c r="AP540" s="7"/>
      <c r="AQ540" s="7"/>
      <c r="AR540" s="7"/>
      <c r="AS540" s="7"/>
      <c r="AT540" s="7"/>
      <c r="AU540" s="7"/>
      <c r="AV540" s="7"/>
      <c r="AW540" s="7"/>
      <c r="AX540" s="7"/>
      <c r="AY540" s="7"/>
      <c r="AZ540" s="7"/>
      <c r="BA540" s="18"/>
      <c r="BG540" s="140"/>
      <c r="BH540" s="131"/>
      <c r="BI540" s="102"/>
      <c r="BJ540" s="102"/>
      <c r="BK540" s="102"/>
      <c r="BL540" s="102"/>
      <c r="BM540" s="99"/>
      <c r="BN540" s="4"/>
      <c r="BO540" s="4"/>
      <c r="BP540" s="5"/>
      <c r="BQ540" s="5"/>
      <c r="BR540" s="99"/>
      <c r="BS540" s="159"/>
      <c r="BT540" s="99"/>
      <c r="BU540" s="99"/>
      <c r="BV540" s="99"/>
      <c r="BW540" s="159"/>
      <c r="BX540" s="99"/>
      <c r="BY540" s="99"/>
      <c r="BZ540" s="159"/>
      <c r="DA540" s="174"/>
      <c r="DB540" s="18"/>
      <c r="DC540" s="18"/>
      <c r="DD540" s="19"/>
      <c r="DE540" s="19"/>
      <c r="DI540" s="18"/>
      <c r="DJ540" s="7"/>
      <c r="DK540" s="7"/>
      <c r="DL540" s="7"/>
      <c r="DM540" s="7"/>
      <c r="DN540" s="7"/>
      <c r="DO540" s="7"/>
      <c r="DP540" s="7"/>
      <c r="DQ540" s="7"/>
      <c r="DR540" s="7"/>
      <c r="DS540" s="7"/>
      <c r="DT540" s="7"/>
      <c r="DU540" s="7"/>
      <c r="DV540" s="7"/>
      <c r="DW540" s="7"/>
      <c r="DX540" s="7"/>
      <c r="DY540" s="7"/>
      <c r="DZ540" s="7"/>
      <c r="EA540" s="161"/>
      <c r="EG540" s="140"/>
      <c r="EH540" s="131"/>
      <c r="EI540" s="102"/>
      <c r="EJ540" s="102"/>
      <c r="EK540" s="102"/>
      <c r="EL540" s="102"/>
      <c r="EM540" s="99"/>
      <c r="EN540" s="4"/>
      <c r="EO540" s="4"/>
      <c r="EP540" s="5"/>
      <c r="EQ540" s="5"/>
      <c r="ER540" s="99"/>
      <c r="ES540" s="159"/>
      <c r="ET540" s="99"/>
      <c r="EU540" s="99"/>
      <c r="EV540" s="99"/>
      <c r="EW540" s="159"/>
      <c r="EX540" s="99"/>
      <c r="EY540" s="99"/>
      <c r="EZ540" s="175"/>
    </row>
    <row r="541" spans="27:156">
      <c r="AA541" s="18"/>
      <c r="AB541" s="18"/>
      <c r="AC541" s="18"/>
      <c r="AD541" s="19"/>
      <c r="AE541" s="19"/>
      <c r="AI541" s="18"/>
      <c r="AJ541" s="7"/>
      <c r="AK541" s="7"/>
      <c r="AL541" s="7"/>
      <c r="AM541" s="7"/>
      <c r="AN541" s="7"/>
      <c r="AO541" s="7"/>
      <c r="AP541" s="7"/>
      <c r="AQ541" s="7"/>
      <c r="AR541" s="7"/>
      <c r="AS541" s="7"/>
      <c r="AT541" s="7"/>
      <c r="AU541" s="7"/>
      <c r="AV541" s="7"/>
      <c r="AW541" s="7"/>
      <c r="AX541" s="7"/>
      <c r="AY541" s="7"/>
      <c r="AZ541" s="7"/>
      <c r="BA541" s="18"/>
      <c r="BG541" s="140"/>
      <c r="BH541" s="131"/>
      <c r="BI541" s="102"/>
      <c r="BJ541" s="102"/>
      <c r="BK541" s="102"/>
      <c r="BL541" s="102"/>
      <c r="BM541" s="99"/>
      <c r="BN541" s="4"/>
      <c r="BO541" s="4"/>
      <c r="BP541" s="5"/>
      <c r="BQ541" s="5"/>
      <c r="BR541" s="99"/>
      <c r="BS541" s="159"/>
      <c r="BT541" s="99"/>
      <c r="BU541" s="99"/>
      <c r="BV541" s="99"/>
      <c r="BW541" s="159"/>
      <c r="BX541" s="99"/>
      <c r="BY541" s="99"/>
      <c r="BZ541" s="159"/>
      <c r="DA541" s="174"/>
      <c r="DB541" s="18"/>
      <c r="DC541" s="18"/>
      <c r="DD541" s="19"/>
      <c r="DE541" s="19"/>
      <c r="DI541" s="18"/>
      <c r="DJ541" s="7"/>
      <c r="DK541" s="7"/>
      <c r="DL541" s="7"/>
      <c r="DM541" s="7"/>
      <c r="DN541" s="7"/>
      <c r="DO541" s="7"/>
      <c r="DP541" s="7"/>
      <c r="DQ541" s="7"/>
      <c r="DR541" s="7"/>
      <c r="DS541" s="7"/>
      <c r="DT541" s="7"/>
      <c r="DU541" s="7"/>
      <c r="DV541" s="7"/>
      <c r="DW541" s="7"/>
      <c r="DX541" s="7"/>
      <c r="DY541" s="7"/>
      <c r="DZ541" s="7"/>
      <c r="EA541" s="161"/>
      <c r="EG541" s="140"/>
      <c r="EH541" s="131"/>
      <c r="EI541" s="102"/>
      <c r="EJ541" s="102"/>
      <c r="EK541" s="102"/>
      <c r="EL541" s="102"/>
      <c r="EM541" s="99"/>
      <c r="EN541" s="4"/>
      <c r="EO541" s="4"/>
      <c r="EP541" s="5"/>
      <c r="EQ541" s="5"/>
      <c r="ER541" s="99"/>
      <c r="ES541" s="159"/>
      <c r="ET541" s="99"/>
      <c r="EU541" s="99"/>
      <c r="EV541" s="99"/>
      <c r="EW541" s="159"/>
      <c r="EX541" s="99"/>
      <c r="EY541" s="99"/>
      <c r="EZ541" s="175"/>
    </row>
    <row r="542" spans="27:156">
      <c r="AA542" s="18"/>
      <c r="AB542" s="18"/>
      <c r="AC542" s="18"/>
      <c r="AD542" s="19"/>
      <c r="AE542" s="19"/>
      <c r="AI542" s="18"/>
      <c r="AJ542" s="7"/>
      <c r="AK542" s="7"/>
      <c r="AL542" s="7"/>
      <c r="AM542" s="7"/>
      <c r="AN542" s="7"/>
      <c r="AO542" s="7"/>
      <c r="AP542" s="7"/>
      <c r="AQ542" s="7"/>
      <c r="AR542" s="7"/>
      <c r="AS542" s="7"/>
      <c r="AT542" s="7"/>
      <c r="AU542" s="7"/>
      <c r="AV542" s="7"/>
      <c r="AW542" s="7"/>
      <c r="AX542" s="7"/>
      <c r="AY542" s="7"/>
      <c r="AZ542" s="7"/>
      <c r="BA542" s="18"/>
      <c r="BG542" s="140"/>
      <c r="BH542" s="131"/>
      <c r="BI542" s="102"/>
      <c r="BJ542" s="102"/>
      <c r="BK542" s="102"/>
      <c r="BL542" s="102"/>
      <c r="BM542" s="99"/>
      <c r="BN542" s="4"/>
      <c r="BO542" s="4"/>
      <c r="BP542" s="5"/>
      <c r="BQ542" s="5"/>
      <c r="BR542" s="99"/>
      <c r="BS542" s="159"/>
      <c r="BT542" s="99"/>
      <c r="BU542" s="99"/>
      <c r="BV542" s="99"/>
      <c r="BW542" s="159"/>
      <c r="BX542" s="99"/>
      <c r="BY542" s="99"/>
      <c r="BZ542" s="159"/>
      <c r="DA542" s="174"/>
      <c r="DB542" s="18"/>
      <c r="DC542" s="18"/>
      <c r="DD542" s="19"/>
      <c r="DE542" s="19"/>
      <c r="DI542" s="18"/>
      <c r="DJ542" s="7"/>
      <c r="DK542" s="7"/>
      <c r="DL542" s="7"/>
      <c r="DM542" s="7"/>
      <c r="DN542" s="7"/>
      <c r="DO542" s="7"/>
      <c r="DP542" s="7"/>
      <c r="DQ542" s="7"/>
      <c r="DR542" s="7"/>
      <c r="DS542" s="7"/>
      <c r="DT542" s="7"/>
      <c r="DU542" s="7"/>
      <c r="DV542" s="7"/>
      <c r="DW542" s="7"/>
      <c r="DX542" s="7"/>
      <c r="DY542" s="7"/>
      <c r="DZ542" s="7"/>
      <c r="EA542" s="161"/>
      <c r="EG542" s="140"/>
      <c r="EH542" s="131"/>
      <c r="EI542" s="102"/>
      <c r="EJ542" s="102"/>
      <c r="EK542" s="102"/>
      <c r="EL542" s="102"/>
      <c r="EM542" s="99"/>
      <c r="EN542" s="4"/>
      <c r="EO542" s="4"/>
      <c r="EP542" s="5"/>
      <c r="EQ542" s="5"/>
      <c r="ER542" s="99"/>
      <c r="ES542" s="159"/>
      <c r="ET542" s="99"/>
      <c r="EU542" s="99"/>
      <c r="EV542" s="99"/>
      <c r="EW542" s="159"/>
      <c r="EX542" s="99"/>
      <c r="EY542" s="99"/>
      <c r="EZ542" s="175"/>
    </row>
    <row r="543" spans="27:156">
      <c r="AA543" s="18"/>
      <c r="AB543" s="18"/>
      <c r="AC543" s="18"/>
      <c r="AD543" s="19"/>
      <c r="AE543" s="19"/>
      <c r="AI543" s="18"/>
      <c r="AJ543" s="7"/>
      <c r="AK543" s="7"/>
      <c r="AL543" s="7"/>
      <c r="AM543" s="7"/>
      <c r="AN543" s="7"/>
      <c r="AO543" s="7"/>
      <c r="AP543" s="7"/>
      <c r="AQ543" s="7"/>
      <c r="AR543" s="7"/>
      <c r="AS543" s="7"/>
      <c r="AT543" s="7"/>
      <c r="AU543" s="7"/>
      <c r="AV543" s="7"/>
      <c r="AW543" s="7"/>
      <c r="AX543" s="7"/>
      <c r="AY543" s="7"/>
      <c r="AZ543" s="7"/>
      <c r="BA543" s="18"/>
      <c r="BG543" s="140"/>
      <c r="BH543" s="131"/>
      <c r="BI543" s="102"/>
      <c r="BJ543" s="102"/>
      <c r="BK543" s="102"/>
      <c r="BL543" s="102"/>
      <c r="BM543" s="99"/>
      <c r="BN543" s="4"/>
      <c r="BO543" s="4"/>
      <c r="BP543" s="5"/>
      <c r="BQ543" s="5"/>
      <c r="BR543" s="99"/>
      <c r="BS543" s="159"/>
      <c r="BT543" s="99"/>
      <c r="BU543" s="99"/>
      <c r="BV543" s="99"/>
      <c r="BW543" s="159"/>
      <c r="BX543" s="99"/>
      <c r="BY543" s="99"/>
      <c r="BZ543" s="159"/>
      <c r="DA543" s="174"/>
      <c r="DB543" s="18"/>
      <c r="DC543" s="18"/>
      <c r="DD543" s="19"/>
      <c r="DE543" s="19"/>
      <c r="DI543" s="18"/>
      <c r="DJ543" s="7"/>
      <c r="DK543" s="7"/>
      <c r="DL543" s="7"/>
      <c r="DM543" s="7"/>
      <c r="DN543" s="7"/>
      <c r="DO543" s="7"/>
      <c r="DP543" s="7"/>
      <c r="DQ543" s="7"/>
      <c r="DR543" s="7"/>
      <c r="DS543" s="7"/>
      <c r="DT543" s="7"/>
      <c r="DU543" s="7"/>
      <c r="DV543" s="7"/>
      <c r="DW543" s="7"/>
      <c r="DX543" s="7"/>
      <c r="DY543" s="7"/>
      <c r="DZ543" s="7"/>
      <c r="EA543" s="161"/>
      <c r="EG543" s="140"/>
      <c r="EH543" s="131"/>
      <c r="EI543" s="102"/>
      <c r="EJ543" s="102"/>
      <c r="EK543" s="102"/>
      <c r="EL543" s="102"/>
      <c r="EM543" s="99"/>
      <c r="EN543" s="4"/>
      <c r="EO543" s="4"/>
      <c r="EP543" s="5"/>
      <c r="EQ543" s="5"/>
      <c r="ER543" s="99"/>
      <c r="ES543" s="159"/>
      <c r="ET543" s="99"/>
      <c r="EU543" s="99"/>
      <c r="EV543" s="99"/>
      <c r="EW543" s="159"/>
      <c r="EX543" s="99"/>
      <c r="EY543" s="99"/>
      <c r="EZ543" s="175"/>
    </row>
    <row r="544" spans="27:156">
      <c r="AA544" s="18"/>
      <c r="AB544" s="18"/>
      <c r="AC544" s="18"/>
      <c r="AD544" s="19"/>
      <c r="AE544" s="19"/>
      <c r="AI544" s="18"/>
      <c r="AJ544" s="7"/>
      <c r="AK544" s="7"/>
      <c r="AL544" s="7"/>
      <c r="AM544" s="7"/>
      <c r="AN544" s="7"/>
      <c r="AO544" s="7"/>
      <c r="AP544" s="7"/>
      <c r="AQ544" s="7"/>
      <c r="AR544" s="7"/>
      <c r="AS544" s="7"/>
      <c r="AT544" s="7"/>
      <c r="AU544" s="7"/>
      <c r="AV544" s="7"/>
      <c r="AW544" s="7"/>
      <c r="AX544" s="7"/>
      <c r="AY544" s="7"/>
      <c r="AZ544" s="7"/>
      <c r="BA544" s="18"/>
      <c r="BG544" s="140"/>
      <c r="BH544" s="131"/>
      <c r="BI544" s="102"/>
      <c r="BJ544" s="102"/>
      <c r="BK544" s="102"/>
      <c r="BL544" s="102"/>
      <c r="BM544" s="99"/>
      <c r="BN544" s="4"/>
      <c r="BO544" s="4"/>
      <c r="BP544" s="5"/>
      <c r="BQ544" s="5"/>
      <c r="BR544" s="99"/>
      <c r="BS544" s="159"/>
      <c r="BT544" s="99"/>
      <c r="BU544" s="99"/>
      <c r="BV544" s="99"/>
      <c r="BW544" s="159"/>
      <c r="BX544" s="99"/>
      <c r="BY544" s="99"/>
      <c r="BZ544" s="159"/>
      <c r="DA544" s="174"/>
      <c r="DB544" s="18"/>
      <c r="DC544" s="18"/>
      <c r="DD544" s="19"/>
      <c r="DE544" s="19"/>
      <c r="DI544" s="18"/>
      <c r="DJ544" s="7"/>
      <c r="DK544" s="7"/>
      <c r="DL544" s="7"/>
      <c r="DM544" s="7"/>
      <c r="DN544" s="7"/>
      <c r="DO544" s="7"/>
      <c r="DP544" s="7"/>
      <c r="DQ544" s="7"/>
      <c r="DR544" s="7"/>
      <c r="DS544" s="7"/>
      <c r="DT544" s="7"/>
      <c r="DU544" s="7"/>
      <c r="DV544" s="7"/>
      <c r="DW544" s="7"/>
      <c r="DX544" s="7"/>
      <c r="DY544" s="7"/>
      <c r="DZ544" s="7"/>
      <c r="EA544" s="161"/>
      <c r="EG544" s="140"/>
      <c r="EH544" s="131"/>
      <c r="EI544" s="102"/>
      <c r="EJ544" s="102"/>
      <c r="EK544" s="102"/>
      <c r="EL544" s="102"/>
      <c r="EM544" s="99"/>
      <c r="EN544" s="4"/>
      <c r="EO544" s="4"/>
      <c r="EP544" s="5"/>
      <c r="EQ544" s="5"/>
      <c r="ER544" s="99"/>
      <c r="ES544" s="159"/>
      <c r="ET544" s="99"/>
      <c r="EU544" s="99"/>
      <c r="EV544" s="99"/>
      <c r="EW544" s="159"/>
      <c r="EX544" s="99"/>
      <c r="EY544" s="99"/>
      <c r="EZ544" s="175"/>
    </row>
    <row r="545" spans="27:156">
      <c r="AA545" s="18"/>
      <c r="AB545" s="18"/>
      <c r="AC545" s="18"/>
      <c r="AD545" s="19"/>
      <c r="AE545" s="19"/>
      <c r="AI545" s="18"/>
      <c r="AJ545" s="7"/>
      <c r="AK545" s="7"/>
      <c r="AL545" s="7"/>
      <c r="AM545" s="7"/>
      <c r="AN545" s="7"/>
      <c r="AO545" s="7"/>
      <c r="AP545" s="7"/>
      <c r="AQ545" s="7"/>
      <c r="AR545" s="7"/>
      <c r="AS545" s="7"/>
      <c r="AT545" s="7"/>
      <c r="AU545" s="7"/>
      <c r="AV545" s="7"/>
      <c r="AW545" s="7"/>
      <c r="AX545" s="7"/>
      <c r="AY545" s="7"/>
      <c r="AZ545" s="7"/>
      <c r="BA545" s="18"/>
      <c r="BG545" s="140"/>
      <c r="BH545" s="131"/>
      <c r="BI545" s="102"/>
      <c r="BJ545" s="102"/>
      <c r="BK545" s="102"/>
      <c r="BL545" s="102"/>
      <c r="BM545" s="99"/>
      <c r="BN545" s="4"/>
      <c r="BO545" s="4"/>
      <c r="BP545" s="5"/>
      <c r="BQ545" s="5"/>
      <c r="BR545" s="99"/>
      <c r="BS545" s="159"/>
      <c r="BT545" s="99"/>
      <c r="BU545" s="99"/>
      <c r="BV545" s="99"/>
      <c r="BW545" s="159"/>
      <c r="BX545" s="99"/>
      <c r="BY545" s="99"/>
      <c r="BZ545" s="159"/>
      <c r="DA545" s="174"/>
      <c r="DB545" s="18"/>
      <c r="DC545" s="18"/>
      <c r="DD545" s="19"/>
      <c r="DE545" s="19"/>
      <c r="DI545" s="18"/>
      <c r="DJ545" s="7"/>
      <c r="DK545" s="7"/>
      <c r="DL545" s="7"/>
      <c r="DM545" s="7"/>
      <c r="DN545" s="7"/>
      <c r="DO545" s="7"/>
      <c r="DP545" s="7"/>
      <c r="DQ545" s="7"/>
      <c r="DR545" s="7"/>
      <c r="DS545" s="7"/>
      <c r="DT545" s="7"/>
      <c r="DU545" s="7"/>
      <c r="DV545" s="7"/>
      <c r="DW545" s="7"/>
      <c r="DX545" s="7"/>
      <c r="DY545" s="7"/>
      <c r="DZ545" s="7"/>
      <c r="EA545" s="161"/>
      <c r="EG545" s="140"/>
      <c r="EH545" s="131"/>
      <c r="EI545" s="102"/>
      <c r="EJ545" s="102"/>
      <c r="EK545" s="102"/>
      <c r="EL545" s="102"/>
      <c r="EM545" s="99"/>
      <c r="EN545" s="4"/>
      <c r="EO545" s="4"/>
      <c r="EP545" s="5"/>
      <c r="EQ545" s="5"/>
      <c r="ER545" s="99"/>
      <c r="ES545" s="159"/>
      <c r="ET545" s="99"/>
      <c r="EU545" s="99"/>
      <c r="EV545" s="99"/>
      <c r="EW545" s="159"/>
      <c r="EX545" s="99"/>
      <c r="EY545" s="99"/>
      <c r="EZ545" s="175"/>
    </row>
    <row r="546" spans="27:156">
      <c r="AA546" s="18"/>
      <c r="AB546" s="18"/>
      <c r="AC546" s="18"/>
      <c r="AD546" s="19"/>
      <c r="AE546" s="19"/>
      <c r="AI546" s="18"/>
      <c r="AJ546" s="7"/>
      <c r="AK546" s="7"/>
      <c r="AL546" s="7"/>
      <c r="AM546" s="7"/>
      <c r="AN546" s="7"/>
      <c r="AO546" s="7"/>
      <c r="AP546" s="7"/>
      <c r="AQ546" s="7"/>
      <c r="AR546" s="7"/>
      <c r="AS546" s="7"/>
      <c r="AT546" s="7"/>
      <c r="AU546" s="7"/>
      <c r="AV546" s="7"/>
      <c r="AW546" s="7"/>
      <c r="AX546" s="7"/>
      <c r="AY546" s="7"/>
      <c r="AZ546" s="7"/>
      <c r="BA546" s="18"/>
      <c r="BG546" s="140"/>
      <c r="BH546" s="131"/>
      <c r="BI546" s="102"/>
      <c r="BJ546" s="102"/>
      <c r="BK546" s="102"/>
      <c r="BL546" s="102"/>
      <c r="BM546" s="99"/>
      <c r="BN546" s="4"/>
      <c r="BO546" s="4"/>
      <c r="BP546" s="5"/>
      <c r="BQ546" s="5"/>
      <c r="BR546" s="99"/>
      <c r="BS546" s="159"/>
      <c r="BT546" s="99"/>
      <c r="BU546" s="99"/>
      <c r="BV546" s="99"/>
      <c r="BW546" s="159"/>
      <c r="BX546" s="99"/>
      <c r="BY546" s="99"/>
      <c r="BZ546" s="159"/>
      <c r="DA546" s="174"/>
      <c r="DB546" s="18"/>
      <c r="DC546" s="18"/>
      <c r="DD546" s="19"/>
      <c r="DE546" s="19"/>
      <c r="DI546" s="18"/>
      <c r="DJ546" s="7"/>
      <c r="DK546" s="7"/>
      <c r="DL546" s="7"/>
      <c r="DM546" s="7"/>
      <c r="DN546" s="7"/>
      <c r="DO546" s="7"/>
      <c r="DP546" s="7"/>
      <c r="DQ546" s="7"/>
      <c r="DR546" s="7"/>
      <c r="DS546" s="7"/>
      <c r="DT546" s="7"/>
      <c r="DU546" s="7"/>
      <c r="DV546" s="7"/>
      <c r="DW546" s="7"/>
      <c r="DX546" s="7"/>
      <c r="DY546" s="7"/>
      <c r="DZ546" s="7"/>
      <c r="EA546" s="161"/>
      <c r="EG546" s="140"/>
      <c r="EH546" s="131"/>
      <c r="EI546" s="102"/>
      <c r="EJ546" s="102"/>
      <c r="EK546" s="102"/>
      <c r="EL546" s="102"/>
      <c r="EM546" s="99"/>
      <c r="EN546" s="4"/>
      <c r="EO546" s="4"/>
      <c r="EP546" s="5"/>
      <c r="EQ546" s="5"/>
      <c r="ER546" s="99"/>
      <c r="ES546" s="159"/>
      <c r="ET546" s="99"/>
      <c r="EU546" s="99"/>
      <c r="EV546" s="99"/>
      <c r="EW546" s="159"/>
      <c r="EX546" s="99"/>
      <c r="EY546" s="99"/>
      <c r="EZ546" s="175"/>
    </row>
    <row r="547" spans="27:156">
      <c r="AA547" s="18"/>
      <c r="AB547" s="18"/>
      <c r="AC547" s="18"/>
      <c r="AD547" s="19"/>
      <c r="AE547" s="19"/>
      <c r="AI547" s="18"/>
      <c r="AJ547" s="7"/>
      <c r="AK547" s="7"/>
      <c r="AL547" s="7"/>
      <c r="AM547" s="7"/>
      <c r="AN547" s="7"/>
      <c r="AO547" s="7"/>
      <c r="AP547" s="7"/>
      <c r="AQ547" s="7"/>
      <c r="AR547" s="7"/>
      <c r="AS547" s="7"/>
      <c r="AT547" s="7"/>
      <c r="AU547" s="7"/>
      <c r="AV547" s="7"/>
      <c r="AW547" s="7"/>
      <c r="AX547" s="7"/>
      <c r="AY547" s="7"/>
      <c r="AZ547" s="7"/>
      <c r="BA547" s="18"/>
      <c r="BG547" s="140"/>
      <c r="BH547" s="131"/>
      <c r="BI547" s="102"/>
      <c r="BJ547" s="102"/>
      <c r="BK547" s="102"/>
      <c r="BL547" s="102"/>
      <c r="BM547" s="99"/>
      <c r="BN547" s="4"/>
      <c r="BO547" s="4"/>
      <c r="BP547" s="5"/>
      <c r="BQ547" s="5"/>
      <c r="BR547" s="99"/>
      <c r="BS547" s="159"/>
      <c r="BT547" s="99"/>
      <c r="BU547" s="99"/>
      <c r="BV547" s="99"/>
      <c r="BW547" s="159"/>
      <c r="BX547" s="99"/>
      <c r="BY547" s="99"/>
      <c r="BZ547" s="159"/>
      <c r="DA547" s="174"/>
      <c r="DB547" s="18"/>
      <c r="DC547" s="18"/>
      <c r="DD547" s="19"/>
      <c r="DE547" s="19"/>
      <c r="DI547" s="18"/>
      <c r="DJ547" s="7"/>
      <c r="DK547" s="7"/>
      <c r="DL547" s="7"/>
      <c r="DM547" s="7"/>
      <c r="DN547" s="7"/>
      <c r="DO547" s="7"/>
      <c r="DP547" s="7"/>
      <c r="DQ547" s="7"/>
      <c r="DR547" s="7"/>
      <c r="DS547" s="7"/>
      <c r="DT547" s="7"/>
      <c r="DU547" s="7"/>
      <c r="DV547" s="7"/>
      <c r="DW547" s="7"/>
      <c r="DX547" s="7"/>
      <c r="DY547" s="7"/>
      <c r="DZ547" s="7"/>
      <c r="EA547" s="161"/>
      <c r="EG547" s="140"/>
      <c r="EH547" s="131"/>
      <c r="EI547" s="102"/>
      <c r="EJ547" s="102"/>
      <c r="EK547" s="102"/>
      <c r="EL547" s="102"/>
      <c r="EM547" s="99"/>
      <c r="EN547" s="4"/>
      <c r="EO547" s="4"/>
      <c r="EP547" s="5"/>
      <c r="EQ547" s="5"/>
      <c r="ER547" s="99"/>
      <c r="ES547" s="159"/>
      <c r="ET547" s="99"/>
      <c r="EU547" s="99"/>
      <c r="EV547" s="99"/>
      <c r="EW547" s="159"/>
      <c r="EX547" s="99"/>
      <c r="EY547" s="99"/>
      <c r="EZ547" s="175"/>
    </row>
    <row r="548" spans="27:156">
      <c r="AA548" s="18"/>
      <c r="AB548" s="18"/>
      <c r="AC548" s="18"/>
      <c r="AD548" s="19"/>
      <c r="AE548" s="19"/>
      <c r="AI548" s="18"/>
      <c r="AJ548" s="7"/>
      <c r="AK548" s="7"/>
      <c r="AL548" s="7"/>
      <c r="AM548" s="7"/>
      <c r="AN548" s="7"/>
      <c r="AO548" s="7"/>
      <c r="AP548" s="7"/>
      <c r="AQ548" s="7"/>
      <c r="AR548" s="7"/>
      <c r="AS548" s="7"/>
      <c r="AT548" s="7"/>
      <c r="AU548" s="7"/>
      <c r="AV548" s="7"/>
      <c r="AW548" s="7"/>
      <c r="AX548" s="7"/>
      <c r="AY548" s="7"/>
      <c r="AZ548" s="7"/>
      <c r="BA548" s="18"/>
      <c r="BG548" s="140"/>
      <c r="BH548" s="131"/>
      <c r="BI548" s="102"/>
      <c r="BJ548" s="102"/>
      <c r="BK548" s="102"/>
      <c r="BL548" s="102"/>
      <c r="BM548" s="99"/>
      <c r="BN548" s="4"/>
      <c r="BO548" s="4"/>
      <c r="BP548" s="5"/>
      <c r="BQ548" s="5"/>
      <c r="BR548" s="99"/>
      <c r="BS548" s="159"/>
      <c r="BT548" s="99"/>
      <c r="BU548" s="99"/>
      <c r="BV548" s="99"/>
      <c r="BW548" s="159"/>
      <c r="BX548" s="99"/>
      <c r="BY548" s="99"/>
      <c r="BZ548" s="159"/>
      <c r="DA548" s="174"/>
      <c r="DB548" s="18"/>
      <c r="DC548" s="18"/>
      <c r="DD548" s="19"/>
      <c r="DE548" s="19"/>
      <c r="DI548" s="18"/>
      <c r="DJ548" s="7"/>
      <c r="DK548" s="7"/>
      <c r="DL548" s="7"/>
      <c r="DM548" s="7"/>
      <c r="DN548" s="7"/>
      <c r="DO548" s="7"/>
      <c r="DP548" s="7"/>
      <c r="DQ548" s="7"/>
      <c r="DR548" s="7"/>
      <c r="DS548" s="7"/>
      <c r="DT548" s="7"/>
      <c r="DU548" s="7"/>
      <c r="DV548" s="7"/>
      <c r="DW548" s="7"/>
      <c r="DX548" s="7"/>
      <c r="DY548" s="7"/>
      <c r="DZ548" s="7"/>
      <c r="EA548" s="161"/>
      <c r="EG548" s="140"/>
      <c r="EH548" s="131"/>
      <c r="EI548" s="102"/>
      <c r="EJ548" s="102"/>
      <c r="EK548" s="102"/>
      <c r="EL548" s="102"/>
      <c r="EM548" s="99"/>
      <c r="EN548" s="4"/>
      <c r="EO548" s="4"/>
      <c r="EP548" s="5"/>
      <c r="EQ548" s="5"/>
      <c r="ER548" s="99"/>
      <c r="ES548" s="159"/>
      <c r="ET548" s="99"/>
      <c r="EU548" s="99"/>
      <c r="EV548" s="99"/>
      <c r="EW548" s="159"/>
      <c r="EX548" s="99"/>
      <c r="EY548" s="99"/>
      <c r="EZ548" s="175"/>
    </row>
    <row r="549" spans="27:156">
      <c r="AA549" s="18"/>
      <c r="AB549" s="18"/>
      <c r="AC549" s="18"/>
      <c r="AD549" s="19"/>
      <c r="AE549" s="19"/>
      <c r="AI549" s="18"/>
      <c r="AJ549" s="7"/>
      <c r="AK549" s="7"/>
      <c r="AL549" s="7"/>
      <c r="AM549" s="7"/>
      <c r="AN549" s="7"/>
      <c r="AO549" s="7"/>
      <c r="AP549" s="7"/>
      <c r="AQ549" s="7"/>
      <c r="AR549" s="7"/>
      <c r="AS549" s="7"/>
      <c r="AT549" s="7"/>
      <c r="AU549" s="7"/>
      <c r="AV549" s="7"/>
      <c r="AW549" s="7"/>
      <c r="AX549" s="7"/>
      <c r="AY549" s="7"/>
      <c r="AZ549" s="7"/>
      <c r="BA549" s="18"/>
      <c r="BG549" s="140"/>
      <c r="BH549" s="131"/>
      <c r="BI549" s="102"/>
      <c r="BJ549" s="102"/>
      <c r="BK549" s="102"/>
      <c r="BL549" s="102"/>
      <c r="BM549" s="99"/>
      <c r="BN549" s="4"/>
      <c r="BO549" s="4"/>
      <c r="BP549" s="5"/>
      <c r="BQ549" s="5"/>
      <c r="BR549" s="99"/>
      <c r="BS549" s="159"/>
      <c r="BT549" s="99"/>
      <c r="BU549" s="99"/>
      <c r="BV549" s="99"/>
      <c r="BW549" s="159"/>
      <c r="BX549" s="99"/>
      <c r="BY549" s="99"/>
      <c r="BZ549" s="159"/>
      <c r="DA549" s="174"/>
      <c r="DB549" s="18"/>
      <c r="DC549" s="18"/>
      <c r="DD549" s="19"/>
      <c r="DE549" s="19"/>
      <c r="DI549" s="18"/>
      <c r="DJ549" s="7"/>
      <c r="DK549" s="7"/>
      <c r="DL549" s="7"/>
      <c r="DM549" s="7"/>
      <c r="DN549" s="7"/>
      <c r="DO549" s="7"/>
      <c r="DP549" s="7"/>
      <c r="DQ549" s="7"/>
      <c r="DR549" s="7"/>
      <c r="DS549" s="7"/>
      <c r="DT549" s="7"/>
      <c r="DU549" s="7"/>
      <c r="DV549" s="7"/>
      <c r="DW549" s="7"/>
      <c r="DX549" s="7"/>
      <c r="DY549" s="7"/>
      <c r="DZ549" s="7"/>
      <c r="EA549" s="161"/>
      <c r="EG549" s="140"/>
      <c r="EH549" s="131"/>
      <c r="EI549" s="102"/>
      <c r="EJ549" s="102"/>
      <c r="EK549" s="102"/>
      <c r="EL549" s="102"/>
      <c r="EM549" s="99"/>
      <c r="EN549" s="4"/>
      <c r="EO549" s="4"/>
      <c r="EP549" s="5"/>
      <c r="EQ549" s="5"/>
      <c r="ER549" s="99"/>
      <c r="ES549" s="159"/>
      <c r="ET549" s="99"/>
      <c r="EU549" s="99"/>
      <c r="EV549" s="99"/>
      <c r="EW549" s="159"/>
      <c r="EX549" s="99"/>
      <c r="EY549" s="99"/>
      <c r="EZ549" s="175"/>
    </row>
    <row r="550" spans="27:156">
      <c r="AA550" s="18"/>
      <c r="AB550" s="18"/>
      <c r="AC550" s="18"/>
      <c r="AD550" s="19"/>
      <c r="AE550" s="19"/>
      <c r="AI550" s="18"/>
      <c r="AJ550" s="7"/>
      <c r="AK550" s="7"/>
      <c r="AL550" s="7"/>
      <c r="AM550" s="7"/>
      <c r="AN550" s="7"/>
      <c r="AO550" s="7"/>
      <c r="AP550" s="7"/>
      <c r="AQ550" s="7"/>
      <c r="AR550" s="7"/>
      <c r="AS550" s="7"/>
      <c r="AT550" s="7"/>
      <c r="AU550" s="7"/>
      <c r="AV550" s="7"/>
      <c r="AW550" s="7"/>
      <c r="AX550" s="7"/>
      <c r="AY550" s="7"/>
      <c r="AZ550" s="7"/>
      <c r="BA550" s="18"/>
      <c r="BG550" s="140"/>
      <c r="BH550" s="131"/>
      <c r="BI550" s="102"/>
      <c r="BJ550" s="102"/>
      <c r="BK550" s="102"/>
      <c r="BL550" s="102"/>
      <c r="BM550" s="99"/>
      <c r="BN550" s="4"/>
      <c r="BO550" s="4"/>
      <c r="BP550" s="5"/>
      <c r="BQ550" s="5"/>
      <c r="BR550" s="99"/>
      <c r="BS550" s="159"/>
      <c r="BT550" s="99"/>
      <c r="BU550" s="99"/>
      <c r="BV550" s="99"/>
      <c r="BW550" s="159"/>
      <c r="BX550" s="99"/>
      <c r="BY550" s="99"/>
      <c r="BZ550" s="159"/>
      <c r="DA550" s="174"/>
      <c r="DB550" s="18"/>
      <c r="DC550" s="18"/>
      <c r="DD550" s="19"/>
      <c r="DE550" s="19"/>
      <c r="DI550" s="18"/>
      <c r="DJ550" s="7"/>
      <c r="DK550" s="7"/>
      <c r="DL550" s="7"/>
      <c r="DM550" s="7"/>
      <c r="DN550" s="7"/>
      <c r="DO550" s="7"/>
      <c r="DP550" s="7"/>
      <c r="DQ550" s="7"/>
      <c r="DR550" s="7"/>
      <c r="DS550" s="7"/>
      <c r="DT550" s="7"/>
      <c r="DU550" s="7"/>
      <c r="DV550" s="7"/>
      <c r="DW550" s="7"/>
      <c r="DX550" s="7"/>
      <c r="DY550" s="7"/>
      <c r="DZ550" s="7"/>
      <c r="EA550" s="161"/>
      <c r="EG550" s="140"/>
      <c r="EH550" s="131"/>
      <c r="EI550" s="102"/>
      <c r="EJ550" s="102"/>
      <c r="EK550" s="102"/>
      <c r="EL550" s="102"/>
      <c r="EM550" s="99"/>
      <c r="EN550" s="4"/>
      <c r="EO550" s="4"/>
      <c r="EP550" s="5"/>
      <c r="EQ550" s="5"/>
      <c r="ER550" s="99"/>
      <c r="ES550" s="159"/>
      <c r="ET550" s="99"/>
      <c r="EU550" s="99"/>
      <c r="EV550" s="99"/>
      <c r="EW550" s="159"/>
      <c r="EX550" s="99"/>
      <c r="EY550" s="99"/>
      <c r="EZ550" s="175"/>
    </row>
    <row r="551" spans="27:156">
      <c r="AA551" s="18"/>
      <c r="AB551" s="18"/>
      <c r="AC551" s="18"/>
      <c r="AD551" s="19"/>
      <c r="AE551" s="19"/>
      <c r="AI551" s="18"/>
      <c r="AJ551" s="7"/>
      <c r="AK551" s="7"/>
      <c r="AL551" s="7"/>
      <c r="AM551" s="7"/>
      <c r="AN551" s="7"/>
      <c r="AO551" s="7"/>
      <c r="AP551" s="7"/>
      <c r="AQ551" s="7"/>
      <c r="AR551" s="7"/>
      <c r="AS551" s="7"/>
      <c r="AT551" s="7"/>
      <c r="AU551" s="7"/>
      <c r="AV551" s="7"/>
      <c r="AW551" s="7"/>
      <c r="AX551" s="7"/>
      <c r="AY551" s="7"/>
      <c r="AZ551" s="7"/>
      <c r="BA551" s="18"/>
      <c r="BG551" s="140"/>
      <c r="BH551" s="131"/>
      <c r="BI551" s="102"/>
      <c r="BJ551" s="102"/>
      <c r="BK551" s="102"/>
      <c r="BL551" s="102"/>
      <c r="BM551" s="99"/>
      <c r="BN551" s="4"/>
      <c r="BO551" s="4"/>
      <c r="BP551" s="5"/>
      <c r="BQ551" s="5"/>
      <c r="BR551" s="99"/>
      <c r="BS551" s="159"/>
      <c r="BT551" s="99"/>
      <c r="BU551" s="99"/>
      <c r="BV551" s="99"/>
      <c r="BW551" s="159"/>
      <c r="BX551" s="99"/>
      <c r="BY551" s="99"/>
      <c r="BZ551" s="159"/>
      <c r="DA551" s="174"/>
      <c r="DB551" s="18"/>
      <c r="DC551" s="18"/>
      <c r="DD551" s="19"/>
      <c r="DE551" s="19"/>
      <c r="DI551" s="18"/>
      <c r="DJ551" s="7"/>
      <c r="DK551" s="7"/>
      <c r="DL551" s="7"/>
      <c r="DM551" s="7"/>
      <c r="DN551" s="7"/>
      <c r="DO551" s="7"/>
      <c r="DP551" s="7"/>
      <c r="DQ551" s="7"/>
      <c r="DR551" s="7"/>
      <c r="DS551" s="7"/>
      <c r="DT551" s="7"/>
      <c r="DU551" s="7"/>
      <c r="DV551" s="7"/>
      <c r="DW551" s="7"/>
      <c r="DX551" s="7"/>
      <c r="DY551" s="7"/>
      <c r="DZ551" s="7"/>
      <c r="EA551" s="161"/>
      <c r="EG551" s="140"/>
      <c r="EH551" s="131"/>
      <c r="EI551" s="102"/>
      <c r="EJ551" s="102"/>
      <c r="EK551" s="102"/>
      <c r="EL551" s="102"/>
      <c r="EM551" s="99"/>
      <c r="EN551" s="4"/>
      <c r="EO551" s="4"/>
      <c r="EP551" s="5"/>
      <c r="EQ551" s="5"/>
      <c r="ER551" s="99"/>
      <c r="ES551" s="159"/>
      <c r="ET551" s="99"/>
      <c r="EU551" s="99"/>
      <c r="EV551" s="99"/>
      <c r="EW551" s="159"/>
      <c r="EX551" s="99"/>
      <c r="EY551" s="99"/>
      <c r="EZ551" s="175"/>
    </row>
    <row r="552" spans="27:156">
      <c r="AA552" s="18"/>
      <c r="AB552" s="18"/>
      <c r="AC552" s="18"/>
      <c r="AD552" s="19"/>
      <c r="AE552" s="19"/>
      <c r="AI552" s="18"/>
      <c r="AJ552" s="7"/>
      <c r="AK552" s="7"/>
      <c r="AL552" s="7"/>
      <c r="AM552" s="7"/>
      <c r="AN552" s="7"/>
      <c r="AO552" s="7"/>
      <c r="AP552" s="7"/>
      <c r="AQ552" s="7"/>
      <c r="AR552" s="7"/>
      <c r="AS552" s="7"/>
      <c r="AT552" s="7"/>
      <c r="AU552" s="7"/>
      <c r="AV552" s="7"/>
      <c r="AW552" s="7"/>
      <c r="AX552" s="7"/>
      <c r="AY552" s="7"/>
      <c r="AZ552" s="7"/>
      <c r="BA552" s="18"/>
      <c r="BG552" s="140"/>
      <c r="BH552" s="131"/>
      <c r="BI552" s="102"/>
      <c r="BJ552" s="102"/>
      <c r="BK552" s="102"/>
      <c r="BL552" s="102"/>
      <c r="BM552" s="99"/>
      <c r="BN552" s="4"/>
      <c r="BO552" s="4"/>
      <c r="BP552" s="5"/>
      <c r="BQ552" s="5"/>
      <c r="BR552" s="99"/>
      <c r="BS552" s="159"/>
      <c r="BT552" s="99"/>
      <c r="BU552" s="99"/>
      <c r="BV552" s="99"/>
      <c r="BW552" s="159"/>
      <c r="BX552" s="99"/>
      <c r="BY552" s="99"/>
      <c r="BZ552" s="159"/>
      <c r="DA552" s="174"/>
      <c r="DB552" s="18"/>
      <c r="DC552" s="18"/>
      <c r="DD552" s="19"/>
      <c r="DE552" s="19"/>
      <c r="DI552" s="18"/>
      <c r="DJ552" s="7"/>
      <c r="DK552" s="7"/>
      <c r="DL552" s="7"/>
      <c r="DM552" s="7"/>
      <c r="DN552" s="7"/>
      <c r="DO552" s="7"/>
      <c r="DP552" s="7"/>
      <c r="DQ552" s="7"/>
      <c r="DR552" s="7"/>
      <c r="DS552" s="7"/>
      <c r="DT552" s="7"/>
      <c r="DU552" s="7"/>
      <c r="DV552" s="7"/>
      <c r="DW552" s="7"/>
      <c r="DX552" s="7"/>
      <c r="DY552" s="7"/>
      <c r="DZ552" s="7"/>
      <c r="EA552" s="161"/>
      <c r="EG552" s="140"/>
      <c r="EH552" s="131"/>
      <c r="EI552" s="102"/>
      <c r="EJ552" s="102"/>
      <c r="EK552" s="102"/>
      <c r="EL552" s="102"/>
      <c r="EM552" s="99"/>
      <c r="EN552" s="4"/>
      <c r="EO552" s="4"/>
      <c r="EP552" s="5"/>
      <c r="EQ552" s="5"/>
      <c r="ER552" s="99"/>
      <c r="ES552" s="159"/>
      <c r="ET552" s="99"/>
      <c r="EU552" s="99"/>
      <c r="EV552" s="99"/>
      <c r="EW552" s="159"/>
      <c r="EX552" s="99"/>
      <c r="EY552" s="99"/>
      <c r="EZ552" s="175"/>
    </row>
    <row r="553" spans="27:156">
      <c r="AA553" s="18"/>
      <c r="AB553" s="18"/>
      <c r="AC553" s="18"/>
      <c r="AD553" s="19"/>
      <c r="AE553" s="19"/>
      <c r="AI553" s="18"/>
      <c r="AJ553" s="7"/>
      <c r="AK553" s="7"/>
      <c r="AL553" s="7"/>
      <c r="AM553" s="7"/>
      <c r="AN553" s="7"/>
      <c r="AO553" s="7"/>
      <c r="AP553" s="7"/>
      <c r="AQ553" s="7"/>
      <c r="AR553" s="7"/>
      <c r="AS553" s="7"/>
      <c r="AT553" s="7"/>
      <c r="AU553" s="7"/>
      <c r="AV553" s="7"/>
      <c r="AW553" s="7"/>
      <c r="AX553" s="7"/>
      <c r="AY553" s="7"/>
      <c r="AZ553" s="7"/>
      <c r="BA553" s="18"/>
      <c r="BG553" s="140"/>
      <c r="BH553" s="131"/>
      <c r="BI553" s="102"/>
      <c r="BJ553" s="102"/>
      <c r="BK553" s="102"/>
      <c r="BL553" s="102"/>
      <c r="BM553" s="99"/>
      <c r="BN553" s="4"/>
      <c r="BO553" s="4"/>
      <c r="BP553" s="5"/>
      <c r="BQ553" s="5"/>
      <c r="BR553" s="99"/>
      <c r="BS553" s="159"/>
      <c r="BT553" s="99"/>
      <c r="BU553" s="99"/>
      <c r="BV553" s="99"/>
      <c r="BW553" s="159"/>
      <c r="BX553" s="99"/>
      <c r="BY553" s="99"/>
      <c r="BZ553" s="159"/>
      <c r="DA553" s="174"/>
      <c r="DB553" s="18"/>
      <c r="DC553" s="18"/>
      <c r="DD553" s="19"/>
      <c r="DE553" s="19"/>
      <c r="DI553" s="18"/>
      <c r="DJ553" s="7"/>
      <c r="DK553" s="7"/>
      <c r="DL553" s="7"/>
      <c r="DM553" s="7"/>
      <c r="DN553" s="7"/>
      <c r="DO553" s="7"/>
      <c r="DP553" s="7"/>
      <c r="DQ553" s="7"/>
      <c r="DR553" s="7"/>
      <c r="DS553" s="7"/>
      <c r="DT553" s="7"/>
      <c r="DU553" s="7"/>
      <c r="DV553" s="7"/>
      <c r="DW553" s="7"/>
      <c r="DX553" s="7"/>
      <c r="DY553" s="7"/>
      <c r="DZ553" s="7"/>
      <c r="EA553" s="161"/>
      <c r="EG553" s="140"/>
      <c r="EH553" s="131"/>
      <c r="EI553" s="102"/>
      <c r="EJ553" s="102"/>
      <c r="EK553" s="102"/>
      <c r="EL553" s="102"/>
      <c r="EM553" s="99"/>
      <c r="EN553" s="4"/>
      <c r="EO553" s="4"/>
      <c r="EP553" s="5"/>
      <c r="EQ553" s="5"/>
      <c r="ER553" s="99"/>
      <c r="ES553" s="159"/>
      <c r="ET553" s="99"/>
      <c r="EU553" s="99"/>
      <c r="EV553" s="99"/>
      <c r="EW553" s="159"/>
      <c r="EX553" s="99"/>
      <c r="EY553" s="99"/>
      <c r="EZ553" s="175"/>
    </row>
    <row r="554" spans="27:156">
      <c r="AA554" s="18"/>
      <c r="AB554" s="18"/>
      <c r="AC554" s="18"/>
      <c r="AD554" s="19"/>
      <c r="AE554" s="19"/>
      <c r="AI554" s="18"/>
      <c r="AJ554" s="7"/>
      <c r="AK554" s="7"/>
      <c r="AL554" s="7"/>
      <c r="AM554" s="7"/>
      <c r="AN554" s="7"/>
      <c r="AO554" s="7"/>
      <c r="AP554" s="7"/>
      <c r="AQ554" s="7"/>
      <c r="AR554" s="7"/>
      <c r="AS554" s="7"/>
      <c r="AT554" s="7"/>
      <c r="AU554" s="7"/>
      <c r="AV554" s="7"/>
      <c r="AW554" s="7"/>
      <c r="AX554" s="7"/>
      <c r="AY554" s="7"/>
      <c r="AZ554" s="7"/>
      <c r="BA554" s="18"/>
      <c r="BG554" s="140"/>
      <c r="BH554" s="131"/>
      <c r="BI554" s="102"/>
      <c r="BJ554" s="102"/>
      <c r="BK554" s="102"/>
      <c r="BL554" s="102"/>
      <c r="BM554" s="99"/>
      <c r="BN554" s="4"/>
      <c r="BO554" s="4"/>
      <c r="BP554" s="5"/>
      <c r="BQ554" s="5"/>
      <c r="BR554" s="99"/>
      <c r="BS554" s="159"/>
      <c r="BT554" s="99"/>
      <c r="BU554" s="99"/>
      <c r="BV554" s="99"/>
      <c r="BW554" s="159"/>
      <c r="BX554" s="99"/>
      <c r="BY554" s="99"/>
      <c r="BZ554" s="159"/>
      <c r="DA554" s="174"/>
      <c r="DB554" s="18"/>
      <c r="DC554" s="18"/>
      <c r="DD554" s="19"/>
      <c r="DE554" s="19"/>
      <c r="DI554" s="18"/>
      <c r="DJ554" s="7"/>
      <c r="DK554" s="7"/>
      <c r="DL554" s="7"/>
      <c r="DM554" s="7"/>
      <c r="DN554" s="7"/>
      <c r="DO554" s="7"/>
      <c r="DP554" s="7"/>
      <c r="DQ554" s="7"/>
      <c r="DR554" s="7"/>
      <c r="DS554" s="7"/>
      <c r="DT554" s="7"/>
      <c r="DU554" s="7"/>
      <c r="DV554" s="7"/>
      <c r="DW554" s="7"/>
      <c r="DX554" s="7"/>
      <c r="DY554" s="7"/>
      <c r="DZ554" s="7"/>
      <c r="EA554" s="161"/>
      <c r="EG554" s="140"/>
      <c r="EH554" s="131"/>
      <c r="EI554" s="102"/>
      <c r="EJ554" s="102"/>
      <c r="EK554" s="102"/>
      <c r="EL554" s="102"/>
      <c r="EM554" s="99"/>
      <c r="EN554" s="4"/>
      <c r="EO554" s="4"/>
      <c r="EP554" s="5"/>
      <c r="EQ554" s="5"/>
      <c r="ER554" s="99"/>
      <c r="ES554" s="159"/>
      <c r="ET554" s="99"/>
      <c r="EU554" s="99"/>
      <c r="EV554" s="99"/>
      <c r="EW554" s="159"/>
      <c r="EX554" s="99"/>
      <c r="EY554" s="99"/>
      <c r="EZ554" s="175"/>
    </row>
    <row r="555" spans="27:156">
      <c r="AA555" s="18"/>
      <c r="AB555" s="18"/>
      <c r="AC555" s="18"/>
      <c r="AD555" s="19"/>
      <c r="AE555" s="19"/>
      <c r="AI555" s="18"/>
      <c r="AJ555" s="18"/>
      <c r="AK555" s="18"/>
      <c r="AL555" s="18"/>
      <c r="AM555" s="18"/>
      <c r="AN555" s="18"/>
      <c r="AO555" s="18"/>
      <c r="AP555" s="18"/>
      <c r="AQ555" s="18"/>
      <c r="AR555" s="18"/>
      <c r="AS555" s="18"/>
      <c r="AT555" s="18"/>
      <c r="AU555" s="18"/>
      <c r="AV555" s="18"/>
      <c r="AW555" s="18"/>
      <c r="AX555" s="18"/>
      <c r="AY555" s="18"/>
      <c r="AZ555" s="18"/>
      <c r="BA555" s="18"/>
      <c r="BH555" s="19"/>
      <c r="BI555" s="19"/>
      <c r="BJ555" s="19"/>
      <c r="BK555" s="19"/>
      <c r="BL555" s="19"/>
      <c r="BM555" s="4"/>
      <c r="BN555" s="4"/>
      <c r="BO555" s="4"/>
      <c r="BP555" s="4"/>
      <c r="BQ555" s="4"/>
      <c r="BR555" s="4"/>
      <c r="BS555" s="4"/>
      <c r="BT555" s="4"/>
      <c r="BU555" s="4"/>
      <c r="BV555" s="4"/>
      <c r="BW555" s="4"/>
      <c r="BX555" s="4"/>
      <c r="BY555" s="4"/>
      <c r="BZ555" s="4"/>
      <c r="DA555" s="174"/>
      <c r="DB555" s="18"/>
      <c r="DC555" s="18"/>
      <c r="DD555" s="19"/>
      <c r="DE555" s="19"/>
      <c r="DI555" s="18"/>
      <c r="DJ555" s="18"/>
      <c r="DK555" s="18"/>
      <c r="DL555" s="18"/>
      <c r="DM555" s="18"/>
      <c r="DN555" s="18"/>
      <c r="DO555" s="18"/>
      <c r="DP555" s="18"/>
      <c r="DQ555" s="18"/>
      <c r="DR555" s="18"/>
      <c r="DS555" s="18"/>
      <c r="DT555" s="18"/>
      <c r="DU555" s="18"/>
      <c r="DV555" s="18"/>
      <c r="DW555" s="18"/>
      <c r="DX555" s="18"/>
      <c r="DY555" s="18"/>
      <c r="DZ555" s="18"/>
      <c r="EA555" s="161"/>
      <c r="EH555" s="19"/>
      <c r="EI555" s="19"/>
      <c r="EJ555" s="19"/>
      <c r="EK555" s="19"/>
      <c r="EL555" s="19"/>
      <c r="EM555" s="4"/>
      <c r="EN555" s="4"/>
      <c r="EO555" s="4"/>
      <c r="EP555" s="4"/>
      <c r="EQ555" s="4"/>
      <c r="ER555" s="4"/>
      <c r="ES555" s="4"/>
      <c r="ET555" s="4"/>
      <c r="EU555" s="4"/>
      <c r="EV555" s="4"/>
      <c r="EW555" s="4"/>
      <c r="EX555" s="4"/>
      <c r="EY555" s="4"/>
      <c r="EZ555" s="176"/>
    </row>
    <row r="556" spans="27:156">
      <c r="BH556" s="19"/>
      <c r="BI556" s="19"/>
      <c r="BJ556" s="19"/>
      <c r="BK556" s="19"/>
      <c r="BL556" s="19"/>
      <c r="BM556" s="98"/>
      <c r="BN556" s="98"/>
      <c r="BO556" s="98"/>
      <c r="BP556" s="98"/>
      <c r="BQ556" s="98"/>
      <c r="BR556" s="98"/>
      <c r="BS556" s="98"/>
      <c r="BT556" s="98"/>
      <c r="BU556" s="98"/>
      <c r="BV556" s="98"/>
      <c r="BW556" s="98"/>
      <c r="BX556" s="98"/>
      <c r="BY556" s="98"/>
      <c r="BZ556" s="98"/>
      <c r="DA556" s="177"/>
      <c r="EH556" s="19"/>
      <c r="EI556" s="19"/>
      <c r="EJ556" s="19"/>
      <c r="EK556" s="19"/>
      <c r="EL556" s="19"/>
      <c r="EM556" s="98"/>
      <c r="EN556" s="98"/>
      <c r="EO556" s="98"/>
      <c r="EP556" s="98"/>
      <c r="EQ556" s="98"/>
      <c r="ER556" s="98"/>
      <c r="ES556" s="98"/>
      <c r="ET556" s="98"/>
      <c r="EU556" s="98"/>
      <c r="EV556" s="98"/>
      <c r="EW556" s="98"/>
      <c r="EX556" s="98"/>
      <c r="EY556" s="98"/>
      <c r="EZ556" s="178"/>
    </row>
    <row r="557" spans="27:156">
      <c r="BH557" s="19"/>
      <c r="BI557" s="19"/>
      <c r="BJ557" s="19"/>
      <c r="BK557" s="19"/>
      <c r="BL557" s="19"/>
      <c r="BM557" s="98"/>
      <c r="BN557" s="98"/>
      <c r="BO557" s="98"/>
      <c r="BP557" s="98"/>
      <c r="BQ557" s="98"/>
      <c r="BR557" s="98"/>
      <c r="BS557" s="98"/>
      <c r="BT557" s="98"/>
      <c r="BU557" s="98"/>
      <c r="BV557" s="98"/>
      <c r="BW557" s="98"/>
      <c r="BX557" s="98"/>
      <c r="BY557" s="98"/>
      <c r="BZ557" s="98"/>
      <c r="DA557" s="177"/>
      <c r="EH557" s="19"/>
      <c r="EI557" s="19"/>
      <c r="EJ557" s="19"/>
      <c r="EK557" s="19"/>
      <c r="EL557" s="19"/>
      <c r="EM557" s="98"/>
      <c r="EN557" s="98"/>
      <c r="EO557" s="98"/>
      <c r="EP557" s="98"/>
      <c r="EQ557" s="98"/>
      <c r="ER557" s="98"/>
      <c r="ES557" s="98"/>
      <c r="ET557" s="98"/>
      <c r="EU557" s="98"/>
      <c r="EV557" s="98"/>
      <c r="EW557" s="98"/>
      <c r="EX557" s="98"/>
      <c r="EY557" s="98"/>
      <c r="EZ557" s="178"/>
    </row>
    <row r="558" spans="27:156">
      <c r="BH558" s="19"/>
      <c r="BI558" s="19"/>
      <c r="BJ558" s="19"/>
      <c r="BK558" s="19"/>
      <c r="BL558" s="19"/>
      <c r="BM558" s="98"/>
      <c r="BN558" s="98"/>
      <c r="BO558" s="98"/>
      <c r="BP558" s="98"/>
      <c r="BQ558" s="98"/>
      <c r="BR558" s="98"/>
      <c r="BS558" s="98"/>
      <c r="BT558" s="98"/>
      <c r="BU558" s="98"/>
      <c r="BV558" s="98"/>
      <c r="BW558" s="98"/>
      <c r="BX558" s="98"/>
      <c r="BY558" s="98"/>
      <c r="BZ558" s="98"/>
      <c r="DA558" s="177"/>
      <c r="EH558" s="19"/>
      <c r="EI558" s="19"/>
      <c r="EJ558" s="19"/>
      <c r="EK558" s="19"/>
      <c r="EL558" s="19"/>
      <c r="EM558" s="98"/>
      <c r="EN558" s="98"/>
      <c r="EO558" s="98"/>
      <c r="EP558" s="98"/>
      <c r="EQ558" s="98"/>
      <c r="ER558" s="98"/>
      <c r="ES558" s="98"/>
      <c r="ET558" s="98"/>
      <c r="EU558" s="98"/>
      <c r="EV558" s="98"/>
      <c r="EW558" s="98"/>
      <c r="EX558" s="98"/>
      <c r="EY558" s="98"/>
      <c r="EZ558" s="178"/>
    </row>
    <row r="559" spans="27:156">
      <c r="BH559" s="19"/>
      <c r="BI559" s="19"/>
      <c r="BJ559" s="19"/>
      <c r="BK559" s="19"/>
      <c r="BL559" s="19"/>
      <c r="BM559" s="98"/>
      <c r="BN559" s="98"/>
      <c r="BO559" s="98"/>
      <c r="BP559" s="98"/>
      <c r="BQ559" s="98"/>
      <c r="BR559" s="98"/>
      <c r="BS559" s="98"/>
      <c r="BT559" s="98"/>
      <c r="BU559" s="98"/>
      <c r="BV559" s="98"/>
      <c r="BW559" s="98"/>
      <c r="BX559" s="98"/>
      <c r="BY559" s="98"/>
      <c r="BZ559" s="98"/>
      <c r="DA559" s="177"/>
      <c r="EH559" s="19"/>
      <c r="EI559" s="19"/>
      <c r="EJ559" s="19"/>
      <c r="EK559" s="19"/>
      <c r="EL559" s="19"/>
      <c r="EM559" s="98"/>
      <c r="EN559" s="98"/>
      <c r="EO559" s="98"/>
      <c r="EP559" s="98"/>
      <c r="EQ559" s="98"/>
      <c r="ER559" s="98"/>
      <c r="ES559" s="98"/>
      <c r="ET559" s="98"/>
      <c r="EU559" s="98"/>
      <c r="EV559" s="98"/>
      <c r="EW559" s="98"/>
      <c r="EX559" s="98"/>
      <c r="EY559" s="98"/>
      <c r="EZ559" s="178"/>
    </row>
    <row r="560" spans="27:156">
      <c r="BH560" s="19"/>
      <c r="BI560" s="19"/>
      <c r="BJ560" s="19"/>
      <c r="BK560" s="19"/>
      <c r="BL560" s="19"/>
      <c r="BM560" s="98"/>
      <c r="BN560" s="98"/>
      <c r="BO560" s="98"/>
      <c r="BP560" s="98"/>
      <c r="BQ560" s="98"/>
      <c r="BR560" s="98"/>
      <c r="BS560" s="98"/>
      <c r="BT560" s="98"/>
      <c r="BU560" s="98"/>
      <c r="BV560" s="98"/>
      <c r="BW560" s="98"/>
      <c r="BX560" s="98"/>
      <c r="BY560" s="98"/>
      <c r="BZ560" s="98"/>
      <c r="DA560" s="177"/>
      <c r="EH560" s="19"/>
      <c r="EI560" s="19"/>
      <c r="EJ560" s="19"/>
      <c r="EK560" s="19"/>
      <c r="EL560" s="19"/>
      <c r="EM560" s="98"/>
      <c r="EN560" s="98"/>
      <c r="EO560" s="98"/>
      <c r="EP560" s="98"/>
      <c r="EQ560" s="98"/>
      <c r="ER560" s="98"/>
      <c r="ES560" s="98"/>
      <c r="ET560" s="98"/>
      <c r="EU560" s="98"/>
      <c r="EV560" s="98"/>
      <c r="EW560" s="98"/>
      <c r="EX560" s="98"/>
      <c r="EY560" s="98"/>
      <c r="EZ560" s="178"/>
    </row>
    <row r="561" spans="60:156">
      <c r="BH561" s="19"/>
      <c r="BI561" s="19"/>
      <c r="BJ561" s="19"/>
      <c r="BK561" s="19"/>
      <c r="BL561" s="19"/>
      <c r="BM561" s="98"/>
      <c r="BN561" s="98"/>
      <c r="BO561" s="98"/>
      <c r="BP561" s="98"/>
      <c r="BQ561" s="98"/>
      <c r="BR561" s="98"/>
      <c r="BS561" s="98"/>
      <c r="BT561" s="98"/>
      <c r="BU561" s="98"/>
      <c r="BV561" s="98"/>
      <c r="BW561" s="98"/>
      <c r="BX561" s="98"/>
      <c r="BY561" s="98"/>
      <c r="BZ561" s="98"/>
      <c r="DA561" s="177"/>
      <c r="EH561" s="19"/>
      <c r="EI561" s="19"/>
      <c r="EJ561" s="19"/>
      <c r="EK561" s="19"/>
      <c r="EL561" s="19"/>
      <c r="EM561" s="98"/>
      <c r="EN561" s="98"/>
      <c r="EO561" s="98"/>
      <c r="EP561" s="98"/>
      <c r="EQ561" s="98"/>
      <c r="ER561" s="98"/>
      <c r="ES561" s="98"/>
      <c r="ET561" s="98"/>
      <c r="EU561" s="98"/>
      <c r="EV561" s="98"/>
      <c r="EW561" s="98"/>
      <c r="EX561" s="98"/>
      <c r="EY561" s="98"/>
      <c r="EZ561" s="178"/>
    </row>
    <row r="562" spans="60:156">
      <c r="BH562" s="19"/>
      <c r="BI562" s="19"/>
      <c r="BJ562" s="19"/>
      <c r="BK562" s="19"/>
      <c r="BL562" s="19"/>
      <c r="BM562" s="98"/>
      <c r="BN562" s="98"/>
      <c r="BO562" s="98"/>
      <c r="BP562" s="98"/>
      <c r="BQ562" s="98"/>
      <c r="BR562" s="98"/>
      <c r="BS562" s="98"/>
      <c r="BT562" s="98"/>
      <c r="BU562" s="98"/>
      <c r="BV562" s="98"/>
      <c r="BW562" s="98"/>
      <c r="BX562" s="98"/>
      <c r="BY562" s="98"/>
      <c r="BZ562" s="98"/>
      <c r="DA562" s="177"/>
      <c r="EH562" s="19"/>
      <c r="EI562" s="19"/>
      <c r="EJ562" s="19"/>
      <c r="EK562" s="19"/>
      <c r="EL562" s="19"/>
      <c r="EM562" s="98"/>
      <c r="EN562" s="98"/>
      <c r="EO562" s="98"/>
      <c r="EP562" s="98"/>
      <c r="EQ562" s="98"/>
      <c r="ER562" s="98"/>
      <c r="ES562" s="98"/>
      <c r="ET562" s="98"/>
      <c r="EU562" s="98"/>
      <c r="EV562" s="98"/>
      <c r="EW562" s="98"/>
      <c r="EX562" s="98"/>
      <c r="EY562" s="98"/>
      <c r="EZ562" s="178"/>
    </row>
    <row r="563" spans="60:156">
      <c r="BH563" s="19"/>
      <c r="BI563" s="19"/>
      <c r="BJ563" s="19"/>
      <c r="BK563" s="19"/>
      <c r="BL563" s="19"/>
      <c r="BM563" s="98"/>
      <c r="BN563" s="98"/>
      <c r="BO563" s="98"/>
      <c r="BP563" s="98"/>
      <c r="BQ563" s="98"/>
      <c r="BR563" s="98"/>
      <c r="BS563" s="98"/>
      <c r="BT563" s="98"/>
      <c r="BU563" s="98"/>
      <c r="BV563" s="98"/>
      <c r="BW563" s="98"/>
      <c r="BX563" s="98"/>
      <c r="BY563" s="98"/>
      <c r="BZ563" s="98"/>
      <c r="DA563" s="177"/>
      <c r="EH563" s="19"/>
      <c r="EI563" s="19"/>
      <c r="EJ563" s="19"/>
      <c r="EK563" s="19"/>
      <c r="EL563" s="19"/>
      <c r="EM563" s="98"/>
      <c r="EN563" s="98"/>
      <c r="EO563" s="98"/>
      <c r="EP563" s="98"/>
      <c r="EQ563" s="98"/>
      <c r="ER563" s="98"/>
      <c r="ES563" s="98"/>
      <c r="ET563" s="98"/>
      <c r="EU563" s="98"/>
      <c r="EV563" s="98"/>
      <c r="EW563" s="98"/>
      <c r="EX563" s="98"/>
      <c r="EY563" s="98"/>
      <c r="EZ563" s="178"/>
    </row>
    <row r="564" spans="60:156">
      <c r="BH564" s="19"/>
      <c r="BI564" s="19"/>
      <c r="BJ564" s="19"/>
      <c r="BK564" s="19"/>
      <c r="BL564" s="19"/>
      <c r="BM564" s="98"/>
      <c r="BN564" s="98"/>
      <c r="BO564" s="98"/>
      <c r="BP564" s="98"/>
      <c r="BQ564" s="98"/>
      <c r="BR564" s="98"/>
      <c r="BS564" s="98"/>
      <c r="BT564" s="98"/>
      <c r="BU564" s="98"/>
      <c r="BV564" s="98"/>
      <c r="BW564" s="98"/>
      <c r="BX564" s="98"/>
      <c r="BY564" s="98"/>
      <c r="BZ564" s="98"/>
      <c r="DA564" s="177"/>
      <c r="EH564" s="19"/>
      <c r="EI564" s="19"/>
      <c r="EJ564" s="19"/>
      <c r="EK564" s="19"/>
      <c r="EL564" s="19"/>
      <c r="EM564" s="98"/>
      <c r="EN564" s="98"/>
      <c r="EO564" s="98"/>
      <c r="EP564" s="98"/>
      <c r="EQ564" s="98"/>
      <c r="ER564" s="98"/>
      <c r="ES564" s="98"/>
      <c r="ET564" s="98"/>
      <c r="EU564" s="98"/>
      <c r="EV564" s="98"/>
      <c r="EW564" s="98"/>
      <c r="EX564" s="98"/>
      <c r="EY564" s="98"/>
      <c r="EZ564" s="178"/>
    </row>
    <row r="565" spans="60:156">
      <c r="BH565" s="19"/>
      <c r="BI565" s="19"/>
      <c r="BJ565" s="19"/>
      <c r="BK565" s="19"/>
      <c r="BL565" s="19"/>
      <c r="BM565" s="98"/>
      <c r="BN565" s="98"/>
      <c r="BO565" s="98"/>
      <c r="BP565" s="98"/>
      <c r="BQ565" s="98"/>
      <c r="BR565" s="98"/>
      <c r="BS565" s="98"/>
      <c r="BT565" s="98"/>
      <c r="BU565" s="98"/>
      <c r="BV565" s="98"/>
      <c r="BW565" s="98"/>
      <c r="BX565" s="98"/>
      <c r="BY565" s="98"/>
      <c r="BZ565" s="98"/>
      <c r="DA565" s="177"/>
      <c r="EH565" s="19"/>
      <c r="EI565" s="19"/>
      <c r="EJ565" s="19"/>
      <c r="EK565" s="19"/>
      <c r="EL565" s="19"/>
      <c r="EM565" s="98"/>
      <c r="EN565" s="98"/>
      <c r="EO565" s="98"/>
      <c r="EP565" s="98"/>
      <c r="EQ565" s="98"/>
      <c r="ER565" s="98"/>
      <c r="ES565" s="98"/>
      <c r="ET565" s="98"/>
      <c r="EU565" s="98"/>
      <c r="EV565" s="98"/>
      <c r="EW565" s="98"/>
      <c r="EX565" s="98"/>
      <c r="EY565" s="98"/>
      <c r="EZ565" s="178"/>
    </row>
    <row r="566" spans="60:156">
      <c r="BH566" s="19"/>
      <c r="BI566" s="19"/>
      <c r="BJ566" s="19"/>
      <c r="BK566" s="19"/>
      <c r="BL566" s="19"/>
      <c r="BM566" s="98"/>
      <c r="BN566" s="98"/>
      <c r="BO566" s="98"/>
      <c r="BP566" s="98"/>
      <c r="BQ566" s="98"/>
      <c r="BR566" s="98"/>
      <c r="BS566" s="98"/>
      <c r="BT566" s="98"/>
      <c r="BU566" s="98"/>
      <c r="BV566" s="98"/>
      <c r="BW566" s="98"/>
      <c r="BX566" s="98"/>
      <c r="BY566" s="98"/>
      <c r="BZ566" s="98"/>
      <c r="DA566" s="177"/>
      <c r="EH566" s="19"/>
      <c r="EI566" s="19"/>
      <c r="EJ566" s="19"/>
      <c r="EK566" s="19"/>
      <c r="EL566" s="19"/>
      <c r="EM566" s="98"/>
      <c r="EN566" s="98"/>
      <c r="EO566" s="98"/>
      <c r="EP566" s="98"/>
      <c r="EQ566" s="98"/>
      <c r="ER566" s="98"/>
      <c r="ES566" s="98"/>
      <c r="ET566" s="98"/>
      <c r="EU566" s="98"/>
      <c r="EV566" s="98"/>
      <c r="EW566" s="98"/>
      <c r="EX566" s="98"/>
      <c r="EY566" s="98"/>
      <c r="EZ566" s="178"/>
    </row>
    <row r="567" spans="60:156">
      <c r="BH567" s="19"/>
      <c r="BI567" s="19"/>
      <c r="BJ567" s="19"/>
      <c r="BK567" s="19"/>
      <c r="BL567" s="19"/>
      <c r="BM567" s="98"/>
      <c r="BN567" s="98"/>
      <c r="BO567" s="98"/>
      <c r="BP567" s="98"/>
      <c r="BQ567" s="98"/>
      <c r="BR567" s="98"/>
      <c r="BS567" s="98"/>
      <c r="BT567" s="98"/>
      <c r="BU567" s="98"/>
      <c r="BV567" s="98"/>
      <c r="BW567" s="98"/>
      <c r="BX567" s="98"/>
      <c r="BY567" s="98"/>
      <c r="BZ567" s="98"/>
      <c r="DA567" s="177"/>
      <c r="EH567" s="19"/>
      <c r="EI567" s="19"/>
      <c r="EJ567" s="19"/>
      <c r="EK567" s="19"/>
      <c r="EL567" s="19"/>
      <c r="EM567" s="98"/>
      <c r="EN567" s="98"/>
      <c r="EO567" s="98"/>
      <c r="EP567" s="98"/>
      <c r="EQ567" s="98"/>
      <c r="ER567" s="98"/>
      <c r="ES567" s="98"/>
      <c r="ET567" s="98"/>
      <c r="EU567" s="98"/>
      <c r="EV567" s="98"/>
      <c r="EW567" s="98"/>
      <c r="EX567" s="98"/>
      <c r="EY567" s="98"/>
      <c r="EZ567" s="178"/>
    </row>
    <row r="568" spans="60:156">
      <c r="BH568" s="19"/>
      <c r="BI568" s="19"/>
      <c r="BJ568" s="19"/>
      <c r="BK568" s="19"/>
      <c r="BL568" s="19"/>
      <c r="BM568" s="98"/>
      <c r="BN568" s="98"/>
      <c r="BO568" s="98"/>
      <c r="BP568" s="98"/>
      <c r="BQ568" s="98"/>
      <c r="BR568" s="98"/>
      <c r="BS568" s="98"/>
      <c r="BT568" s="98"/>
      <c r="BU568" s="98"/>
      <c r="BV568" s="98"/>
      <c r="BW568" s="98"/>
      <c r="BX568" s="98"/>
      <c r="BY568" s="98"/>
      <c r="BZ568" s="98"/>
      <c r="DA568" s="177"/>
      <c r="EH568" s="19"/>
      <c r="EI568" s="19"/>
      <c r="EJ568" s="19"/>
      <c r="EK568" s="19"/>
      <c r="EL568" s="19"/>
      <c r="EM568" s="98"/>
      <c r="EN568" s="98"/>
      <c r="EO568" s="98"/>
      <c r="EP568" s="98"/>
      <c r="EQ568" s="98"/>
      <c r="ER568" s="98"/>
      <c r="ES568" s="98"/>
      <c r="ET568" s="98"/>
      <c r="EU568" s="98"/>
      <c r="EV568" s="98"/>
      <c r="EW568" s="98"/>
      <c r="EX568" s="98"/>
      <c r="EY568" s="98"/>
      <c r="EZ568" s="178"/>
    </row>
    <row r="569" spans="60:156">
      <c r="BH569" s="19"/>
      <c r="BI569" s="19"/>
      <c r="BJ569" s="19"/>
      <c r="BK569" s="19"/>
      <c r="BL569" s="19"/>
      <c r="BM569" s="98"/>
      <c r="BN569" s="98"/>
      <c r="BO569" s="98"/>
      <c r="BP569" s="98"/>
      <c r="BQ569" s="98"/>
      <c r="BR569" s="98"/>
      <c r="BS569" s="98"/>
      <c r="BT569" s="98"/>
      <c r="BU569" s="98"/>
      <c r="BV569" s="98"/>
      <c r="BW569" s="98"/>
      <c r="BX569" s="98"/>
      <c r="BY569" s="98"/>
      <c r="BZ569" s="98"/>
      <c r="DA569" s="177"/>
      <c r="EH569" s="19"/>
      <c r="EI569" s="19"/>
      <c r="EJ569" s="19"/>
      <c r="EK569" s="19"/>
      <c r="EL569" s="19"/>
      <c r="EM569" s="98"/>
      <c r="EN569" s="98"/>
      <c r="EO569" s="98"/>
      <c r="EP569" s="98"/>
      <c r="EQ569" s="98"/>
      <c r="ER569" s="98"/>
      <c r="ES569" s="98"/>
      <c r="ET569" s="98"/>
      <c r="EU569" s="98"/>
      <c r="EV569" s="98"/>
      <c r="EW569" s="98"/>
      <c r="EX569" s="98"/>
      <c r="EY569" s="98"/>
      <c r="EZ569" s="178"/>
    </row>
    <row r="570" spans="60:156">
      <c r="BH570" s="19"/>
      <c r="BI570" s="19"/>
      <c r="BJ570" s="19"/>
      <c r="BK570" s="19"/>
      <c r="BL570" s="19"/>
      <c r="BM570" s="98"/>
      <c r="BN570" s="98"/>
      <c r="BO570" s="98"/>
      <c r="BP570" s="98"/>
      <c r="BQ570" s="98"/>
      <c r="BR570" s="98"/>
      <c r="BS570" s="98"/>
      <c r="BT570" s="98"/>
      <c r="BU570" s="98"/>
      <c r="BV570" s="98"/>
      <c r="BW570" s="98"/>
      <c r="BX570" s="98"/>
      <c r="BY570" s="98"/>
      <c r="BZ570" s="98"/>
      <c r="DA570" s="177"/>
      <c r="EH570" s="19"/>
      <c r="EI570" s="19"/>
      <c r="EJ570" s="19"/>
      <c r="EK570" s="19"/>
      <c r="EL570" s="19"/>
      <c r="EM570" s="98"/>
      <c r="EN570" s="98"/>
      <c r="EO570" s="98"/>
      <c r="EP570" s="98"/>
      <c r="EQ570" s="98"/>
      <c r="ER570" s="98"/>
      <c r="ES570" s="98"/>
      <c r="ET570" s="98"/>
      <c r="EU570" s="98"/>
      <c r="EV570" s="98"/>
      <c r="EW570" s="98"/>
      <c r="EX570" s="98"/>
      <c r="EY570" s="98"/>
      <c r="EZ570" s="178"/>
    </row>
    <row r="571" spans="60:156">
      <c r="BH571" s="19"/>
      <c r="BI571" s="19"/>
      <c r="BJ571" s="19"/>
      <c r="BK571" s="19"/>
      <c r="BL571" s="19"/>
      <c r="BM571" s="98"/>
      <c r="BN571" s="98"/>
      <c r="BO571" s="98"/>
      <c r="BP571" s="98"/>
      <c r="BQ571" s="98"/>
      <c r="BR571" s="98"/>
      <c r="BS571" s="98"/>
      <c r="BT571" s="98"/>
      <c r="BU571" s="98"/>
      <c r="BV571" s="98"/>
      <c r="BW571" s="98"/>
      <c r="BX571" s="98"/>
      <c r="BY571" s="98"/>
      <c r="BZ571" s="98"/>
      <c r="DA571" s="177"/>
      <c r="EH571" s="19"/>
      <c r="EI571" s="19"/>
      <c r="EJ571" s="19"/>
      <c r="EK571" s="19"/>
      <c r="EL571" s="19"/>
      <c r="EM571" s="98"/>
      <c r="EN571" s="98"/>
      <c r="EO571" s="98"/>
      <c r="EP571" s="98"/>
      <c r="EQ571" s="98"/>
      <c r="ER571" s="98"/>
      <c r="ES571" s="98"/>
      <c r="ET571" s="98"/>
      <c r="EU571" s="98"/>
      <c r="EV571" s="98"/>
      <c r="EW571" s="98"/>
      <c r="EX571" s="98"/>
      <c r="EY571" s="98"/>
      <c r="EZ571" s="178"/>
    </row>
    <row r="572" spans="60:156">
      <c r="BH572" s="19"/>
      <c r="BI572" s="19"/>
      <c r="BJ572" s="19"/>
      <c r="BK572" s="19"/>
      <c r="BL572" s="19"/>
      <c r="BM572" s="98"/>
      <c r="BN572" s="98"/>
      <c r="BO572" s="98"/>
      <c r="BP572" s="98"/>
      <c r="BQ572" s="98"/>
      <c r="BR572" s="98"/>
      <c r="BS572" s="98"/>
      <c r="BT572" s="98"/>
      <c r="BU572" s="98"/>
      <c r="BV572" s="98"/>
      <c r="BW572" s="98"/>
      <c r="BX572" s="98"/>
      <c r="BY572" s="98"/>
      <c r="BZ572" s="98"/>
      <c r="DA572" s="177"/>
      <c r="EH572" s="19"/>
      <c r="EI572" s="19"/>
      <c r="EJ572" s="19"/>
      <c r="EK572" s="19"/>
      <c r="EL572" s="19"/>
      <c r="EM572" s="98"/>
      <c r="EN572" s="98"/>
      <c r="EO572" s="98"/>
      <c r="EP572" s="98"/>
      <c r="EQ572" s="98"/>
      <c r="ER572" s="98"/>
      <c r="ES572" s="98"/>
      <c r="ET572" s="98"/>
      <c r="EU572" s="98"/>
      <c r="EV572" s="98"/>
      <c r="EW572" s="98"/>
      <c r="EX572" s="98"/>
      <c r="EY572" s="98"/>
      <c r="EZ572" s="178"/>
    </row>
    <row r="573" spans="60:156">
      <c r="BH573" s="19"/>
      <c r="BI573" s="19"/>
      <c r="BJ573" s="19"/>
      <c r="BK573" s="19"/>
      <c r="BL573" s="19"/>
      <c r="BM573" s="98"/>
      <c r="BN573" s="98"/>
      <c r="BO573" s="98"/>
      <c r="BP573" s="98"/>
      <c r="BQ573" s="98"/>
      <c r="BR573" s="98"/>
      <c r="BS573" s="98"/>
      <c r="BT573" s="98"/>
      <c r="BU573" s="98"/>
      <c r="BV573" s="98"/>
      <c r="BW573" s="98"/>
      <c r="BX573" s="98"/>
      <c r="BY573" s="98"/>
      <c r="BZ573" s="98"/>
      <c r="DA573" s="177"/>
      <c r="EH573" s="19"/>
      <c r="EI573" s="19"/>
      <c r="EJ573" s="19"/>
      <c r="EK573" s="19"/>
      <c r="EL573" s="19"/>
      <c r="EM573" s="98"/>
      <c r="EN573" s="98"/>
      <c r="EO573" s="98"/>
      <c r="EP573" s="98"/>
      <c r="EQ573" s="98"/>
      <c r="ER573" s="98"/>
      <c r="ES573" s="98"/>
      <c r="ET573" s="98"/>
      <c r="EU573" s="98"/>
      <c r="EV573" s="98"/>
      <c r="EW573" s="98"/>
      <c r="EX573" s="98"/>
      <c r="EY573" s="98"/>
      <c r="EZ573" s="178"/>
    </row>
    <row r="574" spans="60:156">
      <c r="BH574" s="19"/>
      <c r="BI574" s="19"/>
      <c r="BJ574" s="19"/>
      <c r="BK574" s="19"/>
      <c r="BL574" s="19"/>
      <c r="BM574" s="98"/>
      <c r="BN574" s="98"/>
      <c r="BO574" s="98"/>
      <c r="BP574" s="98"/>
      <c r="BQ574" s="98"/>
      <c r="BR574" s="98"/>
      <c r="BS574" s="98"/>
      <c r="BT574" s="98"/>
      <c r="BU574" s="98"/>
      <c r="BV574" s="98"/>
      <c r="BW574" s="98"/>
      <c r="BX574" s="98"/>
      <c r="BY574" s="98"/>
      <c r="BZ574" s="98"/>
      <c r="DA574" s="177"/>
      <c r="EH574" s="19"/>
      <c r="EI574" s="19"/>
      <c r="EJ574" s="19"/>
      <c r="EK574" s="19"/>
      <c r="EL574" s="19"/>
      <c r="EM574" s="98"/>
      <c r="EN574" s="98"/>
      <c r="EO574" s="98"/>
      <c r="EP574" s="98"/>
      <c r="EQ574" s="98"/>
      <c r="ER574" s="98"/>
      <c r="ES574" s="98"/>
      <c r="ET574" s="98"/>
      <c r="EU574" s="98"/>
      <c r="EV574" s="98"/>
      <c r="EW574" s="98"/>
      <c r="EX574" s="98"/>
      <c r="EY574" s="98"/>
      <c r="EZ574" s="178"/>
    </row>
    <row r="575" spans="60:156">
      <c r="BH575" s="19"/>
      <c r="BI575" s="19"/>
      <c r="BJ575" s="19"/>
      <c r="BK575" s="19"/>
      <c r="BL575" s="19"/>
      <c r="BM575" s="98"/>
      <c r="BN575" s="98"/>
      <c r="BO575" s="98"/>
      <c r="BP575" s="98"/>
      <c r="BQ575" s="98"/>
      <c r="BR575" s="98"/>
      <c r="BS575" s="98"/>
      <c r="BT575" s="98"/>
      <c r="BU575" s="98"/>
      <c r="BV575" s="98"/>
      <c r="BW575" s="98"/>
      <c r="BX575" s="98"/>
      <c r="BY575" s="98"/>
      <c r="BZ575" s="98"/>
      <c r="DA575" s="177"/>
      <c r="EH575" s="19"/>
      <c r="EI575" s="19"/>
      <c r="EJ575" s="19"/>
      <c r="EK575" s="19"/>
      <c r="EL575" s="19"/>
      <c r="EM575" s="98"/>
      <c r="EN575" s="98"/>
      <c r="EO575" s="98"/>
      <c r="EP575" s="98"/>
      <c r="EQ575" s="98"/>
      <c r="ER575" s="98"/>
      <c r="ES575" s="98"/>
      <c r="ET575" s="98"/>
      <c r="EU575" s="98"/>
      <c r="EV575" s="98"/>
      <c r="EW575" s="98"/>
      <c r="EX575" s="98"/>
      <c r="EY575" s="98"/>
      <c r="EZ575" s="178"/>
    </row>
    <row r="576" spans="60:156">
      <c r="BH576" s="19"/>
      <c r="BI576" s="19"/>
      <c r="BJ576" s="19"/>
      <c r="BK576" s="19"/>
      <c r="BL576" s="19"/>
      <c r="BM576" s="98"/>
      <c r="BN576" s="98"/>
      <c r="BO576" s="98"/>
      <c r="BP576" s="98"/>
      <c r="BQ576" s="98"/>
      <c r="BR576" s="98"/>
      <c r="BS576" s="98"/>
      <c r="BT576" s="98"/>
      <c r="BU576" s="98"/>
      <c r="BV576" s="98"/>
      <c r="BW576" s="98"/>
      <c r="BX576" s="98"/>
      <c r="BY576" s="98"/>
      <c r="BZ576" s="98"/>
      <c r="DA576" s="177"/>
      <c r="EH576" s="19"/>
      <c r="EI576" s="19"/>
      <c r="EJ576" s="19"/>
      <c r="EK576" s="19"/>
      <c r="EL576" s="19"/>
      <c r="EM576" s="98"/>
      <c r="EN576" s="98"/>
      <c r="EO576" s="98"/>
      <c r="EP576" s="98"/>
      <c r="EQ576" s="98"/>
      <c r="ER576" s="98"/>
      <c r="ES576" s="98"/>
      <c r="ET576" s="98"/>
      <c r="EU576" s="98"/>
      <c r="EV576" s="98"/>
      <c r="EW576" s="98"/>
      <c r="EX576" s="98"/>
      <c r="EY576" s="98"/>
      <c r="EZ576" s="178"/>
    </row>
    <row r="577" spans="60:156">
      <c r="BH577" s="19"/>
      <c r="BI577" s="19"/>
      <c r="BJ577" s="19"/>
      <c r="BK577" s="19"/>
      <c r="BL577" s="19"/>
      <c r="BM577" s="98"/>
      <c r="BN577" s="98"/>
      <c r="BO577" s="98"/>
      <c r="BP577" s="98"/>
      <c r="BQ577" s="98"/>
      <c r="BR577" s="98"/>
      <c r="BS577" s="98"/>
      <c r="BT577" s="98"/>
      <c r="BU577" s="98"/>
      <c r="BV577" s="98"/>
      <c r="BW577" s="98"/>
      <c r="BX577" s="98"/>
      <c r="BY577" s="98"/>
      <c r="BZ577" s="98"/>
      <c r="DA577" s="177"/>
      <c r="EH577" s="19"/>
      <c r="EI577" s="19"/>
      <c r="EJ577" s="19"/>
      <c r="EK577" s="19"/>
      <c r="EL577" s="19"/>
      <c r="EM577" s="98"/>
      <c r="EN577" s="98"/>
      <c r="EO577" s="98"/>
      <c r="EP577" s="98"/>
      <c r="EQ577" s="98"/>
      <c r="ER577" s="98"/>
      <c r="ES577" s="98"/>
      <c r="ET577" s="98"/>
      <c r="EU577" s="98"/>
      <c r="EV577" s="98"/>
      <c r="EW577" s="98"/>
      <c r="EX577" s="98"/>
      <c r="EY577" s="98"/>
      <c r="EZ577" s="178"/>
    </row>
    <row r="578" spans="60:156">
      <c r="BH578" s="19"/>
      <c r="BI578" s="19"/>
      <c r="BJ578" s="19"/>
      <c r="BK578" s="19"/>
      <c r="BL578" s="19"/>
      <c r="BM578" s="98"/>
      <c r="BN578" s="98"/>
      <c r="BO578" s="98"/>
      <c r="BP578" s="98"/>
      <c r="BQ578" s="98"/>
      <c r="BR578" s="98"/>
      <c r="BS578" s="98"/>
      <c r="BT578" s="98"/>
      <c r="BU578" s="98"/>
      <c r="BV578" s="98"/>
      <c r="BW578" s="98"/>
      <c r="BX578" s="98"/>
      <c r="BY578" s="98"/>
      <c r="BZ578" s="98"/>
      <c r="DA578" s="177"/>
      <c r="EH578" s="19"/>
      <c r="EI578" s="19"/>
      <c r="EJ578" s="19"/>
      <c r="EK578" s="19"/>
      <c r="EL578" s="19"/>
      <c r="EM578" s="98"/>
      <c r="EN578" s="98"/>
      <c r="EO578" s="98"/>
      <c r="EP578" s="98"/>
      <c r="EQ578" s="98"/>
      <c r="ER578" s="98"/>
      <c r="ES578" s="98"/>
      <c r="ET578" s="98"/>
      <c r="EU578" s="98"/>
      <c r="EV578" s="98"/>
      <c r="EW578" s="98"/>
      <c r="EX578" s="98"/>
      <c r="EY578" s="98"/>
      <c r="EZ578" s="178"/>
    </row>
    <row r="579" spans="60:156">
      <c r="BH579" s="19"/>
      <c r="BI579" s="19"/>
      <c r="BJ579" s="19"/>
      <c r="BK579" s="19"/>
      <c r="BL579" s="19"/>
      <c r="BM579" s="98"/>
      <c r="BN579" s="98"/>
      <c r="BO579" s="98"/>
      <c r="BP579" s="98"/>
      <c r="BQ579" s="98"/>
      <c r="BR579" s="98"/>
      <c r="BS579" s="98"/>
      <c r="BT579" s="98"/>
      <c r="BU579" s="98"/>
      <c r="BV579" s="98"/>
      <c r="BW579" s="98"/>
      <c r="BX579" s="98"/>
      <c r="BY579" s="98"/>
      <c r="BZ579" s="98"/>
      <c r="DA579" s="177"/>
      <c r="EH579" s="19"/>
      <c r="EI579" s="19"/>
      <c r="EJ579" s="19"/>
      <c r="EK579" s="19"/>
      <c r="EL579" s="19"/>
      <c r="EM579" s="98"/>
      <c r="EN579" s="98"/>
      <c r="EO579" s="98"/>
      <c r="EP579" s="98"/>
      <c r="EQ579" s="98"/>
      <c r="ER579" s="98"/>
      <c r="ES579" s="98"/>
      <c r="ET579" s="98"/>
      <c r="EU579" s="98"/>
      <c r="EV579" s="98"/>
      <c r="EW579" s="98"/>
      <c r="EX579" s="98"/>
      <c r="EY579" s="98"/>
      <c r="EZ579" s="178"/>
    </row>
    <row r="580" spans="60:156">
      <c r="BH580" s="19"/>
      <c r="BI580" s="19"/>
      <c r="BJ580" s="19"/>
      <c r="BK580" s="19"/>
      <c r="BL580" s="19"/>
      <c r="BM580" s="98"/>
      <c r="BN580" s="98"/>
      <c r="BO580" s="98"/>
      <c r="BP580" s="98"/>
      <c r="BQ580" s="98"/>
      <c r="BR580" s="98"/>
      <c r="BS580" s="98"/>
      <c r="BT580" s="98"/>
      <c r="BU580" s="98"/>
      <c r="BV580" s="98"/>
      <c r="BW580" s="98"/>
      <c r="BX580" s="98"/>
      <c r="BY580" s="98"/>
      <c r="BZ580" s="98"/>
      <c r="DA580" s="177"/>
      <c r="EH580" s="19"/>
      <c r="EI580" s="19"/>
      <c r="EJ580" s="19"/>
      <c r="EK580" s="19"/>
      <c r="EL580" s="19"/>
      <c r="EM580" s="98"/>
      <c r="EN580" s="98"/>
      <c r="EO580" s="98"/>
      <c r="EP580" s="98"/>
      <c r="EQ580" s="98"/>
      <c r="ER580" s="98"/>
      <c r="ES580" s="98"/>
      <c r="ET580" s="98"/>
      <c r="EU580" s="98"/>
      <c r="EV580" s="98"/>
      <c r="EW580" s="98"/>
      <c r="EX580" s="98"/>
      <c r="EY580" s="98"/>
      <c r="EZ580" s="178"/>
    </row>
    <row r="581" spans="60:156">
      <c r="BH581" s="19"/>
      <c r="BI581" s="19"/>
      <c r="BJ581" s="19"/>
      <c r="BK581" s="19"/>
      <c r="BL581" s="19"/>
      <c r="BM581" s="98"/>
      <c r="BN581" s="98"/>
      <c r="BO581" s="98"/>
      <c r="BP581" s="98"/>
      <c r="BQ581" s="98"/>
      <c r="BR581" s="98"/>
      <c r="BS581" s="98"/>
      <c r="BT581" s="98"/>
      <c r="BU581" s="98"/>
      <c r="BV581" s="98"/>
      <c r="BW581" s="98"/>
      <c r="BX581" s="98"/>
      <c r="BY581" s="98"/>
      <c r="BZ581" s="98"/>
      <c r="DA581" s="177"/>
      <c r="EH581" s="19"/>
      <c r="EI581" s="19"/>
      <c r="EJ581" s="19"/>
      <c r="EK581" s="19"/>
      <c r="EL581" s="19"/>
      <c r="EM581" s="98"/>
      <c r="EN581" s="98"/>
      <c r="EO581" s="98"/>
      <c r="EP581" s="98"/>
      <c r="EQ581" s="98"/>
      <c r="ER581" s="98"/>
      <c r="ES581" s="98"/>
      <c r="ET581" s="98"/>
      <c r="EU581" s="98"/>
      <c r="EV581" s="98"/>
      <c r="EW581" s="98"/>
      <c r="EX581" s="98"/>
      <c r="EY581" s="98"/>
      <c r="EZ581" s="178"/>
    </row>
    <row r="582" spans="60:156">
      <c r="BH582" s="19"/>
      <c r="BI582" s="19"/>
      <c r="BJ582" s="19"/>
      <c r="BK582" s="19"/>
      <c r="BL582" s="19"/>
      <c r="BM582" s="98"/>
      <c r="BN582" s="98"/>
      <c r="BO582" s="98"/>
      <c r="BP582" s="98"/>
      <c r="BQ582" s="98"/>
      <c r="BR582" s="98"/>
      <c r="BS582" s="98"/>
      <c r="BT582" s="98"/>
      <c r="BU582" s="98"/>
      <c r="BV582" s="98"/>
      <c r="BW582" s="98"/>
      <c r="BX582" s="98"/>
      <c r="BY582" s="98"/>
      <c r="BZ582" s="98"/>
      <c r="DA582" s="177"/>
      <c r="EH582" s="19"/>
      <c r="EI582" s="19"/>
      <c r="EJ582" s="19"/>
      <c r="EK582" s="19"/>
      <c r="EL582" s="19"/>
      <c r="EM582" s="98"/>
      <c r="EN582" s="98"/>
      <c r="EO582" s="98"/>
      <c r="EP582" s="98"/>
      <c r="EQ582" s="98"/>
      <c r="ER582" s="98"/>
      <c r="ES582" s="98"/>
      <c r="ET582" s="98"/>
      <c r="EU582" s="98"/>
      <c r="EV582" s="98"/>
      <c r="EW582" s="98"/>
      <c r="EX582" s="98"/>
      <c r="EY582" s="98"/>
      <c r="EZ582" s="178"/>
    </row>
    <row r="583" spans="60:156">
      <c r="BH583" s="19"/>
      <c r="BI583" s="19"/>
      <c r="BJ583" s="19"/>
      <c r="BK583" s="19"/>
      <c r="BL583" s="19"/>
      <c r="BM583" s="98"/>
      <c r="BN583" s="98"/>
      <c r="BO583" s="98"/>
      <c r="BP583" s="98"/>
      <c r="BQ583" s="98"/>
      <c r="BR583" s="98"/>
      <c r="BS583" s="98"/>
      <c r="BT583" s="98"/>
      <c r="BU583" s="98"/>
      <c r="BV583" s="98"/>
      <c r="BW583" s="98"/>
      <c r="BX583" s="98"/>
      <c r="BY583" s="98"/>
      <c r="BZ583" s="98"/>
      <c r="DA583" s="177"/>
      <c r="EH583" s="19"/>
      <c r="EI583" s="19"/>
      <c r="EJ583" s="19"/>
      <c r="EK583" s="19"/>
      <c r="EL583" s="19"/>
      <c r="EM583" s="98"/>
      <c r="EN583" s="98"/>
      <c r="EO583" s="98"/>
      <c r="EP583" s="98"/>
      <c r="EQ583" s="98"/>
      <c r="ER583" s="98"/>
      <c r="ES583" s="98"/>
      <c r="ET583" s="98"/>
      <c r="EU583" s="98"/>
      <c r="EV583" s="98"/>
      <c r="EW583" s="98"/>
      <c r="EX583" s="98"/>
      <c r="EY583" s="98"/>
      <c r="EZ583" s="178"/>
    </row>
    <row r="584" spans="60:156">
      <c r="BH584" s="19"/>
      <c r="BI584" s="19"/>
      <c r="BJ584" s="19"/>
      <c r="BK584" s="19"/>
      <c r="BL584" s="19"/>
      <c r="BM584" s="98"/>
      <c r="BN584" s="98"/>
      <c r="BO584" s="98"/>
      <c r="BP584" s="98"/>
      <c r="BQ584" s="98"/>
      <c r="BR584" s="98"/>
      <c r="BS584" s="98"/>
      <c r="BT584" s="98"/>
      <c r="BU584" s="98"/>
      <c r="BV584" s="98"/>
      <c r="BW584" s="98"/>
      <c r="BX584" s="98"/>
      <c r="BY584" s="98"/>
      <c r="BZ584" s="98"/>
      <c r="DA584" s="177"/>
      <c r="EH584" s="19"/>
      <c r="EI584" s="19"/>
      <c r="EJ584" s="19"/>
      <c r="EK584" s="19"/>
      <c r="EL584" s="19"/>
      <c r="EM584" s="98"/>
      <c r="EN584" s="98"/>
      <c r="EO584" s="98"/>
      <c r="EP584" s="98"/>
      <c r="EQ584" s="98"/>
      <c r="ER584" s="98"/>
      <c r="ES584" s="98"/>
      <c r="ET584" s="98"/>
      <c r="EU584" s="98"/>
      <c r="EV584" s="98"/>
      <c r="EW584" s="98"/>
      <c r="EX584" s="98"/>
      <c r="EY584" s="98"/>
      <c r="EZ584" s="178"/>
    </row>
    <row r="585" spans="60:156">
      <c r="BH585" s="19"/>
      <c r="BI585" s="19"/>
      <c r="BJ585" s="19"/>
      <c r="BK585" s="19"/>
      <c r="BL585" s="19"/>
      <c r="BM585" s="98"/>
      <c r="BN585" s="98"/>
      <c r="BO585" s="98"/>
      <c r="BP585" s="98"/>
      <c r="BQ585" s="98"/>
      <c r="BR585" s="98"/>
      <c r="BS585" s="98"/>
      <c r="BT585" s="98"/>
      <c r="BU585" s="98"/>
      <c r="BV585" s="98"/>
      <c r="BW585" s="98"/>
      <c r="BX585" s="98"/>
      <c r="BY585" s="98"/>
      <c r="BZ585" s="98"/>
      <c r="DA585" s="177"/>
      <c r="EH585" s="19"/>
      <c r="EI585" s="19"/>
      <c r="EJ585" s="19"/>
      <c r="EK585" s="19"/>
      <c r="EL585" s="19"/>
      <c r="EM585" s="98"/>
      <c r="EN585" s="98"/>
      <c r="EO585" s="98"/>
      <c r="EP585" s="98"/>
      <c r="EQ585" s="98"/>
      <c r="ER585" s="98"/>
      <c r="ES585" s="98"/>
      <c r="ET585" s="98"/>
      <c r="EU585" s="98"/>
      <c r="EV585" s="98"/>
      <c r="EW585" s="98"/>
      <c r="EX585" s="98"/>
      <c r="EY585" s="98"/>
      <c r="EZ585" s="178"/>
    </row>
    <row r="586" spans="60:156">
      <c r="BH586" s="19"/>
      <c r="BI586" s="19"/>
      <c r="BJ586" s="19"/>
      <c r="BK586" s="19"/>
      <c r="BL586" s="19"/>
      <c r="BM586" s="98"/>
      <c r="BN586" s="98"/>
      <c r="BO586" s="98"/>
      <c r="BP586" s="98"/>
      <c r="BQ586" s="98"/>
      <c r="BR586" s="98"/>
      <c r="BS586" s="98"/>
      <c r="BT586" s="98"/>
      <c r="BU586" s="98"/>
      <c r="BV586" s="98"/>
      <c r="BW586" s="98"/>
      <c r="BX586" s="98"/>
      <c r="BY586" s="98"/>
      <c r="BZ586" s="98"/>
      <c r="DA586" s="177"/>
      <c r="EH586" s="19"/>
      <c r="EI586" s="19"/>
      <c r="EJ586" s="19"/>
      <c r="EK586" s="19"/>
      <c r="EL586" s="19"/>
      <c r="EM586" s="98"/>
      <c r="EN586" s="98"/>
      <c r="EO586" s="98"/>
      <c r="EP586" s="98"/>
      <c r="EQ586" s="98"/>
      <c r="ER586" s="98"/>
      <c r="ES586" s="98"/>
      <c r="ET586" s="98"/>
      <c r="EU586" s="98"/>
      <c r="EV586" s="98"/>
      <c r="EW586" s="98"/>
      <c r="EX586" s="98"/>
      <c r="EY586" s="98"/>
      <c r="EZ586" s="178"/>
    </row>
    <row r="587" spans="60:156">
      <c r="BH587" s="19"/>
      <c r="BI587" s="19"/>
      <c r="BJ587" s="19"/>
      <c r="BK587" s="19"/>
      <c r="BL587" s="19"/>
      <c r="BM587" s="98"/>
      <c r="BN587" s="98"/>
      <c r="BO587" s="98"/>
      <c r="BP587" s="98"/>
      <c r="BQ587" s="98"/>
      <c r="BR587" s="98"/>
      <c r="BS587" s="98"/>
      <c r="BT587" s="98"/>
      <c r="BU587" s="98"/>
      <c r="BV587" s="98"/>
      <c r="BW587" s="98"/>
      <c r="BX587" s="98"/>
      <c r="BY587" s="98"/>
      <c r="BZ587" s="98"/>
      <c r="DA587" s="177"/>
      <c r="EH587" s="19"/>
      <c r="EI587" s="19"/>
      <c r="EJ587" s="19"/>
      <c r="EK587" s="19"/>
      <c r="EL587" s="19"/>
      <c r="EM587" s="98"/>
      <c r="EN587" s="98"/>
      <c r="EO587" s="98"/>
      <c r="EP587" s="98"/>
      <c r="EQ587" s="98"/>
      <c r="ER587" s="98"/>
      <c r="ES587" s="98"/>
      <c r="ET587" s="98"/>
      <c r="EU587" s="98"/>
      <c r="EV587" s="98"/>
      <c r="EW587" s="98"/>
      <c r="EX587" s="98"/>
      <c r="EY587" s="98"/>
      <c r="EZ587" s="178"/>
    </row>
    <row r="588" spans="60:156">
      <c r="BH588" s="19"/>
      <c r="BI588" s="19"/>
      <c r="BJ588" s="19"/>
      <c r="BK588" s="19"/>
      <c r="BL588" s="19"/>
      <c r="BM588" s="98"/>
      <c r="BN588" s="98"/>
      <c r="BO588" s="98"/>
      <c r="BP588" s="98"/>
      <c r="BQ588" s="98"/>
      <c r="BR588" s="98"/>
      <c r="BS588" s="98"/>
      <c r="BT588" s="98"/>
      <c r="BU588" s="98"/>
      <c r="BV588" s="98"/>
      <c r="BW588" s="98"/>
      <c r="BX588" s="98"/>
      <c r="BY588" s="98"/>
      <c r="BZ588" s="98"/>
      <c r="DA588" s="177"/>
      <c r="EH588" s="19"/>
      <c r="EI588" s="19"/>
      <c r="EJ588" s="19"/>
      <c r="EK588" s="19"/>
      <c r="EL588" s="19"/>
      <c r="EM588" s="98"/>
      <c r="EN588" s="98"/>
      <c r="EO588" s="98"/>
      <c r="EP588" s="98"/>
      <c r="EQ588" s="98"/>
      <c r="ER588" s="98"/>
      <c r="ES588" s="98"/>
      <c r="ET588" s="98"/>
      <c r="EU588" s="98"/>
      <c r="EV588" s="98"/>
      <c r="EW588" s="98"/>
      <c r="EX588" s="98"/>
      <c r="EY588" s="98"/>
      <c r="EZ588" s="178"/>
    </row>
    <row r="589" spans="60:156">
      <c r="BH589" s="19"/>
      <c r="BI589" s="19"/>
      <c r="BJ589" s="19"/>
      <c r="BK589" s="19"/>
      <c r="BL589" s="19"/>
      <c r="BM589" s="98"/>
      <c r="BN589" s="98"/>
      <c r="BO589" s="98"/>
      <c r="BP589" s="98"/>
      <c r="BQ589" s="98"/>
      <c r="BR589" s="98"/>
      <c r="BS589" s="98"/>
      <c r="BT589" s="98"/>
      <c r="BU589" s="98"/>
      <c r="BV589" s="98"/>
      <c r="BW589" s="98"/>
      <c r="BX589" s="98"/>
      <c r="BY589" s="98"/>
      <c r="BZ589" s="98"/>
      <c r="DA589" s="177"/>
      <c r="EH589" s="19"/>
      <c r="EI589" s="19"/>
      <c r="EJ589" s="19"/>
      <c r="EK589" s="19"/>
      <c r="EL589" s="19"/>
      <c r="EM589" s="98"/>
      <c r="EN589" s="98"/>
      <c r="EO589" s="98"/>
      <c r="EP589" s="98"/>
      <c r="EQ589" s="98"/>
      <c r="ER589" s="98"/>
      <c r="ES589" s="98"/>
      <c r="ET589" s="98"/>
      <c r="EU589" s="98"/>
      <c r="EV589" s="98"/>
      <c r="EW589" s="98"/>
      <c r="EX589" s="98"/>
      <c r="EY589" s="98"/>
      <c r="EZ589" s="178"/>
    </row>
    <row r="590" spans="60:156">
      <c r="BH590" s="19"/>
      <c r="BI590" s="19"/>
      <c r="BJ590" s="19"/>
      <c r="BK590" s="19"/>
      <c r="BL590" s="19"/>
      <c r="BM590" s="98"/>
      <c r="BN590" s="98"/>
      <c r="BO590" s="98"/>
      <c r="BP590" s="98"/>
      <c r="BQ590" s="98"/>
      <c r="BR590" s="98"/>
      <c r="BS590" s="98"/>
      <c r="BT590" s="98"/>
      <c r="BU590" s="98"/>
      <c r="BV590" s="98"/>
      <c r="BW590" s="98"/>
      <c r="BX590" s="98"/>
      <c r="BY590" s="98"/>
      <c r="BZ590" s="98"/>
      <c r="DA590" s="177"/>
      <c r="EH590" s="19"/>
      <c r="EI590" s="19"/>
      <c r="EJ590" s="19"/>
      <c r="EK590" s="19"/>
      <c r="EL590" s="19"/>
      <c r="EM590" s="98"/>
      <c r="EN590" s="98"/>
      <c r="EO590" s="98"/>
      <c r="EP590" s="98"/>
      <c r="EQ590" s="98"/>
      <c r="ER590" s="98"/>
      <c r="ES590" s="98"/>
      <c r="ET590" s="98"/>
      <c r="EU590" s="98"/>
      <c r="EV590" s="98"/>
      <c r="EW590" s="98"/>
      <c r="EX590" s="98"/>
      <c r="EY590" s="98"/>
      <c r="EZ590" s="178"/>
    </row>
    <row r="591" spans="60:156">
      <c r="BH591" s="19"/>
      <c r="BI591" s="19"/>
      <c r="BJ591" s="19"/>
      <c r="BK591" s="19"/>
      <c r="BL591" s="19"/>
      <c r="BM591" s="98"/>
      <c r="BN591" s="98"/>
      <c r="BO591" s="98"/>
      <c r="BP591" s="98"/>
      <c r="BQ591" s="98"/>
      <c r="BR591" s="98"/>
      <c r="BS591" s="98"/>
      <c r="BT591" s="98"/>
      <c r="BU591" s="98"/>
      <c r="BV591" s="98"/>
      <c r="BW591" s="98"/>
      <c r="BX591" s="98"/>
      <c r="BY591" s="98"/>
      <c r="BZ591" s="98"/>
      <c r="DA591" s="177"/>
      <c r="EH591" s="19"/>
      <c r="EI591" s="19"/>
      <c r="EJ591" s="19"/>
      <c r="EK591" s="19"/>
      <c r="EL591" s="19"/>
      <c r="EM591" s="98"/>
      <c r="EN591" s="98"/>
      <c r="EO591" s="98"/>
      <c r="EP591" s="98"/>
      <c r="EQ591" s="98"/>
      <c r="ER591" s="98"/>
      <c r="ES591" s="98"/>
      <c r="ET591" s="98"/>
      <c r="EU591" s="98"/>
      <c r="EV591" s="98"/>
      <c r="EW591" s="98"/>
      <c r="EX591" s="98"/>
      <c r="EY591" s="98"/>
      <c r="EZ591" s="178"/>
    </row>
    <row r="592" spans="60:156">
      <c r="BH592" s="19"/>
      <c r="BI592" s="19"/>
      <c r="BJ592" s="19"/>
      <c r="BK592" s="19"/>
      <c r="BL592" s="19"/>
      <c r="BM592" s="98"/>
      <c r="BN592" s="98"/>
      <c r="BO592" s="98"/>
      <c r="BP592" s="98"/>
      <c r="BQ592" s="98"/>
      <c r="BR592" s="98"/>
      <c r="BS592" s="98"/>
      <c r="BT592" s="98"/>
      <c r="BU592" s="98"/>
      <c r="BV592" s="98"/>
      <c r="BW592" s="98"/>
      <c r="BX592" s="98"/>
      <c r="BY592" s="98"/>
      <c r="BZ592" s="98"/>
      <c r="DA592" s="177"/>
      <c r="EH592" s="19"/>
      <c r="EI592" s="19"/>
      <c r="EJ592" s="19"/>
      <c r="EK592" s="19"/>
      <c r="EL592" s="19"/>
      <c r="EM592" s="98"/>
      <c r="EN592" s="98"/>
      <c r="EO592" s="98"/>
      <c r="EP592" s="98"/>
      <c r="EQ592" s="98"/>
      <c r="ER592" s="98"/>
      <c r="ES592" s="98"/>
      <c r="ET592" s="98"/>
      <c r="EU592" s="98"/>
      <c r="EV592" s="98"/>
      <c r="EW592" s="98"/>
      <c r="EX592" s="98"/>
      <c r="EY592" s="98"/>
      <c r="EZ592" s="178"/>
    </row>
    <row r="593" spans="60:156">
      <c r="BH593" s="19"/>
      <c r="BI593" s="19"/>
      <c r="BJ593" s="19"/>
      <c r="BK593" s="19"/>
      <c r="BL593" s="19"/>
      <c r="BM593" s="98"/>
      <c r="BN593" s="98"/>
      <c r="BO593" s="98"/>
      <c r="BP593" s="98"/>
      <c r="BQ593" s="98"/>
      <c r="BR593" s="98"/>
      <c r="BS593" s="98"/>
      <c r="BT593" s="98"/>
      <c r="BU593" s="98"/>
      <c r="BV593" s="98"/>
      <c r="BW593" s="98"/>
      <c r="BX593" s="98"/>
      <c r="BY593" s="98"/>
      <c r="BZ593" s="98"/>
      <c r="DA593" s="177"/>
      <c r="EH593" s="19"/>
      <c r="EI593" s="19"/>
      <c r="EJ593" s="19"/>
      <c r="EK593" s="19"/>
      <c r="EL593" s="19"/>
      <c r="EM593" s="98"/>
      <c r="EN593" s="98"/>
      <c r="EO593" s="98"/>
      <c r="EP593" s="98"/>
      <c r="EQ593" s="98"/>
      <c r="ER593" s="98"/>
      <c r="ES593" s="98"/>
      <c r="ET593" s="98"/>
      <c r="EU593" s="98"/>
      <c r="EV593" s="98"/>
      <c r="EW593" s="98"/>
      <c r="EX593" s="98"/>
      <c r="EY593" s="98"/>
      <c r="EZ593" s="178"/>
    </row>
    <row r="594" spans="60:156">
      <c r="BH594" s="19"/>
      <c r="BI594" s="19"/>
      <c r="BJ594" s="19"/>
      <c r="BK594" s="19"/>
      <c r="BL594" s="19"/>
      <c r="BM594" s="98"/>
      <c r="BN594" s="98"/>
      <c r="BO594" s="98"/>
      <c r="BP594" s="98"/>
      <c r="BQ594" s="98"/>
      <c r="BR594" s="98"/>
      <c r="BS594" s="98"/>
      <c r="BT594" s="98"/>
      <c r="BU594" s="98"/>
      <c r="BV594" s="98"/>
      <c r="BW594" s="98"/>
      <c r="BX594" s="98"/>
      <c r="BY594" s="98"/>
      <c r="BZ594" s="98"/>
      <c r="DA594" s="177"/>
      <c r="EH594" s="19"/>
      <c r="EI594" s="19"/>
      <c r="EJ594" s="19"/>
      <c r="EK594" s="19"/>
      <c r="EL594" s="19"/>
      <c r="EM594" s="98"/>
      <c r="EN594" s="98"/>
      <c r="EO594" s="98"/>
      <c r="EP594" s="98"/>
      <c r="EQ594" s="98"/>
      <c r="ER594" s="98"/>
      <c r="ES594" s="98"/>
      <c r="ET594" s="98"/>
      <c r="EU594" s="98"/>
      <c r="EV594" s="98"/>
      <c r="EW594" s="98"/>
      <c r="EX594" s="98"/>
      <c r="EY594" s="98"/>
      <c r="EZ594" s="178"/>
    </row>
    <row r="595" spans="60:156">
      <c r="BH595" s="19"/>
      <c r="BI595" s="19"/>
      <c r="BJ595" s="19"/>
      <c r="BK595" s="19"/>
      <c r="BL595" s="19"/>
      <c r="BM595" s="98"/>
      <c r="BN595" s="98"/>
      <c r="BO595" s="98"/>
      <c r="BP595" s="98"/>
      <c r="BQ595" s="98"/>
      <c r="BR595" s="98"/>
      <c r="BS595" s="98"/>
      <c r="BT595" s="98"/>
      <c r="BU595" s="98"/>
      <c r="BV595" s="98"/>
      <c r="BW595" s="98"/>
      <c r="BX595" s="98"/>
      <c r="BY595" s="98"/>
      <c r="BZ595" s="98"/>
      <c r="DA595" s="177"/>
      <c r="EH595" s="19"/>
      <c r="EI595" s="19"/>
      <c r="EJ595" s="19"/>
      <c r="EK595" s="19"/>
      <c r="EL595" s="19"/>
      <c r="EM595" s="98"/>
      <c r="EN595" s="98"/>
      <c r="EO595" s="98"/>
      <c r="EP595" s="98"/>
      <c r="EQ595" s="98"/>
      <c r="ER595" s="98"/>
      <c r="ES595" s="98"/>
      <c r="ET595" s="98"/>
      <c r="EU595" s="98"/>
      <c r="EV595" s="98"/>
      <c r="EW595" s="98"/>
      <c r="EX595" s="98"/>
      <c r="EY595" s="98"/>
      <c r="EZ595" s="178"/>
    </row>
    <row r="596" spans="60:156">
      <c r="BH596" s="19"/>
      <c r="BI596" s="19"/>
      <c r="BJ596" s="19"/>
      <c r="BK596" s="19"/>
      <c r="BL596" s="19"/>
      <c r="BM596" s="98"/>
      <c r="BN596" s="98"/>
      <c r="BO596" s="98"/>
      <c r="BP596" s="98"/>
      <c r="BQ596" s="98"/>
      <c r="BR596" s="98"/>
      <c r="BS596" s="98"/>
      <c r="BT596" s="98"/>
      <c r="BU596" s="98"/>
      <c r="BV596" s="98"/>
      <c r="BW596" s="98"/>
      <c r="BX596" s="98"/>
      <c r="BY596" s="98"/>
      <c r="BZ596" s="98"/>
      <c r="DA596" s="177"/>
      <c r="EH596" s="19"/>
      <c r="EI596" s="19"/>
      <c r="EJ596" s="19"/>
      <c r="EK596" s="19"/>
      <c r="EL596" s="19"/>
      <c r="EM596" s="98"/>
      <c r="EN596" s="98"/>
      <c r="EO596" s="98"/>
      <c r="EP596" s="98"/>
      <c r="EQ596" s="98"/>
      <c r="ER596" s="98"/>
      <c r="ES596" s="98"/>
      <c r="ET596" s="98"/>
      <c r="EU596" s="98"/>
      <c r="EV596" s="98"/>
      <c r="EW596" s="98"/>
      <c r="EX596" s="98"/>
      <c r="EY596" s="98"/>
      <c r="EZ596" s="178"/>
    </row>
    <row r="597" spans="60:156">
      <c r="BH597" s="19"/>
      <c r="BI597" s="19"/>
      <c r="BJ597" s="19"/>
      <c r="BK597" s="19"/>
      <c r="BL597" s="19"/>
      <c r="BM597" s="98"/>
      <c r="BN597" s="98"/>
      <c r="BO597" s="98"/>
      <c r="BP597" s="98"/>
      <c r="BQ597" s="98"/>
      <c r="BR597" s="98"/>
      <c r="BS597" s="98"/>
      <c r="BT597" s="98"/>
      <c r="BU597" s="98"/>
      <c r="BV597" s="98"/>
      <c r="BW597" s="98"/>
      <c r="BX597" s="98"/>
      <c r="BY597" s="98"/>
      <c r="BZ597" s="98"/>
      <c r="DA597" s="177"/>
      <c r="EH597" s="19"/>
      <c r="EI597" s="19"/>
      <c r="EJ597" s="19"/>
      <c r="EK597" s="19"/>
      <c r="EL597" s="19"/>
      <c r="EM597" s="98"/>
      <c r="EN597" s="98"/>
      <c r="EO597" s="98"/>
      <c r="EP597" s="98"/>
      <c r="EQ597" s="98"/>
      <c r="ER597" s="98"/>
      <c r="ES597" s="98"/>
      <c r="ET597" s="98"/>
      <c r="EU597" s="98"/>
      <c r="EV597" s="98"/>
      <c r="EW597" s="98"/>
      <c r="EX597" s="98"/>
      <c r="EY597" s="98"/>
      <c r="EZ597" s="178"/>
    </row>
    <row r="598" spans="60:156">
      <c r="BH598" s="19"/>
      <c r="BI598" s="19"/>
      <c r="BJ598" s="19"/>
      <c r="BK598" s="19"/>
      <c r="BL598" s="19"/>
      <c r="BM598" s="98"/>
      <c r="BN598" s="98"/>
      <c r="BO598" s="98"/>
      <c r="BP598" s="98"/>
      <c r="BQ598" s="98"/>
      <c r="BR598" s="98"/>
      <c r="BS598" s="98"/>
      <c r="BT598" s="98"/>
      <c r="BU598" s="98"/>
      <c r="BV598" s="98"/>
      <c r="BW598" s="98"/>
      <c r="BX598" s="98"/>
      <c r="BY598" s="98"/>
      <c r="BZ598" s="98"/>
      <c r="DA598" s="177"/>
      <c r="EH598" s="19"/>
      <c r="EI598" s="19"/>
      <c r="EJ598" s="19"/>
      <c r="EK598" s="19"/>
      <c r="EL598" s="19"/>
      <c r="EM598" s="98"/>
      <c r="EN598" s="98"/>
      <c r="EO598" s="98"/>
      <c r="EP598" s="98"/>
      <c r="EQ598" s="98"/>
      <c r="ER598" s="98"/>
      <c r="ES598" s="98"/>
      <c r="ET598" s="98"/>
      <c r="EU598" s="98"/>
      <c r="EV598" s="98"/>
      <c r="EW598" s="98"/>
      <c r="EX598" s="98"/>
      <c r="EY598" s="98"/>
      <c r="EZ598" s="178"/>
    </row>
    <row r="599" spans="60:156">
      <c r="BH599" s="19"/>
      <c r="BI599" s="19"/>
      <c r="BJ599" s="19"/>
      <c r="BK599" s="19"/>
      <c r="BL599" s="19"/>
      <c r="BM599" s="98"/>
      <c r="BN599" s="98"/>
      <c r="BO599" s="98"/>
      <c r="BP599" s="98"/>
      <c r="BQ599" s="98"/>
      <c r="BR599" s="98"/>
      <c r="BS599" s="98"/>
      <c r="BT599" s="98"/>
      <c r="BU599" s="98"/>
      <c r="BV599" s="98"/>
      <c r="BW599" s="98"/>
      <c r="BX599" s="98"/>
      <c r="BY599" s="98"/>
      <c r="BZ599" s="98"/>
      <c r="DA599" s="177"/>
      <c r="EH599" s="19"/>
      <c r="EI599" s="19"/>
      <c r="EJ599" s="19"/>
      <c r="EK599" s="19"/>
      <c r="EL599" s="19"/>
      <c r="EM599" s="98"/>
      <c r="EN599" s="98"/>
      <c r="EO599" s="98"/>
      <c r="EP599" s="98"/>
      <c r="EQ599" s="98"/>
      <c r="ER599" s="98"/>
      <c r="ES599" s="98"/>
      <c r="ET599" s="98"/>
      <c r="EU599" s="98"/>
      <c r="EV599" s="98"/>
      <c r="EW599" s="98"/>
      <c r="EX599" s="98"/>
      <c r="EY599" s="98"/>
      <c r="EZ599" s="178"/>
    </row>
    <row r="600" spans="60:156">
      <c r="BH600" s="19"/>
      <c r="BI600" s="19"/>
      <c r="BJ600" s="19"/>
      <c r="BK600" s="19"/>
      <c r="BL600" s="19"/>
      <c r="BM600" s="98"/>
      <c r="BN600" s="98"/>
      <c r="BO600" s="98"/>
      <c r="BP600" s="98"/>
      <c r="BQ600" s="98"/>
      <c r="BR600" s="98"/>
      <c r="BS600" s="98"/>
      <c r="BT600" s="98"/>
      <c r="BU600" s="98"/>
      <c r="BV600" s="98"/>
      <c r="BW600" s="98"/>
      <c r="BX600" s="98"/>
      <c r="BY600" s="98"/>
      <c r="BZ600" s="98"/>
      <c r="DA600" s="177"/>
      <c r="EH600" s="19"/>
      <c r="EI600" s="19"/>
      <c r="EJ600" s="19"/>
      <c r="EK600" s="19"/>
      <c r="EL600" s="19"/>
      <c r="EM600" s="98"/>
      <c r="EN600" s="98"/>
      <c r="EO600" s="98"/>
      <c r="EP600" s="98"/>
      <c r="EQ600" s="98"/>
      <c r="ER600" s="98"/>
      <c r="ES600" s="98"/>
      <c r="ET600" s="98"/>
      <c r="EU600" s="98"/>
      <c r="EV600" s="98"/>
      <c r="EW600" s="98"/>
      <c r="EX600" s="98"/>
      <c r="EY600" s="98"/>
      <c r="EZ600" s="178"/>
    </row>
    <row r="601" spans="60:156">
      <c r="BH601" s="19"/>
      <c r="BI601" s="19"/>
      <c r="BJ601" s="19"/>
      <c r="BK601" s="19"/>
      <c r="BL601" s="19"/>
      <c r="BM601" s="98"/>
      <c r="BN601" s="98"/>
      <c r="BO601" s="98"/>
      <c r="BP601" s="98"/>
      <c r="BQ601" s="98"/>
      <c r="BR601" s="98"/>
      <c r="BS601" s="98"/>
      <c r="BT601" s="98"/>
      <c r="BU601" s="98"/>
      <c r="BV601" s="98"/>
      <c r="BW601" s="98"/>
      <c r="BX601" s="98"/>
      <c r="BY601" s="98"/>
      <c r="BZ601" s="98"/>
      <c r="DA601" s="177"/>
      <c r="EH601" s="19"/>
      <c r="EI601" s="19"/>
      <c r="EJ601" s="19"/>
      <c r="EK601" s="19"/>
      <c r="EL601" s="19"/>
      <c r="EM601" s="98"/>
      <c r="EN601" s="98"/>
      <c r="EO601" s="98"/>
      <c r="EP601" s="98"/>
      <c r="EQ601" s="98"/>
      <c r="ER601" s="98"/>
      <c r="ES601" s="98"/>
      <c r="ET601" s="98"/>
      <c r="EU601" s="98"/>
      <c r="EV601" s="98"/>
      <c r="EW601" s="98"/>
      <c r="EX601" s="98"/>
      <c r="EY601" s="98"/>
      <c r="EZ601" s="178"/>
    </row>
    <row r="602" spans="60:156">
      <c r="BH602" s="19"/>
      <c r="BI602" s="19"/>
      <c r="BJ602" s="19"/>
      <c r="BK602" s="19"/>
      <c r="BL602" s="19"/>
      <c r="BM602" s="98"/>
      <c r="BN602" s="98"/>
      <c r="BO602" s="98"/>
      <c r="BP602" s="98"/>
      <c r="BQ602" s="98"/>
      <c r="BR602" s="98"/>
      <c r="BS602" s="98"/>
      <c r="BT602" s="98"/>
      <c r="BU602" s="98"/>
      <c r="BV602" s="98"/>
      <c r="BW602" s="98"/>
      <c r="BX602" s="98"/>
      <c r="BY602" s="98"/>
      <c r="BZ602" s="98"/>
      <c r="DA602" s="177"/>
      <c r="EH602" s="19"/>
      <c r="EI602" s="19"/>
      <c r="EJ602" s="19"/>
      <c r="EK602" s="19"/>
      <c r="EL602" s="19"/>
      <c r="EM602" s="98"/>
      <c r="EN602" s="98"/>
      <c r="EO602" s="98"/>
      <c r="EP602" s="98"/>
      <c r="EQ602" s="98"/>
      <c r="ER602" s="98"/>
      <c r="ES602" s="98"/>
      <c r="ET602" s="98"/>
      <c r="EU602" s="98"/>
      <c r="EV602" s="98"/>
      <c r="EW602" s="98"/>
      <c r="EX602" s="98"/>
      <c r="EY602" s="98"/>
      <c r="EZ602" s="178"/>
    </row>
    <row r="603" spans="60:156">
      <c r="BH603" s="19"/>
      <c r="BI603" s="19"/>
      <c r="BJ603" s="19"/>
      <c r="BK603" s="19"/>
      <c r="BL603" s="19"/>
      <c r="BM603" s="98"/>
      <c r="BN603" s="98"/>
      <c r="BO603" s="98"/>
      <c r="BP603" s="98"/>
      <c r="BQ603" s="98"/>
      <c r="BR603" s="98"/>
      <c r="BS603" s="98"/>
      <c r="BT603" s="98"/>
      <c r="BU603" s="98"/>
      <c r="BV603" s="98"/>
      <c r="BW603" s="98"/>
      <c r="BX603" s="98"/>
      <c r="BY603" s="98"/>
      <c r="BZ603" s="98"/>
      <c r="DA603" s="177"/>
      <c r="EH603" s="19"/>
      <c r="EI603" s="19"/>
      <c r="EJ603" s="19"/>
      <c r="EK603" s="19"/>
      <c r="EL603" s="19"/>
      <c r="EM603" s="98"/>
      <c r="EN603" s="98"/>
      <c r="EO603" s="98"/>
      <c r="EP603" s="98"/>
      <c r="EQ603" s="98"/>
      <c r="ER603" s="98"/>
      <c r="ES603" s="98"/>
      <c r="ET603" s="98"/>
      <c r="EU603" s="98"/>
      <c r="EV603" s="98"/>
      <c r="EW603" s="98"/>
      <c r="EX603" s="98"/>
      <c r="EY603" s="98"/>
      <c r="EZ603" s="178"/>
    </row>
    <row r="604" spans="60:156">
      <c r="BH604" s="19"/>
      <c r="BI604" s="19"/>
      <c r="BJ604" s="19"/>
      <c r="BK604" s="19"/>
      <c r="BL604" s="19"/>
      <c r="BM604" s="98"/>
      <c r="BN604" s="98"/>
      <c r="BO604" s="98"/>
      <c r="BP604" s="98"/>
      <c r="BQ604" s="98"/>
      <c r="BR604" s="98"/>
      <c r="BS604" s="98"/>
      <c r="BT604" s="98"/>
      <c r="BU604" s="98"/>
      <c r="BV604" s="98"/>
      <c r="BW604" s="98"/>
      <c r="BX604" s="98"/>
      <c r="BY604" s="98"/>
      <c r="BZ604" s="98"/>
      <c r="DA604" s="177"/>
      <c r="EH604" s="19"/>
      <c r="EI604" s="19"/>
      <c r="EJ604" s="19"/>
      <c r="EK604" s="19"/>
      <c r="EL604" s="19"/>
      <c r="EM604" s="98"/>
      <c r="EN604" s="98"/>
      <c r="EO604" s="98"/>
      <c r="EP604" s="98"/>
      <c r="EQ604" s="98"/>
      <c r="ER604" s="98"/>
      <c r="ES604" s="98"/>
      <c r="ET604" s="98"/>
      <c r="EU604" s="98"/>
      <c r="EV604" s="98"/>
      <c r="EW604" s="98"/>
      <c r="EX604" s="98"/>
      <c r="EY604" s="98"/>
      <c r="EZ604" s="178"/>
    </row>
    <row r="605" spans="60:156">
      <c r="BH605" s="19"/>
      <c r="BI605" s="19"/>
      <c r="BJ605" s="19"/>
      <c r="BK605" s="19"/>
      <c r="BL605" s="19"/>
      <c r="BM605" s="98"/>
      <c r="BN605" s="98"/>
      <c r="BO605" s="98"/>
      <c r="BP605" s="98"/>
      <c r="BQ605" s="98"/>
      <c r="BR605" s="98"/>
      <c r="BS605" s="98"/>
      <c r="BT605" s="98"/>
      <c r="BU605" s="98"/>
      <c r="BV605" s="98"/>
      <c r="BW605" s="98"/>
      <c r="BX605" s="98"/>
      <c r="BY605" s="98"/>
      <c r="BZ605" s="98"/>
      <c r="DA605" s="177"/>
      <c r="EH605" s="19"/>
      <c r="EI605" s="19"/>
      <c r="EJ605" s="19"/>
      <c r="EK605" s="19"/>
      <c r="EL605" s="19"/>
      <c r="EM605" s="98"/>
      <c r="EN605" s="98"/>
      <c r="EO605" s="98"/>
      <c r="EP605" s="98"/>
      <c r="EQ605" s="98"/>
      <c r="ER605" s="98"/>
      <c r="ES605" s="98"/>
      <c r="ET605" s="98"/>
      <c r="EU605" s="98"/>
      <c r="EV605" s="98"/>
      <c r="EW605" s="98"/>
      <c r="EX605" s="98"/>
      <c r="EY605" s="98"/>
      <c r="EZ605" s="178"/>
    </row>
    <row r="606" spans="60:156">
      <c r="BH606" s="19"/>
      <c r="BI606" s="19"/>
      <c r="BJ606" s="19"/>
      <c r="BK606" s="19"/>
      <c r="BL606" s="19"/>
      <c r="BM606" s="98"/>
      <c r="BN606" s="98"/>
      <c r="BO606" s="98"/>
      <c r="BP606" s="98"/>
      <c r="BQ606" s="98"/>
      <c r="BR606" s="98"/>
      <c r="BS606" s="98"/>
      <c r="BT606" s="98"/>
      <c r="BU606" s="98"/>
      <c r="BV606" s="98"/>
      <c r="BW606" s="98"/>
      <c r="BX606" s="98"/>
      <c r="BY606" s="98"/>
      <c r="BZ606" s="98"/>
      <c r="DA606" s="177"/>
      <c r="EH606" s="19"/>
      <c r="EI606" s="19"/>
      <c r="EJ606" s="19"/>
      <c r="EK606" s="19"/>
      <c r="EL606" s="19"/>
      <c r="EM606" s="98"/>
      <c r="EN606" s="98"/>
      <c r="EO606" s="98"/>
      <c r="EP606" s="98"/>
      <c r="EQ606" s="98"/>
      <c r="ER606" s="98"/>
      <c r="ES606" s="98"/>
      <c r="ET606" s="98"/>
      <c r="EU606" s="98"/>
      <c r="EV606" s="98"/>
      <c r="EW606" s="98"/>
      <c r="EX606" s="98"/>
      <c r="EY606" s="98"/>
      <c r="EZ606" s="178"/>
    </row>
    <row r="607" spans="60:156">
      <c r="BH607" s="19"/>
      <c r="BI607" s="19"/>
      <c r="BJ607" s="19"/>
      <c r="BK607" s="19"/>
      <c r="BL607" s="19"/>
      <c r="BM607" s="98"/>
      <c r="BN607" s="98"/>
      <c r="BO607" s="98"/>
      <c r="BP607" s="98"/>
      <c r="BQ607" s="98"/>
      <c r="BR607" s="98"/>
      <c r="BS607" s="98"/>
      <c r="BT607" s="98"/>
      <c r="BU607" s="98"/>
      <c r="BV607" s="98"/>
      <c r="BW607" s="98"/>
      <c r="BX607" s="98"/>
      <c r="BY607" s="98"/>
      <c r="BZ607" s="98"/>
      <c r="DA607" s="177"/>
      <c r="EH607" s="19"/>
      <c r="EI607" s="19"/>
      <c r="EJ607" s="19"/>
      <c r="EK607" s="19"/>
      <c r="EL607" s="19"/>
      <c r="EM607" s="98"/>
      <c r="EN607" s="98"/>
      <c r="EO607" s="98"/>
      <c r="EP607" s="98"/>
      <c r="EQ607" s="98"/>
      <c r="ER607" s="98"/>
      <c r="ES607" s="98"/>
      <c r="ET607" s="98"/>
      <c r="EU607" s="98"/>
      <c r="EV607" s="98"/>
      <c r="EW607" s="98"/>
      <c r="EX607" s="98"/>
      <c r="EY607" s="98"/>
      <c r="EZ607" s="178"/>
    </row>
    <row r="608" spans="60:156">
      <c r="BH608" s="19"/>
      <c r="BI608" s="19"/>
      <c r="BJ608" s="19"/>
      <c r="BK608" s="19"/>
      <c r="BL608" s="19"/>
      <c r="BM608" s="98"/>
      <c r="BN608" s="98"/>
      <c r="BO608" s="98"/>
      <c r="BP608" s="98"/>
      <c r="BQ608" s="98"/>
      <c r="BR608" s="98"/>
      <c r="BS608" s="98"/>
      <c r="BT608" s="98"/>
      <c r="BU608" s="98"/>
      <c r="BV608" s="98"/>
      <c r="BW608" s="98"/>
      <c r="BX608" s="98"/>
      <c r="BY608" s="98"/>
      <c r="BZ608" s="98"/>
      <c r="DA608" s="177"/>
      <c r="EH608" s="19"/>
      <c r="EI608" s="19"/>
      <c r="EJ608" s="19"/>
      <c r="EK608" s="19"/>
      <c r="EL608" s="19"/>
      <c r="EM608" s="98"/>
      <c r="EN608" s="98"/>
      <c r="EO608" s="98"/>
      <c r="EP608" s="98"/>
      <c r="EQ608" s="98"/>
      <c r="ER608" s="98"/>
      <c r="ES608" s="98"/>
      <c r="ET608" s="98"/>
      <c r="EU608" s="98"/>
      <c r="EV608" s="98"/>
      <c r="EW608" s="98"/>
      <c r="EX608" s="98"/>
      <c r="EY608" s="98"/>
      <c r="EZ608" s="178"/>
    </row>
    <row r="609" spans="60:156">
      <c r="BH609" s="19"/>
      <c r="BI609" s="19"/>
      <c r="BJ609" s="19"/>
      <c r="BK609" s="19"/>
      <c r="BL609" s="19"/>
      <c r="BM609" s="98"/>
      <c r="BN609" s="98"/>
      <c r="BO609" s="98"/>
      <c r="BP609" s="98"/>
      <c r="BQ609" s="98"/>
      <c r="BR609" s="98"/>
      <c r="BS609" s="98"/>
      <c r="BT609" s="98"/>
      <c r="BU609" s="98"/>
      <c r="BV609" s="98"/>
      <c r="BW609" s="98"/>
      <c r="BX609" s="98"/>
      <c r="BY609" s="98"/>
      <c r="BZ609" s="98"/>
      <c r="DA609" s="177"/>
      <c r="EH609" s="19"/>
      <c r="EI609" s="19"/>
      <c r="EJ609" s="19"/>
      <c r="EK609" s="19"/>
      <c r="EL609" s="19"/>
      <c r="EM609" s="98"/>
      <c r="EN609" s="98"/>
      <c r="EO609" s="98"/>
      <c r="EP609" s="98"/>
      <c r="EQ609" s="98"/>
      <c r="ER609" s="98"/>
      <c r="ES609" s="98"/>
      <c r="ET609" s="98"/>
      <c r="EU609" s="98"/>
      <c r="EV609" s="98"/>
      <c r="EW609" s="98"/>
      <c r="EX609" s="98"/>
      <c r="EY609" s="98"/>
      <c r="EZ609" s="178"/>
    </row>
    <row r="610" spans="60:156">
      <c r="BH610" s="19"/>
      <c r="BI610" s="19"/>
      <c r="BJ610" s="19"/>
      <c r="BK610" s="19"/>
      <c r="BL610" s="19"/>
      <c r="BM610" s="98"/>
      <c r="BN610" s="98"/>
      <c r="BO610" s="98"/>
      <c r="BP610" s="98"/>
      <c r="BQ610" s="98"/>
      <c r="BR610" s="98"/>
      <c r="BS610" s="98"/>
      <c r="BT610" s="98"/>
      <c r="BU610" s="98"/>
      <c r="BV610" s="98"/>
      <c r="BW610" s="98"/>
      <c r="BX610" s="98"/>
      <c r="BY610" s="98"/>
      <c r="BZ610" s="98"/>
      <c r="DA610" s="177"/>
      <c r="EH610" s="19"/>
      <c r="EI610" s="19"/>
      <c r="EJ610" s="19"/>
      <c r="EK610" s="19"/>
      <c r="EL610" s="19"/>
      <c r="EM610" s="98"/>
      <c r="EN610" s="98"/>
      <c r="EO610" s="98"/>
      <c r="EP610" s="98"/>
      <c r="EQ610" s="98"/>
      <c r="ER610" s="98"/>
      <c r="ES610" s="98"/>
      <c r="ET610" s="98"/>
      <c r="EU610" s="98"/>
      <c r="EV610" s="98"/>
      <c r="EW610" s="98"/>
      <c r="EX610" s="98"/>
      <c r="EY610" s="98"/>
      <c r="EZ610" s="178"/>
    </row>
    <row r="611" spans="60:156">
      <c r="BH611" s="19"/>
      <c r="BI611" s="19"/>
      <c r="BJ611" s="19"/>
      <c r="BK611" s="19"/>
      <c r="BL611" s="19"/>
      <c r="BM611" s="98"/>
      <c r="BN611" s="98"/>
      <c r="BO611" s="98"/>
      <c r="BP611" s="98"/>
      <c r="BQ611" s="98"/>
      <c r="BR611" s="98"/>
      <c r="BS611" s="98"/>
      <c r="BT611" s="98"/>
      <c r="BU611" s="98"/>
      <c r="BV611" s="98"/>
      <c r="BW611" s="98"/>
      <c r="BX611" s="98"/>
      <c r="BY611" s="98"/>
      <c r="BZ611" s="98"/>
      <c r="DA611" s="177"/>
      <c r="EH611" s="19"/>
      <c r="EI611" s="19"/>
      <c r="EJ611" s="19"/>
      <c r="EK611" s="19"/>
      <c r="EL611" s="19"/>
      <c r="EM611" s="98"/>
      <c r="EN611" s="98"/>
      <c r="EO611" s="98"/>
      <c r="EP611" s="98"/>
      <c r="EQ611" s="98"/>
      <c r="ER611" s="98"/>
      <c r="ES611" s="98"/>
      <c r="ET611" s="98"/>
      <c r="EU611" s="98"/>
      <c r="EV611" s="98"/>
      <c r="EW611" s="98"/>
      <c r="EX611" s="98"/>
      <c r="EY611" s="98"/>
      <c r="EZ611" s="178"/>
    </row>
    <row r="612" spans="60:156">
      <c r="BH612" s="19"/>
      <c r="BI612" s="19"/>
      <c r="BJ612" s="19"/>
      <c r="BK612" s="19"/>
      <c r="BL612" s="19"/>
      <c r="BM612" s="98"/>
      <c r="BN612" s="98"/>
      <c r="BO612" s="98"/>
      <c r="BP612" s="98"/>
      <c r="BQ612" s="98"/>
      <c r="BR612" s="98"/>
      <c r="BS612" s="98"/>
      <c r="BT612" s="98"/>
      <c r="BU612" s="98"/>
      <c r="BV612" s="98"/>
      <c r="BW612" s="98"/>
      <c r="BX612" s="98"/>
      <c r="BY612" s="98"/>
      <c r="BZ612" s="98"/>
      <c r="DA612" s="177"/>
      <c r="EH612" s="19"/>
      <c r="EI612" s="19"/>
      <c r="EJ612" s="19"/>
      <c r="EK612" s="19"/>
      <c r="EL612" s="19"/>
      <c r="EM612" s="98"/>
      <c r="EN612" s="98"/>
      <c r="EO612" s="98"/>
      <c r="EP612" s="98"/>
      <c r="EQ612" s="98"/>
      <c r="ER612" s="98"/>
      <c r="ES612" s="98"/>
      <c r="ET612" s="98"/>
      <c r="EU612" s="98"/>
      <c r="EV612" s="98"/>
      <c r="EW612" s="98"/>
      <c r="EX612" s="98"/>
      <c r="EY612" s="98"/>
      <c r="EZ612" s="178"/>
    </row>
    <row r="613" spans="60:156">
      <c r="BH613" s="19"/>
      <c r="BI613" s="19"/>
      <c r="BJ613" s="19"/>
      <c r="BK613" s="19"/>
      <c r="BL613" s="19"/>
      <c r="BM613" s="98"/>
      <c r="BN613" s="98"/>
      <c r="BO613" s="98"/>
      <c r="BP613" s="98"/>
      <c r="BQ613" s="98"/>
      <c r="BR613" s="98"/>
      <c r="BS613" s="98"/>
      <c r="BT613" s="98"/>
      <c r="BU613" s="98"/>
      <c r="BV613" s="98"/>
      <c r="BW613" s="98"/>
      <c r="BX613" s="98"/>
      <c r="BY613" s="98"/>
      <c r="BZ613" s="98"/>
      <c r="DA613" s="177"/>
      <c r="EH613" s="19"/>
      <c r="EI613" s="19"/>
      <c r="EJ613" s="19"/>
      <c r="EK613" s="19"/>
      <c r="EL613" s="19"/>
      <c r="EM613" s="98"/>
      <c r="EN613" s="98"/>
      <c r="EO613" s="98"/>
      <c r="EP613" s="98"/>
      <c r="EQ613" s="98"/>
      <c r="ER613" s="98"/>
      <c r="ES613" s="98"/>
      <c r="ET613" s="98"/>
      <c r="EU613" s="98"/>
      <c r="EV613" s="98"/>
      <c r="EW613" s="98"/>
      <c r="EX613" s="98"/>
      <c r="EY613" s="98"/>
      <c r="EZ613" s="178"/>
    </row>
    <row r="614" spans="60:156">
      <c r="BH614" s="19"/>
      <c r="BI614" s="19"/>
      <c r="BJ614" s="19"/>
      <c r="BK614" s="19"/>
      <c r="BL614" s="19"/>
      <c r="BM614" s="98"/>
      <c r="BN614" s="98"/>
      <c r="BO614" s="98"/>
      <c r="BP614" s="98"/>
      <c r="BQ614" s="98"/>
      <c r="BR614" s="98"/>
      <c r="BS614" s="98"/>
      <c r="BT614" s="98"/>
      <c r="BU614" s="98"/>
      <c r="BV614" s="98"/>
      <c r="BW614" s="98"/>
      <c r="BX614" s="98"/>
      <c r="BY614" s="98"/>
      <c r="BZ614" s="98"/>
      <c r="DA614" s="177"/>
      <c r="EH614" s="19"/>
      <c r="EI614" s="19"/>
      <c r="EJ614" s="19"/>
      <c r="EK614" s="19"/>
      <c r="EL614" s="19"/>
      <c r="EM614" s="98"/>
      <c r="EN614" s="98"/>
      <c r="EO614" s="98"/>
      <c r="EP614" s="98"/>
      <c r="EQ614" s="98"/>
      <c r="ER614" s="98"/>
      <c r="ES614" s="98"/>
      <c r="ET614" s="98"/>
      <c r="EU614" s="98"/>
      <c r="EV614" s="98"/>
      <c r="EW614" s="98"/>
      <c r="EX614" s="98"/>
      <c r="EY614" s="98"/>
      <c r="EZ614" s="178"/>
    </row>
    <row r="615" spans="60:156">
      <c r="BH615" s="19"/>
      <c r="BI615" s="19"/>
      <c r="BJ615" s="19"/>
      <c r="BK615" s="19"/>
      <c r="BL615" s="19"/>
      <c r="BM615" s="98"/>
      <c r="BN615" s="98"/>
      <c r="BO615" s="98"/>
      <c r="BP615" s="98"/>
      <c r="BQ615" s="98"/>
      <c r="BR615" s="98"/>
      <c r="BS615" s="98"/>
      <c r="BT615" s="98"/>
      <c r="BU615" s="98"/>
      <c r="BV615" s="98"/>
      <c r="BW615" s="98"/>
      <c r="BX615" s="98"/>
      <c r="BY615" s="98"/>
      <c r="BZ615" s="98"/>
      <c r="DA615" s="177"/>
      <c r="EH615" s="19"/>
      <c r="EI615" s="19"/>
      <c r="EJ615" s="19"/>
      <c r="EK615" s="19"/>
      <c r="EL615" s="19"/>
      <c r="EM615" s="98"/>
      <c r="EN615" s="98"/>
      <c r="EO615" s="98"/>
      <c r="EP615" s="98"/>
      <c r="EQ615" s="98"/>
      <c r="ER615" s="98"/>
      <c r="ES615" s="98"/>
      <c r="ET615" s="98"/>
      <c r="EU615" s="98"/>
      <c r="EV615" s="98"/>
      <c r="EW615" s="98"/>
      <c r="EX615" s="98"/>
      <c r="EY615" s="98"/>
      <c r="EZ615" s="178"/>
    </row>
    <row r="616" spans="60:156">
      <c r="BH616" s="19"/>
      <c r="BI616" s="19"/>
      <c r="BJ616" s="19"/>
      <c r="BK616" s="19"/>
      <c r="BL616" s="19"/>
      <c r="BM616" s="98"/>
      <c r="BN616" s="98"/>
      <c r="BO616" s="98"/>
      <c r="BP616" s="98"/>
      <c r="BQ616" s="98"/>
      <c r="BR616" s="98"/>
      <c r="BS616" s="98"/>
      <c r="BT616" s="98"/>
      <c r="BU616" s="98"/>
      <c r="BV616" s="98"/>
      <c r="BW616" s="98"/>
      <c r="BX616" s="98"/>
      <c r="BY616" s="98"/>
      <c r="BZ616" s="98"/>
      <c r="DA616" s="177"/>
      <c r="EH616" s="19"/>
      <c r="EI616" s="19"/>
      <c r="EJ616" s="19"/>
      <c r="EK616" s="19"/>
      <c r="EL616" s="19"/>
      <c r="EM616" s="98"/>
      <c r="EN616" s="98"/>
      <c r="EO616" s="98"/>
      <c r="EP616" s="98"/>
      <c r="EQ616" s="98"/>
      <c r="ER616" s="98"/>
      <c r="ES616" s="98"/>
      <c r="ET616" s="98"/>
      <c r="EU616" s="98"/>
      <c r="EV616" s="98"/>
      <c r="EW616" s="98"/>
      <c r="EX616" s="98"/>
      <c r="EY616" s="98"/>
      <c r="EZ616" s="178"/>
    </row>
    <row r="617" spans="60:156">
      <c r="BH617" s="19"/>
      <c r="BI617" s="19"/>
      <c r="BJ617" s="19"/>
      <c r="BK617" s="19"/>
      <c r="BL617" s="19"/>
      <c r="BM617" s="98"/>
      <c r="BN617" s="98"/>
      <c r="BO617" s="98"/>
      <c r="BP617" s="98"/>
      <c r="BQ617" s="98"/>
      <c r="BR617" s="98"/>
      <c r="BS617" s="98"/>
      <c r="BT617" s="98"/>
      <c r="BU617" s="98"/>
      <c r="BV617" s="98"/>
      <c r="BW617" s="98"/>
      <c r="BX617" s="98"/>
      <c r="BY617" s="98"/>
      <c r="BZ617" s="98"/>
      <c r="DA617" s="177"/>
      <c r="EH617" s="19"/>
      <c r="EI617" s="19"/>
      <c r="EJ617" s="19"/>
      <c r="EK617" s="19"/>
      <c r="EL617" s="19"/>
      <c r="EM617" s="98"/>
      <c r="EN617" s="98"/>
      <c r="EO617" s="98"/>
      <c r="EP617" s="98"/>
      <c r="EQ617" s="98"/>
      <c r="ER617" s="98"/>
      <c r="ES617" s="98"/>
      <c r="ET617" s="98"/>
      <c r="EU617" s="98"/>
      <c r="EV617" s="98"/>
      <c r="EW617" s="98"/>
      <c r="EX617" s="98"/>
      <c r="EY617" s="98"/>
      <c r="EZ617" s="178"/>
    </row>
    <row r="618" spans="60:156">
      <c r="BH618" s="19"/>
      <c r="BI618" s="19"/>
      <c r="BJ618" s="19"/>
      <c r="BK618" s="19"/>
      <c r="BL618" s="19"/>
      <c r="BM618" s="98"/>
      <c r="BN618" s="98"/>
      <c r="BO618" s="98"/>
      <c r="BP618" s="98"/>
      <c r="BQ618" s="98"/>
      <c r="BR618" s="98"/>
      <c r="BS618" s="98"/>
      <c r="BT618" s="98"/>
      <c r="BU618" s="98"/>
      <c r="BV618" s="98"/>
      <c r="BW618" s="98"/>
      <c r="BX618" s="98"/>
      <c r="BY618" s="98"/>
      <c r="BZ618" s="98"/>
      <c r="DA618" s="177"/>
      <c r="EH618" s="19"/>
      <c r="EI618" s="19"/>
      <c r="EJ618" s="19"/>
      <c r="EK618" s="19"/>
      <c r="EL618" s="19"/>
      <c r="EM618" s="98"/>
      <c r="EN618" s="98"/>
      <c r="EO618" s="98"/>
      <c r="EP618" s="98"/>
      <c r="EQ618" s="98"/>
      <c r="ER618" s="98"/>
      <c r="ES618" s="98"/>
      <c r="ET618" s="98"/>
      <c r="EU618" s="98"/>
      <c r="EV618" s="98"/>
      <c r="EW618" s="98"/>
      <c r="EX618" s="98"/>
      <c r="EY618" s="98"/>
      <c r="EZ618" s="178"/>
    </row>
    <row r="619" spans="60:156">
      <c r="BH619" s="19"/>
      <c r="BI619" s="19"/>
      <c r="BJ619" s="19"/>
      <c r="BK619" s="19"/>
      <c r="BL619" s="19"/>
      <c r="BM619" s="98"/>
      <c r="BN619" s="98"/>
      <c r="BO619" s="98"/>
      <c r="BP619" s="98"/>
      <c r="BQ619" s="98"/>
      <c r="BR619" s="98"/>
      <c r="BS619" s="98"/>
      <c r="BT619" s="98"/>
      <c r="BU619" s="98"/>
      <c r="BV619" s="98"/>
      <c r="BW619" s="98"/>
      <c r="BX619" s="98"/>
      <c r="BY619" s="98"/>
      <c r="BZ619" s="98"/>
      <c r="DA619" s="177"/>
      <c r="EH619" s="19"/>
      <c r="EI619" s="19"/>
      <c r="EJ619" s="19"/>
      <c r="EK619" s="19"/>
      <c r="EL619" s="19"/>
      <c r="EM619" s="98"/>
      <c r="EN619" s="98"/>
      <c r="EO619" s="98"/>
      <c r="EP619" s="98"/>
      <c r="EQ619" s="98"/>
      <c r="ER619" s="98"/>
      <c r="ES619" s="98"/>
      <c r="ET619" s="98"/>
      <c r="EU619" s="98"/>
      <c r="EV619" s="98"/>
      <c r="EW619" s="98"/>
      <c r="EX619" s="98"/>
      <c r="EY619" s="98"/>
      <c r="EZ619" s="178"/>
    </row>
    <row r="620" spans="60:156">
      <c r="BH620" s="19"/>
      <c r="BI620" s="19"/>
      <c r="BJ620" s="19"/>
      <c r="BK620" s="19"/>
      <c r="BL620" s="19"/>
      <c r="BM620" s="98"/>
      <c r="BN620" s="98"/>
      <c r="BO620" s="98"/>
      <c r="BP620" s="98"/>
      <c r="BQ620" s="98"/>
      <c r="BR620" s="98"/>
      <c r="BS620" s="98"/>
      <c r="BT620" s="98"/>
      <c r="BU620" s="98"/>
      <c r="BV620" s="98"/>
      <c r="BW620" s="98"/>
      <c r="BX620" s="98"/>
      <c r="BY620" s="98"/>
      <c r="BZ620" s="98"/>
      <c r="DA620" s="177"/>
      <c r="EH620" s="19"/>
      <c r="EI620" s="19"/>
      <c r="EJ620" s="19"/>
      <c r="EK620" s="19"/>
      <c r="EL620" s="19"/>
      <c r="EM620" s="98"/>
      <c r="EN620" s="98"/>
      <c r="EO620" s="98"/>
      <c r="EP620" s="98"/>
      <c r="EQ620" s="98"/>
      <c r="ER620" s="98"/>
      <c r="ES620" s="98"/>
      <c r="ET620" s="98"/>
      <c r="EU620" s="98"/>
      <c r="EV620" s="98"/>
      <c r="EW620" s="98"/>
      <c r="EX620" s="98"/>
      <c r="EY620" s="98"/>
      <c r="EZ620" s="178"/>
    </row>
    <row r="621" spans="60:156">
      <c r="BH621" s="19"/>
      <c r="BI621" s="19"/>
      <c r="BJ621" s="19"/>
      <c r="BK621" s="19"/>
      <c r="BL621" s="19"/>
      <c r="BM621" s="98"/>
      <c r="BN621" s="98"/>
      <c r="BO621" s="98"/>
      <c r="BP621" s="98"/>
      <c r="BQ621" s="98"/>
      <c r="BR621" s="98"/>
      <c r="BS621" s="98"/>
      <c r="BT621" s="98"/>
      <c r="BU621" s="98"/>
      <c r="BV621" s="98"/>
      <c r="BW621" s="98"/>
      <c r="BX621" s="98"/>
      <c r="BY621" s="98"/>
      <c r="BZ621" s="98"/>
      <c r="DA621" s="177"/>
      <c r="EH621" s="19"/>
      <c r="EI621" s="19"/>
      <c r="EJ621" s="19"/>
      <c r="EK621" s="19"/>
      <c r="EL621" s="19"/>
      <c r="EM621" s="98"/>
      <c r="EN621" s="98"/>
      <c r="EO621" s="98"/>
      <c r="EP621" s="98"/>
      <c r="EQ621" s="98"/>
      <c r="ER621" s="98"/>
      <c r="ES621" s="98"/>
      <c r="ET621" s="98"/>
      <c r="EU621" s="98"/>
      <c r="EV621" s="98"/>
      <c r="EW621" s="98"/>
      <c r="EX621" s="98"/>
      <c r="EY621" s="98"/>
      <c r="EZ621" s="178"/>
    </row>
    <row r="622" spans="60:156">
      <c r="BH622" s="19"/>
      <c r="BI622" s="19"/>
      <c r="BJ622" s="19"/>
      <c r="BK622" s="19"/>
      <c r="BL622" s="19"/>
      <c r="BM622" s="98"/>
      <c r="BN622" s="98"/>
      <c r="BO622" s="98"/>
      <c r="BP622" s="98"/>
      <c r="BQ622" s="98"/>
      <c r="BR622" s="98"/>
      <c r="BS622" s="98"/>
      <c r="BT622" s="98"/>
      <c r="BU622" s="98"/>
      <c r="BV622" s="98"/>
      <c r="BW622" s="98"/>
      <c r="BX622" s="98"/>
      <c r="BY622" s="98"/>
      <c r="BZ622" s="98"/>
      <c r="DA622" s="177"/>
      <c r="EH622" s="19"/>
      <c r="EI622" s="19"/>
      <c r="EJ622" s="19"/>
      <c r="EK622" s="19"/>
      <c r="EL622" s="19"/>
      <c r="EM622" s="98"/>
      <c r="EN622" s="98"/>
      <c r="EO622" s="98"/>
      <c r="EP622" s="98"/>
      <c r="EQ622" s="98"/>
      <c r="ER622" s="98"/>
      <c r="ES622" s="98"/>
      <c r="ET622" s="98"/>
      <c r="EU622" s="98"/>
      <c r="EV622" s="98"/>
      <c r="EW622" s="98"/>
      <c r="EX622" s="98"/>
      <c r="EY622" s="98"/>
      <c r="EZ622" s="178"/>
    </row>
    <row r="623" spans="60:156">
      <c r="BH623" s="19"/>
      <c r="BI623" s="19"/>
      <c r="BJ623" s="19"/>
      <c r="BK623" s="19"/>
      <c r="BL623" s="19"/>
      <c r="BM623" s="98"/>
      <c r="BN623" s="98"/>
      <c r="BO623" s="98"/>
      <c r="BP623" s="98"/>
      <c r="BQ623" s="98"/>
      <c r="BR623" s="98"/>
      <c r="BS623" s="98"/>
      <c r="BT623" s="98"/>
      <c r="BU623" s="98"/>
      <c r="BV623" s="98"/>
      <c r="BW623" s="98"/>
      <c r="BX623" s="98"/>
      <c r="BY623" s="98"/>
      <c r="BZ623" s="98"/>
      <c r="DA623" s="177"/>
      <c r="EH623" s="19"/>
      <c r="EI623" s="19"/>
      <c r="EJ623" s="19"/>
      <c r="EK623" s="19"/>
      <c r="EL623" s="19"/>
      <c r="EM623" s="98"/>
      <c r="EN623" s="98"/>
      <c r="EO623" s="98"/>
      <c r="EP623" s="98"/>
      <c r="EQ623" s="98"/>
      <c r="ER623" s="98"/>
      <c r="ES623" s="98"/>
      <c r="ET623" s="98"/>
      <c r="EU623" s="98"/>
      <c r="EV623" s="98"/>
      <c r="EW623" s="98"/>
      <c r="EX623" s="98"/>
      <c r="EY623" s="98"/>
      <c r="EZ623" s="178"/>
    </row>
    <row r="624" spans="60:156">
      <c r="BH624" s="19"/>
      <c r="BI624" s="19"/>
      <c r="BJ624" s="19"/>
      <c r="BK624" s="19"/>
      <c r="BL624" s="19"/>
      <c r="BM624" s="98"/>
      <c r="BN624" s="98"/>
      <c r="BO624" s="98"/>
      <c r="BP624" s="98"/>
      <c r="BQ624" s="98"/>
      <c r="BR624" s="98"/>
      <c r="BS624" s="98"/>
      <c r="BT624" s="98"/>
      <c r="BU624" s="98"/>
      <c r="BV624" s="98"/>
      <c r="BW624" s="98"/>
      <c r="BX624" s="98"/>
      <c r="BY624" s="98"/>
      <c r="BZ624" s="98"/>
      <c r="DA624" s="177"/>
      <c r="EH624" s="19"/>
      <c r="EI624" s="19"/>
      <c r="EJ624" s="19"/>
      <c r="EK624" s="19"/>
      <c r="EL624" s="19"/>
      <c r="EM624" s="98"/>
      <c r="EN624" s="98"/>
      <c r="EO624" s="98"/>
      <c r="EP624" s="98"/>
      <c r="EQ624" s="98"/>
      <c r="ER624" s="98"/>
      <c r="ES624" s="98"/>
      <c r="ET624" s="98"/>
      <c r="EU624" s="98"/>
      <c r="EV624" s="98"/>
      <c r="EW624" s="98"/>
      <c r="EX624" s="98"/>
      <c r="EY624" s="98"/>
      <c r="EZ624" s="178"/>
    </row>
    <row r="625" spans="60:156">
      <c r="BH625" s="19"/>
      <c r="BI625" s="19"/>
      <c r="BJ625" s="19"/>
      <c r="BK625" s="19"/>
      <c r="BL625" s="19"/>
      <c r="BM625" s="98"/>
      <c r="BN625" s="98"/>
      <c r="BO625" s="98"/>
      <c r="BP625" s="98"/>
      <c r="BQ625" s="98"/>
      <c r="BR625" s="98"/>
      <c r="BS625" s="98"/>
      <c r="BT625" s="98"/>
      <c r="BU625" s="98"/>
      <c r="BV625" s="98"/>
      <c r="BW625" s="98"/>
      <c r="BX625" s="98"/>
      <c r="BY625" s="98"/>
      <c r="BZ625" s="98"/>
      <c r="DA625" s="177"/>
      <c r="EH625" s="19"/>
      <c r="EI625" s="19"/>
      <c r="EJ625" s="19"/>
      <c r="EK625" s="19"/>
      <c r="EL625" s="19"/>
      <c r="EM625" s="98"/>
      <c r="EN625" s="98"/>
      <c r="EO625" s="98"/>
      <c r="EP625" s="98"/>
      <c r="EQ625" s="98"/>
      <c r="ER625" s="98"/>
      <c r="ES625" s="98"/>
      <c r="ET625" s="98"/>
      <c r="EU625" s="98"/>
      <c r="EV625" s="98"/>
      <c r="EW625" s="98"/>
      <c r="EX625" s="98"/>
      <c r="EY625" s="98"/>
      <c r="EZ625" s="178"/>
    </row>
    <row r="626" spans="60:156">
      <c r="BH626" s="19"/>
      <c r="BI626" s="19"/>
      <c r="BJ626" s="19"/>
      <c r="BK626" s="19"/>
      <c r="BL626" s="19"/>
      <c r="BM626" s="98"/>
      <c r="BN626" s="98"/>
      <c r="BO626" s="98"/>
      <c r="BP626" s="98"/>
      <c r="BQ626" s="98"/>
      <c r="BR626" s="98"/>
      <c r="BS626" s="98"/>
      <c r="BT626" s="98"/>
      <c r="BU626" s="98"/>
      <c r="BV626" s="98"/>
      <c r="BW626" s="98"/>
      <c r="BX626" s="98"/>
      <c r="BY626" s="98"/>
      <c r="BZ626" s="98"/>
      <c r="DA626" s="177"/>
      <c r="EH626" s="19"/>
      <c r="EI626" s="19"/>
      <c r="EJ626" s="19"/>
      <c r="EK626" s="19"/>
      <c r="EL626" s="19"/>
      <c r="EM626" s="98"/>
      <c r="EN626" s="98"/>
      <c r="EO626" s="98"/>
      <c r="EP626" s="98"/>
      <c r="EQ626" s="98"/>
      <c r="ER626" s="98"/>
      <c r="ES626" s="98"/>
      <c r="ET626" s="98"/>
      <c r="EU626" s="98"/>
      <c r="EV626" s="98"/>
      <c r="EW626" s="98"/>
      <c r="EX626" s="98"/>
      <c r="EY626" s="98"/>
      <c r="EZ626" s="178"/>
    </row>
    <row r="627" spans="60:156">
      <c r="BH627" s="19"/>
      <c r="BI627" s="19"/>
      <c r="BJ627" s="19"/>
      <c r="BK627" s="19"/>
      <c r="BL627" s="19"/>
      <c r="BM627" s="98"/>
      <c r="BN627" s="98"/>
      <c r="BO627" s="98"/>
      <c r="BP627" s="98"/>
      <c r="BQ627" s="98"/>
      <c r="BR627" s="98"/>
      <c r="BS627" s="98"/>
      <c r="BT627" s="98"/>
      <c r="BU627" s="98"/>
      <c r="BV627" s="98"/>
      <c r="BW627" s="98"/>
      <c r="BX627" s="98"/>
      <c r="BY627" s="98"/>
      <c r="BZ627" s="98"/>
      <c r="DA627" s="177"/>
      <c r="EH627" s="19"/>
      <c r="EI627" s="19"/>
      <c r="EJ627" s="19"/>
      <c r="EK627" s="19"/>
      <c r="EL627" s="19"/>
      <c r="EM627" s="98"/>
      <c r="EN627" s="98"/>
      <c r="EO627" s="98"/>
      <c r="EP627" s="98"/>
      <c r="EQ627" s="98"/>
      <c r="ER627" s="98"/>
      <c r="ES627" s="98"/>
      <c r="ET627" s="98"/>
      <c r="EU627" s="98"/>
      <c r="EV627" s="98"/>
      <c r="EW627" s="98"/>
      <c r="EX627" s="98"/>
      <c r="EY627" s="98"/>
      <c r="EZ627" s="178"/>
    </row>
    <row r="628" spans="60:156">
      <c r="BH628" s="19"/>
      <c r="BI628" s="19"/>
      <c r="BJ628" s="19"/>
      <c r="BK628" s="19"/>
      <c r="BL628" s="19"/>
      <c r="BM628" s="98"/>
      <c r="BN628" s="98"/>
      <c r="BO628" s="98"/>
      <c r="BP628" s="98"/>
      <c r="BQ628" s="98"/>
      <c r="BR628" s="98"/>
      <c r="BS628" s="98"/>
      <c r="BT628" s="98"/>
      <c r="BU628" s="98"/>
      <c r="BV628" s="98"/>
      <c r="BW628" s="98"/>
      <c r="BX628" s="98"/>
      <c r="BY628" s="98"/>
      <c r="BZ628" s="98"/>
      <c r="DA628" s="177"/>
      <c r="EH628" s="19"/>
      <c r="EI628" s="19"/>
      <c r="EJ628" s="19"/>
      <c r="EK628" s="19"/>
      <c r="EL628" s="19"/>
      <c r="EM628" s="98"/>
      <c r="EN628" s="98"/>
      <c r="EO628" s="98"/>
      <c r="EP628" s="98"/>
      <c r="EQ628" s="98"/>
      <c r="ER628" s="98"/>
      <c r="ES628" s="98"/>
      <c r="ET628" s="98"/>
      <c r="EU628" s="98"/>
      <c r="EV628" s="98"/>
      <c r="EW628" s="98"/>
      <c r="EX628" s="98"/>
      <c r="EY628" s="98"/>
      <c r="EZ628" s="178"/>
    </row>
    <row r="629" spans="60:156">
      <c r="BH629" s="19"/>
      <c r="BI629" s="19"/>
      <c r="BJ629" s="19"/>
      <c r="BK629" s="19"/>
      <c r="BL629" s="19"/>
      <c r="BM629" s="98"/>
      <c r="BN629" s="98"/>
      <c r="BO629" s="98"/>
      <c r="BP629" s="98"/>
      <c r="BQ629" s="98"/>
      <c r="BR629" s="98"/>
      <c r="BS629" s="98"/>
      <c r="BT629" s="98"/>
      <c r="BU629" s="98"/>
      <c r="BV629" s="98"/>
      <c r="BW629" s="98"/>
      <c r="BX629" s="98"/>
      <c r="BY629" s="98"/>
      <c r="BZ629" s="98"/>
      <c r="DA629" s="177"/>
      <c r="EH629" s="19"/>
      <c r="EI629" s="19"/>
      <c r="EJ629" s="19"/>
      <c r="EK629" s="19"/>
      <c r="EL629" s="19"/>
      <c r="EM629" s="98"/>
      <c r="EN629" s="98"/>
      <c r="EO629" s="98"/>
      <c r="EP629" s="98"/>
      <c r="EQ629" s="98"/>
      <c r="ER629" s="98"/>
      <c r="ES629" s="98"/>
      <c r="ET629" s="98"/>
      <c r="EU629" s="98"/>
      <c r="EV629" s="98"/>
      <c r="EW629" s="98"/>
      <c r="EX629" s="98"/>
      <c r="EY629" s="98"/>
      <c r="EZ629" s="178"/>
    </row>
    <row r="630" spans="60:156">
      <c r="BH630" s="19"/>
      <c r="BI630" s="19"/>
      <c r="BJ630" s="19"/>
      <c r="BK630" s="19"/>
      <c r="BL630" s="19"/>
      <c r="BM630" s="98"/>
      <c r="BN630" s="98"/>
      <c r="BO630" s="98"/>
      <c r="BP630" s="98"/>
      <c r="BQ630" s="98"/>
      <c r="BR630" s="98"/>
      <c r="BS630" s="98"/>
      <c r="BT630" s="98"/>
      <c r="BU630" s="98"/>
      <c r="BV630" s="98"/>
      <c r="BW630" s="98"/>
      <c r="BX630" s="98"/>
      <c r="BY630" s="98"/>
      <c r="BZ630" s="98"/>
      <c r="DA630" s="177"/>
      <c r="EH630" s="19"/>
      <c r="EI630" s="19"/>
      <c r="EJ630" s="19"/>
      <c r="EK630" s="19"/>
      <c r="EL630" s="19"/>
      <c r="EM630" s="98"/>
      <c r="EN630" s="98"/>
      <c r="EO630" s="98"/>
      <c r="EP630" s="98"/>
      <c r="EQ630" s="98"/>
      <c r="ER630" s="98"/>
      <c r="ES630" s="98"/>
      <c r="ET630" s="98"/>
      <c r="EU630" s="98"/>
      <c r="EV630" s="98"/>
      <c r="EW630" s="98"/>
      <c r="EX630" s="98"/>
      <c r="EY630" s="98"/>
      <c r="EZ630" s="178"/>
    </row>
    <row r="631" spans="60:156">
      <c r="BH631" s="19"/>
      <c r="BI631" s="19"/>
      <c r="BJ631" s="19"/>
      <c r="BK631" s="19"/>
      <c r="BL631" s="19"/>
      <c r="BM631" s="98"/>
      <c r="BN631" s="98"/>
      <c r="BO631" s="98"/>
      <c r="BP631" s="98"/>
      <c r="BQ631" s="98"/>
      <c r="BR631" s="98"/>
      <c r="BS631" s="98"/>
      <c r="BT631" s="98"/>
      <c r="BU631" s="98"/>
      <c r="BV631" s="98"/>
      <c r="BW631" s="98"/>
      <c r="BX631" s="98"/>
      <c r="BY631" s="98"/>
      <c r="BZ631" s="98"/>
      <c r="DA631" s="177"/>
      <c r="EH631" s="19"/>
      <c r="EI631" s="19"/>
      <c r="EJ631" s="19"/>
      <c r="EK631" s="19"/>
      <c r="EL631" s="19"/>
      <c r="EM631" s="98"/>
      <c r="EN631" s="98"/>
      <c r="EO631" s="98"/>
      <c r="EP631" s="98"/>
      <c r="EQ631" s="98"/>
      <c r="ER631" s="98"/>
      <c r="ES631" s="98"/>
      <c r="ET631" s="98"/>
      <c r="EU631" s="98"/>
      <c r="EV631" s="98"/>
      <c r="EW631" s="98"/>
      <c r="EX631" s="98"/>
      <c r="EY631" s="98"/>
      <c r="EZ631" s="178"/>
    </row>
    <row r="632" spans="60:156">
      <c r="BH632" s="19"/>
      <c r="BI632" s="19"/>
      <c r="BJ632" s="19"/>
      <c r="BK632" s="19"/>
      <c r="BL632" s="19"/>
      <c r="BM632" s="98"/>
      <c r="BN632" s="98"/>
      <c r="BO632" s="98"/>
      <c r="BP632" s="98"/>
      <c r="BQ632" s="98"/>
      <c r="BR632" s="98"/>
      <c r="BS632" s="98"/>
      <c r="BT632" s="98"/>
      <c r="BU632" s="98"/>
      <c r="BV632" s="98"/>
      <c r="BW632" s="98"/>
      <c r="BX632" s="98"/>
      <c r="BY632" s="98"/>
      <c r="BZ632" s="98"/>
      <c r="DA632" s="177"/>
      <c r="EH632" s="19"/>
      <c r="EI632" s="19"/>
      <c r="EJ632" s="19"/>
      <c r="EK632" s="19"/>
      <c r="EL632" s="19"/>
      <c r="EM632" s="98"/>
      <c r="EN632" s="98"/>
      <c r="EO632" s="98"/>
      <c r="EP632" s="98"/>
      <c r="EQ632" s="98"/>
      <c r="ER632" s="98"/>
      <c r="ES632" s="98"/>
      <c r="ET632" s="98"/>
      <c r="EU632" s="98"/>
      <c r="EV632" s="98"/>
      <c r="EW632" s="98"/>
      <c r="EX632" s="98"/>
      <c r="EY632" s="98"/>
      <c r="EZ632" s="178"/>
    </row>
    <row r="633" spans="60:156">
      <c r="BH633" s="19"/>
      <c r="BI633" s="19"/>
      <c r="BJ633" s="19"/>
      <c r="BK633" s="19"/>
      <c r="BL633" s="19"/>
      <c r="BM633" s="98"/>
      <c r="BN633" s="98"/>
      <c r="BO633" s="98"/>
      <c r="BP633" s="98"/>
      <c r="BQ633" s="98"/>
      <c r="BR633" s="98"/>
      <c r="BS633" s="98"/>
      <c r="BT633" s="98"/>
      <c r="BU633" s="98"/>
      <c r="BV633" s="98"/>
      <c r="BW633" s="98"/>
      <c r="BX633" s="98"/>
      <c r="BY633" s="98"/>
      <c r="BZ633" s="98"/>
      <c r="DA633" s="177"/>
      <c r="EH633" s="19"/>
      <c r="EI633" s="19"/>
      <c r="EJ633" s="19"/>
      <c r="EK633" s="19"/>
      <c r="EL633" s="19"/>
      <c r="EM633" s="98"/>
      <c r="EN633" s="98"/>
      <c r="EO633" s="98"/>
      <c r="EP633" s="98"/>
      <c r="EQ633" s="98"/>
      <c r="ER633" s="98"/>
      <c r="ES633" s="98"/>
      <c r="ET633" s="98"/>
      <c r="EU633" s="98"/>
      <c r="EV633" s="98"/>
      <c r="EW633" s="98"/>
      <c r="EX633" s="98"/>
      <c r="EY633" s="98"/>
      <c r="EZ633" s="178"/>
    </row>
    <row r="634" spans="60:156">
      <c r="BH634" s="19"/>
      <c r="BI634" s="19"/>
      <c r="BJ634" s="19"/>
      <c r="BK634" s="19"/>
      <c r="BL634" s="19"/>
      <c r="BM634" s="98"/>
      <c r="BN634" s="98"/>
      <c r="BO634" s="98"/>
      <c r="BP634" s="98"/>
      <c r="BQ634" s="98"/>
      <c r="BR634" s="98"/>
      <c r="BS634" s="98"/>
      <c r="BT634" s="98"/>
      <c r="BU634" s="98"/>
      <c r="BV634" s="98"/>
      <c r="BW634" s="98"/>
      <c r="BX634" s="98"/>
      <c r="BY634" s="98"/>
      <c r="BZ634" s="98"/>
      <c r="DA634" s="177"/>
      <c r="EH634" s="19"/>
      <c r="EI634" s="19"/>
      <c r="EJ634" s="19"/>
      <c r="EK634" s="19"/>
      <c r="EL634" s="19"/>
      <c r="EM634" s="98"/>
      <c r="EN634" s="98"/>
      <c r="EO634" s="98"/>
      <c r="EP634" s="98"/>
      <c r="EQ634" s="98"/>
      <c r="ER634" s="98"/>
      <c r="ES634" s="98"/>
      <c r="ET634" s="98"/>
      <c r="EU634" s="98"/>
      <c r="EV634" s="98"/>
      <c r="EW634" s="98"/>
      <c r="EX634" s="98"/>
      <c r="EY634" s="98"/>
      <c r="EZ634" s="178"/>
    </row>
    <row r="635" spans="60:156">
      <c r="BH635" s="19"/>
      <c r="BI635" s="19"/>
      <c r="BJ635" s="19"/>
      <c r="BK635" s="19"/>
      <c r="BL635" s="19"/>
      <c r="BM635" s="98"/>
      <c r="BN635" s="98"/>
      <c r="BO635" s="98"/>
      <c r="BP635" s="98"/>
      <c r="BQ635" s="98"/>
      <c r="BR635" s="98"/>
      <c r="BS635" s="98"/>
      <c r="BT635" s="98"/>
      <c r="BU635" s="98"/>
      <c r="BV635" s="98"/>
      <c r="BW635" s="98"/>
      <c r="BX635" s="98"/>
      <c r="BY635" s="98"/>
      <c r="BZ635" s="98"/>
      <c r="DA635" s="177"/>
      <c r="EH635" s="19"/>
      <c r="EI635" s="19"/>
      <c r="EJ635" s="19"/>
      <c r="EK635" s="19"/>
      <c r="EL635" s="19"/>
      <c r="EM635" s="98"/>
      <c r="EN635" s="98"/>
      <c r="EO635" s="98"/>
      <c r="EP635" s="98"/>
      <c r="EQ635" s="98"/>
      <c r="ER635" s="98"/>
      <c r="ES635" s="98"/>
      <c r="ET635" s="98"/>
      <c r="EU635" s="98"/>
      <c r="EV635" s="98"/>
      <c r="EW635" s="98"/>
      <c r="EX635" s="98"/>
      <c r="EY635" s="98"/>
      <c r="EZ635" s="178"/>
    </row>
    <row r="636" spans="60:156">
      <c r="BH636" s="19"/>
      <c r="BI636" s="19"/>
      <c r="BJ636" s="19"/>
      <c r="BK636" s="19"/>
      <c r="BL636" s="19"/>
      <c r="BM636" s="98"/>
      <c r="BN636" s="98"/>
      <c r="BO636" s="98"/>
      <c r="BP636" s="98"/>
      <c r="BQ636" s="98"/>
      <c r="BR636" s="98"/>
      <c r="BS636" s="98"/>
      <c r="BT636" s="98"/>
      <c r="BU636" s="98"/>
      <c r="BV636" s="98"/>
      <c r="BW636" s="98"/>
      <c r="BX636" s="98"/>
      <c r="BY636" s="98"/>
      <c r="BZ636" s="98"/>
      <c r="DA636" s="177"/>
      <c r="EH636" s="19"/>
      <c r="EI636" s="19"/>
      <c r="EJ636" s="19"/>
      <c r="EK636" s="19"/>
      <c r="EL636" s="19"/>
      <c r="EM636" s="98"/>
      <c r="EN636" s="98"/>
      <c r="EO636" s="98"/>
      <c r="EP636" s="98"/>
      <c r="EQ636" s="98"/>
      <c r="ER636" s="98"/>
      <c r="ES636" s="98"/>
      <c r="ET636" s="98"/>
      <c r="EU636" s="98"/>
      <c r="EV636" s="98"/>
      <c r="EW636" s="98"/>
      <c r="EX636" s="98"/>
      <c r="EY636" s="98"/>
      <c r="EZ636" s="178"/>
    </row>
    <row r="637" spans="60:156">
      <c r="BH637" s="19"/>
      <c r="BI637" s="19"/>
      <c r="BJ637" s="19"/>
      <c r="BK637" s="19"/>
      <c r="BL637" s="19"/>
      <c r="BM637" s="98"/>
      <c r="BN637" s="98"/>
      <c r="BO637" s="98"/>
      <c r="BP637" s="98"/>
      <c r="BQ637" s="98"/>
      <c r="BR637" s="98"/>
      <c r="BS637" s="98"/>
      <c r="BT637" s="98"/>
      <c r="BU637" s="98"/>
      <c r="BV637" s="98"/>
      <c r="BW637" s="98"/>
      <c r="BX637" s="98"/>
      <c r="BY637" s="98"/>
      <c r="BZ637" s="98"/>
      <c r="DA637" s="177"/>
      <c r="EH637" s="19"/>
      <c r="EI637" s="19"/>
      <c r="EJ637" s="19"/>
      <c r="EK637" s="19"/>
      <c r="EL637" s="19"/>
      <c r="EM637" s="98"/>
      <c r="EN637" s="98"/>
      <c r="EO637" s="98"/>
      <c r="EP637" s="98"/>
      <c r="EQ637" s="98"/>
      <c r="ER637" s="98"/>
      <c r="ES637" s="98"/>
      <c r="ET637" s="98"/>
      <c r="EU637" s="98"/>
      <c r="EV637" s="98"/>
      <c r="EW637" s="98"/>
      <c r="EX637" s="98"/>
      <c r="EY637" s="98"/>
      <c r="EZ637" s="178"/>
    </row>
    <row r="638" spans="60:156">
      <c r="BH638" s="19"/>
      <c r="BI638" s="19"/>
      <c r="BJ638" s="19"/>
      <c r="BK638" s="19"/>
      <c r="BL638" s="19"/>
      <c r="BM638" s="98"/>
      <c r="BN638" s="98"/>
      <c r="BO638" s="98"/>
      <c r="BP638" s="98"/>
      <c r="BQ638" s="98"/>
      <c r="BR638" s="98"/>
      <c r="BS638" s="98"/>
      <c r="BT638" s="98"/>
      <c r="BU638" s="98"/>
      <c r="BV638" s="98"/>
      <c r="BW638" s="98"/>
      <c r="BX638" s="98"/>
      <c r="BY638" s="98"/>
      <c r="BZ638" s="98"/>
      <c r="DA638" s="177"/>
      <c r="EH638" s="19"/>
      <c r="EI638" s="19"/>
      <c r="EJ638" s="19"/>
      <c r="EK638" s="19"/>
      <c r="EL638" s="19"/>
      <c r="EM638" s="98"/>
      <c r="EN638" s="98"/>
      <c r="EO638" s="98"/>
      <c r="EP638" s="98"/>
      <c r="EQ638" s="98"/>
      <c r="ER638" s="98"/>
      <c r="ES638" s="98"/>
      <c r="ET638" s="98"/>
      <c r="EU638" s="98"/>
      <c r="EV638" s="98"/>
      <c r="EW638" s="98"/>
      <c r="EX638" s="98"/>
      <c r="EY638" s="98"/>
      <c r="EZ638" s="178"/>
    </row>
    <row r="639" spans="60:156">
      <c r="BH639" s="19"/>
      <c r="BI639" s="19"/>
      <c r="BJ639" s="19"/>
      <c r="BK639" s="19"/>
      <c r="BL639" s="19"/>
      <c r="BM639" s="98"/>
      <c r="BN639" s="98"/>
      <c r="BO639" s="98"/>
      <c r="BP639" s="98"/>
      <c r="BQ639" s="98"/>
      <c r="BR639" s="98"/>
      <c r="BS639" s="98"/>
      <c r="BT639" s="98"/>
      <c r="BU639" s="98"/>
      <c r="BV639" s="98"/>
      <c r="BW639" s="98"/>
      <c r="BX639" s="98"/>
      <c r="BY639" s="98"/>
      <c r="BZ639" s="98"/>
      <c r="DA639" s="177"/>
      <c r="EH639" s="19"/>
      <c r="EI639" s="19"/>
      <c r="EJ639" s="19"/>
      <c r="EK639" s="19"/>
      <c r="EL639" s="19"/>
      <c r="EM639" s="98"/>
      <c r="EN639" s="98"/>
      <c r="EO639" s="98"/>
      <c r="EP639" s="98"/>
      <c r="EQ639" s="98"/>
      <c r="ER639" s="98"/>
      <c r="ES639" s="98"/>
      <c r="ET639" s="98"/>
      <c r="EU639" s="98"/>
      <c r="EV639" s="98"/>
      <c r="EW639" s="98"/>
      <c r="EX639" s="98"/>
      <c r="EY639" s="98"/>
      <c r="EZ639" s="178"/>
    </row>
    <row r="640" spans="60:156">
      <c r="BH640" s="19"/>
      <c r="BI640" s="19"/>
      <c r="BJ640" s="19"/>
      <c r="BK640" s="19"/>
      <c r="BL640" s="19"/>
      <c r="BM640" s="98"/>
      <c r="BN640" s="98"/>
      <c r="BO640" s="98"/>
      <c r="BP640" s="98"/>
      <c r="BQ640" s="98"/>
      <c r="BR640" s="98"/>
      <c r="BS640" s="98"/>
      <c r="BT640" s="98"/>
      <c r="BU640" s="98"/>
      <c r="BV640" s="98"/>
      <c r="BW640" s="98"/>
      <c r="BX640" s="98"/>
      <c r="BY640" s="98"/>
      <c r="BZ640" s="98"/>
      <c r="DA640" s="177"/>
      <c r="EH640" s="19"/>
      <c r="EI640" s="19"/>
      <c r="EJ640" s="19"/>
      <c r="EK640" s="19"/>
      <c r="EL640" s="19"/>
      <c r="EM640" s="98"/>
      <c r="EN640" s="98"/>
      <c r="EO640" s="98"/>
      <c r="EP640" s="98"/>
      <c r="EQ640" s="98"/>
      <c r="ER640" s="98"/>
      <c r="ES640" s="98"/>
      <c r="ET640" s="98"/>
      <c r="EU640" s="98"/>
      <c r="EV640" s="98"/>
      <c r="EW640" s="98"/>
      <c r="EX640" s="98"/>
      <c r="EY640" s="98"/>
      <c r="EZ640" s="178"/>
    </row>
    <row r="641" spans="60:156">
      <c r="BH641" s="19"/>
      <c r="BI641" s="19"/>
      <c r="BJ641" s="19"/>
      <c r="BK641" s="19"/>
      <c r="BL641" s="19"/>
      <c r="BM641" s="98"/>
      <c r="BN641" s="98"/>
      <c r="BO641" s="98"/>
      <c r="BP641" s="98"/>
      <c r="BQ641" s="98"/>
      <c r="BR641" s="98"/>
      <c r="BS641" s="98"/>
      <c r="BT641" s="98"/>
      <c r="BU641" s="98"/>
      <c r="BV641" s="98"/>
      <c r="BW641" s="98"/>
      <c r="BX641" s="98"/>
      <c r="BY641" s="98"/>
      <c r="BZ641" s="98"/>
      <c r="DA641" s="177"/>
      <c r="EH641" s="19"/>
      <c r="EI641" s="19"/>
      <c r="EJ641" s="19"/>
      <c r="EK641" s="19"/>
      <c r="EL641" s="19"/>
      <c r="EM641" s="98"/>
      <c r="EN641" s="98"/>
      <c r="EO641" s="98"/>
      <c r="EP641" s="98"/>
      <c r="EQ641" s="98"/>
      <c r="ER641" s="98"/>
      <c r="ES641" s="98"/>
      <c r="ET641" s="98"/>
      <c r="EU641" s="98"/>
      <c r="EV641" s="98"/>
      <c r="EW641" s="98"/>
      <c r="EX641" s="98"/>
      <c r="EY641" s="98"/>
      <c r="EZ641" s="178"/>
    </row>
    <row r="642" spans="60:156">
      <c r="BH642" s="19"/>
      <c r="BI642" s="19"/>
      <c r="BJ642" s="19"/>
      <c r="BK642" s="19"/>
      <c r="BL642" s="19"/>
      <c r="BM642" s="98"/>
      <c r="BN642" s="98"/>
      <c r="BO642" s="98"/>
      <c r="BP642" s="98"/>
      <c r="BQ642" s="98"/>
      <c r="BR642" s="98"/>
      <c r="BS642" s="98"/>
      <c r="BT642" s="98"/>
      <c r="BU642" s="98"/>
      <c r="BV642" s="98"/>
      <c r="BW642" s="98"/>
      <c r="BX642" s="98"/>
      <c r="BY642" s="98"/>
      <c r="BZ642" s="98"/>
      <c r="DA642" s="177"/>
      <c r="EH642" s="19"/>
      <c r="EI642" s="19"/>
      <c r="EJ642" s="19"/>
      <c r="EK642" s="19"/>
      <c r="EL642" s="19"/>
      <c r="EM642" s="98"/>
      <c r="EN642" s="98"/>
      <c r="EO642" s="98"/>
      <c r="EP642" s="98"/>
      <c r="EQ642" s="98"/>
      <c r="ER642" s="98"/>
      <c r="ES642" s="98"/>
      <c r="ET642" s="98"/>
      <c r="EU642" s="98"/>
      <c r="EV642" s="98"/>
      <c r="EW642" s="98"/>
      <c r="EX642" s="98"/>
      <c r="EY642" s="98"/>
      <c r="EZ642" s="178"/>
    </row>
    <row r="643" spans="60:156">
      <c r="BH643" s="19"/>
      <c r="BI643" s="19"/>
      <c r="BJ643" s="19"/>
      <c r="BK643" s="19"/>
      <c r="BL643" s="19"/>
      <c r="BM643" s="98"/>
      <c r="BN643" s="98"/>
      <c r="BO643" s="98"/>
      <c r="BP643" s="98"/>
      <c r="BQ643" s="98"/>
      <c r="BR643" s="98"/>
      <c r="BS643" s="98"/>
      <c r="BT643" s="98"/>
      <c r="BU643" s="98"/>
      <c r="BV643" s="98"/>
      <c r="BW643" s="98"/>
      <c r="BX643" s="98"/>
      <c r="BY643" s="98"/>
      <c r="BZ643" s="98"/>
      <c r="DA643" s="177"/>
      <c r="EH643" s="19"/>
      <c r="EI643" s="19"/>
      <c r="EJ643" s="19"/>
      <c r="EK643" s="19"/>
      <c r="EL643" s="19"/>
      <c r="EM643" s="98"/>
      <c r="EN643" s="98"/>
      <c r="EO643" s="98"/>
      <c r="EP643" s="98"/>
      <c r="EQ643" s="98"/>
      <c r="ER643" s="98"/>
      <c r="ES643" s="98"/>
      <c r="ET643" s="98"/>
      <c r="EU643" s="98"/>
      <c r="EV643" s="98"/>
      <c r="EW643" s="98"/>
      <c r="EX643" s="98"/>
      <c r="EY643" s="98"/>
      <c r="EZ643" s="178"/>
    </row>
    <row r="644" spans="60:156">
      <c r="BH644" s="19"/>
      <c r="BI644" s="19"/>
      <c r="BJ644" s="19"/>
      <c r="BK644" s="19"/>
      <c r="BL644" s="19"/>
      <c r="BM644" s="98"/>
      <c r="BN644" s="98"/>
      <c r="BO644" s="98"/>
      <c r="BP644" s="98"/>
      <c r="BQ644" s="98"/>
      <c r="BR644" s="98"/>
      <c r="BS644" s="98"/>
      <c r="BT644" s="98"/>
      <c r="BU644" s="98"/>
      <c r="BV644" s="98"/>
      <c r="BW644" s="98"/>
      <c r="BX644" s="98"/>
      <c r="BY644" s="98"/>
      <c r="BZ644" s="98"/>
      <c r="DA644" s="177"/>
      <c r="EH644" s="19"/>
      <c r="EI644" s="19"/>
      <c r="EJ644" s="19"/>
      <c r="EK644" s="19"/>
      <c r="EL644" s="19"/>
      <c r="EM644" s="98"/>
      <c r="EN644" s="98"/>
      <c r="EO644" s="98"/>
      <c r="EP644" s="98"/>
      <c r="EQ644" s="98"/>
      <c r="ER644" s="98"/>
      <c r="ES644" s="98"/>
      <c r="ET644" s="98"/>
      <c r="EU644" s="98"/>
      <c r="EV644" s="98"/>
      <c r="EW644" s="98"/>
      <c r="EX644" s="98"/>
      <c r="EY644" s="98"/>
      <c r="EZ644" s="178"/>
    </row>
    <row r="645" spans="60:156">
      <c r="BH645" s="19"/>
      <c r="BI645" s="19"/>
      <c r="BJ645" s="19"/>
      <c r="BK645" s="19"/>
      <c r="BL645" s="19"/>
      <c r="BM645" s="98"/>
      <c r="BN645" s="98"/>
      <c r="BO645" s="98"/>
      <c r="BP645" s="98"/>
      <c r="BQ645" s="98"/>
      <c r="BR645" s="98"/>
      <c r="BS645" s="98"/>
      <c r="BT645" s="98"/>
      <c r="BU645" s="98"/>
      <c r="BV645" s="98"/>
      <c r="BW645" s="98"/>
      <c r="BX645" s="98"/>
      <c r="BY645" s="98"/>
      <c r="BZ645" s="98"/>
      <c r="DA645" s="177"/>
      <c r="EH645" s="19"/>
      <c r="EI645" s="19"/>
      <c r="EJ645" s="19"/>
      <c r="EK645" s="19"/>
      <c r="EL645" s="19"/>
      <c r="EM645" s="98"/>
      <c r="EN645" s="98"/>
      <c r="EO645" s="98"/>
      <c r="EP645" s="98"/>
      <c r="EQ645" s="98"/>
      <c r="ER645" s="98"/>
      <c r="ES645" s="98"/>
      <c r="ET645" s="98"/>
      <c r="EU645" s="98"/>
      <c r="EV645" s="98"/>
      <c r="EW645" s="98"/>
      <c r="EX645" s="98"/>
      <c r="EY645" s="98"/>
      <c r="EZ645" s="178"/>
    </row>
    <row r="646" spans="60:156">
      <c r="BH646" s="19"/>
      <c r="BI646" s="19"/>
      <c r="BJ646" s="19"/>
      <c r="BK646" s="19"/>
      <c r="BL646" s="19"/>
      <c r="BM646" s="98"/>
      <c r="BN646" s="98"/>
      <c r="BO646" s="98"/>
      <c r="BP646" s="98"/>
      <c r="BQ646" s="98"/>
      <c r="BR646" s="98"/>
      <c r="BS646" s="98"/>
      <c r="BT646" s="98"/>
      <c r="BU646" s="98"/>
      <c r="BV646" s="98"/>
      <c r="BW646" s="98"/>
      <c r="BX646" s="98"/>
      <c r="BY646" s="98"/>
      <c r="BZ646" s="98"/>
      <c r="DA646" s="177"/>
      <c r="EH646" s="19"/>
      <c r="EI646" s="19"/>
      <c r="EJ646" s="19"/>
      <c r="EK646" s="19"/>
      <c r="EL646" s="19"/>
      <c r="EM646" s="98"/>
      <c r="EN646" s="98"/>
      <c r="EO646" s="98"/>
      <c r="EP646" s="98"/>
      <c r="EQ646" s="98"/>
      <c r="ER646" s="98"/>
      <c r="ES646" s="98"/>
      <c r="ET646" s="98"/>
      <c r="EU646" s="98"/>
      <c r="EV646" s="98"/>
      <c r="EW646" s="98"/>
      <c r="EX646" s="98"/>
      <c r="EY646" s="98"/>
      <c r="EZ646" s="178"/>
    </row>
    <row r="647" spans="60:156">
      <c r="BH647" s="19"/>
      <c r="BI647" s="19"/>
      <c r="BJ647" s="19"/>
      <c r="BK647" s="19"/>
      <c r="BL647" s="19"/>
      <c r="BM647" s="98"/>
      <c r="BN647" s="98"/>
      <c r="BO647" s="98"/>
      <c r="BP647" s="98"/>
      <c r="BQ647" s="98"/>
      <c r="BR647" s="98"/>
      <c r="BS647" s="98"/>
      <c r="BT647" s="98"/>
      <c r="BU647" s="98"/>
      <c r="BV647" s="98"/>
      <c r="BW647" s="98"/>
      <c r="BX647" s="98"/>
      <c r="BY647" s="98"/>
      <c r="BZ647" s="98"/>
      <c r="DA647" s="177"/>
      <c r="EH647" s="19"/>
      <c r="EI647" s="19"/>
      <c r="EJ647" s="19"/>
      <c r="EK647" s="19"/>
      <c r="EL647" s="19"/>
      <c r="EM647" s="98"/>
      <c r="EN647" s="98"/>
      <c r="EO647" s="98"/>
      <c r="EP647" s="98"/>
      <c r="EQ647" s="98"/>
      <c r="ER647" s="98"/>
      <c r="ES647" s="98"/>
      <c r="ET647" s="98"/>
      <c r="EU647" s="98"/>
      <c r="EV647" s="98"/>
      <c r="EW647" s="98"/>
      <c r="EX647" s="98"/>
      <c r="EY647" s="98"/>
      <c r="EZ647" s="178"/>
    </row>
    <row r="648" spans="60:156">
      <c r="BH648" s="19"/>
      <c r="BI648" s="19"/>
      <c r="BJ648" s="19"/>
      <c r="BK648" s="19"/>
      <c r="BL648" s="19"/>
      <c r="BM648" s="98"/>
      <c r="BN648" s="98"/>
      <c r="BO648" s="98"/>
      <c r="BP648" s="98"/>
      <c r="BQ648" s="98"/>
      <c r="BR648" s="98"/>
      <c r="BS648" s="98"/>
      <c r="BT648" s="98"/>
      <c r="BU648" s="98"/>
      <c r="BV648" s="98"/>
      <c r="BW648" s="98"/>
      <c r="BX648" s="98"/>
      <c r="BY648" s="98"/>
      <c r="BZ648" s="98"/>
      <c r="DA648" s="177"/>
      <c r="EH648" s="19"/>
      <c r="EI648" s="19"/>
      <c r="EJ648" s="19"/>
      <c r="EK648" s="19"/>
      <c r="EL648" s="19"/>
      <c r="EM648" s="98"/>
      <c r="EN648" s="98"/>
      <c r="EO648" s="98"/>
      <c r="EP648" s="98"/>
      <c r="EQ648" s="98"/>
      <c r="ER648" s="98"/>
      <c r="ES648" s="98"/>
      <c r="ET648" s="98"/>
      <c r="EU648" s="98"/>
      <c r="EV648" s="98"/>
      <c r="EW648" s="98"/>
      <c r="EX648" s="98"/>
      <c r="EY648" s="98"/>
      <c r="EZ648" s="178"/>
    </row>
    <row r="649" spans="60:156">
      <c r="BH649" s="19"/>
      <c r="BI649" s="19"/>
      <c r="BJ649" s="19"/>
      <c r="BK649" s="19"/>
      <c r="BL649" s="19"/>
      <c r="BM649" s="98"/>
      <c r="BN649" s="98"/>
      <c r="BO649" s="98"/>
      <c r="BP649" s="98"/>
      <c r="BQ649" s="98"/>
      <c r="BR649" s="98"/>
      <c r="BS649" s="98"/>
      <c r="BT649" s="98"/>
      <c r="BU649" s="98"/>
      <c r="BV649" s="98"/>
      <c r="BW649" s="98"/>
      <c r="BX649" s="98"/>
      <c r="BY649" s="98"/>
      <c r="BZ649" s="98"/>
      <c r="DA649" s="177"/>
      <c r="EH649" s="19"/>
      <c r="EI649" s="19"/>
      <c r="EJ649" s="19"/>
      <c r="EK649" s="19"/>
      <c r="EL649" s="19"/>
      <c r="EM649" s="98"/>
      <c r="EN649" s="98"/>
      <c r="EO649" s="98"/>
      <c r="EP649" s="98"/>
      <c r="EQ649" s="98"/>
      <c r="ER649" s="98"/>
      <c r="ES649" s="98"/>
      <c r="ET649" s="98"/>
      <c r="EU649" s="98"/>
      <c r="EV649" s="98"/>
      <c r="EW649" s="98"/>
      <c r="EX649" s="98"/>
      <c r="EY649" s="98"/>
      <c r="EZ649" s="178"/>
    </row>
    <row r="650" spans="60:156">
      <c r="BH650" s="19"/>
      <c r="BI650" s="19"/>
      <c r="BJ650" s="19"/>
      <c r="BK650" s="19"/>
      <c r="BL650" s="19"/>
      <c r="BM650" s="98"/>
      <c r="BN650" s="98"/>
      <c r="BO650" s="98"/>
      <c r="BP650" s="98"/>
      <c r="BQ650" s="98"/>
      <c r="BR650" s="98"/>
      <c r="BS650" s="98"/>
      <c r="BT650" s="98"/>
      <c r="BU650" s="98"/>
      <c r="BV650" s="98"/>
      <c r="BW650" s="98"/>
      <c r="BX650" s="98"/>
      <c r="BY650" s="98"/>
      <c r="BZ650" s="98"/>
      <c r="DA650" s="177"/>
      <c r="EH650" s="19"/>
      <c r="EI650" s="19"/>
      <c r="EJ650" s="19"/>
      <c r="EK650" s="19"/>
      <c r="EL650" s="19"/>
      <c r="EM650" s="98"/>
      <c r="EN650" s="98"/>
      <c r="EO650" s="98"/>
      <c r="EP650" s="98"/>
      <c r="EQ650" s="98"/>
      <c r="ER650" s="98"/>
      <c r="ES650" s="98"/>
      <c r="ET650" s="98"/>
      <c r="EU650" s="98"/>
      <c r="EV650" s="98"/>
      <c r="EW650" s="98"/>
      <c r="EX650" s="98"/>
      <c r="EY650" s="98"/>
      <c r="EZ650" s="178"/>
    </row>
    <row r="651" spans="60:156">
      <c r="BH651" s="19"/>
      <c r="BI651" s="19"/>
      <c r="BJ651" s="19"/>
      <c r="BK651" s="19"/>
      <c r="BL651" s="19"/>
      <c r="BM651" s="98"/>
      <c r="BN651" s="98"/>
      <c r="BO651" s="98"/>
      <c r="BP651" s="98"/>
      <c r="BQ651" s="98"/>
      <c r="BR651" s="98"/>
      <c r="BS651" s="98"/>
      <c r="BT651" s="98"/>
      <c r="BU651" s="98"/>
      <c r="BV651" s="98"/>
      <c r="BW651" s="98"/>
      <c r="BX651" s="98"/>
      <c r="BY651" s="98"/>
      <c r="BZ651" s="98"/>
      <c r="DA651" s="177"/>
      <c r="EH651" s="19"/>
      <c r="EI651" s="19"/>
      <c r="EJ651" s="19"/>
      <c r="EK651" s="19"/>
      <c r="EL651" s="19"/>
      <c r="EM651" s="98"/>
      <c r="EN651" s="98"/>
      <c r="EO651" s="98"/>
      <c r="EP651" s="98"/>
      <c r="EQ651" s="98"/>
      <c r="ER651" s="98"/>
      <c r="ES651" s="98"/>
      <c r="ET651" s="98"/>
      <c r="EU651" s="98"/>
      <c r="EV651" s="98"/>
      <c r="EW651" s="98"/>
      <c r="EX651" s="98"/>
      <c r="EY651" s="98"/>
      <c r="EZ651" s="178"/>
    </row>
    <row r="652" spans="60:156">
      <c r="BH652" s="19"/>
      <c r="BI652" s="19"/>
      <c r="BJ652" s="19"/>
      <c r="BK652" s="19"/>
      <c r="BL652" s="19"/>
      <c r="BM652" s="98"/>
      <c r="BN652" s="98"/>
      <c r="BO652" s="98"/>
      <c r="BP652" s="98"/>
      <c r="BQ652" s="98"/>
      <c r="BR652" s="98"/>
      <c r="BS652" s="98"/>
      <c r="BT652" s="98"/>
      <c r="BU652" s="98"/>
      <c r="BV652" s="98"/>
      <c r="BW652" s="98"/>
      <c r="BX652" s="98"/>
      <c r="BY652" s="98"/>
      <c r="BZ652" s="98"/>
      <c r="DA652" s="177"/>
      <c r="EH652" s="19"/>
      <c r="EI652" s="19"/>
      <c r="EJ652" s="19"/>
      <c r="EK652" s="19"/>
      <c r="EL652" s="19"/>
      <c r="EM652" s="98"/>
      <c r="EN652" s="98"/>
      <c r="EO652" s="98"/>
      <c r="EP652" s="98"/>
      <c r="EQ652" s="98"/>
      <c r="ER652" s="98"/>
      <c r="ES652" s="98"/>
      <c r="ET652" s="98"/>
      <c r="EU652" s="98"/>
      <c r="EV652" s="98"/>
      <c r="EW652" s="98"/>
      <c r="EX652" s="98"/>
      <c r="EY652" s="98"/>
      <c r="EZ652" s="178"/>
    </row>
    <row r="653" spans="60:156">
      <c r="BH653" s="19"/>
      <c r="BI653" s="19"/>
      <c r="BJ653" s="19"/>
      <c r="BK653" s="19"/>
      <c r="BL653" s="19"/>
      <c r="BM653" s="98"/>
      <c r="BN653" s="98"/>
      <c r="BO653" s="98"/>
      <c r="BP653" s="98"/>
      <c r="BQ653" s="98"/>
      <c r="BR653" s="98"/>
      <c r="BS653" s="98"/>
      <c r="BT653" s="98"/>
      <c r="BU653" s="98"/>
      <c r="BV653" s="98"/>
      <c r="BW653" s="98"/>
      <c r="BX653" s="98"/>
      <c r="BY653" s="98"/>
      <c r="BZ653" s="98"/>
      <c r="DA653" s="177"/>
      <c r="EH653" s="19"/>
      <c r="EI653" s="19"/>
      <c r="EJ653" s="19"/>
      <c r="EK653" s="19"/>
      <c r="EL653" s="19"/>
      <c r="EM653" s="98"/>
      <c r="EN653" s="98"/>
      <c r="EO653" s="98"/>
      <c r="EP653" s="98"/>
      <c r="EQ653" s="98"/>
      <c r="ER653" s="98"/>
      <c r="ES653" s="98"/>
      <c r="ET653" s="98"/>
      <c r="EU653" s="98"/>
      <c r="EV653" s="98"/>
      <c r="EW653" s="98"/>
      <c r="EX653" s="98"/>
      <c r="EY653" s="98"/>
      <c r="EZ653" s="178"/>
    </row>
    <row r="654" spans="60:156">
      <c r="BH654" s="19"/>
      <c r="BI654" s="19"/>
      <c r="BJ654" s="19"/>
      <c r="BK654" s="19"/>
      <c r="BL654" s="19"/>
      <c r="BM654" s="98"/>
      <c r="BN654" s="98"/>
      <c r="BO654" s="98"/>
      <c r="BP654" s="98"/>
      <c r="BQ654" s="98"/>
      <c r="BR654" s="98"/>
      <c r="BS654" s="98"/>
      <c r="BT654" s="98"/>
      <c r="BU654" s="98"/>
      <c r="BV654" s="98"/>
      <c r="BW654" s="98"/>
      <c r="BX654" s="98"/>
      <c r="BY654" s="98"/>
      <c r="BZ654" s="98"/>
      <c r="DA654" s="177"/>
      <c r="EH654" s="19"/>
      <c r="EI654" s="19"/>
      <c r="EJ654" s="19"/>
      <c r="EK654" s="19"/>
      <c r="EL654" s="19"/>
      <c r="EM654" s="98"/>
      <c r="EN654" s="98"/>
      <c r="EO654" s="98"/>
      <c r="EP654" s="98"/>
      <c r="EQ654" s="98"/>
      <c r="ER654" s="98"/>
      <c r="ES654" s="98"/>
      <c r="ET654" s="98"/>
      <c r="EU654" s="98"/>
      <c r="EV654" s="98"/>
      <c r="EW654" s="98"/>
      <c r="EX654" s="98"/>
      <c r="EY654" s="98"/>
      <c r="EZ654" s="178"/>
    </row>
    <row r="655" spans="60:156">
      <c r="BH655" s="19"/>
      <c r="BI655" s="19"/>
      <c r="BJ655" s="19"/>
      <c r="BK655" s="19"/>
      <c r="BL655" s="19"/>
      <c r="BM655" s="98"/>
      <c r="BN655" s="98"/>
      <c r="BO655" s="98"/>
      <c r="BP655" s="98"/>
      <c r="BQ655" s="98"/>
      <c r="BR655" s="98"/>
      <c r="BS655" s="98"/>
      <c r="BT655" s="98"/>
      <c r="BU655" s="98"/>
      <c r="BV655" s="98"/>
      <c r="BW655" s="98"/>
      <c r="BX655" s="98"/>
      <c r="BY655" s="98"/>
      <c r="BZ655" s="98"/>
      <c r="DA655" s="177"/>
      <c r="EH655" s="19"/>
      <c r="EI655" s="19"/>
      <c r="EJ655" s="19"/>
      <c r="EK655" s="19"/>
      <c r="EL655" s="19"/>
      <c r="EM655" s="98"/>
      <c r="EN655" s="98"/>
      <c r="EO655" s="98"/>
      <c r="EP655" s="98"/>
      <c r="EQ655" s="98"/>
      <c r="ER655" s="98"/>
      <c r="ES655" s="98"/>
      <c r="ET655" s="98"/>
      <c r="EU655" s="98"/>
      <c r="EV655" s="98"/>
      <c r="EW655" s="98"/>
      <c r="EX655" s="98"/>
      <c r="EY655" s="98"/>
      <c r="EZ655" s="178"/>
    </row>
    <row r="656" spans="60:156">
      <c r="BH656" s="19"/>
      <c r="BI656" s="19"/>
      <c r="BJ656" s="19"/>
      <c r="BK656" s="19"/>
      <c r="BL656" s="19"/>
      <c r="BM656" s="98"/>
      <c r="BN656" s="98"/>
      <c r="BO656" s="98"/>
      <c r="BP656" s="98"/>
      <c r="BQ656" s="98"/>
      <c r="BR656" s="98"/>
      <c r="BS656" s="98"/>
      <c r="BT656" s="98"/>
      <c r="BU656" s="98"/>
      <c r="BV656" s="98"/>
      <c r="BW656" s="98"/>
      <c r="BX656" s="98"/>
      <c r="BY656" s="98"/>
      <c r="BZ656" s="98"/>
      <c r="DA656" s="177"/>
      <c r="EH656" s="19"/>
      <c r="EI656" s="19"/>
      <c r="EJ656" s="19"/>
      <c r="EK656" s="19"/>
      <c r="EL656" s="19"/>
      <c r="EM656" s="98"/>
      <c r="EN656" s="98"/>
      <c r="EO656" s="98"/>
      <c r="EP656" s="98"/>
      <c r="EQ656" s="98"/>
      <c r="ER656" s="98"/>
      <c r="ES656" s="98"/>
      <c r="ET656" s="98"/>
      <c r="EU656" s="98"/>
      <c r="EV656" s="98"/>
      <c r="EW656" s="98"/>
      <c r="EX656" s="98"/>
      <c r="EY656" s="98"/>
      <c r="EZ656" s="178"/>
    </row>
    <row r="657" spans="60:156">
      <c r="BH657" s="19"/>
      <c r="BI657" s="19"/>
      <c r="BJ657" s="19"/>
      <c r="BK657" s="19"/>
      <c r="BL657" s="19"/>
      <c r="BM657" s="98"/>
      <c r="BN657" s="98"/>
      <c r="BO657" s="98"/>
      <c r="BP657" s="98"/>
      <c r="BQ657" s="98"/>
      <c r="BR657" s="98"/>
      <c r="BS657" s="98"/>
      <c r="BT657" s="98"/>
      <c r="BU657" s="98"/>
      <c r="BV657" s="98"/>
      <c r="BW657" s="98"/>
      <c r="BX657" s="98"/>
      <c r="BY657" s="98"/>
      <c r="BZ657" s="98"/>
      <c r="DA657" s="177"/>
      <c r="EH657" s="19"/>
      <c r="EI657" s="19"/>
      <c r="EJ657" s="19"/>
      <c r="EK657" s="19"/>
      <c r="EL657" s="19"/>
      <c r="EM657" s="98"/>
      <c r="EN657" s="98"/>
      <c r="EO657" s="98"/>
      <c r="EP657" s="98"/>
      <c r="EQ657" s="98"/>
      <c r="ER657" s="98"/>
      <c r="ES657" s="98"/>
      <c r="ET657" s="98"/>
      <c r="EU657" s="98"/>
      <c r="EV657" s="98"/>
      <c r="EW657" s="98"/>
      <c r="EX657" s="98"/>
      <c r="EY657" s="98"/>
      <c r="EZ657" s="178"/>
    </row>
    <row r="658" spans="60:156">
      <c r="BH658" s="19"/>
      <c r="BI658" s="19"/>
      <c r="BJ658" s="19"/>
      <c r="BK658" s="19"/>
      <c r="BL658" s="19"/>
      <c r="BM658" s="98"/>
      <c r="BN658" s="98"/>
      <c r="BO658" s="98"/>
      <c r="BP658" s="98"/>
      <c r="BQ658" s="98"/>
      <c r="BR658" s="98"/>
      <c r="BS658" s="98"/>
      <c r="BT658" s="98"/>
      <c r="BU658" s="98"/>
      <c r="BV658" s="98"/>
      <c r="BW658" s="98"/>
      <c r="BX658" s="98"/>
      <c r="BY658" s="98"/>
      <c r="BZ658" s="98"/>
      <c r="DA658" s="177"/>
      <c r="EH658" s="19"/>
      <c r="EI658" s="19"/>
      <c r="EJ658" s="19"/>
      <c r="EK658" s="19"/>
      <c r="EL658" s="19"/>
      <c r="EM658" s="98"/>
      <c r="EN658" s="98"/>
      <c r="EO658" s="98"/>
      <c r="EP658" s="98"/>
      <c r="EQ658" s="98"/>
      <c r="ER658" s="98"/>
      <c r="ES658" s="98"/>
      <c r="ET658" s="98"/>
      <c r="EU658" s="98"/>
      <c r="EV658" s="98"/>
      <c r="EW658" s="98"/>
      <c r="EX658" s="98"/>
      <c r="EY658" s="98"/>
      <c r="EZ658" s="178"/>
    </row>
    <row r="659" spans="60:156">
      <c r="BH659" s="19"/>
      <c r="BI659" s="19"/>
      <c r="BJ659" s="19"/>
      <c r="BK659" s="19"/>
      <c r="BL659" s="19"/>
      <c r="BM659" s="98"/>
      <c r="BN659" s="98"/>
      <c r="BO659" s="98"/>
      <c r="BP659" s="98"/>
      <c r="BQ659" s="98"/>
      <c r="BR659" s="98"/>
      <c r="BS659" s="98"/>
      <c r="BT659" s="98"/>
      <c r="BU659" s="98"/>
      <c r="BV659" s="98"/>
      <c r="BW659" s="98"/>
      <c r="BX659" s="98"/>
      <c r="BY659" s="98"/>
      <c r="BZ659" s="98"/>
      <c r="DA659" s="177"/>
      <c r="EH659" s="19"/>
      <c r="EI659" s="19"/>
      <c r="EJ659" s="19"/>
      <c r="EK659" s="19"/>
      <c r="EL659" s="19"/>
      <c r="EM659" s="98"/>
      <c r="EN659" s="98"/>
      <c r="EO659" s="98"/>
      <c r="EP659" s="98"/>
      <c r="EQ659" s="98"/>
      <c r="ER659" s="98"/>
      <c r="ES659" s="98"/>
      <c r="ET659" s="98"/>
      <c r="EU659" s="98"/>
      <c r="EV659" s="98"/>
      <c r="EW659" s="98"/>
      <c r="EX659" s="98"/>
      <c r="EY659" s="98"/>
      <c r="EZ659" s="178"/>
    </row>
    <row r="660" spans="60:156">
      <c r="BH660" s="19"/>
      <c r="BI660" s="19"/>
      <c r="BJ660" s="19"/>
      <c r="BK660" s="19"/>
      <c r="BL660" s="19"/>
      <c r="BM660" s="98"/>
      <c r="BN660" s="98"/>
      <c r="BO660" s="98"/>
      <c r="BP660" s="98"/>
      <c r="BQ660" s="98"/>
      <c r="BR660" s="98"/>
      <c r="BS660" s="98"/>
      <c r="BT660" s="98"/>
      <c r="BU660" s="98"/>
      <c r="BV660" s="98"/>
      <c r="BW660" s="98"/>
      <c r="BX660" s="98"/>
      <c r="BY660" s="98"/>
      <c r="BZ660" s="98"/>
      <c r="DA660" s="177"/>
      <c r="EH660" s="19"/>
      <c r="EI660" s="19"/>
      <c r="EJ660" s="19"/>
      <c r="EK660" s="19"/>
      <c r="EL660" s="19"/>
      <c r="EM660" s="98"/>
      <c r="EN660" s="98"/>
      <c r="EO660" s="98"/>
      <c r="EP660" s="98"/>
      <c r="EQ660" s="98"/>
      <c r="ER660" s="98"/>
      <c r="ES660" s="98"/>
      <c r="ET660" s="98"/>
      <c r="EU660" s="98"/>
      <c r="EV660" s="98"/>
      <c r="EW660" s="98"/>
      <c r="EX660" s="98"/>
      <c r="EY660" s="98"/>
      <c r="EZ660" s="178"/>
    </row>
    <row r="661" spans="60:156">
      <c r="BH661" s="19"/>
      <c r="BI661" s="19"/>
      <c r="BJ661" s="19"/>
      <c r="BK661" s="19"/>
      <c r="BL661" s="19"/>
      <c r="BM661" s="98"/>
      <c r="BN661" s="98"/>
      <c r="BO661" s="98"/>
      <c r="BP661" s="98"/>
      <c r="BQ661" s="98"/>
      <c r="BR661" s="98"/>
      <c r="BS661" s="98"/>
      <c r="BT661" s="98"/>
      <c r="BU661" s="98"/>
      <c r="BV661" s="98"/>
      <c r="BW661" s="98"/>
      <c r="BX661" s="98"/>
      <c r="BY661" s="98"/>
      <c r="BZ661" s="98"/>
      <c r="DA661" s="177"/>
      <c r="EH661" s="19"/>
      <c r="EI661" s="19"/>
      <c r="EJ661" s="19"/>
      <c r="EK661" s="19"/>
      <c r="EL661" s="19"/>
      <c r="EM661" s="98"/>
      <c r="EN661" s="98"/>
      <c r="EO661" s="98"/>
      <c r="EP661" s="98"/>
      <c r="EQ661" s="98"/>
      <c r="ER661" s="98"/>
      <c r="ES661" s="98"/>
      <c r="ET661" s="98"/>
      <c r="EU661" s="98"/>
      <c r="EV661" s="98"/>
      <c r="EW661" s="98"/>
      <c r="EX661" s="98"/>
      <c r="EY661" s="98"/>
      <c r="EZ661" s="178"/>
    </row>
    <row r="662" spans="60:156">
      <c r="BH662" s="19"/>
      <c r="BI662" s="19"/>
      <c r="BJ662" s="19"/>
      <c r="BK662" s="19"/>
      <c r="BL662" s="19"/>
      <c r="BM662" s="98"/>
      <c r="BN662" s="98"/>
      <c r="BO662" s="98"/>
      <c r="BP662" s="98"/>
      <c r="BQ662" s="98"/>
      <c r="BR662" s="98"/>
      <c r="BS662" s="98"/>
      <c r="BT662" s="98"/>
      <c r="BU662" s="98"/>
      <c r="BV662" s="98"/>
      <c r="BW662" s="98"/>
      <c r="BX662" s="98"/>
      <c r="BY662" s="98"/>
      <c r="BZ662" s="98"/>
      <c r="DA662" s="177"/>
      <c r="EH662" s="19"/>
      <c r="EI662" s="19"/>
      <c r="EJ662" s="19"/>
      <c r="EK662" s="19"/>
      <c r="EL662" s="19"/>
      <c r="EM662" s="98"/>
      <c r="EN662" s="98"/>
      <c r="EO662" s="98"/>
      <c r="EP662" s="98"/>
      <c r="EQ662" s="98"/>
      <c r="ER662" s="98"/>
      <c r="ES662" s="98"/>
      <c r="ET662" s="98"/>
      <c r="EU662" s="98"/>
      <c r="EV662" s="98"/>
      <c r="EW662" s="98"/>
      <c r="EX662" s="98"/>
      <c r="EY662" s="98"/>
      <c r="EZ662" s="178"/>
    </row>
    <row r="663" spans="60:156">
      <c r="BH663" s="19"/>
      <c r="BI663" s="19"/>
      <c r="BJ663" s="19"/>
      <c r="BK663" s="19"/>
      <c r="BL663" s="19"/>
      <c r="BM663" s="98"/>
      <c r="BN663" s="98"/>
      <c r="BO663" s="98"/>
      <c r="BP663" s="98"/>
      <c r="BQ663" s="98"/>
      <c r="BR663" s="98"/>
      <c r="BS663" s="98"/>
      <c r="BT663" s="98"/>
      <c r="BU663" s="98"/>
      <c r="BV663" s="98"/>
      <c r="BW663" s="98"/>
      <c r="BX663" s="98"/>
      <c r="BY663" s="98"/>
      <c r="BZ663" s="98"/>
      <c r="DA663" s="177"/>
      <c r="EH663" s="19"/>
      <c r="EI663" s="19"/>
      <c r="EJ663" s="19"/>
      <c r="EK663" s="19"/>
      <c r="EL663" s="19"/>
      <c r="EM663" s="98"/>
      <c r="EN663" s="98"/>
      <c r="EO663" s="98"/>
      <c r="EP663" s="98"/>
      <c r="EQ663" s="98"/>
      <c r="ER663" s="98"/>
      <c r="ES663" s="98"/>
      <c r="ET663" s="98"/>
      <c r="EU663" s="98"/>
      <c r="EV663" s="98"/>
      <c r="EW663" s="98"/>
      <c r="EX663" s="98"/>
      <c r="EY663" s="98"/>
      <c r="EZ663" s="178"/>
    </row>
    <row r="664" spans="60:156">
      <c r="BH664" s="19"/>
      <c r="BI664" s="19"/>
      <c r="BJ664" s="19"/>
      <c r="BK664" s="19"/>
      <c r="BL664" s="19"/>
      <c r="BM664" s="98"/>
      <c r="BN664" s="98"/>
      <c r="BO664" s="98"/>
      <c r="BP664" s="98"/>
      <c r="BQ664" s="98"/>
      <c r="BR664" s="98"/>
      <c r="BS664" s="98"/>
      <c r="BT664" s="98"/>
      <c r="BU664" s="98"/>
      <c r="BV664" s="98"/>
      <c r="BW664" s="98"/>
      <c r="BX664" s="98"/>
      <c r="BY664" s="98"/>
      <c r="BZ664" s="98"/>
      <c r="DA664" s="177"/>
      <c r="EH664" s="19"/>
      <c r="EI664" s="19"/>
      <c r="EJ664" s="19"/>
      <c r="EK664" s="19"/>
      <c r="EL664" s="19"/>
      <c r="EM664" s="98"/>
      <c r="EN664" s="98"/>
      <c r="EO664" s="98"/>
      <c r="EP664" s="98"/>
      <c r="EQ664" s="98"/>
      <c r="ER664" s="98"/>
      <c r="ES664" s="98"/>
      <c r="ET664" s="98"/>
      <c r="EU664" s="98"/>
      <c r="EV664" s="98"/>
      <c r="EW664" s="98"/>
      <c r="EX664" s="98"/>
      <c r="EY664" s="98"/>
      <c r="EZ664" s="178"/>
    </row>
    <row r="665" spans="60:156">
      <c r="BH665" s="19"/>
      <c r="BI665" s="19"/>
      <c r="BJ665" s="19"/>
      <c r="BK665" s="19"/>
      <c r="BL665" s="19"/>
      <c r="BM665" s="98"/>
      <c r="BN665" s="98"/>
      <c r="BO665" s="98"/>
      <c r="BP665" s="98"/>
      <c r="BQ665" s="98"/>
      <c r="BR665" s="98"/>
      <c r="BS665" s="98"/>
      <c r="BT665" s="98"/>
      <c r="BU665" s="98"/>
      <c r="BV665" s="98"/>
      <c r="BW665" s="98"/>
      <c r="BX665" s="98"/>
      <c r="BY665" s="98"/>
      <c r="BZ665" s="98"/>
      <c r="DA665" s="177"/>
      <c r="EH665" s="19"/>
      <c r="EI665" s="19"/>
      <c r="EJ665" s="19"/>
      <c r="EK665" s="19"/>
      <c r="EL665" s="19"/>
      <c r="EM665" s="98"/>
      <c r="EN665" s="98"/>
      <c r="EO665" s="98"/>
      <c r="EP665" s="98"/>
      <c r="EQ665" s="98"/>
      <c r="ER665" s="98"/>
      <c r="ES665" s="98"/>
      <c r="ET665" s="98"/>
      <c r="EU665" s="98"/>
      <c r="EV665" s="98"/>
      <c r="EW665" s="98"/>
      <c r="EX665" s="98"/>
      <c r="EY665" s="98"/>
      <c r="EZ665" s="178"/>
    </row>
    <row r="666" spans="60:156">
      <c r="BH666" s="19"/>
      <c r="BI666" s="19"/>
      <c r="BJ666" s="19"/>
      <c r="BK666" s="19"/>
      <c r="BL666" s="19"/>
      <c r="BM666" s="98"/>
      <c r="BN666" s="98"/>
      <c r="BO666" s="98"/>
      <c r="BP666" s="98"/>
      <c r="BQ666" s="98"/>
      <c r="BR666" s="98"/>
      <c r="BS666" s="98"/>
      <c r="BT666" s="98"/>
      <c r="BU666" s="98"/>
      <c r="BV666" s="98"/>
      <c r="BW666" s="98"/>
      <c r="BX666" s="98"/>
      <c r="BY666" s="98"/>
      <c r="BZ666" s="98"/>
      <c r="DA666" s="177"/>
      <c r="EH666" s="19"/>
      <c r="EI666" s="19"/>
      <c r="EJ666" s="19"/>
      <c r="EK666" s="19"/>
      <c r="EL666" s="19"/>
      <c r="EM666" s="98"/>
      <c r="EN666" s="98"/>
      <c r="EO666" s="98"/>
      <c r="EP666" s="98"/>
      <c r="EQ666" s="98"/>
      <c r="ER666" s="98"/>
      <c r="ES666" s="98"/>
      <c r="ET666" s="98"/>
      <c r="EU666" s="98"/>
      <c r="EV666" s="98"/>
      <c r="EW666" s="98"/>
      <c r="EX666" s="98"/>
      <c r="EY666" s="98"/>
      <c r="EZ666" s="178"/>
    </row>
    <row r="667" spans="60:156">
      <c r="BH667" s="19"/>
      <c r="BI667" s="19"/>
      <c r="BJ667" s="19"/>
      <c r="BK667" s="19"/>
      <c r="BL667" s="19"/>
      <c r="BM667" s="98"/>
      <c r="BN667" s="98"/>
      <c r="BO667" s="98"/>
      <c r="BP667" s="98"/>
      <c r="BQ667" s="98"/>
      <c r="BR667" s="98"/>
      <c r="BS667" s="98"/>
      <c r="BT667" s="98"/>
      <c r="BU667" s="98"/>
      <c r="BV667" s="98"/>
      <c r="BW667" s="98"/>
      <c r="BX667" s="98"/>
      <c r="BY667" s="98"/>
      <c r="BZ667" s="98"/>
      <c r="DA667" s="177"/>
      <c r="EH667" s="19"/>
      <c r="EI667" s="19"/>
      <c r="EJ667" s="19"/>
      <c r="EK667" s="19"/>
      <c r="EL667" s="19"/>
      <c r="EM667" s="98"/>
      <c r="EN667" s="98"/>
      <c r="EO667" s="98"/>
      <c r="EP667" s="98"/>
      <c r="EQ667" s="98"/>
      <c r="ER667" s="98"/>
      <c r="ES667" s="98"/>
      <c r="ET667" s="98"/>
      <c r="EU667" s="98"/>
      <c r="EV667" s="98"/>
      <c r="EW667" s="98"/>
      <c r="EX667" s="98"/>
      <c r="EY667" s="98"/>
      <c r="EZ667" s="178"/>
    </row>
    <row r="668" spans="60:156">
      <c r="BH668" s="19"/>
      <c r="BI668" s="19"/>
      <c r="BJ668" s="19"/>
      <c r="BK668" s="19"/>
      <c r="BL668" s="19"/>
      <c r="BM668" s="98"/>
      <c r="BN668" s="98"/>
      <c r="BO668" s="98"/>
      <c r="BP668" s="98"/>
      <c r="BQ668" s="98"/>
      <c r="BR668" s="98"/>
      <c r="BS668" s="98"/>
      <c r="BT668" s="98"/>
      <c r="BU668" s="98"/>
      <c r="BV668" s="98"/>
      <c r="BW668" s="98"/>
      <c r="BX668" s="98"/>
      <c r="BY668" s="98"/>
      <c r="BZ668" s="98"/>
      <c r="DA668" s="177"/>
      <c r="EH668" s="19"/>
      <c r="EI668" s="19"/>
      <c r="EJ668" s="19"/>
      <c r="EK668" s="19"/>
      <c r="EL668" s="19"/>
      <c r="EM668" s="98"/>
      <c r="EN668" s="98"/>
      <c r="EO668" s="98"/>
      <c r="EP668" s="98"/>
      <c r="EQ668" s="98"/>
      <c r="ER668" s="98"/>
      <c r="ES668" s="98"/>
      <c r="ET668" s="98"/>
      <c r="EU668" s="98"/>
      <c r="EV668" s="98"/>
      <c r="EW668" s="98"/>
      <c r="EX668" s="98"/>
      <c r="EY668" s="98"/>
      <c r="EZ668" s="178"/>
    </row>
    <row r="669" spans="60:156">
      <c r="BH669" s="19"/>
      <c r="BI669" s="19"/>
      <c r="BJ669" s="19"/>
      <c r="BK669" s="19"/>
      <c r="BL669" s="19"/>
      <c r="BM669" s="98"/>
      <c r="BN669" s="98"/>
      <c r="BO669" s="98"/>
      <c r="BP669" s="98"/>
      <c r="BQ669" s="98"/>
      <c r="BR669" s="98"/>
      <c r="BS669" s="98"/>
      <c r="BT669" s="98"/>
      <c r="BU669" s="98"/>
      <c r="BV669" s="98"/>
      <c r="BW669" s="98"/>
      <c r="BX669" s="98"/>
      <c r="BY669" s="98"/>
      <c r="BZ669" s="98"/>
      <c r="DA669" s="177"/>
      <c r="EH669" s="19"/>
      <c r="EI669" s="19"/>
      <c r="EJ669" s="19"/>
      <c r="EK669" s="19"/>
      <c r="EL669" s="19"/>
      <c r="EM669" s="98"/>
      <c r="EN669" s="98"/>
      <c r="EO669" s="98"/>
      <c r="EP669" s="98"/>
      <c r="EQ669" s="98"/>
      <c r="ER669" s="98"/>
      <c r="ES669" s="98"/>
      <c r="ET669" s="98"/>
      <c r="EU669" s="98"/>
      <c r="EV669" s="98"/>
      <c r="EW669" s="98"/>
      <c r="EX669" s="98"/>
      <c r="EY669" s="98"/>
      <c r="EZ669" s="178"/>
    </row>
    <row r="670" spans="60:156">
      <c r="BH670" s="19"/>
      <c r="BI670" s="19"/>
      <c r="BJ670" s="19"/>
      <c r="BK670" s="19"/>
      <c r="BL670" s="19"/>
      <c r="BM670" s="98"/>
      <c r="BN670" s="98"/>
      <c r="BO670" s="98"/>
      <c r="BP670" s="98"/>
      <c r="BQ670" s="98"/>
      <c r="BR670" s="98"/>
      <c r="BS670" s="98"/>
      <c r="BT670" s="98"/>
      <c r="BU670" s="98"/>
      <c r="BV670" s="98"/>
      <c r="BW670" s="98"/>
      <c r="BX670" s="98"/>
      <c r="BY670" s="98"/>
      <c r="BZ670" s="98"/>
      <c r="DA670" s="177"/>
      <c r="EH670" s="19"/>
      <c r="EI670" s="19"/>
      <c r="EJ670" s="19"/>
      <c r="EK670" s="19"/>
      <c r="EL670" s="19"/>
      <c r="EM670" s="98"/>
      <c r="EN670" s="98"/>
      <c r="EO670" s="98"/>
      <c r="EP670" s="98"/>
      <c r="EQ670" s="98"/>
      <c r="ER670" s="98"/>
      <c r="ES670" s="98"/>
      <c r="ET670" s="98"/>
      <c r="EU670" s="98"/>
      <c r="EV670" s="98"/>
      <c r="EW670" s="98"/>
      <c r="EX670" s="98"/>
      <c r="EY670" s="98"/>
      <c r="EZ670" s="178"/>
    </row>
    <row r="671" spans="60:156">
      <c r="BH671" s="19"/>
      <c r="BI671" s="19"/>
      <c r="BJ671" s="19"/>
      <c r="BK671" s="19"/>
      <c r="BL671" s="19"/>
      <c r="BM671" s="98"/>
      <c r="BN671" s="98"/>
      <c r="BO671" s="98"/>
      <c r="BP671" s="98"/>
      <c r="BQ671" s="98"/>
      <c r="BR671" s="98"/>
      <c r="BS671" s="98"/>
      <c r="BT671" s="98"/>
      <c r="BU671" s="98"/>
      <c r="BV671" s="98"/>
      <c r="BW671" s="98"/>
      <c r="BX671" s="98"/>
      <c r="BY671" s="98"/>
      <c r="BZ671" s="98"/>
      <c r="DA671" s="177"/>
      <c r="EH671" s="19"/>
      <c r="EI671" s="19"/>
      <c r="EJ671" s="19"/>
      <c r="EK671" s="19"/>
      <c r="EL671" s="19"/>
      <c r="EM671" s="98"/>
      <c r="EN671" s="98"/>
      <c r="EO671" s="98"/>
      <c r="EP671" s="98"/>
      <c r="EQ671" s="98"/>
      <c r="ER671" s="98"/>
      <c r="ES671" s="98"/>
      <c r="ET671" s="98"/>
      <c r="EU671" s="98"/>
      <c r="EV671" s="98"/>
      <c r="EW671" s="98"/>
      <c r="EX671" s="98"/>
      <c r="EY671" s="98"/>
      <c r="EZ671" s="178"/>
    </row>
    <row r="672" spans="60:156">
      <c r="BH672" s="19"/>
      <c r="BI672" s="19"/>
      <c r="BJ672" s="19"/>
      <c r="BK672" s="19"/>
      <c r="BL672" s="19"/>
      <c r="BM672" s="98"/>
      <c r="BN672" s="98"/>
      <c r="BO672" s="98"/>
      <c r="BP672" s="98"/>
      <c r="BQ672" s="98"/>
      <c r="BR672" s="98"/>
      <c r="BS672" s="98"/>
      <c r="BT672" s="98"/>
      <c r="BU672" s="98"/>
      <c r="BV672" s="98"/>
      <c r="BW672" s="98"/>
      <c r="BX672" s="98"/>
      <c r="BY672" s="98"/>
      <c r="BZ672" s="98"/>
      <c r="DA672" s="177"/>
      <c r="EH672" s="19"/>
      <c r="EI672" s="19"/>
      <c r="EJ672" s="19"/>
      <c r="EK672" s="19"/>
      <c r="EL672" s="19"/>
      <c r="EM672" s="98"/>
      <c r="EN672" s="98"/>
      <c r="EO672" s="98"/>
      <c r="EP672" s="98"/>
      <c r="EQ672" s="98"/>
      <c r="ER672" s="98"/>
      <c r="ES672" s="98"/>
      <c r="ET672" s="98"/>
      <c r="EU672" s="98"/>
      <c r="EV672" s="98"/>
      <c r="EW672" s="98"/>
      <c r="EX672" s="98"/>
      <c r="EY672" s="98"/>
      <c r="EZ672" s="178"/>
    </row>
    <row r="673" spans="60:156">
      <c r="BH673" s="19"/>
      <c r="BI673" s="19"/>
      <c r="BJ673" s="19"/>
      <c r="BK673" s="19"/>
      <c r="BL673" s="19"/>
      <c r="BM673" s="98"/>
      <c r="BN673" s="98"/>
      <c r="BO673" s="98"/>
      <c r="BP673" s="98"/>
      <c r="BQ673" s="98"/>
      <c r="BR673" s="98"/>
      <c r="BS673" s="98"/>
      <c r="BT673" s="98"/>
      <c r="BU673" s="98"/>
      <c r="BV673" s="98"/>
      <c r="BW673" s="98"/>
      <c r="BX673" s="98"/>
      <c r="BY673" s="98"/>
      <c r="BZ673" s="98"/>
      <c r="DA673" s="177"/>
      <c r="EH673" s="19"/>
      <c r="EI673" s="19"/>
      <c r="EJ673" s="19"/>
      <c r="EK673" s="19"/>
      <c r="EL673" s="19"/>
      <c r="EM673" s="98"/>
      <c r="EN673" s="98"/>
      <c r="EO673" s="98"/>
      <c r="EP673" s="98"/>
      <c r="EQ673" s="98"/>
      <c r="ER673" s="98"/>
      <c r="ES673" s="98"/>
      <c r="ET673" s="98"/>
      <c r="EU673" s="98"/>
      <c r="EV673" s="98"/>
      <c r="EW673" s="98"/>
      <c r="EX673" s="98"/>
      <c r="EY673" s="98"/>
      <c r="EZ673" s="178"/>
    </row>
    <row r="674" spans="60:156">
      <c r="BH674" s="19"/>
      <c r="BI674" s="19"/>
      <c r="BJ674" s="19"/>
      <c r="BK674" s="19"/>
      <c r="BL674" s="19"/>
      <c r="BM674" s="98"/>
      <c r="BN674" s="98"/>
      <c r="BO674" s="98"/>
      <c r="BP674" s="98"/>
      <c r="BQ674" s="98"/>
      <c r="BR674" s="98"/>
      <c r="BS674" s="98"/>
      <c r="BT674" s="98"/>
      <c r="BU674" s="98"/>
      <c r="BV674" s="98"/>
      <c r="BW674" s="98"/>
      <c r="BX674" s="98"/>
      <c r="BY674" s="98"/>
      <c r="BZ674" s="98"/>
      <c r="DA674" s="177"/>
      <c r="EH674" s="19"/>
      <c r="EI674" s="19"/>
      <c r="EJ674" s="19"/>
      <c r="EK674" s="19"/>
      <c r="EL674" s="19"/>
      <c r="EM674" s="98"/>
      <c r="EN674" s="98"/>
      <c r="EO674" s="98"/>
      <c r="EP674" s="98"/>
      <c r="EQ674" s="98"/>
      <c r="ER674" s="98"/>
      <c r="ES674" s="98"/>
      <c r="ET674" s="98"/>
      <c r="EU674" s="98"/>
      <c r="EV674" s="98"/>
      <c r="EW674" s="98"/>
      <c r="EX674" s="98"/>
      <c r="EY674" s="98"/>
      <c r="EZ674" s="178"/>
    </row>
    <row r="675" spans="60:156">
      <c r="BH675" s="19"/>
      <c r="BI675" s="19"/>
      <c r="BJ675" s="19"/>
      <c r="BK675" s="19"/>
      <c r="BL675" s="19"/>
      <c r="BM675" s="98"/>
      <c r="BN675" s="98"/>
      <c r="BO675" s="98"/>
      <c r="BP675" s="98"/>
      <c r="BQ675" s="98"/>
      <c r="BR675" s="98"/>
      <c r="BS675" s="98"/>
      <c r="BT675" s="98"/>
      <c r="BU675" s="98"/>
      <c r="BV675" s="98"/>
      <c r="BW675" s="98"/>
      <c r="BX675" s="98"/>
      <c r="BY675" s="98"/>
      <c r="BZ675" s="98"/>
      <c r="DA675" s="177"/>
      <c r="EH675" s="19"/>
      <c r="EI675" s="19"/>
      <c r="EJ675" s="19"/>
      <c r="EK675" s="19"/>
      <c r="EL675" s="19"/>
      <c r="EM675" s="98"/>
      <c r="EN675" s="98"/>
      <c r="EO675" s="98"/>
      <c r="EP675" s="98"/>
      <c r="EQ675" s="98"/>
      <c r="ER675" s="98"/>
      <c r="ES675" s="98"/>
      <c r="ET675" s="98"/>
      <c r="EU675" s="98"/>
      <c r="EV675" s="98"/>
      <c r="EW675" s="98"/>
      <c r="EX675" s="98"/>
      <c r="EY675" s="98"/>
      <c r="EZ675" s="178"/>
    </row>
    <row r="676" spans="60:156">
      <c r="BH676" s="19"/>
      <c r="BI676" s="19"/>
      <c r="BJ676" s="19"/>
      <c r="BK676" s="19"/>
      <c r="BL676" s="19"/>
      <c r="BM676" s="98"/>
      <c r="BN676" s="98"/>
      <c r="BO676" s="98"/>
      <c r="BP676" s="98"/>
      <c r="BQ676" s="98"/>
      <c r="BR676" s="98"/>
      <c r="BS676" s="98"/>
      <c r="BT676" s="98"/>
      <c r="BU676" s="98"/>
      <c r="BV676" s="98"/>
      <c r="BW676" s="98"/>
      <c r="BX676" s="98"/>
      <c r="BY676" s="98"/>
      <c r="BZ676" s="98"/>
      <c r="DA676" s="177"/>
      <c r="EH676" s="19"/>
      <c r="EI676" s="19"/>
      <c r="EJ676" s="19"/>
      <c r="EK676" s="19"/>
      <c r="EL676" s="19"/>
      <c r="EM676" s="98"/>
      <c r="EN676" s="98"/>
      <c r="EO676" s="98"/>
      <c r="EP676" s="98"/>
      <c r="EQ676" s="98"/>
      <c r="ER676" s="98"/>
      <c r="ES676" s="98"/>
      <c r="ET676" s="98"/>
      <c r="EU676" s="98"/>
      <c r="EV676" s="98"/>
      <c r="EW676" s="98"/>
      <c r="EX676" s="98"/>
      <c r="EY676" s="98"/>
      <c r="EZ676" s="178"/>
    </row>
    <row r="677" spans="60:156">
      <c r="BH677" s="19"/>
      <c r="BI677" s="19"/>
      <c r="BJ677" s="19"/>
      <c r="BK677" s="19"/>
      <c r="BL677" s="19"/>
      <c r="BM677" s="98"/>
      <c r="BN677" s="98"/>
      <c r="BO677" s="98"/>
      <c r="BP677" s="98"/>
      <c r="BQ677" s="98"/>
      <c r="BR677" s="98"/>
      <c r="BS677" s="98"/>
      <c r="BT677" s="98"/>
      <c r="BU677" s="98"/>
      <c r="BV677" s="98"/>
      <c r="BW677" s="98"/>
      <c r="BX677" s="98"/>
      <c r="BY677" s="98"/>
      <c r="BZ677" s="98"/>
      <c r="DA677" s="177"/>
      <c r="EH677" s="19"/>
      <c r="EI677" s="19"/>
      <c r="EJ677" s="19"/>
      <c r="EK677" s="19"/>
      <c r="EL677" s="19"/>
      <c r="EM677" s="98"/>
      <c r="EN677" s="98"/>
      <c r="EO677" s="98"/>
      <c r="EP677" s="98"/>
      <c r="EQ677" s="98"/>
      <c r="ER677" s="98"/>
      <c r="ES677" s="98"/>
      <c r="ET677" s="98"/>
      <c r="EU677" s="98"/>
      <c r="EV677" s="98"/>
      <c r="EW677" s="98"/>
      <c r="EX677" s="98"/>
      <c r="EY677" s="98"/>
      <c r="EZ677" s="178"/>
    </row>
    <row r="678" spans="60:156">
      <c r="BH678" s="19"/>
      <c r="BI678" s="19"/>
      <c r="BJ678" s="19"/>
      <c r="BK678" s="19"/>
      <c r="BL678" s="19"/>
      <c r="BM678" s="98"/>
      <c r="BN678" s="98"/>
      <c r="BO678" s="98"/>
      <c r="BP678" s="98"/>
      <c r="BQ678" s="98"/>
      <c r="BR678" s="98"/>
      <c r="BS678" s="98"/>
      <c r="BT678" s="98"/>
      <c r="BU678" s="98"/>
      <c r="BV678" s="98"/>
      <c r="BW678" s="98"/>
      <c r="BX678" s="98"/>
      <c r="BY678" s="98"/>
      <c r="BZ678" s="98"/>
      <c r="DA678" s="177"/>
      <c r="EH678" s="19"/>
      <c r="EI678" s="19"/>
      <c r="EJ678" s="19"/>
      <c r="EK678" s="19"/>
      <c r="EL678" s="19"/>
      <c r="EM678" s="98"/>
      <c r="EN678" s="98"/>
      <c r="EO678" s="98"/>
      <c r="EP678" s="98"/>
      <c r="EQ678" s="98"/>
      <c r="ER678" s="98"/>
      <c r="ES678" s="98"/>
      <c r="ET678" s="98"/>
      <c r="EU678" s="98"/>
      <c r="EV678" s="98"/>
      <c r="EW678" s="98"/>
      <c r="EX678" s="98"/>
      <c r="EY678" s="98"/>
      <c r="EZ678" s="178"/>
    </row>
    <row r="679" spans="60:156">
      <c r="BH679" s="19"/>
      <c r="BI679" s="19"/>
      <c r="BJ679" s="19"/>
      <c r="BK679" s="19"/>
      <c r="BL679" s="19"/>
      <c r="BM679" s="98"/>
      <c r="BN679" s="98"/>
      <c r="BO679" s="98"/>
      <c r="BP679" s="98"/>
      <c r="BQ679" s="98"/>
      <c r="BR679" s="98"/>
      <c r="BS679" s="98"/>
      <c r="BT679" s="98"/>
      <c r="BU679" s="98"/>
      <c r="BV679" s="98"/>
      <c r="BW679" s="98"/>
      <c r="BX679" s="98"/>
      <c r="BY679" s="98"/>
      <c r="BZ679" s="98"/>
      <c r="DA679" s="177"/>
      <c r="EH679" s="19"/>
      <c r="EI679" s="19"/>
      <c r="EJ679" s="19"/>
      <c r="EK679" s="19"/>
      <c r="EL679" s="19"/>
      <c r="EM679" s="98"/>
      <c r="EN679" s="98"/>
      <c r="EO679" s="98"/>
      <c r="EP679" s="98"/>
      <c r="EQ679" s="98"/>
      <c r="ER679" s="98"/>
      <c r="ES679" s="98"/>
      <c r="ET679" s="98"/>
      <c r="EU679" s="98"/>
      <c r="EV679" s="98"/>
      <c r="EW679" s="98"/>
      <c r="EX679" s="98"/>
      <c r="EY679" s="98"/>
      <c r="EZ679" s="178"/>
    </row>
    <row r="680" spans="60:156">
      <c r="BH680" s="19"/>
      <c r="BI680" s="19"/>
      <c r="BJ680" s="19"/>
      <c r="BK680" s="19"/>
      <c r="BL680" s="19"/>
      <c r="BM680" s="98"/>
      <c r="BN680" s="98"/>
      <c r="BO680" s="98"/>
      <c r="BP680" s="98"/>
      <c r="BQ680" s="98"/>
      <c r="BR680" s="98"/>
      <c r="BS680" s="98"/>
      <c r="BT680" s="98"/>
      <c r="BU680" s="98"/>
      <c r="BV680" s="98"/>
      <c r="BW680" s="98"/>
      <c r="BX680" s="98"/>
      <c r="BY680" s="98"/>
      <c r="BZ680" s="98"/>
      <c r="DA680" s="177"/>
      <c r="EH680" s="19"/>
      <c r="EI680" s="19"/>
      <c r="EJ680" s="19"/>
      <c r="EK680" s="19"/>
      <c r="EL680" s="19"/>
      <c r="EM680" s="98"/>
      <c r="EN680" s="98"/>
      <c r="EO680" s="98"/>
      <c r="EP680" s="98"/>
      <c r="EQ680" s="98"/>
      <c r="ER680" s="98"/>
      <c r="ES680" s="98"/>
      <c r="ET680" s="98"/>
      <c r="EU680" s="98"/>
      <c r="EV680" s="98"/>
      <c r="EW680" s="98"/>
      <c r="EX680" s="98"/>
      <c r="EY680" s="98"/>
      <c r="EZ680" s="178"/>
    </row>
    <row r="681" spans="60:156">
      <c r="BH681" s="19"/>
      <c r="BI681" s="19"/>
      <c r="BJ681" s="19"/>
      <c r="BK681" s="19"/>
      <c r="BL681" s="19"/>
      <c r="BM681" s="98"/>
      <c r="BN681" s="98"/>
      <c r="BO681" s="98"/>
      <c r="BP681" s="98"/>
      <c r="BQ681" s="98"/>
      <c r="BR681" s="98"/>
      <c r="BS681" s="98"/>
      <c r="BT681" s="98"/>
      <c r="BU681" s="98"/>
      <c r="BV681" s="98"/>
      <c r="BW681" s="98"/>
      <c r="BX681" s="98"/>
      <c r="BY681" s="98"/>
      <c r="BZ681" s="98"/>
      <c r="DA681" s="177"/>
      <c r="EH681" s="19"/>
      <c r="EI681" s="19"/>
      <c r="EJ681" s="19"/>
      <c r="EK681" s="19"/>
      <c r="EL681" s="19"/>
      <c r="EM681" s="98"/>
      <c r="EN681" s="98"/>
      <c r="EO681" s="98"/>
      <c r="EP681" s="98"/>
      <c r="EQ681" s="98"/>
      <c r="ER681" s="98"/>
      <c r="ES681" s="98"/>
      <c r="ET681" s="98"/>
      <c r="EU681" s="98"/>
      <c r="EV681" s="98"/>
      <c r="EW681" s="98"/>
      <c r="EX681" s="98"/>
      <c r="EY681" s="98"/>
      <c r="EZ681" s="178"/>
    </row>
    <row r="682" spans="60:156">
      <c r="BH682" s="19"/>
      <c r="BI682" s="19"/>
      <c r="BJ682" s="19"/>
      <c r="BK682" s="19"/>
      <c r="BL682" s="19"/>
      <c r="BM682" s="98"/>
      <c r="BN682" s="98"/>
      <c r="BO682" s="98"/>
      <c r="BP682" s="98"/>
      <c r="BQ682" s="98"/>
      <c r="BR682" s="98"/>
      <c r="BS682" s="98"/>
      <c r="BT682" s="98"/>
      <c r="BU682" s="98"/>
      <c r="BV682" s="98"/>
      <c r="BW682" s="98"/>
      <c r="BX682" s="98"/>
      <c r="BY682" s="98"/>
      <c r="BZ682" s="98"/>
      <c r="DA682" s="177"/>
      <c r="EH682" s="19"/>
      <c r="EI682" s="19"/>
      <c r="EJ682" s="19"/>
      <c r="EK682" s="19"/>
      <c r="EL682" s="19"/>
      <c r="EM682" s="98"/>
      <c r="EN682" s="98"/>
      <c r="EO682" s="98"/>
      <c r="EP682" s="98"/>
      <c r="EQ682" s="98"/>
      <c r="ER682" s="98"/>
      <c r="ES682" s="98"/>
      <c r="ET682" s="98"/>
      <c r="EU682" s="98"/>
      <c r="EV682" s="98"/>
      <c r="EW682" s="98"/>
      <c r="EX682" s="98"/>
      <c r="EY682" s="98"/>
      <c r="EZ682" s="178"/>
    </row>
    <row r="683" spans="60:156">
      <c r="BH683" s="19"/>
      <c r="BI683" s="19"/>
      <c r="BJ683" s="19"/>
      <c r="BK683" s="19"/>
      <c r="BL683" s="19"/>
      <c r="BM683" s="98"/>
      <c r="BN683" s="98"/>
      <c r="BO683" s="98"/>
      <c r="BP683" s="98"/>
      <c r="BQ683" s="98"/>
      <c r="BR683" s="98"/>
      <c r="BS683" s="98"/>
      <c r="BT683" s="98"/>
      <c r="BU683" s="98"/>
      <c r="BV683" s="98"/>
      <c r="BW683" s="98"/>
      <c r="BX683" s="98"/>
      <c r="BY683" s="98"/>
      <c r="BZ683" s="98"/>
      <c r="DA683" s="177"/>
      <c r="EH683" s="19"/>
      <c r="EI683" s="19"/>
      <c r="EJ683" s="19"/>
      <c r="EK683" s="19"/>
      <c r="EL683" s="19"/>
      <c r="EM683" s="98"/>
      <c r="EN683" s="98"/>
      <c r="EO683" s="98"/>
      <c r="EP683" s="98"/>
      <c r="EQ683" s="98"/>
      <c r="ER683" s="98"/>
      <c r="ES683" s="98"/>
      <c r="ET683" s="98"/>
      <c r="EU683" s="98"/>
      <c r="EV683" s="98"/>
      <c r="EW683" s="98"/>
      <c r="EX683" s="98"/>
      <c r="EY683" s="98"/>
      <c r="EZ683" s="178"/>
    </row>
    <row r="684" spans="60:156">
      <c r="BH684" s="19"/>
      <c r="BI684" s="19"/>
      <c r="BJ684" s="19"/>
      <c r="BK684" s="19"/>
      <c r="BL684" s="19"/>
      <c r="BM684" s="98"/>
      <c r="BN684" s="98"/>
      <c r="BO684" s="98"/>
      <c r="BP684" s="98"/>
      <c r="BQ684" s="98"/>
      <c r="BR684" s="98"/>
      <c r="BS684" s="98"/>
      <c r="BT684" s="98"/>
      <c r="BU684" s="98"/>
      <c r="BV684" s="98"/>
      <c r="BW684" s="98"/>
      <c r="BX684" s="98"/>
      <c r="BY684" s="98"/>
      <c r="BZ684" s="98"/>
      <c r="DA684" s="177"/>
      <c r="EH684" s="19"/>
      <c r="EI684" s="19"/>
      <c r="EJ684" s="19"/>
      <c r="EK684" s="19"/>
      <c r="EL684" s="19"/>
      <c r="EM684" s="98"/>
      <c r="EN684" s="98"/>
      <c r="EO684" s="98"/>
      <c r="EP684" s="98"/>
      <c r="EQ684" s="98"/>
      <c r="ER684" s="98"/>
      <c r="ES684" s="98"/>
      <c r="ET684" s="98"/>
      <c r="EU684" s="98"/>
      <c r="EV684" s="98"/>
      <c r="EW684" s="98"/>
      <c r="EX684" s="98"/>
      <c r="EY684" s="98"/>
      <c r="EZ684" s="178"/>
    </row>
    <row r="685" spans="60:156">
      <c r="BH685" s="19"/>
      <c r="BI685" s="19"/>
      <c r="BJ685" s="19"/>
      <c r="BK685" s="19"/>
      <c r="BL685" s="19"/>
      <c r="BM685" s="98"/>
      <c r="BN685" s="98"/>
      <c r="BO685" s="98"/>
      <c r="BP685" s="98"/>
      <c r="BQ685" s="98"/>
      <c r="BR685" s="98"/>
      <c r="BS685" s="98"/>
      <c r="BT685" s="98"/>
      <c r="BU685" s="98"/>
      <c r="BV685" s="98"/>
      <c r="BW685" s="98"/>
      <c r="BX685" s="98"/>
      <c r="BY685" s="98"/>
      <c r="BZ685" s="98"/>
      <c r="DA685" s="177"/>
      <c r="EH685" s="19"/>
      <c r="EI685" s="19"/>
      <c r="EJ685" s="19"/>
      <c r="EK685" s="19"/>
      <c r="EL685" s="19"/>
      <c r="EM685" s="98"/>
      <c r="EN685" s="98"/>
      <c r="EO685" s="98"/>
      <c r="EP685" s="98"/>
      <c r="EQ685" s="98"/>
      <c r="ER685" s="98"/>
      <c r="ES685" s="98"/>
      <c r="ET685" s="98"/>
      <c r="EU685" s="98"/>
      <c r="EV685" s="98"/>
      <c r="EW685" s="98"/>
      <c r="EX685" s="98"/>
      <c r="EY685" s="98"/>
      <c r="EZ685" s="178"/>
    </row>
    <row r="686" spans="60:156">
      <c r="BH686" s="19"/>
      <c r="BI686" s="19"/>
      <c r="BJ686" s="19"/>
      <c r="BK686" s="19"/>
      <c r="BL686" s="19"/>
      <c r="BM686" s="98"/>
      <c r="BN686" s="98"/>
      <c r="BO686" s="98"/>
      <c r="BP686" s="98"/>
      <c r="BQ686" s="98"/>
      <c r="BR686" s="98"/>
      <c r="BS686" s="98"/>
      <c r="BT686" s="98"/>
      <c r="BU686" s="98"/>
      <c r="BV686" s="98"/>
      <c r="BW686" s="98"/>
      <c r="BX686" s="98"/>
      <c r="BY686" s="98"/>
      <c r="BZ686" s="98"/>
      <c r="DA686" s="177"/>
      <c r="EH686" s="19"/>
      <c r="EI686" s="19"/>
      <c r="EJ686" s="19"/>
      <c r="EK686" s="19"/>
      <c r="EL686" s="19"/>
      <c r="EM686" s="98"/>
      <c r="EN686" s="98"/>
      <c r="EO686" s="98"/>
      <c r="EP686" s="98"/>
      <c r="EQ686" s="98"/>
      <c r="ER686" s="98"/>
      <c r="ES686" s="98"/>
      <c r="ET686" s="98"/>
      <c r="EU686" s="98"/>
      <c r="EV686" s="98"/>
      <c r="EW686" s="98"/>
      <c r="EX686" s="98"/>
      <c r="EY686" s="98"/>
      <c r="EZ686" s="178"/>
    </row>
    <row r="687" spans="60:156">
      <c r="BH687" s="19"/>
      <c r="BI687" s="19"/>
      <c r="BJ687" s="19"/>
      <c r="BK687" s="19"/>
      <c r="BL687" s="19"/>
      <c r="BM687" s="98"/>
      <c r="BN687" s="98"/>
      <c r="BO687" s="98"/>
      <c r="BP687" s="98"/>
      <c r="BQ687" s="98"/>
      <c r="BR687" s="98"/>
      <c r="BS687" s="98"/>
      <c r="BT687" s="98"/>
      <c r="BU687" s="98"/>
      <c r="BV687" s="98"/>
      <c r="BW687" s="98"/>
      <c r="BX687" s="98"/>
      <c r="BY687" s="98"/>
      <c r="BZ687" s="98"/>
      <c r="DA687" s="177"/>
      <c r="EH687" s="19"/>
      <c r="EI687" s="19"/>
      <c r="EJ687" s="19"/>
      <c r="EK687" s="19"/>
      <c r="EL687" s="19"/>
      <c r="EM687" s="98"/>
      <c r="EN687" s="98"/>
      <c r="EO687" s="98"/>
      <c r="EP687" s="98"/>
      <c r="EQ687" s="98"/>
      <c r="ER687" s="98"/>
      <c r="ES687" s="98"/>
      <c r="ET687" s="98"/>
      <c r="EU687" s="98"/>
      <c r="EV687" s="98"/>
      <c r="EW687" s="98"/>
      <c r="EX687" s="98"/>
      <c r="EY687" s="98"/>
      <c r="EZ687" s="178"/>
    </row>
    <row r="688" spans="60:156">
      <c r="BH688" s="19"/>
      <c r="BI688" s="19"/>
      <c r="BJ688" s="19"/>
      <c r="BK688" s="19"/>
      <c r="BL688" s="19"/>
      <c r="BM688" s="98"/>
      <c r="BN688" s="98"/>
      <c r="BO688" s="98"/>
      <c r="BP688" s="98"/>
      <c r="BQ688" s="98"/>
      <c r="BR688" s="98"/>
      <c r="BS688" s="98"/>
      <c r="BT688" s="98"/>
      <c r="BU688" s="98"/>
      <c r="BV688" s="98"/>
      <c r="BW688" s="98"/>
      <c r="BX688" s="98"/>
      <c r="BY688" s="98"/>
      <c r="BZ688" s="98"/>
      <c r="DA688" s="177"/>
      <c r="EH688" s="19"/>
      <c r="EI688" s="19"/>
      <c r="EJ688" s="19"/>
      <c r="EK688" s="19"/>
      <c r="EL688" s="19"/>
      <c r="EM688" s="98"/>
      <c r="EN688" s="98"/>
      <c r="EO688" s="98"/>
      <c r="EP688" s="98"/>
      <c r="EQ688" s="98"/>
      <c r="ER688" s="98"/>
      <c r="ES688" s="98"/>
      <c r="ET688" s="98"/>
      <c r="EU688" s="98"/>
      <c r="EV688" s="98"/>
      <c r="EW688" s="98"/>
      <c r="EX688" s="98"/>
      <c r="EY688" s="98"/>
      <c r="EZ688" s="178"/>
    </row>
    <row r="689" spans="60:156">
      <c r="BH689" s="19"/>
      <c r="BI689" s="19"/>
      <c r="BJ689" s="19"/>
      <c r="BK689" s="19"/>
      <c r="BL689" s="19"/>
      <c r="BM689" s="98"/>
      <c r="BN689" s="98"/>
      <c r="BO689" s="98"/>
      <c r="BP689" s="98"/>
      <c r="BQ689" s="98"/>
      <c r="BR689" s="98"/>
      <c r="BS689" s="98"/>
      <c r="BT689" s="98"/>
      <c r="BU689" s="98"/>
      <c r="BV689" s="98"/>
      <c r="BW689" s="98"/>
      <c r="BX689" s="98"/>
      <c r="BY689" s="98"/>
      <c r="BZ689" s="98"/>
      <c r="DA689" s="177"/>
      <c r="EH689" s="19"/>
      <c r="EI689" s="19"/>
      <c r="EJ689" s="19"/>
      <c r="EK689" s="19"/>
      <c r="EL689" s="19"/>
      <c r="EM689" s="98"/>
      <c r="EN689" s="98"/>
      <c r="EO689" s="98"/>
      <c r="EP689" s="98"/>
      <c r="EQ689" s="98"/>
      <c r="ER689" s="98"/>
      <c r="ES689" s="98"/>
      <c r="ET689" s="98"/>
      <c r="EU689" s="98"/>
      <c r="EV689" s="98"/>
      <c r="EW689" s="98"/>
      <c r="EX689" s="98"/>
      <c r="EY689" s="98"/>
      <c r="EZ689" s="178"/>
    </row>
    <row r="690" spans="60:156">
      <c r="BH690" s="19"/>
      <c r="BI690" s="19"/>
      <c r="BJ690" s="19"/>
      <c r="BK690" s="19"/>
      <c r="BL690" s="19"/>
      <c r="BM690" s="98"/>
      <c r="BN690" s="98"/>
      <c r="BO690" s="98"/>
      <c r="BP690" s="98"/>
      <c r="BQ690" s="98"/>
      <c r="BR690" s="98"/>
      <c r="BS690" s="98"/>
      <c r="BT690" s="98"/>
      <c r="BU690" s="98"/>
      <c r="BV690" s="98"/>
      <c r="BW690" s="98"/>
      <c r="BX690" s="98"/>
      <c r="BY690" s="98"/>
      <c r="BZ690" s="98"/>
      <c r="DA690" s="177"/>
      <c r="EH690" s="19"/>
      <c r="EI690" s="19"/>
      <c r="EJ690" s="19"/>
      <c r="EK690" s="19"/>
      <c r="EL690" s="19"/>
      <c r="EM690" s="98"/>
      <c r="EN690" s="98"/>
      <c r="EO690" s="98"/>
      <c r="EP690" s="98"/>
      <c r="EQ690" s="98"/>
      <c r="ER690" s="98"/>
      <c r="ES690" s="98"/>
      <c r="ET690" s="98"/>
      <c r="EU690" s="98"/>
      <c r="EV690" s="98"/>
      <c r="EW690" s="98"/>
      <c r="EX690" s="98"/>
      <c r="EY690" s="98"/>
      <c r="EZ690" s="178"/>
    </row>
    <row r="691" spans="60:156">
      <c r="BH691" s="19"/>
      <c r="BI691" s="19"/>
      <c r="BJ691" s="19"/>
      <c r="BK691" s="19"/>
      <c r="BL691" s="19"/>
      <c r="BM691" s="98"/>
      <c r="BN691" s="98"/>
      <c r="BO691" s="98"/>
      <c r="BP691" s="98"/>
      <c r="BQ691" s="98"/>
      <c r="BR691" s="98"/>
      <c r="BS691" s="98"/>
      <c r="BT691" s="98"/>
      <c r="BU691" s="98"/>
      <c r="BV691" s="98"/>
      <c r="BW691" s="98"/>
      <c r="BX691" s="98"/>
      <c r="BY691" s="98"/>
      <c r="BZ691" s="98"/>
      <c r="DA691" s="177"/>
      <c r="EH691" s="19"/>
      <c r="EI691" s="19"/>
      <c r="EJ691" s="19"/>
      <c r="EK691" s="19"/>
      <c r="EL691" s="19"/>
      <c r="EM691" s="98"/>
      <c r="EN691" s="98"/>
      <c r="EO691" s="98"/>
      <c r="EP691" s="98"/>
      <c r="EQ691" s="98"/>
      <c r="ER691" s="98"/>
      <c r="ES691" s="98"/>
      <c r="ET691" s="98"/>
      <c r="EU691" s="98"/>
      <c r="EV691" s="98"/>
      <c r="EW691" s="98"/>
      <c r="EX691" s="98"/>
      <c r="EY691" s="98"/>
      <c r="EZ691" s="178"/>
    </row>
    <row r="692" spans="60:156">
      <c r="BH692" s="19"/>
      <c r="BI692" s="19"/>
      <c r="BJ692" s="19"/>
      <c r="BK692" s="19"/>
      <c r="BL692" s="19"/>
      <c r="BM692" s="98"/>
      <c r="BN692" s="98"/>
      <c r="BO692" s="98"/>
      <c r="BP692" s="98"/>
      <c r="BQ692" s="98"/>
      <c r="BR692" s="98"/>
      <c r="BS692" s="98"/>
      <c r="BT692" s="98"/>
      <c r="BU692" s="98"/>
      <c r="BV692" s="98"/>
      <c r="BW692" s="98"/>
      <c r="BX692" s="98"/>
      <c r="BY692" s="98"/>
      <c r="BZ692" s="98"/>
      <c r="DA692" s="177"/>
      <c r="EH692" s="19"/>
      <c r="EI692" s="19"/>
      <c r="EJ692" s="19"/>
      <c r="EK692" s="19"/>
      <c r="EL692" s="19"/>
      <c r="EM692" s="98"/>
      <c r="EN692" s="98"/>
      <c r="EO692" s="98"/>
      <c r="EP692" s="98"/>
      <c r="EQ692" s="98"/>
      <c r="ER692" s="98"/>
      <c r="ES692" s="98"/>
      <c r="ET692" s="98"/>
      <c r="EU692" s="98"/>
      <c r="EV692" s="98"/>
      <c r="EW692" s="98"/>
      <c r="EX692" s="98"/>
      <c r="EY692" s="98"/>
      <c r="EZ692" s="178"/>
    </row>
    <row r="693" spans="60:156">
      <c r="BH693" s="19"/>
      <c r="BI693" s="19"/>
      <c r="BJ693" s="19"/>
      <c r="BK693" s="19"/>
      <c r="BL693" s="19"/>
      <c r="BM693" s="98"/>
      <c r="BN693" s="98"/>
      <c r="BO693" s="98"/>
      <c r="BP693" s="98"/>
      <c r="BQ693" s="98"/>
      <c r="BR693" s="98"/>
      <c r="BS693" s="98"/>
      <c r="BT693" s="98"/>
      <c r="BU693" s="98"/>
      <c r="BV693" s="98"/>
      <c r="BW693" s="98"/>
      <c r="BX693" s="98"/>
      <c r="BY693" s="98"/>
      <c r="BZ693" s="98"/>
      <c r="DA693" s="177"/>
      <c r="EH693" s="19"/>
      <c r="EI693" s="19"/>
      <c r="EJ693" s="19"/>
      <c r="EK693" s="19"/>
      <c r="EL693" s="19"/>
      <c r="EM693" s="98"/>
      <c r="EN693" s="98"/>
      <c r="EO693" s="98"/>
      <c r="EP693" s="98"/>
      <c r="EQ693" s="98"/>
      <c r="ER693" s="98"/>
      <c r="ES693" s="98"/>
      <c r="ET693" s="98"/>
      <c r="EU693" s="98"/>
      <c r="EV693" s="98"/>
      <c r="EW693" s="98"/>
      <c r="EX693" s="98"/>
      <c r="EY693" s="98"/>
      <c r="EZ693" s="178"/>
    </row>
    <row r="694" spans="60:156">
      <c r="BH694" s="19"/>
      <c r="BI694" s="19"/>
      <c r="BJ694" s="19"/>
      <c r="BK694" s="19"/>
      <c r="BL694" s="19"/>
      <c r="BM694" s="98"/>
      <c r="BN694" s="98"/>
      <c r="BO694" s="98"/>
      <c r="BP694" s="98"/>
      <c r="BQ694" s="98"/>
      <c r="BR694" s="98"/>
      <c r="BS694" s="98"/>
      <c r="BT694" s="98"/>
      <c r="BU694" s="98"/>
      <c r="BV694" s="98"/>
      <c r="BW694" s="98"/>
      <c r="BX694" s="98"/>
      <c r="BY694" s="98"/>
      <c r="BZ694" s="98"/>
      <c r="DA694" s="177"/>
      <c r="EH694" s="19"/>
      <c r="EI694" s="19"/>
      <c r="EJ694" s="19"/>
      <c r="EK694" s="19"/>
      <c r="EL694" s="19"/>
      <c r="EM694" s="98"/>
      <c r="EN694" s="98"/>
      <c r="EO694" s="98"/>
      <c r="EP694" s="98"/>
      <c r="EQ694" s="98"/>
      <c r="ER694" s="98"/>
      <c r="ES694" s="98"/>
      <c r="ET694" s="98"/>
      <c r="EU694" s="98"/>
      <c r="EV694" s="98"/>
      <c r="EW694" s="98"/>
      <c r="EX694" s="98"/>
      <c r="EY694" s="98"/>
      <c r="EZ694" s="178"/>
    </row>
    <row r="695" spans="60:156">
      <c r="BH695" s="19"/>
      <c r="BI695" s="19"/>
      <c r="BJ695" s="19"/>
      <c r="BK695" s="19"/>
      <c r="BL695" s="19"/>
      <c r="BM695" s="98"/>
      <c r="BN695" s="98"/>
      <c r="BO695" s="98"/>
      <c r="BP695" s="98"/>
      <c r="BQ695" s="98"/>
      <c r="BR695" s="98"/>
      <c r="BS695" s="98"/>
      <c r="BT695" s="98"/>
      <c r="BU695" s="98"/>
      <c r="BV695" s="98"/>
      <c r="BW695" s="98"/>
      <c r="BX695" s="98"/>
      <c r="BY695" s="98"/>
      <c r="BZ695" s="98"/>
      <c r="DA695" s="177"/>
      <c r="EH695" s="19"/>
      <c r="EI695" s="19"/>
      <c r="EJ695" s="19"/>
      <c r="EK695" s="19"/>
      <c r="EL695" s="19"/>
      <c r="EM695" s="98"/>
      <c r="EN695" s="98"/>
      <c r="EO695" s="98"/>
      <c r="EP695" s="98"/>
      <c r="EQ695" s="98"/>
      <c r="ER695" s="98"/>
      <c r="ES695" s="98"/>
      <c r="ET695" s="98"/>
      <c r="EU695" s="98"/>
      <c r="EV695" s="98"/>
      <c r="EW695" s="98"/>
      <c r="EX695" s="98"/>
      <c r="EY695" s="98"/>
      <c r="EZ695" s="178"/>
    </row>
    <row r="696" spans="60:156">
      <c r="BH696" s="19"/>
      <c r="BI696" s="19"/>
      <c r="BJ696" s="19"/>
      <c r="BK696" s="19"/>
      <c r="BL696" s="19"/>
      <c r="BM696" s="98"/>
      <c r="BN696" s="98"/>
      <c r="BO696" s="98"/>
      <c r="BP696" s="98"/>
      <c r="BQ696" s="98"/>
      <c r="BR696" s="98"/>
      <c r="BS696" s="98"/>
      <c r="BT696" s="98"/>
      <c r="BU696" s="98"/>
      <c r="BV696" s="98"/>
      <c r="BW696" s="98"/>
      <c r="BX696" s="98"/>
      <c r="BY696" s="98"/>
      <c r="BZ696" s="98"/>
      <c r="DA696" s="177"/>
      <c r="EH696" s="19"/>
      <c r="EI696" s="19"/>
      <c r="EJ696" s="19"/>
      <c r="EK696" s="19"/>
      <c r="EL696" s="19"/>
      <c r="EM696" s="98"/>
      <c r="EN696" s="98"/>
      <c r="EO696" s="98"/>
      <c r="EP696" s="98"/>
      <c r="EQ696" s="98"/>
      <c r="ER696" s="98"/>
      <c r="ES696" s="98"/>
      <c r="ET696" s="98"/>
      <c r="EU696" s="98"/>
      <c r="EV696" s="98"/>
      <c r="EW696" s="98"/>
      <c r="EX696" s="98"/>
      <c r="EY696" s="98"/>
      <c r="EZ696" s="178"/>
    </row>
    <row r="697" spans="60:156">
      <c r="BH697" s="19"/>
      <c r="BI697" s="19"/>
      <c r="BJ697" s="19"/>
      <c r="BK697" s="19"/>
      <c r="BL697" s="19"/>
      <c r="BM697" s="98"/>
      <c r="BN697" s="98"/>
      <c r="BO697" s="98"/>
      <c r="BP697" s="98"/>
      <c r="BQ697" s="98"/>
      <c r="BR697" s="98"/>
      <c r="BS697" s="98"/>
      <c r="BT697" s="98"/>
      <c r="BU697" s="98"/>
      <c r="BV697" s="98"/>
      <c r="BW697" s="98"/>
      <c r="BX697" s="98"/>
      <c r="BY697" s="98"/>
      <c r="BZ697" s="98"/>
      <c r="DA697" s="177"/>
      <c r="EH697" s="19"/>
      <c r="EI697" s="19"/>
      <c r="EJ697" s="19"/>
      <c r="EK697" s="19"/>
      <c r="EL697" s="19"/>
      <c r="EM697" s="98"/>
      <c r="EN697" s="98"/>
      <c r="EO697" s="98"/>
      <c r="EP697" s="98"/>
      <c r="EQ697" s="98"/>
      <c r="ER697" s="98"/>
      <c r="ES697" s="98"/>
      <c r="ET697" s="98"/>
      <c r="EU697" s="98"/>
      <c r="EV697" s="98"/>
      <c r="EW697" s="98"/>
      <c r="EX697" s="98"/>
      <c r="EY697" s="98"/>
      <c r="EZ697" s="178"/>
    </row>
    <row r="698" spans="60:156">
      <c r="BH698" s="19"/>
      <c r="BI698" s="19"/>
      <c r="BJ698" s="19"/>
      <c r="BK698" s="19"/>
      <c r="BL698" s="19"/>
      <c r="BM698" s="98"/>
      <c r="BN698" s="98"/>
      <c r="BO698" s="98"/>
      <c r="BP698" s="98"/>
      <c r="BQ698" s="98"/>
      <c r="BR698" s="98"/>
      <c r="BS698" s="98"/>
      <c r="BT698" s="98"/>
      <c r="BU698" s="98"/>
      <c r="BV698" s="98"/>
      <c r="BW698" s="98"/>
      <c r="BX698" s="98"/>
      <c r="BY698" s="98"/>
      <c r="BZ698" s="98"/>
      <c r="DA698" s="177"/>
      <c r="EH698" s="19"/>
      <c r="EI698" s="19"/>
      <c r="EJ698" s="19"/>
      <c r="EK698" s="19"/>
      <c r="EL698" s="19"/>
      <c r="EM698" s="98"/>
      <c r="EN698" s="98"/>
      <c r="EO698" s="98"/>
      <c r="EP698" s="98"/>
      <c r="EQ698" s="98"/>
      <c r="ER698" s="98"/>
      <c r="ES698" s="98"/>
      <c r="ET698" s="98"/>
      <c r="EU698" s="98"/>
      <c r="EV698" s="98"/>
      <c r="EW698" s="98"/>
      <c r="EX698" s="98"/>
      <c r="EY698" s="98"/>
      <c r="EZ698" s="178"/>
    </row>
    <row r="699" spans="60:156">
      <c r="BH699" s="19"/>
      <c r="BI699" s="19"/>
      <c r="BJ699" s="19"/>
      <c r="BK699" s="19"/>
      <c r="BL699" s="19"/>
      <c r="BM699" s="98"/>
      <c r="BN699" s="98"/>
      <c r="BO699" s="98"/>
      <c r="BP699" s="98"/>
      <c r="BQ699" s="98"/>
      <c r="BR699" s="98"/>
      <c r="BS699" s="98"/>
      <c r="BT699" s="98"/>
      <c r="BU699" s="98"/>
      <c r="BV699" s="98"/>
      <c r="BW699" s="98"/>
      <c r="BX699" s="98"/>
      <c r="BY699" s="98"/>
      <c r="BZ699" s="98"/>
      <c r="DA699" s="177"/>
      <c r="EH699" s="19"/>
      <c r="EI699" s="19"/>
      <c r="EJ699" s="19"/>
      <c r="EK699" s="19"/>
      <c r="EL699" s="19"/>
      <c r="EM699" s="98"/>
      <c r="EN699" s="98"/>
      <c r="EO699" s="98"/>
      <c r="EP699" s="98"/>
      <c r="EQ699" s="98"/>
      <c r="ER699" s="98"/>
      <c r="ES699" s="98"/>
      <c r="ET699" s="98"/>
      <c r="EU699" s="98"/>
      <c r="EV699" s="98"/>
      <c r="EW699" s="98"/>
      <c r="EX699" s="98"/>
      <c r="EY699" s="98"/>
      <c r="EZ699" s="178"/>
    </row>
    <row r="700" spans="60:156">
      <c r="BH700" s="19"/>
      <c r="BI700" s="19"/>
      <c r="BJ700" s="19"/>
      <c r="BK700" s="19"/>
      <c r="BL700" s="19"/>
      <c r="BM700" s="98"/>
      <c r="BN700" s="98"/>
      <c r="BO700" s="98"/>
      <c r="BP700" s="98"/>
      <c r="BQ700" s="98"/>
      <c r="BR700" s="98"/>
      <c r="BS700" s="98"/>
      <c r="BT700" s="98"/>
      <c r="BU700" s="98"/>
      <c r="BV700" s="98"/>
      <c r="BW700" s="98"/>
      <c r="BX700" s="98"/>
      <c r="BY700" s="98"/>
      <c r="BZ700" s="98"/>
      <c r="DA700" s="177"/>
      <c r="EH700" s="19"/>
      <c r="EI700" s="19"/>
      <c r="EJ700" s="19"/>
      <c r="EK700" s="19"/>
      <c r="EL700" s="19"/>
      <c r="EM700" s="98"/>
      <c r="EN700" s="98"/>
      <c r="EO700" s="98"/>
      <c r="EP700" s="98"/>
      <c r="EQ700" s="98"/>
      <c r="ER700" s="98"/>
      <c r="ES700" s="98"/>
      <c r="ET700" s="98"/>
      <c r="EU700" s="98"/>
      <c r="EV700" s="98"/>
      <c r="EW700" s="98"/>
      <c r="EX700" s="98"/>
      <c r="EY700" s="98"/>
      <c r="EZ700" s="178"/>
    </row>
    <row r="701" spans="60:156">
      <c r="BH701" s="19"/>
      <c r="BI701" s="19"/>
      <c r="BJ701" s="19"/>
      <c r="BK701" s="19"/>
      <c r="BL701" s="19"/>
      <c r="BM701" s="98"/>
      <c r="BN701" s="98"/>
      <c r="BO701" s="98"/>
      <c r="BP701" s="98"/>
      <c r="BQ701" s="98"/>
      <c r="BR701" s="98"/>
      <c r="BS701" s="98"/>
      <c r="BT701" s="98"/>
      <c r="BU701" s="98"/>
      <c r="BV701" s="98"/>
      <c r="BW701" s="98"/>
      <c r="BX701" s="98"/>
      <c r="BY701" s="98"/>
      <c r="BZ701" s="98"/>
      <c r="DA701" s="177"/>
      <c r="EH701" s="19"/>
      <c r="EI701" s="19"/>
      <c r="EJ701" s="19"/>
      <c r="EK701" s="19"/>
      <c r="EL701" s="19"/>
      <c r="EM701" s="98"/>
      <c r="EN701" s="98"/>
      <c r="EO701" s="98"/>
      <c r="EP701" s="98"/>
      <c r="EQ701" s="98"/>
      <c r="ER701" s="98"/>
      <c r="ES701" s="98"/>
      <c r="ET701" s="98"/>
      <c r="EU701" s="98"/>
      <c r="EV701" s="98"/>
      <c r="EW701" s="98"/>
      <c r="EX701" s="98"/>
      <c r="EY701" s="98"/>
      <c r="EZ701" s="178"/>
    </row>
    <row r="702" spans="60:156">
      <c r="BH702" s="19"/>
      <c r="BI702" s="19"/>
      <c r="BJ702" s="19"/>
      <c r="BK702" s="19"/>
      <c r="BL702" s="19"/>
      <c r="BM702" s="98"/>
      <c r="BN702" s="98"/>
      <c r="BO702" s="98"/>
      <c r="BP702" s="98"/>
      <c r="BQ702" s="98"/>
      <c r="BR702" s="98"/>
      <c r="BS702" s="98"/>
      <c r="BT702" s="98"/>
      <c r="BU702" s="98"/>
      <c r="BV702" s="98"/>
      <c r="BW702" s="98"/>
      <c r="BX702" s="98"/>
      <c r="BY702" s="98"/>
      <c r="BZ702" s="98"/>
      <c r="DA702" s="177"/>
      <c r="EH702" s="19"/>
      <c r="EI702" s="19"/>
      <c r="EJ702" s="19"/>
      <c r="EK702" s="19"/>
      <c r="EL702" s="19"/>
      <c r="EM702" s="98"/>
      <c r="EN702" s="98"/>
      <c r="EO702" s="98"/>
      <c r="EP702" s="98"/>
      <c r="EQ702" s="98"/>
      <c r="ER702" s="98"/>
      <c r="ES702" s="98"/>
      <c r="ET702" s="98"/>
      <c r="EU702" s="98"/>
      <c r="EV702" s="98"/>
      <c r="EW702" s="98"/>
      <c r="EX702" s="98"/>
      <c r="EY702" s="98"/>
      <c r="EZ702" s="178"/>
    </row>
    <row r="703" spans="60:156">
      <c r="BH703" s="19"/>
      <c r="BI703" s="19"/>
      <c r="BJ703" s="19"/>
      <c r="BK703" s="19"/>
      <c r="BL703" s="19"/>
      <c r="BM703" s="98"/>
      <c r="BN703" s="98"/>
      <c r="BO703" s="98"/>
      <c r="BP703" s="98"/>
      <c r="BQ703" s="98"/>
      <c r="BR703" s="98"/>
      <c r="BS703" s="98"/>
      <c r="BT703" s="98"/>
      <c r="BU703" s="98"/>
      <c r="BV703" s="98"/>
      <c r="BW703" s="98"/>
      <c r="BX703" s="98"/>
      <c r="BY703" s="98"/>
      <c r="BZ703" s="98"/>
      <c r="DA703" s="177"/>
      <c r="EH703" s="19"/>
      <c r="EI703" s="19"/>
      <c r="EJ703" s="19"/>
      <c r="EK703" s="19"/>
      <c r="EL703" s="19"/>
      <c r="EM703" s="98"/>
      <c r="EN703" s="98"/>
      <c r="EO703" s="98"/>
      <c r="EP703" s="98"/>
      <c r="EQ703" s="98"/>
      <c r="ER703" s="98"/>
      <c r="ES703" s="98"/>
      <c r="ET703" s="98"/>
      <c r="EU703" s="98"/>
      <c r="EV703" s="98"/>
      <c r="EW703" s="98"/>
      <c r="EX703" s="98"/>
      <c r="EY703" s="98"/>
      <c r="EZ703" s="178"/>
    </row>
    <row r="704" spans="60:156">
      <c r="BH704" s="19"/>
      <c r="BI704" s="19"/>
      <c r="BJ704" s="19"/>
      <c r="BK704" s="19"/>
      <c r="BL704" s="19"/>
      <c r="BM704" s="98"/>
      <c r="BN704" s="98"/>
      <c r="BO704" s="98"/>
      <c r="BP704" s="98"/>
      <c r="BQ704" s="98"/>
      <c r="BR704" s="98"/>
      <c r="BS704" s="98"/>
      <c r="BT704" s="98"/>
      <c r="BU704" s="98"/>
      <c r="BV704" s="98"/>
      <c r="BW704" s="98"/>
      <c r="BX704" s="98"/>
      <c r="BY704" s="98"/>
      <c r="BZ704" s="98"/>
      <c r="DA704" s="177"/>
      <c r="EH704" s="19"/>
      <c r="EI704" s="19"/>
      <c r="EJ704" s="19"/>
      <c r="EK704" s="19"/>
      <c r="EL704" s="19"/>
      <c r="EM704" s="98"/>
      <c r="EN704" s="98"/>
      <c r="EO704" s="98"/>
      <c r="EP704" s="98"/>
      <c r="EQ704" s="98"/>
      <c r="ER704" s="98"/>
      <c r="ES704" s="98"/>
      <c r="ET704" s="98"/>
      <c r="EU704" s="98"/>
      <c r="EV704" s="98"/>
      <c r="EW704" s="98"/>
      <c r="EX704" s="98"/>
      <c r="EY704" s="98"/>
      <c r="EZ704" s="178"/>
    </row>
    <row r="705" spans="60:156">
      <c r="BH705" s="19"/>
      <c r="BI705" s="19"/>
      <c r="BJ705" s="19"/>
      <c r="BK705" s="19"/>
      <c r="BL705" s="19"/>
      <c r="BM705" s="98"/>
      <c r="BN705" s="98"/>
      <c r="BO705" s="98"/>
      <c r="BP705" s="98"/>
      <c r="BQ705" s="98"/>
      <c r="BR705" s="98"/>
      <c r="BS705" s="98"/>
      <c r="BT705" s="98"/>
      <c r="BU705" s="98"/>
      <c r="BV705" s="98"/>
      <c r="BW705" s="98"/>
      <c r="BX705" s="98"/>
      <c r="BY705" s="98"/>
      <c r="BZ705" s="98"/>
      <c r="DA705" s="177"/>
      <c r="EH705" s="19"/>
      <c r="EI705" s="19"/>
      <c r="EJ705" s="19"/>
      <c r="EK705" s="19"/>
      <c r="EL705" s="19"/>
      <c r="EM705" s="98"/>
      <c r="EN705" s="98"/>
      <c r="EO705" s="98"/>
      <c r="EP705" s="98"/>
      <c r="EQ705" s="98"/>
      <c r="ER705" s="98"/>
      <c r="ES705" s="98"/>
      <c r="ET705" s="98"/>
      <c r="EU705" s="98"/>
      <c r="EV705" s="98"/>
      <c r="EW705" s="98"/>
      <c r="EX705" s="98"/>
      <c r="EY705" s="98"/>
      <c r="EZ705" s="178"/>
    </row>
    <row r="706" spans="60:156">
      <c r="BH706" s="19"/>
      <c r="BI706" s="19"/>
      <c r="BJ706" s="19"/>
      <c r="BK706" s="19"/>
      <c r="BL706" s="19"/>
      <c r="BM706" s="98"/>
      <c r="BN706" s="98"/>
      <c r="BO706" s="98"/>
      <c r="BP706" s="98"/>
      <c r="BQ706" s="98"/>
      <c r="BR706" s="98"/>
      <c r="BS706" s="98"/>
      <c r="BT706" s="98"/>
      <c r="BU706" s="98"/>
      <c r="BV706" s="98"/>
      <c r="BW706" s="98"/>
      <c r="BX706" s="98"/>
      <c r="BY706" s="98"/>
      <c r="BZ706" s="98"/>
      <c r="DA706" s="177"/>
      <c r="EH706" s="19"/>
      <c r="EI706" s="19"/>
      <c r="EJ706" s="19"/>
      <c r="EK706" s="19"/>
      <c r="EL706" s="19"/>
      <c r="EM706" s="98"/>
      <c r="EN706" s="98"/>
      <c r="EO706" s="98"/>
      <c r="EP706" s="98"/>
      <c r="EQ706" s="98"/>
      <c r="ER706" s="98"/>
      <c r="ES706" s="98"/>
      <c r="ET706" s="98"/>
      <c r="EU706" s="98"/>
      <c r="EV706" s="98"/>
      <c r="EW706" s="98"/>
      <c r="EX706" s="98"/>
      <c r="EY706" s="98"/>
      <c r="EZ706" s="178"/>
    </row>
    <row r="707" spans="60:156">
      <c r="BH707" s="19"/>
      <c r="BI707" s="19"/>
      <c r="BJ707" s="19"/>
      <c r="BK707" s="19"/>
      <c r="BL707" s="19"/>
      <c r="BM707" s="98"/>
      <c r="BN707" s="98"/>
      <c r="BO707" s="98"/>
      <c r="BP707" s="98"/>
      <c r="BQ707" s="98"/>
      <c r="BR707" s="98"/>
      <c r="BS707" s="98"/>
      <c r="BT707" s="98"/>
      <c r="BU707" s="98"/>
      <c r="BV707" s="98"/>
      <c r="BW707" s="98"/>
      <c r="BX707" s="98"/>
      <c r="BY707" s="98"/>
      <c r="BZ707" s="98"/>
      <c r="DA707" s="177"/>
      <c r="EH707" s="19"/>
      <c r="EI707" s="19"/>
      <c r="EJ707" s="19"/>
      <c r="EK707" s="19"/>
      <c r="EL707" s="19"/>
      <c r="EM707" s="98"/>
      <c r="EN707" s="98"/>
      <c r="EO707" s="98"/>
      <c r="EP707" s="98"/>
      <c r="EQ707" s="98"/>
      <c r="ER707" s="98"/>
      <c r="ES707" s="98"/>
      <c r="ET707" s="98"/>
      <c r="EU707" s="98"/>
      <c r="EV707" s="98"/>
      <c r="EW707" s="98"/>
      <c r="EX707" s="98"/>
      <c r="EY707" s="98"/>
      <c r="EZ707" s="178"/>
    </row>
    <row r="708" spans="60:156">
      <c r="BH708" s="19"/>
      <c r="BI708" s="19"/>
      <c r="BJ708" s="19"/>
      <c r="BK708" s="19"/>
      <c r="BL708" s="19"/>
      <c r="BM708" s="98"/>
      <c r="BN708" s="98"/>
      <c r="BO708" s="98"/>
      <c r="BP708" s="98"/>
      <c r="BQ708" s="98"/>
      <c r="BR708" s="98"/>
      <c r="BS708" s="98"/>
      <c r="BT708" s="98"/>
      <c r="BU708" s="98"/>
      <c r="BV708" s="98"/>
      <c r="BW708" s="98"/>
      <c r="BX708" s="98"/>
      <c r="BY708" s="98"/>
      <c r="BZ708" s="98"/>
      <c r="DA708" s="177"/>
      <c r="EH708" s="19"/>
      <c r="EI708" s="19"/>
      <c r="EJ708" s="19"/>
      <c r="EK708" s="19"/>
      <c r="EL708" s="19"/>
      <c r="EM708" s="98"/>
      <c r="EN708" s="98"/>
      <c r="EO708" s="98"/>
      <c r="EP708" s="98"/>
      <c r="EQ708" s="98"/>
      <c r="ER708" s="98"/>
      <c r="ES708" s="98"/>
      <c r="ET708" s="98"/>
      <c r="EU708" s="98"/>
      <c r="EV708" s="98"/>
      <c r="EW708" s="98"/>
      <c r="EX708" s="98"/>
      <c r="EY708" s="98"/>
      <c r="EZ708" s="178"/>
    </row>
    <row r="709" spans="60:156">
      <c r="BH709" s="19"/>
      <c r="BI709" s="19"/>
      <c r="BJ709" s="19"/>
      <c r="BK709" s="19"/>
      <c r="BL709" s="19"/>
      <c r="BM709" s="98"/>
      <c r="BN709" s="98"/>
      <c r="BO709" s="98"/>
      <c r="BP709" s="98"/>
      <c r="BQ709" s="98"/>
      <c r="BR709" s="98"/>
      <c r="BS709" s="98"/>
      <c r="BT709" s="98"/>
      <c r="BU709" s="98"/>
      <c r="BV709" s="98"/>
      <c r="BW709" s="98"/>
      <c r="BX709" s="98"/>
      <c r="BY709" s="98"/>
      <c r="BZ709" s="98"/>
      <c r="DA709" s="177"/>
      <c r="EH709" s="19"/>
      <c r="EI709" s="19"/>
      <c r="EJ709" s="19"/>
      <c r="EK709" s="19"/>
      <c r="EL709" s="19"/>
      <c r="EM709" s="98"/>
      <c r="EN709" s="98"/>
      <c r="EO709" s="98"/>
      <c r="EP709" s="98"/>
      <c r="EQ709" s="98"/>
      <c r="ER709" s="98"/>
      <c r="ES709" s="98"/>
      <c r="ET709" s="98"/>
      <c r="EU709" s="98"/>
      <c r="EV709" s="98"/>
      <c r="EW709" s="98"/>
      <c r="EX709" s="98"/>
      <c r="EY709" s="98"/>
      <c r="EZ709" s="178"/>
    </row>
    <row r="710" spans="60:156">
      <c r="BH710" s="19"/>
      <c r="BI710" s="19"/>
      <c r="BJ710" s="19"/>
      <c r="BK710" s="19"/>
      <c r="BL710" s="19"/>
      <c r="BM710" s="98"/>
      <c r="BN710" s="98"/>
      <c r="BO710" s="98"/>
      <c r="BP710" s="98"/>
      <c r="BQ710" s="98"/>
      <c r="BR710" s="98"/>
      <c r="BS710" s="98"/>
      <c r="BT710" s="98"/>
      <c r="BU710" s="98"/>
      <c r="BV710" s="98"/>
      <c r="BW710" s="98"/>
      <c r="BX710" s="98"/>
      <c r="BY710" s="98"/>
      <c r="BZ710" s="98"/>
      <c r="DA710" s="177"/>
      <c r="EH710" s="19"/>
      <c r="EI710" s="19"/>
      <c r="EJ710" s="19"/>
      <c r="EK710" s="19"/>
      <c r="EL710" s="19"/>
      <c r="EM710" s="98"/>
      <c r="EN710" s="98"/>
      <c r="EO710" s="98"/>
      <c r="EP710" s="98"/>
      <c r="EQ710" s="98"/>
      <c r="ER710" s="98"/>
      <c r="ES710" s="98"/>
      <c r="ET710" s="98"/>
      <c r="EU710" s="98"/>
      <c r="EV710" s="98"/>
      <c r="EW710" s="98"/>
      <c r="EX710" s="98"/>
      <c r="EY710" s="98"/>
      <c r="EZ710" s="178"/>
    </row>
    <row r="711" spans="60:156">
      <c r="BH711" s="19"/>
      <c r="BI711" s="19"/>
      <c r="BJ711" s="19"/>
      <c r="BK711" s="19"/>
      <c r="BL711" s="19"/>
      <c r="BM711" s="98"/>
      <c r="BN711" s="98"/>
      <c r="BO711" s="98"/>
      <c r="BP711" s="98"/>
      <c r="BQ711" s="98"/>
      <c r="BR711" s="98"/>
      <c r="BS711" s="98"/>
      <c r="BT711" s="98"/>
      <c r="BU711" s="98"/>
      <c r="BV711" s="98"/>
      <c r="BW711" s="98"/>
      <c r="BX711" s="98"/>
      <c r="BY711" s="98"/>
      <c r="BZ711" s="98"/>
      <c r="DA711" s="177"/>
      <c r="EH711" s="19"/>
      <c r="EI711" s="19"/>
      <c r="EJ711" s="19"/>
      <c r="EK711" s="19"/>
      <c r="EL711" s="19"/>
      <c r="EM711" s="98"/>
      <c r="EN711" s="98"/>
      <c r="EO711" s="98"/>
      <c r="EP711" s="98"/>
      <c r="EQ711" s="98"/>
      <c r="ER711" s="98"/>
      <c r="ES711" s="98"/>
      <c r="ET711" s="98"/>
      <c r="EU711" s="98"/>
      <c r="EV711" s="98"/>
      <c r="EW711" s="98"/>
      <c r="EX711" s="98"/>
      <c r="EY711" s="98"/>
      <c r="EZ711" s="178"/>
    </row>
    <row r="712" spans="60:156">
      <c r="BH712" s="19"/>
      <c r="BI712" s="19"/>
      <c r="BJ712" s="19"/>
      <c r="BK712" s="19"/>
      <c r="BL712" s="19"/>
      <c r="BM712" s="98"/>
      <c r="BN712" s="98"/>
      <c r="BO712" s="98"/>
      <c r="BP712" s="98"/>
      <c r="BQ712" s="98"/>
      <c r="BR712" s="98"/>
      <c r="BS712" s="98"/>
      <c r="BT712" s="98"/>
      <c r="BU712" s="98"/>
      <c r="BV712" s="98"/>
      <c r="BW712" s="98"/>
      <c r="BX712" s="98"/>
      <c r="BY712" s="98"/>
      <c r="BZ712" s="98"/>
      <c r="DA712" s="177"/>
      <c r="EH712" s="19"/>
      <c r="EI712" s="19"/>
      <c r="EJ712" s="19"/>
      <c r="EK712" s="19"/>
      <c r="EL712" s="19"/>
      <c r="EM712" s="98"/>
      <c r="EN712" s="98"/>
      <c r="EO712" s="98"/>
      <c r="EP712" s="98"/>
      <c r="EQ712" s="98"/>
      <c r="ER712" s="98"/>
      <c r="ES712" s="98"/>
      <c r="ET712" s="98"/>
      <c r="EU712" s="98"/>
      <c r="EV712" s="98"/>
      <c r="EW712" s="98"/>
      <c r="EX712" s="98"/>
      <c r="EY712" s="98"/>
      <c r="EZ712" s="178"/>
    </row>
    <row r="713" spans="60:156">
      <c r="BH713" s="19"/>
      <c r="BI713" s="19"/>
      <c r="BJ713" s="19"/>
      <c r="BK713" s="19"/>
      <c r="BL713" s="19"/>
      <c r="BM713" s="98"/>
      <c r="BN713" s="98"/>
      <c r="BO713" s="98"/>
      <c r="BP713" s="98"/>
      <c r="BQ713" s="98"/>
      <c r="BR713" s="98"/>
      <c r="BS713" s="98"/>
      <c r="BT713" s="98"/>
      <c r="BU713" s="98"/>
      <c r="BV713" s="98"/>
      <c r="BW713" s="98"/>
      <c r="BX713" s="98"/>
      <c r="BY713" s="98"/>
      <c r="BZ713" s="98"/>
      <c r="DA713" s="177"/>
      <c r="EH713" s="19"/>
      <c r="EI713" s="19"/>
      <c r="EJ713" s="19"/>
      <c r="EK713" s="19"/>
      <c r="EL713" s="19"/>
      <c r="EM713" s="98"/>
      <c r="EN713" s="98"/>
      <c r="EO713" s="98"/>
      <c r="EP713" s="98"/>
      <c r="EQ713" s="98"/>
      <c r="ER713" s="98"/>
      <c r="ES713" s="98"/>
      <c r="ET713" s="98"/>
      <c r="EU713" s="98"/>
      <c r="EV713" s="98"/>
      <c r="EW713" s="98"/>
      <c r="EX713" s="98"/>
      <c r="EY713" s="98"/>
      <c r="EZ713" s="178"/>
    </row>
    <row r="714" spans="60:156">
      <c r="BH714" s="19"/>
      <c r="BI714" s="19"/>
      <c r="BJ714" s="19"/>
      <c r="BK714" s="19"/>
      <c r="BL714" s="19"/>
      <c r="BM714" s="98"/>
      <c r="BN714" s="98"/>
      <c r="BO714" s="98"/>
      <c r="BP714" s="98"/>
      <c r="BQ714" s="98"/>
      <c r="BR714" s="98"/>
      <c r="BS714" s="98"/>
      <c r="BT714" s="98"/>
      <c r="BU714" s="98"/>
      <c r="BV714" s="98"/>
      <c r="BW714" s="98"/>
      <c r="BX714" s="98"/>
      <c r="BY714" s="98"/>
      <c r="BZ714" s="98"/>
      <c r="DA714" s="177"/>
      <c r="EH714" s="19"/>
      <c r="EI714" s="19"/>
      <c r="EJ714" s="19"/>
      <c r="EK714" s="19"/>
      <c r="EL714" s="19"/>
      <c r="EM714" s="98"/>
      <c r="EN714" s="98"/>
      <c r="EO714" s="98"/>
      <c r="EP714" s="98"/>
      <c r="EQ714" s="98"/>
      <c r="ER714" s="98"/>
      <c r="ES714" s="98"/>
      <c r="ET714" s="98"/>
      <c r="EU714" s="98"/>
      <c r="EV714" s="98"/>
      <c r="EW714" s="98"/>
      <c r="EX714" s="98"/>
      <c r="EY714" s="98"/>
      <c r="EZ714" s="178"/>
    </row>
    <row r="715" spans="60:156">
      <c r="BH715" s="19"/>
      <c r="BI715" s="19"/>
      <c r="BJ715" s="19"/>
      <c r="BK715" s="19"/>
      <c r="BL715" s="19"/>
      <c r="BM715" s="98"/>
      <c r="BN715" s="98"/>
      <c r="BO715" s="98"/>
      <c r="BP715" s="98"/>
      <c r="BQ715" s="98"/>
      <c r="BR715" s="98"/>
      <c r="BS715" s="98"/>
      <c r="BT715" s="98"/>
      <c r="BU715" s="98"/>
      <c r="BV715" s="98"/>
      <c r="BW715" s="98"/>
      <c r="BX715" s="98"/>
      <c r="BY715" s="98"/>
      <c r="BZ715" s="98"/>
      <c r="DA715" s="177"/>
      <c r="EH715" s="19"/>
      <c r="EI715" s="19"/>
      <c r="EJ715" s="19"/>
      <c r="EK715" s="19"/>
      <c r="EL715" s="19"/>
      <c r="EM715" s="98"/>
      <c r="EN715" s="98"/>
      <c r="EO715" s="98"/>
      <c r="EP715" s="98"/>
      <c r="EQ715" s="98"/>
      <c r="ER715" s="98"/>
      <c r="ES715" s="98"/>
      <c r="ET715" s="98"/>
      <c r="EU715" s="98"/>
      <c r="EV715" s="98"/>
      <c r="EW715" s="98"/>
      <c r="EX715" s="98"/>
      <c r="EY715" s="98"/>
      <c r="EZ715" s="178"/>
    </row>
    <row r="716" spans="60:156">
      <c r="BH716" s="19"/>
      <c r="BI716" s="19"/>
      <c r="BJ716" s="19"/>
      <c r="BK716" s="19"/>
      <c r="BL716" s="19"/>
      <c r="BM716" s="98"/>
      <c r="BN716" s="98"/>
      <c r="BO716" s="98"/>
      <c r="BP716" s="98"/>
      <c r="BQ716" s="98"/>
      <c r="BR716" s="98"/>
      <c r="BS716" s="98"/>
      <c r="BT716" s="98"/>
      <c r="BU716" s="98"/>
      <c r="BV716" s="98"/>
      <c r="BW716" s="98"/>
      <c r="BX716" s="98"/>
      <c r="BY716" s="98"/>
      <c r="BZ716" s="98"/>
      <c r="DA716" s="177"/>
      <c r="EH716" s="19"/>
      <c r="EI716" s="19"/>
      <c r="EJ716" s="19"/>
      <c r="EK716" s="19"/>
      <c r="EL716" s="19"/>
      <c r="EM716" s="98"/>
      <c r="EN716" s="98"/>
      <c r="EO716" s="98"/>
      <c r="EP716" s="98"/>
      <c r="EQ716" s="98"/>
      <c r="ER716" s="98"/>
      <c r="ES716" s="98"/>
      <c r="ET716" s="98"/>
      <c r="EU716" s="98"/>
      <c r="EV716" s="98"/>
      <c r="EW716" s="98"/>
      <c r="EX716" s="98"/>
      <c r="EY716" s="98"/>
      <c r="EZ716" s="178"/>
    </row>
    <row r="717" spans="60:156">
      <c r="BH717" s="19"/>
      <c r="BI717" s="19"/>
      <c r="BJ717" s="19"/>
      <c r="BK717" s="19"/>
      <c r="BL717" s="19"/>
      <c r="BM717" s="98"/>
      <c r="BN717" s="98"/>
      <c r="BO717" s="98"/>
      <c r="BP717" s="98"/>
      <c r="BQ717" s="98"/>
      <c r="BR717" s="98"/>
      <c r="BS717" s="98"/>
      <c r="BT717" s="98"/>
      <c r="BU717" s="98"/>
      <c r="BV717" s="98"/>
      <c r="BW717" s="98"/>
      <c r="BX717" s="98"/>
      <c r="BY717" s="98"/>
      <c r="BZ717" s="98"/>
      <c r="DA717" s="177"/>
      <c r="EH717" s="19"/>
      <c r="EI717" s="19"/>
      <c r="EJ717" s="19"/>
      <c r="EK717" s="19"/>
      <c r="EL717" s="19"/>
      <c r="EM717" s="98"/>
      <c r="EN717" s="98"/>
      <c r="EO717" s="98"/>
      <c r="EP717" s="98"/>
      <c r="EQ717" s="98"/>
      <c r="ER717" s="98"/>
      <c r="ES717" s="98"/>
      <c r="ET717" s="98"/>
      <c r="EU717" s="98"/>
      <c r="EV717" s="98"/>
      <c r="EW717" s="98"/>
      <c r="EX717" s="98"/>
      <c r="EY717" s="98"/>
      <c r="EZ717" s="178"/>
    </row>
    <row r="718" spans="60:156">
      <c r="BH718" s="19"/>
      <c r="BI718" s="19"/>
      <c r="BJ718" s="19"/>
      <c r="BK718" s="19"/>
      <c r="BL718" s="19"/>
      <c r="BM718" s="98"/>
      <c r="BN718" s="98"/>
      <c r="BO718" s="98"/>
      <c r="BP718" s="98"/>
      <c r="BQ718" s="98"/>
      <c r="BR718" s="98"/>
      <c r="BS718" s="98"/>
      <c r="BT718" s="98"/>
      <c r="BU718" s="98"/>
      <c r="BV718" s="98"/>
      <c r="BW718" s="98"/>
      <c r="BX718" s="98"/>
      <c r="BY718" s="98"/>
      <c r="BZ718" s="98"/>
      <c r="DA718" s="177"/>
      <c r="EH718" s="19"/>
      <c r="EI718" s="19"/>
      <c r="EJ718" s="19"/>
      <c r="EK718" s="19"/>
      <c r="EL718" s="19"/>
      <c r="EM718" s="98"/>
      <c r="EN718" s="98"/>
      <c r="EO718" s="98"/>
      <c r="EP718" s="98"/>
      <c r="EQ718" s="98"/>
      <c r="ER718" s="98"/>
      <c r="ES718" s="98"/>
      <c r="ET718" s="98"/>
      <c r="EU718" s="98"/>
      <c r="EV718" s="98"/>
      <c r="EW718" s="98"/>
      <c r="EX718" s="98"/>
      <c r="EY718" s="98"/>
      <c r="EZ718" s="178"/>
    </row>
    <row r="719" spans="60:156">
      <c r="BH719" s="19"/>
      <c r="BI719" s="19"/>
      <c r="BJ719" s="19"/>
      <c r="BK719" s="19"/>
      <c r="BL719" s="19"/>
      <c r="BM719" s="98"/>
      <c r="BN719" s="98"/>
      <c r="BO719" s="98"/>
      <c r="BP719" s="98"/>
      <c r="BQ719" s="98"/>
      <c r="BR719" s="98"/>
      <c r="BS719" s="98"/>
      <c r="BT719" s="98"/>
      <c r="BU719" s="98"/>
      <c r="BV719" s="98"/>
      <c r="BW719" s="98"/>
      <c r="BX719" s="98"/>
      <c r="BY719" s="98"/>
      <c r="BZ719" s="98"/>
      <c r="DA719" s="177"/>
      <c r="EH719" s="19"/>
      <c r="EI719" s="19"/>
      <c r="EJ719" s="19"/>
      <c r="EK719" s="19"/>
      <c r="EL719" s="19"/>
      <c r="EM719" s="98"/>
      <c r="EN719" s="98"/>
      <c r="EO719" s="98"/>
      <c r="EP719" s="98"/>
      <c r="EQ719" s="98"/>
      <c r="ER719" s="98"/>
      <c r="ES719" s="98"/>
      <c r="ET719" s="98"/>
      <c r="EU719" s="98"/>
      <c r="EV719" s="98"/>
      <c r="EW719" s="98"/>
      <c r="EX719" s="98"/>
      <c r="EY719" s="98"/>
      <c r="EZ719" s="178"/>
    </row>
    <row r="720" spans="60:156">
      <c r="BH720" s="19"/>
      <c r="BI720" s="19"/>
      <c r="BJ720" s="19"/>
      <c r="BK720" s="19"/>
      <c r="BL720" s="19"/>
      <c r="BM720" s="98"/>
      <c r="BN720" s="98"/>
      <c r="BO720" s="98"/>
      <c r="BP720" s="98"/>
      <c r="BQ720" s="98"/>
      <c r="BR720" s="98"/>
      <c r="BS720" s="98"/>
      <c r="BT720" s="98"/>
      <c r="BU720" s="98"/>
      <c r="BV720" s="98"/>
      <c r="BW720" s="98"/>
      <c r="BX720" s="98"/>
      <c r="BY720" s="98"/>
      <c r="BZ720" s="98"/>
      <c r="DA720" s="177"/>
      <c r="EH720" s="19"/>
      <c r="EI720" s="19"/>
      <c r="EJ720" s="19"/>
      <c r="EK720" s="19"/>
      <c r="EL720" s="19"/>
      <c r="EM720" s="98"/>
      <c r="EN720" s="98"/>
      <c r="EO720" s="98"/>
      <c r="EP720" s="98"/>
      <c r="EQ720" s="98"/>
      <c r="ER720" s="98"/>
      <c r="ES720" s="98"/>
      <c r="ET720" s="98"/>
      <c r="EU720" s="98"/>
      <c r="EV720" s="98"/>
      <c r="EW720" s="98"/>
      <c r="EX720" s="98"/>
      <c r="EY720" s="98"/>
      <c r="EZ720" s="178"/>
    </row>
    <row r="721" spans="60:156">
      <c r="BH721" s="19"/>
      <c r="BI721" s="19"/>
      <c r="BJ721" s="19"/>
      <c r="BK721" s="19"/>
      <c r="BL721" s="19"/>
      <c r="BM721" s="98"/>
      <c r="BN721" s="98"/>
      <c r="BO721" s="98"/>
      <c r="BP721" s="98"/>
      <c r="BQ721" s="98"/>
      <c r="BR721" s="98"/>
      <c r="BS721" s="98"/>
      <c r="BT721" s="98"/>
      <c r="BU721" s="98"/>
      <c r="BV721" s="98"/>
      <c r="BW721" s="98"/>
      <c r="BX721" s="98"/>
      <c r="BY721" s="98"/>
      <c r="BZ721" s="98"/>
      <c r="DA721" s="177"/>
      <c r="EH721" s="19"/>
      <c r="EI721" s="19"/>
      <c r="EJ721" s="19"/>
      <c r="EK721" s="19"/>
      <c r="EL721" s="19"/>
      <c r="EM721" s="98"/>
      <c r="EN721" s="98"/>
      <c r="EO721" s="98"/>
      <c r="EP721" s="98"/>
      <c r="EQ721" s="98"/>
      <c r="ER721" s="98"/>
      <c r="ES721" s="98"/>
      <c r="ET721" s="98"/>
      <c r="EU721" s="98"/>
      <c r="EV721" s="98"/>
      <c r="EW721" s="98"/>
      <c r="EX721" s="98"/>
      <c r="EY721" s="98"/>
      <c r="EZ721" s="178"/>
    </row>
    <row r="722" spans="60:156">
      <c r="BH722" s="19"/>
      <c r="BI722" s="19"/>
      <c r="BJ722" s="19"/>
      <c r="BK722" s="19"/>
      <c r="BL722" s="19"/>
      <c r="BM722" s="98"/>
      <c r="BN722" s="98"/>
      <c r="BO722" s="98"/>
      <c r="BP722" s="98"/>
      <c r="BQ722" s="98"/>
      <c r="BR722" s="98"/>
      <c r="BS722" s="98"/>
      <c r="BT722" s="98"/>
      <c r="BU722" s="98"/>
      <c r="BV722" s="98"/>
      <c r="BW722" s="98"/>
      <c r="BX722" s="98"/>
      <c r="BY722" s="98"/>
      <c r="BZ722" s="98"/>
      <c r="DA722" s="177"/>
      <c r="EH722" s="19"/>
      <c r="EI722" s="19"/>
      <c r="EJ722" s="19"/>
      <c r="EK722" s="19"/>
      <c r="EL722" s="19"/>
      <c r="EM722" s="98"/>
      <c r="EN722" s="98"/>
      <c r="EO722" s="98"/>
      <c r="EP722" s="98"/>
      <c r="EQ722" s="98"/>
      <c r="ER722" s="98"/>
      <c r="ES722" s="98"/>
      <c r="ET722" s="98"/>
      <c r="EU722" s="98"/>
      <c r="EV722" s="98"/>
      <c r="EW722" s="98"/>
      <c r="EX722" s="98"/>
      <c r="EY722" s="98"/>
      <c r="EZ722" s="178"/>
    </row>
    <row r="723" spans="60:156">
      <c r="BH723" s="19"/>
      <c r="BI723" s="19"/>
      <c r="BJ723" s="19"/>
      <c r="BK723" s="19"/>
      <c r="BL723" s="19"/>
      <c r="BM723" s="98"/>
      <c r="BN723" s="98"/>
      <c r="BO723" s="98"/>
      <c r="BP723" s="98"/>
      <c r="BQ723" s="98"/>
      <c r="BR723" s="98"/>
      <c r="BS723" s="98"/>
      <c r="BT723" s="98"/>
      <c r="BU723" s="98"/>
      <c r="BV723" s="98"/>
      <c r="BW723" s="98"/>
      <c r="BX723" s="98"/>
      <c r="BY723" s="98"/>
      <c r="BZ723" s="98"/>
      <c r="DA723" s="177"/>
      <c r="EH723" s="19"/>
      <c r="EI723" s="19"/>
      <c r="EJ723" s="19"/>
      <c r="EK723" s="19"/>
      <c r="EL723" s="19"/>
      <c r="EM723" s="98"/>
      <c r="EN723" s="98"/>
      <c r="EO723" s="98"/>
      <c r="EP723" s="98"/>
      <c r="EQ723" s="98"/>
      <c r="ER723" s="98"/>
      <c r="ES723" s="98"/>
      <c r="ET723" s="98"/>
      <c r="EU723" s="98"/>
      <c r="EV723" s="98"/>
      <c r="EW723" s="98"/>
      <c r="EX723" s="98"/>
      <c r="EY723" s="98"/>
      <c r="EZ723" s="178"/>
    </row>
    <row r="724" spans="60:156">
      <c r="BH724" s="19"/>
      <c r="BI724" s="19"/>
      <c r="BJ724" s="19"/>
      <c r="BK724" s="19"/>
      <c r="BL724" s="19"/>
      <c r="BM724" s="98"/>
      <c r="BN724" s="98"/>
      <c r="BO724" s="98"/>
      <c r="BP724" s="98"/>
      <c r="BQ724" s="98"/>
      <c r="BR724" s="98"/>
      <c r="BS724" s="98"/>
      <c r="BT724" s="98"/>
      <c r="BU724" s="98"/>
      <c r="BV724" s="98"/>
      <c r="BW724" s="98"/>
      <c r="BX724" s="98"/>
      <c r="BY724" s="98"/>
      <c r="BZ724" s="98"/>
      <c r="DA724" s="177"/>
      <c r="EH724" s="19"/>
      <c r="EI724" s="19"/>
      <c r="EJ724" s="19"/>
      <c r="EK724" s="19"/>
      <c r="EL724" s="19"/>
      <c r="EM724" s="98"/>
      <c r="EN724" s="98"/>
      <c r="EO724" s="98"/>
      <c r="EP724" s="98"/>
      <c r="EQ724" s="98"/>
      <c r="ER724" s="98"/>
      <c r="ES724" s="98"/>
      <c r="ET724" s="98"/>
      <c r="EU724" s="98"/>
      <c r="EV724" s="98"/>
      <c r="EW724" s="98"/>
      <c r="EX724" s="98"/>
      <c r="EY724" s="98"/>
      <c r="EZ724" s="178"/>
    </row>
    <row r="725" spans="60:156">
      <c r="BH725" s="19"/>
      <c r="BI725" s="19"/>
      <c r="BJ725" s="19"/>
      <c r="BK725" s="19"/>
      <c r="BL725" s="19"/>
      <c r="BM725" s="98"/>
      <c r="BN725" s="98"/>
      <c r="BO725" s="98"/>
      <c r="BP725" s="98"/>
      <c r="BQ725" s="98"/>
      <c r="BR725" s="98"/>
      <c r="BS725" s="98"/>
      <c r="BT725" s="98"/>
      <c r="BU725" s="98"/>
      <c r="BV725" s="98"/>
      <c r="BW725" s="98"/>
      <c r="BX725" s="98"/>
      <c r="BY725" s="98"/>
      <c r="BZ725" s="98"/>
      <c r="DA725" s="177"/>
      <c r="EH725" s="19"/>
      <c r="EI725" s="19"/>
      <c r="EJ725" s="19"/>
      <c r="EK725" s="19"/>
      <c r="EL725" s="19"/>
      <c r="EM725" s="98"/>
      <c r="EN725" s="98"/>
      <c r="EO725" s="98"/>
      <c r="EP725" s="98"/>
      <c r="EQ725" s="98"/>
      <c r="ER725" s="98"/>
      <c r="ES725" s="98"/>
      <c r="ET725" s="98"/>
      <c r="EU725" s="98"/>
      <c r="EV725" s="98"/>
      <c r="EW725" s="98"/>
      <c r="EX725" s="98"/>
      <c r="EY725" s="98"/>
      <c r="EZ725" s="178"/>
    </row>
    <row r="726" spans="60:156">
      <c r="BH726" s="19"/>
      <c r="BI726" s="19"/>
      <c r="BJ726" s="19"/>
      <c r="BK726" s="19"/>
      <c r="BL726" s="19"/>
      <c r="BM726" s="98"/>
      <c r="BN726" s="98"/>
      <c r="BO726" s="98"/>
      <c r="BP726" s="98"/>
      <c r="BQ726" s="98"/>
      <c r="BR726" s="98"/>
      <c r="BS726" s="98"/>
      <c r="BT726" s="98"/>
      <c r="BU726" s="98"/>
      <c r="BV726" s="98"/>
      <c r="BW726" s="98"/>
      <c r="BX726" s="98"/>
      <c r="BY726" s="98"/>
      <c r="BZ726" s="98"/>
      <c r="DA726" s="177"/>
      <c r="EH726" s="19"/>
      <c r="EI726" s="19"/>
      <c r="EJ726" s="19"/>
      <c r="EK726" s="19"/>
      <c r="EL726" s="19"/>
      <c r="EM726" s="98"/>
      <c r="EN726" s="98"/>
      <c r="EO726" s="98"/>
      <c r="EP726" s="98"/>
      <c r="EQ726" s="98"/>
      <c r="ER726" s="98"/>
      <c r="ES726" s="98"/>
      <c r="ET726" s="98"/>
      <c r="EU726" s="98"/>
      <c r="EV726" s="98"/>
      <c r="EW726" s="98"/>
      <c r="EX726" s="98"/>
      <c r="EY726" s="98"/>
      <c r="EZ726" s="178"/>
    </row>
    <row r="727" spans="60:156">
      <c r="BH727" s="19"/>
      <c r="BI727" s="19"/>
      <c r="BJ727" s="19"/>
      <c r="BK727" s="19"/>
      <c r="BL727" s="19"/>
      <c r="BM727" s="98"/>
      <c r="BN727" s="98"/>
      <c r="BO727" s="98"/>
      <c r="BP727" s="98"/>
      <c r="BQ727" s="98"/>
      <c r="BR727" s="98"/>
      <c r="BS727" s="98"/>
      <c r="BT727" s="98"/>
      <c r="BU727" s="98"/>
      <c r="BV727" s="98"/>
      <c r="BW727" s="98"/>
      <c r="BX727" s="98"/>
      <c r="BY727" s="98"/>
      <c r="BZ727" s="98"/>
      <c r="DA727" s="177"/>
      <c r="EH727" s="19"/>
      <c r="EI727" s="19"/>
      <c r="EJ727" s="19"/>
      <c r="EK727" s="19"/>
      <c r="EL727" s="19"/>
      <c r="EM727" s="98"/>
      <c r="EN727" s="98"/>
      <c r="EO727" s="98"/>
      <c r="EP727" s="98"/>
      <c r="EQ727" s="98"/>
      <c r="ER727" s="98"/>
      <c r="ES727" s="98"/>
      <c r="ET727" s="98"/>
      <c r="EU727" s="98"/>
      <c r="EV727" s="98"/>
      <c r="EW727" s="98"/>
      <c r="EX727" s="98"/>
      <c r="EY727" s="98"/>
      <c r="EZ727" s="178"/>
    </row>
    <row r="728" spans="60:156">
      <c r="BH728" s="19"/>
      <c r="BI728" s="19"/>
      <c r="BJ728" s="19"/>
      <c r="BK728" s="19"/>
      <c r="BL728" s="19"/>
      <c r="BM728" s="98"/>
      <c r="BN728" s="98"/>
      <c r="BO728" s="98"/>
      <c r="BP728" s="98"/>
      <c r="BQ728" s="98"/>
      <c r="BR728" s="98"/>
      <c r="BS728" s="98"/>
      <c r="BT728" s="98"/>
      <c r="BU728" s="98"/>
      <c r="BV728" s="98"/>
      <c r="BW728" s="98"/>
      <c r="BX728" s="98"/>
      <c r="BY728" s="98"/>
      <c r="BZ728" s="98"/>
      <c r="DA728" s="177"/>
      <c r="EH728" s="19"/>
      <c r="EI728" s="19"/>
      <c r="EJ728" s="19"/>
      <c r="EK728" s="19"/>
      <c r="EL728" s="19"/>
      <c r="EM728" s="98"/>
      <c r="EN728" s="98"/>
      <c r="EO728" s="98"/>
      <c r="EP728" s="98"/>
      <c r="EQ728" s="98"/>
      <c r="ER728" s="98"/>
      <c r="ES728" s="98"/>
      <c r="ET728" s="98"/>
      <c r="EU728" s="98"/>
      <c r="EV728" s="98"/>
      <c r="EW728" s="98"/>
      <c r="EX728" s="98"/>
      <c r="EY728" s="98"/>
      <c r="EZ728" s="178"/>
    </row>
    <row r="729" spans="60:156">
      <c r="BH729" s="19"/>
      <c r="BI729" s="19"/>
      <c r="BJ729" s="19"/>
      <c r="BK729" s="19"/>
      <c r="BL729" s="19"/>
      <c r="BM729" s="98"/>
      <c r="BN729" s="98"/>
      <c r="BO729" s="98"/>
      <c r="BP729" s="98"/>
      <c r="BQ729" s="98"/>
      <c r="BR729" s="98"/>
      <c r="BS729" s="98"/>
      <c r="BT729" s="98"/>
      <c r="BU729" s="98"/>
      <c r="BV729" s="98"/>
      <c r="BW729" s="98"/>
      <c r="BX729" s="98"/>
      <c r="BY729" s="98"/>
      <c r="BZ729" s="98"/>
      <c r="DA729" s="177"/>
      <c r="EH729" s="19"/>
      <c r="EI729" s="19"/>
      <c r="EJ729" s="19"/>
      <c r="EK729" s="19"/>
      <c r="EL729" s="19"/>
      <c r="EM729" s="98"/>
      <c r="EN729" s="98"/>
      <c r="EO729" s="98"/>
      <c r="EP729" s="98"/>
      <c r="EQ729" s="98"/>
      <c r="ER729" s="98"/>
      <c r="ES729" s="98"/>
      <c r="ET729" s="98"/>
      <c r="EU729" s="98"/>
      <c r="EV729" s="98"/>
      <c r="EW729" s="98"/>
      <c r="EX729" s="98"/>
      <c r="EY729" s="98"/>
      <c r="EZ729" s="178"/>
    </row>
    <row r="730" spans="60:156">
      <c r="BH730" s="19"/>
      <c r="BI730" s="19"/>
      <c r="BJ730" s="19"/>
      <c r="BK730" s="19"/>
      <c r="BL730" s="19"/>
      <c r="BM730" s="98"/>
      <c r="BN730" s="98"/>
      <c r="BO730" s="98"/>
      <c r="BP730" s="98"/>
      <c r="BQ730" s="98"/>
      <c r="BR730" s="98"/>
      <c r="BS730" s="98"/>
      <c r="BT730" s="98"/>
      <c r="BU730" s="98"/>
      <c r="BV730" s="98"/>
      <c r="BW730" s="98"/>
      <c r="BX730" s="98"/>
      <c r="BY730" s="98"/>
      <c r="BZ730" s="98"/>
      <c r="DA730" s="177"/>
      <c r="EH730" s="19"/>
      <c r="EI730" s="19"/>
      <c r="EJ730" s="19"/>
      <c r="EK730" s="19"/>
      <c r="EL730" s="19"/>
      <c r="EM730" s="98"/>
      <c r="EN730" s="98"/>
      <c r="EO730" s="98"/>
      <c r="EP730" s="98"/>
      <c r="EQ730" s="98"/>
      <c r="ER730" s="98"/>
      <c r="ES730" s="98"/>
      <c r="ET730" s="98"/>
      <c r="EU730" s="98"/>
      <c r="EV730" s="98"/>
      <c r="EW730" s="98"/>
      <c r="EX730" s="98"/>
      <c r="EY730" s="98"/>
      <c r="EZ730" s="178"/>
    </row>
    <row r="731" spans="60:156">
      <c r="BH731" s="19"/>
      <c r="BI731" s="19"/>
      <c r="BJ731" s="19"/>
      <c r="BK731" s="19"/>
      <c r="BL731" s="19"/>
      <c r="BM731" s="98"/>
      <c r="BN731" s="98"/>
      <c r="BO731" s="98"/>
      <c r="BP731" s="98"/>
      <c r="BQ731" s="98"/>
      <c r="BR731" s="98"/>
      <c r="BS731" s="98"/>
      <c r="BT731" s="98"/>
      <c r="BU731" s="98"/>
      <c r="BV731" s="98"/>
      <c r="BW731" s="98"/>
      <c r="BX731" s="98"/>
      <c r="BY731" s="98"/>
      <c r="BZ731" s="98"/>
      <c r="DA731" s="177"/>
      <c r="EH731" s="19"/>
      <c r="EI731" s="19"/>
      <c r="EJ731" s="19"/>
      <c r="EK731" s="19"/>
      <c r="EL731" s="19"/>
      <c r="EM731" s="98"/>
      <c r="EN731" s="98"/>
      <c r="EO731" s="98"/>
      <c r="EP731" s="98"/>
      <c r="EQ731" s="98"/>
      <c r="ER731" s="98"/>
      <c r="ES731" s="98"/>
      <c r="ET731" s="98"/>
      <c r="EU731" s="98"/>
      <c r="EV731" s="98"/>
      <c r="EW731" s="98"/>
      <c r="EX731" s="98"/>
      <c r="EY731" s="98"/>
      <c r="EZ731" s="178"/>
    </row>
    <row r="732" spans="60:156">
      <c r="BH732" s="19"/>
      <c r="BI732" s="19"/>
      <c r="BJ732" s="19"/>
      <c r="BK732" s="19"/>
      <c r="BL732" s="19"/>
      <c r="BM732" s="98"/>
      <c r="BN732" s="98"/>
      <c r="BO732" s="98"/>
      <c r="BP732" s="98"/>
      <c r="BQ732" s="98"/>
      <c r="BR732" s="98"/>
      <c r="BS732" s="98"/>
      <c r="BT732" s="98"/>
      <c r="BU732" s="98"/>
      <c r="BV732" s="98"/>
      <c r="BW732" s="98"/>
      <c r="BX732" s="98"/>
      <c r="BY732" s="98"/>
      <c r="BZ732" s="98"/>
      <c r="DA732" s="177"/>
      <c r="EH732" s="19"/>
      <c r="EI732" s="19"/>
      <c r="EJ732" s="19"/>
      <c r="EK732" s="19"/>
      <c r="EL732" s="19"/>
      <c r="EM732" s="98"/>
      <c r="EN732" s="98"/>
      <c r="EO732" s="98"/>
      <c r="EP732" s="98"/>
      <c r="EQ732" s="98"/>
      <c r="ER732" s="98"/>
      <c r="ES732" s="98"/>
      <c r="ET732" s="98"/>
      <c r="EU732" s="98"/>
      <c r="EV732" s="98"/>
      <c r="EW732" s="98"/>
      <c r="EX732" s="98"/>
      <c r="EY732" s="98"/>
      <c r="EZ732" s="178"/>
    </row>
    <row r="733" spans="60:156">
      <c r="BH733" s="19"/>
      <c r="BI733" s="19"/>
      <c r="BJ733" s="19"/>
      <c r="BK733" s="19"/>
      <c r="BL733" s="19"/>
      <c r="BM733" s="98"/>
      <c r="BN733" s="98"/>
      <c r="BO733" s="98"/>
      <c r="BP733" s="98"/>
      <c r="BQ733" s="98"/>
      <c r="BR733" s="98"/>
      <c r="BS733" s="98"/>
      <c r="BT733" s="98"/>
      <c r="BU733" s="98"/>
      <c r="BV733" s="98"/>
      <c r="BW733" s="98"/>
      <c r="BX733" s="98"/>
      <c r="BY733" s="98"/>
      <c r="BZ733" s="98"/>
      <c r="DA733" s="177"/>
      <c r="EH733" s="19"/>
      <c r="EI733" s="19"/>
      <c r="EJ733" s="19"/>
      <c r="EK733" s="19"/>
      <c r="EL733" s="19"/>
      <c r="EM733" s="98"/>
      <c r="EN733" s="98"/>
      <c r="EO733" s="98"/>
      <c r="EP733" s="98"/>
      <c r="EQ733" s="98"/>
      <c r="ER733" s="98"/>
      <c r="ES733" s="98"/>
      <c r="ET733" s="98"/>
      <c r="EU733" s="98"/>
      <c r="EV733" s="98"/>
      <c r="EW733" s="98"/>
      <c r="EX733" s="98"/>
      <c r="EY733" s="98"/>
      <c r="EZ733" s="178"/>
    </row>
    <row r="734" spans="60:156">
      <c r="BH734" s="19"/>
      <c r="BI734" s="19"/>
      <c r="BJ734" s="19"/>
      <c r="BK734" s="19"/>
      <c r="BL734" s="19"/>
      <c r="BM734" s="98"/>
      <c r="BN734" s="98"/>
      <c r="BO734" s="98"/>
      <c r="BP734" s="98"/>
      <c r="BQ734" s="98"/>
      <c r="BR734" s="98"/>
      <c r="BS734" s="98"/>
      <c r="BT734" s="98"/>
      <c r="BU734" s="98"/>
      <c r="BV734" s="98"/>
      <c r="BW734" s="98"/>
      <c r="BX734" s="98"/>
      <c r="BY734" s="98"/>
      <c r="BZ734" s="98"/>
      <c r="DA734" s="177"/>
      <c r="EH734" s="19"/>
      <c r="EI734" s="19"/>
      <c r="EJ734" s="19"/>
      <c r="EK734" s="19"/>
      <c r="EL734" s="19"/>
      <c r="EM734" s="98"/>
      <c r="EN734" s="98"/>
      <c r="EO734" s="98"/>
      <c r="EP734" s="98"/>
      <c r="EQ734" s="98"/>
      <c r="ER734" s="98"/>
      <c r="ES734" s="98"/>
      <c r="ET734" s="98"/>
      <c r="EU734" s="98"/>
      <c r="EV734" s="98"/>
      <c r="EW734" s="98"/>
      <c r="EX734" s="98"/>
      <c r="EY734" s="98"/>
      <c r="EZ734" s="178"/>
    </row>
    <row r="735" spans="60:156">
      <c r="BH735" s="19"/>
      <c r="BI735" s="19"/>
      <c r="BJ735" s="19"/>
      <c r="BK735" s="19"/>
      <c r="BL735" s="19"/>
      <c r="BM735" s="98"/>
      <c r="BN735" s="98"/>
      <c r="BO735" s="98"/>
      <c r="BP735" s="98"/>
      <c r="BQ735" s="98"/>
      <c r="BR735" s="98"/>
      <c r="BS735" s="98"/>
      <c r="BT735" s="98"/>
      <c r="BU735" s="98"/>
      <c r="BV735" s="98"/>
      <c r="BW735" s="98"/>
      <c r="BX735" s="98"/>
      <c r="BY735" s="98"/>
      <c r="BZ735" s="98"/>
      <c r="DA735" s="177"/>
      <c r="EH735" s="19"/>
      <c r="EI735" s="19"/>
      <c r="EJ735" s="19"/>
      <c r="EK735" s="19"/>
      <c r="EL735" s="19"/>
      <c r="EM735" s="98"/>
      <c r="EN735" s="98"/>
      <c r="EO735" s="98"/>
      <c r="EP735" s="98"/>
      <c r="EQ735" s="98"/>
      <c r="ER735" s="98"/>
      <c r="ES735" s="98"/>
      <c r="ET735" s="98"/>
      <c r="EU735" s="98"/>
      <c r="EV735" s="98"/>
      <c r="EW735" s="98"/>
      <c r="EX735" s="98"/>
      <c r="EY735" s="98"/>
      <c r="EZ735" s="178"/>
    </row>
    <row r="736" spans="60:156">
      <c r="BH736" s="19"/>
      <c r="BI736" s="19"/>
      <c r="BJ736" s="19"/>
      <c r="BK736" s="19"/>
      <c r="BL736" s="19"/>
      <c r="BM736" s="98"/>
      <c r="BN736" s="98"/>
      <c r="BO736" s="98"/>
      <c r="BP736" s="98"/>
      <c r="BQ736" s="98"/>
      <c r="BR736" s="98"/>
      <c r="BS736" s="98"/>
      <c r="BT736" s="98"/>
      <c r="BU736" s="98"/>
      <c r="BV736" s="98"/>
      <c r="BW736" s="98"/>
      <c r="BX736" s="98"/>
      <c r="BY736" s="98"/>
      <c r="BZ736" s="98"/>
      <c r="DA736" s="177"/>
      <c r="EH736" s="19"/>
      <c r="EI736" s="19"/>
      <c r="EJ736" s="19"/>
      <c r="EK736" s="19"/>
      <c r="EL736" s="19"/>
      <c r="EM736" s="98"/>
      <c r="EN736" s="98"/>
      <c r="EO736" s="98"/>
      <c r="EP736" s="98"/>
      <c r="EQ736" s="98"/>
      <c r="ER736" s="98"/>
      <c r="ES736" s="98"/>
      <c r="ET736" s="98"/>
      <c r="EU736" s="98"/>
      <c r="EV736" s="98"/>
      <c r="EW736" s="98"/>
      <c r="EX736" s="98"/>
      <c r="EY736" s="98"/>
      <c r="EZ736" s="178"/>
    </row>
    <row r="737" spans="60:156">
      <c r="BH737" s="19"/>
      <c r="BI737" s="19"/>
      <c r="BJ737" s="19"/>
      <c r="BK737" s="19"/>
      <c r="BL737" s="19"/>
      <c r="BM737" s="98"/>
      <c r="BN737" s="98"/>
      <c r="BO737" s="98"/>
      <c r="BP737" s="98"/>
      <c r="BQ737" s="98"/>
      <c r="BR737" s="98"/>
      <c r="BS737" s="98"/>
      <c r="BT737" s="98"/>
      <c r="BU737" s="98"/>
      <c r="BV737" s="98"/>
      <c r="BW737" s="98"/>
      <c r="BX737" s="98"/>
      <c r="BY737" s="98"/>
      <c r="BZ737" s="98"/>
      <c r="DA737" s="177"/>
      <c r="EH737" s="19"/>
      <c r="EI737" s="19"/>
      <c r="EJ737" s="19"/>
      <c r="EK737" s="19"/>
      <c r="EL737" s="19"/>
      <c r="EM737" s="98"/>
      <c r="EN737" s="98"/>
      <c r="EO737" s="98"/>
      <c r="EP737" s="98"/>
      <c r="EQ737" s="98"/>
      <c r="ER737" s="98"/>
      <c r="ES737" s="98"/>
      <c r="ET737" s="98"/>
      <c r="EU737" s="98"/>
      <c r="EV737" s="98"/>
      <c r="EW737" s="98"/>
      <c r="EX737" s="98"/>
      <c r="EY737" s="98"/>
      <c r="EZ737" s="178"/>
    </row>
    <row r="738" spans="60:156">
      <c r="BH738" s="19"/>
      <c r="BI738" s="19"/>
      <c r="BJ738" s="19"/>
      <c r="BK738" s="19"/>
      <c r="BL738" s="19"/>
      <c r="BM738" s="98"/>
      <c r="BN738" s="98"/>
      <c r="BO738" s="98"/>
      <c r="BP738" s="98"/>
      <c r="BQ738" s="98"/>
      <c r="BR738" s="98"/>
      <c r="BS738" s="98"/>
      <c r="BT738" s="98"/>
      <c r="BU738" s="98"/>
      <c r="BV738" s="98"/>
      <c r="BW738" s="98"/>
      <c r="BX738" s="98"/>
      <c r="BY738" s="98"/>
      <c r="BZ738" s="98"/>
      <c r="DA738" s="177"/>
      <c r="EH738" s="19"/>
      <c r="EI738" s="19"/>
      <c r="EJ738" s="19"/>
      <c r="EK738" s="19"/>
      <c r="EL738" s="19"/>
      <c r="EM738" s="98"/>
      <c r="EN738" s="98"/>
      <c r="EO738" s="98"/>
      <c r="EP738" s="98"/>
      <c r="EQ738" s="98"/>
      <c r="ER738" s="98"/>
      <c r="ES738" s="98"/>
      <c r="ET738" s="98"/>
      <c r="EU738" s="98"/>
      <c r="EV738" s="98"/>
      <c r="EW738" s="98"/>
      <c r="EX738" s="98"/>
      <c r="EY738" s="98"/>
      <c r="EZ738" s="178"/>
    </row>
    <row r="739" spans="60:156">
      <c r="BH739" s="19"/>
      <c r="BI739" s="19"/>
      <c r="BJ739" s="19"/>
      <c r="BK739" s="19"/>
      <c r="BL739" s="19"/>
      <c r="BM739" s="98"/>
      <c r="BN739" s="98"/>
      <c r="BO739" s="98"/>
      <c r="BP739" s="98"/>
      <c r="BQ739" s="98"/>
      <c r="BR739" s="98"/>
      <c r="BS739" s="98"/>
      <c r="BT739" s="98"/>
      <c r="BU739" s="98"/>
      <c r="BV739" s="98"/>
      <c r="BW739" s="98"/>
      <c r="BX739" s="98"/>
      <c r="BY739" s="98"/>
      <c r="BZ739" s="98"/>
      <c r="DA739" s="177"/>
      <c r="EH739" s="19"/>
      <c r="EI739" s="19"/>
      <c r="EJ739" s="19"/>
      <c r="EK739" s="19"/>
      <c r="EL739" s="19"/>
      <c r="EM739" s="98"/>
      <c r="EN739" s="98"/>
      <c r="EO739" s="98"/>
      <c r="EP739" s="98"/>
      <c r="EQ739" s="98"/>
      <c r="ER739" s="98"/>
      <c r="ES739" s="98"/>
      <c r="ET739" s="98"/>
      <c r="EU739" s="98"/>
      <c r="EV739" s="98"/>
      <c r="EW739" s="98"/>
      <c r="EX739" s="98"/>
      <c r="EY739" s="98"/>
      <c r="EZ739" s="178"/>
    </row>
    <row r="740" spans="60:156">
      <c r="BH740" s="19"/>
      <c r="BI740" s="19"/>
      <c r="BJ740" s="19"/>
      <c r="BK740" s="19"/>
      <c r="BL740" s="19"/>
      <c r="BM740" s="98"/>
      <c r="BN740" s="98"/>
      <c r="BO740" s="98"/>
      <c r="BP740" s="98"/>
      <c r="BQ740" s="98"/>
      <c r="BR740" s="98"/>
      <c r="BS740" s="98"/>
      <c r="BT740" s="98"/>
      <c r="BU740" s="98"/>
      <c r="BV740" s="98"/>
      <c r="BW740" s="98"/>
      <c r="BX740" s="98"/>
      <c r="BY740" s="98"/>
      <c r="BZ740" s="98"/>
      <c r="DA740" s="177"/>
      <c r="EH740" s="19"/>
      <c r="EI740" s="19"/>
      <c r="EJ740" s="19"/>
      <c r="EK740" s="19"/>
      <c r="EL740" s="19"/>
      <c r="EM740" s="98"/>
      <c r="EN740" s="98"/>
      <c r="EO740" s="98"/>
      <c r="EP740" s="98"/>
      <c r="EQ740" s="98"/>
      <c r="ER740" s="98"/>
      <c r="ES740" s="98"/>
      <c r="ET740" s="98"/>
      <c r="EU740" s="98"/>
      <c r="EV740" s="98"/>
      <c r="EW740" s="98"/>
      <c r="EX740" s="98"/>
      <c r="EY740" s="98"/>
      <c r="EZ740" s="178"/>
    </row>
    <row r="741" spans="60:156">
      <c r="BH741" s="19"/>
      <c r="BI741" s="19"/>
      <c r="BJ741" s="19"/>
      <c r="BK741" s="19"/>
      <c r="BL741" s="19"/>
      <c r="BM741" s="98"/>
      <c r="BN741" s="98"/>
      <c r="BO741" s="98"/>
      <c r="BP741" s="98"/>
      <c r="BQ741" s="98"/>
      <c r="BR741" s="98"/>
      <c r="BS741" s="98"/>
      <c r="BT741" s="98"/>
      <c r="BU741" s="98"/>
      <c r="BV741" s="98"/>
      <c r="BW741" s="98"/>
      <c r="BX741" s="98"/>
      <c r="BY741" s="98"/>
      <c r="BZ741" s="98"/>
      <c r="DA741" s="177"/>
      <c r="EH741" s="19"/>
      <c r="EI741" s="19"/>
      <c r="EJ741" s="19"/>
      <c r="EK741" s="19"/>
      <c r="EL741" s="19"/>
      <c r="EM741" s="98"/>
      <c r="EN741" s="98"/>
      <c r="EO741" s="98"/>
      <c r="EP741" s="98"/>
      <c r="EQ741" s="98"/>
      <c r="ER741" s="98"/>
      <c r="ES741" s="98"/>
      <c r="ET741" s="98"/>
      <c r="EU741" s="98"/>
      <c r="EV741" s="98"/>
      <c r="EW741" s="98"/>
      <c r="EX741" s="98"/>
      <c r="EY741" s="98"/>
      <c r="EZ741" s="178"/>
    </row>
    <row r="742" spans="60:156">
      <c r="BH742" s="19"/>
      <c r="BI742" s="19"/>
      <c r="BJ742" s="19"/>
      <c r="BK742" s="19"/>
      <c r="BL742" s="19"/>
      <c r="BM742" s="98"/>
      <c r="BN742" s="98"/>
      <c r="BO742" s="98"/>
      <c r="BP742" s="98"/>
      <c r="BQ742" s="98"/>
      <c r="BR742" s="98"/>
      <c r="BS742" s="98"/>
      <c r="BT742" s="98"/>
      <c r="BU742" s="98"/>
      <c r="BV742" s="98"/>
      <c r="BW742" s="98"/>
      <c r="BX742" s="98"/>
      <c r="BY742" s="98"/>
      <c r="BZ742" s="98"/>
      <c r="DA742" s="177"/>
      <c r="EH742" s="19"/>
      <c r="EI742" s="19"/>
      <c r="EJ742" s="19"/>
      <c r="EK742" s="19"/>
      <c r="EL742" s="19"/>
      <c r="EM742" s="98"/>
      <c r="EN742" s="98"/>
      <c r="EO742" s="98"/>
      <c r="EP742" s="98"/>
      <c r="EQ742" s="98"/>
      <c r="ER742" s="98"/>
      <c r="ES742" s="98"/>
      <c r="ET742" s="98"/>
      <c r="EU742" s="98"/>
      <c r="EV742" s="98"/>
      <c r="EW742" s="98"/>
      <c r="EX742" s="98"/>
      <c r="EY742" s="98"/>
      <c r="EZ742" s="178"/>
    </row>
    <row r="743" spans="60:156">
      <c r="BH743" s="19"/>
      <c r="BI743" s="19"/>
      <c r="BJ743" s="19"/>
      <c r="BK743" s="19"/>
      <c r="BL743" s="19"/>
      <c r="BM743" s="98"/>
      <c r="BN743" s="98"/>
      <c r="BO743" s="98"/>
      <c r="BP743" s="98"/>
      <c r="BQ743" s="98"/>
      <c r="BR743" s="98"/>
      <c r="BS743" s="98"/>
      <c r="BT743" s="98"/>
      <c r="BU743" s="98"/>
      <c r="BV743" s="98"/>
      <c r="BW743" s="98"/>
      <c r="BX743" s="98"/>
      <c r="BY743" s="98"/>
      <c r="BZ743" s="98"/>
      <c r="DA743" s="177"/>
      <c r="EH743" s="19"/>
      <c r="EI743" s="19"/>
      <c r="EJ743" s="19"/>
      <c r="EK743" s="19"/>
      <c r="EL743" s="19"/>
      <c r="EM743" s="98"/>
      <c r="EN743" s="98"/>
      <c r="EO743" s="98"/>
      <c r="EP743" s="98"/>
      <c r="EQ743" s="98"/>
      <c r="ER743" s="98"/>
      <c r="ES743" s="98"/>
      <c r="ET743" s="98"/>
      <c r="EU743" s="98"/>
      <c r="EV743" s="98"/>
      <c r="EW743" s="98"/>
      <c r="EX743" s="98"/>
      <c r="EY743" s="98"/>
      <c r="EZ743" s="178"/>
    </row>
    <row r="744" spans="60:156">
      <c r="BH744" s="19"/>
      <c r="BI744" s="19"/>
      <c r="BJ744" s="19"/>
      <c r="BK744" s="19"/>
      <c r="BL744" s="19"/>
      <c r="BM744" s="98"/>
      <c r="BN744" s="98"/>
      <c r="BO744" s="98"/>
      <c r="BP744" s="98"/>
      <c r="BQ744" s="98"/>
      <c r="BR744" s="98"/>
      <c r="BS744" s="98"/>
      <c r="BT744" s="98"/>
      <c r="BU744" s="98"/>
      <c r="BV744" s="98"/>
      <c r="BW744" s="98"/>
      <c r="BX744" s="98"/>
      <c r="BY744" s="98"/>
      <c r="BZ744" s="98"/>
      <c r="DA744" s="177"/>
      <c r="EH744" s="19"/>
      <c r="EI744" s="19"/>
      <c r="EJ744" s="19"/>
      <c r="EK744" s="19"/>
      <c r="EL744" s="19"/>
      <c r="EM744" s="98"/>
      <c r="EN744" s="98"/>
      <c r="EO744" s="98"/>
      <c r="EP744" s="98"/>
      <c r="EQ744" s="98"/>
      <c r="ER744" s="98"/>
      <c r="ES744" s="98"/>
      <c r="ET744" s="98"/>
      <c r="EU744" s="98"/>
      <c r="EV744" s="98"/>
      <c r="EW744" s="98"/>
      <c r="EX744" s="98"/>
      <c r="EY744" s="98"/>
      <c r="EZ744" s="178"/>
    </row>
    <row r="745" spans="60:156">
      <c r="BH745" s="19"/>
      <c r="BI745" s="19"/>
      <c r="BJ745" s="19"/>
      <c r="BK745" s="19"/>
      <c r="BL745" s="19"/>
      <c r="BM745" s="98"/>
      <c r="BN745" s="98"/>
      <c r="BO745" s="98"/>
      <c r="BP745" s="98"/>
      <c r="BQ745" s="98"/>
      <c r="BR745" s="98"/>
      <c r="BS745" s="98"/>
      <c r="BT745" s="98"/>
      <c r="BU745" s="98"/>
      <c r="BV745" s="98"/>
      <c r="BW745" s="98"/>
      <c r="BX745" s="98"/>
      <c r="BY745" s="98"/>
      <c r="BZ745" s="98"/>
      <c r="DA745" s="177"/>
      <c r="EH745" s="19"/>
      <c r="EI745" s="19"/>
      <c r="EJ745" s="19"/>
      <c r="EK745" s="19"/>
      <c r="EL745" s="19"/>
      <c r="EM745" s="98"/>
      <c r="EN745" s="98"/>
      <c r="EO745" s="98"/>
      <c r="EP745" s="98"/>
      <c r="EQ745" s="98"/>
      <c r="ER745" s="98"/>
      <c r="ES745" s="98"/>
      <c r="ET745" s="98"/>
      <c r="EU745" s="98"/>
      <c r="EV745" s="98"/>
      <c r="EW745" s="98"/>
      <c r="EX745" s="98"/>
      <c r="EY745" s="98"/>
      <c r="EZ745" s="178"/>
    </row>
    <row r="746" spans="60:156">
      <c r="BH746" s="19"/>
      <c r="BI746" s="19"/>
      <c r="BJ746" s="19"/>
      <c r="BK746" s="19"/>
      <c r="BL746" s="19"/>
      <c r="BM746" s="98"/>
      <c r="BN746" s="98"/>
      <c r="BO746" s="98"/>
      <c r="BP746" s="98"/>
      <c r="BQ746" s="98"/>
      <c r="BR746" s="98"/>
      <c r="BS746" s="98"/>
      <c r="BT746" s="98"/>
      <c r="BU746" s="98"/>
      <c r="BV746" s="98"/>
      <c r="BW746" s="98"/>
      <c r="BX746" s="98"/>
      <c r="BY746" s="98"/>
      <c r="BZ746" s="98"/>
      <c r="DA746" s="177"/>
      <c r="EH746" s="19"/>
      <c r="EI746" s="19"/>
      <c r="EJ746" s="19"/>
      <c r="EK746" s="19"/>
      <c r="EL746" s="19"/>
      <c r="EM746" s="98"/>
      <c r="EN746" s="98"/>
      <c r="EO746" s="98"/>
      <c r="EP746" s="98"/>
      <c r="EQ746" s="98"/>
      <c r="ER746" s="98"/>
      <c r="ES746" s="98"/>
      <c r="ET746" s="98"/>
      <c r="EU746" s="98"/>
      <c r="EV746" s="98"/>
      <c r="EW746" s="98"/>
      <c r="EX746" s="98"/>
      <c r="EY746" s="98"/>
      <c r="EZ746" s="178"/>
    </row>
    <row r="747" spans="60:156">
      <c r="BH747" s="19"/>
      <c r="BI747" s="19"/>
      <c r="BJ747" s="19"/>
      <c r="BK747" s="19"/>
      <c r="BL747" s="19"/>
      <c r="BM747" s="98"/>
      <c r="BN747" s="98"/>
      <c r="BO747" s="98"/>
      <c r="BP747" s="98"/>
      <c r="BQ747" s="98"/>
      <c r="BR747" s="98"/>
      <c r="BS747" s="98"/>
      <c r="BT747" s="98"/>
      <c r="BU747" s="98"/>
      <c r="BV747" s="98"/>
      <c r="BW747" s="98"/>
      <c r="BX747" s="98"/>
      <c r="BY747" s="98"/>
      <c r="BZ747" s="98"/>
      <c r="DA747" s="177"/>
      <c r="EH747" s="19"/>
      <c r="EI747" s="19"/>
      <c r="EJ747" s="19"/>
      <c r="EK747" s="19"/>
      <c r="EL747" s="19"/>
      <c r="EM747" s="98"/>
      <c r="EN747" s="98"/>
      <c r="EO747" s="98"/>
      <c r="EP747" s="98"/>
      <c r="EQ747" s="98"/>
      <c r="ER747" s="98"/>
      <c r="ES747" s="98"/>
      <c r="ET747" s="98"/>
      <c r="EU747" s="98"/>
      <c r="EV747" s="98"/>
      <c r="EW747" s="98"/>
      <c r="EX747" s="98"/>
      <c r="EY747" s="98"/>
      <c r="EZ747" s="178"/>
    </row>
    <row r="748" spans="60:156">
      <c r="BH748" s="19"/>
      <c r="BI748" s="19"/>
      <c r="BJ748" s="19"/>
      <c r="BK748" s="19"/>
      <c r="BL748" s="19"/>
      <c r="BM748" s="98"/>
      <c r="BN748" s="98"/>
      <c r="BO748" s="98"/>
      <c r="BP748" s="98"/>
      <c r="BQ748" s="98"/>
      <c r="BR748" s="98"/>
      <c r="BS748" s="98"/>
      <c r="BT748" s="98"/>
      <c r="BU748" s="98"/>
      <c r="BV748" s="98"/>
      <c r="BW748" s="98"/>
      <c r="BX748" s="98"/>
      <c r="BY748" s="98"/>
      <c r="BZ748" s="98"/>
      <c r="DA748" s="177"/>
      <c r="EH748" s="19"/>
      <c r="EI748" s="19"/>
      <c r="EJ748" s="19"/>
      <c r="EK748" s="19"/>
      <c r="EL748" s="19"/>
      <c r="EM748" s="98"/>
      <c r="EN748" s="98"/>
      <c r="EO748" s="98"/>
      <c r="EP748" s="98"/>
      <c r="EQ748" s="98"/>
      <c r="ER748" s="98"/>
      <c r="ES748" s="98"/>
      <c r="ET748" s="98"/>
      <c r="EU748" s="98"/>
      <c r="EV748" s="98"/>
      <c r="EW748" s="98"/>
      <c r="EX748" s="98"/>
      <c r="EY748" s="98"/>
      <c r="EZ748" s="178"/>
    </row>
    <row r="749" spans="60:156">
      <c r="BH749" s="19"/>
      <c r="BI749" s="19"/>
      <c r="BJ749" s="19"/>
      <c r="BK749" s="19"/>
      <c r="BL749" s="19"/>
      <c r="BM749" s="98"/>
      <c r="BN749" s="98"/>
      <c r="BO749" s="98"/>
      <c r="BP749" s="98"/>
      <c r="BQ749" s="98"/>
      <c r="BR749" s="98"/>
      <c r="BS749" s="98"/>
      <c r="BT749" s="98"/>
      <c r="BU749" s="98"/>
      <c r="BV749" s="98"/>
      <c r="BW749" s="98"/>
      <c r="BX749" s="98"/>
      <c r="BY749" s="98"/>
      <c r="BZ749" s="98"/>
      <c r="DA749" s="177"/>
      <c r="EH749" s="19"/>
      <c r="EI749" s="19"/>
      <c r="EJ749" s="19"/>
      <c r="EK749" s="19"/>
      <c r="EL749" s="19"/>
      <c r="EM749" s="98"/>
      <c r="EN749" s="98"/>
      <c r="EO749" s="98"/>
      <c r="EP749" s="98"/>
      <c r="EQ749" s="98"/>
      <c r="ER749" s="98"/>
      <c r="ES749" s="98"/>
      <c r="ET749" s="98"/>
      <c r="EU749" s="98"/>
      <c r="EV749" s="98"/>
      <c r="EW749" s="98"/>
      <c r="EX749" s="98"/>
      <c r="EY749" s="98"/>
      <c r="EZ749" s="178"/>
    </row>
    <row r="750" spans="60:156">
      <c r="BH750" s="19"/>
      <c r="BI750" s="19"/>
      <c r="BJ750" s="19"/>
      <c r="BK750" s="19"/>
      <c r="BL750" s="19"/>
      <c r="BM750" s="98"/>
      <c r="BN750" s="98"/>
      <c r="BO750" s="98"/>
      <c r="BP750" s="98"/>
      <c r="BQ750" s="98"/>
      <c r="BR750" s="98"/>
      <c r="BS750" s="98"/>
      <c r="BT750" s="98"/>
      <c r="BU750" s="98"/>
      <c r="BV750" s="98"/>
      <c r="BW750" s="98"/>
      <c r="BX750" s="98"/>
      <c r="BY750" s="98"/>
      <c r="BZ750" s="98"/>
      <c r="DA750" s="177"/>
      <c r="EH750" s="19"/>
      <c r="EI750" s="19"/>
      <c r="EJ750" s="19"/>
      <c r="EK750" s="19"/>
      <c r="EL750" s="19"/>
      <c r="EM750" s="98"/>
      <c r="EN750" s="98"/>
      <c r="EO750" s="98"/>
      <c r="EP750" s="98"/>
      <c r="EQ750" s="98"/>
      <c r="ER750" s="98"/>
      <c r="ES750" s="98"/>
      <c r="ET750" s="98"/>
      <c r="EU750" s="98"/>
      <c r="EV750" s="98"/>
      <c r="EW750" s="98"/>
      <c r="EX750" s="98"/>
      <c r="EY750" s="98"/>
      <c r="EZ750" s="178"/>
    </row>
    <row r="751" spans="60:156">
      <c r="BH751" s="19"/>
      <c r="BI751" s="19"/>
      <c r="BJ751" s="19"/>
      <c r="BK751" s="19"/>
      <c r="BL751" s="19"/>
      <c r="BM751" s="98"/>
      <c r="BN751" s="98"/>
      <c r="BO751" s="98"/>
      <c r="BP751" s="98"/>
      <c r="BQ751" s="98"/>
      <c r="BR751" s="98"/>
      <c r="BS751" s="98"/>
      <c r="BT751" s="98"/>
      <c r="BU751" s="98"/>
      <c r="BV751" s="98"/>
      <c r="BW751" s="98"/>
      <c r="BX751" s="98"/>
      <c r="BY751" s="98"/>
      <c r="BZ751" s="98"/>
      <c r="DA751" s="177"/>
      <c r="EH751" s="19"/>
      <c r="EI751" s="19"/>
      <c r="EJ751" s="19"/>
      <c r="EK751" s="19"/>
      <c r="EL751" s="19"/>
      <c r="EM751" s="98"/>
      <c r="EN751" s="98"/>
      <c r="EO751" s="98"/>
      <c r="EP751" s="98"/>
      <c r="EQ751" s="98"/>
      <c r="ER751" s="98"/>
      <c r="ES751" s="98"/>
      <c r="ET751" s="98"/>
      <c r="EU751" s="98"/>
      <c r="EV751" s="98"/>
      <c r="EW751" s="98"/>
      <c r="EX751" s="98"/>
      <c r="EY751" s="98"/>
      <c r="EZ751" s="178"/>
    </row>
    <row r="752" spans="60:156">
      <c r="BH752" s="19"/>
      <c r="BI752" s="19"/>
      <c r="BJ752" s="19"/>
      <c r="BK752" s="19"/>
      <c r="BL752" s="19"/>
      <c r="BM752" s="98"/>
      <c r="BN752" s="98"/>
      <c r="BO752" s="98"/>
      <c r="BP752" s="98"/>
      <c r="BQ752" s="98"/>
      <c r="BR752" s="98"/>
      <c r="BS752" s="98"/>
      <c r="BT752" s="98"/>
      <c r="BU752" s="98"/>
      <c r="BV752" s="98"/>
      <c r="BW752" s="98"/>
      <c r="BX752" s="98"/>
      <c r="BY752" s="98"/>
      <c r="BZ752" s="98"/>
      <c r="DA752" s="177"/>
      <c r="EH752" s="19"/>
      <c r="EI752" s="19"/>
      <c r="EJ752" s="19"/>
      <c r="EK752" s="19"/>
      <c r="EL752" s="19"/>
      <c r="EM752" s="98"/>
      <c r="EN752" s="98"/>
      <c r="EO752" s="98"/>
      <c r="EP752" s="98"/>
      <c r="EQ752" s="98"/>
      <c r="ER752" s="98"/>
      <c r="ES752" s="98"/>
      <c r="ET752" s="98"/>
      <c r="EU752" s="98"/>
      <c r="EV752" s="98"/>
      <c r="EW752" s="98"/>
      <c r="EX752" s="98"/>
      <c r="EY752" s="98"/>
      <c r="EZ752" s="178"/>
    </row>
    <row r="753" spans="60:156">
      <c r="BH753" s="19"/>
      <c r="BI753" s="19"/>
      <c r="BJ753" s="19"/>
      <c r="BK753" s="19"/>
      <c r="BL753" s="19"/>
      <c r="BM753" s="98"/>
      <c r="BN753" s="98"/>
      <c r="BO753" s="98"/>
      <c r="BP753" s="98"/>
      <c r="BQ753" s="98"/>
      <c r="BR753" s="98"/>
      <c r="BS753" s="98"/>
      <c r="BT753" s="98"/>
      <c r="BU753" s="98"/>
      <c r="BV753" s="98"/>
      <c r="BW753" s="98"/>
      <c r="BX753" s="98"/>
      <c r="BY753" s="98"/>
      <c r="BZ753" s="98"/>
      <c r="DA753" s="177"/>
      <c r="EH753" s="19"/>
      <c r="EI753" s="19"/>
      <c r="EJ753" s="19"/>
      <c r="EK753" s="19"/>
      <c r="EL753" s="19"/>
      <c r="EM753" s="98"/>
      <c r="EN753" s="98"/>
      <c r="EO753" s="98"/>
      <c r="EP753" s="98"/>
      <c r="EQ753" s="98"/>
      <c r="ER753" s="98"/>
      <c r="ES753" s="98"/>
      <c r="ET753" s="98"/>
      <c r="EU753" s="98"/>
      <c r="EV753" s="98"/>
      <c r="EW753" s="98"/>
      <c r="EX753" s="98"/>
      <c r="EY753" s="98"/>
      <c r="EZ753" s="178"/>
    </row>
    <row r="754" spans="60:156">
      <c r="BH754" s="19"/>
      <c r="BI754" s="19"/>
      <c r="BJ754" s="19"/>
      <c r="BK754" s="19"/>
      <c r="BL754" s="19"/>
      <c r="BM754" s="98"/>
      <c r="BN754" s="98"/>
      <c r="BO754" s="98"/>
      <c r="BP754" s="98"/>
      <c r="BQ754" s="98"/>
      <c r="BR754" s="98"/>
      <c r="BS754" s="98"/>
      <c r="BT754" s="98"/>
      <c r="BU754" s="98"/>
      <c r="BV754" s="98"/>
      <c r="BW754" s="98"/>
      <c r="BX754" s="98"/>
      <c r="BY754" s="98"/>
      <c r="BZ754" s="98"/>
      <c r="DA754" s="177"/>
      <c r="EH754" s="19"/>
      <c r="EI754" s="19"/>
      <c r="EJ754" s="19"/>
      <c r="EK754" s="19"/>
      <c r="EL754" s="19"/>
      <c r="EM754" s="98"/>
      <c r="EN754" s="98"/>
      <c r="EO754" s="98"/>
      <c r="EP754" s="98"/>
      <c r="EQ754" s="98"/>
      <c r="ER754" s="98"/>
      <c r="ES754" s="98"/>
      <c r="ET754" s="98"/>
      <c r="EU754" s="98"/>
      <c r="EV754" s="98"/>
      <c r="EW754" s="98"/>
      <c r="EX754" s="98"/>
      <c r="EY754" s="98"/>
      <c r="EZ754" s="178"/>
    </row>
    <row r="755" spans="60:156">
      <c r="BH755" s="19"/>
      <c r="BI755" s="19"/>
      <c r="BJ755" s="19"/>
      <c r="BK755" s="19"/>
      <c r="BL755" s="19"/>
      <c r="BM755" s="98"/>
      <c r="BN755" s="98"/>
      <c r="BO755" s="98"/>
      <c r="BP755" s="98"/>
      <c r="BQ755" s="98"/>
      <c r="BR755" s="98"/>
      <c r="BS755" s="98"/>
      <c r="BT755" s="98"/>
      <c r="BU755" s="98"/>
      <c r="BV755" s="98"/>
      <c r="BW755" s="98"/>
      <c r="BX755" s="98"/>
      <c r="BY755" s="98"/>
      <c r="BZ755" s="98"/>
      <c r="DA755" s="177"/>
      <c r="EH755" s="19"/>
      <c r="EI755" s="19"/>
      <c r="EJ755" s="19"/>
      <c r="EK755" s="19"/>
      <c r="EL755" s="19"/>
      <c r="EM755" s="98"/>
      <c r="EN755" s="98"/>
      <c r="EO755" s="98"/>
      <c r="EP755" s="98"/>
      <c r="EQ755" s="98"/>
      <c r="ER755" s="98"/>
      <c r="ES755" s="98"/>
      <c r="ET755" s="98"/>
      <c r="EU755" s="98"/>
      <c r="EV755" s="98"/>
      <c r="EW755" s="98"/>
      <c r="EX755" s="98"/>
      <c r="EY755" s="98"/>
      <c r="EZ755" s="178"/>
    </row>
    <row r="756" spans="60:156">
      <c r="BH756" s="19"/>
      <c r="BI756" s="19"/>
      <c r="BJ756" s="19"/>
      <c r="BK756" s="19"/>
      <c r="BL756" s="19"/>
      <c r="BM756" s="98"/>
      <c r="BN756" s="98"/>
      <c r="BO756" s="98"/>
      <c r="BP756" s="98"/>
      <c r="BQ756" s="98"/>
      <c r="BR756" s="98"/>
      <c r="BS756" s="98"/>
      <c r="BT756" s="98"/>
      <c r="BU756" s="98"/>
      <c r="BV756" s="98"/>
      <c r="BW756" s="98"/>
      <c r="BX756" s="98"/>
      <c r="BY756" s="98"/>
      <c r="BZ756" s="98"/>
      <c r="DA756" s="177"/>
      <c r="EH756" s="19"/>
      <c r="EI756" s="19"/>
      <c r="EJ756" s="19"/>
      <c r="EK756" s="19"/>
      <c r="EL756" s="19"/>
      <c r="EM756" s="98"/>
      <c r="EN756" s="98"/>
      <c r="EO756" s="98"/>
      <c r="EP756" s="98"/>
      <c r="EQ756" s="98"/>
      <c r="ER756" s="98"/>
      <c r="ES756" s="98"/>
      <c r="ET756" s="98"/>
      <c r="EU756" s="98"/>
      <c r="EV756" s="98"/>
      <c r="EW756" s="98"/>
      <c r="EX756" s="98"/>
      <c r="EY756" s="98"/>
      <c r="EZ756" s="178"/>
    </row>
    <row r="757" spans="60:156">
      <c r="BH757" s="19"/>
      <c r="BI757" s="19"/>
      <c r="BJ757" s="19"/>
      <c r="BK757" s="19"/>
      <c r="BL757" s="19"/>
      <c r="BM757" s="98"/>
      <c r="BN757" s="98"/>
      <c r="BO757" s="98"/>
      <c r="BP757" s="98"/>
      <c r="BQ757" s="98"/>
      <c r="BR757" s="98"/>
      <c r="BS757" s="98"/>
      <c r="BT757" s="98"/>
      <c r="BU757" s="98"/>
      <c r="BV757" s="98"/>
      <c r="BW757" s="98"/>
      <c r="BX757" s="98"/>
      <c r="BY757" s="98"/>
      <c r="BZ757" s="98"/>
      <c r="DA757" s="177"/>
      <c r="EH757" s="19"/>
      <c r="EI757" s="19"/>
      <c r="EJ757" s="19"/>
      <c r="EK757" s="19"/>
      <c r="EL757" s="19"/>
      <c r="EM757" s="98"/>
      <c r="EN757" s="98"/>
      <c r="EO757" s="98"/>
      <c r="EP757" s="98"/>
      <c r="EQ757" s="98"/>
      <c r="ER757" s="98"/>
      <c r="ES757" s="98"/>
      <c r="ET757" s="98"/>
      <c r="EU757" s="98"/>
      <c r="EV757" s="98"/>
      <c r="EW757" s="98"/>
      <c r="EX757" s="98"/>
      <c r="EY757" s="98"/>
      <c r="EZ757" s="178"/>
    </row>
    <row r="758" spans="60:156">
      <c r="BH758" s="19"/>
      <c r="BI758" s="19"/>
      <c r="BJ758" s="19"/>
      <c r="BK758" s="19"/>
      <c r="BL758" s="19"/>
      <c r="BM758" s="98"/>
      <c r="BN758" s="98"/>
      <c r="BO758" s="98"/>
      <c r="BP758" s="98"/>
      <c r="BQ758" s="98"/>
      <c r="BR758" s="98"/>
      <c r="BS758" s="98"/>
      <c r="BT758" s="98"/>
      <c r="BU758" s="98"/>
      <c r="BV758" s="98"/>
      <c r="BW758" s="98"/>
      <c r="BX758" s="98"/>
      <c r="BY758" s="98"/>
      <c r="BZ758" s="98"/>
      <c r="DA758" s="177"/>
      <c r="EH758" s="19"/>
      <c r="EI758" s="19"/>
      <c r="EJ758" s="19"/>
      <c r="EK758" s="19"/>
      <c r="EL758" s="19"/>
      <c r="EM758" s="98"/>
      <c r="EN758" s="98"/>
      <c r="EO758" s="98"/>
      <c r="EP758" s="98"/>
      <c r="EQ758" s="98"/>
      <c r="ER758" s="98"/>
      <c r="ES758" s="98"/>
      <c r="ET758" s="98"/>
      <c r="EU758" s="98"/>
      <c r="EV758" s="98"/>
      <c r="EW758" s="98"/>
      <c r="EX758" s="98"/>
      <c r="EY758" s="98"/>
      <c r="EZ758" s="178"/>
    </row>
    <row r="759" spans="60:156">
      <c r="BH759" s="19"/>
      <c r="BI759" s="19"/>
      <c r="BJ759" s="19"/>
      <c r="BK759" s="19"/>
      <c r="BL759" s="19"/>
      <c r="BM759" s="98"/>
      <c r="BN759" s="98"/>
      <c r="BO759" s="98"/>
      <c r="BP759" s="98"/>
      <c r="BQ759" s="98"/>
      <c r="BR759" s="98"/>
      <c r="BS759" s="98"/>
      <c r="BT759" s="98"/>
      <c r="BU759" s="98"/>
      <c r="BV759" s="98"/>
      <c r="BW759" s="98"/>
      <c r="BX759" s="98"/>
      <c r="BY759" s="98"/>
      <c r="BZ759" s="98"/>
      <c r="DA759" s="177"/>
      <c r="EH759" s="19"/>
      <c r="EI759" s="19"/>
      <c r="EJ759" s="19"/>
      <c r="EK759" s="19"/>
      <c r="EL759" s="19"/>
      <c r="EM759" s="98"/>
      <c r="EN759" s="98"/>
      <c r="EO759" s="98"/>
      <c r="EP759" s="98"/>
      <c r="EQ759" s="98"/>
      <c r="ER759" s="98"/>
      <c r="ES759" s="98"/>
      <c r="ET759" s="98"/>
      <c r="EU759" s="98"/>
      <c r="EV759" s="98"/>
      <c r="EW759" s="98"/>
      <c r="EX759" s="98"/>
      <c r="EY759" s="98"/>
      <c r="EZ759" s="178"/>
    </row>
    <row r="760" spans="60:156">
      <c r="BH760" s="19"/>
      <c r="BI760" s="19"/>
      <c r="BJ760" s="19"/>
      <c r="BK760" s="19"/>
      <c r="BL760" s="19"/>
      <c r="BM760" s="98"/>
      <c r="BN760" s="98"/>
      <c r="BO760" s="98"/>
      <c r="BP760" s="98"/>
      <c r="BQ760" s="98"/>
      <c r="BR760" s="98"/>
      <c r="BS760" s="98"/>
      <c r="BT760" s="98"/>
      <c r="BU760" s="98"/>
      <c r="BV760" s="98"/>
      <c r="BW760" s="98"/>
      <c r="BX760" s="98"/>
      <c r="BY760" s="98"/>
      <c r="BZ760" s="98"/>
      <c r="DA760" s="177"/>
      <c r="EH760" s="19"/>
      <c r="EI760" s="19"/>
      <c r="EJ760" s="19"/>
      <c r="EK760" s="19"/>
      <c r="EL760" s="19"/>
      <c r="EM760" s="98"/>
      <c r="EN760" s="98"/>
      <c r="EO760" s="98"/>
      <c r="EP760" s="98"/>
      <c r="EQ760" s="98"/>
      <c r="ER760" s="98"/>
      <c r="ES760" s="98"/>
      <c r="ET760" s="98"/>
      <c r="EU760" s="98"/>
      <c r="EV760" s="98"/>
      <c r="EW760" s="98"/>
      <c r="EX760" s="98"/>
      <c r="EY760" s="98"/>
      <c r="EZ760" s="178"/>
    </row>
    <row r="761" spans="60:156">
      <c r="BH761" s="19"/>
      <c r="BI761" s="19"/>
      <c r="BJ761" s="19"/>
      <c r="BK761" s="19"/>
      <c r="BL761" s="19"/>
      <c r="BM761" s="98"/>
      <c r="BN761" s="98"/>
      <c r="BO761" s="98"/>
      <c r="BP761" s="98"/>
      <c r="BQ761" s="98"/>
      <c r="BR761" s="98"/>
      <c r="BS761" s="98"/>
      <c r="BT761" s="98"/>
      <c r="BU761" s="98"/>
      <c r="BV761" s="98"/>
      <c r="BW761" s="98"/>
      <c r="BX761" s="98"/>
      <c r="BY761" s="98"/>
      <c r="BZ761" s="98"/>
      <c r="DA761" s="177"/>
      <c r="EH761" s="19"/>
      <c r="EI761" s="19"/>
      <c r="EJ761" s="19"/>
      <c r="EK761" s="19"/>
      <c r="EL761" s="19"/>
      <c r="EM761" s="98"/>
      <c r="EN761" s="98"/>
      <c r="EO761" s="98"/>
      <c r="EP761" s="98"/>
      <c r="EQ761" s="98"/>
      <c r="ER761" s="98"/>
      <c r="ES761" s="98"/>
      <c r="ET761" s="98"/>
      <c r="EU761" s="98"/>
      <c r="EV761" s="98"/>
      <c r="EW761" s="98"/>
      <c r="EX761" s="98"/>
      <c r="EY761" s="98"/>
      <c r="EZ761" s="178"/>
    </row>
    <row r="762" spans="60:156">
      <c r="BH762" s="19"/>
      <c r="BI762" s="19"/>
      <c r="BJ762" s="19"/>
      <c r="BK762" s="19"/>
      <c r="BL762" s="19"/>
      <c r="BM762" s="98"/>
      <c r="BN762" s="98"/>
      <c r="BO762" s="98"/>
      <c r="BP762" s="98"/>
      <c r="BQ762" s="98"/>
      <c r="BR762" s="98"/>
      <c r="BS762" s="98"/>
      <c r="BT762" s="98"/>
      <c r="BU762" s="98"/>
      <c r="BV762" s="98"/>
      <c r="BW762" s="98"/>
      <c r="BX762" s="98"/>
      <c r="BY762" s="98"/>
      <c r="BZ762" s="98"/>
      <c r="DA762" s="177"/>
      <c r="EH762" s="19"/>
      <c r="EI762" s="19"/>
      <c r="EJ762" s="19"/>
      <c r="EK762" s="19"/>
      <c r="EL762" s="19"/>
      <c r="EM762" s="98"/>
      <c r="EN762" s="98"/>
      <c r="EO762" s="98"/>
      <c r="EP762" s="98"/>
      <c r="EQ762" s="98"/>
      <c r="ER762" s="98"/>
      <c r="ES762" s="98"/>
      <c r="ET762" s="98"/>
      <c r="EU762" s="98"/>
      <c r="EV762" s="98"/>
      <c r="EW762" s="98"/>
      <c r="EX762" s="98"/>
      <c r="EY762" s="98"/>
      <c r="EZ762" s="178"/>
    </row>
    <row r="763" spans="60:156">
      <c r="BH763" s="19"/>
      <c r="BI763" s="19"/>
      <c r="BJ763" s="19"/>
      <c r="BK763" s="19"/>
      <c r="BL763" s="19"/>
      <c r="BM763" s="98"/>
      <c r="BN763" s="98"/>
      <c r="BO763" s="98"/>
      <c r="BP763" s="98"/>
      <c r="BQ763" s="98"/>
      <c r="BR763" s="98"/>
      <c r="BS763" s="98"/>
      <c r="BT763" s="98"/>
      <c r="BU763" s="98"/>
      <c r="BV763" s="98"/>
      <c r="BW763" s="98"/>
      <c r="BX763" s="98"/>
      <c r="BY763" s="98"/>
      <c r="BZ763" s="98"/>
      <c r="DA763" s="177"/>
      <c r="EH763" s="19"/>
      <c r="EI763" s="19"/>
      <c r="EJ763" s="19"/>
      <c r="EK763" s="19"/>
      <c r="EL763" s="19"/>
      <c r="EM763" s="98"/>
      <c r="EN763" s="98"/>
      <c r="EO763" s="98"/>
      <c r="EP763" s="98"/>
      <c r="EQ763" s="98"/>
      <c r="ER763" s="98"/>
      <c r="ES763" s="98"/>
      <c r="ET763" s="98"/>
      <c r="EU763" s="98"/>
      <c r="EV763" s="98"/>
      <c r="EW763" s="98"/>
      <c r="EX763" s="98"/>
      <c r="EY763" s="98"/>
      <c r="EZ763" s="178"/>
    </row>
    <row r="764" spans="60:156">
      <c r="BH764" s="19"/>
      <c r="BI764" s="19"/>
      <c r="BJ764" s="19"/>
      <c r="BK764" s="19"/>
      <c r="BL764" s="19"/>
      <c r="BM764" s="98"/>
      <c r="BN764" s="98"/>
      <c r="BO764" s="98"/>
      <c r="BP764" s="98"/>
      <c r="BQ764" s="98"/>
      <c r="BR764" s="98"/>
      <c r="BS764" s="98"/>
      <c r="BT764" s="98"/>
      <c r="BU764" s="98"/>
      <c r="BV764" s="98"/>
      <c r="BW764" s="98"/>
      <c r="BX764" s="98"/>
      <c r="BY764" s="98"/>
      <c r="BZ764" s="98"/>
      <c r="DA764" s="177"/>
      <c r="EH764" s="19"/>
      <c r="EI764" s="19"/>
      <c r="EJ764" s="19"/>
      <c r="EK764" s="19"/>
      <c r="EL764" s="19"/>
      <c r="EM764" s="98"/>
      <c r="EN764" s="98"/>
      <c r="EO764" s="98"/>
      <c r="EP764" s="98"/>
      <c r="EQ764" s="98"/>
      <c r="ER764" s="98"/>
      <c r="ES764" s="98"/>
      <c r="ET764" s="98"/>
      <c r="EU764" s="98"/>
      <c r="EV764" s="98"/>
      <c r="EW764" s="98"/>
      <c r="EX764" s="98"/>
      <c r="EY764" s="98"/>
      <c r="EZ764" s="178"/>
    </row>
    <row r="765" spans="60:156">
      <c r="BH765" s="19"/>
      <c r="BI765" s="19"/>
      <c r="BJ765" s="19"/>
      <c r="BK765" s="19"/>
      <c r="BL765" s="19"/>
      <c r="BM765" s="98"/>
      <c r="BN765" s="98"/>
      <c r="BO765" s="98"/>
      <c r="BP765" s="98"/>
      <c r="BQ765" s="98"/>
      <c r="BR765" s="98"/>
      <c r="BS765" s="98"/>
      <c r="BT765" s="98"/>
      <c r="BU765" s="98"/>
      <c r="BV765" s="98"/>
      <c r="BW765" s="98"/>
      <c r="BX765" s="98"/>
      <c r="BY765" s="98"/>
      <c r="BZ765" s="98"/>
      <c r="DA765" s="177"/>
      <c r="EH765" s="19"/>
      <c r="EI765" s="19"/>
      <c r="EJ765" s="19"/>
      <c r="EK765" s="19"/>
      <c r="EL765" s="19"/>
      <c r="EM765" s="98"/>
      <c r="EN765" s="98"/>
      <c r="EO765" s="98"/>
      <c r="EP765" s="98"/>
      <c r="EQ765" s="98"/>
      <c r="ER765" s="98"/>
      <c r="ES765" s="98"/>
      <c r="ET765" s="98"/>
      <c r="EU765" s="98"/>
      <c r="EV765" s="98"/>
      <c r="EW765" s="98"/>
      <c r="EX765" s="98"/>
      <c r="EY765" s="98"/>
      <c r="EZ765" s="178"/>
    </row>
    <row r="766" spans="60:156">
      <c r="BH766" s="19"/>
      <c r="BI766" s="19"/>
      <c r="BJ766" s="19"/>
      <c r="BK766" s="19"/>
      <c r="BL766" s="19"/>
      <c r="BM766" s="98"/>
      <c r="BN766" s="98"/>
      <c r="BO766" s="98"/>
      <c r="BP766" s="98"/>
      <c r="BQ766" s="98"/>
      <c r="BR766" s="98"/>
      <c r="BS766" s="98"/>
      <c r="BT766" s="98"/>
      <c r="BU766" s="98"/>
      <c r="BV766" s="98"/>
      <c r="BW766" s="98"/>
      <c r="BX766" s="98"/>
      <c r="BY766" s="98"/>
      <c r="BZ766" s="98"/>
      <c r="DA766" s="177"/>
      <c r="EH766" s="19"/>
      <c r="EI766" s="19"/>
      <c r="EJ766" s="19"/>
      <c r="EK766" s="19"/>
      <c r="EL766" s="19"/>
      <c r="EM766" s="98"/>
      <c r="EN766" s="98"/>
      <c r="EO766" s="98"/>
      <c r="EP766" s="98"/>
      <c r="EQ766" s="98"/>
      <c r="ER766" s="98"/>
      <c r="ES766" s="98"/>
      <c r="ET766" s="98"/>
      <c r="EU766" s="98"/>
      <c r="EV766" s="98"/>
      <c r="EW766" s="98"/>
      <c r="EX766" s="98"/>
      <c r="EY766" s="98"/>
      <c r="EZ766" s="178"/>
    </row>
    <row r="767" spans="60:156">
      <c r="BH767" s="19"/>
      <c r="BI767" s="19"/>
      <c r="BJ767" s="19"/>
      <c r="BK767" s="19"/>
      <c r="BL767" s="19"/>
      <c r="BM767" s="98"/>
      <c r="BN767" s="98"/>
      <c r="BO767" s="98"/>
      <c r="BP767" s="98"/>
      <c r="BQ767" s="98"/>
      <c r="BR767" s="98"/>
      <c r="BS767" s="98"/>
      <c r="BT767" s="98"/>
      <c r="BU767" s="98"/>
      <c r="BV767" s="98"/>
      <c r="BW767" s="98"/>
      <c r="BX767" s="98"/>
      <c r="BY767" s="98"/>
      <c r="BZ767" s="98"/>
      <c r="DA767" s="177"/>
      <c r="EH767" s="19"/>
      <c r="EI767" s="19"/>
      <c r="EJ767" s="19"/>
      <c r="EK767" s="19"/>
      <c r="EL767" s="19"/>
      <c r="EM767" s="98"/>
      <c r="EN767" s="98"/>
      <c r="EO767" s="98"/>
      <c r="EP767" s="98"/>
      <c r="EQ767" s="98"/>
      <c r="ER767" s="98"/>
      <c r="ES767" s="98"/>
      <c r="ET767" s="98"/>
      <c r="EU767" s="98"/>
      <c r="EV767" s="98"/>
      <c r="EW767" s="98"/>
      <c r="EX767" s="98"/>
      <c r="EY767" s="98"/>
      <c r="EZ767" s="178"/>
    </row>
    <row r="768" spans="60:156">
      <c r="BH768" s="19"/>
      <c r="BI768" s="19"/>
      <c r="BJ768" s="19"/>
      <c r="BK768" s="19"/>
      <c r="BL768" s="19"/>
      <c r="BM768" s="98"/>
      <c r="BN768" s="98"/>
      <c r="BO768" s="98"/>
      <c r="BP768" s="98"/>
      <c r="BQ768" s="98"/>
      <c r="BR768" s="98"/>
      <c r="BS768" s="98"/>
      <c r="BT768" s="98"/>
      <c r="BU768" s="98"/>
      <c r="BV768" s="98"/>
      <c r="BW768" s="98"/>
      <c r="BX768" s="98"/>
      <c r="BY768" s="98"/>
      <c r="BZ768" s="98"/>
      <c r="DA768" s="177"/>
      <c r="EH768" s="19"/>
      <c r="EI768" s="19"/>
      <c r="EJ768" s="19"/>
      <c r="EK768" s="19"/>
      <c r="EL768" s="19"/>
      <c r="EM768" s="98"/>
      <c r="EN768" s="98"/>
      <c r="EO768" s="98"/>
      <c r="EP768" s="98"/>
      <c r="EQ768" s="98"/>
      <c r="ER768" s="98"/>
      <c r="ES768" s="98"/>
      <c r="ET768" s="98"/>
      <c r="EU768" s="98"/>
      <c r="EV768" s="98"/>
      <c r="EW768" s="98"/>
      <c r="EX768" s="98"/>
      <c r="EY768" s="98"/>
      <c r="EZ768" s="178"/>
    </row>
    <row r="769" spans="60:156">
      <c r="BH769" s="19"/>
      <c r="BI769" s="19"/>
      <c r="BJ769" s="19"/>
      <c r="BK769" s="19"/>
      <c r="BL769" s="19"/>
      <c r="BM769" s="98"/>
      <c r="BN769" s="98"/>
      <c r="BO769" s="98"/>
      <c r="BP769" s="98"/>
      <c r="BQ769" s="98"/>
      <c r="BR769" s="98"/>
      <c r="BS769" s="98"/>
      <c r="BT769" s="98"/>
      <c r="BU769" s="98"/>
      <c r="BV769" s="98"/>
      <c r="BW769" s="98"/>
      <c r="BX769" s="98"/>
      <c r="BY769" s="98"/>
      <c r="BZ769" s="98"/>
      <c r="DA769" s="177"/>
      <c r="EH769" s="19"/>
      <c r="EI769" s="19"/>
      <c r="EJ769" s="19"/>
      <c r="EK769" s="19"/>
      <c r="EL769" s="19"/>
      <c r="EM769" s="98"/>
      <c r="EN769" s="98"/>
      <c r="EO769" s="98"/>
      <c r="EP769" s="98"/>
      <c r="EQ769" s="98"/>
      <c r="ER769" s="98"/>
      <c r="ES769" s="98"/>
      <c r="ET769" s="98"/>
      <c r="EU769" s="98"/>
      <c r="EV769" s="98"/>
      <c r="EW769" s="98"/>
      <c r="EX769" s="98"/>
      <c r="EY769" s="98"/>
      <c r="EZ769" s="178"/>
    </row>
    <row r="770" spans="60:156">
      <c r="BH770" s="19"/>
      <c r="BI770" s="19"/>
      <c r="BJ770" s="19"/>
      <c r="BK770" s="19"/>
      <c r="BL770" s="19"/>
      <c r="BM770" s="98"/>
      <c r="BN770" s="98"/>
      <c r="BO770" s="98"/>
      <c r="BP770" s="98"/>
      <c r="BQ770" s="98"/>
      <c r="BR770" s="98"/>
      <c r="BS770" s="98"/>
      <c r="BT770" s="98"/>
      <c r="BU770" s="98"/>
      <c r="BV770" s="98"/>
      <c r="BW770" s="98"/>
      <c r="BX770" s="98"/>
      <c r="BY770" s="98"/>
      <c r="BZ770" s="98"/>
      <c r="DA770" s="177"/>
      <c r="EH770" s="19"/>
      <c r="EI770" s="19"/>
      <c r="EJ770" s="19"/>
      <c r="EK770" s="19"/>
      <c r="EL770" s="19"/>
      <c r="EM770" s="98"/>
      <c r="EN770" s="98"/>
      <c r="EO770" s="98"/>
      <c r="EP770" s="98"/>
      <c r="EQ770" s="98"/>
      <c r="ER770" s="98"/>
      <c r="ES770" s="98"/>
      <c r="ET770" s="98"/>
      <c r="EU770" s="98"/>
      <c r="EV770" s="98"/>
      <c r="EW770" s="98"/>
      <c r="EX770" s="98"/>
      <c r="EY770" s="98"/>
      <c r="EZ770" s="178"/>
    </row>
    <row r="771" spans="60:156">
      <c r="BH771" s="19"/>
      <c r="BI771" s="19"/>
      <c r="BJ771" s="19"/>
      <c r="BK771" s="19"/>
      <c r="BL771" s="19"/>
      <c r="BM771" s="98"/>
      <c r="BN771" s="98"/>
      <c r="BO771" s="98"/>
      <c r="BP771" s="98"/>
      <c r="BQ771" s="98"/>
      <c r="BR771" s="98"/>
      <c r="BS771" s="98"/>
      <c r="BT771" s="98"/>
      <c r="BU771" s="98"/>
      <c r="BV771" s="98"/>
      <c r="BW771" s="98"/>
      <c r="BX771" s="98"/>
      <c r="BY771" s="98"/>
      <c r="BZ771" s="98"/>
      <c r="DA771" s="177"/>
      <c r="EH771" s="19"/>
      <c r="EI771" s="19"/>
      <c r="EJ771" s="19"/>
      <c r="EK771" s="19"/>
      <c r="EL771" s="19"/>
      <c r="EM771" s="98"/>
      <c r="EN771" s="98"/>
      <c r="EO771" s="98"/>
      <c r="EP771" s="98"/>
      <c r="EQ771" s="98"/>
      <c r="ER771" s="98"/>
      <c r="ES771" s="98"/>
      <c r="ET771" s="98"/>
      <c r="EU771" s="98"/>
      <c r="EV771" s="98"/>
      <c r="EW771" s="98"/>
      <c r="EX771" s="98"/>
      <c r="EY771" s="98"/>
      <c r="EZ771" s="178"/>
    </row>
    <row r="772" spans="60:156">
      <c r="BH772" s="19"/>
      <c r="BI772" s="19"/>
      <c r="BJ772" s="19"/>
      <c r="BK772" s="19"/>
      <c r="BL772" s="19"/>
      <c r="BM772" s="98"/>
      <c r="BN772" s="98"/>
      <c r="BO772" s="98"/>
      <c r="BP772" s="98"/>
      <c r="BQ772" s="98"/>
      <c r="BR772" s="98"/>
      <c r="BS772" s="98"/>
      <c r="BT772" s="98"/>
      <c r="BU772" s="98"/>
      <c r="BV772" s="98"/>
      <c r="BW772" s="98"/>
      <c r="BX772" s="98"/>
      <c r="BY772" s="98"/>
      <c r="BZ772" s="98"/>
      <c r="DA772" s="177"/>
      <c r="EH772" s="19"/>
      <c r="EI772" s="19"/>
      <c r="EJ772" s="19"/>
      <c r="EK772" s="19"/>
      <c r="EL772" s="19"/>
      <c r="EM772" s="98"/>
      <c r="EN772" s="98"/>
      <c r="EO772" s="98"/>
      <c r="EP772" s="98"/>
      <c r="EQ772" s="98"/>
      <c r="ER772" s="98"/>
      <c r="ES772" s="98"/>
      <c r="ET772" s="98"/>
      <c r="EU772" s="98"/>
      <c r="EV772" s="98"/>
      <c r="EW772" s="98"/>
      <c r="EX772" s="98"/>
      <c r="EY772" s="98"/>
      <c r="EZ772" s="178"/>
    </row>
    <row r="773" spans="60:156">
      <c r="BH773" s="19"/>
      <c r="BI773" s="19"/>
      <c r="BJ773" s="19"/>
      <c r="BK773" s="19"/>
      <c r="BL773" s="19"/>
      <c r="BM773" s="98"/>
      <c r="BN773" s="98"/>
      <c r="BO773" s="98"/>
      <c r="BP773" s="98"/>
      <c r="BQ773" s="98"/>
      <c r="BR773" s="98"/>
      <c r="BS773" s="98"/>
      <c r="BT773" s="98"/>
      <c r="BU773" s="98"/>
      <c r="BV773" s="98"/>
      <c r="BW773" s="98"/>
      <c r="BX773" s="98"/>
      <c r="BY773" s="98"/>
      <c r="BZ773" s="98"/>
      <c r="DA773" s="177"/>
      <c r="EH773" s="19"/>
      <c r="EI773" s="19"/>
      <c r="EJ773" s="19"/>
      <c r="EK773" s="19"/>
      <c r="EL773" s="19"/>
      <c r="EM773" s="98"/>
      <c r="EN773" s="98"/>
      <c r="EO773" s="98"/>
      <c r="EP773" s="98"/>
      <c r="EQ773" s="98"/>
      <c r="ER773" s="98"/>
      <c r="ES773" s="98"/>
      <c r="ET773" s="98"/>
      <c r="EU773" s="98"/>
      <c r="EV773" s="98"/>
      <c r="EW773" s="98"/>
      <c r="EX773" s="98"/>
      <c r="EY773" s="98"/>
      <c r="EZ773" s="178"/>
    </row>
    <row r="774" spans="60:156">
      <c r="BH774" s="19"/>
      <c r="BI774" s="19"/>
      <c r="BJ774" s="19"/>
      <c r="BK774" s="19"/>
      <c r="BL774" s="19"/>
      <c r="BM774" s="98"/>
      <c r="BN774" s="98"/>
      <c r="BO774" s="98"/>
      <c r="BP774" s="98"/>
      <c r="BQ774" s="98"/>
      <c r="BR774" s="98"/>
      <c r="BS774" s="98"/>
      <c r="BT774" s="98"/>
      <c r="BU774" s="98"/>
      <c r="BV774" s="98"/>
      <c r="BW774" s="98"/>
      <c r="BX774" s="98"/>
      <c r="BY774" s="98"/>
      <c r="BZ774" s="98"/>
      <c r="DA774" s="177"/>
      <c r="EH774" s="19"/>
      <c r="EI774" s="19"/>
      <c r="EJ774" s="19"/>
      <c r="EK774" s="19"/>
      <c r="EL774" s="19"/>
      <c r="EM774" s="98"/>
      <c r="EN774" s="98"/>
      <c r="EO774" s="98"/>
      <c r="EP774" s="98"/>
      <c r="EQ774" s="98"/>
      <c r="ER774" s="98"/>
      <c r="ES774" s="98"/>
      <c r="ET774" s="98"/>
      <c r="EU774" s="98"/>
      <c r="EV774" s="98"/>
      <c r="EW774" s="98"/>
      <c r="EX774" s="98"/>
      <c r="EY774" s="98"/>
      <c r="EZ774" s="178"/>
    </row>
    <row r="775" spans="60:156">
      <c r="BH775" s="19"/>
      <c r="BI775" s="19"/>
      <c r="BJ775" s="19"/>
      <c r="BK775" s="19"/>
      <c r="BL775" s="19"/>
      <c r="BM775" s="98"/>
      <c r="BN775" s="98"/>
      <c r="BO775" s="98"/>
      <c r="BP775" s="98"/>
      <c r="BQ775" s="98"/>
      <c r="BR775" s="98"/>
      <c r="BS775" s="98"/>
      <c r="BT775" s="98"/>
      <c r="BU775" s="98"/>
      <c r="BV775" s="98"/>
      <c r="BW775" s="98"/>
      <c r="BX775" s="98"/>
      <c r="BY775" s="98"/>
      <c r="BZ775" s="98"/>
      <c r="DA775" s="177"/>
      <c r="EH775" s="19"/>
      <c r="EI775" s="19"/>
      <c r="EJ775" s="19"/>
      <c r="EK775" s="19"/>
      <c r="EL775" s="19"/>
      <c r="EM775" s="98"/>
      <c r="EN775" s="98"/>
      <c r="EO775" s="98"/>
      <c r="EP775" s="98"/>
      <c r="EQ775" s="98"/>
      <c r="ER775" s="98"/>
      <c r="ES775" s="98"/>
      <c r="ET775" s="98"/>
      <c r="EU775" s="98"/>
      <c r="EV775" s="98"/>
      <c r="EW775" s="98"/>
      <c r="EX775" s="98"/>
      <c r="EY775" s="98"/>
      <c r="EZ775" s="178"/>
    </row>
    <row r="776" spans="60:156">
      <c r="BH776" s="19"/>
      <c r="BI776" s="19"/>
      <c r="BJ776" s="19"/>
      <c r="BK776" s="19"/>
      <c r="BL776" s="19"/>
      <c r="BM776" s="98"/>
      <c r="BN776" s="98"/>
      <c r="BO776" s="98"/>
      <c r="BP776" s="98"/>
      <c r="BQ776" s="98"/>
      <c r="BR776" s="98"/>
      <c r="BS776" s="98"/>
      <c r="BT776" s="98"/>
      <c r="BU776" s="98"/>
      <c r="BV776" s="98"/>
      <c r="BW776" s="98"/>
      <c r="BX776" s="98"/>
      <c r="BY776" s="98"/>
      <c r="BZ776" s="98"/>
      <c r="DA776" s="177"/>
      <c r="EH776" s="19"/>
      <c r="EI776" s="19"/>
      <c r="EJ776" s="19"/>
      <c r="EK776" s="19"/>
      <c r="EL776" s="19"/>
      <c r="EM776" s="98"/>
      <c r="EN776" s="98"/>
      <c r="EO776" s="98"/>
      <c r="EP776" s="98"/>
      <c r="EQ776" s="98"/>
      <c r="ER776" s="98"/>
      <c r="ES776" s="98"/>
      <c r="ET776" s="98"/>
      <c r="EU776" s="98"/>
      <c r="EV776" s="98"/>
      <c r="EW776" s="98"/>
      <c r="EX776" s="98"/>
      <c r="EY776" s="98"/>
      <c r="EZ776" s="178"/>
    </row>
    <row r="777" spans="60:156">
      <c r="BH777" s="19"/>
      <c r="BI777" s="19"/>
      <c r="BJ777" s="19"/>
      <c r="BK777" s="19"/>
      <c r="BL777" s="19"/>
      <c r="BM777" s="98"/>
      <c r="BN777" s="98"/>
      <c r="BO777" s="98"/>
      <c r="BP777" s="98"/>
      <c r="BQ777" s="98"/>
      <c r="BR777" s="98"/>
      <c r="BS777" s="98"/>
      <c r="BT777" s="98"/>
      <c r="BU777" s="98"/>
      <c r="BV777" s="98"/>
      <c r="BW777" s="98"/>
      <c r="BX777" s="98"/>
      <c r="BY777" s="98"/>
      <c r="BZ777" s="98"/>
      <c r="DA777" s="177"/>
      <c r="EH777" s="19"/>
      <c r="EI777" s="19"/>
      <c r="EJ777" s="19"/>
      <c r="EK777" s="19"/>
      <c r="EL777" s="19"/>
      <c r="EM777" s="98"/>
      <c r="EN777" s="98"/>
      <c r="EO777" s="98"/>
      <c r="EP777" s="98"/>
      <c r="EQ777" s="98"/>
      <c r="ER777" s="98"/>
      <c r="ES777" s="98"/>
      <c r="ET777" s="98"/>
      <c r="EU777" s="98"/>
      <c r="EV777" s="98"/>
      <c r="EW777" s="98"/>
      <c r="EX777" s="98"/>
      <c r="EY777" s="98"/>
      <c r="EZ777" s="178"/>
    </row>
    <row r="778" spans="60:156">
      <c r="BH778" s="19"/>
      <c r="BI778" s="19"/>
      <c r="BJ778" s="19"/>
      <c r="BK778" s="19"/>
      <c r="BL778" s="19"/>
      <c r="BM778" s="98"/>
      <c r="BN778" s="98"/>
      <c r="BO778" s="98"/>
      <c r="BP778" s="98"/>
      <c r="BQ778" s="98"/>
      <c r="BR778" s="98"/>
      <c r="BS778" s="98"/>
      <c r="BT778" s="98"/>
      <c r="BU778" s="98"/>
      <c r="BV778" s="98"/>
      <c r="BW778" s="98"/>
      <c r="BX778" s="98"/>
      <c r="BY778" s="98"/>
      <c r="BZ778" s="98"/>
      <c r="DA778" s="177"/>
      <c r="EH778" s="19"/>
      <c r="EI778" s="19"/>
      <c r="EJ778" s="19"/>
      <c r="EK778" s="19"/>
      <c r="EL778" s="19"/>
      <c r="EM778" s="98"/>
      <c r="EN778" s="98"/>
      <c r="EO778" s="98"/>
      <c r="EP778" s="98"/>
      <c r="EQ778" s="98"/>
      <c r="ER778" s="98"/>
      <c r="ES778" s="98"/>
      <c r="ET778" s="98"/>
      <c r="EU778" s="98"/>
      <c r="EV778" s="98"/>
      <c r="EW778" s="98"/>
      <c r="EX778" s="98"/>
      <c r="EY778" s="98"/>
      <c r="EZ778" s="178"/>
    </row>
    <row r="779" spans="60:156">
      <c r="BH779" s="19"/>
      <c r="BI779" s="19"/>
      <c r="BJ779" s="19"/>
      <c r="BK779" s="19"/>
      <c r="BL779" s="19"/>
      <c r="BM779" s="98"/>
      <c r="BN779" s="98"/>
      <c r="BO779" s="98"/>
      <c r="BP779" s="98"/>
      <c r="BQ779" s="98"/>
      <c r="BR779" s="98"/>
      <c r="BS779" s="98"/>
      <c r="BT779" s="98"/>
      <c r="BU779" s="98"/>
      <c r="BV779" s="98"/>
      <c r="BW779" s="98"/>
      <c r="BX779" s="98"/>
      <c r="BY779" s="98"/>
      <c r="BZ779" s="98"/>
      <c r="DA779" s="177"/>
      <c r="EH779" s="19"/>
      <c r="EI779" s="19"/>
      <c r="EJ779" s="19"/>
      <c r="EK779" s="19"/>
      <c r="EL779" s="19"/>
      <c r="EM779" s="98"/>
      <c r="EN779" s="98"/>
      <c r="EO779" s="98"/>
      <c r="EP779" s="98"/>
      <c r="EQ779" s="98"/>
      <c r="ER779" s="98"/>
      <c r="ES779" s="98"/>
      <c r="ET779" s="98"/>
      <c r="EU779" s="98"/>
      <c r="EV779" s="98"/>
      <c r="EW779" s="98"/>
      <c r="EX779" s="98"/>
      <c r="EY779" s="98"/>
      <c r="EZ779" s="178"/>
    </row>
    <row r="780" spans="60:156">
      <c r="BH780" s="19"/>
      <c r="BI780" s="19"/>
      <c r="BJ780" s="19"/>
      <c r="BK780" s="19"/>
      <c r="BL780" s="19"/>
      <c r="BM780" s="98"/>
      <c r="BN780" s="98"/>
      <c r="BO780" s="98"/>
      <c r="BP780" s="98"/>
      <c r="BQ780" s="98"/>
      <c r="BR780" s="98"/>
      <c r="BS780" s="98"/>
      <c r="BT780" s="98"/>
      <c r="BU780" s="98"/>
      <c r="BV780" s="98"/>
      <c r="BW780" s="98"/>
      <c r="BX780" s="98"/>
      <c r="BY780" s="98"/>
      <c r="BZ780" s="98"/>
      <c r="DA780" s="177"/>
      <c r="EH780" s="19"/>
      <c r="EI780" s="19"/>
      <c r="EJ780" s="19"/>
      <c r="EK780" s="19"/>
      <c r="EL780" s="19"/>
      <c r="EM780" s="98"/>
      <c r="EN780" s="98"/>
      <c r="EO780" s="98"/>
      <c r="EP780" s="98"/>
      <c r="EQ780" s="98"/>
      <c r="ER780" s="98"/>
      <c r="ES780" s="98"/>
      <c r="ET780" s="98"/>
      <c r="EU780" s="98"/>
      <c r="EV780" s="98"/>
      <c r="EW780" s="98"/>
      <c r="EX780" s="98"/>
      <c r="EY780" s="98"/>
      <c r="EZ780" s="178"/>
    </row>
    <row r="781" spans="60:156">
      <c r="BH781" s="19"/>
      <c r="BI781" s="19"/>
      <c r="BJ781" s="19"/>
      <c r="BK781" s="19"/>
      <c r="BL781" s="19"/>
      <c r="BM781" s="98"/>
      <c r="BN781" s="98"/>
      <c r="BO781" s="98"/>
      <c r="BP781" s="98"/>
      <c r="BQ781" s="98"/>
      <c r="BR781" s="98"/>
      <c r="BS781" s="98"/>
      <c r="BT781" s="98"/>
      <c r="BU781" s="98"/>
      <c r="BV781" s="98"/>
      <c r="BW781" s="98"/>
      <c r="BX781" s="98"/>
      <c r="BY781" s="98"/>
      <c r="BZ781" s="98"/>
      <c r="DA781" s="177"/>
      <c r="EH781" s="19"/>
      <c r="EI781" s="19"/>
      <c r="EJ781" s="19"/>
      <c r="EK781" s="19"/>
      <c r="EL781" s="19"/>
      <c r="EM781" s="98"/>
      <c r="EN781" s="98"/>
      <c r="EO781" s="98"/>
      <c r="EP781" s="98"/>
      <c r="EQ781" s="98"/>
      <c r="ER781" s="98"/>
      <c r="ES781" s="98"/>
      <c r="ET781" s="98"/>
      <c r="EU781" s="98"/>
      <c r="EV781" s="98"/>
      <c r="EW781" s="98"/>
      <c r="EX781" s="98"/>
      <c r="EY781" s="98"/>
      <c r="EZ781" s="178"/>
    </row>
    <row r="782" spans="60:156">
      <c r="BH782" s="19"/>
      <c r="BI782" s="19"/>
      <c r="BJ782" s="19"/>
      <c r="BK782" s="19"/>
      <c r="BL782" s="19"/>
      <c r="BM782" s="98"/>
      <c r="BN782" s="98"/>
      <c r="BO782" s="98"/>
      <c r="BP782" s="98"/>
      <c r="BQ782" s="98"/>
      <c r="BR782" s="98"/>
      <c r="BS782" s="98"/>
      <c r="BT782" s="98"/>
      <c r="BU782" s="98"/>
      <c r="BV782" s="98"/>
      <c r="BW782" s="98"/>
      <c r="BX782" s="98"/>
      <c r="BY782" s="98"/>
      <c r="BZ782" s="98"/>
      <c r="DA782" s="177"/>
      <c r="EH782" s="19"/>
      <c r="EI782" s="19"/>
      <c r="EJ782" s="19"/>
      <c r="EK782" s="19"/>
      <c r="EL782" s="19"/>
      <c r="EM782" s="98"/>
      <c r="EN782" s="98"/>
      <c r="EO782" s="98"/>
      <c r="EP782" s="98"/>
      <c r="EQ782" s="98"/>
      <c r="ER782" s="98"/>
      <c r="ES782" s="98"/>
      <c r="ET782" s="98"/>
      <c r="EU782" s="98"/>
      <c r="EV782" s="98"/>
      <c r="EW782" s="98"/>
      <c r="EX782" s="98"/>
      <c r="EY782" s="98"/>
      <c r="EZ782" s="178"/>
    </row>
    <row r="783" spans="60:156">
      <c r="BH783" s="19"/>
      <c r="BI783" s="19"/>
      <c r="BJ783" s="19"/>
      <c r="BK783" s="19"/>
      <c r="BL783" s="19"/>
      <c r="BM783" s="98"/>
      <c r="BN783" s="98"/>
      <c r="BO783" s="98"/>
      <c r="BP783" s="98"/>
      <c r="BQ783" s="98"/>
      <c r="BR783" s="98"/>
      <c r="BS783" s="98"/>
      <c r="BT783" s="98"/>
      <c r="BU783" s="98"/>
      <c r="BV783" s="98"/>
      <c r="BW783" s="98"/>
      <c r="BX783" s="98"/>
      <c r="BY783" s="98"/>
      <c r="BZ783" s="98"/>
      <c r="DA783" s="177"/>
      <c r="EH783" s="19"/>
      <c r="EI783" s="19"/>
      <c r="EJ783" s="19"/>
      <c r="EK783" s="19"/>
      <c r="EL783" s="19"/>
      <c r="EM783" s="98"/>
      <c r="EN783" s="98"/>
      <c r="EO783" s="98"/>
      <c r="EP783" s="98"/>
      <c r="EQ783" s="98"/>
      <c r="ER783" s="98"/>
      <c r="ES783" s="98"/>
      <c r="ET783" s="98"/>
      <c r="EU783" s="98"/>
      <c r="EV783" s="98"/>
      <c r="EW783" s="98"/>
      <c r="EX783" s="98"/>
      <c r="EY783" s="98"/>
      <c r="EZ783" s="178"/>
    </row>
    <row r="784" spans="60:156">
      <c r="BH784" s="19"/>
      <c r="BI784" s="19"/>
      <c r="BJ784" s="19"/>
      <c r="BK784" s="19"/>
      <c r="BL784" s="19"/>
      <c r="BM784" s="98"/>
      <c r="BN784" s="98"/>
      <c r="BO784" s="98"/>
      <c r="BP784" s="98"/>
      <c r="BQ784" s="98"/>
      <c r="BR784" s="98"/>
      <c r="BS784" s="98"/>
      <c r="BT784" s="98"/>
      <c r="BU784" s="98"/>
      <c r="BV784" s="98"/>
      <c r="BW784" s="98"/>
      <c r="BX784" s="98"/>
      <c r="BY784" s="98"/>
      <c r="BZ784" s="98"/>
      <c r="DA784" s="177"/>
      <c r="EH784" s="19"/>
      <c r="EI784" s="19"/>
      <c r="EJ784" s="19"/>
      <c r="EK784" s="19"/>
      <c r="EL784" s="19"/>
      <c r="EM784" s="98"/>
      <c r="EN784" s="98"/>
      <c r="EO784" s="98"/>
      <c r="EP784" s="98"/>
      <c r="EQ784" s="98"/>
      <c r="ER784" s="98"/>
      <c r="ES784" s="98"/>
      <c r="ET784" s="98"/>
      <c r="EU784" s="98"/>
      <c r="EV784" s="98"/>
      <c r="EW784" s="98"/>
      <c r="EX784" s="98"/>
      <c r="EY784" s="98"/>
      <c r="EZ784" s="178"/>
    </row>
    <row r="785" spans="60:156">
      <c r="BH785" s="19"/>
      <c r="BI785" s="19"/>
      <c r="BJ785" s="19"/>
      <c r="BK785" s="19"/>
      <c r="BL785" s="19"/>
      <c r="BM785" s="98"/>
      <c r="BN785" s="98"/>
      <c r="BO785" s="98"/>
      <c r="BP785" s="98"/>
      <c r="BQ785" s="98"/>
      <c r="BR785" s="98"/>
      <c r="BS785" s="98"/>
      <c r="BT785" s="98"/>
      <c r="BU785" s="98"/>
      <c r="BV785" s="98"/>
      <c r="BW785" s="98"/>
      <c r="BX785" s="98"/>
      <c r="BY785" s="98"/>
      <c r="BZ785" s="98"/>
      <c r="DA785" s="177"/>
      <c r="EH785" s="19"/>
      <c r="EI785" s="19"/>
      <c r="EJ785" s="19"/>
      <c r="EK785" s="19"/>
      <c r="EL785" s="19"/>
      <c r="EM785" s="98"/>
      <c r="EN785" s="98"/>
      <c r="EO785" s="98"/>
      <c r="EP785" s="98"/>
      <c r="EQ785" s="98"/>
      <c r="ER785" s="98"/>
      <c r="ES785" s="98"/>
      <c r="ET785" s="98"/>
      <c r="EU785" s="98"/>
      <c r="EV785" s="98"/>
      <c r="EW785" s="98"/>
      <c r="EX785" s="98"/>
      <c r="EY785" s="98"/>
      <c r="EZ785" s="178"/>
    </row>
    <row r="786" spans="60:156">
      <c r="BH786" s="19"/>
      <c r="BI786" s="19"/>
      <c r="BJ786" s="19"/>
      <c r="BK786" s="19"/>
      <c r="BL786" s="19"/>
      <c r="BM786" s="98"/>
      <c r="BN786" s="98"/>
      <c r="BO786" s="98"/>
      <c r="BP786" s="98"/>
      <c r="BQ786" s="98"/>
      <c r="BR786" s="98"/>
      <c r="BS786" s="98"/>
      <c r="BT786" s="98"/>
      <c r="BU786" s="98"/>
      <c r="BV786" s="98"/>
      <c r="BW786" s="98"/>
      <c r="BX786" s="98"/>
      <c r="BY786" s="98"/>
      <c r="BZ786" s="98"/>
      <c r="DA786" s="177"/>
      <c r="EH786" s="19"/>
      <c r="EI786" s="19"/>
      <c r="EJ786" s="19"/>
      <c r="EK786" s="19"/>
      <c r="EL786" s="19"/>
      <c r="EM786" s="98"/>
      <c r="EN786" s="98"/>
      <c r="EO786" s="98"/>
      <c r="EP786" s="98"/>
      <c r="EQ786" s="98"/>
      <c r="ER786" s="98"/>
      <c r="ES786" s="98"/>
      <c r="ET786" s="98"/>
      <c r="EU786" s="98"/>
      <c r="EV786" s="98"/>
      <c r="EW786" s="98"/>
      <c r="EX786" s="98"/>
      <c r="EY786" s="98"/>
      <c r="EZ786" s="178"/>
    </row>
    <row r="787" spans="60:156">
      <c r="BH787" s="19"/>
      <c r="BI787" s="19"/>
      <c r="BJ787" s="19"/>
      <c r="BK787" s="19"/>
      <c r="BL787" s="19"/>
      <c r="BM787" s="98"/>
      <c r="BN787" s="98"/>
      <c r="BO787" s="98"/>
      <c r="BP787" s="98"/>
      <c r="BQ787" s="98"/>
      <c r="BR787" s="98"/>
      <c r="BS787" s="98"/>
      <c r="BT787" s="98"/>
      <c r="BU787" s="98"/>
      <c r="BV787" s="98"/>
      <c r="BW787" s="98"/>
      <c r="BX787" s="98"/>
      <c r="BY787" s="98"/>
      <c r="BZ787" s="98"/>
      <c r="DA787" s="177"/>
      <c r="EH787" s="19"/>
      <c r="EI787" s="19"/>
      <c r="EJ787" s="19"/>
      <c r="EK787" s="19"/>
      <c r="EL787" s="19"/>
      <c r="EM787" s="98"/>
      <c r="EN787" s="98"/>
      <c r="EO787" s="98"/>
      <c r="EP787" s="98"/>
      <c r="EQ787" s="98"/>
      <c r="ER787" s="98"/>
      <c r="ES787" s="98"/>
      <c r="ET787" s="98"/>
      <c r="EU787" s="98"/>
      <c r="EV787" s="98"/>
      <c r="EW787" s="98"/>
      <c r="EX787" s="98"/>
      <c r="EY787" s="98"/>
      <c r="EZ787" s="178"/>
    </row>
    <row r="788" spans="60:156">
      <c r="BH788" s="19"/>
      <c r="BI788" s="19"/>
      <c r="BJ788" s="19"/>
      <c r="BK788" s="19"/>
      <c r="BL788" s="19"/>
      <c r="BM788" s="98"/>
      <c r="BN788" s="98"/>
      <c r="BO788" s="98"/>
      <c r="BP788" s="98"/>
      <c r="BQ788" s="98"/>
      <c r="BR788" s="98"/>
      <c r="BS788" s="98"/>
      <c r="BT788" s="98"/>
      <c r="BU788" s="98"/>
      <c r="BV788" s="98"/>
      <c r="BW788" s="98"/>
      <c r="BX788" s="98"/>
      <c r="BY788" s="98"/>
      <c r="BZ788" s="98"/>
      <c r="DA788" s="177"/>
      <c r="EH788" s="19"/>
      <c r="EI788" s="19"/>
      <c r="EJ788" s="19"/>
      <c r="EK788" s="19"/>
      <c r="EL788" s="19"/>
      <c r="EM788" s="98"/>
      <c r="EN788" s="98"/>
      <c r="EO788" s="98"/>
      <c r="EP788" s="98"/>
      <c r="EQ788" s="98"/>
      <c r="ER788" s="98"/>
      <c r="ES788" s="98"/>
      <c r="ET788" s="98"/>
      <c r="EU788" s="98"/>
      <c r="EV788" s="98"/>
      <c r="EW788" s="98"/>
      <c r="EX788" s="98"/>
      <c r="EY788" s="98"/>
      <c r="EZ788" s="178"/>
    </row>
    <row r="789" spans="60:156">
      <c r="BH789" s="19"/>
      <c r="BI789" s="19"/>
      <c r="BJ789" s="19"/>
      <c r="BK789" s="19"/>
      <c r="BL789" s="19"/>
      <c r="BM789" s="98"/>
      <c r="BN789" s="98"/>
      <c r="BO789" s="98"/>
      <c r="BP789" s="98"/>
      <c r="BQ789" s="98"/>
      <c r="BR789" s="98"/>
      <c r="BS789" s="98"/>
      <c r="BT789" s="98"/>
      <c r="BU789" s="98"/>
      <c r="BV789" s="98"/>
      <c r="BW789" s="98"/>
      <c r="BX789" s="98"/>
      <c r="BY789" s="98"/>
      <c r="BZ789" s="98"/>
      <c r="DA789" s="177"/>
      <c r="EH789" s="19"/>
      <c r="EI789" s="19"/>
      <c r="EJ789" s="19"/>
      <c r="EK789" s="19"/>
      <c r="EL789" s="19"/>
      <c r="EM789" s="98"/>
      <c r="EN789" s="98"/>
      <c r="EO789" s="98"/>
      <c r="EP789" s="98"/>
      <c r="EQ789" s="98"/>
      <c r="ER789" s="98"/>
      <c r="ES789" s="98"/>
      <c r="ET789" s="98"/>
      <c r="EU789" s="98"/>
      <c r="EV789" s="98"/>
      <c r="EW789" s="98"/>
      <c r="EX789" s="98"/>
      <c r="EY789" s="98"/>
      <c r="EZ789" s="178"/>
    </row>
    <row r="790" spans="60:156">
      <c r="BH790" s="19"/>
      <c r="BI790" s="19"/>
      <c r="BJ790" s="19"/>
      <c r="BK790" s="19"/>
      <c r="BL790" s="19"/>
      <c r="BM790" s="98"/>
      <c r="BN790" s="98"/>
      <c r="BO790" s="98"/>
      <c r="BP790" s="98"/>
      <c r="BQ790" s="98"/>
      <c r="BR790" s="98"/>
      <c r="BS790" s="98"/>
      <c r="BT790" s="98"/>
      <c r="BU790" s="98"/>
      <c r="BV790" s="98"/>
      <c r="BW790" s="98"/>
      <c r="BX790" s="98"/>
      <c r="BY790" s="98"/>
      <c r="BZ790" s="98"/>
      <c r="DA790" s="177"/>
      <c r="EH790" s="19"/>
      <c r="EI790" s="19"/>
      <c r="EJ790" s="19"/>
      <c r="EK790" s="19"/>
      <c r="EL790" s="19"/>
      <c r="EM790" s="98"/>
      <c r="EN790" s="98"/>
      <c r="EO790" s="98"/>
      <c r="EP790" s="98"/>
      <c r="EQ790" s="98"/>
      <c r="ER790" s="98"/>
      <c r="ES790" s="98"/>
      <c r="ET790" s="98"/>
      <c r="EU790" s="98"/>
      <c r="EV790" s="98"/>
      <c r="EW790" s="98"/>
      <c r="EX790" s="98"/>
      <c r="EY790" s="98"/>
      <c r="EZ790" s="178"/>
    </row>
    <row r="791" spans="60:156">
      <c r="BH791" s="19"/>
      <c r="BI791" s="19"/>
      <c r="BJ791" s="19"/>
      <c r="BK791" s="19"/>
      <c r="BL791" s="19"/>
      <c r="BM791" s="98"/>
      <c r="BN791" s="98"/>
      <c r="BO791" s="98"/>
      <c r="BP791" s="98"/>
      <c r="BQ791" s="98"/>
      <c r="BR791" s="98"/>
      <c r="BS791" s="98"/>
      <c r="BT791" s="98"/>
      <c r="BU791" s="98"/>
      <c r="BV791" s="98"/>
      <c r="BW791" s="98"/>
      <c r="BX791" s="98"/>
      <c r="BY791" s="98"/>
      <c r="BZ791" s="98"/>
      <c r="DA791" s="177"/>
      <c r="EH791" s="19"/>
      <c r="EI791" s="19"/>
      <c r="EJ791" s="19"/>
      <c r="EK791" s="19"/>
      <c r="EL791" s="19"/>
      <c r="EM791" s="98"/>
      <c r="EN791" s="98"/>
      <c r="EO791" s="98"/>
      <c r="EP791" s="98"/>
      <c r="EQ791" s="98"/>
      <c r="ER791" s="98"/>
      <c r="ES791" s="98"/>
      <c r="ET791" s="98"/>
      <c r="EU791" s="98"/>
      <c r="EV791" s="98"/>
      <c r="EW791" s="98"/>
      <c r="EX791" s="98"/>
      <c r="EY791" s="98"/>
      <c r="EZ791" s="178"/>
    </row>
    <row r="792" spans="60:156">
      <c r="BH792" s="19"/>
      <c r="BI792" s="19"/>
      <c r="BJ792" s="19"/>
      <c r="BK792" s="19"/>
      <c r="BL792" s="19"/>
      <c r="BM792" s="98"/>
      <c r="BN792" s="98"/>
      <c r="BO792" s="98"/>
      <c r="BP792" s="98"/>
      <c r="BQ792" s="98"/>
      <c r="BR792" s="98"/>
      <c r="BS792" s="98"/>
      <c r="BT792" s="98"/>
      <c r="BU792" s="98"/>
      <c r="BV792" s="98"/>
      <c r="BW792" s="98"/>
      <c r="BX792" s="98"/>
      <c r="BY792" s="98"/>
      <c r="BZ792" s="98"/>
      <c r="DA792" s="177"/>
      <c r="EH792" s="19"/>
      <c r="EI792" s="19"/>
      <c r="EJ792" s="19"/>
      <c r="EK792" s="19"/>
      <c r="EL792" s="19"/>
      <c r="EM792" s="98"/>
      <c r="EN792" s="98"/>
      <c r="EO792" s="98"/>
      <c r="EP792" s="98"/>
      <c r="EQ792" s="98"/>
      <c r="ER792" s="98"/>
      <c r="ES792" s="98"/>
      <c r="ET792" s="98"/>
      <c r="EU792" s="98"/>
      <c r="EV792" s="98"/>
      <c r="EW792" s="98"/>
      <c r="EX792" s="98"/>
      <c r="EY792" s="98"/>
      <c r="EZ792" s="178"/>
    </row>
    <row r="793" spans="60:156">
      <c r="BH793" s="19"/>
      <c r="BI793" s="19"/>
      <c r="BJ793" s="19"/>
      <c r="BK793" s="19"/>
      <c r="BL793" s="19"/>
      <c r="BM793" s="98"/>
      <c r="BN793" s="98"/>
      <c r="BO793" s="98"/>
      <c r="BP793" s="98"/>
      <c r="BQ793" s="98"/>
      <c r="BR793" s="98"/>
      <c r="BS793" s="98"/>
      <c r="BT793" s="98"/>
      <c r="BU793" s="98"/>
      <c r="BV793" s="98"/>
      <c r="BW793" s="98"/>
      <c r="BX793" s="98"/>
      <c r="BY793" s="98"/>
      <c r="BZ793" s="98"/>
      <c r="DA793" s="177"/>
      <c r="EH793" s="19"/>
      <c r="EI793" s="19"/>
      <c r="EJ793" s="19"/>
      <c r="EK793" s="19"/>
      <c r="EL793" s="19"/>
      <c r="EM793" s="98"/>
      <c r="EN793" s="98"/>
      <c r="EO793" s="98"/>
      <c r="EP793" s="98"/>
      <c r="EQ793" s="98"/>
      <c r="ER793" s="98"/>
      <c r="ES793" s="98"/>
      <c r="ET793" s="98"/>
      <c r="EU793" s="98"/>
      <c r="EV793" s="98"/>
      <c r="EW793" s="98"/>
      <c r="EX793" s="98"/>
      <c r="EY793" s="98"/>
      <c r="EZ793" s="178"/>
    </row>
    <row r="794" spans="60:156">
      <c r="BH794" s="19"/>
      <c r="BI794" s="19"/>
      <c r="BJ794" s="19"/>
      <c r="BK794" s="19"/>
      <c r="BL794" s="19"/>
      <c r="BM794" s="98"/>
      <c r="BN794" s="98"/>
      <c r="BO794" s="98"/>
      <c r="BP794" s="98"/>
      <c r="BQ794" s="98"/>
      <c r="BR794" s="98"/>
      <c r="BS794" s="98"/>
      <c r="BT794" s="98"/>
      <c r="BU794" s="98"/>
      <c r="BV794" s="98"/>
      <c r="BW794" s="98"/>
      <c r="BX794" s="98"/>
      <c r="BY794" s="98"/>
      <c r="BZ794" s="98"/>
      <c r="DA794" s="177"/>
      <c r="EH794" s="19"/>
      <c r="EI794" s="19"/>
      <c r="EJ794" s="19"/>
      <c r="EK794" s="19"/>
      <c r="EL794" s="19"/>
      <c r="EM794" s="98"/>
      <c r="EN794" s="98"/>
      <c r="EO794" s="98"/>
      <c r="EP794" s="98"/>
      <c r="EQ794" s="98"/>
      <c r="ER794" s="98"/>
      <c r="ES794" s="98"/>
      <c r="ET794" s="98"/>
      <c r="EU794" s="98"/>
      <c r="EV794" s="98"/>
      <c r="EW794" s="98"/>
      <c r="EX794" s="98"/>
      <c r="EY794" s="98"/>
      <c r="EZ794" s="178"/>
    </row>
    <row r="795" spans="60:156">
      <c r="BH795" s="19"/>
      <c r="BI795" s="19"/>
      <c r="BJ795" s="19"/>
      <c r="BK795" s="19"/>
      <c r="BL795" s="19"/>
      <c r="BM795" s="98"/>
      <c r="BN795" s="98"/>
      <c r="BO795" s="98"/>
      <c r="BP795" s="98"/>
      <c r="BQ795" s="98"/>
      <c r="BR795" s="98"/>
      <c r="BS795" s="98"/>
      <c r="BT795" s="98"/>
      <c r="BU795" s="98"/>
      <c r="BV795" s="98"/>
      <c r="BW795" s="98"/>
      <c r="BX795" s="98"/>
      <c r="BY795" s="98"/>
      <c r="BZ795" s="98"/>
      <c r="DA795" s="177"/>
      <c r="EH795" s="19"/>
      <c r="EI795" s="19"/>
      <c r="EJ795" s="19"/>
      <c r="EK795" s="19"/>
      <c r="EL795" s="19"/>
      <c r="EM795" s="98"/>
      <c r="EN795" s="98"/>
      <c r="EO795" s="98"/>
      <c r="EP795" s="98"/>
      <c r="EQ795" s="98"/>
      <c r="ER795" s="98"/>
      <c r="ES795" s="98"/>
      <c r="ET795" s="98"/>
      <c r="EU795" s="98"/>
      <c r="EV795" s="98"/>
      <c r="EW795" s="98"/>
      <c r="EX795" s="98"/>
      <c r="EY795" s="98"/>
      <c r="EZ795" s="178"/>
    </row>
    <row r="796" spans="60:156">
      <c r="BH796" s="19"/>
      <c r="BI796" s="19"/>
      <c r="BJ796" s="19"/>
      <c r="BK796" s="19"/>
      <c r="BL796" s="19"/>
      <c r="BM796" s="98"/>
      <c r="BN796" s="98"/>
      <c r="BO796" s="98"/>
      <c r="BP796" s="98"/>
      <c r="BQ796" s="98"/>
      <c r="BR796" s="98"/>
      <c r="BS796" s="98"/>
      <c r="BT796" s="98"/>
      <c r="BU796" s="98"/>
      <c r="BV796" s="98"/>
      <c r="BW796" s="98"/>
      <c r="BX796" s="98"/>
      <c r="BY796" s="98"/>
      <c r="BZ796" s="98"/>
      <c r="DA796" s="177"/>
      <c r="EH796" s="19"/>
      <c r="EI796" s="19"/>
      <c r="EJ796" s="19"/>
      <c r="EK796" s="19"/>
      <c r="EL796" s="19"/>
      <c r="EM796" s="98"/>
      <c r="EN796" s="98"/>
      <c r="EO796" s="98"/>
      <c r="EP796" s="98"/>
      <c r="EQ796" s="98"/>
      <c r="ER796" s="98"/>
      <c r="ES796" s="98"/>
      <c r="ET796" s="98"/>
      <c r="EU796" s="98"/>
      <c r="EV796" s="98"/>
      <c r="EW796" s="98"/>
      <c r="EX796" s="98"/>
      <c r="EY796" s="98"/>
      <c r="EZ796" s="178"/>
    </row>
    <row r="797" spans="60:156">
      <c r="BH797" s="19"/>
      <c r="BI797" s="19"/>
      <c r="BJ797" s="19"/>
      <c r="BK797" s="19"/>
      <c r="BL797" s="19"/>
      <c r="BM797" s="98"/>
      <c r="BN797" s="98"/>
      <c r="BO797" s="98"/>
      <c r="BP797" s="98"/>
      <c r="BQ797" s="98"/>
      <c r="BR797" s="98"/>
      <c r="BS797" s="98"/>
      <c r="BT797" s="98"/>
      <c r="BU797" s="98"/>
      <c r="BV797" s="98"/>
      <c r="BW797" s="98"/>
      <c r="BX797" s="98"/>
      <c r="BY797" s="98"/>
      <c r="BZ797" s="98"/>
      <c r="DA797" s="177"/>
      <c r="EH797" s="19"/>
      <c r="EI797" s="19"/>
      <c r="EJ797" s="19"/>
      <c r="EK797" s="19"/>
      <c r="EL797" s="19"/>
      <c r="EM797" s="98"/>
      <c r="EN797" s="98"/>
      <c r="EO797" s="98"/>
      <c r="EP797" s="98"/>
      <c r="EQ797" s="98"/>
      <c r="ER797" s="98"/>
      <c r="ES797" s="98"/>
      <c r="ET797" s="98"/>
      <c r="EU797" s="98"/>
      <c r="EV797" s="98"/>
      <c r="EW797" s="98"/>
      <c r="EX797" s="98"/>
      <c r="EY797" s="98"/>
      <c r="EZ797" s="178"/>
    </row>
    <row r="798" spans="60:156">
      <c r="BH798" s="19"/>
      <c r="BI798" s="19"/>
      <c r="BJ798" s="19"/>
      <c r="BK798" s="19"/>
      <c r="BL798" s="19"/>
      <c r="BM798" s="98"/>
      <c r="BN798" s="98"/>
      <c r="BO798" s="98"/>
      <c r="BP798" s="98"/>
      <c r="BQ798" s="98"/>
      <c r="BR798" s="98"/>
      <c r="BS798" s="98"/>
      <c r="BT798" s="98"/>
      <c r="BU798" s="98"/>
      <c r="BV798" s="98"/>
      <c r="BW798" s="98"/>
      <c r="BX798" s="98"/>
      <c r="BY798" s="98"/>
      <c r="BZ798" s="98"/>
      <c r="DA798" s="177"/>
      <c r="EH798" s="19"/>
      <c r="EI798" s="19"/>
      <c r="EJ798" s="19"/>
      <c r="EK798" s="19"/>
      <c r="EL798" s="19"/>
      <c r="EM798" s="98"/>
      <c r="EN798" s="98"/>
      <c r="EO798" s="98"/>
      <c r="EP798" s="98"/>
      <c r="EQ798" s="98"/>
      <c r="ER798" s="98"/>
      <c r="ES798" s="98"/>
      <c r="ET798" s="98"/>
      <c r="EU798" s="98"/>
      <c r="EV798" s="98"/>
      <c r="EW798" s="98"/>
      <c r="EX798" s="98"/>
      <c r="EY798" s="98"/>
      <c r="EZ798" s="178"/>
    </row>
    <row r="799" spans="60:156">
      <c r="BH799" s="19"/>
      <c r="BI799" s="19"/>
      <c r="BJ799" s="19"/>
      <c r="BK799" s="19"/>
      <c r="BL799" s="19"/>
      <c r="BM799" s="98"/>
      <c r="BN799" s="98"/>
      <c r="BO799" s="98"/>
      <c r="BP799" s="98"/>
      <c r="BQ799" s="98"/>
      <c r="BR799" s="98"/>
      <c r="BS799" s="98"/>
      <c r="BT799" s="98"/>
      <c r="BU799" s="98"/>
      <c r="BV799" s="98"/>
      <c r="BW799" s="98"/>
      <c r="BX799" s="98"/>
      <c r="BY799" s="98"/>
      <c r="BZ799" s="98"/>
      <c r="DA799" s="177"/>
      <c r="EH799" s="19"/>
      <c r="EI799" s="19"/>
      <c r="EJ799" s="19"/>
      <c r="EK799" s="19"/>
      <c r="EL799" s="19"/>
      <c r="EM799" s="98"/>
      <c r="EN799" s="98"/>
      <c r="EO799" s="98"/>
      <c r="EP799" s="98"/>
      <c r="EQ799" s="98"/>
      <c r="ER799" s="98"/>
      <c r="ES799" s="98"/>
      <c r="ET799" s="98"/>
      <c r="EU799" s="98"/>
      <c r="EV799" s="98"/>
      <c r="EW799" s="98"/>
      <c r="EX799" s="98"/>
      <c r="EY799" s="98"/>
      <c r="EZ799" s="178"/>
    </row>
    <row r="800" spans="60:156">
      <c r="BH800" s="19"/>
      <c r="BI800" s="19"/>
      <c r="BJ800" s="19"/>
      <c r="BK800" s="19"/>
      <c r="BL800" s="19"/>
      <c r="BM800" s="98"/>
      <c r="BN800" s="98"/>
      <c r="BO800" s="98"/>
      <c r="BP800" s="98"/>
      <c r="BQ800" s="98"/>
      <c r="BR800" s="98"/>
      <c r="BS800" s="98"/>
      <c r="BT800" s="98"/>
      <c r="BU800" s="98"/>
      <c r="BV800" s="98"/>
      <c r="BW800" s="98"/>
      <c r="BX800" s="98"/>
      <c r="BY800" s="98"/>
      <c r="BZ800" s="98"/>
      <c r="DA800" s="177"/>
      <c r="EH800" s="19"/>
      <c r="EI800" s="19"/>
      <c r="EJ800" s="19"/>
      <c r="EK800" s="19"/>
      <c r="EL800" s="19"/>
      <c r="EM800" s="98"/>
      <c r="EN800" s="98"/>
      <c r="EO800" s="98"/>
      <c r="EP800" s="98"/>
      <c r="EQ800" s="98"/>
      <c r="ER800" s="98"/>
      <c r="ES800" s="98"/>
      <c r="ET800" s="98"/>
      <c r="EU800" s="98"/>
      <c r="EV800" s="98"/>
      <c r="EW800" s="98"/>
      <c r="EX800" s="98"/>
      <c r="EY800" s="98"/>
      <c r="EZ800" s="178"/>
    </row>
    <row r="801" spans="60:156">
      <c r="BH801" s="19"/>
      <c r="BI801" s="19"/>
      <c r="BJ801" s="19"/>
      <c r="BK801" s="19"/>
      <c r="BL801" s="19"/>
      <c r="BM801" s="98"/>
      <c r="BN801" s="98"/>
      <c r="BO801" s="98"/>
      <c r="BP801" s="98"/>
      <c r="BQ801" s="98"/>
      <c r="BR801" s="98"/>
      <c r="BS801" s="98"/>
      <c r="BT801" s="98"/>
      <c r="BU801" s="98"/>
      <c r="BV801" s="98"/>
      <c r="BW801" s="98"/>
      <c r="BX801" s="98"/>
      <c r="BY801" s="98"/>
      <c r="BZ801" s="98"/>
      <c r="DA801" s="177"/>
      <c r="EH801" s="19"/>
      <c r="EI801" s="19"/>
      <c r="EJ801" s="19"/>
      <c r="EK801" s="19"/>
      <c r="EL801" s="19"/>
      <c r="EM801" s="98"/>
      <c r="EN801" s="98"/>
      <c r="EO801" s="98"/>
      <c r="EP801" s="98"/>
      <c r="EQ801" s="98"/>
      <c r="ER801" s="98"/>
      <c r="ES801" s="98"/>
      <c r="ET801" s="98"/>
      <c r="EU801" s="98"/>
      <c r="EV801" s="98"/>
      <c r="EW801" s="98"/>
      <c r="EX801" s="98"/>
      <c r="EY801" s="98"/>
      <c r="EZ801" s="178"/>
    </row>
    <row r="802" spans="60:156">
      <c r="BH802" s="19"/>
      <c r="BI802" s="19"/>
      <c r="BJ802" s="19"/>
      <c r="BK802" s="19"/>
      <c r="BL802" s="19"/>
      <c r="BM802" s="98"/>
      <c r="BN802" s="98"/>
      <c r="BO802" s="98"/>
      <c r="BP802" s="98"/>
      <c r="BQ802" s="98"/>
      <c r="BR802" s="98"/>
      <c r="BS802" s="98"/>
      <c r="BT802" s="98"/>
      <c r="BU802" s="98"/>
      <c r="BV802" s="98"/>
      <c r="BW802" s="98"/>
      <c r="BX802" s="98"/>
      <c r="BY802" s="98"/>
      <c r="BZ802" s="98"/>
      <c r="DA802" s="177"/>
      <c r="EH802" s="19"/>
      <c r="EI802" s="19"/>
      <c r="EJ802" s="19"/>
      <c r="EK802" s="19"/>
      <c r="EL802" s="19"/>
      <c r="EM802" s="98"/>
      <c r="EN802" s="98"/>
      <c r="EO802" s="98"/>
      <c r="EP802" s="98"/>
      <c r="EQ802" s="98"/>
      <c r="ER802" s="98"/>
      <c r="ES802" s="98"/>
      <c r="ET802" s="98"/>
      <c r="EU802" s="98"/>
      <c r="EV802" s="98"/>
      <c r="EW802" s="98"/>
      <c r="EX802" s="98"/>
      <c r="EY802" s="98"/>
      <c r="EZ802" s="178"/>
    </row>
    <row r="803" spans="60:156">
      <c r="BH803" s="19"/>
      <c r="BI803" s="19"/>
      <c r="BJ803" s="19"/>
      <c r="BK803" s="19"/>
      <c r="BL803" s="19"/>
      <c r="BM803" s="98"/>
      <c r="BN803" s="98"/>
      <c r="BO803" s="98"/>
      <c r="BP803" s="98"/>
      <c r="BQ803" s="98"/>
      <c r="BR803" s="98"/>
      <c r="BS803" s="98"/>
      <c r="BT803" s="98"/>
      <c r="BU803" s="98"/>
      <c r="BV803" s="98"/>
      <c r="BW803" s="98"/>
      <c r="BX803" s="98"/>
      <c r="BY803" s="98"/>
      <c r="BZ803" s="98"/>
      <c r="DA803" s="177"/>
      <c r="EH803" s="19"/>
      <c r="EI803" s="19"/>
      <c r="EJ803" s="19"/>
      <c r="EK803" s="19"/>
      <c r="EL803" s="19"/>
      <c r="EM803" s="98"/>
      <c r="EN803" s="98"/>
      <c r="EO803" s="98"/>
      <c r="EP803" s="98"/>
      <c r="EQ803" s="98"/>
      <c r="ER803" s="98"/>
      <c r="ES803" s="98"/>
      <c r="ET803" s="98"/>
      <c r="EU803" s="98"/>
      <c r="EV803" s="98"/>
      <c r="EW803" s="98"/>
      <c r="EX803" s="98"/>
      <c r="EY803" s="98"/>
      <c r="EZ803" s="178"/>
    </row>
    <row r="804" spans="60:156">
      <c r="BH804" s="19"/>
      <c r="BI804" s="19"/>
      <c r="BJ804" s="19"/>
      <c r="BK804" s="19"/>
      <c r="BL804" s="19"/>
      <c r="BM804" s="98"/>
      <c r="BN804" s="98"/>
      <c r="BO804" s="98"/>
      <c r="BP804" s="98"/>
      <c r="BQ804" s="98"/>
      <c r="BR804" s="98"/>
      <c r="BS804" s="98"/>
      <c r="BT804" s="98"/>
      <c r="BU804" s="98"/>
      <c r="BV804" s="98"/>
      <c r="BW804" s="98"/>
      <c r="BX804" s="98"/>
      <c r="BY804" s="98"/>
      <c r="BZ804" s="98"/>
      <c r="DA804" s="177"/>
      <c r="EH804" s="19"/>
      <c r="EI804" s="19"/>
      <c r="EJ804" s="19"/>
      <c r="EK804" s="19"/>
      <c r="EL804" s="19"/>
      <c r="EM804" s="98"/>
      <c r="EN804" s="98"/>
      <c r="EO804" s="98"/>
      <c r="EP804" s="98"/>
      <c r="EQ804" s="98"/>
      <c r="ER804" s="98"/>
      <c r="ES804" s="98"/>
      <c r="ET804" s="98"/>
      <c r="EU804" s="98"/>
      <c r="EV804" s="98"/>
      <c r="EW804" s="98"/>
      <c r="EX804" s="98"/>
      <c r="EY804" s="98"/>
      <c r="EZ804" s="178"/>
    </row>
    <row r="805" spans="60:156">
      <c r="BH805" s="19"/>
      <c r="BI805" s="19"/>
      <c r="BJ805" s="19"/>
      <c r="BK805" s="19"/>
      <c r="BL805" s="19"/>
      <c r="BM805" s="98"/>
      <c r="BN805" s="98"/>
      <c r="BO805" s="98"/>
      <c r="BP805" s="98"/>
      <c r="BQ805" s="98"/>
      <c r="BR805" s="98"/>
      <c r="BS805" s="98"/>
      <c r="BT805" s="98"/>
      <c r="BU805" s="98"/>
      <c r="BV805" s="98"/>
      <c r="BW805" s="98"/>
      <c r="BX805" s="98"/>
      <c r="BY805" s="98"/>
      <c r="BZ805" s="98"/>
      <c r="DA805" s="177"/>
      <c r="EH805" s="19"/>
      <c r="EI805" s="19"/>
      <c r="EJ805" s="19"/>
      <c r="EK805" s="19"/>
      <c r="EL805" s="19"/>
      <c r="EM805" s="98"/>
      <c r="EN805" s="98"/>
      <c r="EO805" s="98"/>
      <c r="EP805" s="98"/>
      <c r="EQ805" s="98"/>
      <c r="ER805" s="98"/>
      <c r="ES805" s="98"/>
      <c r="ET805" s="98"/>
      <c r="EU805" s="98"/>
      <c r="EV805" s="98"/>
      <c r="EW805" s="98"/>
      <c r="EX805" s="98"/>
      <c r="EY805" s="98"/>
      <c r="EZ805" s="178"/>
    </row>
    <row r="806" spans="60:156">
      <c r="BH806" s="19"/>
      <c r="BI806" s="19"/>
      <c r="BJ806" s="19"/>
      <c r="BK806" s="19"/>
      <c r="BL806" s="19"/>
      <c r="BM806" s="98"/>
      <c r="BN806" s="98"/>
      <c r="BO806" s="98"/>
      <c r="BP806" s="98"/>
      <c r="BQ806" s="98"/>
      <c r="BR806" s="98"/>
      <c r="BS806" s="98"/>
      <c r="BT806" s="98"/>
      <c r="BU806" s="98"/>
      <c r="BV806" s="98"/>
      <c r="BW806" s="98"/>
      <c r="BX806" s="98"/>
      <c r="BY806" s="98"/>
      <c r="BZ806" s="98"/>
      <c r="DA806" s="177"/>
      <c r="EH806" s="19"/>
      <c r="EI806" s="19"/>
      <c r="EJ806" s="19"/>
      <c r="EK806" s="19"/>
      <c r="EL806" s="19"/>
      <c r="EM806" s="98"/>
      <c r="EN806" s="98"/>
      <c r="EO806" s="98"/>
      <c r="EP806" s="98"/>
      <c r="EQ806" s="98"/>
      <c r="ER806" s="98"/>
      <c r="ES806" s="98"/>
      <c r="ET806" s="98"/>
      <c r="EU806" s="98"/>
      <c r="EV806" s="98"/>
      <c r="EW806" s="98"/>
      <c r="EX806" s="98"/>
      <c r="EY806" s="98"/>
      <c r="EZ806" s="178"/>
    </row>
    <row r="807" spans="60:156">
      <c r="BH807" s="19"/>
      <c r="BI807" s="19"/>
      <c r="BJ807" s="19"/>
      <c r="BK807" s="19"/>
      <c r="BL807" s="19"/>
      <c r="BM807" s="98"/>
      <c r="BN807" s="98"/>
      <c r="BO807" s="98"/>
      <c r="BP807" s="98"/>
      <c r="BQ807" s="98"/>
      <c r="BR807" s="98"/>
      <c r="BS807" s="98"/>
      <c r="BT807" s="98"/>
      <c r="BU807" s="98"/>
      <c r="BV807" s="98"/>
      <c r="BW807" s="98"/>
      <c r="BX807" s="98"/>
      <c r="BY807" s="98"/>
      <c r="BZ807" s="98"/>
      <c r="DA807" s="177"/>
      <c r="EH807" s="19"/>
      <c r="EI807" s="19"/>
      <c r="EJ807" s="19"/>
      <c r="EK807" s="19"/>
      <c r="EL807" s="19"/>
      <c r="EM807" s="98"/>
      <c r="EN807" s="98"/>
      <c r="EO807" s="98"/>
      <c r="EP807" s="98"/>
      <c r="EQ807" s="98"/>
      <c r="ER807" s="98"/>
      <c r="ES807" s="98"/>
      <c r="ET807" s="98"/>
      <c r="EU807" s="98"/>
      <c r="EV807" s="98"/>
      <c r="EW807" s="98"/>
      <c r="EX807" s="98"/>
      <c r="EY807" s="98"/>
      <c r="EZ807" s="178"/>
    </row>
    <row r="808" spans="60:156">
      <c r="BH808" s="19"/>
      <c r="BI808" s="19"/>
      <c r="BJ808" s="19"/>
      <c r="BK808" s="19"/>
      <c r="BL808" s="19"/>
      <c r="BM808" s="98"/>
      <c r="BN808" s="98"/>
      <c r="BO808" s="98"/>
      <c r="BP808" s="98"/>
      <c r="BQ808" s="98"/>
      <c r="BR808" s="98"/>
      <c r="BS808" s="98"/>
      <c r="BT808" s="98"/>
      <c r="BU808" s="98"/>
      <c r="BV808" s="98"/>
      <c r="BW808" s="98"/>
      <c r="BX808" s="98"/>
      <c r="BY808" s="98"/>
      <c r="BZ808" s="98"/>
      <c r="DA808" s="177"/>
      <c r="EH808" s="19"/>
      <c r="EI808" s="19"/>
      <c r="EJ808" s="19"/>
      <c r="EK808" s="19"/>
      <c r="EL808" s="19"/>
      <c r="EM808" s="98"/>
      <c r="EN808" s="98"/>
      <c r="EO808" s="98"/>
      <c r="EP808" s="98"/>
      <c r="EQ808" s="98"/>
      <c r="ER808" s="98"/>
      <c r="ES808" s="98"/>
      <c r="ET808" s="98"/>
      <c r="EU808" s="98"/>
      <c r="EV808" s="98"/>
      <c r="EW808" s="98"/>
      <c r="EX808" s="98"/>
      <c r="EY808" s="98"/>
      <c r="EZ808" s="178"/>
    </row>
    <row r="809" spans="60:156">
      <c r="BH809" s="19"/>
      <c r="BI809" s="19"/>
      <c r="BJ809" s="19"/>
      <c r="BK809" s="19"/>
      <c r="BL809" s="19"/>
      <c r="BM809" s="98"/>
      <c r="BN809" s="98"/>
      <c r="BO809" s="98"/>
      <c r="BP809" s="98"/>
      <c r="BQ809" s="98"/>
      <c r="BR809" s="98"/>
      <c r="BS809" s="98"/>
      <c r="BT809" s="98"/>
      <c r="BU809" s="98"/>
      <c r="BV809" s="98"/>
      <c r="BW809" s="98"/>
      <c r="BX809" s="98"/>
      <c r="BY809" s="98"/>
      <c r="BZ809" s="98"/>
      <c r="DA809" s="177"/>
      <c r="EH809" s="19"/>
      <c r="EI809" s="19"/>
      <c r="EJ809" s="19"/>
      <c r="EK809" s="19"/>
      <c r="EL809" s="19"/>
      <c r="EM809" s="98"/>
      <c r="EN809" s="98"/>
      <c r="EO809" s="98"/>
      <c r="EP809" s="98"/>
      <c r="EQ809" s="98"/>
      <c r="ER809" s="98"/>
      <c r="ES809" s="98"/>
      <c r="ET809" s="98"/>
      <c r="EU809" s="98"/>
      <c r="EV809" s="98"/>
      <c r="EW809" s="98"/>
      <c r="EX809" s="98"/>
      <c r="EY809" s="98"/>
      <c r="EZ809" s="178"/>
    </row>
    <row r="810" spans="60:156">
      <c r="BH810" s="19"/>
      <c r="BI810" s="19"/>
      <c r="BJ810" s="19"/>
      <c r="BK810" s="19"/>
      <c r="BL810" s="19"/>
      <c r="BM810" s="98"/>
      <c r="BN810" s="98"/>
      <c r="BO810" s="98"/>
      <c r="BP810" s="98"/>
      <c r="BQ810" s="98"/>
      <c r="BR810" s="98"/>
      <c r="BS810" s="98"/>
      <c r="BT810" s="98"/>
      <c r="BU810" s="98"/>
      <c r="BV810" s="98"/>
      <c r="BW810" s="98"/>
      <c r="BX810" s="98"/>
      <c r="BY810" s="98"/>
      <c r="BZ810" s="98"/>
      <c r="DA810" s="177"/>
      <c r="EH810" s="19"/>
      <c r="EI810" s="19"/>
      <c r="EJ810" s="19"/>
      <c r="EK810" s="19"/>
      <c r="EL810" s="19"/>
      <c r="EM810" s="98"/>
      <c r="EN810" s="98"/>
      <c r="EO810" s="98"/>
      <c r="EP810" s="98"/>
      <c r="EQ810" s="98"/>
      <c r="ER810" s="98"/>
      <c r="ES810" s="98"/>
      <c r="ET810" s="98"/>
      <c r="EU810" s="98"/>
      <c r="EV810" s="98"/>
      <c r="EW810" s="98"/>
      <c r="EX810" s="98"/>
      <c r="EY810" s="98"/>
      <c r="EZ810" s="178"/>
    </row>
    <row r="811" spans="60:156">
      <c r="BH811" s="19"/>
      <c r="BI811" s="19"/>
      <c r="BJ811" s="19"/>
      <c r="BK811" s="19"/>
      <c r="BL811" s="19"/>
      <c r="BM811" s="98"/>
      <c r="BN811" s="98"/>
      <c r="BO811" s="98"/>
      <c r="BP811" s="98"/>
      <c r="BQ811" s="98"/>
      <c r="BR811" s="98"/>
      <c r="BS811" s="98"/>
      <c r="BT811" s="98"/>
      <c r="BU811" s="98"/>
      <c r="BV811" s="98"/>
      <c r="BW811" s="98"/>
      <c r="BX811" s="98"/>
      <c r="BY811" s="98"/>
      <c r="BZ811" s="98"/>
      <c r="DA811" s="177"/>
      <c r="EH811" s="19"/>
      <c r="EI811" s="19"/>
      <c r="EJ811" s="19"/>
      <c r="EK811" s="19"/>
      <c r="EL811" s="19"/>
      <c r="EM811" s="98"/>
      <c r="EN811" s="98"/>
      <c r="EO811" s="98"/>
      <c r="EP811" s="98"/>
      <c r="EQ811" s="98"/>
      <c r="ER811" s="98"/>
      <c r="ES811" s="98"/>
      <c r="ET811" s="98"/>
      <c r="EU811" s="98"/>
      <c r="EV811" s="98"/>
      <c r="EW811" s="98"/>
      <c r="EX811" s="98"/>
      <c r="EY811" s="98"/>
      <c r="EZ811" s="178"/>
    </row>
    <row r="812" spans="60:156">
      <c r="BH812" s="19"/>
      <c r="BI812" s="19"/>
      <c r="BJ812" s="19"/>
      <c r="BK812" s="19"/>
      <c r="BL812" s="19"/>
      <c r="BM812" s="98"/>
      <c r="BN812" s="98"/>
      <c r="BO812" s="98"/>
      <c r="BP812" s="98"/>
      <c r="BQ812" s="98"/>
      <c r="BR812" s="98"/>
      <c r="BS812" s="98"/>
      <c r="BT812" s="98"/>
      <c r="BU812" s="98"/>
      <c r="BV812" s="98"/>
      <c r="BW812" s="98"/>
      <c r="BX812" s="98"/>
      <c r="BY812" s="98"/>
      <c r="BZ812" s="98"/>
      <c r="DA812" s="177"/>
      <c r="EH812" s="19"/>
      <c r="EI812" s="19"/>
      <c r="EJ812" s="19"/>
      <c r="EK812" s="19"/>
      <c r="EL812" s="19"/>
      <c r="EM812" s="98"/>
      <c r="EN812" s="98"/>
      <c r="EO812" s="98"/>
      <c r="EP812" s="98"/>
      <c r="EQ812" s="98"/>
      <c r="ER812" s="98"/>
      <c r="ES812" s="98"/>
      <c r="ET812" s="98"/>
      <c r="EU812" s="98"/>
      <c r="EV812" s="98"/>
      <c r="EW812" s="98"/>
      <c r="EX812" s="98"/>
      <c r="EY812" s="98"/>
      <c r="EZ812" s="178"/>
    </row>
    <row r="813" spans="60:156">
      <c r="BH813" s="19"/>
      <c r="BI813" s="19"/>
      <c r="BJ813" s="19"/>
      <c r="BK813" s="19"/>
      <c r="BL813" s="19"/>
      <c r="BM813" s="98"/>
      <c r="BN813" s="98"/>
      <c r="BO813" s="98"/>
      <c r="BP813" s="98"/>
      <c r="BQ813" s="98"/>
      <c r="BR813" s="98"/>
      <c r="BS813" s="98"/>
      <c r="BT813" s="98"/>
      <c r="BU813" s="98"/>
      <c r="BV813" s="98"/>
      <c r="BW813" s="98"/>
      <c r="BX813" s="98"/>
      <c r="BY813" s="98"/>
      <c r="BZ813" s="98"/>
      <c r="DA813" s="177"/>
      <c r="EH813" s="19"/>
      <c r="EI813" s="19"/>
      <c r="EJ813" s="19"/>
      <c r="EK813" s="19"/>
      <c r="EL813" s="19"/>
      <c r="EM813" s="98"/>
      <c r="EN813" s="98"/>
      <c r="EO813" s="98"/>
      <c r="EP813" s="98"/>
      <c r="EQ813" s="98"/>
      <c r="ER813" s="98"/>
      <c r="ES813" s="98"/>
      <c r="ET813" s="98"/>
      <c r="EU813" s="98"/>
      <c r="EV813" s="98"/>
      <c r="EW813" s="98"/>
      <c r="EX813" s="98"/>
      <c r="EY813" s="98"/>
      <c r="EZ813" s="178"/>
    </row>
    <row r="814" spans="60:156">
      <c r="BH814" s="19"/>
      <c r="BI814" s="19"/>
      <c r="BJ814" s="19"/>
      <c r="BK814" s="19"/>
      <c r="BL814" s="19"/>
      <c r="BM814" s="98"/>
      <c r="BN814" s="98"/>
      <c r="BO814" s="98"/>
      <c r="BP814" s="98"/>
      <c r="BQ814" s="98"/>
      <c r="BR814" s="98"/>
      <c r="BS814" s="98"/>
      <c r="BT814" s="98"/>
      <c r="BU814" s="98"/>
      <c r="BV814" s="98"/>
      <c r="BW814" s="98"/>
      <c r="BX814" s="98"/>
      <c r="BY814" s="98"/>
      <c r="BZ814" s="98"/>
      <c r="DA814" s="177"/>
      <c r="EH814" s="19"/>
      <c r="EI814" s="19"/>
      <c r="EJ814" s="19"/>
      <c r="EK814" s="19"/>
      <c r="EL814" s="19"/>
      <c r="EM814" s="98"/>
      <c r="EN814" s="98"/>
      <c r="EO814" s="98"/>
      <c r="EP814" s="98"/>
      <c r="EQ814" s="98"/>
      <c r="ER814" s="98"/>
      <c r="ES814" s="98"/>
      <c r="ET814" s="98"/>
      <c r="EU814" s="98"/>
      <c r="EV814" s="98"/>
      <c r="EW814" s="98"/>
      <c r="EX814" s="98"/>
      <c r="EY814" s="98"/>
      <c r="EZ814" s="178"/>
    </row>
    <row r="815" spans="60:156">
      <c r="BH815" s="19"/>
      <c r="BI815" s="19"/>
      <c r="BJ815" s="19"/>
      <c r="BK815" s="19"/>
      <c r="BL815" s="19"/>
      <c r="BM815" s="98"/>
      <c r="BN815" s="98"/>
      <c r="BO815" s="98"/>
      <c r="BP815" s="98"/>
      <c r="BQ815" s="98"/>
      <c r="BR815" s="98"/>
      <c r="BS815" s="98"/>
      <c r="BT815" s="98"/>
      <c r="BU815" s="98"/>
      <c r="BV815" s="98"/>
      <c r="BW815" s="98"/>
      <c r="BX815" s="98"/>
      <c r="BY815" s="98"/>
      <c r="BZ815" s="98"/>
      <c r="DA815" s="177"/>
      <c r="EH815" s="19"/>
      <c r="EI815" s="19"/>
      <c r="EJ815" s="19"/>
      <c r="EK815" s="19"/>
      <c r="EL815" s="19"/>
      <c r="EM815" s="98"/>
      <c r="EN815" s="98"/>
      <c r="EO815" s="98"/>
      <c r="EP815" s="98"/>
      <c r="EQ815" s="98"/>
      <c r="ER815" s="98"/>
      <c r="ES815" s="98"/>
      <c r="ET815" s="98"/>
      <c r="EU815" s="98"/>
      <c r="EV815" s="98"/>
      <c r="EW815" s="98"/>
      <c r="EX815" s="98"/>
      <c r="EY815" s="98"/>
      <c r="EZ815" s="178"/>
    </row>
    <row r="816" spans="60:156">
      <c r="BH816" s="19"/>
      <c r="BI816" s="19"/>
      <c r="BJ816" s="19"/>
      <c r="BK816" s="19"/>
      <c r="BL816" s="19"/>
      <c r="BM816" s="98"/>
      <c r="BN816" s="98"/>
      <c r="BO816" s="98"/>
      <c r="BP816" s="98"/>
      <c r="BQ816" s="98"/>
      <c r="BR816" s="98"/>
      <c r="BS816" s="98"/>
      <c r="BT816" s="98"/>
      <c r="BU816" s="98"/>
      <c r="BV816" s="98"/>
      <c r="BW816" s="98"/>
      <c r="BX816" s="98"/>
      <c r="BY816" s="98"/>
      <c r="BZ816" s="98"/>
      <c r="DA816" s="177"/>
      <c r="EH816" s="19"/>
      <c r="EI816" s="19"/>
      <c r="EJ816" s="19"/>
      <c r="EK816" s="19"/>
      <c r="EL816" s="19"/>
      <c r="EM816" s="98"/>
      <c r="EN816" s="98"/>
      <c r="EO816" s="98"/>
      <c r="EP816" s="98"/>
      <c r="EQ816" s="98"/>
      <c r="ER816" s="98"/>
      <c r="ES816" s="98"/>
      <c r="ET816" s="98"/>
      <c r="EU816" s="98"/>
      <c r="EV816" s="98"/>
      <c r="EW816" s="98"/>
      <c r="EX816" s="98"/>
      <c r="EY816" s="98"/>
      <c r="EZ816" s="178"/>
    </row>
    <row r="817" spans="60:156">
      <c r="BH817" s="19"/>
      <c r="BI817" s="19"/>
      <c r="BJ817" s="19"/>
      <c r="BK817" s="19"/>
      <c r="BL817" s="19"/>
      <c r="BM817" s="98"/>
      <c r="BN817" s="98"/>
      <c r="BO817" s="98"/>
      <c r="BP817" s="98"/>
      <c r="BQ817" s="98"/>
      <c r="BR817" s="98"/>
      <c r="BS817" s="98"/>
      <c r="BT817" s="98"/>
      <c r="BU817" s="98"/>
      <c r="BV817" s="98"/>
      <c r="BW817" s="98"/>
      <c r="BX817" s="98"/>
      <c r="BY817" s="98"/>
      <c r="BZ817" s="98"/>
      <c r="DA817" s="177"/>
      <c r="EH817" s="19"/>
      <c r="EI817" s="19"/>
      <c r="EJ817" s="19"/>
      <c r="EK817" s="19"/>
      <c r="EL817" s="19"/>
      <c r="EM817" s="98"/>
      <c r="EN817" s="98"/>
      <c r="EO817" s="98"/>
      <c r="EP817" s="98"/>
      <c r="EQ817" s="98"/>
      <c r="ER817" s="98"/>
      <c r="ES817" s="98"/>
      <c r="ET817" s="98"/>
      <c r="EU817" s="98"/>
      <c r="EV817" s="98"/>
      <c r="EW817" s="98"/>
      <c r="EX817" s="98"/>
      <c r="EY817" s="98"/>
      <c r="EZ817" s="178"/>
    </row>
    <row r="818" spans="60:156">
      <c r="BH818" s="19"/>
      <c r="BI818" s="19"/>
      <c r="BJ818" s="19"/>
      <c r="BK818" s="19"/>
      <c r="BL818" s="19"/>
      <c r="BM818" s="98"/>
      <c r="BN818" s="98"/>
      <c r="BO818" s="98"/>
      <c r="BP818" s="98"/>
      <c r="BQ818" s="98"/>
      <c r="BR818" s="98"/>
      <c r="BS818" s="98"/>
      <c r="BT818" s="98"/>
      <c r="BU818" s="98"/>
      <c r="BV818" s="98"/>
      <c r="BW818" s="98"/>
      <c r="BX818" s="98"/>
      <c r="BY818" s="98"/>
      <c r="BZ818" s="98"/>
      <c r="DA818" s="177"/>
      <c r="EH818" s="19"/>
      <c r="EI818" s="19"/>
      <c r="EJ818" s="19"/>
      <c r="EK818" s="19"/>
      <c r="EL818" s="19"/>
      <c r="EM818" s="98"/>
      <c r="EN818" s="98"/>
      <c r="EO818" s="98"/>
      <c r="EP818" s="98"/>
      <c r="EQ818" s="98"/>
      <c r="ER818" s="98"/>
      <c r="ES818" s="98"/>
      <c r="ET818" s="98"/>
      <c r="EU818" s="98"/>
      <c r="EV818" s="98"/>
      <c r="EW818" s="98"/>
      <c r="EX818" s="98"/>
      <c r="EY818" s="98"/>
      <c r="EZ818" s="178"/>
    </row>
    <row r="819" spans="60:156">
      <c r="BH819" s="19"/>
      <c r="BI819" s="19"/>
      <c r="BJ819" s="19"/>
      <c r="BK819" s="19"/>
      <c r="BL819" s="19"/>
      <c r="BM819" s="98"/>
      <c r="BN819" s="98"/>
      <c r="BO819" s="98"/>
      <c r="BP819" s="98"/>
      <c r="BQ819" s="98"/>
      <c r="BR819" s="98"/>
      <c r="BS819" s="98"/>
      <c r="BT819" s="98"/>
      <c r="BU819" s="98"/>
      <c r="BV819" s="98"/>
      <c r="BW819" s="98"/>
      <c r="BX819" s="98"/>
      <c r="BY819" s="98"/>
      <c r="BZ819" s="98"/>
      <c r="DA819" s="177"/>
      <c r="EH819" s="19"/>
      <c r="EI819" s="19"/>
      <c r="EJ819" s="19"/>
      <c r="EK819" s="19"/>
      <c r="EL819" s="19"/>
      <c r="EM819" s="98"/>
      <c r="EN819" s="98"/>
      <c r="EO819" s="98"/>
      <c r="EP819" s="98"/>
      <c r="EQ819" s="98"/>
      <c r="ER819" s="98"/>
      <c r="ES819" s="98"/>
      <c r="ET819" s="98"/>
      <c r="EU819" s="98"/>
      <c r="EV819" s="98"/>
      <c r="EW819" s="98"/>
      <c r="EX819" s="98"/>
      <c r="EY819" s="98"/>
      <c r="EZ819" s="178"/>
    </row>
    <row r="820" spans="60:156">
      <c r="BH820" s="19"/>
      <c r="BI820" s="19"/>
      <c r="BJ820" s="19"/>
      <c r="BK820" s="19"/>
      <c r="BL820" s="19"/>
      <c r="BM820" s="98"/>
      <c r="BN820" s="98"/>
      <c r="BO820" s="98"/>
      <c r="BP820" s="98"/>
      <c r="BQ820" s="98"/>
      <c r="BR820" s="98"/>
      <c r="BS820" s="98"/>
      <c r="BT820" s="98"/>
      <c r="BU820" s="98"/>
      <c r="BV820" s="98"/>
      <c r="BW820" s="98"/>
      <c r="BX820" s="98"/>
      <c r="BY820" s="98"/>
      <c r="BZ820" s="98"/>
      <c r="DA820" s="177"/>
      <c r="EH820" s="19"/>
      <c r="EI820" s="19"/>
      <c r="EJ820" s="19"/>
      <c r="EK820" s="19"/>
      <c r="EL820" s="19"/>
      <c r="EM820" s="98"/>
      <c r="EN820" s="98"/>
      <c r="EO820" s="98"/>
      <c r="EP820" s="98"/>
      <c r="EQ820" s="98"/>
      <c r="ER820" s="98"/>
      <c r="ES820" s="98"/>
      <c r="ET820" s="98"/>
      <c r="EU820" s="98"/>
      <c r="EV820" s="98"/>
      <c r="EW820" s="98"/>
      <c r="EX820" s="98"/>
      <c r="EY820" s="98"/>
      <c r="EZ820" s="178"/>
    </row>
    <row r="821" spans="60:156">
      <c r="BH821" s="19"/>
      <c r="BI821" s="19"/>
      <c r="BJ821" s="19"/>
      <c r="BK821" s="19"/>
      <c r="BL821" s="19"/>
      <c r="BM821" s="98"/>
      <c r="BN821" s="98"/>
      <c r="BO821" s="98"/>
      <c r="BP821" s="98"/>
      <c r="BQ821" s="98"/>
      <c r="BR821" s="98"/>
      <c r="BS821" s="98"/>
      <c r="BT821" s="98"/>
      <c r="BU821" s="98"/>
      <c r="BV821" s="98"/>
      <c r="BW821" s="98"/>
      <c r="BX821" s="98"/>
      <c r="BY821" s="98"/>
      <c r="BZ821" s="98"/>
      <c r="DA821" s="177"/>
      <c r="EH821" s="19"/>
      <c r="EI821" s="19"/>
      <c r="EJ821" s="19"/>
      <c r="EK821" s="19"/>
      <c r="EL821" s="19"/>
      <c r="EM821" s="98"/>
      <c r="EN821" s="98"/>
      <c r="EO821" s="98"/>
      <c r="EP821" s="98"/>
      <c r="EQ821" s="98"/>
      <c r="ER821" s="98"/>
      <c r="ES821" s="98"/>
      <c r="ET821" s="98"/>
      <c r="EU821" s="98"/>
      <c r="EV821" s="98"/>
      <c r="EW821" s="98"/>
      <c r="EX821" s="98"/>
      <c r="EY821" s="98"/>
      <c r="EZ821" s="178"/>
    </row>
    <row r="822" spans="60:156">
      <c r="BH822" s="19"/>
      <c r="BI822" s="19"/>
      <c r="BJ822" s="19"/>
      <c r="BK822" s="19"/>
      <c r="BL822" s="19"/>
      <c r="BM822" s="98"/>
      <c r="BN822" s="98"/>
      <c r="BO822" s="98"/>
      <c r="BP822" s="98"/>
      <c r="BQ822" s="98"/>
      <c r="BR822" s="98"/>
      <c r="BS822" s="98"/>
      <c r="BT822" s="98"/>
      <c r="BU822" s="98"/>
      <c r="BV822" s="98"/>
      <c r="BW822" s="98"/>
      <c r="BX822" s="98"/>
      <c r="BY822" s="98"/>
      <c r="BZ822" s="98"/>
      <c r="DA822" s="177"/>
      <c r="EH822" s="19"/>
      <c r="EI822" s="19"/>
      <c r="EJ822" s="19"/>
      <c r="EK822" s="19"/>
      <c r="EL822" s="19"/>
      <c r="EM822" s="98"/>
      <c r="EN822" s="98"/>
      <c r="EO822" s="98"/>
      <c r="EP822" s="98"/>
      <c r="EQ822" s="98"/>
      <c r="ER822" s="98"/>
      <c r="ES822" s="98"/>
      <c r="ET822" s="98"/>
      <c r="EU822" s="98"/>
      <c r="EV822" s="98"/>
      <c r="EW822" s="98"/>
      <c r="EX822" s="98"/>
      <c r="EY822" s="98"/>
      <c r="EZ822" s="178"/>
    </row>
    <row r="823" spans="60:156">
      <c r="BH823" s="19"/>
      <c r="BI823" s="19"/>
      <c r="BJ823" s="19"/>
      <c r="BK823" s="19"/>
      <c r="BL823" s="19"/>
      <c r="BM823" s="98"/>
      <c r="BN823" s="98"/>
      <c r="BO823" s="98"/>
      <c r="BP823" s="98"/>
      <c r="BQ823" s="98"/>
      <c r="BR823" s="98"/>
      <c r="BS823" s="98"/>
      <c r="BT823" s="98"/>
      <c r="BU823" s="98"/>
      <c r="BV823" s="98"/>
      <c r="BW823" s="98"/>
      <c r="BX823" s="98"/>
      <c r="BY823" s="98"/>
      <c r="BZ823" s="98"/>
      <c r="DA823" s="177"/>
      <c r="EH823" s="19"/>
      <c r="EI823" s="19"/>
      <c r="EJ823" s="19"/>
      <c r="EK823" s="19"/>
      <c r="EL823" s="19"/>
      <c r="EM823" s="98"/>
      <c r="EN823" s="98"/>
      <c r="EO823" s="98"/>
      <c r="EP823" s="98"/>
      <c r="EQ823" s="98"/>
      <c r="ER823" s="98"/>
      <c r="ES823" s="98"/>
      <c r="ET823" s="98"/>
      <c r="EU823" s="98"/>
      <c r="EV823" s="98"/>
      <c r="EW823" s="98"/>
      <c r="EX823" s="98"/>
      <c r="EY823" s="98"/>
      <c r="EZ823" s="178"/>
    </row>
    <row r="824" spans="60:156">
      <c r="BH824" s="19"/>
      <c r="BI824" s="19"/>
      <c r="BJ824" s="19"/>
      <c r="BK824" s="19"/>
      <c r="BL824" s="19"/>
      <c r="BM824" s="98"/>
      <c r="BN824" s="98"/>
      <c r="BO824" s="98"/>
      <c r="BP824" s="98"/>
      <c r="BQ824" s="98"/>
      <c r="BR824" s="98"/>
      <c r="BS824" s="98"/>
      <c r="BT824" s="98"/>
      <c r="BU824" s="98"/>
      <c r="BV824" s="98"/>
      <c r="BW824" s="98"/>
      <c r="BX824" s="98"/>
      <c r="BY824" s="98"/>
      <c r="BZ824" s="98"/>
      <c r="DA824" s="177"/>
      <c r="EH824" s="19"/>
      <c r="EI824" s="19"/>
      <c r="EJ824" s="19"/>
      <c r="EK824" s="19"/>
      <c r="EL824" s="19"/>
      <c r="EM824" s="98"/>
      <c r="EN824" s="98"/>
      <c r="EO824" s="98"/>
      <c r="EP824" s="98"/>
      <c r="EQ824" s="98"/>
      <c r="ER824" s="98"/>
      <c r="ES824" s="98"/>
      <c r="ET824" s="98"/>
      <c r="EU824" s="98"/>
      <c r="EV824" s="98"/>
      <c r="EW824" s="98"/>
      <c r="EX824" s="98"/>
      <c r="EY824" s="98"/>
      <c r="EZ824" s="178"/>
    </row>
    <row r="825" spans="60:156">
      <c r="BH825" s="19"/>
      <c r="BI825" s="19"/>
      <c r="BJ825" s="19"/>
      <c r="BK825" s="19"/>
      <c r="BL825" s="19"/>
      <c r="BM825" s="98"/>
      <c r="BN825" s="98"/>
      <c r="BO825" s="98"/>
      <c r="BP825" s="98"/>
      <c r="BQ825" s="98"/>
      <c r="BR825" s="98"/>
      <c r="BS825" s="98"/>
      <c r="BT825" s="98"/>
      <c r="BU825" s="98"/>
      <c r="BV825" s="98"/>
      <c r="BW825" s="98"/>
      <c r="BX825" s="98"/>
      <c r="BY825" s="98"/>
      <c r="BZ825" s="98"/>
      <c r="DA825" s="177"/>
      <c r="EH825" s="19"/>
      <c r="EI825" s="19"/>
      <c r="EJ825" s="19"/>
      <c r="EK825" s="19"/>
      <c r="EL825" s="19"/>
      <c r="EM825" s="98"/>
      <c r="EN825" s="98"/>
      <c r="EO825" s="98"/>
      <c r="EP825" s="98"/>
      <c r="EQ825" s="98"/>
      <c r="ER825" s="98"/>
      <c r="ES825" s="98"/>
      <c r="ET825" s="98"/>
      <c r="EU825" s="98"/>
      <c r="EV825" s="98"/>
      <c r="EW825" s="98"/>
      <c r="EX825" s="98"/>
      <c r="EY825" s="98"/>
      <c r="EZ825" s="178"/>
    </row>
    <row r="826" spans="60:156">
      <c r="BH826" s="19"/>
      <c r="BI826" s="19"/>
      <c r="BJ826" s="19"/>
      <c r="BK826" s="19"/>
      <c r="BL826" s="19"/>
      <c r="BM826" s="98"/>
      <c r="BN826" s="98"/>
      <c r="BO826" s="98"/>
      <c r="BP826" s="98"/>
      <c r="BQ826" s="98"/>
      <c r="BR826" s="98"/>
      <c r="BS826" s="98"/>
      <c r="BT826" s="98"/>
      <c r="BU826" s="98"/>
      <c r="BV826" s="98"/>
      <c r="BW826" s="98"/>
      <c r="BX826" s="98"/>
      <c r="BY826" s="98"/>
      <c r="BZ826" s="98"/>
      <c r="DA826" s="177"/>
      <c r="EH826" s="19"/>
      <c r="EI826" s="19"/>
      <c r="EJ826" s="19"/>
      <c r="EK826" s="19"/>
      <c r="EL826" s="19"/>
      <c r="EM826" s="98"/>
      <c r="EN826" s="98"/>
      <c r="EO826" s="98"/>
      <c r="EP826" s="98"/>
      <c r="EQ826" s="98"/>
      <c r="ER826" s="98"/>
      <c r="ES826" s="98"/>
      <c r="ET826" s="98"/>
      <c r="EU826" s="98"/>
      <c r="EV826" s="98"/>
      <c r="EW826" s="98"/>
      <c r="EX826" s="98"/>
      <c r="EY826" s="98"/>
      <c r="EZ826" s="178"/>
    </row>
    <row r="827" spans="60:156">
      <c r="BH827" s="19"/>
      <c r="BI827" s="19"/>
      <c r="BJ827" s="19"/>
      <c r="BK827" s="19"/>
      <c r="BL827" s="19"/>
      <c r="BM827" s="98"/>
      <c r="BN827" s="98"/>
      <c r="BO827" s="98"/>
      <c r="BP827" s="98"/>
      <c r="BQ827" s="98"/>
      <c r="BR827" s="98"/>
      <c r="BS827" s="98"/>
      <c r="BT827" s="98"/>
      <c r="BU827" s="98"/>
      <c r="BV827" s="98"/>
      <c r="BW827" s="98"/>
      <c r="BX827" s="98"/>
      <c r="BY827" s="98"/>
      <c r="BZ827" s="98"/>
      <c r="DA827" s="177"/>
      <c r="EH827" s="19"/>
      <c r="EI827" s="19"/>
      <c r="EJ827" s="19"/>
      <c r="EK827" s="19"/>
      <c r="EL827" s="19"/>
      <c r="EM827" s="98"/>
      <c r="EN827" s="98"/>
      <c r="EO827" s="98"/>
      <c r="EP827" s="98"/>
      <c r="EQ827" s="98"/>
      <c r="ER827" s="98"/>
      <c r="ES827" s="98"/>
      <c r="ET827" s="98"/>
      <c r="EU827" s="98"/>
      <c r="EV827" s="98"/>
      <c r="EW827" s="98"/>
      <c r="EX827" s="98"/>
      <c r="EY827" s="98"/>
      <c r="EZ827" s="178"/>
    </row>
    <row r="828" spans="60:156">
      <c r="BH828" s="19"/>
      <c r="BI828" s="19"/>
      <c r="BJ828" s="19"/>
      <c r="BK828" s="19"/>
      <c r="BL828" s="19"/>
      <c r="BM828" s="98"/>
      <c r="BN828" s="98"/>
      <c r="BO828" s="98"/>
      <c r="BP828" s="98"/>
      <c r="BQ828" s="98"/>
      <c r="BR828" s="98"/>
      <c r="BS828" s="98"/>
      <c r="BT828" s="98"/>
      <c r="BU828" s="98"/>
      <c r="BV828" s="98"/>
      <c r="BW828" s="98"/>
      <c r="BX828" s="98"/>
      <c r="BY828" s="98"/>
      <c r="BZ828" s="98"/>
      <c r="DA828" s="177"/>
      <c r="EH828" s="19"/>
      <c r="EI828" s="19"/>
      <c r="EJ828" s="19"/>
      <c r="EK828" s="19"/>
      <c r="EL828" s="19"/>
      <c r="EM828" s="98"/>
      <c r="EN828" s="98"/>
      <c r="EO828" s="98"/>
      <c r="EP828" s="98"/>
      <c r="EQ828" s="98"/>
      <c r="ER828" s="98"/>
      <c r="ES828" s="98"/>
      <c r="ET828" s="98"/>
      <c r="EU828" s="98"/>
      <c r="EV828" s="98"/>
      <c r="EW828" s="98"/>
      <c r="EX828" s="98"/>
      <c r="EY828" s="98"/>
      <c r="EZ828" s="178"/>
    </row>
    <row r="829" spans="60:156">
      <c r="BH829" s="19"/>
      <c r="BI829" s="19"/>
      <c r="BJ829" s="19"/>
      <c r="BK829" s="19"/>
      <c r="BL829" s="19"/>
      <c r="BM829" s="98"/>
      <c r="BN829" s="98"/>
      <c r="BO829" s="98"/>
      <c r="BP829" s="98"/>
      <c r="BQ829" s="98"/>
      <c r="BR829" s="98"/>
      <c r="BS829" s="98"/>
      <c r="BT829" s="98"/>
      <c r="BU829" s="98"/>
      <c r="BV829" s="98"/>
      <c r="BW829" s="98"/>
      <c r="BX829" s="98"/>
      <c r="BY829" s="98"/>
      <c r="BZ829" s="98"/>
      <c r="DA829" s="177"/>
      <c r="EH829" s="19"/>
      <c r="EI829" s="19"/>
      <c r="EJ829" s="19"/>
      <c r="EK829" s="19"/>
      <c r="EL829" s="19"/>
      <c r="EM829" s="98"/>
      <c r="EN829" s="98"/>
      <c r="EO829" s="98"/>
      <c r="EP829" s="98"/>
      <c r="EQ829" s="98"/>
      <c r="ER829" s="98"/>
      <c r="ES829" s="98"/>
      <c r="ET829" s="98"/>
      <c r="EU829" s="98"/>
      <c r="EV829" s="98"/>
      <c r="EW829" s="98"/>
      <c r="EX829" s="98"/>
      <c r="EY829" s="98"/>
      <c r="EZ829" s="178"/>
    </row>
    <row r="830" spans="60:156">
      <c r="BH830" s="19"/>
      <c r="BI830" s="19"/>
      <c r="BJ830" s="19"/>
      <c r="BK830" s="19"/>
      <c r="BL830" s="19"/>
      <c r="BM830" s="98"/>
      <c r="BN830" s="98"/>
      <c r="BO830" s="98"/>
      <c r="BP830" s="98"/>
      <c r="BQ830" s="98"/>
      <c r="BR830" s="98"/>
      <c r="BS830" s="98"/>
      <c r="BT830" s="98"/>
      <c r="BU830" s="98"/>
      <c r="BV830" s="98"/>
      <c r="BW830" s="98"/>
      <c r="BX830" s="98"/>
      <c r="BY830" s="98"/>
      <c r="BZ830" s="98"/>
      <c r="DA830" s="177"/>
      <c r="EH830" s="19"/>
      <c r="EI830" s="19"/>
      <c r="EJ830" s="19"/>
      <c r="EK830" s="19"/>
      <c r="EL830" s="19"/>
      <c r="EM830" s="98"/>
      <c r="EN830" s="98"/>
      <c r="EO830" s="98"/>
      <c r="EP830" s="98"/>
      <c r="EQ830" s="98"/>
      <c r="ER830" s="98"/>
      <c r="ES830" s="98"/>
      <c r="ET830" s="98"/>
      <c r="EU830" s="98"/>
      <c r="EV830" s="98"/>
      <c r="EW830" s="98"/>
      <c r="EX830" s="98"/>
      <c r="EY830" s="98"/>
      <c r="EZ830" s="178"/>
    </row>
    <row r="831" spans="60:156">
      <c r="BH831" s="19"/>
      <c r="BI831" s="19"/>
      <c r="BJ831" s="19"/>
      <c r="BK831" s="19"/>
      <c r="BL831" s="19"/>
      <c r="BM831" s="98"/>
      <c r="BN831" s="98"/>
      <c r="BO831" s="98"/>
      <c r="BP831" s="98"/>
      <c r="BQ831" s="98"/>
      <c r="BR831" s="98"/>
      <c r="BS831" s="98"/>
      <c r="BT831" s="98"/>
      <c r="BU831" s="98"/>
      <c r="BV831" s="98"/>
      <c r="BW831" s="98"/>
      <c r="BX831" s="98"/>
      <c r="BY831" s="98"/>
      <c r="BZ831" s="98"/>
      <c r="DA831" s="177"/>
      <c r="EH831" s="19"/>
      <c r="EI831" s="19"/>
      <c r="EJ831" s="19"/>
      <c r="EK831" s="19"/>
      <c r="EL831" s="19"/>
      <c r="EM831" s="98"/>
      <c r="EN831" s="98"/>
      <c r="EO831" s="98"/>
      <c r="EP831" s="98"/>
      <c r="EQ831" s="98"/>
      <c r="ER831" s="98"/>
      <c r="ES831" s="98"/>
      <c r="ET831" s="98"/>
      <c r="EU831" s="98"/>
      <c r="EV831" s="98"/>
      <c r="EW831" s="98"/>
      <c r="EX831" s="98"/>
      <c r="EY831" s="98"/>
      <c r="EZ831" s="178"/>
    </row>
    <row r="832" spans="60:156">
      <c r="BH832" s="19"/>
      <c r="BI832" s="19"/>
      <c r="BJ832" s="19"/>
      <c r="BK832" s="19"/>
      <c r="BL832" s="19"/>
      <c r="BM832" s="98"/>
      <c r="BN832" s="98"/>
      <c r="BO832" s="98"/>
      <c r="BP832" s="98"/>
      <c r="BQ832" s="98"/>
      <c r="BR832" s="98"/>
      <c r="BS832" s="98"/>
      <c r="BT832" s="98"/>
      <c r="BU832" s="98"/>
      <c r="BV832" s="98"/>
      <c r="BW832" s="98"/>
      <c r="BX832" s="98"/>
      <c r="BY832" s="98"/>
      <c r="BZ832" s="98"/>
      <c r="DA832" s="177"/>
      <c r="EH832" s="19"/>
      <c r="EI832" s="19"/>
      <c r="EJ832" s="19"/>
      <c r="EK832" s="19"/>
      <c r="EL832" s="19"/>
      <c r="EM832" s="98"/>
      <c r="EN832" s="98"/>
      <c r="EO832" s="98"/>
      <c r="EP832" s="98"/>
      <c r="EQ832" s="98"/>
      <c r="ER832" s="98"/>
      <c r="ES832" s="98"/>
      <c r="ET832" s="98"/>
      <c r="EU832" s="98"/>
      <c r="EV832" s="98"/>
      <c r="EW832" s="98"/>
      <c r="EX832" s="98"/>
      <c r="EY832" s="98"/>
      <c r="EZ832" s="178"/>
    </row>
    <row r="833" spans="60:156">
      <c r="BH833" s="19"/>
      <c r="BI833" s="19"/>
      <c r="BJ833" s="19"/>
      <c r="BK833" s="19"/>
      <c r="BL833" s="19"/>
      <c r="BM833" s="98"/>
      <c r="BN833" s="98"/>
      <c r="BO833" s="98"/>
      <c r="BP833" s="98"/>
      <c r="BQ833" s="98"/>
      <c r="BR833" s="98"/>
      <c r="BS833" s="98"/>
      <c r="BT833" s="98"/>
      <c r="BU833" s="98"/>
      <c r="BV833" s="98"/>
      <c r="BW833" s="98"/>
      <c r="BX833" s="98"/>
      <c r="BY833" s="98"/>
      <c r="BZ833" s="98"/>
      <c r="DA833" s="177"/>
      <c r="EH833" s="19"/>
      <c r="EI833" s="19"/>
      <c r="EJ833" s="19"/>
      <c r="EK833" s="19"/>
      <c r="EL833" s="19"/>
      <c r="EM833" s="98"/>
      <c r="EN833" s="98"/>
      <c r="EO833" s="98"/>
      <c r="EP833" s="98"/>
      <c r="EQ833" s="98"/>
      <c r="ER833" s="98"/>
      <c r="ES833" s="98"/>
      <c r="ET833" s="98"/>
      <c r="EU833" s="98"/>
      <c r="EV833" s="98"/>
      <c r="EW833" s="98"/>
      <c r="EX833" s="98"/>
      <c r="EY833" s="98"/>
      <c r="EZ833" s="178"/>
    </row>
    <row r="834" spans="60:156">
      <c r="BH834" s="19"/>
      <c r="BI834" s="19"/>
      <c r="BJ834" s="19"/>
      <c r="BK834" s="19"/>
      <c r="BL834" s="19"/>
      <c r="BM834" s="98"/>
      <c r="BN834" s="98"/>
      <c r="BO834" s="98"/>
      <c r="BP834" s="98"/>
      <c r="BQ834" s="98"/>
      <c r="BR834" s="98"/>
      <c r="BS834" s="98"/>
      <c r="BT834" s="98"/>
      <c r="BU834" s="98"/>
      <c r="BV834" s="98"/>
      <c r="BW834" s="98"/>
      <c r="BX834" s="98"/>
      <c r="BY834" s="98"/>
      <c r="BZ834" s="98"/>
      <c r="DA834" s="177"/>
      <c r="EH834" s="19"/>
      <c r="EI834" s="19"/>
      <c r="EJ834" s="19"/>
      <c r="EK834" s="19"/>
      <c r="EL834" s="19"/>
      <c r="EM834" s="98"/>
      <c r="EN834" s="98"/>
      <c r="EO834" s="98"/>
      <c r="EP834" s="98"/>
      <c r="EQ834" s="98"/>
      <c r="ER834" s="98"/>
      <c r="ES834" s="98"/>
      <c r="ET834" s="98"/>
      <c r="EU834" s="98"/>
      <c r="EV834" s="98"/>
      <c r="EW834" s="98"/>
      <c r="EX834" s="98"/>
      <c r="EY834" s="98"/>
      <c r="EZ834" s="178"/>
    </row>
    <row r="835" spans="60:156">
      <c r="BH835" s="19"/>
      <c r="BI835" s="19"/>
      <c r="BJ835" s="19"/>
      <c r="BK835" s="19"/>
      <c r="BL835" s="19"/>
      <c r="BM835" s="98"/>
      <c r="BN835" s="98"/>
      <c r="BO835" s="98"/>
      <c r="BP835" s="98"/>
      <c r="BQ835" s="98"/>
      <c r="BR835" s="98"/>
      <c r="BS835" s="98"/>
      <c r="BT835" s="98"/>
      <c r="BU835" s="98"/>
      <c r="BV835" s="98"/>
      <c r="BW835" s="98"/>
      <c r="BX835" s="98"/>
      <c r="BY835" s="98"/>
      <c r="BZ835" s="98"/>
      <c r="DA835" s="177"/>
      <c r="EH835" s="19"/>
      <c r="EI835" s="19"/>
      <c r="EJ835" s="19"/>
      <c r="EK835" s="19"/>
      <c r="EL835" s="19"/>
      <c r="EM835" s="98"/>
      <c r="EN835" s="98"/>
      <c r="EO835" s="98"/>
      <c r="EP835" s="98"/>
      <c r="EQ835" s="98"/>
      <c r="ER835" s="98"/>
      <c r="ES835" s="98"/>
      <c r="ET835" s="98"/>
      <c r="EU835" s="98"/>
      <c r="EV835" s="98"/>
      <c r="EW835" s="98"/>
      <c r="EX835" s="98"/>
      <c r="EY835" s="98"/>
      <c r="EZ835" s="178"/>
    </row>
    <row r="836" spans="60:156">
      <c r="BH836" s="19"/>
      <c r="BI836" s="19"/>
      <c r="BJ836" s="19"/>
      <c r="BK836" s="19"/>
      <c r="BL836" s="19"/>
      <c r="BM836" s="98"/>
      <c r="BN836" s="98"/>
      <c r="BO836" s="98"/>
      <c r="BP836" s="98"/>
      <c r="BQ836" s="98"/>
      <c r="BR836" s="98"/>
      <c r="BS836" s="98"/>
      <c r="BT836" s="98"/>
      <c r="BU836" s="98"/>
      <c r="BV836" s="98"/>
      <c r="BW836" s="98"/>
      <c r="BX836" s="98"/>
      <c r="BY836" s="98"/>
      <c r="BZ836" s="98"/>
      <c r="DA836" s="177"/>
      <c r="EH836" s="19"/>
      <c r="EI836" s="19"/>
      <c r="EJ836" s="19"/>
      <c r="EK836" s="19"/>
      <c r="EL836" s="19"/>
      <c r="EM836" s="98"/>
      <c r="EN836" s="98"/>
      <c r="EO836" s="98"/>
      <c r="EP836" s="98"/>
      <c r="EQ836" s="98"/>
      <c r="ER836" s="98"/>
      <c r="ES836" s="98"/>
      <c r="ET836" s="98"/>
      <c r="EU836" s="98"/>
      <c r="EV836" s="98"/>
      <c r="EW836" s="98"/>
      <c r="EX836" s="98"/>
      <c r="EY836" s="98"/>
      <c r="EZ836" s="178"/>
    </row>
    <row r="837" spans="60:156">
      <c r="BH837" s="19"/>
      <c r="BI837" s="19"/>
      <c r="BJ837" s="19"/>
      <c r="BK837" s="19"/>
      <c r="BL837" s="19"/>
      <c r="BM837" s="98"/>
      <c r="BN837" s="98"/>
      <c r="BO837" s="98"/>
      <c r="BP837" s="98"/>
      <c r="BQ837" s="98"/>
      <c r="BR837" s="98"/>
      <c r="BS837" s="98"/>
      <c r="BT837" s="98"/>
      <c r="BU837" s="98"/>
      <c r="BV837" s="98"/>
      <c r="BW837" s="98"/>
      <c r="BX837" s="98"/>
      <c r="BY837" s="98"/>
      <c r="BZ837" s="98"/>
      <c r="DA837" s="177"/>
      <c r="EH837" s="19"/>
      <c r="EI837" s="19"/>
      <c r="EJ837" s="19"/>
      <c r="EK837" s="19"/>
      <c r="EL837" s="19"/>
      <c r="EM837" s="98"/>
      <c r="EN837" s="98"/>
      <c r="EO837" s="98"/>
      <c r="EP837" s="98"/>
      <c r="EQ837" s="98"/>
      <c r="ER837" s="98"/>
      <c r="ES837" s="98"/>
      <c r="ET837" s="98"/>
      <c r="EU837" s="98"/>
      <c r="EV837" s="98"/>
      <c r="EW837" s="98"/>
      <c r="EX837" s="98"/>
      <c r="EY837" s="98"/>
      <c r="EZ837" s="178"/>
    </row>
    <row r="838" spans="60:156">
      <c r="BH838" s="19"/>
      <c r="BI838" s="19"/>
      <c r="BJ838" s="19"/>
      <c r="BK838" s="19"/>
      <c r="BL838" s="19"/>
      <c r="BM838" s="98"/>
      <c r="BN838" s="98"/>
      <c r="BO838" s="98"/>
      <c r="BP838" s="98"/>
      <c r="BQ838" s="98"/>
      <c r="BR838" s="98"/>
      <c r="BS838" s="98"/>
      <c r="BT838" s="98"/>
      <c r="BU838" s="98"/>
      <c r="BV838" s="98"/>
      <c r="BW838" s="98"/>
      <c r="BX838" s="98"/>
      <c r="BY838" s="98"/>
      <c r="BZ838" s="98"/>
      <c r="DA838" s="177"/>
      <c r="EH838" s="19"/>
      <c r="EI838" s="19"/>
      <c r="EJ838" s="19"/>
      <c r="EK838" s="19"/>
      <c r="EL838" s="19"/>
      <c r="EM838" s="98"/>
      <c r="EN838" s="98"/>
      <c r="EO838" s="98"/>
      <c r="EP838" s="98"/>
      <c r="EQ838" s="98"/>
      <c r="ER838" s="98"/>
      <c r="ES838" s="98"/>
      <c r="ET838" s="98"/>
      <c r="EU838" s="98"/>
      <c r="EV838" s="98"/>
      <c r="EW838" s="98"/>
      <c r="EX838" s="98"/>
      <c r="EY838" s="98"/>
      <c r="EZ838" s="178"/>
    </row>
    <row r="839" spans="60:156">
      <c r="BH839" s="19"/>
      <c r="BI839" s="19"/>
      <c r="BJ839" s="19"/>
      <c r="BK839" s="19"/>
      <c r="BL839" s="19"/>
      <c r="BM839" s="98"/>
      <c r="BN839" s="98"/>
      <c r="BO839" s="98"/>
      <c r="BP839" s="98"/>
      <c r="BQ839" s="98"/>
      <c r="BR839" s="98"/>
      <c r="BS839" s="98"/>
      <c r="BT839" s="98"/>
      <c r="BU839" s="98"/>
      <c r="BV839" s="98"/>
      <c r="BW839" s="98"/>
      <c r="BX839" s="98"/>
      <c r="BY839" s="98"/>
      <c r="BZ839" s="98"/>
      <c r="DA839" s="177"/>
      <c r="EH839" s="19"/>
      <c r="EI839" s="19"/>
      <c r="EJ839" s="19"/>
      <c r="EK839" s="19"/>
      <c r="EL839" s="19"/>
      <c r="EM839" s="98"/>
      <c r="EN839" s="98"/>
      <c r="EO839" s="98"/>
      <c r="EP839" s="98"/>
      <c r="EQ839" s="98"/>
      <c r="ER839" s="98"/>
      <c r="ES839" s="98"/>
      <c r="ET839" s="98"/>
      <c r="EU839" s="98"/>
      <c r="EV839" s="98"/>
      <c r="EW839" s="98"/>
      <c r="EX839" s="98"/>
      <c r="EY839" s="98"/>
      <c r="EZ839" s="178"/>
    </row>
    <row r="840" spans="60:156">
      <c r="BH840" s="19"/>
      <c r="BI840" s="19"/>
      <c r="BJ840" s="19"/>
      <c r="BK840" s="19"/>
      <c r="BL840" s="19"/>
      <c r="BM840" s="98"/>
      <c r="BN840" s="98"/>
      <c r="BO840" s="98"/>
      <c r="BP840" s="98"/>
      <c r="BQ840" s="98"/>
      <c r="BR840" s="98"/>
      <c r="BS840" s="98"/>
      <c r="BT840" s="98"/>
      <c r="BU840" s="98"/>
      <c r="BV840" s="98"/>
      <c r="BW840" s="98"/>
      <c r="BX840" s="98"/>
      <c r="BY840" s="98"/>
      <c r="BZ840" s="98"/>
      <c r="DA840" s="177"/>
      <c r="EH840" s="19"/>
      <c r="EI840" s="19"/>
      <c r="EJ840" s="19"/>
      <c r="EK840" s="19"/>
      <c r="EL840" s="19"/>
      <c r="EM840" s="98"/>
      <c r="EN840" s="98"/>
      <c r="EO840" s="98"/>
      <c r="EP840" s="98"/>
      <c r="EQ840" s="98"/>
      <c r="ER840" s="98"/>
      <c r="ES840" s="98"/>
      <c r="ET840" s="98"/>
      <c r="EU840" s="98"/>
      <c r="EV840" s="98"/>
      <c r="EW840" s="98"/>
      <c r="EX840" s="98"/>
      <c r="EY840" s="98"/>
      <c r="EZ840" s="178"/>
    </row>
    <row r="841" spans="60:156">
      <c r="BH841" s="19"/>
      <c r="BI841" s="19"/>
      <c r="BJ841" s="19"/>
      <c r="BK841" s="19"/>
      <c r="BL841" s="19"/>
      <c r="BM841" s="98"/>
      <c r="BN841" s="98"/>
      <c r="BO841" s="98"/>
      <c r="BP841" s="98"/>
      <c r="BQ841" s="98"/>
      <c r="BR841" s="98"/>
      <c r="BS841" s="98"/>
      <c r="BT841" s="98"/>
      <c r="BU841" s="98"/>
      <c r="BV841" s="98"/>
      <c r="BW841" s="98"/>
      <c r="BX841" s="98"/>
      <c r="BY841" s="98"/>
      <c r="BZ841" s="98"/>
      <c r="DA841" s="177"/>
      <c r="EH841" s="19"/>
      <c r="EI841" s="19"/>
      <c r="EJ841" s="19"/>
      <c r="EK841" s="19"/>
      <c r="EL841" s="19"/>
      <c r="EM841" s="98"/>
      <c r="EN841" s="98"/>
      <c r="EO841" s="98"/>
      <c r="EP841" s="98"/>
      <c r="EQ841" s="98"/>
      <c r="ER841" s="98"/>
      <c r="ES841" s="98"/>
      <c r="ET841" s="98"/>
      <c r="EU841" s="98"/>
      <c r="EV841" s="98"/>
      <c r="EW841" s="98"/>
      <c r="EX841" s="98"/>
      <c r="EY841" s="98"/>
      <c r="EZ841" s="178"/>
    </row>
    <row r="842" spans="60:156">
      <c r="BH842" s="19"/>
      <c r="BI842" s="19"/>
      <c r="BJ842" s="19"/>
      <c r="BK842" s="19"/>
      <c r="BL842" s="19"/>
      <c r="BM842" s="98"/>
      <c r="BN842" s="98"/>
      <c r="BO842" s="98"/>
      <c r="BP842" s="98"/>
      <c r="BQ842" s="98"/>
      <c r="BR842" s="98"/>
      <c r="BS842" s="98"/>
      <c r="BT842" s="98"/>
      <c r="BU842" s="98"/>
      <c r="BV842" s="98"/>
      <c r="BW842" s="98"/>
      <c r="BX842" s="98"/>
      <c r="BY842" s="98"/>
      <c r="BZ842" s="98"/>
      <c r="DA842" s="177"/>
      <c r="EH842" s="19"/>
      <c r="EI842" s="19"/>
      <c r="EJ842" s="19"/>
      <c r="EK842" s="19"/>
      <c r="EL842" s="19"/>
      <c r="EM842" s="98"/>
      <c r="EN842" s="98"/>
      <c r="EO842" s="98"/>
      <c r="EP842" s="98"/>
      <c r="EQ842" s="98"/>
      <c r="ER842" s="98"/>
      <c r="ES842" s="98"/>
      <c r="ET842" s="98"/>
      <c r="EU842" s="98"/>
      <c r="EV842" s="98"/>
      <c r="EW842" s="98"/>
      <c r="EX842" s="98"/>
      <c r="EY842" s="98"/>
      <c r="EZ842" s="178"/>
    </row>
    <row r="843" spans="60:156">
      <c r="BH843" s="19"/>
      <c r="BI843" s="19"/>
      <c r="BJ843" s="19"/>
      <c r="BK843" s="19"/>
      <c r="BL843" s="19"/>
      <c r="BM843" s="98"/>
      <c r="BN843" s="98"/>
      <c r="BO843" s="98"/>
      <c r="BP843" s="98"/>
      <c r="BQ843" s="98"/>
      <c r="BR843" s="98"/>
      <c r="BS843" s="98"/>
      <c r="BT843" s="98"/>
      <c r="BU843" s="98"/>
      <c r="BV843" s="98"/>
      <c r="BW843" s="98"/>
      <c r="BX843" s="98"/>
      <c r="BY843" s="98"/>
      <c r="BZ843" s="98"/>
      <c r="DA843" s="177"/>
      <c r="EH843" s="19"/>
      <c r="EI843" s="19"/>
      <c r="EJ843" s="19"/>
      <c r="EK843" s="19"/>
      <c r="EL843" s="19"/>
      <c r="EM843" s="98"/>
      <c r="EN843" s="98"/>
      <c r="EO843" s="98"/>
      <c r="EP843" s="98"/>
      <c r="EQ843" s="98"/>
      <c r="ER843" s="98"/>
      <c r="ES843" s="98"/>
      <c r="ET843" s="98"/>
      <c r="EU843" s="98"/>
      <c r="EV843" s="98"/>
      <c r="EW843" s="98"/>
      <c r="EX843" s="98"/>
      <c r="EY843" s="98"/>
      <c r="EZ843" s="178"/>
    </row>
    <row r="844" spans="60:156">
      <c r="BH844" s="19"/>
      <c r="BI844" s="19"/>
      <c r="BJ844" s="19"/>
      <c r="BK844" s="19"/>
      <c r="BL844" s="19"/>
      <c r="BM844" s="98"/>
      <c r="BN844" s="98"/>
      <c r="BO844" s="98"/>
      <c r="BP844" s="98"/>
      <c r="BQ844" s="98"/>
      <c r="BR844" s="98"/>
      <c r="BS844" s="98"/>
      <c r="BT844" s="98"/>
      <c r="BU844" s="98"/>
      <c r="BV844" s="98"/>
      <c r="BW844" s="98"/>
      <c r="BX844" s="98"/>
      <c r="BY844" s="98"/>
      <c r="BZ844" s="98"/>
      <c r="DA844" s="177"/>
      <c r="EH844" s="19"/>
      <c r="EI844" s="19"/>
      <c r="EJ844" s="19"/>
      <c r="EK844" s="19"/>
      <c r="EL844" s="19"/>
      <c r="EM844" s="98"/>
      <c r="EN844" s="98"/>
      <c r="EO844" s="98"/>
      <c r="EP844" s="98"/>
      <c r="EQ844" s="98"/>
      <c r="ER844" s="98"/>
      <c r="ES844" s="98"/>
      <c r="ET844" s="98"/>
      <c r="EU844" s="98"/>
      <c r="EV844" s="98"/>
      <c r="EW844" s="98"/>
      <c r="EX844" s="98"/>
      <c r="EY844" s="98"/>
      <c r="EZ844" s="178"/>
    </row>
    <row r="845" spans="60:156">
      <c r="BH845" s="19"/>
      <c r="BI845" s="19"/>
      <c r="BJ845" s="19"/>
      <c r="BK845" s="19"/>
      <c r="BL845" s="19"/>
      <c r="BM845" s="98"/>
      <c r="BN845" s="98"/>
      <c r="BO845" s="98"/>
      <c r="BP845" s="98"/>
      <c r="BQ845" s="98"/>
      <c r="BR845" s="98"/>
      <c r="BS845" s="98"/>
      <c r="BT845" s="98"/>
      <c r="BU845" s="98"/>
      <c r="BV845" s="98"/>
      <c r="BW845" s="98"/>
      <c r="BX845" s="98"/>
      <c r="BY845" s="98"/>
      <c r="BZ845" s="98"/>
      <c r="DA845" s="177"/>
      <c r="EH845" s="19"/>
      <c r="EI845" s="19"/>
      <c r="EJ845" s="19"/>
      <c r="EK845" s="19"/>
      <c r="EL845" s="19"/>
      <c r="EM845" s="98"/>
      <c r="EN845" s="98"/>
      <c r="EO845" s="98"/>
      <c r="EP845" s="98"/>
      <c r="EQ845" s="98"/>
      <c r="ER845" s="98"/>
      <c r="ES845" s="98"/>
      <c r="ET845" s="98"/>
      <c r="EU845" s="98"/>
      <c r="EV845" s="98"/>
      <c r="EW845" s="98"/>
      <c r="EX845" s="98"/>
      <c r="EY845" s="98"/>
      <c r="EZ845" s="178"/>
    </row>
    <row r="846" spans="60:156">
      <c r="BH846" s="19"/>
      <c r="BI846" s="19"/>
      <c r="BJ846" s="19"/>
      <c r="BK846" s="19"/>
      <c r="BL846" s="19"/>
      <c r="BM846" s="98"/>
      <c r="BN846" s="98"/>
      <c r="BO846" s="98"/>
      <c r="BP846" s="98"/>
      <c r="BQ846" s="98"/>
      <c r="BR846" s="98"/>
      <c r="BS846" s="98"/>
      <c r="BT846" s="98"/>
      <c r="BU846" s="98"/>
      <c r="BV846" s="98"/>
      <c r="BW846" s="98"/>
      <c r="BX846" s="98"/>
      <c r="BY846" s="98"/>
      <c r="BZ846" s="98"/>
      <c r="DA846" s="177"/>
      <c r="EH846" s="19"/>
      <c r="EI846" s="19"/>
      <c r="EJ846" s="19"/>
      <c r="EK846" s="19"/>
      <c r="EL846" s="19"/>
      <c r="EM846" s="98"/>
      <c r="EN846" s="98"/>
      <c r="EO846" s="98"/>
      <c r="EP846" s="98"/>
      <c r="EQ846" s="98"/>
      <c r="ER846" s="98"/>
      <c r="ES846" s="98"/>
      <c r="ET846" s="98"/>
      <c r="EU846" s="98"/>
      <c r="EV846" s="98"/>
      <c r="EW846" s="98"/>
      <c r="EX846" s="98"/>
      <c r="EY846" s="98"/>
      <c r="EZ846" s="178"/>
    </row>
    <row r="847" spans="60:156">
      <c r="BH847" s="19"/>
      <c r="BI847" s="19"/>
      <c r="BJ847" s="19"/>
      <c r="BK847" s="19"/>
      <c r="BL847" s="19"/>
      <c r="BM847" s="98"/>
      <c r="BN847" s="98"/>
      <c r="BO847" s="98"/>
      <c r="BP847" s="98"/>
      <c r="BQ847" s="98"/>
      <c r="BR847" s="98"/>
      <c r="BS847" s="98"/>
      <c r="BT847" s="98"/>
      <c r="BU847" s="98"/>
      <c r="BV847" s="98"/>
      <c r="BW847" s="98"/>
      <c r="BX847" s="98"/>
      <c r="BY847" s="98"/>
      <c r="BZ847" s="98"/>
      <c r="DA847" s="177"/>
      <c r="EH847" s="19"/>
      <c r="EI847" s="19"/>
      <c r="EJ847" s="19"/>
      <c r="EK847" s="19"/>
      <c r="EL847" s="19"/>
      <c r="EM847" s="98"/>
      <c r="EN847" s="98"/>
      <c r="EO847" s="98"/>
      <c r="EP847" s="98"/>
      <c r="EQ847" s="98"/>
      <c r="ER847" s="98"/>
      <c r="ES847" s="98"/>
      <c r="ET847" s="98"/>
      <c r="EU847" s="98"/>
      <c r="EV847" s="98"/>
      <c r="EW847" s="98"/>
      <c r="EX847" s="98"/>
      <c r="EY847" s="98"/>
      <c r="EZ847" s="178"/>
    </row>
    <row r="848" spans="60:156">
      <c r="BH848" s="19"/>
      <c r="BI848" s="19"/>
      <c r="BJ848" s="19"/>
      <c r="BK848" s="19"/>
      <c r="BL848" s="19"/>
      <c r="BM848" s="98"/>
      <c r="BN848" s="98"/>
      <c r="BO848" s="98"/>
      <c r="BP848" s="98"/>
      <c r="BQ848" s="98"/>
      <c r="BR848" s="98"/>
      <c r="BS848" s="98"/>
      <c r="BT848" s="98"/>
      <c r="BU848" s="98"/>
      <c r="BV848" s="98"/>
      <c r="BW848" s="98"/>
      <c r="BX848" s="98"/>
      <c r="BY848" s="98"/>
      <c r="BZ848" s="98"/>
      <c r="DA848" s="177"/>
      <c r="EH848" s="19"/>
      <c r="EI848" s="19"/>
      <c r="EJ848" s="19"/>
      <c r="EK848" s="19"/>
      <c r="EL848" s="19"/>
      <c r="EM848" s="98"/>
      <c r="EN848" s="98"/>
      <c r="EO848" s="98"/>
      <c r="EP848" s="98"/>
      <c r="EQ848" s="98"/>
      <c r="ER848" s="98"/>
      <c r="ES848" s="98"/>
      <c r="ET848" s="98"/>
      <c r="EU848" s="98"/>
      <c r="EV848" s="98"/>
      <c r="EW848" s="98"/>
      <c r="EX848" s="98"/>
      <c r="EY848" s="98"/>
      <c r="EZ848" s="178"/>
    </row>
    <row r="849" spans="60:156">
      <c r="BH849" s="19"/>
      <c r="BI849" s="19"/>
      <c r="BJ849" s="19"/>
      <c r="BK849" s="19"/>
      <c r="BL849" s="19"/>
      <c r="BM849" s="98"/>
      <c r="BN849" s="98"/>
      <c r="BO849" s="98"/>
      <c r="BP849" s="98"/>
      <c r="BQ849" s="98"/>
      <c r="BR849" s="98"/>
      <c r="BS849" s="98"/>
      <c r="BT849" s="98"/>
      <c r="BU849" s="98"/>
      <c r="BV849" s="98"/>
      <c r="BW849" s="98"/>
      <c r="BX849" s="98"/>
      <c r="BY849" s="98"/>
      <c r="BZ849" s="98"/>
      <c r="DA849" s="177"/>
      <c r="EH849" s="19"/>
      <c r="EI849" s="19"/>
      <c r="EJ849" s="19"/>
      <c r="EK849" s="19"/>
      <c r="EL849" s="19"/>
      <c r="EM849" s="98"/>
      <c r="EN849" s="98"/>
      <c r="EO849" s="98"/>
      <c r="EP849" s="98"/>
      <c r="EQ849" s="98"/>
      <c r="ER849" s="98"/>
      <c r="ES849" s="98"/>
      <c r="ET849" s="98"/>
      <c r="EU849" s="98"/>
      <c r="EV849" s="98"/>
      <c r="EW849" s="98"/>
      <c r="EX849" s="98"/>
      <c r="EY849" s="98"/>
      <c r="EZ849" s="178"/>
    </row>
    <row r="850" spans="60:156">
      <c r="BH850" s="19"/>
      <c r="BI850" s="19"/>
      <c r="BJ850" s="19"/>
      <c r="BK850" s="19"/>
      <c r="BL850" s="19"/>
      <c r="BM850" s="98"/>
      <c r="BN850" s="98"/>
      <c r="BO850" s="98"/>
      <c r="BP850" s="98"/>
      <c r="BQ850" s="98"/>
      <c r="BR850" s="98"/>
      <c r="BS850" s="98"/>
      <c r="BT850" s="98"/>
      <c r="BU850" s="98"/>
      <c r="BV850" s="98"/>
      <c r="BW850" s="98"/>
      <c r="BX850" s="98"/>
      <c r="BY850" s="98"/>
      <c r="BZ850" s="98"/>
      <c r="DA850" s="177"/>
      <c r="EH850" s="19"/>
      <c r="EI850" s="19"/>
      <c r="EJ850" s="19"/>
      <c r="EK850" s="19"/>
      <c r="EL850" s="19"/>
      <c r="EM850" s="98"/>
      <c r="EN850" s="98"/>
      <c r="EO850" s="98"/>
      <c r="EP850" s="98"/>
      <c r="EQ850" s="98"/>
      <c r="ER850" s="98"/>
      <c r="ES850" s="98"/>
      <c r="ET850" s="98"/>
      <c r="EU850" s="98"/>
      <c r="EV850" s="98"/>
      <c r="EW850" s="98"/>
      <c r="EX850" s="98"/>
      <c r="EY850" s="98"/>
      <c r="EZ850" s="178"/>
    </row>
    <row r="851" spans="60:156">
      <c r="BH851" s="19"/>
      <c r="BI851" s="19"/>
      <c r="BJ851" s="19"/>
      <c r="BK851" s="19"/>
      <c r="BL851" s="19"/>
      <c r="BM851" s="98"/>
      <c r="BN851" s="98"/>
      <c r="BO851" s="98"/>
      <c r="BP851" s="98"/>
      <c r="BQ851" s="98"/>
      <c r="BR851" s="98"/>
      <c r="BS851" s="98"/>
      <c r="BT851" s="98"/>
      <c r="BU851" s="98"/>
      <c r="BV851" s="98"/>
      <c r="BW851" s="98"/>
      <c r="BX851" s="98"/>
      <c r="BY851" s="98"/>
      <c r="BZ851" s="98"/>
      <c r="DA851" s="177"/>
      <c r="EH851" s="19"/>
      <c r="EI851" s="19"/>
      <c r="EJ851" s="19"/>
      <c r="EK851" s="19"/>
      <c r="EL851" s="19"/>
      <c r="EM851" s="98"/>
      <c r="EN851" s="98"/>
      <c r="EO851" s="98"/>
      <c r="EP851" s="98"/>
      <c r="EQ851" s="98"/>
      <c r="ER851" s="98"/>
      <c r="ES851" s="98"/>
      <c r="ET851" s="98"/>
      <c r="EU851" s="98"/>
      <c r="EV851" s="98"/>
      <c r="EW851" s="98"/>
      <c r="EX851" s="98"/>
      <c r="EY851" s="98"/>
      <c r="EZ851" s="178"/>
    </row>
    <row r="852" spans="60:156">
      <c r="BH852" s="19"/>
      <c r="BI852" s="19"/>
      <c r="BJ852" s="19"/>
      <c r="BK852" s="19"/>
      <c r="BL852" s="19"/>
      <c r="BM852" s="98"/>
      <c r="BN852" s="98"/>
      <c r="BO852" s="98"/>
      <c r="BP852" s="98"/>
      <c r="BQ852" s="98"/>
      <c r="BR852" s="98"/>
      <c r="BS852" s="98"/>
      <c r="BT852" s="98"/>
      <c r="BU852" s="98"/>
      <c r="BV852" s="98"/>
      <c r="BW852" s="98"/>
      <c r="BX852" s="98"/>
      <c r="BY852" s="98"/>
      <c r="BZ852" s="98"/>
      <c r="DA852" s="177"/>
      <c r="EH852" s="19"/>
      <c r="EI852" s="19"/>
      <c r="EJ852" s="19"/>
      <c r="EK852" s="19"/>
      <c r="EL852" s="19"/>
      <c r="EM852" s="98"/>
      <c r="EN852" s="98"/>
      <c r="EO852" s="98"/>
      <c r="EP852" s="98"/>
      <c r="EQ852" s="98"/>
      <c r="ER852" s="98"/>
      <c r="ES852" s="98"/>
      <c r="ET852" s="98"/>
      <c r="EU852" s="98"/>
      <c r="EV852" s="98"/>
      <c r="EW852" s="98"/>
      <c r="EX852" s="98"/>
      <c r="EY852" s="98"/>
      <c r="EZ852" s="178"/>
    </row>
    <row r="853" spans="60:156">
      <c r="BH853" s="19"/>
      <c r="BI853" s="19"/>
      <c r="BJ853" s="19"/>
      <c r="BK853" s="19"/>
      <c r="BL853" s="19"/>
      <c r="BM853" s="98"/>
      <c r="BN853" s="98"/>
      <c r="BO853" s="98"/>
      <c r="BP853" s="98"/>
      <c r="BQ853" s="98"/>
      <c r="BR853" s="98"/>
      <c r="BS853" s="98"/>
      <c r="BT853" s="98"/>
      <c r="BU853" s="98"/>
      <c r="BV853" s="98"/>
      <c r="BW853" s="98"/>
      <c r="BX853" s="98"/>
      <c r="BY853" s="98"/>
      <c r="BZ853" s="98"/>
      <c r="DA853" s="177"/>
      <c r="EH853" s="19"/>
      <c r="EI853" s="19"/>
      <c r="EJ853" s="19"/>
      <c r="EK853" s="19"/>
      <c r="EL853" s="19"/>
      <c r="EM853" s="98"/>
      <c r="EN853" s="98"/>
      <c r="EO853" s="98"/>
      <c r="EP853" s="98"/>
      <c r="EQ853" s="98"/>
      <c r="ER853" s="98"/>
      <c r="ES853" s="98"/>
      <c r="ET853" s="98"/>
      <c r="EU853" s="98"/>
      <c r="EV853" s="98"/>
      <c r="EW853" s="98"/>
      <c r="EX853" s="98"/>
      <c r="EY853" s="98"/>
      <c r="EZ853" s="178"/>
    </row>
    <row r="854" spans="60:156">
      <c r="BH854" s="19"/>
      <c r="BI854" s="19"/>
      <c r="BJ854" s="19"/>
      <c r="BK854" s="19"/>
      <c r="BL854" s="19"/>
      <c r="BM854" s="98"/>
      <c r="BN854" s="98"/>
      <c r="BO854" s="98"/>
      <c r="BP854" s="98"/>
      <c r="BQ854" s="98"/>
      <c r="BR854" s="98"/>
      <c r="BS854" s="98"/>
      <c r="BT854" s="98"/>
      <c r="BU854" s="98"/>
      <c r="BV854" s="98"/>
      <c r="BW854" s="98"/>
      <c r="BX854" s="98"/>
      <c r="BY854" s="98"/>
      <c r="BZ854" s="98"/>
      <c r="DA854" s="177"/>
      <c r="EH854" s="19"/>
      <c r="EI854" s="19"/>
      <c r="EJ854" s="19"/>
      <c r="EK854" s="19"/>
      <c r="EL854" s="19"/>
      <c r="EM854" s="98"/>
      <c r="EN854" s="98"/>
      <c r="EO854" s="98"/>
      <c r="EP854" s="98"/>
      <c r="EQ854" s="98"/>
      <c r="ER854" s="98"/>
      <c r="ES854" s="98"/>
      <c r="ET854" s="98"/>
      <c r="EU854" s="98"/>
      <c r="EV854" s="98"/>
      <c r="EW854" s="98"/>
      <c r="EX854" s="98"/>
      <c r="EY854" s="98"/>
      <c r="EZ854" s="178"/>
    </row>
    <row r="855" spans="60:156">
      <c r="BH855" s="19"/>
      <c r="BI855" s="19"/>
      <c r="BJ855" s="19"/>
      <c r="BK855" s="19"/>
      <c r="BL855" s="19"/>
      <c r="BM855" s="98"/>
      <c r="BN855" s="98"/>
      <c r="BO855" s="98"/>
      <c r="BP855" s="98"/>
      <c r="BQ855" s="98"/>
      <c r="BR855" s="98"/>
      <c r="BS855" s="98"/>
      <c r="BT855" s="98"/>
      <c r="BU855" s="98"/>
      <c r="BV855" s="98"/>
      <c r="BW855" s="98"/>
      <c r="BX855" s="98"/>
      <c r="BY855" s="98"/>
      <c r="BZ855" s="98"/>
      <c r="DA855" s="177"/>
      <c r="EH855" s="19"/>
      <c r="EI855" s="19"/>
      <c r="EJ855" s="19"/>
      <c r="EK855" s="19"/>
      <c r="EL855" s="19"/>
      <c r="EM855" s="98"/>
      <c r="EN855" s="98"/>
      <c r="EO855" s="98"/>
      <c r="EP855" s="98"/>
      <c r="EQ855" s="98"/>
      <c r="ER855" s="98"/>
      <c r="ES855" s="98"/>
      <c r="ET855" s="98"/>
      <c r="EU855" s="98"/>
      <c r="EV855" s="98"/>
      <c r="EW855" s="98"/>
      <c r="EX855" s="98"/>
      <c r="EY855" s="98"/>
      <c r="EZ855" s="178"/>
    </row>
    <row r="856" spans="60:156">
      <c r="BH856" s="19"/>
      <c r="BI856" s="19"/>
      <c r="BJ856" s="19"/>
      <c r="BK856" s="19"/>
      <c r="BL856" s="19"/>
      <c r="BM856" s="98"/>
      <c r="BN856" s="98"/>
      <c r="BO856" s="98"/>
      <c r="BP856" s="98"/>
      <c r="BQ856" s="98"/>
      <c r="BR856" s="98"/>
      <c r="BS856" s="98"/>
      <c r="BT856" s="98"/>
      <c r="BU856" s="98"/>
      <c r="BV856" s="98"/>
      <c r="BW856" s="98"/>
      <c r="BX856" s="98"/>
      <c r="BY856" s="98"/>
      <c r="BZ856" s="98"/>
      <c r="DA856" s="177"/>
      <c r="EH856" s="19"/>
      <c r="EI856" s="19"/>
      <c r="EJ856" s="19"/>
      <c r="EK856" s="19"/>
      <c r="EL856" s="19"/>
      <c r="EM856" s="98"/>
      <c r="EN856" s="98"/>
      <c r="EO856" s="98"/>
      <c r="EP856" s="98"/>
      <c r="EQ856" s="98"/>
      <c r="ER856" s="98"/>
      <c r="ES856" s="98"/>
      <c r="ET856" s="98"/>
      <c r="EU856" s="98"/>
      <c r="EV856" s="98"/>
      <c r="EW856" s="98"/>
      <c r="EX856" s="98"/>
      <c r="EY856" s="98"/>
      <c r="EZ856" s="178"/>
    </row>
    <row r="857" spans="60:156">
      <c r="BH857" s="19"/>
      <c r="BI857" s="19"/>
      <c r="BJ857" s="19"/>
      <c r="BK857" s="19"/>
      <c r="BL857" s="19"/>
      <c r="BM857" s="98"/>
      <c r="BN857" s="98"/>
      <c r="BO857" s="98"/>
      <c r="BP857" s="98"/>
      <c r="BQ857" s="98"/>
      <c r="BR857" s="98"/>
      <c r="BS857" s="98"/>
      <c r="BT857" s="98"/>
      <c r="BU857" s="98"/>
      <c r="BV857" s="98"/>
      <c r="BW857" s="98"/>
      <c r="BX857" s="98"/>
      <c r="BY857" s="98"/>
      <c r="BZ857" s="98"/>
      <c r="DA857" s="177"/>
      <c r="EH857" s="19"/>
      <c r="EI857" s="19"/>
      <c r="EJ857" s="19"/>
      <c r="EK857" s="19"/>
      <c r="EL857" s="19"/>
      <c r="EM857" s="98"/>
      <c r="EN857" s="98"/>
      <c r="EO857" s="98"/>
      <c r="EP857" s="98"/>
      <c r="EQ857" s="98"/>
      <c r="ER857" s="98"/>
      <c r="ES857" s="98"/>
      <c r="ET857" s="98"/>
      <c r="EU857" s="98"/>
      <c r="EV857" s="98"/>
      <c r="EW857" s="98"/>
      <c r="EX857" s="98"/>
      <c r="EY857" s="98"/>
      <c r="EZ857" s="178"/>
    </row>
    <row r="858" spans="60:156">
      <c r="BH858" s="19"/>
      <c r="BI858" s="19"/>
      <c r="BJ858" s="19"/>
      <c r="BK858" s="19"/>
      <c r="BL858" s="19"/>
      <c r="BM858" s="98"/>
      <c r="BN858" s="98"/>
      <c r="BO858" s="98"/>
      <c r="BP858" s="98"/>
      <c r="BQ858" s="98"/>
      <c r="BR858" s="98"/>
      <c r="BS858" s="98"/>
      <c r="BT858" s="98"/>
      <c r="BU858" s="98"/>
      <c r="BV858" s="98"/>
      <c r="BW858" s="98"/>
      <c r="BX858" s="98"/>
      <c r="BY858" s="98"/>
      <c r="BZ858" s="98"/>
      <c r="DA858" s="177"/>
      <c r="EH858" s="19"/>
      <c r="EI858" s="19"/>
      <c r="EJ858" s="19"/>
      <c r="EK858" s="19"/>
      <c r="EL858" s="19"/>
      <c r="EM858" s="98"/>
      <c r="EN858" s="98"/>
      <c r="EO858" s="98"/>
      <c r="EP858" s="98"/>
      <c r="EQ858" s="98"/>
      <c r="ER858" s="98"/>
      <c r="ES858" s="98"/>
      <c r="ET858" s="98"/>
      <c r="EU858" s="98"/>
      <c r="EV858" s="98"/>
      <c r="EW858" s="98"/>
      <c r="EX858" s="98"/>
      <c r="EY858" s="98"/>
      <c r="EZ858" s="178"/>
    </row>
    <row r="859" spans="60:156">
      <c r="BH859" s="19"/>
      <c r="BI859" s="19"/>
      <c r="BJ859" s="19"/>
      <c r="BK859" s="19"/>
      <c r="BL859" s="19"/>
      <c r="BM859" s="98"/>
      <c r="BN859" s="98"/>
      <c r="BO859" s="98"/>
      <c r="BP859" s="98"/>
      <c r="BQ859" s="98"/>
      <c r="BR859" s="98"/>
      <c r="BS859" s="98"/>
      <c r="BT859" s="98"/>
      <c r="BU859" s="98"/>
      <c r="BV859" s="98"/>
      <c r="BW859" s="98"/>
      <c r="BX859" s="98"/>
      <c r="BY859" s="98"/>
      <c r="BZ859" s="98"/>
      <c r="DA859" s="177"/>
      <c r="EH859" s="19"/>
      <c r="EI859" s="19"/>
      <c r="EJ859" s="19"/>
      <c r="EK859" s="19"/>
      <c r="EL859" s="19"/>
      <c r="EM859" s="98"/>
      <c r="EN859" s="98"/>
      <c r="EO859" s="98"/>
      <c r="EP859" s="98"/>
      <c r="EQ859" s="98"/>
      <c r="ER859" s="98"/>
      <c r="ES859" s="98"/>
      <c r="ET859" s="98"/>
      <c r="EU859" s="98"/>
      <c r="EV859" s="98"/>
      <c r="EW859" s="98"/>
      <c r="EX859" s="98"/>
      <c r="EY859" s="98"/>
      <c r="EZ859" s="178"/>
    </row>
    <row r="860" spans="60:156">
      <c r="BH860" s="19"/>
      <c r="BI860" s="19"/>
      <c r="BJ860" s="19"/>
      <c r="BK860" s="19"/>
      <c r="BL860" s="19"/>
      <c r="BM860" s="98"/>
      <c r="BN860" s="98"/>
      <c r="BO860" s="98"/>
      <c r="BP860" s="98"/>
      <c r="BQ860" s="98"/>
      <c r="BR860" s="98"/>
      <c r="BS860" s="98"/>
      <c r="BT860" s="98"/>
      <c r="BU860" s="98"/>
      <c r="BV860" s="98"/>
      <c r="BW860" s="98"/>
      <c r="BX860" s="98"/>
      <c r="BY860" s="98"/>
      <c r="BZ860" s="98"/>
      <c r="DA860" s="177"/>
      <c r="EH860" s="19"/>
      <c r="EI860" s="19"/>
      <c r="EJ860" s="19"/>
      <c r="EK860" s="19"/>
      <c r="EL860" s="19"/>
      <c r="EM860" s="98"/>
      <c r="EN860" s="98"/>
      <c r="EO860" s="98"/>
      <c r="EP860" s="98"/>
      <c r="EQ860" s="98"/>
      <c r="ER860" s="98"/>
      <c r="ES860" s="98"/>
      <c r="ET860" s="98"/>
      <c r="EU860" s="98"/>
      <c r="EV860" s="98"/>
      <c r="EW860" s="98"/>
      <c r="EX860" s="98"/>
      <c r="EY860" s="98"/>
      <c r="EZ860" s="178"/>
    </row>
    <row r="861" spans="60:156">
      <c r="BH861" s="19"/>
      <c r="BI861" s="19"/>
      <c r="BJ861" s="19"/>
      <c r="BK861" s="19"/>
      <c r="BL861" s="19"/>
      <c r="BM861" s="98"/>
      <c r="BN861" s="98"/>
      <c r="BO861" s="98"/>
      <c r="BP861" s="98"/>
      <c r="BQ861" s="98"/>
      <c r="BR861" s="98"/>
      <c r="BS861" s="98"/>
      <c r="BT861" s="98"/>
      <c r="BU861" s="98"/>
      <c r="BV861" s="98"/>
      <c r="BW861" s="98"/>
      <c r="BX861" s="98"/>
      <c r="BY861" s="98"/>
      <c r="BZ861" s="98"/>
      <c r="DA861" s="177"/>
      <c r="EH861" s="19"/>
      <c r="EI861" s="19"/>
      <c r="EJ861" s="19"/>
      <c r="EK861" s="19"/>
      <c r="EL861" s="19"/>
      <c r="EM861" s="98"/>
      <c r="EN861" s="98"/>
      <c r="EO861" s="98"/>
      <c r="EP861" s="98"/>
      <c r="EQ861" s="98"/>
      <c r="ER861" s="98"/>
      <c r="ES861" s="98"/>
      <c r="ET861" s="98"/>
      <c r="EU861" s="98"/>
      <c r="EV861" s="98"/>
      <c r="EW861" s="98"/>
      <c r="EX861" s="98"/>
      <c r="EY861" s="98"/>
      <c r="EZ861" s="178"/>
    </row>
    <row r="862" spans="60:156">
      <c r="BH862" s="19"/>
      <c r="BI862" s="19"/>
      <c r="BJ862" s="19"/>
      <c r="BK862" s="19"/>
      <c r="BL862" s="19"/>
      <c r="BM862" s="98"/>
      <c r="BN862" s="98"/>
      <c r="BO862" s="98"/>
      <c r="BP862" s="98"/>
      <c r="BQ862" s="98"/>
      <c r="BR862" s="98"/>
      <c r="BS862" s="98"/>
      <c r="BT862" s="98"/>
      <c r="BU862" s="98"/>
      <c r="BV862" s="98"/>
      <c r="BW862" s="98"/>
      <c r="BX862" s="98"/>
      <c r="BY862" s="98"/>
      <c r="BZ862" s="98"/>
      <c r="DA862" s="177"/>
      <c r="EH862" s="19"/>
      <c r="EI862" s="19"/>
      <c r="EJ862" s="19"/>
      <c r="EK862" s="19"/>
      <c r="EL862" s="19"/>
      <c r="EM862" s="98"/>
      <c r="EN862" s="98"/>
      <c r="EO862" s="98"/>
      <c r="EP862" s="98"/>
      <c r="EQ862" s="98"/>
      <c r="ER862" s="98"/>
      <c r="ES862" s="98"/>
      <c r="ET862" s="98"/>
      <c r="EU862" s="98"/>
      <c r="EV862" s="98"/>
      <c r="EW862" s="98"/>
      <c r="EX862" s="98"/>
      <c r="EY862" s="98"/>
      <c r="EZ862" s="178"/>
    </row>
    <row r="863" spans="60:156">
      <c r="BH863" s="19"/>
      <c r="BI863" s="19"/>
      <c r="BJ863" s="19"/>
      <c r="BK863" s="19"/>
      <c r="BL863" s="19"/>
      <c r="BM863" s="98"/>
      <c r="BN863" s="98"/>
      <c r="BO863" s="98"/>
      <c r="BP863" s="98"/>
      <c r="BQ863" s="98"/>
      <c r="BR863" s="98"/>
      <c r="BS863" s="98"/>
      <c r="BT863" s="98"/>
      <c r="BU863" s="98"/>
      <c r="BV863" s="98"/>
      <c r="BW863" s="98"/>
      <c r="BX863" s="98"/>
      <c r="BY863" s="98"/>
      <c r="BZ863" s="98"/>
      <c r="DA863" s="177"/>
      <c r="EH863" s="19"/>
      <c r="EI863" s="19"/>
      <c r="EJ863" s="19"/>
      <c r="EK863" s="19"/>
      <c r="EL863" s="19"/>
      <c r="EM863" s="98"/>
      <c r="EN863" s="98"/>
      <c r="EO863" s="98"/>
      <c r="EP863" s="98"/>
      <c r="EQ863" s="98"/>
      <c r="ER863" s="98"/>
      <c r="ES863" s="98"/>
      <c r="ET863" s="98"/>
      <c r="EU863" s="98"/>
      <c r="EV863" s="98"/>
      <c r="EW863" s="98"/>
      <c r="EX863" s="98"/>
      <c r="EY863" s="98"/>
      <c r="EZ863" s="178"/>
    </row>
    <row r="864" spans="60:156">
      <c r="BH864" s="19"/>
      <c r="BI864" s="19"/>
      <c r="BJ864" s="19"/>
      <c r="BK864" s="19"/>
      <c r="BL864" s="19"/>
      <c r="BM864" s="98"/>
      <c r="BN864" s="98"/>
      <c r="BO864" s="98"/>
      <c r="BP864" s="98"/>
      <c r="BQ864" s="98"/>
      <c r="BR864" s="98"/>
      <c r="BS864" s="98"/>
      <c r="BT864" s="98"/>
      <c r="BU864" s="98"/>
      <c r="BV864" s="98"/>
      <c r="BW864" s="98"/>
      <c r="BX864" s="98"/>
      <c r="BY864" s="98"/>
      <c r="BZ864" s="98"/>
      <c r="DA864" s="177"/>
      <c r="EH864" s="19"/>
      <c r="EI864" s="19"/>
      <c r="EJ864" s="19"/>
      <c r="EK864" s="19"/>
      <c r="EL864" s="19"/>
      <c r="EM864" s="98"/>
      <c r="EN864" s="98"/>
      <c r="EO864" s="98"/>
      <c r="EP864" s="98"/>
      <c r="EQ864" s="98"/>
      <c r="ER864" s="98"/>
      <c r="ES864" s="98"/>
      <c r="ET864" s="98"/>
      <c r="EU864" s="98"/>
      <c r="EV864" s="98"/>
      <c r="EW864" s="98"/>
      <c r="EX864" s="98"/>
      <c r="EY864" s="98"/>
      <c r="EZ864" s="178"/>
    </row>
    <row r="865" spans="60:156">
      <c r="BH865" s="19"/>
      <c r="BI865" s="19"/>
      <c r="BJ865" s="19"/>
      <c r="BK865" s="19"/>
      <c r="BL865" s="19"/>
      <c r="BM865" s="98"/>
      <c r="BN865" s="98"/>
      <c r="BO865" s="98"/>
      <c r="BP865" s="98"/>
      <c r="BQ865" s="98"/>
      <c r="BR865" s="98"/>
      <c r="BS865" s="98"/>
      <c r="BT865" s="98"/>
      <c r="BU865" s="98"/>
      <c r="BV865" s="98"/>
      <c r="BW865" s="98"/>
      <c r="BX865" s="98"/>
      <c r="BY865" s="98"/>
      <c r="BZ865" s="98"/>
      <c r="DA865" s="177"/>
      <c r="EH865" s="19"/>
      <c r="EI865" s="19"/>
      <c r="EJ865" s="19"/>
      <c r="EK865" s="19"/>
      <c r="EL865" s="19"/>
      <c r="EM865" s="98"/>
      <c r="EN865" s="98"/>
      <c r="EO865" s="98"/>
      <c r="EP865" s="98"/>
      <c r="EQ865" s="98"/>
      <c r="ER865" s="98"/>
      <c r="ES865" s="98"/>
      <c r="ET865" s="98"/>
      <c r="EU865" s="98"/>
      <c r="EV865" s="98"/>
      <c r="EW865" s="98"/>
      <c r="EX865" s="98"/>
      <c r="EY865" s="98"/>
      <c r="EZ865" s="178"/>
    </row>
    <row r="866" spans="60:156">
      <c r="BH866" s="19"/>
      <c r="BI866" s="19"/>
      <c r="BJ866" s="19"/>
      <c r="BK866" s="19"/>
      <c r="BL866" s="19"/>
      <c r="BM866" s="98"/>
      <c r="BN866" s="98"/>
      <c r="BO866" s="98"/>
      <c r="BP866" s="98"/>
      <c r="BQ866" s="98"/>
      <c r="BR866" s="98"/>
      <c r="BS866" s="98"/>
      <c r="BT866" s="98"/>
      <c r="BU866" s="98"/>
      <c r="BV866" s="98"/>
      <c r="BW866" s="98"/>
      <c r="BX866" s="98"/>
      <c r="BY866" s="98"/>
      <c r="BZ866" s="98"/>
      <c r="DA866" s="177"/>
      <c r="EH866" s="19"/>
      <c r="EI866" s="19"/>
      <c r="EJ866" s="19"/>
      <c r="EK866" s="19"/>
      <c r="EL866" s="19"/>
      <c r="EM866" s="98"/>
      <c r="EN866" s="98"/>
      <c r="EO866" s="98"/>
      <c r="EP866" s="98"/>
      <c r="EQ866" s="98"/>
      <c r="ER866" s="98"/>
      <c r="ES866" s="98"/>
      <c r="ET866" s="98"/>
      <c r="EU866" s="98"/>
      <c r="EV866" s="98"/>
      <c r="EW866" s="98"/>
      <c r="EX866" s="98"/>
      <c r="EY866" s="98"/>
      <c r="EZ866" s="178"/>
    </row>
    <row r="867" spans="60:156">
      <c r="BH867" s="19"/>
      <c r="BI867" s="19"/>
      <c r="BJ867" s="19"/>
      <c r="BK867" s="19"/>
      <c r="BL867" s="19"/>
      <c r="BM867" s="98"/>
      <c r="BN867" s="98"/>
      <c r="BO867" s="98"/>
      <c r="BP867" s="98"/>
      <c r="BQ867" s="98"/>
      <c r="BR867" s="98"/>
      <c r="BS867" s="98"/>
      <c r="BT867" s="98"/>
      <c r="BU867" s="98"/>
      <c r="BV867" s="98"/>
      <c r="BW867" s="98"/>
      <c r="BX867" s="98"/>
      <c r="BY867" s="98"/>
      <c r="BZ867" s="98"/>
      <c r="DA867" s="177"/>
      <c r="EH867" s="19"/>
      <c r="EI867" s="19"/>
      <c r="EJ867" s="19"/>
      <c r="EK867" s="19"/>
      <c r="EL867" s="19"/>
      <c r="EM867" s="98"/>
      <c r="EN867" s="98"/>
      <c r="EO867" s="98"/>
      <c r="EP867" s="98"/>
      <c r="EQ867" s="98"/>
      <c r="ER867" s="98"/>
      <c r="ES867" s="98"/>
      <c r="ET867" s="98"/>
      <c r="EU867" s="98"/>
      <c r="EV867" s="98"/>
      <c r="EW867" s="98"/>
      <c r="EX867" s="98"/>
      <c r="EY867" s="98"/>
      <c r="EZ867" s="178"/>
    </row>
    <row r="868" spans="60:156">
      <c r="BH868" s="19"/>
      <c r="BI868" s="19"/>
      <c r="BJ868" s="19"/>
      <c r="BK868" s="19"/>
      <c r="BL868" s="19"/>
      <c r="BM868" s="98"/>
      <c r="BN868" s="98"/>
      <c r="BO868" s="98"/>
      <c r="BP868" s="98"/>
      <c r="BQ868" s="98"/>
      <c r="BR868" s="98"/>
      <c r="BS868" s="98"/>
      <c r="BT868" s="98"/>
      <c r="BU868" s="98"/>
      <c r="BV868" s="98"/>
      <c r="BW868" s="98"/>
      <c r="BX868" s="98"/>
      <c r="BY868" s="98"/>
      <c r="BZ868" s="98"/>
      <c r="DA868" s="177"/>
      <c r="EH868" s="19"/>
      <c r="EI868" s="19"/>
      <c r="EJ868" s="19"/>
      <c r="EK868" s="19"/>
      <c r="EL868" s="19"/>
      <c r="EM868" s="98"/>
      <c r="EN868" s="98"/>
      <c r="EO868" s="98"/>
      <c r="EP868" s="98"/>
      <c r="EQ868" s="98"/>
      <c r="ER868" s="98"/>
      <c r="ES868" s="98"/>
      <c r="ET868" s="98"/>
      <c r="EU868" s="98"/>
      <c r="EV868" s="98"/>
      <c r="EW868" s="98"/>
      <c r="EX868" s="98"/>
      <c r="EY868" s="98"/>
      <c r="EZ868" s="178"/>
    </row>
    <row r="869" spans="60:156">
      <c r="BH869" s="19"/>
      <c r="BI869" s="19"/>
      <c r="BJ869" s="19"/>
      <c r="BK869" s="19"/>
      <c r="BL869" s="19"/>
      <c r="BM869" s="98"/>
      <c r="BN869" s="98"/>
      <c r="BO869" s="98"/>
      <c r="BP869" s="98"/>
      <c r="BQ869" s="98"/>
      <c r="BR869" s="98"/>
      <c r="BS869" s="98"/>
      <c r="BT869" s="98"/>
      <c r="BU869" s="98"/>
      <c r="BV869" s="98"/>
      <c r="BW869" s="98"/>
      <c r="BX869" s="98"/>
      <c r="BY869" s="98"/>
      <c r="BZ869" s="98"/>
      <c r="DA869" s="177"/>
      <c r="EH869" s="19"/>
      <c r="EI869" s="19"/>
      <c r="EJ869" s="19"/>
      <c r="EK869" s="19"/>
      <c r="EL869" s="19"/>
      <c r="EM869" s="98"/>
      <c r="EN869" s="98"/>
      <c r="EO869" s="98"/>
      <c r="EP869" s="98"/>
      <c r="EQ869" s="98"/>
      <c r="ER869" s="98"/>
      <c r="ES869" s="98"/>
      <c r="ET869" s="98"/>
      <c r="EU869" s="98"/>
      <c r="EV869" s="98"/>
      <c r="EW869" s="98"/>
      <c r="EX869" s="98"/>
      <c r="EY869" s="98"/>
      <c r="EZ869" s="178"/>
    </row>
    <row r="870" spans="60:156">
      <c r="BH870" s="19"/>
      <c r="BI870" s="19"/>
      <c r="BJ870" s="19"/>
      <c r="BK870" s="19"/>
      <c r="BL870" s="19"/>
      <c r="BM870" s="98"/>
      <c r="BN870" s="98"/>
      <c r="BO870" s="98"/>
      <c r="BP870" s="98"/>
      <c r="BQ870" s="98"/>
      <c r="BR870" s="98"/>
      <c r="BS870" s="98"/>
      <c r="BT870" s="98"/>
      <c r="BU870" s="98"/>
      <c r="BV870" s="98"/>
      <c r="BW870" s="98"/>
      <c r="BX870" s="98"/>
      <c r="BY870" s="98"/>
      <c r="BZ870" s="98"/>
      <c r="DA870" s="177"/>
      <c r="EH870" s="19"/>
      <c r="EI870" s="19"/>
      <c r="EJ870" s="19"/>
      <c r="EK870" s="19"/>
      <c r="EL870" s="19"/>
      <c r="EM870" s="98"/>
      <c r="EN870" s="98"/>
      <c r="EO870" s="98"/>
      <c r="EP870" s="98"/>
      <c r="EQ870" s="98"/>
      <c r="ER870" s="98"/>
      <c r="ES870" s="98"/>
      <c r="ET870" s="98"/>
      <c r="EU870" s="98"/>
      <c r="EV870" s="98"/>
      <c r="EW870" s="98"/>
      <c r="EX870" s="98"/>
      <c r="EY870" s="98"/>
      <c r="EZ870" s="178"/>
    </row>
    <row r="871" spans="60:156">
      <c r="BH871" s="19"/>
      <c r="BI871" s="19"/>
      <c r="BJ871" s="19"/>
      <c r="BK871" s="19"/>
      <c r="BL871" s="19"/>
      <c r="BM871" s="98"/>
      <c r="BN871" s="98"/>
      <c r="BO871" s="98"/>
      <c r="BP871" s="98"/>
      <c r="BQ871" s="98"/>
      <c r="BR871" s="98"/>
      <c r="BS871" s="98"/>
      <c r="BT871" s="98"/>
      <c r="BU871" s="98"/>
      <c r="BV871" s="98"/>
      <c r="BW871" s="98"/>
      <c r="BX871" s="98"/>
      <c r="BY871" s="98"/>
      <c r="BZ871" s="98"/>
      <c r="DA871" s="177"/>
      <c r="EH871" s="19"/>
      <c r="EI871" s="19"/>
      <c r="EJ871" s="19"/>
      <c r="EK871" s="19"/>
      <c r="EL871" s="19"/>
      <c r="EM871" s="98"/>
      <c r="EN871" s="98"/>
      <c r="EO871" s="98"/>
      <c r="EP871" s="98"/>
      <c r="EQ871" s="98"/>
      <c r="ER871" s="98"/>
      <c r="ES871" s="98"/>
      <c r="ET871" s="98"/>
      <c r="EU871" s="98"/>
      <c r="EV871" s="98"/>
      <c r="EW871" s="98"/>
      <c r="EX871" s="98"/>
      <c r="EY871" s="98"/>
      <c r="EZ871" s="178"/>
    </row>
    <row r="872" spans="60:156">
      <c r="BH872" s="19"/>
      <c r="BI872" s="19"/>
      <c r="BJ872" s="19"/>
      <c r="BK872" s="19"/>
      <c r="BL872" s="19"/>
      <c r="BM872" s="98"/>
      <c r="BN872" s="98"/>
      <c r="BO872" s="98"/>
      <c r="BP872" s="98"/>
      <c r="BQ872" s="98"/>
      <c r="BR872" s="98"/>
      <c r="BS872" s="98"/>
      <c r="BT872" s="98"/>
      <c r="BU872" s="98"/>
      <c r="BV872" s="98"/>
      <c r="BW872" s="98"/>
      <c r="BX872" s="98"/>
      <c r="BY872" s="98"/>
      <c r="BZ872" s="98"/>
      <c r="DA872" s="177"/>
      <c r="EH872" s="19"/>
      <c r="EI872" s="19"/>
      <c r="EJ872" s="19"/>
      <c r="EK872" s="19"/>
      <c r="EL872" s="19"/>
      <c r="EM872" s="98"/>
      <c r="EN872" s="98"/>
      <c r="EO872" s="98"/>
      <c r="EP872" s="98"/>
      <c r="EQ872" s="98"/>
      <c r="ER872" s="98"/>
      <c r="ES872" s="98"/>
      <c r="ET872" s="98"/>
      <c r="EU872" s="98"/>
      <c r="EV872" s="98"/>
      <c r="EW872" s="98"/>
      <c r="EX872" s="98"/>
      <c r="EY872" s="98"/>
      <c r="EZ872" s="178"/>
    </row>
    <row r="873" spans="60:156">
      <c r="BH873" s="19"/>
      <c r="BI873" s="19"/>
      <c r="BJ873" s="19"/>
      <c r="BK873" s="19"/>
      <c r="BL873" s="19"/>
      <c r="BM873" s="98"/>
      <c r="BN873" s="98"/>
      <c r="BO873" s="98"/>
      <c r="BP873" s="98"/>
      <c r="BQ873" s="98"/>
      <c r="BR873" s="98"/>
      <c r="BS873" s="98"/>
      <c r="BT873" s="98"/>
      <c r="BU873" s="98"/>
      <c r="BV873" s="98"/>
      <c r="BW873" s="98"/>
      <c r="BX873" s="98"/>
      <c r="BY873" s="98"/>
      <c r="BZ873" s="98"/>
      <c r="DA873" s="177"/>
      <c r="EH873" s="19"/>
      <c r="EI873" s="19"/>
      <c r="EJ873" s="19"/>
      <c r="EK873" s="19"/>
      <c r="EL873" s="19"/>
      <c r="EM873" s="98"/>
      <c r="EN873" s="98"/>
      <c r="EO873" s="98"/>
      <c r="EP873" s="98"/>
      <c r="EQ873" s="98"/>
      <c r="ER873" s="98"/>
      <c r="ES873" s="98"/>
      <c r="ET873" s="98"/>
      <c r="EU873" s="98"/>
      <c r="EV873" s="98"/>
      <c r="EW873" s="98"/>
      <c r="EX873" s="98"/>
      <c r="EY873" s="98"/>
      <c r="EZ873" s="178"/>
    </row>
    <row r="874" spans="60:156">
      <c r="BH874" s="19"/>
      <c r="BI874" s="19"/>
      <c r="BJ874" s="19"/>
      <c r="BK874" s="19"/>
      <c r="BL874" s="19"/>
      <c r="BM874" s="98"/>
      <c r="BN874" s="98"/>
      <c r="BO874" s="98"/>
      <c r="BP874" s="98"/>
      <c r="BQ874" s="98"/>
      <c r="BR874" s="98"/>
      <c r="BS874" s="98"/>
      <c r="BT874" s="98"/>
      <c r="BU874" s="98"/>
      <c r="BV874" s="98"/>
      <c r="BW874" s="98"/>
      <c r="BX874" s="98"/>
      <c r="BY874" s="98"/>
      <c r="BZ874" s="98"/>
      <c r="DA874" s="177"/>
      <c r="EH874" s="19"/>
      <c r="EI874" s="19"/>
      <c r="EJ874" s="19"/>
      <c r="EK874" s="19"/>
      <c r="EL874" s="19"/>
      <c r="EM874" s="98"/>
      <c r="EN874" s="98"/>
      <c r="EO874" s="98"/>
      <c r="EP874" s="98"/>
      <c r="EQ874" s="98"/>
      <c r="ER874" s="98"/>
      <c r="ES874" s="98"/>
      <c r="ET874" s="98"/>
      <c r="EU874" s="98"/>
      <c r="EV874" s="98"/>
      <c r="EW874" s="98"/>
      <c r="EX874" s="98"/>
      <c r="EY874" s="98"/>
      <c r="EZ874" s="178"/>
    </row>
    <row r="875" spans="60:156">
      <c r="BH875" s="19"/>
      <c r="BI875" s="19"/>
      <c r="BJ875" s="19"/>
      <c r="BK875" s="19"/>
      <c r="BL875" s="19"/>
      <c r="BM875" s="98"/>
      <c r="BN875" s="98"/>
      <c r="BO875" s="98"/>
      <c r="BP875" s="98"/>
      <c r="BQ875" s="98"/>
      <c r="BR875" s="98"/>
      <c r="BS875" s="98"/>
      <c r="BT875" s="98"/>
      <c r="BU875" s="98"/>
      <c r="BV875" s="98"/>
      <c r="BW875" s="98"/>
      <c r="BX875" s="98"/>
      <c r="BY875" s="98"/>
      <c r="BZ875" s="98"/>
      <c r="DA875" s="177"/>
      <c r="EH875" s="19"/>
      <c r="EI875" s="19"/>
      <c r="EJ875" s="19"/>
      <c r="EK875" s="19"/>
      <c r="EL875" s="19"/>
      <c r="EM875" s="98"/>
      <c r="EN875" s="98"/>
      <c r="EO875" s="98"/>
      <c r="EP875" s="98"/>
      <c r="EQ875" s="98"/>
      <c r="ER875" s="98"/>
      <c r="ES875" s="98"/>
      <c r="ET875" s="98"/>
      <c r="EU875" s="98"/>
      <c r="EV875" s="98"/>
      <c r="EW875" s="98"/>
      <c r="EX875" s="98"/>
      <c r="EY875" s="98"/>
      <c r="EZ875" s="178"/>
    </row>
    <row r="876" spans="60:156">
      <c r="BH876" s="19"/>
      <c r="BI876" s="19"/>
      <c r="BJ876" s="19"/>
      <c r="BK876" s="19"/>
      <c r="BL876" s="19"/>
      <c r="BM876" s="98"/>
      <c r="BN876" s="98"/>
      <c r="BO876" s="98"/>
      <c r="BP876" s="98"/>
      <c r="BQ876" s="98"/>
      <c r="BR876" s="98"/>
      <c r="BS876" s="98"/>
      <c r="BT876" s="98"/>
      <c r="BU876" s="98"/>
      <c r="BV876" s="98"/>
      <c r="BW876" s="98"/>
      <c r="BX876" s="98"/>
      <c r="BY876" s="98"/>
      <c r="BZ876" s="98"/>
      <c r="DA876" s="177"/>
      <c r="EH876" s="19"/>
      <c r="EI876" s="19"/>
      <c r="EJ876" s="19"/>
      <c r="EK876" s="19"/>
      <c r="EL876" s="19"/>
      <c r="EM876" s="98"/>
      <c r="EN876" s="98"/>
      <c r="EO876" s="98"/>
      <c r="EP876" s="98"/>
      <c r="EQ876" s="98"/>
      <c r="ER876" s="98"/>
      <c r="ES876" s="98"/>
      <c r="ET876" s="98"/>
      <c r="EU876" s="98"/>
      <c r="EV876" s="98"/>
      <c r="EW876" s="98"/>
      <c r="EX876" s="98"/>
      <c r="EY876" s="98"/>
      <c r="EZ876" s="178"/>
    </row>
    <row r="877" spans="60:156">
      <c r="BH877" s="19"/>
      <c r="BI877" s="19"/>
      <c r="BJ877" s="19"/>
      <c r="BK877" s="19"/>
      <c r="BL877" s="19"/>
      <c r="BM877" s="98"/>
      <c r="BN877" s="98"/>
      <c r="BO877" s="98"/>
      <c r="BP877" s="98"/>
      <c r="BQ877" s="98"/>
      <c r="BR877" s="98"/>
      <c r="BS877" s="98"/>
      <c r="BT877" s="98"/>
      <c r="BU877" s="98"/>
      <c r="BV877" s="98"/>
      <c r="BW877" s="98"/>
      <c r="BX877" s="98"/>
      <c r="BY877" s="98"/>
      <c r="BZ877" s="98"/>
      <c r="DA877" s="177"/>
      <c r="EH877" s="19"/>
      <c r="EI877" s="19"/>
      <c r="EJ877" s="19"/>
      <c r="EK877" s="19"/>
      <c r="EL877" s="19"/>
      <c r="EM877" s="98"/>
      <c r="EN877" s="98"/>
      <c r="EO877" s="98"/>
      <c r="EP877" s="98"/>
      <c r="EQ877" s="98"/>
      <c r="ER877" s="98"/>
      <c r="ES877" s="98"/>
      <c r="ET877" s="98"/>
      <c r="EU877" s="98"/>
      <c r="EV877" s="98"/>
      <c r="EW877" s="98"/>
      <c r="EX877" s="98"/>
      <c r="EY877" s="98"/>
      <c r="EZ877" s="178"/>
    </row>
    <row r="878" spans="60:156">
      <c r="BH878" s="19"/>
      <c r="BI878" s="19"/>
      <c r="BJ878" s="19"/>
      <c r="BK878" s="19"/>
      <c r="BL878" s="19"/>
      <c r="BM878" s="98"/>
      <c r="BN878" s="98"/>
      <c r="BO878" s="98"/>
      <c r="BP878" s="98"/>
      <c r="BQ878" s="98"/>
      <c r="BR878" s="98"/>
      <c r="BS878" s="98"/>
      <c r="BT878" s="98"/>
      <c r="BU878" s="98"/>
      <c r="BV878" s="98"/>
      <c r="BW878" s="98"/>
      <c r="BX878" s="98"/>
      <c r="BY878" s="98"/>
      <c r="BZ878" s="98"/>
      <c r="DA878" s="177"/>
      <c r="EH878" s="19"/>
      <c r="EI878" s="19"/>
      <c r="EJ878" s="19"/>
      <c r="EK878" s="19"/>
      <c r="EL878" s="19"/>
      <c r="EM878" s="98"/>
      <c r="EN878" s="98"/>
      <c r="EO878" s="98"/>
      <c r="EP878" s="98"/>
      <c r="EQ878" s="98"/>
      <c r="ER878" s="98"/>
      <c r="ES878" s="98"/>
      <c r="ET878" s="98"/>
      <c r="EU878" s="98"/>
      <c r="EV878" s="98"/>
      <c r="EW878" s="98"/>
      <c r="EX878" s="98"/>
      <c r="EY878" s="98"/>
      <c r="EZ878" s="178"/>
    </row>
    <row r="879" spans="60:156">
      <c r="BH879" s="19"/>
      <c r="BI879" s="19"/>
      <c r="BJ879" s="19"/>
      <c r="BK879" s="19"/>
      <c r="BL879" s="19"/>
      <c r="BM879" s="98"/>
      <c r="BN879" s="98"/>
      <c r="BO879" s="98"/>
      <c r="BP879" s="98"/>
      <c r="BQ879" s="98"/>
      <c r="BR879" s="98"/>
      <c r="BS879" s="98"/>
      <c r="BT879" s="98"/>
      <c r="BU879" s="98"/>
      <c r="BV879" s="98"/>
      <c r="BW879" s="98"/>
      <c r="BX879" s="98"/>
      <c r="BY879" s="98"/>
      <c r="BZ879" s="98"/>
      <c r="DA879" s="177"/>
      <c r="EH879" s="19"/>
      <c r="EI879" s="19"/>
      <c r="EJ879" s="19"/>
      <c r="EK879" s="19"/>
      <c r="EL879" s="19"/>
      <c r="EM879" s="98"/>
      <c r="EN879" s="98"/>
      <c r="EO879" s="98"/>
      <c r="EP879" s="98"/>
      <c r="EQ879" s="98"/>
      <c r="ER879" s="98"/>
      <c r="ES879" s="98"/>
      <c r="ET879" s="98"/>
      <c r="EU879" s="98"/>
      <c r="EV879" s="98"/>
      <c r="EW879" s="98"/>
      <c r="EX879" s="98"/>
      <c r="EY879" s="98"/>
      <c r="EZ879" s="178"/>
    </row>
    <row r="880" spans="60:156">
      <c r="BH880" s="19"/>
      <c r="BI880" s="19"/>
      <c r="BJ880" s="19"/>
      <c r="BK880" s="19"/>
      <c r="BL880" s="19"/>
      <c r="BM880" s="98"/>
      <c r="BN880" s="98"/>
      <c r="BO880" s="98"/>
      <c r="BP880" s="98"/>
      <c r="BQ880" s="98"/>
      <c r="BR880" s="98"/>
      <c r="BS880" s="98"/>
      <c r="BT880" s="98"/>
      <c r="BU880" s="98"/>
      <c r="BV880" s="98"/>
      <c r="BW880" s="98"/>
      <c r="BX880" s="98"/>
      <c r="BY880" s="98"/>
      <c r="BZ880" s="98"/>
      <c r="DA880" s="177"/>
      <c r="EH880" s="19"/>
      <c r="EI880" s="19"/>
      <c r="EJ880" s="19"/>
      <c r="EK880" s="19"/>
      <c r="EL880" s="19"/>
      <c r="EM880" s="98"/>
      <c r="EN880" s="98"/>
      <c r="EO880" s="98"/>
      <c r="EP880" s="98"/>
      <c r="EQ880" s="98"/>
      <c r="ER880" s="98"/>
      <c r="ES880" s="98"/>
      <c r="ET880" s="98"/>
      <c r="EU880" s="98"/>
      <c r="EV880" s="98"/>
      <c r="EW880" s="98"/>
      <c r="EX880" s="98"/>
      <c r="EY880" s="98"/>
      <c r="EZ880" s="178"/>
    </row>
    <row r="881" spans="60:156">
      <c r="BH881" s="19"/>
      <c r="BI881" s="19"/>
      <c r="BJ881" s="19"/>
      <c r="BK881" s="19"/>
      <c r="BL881" s="19"/>
      <c r="BM881" s="98"/>
      <c r="BN881" s="98"/>
      <c r="BO881" s="98"/>
      <c r="BP881" s="98"/>
      <c r="BQ881" s="98"/>
      <c r="BR881" s="98"/>
      <c r="BS881" s="98"/>
      <c r="BT881" s="98"/>
      <c r="BU881" s="98"/>
      <c r="BV881" s="98"/>
      <c r="BW881" s="98"/>
      <c r="BX881" s="98"/>
      <c r="BY881" s="98"/>
      <c r="BZ881" s="98"/>
      <c r="DA881" s="177"/>
      <c r="EH881" s="19"/>
      <c r="EI881" s="19"/>
      <c r="EJ881" s="19"/>
      <c r="EK881" s="19"/>
      <c r="EL881" s="19"/>
      <c r="EM881" s="98"/>
      <c r="EN881" s="98"/>
      <c r="EO881" s="98"/>
      <c r="EP881" s="98"/>
      <c r="EQ881" s="98"/>
      <c r="ER881" s="98"/>
      <c r="ES881" s="98"/>
      <c r="ET881" s="98"/>
      <c r="EU881" s="98"/>
      <c r="EV881" s="98"/>
      <c r="EW881" s="98"/>
      <c r="EX881" s="98"/>
      <c r="EY881" s="98"/>
      <c r="EZ881" s="178"/>
    </row>
    <row r="882" spans="60:156">
      <c r="BH882" s="19"/>
      <c r="BI882" s="19"/>
      <c r="BJ882" s="19"/>
      <c r="BK882" s="19"/>
      <c r="BL882" s="19"/>
      <c r="BM882" s="98"/>
      <c r="BN882" s="98"/>
      <c r="BO882" s="98"/>
      <c r="BP882" s="98"/>
      <c r="BQ882" s="98"/>
      <c r="BR882" s="98"/>
      <c r="BS882" s="98"/>
      <c r="BT882" s="98"/>
      <c r="BU882" s="98"/>
      <c r="BV882" s="98"/>
      <c r="BW882" s="98"/>
      <c r="BX882" s="98"/>
      <c r="BY882" s="98"/>
      <c r="BZ882" s="98"/>
      <c r="DA882" s="177"/>
      <c r="EH882" s="19"/>
      <c r="EI882" s="19"/>
      <c r="EJ882" s="19"/>
      <c r="EK882" s="19"/>
      <c r="EL882" s="19"/>
      <c r="EM882" s="98"/>
      <c r="EN882" s="98"/>
      <c r="EO882" s="98"/>
      <c r="EP882" s="98"/>
      <c r="EQ882" s="98"/>
      <c r="ER882" s="98"/>
      <c r="ES882" s="98"/>
      <c r="ET882" s="98"/>
      <c r="EU882" s="98"/>
      <c r="EV882" s="98"/>
      <c r="EW882" s="98"/>
      <c r="EX882" s="98"/>
      <c r="EY882" s="98"/>
      <c r="EZ882" s="178"/>
    </row>
    <row r="883" spans="60:156">
      <c r="BH883" s="19"/>
      <c r="BI883" s="19"/>
      <c r="BJ883" s="19"/>
      <c r="BK883" s="19"/>
      <c r="BL883" s="19"/>
      <c r="BM883" s="98"/>
      <c r="BN883" s="98"/>
      <c r="BO883" s="98"/>
      <c r="BP883" s="98"/>
      <c r="BQ883" s="98"/>
      <c r="BR883" s="98"/>
      <c r="BS883" s="98"/>
      <c r="BT883" s="98"/>
      <c r="BU883" s="98"/>
      <c r="BV883" s="98"/>
      <c r="BW883" s="98"/>
      <c r="BX883" s="98"/>
      <c r="BY883" s="98"/>
      <c r="BZ883" s="98"/>
      <c r="DA883" s="177"/>
      <c r="EH883" s="19"/>
      <c r="EI883" s="19"/>
      <c r="EJ883" s="19"/>
      <c r="EK883" s="19"/>
      <c r="EL883" s="19"/>
      <c r="EM883" s="98"/>
      <c r="EN883" s="98"/>
      <c r="EO883" s="98"/>
      <c r="EP883" s="98"/>
      <c r="EQ883" s="98"/>
      <c r="ER883" s="98"/>
      <c r="ES883" s="98"/>
      <c r="ET883" s="98"/>
      <c r="EU883" s="98"/>
      <c r="EV883" s="98"/>
      <c r="EW883" s="98"/>
      <c r="EX883" s="98"/>
      <c r="EY883" s="98"/>
      <c r="EZ883" s="178"/>
    </row>
    <row r="884" spans="60:156">
      <c r="BH884" s="19"/>
      <c r="BI884" s="19"/>
      <c r="BJ884" s="19"/>
      <c r="BK884" s="19"/>
      <c r="BL884" s="19"/>
      <c r="BM884" s="98"/>
      <c r="BN884" s="98"/>
      <c r="BO884" s="98"/>
      <c r="BP884" s="98"/>
      <c r="BQ884" s="98"/>
      <c r="BR884" s="98"/>
      <c r="BS884" s="98"/>
      <c r="BT884" s="98"/>
      <c r="BU884" s="98"/>
      <c r="BV884" s="98"/>
      <c r="BW884" s="98"/>
      <c r="BX884" s="98"/>
      <c r="BY884" s="98"/>
      <c r="BZ884" s="98"/>
      <c r="DA884" s="177"/>
      <c r="EH884" s="19"/>
      <c r="EI884" s="19"/>
      <c r="EJ884" s="19"/>
      <c r="EK884" s="19"/>
      <c r="EL884" s="19"/>
      <c r="EM884" s="98"/>
      <c r="EN884" s="98"/>
      <c r="EO884" s="98"/>
      <c r="EP884" s="98"/>
      <c r="EQ884" s="98"/>
      <c r="ER884" s="98"/>
      <c r="ES884" s="98"/>
      <c r="ET884" s="98"/>
      <c r="EU884" s="98"/>
      <c r="EV884" s="98"/>
      <c r="EW884" s="98"/>
      <c r="EX884" s="98"/>
      <c r="EY884" s="98"/>
      <c r="EZ884" s="178"/>
    </row>
    <row r="885" spans="60:156">
      <c r="BH885" s="19"/>
      <c r="BI885" s="19"/>
      <c r="BJ885" s="19"/>
      <c r="BK885" s="19"/>
      <c r="BL885" s="19"/>
      <c r="BM885" s="98"/>
      <c r="BN885" s="98"/>
      <c r="BO885" s="98"/>
      <c r="BP885" s="98"/>
      <c r="BQ885" s="98"/>
      <c r="BR885" s="98"/>
      <c r="BS885" s="98"/>
      <c r="BT885" s="98"/>
      <c r="BU885" s="98"/>
      <c r="BV885" s="98"/>
      <c r="BW885" s="98"/>
      <c r="BX885" s="98"/>
      <c r="BY885" s="98"/>
      <c r="BZ885" s="98"/>
      <c r="DA885" s="177"/>
      <c r="EH885" s="19"/>
      <c r="EI885" s="19"/>
      <c r="EJ885" s="19"/>
      <c r="EK885" s="19"/>
      <c r="EL885" s="19"/>
      <c r="EM885" s="98"/>
      <c r="EN885" s="98"/>
      <c r="EO885" s="98"/>
      <c r="EP885" s="98"/>
      <c r="EQ885" s="98"/>
      <c r="ER885" s="98"/>
      <c r="ES885" s="98"/>
      <c r="ET885" s="98"/>
      <c r="EU885" s="98"/>
      <c r="EV885" s="98"/>
      <c r="EW885" s="98"/>
      <c r="EX885" s="98"/>
      <c r="EY885" s="98"/>
      <c r="EZ885" s="178"/>
    </row>
    <row r="886" spans="60:156">
      <c r="BH886" s="19"/>
      <c r="BI886" s="19"/>
      <c r="BJ886" s="19"/>
      <c r="BK886" s="19"/>
      <c r="BL886" s="19"/>
      <c r="BM886" s="98"/>
      <c r="BN886" s="98"/>
      <c r="BO886" s="98"/>
      <c r="BP886" s="98"/>
      <c r="BQ886" s="98"/>
      <c r="BR886" s="98"/>
      <c r="BS886" s="98"/>
      <c r="BT886" s="98"/>
      <c r="BU886" s="98"/>
      <c r="BV886" s="98"/>
      <c r="BW886" s="98"/>
      <c r="BX886" s="98"/>
      <c r="BY886" s="98"/>
      <c r="BZ886" s="98"/>
      <c r="DA886" s="177"/>
      <c r="EH886" s="19"/>
      <c r="EI886" s="19"/>
      <c r="EJ886" s="19"/>
      <c r="EK886" s="19"/>
      <c r="EL886" s="19"/>
      <c r="EM886" s="98"/>
      <c r="EN886" s="98"/>
      <c r="EO886" s="98"/>
      <c r="EP886" s="98"/>
      <c r="EQ886" s="98"/>
      <c r="ER886" s="98"/>
      <c r="ES886" s="98"/>
      <c r="ET886" s="98"/>
      <c r="EU886" s="98"/>
      <c r="EV886" s="98"/>
      <c r="EW886" s="98"/>
      <c r="EX886" s="98"/>
      <c r="EY886" s="98"/>
      <c r="EZ886" s="178"/>
    </row>
    <row r="887" spans="60:156">
      <c r="BH887" s="19"/>
      <c r="BI887" s="19"/>
      <c r="BJ887" s="19"/>
      <c r="BK887" s="19"/>
      <c r="BL887" s="19"/>
      <c r="BM887" s="98"/>
      <c r="BN887" s="98"/>
      <c r="BO887" s="98"/>
      <c r="BP887" s="98"/>
      <c r="BQ887" s="98"/>
      <c r="BR887" s="98"/>
      <c r="BS887" s="98"/>
      <c r="BT887" s="98"/>
      <c r="BU887" s="98"/>
      <c r="BV887" s="98"/>
      <c r="BW887" s="98"/>
      <c r="BX887" s="98"/>
      <c r="BY887" s="98"/>
      <c r="BZ887" s="98"/>
      <c r="DA887" s="177"/>
      <c r="EH887" s="19"/>
      <c r="EI887" s="19"/>
      <c r="EJ887" s="19"/>
      <c r="EK887" s="19"/>
      <c r="EL887" s="19"/>
      <c r="EM887" s="98"/>
      <c r="EN887" s="98"/>
      <c r="EO887" s="98"/>
      <c r="EP887" s="98"/>
      <c r="EQ887" s="98"/>
      <c r="ER887" s="98"/>
      <c r="ES887" s="98"/>
      <c r="ET887" s="98"/>
      <c r="EU887" s="98"/>
      <c r="EV887" s="98"/>
      <c r="EW887" s="98"/>
      <c r="EX887" s="98"/>
      <c r="EY887" s="98"/>
      <c r="EZ887" s="178"/>
    </row>
    <row r="888" spans="60:156">
      <c r="BH888" s="19"/>
      <c r="BI888" s="19"/>
      <c r="BJ888" s="19"/>
      <c r="BK888" s="19"/>
      <c r="BL888" s="19"/>
      <c r="BM888" s="98"/>
      <c r="BN888" s="98"/>
      <c r="BO888" s="98"/>
      <c r="BP888" s="98"/>
      <c r="BQ888" s="98"/>
      <c r="BR888" s="98"/>
      <c r="BS888" s="98"/>
      <c r="BT888" s="98"/>
      <c r="BU888" s="98"/>
      <c r="BV888" s="98"/>
      <c r="BW888" s="98"/>
      <c r="BX888" s="98"/>
      <c r="BY888" s="98"/>
      <c r="BZ888" s="98"/>
      <c r="DA888" s="177"/>
      <c r="EH888" s="19"/>
      <c r="EI888" s="19"/>
      <c r="EJ888" s="19"/>
      <c r="EK888" s="19"/>
      <c r="EL888" s="19"/>
      <c r="EM888" s="98"/>
      <c r="EN888" s="98"/>
      <c r="EO888" s="98"/>
      <c r="EP888" s="98"/>
      <c r="EQ888" s="98"/>
      <c r="ER888" s="98"/>
      <c r="ES888" s="98"/>
      <c r="ET888" s="98"/>
      <c r="EU888" s="98"/>
      <c r="EV888" s="98"/>
      <c r="EW888" s="98"/>
      <c r="EX888" s="98"/>
      <c r="EY888" s="98"/>
      <c r="EZ888" s="178"/>
    </row>
    <row r="889" spans="60:156">
      <c r="BH889" s="19"/>
      <c r="BI889" s="19"/>
      <c r="BJ889" s="19"/>
      <c r="BK889" s="19"/>
      <c r="BL889" s="19"/>
      <c r="BM889" s="98"/>
      <c r="BN889" s="98"/>
      <c r="BO889" s="98"/>
      <c r="BP889" s="98"/>
      <c r="BQ889" s="98"/>
      <c r="BR889" s="98"/>
      <c r="BS889" s="98"/>
      <c r="BT889" s="98"/>
      <c r="BU889" s="98"/>
      <c r="BV889" s="98"/>
      <c r="BW889" s="98"/>
      <c r="BX889" s="98"/>
      <c r="BY889" s="98"/>
      <c r="BZ889" s="98"/>
      <c r="DA889" s="177"/>
      <c r="EH889" s="19"/>
      <c r="EI889" s="19"/>
      <c r="EJ889" s="19"/>
      <c r="EK889" s="19"/>
      <c r="EL889" s="19"/>
      <c r="EM889" s="98"/>
      <c r="EN889" s="98"/>
      <c r="EO889" s="98"/>
      <c r="EP889" s="98"/>
      <c r="EQ889" s="98"/>
      <c r="ER889" s="98"/>
      <c r="ES889" s="98"/>
      <c r="ET889" s="98"/>
      <c r="EU889" s="98"/>
      <c r="EV889" s="98"/>
      <c r="EW889" s="98"/>
      <c r="EX889" s="98"/>
      <c r="EY889" s="98"/>
      <c r="EZ889" s="178"/>
    </row>
    <row r="890" spans="60:156">
      <c r="BH890" s="19"/>
      <c r="BI890" s="19"/>
      <c r="BJ890" s="19"/>
      <c r="BK890" s="19"/>
      <c r="BL890" s="19"/>
      <c r="BM890" s="98"/>
      <c r="BN890" s="98"/>
      <c r="BO890" s="98"/>
      <c r="BP890" s="98"/>
      <c r="BQ890" s="98"/>
      <c r="BR890" s="98"/>
      <c r="BS890" s="98"/>
      <c r="BT890" s="98"/>
      <c r="BU890" s="98"/>
      <c r="BV890" s="98"/>
      <c r="BW890" s="98"/>
      <c r="BX890" s="98"/>
      <c r="BY890" s="98"/>
      <c r="BZ890" s="98"/>
      <c r="DA890" s="177"/>
      <c r="EH890" s="19"/>
      <c r="EI890" s="19"/>
      <c r="EJ890" s="19"/>
      <c r="EK890" s="19"/>
      <c r="EL890" s="19"/>
      <c r="EM890" s="98"/>
      <c r="EN890" s="98"/>
      <c r="EO890" s="98"/>
      <c r="EP890" s="98"/>
      <c r="EQ890" s="98"/>
      <c r="ER890" s="98"/>
      <c r="ES890" s="98"/>
      <c r="ET890" s="98"/>
      <c r="EU890" s="98"/>
      <c r="EV890" s="98"/>
      <c r="EW890" s="98"/>
      <c r="EX890" s="98"/>
      <c r="EY890" s="98"/>
      <c r="EZ890" s="178"/>
    </row>
    <row r="891" spans="60:156">
      <c r="BH891" s="19"/>
      <c r="BI891" s="19"/>
      <c r="BJ891" s="19"/>
      <c r="BK891" s="19"/>
      <c r="BL891" s="19"/>
      <c r="BM891" s="98"/>
      <c r="BN891" s="98"/>
      <c r="BO891" s="98"/>
      <c r="BP891" s="98"/>
      <c r="BQ891" s="98"/>
      <c r="BR891" s="98"/>
      <c r="BS891" s="98"/>
      <c r="BT891" s="98"/>
      <c r="BU891" s="98"/>
      <c r="BV891" s="98"/>
      <c r="BW891" s="98"/>
      <c r="BX891" s="98"/>
      <c r="BY891" s="98"/>
      <c r="BZ891" s="98"/>
      <c r="DA891" s="177"/>
      <c r="EH891" s="19"/>
      <c r="EI891" s="19"/>
      <c r="EJ891" s="19"/>
      <c r="EK891" s="19"/>
      <c r="EL891" s="19"/>
      <c r="EM891" s="98"/>
      <c r="EN891" s="98"/>
      <c r="EO891" s="98"/>
      <c r="EP891" s="98"/>
      <c r="EQ891" s="98"/>
      <c r="ER891" s="98"/>
      <c r="ES891" s="98"/>
      <c r="ET891" s="98"/>
      <c r="EU891" s="98"/>
      <c r="EV891" s="98"/>
      <c r="EW891" s="98"/>
      <c r="EX891" s="98"/>
      <c r="EY891" s="98"/>
      <c r="EZ891" s="178"/>
    </row>
    <row r="892" spans="60:156">
      <c r="BH892" s="19"/>
      <c r="BI892" s="19"/>
      <c r="BJ892" s="19"/>
      <c r="BK892" s="19"/>
      <c r="BL892" s="19"/>
      <c r="BM892" s="98"/>
      <c r="BN892" s="98"/>
      <c r="BO892" s="98"/>
      <c r="BP892" s="98"/>
      <c r="BQ892" s="98"/>
      <c r="BR892" s="98"/>
      <c r="BS892" s="98"/>
      <c r="BT892" s="98"/>
      <c r="BU892" s="98"/>
      <c r="BV892" s="98"/>
      <c r="BW892" s="98"/>
      <c r="BX892" s="98"/>
      <c r="BY892" s="98"/>
      <c r="BZ892" s="98"/>
      <c r="DA892" s="177"/>
      <c r="EH892" s="19"/>
      <c r="EI892" s="19"/>
      <c r="EJ892" s="19"/>
      <c r="EK892" s="19"/>
      <c r="EL892" s="19"/>
      <c r="EM892" s="98"/>
      <c r="EN892" s="98"/>
      <c r="EO892" s="98"/>
      <c r="EP892" s="98"/>
      <c r="EQ892" s="98"/>
      <c r="ER892" s="98"/>
      <c r="ES892" s="98"/>
      <c r="ET892" s="98"/>
      <c r="EU892" s="98"/>
      <c r="EV892" s="98"/>
      <c r="EW892" s="98"/>
      <c r="EX892" s="98"/>
      <c r="EY892" s="98"/>
      <c r="EZ892" s="178"/>
    </row>
    <row r="893" spans="60:156">
      <c r="BH893" s="19"/>
      <c r="BI893" s="19"/>
      <c r="BJ893" s="19"/>
      <c r="BK893" s="19"/>
      <c r="BL893" s="19"/>
      <c r="BM893" s="98"/>
      <c r="BN893" s="98"/>
      <c r="BO893" s="98"/>
      <c r="BP893" s="98"/>
      <c r="BQ893" s="98"/>
      <c r="BR893" s="98"/>
      <c r="BS893" s="98"/>
      <c r="BT893" s="98"/>
      <c r="BU893" s="98"/>
      <c r="BV893" s="98"/>
      <c r="BW893" s="98"/>
      <c r="BX893" s="98"/>
      <c r="BY893" s="98"/>
      <c r="BZ893" s="98"/>
      <c r="DA893" s="177"/>
      <c r="EH893" s="19"/>
      <c r="EI893" s="19"/>
      <c r="EJ893" s="19"/>
      <c r="EK893" s="19"/>
      <c r="EL893" s="19"/>
      <c r="EM893" s="98"/>
      <c r="EN893" s="98"/>
      <c r="EO893" s="98"/>
      <c r="EP893" s="98"/>
      <c r="EQ893" s="98"/>
      <c r="ER893" s="98"/>
      <c r="ES893" s="98"/>
      <c r="ET893" s="98"/>
      <c r="EU893" s="98"/>
      <c r="EV893" s="98"/>
      <c r="EW893" s="98"/>
      <c r="EX893" s="98"/>
      <c r="EY893" s="98"/>
      <c r="EZ893" s="178"/>
    </row>
    <row r="894" spans="60:156">
      <c r="BH894" s="19"/>
      <c r="BI894" s="19"/>
      <c r="BJ894" s="19"/>
      <c r="BK894" s="19"/>
      <c r="BL894" s="19"/>
      <c r="BM894" s="98"/>
      <c r="BN894" s="98"/>
      <c r="BO894" s="98"/>
      <c r="BP894" s="98"/>
      <c r="BQ894" s="98"/>
      <c r="BR894" s="98"/>
      <c r="BS894" s="98"/>
      <c r="BT894" s="98"/>
      <c r="BU894" s="98"/>
      <c r="BV894" s="98"/>
      <c r="BW894" s="98"/>
      <c r="BX894" s="98"/>
      <c r="BY894" s="98"/>
      <c r="BZ894" s="98"/>
      <c r="DA894" s="177"/>
      <c r="EH894" s="19"/>
      <c r="EI894" s="19"/>
      <c r="EJ894" s="19"/>
      <c r="EK894" s="19"/>
      <c r="EL894" s="19"/>
      <c r="EM894" s="98"/>
      <c r="EN894" s="98"/>
      <c r="EO894" s="98"/>
      <c r="EP894" s="98"/>
      <c r="EQ894" s="98"/>
      <c r="ER894" s="98"/>
      <c r="ES894" s="98"/>
      <c r="ET894" s="98"/>
      <c r="EU894" s="98"/>
      <c r="EV894" s="98"/>
      <c r="EW894" s="98"/>
      <c r="EX894" s="98"/>
      <c r="EY894" s="98"/>
      <c r="EZ894" s="178"/>
    </row>
    <row r="895" spans="60:156">
      <c r="BH895" s="19"/>
      <c r="BI895" s="19"/>
      <c r="BJ895" s="19"/>
      <c r="BK895" s="19"/>
      <c r="BL895" s="19"/>
      <c r="BM895" s="98"/>
      <c r="BN895" s="98"/>
      <c r="BO895" s="98"/>
      <c r="BP895" s="98"/>
      <c r="BQ895" s="98"/>
      <c r="BR895" s="98"/>
      <c r="BS895" s="98"/>
      <c r="BT895" s="98"/>
      <c r="BU895" s="98"/>
      <c r="BV895" s="98"/>
      <c r="BW895" s="98"/>
      <c r="BX895" s="98"/>
      <c r="BY895" s="98"/>
      <c r="BZ895" s="98"/>
      <c r="DA895" s="177"/>
      <c r="EH895" s="19"/>
      <c r="EI895" s="19"/>
      <c r="EJ895" s="19"/>
      <c r="EK895" s="19"/>
      <c r="EL895" s="19"/>
      <c r="EM895" s="98"/>
      <c r="EN895" s="98"/>
      <c r="EO895" s="98"/>
      <c r="EP895" s="98"/>
      <c r="EQ895" s="98"/>
      <c r="ER895" s="98"/>
      <c r="ES895" s="98"/>
      <c r="ET895" s="98"/>
      <c r="EU895" s="98"/>
      <c r="EV895" s="98"/>
      <c r="EW895" s="98"/>
      <c r="EX895" s="98"/>
      <c r="EY895" s="98"/>
      <c r="EZ895" s="178"/>
    </row>
    <row r="896" spans="60:156">
      <c r="BH896" s="19"/>
      <c r="BI896" s="19"/>
      <c r="BJ896" s="19"/>
      <c r="BK896" s="19"/>
      <c r="BL896" s="19"/>
      <c r="BM896" s="98"/>
      <c r="BN896" s="98"/>
      <c r="BO896" s="98"/>
      <c r="BP896" s="98"/>
      <c r="BQ896" s="98"/>
      <c r="BR896" s="98"/>
      <c r="BS896" s="98"/>
      <c r="BT896" s="98"/>
      <c r="BU896" s="98"/>
      <c r="BV896" s="98"/>
      <c r="BW896" s="98"/>
      <c r="BX896" s="98"/>
      <c r="BY896" s="98"/>
      <c r="BZ896" s="98"/>
      <c r="DA896" s="177"/>
      <c r="EH896" s="19"/>
      <c r="EI896" s="19"/>
      <c r="EJ896" s="19"/>
      <c r="EK896" s="19"/>
      <c r="EL896" s="19"/>
      <c r="EM896" s="98"/>
      <c r="EN896" s="98"/>
      <c r="EO896" s="98"/>
      <c r="EP896" s="98"/>
      <c r="EQ896" s="98"/>
      <c r="ER896" s="98"/>
      <c r="ES896" s="98"/>
      <c r="ET896" s="98"/>
      <c r="EU896" s="98"/>
      <c r="EV896" s="98"/>
      <c r="EW896" s="98"/>
      <c r="EX896" s="98"/>
      <c r="EY896" s="98"/>
      <c r="EZ896" s="178"/>
    </row>
    <row r="897" spans="60:156">
      <c r="BH897" s="19"/>
      <c r="BI897" s="19"/>
      <c r="BJ897" s="19"/>
      <c r="BK897" s="19"/>
      <c r="BL897" s="19"/>
      <c r="BM897" s="98"/>
      <c r="BN897" s="98"/>
      <c r="BO897" s="98"/>
      <c r="BP897" s="98"/>
      <c r="BQ897" s="98"/>
      <c r="BR897" s="98"/>
      <c r="BS897" s="98"/>
      <c r="BT897" s="98"/>
      <c r="BU897" s="98"/>
      <c r="BV897" s="98"/>
      <c r="BW897" s="98"/>
      <c r="BX897" s="98"/>
      <c r="BY897" s="98"/>
      <c r="BZ897" s="98"/>
      <c r="DA897" s="177"/>
      <c r="EH897" s="19"/>
      <c r="EI897" s="19"/>
      <c r="EJ897" s="19"/>
      <c r="EK897" s="19"/>
      <c r="EL897" s="19"/>
      <c r="EM897" s="98"/>
      <c r="EN897" s="98"/>
      <c r="EO897" s="98"/>
      <c r="EP897" s="98"/>
      <c r="EQ897" s="98"/>
      <c r="ER897" s="98"/>
      <c r="ES897" s="98"/>
      <c r="ET897" s="98"/>
      <c r="EU897" s="98"/>
      <c r="EV897" s="98"/>
      <c r="EW897" s="98"/>
      <c r="EX897" s="98"/>
      <c r="EY897" s="98"/>
      <c r="EZ897" s="178"/>
    </row>
    <row r="898" spans="60:156">
      <c r="BH898" s="19"/>
      <c r="BI898" s="19"/>
      <c r="BJ898" s="19"/>
      <c r="BK898" s="19"/>
      <c r="BL898" s="19"/>
      <c r="BM898" s="98"/>
      <c r="BN898" s="98"/>
      <c r="BO898" s="98"/>
      <c r="BP898" s="98"/>
      <c r="BQ898" s="98"/>
      <c r="BR898" s="98"/>
      <c r="BS898" s="98"/>
      <c r="BT898" s="98"/>
      <c r="BU898" s="98"/>
      <c r="BV898" s="98"/>
      <c r="BW898" s="98"/>
      <c r="BX898" s="98"/>
      <c r="BY898" s="98"/>
      <c r="BZ898" s="98"/>
      <c r="DA898" s="177"/>
      <c r="EH898" s="19"/>
      <c r="EI898" s="19"/>
      <c r="EJ898" s="19"/>
      <c r="EK898" s="19"/>
      <c r="EL898" s="19"/>
      <c r="EM898" s="98"/>
      <c r="EN898" s="98"/>
      <c r="EO898" s="98"/>
      <c r="EP898" s="98"/>
      <c r="EQ898" s="98"/>
      <c r="ER898" s="98"/>
      <c r="ES898" s="98"/>
      <c r="ET898" s="98"/>
      <c r="EU898" s="98"/>
      <c r="EV898" s="98"/>
      <c r="EW898" s="98"/>
      <c r="EX898" s="98"/>
      <c r="EY898" s="98"/>
      <c r="EZ898" s="178"/>
    </row>
    <row r="899" spans="60:156">
      <c r="BH899" s="19"/>
      <c r="BI899" s="19"/>
      <c r="BJ899" s="19"/>
      <c r="BK899" s="19"/>
      <c r="BL899" s="19"/>
      <c r="BM899" s="98"/>
      <c r="BN899" s="98"/>
      <c r="BO899" s="98"/>
      <c r="BP899" s="98"/>
      <c r="BQ899" s="98"/>
      <c r="BR899" s="98"/>
      <c r="BS899" s="98"/>
      <c r="BT899" s="98"/>
      <c r="BU899" s="98"/>
      <c r="BV899" s="98"/>
      <c r="BW899" s="98"/>
      <c r="BX899" s="98"/>
      <c r="BY899" s="98"/>
      <c r="BZ899" s="98"/>
      <c r="DA899" s="177"/>
      <c r="EH899" s="19"/>
      <c r="EI899" s="19"/>
      <c r="EJ899" s="19"/>
      <c r="EK899" s="19"/>
      <c r="EL899" s="19"/>
      <c r="EM899" s="98"/>
      <c r="EN899" s="98"/>
      <c r="EO899" s="98"/>
      <c r="EP899" s="98"/>
      <c r="EQ899" s="98"/>
      <c r="ER899" s="98"/>
      <c r="ES899" s="98"/>
      <c r="ET899" s="98"/>
      <c r="EU899" s="98"/>
      <c r="EV899" s="98"/>
      <c r="EW899" s="98"/>
      <c r="EX899" s="98"/>
      <c r="EY899" s="98"/>
      <c r="EZ899" s="178"/>
    </row>
    <row r="900" spans="60:156">
      <c r="BH900" s="19"/>
      <c r="BI900" s="19"/>
      <c r="BJ900" s="19"/>
      <c r="BK900" s="19"/>
      <c r="BL900" s="19"/>
      <c r="BM900" s="98"/>
      <c r="BN900" s="98"/>
      <c r="BO900" s="98"/>
      <c r="BP900" s="98"/>
      <c r="BQ900" s="98"/>
      <c r="BR900" s="98"/>
      <c r="BS900" s="98"/>
      <c r="BT900" s="98"/>
      <c r="BU900" s="98"/>
      <c r="BV900" s="98"/>
      <c r="BW900" s="98"/>
      <c r="BX900" s="98"/>
      <c r="BY900" s="98"/>
      <c r="BZ900" s="98"/>
      <c r="DA900" s="177"/>
      <c r="EH900" s="19"/>
      <c r="EI900" s="19"/>
      <c r="EJ900" s="19"/>
      <c r="EK900" s="19"/>
      <c r="EL900" s="19"/>
      <c r="EM900" s="98"/>
      <c r="EN900" s="98"/>
      <c r="EO900" s="98"/>
      <c r="EP900" s="98"/>
      <c r="EQ900" s="98"/>
      <c r="ER900" s="98"/>
      <c r="ES900" s="98"/>
      <c r="ET900" s="98"/>
      <c r="EU900" s="98"/>
      <c r="EV900" s="98"/>
      <c r="EW900" s="98"/>
      <c r="EX900" s="98"/>
      <c r="EY900" s="98"/>
      <c r="EZ900" s="178"/>
    </row>
    <row r="901" spans="60:156">
      <c r="BH901" s="19"/>
      <c r="BI901" s="19"/>
      <c r="BJ901" s="19"/>
      <c r="BK901" s="19"/>
      <c r="BL901" s="19"/>
      <c r="BM901" s="98"/>
      <c r="BN901" s="98"/>
      <c r="BO901" s="98"/>
      <c r="BP901" s="98"/>
      <c r="BQ901" s="98"/>
      <c r="BR901" s="98"/>
      <c r="BS901" s="98"/>
      <c r="BT901" s="98"/>
      <c r="BU901" s="98"/>
      <c r="BV901" s="98"/>
      <c r="BW901" s="98"/>
      <c r="BX901" s="98"/>
      <c r="BY901" s="98"/>
      <c r="BZ901" s="98"/>
      <c r="DA901" s="177"/>
      <c r="EH901" s="19"/>
      <c r="EI901" s="19"/>
      <c r="EJ901" s="19"/>
      <c r="EK901" s="19"/>
      <c r="EL901" s="19"/>
      <c r="EM901" s="98"/>
      <c r="EN901" s="98"/>
      <c r="EO901" s="98"/>
      <c r="EP901" s="98"/>
      <c r="EQ901" s="98"/>
      <c r="ER901" s="98"/>
      <c r="ES901" s="98"/>
      <c r="ET901" s="98"/>
      <c r="EU901" s="98"/>
      <c r="EV901" s="98"/>
      <c r="EW901" s="98"/>
      <c r="EX901" s="98"/>
      <c r="EY901" s="98"/>
      <c r="EZ901" s="178"/>
    </row>
    <row r="902" spans="60:156">
      <c r="BH902" s="19"/>
      <c r="BI902" s="19"/>
      <c r="BJ902" s="19"/>
      <c r="BK902" s="19"/>
      <c r="BL902" s="19"/>
      <c r="BM902" s="98"/>
      <c r="BN902" s="98"/>
      <c r="BO902" s="98"/>
      <c r="BP902" s="98"/>
      <c r="BQ902" s="98"/>
      <c r="BR902" s="98"/>
      <c r="BS902" s="98"/>
      <c r="BT902" s="98"/>
      <c r="BU902" s="98"/>
      <c r="BV902" s="98"/>
      <c r="BW902" s="98"/>
      <c r="BX902" s="98"/>
      <c r="BY902" s="98"/>
      <c r="BZ902" s="98"/>
      <c r="DA902" s="177"/>
      <c r="EH902" s="19"/>
      <c r="EI902" s="19"/>
      <c r="EJ902" s="19"/>
      <c r="EK902" s="19"/>
      <c r="EL902" s="19"/>
      <c r="EM902" s="98"/>
      <c r="EN902" s="98"/>
      <c r="EO902" s="98"/>
      <c r="EP902" s="98"/>
      <c r="EQ902" s="98"/>
      <c r="ER902" s="98"/>
      <c r="ES902" s="98"/>
      <c r="ET902" s="98"/>
      <c r="EU902" s="98"/>
      <c r="EV902" s="98"/>
      <c r="EW902" s="98"/>
      <c r="EX902" s="98"/>
      <c r="EY902" s="98"/>
      <c r="EZ902" s="178"/>
    </row>
    <row r="903" spans="60:156">
      <c r="BH903" s="19"/>
      <c r="BI903" s="19"/>
      <c r="BJ903" s="19"/>
      <c r="BK903" s="19"/>
      <c r="BL903" s="19"/>
      <c r="BM903" s="98"/>
      <c r="BN903" s="98"/>
      <c r="BO903" s="98"/>
      <c r="BP903" s="98"/>
      <c r="BQ903" s="98"/>
      <c r="BR903" s="98"/>
      <c r="BS903" s="98"/>
      <c r="BT903" s="98"/>
      <c r="BU903" s="98"/>
      <c r="BV903" s="98"/>
      <c r="BW903" s="98"/>
      <c r="BX903" s="98"/>
      <c r="BY903" s="98"/>
      <c r="BZ903" s="98"/>
      <c r="DA903" s="177"/>
      <c r="EH903" s="19"/>
      <c r="EI903" s="19"/>
      <c r="EJ903" s="19"/>
      <c r="EK903" s="19"/>
      <c r="EL903" s="19"/>
      <c r="EM903" s="98"/>
      <c r="EN903" s="98"/>
      <c r="EO903" s="98"/>
      <c r="EP903" s="98"/>
      <c r="EQ903" s="98"/>
      <c r="ER903" s="98"/>
      <c r="ES903" s="98"/>
      <c r="ET903" s="98"/>
      <c r="EU903" s="98"/>
      <c r="EV903" s="98"/>
      <c r="EW903" s="98"/>
      <c r="EX903" s="98"/>
      <c r="EY903" s="98"/>
      <c r="EZ903" s="178"/>
    </row>
    <row r="904" spans="60:156">
      <c r="BH904" s="19"/>
      <c r="BI904" s="19"/>
      <c r="BJ904" s="19"/>
      <c r="BK904" s="19"/>
      <c r="BL904" s="19"/>
      <c r="BM904" s="98"/>
      <c r="BN904" s="98"/>
      <c r="BO904" s="98"/>
      <c r="BP904" s="98"/>
      <c r="BQ904" s="98"/>
      <c r="BR904" s="98"/>
      <c r="BS904" s="98"/>
      <c r="BT904" s="98"/>
      <c r="BU904" s="98"/>
      <c r="BV904" s="98"/>
      <c r="BW904" s="98"/>
      <c r="BX904" s="98"/>
      <c r="BY904" s="98"/>
      <c r="BZ904" s="98"/>
      <c r="DA904" s="177"/>
      <c r="EH904" s="19"/>
      <c r="EI904" s="19"/>
      <c r="EJ904" s="19"/>
      <c r="EK904" s="19"/>
      <c r="EL904" s="19"/>
      <c r="EM904" s="98"/>
      <c r="EN904" s="98"/>
      <c r="EO904" s="98"/>
      <c r="EP904" s="98"/>
      <c r="EQ904" s="98"/>
      <c r="ER904" s="98"/>
      <c r="ES904" s="98"/>
      <c r="ET904" s="98"/>
      <c r="EU904" s="98"/>
      <c r="EV904" s="98"/>
      <c r="EW904" s="98"/>
      <c r="EX904" s="98"/>
      <c r="EY904" s="98"/>
      <c r="EZ904" s="178"/>
    </row>
    <row r="905" spans="60:156">
      <c r="BH905" s="19"/>
      <c r="BI905" s="19"/>
      <c r="BJ905" s="19"/>
      <c r="BK905" s="19"/>
      <c r="BL905" s="19"/>
      <c r="BM905" s="98"/>
      <c r="BN905" s="98"/>
      <c r="BO905" s="98"/>
      <c r="BP905" s="98"/>
      <c r="BQ905" s="98"/>
      <c r="BR905" s="98"/>
      <c r="BS905" s="98"/>
      <c r="BT905" s="98"/>
      <c r="BU905" s="98"/>
      <c r="BV905" s="98"/>
      <c r="BW905" s="98"/>
      <c r="BX905" s="98"/>
      <c r="BY905" s="98"/>
      <c r="BZ905" s="98"/>
      <c r="DA905" s="177"/>
      <c r="EH905" s="19"/>
      <c r="EI905" s="19"/>
      <c r="EJ905" s="19"/>
      <c r="EK905" s="19"/>
      <c r="EL905" s="19"/>
      <c r="EM905" s="98"/>
      <c r="EN905" s="98"/>
      <c r="EO905" s="98"/>
      <c r="EP905" s="98"/>
      <c r="EQ905" s="98"/>
      <c r="ER905" s="98"/>
      <c r="ES905" s="98"/>
      <c r="ET905" s="98"/>
      <c r="EU905" s="98"/>
      <c r="EV905" s="98"/>
      <c r="EW905" s="98"/>
      <c r="EX905" s="98"/>
      <c r="EY905" s="98"/>
      <c r="EZ905" s="178"/>
    </row>
    <row r="906" spans="60:156">
      <c r="BH906" s="19"/>
      <c r="BI906" s="19"/>
      <c r="BJ906" s="19"/>
      <c r="BK906" s="19"/>
      <c r="BL906" s="19"/>
      <c r="BM906" s="98"/>
      <c r="BN906" s="98"/>
      <c r="BO906" s="98"/>
      <c r="BP906" s="98"/>
      <c r="BQ906" s="98"/>
      <c r="BR906" s="98"/>
      <c r="BS906" s="98"/>
      <c r="BT906" s="98"/>
      <c r="BU906" s="98"/>
      <c r="BV906" s="98"/>
      <c r="BW906" s="98"/>
      <c r="BX906" s="98"/>
      <c r="BY906" s="98"/>
      <c r="BZ906" s="98"/>
      <c r="DA906" s="177"/>
      <c r="EH906" s="19"/>
      <c r="EI906" s="19"/>
      <c r="EJ906" s="19"/>
      <c r="EK906" s="19"/>
      <c r="EL906" s="19"/>
      <c r="EM906" s="98"/>
      <c r="EN906" s="98"/>
      <c r="EO906" s="98"/>
      <c r="EP906" s="98"/>
      <c r="EQ906" s="98"/>
      <c r="ER906" s="98"/>
      <c r="ES906" s="98"/>
      <c r="ET906" s="98"/>
      <c r="EU906" s="98"/>
      <c r="EV906" s="98"/>
      <c r="EW906" s="98"/>
      <c r="EX906" s="98"/>
      <c r="EY906" s="98"/>
      <c r="EZ906" s="178"/>
    </row>
    <row r="907" spans="60:156">
      <c r="BH907" s="19"/>
      <c r="BI907" s="19"/>
      <c r="BJ907" s="19"/>
      <c r="BK907" s="19"/>
      <c r="BL907" s="19"/>
      <c r="BM907" s="98"/>
      <c r="BN907" s="98"/>
      <c r="BO907" s="98"/>
      <c r="BP907" s="98"/>
      <c r="BQ907" s="98"/>
      <c r="BR907" s="98"/>
      <c r="BS907" s="98"/>
      <c r="BT907" s="98"/>
      <c r="BU907" s="98"/>
      <c r="BV907" s="98"/>
      <c r="BW907" s="98"/>
      <c r="BX907" s="98"/>
      <c r="BY907" s="98"/>
      <c r="BZ907" s="98"/>
      <c r="DA907" s="177"/>
      <c r="EH907" s="19"/>
      <c r="EI907" s="19"/>
      <c r="EJ907" s="19"/>
      <c r="EK907" s="19"/>
      <c r="EL907" s="19"/>
      <c r="EM907" s="98"/>
      <c r="EN907" s="98"/>
      <c r="EO907" s="98"/>
      <c r="EP907" s="98"/>
      <c r="EQ907" s="98"/>
      <c r="ER907" s="98"/>
      <c r="ES907" s="98"/>
      <c r="ET907" s="98"/>
      <c r="EU907" s="98"/>
      <c r="EV907" s="98"/>
      <c r="EW907" s="98"/>
      <c r="EX907" s="98"/>
      <c r="EY907" s="98"/>
      <c r="EZ907" s="178"/>
    </row>
    <row r="908" spans="60:156">
      <c r="BH908" s="19"/>
      <c r="BI908" s="19"/>
      <c r="BJ908" s="19"/>
      <c r="BK908" s="19"/>
      <c r="BL908" s="19"/>
      <c r="BM908" s="98"/>
      <c r="BN908" s="98"/>
      <c r="BO908" s="98"/>
      <c r="BP908" s="98"/>
      <c r="BQ908" s="98"/>
      <c r="BR908" s="98"/>
      <c r="BS908" s="98"/>
      <c r="BT908" s="98"/>
      <c r="BU908" s="98"/>
      <c r="BV908" s="98"/>
      <c r="BW908" s="98"/>
      <c r="BX908" s="98"/>
      <c r="BY908" s="98"/>
      <c r="BZ908" s="98"/>
      <c r="DA908" s="177"/>
      <c r="EH908" s="19"/>
      <c r="EI908" s="19"/>
      <c r="EJ908" s="19"/>
      <c r="EK908" s="19"/>
      <c r="EL908" s="19"/>
      <c r="EM908" s="98"/>
      <c r="EN908" s="98"/>
      <c r="EO908" s="98"/>
      <c r="EP908" s="98"/>
      <c r="EQ908" s="98"/>
      <c r="ER908" s="98"/>
      <c r="ES908" s="98"/>
      <c r="ET908" s="98"/>
      <c r="EU908" s="98"/>
      <c r="EV908" s="98"/>
      <c r="EW908" s="98"/>
      <c r="EX908" s="98"/>
      <c r="EY908" s="98"/>
      <c r="EZ908" s="178"/>
    </row>
    <row r="909" spans="60:156">
      <c r="BH909" s="19"/>
      <c r="BI909" s="19"/>
      <c r="BJ909" s="19"/>
      <c r="BK909" s="19"/>
      <c r="BL909" s="19"/>
      <c r="BM909" s="98"/>
      <c r="BN909" s="98"/>
      <c r="BO909" s="98"/>
      <c r="BP909" s="98"/>
      <c r="BQ909" s="98"/>
      <c r="BR909" s="98"/>
      <c r="BS909" s="98"/>
      <c r="BT909" s="98"/>
      <c r="BU909" s="98"/>
      <c r="BV909" s="98"/>
      <c r="BW909" s="98"/>
      <c r="BX909" s="98"/>
      <c r="BY909" s="98"/>
      <c r="BZ909" s="98"/>
      <c r="DA909" s="177"/>
      <c r="EH909" s="19"/>
      <c r="EI909" s="19"/>
      <c r="EJ909" s="19"/>
      <c r="EK909" s="19"/>
      <c r="EL909" s="19"/>
      <c r="EM909" s="98"/>
      <c r="EN909" s="98"/>
      <c r="EO909" s="98"/>
      <c r="EP909" s="98"/>
      <c r="EQ909" s="98"/>
      <c r="ER909" s="98"/>
      <c r="ES909" s="98"/>
      <c r="ET909" s="98"/>
      <c r="EU909" s="98"/>
      <c r="EV909" s="98"/>
      <c r="EW909" s="98"/>
      <c r="EX909" s="98"/>
      <c r="EY909" s="98"/>
      <c r="EZ909" s="178"/>
    </row>
    <row r="910" spans="60:156">
      <c r="BH910" s="19"/>
      <c r="BI910" s="19"/>
      <c r="BJ910" s="19"/>
      <c r="BK910" s="19"/>
      <c r="BL910" s="19"/>
      <c r="BM910" s="98"/>
      <c r="BN910" s="98"/>
      <c r="BO910" s="98"/>
      <c r="BP910" s="98"/>
      <c r="BQ910" s="98"/>
      <c r="BR910" s="98"/>
      <c r="BS910" s="98"/>
      <c r="BT910" s="98"/>
      <c r="BU910" s="98"/>
      <c r="BV910" s="98"/>
      <c r="BW910" s="98"/>
      <c r="BX910" s="98"/>
      <c r="BY910" s="98"/>
      <c r="BZ910" s="98"/>
      <c r="DA910" s="177"/>
      <c r="EH910" s="19"/>
      <c r="EI910" s="19"/>
      <c r="EJ910" s="19"/>
      <c r="EK910" s="19"/>
      <c r="EL910" s="19"/>
      <c r="EM910" s="98"/>
      <c r="EN910" s="98"/>
      <c r="EO910" s="98"/>
      <c r="EP910" s="98"/>
      <c r="EQ910" s="98"/>
      <c r="ER910" s="98"/>
      <c r="ES910" s="98"/>
      <c r="ET910" s="98"/>
      <c r="EU910" s="98"/>
      <c r="EV910" s="98"/>
      <c r="EW910" s="98"/>
      <c r="EX910" s="98"/>
      <c r="EY910" s="98"/>
      <c r="EZ910" s="178"/>
    </row>
    <row r="911" spans="60:156">
      <c r="BH911" s="19"/>
      <c r="BI911" s="19"/>
      <c r="BJ911" s="19"/>
      <c r="BK911" s="19"/>
      <c r="BL911" s="19"/>
      <c r="BM911" s="98"/>
      <c r="BN911" s="98"/>
      <c r="BO911" s="98"/>
      <c r="BP911" s="98"/>
      <c r="BQ911" s="98"/>
      <c r="BR911" s="98"/>
      <c r="BS911" s="98"/>
      <c r="BT911" s="98"/>
      <c r="BU911" s="98"/>
      <c r="BV911" s="98"/>
      <c r="BW911" s="98"/>
      <c r="BX911" s="98"/>
      <c r="BY911" s="98"/>
      <c r="BZ911" s="98"/>
      <c r="DA911" s="177"/>
      <c r="EH911" s="19"/>
      <c r="EI911" s="19"/>
      <c r="EJ911" s="19"/>
      <c r="EK911" s="19"/>
      <c r="EL911" s="19"/>
      <c r="EM911" s="98"/>
      <c r="EN911" s="98"/>
      <c r="EO911" s="98"/>
      <c r="EP911" s="98"/>
      <c r="EQ911" s="98"/>
      <c r="ER911" s="98"/>
      <c r="ES911" s="98"/>
      <c r="ET911" s="98"/>
      <c r="EU911" s="98"/>
      <c r="EV911" s="98"/>
      <c r="EW911" s="98"/>
      <c r="EX911" s="98"/>
      <c r="EY911" s="98"/>
      <c r="EZ911" s="178"/>
    </row>
    <row r="912" spans="60:156">
      <c r="BH912" s="19"/>
      <c r="BI912" s="19"/>
      <c r="BJ912" s="19"/>
      <c r="BK912" s="19"/>
      <c r="BL912" s="19"/>
      <c r="BM912" s="98"/>
      <c r="BN912" s="98"/>
      <c r="BO912" s="98"/>
      <c r="BP912" s="98"/>
      <c r="BQ912" s="98"/>
      <c r="BR912" s="98"/>
      <c r="BS912" s="98"/>
      <c r="BT912" s="98"/>
      <c r="BU912" s="98"/>
      <c r="BV912" s="98"/>
      <c r="BW912" s="98"/>
      <c r="BX912" s="98"/>
      <c r="BY912" s="98"/>
      <c r="BZ912" s="98"/>
      <c r="DA912" s="177"/>
      <c r="EH912" s="19"/>
      <c r="EI912" s="19"/>
      <c r="EJ912" s="19"/>
      <c r="EK912" s="19"/>
      <c r="EL912" s="19"/>
      <c r="EM912" s="98"/>
      <c r="EN912" s="98"/>
      <c r="EO912" s="98"/>
      <c r="EP912" s="98"/>
      <c r="EQ912" s="98"/>
      <c r="ER912" s="98"/>
      <c r="ES912" s="98"/>
      <c r="ET912" s="98"/>
      <c r="EU912" s="98"/>
      <c r="EV912" s="98"/>
      <c r="EW912" s="98"/>
      <c r="EX912" s="98"/>
      <c r="EY912" s="98"/>
      <c r="EZ912" s="178"/>
    </row>
    <row r="913" spans="60:156">
      <c r="BH913" s="19"/>
      <c r="BI913" s="19"/>
      <c r="BJ913" s="19"/>
      <c r="BK913" s="19"/>
      <c r="BL913" s="19"/>
      <c r="BM913" s="98"/>
      <c r="BN913" s="98"/>
      <c r="BO913" s="98"/>
      <c r="BP913" s="98"/>
      <c r="BQ913" s="98"/>
      <c r="BR913" s="98"/>
      <c r="BS913" s="98"/>
      <c r="BT913" s="98"/>
      <c r="BU913" s="98"/>
      <c r="BV913" s="98"/>
      <c r="BW913" s="98"/>
      <c r="BX913" s="98"/>
      <c r="BY913" s="98"/>
      <c r="BZ913" s="98"/>
      <c r="DA913" s="177"/>
      <c r="EH913" s="19"/>
      <c r="EI913" s="19"/>
      <c r="EJ913" s="19"/>
      <c r="EK913" s="19"/>
      <c r="EL913" s="19"/>
      <c r="EM913" s="98"/>
      <c r="EN913" s="98"/>
      <c r="EO913" s="98"/>
      <c r="EP913" s="98"/>
      <c r="EQ913" s="98"/>
      <c r="ER913" s="98"/>
      <c r="ES913" s="98"/>
      <c r="ET913" s="98"/>
      <c r="EU913" s="98"/>
      <c r="EV913" s="98"/>
      <c r="EW913" s="98"/>
      <c r="EX913" s="98"/>
      <c r="EY913" s="98"/>
      <c r="EZ913" s="178"/>
    </row>
    <row r="914" spans="60:156">
      <c r="BH914" s="19"/>
      <c r="BI914" s="19"/>
      <c r="BJ914" s="19"/>
      <c r="BK914" s="19"/>
      <c r="BL914" s="19"/>
      <c r="BM914" s="98"/>
      <c r="BN914" s="98"/>
      <c r="BO914" s="98"/>
      <c r="BP914" s="98"/>
      <c r="BQ914" s="98"/>
      <c r="BR914" s="98"/>
      <c r="BS914" s="98"/>
      <c r="BT914" s="98"/>
      <c r="BU914" s="98"/>
      <c r="BV914" s="98"/>
      <c r="BW914" s="98"/>
      <c r="BX914" s="98"/>
      <c r="BY914" s="98"/>
      <c r="BZ914" s="98"/>
      <c r="DA914" s="177"/>
      <c r="EH914" s="19"/>
      <c r="EI914" s="19"/>
      <c r="EJ914" s="19"/>
      <c r="EK914" s="19"/>
      <c r="EL914" s="19"/>
      <c r="EM914" s="98"/>
      <c r="EN914" s="98"/>
      <c r="EO914" s="98"/>
      <c r="EP914" s="98"/>
      <c r="EQ914" s="98"/>
      <c r="ER914" s="98"/>
      <c r="ES914" s="98"/>
      <c r="ET914" s="98"/>
      <c r="EU914" s="98"/>
      <c r="EV914" s="98"/>
      <c r="EW914" s="98"/>
      <c r="EX914" s="98"/>
      <c r="EY914" s="98"/>
      <c r="EZ914" s="178"/>
    </row>
    <row r="915" spans="60:156">
      <c r="BH915" s="19"/>
      <c r="BI915" s="19"/>
      <c r="BJ915" s="19"/>
      <c r="BK915" s="19"/>
      <c r="BL915" s="19"/>
      <c r="BM915" s="98"/>
      <c r="BN915" s="98"/>
      <c r="BO915" s="98"/>
      <c r="BP915" s="98"/>
      <c r="BQ915" s="98"/>
      <c r="BR915" s="98"/>
      <c r="BS915" s="98"/>
      <c r="BT915" s="98"/>
      <c r="BU915" s="98"/>
      <c r="BV915" s="98"/>
      <c r="BW915" s="98"/>
      <c r="BX915" s="98"/>
      <c r="BY915" s="98"/>
      <c r="BZ915" s="98"/>
      <c r="DA915" s="177"/>
      <c r="EH915" s="19"/>
      <c r="EI915" s="19"/>
      <c r="EJ915" s="19"/>
      <c r="EK915" s="19"/>
      <c r="EL915" s="19"/>
      <c r="EM915" s="98"/>
      <c r="EN915" s="98"/>
      <c r="EO915" s="98"/>
      <c r="EP915" s="98"/>
      <c r="EQ915" s="98"/>
      <c r="ER915" s="98"/>
      <c r="ES915" s="98"/>
      <c r="ET915" s="98"/>
      <c r="EU915" s="98"/>
      <c r="EV915" s="98"/>
      <c r="EW915" s="98"/>
      <c r="EX915" s="98"/>
      <c r="EY915" s="98"/>
      <c r="EZ915" s="178"/>
    </row>
    <row r="916" spans="60:156">
      <c r="BH916" s="19"/>
      <c r="BI916" s="19"/>
      <c r="BJ916" s="19"/>
      <c r="BK916" s="19"/>
      <c r="BL916" s="19"/>
      <c r="BM916" s="98"/>
      <c r="BN916" s="98"/>
      <c r="BO916" s="98"/>
      <c r="BP916" s="98"/>
      <c r="BQ916" s="98"/>
      <c r="BR916" s="98"/>
      <c r="BS916" s="98"/>
      <c r="BT916" s="98"/>
      <c r="BU916" s="98"/>
      <c r="BV916" s="98"/>
      <c r="BW916" s="98"/>
      <c r="BX916" s="98"/>
      <c r="BY916" s="98"/>
      <c r="BZ916" s="98"/>
      <c r="DA916" s="177"/>
      <c r="EH916" s="19"/>
      <c r="EI916" s="19"/>
      <c r="EJ916" s="19"/>
      <c r="EK916" s="19"/>
      <c r="EL916" s="19"/>
      <c r="EM916" s="98"/>
      <c r="EN916" s="98"/>
      <c r="EO916" s="98"/>
      <c r="EP916" s="98"/>
      <c r="EQ916" s="98"/>
      <c r="ER916" s="98"/>
      <c r="ES916" s="98"/>
      <c r="ET916" s="98"/>
      <c r="EU916" s="98"/>
      <c r="EV916" s="98"/>
      <c r="EW916" s="98"/>
      <c r="EX916" s="98"/>
      <c r="EY916" s="98"/>
      <c r="EZ916" s="178"/>
    </row>
    <row r="917" spans="60:156">
      <c r="BH917" s="19"/>
      <c r="BI917" s="19"/>
      <c r="BJ917" s="19"/>
      <c r="BK917" s="19"/>
      <c r="BL917" s="19"/>
      <c r="BM917" s="98"/>
      <c r="BN917" s="98"/>
      <c r="BO917" s="98"/>
      <c r="BP917" s="98"/>
      <c r="BQ917" s="98"/>
      <c r="BR917" s="98"/>
      <c r="BS917" s="98"/>
      <c r="BT917" s="98"/>
      <c r="BU917" s="98"/>
      <c r="BV917" s="98"/>
      <c r="BW917" s="98"/>
      <c r="BX917" s="98"/>
      <c r="BY917" s="98"/>
      <c r="BZ917" s="98"/>
      <c r="DA917" s="177"/>
      <c r="EH917" s="19"/>
      <c r="EI917" s="19"/>
      <c r="EJ917" s="19"/>
      <c r="EK917" s="19"/>
      <c r="EL917" s="19"/>
      <c r="EM917" s="98"/>
      <c r="EN917" s="98"/>
      <c r="EO917" s="98"/>
      <c r="EP917" s="98"/>
      <c r="EQ917" s="98"/>
      <c r="ER917" s="98"/>
      <c r="ES917" s="98"/>
      <c r="ET917" s="98"/>
      <c r="EU917" s="98"/>
      <c r="EV917" s="98"/>
      <c r="EW917" s="98"/>
      <c r="EX917" s="98"/>
      <c r="EY917" s="98"/>
      <c r="EZ917" s="178"/>
    </row>
    <row r="918" spans="60:156">
      <c r="BH918" s="19"/>
      <c r="BI918" s="19"/>
      <c r="BJ918" s="19"/>
      <c r="BK918" s="19"/>
      <c r="BL918" s="19"/>
      <c r="BM918" s="98"/>
      <c r="BN918" s="98"/>
      <c r="BO918" s="98"/>
      <c r="BP918" s="98"/>
      <c r="BQ918" s="98"/>
      <c r="BR918" s="98"/>
      <c r="BS918" s="98"/>
      <c r="BT918" s="98"/>
      <c r="BU918" s="98"/>
      <c r="BV918" s="98"/>
      <c r="BW918" s="98"/>
      <c r="BX918" s="98"/>
      <c r="BY918" s="98"/>
      <c r="BZ918" s="98"/>
      <c r="DA918" s="177"/>
      <c r="EH918" s="19"/>
      <c r="EI918" s="19"/>
      <c r="EJ918" s="19"/>
      <c r="EK918" s="19"/>
      <c r="EL918" s="19"/>
      <c r="EM918" s="98"/>
      <c r="EN918" s="98"/>
      <c r="EO918" s="98"/>
      <c r="EP918" s="98"/>
      <c r="EQ918" s="98"/>
      <c r="ER918" s="98"/>
      <c r="ES918" s="98"/>
      <c r="ET918" s="98"/>
      <c r="EU918" s="98"/>
      <c r="EV918" s="98"/>
      <c r="EW918" s="98"/>
      <c r="EX918" s="98"/>
      <c r="EY918" s="98"/>
      <c r="EZ918" s="178"/>
    </row>
    <row r="919" spans="60:156">
      <c r="BH919" s="19"/>
      <c r="BI919" s="19"/>
      <c r="BJ919" s="19"/>
      <c r="BK919" s="19"/>
      <c r="BL919" s="19"/>
      <c r="BM919" s="98"/>
      <c r="BN919" s="98"/>
      <c r="BO919" s="98"/>
      <c r="BP919" s="98"/>
      <c r="BQ919" s="98"/>
      <c r="BR919" s="98"/>
      <c r="BS919" s="98"/>
      <c r="BT919" s="98"/>
      <c r="BU919" s="98"/>
      <c r="BV919" s="98"/>
      <c r="BW919" s="98"/>
      <c r="BX919" s="98"/>
      <c r="BY919" s="98"/>
      <c r="BZ919" s="98"/>
      <c r="DA919" s="177"/>
      <c r="EH919" s="19"/>
      <c r="EI919" s="19"/>
      <c r="EJ919" s="19"/>
      <c r="EK919" s="19"/>
      <c r="EL919" s="19"/>
      <c r="EM919" s="98"/>
      <c r="EN919" s="98"/>
      <c r="EO919" s="98"/>
      <c r="EP919" s="98"/>
      <c r="EQ919" s="98"/>
      <c r="ER919" s="98"/>
      <c r="ES919" s="98"/>
      <c r="ET919" s="98"/>
      <c r="EU919" s="98"/>
      <c r="EV919" s="98"/>
      <c r="EW919" s="98"/>
      <c r="EX919" s="98"/>
      <c r="EY919" s="98"/>
      <c r="EZ919" s="178"/>
    </row>
    <row r="920" spans="60:156">
      <c r="BH920" s="19"/>
      <c r="BI920" s="19"/>
      <c r="BJ920" s="19"/>
      <c r="BK920" s="19"/>
      <c r="BL920" s="19"/>
      <c r="BM920" s="98"/>
      <c r="BN920" s="98"/>
      <c r="BO920" s="98"/>
      <c r="BP920" s="98"/>
      <c r="BQ920" s="98"/>
      <c r="BR920" s="98"/>
      <c r="BS920" s="98"/>
      <c r="BT920" s="98"/>
      <c r="BU920" s="98"/>
      <c r="BV920" s="98"/>
      <c r="BW920" s="98"/>
      <c r="BX920" s="98"/>
      <c r="BY920" s="98"/>
      <c r="BZ920" s="98"/>
      <c r="DA920" s="177"/>
      <c r="EH920" s="19"/>
      <c r="EI920" s="19"/>
      <c r="EJ920" s="19"/>
      <c r="EK920" s="19"/>
      <c r="EL920" s="19"/>
      <c r="EM920" s="98"/>
      <c r="EN920" s="98"/>
      <c r="EO920" s="98"/>
      <c r="EP920" s="98"/>
      <c r="EQ920" s="98"/>
      <c r="ER920" s="98"/>
      <c r="ES920" s="98"/>
      <c r="ET920" s="98"/>
      <c r="EU920" s="98"/>
      <c r="EV920" s="98"/>
      <c r="EW920" s="98"/>
      <c r="EX920" s="98"/>
      <c r="EY920" s="98"/>
      <c r="EZ920" s="178"/>
    </row>
    <row r="921" spans="60:156">
      <c r="BH921" s="19"/>
      <c r="BI921" s="19"/>
      <c r="BJ921" s="19"/>
      <c r="BK921" s="19"/>
      <c r="BL921" s="19"/>
      <c r="BM921" s="98"/>
      <c r="BN921" s="98"/>
      <c r="BO921" s="98"/>
      <c r="BP921" s="98"/>
      <c r="BQ921" s="98"/>
      <c r="BR921" s="98"/>
      <c r="BS921" s="98"/>
      <c r="BT921" s="98"/>
      <c r="BU921" s="98"/>
      <c r="BV921" s="98"/>
      <c r="BW921" s="98"/>
      <c r="BX921" s="98"/>
      <c r="BY921" s="98"/>
      <c r="BZ921" s="98"/>
      <c r="DA921" s="177"/>
      <c r="EH921" s="19"/>
      <c r="EI921" s="19"/>
      <c r="EJ921" s="19"/>
      <c r="EK921" s="19"/>
      <c r="EL921" s="19"/>
      <c r="EM921" s="98"/>
      <c r="EN921" s="98"/>
      <c r="EO921" s="98"/>
      <c r="EP921" s="98"/>
      <c r="EQ921" s="98"/>
      <c r="ER921" s="98"/>
      <c r="ES921" s="98"/>
      <c r="ET921" s="98"/>
      <c r="EU921" s="98"/>
      <c r="EV921" s="98"/>
      <c r="EW921" s="98"/>
      <c r="EX921" s="98"/>
      <c r="EY921" s="98"/>
      <c r="EZ921" s="178"/>
    </row>
    <row r="922" spans="60:156">
      <c r="BH922" s="19"/>
      <c r="BI922" s="19"/>
      <c r="BJ922" s="19"/>
      <c r="BK922" s="19"/>
      <c r="BL922" s="19"/>
      <c r="BM922" s="98"/>
      <c r="BN922" s="98"/>
      <c r="BO922" s="98"/>
      <c r="BP922" s="98"/>
      <c r="BQ922" s="98"/>
      <c r="BR922" s="98"/>
      <c r="BS922" s="98"/>
      <c r="BT922" s="98"/>
      <c r="BU922" s="98"/>
      <c r="BV922" s="98"/>
      <c r="BW922" s="98"/>
      <c r="BX922" s="98"/>
      <c r="BY922" s="98"/>
      <c r="BZ922" s="98"/>
      <c r="DA922" s="177"/>
      <c r="EH922" s="19"/>
      <c r="EI922" s="19"/>
      <c r="EJ922" s="19"/>
      <c r="EK922" s="19"/>
      <c r="EL922" s="19"/>
      <c r="EM922" s="98"/>
      <c r="EN922" s="98"/>
      <c r="EO922" s="98"/>
      <c r="EP922" s="98"/>
      <c r="EQ922" s="98"/>
      <c r="ER922" s="98"/>
      <c r="ES922" s="98"/>
      <c r="ET922" s="98"/>
      <c r="EU922" s="98"/>
      <c r="EV922" s="98"/>
      <c r="EW922" s="98"/>
      <c r="EX922" s="98"/>
      <c r="EY922" s="98"/>
      <c r="EZ922" s="178"/>
    </row>
    <row r="923" spans="60:156">
      <c r="BH923" s="19"/>
      <c r="BI923" s="19"/>
      <c r="BJ923" s="19"/>
      <c r="BK923" s="19"/>
      <c r="BL923" s="19"/>
      <c r="BM923" s="98"/>
      <c r="BN923" s="98"/>
      <c r="BO923" s="98"/>
      <c r="BP923" s="98"/>
      <c r="BQ923" s="98"/>
      <c r="BR923" s="98"/>
      <c r="BS923" s="98"/>
      <c r="BT923" s="98"/>
      <c r="BU923" s="98"/>
      <c r="BV923" s="98"/>
      <c r="BW923" s="98"/>
      <c r="BX923" s="98"/>
      <c r="BY923" s="98"/>
      <c r="BZ923" s="98"/>
      <c r="DA923" s="177"/>
      <c r="EH923" s="19"/>
      <c r="EI923" s="19"/>
      <c r="EJ923" s="19"/>
      <c r="EK923" s="19"/>
      <c r="EL923" s="19"/>
      <c r="EM923" s="98"/>
      <c r="EN923" s="98"/>
      <c r="EO923" s="98"/>
      <c r="EP923" s="98"/>
      <c r="EQ923" s="98"/>
      <c r="ER923" s="98"/>
      <c r="ES923" s="98"/>
      <c r="ET923" s="98"/>
      <c r="EU923" s="98"/>
      <c r="EV923" s="98"/>
      <c r="EW923" s="98"/>
      <c r="EX923" s="98"/>
      <c r="EY923" s="98"/>
      <c r="EZ923" s="178"/>
    </row>
    <row r="924" spans="60:156">
      <c r="BH924" s="19"/>
      <c r="BI924" s="19"/>
      <c r="BJ924" s="19"/>
      <c r="BK924" s="19"/>
      <c r="BL924" s="19"/>
      <c r="BM924" s="98"/>
      <c r="BN924" s="98"/>
      <c r="BO924" s="98"/>
      <c r="BP924" s="98"/>
      <c r="BQ924" s="98"/>
      <c r="BR924" s="98"/>
      <c r="BS924" s="98"/>
      <c r="BT924" s="98"/>
      <c r="BU924" s="98"/>
      <c r="BV924" s="98"/>
      <c r="BW924" s="98"/>
      <c r="BX924" s="98"/>
      <c r="BY924" s="98"/>
      <c r="BZ924" s="98"/>
      <c r="DA924" s="177"/>
      <c r="EH924" s="19"/>
      <c r="EI924" s="19"/>
      <c r="EJ924" s="19"/>
      <c r="EK924" s="19"/>
      <c r="EL924" s="19"/>
      <c r="EM924" s="98"/>
      <c r="EN924" s="98"/>
      <c r="EO924" s="98"/>
      <c r="EP924" s="98"/>
      <c r="EQ924" s="98"/>
      <c r="ER924" s="98"/>
      <c r="ES924" s="98"/>
      <c r="ET924" s="98"/>
      <c r="EU924" s="98"/>
      <c r="EV924" s="98"/>
      <c r="EW924" s="98"/>
      <c r="EX924" s="98"/>
      <c r="EY924" s="98"/>
      <c r="EZ924" s="178"/>
    </row>
    <row r="925" spans="60:156">
      <c r="BH925" s="19"/>
      <c r="BI925" s="19"/>
      <c r="BJ925" s="19"/>
      <c r="BK925" s="19"/>
      <c r="BL925" s="19"/>
      <c r="BM925" s="98"/>
      <c r="BN925" s="98"/>
      <c r="BO925" s="98"/>
      <c r="BP925" s="98"/>
      <c r="BQ925" s="98"/>
      <c r="BR925" s="98"/>
      <c r="BS925" s="98"/>
      <c r="BT925" s="98"/>
      <c r="BU925" s="98"/>
      <c r="BV925" s="98"/>
      <c r="BW925" s="98"/>
      <c r="BX925" s="98"/>
      <c r="BY925" s="98"/>
      <c r="BZ925" s="98"/>
      <c r="DA925" s="177"/>
      <c r="EH925" s="19"/>
      <c r="EI925" s="19"/>
      <c r="EJ925" s="19"/>
      <c r="EK925" s="19"/>
      <c r="EL925" s="19"/>
      <c r="EM925" s="98"/>
      <c r="EN925" s="98"/>
      <c r="EO925" s="98"/>
      <c r="EP925" s="98"/>
      <c r="EQ925" s="98"/>
      <c r="ER925" s="98"/>
      <c r="ES925" s="98"/>
      <c r="ET925" s="98"/>
      <c r="EU925" s="98"/>
      <c r="EV925" s="98"/>
      <c r="EW925" s="98"/>
      <c r="EX925" s="98"/>
      <c r="EY925" s="98"/>
      <c r="EZ925" s="178"/>
    </row>
    <row r="926" spans="60:156">
      <c r="BH926" s="19"/>
      <c r="BI926" s="19"/>
      <c r="BJ926" s="19"/>
      <c r="BK926" s="19"/>
      <c r="BL926" s="19"/>
      <c r="BM926" s="98"/>
      <c r="BN926" s="98"/>
      <c r="BO926" s="98"/>
      <c r="BP926" s="98"/>
      <c r="BQ926" s="98"/>
      <c r="BR926" s="98"/>
      <c r="BS926" s="98"/>
      <c r="BT926" s="98"/>
      <c r="BU926" s="98"/>
      <c r="BV926" s="98"/>
      <c r="BW926" s="98"/>
      <c r="BX926" s="98"/>
      <c r="BY926" s="98"/>
      <c r="BZ926" s="98"/>
      <c r="DA926" s="177"/>
      <c r="EH926" s="19"/>
      <c r="EI926" s="19"/>
      <c r="EJ926" s="19"/>
      <c r="EK926" s="19"/>
      <c r="EL926" s="19"/>
      <c r="EM926" s="98"/>
      <c r="EN926" s="98"/>
      <c r="EO926" s="98"/>
      <c r="EP926" s="98"/>
      <c r="EQ926" s="98"/>
      <c r="ER926" s="98"/>
      <c r="ES926" s="98"/>
      <c r="ET926" s="98"/>
      <c r="EU926" s="98"/>
      <c r="EV926" s="98"/>
      <c r="EW926" s="98"/>
      <c r="EX926" s="98"/>
      <c r="EY926" s="98"/>
      <c r="EZ926" s="178"/>
    </row>
    <row r="927" spans="60:156">
      <c r="BH927" s="19"/>
      <c r="BI927" s="19"/>
      <c r="BJ927" s="19"/>
      <c r="BK927" s="19"/>
      <c r="BL927" s="19"/>
      <c r="BM927" s="98"/>
      <c r="BN927" s="98"/>
      <c r="BO927" s="98"/>
      <c r="BP927" s="98"/>
      <c r="BQ927" s="98"/>
      <c r="BR927" s="98"/>
      <c r="BS927" s="98"/>
      <c r="BT927" s="98"/>
      <c r="BU927" s="98"/>
      <c r="BV927" s="98"/>
      <c r="BW927" s="98"/>
      <c r="BX927" s="98"/>
      <c r="BY927" s="98"/>
      <c r="BZ927" s="98"/>
      <c r="DA927" s="177"/>
      <c r="EH927" s="19"/>
      <c r="EI927" s="19"/>
      <c r="EJ927" s="19"/>
      <c r="EK927" s="19"/>
      <c r="EL927" s="19"/>
      <c r="EM927" s="98"/>
      <c r="EN927" s="98"/>
      <c r="EO927" s="98"/>
      <c r="EP927" s="98"/>
      <c r="EQ927" s="98"/>
      <c r="ER927" s="98"/>
      <c r="ES927" s="98"/>
      <c r="ET927" s="98"/>
      <c r="EU927" s="98"/>
      <c r="EV927" s="98"/>
      <c r="EW927" s="98"/>
      <c r="EX927" s="98"/>
      <c r="EY927" s="98"/>
      <c r="EZ927" s="178"/>
    </row>
    <row r="928" spans="60:156">
      <c r="BH928" s="19"/>
      <c r="BI928" s="19"/>
      <c r="BJ928" s="19"/>
      <c r="BK928" s="19"/>
      <c r="BL928" s="19"/>
      <c r="BM928" s="98"/>
      <c r="BN928" s="98"/>
      <c r="BO928" s="98"/>
      <c r="BP928" s="98"/>
      <c r="BQ928" s="98"/>
      <c r="BR928" s="98"/>
      <c r="BS928" s="98"/>
      <c r="BT928" s="98"/>
      <c r="BU928" s="98"/>
      <c r="BV928" s="98"/>
      <c r="BW928" s="98"/>
      <c r="BX928" s="98"/>
      <c r="BY928" s="98"/>
      <c r="BZ928" s="98"/>
      <c r="DA928" s="177"/>
      <c r="EH928" s="19"/>
      <c r="EI928" s="19"/>
      <c r="EJ928" s="19"/>
      <c r="EK928" s="19"/>
      <c r="EL928" s="19"/>
      <c r="EM928" s="98"/>
      <c r="EN928" s="98"/>
      <c r="EO928" s="98"/>
      <c r="EP928" s="98"/>
      <c r="EQ928" s="98"/>
      <c r="ER928" s="98"/>
      <c r="ES928" s="98"/>
      <c r="ET928" s="98"/>
      <c r="EU928" s="98"/>
      <c r="EV928" s="98"/>
      <c r="EW928" s="98"/>
      <c r="EX928" s="98"/>
      <c r="EY928" s="98"/>
      <c r="EZ928" s="178"/>
    </row>
    <row r="929" spans="60:156">
      <c r="BH929" s="19"/>
      <c r="BI929" s="19"/>
      <c r="BJ929" s="19"/>
      <c r="BK929" s="19"/>
      <c r="BL929" s="19"/>
      <c r="BM929" s="98"/>
      <c r="BN929" s="98"/>
      <c r="BO929" s="98"/>
      <c r="BP929" s="98"/>
      <c r="BQ929" s="98"/>
      <c r="BR929" s="98"/>
      <c r="BS929" s="98"/>
      <c r="BT929" s="98"/>
      <c r="BU929" s="98"/>
      <c r="BV929" s="98"/>
      <c r="BW929" s="98"/>
      <c r="BX929" s="98"/>
      <c r="BY929" s="98"/>
      <c r="BZ929" s="98"/>
      <c r="DA929" s="177"/>
      <c r="EH929" s="19"/>
      <c r="EI929" s="19"/>
      <c r="EJ929" s="19"/>
      <c r="EK929" s="19"/>
      <c r="EL929" s="19"/>
      <c r="EM929" s="98"/>
      <c r="EN929" s="98"/>
      <c r="EO929" s="98"/>
      <c r="EP929" s="98"/>
      <c r="EQ929" s="98"/>
      <c r="ER929" s="98"/>
      <c r="ES929" s="98"/>
      <c r="ET929" s="98"/>
      <c r="EU929" s="98"/>
      <c r="EV929" s="98"/>
      <c r="EW929" s="98"/>
      <c r="EX929" s="98"/>
      <c r="EY929" s="98"/>
      <c r="EZ929" s="178"/>
    </row>
    <row r="930" spans="60:156">
      <c r="BH930" s="19"/>
      <c r="BI930" s="19"/>
      <c r="BJ930" s="19"/>
      <c r="BK930" s="19"/>
      <c r="BL930" s="19"/>
      <c r="BM930" s="98"/>
      <c r="BN930" s="98"/>
      <c r="BO930" s="98"/>
      <c r="BP930" s="98"/>
      <c r="BQ930" s="98"/>
      <c r="BR930" s="98"/>
      <c r="BS930" s="98"/>
      <c r="BT930" s="98"/>
      <c r="BU930" s="98"/>
      <c r="BV930" s="98"/>
      <c r="BW930" s="98"/>
      <c r="BX930" s="98"/>
      <c r="BY930" s="98"/>
      <c r="BZ930" s="98"/>
      <c r="DA930" s="177"/>
      <c r="EH930" s="19"/>
      <c r="EI930" s="19"/>
      <c r="EJ930" s="19"/>
      <c r="EK930" s="19"/>
      <c r="EL930" s="19"/>
      <c r="EM930" s="98"/>
      <c r="EN930" s="98"/>
      <c r="EO930" s="98"/>
      <c r="EP930" s="98"/>
      <c r="EQ930" s="98"/>
      <c r="ER930" s="98"/>
      <c r="ES930" s="98"/>
      <c r="ET930" s="98"/>
      <c r="EU930" s="98"/>
      <c r="EV930" s="98"/>
      <c r="EW930" s="98"/>
      <c r="EX930" s="98"/>
      <c r="EY930" s="98"/>
      <c r="EZ930" s="178"/>
    </row>
    <row r="931" spans="60:156">
      <c r="BH931" s="19"/>
      <c r="BI931" s="19"/>
      <c r="BJ931" s="19"/>
      <c r="BK931" s="19"/>
      <c r="BL931" s="19"/>
      <c r="BM931" s="98"/>
      <c r="BN931" s="98"/>
      <c r="BO931" s="98"/>
      <c r="BP931" s="98"/>
      <c r="BQ931" s="98"/>
      <c r="BR931" s="98"/>
      <c r="BS931" s="98"/>
      <c r="BT931" s="98"/>
      <c r="BU931" s="98"/>
      <c r="BV931" s="98"/>
      <c r="BW931" s="98"/>
      <c r="BX931" s="98"/>
      <c r="BY931" s="98"/>
      <c r="BZ931" s="98"/>
      <c r="DA931" s="177"/>
      <c r="EH931" s="19"/>
      <c r="EI931" s="19"/>
      <c r="EJ931" s="19"/>
      <c r="EK931" s="19"/>
      <c r="EL931" s="19"/>
      <c r="EM931" s="98"/>
      <c r="EN931" s="98"/>
      <c r="EO931" s="98"/>
      <c r="EP931" s="98"/>
      <c r="EQ931" s="98"/>
      <c r="ER931" s="98"/>
      <c r="ES931" s="98"/>
      <c r="ET931" s="98"/>
      <c r="EU931" s="98"/>
      <c r="EV931" s="98"/>
      <c r="EW931" s="98"/>
      <c r="EX931" s="98"/>
      <c r="EY931" s="98"/>
      <c r="EZ931" s="178"/>
    </row>
    <row r="932" spans="60:156">
      <c r="BH932" s="19"/>
      <c r="BI932" s="19"/>
      <c r="BJ932" s="19"/>
      <c r="BK932" s="19"/>
      <c r="BL932" s="19"/>
      <c r="BM932" s="98"/>
      <c r="BN932" s="98"/>
      <c r="BO932" s="98"/>
      <c r="BP932" s="98"/>
      <c r="BQ932" s="98"/>
      <c r="BR932" s="98"/>
      <c r="BS932" s="98"/>
      <c r="BT932" s="98"/>
      <c r="BU932" s="98"/>
      <c r="BV932" s="98"/>
      <c r="BW932" s="98"/>
      <c r="BX932" s="98"/>
      <c r="BY932" s="98"/>
      <c r="BZ932" s="98"/>
      <c r="DA932" s="177"/>
      <c r="EH932" s="19"/>
      <c r="EI932" s="19"/>
      <c r="EJ932" s="19"/>
      <c r="EK932" s="19"/>
      <c r="EL932" s="19"/>
      <c r="EM932" s="98"/>
      <c r="EN932" s="98"/>
      <c r="EO932" s="98"/>
      <c r="EP932" s="98"/>
      <c r="EQ932" s="98"/>
      <c r="ER932" s="98"/>
      <c r="ES932" s="98"/>
      <c r="ET932" s="98"/>
      <c r="EU932" s="98"/>
      <c r="EV932" s="98"/>
      <c r="EW932" s="98"/>
      <c r="EX932" s="98"/>
      <c r="EY932" s="98"/>
      <c r="EZ932" s="178"/>
    </row>
    <row r="933" spans="60:156">
      <c r="BH933" s="19"/>
      <c r="BI933" s="19"/>
      <c r="BJ933" s="19"/>
      <c r="BK933" s="19"/>
      <c r="BL933" s="19"/>
      <c r="BM933" s="98"/>
      <c r="BN933" s="98"/>
      <c r="BO933" s="98"/>
      <c r="BP933" s="98"/>
      <c r="BQ933" s="98"/>
      <c r="BR933" s="98"/>
      <c r="BS933" s="98"/>
      <c r="BT933" s="98"/>
      <c r="BU933" s="98"/>
      <c r="BV933" s="98"/>
      <c r="BW933" s="98"/>
      <c r="BX933" s="98"/>
      <c r="BY933" s="98"/>
      <c r="BZ933" s="98"/>
      <c r="DA933" s="177"/>
      <c r="EH933" s="19"/>
      <c r="EI933" s="19"/>
      <c r="EJ933" s="19"/>
      <c r="EK933" s="19"/>
      <c r="EL933" s="19"/>
      <c r="EM933" s="98"/>
      <c r="EN933" s="98"/>
      <c r="EO933" s="98"/>
      <c r="EP933" s="98"/>
      <c r="EQ933" s="98"/>
      <c r="ER933" s="98"/>
      <c r="ES933" s="98"/>
      <c r="ET933" s="98"/>
      <c r="EU933" s="98"/>
      <c r="EV933" s="98"/>
      <c r="EW933" s="98"/>
      <c r="EX933" s="98"/>
      <c r="EY933" s="98"/>
      <c r="EZ933" s="178"/>
    </row>
    <row r="934" spans="60:156">
      <c r="BH934" s="19"/>
      <c r="BI934" s="19"/>
      <c r="BJ934" s="19"/>
      <c r="BK934" s="19"/>
      <c r="BL934" s="19"/>
      <c r="BM934" s="98"/>
      <c r="BN934" s="98"/>
      <c r="BO934" s="98"/>
      <c r="BP934" s="98"/>
      <c r="BQ934" s="98"/>
      <c r="BR934" s="98"/>
      <c r="BS934" s="98"/>
      <c r="BT934" s="98"/>
      <c r="BU934" s="98"/>
      <c r="BV934" s="98"/>
      <c r="BW934" s="98"/>
      <c r="BX934" s="98"/>
      <c r="BY934" s="98"/>
      <c r="BZ934" s="98"/>
      <c r="DA934" s="177"/>
      <c r="EH934" s="19"/>
      <c r="EI934" s="19"/>
      <c r="EJ934" s="19"/>
      <c r="EK934" s="19"/>
      <c r="EL934" s="19"/>
      <c r="EM934" s="98"/>
      <c r="EN934" s="98"/>
      <c r="EO934" s="98"/>
      <c r="EP934" s="98"/>
      <c r="EQ934" s="98"/>
      <c r="ER934" s="98"/>
      <c r="ES934" s="98"/>
      <c r="ET934" s="98"/>
      <c r="EU934" s="98"/>
      <c r="EV934" s="98"/>
      <c r="EW934" s="98"/>
      <c r="EX934" s="98"/>
      <c r="EY934" s="98"/>
      <c r="EZ934" s="178"/>
    </row>
    <row r="935" spans="60:156">
      <c r="BH935" s="19"/>
      <c r="BI935" s="19"/>
      <c r="BJ935" s="19"/>
      <c r="BK935" s="19"/>
      <c r="BL935" s="19"/>
      <c r="BM935" s="98"/>
      <c r="BN935" s="98"/>
      <c r="BO935" s="98"/>
      <c r="BP935" s="98"/>
      <c r="BQ935" s="98"/>
      <c r="BR935" s="98"/>
      <c r="BS935" s="98"/>
      <c r="BT935" s="98"/>
      <c r="BU935" s="98"/>
      <c r="BV935" s="98"/>
      <c r="BW935" s="98"/>
      <c r="BX935" s="98"/>
      <c r="BY935" s="98"/>
      <c r="BZ935" s="98"/>
      <c r="DA935" s="177"/>
      <c r="EH935" s="19"/>
      <c r="EI935" s="19"/>
      <c r="EJ935" s="19"/>
      <c r="EK935" s="19"/>
      <c r="EL935" s="19"/>
      <c r="EM935" s="98"/>
      <c r="EN935" s="98"/>
      <c r="EO935" s="98"/>
      <c r="EP935" s="98"/>
      <c r="EQ935" s="98"/>
      <c r="ER935" s="98"/>
      <c r="ES935" s="98"/>
      <c r="ET935" s="98"/>
      <c r="EU935" s="98"/>
      <c r="EV935" s="98"/>
      <c r="EW935" s="98"/>
      <c r="EX935" s="98"/>
      <c r="EY935" s="98"/>
      <c r="EZ935" s="178"/>
    </row>
    <row r="936" spans="60:156">
      <c r="BH936" s="19"/>
      <c r="BI936" s="19"/>
      <c r="BJ936" s="19"/>
      <c r="BK936" s="19"/>
      <c r="BL936" s="19"/>
      <c r="BM936" s="98"/>
      <c r="BN936" s="98"/>
      <c r="BO936" s="98"/>
      <c r="BP936" s="98"/>
      <c r="BQ936" s="98"/>
      <c r="BR936" s="98"/>
      <c r="BS936" s="98"/>
      <c r="BT936" s="98"/>
      <c r="BU936" s="98"/>
      <c r="BV936" s="98"/>
      <c r="BW936" s="98"/>
      <c r="BX936" s="98"/>
      <c r="BY936" s="98"/>
      <c r="BZ936" s="98"/>
      <c r="DA936" s="177"/>
      <c r="EH936" s="19"/>
      <c r="EI936" s="19"/>
      <c r="EJ936" s="19"/>
      <c r="EK936" s="19"/>
      <c r="EL936" s="19"/>
      <c r="EM936" s="98"/>
      <c r="EN936" s="98"/>
      <c r="EO936" s="98"/>
      <c r="EP936" s="98"/>
      <c r="EQ936" s="98"/>
      <c r="ER936" s="98"/>
      <c r="ES936" s="98"/>
      <c r="ET936" s="98"/>
      <c r="EU936" s="98"/>
      <c r="EV936" s="98"/>
      <c r="EW936" s="98"/>
      <c r="EX936" s="98"/>
      <c r="EY936" s="98"/>
      <c r="EZ936" s="178"/>
    </row>
    <row r="937" spans="60:156">
      <c r="BH937" s="19"/>
      <c r="BI937" s="19"/>
      <c r="BJ937" s="19"/>
      <c r="BK937" s="19"/>
      <c r="BL937" s="19"/>
      <c r="BM937" s="98"/>
      <c r="BN937" s="98"/>
      <c r="BO937" s="98"/>
      <c r="BP937" s="98"/>
      <c r="BQ937" s="98"/>
      <c r="BR937" s="98"/>
      <c r="BS937" s="98"/>
      <c r="BT937" s="98"/>
      <c r="BU937" s="98"/>
      <c r="BV937" s="98"/>
      <c r="BW937" s="98"/>
      <c r="BX937" s="98"/>
      <c r="BY937" s="98"/>
      <c r="BZ937" s="98"/>
      <c r="DA937" s="177"/>
      <c r="EH937" s="19"/>
      <c r="EI937" s="19"/>
      <c r="EJ937" s="19"/>
      <c r="EK937" s="19"/>
      <c r="EL937" s="19"/>
      <c r="EM937" s="98"/>
      <c r="EN937" s="98"/>
      <c r="EO937" s="98"/>
      <c r="EP937" s="98"/>
      <c r="EQ937" s="98"/>
      <c r="ER937" s="98"/>
      <c r="ES937" s="98"/>
      <c r="ET937" s="98"/>
      <c r="EU937" s="98"/>
      <c r="EV937" s="98"/>
      <c r="EW937" s="98"/>
      <c r="EX937" s="98"/>
      <c r="EY937" s="98"/>
      <c r="EZ937" s="178"/>
    </row>
    <row r="938" spans="60:156">
      <c r="BH938" s="19"/>
      <c r="BI938" s="19"/>
      <c r="BJ938" s="19"/>
      <c r="BK938" s="19"/>
      <c r="BL938" s="19"/>
      <c r="BM938" s="98"/>
      <c r="BN938" s="98"/>
      <c r="BO938" s="98"/>
      <c r="BP938" s="98"/>
      <c r="BQ938" s="98"/>
      <c r="BR938" s="98"/>
      <c r="BS938" s="98"/>
      <c r="BT938" s="98"/>
      <c r="BU938" s="98"/>
      <c r="BV938" s="98"/>
      <c r="BW938" s="98"/>
      <c r="BX938" s="98"/>
      <c r="BY938" s="98"/>
      <c r="BZ938" s="98"/>
      <c r="DA938" s="177"/>
      <c r="EH938" s="19"/>
      <c r="EI938" s="19"/>
      <c r="EJ938" s="19"/>
      <c r="EK938" s="19"/>
      <c r="EL938" s="19"/>
      <c r="EM938" s="98"/>
      <c r="EN938" s="98"/>
      <c r="EO938" s="98"/>
      <c r="EP938" s="98"/>
      <c r="EQ938" s="98"/>
      <c r="ER938" s="98"/>
      <c r="ES938" s="98"/>
      <c r="ET938" s="98"/>
      <c r="EU938" s="98"/>
      <c r="EV938" s="98"/>
      <c r="EW938" s="98"/>
      <c r="EX938" s="98"/>
      <c r="EY938" s="98"/>
      <c r="EZ938" s="178"/>
    </row>
    <row r="939" spans="60:156">
      <c r="BH939" s="19"/>
      <c r="BI939" s="19"/>
      <c r="BJ939" s="19"/>
      <c r="BK939" s="19"/>
      <c r="BL939" s="19"/>
      <c r="BM939" s="98"/>
      <c r="BN939" s="98"/>
      <c r="BO939" s="98"/>
      <c r="BP939" s="98"/>
      <c r="BQ939" s="98"/>
      <c r="BR939" s="98"/>
      <c r="BS939" s="98"/>
      <c r="BT939" s="98"/>
      <c r="BU939" s="98"/>
      <c r="BV939" s="98"/>
      <c r="BW939" s="98"/>
      <c r="BX939" s="98"/>
      <c r="BY939" s="98"/>
      <c r="BZ939" s="98"/>
      <c r="DA939" s="177"/>
      <c r="EH939" s="19"/>
      <c r="EI939" s="19"/>
      <c r="EJ939" s="19"/>
      <c r="EK939" s="19"/>
      <c r="EL939" s="19"/>
      <c r="EM939" s="98"/>
      <c r="EN939" s="98"/>
      <c r="EO939" s="98"/>
      <c r="EP939" s="98"/>
      <c r="EQ939" s="98"/>
      <c r="ER939" s="98"/>
      <c r="ES939" s="98"/>
      <c r="ET939" s="98"/>
      <c r="EU939" s="98"/>
      <c r="EV939" s="98"/>
      <c r="EW939" s="98"/>
      <c r="EX939" s="98"/>
      <c r="EY939" s="98"/>
      <c r="EZ939" s="178"/>
    </row>
    <row r="940" spans="60:156">
      <c r="BH940" s="19"/>
      <c r="BI940" s="19"/>
      <c r="BJ940" s="19"/>
      <c r="BK940" s="19"/>
      <c r="BL940" s="19"/>
      <c r="BM940" s="98"/>
      <c r="BN940" s="98"/>
      <c r="BO940" s="98"/>
      <c r="BP940" s="98"/>
      <c r="BQ940" s="98"/>
      <c r="BR940" s="98"/>
      <c r="BS940" s="98"/>
      <c r="BT940" s="98"/>
      <c r="BU940" s="98"/>
      <c r="BV940" s="98"/>
      <c r="BW940" s="98"/>
      <c r="BX940" s="98"/>
      <c r="BY940" s="98"/>
      <c r="BZ940" s="98"/>
      <c r="DA940" s="177"/>
      <c r="EH940" s="19"/>
      <c r="EI940" s="19"/>
      <c r="EJ940" s="19"/>
      <c r="EK940" s="19"/>
      <c r="EL940" s="19"/>
      <c r="EM940" s="98"/>
      <c r="EN940" s="98"/>
      <c r="EO940" s="98"/>
      <c r="EP940" s="98"/>
      <c r="EQ940" s="98"/>
      <c r="ER940" s="98"/>
      <c r="ES940" s="98"/>
      <c r="ET940" s="98"/>
      <c r="EU940" s="98"/>
      <c r="EV940" s="98"/>
      <c r="EW940" s="98"/>
      <c r="EX940" s="98"/>
      <c r="EY940" s="98"/>
      <c r="EZ940" s="178"/>
    </row>
    <row r="941" spans="60:156">
      <c r="BH941" s="19"/>
      <c r="BI941" s="19"/>
      <c r="BJ941" s="19"/>
      <c r="BK941" s="19"/>
      <c r="BL941" s="19"/>
      <c r="BM941" s="98"/>
      <c r="BN941" s="98"/>
      <c r="BO941" s="98"/>
      <c r="BP941" s="98"/>
      <c r="BQ941" s="98"/>
      <c r="BR941" s="98"/>
      <c r="BS941" s="98"/>
      <c r="BT941" s="98"/>
      <c r="BU941" s="98"/>
      <c r="BV941" s="98"/>
      <c r="BW941" s="98"/>
      <c r="BX941" s="98"/>
      <c r="BY941" s="98"/>
      <c r="BZ941" s="98"/>
      <c r="DA941" s="177"/>
      <c r="EH941" s="19"/>
      <c r="EI941" s="19"/>
      <c r="EJ941" s="19"/>
      <c r="EK941" s="19"/>
      <c r="EL941" s="19"/>
      <c r="EM941" s="98"/>
      <c r="EN941" s="98"/>
      <c r="EO941" s="98"/>
      <c r="EP941" s="98"/>
      <c r="EQ941" s="98"/>
      <c r="ER941" s="98"/>
      <c r="ES941" s="98"/>
      <c r="ET941" s="98"/>
      <c r="EU941" s="98"/>
      <c r="EV941" s="98"/>
      <c r="EW941" s="98"/>
      <c r="EX941" s="98"/>
      <c r="EY941" s="98"/>
      <c r="EZ941" s="178"/>
    </row>
    <row r="942" spans="60:156">
      <c r="BH942" s="19"/>
      <c r="BI942" s="19"/>
      <c r="BJ942" s="19"/>
      <c r="BK942" s="19"/>
      <c r="BL942" s="19"/>
      <c r="BM942" s="98"/>
      <c r="BN942" s="98"/>
      <c r="BO942" s="98"/>
      <c r="BP942" s="98"/>
      <c r="BQ942" s="98"/>
      <c r="BR942" s="98"/>
      <c r="BS942" s="98"/>
      <c r="BT942" s="98"/>
      <c r="BU942" s="98"/>
      <c r="BV942" s="98"/>
      <c r="BW942" s="98"/>
      <c r="BX942" s="98"/>
      <c r="BY942" s="98"/>
      <c r="BZ942" s="98"/>
      <c r="DA942" s="177"/>
      <c r="EH942" s="19"/>
      <c r="EI942" s="19"/>
      <c r="EJ942" s="19"/>
      <c r="EK942" s="19"/>
      <c r="EL942" s="19"/>
      <c r="EM942" s="98"/>
      <c r="EN942" s="98"/>
      <c r="EO942" s="98"/>
      <c r="EP942" s="98"/>
      <c r="EQ942" s="98"/>
      <c r="ER942" s="98"/>
      <c r="ES942" s="98"/>
      <c r="ET942" s="98"/>
      <c r="EU942" s="98"/>
      <c r="EV942" s="98"/>
      <c r="EW942" s="98"/>
      <c r="EX942" s="98"/>
      <c r="EY942" s="98"/>
      <c r="EZ942" s="178"/>
    </row>
    <row r="943" spans="60:156">
      <c r="BH943" s="19"/>
      <c r="BI943" s="19"/>
      <c r="BJ943" s="19"/>
      <c r="BK943" s="19"/>
      <c r="BL943" s="19"/>
      <c r="BM943" s="98"/>
      <c r="BN943" s="98"/>
      <c r="BO943" s="98"/>
      <c r="BP943" s="98"/>
      <c r="BQ943" s="98"/>
      <c r="BR943" s="98"/>
      <c r="BS943" s="98"/>
      <c r="BT943" s="98"/>
      <c r="BU943" s="98"/>
      <c r="BV943" s="98"/>
      <c r="BW943" s="98"/>
      <c r="BX943" s="98"/>
      <c r="BY943" s="98"/>
      <c r="BZ943" s="98"/>
      <c r="DA943" s="177"/>
      <c r="EH943" s="19"/>
      <c r="EI943" s="19"/>
      <c r="EJ943" s="19"/>
      <c r="EK943" s="19"/>
      <c r="EL943" s="19"/>
      <c r="EM943" s="98"/>
      <c r="EN943" s="98"/>
      <c r="EO943" s="98"/>
      <c r="EP943" s="98"/>
      <c r="EQ943" s="98"/>
      <c r="ER943" s="98"/>
      <c r="ES943" s="98"/>
      <c r="ET943" s="98"/>
      <c r="EU943" s="98"/>
      <c r="EV943" s="98"/>
      <c r="EW943" s="98"/>
      <c r="EX943" s="98"/>
      <c r="EY943" s="98"/>
      <c r="EZ943" s="178"/>
    </row>
    <row r="944" spans="60:156">
      <c r="BH944" s="19"/>
      <c r="BI944" s="19"/>
      <c r="BJ944" s="19"/>
      <c r="BK944" s="19"/>
      <c r="BL944" s="19"/>
      <c r="BM944" s="98"/>
      <c r="BN944" s="98"/>
      <c r="BO944" s="98"/>
      <c r="BP944" s="98"/>
      <c r="BQ944" s="98"/>
      <c r="BR944" s="98"/>
      <c r="BS944" s="98"/>
      <c r="BT944" s="98"/>
      <c r="BU944" s="98"/>
      <c r="BV944" s="98"/>
      <c r="BW944" s="98"/>
      <c r="BX944" s="98"/>
      <c r="BY944" s="98"/>
      <c r="BZ944" s="98"/>
      <c r="DA944" s="177"/>
      <c r="EH944" s="19"/>
      <c r="EI944" s="19"/>
      <c r="EJ944" s="19"/>
      <c r="EK944" s="19"/>
      <c r="EL944" s="19"/>
      <c r="EM944" s="98"/>
      <c r="EN944" s="98"/>
      <c r="EO944" s="98"/>
      <c r="EP944" s="98"/>
      <c r="EQ944" s="98"/>
      <c r="ER944" s="98"/>
      <c r="ES944" s="98"/>
      <c r="ET944" s="98"/>
      <c r="EU944" s="98"/>
      <c r="EV944" s="98"/>
      <c r="EW944" s="98"/>
      <c r="EX944" s="98"/>
      <c r="EY944" s="98"/>
      <c r="EZ944" s="178"/>
    </row>
    <row r="945" spans="60:156">
      <c r="BH945" s="19"/>
      <c r="BI945" s="19"/>
      <c r="BJ945" s="19"/>
      <c r="BK945" s="19"/>
      <c r="BL945" s="19"/>
      <c r="BM945" s="98"/>
      <c r="BN945" s="98"/>
      <c r="BO945" s="98"/>
      <c r="BP945" s="98"/>
      <c r="BQ945" s="98"/>
      <c r="BR945" s="98"/>
      <c r="BS945" s="98"/>
      <c r="BT945" s="98"/>
      <c r="BU945" s="98"/>
      <c r="BV945" s="98"/>
      <c r="BW945" s="98"/>
      <c r="BX945" s="98"/>
      <c r="BY945" s="98"/>
      <c r="BZ945" s="98"/>
      <c r="DA945" s="177"/>
      <c r="EH945" s="19"/>
      <c r="EI945" s="19"/>
      <c r="EJ945" s="19"/>
      <c r="EK945" s="19"/>
      <c r="EL945" s="19"/>
      <c r="EM945" s="98"/>
      <c r="EN945" s="98"/>
      <c r="EO945" s="98"/>
      <c r="EP945" s="98"/>
      <c r="EQ945" s="98"/>
      <c r="ER945" s="98"/>
      <c r="ES945" s="98"/>
      <c r="ET945" s="98"/>
      <c r="EU945" s="98"/>
      <c r="EV945" s="98"/>
      <c r="EW945" s="98"/>
      <c r="EX945" s="98"/>
      <c r="EY945" s="98"/>
      <c r="EZ945" s="178"/>
    </row>
    <row r="946" spans="60:156">
      <c r="BH946" s="19"/>
      <c r="BI946" s="19"/>
      <c r="BJ946" s="19"/>
      <c r="BK946" s="19"/>
      <c r="BL946" s="19"/>
      <c r="BM946" s="98"/>
      <c r="BN946" s="98"/>
      <c r="BO946" s="98"/>
      <c r="BP946" s="98"/>
      <c r="BQ946" s="98"/>
      <c r="BR946" s="98"/>
      <c r="BS946" s="98"/>
      <c r="BT946" s="98"/>
      <c r="BU946" s="98"/>
      <c r="BV946" s="98"/>
      <c r="BW946" s="98"/>
      <c r="BX946" s="98"/>
      <c r="BY946" s="98"/>
      <c r="BZ946" s="98"/>
      <c r="DA946" s="177"/>
      <c r="EH946" s="19"/>
      <c r="EI946" s="19"/>
      <c r="EJ946" s="19"/>
      <c r="EK946" s="19"/>
      <c r="EL946" s="19"/>
      <c r="EM946" s="98"/>
      <c r="EN946" s="98"/>
      <c r="EO946" s="98"/>
      <c r="EP946" s="98"/>
      <c r="EQ946" s="98"/>
      <c r="ER946" s="98"/>
      <c r="ES946" s="98"/>
      <c r="ET946" s="98"/>
      <c r="EU946" s="98"/>
      <c r="EV946" s="98"/>
      <c r="EW946" s="98"/>
      <c r="EX946" s="98"/>
      <c r="EY946" s="98"/>
      <c r="EZ946" s="178"/>
    </row>
    <row r="947" spans="60:156">
      <c r="BH947" s="19"/>
      <c r="BI947" s="19"/>
      <c r="BJ947" s="19"/>
      <c r="BK947" s="19"/>
      <c r="BL947" s="19"/>
      <c r="BM947" s="98"/>
      <c r="BN947" s="98"/>
      <c r="BO947" s="98"/>
      <c r="BP947" s="98"/>
      <c r="BQ947" s="98"/>
      <c r="BR947" s="98"/>
      <c r="BS947" s="98"/>
      <c r="BT947" s="98"/>
      <c r="BU947" s="98"/>
      <c r="BV947" s="98"/>
      <c r="BW947" s="98"/>
      <c r="BX947" s="98"/>
      <c r="BY947" s="98"/>
      <c r="BZ947" s="98"/>
      <c r="DA947" s="177"/>
      <c r="EH947" s="19"/>
      <c r="EI947" s="19"/>
      <c r="EJ947" s="19"/>
      <c r="EK947" s="19"/>
      <c r="EL947" s="19"/>
      <c r="EM947" s="98"/>
      <c r="EN947" s="98"/>
      <c r="EO947" s="98"/>
      <c r="EP947" s="98"/>
      <c r="EQ947" s="98"/>
      <c r="ER947" s="98"/>
      <c r="ES947" s="98"/>
      <c r="ET947" s="98"/>
      <c r="EU947" s="98"/>
      <c r="EV947" s="98"/>
      <c r="EW947" s="98"/>
      <c r="EX947" s="98"/>
      <c r="EY947" s="98"/>
      <c r="EZ947" s="178"/>
    </row>
    <row r="948" spans="60:156">
      <c r="BH948" s="19"/>
      <c r="BI948" s="19"/>
      <c r="BJ948" s="19"/>
      <c r="BK948" s="19"/>
      <c r="BL948" s="19"/>
      <c r="BM948" s="98"/>
      <c r="BN948" s="98"/>
      <c r="BO948" s="98"/>
      <c r="BP948" s="98"/>
      <c r="BQ948" s="98"/>
      <c r="BR948" s="98"/>
      <c r="BS948" s="98"/>
      <c r="BT948" s="98"/>
      <c r="BU948" s="98"/>
      <c r="BV948" s="98"/>
      <c r="BW948" s="98"/>
      <c r="BX948" s="98"/>
      <c r="BY948" s="98"/>
      <c r="BZ948" s="98"/>
      <c r="DA948" s="177"/>
      <c r="EH948" s="19"/>
      <c r="EI948" s="19"/>
      <c r="EJ948" s="19"/>
      <c r="EK948" s="19"/>
      <c r="EL948" s="19"/>
      <c r="EM948" s="98"/>
      <c r="EN948" s="98"/>
      <c r="EO948" s="98"/>
      <c r="EP948" s="98"/>
      <c r="EQ948" s="98"/>
      <c r="ER948" s="98"/>
      <c r="ES948" s="98"/>
      <c r="ET948" s="98"/>
      <c r="EU948" s="98"/>
      <c r="EV948" s="98"/>
      <c r="EW948" s="98"/>
      <c r="EX948" s="98"/>
      <c r="EY948" s="98"/>
      <c r="EZ948" s="178"/>
    </row>
    <row r="949" spans="60:156">
      <c r="BH949" s="19"/>
      <c r="BI949" s="19"/>
      <c r="BJ949" s="19"/>
      <c r="BK949" s="19"/>
      <c r="BL949" s="19"/>
      <c r="BM949" s="98"/>
      <c r="BN949" s="98"/>
      <c r="BO949" s="98"/>
      <c r="BP949" s="98"/>
      <c r="BQ949" s="98"/>
      <c r="BR949" s="98"/>
      <c r="BS949" s="98"/>
      <c r="BT949" s="98"/>
      <c r="BU949" s="98"/>
      <c r="BV949" s="98"/>
      <c r="BW949" s="98"/>
      <c r="BX949" s="98"/>
      <c r="BY949" s="98"/>
      <c r="BZ949" s="98"/>
      <c r="DA949" s="177"/>
      <c r="EH949" s="19"/>
      <c r="EI949" s="19"/>
      <c r="EJ949" s="19"/>
      <c r="EK949" s="19"/>
      <c r="EL949" s="19"/>
      <c r="EM949" s="98"/>
      <c r="EN949" s="98"/>
      <c r="EO949" s="98"/>
      <c r="EP949" s="98"/>
      <c r="EQ949" s="98"/>
      <c r="ER949" s="98"/>
      <c r="ES949" s="98"/>
      <c r="ET949" s="98"/>
      <c r="EU949" s="98"/>
      <c r="EV949" s="98"/>
      <c r="EW949" s="98"/>
      <c r="EX949" s="98"/>
      <c r="EY949" s="98"/>
      <c r="EZ949" s="178"/>
    </row>
    <row r="950" spans="60:156">
      <c r="BH950" s="19"/>
      <c r="BI950" s="19"/>
      <c r="BJ950" s="19"/>
      <c r="BK950" s="19"/>
      <c r="BL950" s="19"/>
      <c r="BM950" s="98"/>
      <c r="BN950" s="98"/>
      <c r="BO950" s="98"/>
      <c r="BP950" s="98"/>
      <c r="BQ950" s="98"/>
      <c r="BR950" s="98"/>
      <c r="BS950" s="98"/>
      <c r="BT950" s="98"/>
      <c r="BU950" s="98"/>
      <c r="BV950" s="98"/>
      <c r="BW950" s="98"/>
      <c r="BX950" s="98"/>
      <c r="BY950" s="98"/>
      <c r="BZ950" s="98"/>
      <c r="DA950" s="177"/>
      <c r="EH950" s="19"/>
      <c r="EI950" s="19"/>
      <c r="EJ950" s="19"/>
      <c r="EK950" s="19"/>
      <c r="EL950" s="19"/>
      <c r="EM950" s="98"/>
      <c r="EN950" s="98"/>
      <c r="EO950" s="98"/>
      <c r="EP950" s="98"/>
      <c r="EQ950" s="98"/>
      <c r="ER950" s="98"/>
      <c r="ES950" s="98"/>
      <c r="ET950" s="98"/>
      <c r="EU950" s="98"/>
      <c r="EV950" s="98"/>
      <c r="EW950" s="98"/>
      <c r="EX950" s="98"/>
      <c r="EY950" s="98"/>
      <c r="EZ950" s="178"/>
    </row>
    <row r="951" spans="60:156">
      <c r="BH951" s="19"/>
      <c r="BI951" s="19"/>
      <c r="BJ951" s="19"/>
      <c r="BK951" s="19"/>
      <c r="BL951" s="19"/>
      <c r="BM951" s="98"/>
      <c r="BN951" s="98"/>
      <c r="BO951" s="98"/>
      <c r="BP951" s="98"/>
      <c r="BQ951" s="98"/>
      <c r="BR951" s="98"/>
      <c r="BS951" s="98"/>
      <c r="BT951" s="98"/>
      <c r="BU951" s="98"/>
      <c r="BV951" s="98"/>
      <c r="BW951" s="98"/>
      <c r="BX951" s="98"/>
      <c r="BY951" s="98"/>
      <c r="BZ951" s="98"/>
      <c r="DA951" s="177"/>
      <c r="EH951" s="19"/>
      <c r="EI951" s="19"/>
      <c r="EJ951" s="19"/>
      <c r="EK951" s="19"/>
      <c r="EL951" s="19"/>
      <c r="EM951" s="98"/>
      <c r="EN951" s="98"/>
      <c r="EO951" s="98"/>
      <c r="EP951" s="98"/>
      <c r="EQ951" s="98"/>
      <c r="ER951" s="98"/>
      <c r="ES951" s="98"/>
      <c r="ET951" s="98"/>
      <c r="EU951" s="98"/>
      <c r="EV951" s="98"/>
      <c r="EW951" s="98"/>
      <c r="EX951" s="98"/>
      <c r="EY951" s="98"/>
      <c r="EZ951" s="178"/>
    </row>
    <row r="952" spans="60:156">
      <c r="BH952" s="19"/>
      <c r="BI952" s="19"/>
      <c r="BJ952" s="19"/>
      <c r="BK952" s="19"/>
      <c r="BL952" s="19"/>
      <c r="BM952" s="98"/>
      <c r="BN952" s="98"/>
      <c r="BO952" s="98"/>
      <c r="BP952" s="98"/>
      <c r="BQ952" s="98"/>
      <c r="BR952" s="98"/>
      <c r="BS952" s="98"/>
      <c r="BT952" s="98"/>
      <c r="BU952" s="98"/>
      <c r="BV952" s="98"/>
      <c r="BW952" s="98"/>
      <c r="BX952" s="98"/>
      <c r="BY952" s="98"/>
      <c r="BZ952" s="98"/>
      <c r="DA952" s="177"/>
      <c r="EH952" s="19"/>
      <c r="EI952" s="19"/>
      <c r="EJ952" s="19"/>
      <c r="EK952" s="19"/>
      <c r="EL952" s="19"/>
      <c r="EM952" s="98"/>
      <c r="EN952" s="98"/>
      <c r="EO952" s="98"/>
      <c r="EP952" s="98"/>
      <c r="EQ952" s="98"/>
      <c r="ER952" s="98"/>
      <c r="ES952" s="98"/>
      <c r="ET952" s="98"/>
      <c r="EU952" s="98"/>
      <c r="EV952" s="98"/>
      <c r="EW952" s="98"/>
      <c r="EX952" s="98"/>
      <c r="EY952" s="98"/>
      <c r="EZ952" s="178"/>
    </row>
    <row r="953" spans="60:156">
      <c r="BH953" s="19"/>
      <c r="BI953" s="19"/>
      <c r="BJ953" s="19"/>
      <c r="BK953" s="19"/>
      <c r="BL953" s="19"/>
      <c r="BM953" s="98"/>
      <c r="BN953" s="98"/>
      <c r="BO953" s="98"/>
      <c r="BP953" s="98"/>
      <c r="BQ953" s="98"/>
      <c r="BR953" s="98"/>
      <c r="BS953" s="98"/>
      <c r="BT953" s="98"/>
      <c r="BU953" s="98"/>
      <c r="BV953" s="98"/>
      <c r="BW953" s="98"/>
      <c r="BX953" s="98"/>
      <c r="BY953" s="98"/>
      <c r="BZ953" s="98"/>
      <c r="DA953" s="177"/>
      <c r="EH953" s="19"/>
      <c r="EI953" s="19"/>
      <c r="EJ953" s="19"/>
      <c r="EK953" s="19"/>
      <c r="EL953" s="19"/>
      <c r="EM953" s="98"/>
      <c r="EN953" s="98"/>
      <c r="EO953" s="98"/>
      <c r="EP953" s="98"/>
      <c r="EQ953" s="98"/>
      <c r="ER953" s="98"/>
      <c r="ES953" s="98"/>
      <c r="ET953" s="98"/>
      <c r="EU953" s="98"/>
      <c r="EV953" s="98"/>
      <c r="EW953" s="98"/>
      <c r="EX953" s="98"/>
      <c r="EY953" s="98"/>
      <c r="EZ953" s="178"/>
    </row>
    <row r="954" spans="60:156">
      <c r="BH954" s="19"/>
      <c r="BI954" s="19"/>
      <c r="BJ954" s="19"/>
      <c r="BK954" s="19"/>
      <c r="BL954" s="19"/>
      <c r="BM954" s="98"/>
      <c r="BN954" s="98"/>
      <c r="BO954" s="98"/>
      <c r="BP954" s="98"/>
      <c r="BQ954" s="98"/>
      <c r="BR954" s="98"/>
      <c r="BS954" s="98"/>
      <c r="BT954" s="98"/>
      <c r="BU954" s="98"/>
      <c r="BV954" s="98"/>
      <c r="BW954" s="98"/>
      <c r="BX954" s="98"/>
      <c r="BY954" s="98"/>
      <c r="BZ954" s="98"/>
      <c r="DA954" s="177"/>
      <c r="EH954" s="19"/>
      <c r="EI954" s="19"/>
      <c r="EJ954" s="19"/>
      <c r="EK954" s="19"/>
      <c r="EL954" s="19"/>
      <c r="EM954" s="98"/>
      <c r="EN954" s="98"/>
      <c r="EO954" s="98"/>
      <c r="EP954" s="98"/>
      <c r="EQ954" s="98"/>
      <c r="ER954" s="98"/>
      <c r="ES954" s="98"/>
      <c r="ET954" s="98"/>
      <c r="EU954" s="98"/>
      <c r="EV954" s="98"/>
      <c r="EW954" s="98"/>
      <c r="EX954" s="98"/>
      <c r="EY954" s="98"/>
      <c r="EZ954" s="178"/>
    </row>
    <row r="955" spans="60:156">
      <c r="BH955" s="19"/>
      <c r="BI955" s="19"/>
      <c r="BJ955" s="19"/>
      <c r="BK955" s="19"/>
      <c r="BL955" s="19"/>
      <c r="BM955" s="98"/>
      <c r="BN955" s="98"/>
      <c r="BO955" s="98"/>
      <c r="BP955" s="98"/>
      <c r="BQ955" s="98"/>
      <c r="BR955" s="98"/>
      <c r="BS955" s="98"/>
      <c r="BT955" s="98"/>
      <c r="BU955" s="98"/>
      <c r="BV955" s="98"/>
      <c r="BW955" s="98"/>
      <c r="BX955" s="98"/>
      <c r="BY955" s="98"/>
      <c r="BZ955" s="98"/>
      <c r="DA955" s="177"/>
      <c r="EH955" s="19"/>
      <c r="EI955" s="19"/>
      <c r="EJ955" s="19"/>
      <c r="EK955" s="19"/>
      <c r="EL955" s="19"/>
      <c r="EM955" s="98"/>
      <c r="EN955" s="98"/>
      <c r="EO955" s="98"/>
      <c r="EP955" s="98"/>
      <c r="EQ955" s="98"/>
      <c r="ER955" s="98"/>
      <c r="ES955" s="98"/>
      <c r="ET955" s="98"/>
      <c r="EU955" s="98"/>
      <c r="EV955" s="98"/>
      <c r="EW955" s="98"/>
      <c r="EX955" s="98"/>
      <c r="EY955" s="98"/>
      <c r="EZ955" s="178"/>
    </row>
    <row r="956" spans="60:156">
      <c r="BH956" s="19"/>
      <c r="BI956" s="19"/>
      <c r="BJ956" s="19"/>
      <c r="BK956" s="19"/>
      <c r="BL956" s="19"/>
      <c r="BM956" s="98"/>
      <c r="BN956" s="98"/>
      <c r="BO956" s="98"/>
      <c r="BP956" s="98"/>
      <c r="BQ956" s="98"/>
      <c r="BR956" s="98"/>
      <c r="BS956" s="98"/>
      <c r="BT956" s="98"/>
      <c r="BU956" s="98"/>
      <c r="BV956" s="98"/>
      <c r="BW956" s="98"/>
      <c r="BX956" s="98"/>
      <c r="BY956" s="98"/>
      <c r="BZ956" s="98"/>
      <c r="DA956" s="177"/>
      <c r="EH956" s="19"/>
      <c r="EI956" s="19"/>
      <c r="EJ956" s="19"/>
      <c r="EK956" s="19"/>
      <c r="EL956" s="19"/>
      <c r="EM956" s="98"/>
      <c r="EN956" s="98"/>
      <c r="EO956" s="98"/>
      <c r="EP956" s="98"/>
      <c r="EQ956" s="98"/>
      <c r="ER956" s="98"/>
      <c r="ES956" s="98"/>
      <c r="ET956" s="98"/>
      <c r="EU956" s="98"/>
      <c r="EV956" s="98"/>
      <c r="EW956" s="98"/>
      <c r="EX956" s="98"/>
      <c r="EY956" s="98"/>
      <c r="EZ956" s="178"/>
    </row>
    <row r="957" spans="60:156">
      <c r="BH957" s="19"/>
      <c r="BI957" s="19"/>
      <c r="BJ957" s="19"/>
      <c r="BK957" s="19"/>
      <c r="BL957" s="19"/>
      <c r="BM957" s="98"/>
      <c r="BN957" s="98"/>
      <c r="BO957" s="98"/>
      <c r="BP957" s="98"/>
      <c r="BQ957" s="98"/>
      <c r="BR957" s="98"/>
      <c r="BS957" s="98"/>
      <c r="BT957" s="98"/>
      <c r="BU957" s="98"/>
      <c r="BV957" s="98"/>
      <c r="BW957" s="98"/>
      <c r="BX957" s="98"/>
      <c r="BY957" s="98"/>
      <c r="BZ957" s="98"/>
      <c r="DA957" s="177"/>
      <c r="EH957" s="19"/>
      <c r="EI957" s="19"/>
      <c r="EJ957" s="19"/>
      <c r="EK957" s="19"/>
      <c r="EL957" s="19"/>
      <c r="EM957" s="98"/>
      <c r="EN957" s="98"/>
      <c r="EO957" s="98"/>
      <c r="EP957" s="98"/>
      <c r="EQ957" s="98"/>
      <c r="ER957" s="98"/>
      <c r="ES957" s="98"/>
      <c r="ET957" s="98"/>
      <c r="EU957" s="98"/>
      <c r="EV957" s="98"/>
      <c r="EW957" s="98"/>
      <c r="EX957" s="98"/>
      <c r="EY957" s="98"/>
      <c r="EZ957" s="178"/>
    </row>
    <row r="958" spans="60:156">
      <c r="BH958" s="19"/>
      <c r="BI958" s="19"/>
      <c r="BJ958" s="19"/>
      <c r="BK958" s="19"/>
      <c r="BL958" s="19"/>
      <c r="BM958" s="98"/>
      <c r="BN958" s="98"/>
      <c r="BO958" s="98"/>
      <c r="BP958" s="98"/>
      <c r="BQ958" s="98"/>
      <c r="BR958" s="98"/>
      <c r="BS958" s="98"/>
      <c r="BT958" s="98"/>
      <c r="BU958" s="98"/>
      <c r="BV958" s="98"/>
      <c r="BW958" s="98"/>
      <c r="BX958" s="98"/>
      <c r="BY958" s="98"/>
      <c r="BZ958" s="98"/>
      <c r="DA958" s="177"/>
      <c r="EH958" s="19"/>
      <c r="EI958" s="19"/>
      <c r="EJ958" s="19"/>
      <c r="EK958" s="19"/>
      <c r="EL958" s="19"/>
      <c r="EM958" s="98"/>
      <c r="EN958" s="98"/>
      <c r="EO958" s="98"/>
      <c r="EP958" s="98"/>
      <c r="EQ958" s="98"/>
      <c r="ER958" s="98"/>
      <c r="ES958" s="98"/>
      <c r="ET958" s="98"/>
      <c r="EU958" s="98"/>
      <c r="EV958" s="98"/>
      <c r="EW958" s="98"/>
      <c r="EX958" s="98"/>
      <c r="EY958" s="98"/>
      <c r="EZ958" s="178"/>
    </row>
    <row r="959" spans="60:156">
      <c r="BH959" s="19"/>
      <c r="BI959" s="19"/>
      <c r="BJ959" s="19"/>
      <c r="BK959" s="19"/>
      <c r="BL959" s="19"/>
      <c r="BM959" s="98"/>
      <c r="BN959" s="98"/>
      <c r="BO959" s="98"/>
      <c r="BP959" s="98"/>
      <c r="BQ959" s="98"/>
      <c r="BR959" s="98"/>
      <c r="BS959" s="98"/>
      <c r="BT959" s="98"/>
      <c r="BU959" s="98"/>
      <c r="BV959" s="98"/>
      <c r="BW959" s="98"/>
      <c r="BX959" s="98"/>
      <c r="BY959" s="98"/>
      <c r="BZ959" s="98"/>
      <c r="DA959" s="177"/>
      <c r="EH959" s="19"/>
      <c r="EI959" s="19"/>
      <c r="EJ959" s="19"/>
      <c r="EK959" s="19"/>
      <c r="EL959" s="19"/>
      <c r="EM959" s="98"/>
      <c r="EN959" s="98"/>
      <c r="EO959" s="98"/>
      <c r="EP959" s="98"/>
      <c r="EQ959" s="98"/>
      <c r="ER959" s="98"/>
      <c r="ES959" s="98"/>
      <c r="ET959" s="98"/>
      <c r="EU959" s="98"/>
      <c r="EV959" s="98"/>
      <c r="EW959" s="98"/>
      <c r="EX959" s="98"/>
      <c r="EY959" s="98"/>
      <c r="EZ959" s="178"/>
    </row>
    <row r="960" spans="60:156">
      <c r="BH960" s="19"/>
      <c r="BI960" s="19"/>
      <c r="BJ960" s="19"/>
      <c r="BK960" s="19"/>
      <c r="BL960" s="19"/>
      <c r="BM960" s="98"/>
      <c r="BN960" s="98"/>
      <c r="BO960" s="98"/>
      <c r="BP960" s="98"/>
      <c r="BQ960" s="98"/>
      <c r="BR960" s="98"/>
      <c r="BS960" s="98"/>
      <c r="BT960" s="98"/>
      <c r="BU960" s="98"/>
      <c r="BV960" s="98"/>
      <c r="BW960" s="98"/>
      <c r="BX960" s="98"/>
      <c r="BY960" s="98"/>
      <c r="BZ960" s="98"/>
      <c r="DA960" s="177"/>
      <c r="EH960" s="19"/>
      <c r="EI960" s="19"/>
      <c r="EJ960" s="19"/>
      <c r="EK960" s="19"/>
      <c r="EL960" s="19"/>
      <c r="EM960" s="98"/>
      <c r="EN960" s="98"/>
      <c r="EO960" s="98"/>
      <c r="EP960" s="98"/>
      <c r="EQ960" s="98"/>
      <c r="ER960" s="98"/>
      <c r="ES960" s="98"/>
      <c r="ET960" s="98"/>
      <c r="EU960" s="98"/>
      <c r="EV960" s="98"/>
      <c r="EW960" s="98"/>
      <c r="EX960" s="98"/>
      <c r="EY960" s="98"/>
      <c r="EZ960" s="178"/>
    </row>
    <row r="961" spans="60:156">
      <c r="BH961" s="19"/>
      <c r="BI961" s="19"/>
      <c r="BJ961" s="19"/>
      <c r="BK961" s="19"/>
      <c r="BL961" s="19"/>
      <c r="BM961" s="98"/>
      <c r="BN961" s="98"/>
      <c r="BO961" s="98"/>
      <c r="BP961" s="98"/>
      <c r="BQ961" s="98"/>
      <c r="BR961" s="98"/>
      <c r="BS961" s="98"/>
      <c r="BT961" s="98"/>
      <c r="BU961" s="98"/>
      <c r="BV961" s="98"/>
      <c r="BW961" s="98"/>
      <c r="BX961" s="98"/>
      <c r="BY961" s="98"/>
      <c r="BZ961" s="98"/>
      <c r="DA961" s="177"/>
      <c r="EH961" s="19"/>
      <c r="EI961" s="19"/>
      <c r="EJ961" s="19"/>
      <c r="EK961" s="19"/>
      <c r="EL961" s="19"/>
      <c r="EM961" s="98"/>
      <c r="EN961" s="98"/>
      <c r="EO961" s="98"/>
      <c r="EP961" s="98"/>
      <c r="EQ961" s="98"/>
      <c r="ER961" s="98"/>
      <c r="ES961" s="98"/>
      <c r="ET961" s="98"/>
      <c r="EU961" s="98"/>
      <c r="EV961" s="98"/>
      <c r="EW961" s="98"/>
      <c r="EX961" s="98"/>
      <c r="EY961" s="98"/>
      <c r="EZ961" s="178"/>
    </row>
    <row r="962" spans="60:156">
      <c r="BH962" s="19"/>
      <c r="BI962" s="19"/>
      <c r="BJ962" s="19"/>
      <c r="BK962" s="19"/>
      <c r="BL962" s="19"/>
      <c r="BM962" s="98"/>
      <c r="BN962" s="98"/>
      <c r="BO962" s="98"/>
      <c r="BP962" s="98"/>
      <c r="BQ962" s="98"/>
      <c r="BR962" s="98"/>
      <c r="BS962" s="98"/>
      <c r="BT962" s="98"/>
      <c r="BU962" s="98"/>
      <c r="BV962" s="98"/>
      <c r="BW962" s="98"/>
      <c r="BX962" s="98"/>
      <c r="BY962" s="98"/>
      <c r="BZ962" s="98"/>
      <c r="DA962" s="177"/>
      <c r="EH962" s="19"/>
      <c r="EI962" s="19"/>
      <c r="EJ962" s="19"/>
      <c r="EK962" s="19"/>
      <c r="EL962" s="19"/>
      <c r="EM962" s="98"/>
      <c r="EN962" s="98"/>
      <c r="EO962" s="98"/>
      <c r="EP962" s="98"/>
      <c r="EQ962" s="98"/>
      <c r="ER962" s="98"/>
      <c r="ES962" s="98"/>
      <c r="ET962" s="98"/>
      <c r="EU962" s="98"/>
      <c r="EV962" s="98"/>
      <c r="EW962" s="98"/>
      <c r="EX962" s="98"/>
      <c r="EY962" s="98"/>
      <c r="EZ962" s="178"/>
    </row>
    <row r="963" spans="60:156">
      <c r="BH963" s="19"/>
      <c r="BI963" s="19"/>
      <c r="BJ963" s="19"/>
      <c r="BK963" s="19"/>
      <c r="BL963" s="19"/>
      <c r="BM963" s="98"/>
      <c r="BN963" s="98"/>
      <c r="BO963" s="98"/>
      <c r="BP963" s="98"/>
      <c r="BQ963" s="98"/>
      <c r="BR963" s="98"/>
      <c r="BS963" s="98"/>
      <c r="BT963" s="98"/>
      <c r="BU963" s="98"/>
      <c r="BV963" s="98"/>
      <c r="BW963" s="98"/>
      <c r="BX963" s="98"/>
      <c r="BY963" s="98"/>
      <c r="BZ963" s="98"/>
      <c r="DA963" s="177"/>
      <c r="EH963" s="19"/>
      <c r="EI963" s="19"/>
      <c r="EJ963" s="19"/>
      <c r="EK963" s="19"/>
      <c r="EL963" s="19"/>
      <c r="EM963" s="98"/>
      <c r="EN963" s="98"/>
      <c r="EO963" s="98"/>
      <c r="EP963" s="98"/>
      <c r="EQ963" s="98"/>
      <c r="ER963" s="98"/>
      <c r="ES963" s="98"/>
      <c r="ET963" s="98"/>
      <c r="EU963" s="98"/>
      <c r="EV963" s="98"/>
      <c r="EW963" s="98"/>
      <c r="EX963" s="98"/>
      <c r="EY963" s="98"/>
      <c r="EZ963" s="178"/>
    </row>
    <row r="964" spans="60:156">
      <c r="BH964" s="19"/>
      <c r="BI964" s="19"/>
      <c r="BJ964" s="19"/>
      <c r="BK964" s="19"/>
      <c r="BL964" s="19"/>
      <c r="BM964" s="98"/>
      <c r="BN964" s="98"/>
      <c r="BO964" s="98"/>
      <c r="BP964" s="98"/>
      <c r="BQ964" s="98"/>
      <c r="BR964" s="98"/>
      <c r="BS964" s="98"/>
      <c r="BT964" s="98"/>
      <c r="BU964" s="98"/>
      <c r="BV964" s="98"/>
      <c r="BW964" s="98"/>
      <c r="BX964" s="98"/>
      <c r="BY964" s="98"/>
      <c r="BZ964" s="98"/>
      <c r="DA964" s="177"/>
      <c r="EH964" s="19"/>
      <c r="EI964" s="19"/>
      <c r="EJ964" s="19"/>
      <c r="EK964" s="19"/>
      <c r="EL964" s="19"/>
      <c r="EM964" s="98"/>
      <c r="EN964" s="98"/>
      <c r="EO964" s="98"/>
      <c r="EP964" s="98"/>
      <c r="EQ964" s="98"/>
      <c r="ER964" s="98"/>
      <c r="ES964" s="98"/>
      <c r="ET964" s="98"/>
      <c r="EU964" s="98"/>
      <c r="EV964" s="98"/>
      <c r="EW964" s="98"/>
      <c r="EX964" s="98"/>
      <c r="EY964" s="98"/>
      <c r="EZ964" s="178"/>
    </row>
    <row r="965" spans="60:156">
      <c r="BH965" s="19"/>
      <c r="BI965" s="19"/>
      <c r="BJ965" s="19"/>
      <c r="BK965" s="19"/>
      <c r="BL965" s="19"/>
      <c r="BM965" s="98"/>
      <c r="BN965" s="98"/>
      <c r="BO965" s="98"/>
      <c r="BP965" s="98"/>
      <c r="BQ965" s="98"/>
      <c r="BR965" s="98"/>
      <c r="BS965" s="98"/>
      <c r="BT965" s="98"/>
      <c r="BU965" s="98"/>
      <c r="BV965" s="98"/>
      <c r="BW965" s="98"/>
      <c r="BX965" s="98"/>
      <c r="BY965" s="98"/>
      <c r="BZ965" s="98"/>
      <c r="DA965" s="177"/>
      <c r="EH965" s="19"/>
      <c r="EI965" s="19"/>
      <c r="EJ965" s="19"/>
      <c r="EK965" s="19"/>
      <c r="EL965" s="19"/>
      <c r="EM965" s="98"/>
      <c r="EN965" s="98"/>
      <c r="EO965" s="98"/>
      <c r="EP965" s="98"/>
      <c r="EQ965" s="98"/>
      <c r="ER965" s="98"/>
      <c r="ES965" s="98"/>
      <c r="ET965" s="98"/>
      <c r="EU965" s="98"/>
      <c r="EV965" s="98"/>
      <c r="EW965" s="98"/>
      <c r="EX965" s="98"/>
      <c r="EY965" s="98"/>
      <c r="EZ965" s="178"/>
    </row>
    <row r="966" spans="60:156">
      <c r="BH966" s="19"/>
      <c r="BI966" s="19"/>
      <c r="BJ966" s="19"/>
      <c r="BK966" s="19"/>
      <c r="BL966" s="19"/>
      <c r="BM966" s="98"/>
      <c r="BN966" s="98"/>
      <c r="BO966" s="98"/>
      <c r="BP966" s="98"/>
      <c r="BQ966" s="98"/>
      <c r="BR966" s="98"/>
      <c r="BS966" s="98"/>
      <c r="BT966" s="98"/>
      <c r="BU966" s="98"/>
      <c r="BV966" s="98"/>
      <c r="BW966" s="98"/>
      <c r="BX966" s="98"/>
      <c r="BY966" s="98"/>
      <c r="BZ966" s="98"/>
      <c r="DA966" s="177"/>
      <c r="EH966" s="19"/>
      <c r="EI966" s="19"/>
      <c r="EJ966" s="19"/>
      <c r="EK966" s="19"/>
      <c r="EL966" s="19"/>
      <c r="EM966" s="98"/>
      <c r="EN966" s="98"/>
      <c r="EO966" s="98"/>
      <c r="EP966" s="98"/>
      <c r="EQ966" s="98"/>
      <c r="ER966" s="98"/>
      <c r="ES966" s="98"/>
      <c r="ET966" s="98"/>
      <c r="EU966" s="98"/>
      <c r="EV966" s="98"/>
      <c r="EW966" s="98"/>
      <c r="EX966" s="98"/>
      <c r="EY966" s="98"/>
      <c r="EZ966" s="178"/>
    </row>
    <row r="967" spans="60:156">
      <c r="BH967" s="19"/>
      <c r="BI967" s="19"/>
      <c r="BJ967" s="19"/>
      <c r="BK967" s="19"/>
      <c r="BL967" s="19"/>
      <c r="BM967" s="98"/>
      <c r="BN967" s="98"/>
      <c r="BO967" s="98"/>
      <c r="BP967" s="98"/>
      <c r="BQ967" s="98"/>
      <c r="BR967" s="98"/>
      <c r="BS967" s="98"/>
      <c r="BT967" s="98"/>
      <c r="BU967" s="98"/>
      <c r="BV967" s="98"/>
      <c r="BW967" s="98"/>
      <c r="BX967" s="98"/>
      <c r="BY967" s="98"/>
      <c r="BZ967" s="98"/>
      <c r="DA967" s="177"/>
      <c r="EH967" s="19"/>
      <c r="EI967" s="19"/>
      <c r="EJ967" s="19"/>
      <c r="EK967" s="19"/>
      <c r="EL967" s="19"/>
      <c r="EM967" s="98"/>
      <c r="EN967" s="98"/>
      <c r="EO967" s="98"/>
      <c r="EP967" s="98"/>
      <c r="EQ967" s="98"/>
      <c r="ER967" s="98"/>
      <c r="ES967" s="98"/>
      <c r="ET967" s="98"/>
      <c r="EU967" s="98"/>
      <c r="EV967" s="98"/>
      <c r="EW967" s="98"/>
      <c r="EX967" s="98"/>
      <c r="EY967" s="98"/>
      <c r="EZ967" s="178"/>
    </row>
    <row r="968" spans="60:156">
      <c r="BH968" s="19"/>
      <c r="BI968" s="19"/>
      <c r="BJ968" s="19"/>
      <c r="BK968" s="19"/>
      <c r="BL968" s="19"/>
      <c r="BM968" s="98"/>
      <c r="BN968" s="98"/>
      <c r="BO968" s="98"/>
      <c r="BP968" s="98"/>
      <c r="BQ968" s="98"/>
      <c r="BR968" s="98"/>
      <c r="BS968" s="98"/>
      <c r="BT968" s="98"/>
      <c r="BU968" s="98"/>
      <c r="BV968" s="98"/>
      <c r="BW968" s="98"/>
      <c r="BX968" s="98"/>
      <c r="BY968" s="98"/>
      <c r="BZ968" s="98"/>
      <c r="DA968" s="177"/>
      <c r="EH968" s="19"/>
      <c r="EI968" s="19"/>
      <c r="EJ968" s="19"/>
      <c r="EK968" s="19"/>
      <c r="EL968" s="19"/>
      <c r="EM968" s="98"/>
      <c r="EN968" s="98"/>
      <c r="EO968" s="98"/>
      <c r="EP968" s="98"/>
      <c r="EQ968" s="98"/>
      <c r="ER968" s="98"/>
      <c r="ES968" s="98"/>
      <c r="ET968" s="98"/>
      <c r="EU968" s="98"/>
      <c r="EV968" s="98"/>
      <c r="EW968" s="98"/>
      <c r="EX968" s="98"/>
      <c r="EY968" s="98"/>
      <c r="EZ968" s="178"/>
    </row>
    <row r="969" spans="60:156">
      <c r="BH969" s="19"/>
      <c r="BI969" s="19"/>
      <c r="BJ969" s="19"/>
      <c r="BK969" s="19"/>
      <c r="BL969" s="19"/>
      <c r="BM969" s="98"/>
      <c r="BN969" s="98"/>
      <c r="BO969" s="98"/>
      <c r="BP969" s="98"/>
      <c r="BQ969" s="98"/>
      <c r="BR969" s="98"/>
      <c r="BS969" s="98"/>
      <c r="BT969" s="98"/>
      <c r="BU969" s="98"/>
      <c r="BV969" s="98"/>
      <c r="BW969" s="98"/>
      <c r="BX969" s="98"/>
      <c r="BY969" s="98"/>
      <c r="BZ969" s="98"/>
      <c r="DA969" s="177"/>
      <c r="EH969" s="19"/>
      <c r="EI969" s="19"/>
      <c r="EJ969" s="19"/>
      <c r="EK969" s="19"/>
      <c r="EL969" s="19"/>
      <c r="EM969" s="98"/>
      <c r="EN969" s="98"/>
      <c r="EO969" s="98"/>
      <c r="EP969" s="98"/>
      <c r="EQ969" s="98"/>
      <c r="ER969" s="98"/>
      <c r="ES969" s="98"/>
      <c r="ET969" s="98"/>
      <c r="EU969" s="98"/>
      <c r="EV969" s="98"/>
      <c r="EW969" s="98"/>
      <c r="EX969" s="98"/>
      <c r="EY969" s="98"/>
      <c r="EZ969" s="178"/>
    </row>
    <row r="970" spans="60:156">
      <c r="BH970" s="19"/>
      <c r="BI970" s="19"/>
      <c r="BJ970" s="19"/>
      <c r="BK970" s="19"/>
      <c r="BL970" s="19"/>
      <c r="BM970" s="98"/>
      <c r="BN970" s="98"/>
      <c r="BO970" s="98"/>
      <c r="BP970" s="98"/>
      <c r="BQ970" s="98"/>
      <c r="BR970" s="98"/>
      <c r="BS970" s="98"/>
      <c r="BT970" s="98"/>
      <c r="BU970" s="98"/>
      <c r="BV970" s="98"/>
      <c r="BW970" s="98"/>
      <c r="BX970" s="98"/>
      <c r="BY970" s="98"/>
      <c r="BZ970" s="98"/>
      <c r="DA970" s="177"/>
      <c r="EH970" s="19"/>
      <c r="EI970" s="19"/>
      <c r="EJ970" s="19"/>
      <c r="EK970" s="19"/>
      <c r="EL970" s="19"/>
      <c r="EM970" s="98"/>
      <c r="EN970" s="98"/>
      <c r="EO970" s="98"/>
      <c r="EP970" s="98"/>
      <c r="EQ970" s="98"/>
      <c r="ER970" s="98"/>
      <c r="ES970" s="98"/>
      <c r="ET970" s="98"/>
      <c r="EU970" s="98"/>
      <c r="EV970" s="98"/>
      <c r="EW970" s="98"/>
      <c r="EX970" s="98"/>
      <c r="EY970" s="98"/>
      <c r="EZ970" s="178"/>
    </row>
    <row r="971" spans="60:156">
      <c r="BH971" s="19"/>
      <c r="BI971" s="19"/>
      <c r="BJ971" s="19"/>
      <c r="BK971" s="19"/>
      <c r="BL971" s="19"/>
      <c r="BM971" s="98"/>
      <c r="BN971" s="98"/>
      <c r="BO971" s="98"/>
      <c r="BP971" s="98"/>
      <c r="BQ971" s="98"/>
      <c r="BR971" s="98"/>
      <c r="BS971" s="98"/>
      <c r="BT971" s="98"/>
      <c r="BU971" s="98"/>
      <c r="BV971" s="98"/>
      <c r="BW971" s="98"/>
      <c r="BX971" s="98"/>
      <c r="BY971" s="98"/>
      <c r="BZ971" s="98"/>
      <c r="DA971" s="177"/>
      <c r="EH971" s="19"/>
      <c r="EI971" s="19"/>
      <c r="EJ971" s="19"/>
      <c r="EK971" s="19"/>
      <c r="EL971" s="19"/>
      <c r="EM971" s="98"/>
      <c r="EN971" s="98"/>
      <c r="EO971" s="98"/>
      <c r="EP971" s="98"/>
      <c r="EQ971" s="98"/>
      <c r="ER971" s="98"/>
      <c r="ES971" s="98"/>
      <c r="ET971" s="98"/>
      <c r="EU971" s="98"/>
      <c r="EV971" s="98"/>
      <c r="EW971" s="98"/>
      <c r="EX971" s="98"/>
      <c r="EY971" s="98"/>
      <c r="EZ971" s="178"/>
    </row>
    <row r="972" spans="60:156">
      <c r="BH972" s="19"/>
      <c r="BI972" s="19"/>
      <c r="BJ972" s="19"/>
      <c r="BK972" s="19"/>
      <c r="BL972" s="19"/>
      <c r="BM972" s="98"/>
      <c r="BN972" s="98"/>
      <c r="BO972" s="98"/>
      <c r="BP972" s="98"/>
      <c r="BQ972" s="98"/>
      <c r="BR972" s="98"/>
      <c r="BS972" s="98"/>
      <c r="BT972" s="98"/>
      <c r="BU972" s="98"/>
      <c r="BV972" s="98"/>
      <c r="BW972" s="98"/>
      <c r="BX972" s="98"/>
      <c r="BY972" s="98"/>
      <c r="BZ972" s="98"/>
      <c r="DA972" s="177"/>
      <c r="EH972" s="19"/>
      <c r="EI972" s="19"/>
      <c r="EJ972" s="19"/>
      <c r="EK972" s="19"/>
      <c r="EL972" s="19"/>
      <c r="EM972" s="98"/>
      <c r="EN972" s="98"/>
      <c r="EO972" s="98"/>
      <c r="EP972" s="98"/>
      <c r="EQ972" s="98"/>
      <c r="ER972" s="98"/>
      <c r="ES972" s="98"/>
      <c r="ET972" s="98"/>
      <c r="EU972" s="98"/>
      <c r="EV972" s="98"/>
      <c r="EW972" s="98"/>
      <c r="EX972" s="98"/>
      <c r="EY972" s="98"/>
      <c r="EZ972" s="178"/>
    </row>
    <row r="973" spans="60:156">
      <c r="BH973" s="19"/>
      <c r="BI973" s="19"/>
      <c r="BJ973" s="19"/>
      <c r="BK973" s="19"/>
      <c r="BL973" s="19"/>
      <c r="BM973" s="98"/>
      <c r="BN973" s="98"/>
      <c r="BO973" s="98"/>
      <c r="BP973" s="98"/>
      <c r="BQ973" s="98"/>
      <c r="BR973" s="98"/>
      <c r="BS973" s="98"/>
      <c r="BT973" s="98"/>
      <c r="BU973" s="98"/>
      <c r="BV973" s="98"/>
      <c r="BW973" s="98"/>
      <c r="BX973" s="98"/>
      <c r="BY973" s="98"/>
      <c r="BZ973" s="98"/>
      <c r="DA973" s="177"/>
      <c r="EH973" s="19"/>
      <c r="EI973" s="19"/>
      <c r="EJ973" s="19"/>
      <c r="EK973" s="19"/>
      <c r="EL973" s="19"/>
      <c r="EM973" s="98"/>
      <c r="EN973" s="98"/>
      <c r="EO973" s="98"/>
      <c r="EP973" s="98"/>
      <c r="EQ973" s="98"/>
      <c r="ER973" s="98"/>
      <c r="ES973" s="98"/>
      <c r="ET973" s="98"/>
      <c r="EU973" s="98"/>
      <c r="EV973" s="98"/>
      <c r="EW973" s="98"/>
      <c r="EX973" s="98"/>
      <c r="EY973" s="98"/>
      <c r="EZ973" s="178"/>
    </row>
    <row r="974" spans="60:156">
      <c r="BH974" s="19"/>
      <c r="BI974" s="19"/>
      <c r="BJ974" s="19"/>
      <c r="BK974" s="19"/>
      <c r="BL974" s="19"/>
      <c r="BM974" s="98"/>
      <c r="BN974" s="98"/>
      <c r="BO974" s="98"/>
      <c r="BP974" s="98"/>
      <c r="BQ974" s="98"/>
      <c r="BR974" s="98"/>
      <c r="BS974" s="98"/>
      <c r="BT974" s="98"/>
      <c r="BU974" s="98"/>
      <c r="BV974" s="98"/>
      <c r="BW974" s="98"/>
      <c r="BX974" s="98"/>
      <c r="BY974" s="98"/>
      <c r="BZ974" s="98"/>
      <c r="DA974" s="177"/>
      <c r="EH974" s="19"/>
      <c r="EI974" s="19"/>
      <c r="EJ974" s="19"/>
      <c r="EK974" s="19"/>
      <c r="EL974" s="19"/>
      <c r="EM974" s="98"/>
      <c r="EN974" s="98"/>
      <c r="EO974" s="98"/>
      <c r="EP974" s="98"/>
      <c r="EQ974" s="98"/>
      <c r="ER974" s="98"/>
      <c r="ES974" s="98"/>
      <c r="ET974" s="98"/>
      <c r="EU974" s="98"/>
      <c r="EV974" s="98"/>
      <c r="EW974" s="98"/>
      <c r="EX974" s="98"/>
      <c r="EY974" s="98"/>
      <c r="EZ974" s="178"/>
    </row>
    <row r="975" spans="60:156">
      <c r="BH975" s="19"/>
      <c r="BI975" s="19"/>
      <c r="BJ975" s="19"/>
      <c r="BK975" s="19"/>
      <c r="BL975" s="19"/>
      <c r="BM975" s="98"/>
      <c r="BN975" s="98"/>
      <c r="BO975" s="98"/>
      <c r="BP975" s="98"/>
      <c r="BQ975" s="98"/>
      <c r="BR975" s="98"/>
      <c r="BS975" s="98"/>
      <c r="BT975" s="98"/>
      <c r="BU975" s="98"/>
      <c r="BV975" s="98"/>
      <c r="BW975" s="98"/>
      <c r="BX975" s="98"/>
      <c r="BY975" s="98"/>
      <c r="BZ975" s="98"/>
      <c r="DA975" s="177"/>
      <c r="EH975" s="19"/>
      <c r="EI975" s="19"/>
      <c r="EJ975" s="19"/>
      <c r="EK975" s="19"/>
      <c r="EL975" s="19"/>
      <c r="EM975" s="98"/>
      <c r="EN975" s="98"/>
      <c r="EO975" s="98"/>
      <c r="EP975" s="98"/>
      <c r="EQ975" s="98"/>
      <c r="ER975" s="98"/>
      <c r="ES975" s="98"/>
      <c r="ET975" s="98"/>
      <c r="EU975" s="98"/>
      <c r="EV975" s="98"/>
      <c r="EW975" s="98"/>
      <c r="EX975" s="98"/>
      <c r="EY975" s="98"/>
      <c r="EZ975" s="178"/>
    </row>
    <row r="976" spans="60:156">
      <c r="BH976" s="19"/>
      <c r="BI976" s="19"/>
      <c r="BJ976" s="19"/>
      <c r="BK976" s="19"/>
      <c r="BL976" s="19"/>
      <c r="BM976" s="98"/>
      <c r="BN976" s="98"/>
      <c r="BO976" s="98"/>
      <c r="BP976" s="98"/>
      <c r="BQ976" s="98"/>
      <c r="BR976" s="98"/>
      <c r="BS976" s="98"/>
      <c r="BT976" s="98"/>
      <c r="BU976" s="98"/>
      <c r="BV976" s="98"/>
      <c r="BW976" s="98"/>
      <c r="BX976" s="98"/>
      <c r="BY976" s="98"/>
      <c r="BZ976" s="98"/>
      <c r="DA976" s="177"/>
      <c r="EH976" s="19"/>
      <c r="EI976" s="19"/>
      <c r="EJ976" s="19"/>
      <c r="EK976" s="19"/>
      <c r="EL976" s="19"/>
      <c r="EM976" s="98"/>
      <c r="EN976" s="98"/>
      <c r="EO976" s="98"/>
      <c r="EP976" s="98"/>
      <c r="EQ976" s="98"/>
      <c r="ER976" s="98"/>
      <c r="ES976" s="98"/>
      <c r="ET976" s="98"/>
      <c r="EU976" s="98"/>
      <c r="EV976" s="98"/>
      <c r="EW976" s="98"/>
      <c r="EX976" s="98"/>
      <c r="EY976" s="98"/>
      <c r="EZ976" s="178"/>
    </row>
    <row r="977" spans="60:156">
      <c r="BH977" s="19"/>
      <c r="BI977" s="19"/>
      <c r="BJ977" s="19"/>
      <c r="BK977" s="19"/>
      <c r="BL977" s="19"/>
      <c r="BM977" s="98"/>
      <c r="BN977" s="98"/>
      <c r="BO977" s="98"/>
      <c r="BP977" s="98"/>
      <c r="BQ977" s="98"/>
      <c r="BR977" s="98"/>
      <c r="BS977" s="98"/>
      <c r="BT977" s="98"/>
      <c r="BU977" s="98"/>
      <c r="BV977" s="98"/>
      <c r="BW977" s="98"/>
      <c r="BX977" s="98"/>
      <c r="BY977" s="98"/>
      <c r="BZ977" s="98"/>
      <c r="DA977" s="177"/>
      <c r="EH977" s="19"/>
      <c r="EI977" s="19"/>
      <c r="EJ977" s="19"/>
      <c r="EK977" s="19"/>
      <c r="EL977" s="19"/>
      <c r="EM977" s="98"/>
      <c r="EN977" s="98"/>
      <c r="EO977" s="98"/>
      <c r="EP977" s="98"/>
      <c r="EQ977" s="98"/>
      <c r="ER977" s="98"/>
      <c r="ES977" s="98"/>
      <c r="ET977" s="98"/>
      <c r="EU977" s="98"/>
      <c r="EV977" s="98"/>
      <c r="EW977" s="98"/>
      <c r="EX977" s="98"/>
      <c r="EY977" s="98"/>
      <c r="EZ977" s="178"/>
    </row>
    <row r="978" spans="60:156">
      <c r="BH978" s="19"/>
      <c r="BI978" s="19"/>
      <c r="BJ978" s="19"/>
      <c r="BK978" s="19"/>
      <c r="BL978" s="19"/>
      <c r="BM978" s="98"/>
      <c r="BN978" s="98"/>
      <c r="BO978" s="98"/>
      <c r="BP978" s="98"/>
      <c r="BQ978" s="98"/>
      <c r="BR978" s="98"/>
      <c r="BS978" s="98"/>
      <c r="BT978" s="98"/>
      <c r="BU978" s="98"/>
      <c r="BV978" s="98"/>
      <c r="BW978" s="98"/>
      <c r="BX978" s="98"/>
      <c r="BY978" s="98"/>
      <c r="BZ978" s="98"/>
      <c r="DA978" s="177"/>
      <c r="EH978" s="19"/>
      <c r="EI978" s="19"/>
      <c r="EJ978" s="19"/>
      <c r="EK978" s="19"/>
      <c r="EL978" s="19"/>
      <c r="EM978" s="98"/>
      <c r="EN978" s="98"/>
      <c r="EO978" s="98"/>
      <c r="EP978" s="98"/>
      <c r="EQ978" s="98"/>
      <c r="ER978" s="98"/>
      <c r="ES978" s="98"/>
      <c r="ET978" s="98"/>
      <c r="EU978" s="98"/>
      <c r="EV978" s="98"/>
      <c r="EW978" s="98"/>
      <c r="EX978" s="98"/>
      <c r="EY978" s="98"/>
      <c r="EZ978" s="178"/>
    </row>
    <row r="979" spans="60:156">
      <c r="BH979" s="19"/>
      <c r="BI979" s="19"/>
      <c r="BJ979" s="19"/>
      <c r="BK979" s="19"/>
      <c r="BL979" s="19"/>
      <c r="BM979" s="98"/>
      <c r="BN979" s="98"/>
      <c r="BO979" s="98"/>
      <c r="BP979" s="98"/>
      <c r="BQ979" s="98"/>
      <c r="BR979" s="98"/>
      <c r="BS979" s="98"/>
      <c r="BT979" s="98"/>
      <c r="BU979" s="98"/>
      <c r="BV979" s="98"/>
      <c r="BW979" s="98"/>
      <c r="BX979" s="98"/>
      <c r="BY979" s="98"/>
      <c r="BZ979" s="98"/>
      <c r="DA979" s="177"/>
      <c r="EH979" s="19"/>
      <c r="EI979" s="19"/>
      <c r="EJ979" s="19"/>
      <c r="EK979" s="19"/>
      <c r="EL979" s="19"/>
      <c r="EM979" s="98"/>
      <c r="EN979" s="98"/>
      <c r="EO979" s="98"/>
      <c r="EP979" s="98"/>
      <c r="EQ979" s="98"/>
      <c r="ER979" s="98"/>
      <c r="ES979" s="98"/>
      <c r="ET979" s="98"/>
      <c r="EU979" s="98"/>
      <c r="EV979" s="98"/>
      <c r="EW979" s="98"/>
      <c r="EX979" s="98"/>
      <c r="EY979" s="98"/>
      <c r="EZ979" s="178"/>
    </row>
    <row r="980" spans="60:156">
      <c r="BH980" s="19"/>
      <c r="BI980" s="19"/>
      <c r="BJ980" s="19"/>
      <c r="BK980" s="19"/>
      <c r="BL980" s="19"/>
      <c r="BM980" s="98"/>
      <c r="BN980" s="98"/>
      <c r="BO980" s="98"/>
      <c r="BP980" s="98"/>
      <c r="BQ980" s="98"/>
      <c r="BR980" s="98"/>
      <c r="BS980" s="98"/>
      <c r="BT980" s="98"/>
      <c r="BU980" s="98"/>
      <c r="BV980" s="98"/>
      <c r="BW980" s="98"/>
      <c r="BX980" s="98"/>
      <c r="BY980" s="98"/>
      <c r="BZ980" s="98"/>
      <c r="DA980" s="177"/>
      <c r="EH980" s="19"/>
      <c r="EI980" s="19"/>
      <c r="EJ980" s="19"/>
      <c r="EK980" s="19"/>
      <c r="EL980" s="19"/>
      <c r="EM980" s="98"/>
      <c r="EN980" s="98"/>
      <c r="EO980" s="98"/>
      <c r="EP980" s="98"/>
      <c r="EQ980" s="98"/>
      <c r="ER980" s="98"/>
      <c r="ES980" s="98"/>
      <c r="ET980" s="98"/>
      <c r="EU980" s="98"/>
      <c r="EV980" s="98"/>
      <c r="EW980" s="98"/>
      <c r="EX980" s="98"/>
      <c r="EY980" s="98"/>
      <c r="EZ980" s="178"/>
    </row>
    <row r="981" spans="60:156">
      <c r="BH981" s="19"/>
      <c r="BI981" s="19"/>
      <c r="BJ981" s="19"/>
      <c r="BK981" s="19"/>
      <c r="BL981" s="19"/>
      <c r="BM981" s="98"/>
      <c r="BN981" s="98"/>
      <c r="BO981" s="98"/>
      <c r="BP981" s="98"/>
      <c r="BQ981" s="98"/>
      <c r="BR981" s="98"/>
      <c r="BS981" s="98"/>
      <c r="BT981" s="98"/>
      <c r="BU981" s="98"/>
      <c r="BV981" s="98"/>
      <c r="BW981" s="98"/>
      <c r="BX981" s="98"/>
      <c r="BY981" s="98"/>
      <c r="BZ981" s="98"/>
      <c r="DA981" s="177"/>
      <c r="EH981" s="19"/>
      <c r="EI981" s="19"/>
      <c r="EJ981" s="19"/>
      <c r="EK981" s="19"/>
      <c r="EL981" s="19"/>
      <c r="EM981" s="98"/>
      <c r="EN981" s="98"/>
      <c r="EO981" s="98"/>
      <c r="EP981" s="98"/>
      <c r="EQ981" s="98"/>
      <c r="ER981" s="98"/>
      <c r="ES981" s="98"/>
      <c r="ET981" s="98"/>
      <c r="EU981" s="98"/>
      <c r="EV981" s="98"/>
      <c r="EW981" s="98"/>
      <c r="EX981" s="98"/>
      <c r="EY981" s="98"/>
      <c r="EZ981" s="178"/>
    </row>
    <row r="982" spans="60:156">
      <c r="BH982" s="19"/>
      <c r="BI982" s="19"/>
      <c r="BJ982" s="19"/>
      <c r="BK982" s="19"/>
      <c r="BL982" s="19"/>
      <c r="BM982" s="98"/>
      <c r="BN982" s="98"/>
      <c r="BO982" s="98"/>
      <c r="BP982" s="98"/>
      <c r="BQ982" s="98"/>
      <c r="BR982" s="98"/>
      <c r="BS982" s="98"/>
      <c r="BT982" s="98"/>
      <c r="BU982" s="98"/>
      <c r="BV982" s="98"/>
      <c r="BW982" s="98"/>
      <c r="BX982" s="98"/>
      <c r="BY982" s="98"/>
      <c r="BZ982" s="98"/>
      <c r="DA982" s="177"/>
      <c r="EH982" s="19"/>
      <c r="EI982" s="19"/>
      <c r="EJ982" s="19"/>
      <c r="EK982" s="19"/>
      <c r="EL982" s="19"/>
      <c r="EM982" s="98"/>
      <c r="EN982" s="98"/>
      <c r="EO982" s="98"/>
      <c r="EP982" s="98"/>
      <c r="EQ982" s="98"/>
      <c r="ER982" s="98"/>
      <c r="ES982" s="98"/>
      <c r="ET982" s="98"/>
      <c r="EU982" s="98"/>
      <c r="EV982" s="98"/>
      <c r="EW982" s="98"/>
      <c r="EX982" s="98"/>
      <c r="EY982" s="98"/>
      <c r="EZ982" s="178"/>
    </row>
    <row r="983" spans="60:156">
      <c r="BH983" s="19"/>
      <c r="BI983" s="19"/>
      <c r="BJ983" s="19"/>
      <c r="BK983" s="19"/>
      <c r="BL983" s="19"/>
      <c r="BM983" s="98"/>
      <c r="BN983" s="98"/>
      <c r="BO983" s="98"/>
      <c r="BP983" s="98"/>
      <c r="BQ983" s="98"/>
      <c r="BR983" s="98"/>
      <c r="BS983" s="98"/>
      <c r="BT983" s="98"/>
      <c r="BU983" s="98"/>
      <c r="BV983" s="98"/>
      <c r="BW983" s="98"/>
      <c r="BX983" s="98"/>
      <c r="BY983" s="98"/>
      <c r="BZ983" s="98"/>
      <c r="DA983" s="177"/>
      <c r="EH983" s="19"/>
      <c r="EI983" s="19"/>
      <c r="EJ983" s="19"/>
      <c r="EK983" s="19"/>
      <c r="EL983" s="19"/>
      <c r="EM983" s="98"/>
      <c r="EN983" s="98"/>
      <c r="EO983" s="98"/>
      <c r="EP983" s="98"/>
      <c r="EQ983" s="98"/>
      <c r="ER983" s="98"/>
      <c r="ES983" s="98"/>
      <c r="ET983" s="98"/>
      <c r="EU983" s="98"/>
      <c r="EV983" s="98"/>
      <c r="EW983" s="98"/>
      <c r="EX983" s="98"/>
      <c r="EY983" s="98"/>
      <c r="EZ983" s="178"/>
    </row>
    <row r="984" spans="60:156">
      <c r="BH984" s="19"/>
      <c r="BI984" s="19"/>
      <c r="BJ984" s="19"/>
      <c r="BK984" s="19"/>
      <c r="BL984" s="19"/>
      <c r="BM984" s="98"/>
      <c r="BN984" s="98"/>
      <c r="BO984" s="98"/>
      <c r="BP984" s="98"/>
      <c r="BQ984" s="98"/>
      <c r="BR984" s="98"/>
      <c r="BS984" s="98"/>
      <c r="BT984" s="98"/>
      <c r="BU984" s="98"/>
      <c r="BV984" s="98"/>
      <c r="BW984" s="98"/>
      <c r="BX984" s="98"/>
      <c r="BY984" s="98"/>
      <c r="BZ984" s="98"/>
      <c r="DA984" s="177"/>
      <c r="EH984" s="19"/>
      <c r="EI984" s="19"/>
      <c r="EJ984" s="19"/>
      <c r="EK984" s="19"/>
      <c r="EL984" s="19"/>
      <c r="EM984" s="98"/>
      <c r="EN984" s="98"/>
      <c r="EO984" s="98"/>
      <c r="EP984" s="98"/>
      <c r="EQ984" s="98"/>
      <c r="ER984" s="98"/>
      <c r="ES984" s="98"/>
      <c r="ET984" s="98"/>
      <c r="EU984" s="98"/>
      <c r="EV984" s="98"/>
      <c r="EW984" s="98"/>
      <c r="EX984" s="98"/>
      <c r="EY984" s="98"/>
      <c r="EZ984" s="178"/>
    </row>
    <row r="985" spans="60:156">
      <c r="BH985" s="19"/>
      <c r="BI985" s="19"/>
      <c r="BJ985" s="19"/>
      <c r="BK985" s="19"/>
      <c r="BL985" s="19"/>
      <c r="BM985" s="98"/>
      <c r="BN985" s="98"/>
      <c r="BO985" s="98"/>
      <c r="BP985" s="98"/>
      <c r="BQ985" s="98"/>
      <c r="BR985" s="98"/>
      <c r="BS985" s="98"/>
      <c r="BT985" s="98"/>
      <c r="BU985" s="98"/>
      <c r="BV985" s="98"/>
      <c r="BW985" s="98"/>
      <c r="BX985" s="98"/>
      <c r="BY985" s="98"/>
      <c r="BZ985" s="98"/>
      <c r="DA985" s="177"/>
      <c r="EH985" s="19"/>
      <c r="EI985" s="19"/>
      <c r="EJ985" s="19"/>
      <c r="EK985" s="19"/>
      <c r="EL985" s="19"/>
      <c r="EM985" s="98"/>
      <c r="EN985" s="98"/>
      <c r="EO985" s="98"/>
      <c r="EP985" s="98"/>
      <c r="EQ985" s="98"/>
      <c r="ER985" s="98"/>
      <c r="ES985" s="98"/>
      <c r="ET985" s="98"/>
      <c r="EU985" s="98"/>
      <c r="EV985" s="98"/>
      <c r="EW985" s="98"/>
      <c r="EX985" s="98"/>
      <c r="EY985" s="98"/>
      <c r="EZ985" s="178"/>
    </row>
    <row r="986" spans="60:156">
      <c r="BH986" s="19"/>
      <c r="BI986" s="19"/>
      <c r="BJ986" s="19"/>
      <c r="BK986" s="19"/>
      <c r="BL986" s="19"/>
      <c r="BM986" s="98"/>
      <c r="BN986" s="98"/>
      <c r="BO986" s="98"/>
      <c r="BP986" s="98"/>
      <c r="BQ986" s="98"/>
      <c r="BR986" s="98"/>
      <c r="BS986" s="98"/>
      <c r="BT986" s="98"/>
      <c r="BU986" s="98"/>
      <c r="BV986" s="98"/>
      <c r="BW986" s="98"/>
      <c r="BX986" s="98"/>
      <c r="BY986" s="98"/>
      <c r="BZ986" s="98"/>
      <c r="DA986" s="177"/>
      <c r="EH986" s="19"/>
      <c r="EI986" s="19"/>
      <c r="EJ986" s="19"/>
      <c r="EK986" s="19"/>
      <c r="EL986" s="19"/>
      <c r="EM986" s="98"/>
      <c r="EN986" s="98"/>
      <c r="EO986" s="98"/>
      <c r="EP986" s="98"/>
      <c r="EQ986" s="98"/>
      <c r="ER986" s="98"/>
      <c r="ES986" s="98"/>
      <c r="ET986" s="98"/>
      <c r="EU986" s="98"/>
      <c r="EV986" s="98"/>
      <c r="EW986" s="98"/>
      <c r="EX986" s="98"/>
      <c r="EY986" s="98"/>
      <c r="EZ986" s="178"/>
    </row>
    <row r="987" spans="60:156">
      <c r="BH987" s="19"/>
      <c r="BI987" s="19"/>
      <c r="BJ987" s="19"/>
      <c r="BK987" s="19"/>
      <c r="BL987" s="19"/>
      <c r="BM987" s="98"/>
      <c r="BN987" s="98"/>
      <c r="BO987" s="98"/>
      <c r="BP987" s="98"/>
      <c r="BQ987" s="98"/>
      <c r="BR987" s="98"/>
      <c r="BS987" s="98"/>
      <c r="BT987" s="98"/>
      <c r="BU987" s="98"/>
      <c r="BV987" s="98"/>
      <c r="BW987" s="98"/>
      <c r="BX987" s="98"/>
      <c r="BY987" s="98"/>
      <c r="BZ987" s="98"/>
      <c r="DA987" s="177"/>
      <c r="EH987" s="19"/>
      <c r="EI987" s="19"/>
      <c r="EJ987" s="19"/>
      <c r="EK987" s="19"/>
      <c r="EL987" s="19"/>
      <c r="EM987" s="98"/>
      <c r="EN987" s="98"/>
      <c r="EO987" s="98"/>
      <c r="EP987" s="98"/>
      <c r="EQ987" s="98"/>
      <c r="ER987" s="98"/>
      <c r="ES987" s="98"/>
      <c r="ET987" s="98"/>
      <c r="EU987" s="98"/>
      <c r="EV987" s="98"/>
      <c r="EW987" s="98"/>
      <c r="EX987" s="98"/>
      <c r="EY987" s="98"/>
      <c r="EZ987" s="178"/>
    </row>
    <row r="988" spans="60:156">
      <c r="BH988" s="19"/>
      <c r="BI988" s="19"/>
      <c r="BJ988" s="19"/>
      <c r="BK988" s="19"/>
      <c r="BL988" s="19"/>
      <c r="BM988" s="98"/>
      <c r="BN988" s="98"/>
      <c r="BO988" s="98"/>
      <c r="BP988" s="98"/>
      <c r="BQ988" s="98"/>
      <c r="BR988" s="98"/>
      <c r="BS988" s="98"/>
      <c r="BT988" s="98"/>
      <c r="BU988" s="98"/>
      <c r="BV988" s="98"/>
      <c r="BW988" s="98"/>
      <c r="BX988" s="98"/>
      <c r="BY988" s="98"/>
      <c r="BZ988" s="98"/>
      <c r="DA988" s="177"/>
      <c r="EH988" s="19"/>
      <c r="EI988" s="19"/>
      <c r="EJ988" s="19"/>
      <c r="EK988" s="19"/>
      <c r="EL988" s="19"/>
      <c r="EM988" s="98"/>
      <c r="EN988" s="98"/>
      <c r="EO988" s="98"/>
      <c r="EP988" s="98"/>
      <c r="EQ988" s="98"/>
      <c r="ER988" s="98"/>
      <c r="ES988" s="98"/>
      <c r="ET988" s="98"/>
      <c r="EU988" s="98"/>
      <c r="EV988" s="98"/>
      <c r="EW988" s="98"/>
      <c r="EX988" s="98"/>
      <c r="EY988" s="98"/>
      <c r="EZ988" s="178"/>
    </row>
    <row r="989" spans="60:156">
      <c r="BH989" s="19"/>
      <c r="BI989" s="19"/>
      <c r="BJ989" s="19"/>
      <c r="BK989" s="19"/>
      <c r="BL989" s="19"/>
      <c r="BM989" s="98"/>
      <c r="BN989" s="98"/>
      <c r="BO989" s="98"/>
      <c r="BP989" s="98"/>
      <c r="BQ989" s="98"/>
      <c r="BR989" s="98"/>
      <c r="BS989" s="98"/>
      <c r="BT989" s="98"/>
      <c r="BU989" s="98"/>
      <c r="BV989" s="98"/>
      <c r="BW989" s="98"/>
      <c r="BX989" s="98"/>
      <c r="BY989" s="98"/>
      <c r="BZ989" s="98"/>
      <c r="DA989" s="177"/>
      <c r="EH989" s="19"/>
      <c r="EI989" s="19"/>
      <c r="EJ989" s="19"/>
      <c r="EK989" s="19"/>
      <c r="EL989" s="19"/>
      <c r="EM989" s="98"/>
      <c r="EN989" s="98"/>
      <c r="EO989" s="98"/>
      <c r="EP989" s="98"/>
      <c r="EQ989" s="98"/>
      <c r="ER989" s="98"/>
      <c r="ES989" s="98"/>
      <c r="ET989" s="98"/>
      <c r="EU989" s="98"/>
      <c r="EV989" s="98"/>
      <c r="EW989" s="98"/>
      <c r="EX989" s="98"/>
      <c r="EY989" s="98"/>
      <c r="EZ989" s="178"/>
    </row>
    <row r="990" spans="60:156">
      <c r="BH990" s="19"/>
      <c r="BI990" s="19"/>
      <c r="BJ990" s="19"/>
      <c r="BK990" s="19"/>
      <c r="BL990" s="19"/>
      <c r="BM990" s="98"/>
      <c r="BN990" s="98"/>
      <c r="BO990" s="98"/>
      <c r="BP990" s="98"/>
      <c r="BQ990" s="98"/>
      <c r="BR990" s="98"/>
      <c r="BS990" s="98"/>
      <c r="BT990" s="98"/>
      <c r="BU990" s="98"/>
      <c r="BV990" s="98"/>
      <c r="BW990" s="98"/>
      <c r="BX990" s="98"/>
      <c r="BY990" s="98"/>
      <c r="BZ990" s="98"/>
      <c r="DA990" s="177"/>
      <c r="EH990" s="19"/>
      <c r="EI990" s="19"/>
      <c r="EJ990" s="19"/>
      <c r="EK990" s="19"/>
      <c r="EL990" s="19"/>
      <c r="EM990" s="98"/>
      <c r="EN990" s="98"/>
      <c r="EO990" s="98"/>
      <c r="EP990" s="98"/>
      <c r="EQ990" s="98"/>
      <c r="ER990" s="98"/>
      <c r="ES990" s="98"/>
      <c r="ET990" s="98"/>
      <c r="EU990" s="98"/>
      <c r="EV990" s="98"/>
      <c r="EW990" s="98"/>
      <c r="EX990" s="98"/>
      <c r="EY990" s="98"/>
      <c r="EZ990" s="178"/>
    </row>
    <row r="991" spans="60:156">
      <c r="BH991" s="19"/>
      <c r="BI991" s="19"/>
      <c r="BJ991" s="19"/>
      <c r="BK991" s="19"/>
      <c r="BL991" s="19"/>
      <c r="BM991" s="98"/>
      <c r="BN991" s="98"/>
      <c r="BO991" s="98"/>
      <c r="BP991" s="98"/>
      <c r="BQ991" s="98"/>
      <c r="BR991" s="98"/>
      <c r="BS991" s="98"/>
      <c r="BT991" s="98"/>
      <c r="BU991" s="98"/>
      <c r="BV991" s="98"/>
      <c r="BW991" s="98"/>
      <c r="BX991" s="98"/>
      <c r="BY991" s="98"/>
      <c r="BZ991" s="98"/>
      <c r="DA991" s="177"/>
      <c r="EH991" s="19"/>
      <c r="EI991" s="19"/>
      <c r="EJ991" s="19"/>
      <c r="EK991" s="19"/>
      <c r="EL991" s="19"/>
      <c r="EM991" s="98"/>
      <c r="EN991" s="98"/>
      <c r="EO991" s="98"/>
      <c r="EP991" s="98"/>
      <c r="EQ991" s="98"/>
      <c r="ER991" s="98"/>
      <c r="ES991" s="98"/>
      <c r="ET991" s="98"/>
      <c r="EU991" s="98"/>
      <c r="EV991" s="98"/>
      <c r="EW991" s="98"/>
      <c r="EX991" s="98"/>
      <c r="EY991" s="98"/>
      <c r="EZ991" s="178"/>
    </row>
    <row r="992" spans="60:156">
      <c r="BH992" s="19"/>
      <c r="BI992" s="19"/>
      <c r="BJ992" s="19"/>
      <c r="BK992" s="19"/>
      <c r="BL992" s="19"/>
      <c r="BM992" s="98"/>
      <c r="BN992" s="98"/>
      <c r="BO992" s="98"/>
      <c r="BP992" s="98"/>
      <c r="BQ992" s="98"/>
      <c r="BR992" s="98"/>
      <c r="BS992" s="98"/>
      <c r="BT992" s="98"/>
      <c r="BU992" s="98"/>
      <c r="BV992" s="98"/>
      <c r="BW992" s="98"/>
      <c r="BX992" s="98"/>
      <c r="BY992" s="98"/>
      <c r="BZ992" s="98"/>
      <c r="DA992" s="177"/>
      <c r="EH992" s="19"/>
      <c r="EI992" s="19"/>
      <c r="EJ992" s="19"/>
      <c r="EK992" s="19"/>
      <c r="EL992" s="19"/>
      <c r="EM992" s="98"/>
      <c r="EN992" s="98"/>
      <c r="EO992" s="98"/>
      <c r="EP992" s="98"/>
      <c r="EQ992" s="98"/>
      <c r="ER992" s="98"/>
      <c r="ES992" s="98"/>
      <c r="ET992" s="98"/>
      <c r="EU992" s="98"/>
      <c r="EV992" s="98"/>
      <c r="EW992" s="98"/>
      <c r="EX992" s="98"/>
      <c r="EY992" s="98"/>
      <c r="EZ992" s="178"/>
    </row>
    <row r="993" spans="60:156">
      <c r="BH993" s="19"/>
      <c r="BI993" s="19"/>
      <c r="BJ993" s="19"/>
      <c r="BK993" s="19"/>
      <c r="BL993" s="19"/>
      <c r="BM993" s="98"/>
      <c r="BN993" s="98"/>
      <c r="BO993" s="98"/>
      <c r="BP993" s="98"/>
      <c r="BQ993" s="98"/>
      <c r="BR993" s="98"/>
      <c r="BS993" s="98"/>
      <c r="BT993" s="98"/>
      <c r="BU993" s="98"/>
      <c r="BV993" s="98"/>
      <c r="BW993" s="98"/>
      <c r="BX993" s="98"/>
      <c r="BY993" s="98"/>
      <c r="BZ993" s="98"/>
      <c r="DA993" s="177"/>
      <c r="EH993" s="19"/>
      <c r="EI993" s="19"/>
      <c r="EJ993" s="19"/>
      <c r="EK993" s="19"/>
      <c r="EL993" s="19"/>
      <c r="EM993" s="98"/>
      <c r="EN993" s="98"/>
      <c r="EO993" s="98"/>
      <c r="EP993" s="98"/>
      <c r="EQ993" s="98"/>
      <c r="ER993" s="98"/>
      <c r="ES993" s="98"/>
      <c r="ET993" s="98"/>
      <c r="EU993" s="98"/>
      <c r="EV993" s="98"/>
      <c r="EW993" s="98"/>
      <c r="EX993" s="98"/>
      <c r="EY993" s="98"/>
      <c r="EZ993" s="178"/>
    </row>
    <row r="994" spans="60:156">
      <c r="BH994" s="19"/>
      <c r="BI994" s="19"/>
      <c r="BJ994" s="19"/>
      <c r="BK994" s="19"/>
      <c r="BL994" s="19"/>
      <c r="BM994" s="98"/>
      <c r="BN994" s="98"/>
      <c r="BO994" s="98"/>
      <c r="BP994" s="98"/>
      <c r="BQ994" s="98"/>
      <c r="BR994" s="98"/>
      <c r="BS994" s="98"/>
      <c r="BT994" s="98"/>
      <c r="BU994" s="98"/>
      <c r="BV994" s="98"/>
      <c r="BW994" s="98"/>
      <c r="BX994" s="98"/>
      <c r="BY994" s="98"/>
      <c r="BZ994" s="98"/>
      <c r="DA994" s="177"/>
      <c r="EH994" s="19"/>
      <c r="EI994" s="19"/>
      <c r="EJ994" s="19"/>
      <c r="EK994" s="19"/>
      <c r="EL994" s="19"/>
      <c r="EM994" s="98"/>
      <c r="EN994" s="98"/>
      <c r="EO994" s="98"/>
      <c r="EP994" s="98"/>
      <c r="EQ994" s="98"/>
      <c r="ER994" s="98"/>
      <c r="ES994" s="98"/>
      <c r="ET994" s="98"/>
      <c r="EU994" s="98"/>
      <c r="EV994" s="98"/>
      <c r="EW994" s="98"/>
      <c r="EX994" s="98"/>
      <c r="EY994" s="98"/>
      <c r="EZ994" s="178"/>
    </row>
    <row r="995" spans="60:156">
      <c r="BH995" s="19"/>
      <c r="BI995" s="19"/>
      <c r="BJ995" s="19"/>
      <c r="BK995" s="19"/>
      <c r="BL995" s="19"/>
      <c r="BM995" s="98"/>
      <c r="BN995" s="98"/>
      <c r="BO995" s="98"/>
      <c r="BP995" s="98"/>
      <c r="BQ995" s="98"/>
      <c r="BR995" s="98"/>
      <c r="BS995" s="98"/>
      <c r="BT995" s="98"/>
      <c r="BU995" s="98"/>
      <c r="BV995" s="98"/>
      <c r="BW995" s="98"/>
      <c r="BX995" s="98"/>
      <c r="BY995" s="98"/>
      <c r="BZ995" s="98"/>
      <c r="DA995" s="177"/>
      <c r="EH995" s="19"/>
      <c r="EI995" s="19"/>
      <c r="EJ995" s="19"/>
      <c r="EK995" s="19"/>
      <c r="EL995" s="19"/>
      <c r="EM995" s="98"/>
      <c r="EN995" s="98"/>
      <c r="EO995" s="98"/>
      <c r="EP995" s="98"/>
      <c r="EQ995" s="98"/>
      <c r="ER995" s="98"/>
      <c r="ES995" s="98"/>
      <c r="ET995" s="98"/>
      <c r="EU995" s="98"/>
      <c r="EV995" s="98"/>
      <c r="EW995" s="98"/>
      <c r="EX995" s="98"/>
      <c r="EY995" s="98"/>
      <c r="EZ995" s="178"/>
    </row>
    <row r="996" spans="60:156">
      <c r="BH996" s="19"/>
      <c r="BI996" s="19"/>
      <c r="BJ996" s="19"/>
      <c r="BK996" s="19"/>
      <c r="BL996" s="19"/>
      <c r="BM996" s="98"/>
      <c r="BN996" s="98"/>
      <c r="BO996" s="98"/>
      <c r="BP996" s="98"/>
      <c r="BQ996" s="98"/>
      <c r="BR996" s="98"/>
      <c r="BS996" s="98"/>
      <c r="BT996" s="98"/>
      <c r="BU996" s="98"/>
      <c r="BV996" s="98"/>
      <c r="BW996" s="98"/>
      <c r="BX996" s="98"/>
      <c r="BY996" s="98"/>
      <c r="BZ996" s="98"/>
      <c r="DA996" s="177"/>
      <c r="EH996" s="19"/>
      <c r="EI996" s="19"/>
      <c r="EJ996" s="19"/>
      <c r="EK996" s="19"/>
      <c r="EL996" s="19"/>
      <c r="EM996" s="98"/>
      <c r="EN996" s="98"/>
      <c r="EO996" s="98"/>
      <c r="EP996" s="98"/>
      <c r="EQ996" s="98"/>
      <c r="ER996" s="98"/>
      <c r="ES996" s="98"/>
      <c r="ET996" s="98"/>
      <c r="EU996" s="98"/>
      <c r="EV996" s="98"/>
      <c r="EW996" s="98"/>
      <c r="EX996" s="98"/>
      <c r="EY996" s="98"/>
      <c r="EZ996" s="178"/>
    </row>
    <row r="997" spans="60:156">
      <c r="BH997" s="19"/>
      <c r="BI997" s="19"/>
      <c r="BJ997" s="19"/>
      <c r="BK997" s="19"/>
      <c r="BL997" s="19"/>
      <c r="BM997" s="98"/>
      <c r="BN997" s="98"/>
      <c r="BO997" s="98"/>
      <c r="BP997" s="98"/>
      <c r="BQ997" s="98"/>
      <c r="BR997" s="98"/>
      <c r="BS997" s="98"/>
      <c r="BT997" s="98"/>
      <c r="BU997" s="98"/>
      <c r="BV997" s="98"/>
      <c r="BW997" s="98"/>
      <c r="BX997" s="98"/>
      <c r="BY997" s="98"/>
      <c r="BZ997" s="98"/>
      <c r="DA997" s="177"/>
      <c r="EH997" s="19"/>
      <c r="EI997" s="19"/>
      <c r="EJ997" s="19"/>
      <c r="EK997" s="19"/>
      <c r="EL997" s="19"/>
      <c r="EM997" s="98"/>
      <c r="EN997" s="98"/>
      <c r="EO997" s="98"/>
      <c r="EP997" s="98"/>
      <c r="EQ997" s="98"/>
      <c r="ER997" s="98"/>
      <c r="ES997" s="98"/>
      <c r="ET997" s="98"/>
      <c r="EU997" s="98"/>
      <c r="EV997" s="98"/>
      <c r="EW997" s="98"/>
      <c r="EX997" s="98"/>
      <c r="EY997" s="98"/>
      <c r="EZ997" s="178"/>
    </row>
    <row r="998" spans="60:156">
      <c r="BH998" s="19"/>
      <c r="BI998" s="19"/>
      <c r="BJ998" s="19"/>
      <c r="BK998" s="19"/>
      <c r="BL998" s="19"/>
      <c r="BM998" s="98"/>
      <c r="BN998" s="98"/>
      <c r="BO998" s="98"/>
      <c r="BP998" s="98"/>
      <c r="BQ998" s="98"/>
      <c r="BR998" s="98"/>
      <c r="BS998" s="98"/>
      <c r="BT998" s="98"/>
      <c r="BU998" s="98"/>
      <c r="BV998" s="98"/>
      <c r="BW998" s="98"/>
      <c r="BX998" s="98"/>
      <c r="BY998" s="98"/>
      <c r="BZ998" s="98"/>
      <c r="DA998" s="177"/>
      <c r="EH998" s="19"/>
      <c r="EI998" s="19"/>
      <c r="EJ998" s="19"/>
      <c r="EK998" s="19"/>
      <c r="EL998" s="19"/>
      <c r="EM998" s="98"/>
      <c r="EN998" s="98"/>
      <c r="EO998" s="98"/>
      <c r="EP998" s="98"/>
      <c r="EQ998" s="98"/>
      <c r="ER998" s="98"/>
      <c r="ES998" s="98"/>
      <c r="ET998" s="98"/>
      <c r="EU998" s="98"/>
      <c r="EV998" s="98"/>
      <c r="EW998" s="98"/>
      <c r="EX998" s="98"/>
      <c r="EY998" s="98"/>
      <c r="EZ998" s="178"/>
    </row>
    <row r="999" spans="60:156">
      <c r="BH999" s="19"/>
      <c r="BI999" s="19"/>
      <c r="BJ999" s="19"/>
      <c r="BK999" s="19"/>
      <c r="BL999" s="19"/>
      <c r="BM999" s="98"/>
      <c r="BN999" s="98"/>
      <c r="BO999" s="98"/>
      <c r="BP999" s="98"/>
      <c r="BQ999" s="98"/>
      <c r="BR999" s="98"/>
      <c r="BS999" s="98"/>
      <c r="BT999" s="98"/>
      <c r="BU999" s="98"/>
      <c r="BV999" s="98"/>
      <c r="BW999" s="98"/>
      <c r="BX999" s="98"/>
      <c r="BY999" s="98"/>
      <c r="BZ999" s="98"/>
      <c r="DA999" s="177"/>
      <c r="EH999" s="19"/>
      <c r="EI999" s="19"/>
      <c r="EJ999" s="19"/>
      <c r="EK999" s="19"/>
      <c r="EL999" s="19"/>
      <c r="EM999" s="98"/>
      <c r="EN999" s="98"/>
      <c r="EO999" s="98"/>
      <c r="EP999" s="98"/>
      <c r="EQ999" s="98"/>
      <c r="ER999" s="98"/>
      <c r="ES999" s="98"/>
      <c r="ET999" s="98"/>
      <c r="EU999" s="98"/>
      <c r="EV999" s="98"/>
      <c r="EW999" s="98"/>
      <c r="EX999" s="98"/>
      <c r="EY999" s="98"/>
      <c r="EZ999" s="178"/>
    </row>
    <row r="1000" spans="60:156">
      <c r="BH1000" s="19"/>
      <c r="BI1000" s="19"/>
      <c r="BJ1000" s="19"/>
      <c r="BK1000" s="19"/>
      <c r="BL1000" s="19"/>
      <c r="BM1000" s="98"/>
      <c r="BN1000" s="98"/>
      <c r="BO1000" s="98"/>
      <c r="BP1000" s="98"/>
      <c r="BQ1000" s="98"/>
      <c r="BR1000" s="98"/>
      <c r="BS1000" s="98"/>
      <c r="BT1000" s="98"/>
      <c r="BU1000" s="98"/>
      <c r="BV1000" s="98"/>
      <c r="BW1000" s="98"/>
      <c r="BX1000" s="98"/>
      <c r="BY1000" s="98"/>
      <c r="BZ1000" s="98"/>
      <c r="DA1000" s="177"/>
      <c r="EH1000" s="19"/>
      <c r="EI1000" s="19"/>
      <c r="EJ1000" s="19"/>
      <c r="EK1000" s="19"/>
      <c r="EL1000" s="19"/>
      <c r="EM1000" s="98"/>
      <c r="EN1000" s="98"/>
      <c r="EO1000" s="98"/>
      <c r="EP1000" s="98"/>
      <c r="EQ1000" s="98"/>
      <c r="ER1000" s="98"/>
      <c r="ES1000" s="98"/>
      <c r="ET1000" s="98"/>
      <c r="EU1000" s="98"/>
      <c r="EV1000" s="98"/>
      <c r="EW1000" s="98"/>
      <c r="EX1000" s="98"/>
      <c r="EY1000" s="98"/>
      <c r="EZ1000" s="178"/>
    </row>
    <row r="1001" spans="60:156">
      <c r="BH1001" s="19"/>
      <c r="BI1001" s="19"/>
      <c r="BJ1001" s="19"/>
      <c r="BK1001" s="19"/>
      <c r="BL1001" s="19"/>
      <c r="BM1001" s="98"/>
      <c r="BN1001" s="98"/>
      <c r="BO1001" s="98"/>
      <c r="BP1001" s="98"/>
      <c r="BQ1001" s="98"/>
      <c r="BR1001" s="98"/>
      <c r="BS1001" s="98"/>
      <c r="BT1001" s="98"/>
      <c r="BU1001" s="98"/>
      <c r="BV1001" s="98"/>
      <c r="BW1001" s="98"/>
      <c r="BX1001" s="98"/>
      <c r="BY1001" s="98"/>
      <c r="BZ1001" s="98"/>
      <c r="DA1001" s="177"/>
      <c r="EH1001" s="19"/>
      <c r="EI1001" s="19"/>
      <c r="EJ1001" s="19"/>
      <c r="EK1001" s="19"/>
      <c r="EL1001" s="19"/>
      <c r="EM1001" s="98"/>
      <c r="EN1001" s="98"/>
      <c r="EO1001" s="98"/>
      <c r="EP1001" s="98"/>
      <c r="EQ1001" s="98"/>
      <c r="ER1001" s="98"/>
      <c r="ES1001" s="98"/>
      <c r="ET1001" s="98"/>
      <c r="EU1001" s="98"/>
      <c r="EV1001" s="98"/>
      <c r="EW1001" s="98"/>
      <c r="EX1001" s="98"/>
      <c r="EY1001" s="98"/>
      <c r="EZ1001" s="178"/>
    </row>
    <row r="1002" spans="60:156">
      <c r="BH1002" s="19"/>
      <c r="BI1002" s="19"/>
      <c r="BJ1002" s="19"/>
      <c r="BK1002" s="19"/>
      <c r="BL1002" s="19"/>
      <c r="BM1002" s="98"/>
      <c r="BN1002" s="98"/>
      <c r="BO1002" s="98"/>
      <c r="BP1002" s="98"/>
      <c r="BQ1002" s="98"/>
      <c r="BR1002" s="98"/>
      <c r="BS1002" s="98"/>
      <c r="BT1002" s="98"/>
      <c r="BU1002" s="98"/>
      <c r="BV1002" s="98"/>
      <c r="BW1002" s="98"/>
      <c r="BX1002" s="98"/>
      <c r="BY1002" s="98"/>
      <c r="BZ1002" s="98"/>
      <c r="DA1002" s="177"/>
      <c r="EH1002" s="19"/>
      <c r="EI1002" s="19"/>
      <c r="EJ1002" s="19"/>
      <c r="EK1002" s="19"/>
      <c r="EL1002" s="19"/>
      <c r="EM1002" s="98"/>
      <c r="EN1002" s="98"/>
      <c r="EO1002" s="98"/>
      <c r="EP1002" s="98"/>
      <c r="EQ1002" s="98"/>
      <c r="ER1002" s="98"/>
      <c r="ES1002" s="98"/>
      <c r="ET1002" s="98"/>
      <c r="EU1002" s="98"/>
      <c r="EV1002" s="98"/>
      <c r="EW1002" s="98"/>
      <c r="EX1002" s="98"/>
      <c r="EY1002" s="98"/>
      <c r="EZ1002" s="178"/>
    </row>
    <row r="1003" spans="60:156">
      <c r="BH1003" s="19"/>
      <c r="BI1003" s="19"/>
      <c r="BJ1003" s="19"/>
      <c r="BK1003" s="19"/>
      <c r="BL1003" s="19"/>
      <c r="BM1003" s="98"/>
      <c r="BN1003" s="98"/>
      <c r="BO1003" s="98"/>
      <c r="BP1003" s="98"/>
      <c r="BQ1003" s="98"/>
      <c r="BR1003" s="98"/>
      <c r="BS1003" s="98"/>
      <c r="BT1003" s="98"/>
      <c r="BU1003" s="98"/>
      <c r="BV1003" s="98"/>
      <c r="BW1003" s="98"/>
      <c r="BX1003" s="98"/>
      <c r="BY1003" s="98"/>
      <c r="BZ1003" s="98"/>
      <c r="DA1003" s="177"/>
      <c r="EH1003" s="19"/>
      <c r="EI1003" s="19"/>
      <c r="EJ1003" s="19"/>
      <c r="EK1003" s="19"/>
      <c r="EL1003" s="19"/>
      <c r="EM1003" s="98"/>
      <c r="EN1003" s="98"/>
      <c r="EO1003" s="98"/>
      <c r="EP1003" s="98"/>
      <c r="EQ1003" s="98"/>
      <c r="ER1003" s="98"/>
      <c r="ES1003" s="98"/>
      <c r="ET1003" s="98"/>
      <c r="EU1003" s="98"/>
      <c r="EV1003" s="98"/>
      <c r="EW1003" s="98"/>
      <c r="EX1003" s="98"/>
      <c r="EY1003" s="98"/>
      <c r="EZ1003" s="178"/>
    </row>
    <row r="1004" spans="60:156">
      <c r="BH1004" s="19"/>
      <c r="BI1004" s="19"/>
      <c r="BJ1004" s="19"/>
      <c r="BK1004" s="19"/>
      <c r="BL1004" s="19"/>
      <c r="BM1004" s="98"/>
      <c r="BN1004" s="98"/>
      <c r="BO1004" s="98"/>
      <c r="BP1004" s="98"/>
      <c r="BQ1004" s="98"/>
      <c r="BR1004" s="98"/>
      <c r="BS1004" s="98"/>
      <c r="BT1004" s="98"/>
      <c r="BU1004" s="98"/>
      <c r="BV1004" s="98"/>
      <c r="BW1004" s="98"/>
      <c r="BX1004" s="98"/>
      <c r="BY1004" s="98"/>
      <c r="BZ1004" s="98"/>
      <c r="DA1004" s="177"/>
      <c r="EH1004" s="19"/>
      <c r="EI1004" s="19"/>
      <c r="EJ1004" s="19"/>
      <c r="EK1004" s="19"/>
      <c r="EL1004" s="19"/>
      <c r="EM1004" s="98"/>
      <c r="EN1004" s="98"/>
      <c r="EO1004" s="98"/>
      <c r="EP1004" s="98"/>
      <c r="EQ1004" s="98"/>
      <c r="ER1004" s="98"/>
      <c r="ES1004" s="98"/>
      <c r="ET1004" s="98"/>
      <c r="EU1004" s="98"/>
      <c r="EV1004" s="98"/>
      <c r="EW1004" s="98"/>
      <c r="EX1004" s="98"/>
      <c r="EY1004" s="98"/>
      <c r="EZ1004" s="178"/>
    </row>
    <row r="1005" spans="60:156">
      <c r="BH1005" s="19"/>
      <c r="BI1005" s="19"/>
      <c r="BJ1005" s="19"/>
      <c r="BK1005" s="19"/>
      <c r="BL1005" s="19"/>
      <c r="BM1005" s="98"/>
      <c r="BN1005" s="98"/>
      <c r="BO1005" s="98"/>
      <c r="BP1005" s="98"/>
      <c r="BQ1005" s="98"/>
      <c r="BR1005" s="98"/>
      <c r="BS1005" s="98"/>
      <c r="BT1005" s="98"/>
      <c r="BU1005" s="98"/>
      <c r="BV1005" s="98"/>
      <c r="BW1005" s="98"/>
      <c r="BX1005" s="98"/>
      <c r="BY1005" s="98"/>
      <c r="BZ1005" s="98"/>
      <c r="DA1005" s="177"/>
      <c r="EH1005" s="19"/>
      <c r="EI1005" s="19"/>
      <c r="EJ1005" s="19"/>
      <c r="EK1005" s="19"/>
      <c r="EL1005" s="19"/>
      <c r="EM1005" s="98"/>
      <c r="EN1005" s="98"/>
      <c r="EO1005" s="98"/>
      <c r="EP1005" s="98"/>
      <c r="EQ1005" s="98"/>
      <c r="ER1005" s="98"/>
      <c r="ES1005" s="98"/>
      <c r="ET1005" s="98"/>
      <c r="EU1005" s="98"/>
      <c r="EV1005" s="98"/>
      <c r="EW1005" s="98"/>
      <c r="EX1005" s="98"/>
      <c r="EY1005" s="98"/>
      <c r="EZ1005" s="178"/>
    </row>
    <row r="1006" spans="60:156">
      <c r="BH1006" s="19"/>
      <c r="BI1006" s="19"/>
      <c r="BJ1006" s="19"/>
      <c r="BK1006" s="19"/>
      <c r="BL1006" s="19"/>
      <c r="BM1006" s="98"/>
      <c r="BN1006" s="98"/>
      <c r="BO1006" s="98"/>
      <c r="BP1006" s="98"/>
      <c r="BQ1006" s="98"/>
      <c r="BR1006" s="98"/>
      <c r="BS1006" s="98"/>
      <c r="BT1006" s="98"/>
      <c r="BU1006" s="98"/>
      <c r="BV1006" s="98"/>
      <c r="BW1006" s="98"/>
      <c r="BX1006" s="98"/>
      <c r="BY1006" s="98"/>
      <c r="BZ1006" s="98"/>
      <c r="DA1006" s="177"/>
      <c r="EH1006" s="19"/>
      <c r="EI1006" s="19"/>
      <c r="EJ1006" s="19"/>
      <c r="EK1006" s="19"/>
      <c r="EL1006" s="19"/>
      <c r="EM1006" s="98"/>
      <c r="EN1006" s="98"/>
      <c r="EO1006" s="98"/>
      <c r="EP1006" s="98"/>
      <c r="EQ1006" s="98"/>
      <c r="ER1006" s="98"/>
      <c r="ES1006" s="98"/>
      <c r="ET1006" s="98"/>
      <c r="EU1006" s="98"/>
      <c r="EV1006" s="98"/>
      <c r="EW1006" s="98"/>
      <c r="EX1006" s="98"/>
      <c r="EY1006" s="98"/>
      <c r="EZ1006" s="178"/>
    </row>
    <row r="1007" spans="60:156">
      <c r="BH1007" s="19"/>
      <c r="BI1007" s="19"/>
      <c r="BJ1007" s="19"/>
      <c r="BK1007" s="19"/>
      <c r="BL1007" s="19"/>
      <c r="BM1007" s="98"/>
      <c r="BN1007" s="98"/>
      <c r="BO1007" s="98"/>
      <c r="BP1007" s="98"/>
      <c r="BQ1007" s="98"/>
      <c r="BR1007" s="98"/>
      <c r="BS1007" s="98"/>
      <c r="BT1007" s="98"/>
      <c r="BU1007" s="98"/>
      <c r="BV1007" s="98"/>
      <c r="BW1007" s="98"/>
      <c r="BX1007" s="98"/>
      <c r="BY1007" s="98"/>
      <c r="BZ1007" s="98"/>
      <c r="DA1007" s="177"/>
      <c r="EH1007" s="19"/>
      <c r="EI1007" s="19"/>
      <c r="EJ1007" s="19"/>
      <c r="EK1007" s="19"/>
      <c r="EL1007" s="19"/>
      <c r="EM1007" s="98"/>
      <c r="EN1007" s="98"/>
      <c r="EO1007" s="98"/>
      <c r="EP1007" s="98"/>
      <c r="EQ1007" s="98"/>
      <c r="ER1007" s="98"/>
      <c r="ES1007" s="98"/>
      <c r="ET1007" s="98"/>
      <c r="EU1007" s="98"/>
      <c r="EV1007" s="98"/>
      <c r="EW1007" s="98"/>
      <c r="EX1007" s="98"/>
      <c r="EY1007" s="98"/>
      <c r="EZ1007" s="178"/>
    </row>
    <row r="1008" spans="60:156">
      <c r="BH1008" s="19"/>
      <c r="BI1008" s="19"/>
      <c r="BJ1008" s="19"/>
      <c r="BK1008" s="19"/>
      <c r="BL1008" s="19"/>
      <c r="BM1008" s="98"/>
      <c r="BN1008" s="98"/>
      <c r="BO1008" s="98"/>
      <c r="BP1008" s="98"/>
      <c r="BQ1008" s="98"/>
      <c r="BR1008" s="98"/>
      <c r="BS1008" s="98"/>
      <c r="BT1008" s="98"/>
      <c r="BU1008" s="98"/>
      <c r="BV1008" s="98"/>
      <c r="BW1008" s="98"/>
      <c r="BX1008" s="98"/>
      <c r="BY1008" s="98"/>
      <c r="BZ1008" s="98"/>
      <c r="DA1008" s="177"/>
      <c r="EH1008" s="19"/>
      <c r="EI1008" s="19"/>
      <c r="EJ1008" s="19"/>
      <c r="EK1008" s="19"/>
      <c r="EL1008" s="19"/>
      <c r="EM1008" s="98"/>
      <c r="EN1008" s="98"/>
      <c r="EO1008" s="98"/>
      <c r="EP1008" s="98"/>
      <c r="EQ1008" s="98"/>
      <c r="ER1008" s="98"/>
      <c r="ES1008" s="98"/>
      <c r="ET1008" s="98"/>
      <c r="EU1008" s="98"/>
      <c r="EV1008" s="98"/>
      <c r="EW1008" s="98"/>
      <c r="EX1008" s="98"/>
      <c r="EY1008" s="98"/>
      <c r="EZ1008" s="178"/>
    </row>
    <row r="1009" spans="60:156">
      <c r="BH1009" s="19"/>
      <c r="BI1009" s="19"/>
      <c r="BJ1009" s="19"/>
      <c r="BK1009" s="19"/>
      <c r="BL1009" s="19"/>
      <c r="BM1009" s="98"/>
      <c r="BN1009" s="98"/>
      <c r="BO1009" s="98"/>
      <c r="BP1009" s="98"/>
      <c r="BQ1009" s="98"/>
      <c r="BR1009" s="98"/>
      <c r="BS1009" s="98"/>
      <c r="BT1009" s="98"/>
      <c r="BU1009" s="98"/>
      <c r="BV1009" s="98"/>
      <c r="BW1009" s="98"/>
      <c r="BX1009" s="98"/>
      <c r="BY1009" s="98"/>
      <c r="BZ1009" s="98"/>
      <c r="DA1009" s="177"/>
      <c r="EH1009" s="19"/>
      <c r="EI1009" s="19"/>
      <c r="EJ1009" s="19"/>
      <c r="EK1009" s="19"/>
      <c r="EL1009" s="19"/>
      <c r="EM1009" s="98"/>
      <c r="EN1009" s="98"/>
      <c r="EO1009" s="98"/>
      <c r="EP1009" s="98"/>
      <c r="EQ1009" s="98"/>
      <c r="ER1009" s="98"/>
      <c r="ES1009" s="98"/>
      <c r="ET1009" s="98"/>
      <c r="EU1009" s="98"/>
      <c r="EV1009" s="98"/>
      <c r="EW1009" s="98"/>
      <c r="EX1009" s="98"/>
      <c r="EY1009" s="98"/>
      <c r="EZ1009" s="178"/>
    </row>
    <row r="1010" spans="60:156">
      <c r="BH1010" s="19"/>
      <c r="BI1010" s="19"/>
      <c r="BJ1010" s="19"/>
      <c r="BK1010" s="19"/>
      <c r="BL1010" s="19"/>
      <c r="BM1010" s="98"/>
      <c r="BN1010" s="98"/>
      <c r="BO1010" s="98"/>
      <c r="BP1010" s="98"/>
      <c r="BQ1010" s="98"/>
      <c r="BR1010" s="98"/>
      <c r="BS1010" s="98"/>
      <c r="BT1010" s="98"/>
      <c r="BU1010" s="98"/>
      <c r="BV1010" s="98"/>
      <c r="BW1010" s="98"/>
      <c r="BX1010" s="98"/>
      <c r="BY1010" s="98"/>
      <c r="BZ1010" s="98"/>
      <c r="DA1010" s="177"/>
      <c r="EH1010" s="19"/>
      <c r="EI1010" s="19"/>
      <c r="EJ1010" s="19"/>
      <c r="EK1010" s="19"/>
      <c r="EL1010" s="19"/>
      <c r="EM1010" s="98"/>
      <c r="EN1010" s="98"/>
      <c r="EO1010" s="98"/>
      <c r="EP1010" s="98"/>
      <c r="EQ1010" s="98"/>
      <c r="ER1010" s="98"/>
      <c r="ES1010" s="98"/>
      <c r="ET1010" s="98"/>
      <c r="EU1010" s="98"/>
      <c r="EV1010" s="98"/>
      <c r="EW1010" s="98"/>
      <c r="EX1010" s="98"/>
      <c r="EY1010" s="98"/>
      <c r="EZ1010" s="178"/>
    </row>
    <row r="1011" spans="60:156">
      <c r="BH1011" s="19"/>
      <c r="BI1011" s="19"/>
      <c r="BJ1011" s="19"/>
      <c r="BK1011" s="19"/>
      <c r="BL1011" s="19"/>
      <c r="BM1011" s="98"/>
      <c r="BN1011" s="98"/>
      <c r="BO1011" s="98"/>
      <c r="BP1011" s="98"/>
      <c r="BQ1011" s="98"/>
      <c r="BR1011" s="98"/>
      <c r="BS1011" s="98"/>
      <c r="BT1011" s="98"/>
      <c r="BU1011" s="98"/>
      <c r="BV1011" s="98"/>
      <c r="BW1011" s="98"/>
      <c r="BX1011" s="98"/>
      <c r="BY1011" s="98"/>
      <c r="BZ1011" s="98"/>
      <c r="DA1011" s="177"/>
      <c r="EH1011" s="19"/>
      <c r="EI1011" s="19"/>
      <c r="EJ1011" s="19"/>
      <c r="EK1011" s="19"/>
      <c r="EL1011" s="19"/>
      <c r="EM1011" s="98"/>
      <c r="EN1011" s="98"/>
      <c r="EO1011" s="98"/>
      <c r="EP1011" s="98"/>
      <c r="EQ1011" s="98"/>
      <c r="ER1011" s="98"/>
      <c r="ES1011" s="98"/>
      <c r="ET1011" s="98"/>
      <c r="EU1011" s="98"/>
      <c r="EV1011" s="98"/>
      <c r="EW1011" s="98"/>
      <c r="EX1011" s="98"/>
      <c r="EY1011" s="98"/>
      <c r="EZ1011" s="178"/>
    </row>
    <row r="1012" spans="60:156">
      <c r="BH1012" s="19"/>
      <c r="BI1012" s="19"/>
      <c r="BJ1012" s="19"/>
      <c r="BK1012" s="19"/>
      <c r="BL1012" s="19"/>
      <c r="BM1012" s="98"/>
      <c r="BN1012" s="98"/>
      <c r="BO1012" s="98"/>
      <c r="BP1012" s="98"/>
      <c r="BQ1012" s="98"/>
      <c r="BR1012" s="98"/>
      <c r="BS1012" s="98"/>
      <c r="BT1012" s="98"/>
      <c r="BU1012" s="98"/>
      <c r="BV1012" s="98"/>
      <c r="BW1012" s="98"/>
      <c r="BX1012" s="98"/>
      <c r="BY1012" s="98"/>
      <c r="BZ1012" s="98"/>
      <c r="DA1012" s="177"/>
      <c r="EH1012" s="19"/>
      <c r="EI1012" s="19"/>
      <c r="EJ1012" s="19"/>
      <c r="EK1012" s="19"/>
      <c r="EL1012" s="19"/>
      <c r="EM1012" s="98"/>
      <c r="EN1012" s="98"/>
      <c r="EO1012" s="98"/>
      <c r="EP1012" s="98"/>
      <c r="EQ1012" s="98"/>
      <c r="ER1012" s="98"/>
      <c r="ES1012" s="98"/>
      <c r="ET1012" s="98"/>
      <c r="EU1012" s="98"/>
      <c r="EV1012" s="98"/>
      <c r="EW1012" s="98"/>
      <c r="EX1012" s="98"/>
      <c r="EY1012" s="98"/>
      <c r="EZ1012" s="178"/>
    </row>
    <row r="1013" spans="60:156">
      <c r="BH1013" s="19"/>
      <c r="BI1013" s="19"/>
      <c r="BJ1013" s="19"/>
      <c r="BK1013" s="19"/>
      <c r="BL1013" s="19"/>
      <c r="BM1013" s="98"/>
      <c r="BN1013" s="98"/>
      <c r="BO1013" s="98"/>
      <c r="BP1013" s="98"/>
      <c r="BQ1013" s="98"/>
      <c r="BR1013" s="98"/>
      <c r="BS1013" s="98"/>
      <c r="BT1013" s="98"/>
      <c r="BU1013" s="98"/>
      <c r="BV1013" s="98"/>
      <c r="BW1013" s="98"/>
      <c r="BX1013" s="98"/>
      <c r="BY1013" s="98"/>
      <c r="BZ1013" s="98"/>
      <c r="DA1013" s="177"/>
      <c r="EH1013" s="19"/>
      <c r="EI1013" s="19"/>
      <c r="EJ1013" s="19"/>
      <c r="EK1013" s="19"/>
      <c r="EL1013" s="19"/>
      <c r="EM1013" s="98"/>
      <c r="EN1013" s="98"/>
      <c r="EO1013" s="98"/>
      <c r="EP1013" s="98"/>
      <c r="EQ1013" s="98"/>
      <c r="ER1013" s="98"/>
      <c r="ES1013" s="98"/>
      <c r="ET1013" s="98"/>
      <c r="EU1013" s="98"/>
      <c r="EV1013" s="98"/>
      <c r="EW1013" s="98"/>
      <c r="EX1013" s="98"/>
      <c r="EY1013" s="98"/>
      <c r="EZ1013" s="178"/>
    </row>
    <row r="1014" spans="60:156">
      <c r="BH1014" s="19"/>
      <c r="BI1014" s="19"/>
      <c r="BJ1014" s="19"/>
      <c r="BK1014" s="19"/>
      <c r="BL1014" s="19"/>
      <c r="BM1014" s="98"/>
      <c r="BN1014" s="98"/>
      <c r="BO1014" s="98"/>
      <c r="BP1014" s="98"/>
      <c r="BQ1014" s="98"/>
      <c r="BR1014" s="98"/>
      <c r="BS1014" s="98"/>
      <c r="BT1014" s="98"/>
      <c r="BU1014" s="98"/>
      <c r="BV1014" s="98"/>
      <c r="BW1014" s="98"/>
      <c r="BX1014" s="98"/>
      <c r="BY1014" s="98"/>
      <c r="BZ1014" s="98"/>
      <c r="DA1014" s="177"/>
      <c r="EH1014" s="19"/>
      <c r="EI1014" s="19"/>
      <c r="EJ1014" s="19"/>
      <c r="EK1014" s="19"/>
      <c r="EL1014" s="19"/>
      <c r="EM1014" s="98"/>
      <c r="EN1014" s="98"/>
      <c r="EO1014" s="98"/>
      <c r="EP1014" s="98"/>
      <c r="EQ1014" s="98"/>
      <c r="ER1014" s="98"/>
      <c r="ES1014" s="98"/>
      <c r="ET1014" s="98"/>
      <c r="EU1014" s="98"/>
      <c r="EV1014" s="98"/>
      <c r="EW1014" s="98"/>
      <c r="EX1014" s="98"/>
      <c r="EY1014" s="98"/>
      <c r="EZ1014" s="178"/>
    </row>
    <row r="1015" spans="60:156">
      <c r="BH1015" s="19"/>
      <c r="BI1015" s="19"/>
      <c r="BJ1015" s="19"/>
      <c r="BK1015" s="19"/>
      <c r="BL1015" s="19"/>
      <c r="BM1015" s="98"/>
      <c r="BN1015" s="98"/>
      <c r="BO1015" s="98"/>
      <c r="BP1015" s="98"/>
      <c r="BQ1015" s="98"/>
      <c r="BR1015" s="98"/>
      <c r="BS1015" s="98"/>
      <c r="BT1015" s="98"/>
      <c r="BU1015" s="98"/>
      <c r="BV1015" s="98"/>
      <c r="BW1015" s="98"/>
      <c r="BX1015" s="98"/>
      <c r="BY1015" s="98"/>
      <c r="BZ1015" s="98"/>
      <c r="DA1015" s="177"/>
      <c r="EH1015" s="19"/>
      <c r="EI1015" s="19"/>
      <c r="EJ1015" s="19"/>
      <c r="EK1015" s="19"/>
      <c r="EL1015" s="19"/>
      <c r="EM1015" s="98"/>
      <c r="EN1015" s="98"/>
      <c r="EO1015" s="98"/>
      <c r="EP1015" s="98"/>
      <c r="EQ1015" s="98"/>
      <c r="ER1015" s="98"/>
      <c r="ES1015" s="98"/>
      <c r="ET1015" s="98"/>
      <c r="EU1015" s="98"/>
      <c r="EV1015" s="98"/>
      <c r="EW1015" s="98"/>
      <c r="EX1015" s="98"/>
      <c r="EY1015" s="98"/>
      <c r="EZ1015" s="178"/>
    </row>
    <row r="1016" spans="60:156">
      <c r="BH1016" s="19"/>
      <c r="BI1016" s="19"/>
      <c r="BJ1016" s="19"/>
      <c r="BK1016" s="19"/>
      <c r="BL1016" s="19"/>
      <c r="BM1016" s="98"/>
      <c r="BN1016" s="98"/>
      <c r="BO1016" s="98"/>
      <c r="BP1016" s="98"/>
      <c r="BQ1016" s="98"/>
      <c r="BR1016" s="98"/>
      <c r="BS1016" s="98"/>
      <c r="BT1016" s="98"/>
      <c r="BU1016" s="98"/>
      <c r="BV1016" s="98"/>
      <c r="BW1016" s="98"/>
      <c r="BX1016" s="98"/>
      <c r="BY1016" s="98"/>
      <c r="BZ1016" s="98"/>
      <c r="DA1016" s="177"/>
      <c r="EH1016" s="19"/>
      <c r="EI1016" s="19"/>
      <c r="EJ1016" s="19"/>
      <c r="EK1016" s="19"/>
      <c r="EL1016" s="19"/>
      <c r="EM1016" s="98"/>
      <c r="EN1016" s="98"/>
      <c r="EO1016" s="98"/>
      <c r="EP1016" s="98"/>
      <c r="EQ1016" s="98"/>
      <c r="ER1016" s="98"/>
      <c r="ES1016" s="98"/>
      <c r="ET1016" s="98"/>
      <c r="EU1016" s="98"/>
      <c r="EV1016" s="98"/>
      <c r="EW1016" s="98"/>
      <c r="EX1016" s="98"/>
      <c r="EY1016" s="98"/>
      <c r="EZ1016" s="178"/>
    </row>
    <row r="1017" spans="60:156">
      <c r="BH1017" s="19"/>
      <c r="BI1017" s="19"/>
      <c r="BJ1017" s="19"/>
      <c r="BK1017" s="19"/>
      <c r="BL1017" s="19"/>
      <c r="BM1017" s="98"/>
      <c r="BN1017" s="98"/>
      <c r="BO1017" s="98"/>
      <c r="BP1017" s="98"/>
      <c r="BQ1017" s="98"/>
      <c r="BR1017" s="98"/>
      <c r="BS1017" s="98"/>
      <c r="BT1017" s="98"/>
      <c r="BU1017" s="98"/>
      <c r="BV1017" s="98"/>
      <c r="BW1017" s="98"/>
      <c r="BX1017" s="98"/>
      <c r="BY1017" s="98"/>
      <c r="BZ1017" s="98"/>
      <c r="DA1017" s="177"/>
      <c r="EH1017" s="19"/>
      <c r="EI1017" s="19"/>
      <c r="EJ1017" s="19"/>
      <c r="EK1017" s="19"/>
      <c r="EL1017" s="19"/>
      <c r="EM1017" s="98"/>
      <c r="EN1017" s="98"/>
      <c r="EO1017" s="98"/>
      <c r="EP1017" s="98"/>
      <c r="EQ1017" s="98"/>
      <c r="ER1017" s="98"/>
      <c r="ES1017" s="98"/>
      <c r="ET1017" s="98"/>
      <c r="EU1017" s="98"/>
      <c r="EV1017" s="98"/>
      <c r="EW1017" s="98"/>
      <c r="EX1017" s="98"/>
      <c r="EY1017" s="98"/>
      <c r="EZ1017" s="178"/>
    </row>
    <row r="1018" spans="60:156">
      <c r="BH1018" s="19"/>
      <c r="BI1018" s="19"/>
      <c r="BJ1018" s="19"/>
      <c r="BK1018" s="19"/>
      <c r="BL1018" s="19"/>
      <c r="BM1018" s="98"/>
      <c r="BN1018" s="98"/>
      <c r="BO1018" s="98"/>
      <c r="BP1018" s="98"/>
      <c r="BQ1018" s="98"/>
      <c r="BR1018" s="98"/>
      <c r="BS1018" s="98"/>
      <c r="BT1018" s="98"/>
      <c r="BU1018" s="98"/>
      <c r="BV1018" s="98"/>
      <c r="BW1018" s="98"/>
      <c r="BX1018" s="98"/>
      <c r="BY1018" s="98"/>
      <c r="BZ1018" s="98"/>
      <c r="DA1018" s="177"/>
      <c r="EH1018" s="19"/>
      <c r="EI1018" s="19"/>
      <c r="EJ1018" s="19"/>
      <c r="EK1018" s="19"/>
      <c r="EL1018" s="19"/>
      <c r="EM1018" s="98"/>
      <c r="EN1018" s="98"/>
      <c r="EO1018" s="98"/>
      <c r="EP1018" s="98"/>
      <c r="EQ1018" s="98"/>
      <c r="ER1018" s="98"/>
      <c r="ES1018" s="98"/>
      <c r="ET1018" s="98"/>
      <c r="EU1018" s="98"/>
      <c r="EV1018" s="98"/>
      <c r="EW1018" s="98"/>
      <c r="EX1018" s="98"/>
      <c r="EY1018" s="98"/>
      <c r="EZ1018" s="178"/>
    </row>
    <row r="1019" spans="60:156">
      <c r="BH1019" s="19"/>
      <c r="BI1019" s="19"/>
      <c r="BJ1019" s="19"/>
      <c r="BK1019" s="19"/>
      <c r="BL1019" s="19"/>
      <c r="BM1019" s="98"/>
      <c r="BN1019" s="98"/>
      <c r="BO1019" s="98"/>
      <c r="BP1019" s="98"/>
      <c r="BQ1019" s="98"/>
      <c r="BR1019" s="98"/>
      <c r="BS1019" s="98"/>
      <c r="BT1019" s="98"/>
      <c r="BU1019" s="98"/>
      <c r="BV1019" s="98"/>
      <c r="BW1019" s="98"/>
      <c r="BX1019" s="98"/>
      <c r="BY1019" s="98"/>
      <c r="BZ1019" s="98"/>
      <c r="DA1019" s="177"/>
      <c r="EH1019" s="19"/>
      <c r="EI1019" s="19"/>
      <c r="EJ1019" s="19"/>
      <c r="EK1019" s="19"/>
      <c r="EL1019" s="19"/>
      <c r="EM1019" s="98"/>
      <c r="EN1019" s="98"/>
      <c r="EO1019" s="98"/>
      <c r="EP1019" s="98"/>
      <c r="EQ1019" s="98"/>
      <c r="ER1019" s="98"/>
      <c r="ES1019" s="98"/>
      <c r="ET1019" s="98"/>
      <c r="EU1019" s="98"/>
      <c r="EV1019" s="98"/>
      <c r="EW1019" s="98"/>
      <c r="EX1019" s="98"/>
      <c r="EY1019" s="98"/>
      <c r="EZ1019" s="178"/>
    </row>
    <row r="1020" spans="60:156">
      <c r="BH1020" s="19"/>
      <c r="BI1020" s="19"/>
      <c r="BJ1020" s="19"/>
      <c r="BK1020" s="19"/>
      <c r="BL1020" s="19"/>
      <c r="BM1020" s="98"/>
      <c r="BN1020" s="98"/>
      <c r="BO1020" s="98"/>
      <c r="BP1020" s="98"/>
      <c r="BQ1020" s="98"/>
      <c r="BR1020" s="98"/>
      <c r="BS1020" s="98"/>
      <c r="BT1020" s="98"/>
      <c r="BU1020" s="98"/>
      <c r="BV1020" s="98"/>
      <c r="BW1020" s="98"/>
      <c r="BX1020" s="98"/>
      <c r="BY1020" s="98"/>
      <c r="BZ1020" s="98"/>
      <c r="DA1020" s="177"/>
      <c r="EH1020" s="19"/>
      <c r="EI1020" s="19"/>
      <c r="EJ1020" s="19"/>
      <c r="EK1020" s="19"/>
      <c r="EL1020" s="19"/>
      <c r="EM1020" s="98"/>
      <c r="EN1020" s="98"/>
      <c r="EO1020" s="98"/>
      <c r="EP1020" s="98"/>
      <c r="EQ1020" s="98"/>
      <c r="ER1020" s="98"/>
      <c r="ES1020" s="98"/>
      <c r="ET1020" s="98"/>
      <c r="EU1020" s="98"/>
      <c r="EV1020" s="98"/>
      <c r="EW1020" s="98"/>
      <c r="EX1020" s="98"/>
      <c r="EY1020" s="98"/>
      <c r="EZ1020" s="178"/>
    </row>
    <row r="1021" spans="60:156">
      <c r="BH1021" s="19"/>
      <c r="BI1021" s="19"/>
      <c r="BJ1021" s="19"/>
      <c r="BK1021" s="19"/>
      <c r="BL1021" s="19"/>
      <c r="BM1021" s="98"/>
      <c r="BN1021" s="98"/>
      <c r="BO1021" s="98"/>
      <c r="BP1021" s="98"/>
      <c r="BQ1021" s="98"/>
      <c r="BR1021" s="98"/>
      <c r="BS1021" s="98"/>
      <c r="BT1021" s="98"/>
      <c r="BU1021" s="98"/>
      <c r="BV1021" s="98"/>
      <c r="BW1021" s="98"/>
      <c r="BX1021" s="98"/>
      <c r="BY1021" s="98"/>
      <c r="BZ1021" s="98"/>
      <c r="DA1021" s="177"/>
      <c r="EH1021" s="19"/>
      <c r="EI1021" s="19"/>
      <c r="EJ1021" s="19"/>
      <c r="EK1021" s="19"/>
      <c r="EL1021" s="19"/>
      <c r="EM1021" s="98"/>
      <c r="EN1021" s="98"/>
      <c r="EO1021" s="98"/>
      <c r="EP1021" s="98"/>
      <c r="EQ1021" s="98"/>
      <c r="ER1021" s="98"/>
      <c r="ES1021" s="98"/>
      <c r="ET1021" s="98"/>
      <c r="EU1021" s="98"/>
      <c r="EV1021" s="98"/>
      <c r="EW1021" s="98"/>
      <c r="EX1021" s="98"/>
      <c r="EY1021" s="98"/>
      <c r="EZ1021" s="178"/>
    </row>
    <row r="1022" spans="60:156">
      <c r="BH1022" s="19"/>
      <c r="BI1022" s="19"/>
      <c r="BJ1022" s="19"/>
      <c r="BK1022" s="19"/>
      <c r="BL1022" s="19"/>
      <c r="BM1022" s="98"/>
      <c r="BN1022" s="98"/>
      <c r="BO1022" s="98"/>
      <c r="BP1022" s="98"/>
      <c r="BQ1022" s="98"/>
      <c r="BR1022" s="98"/>
      <c r="BS1022" s="98"/>
      <c r="BT1022" s="98"/>
      <c r="BU1022" s="98"/>
      <c r="BV1022" s="98"/>
      <c r="BW1022" s="98"/>
      <c r="BX1022" s="98"/>
      <c r="BY1022" s="98"/>
      <c r="BZ1022" s="98"/>
      <c r="DA1022" s="177"/>
      <c r="EH1022" s="19"/>
      <c r="EI1022" s="19"/>
      <c r="EJ1022" s="19"/>
      <c r="EK1022" s="19"/>
      <c r="EL1022" s="19"/>
      <c r="EM1022" s="98"/>
      <c r="EN1022" s="98"/>
      <c r="EO1022" s="98"/>
      <c r="EP1022" s="98"/>
      <c r="EQ1022" s="98"/>
      <c r="ER1022" s="98"/>
      <c r="ES1022" s="98"/>
      <c r="ET1022" s="98"/>
      <c r="EU1022" s="98"/>
      <c r="EV1022" s="98"/>
      <c r="EW1022" s="98"/>
      <c r="EX1022" s="98"/>
      <c r="EY1022" s="98"/>
      <c r="EZ1022" s="178"/>
    </row>
    <row r="1023" spans="60:156">
      <c r="BH1023" s="19"/>
      <c r="BI1023" s="19"/>
      <c r="BJ1023" s="19"/>
      <c r="BK1023" s="19"/>
      <c r="BL1023" s="19"/>
      <c r="BM1023" s="98"/>
      <c r="BN1023" s="98"/>
      <c r="BO1023" s="98"/>
      <c r="BP1023" s="98"/>
      <c r="BQ1023" s="98"/>
      <c r="BR1023" s="98"/>
      <c r="BS1023" s="98"/>
      <c r="BT1023" s="98"/>
      <c r="BU1023" s="98"/>
      <c r="BV1023" s="98"/>
      <c r="BW1023" s="98"/>
      <c r="BX1023" s="98"/>
      <c r="BY1023" s="98"/>
      <c r="BZ1023" s="98"/>
      <c r="DA1023" s="177"/>
      <c r="EH1023" s="19"/>
      <c r="EI1023" s="19"/>
      <c r="EJ1023" s="19"/>
      <c r="EK1023" s="19"/>
      <c r="EL1023" s="19"/>
      <c r="EM1023" s="98"/>
      <c r="EN1023" s="98"/>
      <c r="EO1023" s="98"/>
      <c r="EP1023" s="98"/>
      <c r="EQ1023" s="98"/>
      <c r="ER1023" s="98"/>
      <c r="ES1023" s="98"/>
      <c r="ET1023" s="98"/>
      <c r="EU1023" s="98"/>
      <c r="EV1023" s="98"/>
      <c r="EW1023" s="98"/>
      <c r="EX1023" s="98"/>
      <c r="EY1023" s="98"/>
      <c r="EZ1023" s="178"/>
    </row>
    <row r="1024" spans="60:156">
      <c r="BH1024" s="19"/>
      <c r="BI1024" s="19"/>
      <c r="BJ1024" s="19"/>
      <c r="BK1024" s="19"/>
      <c r="BL1024" s="19"/>
      <c r="BM1024" s="98"/>
      <c r="BN1024" s="98"/>
      <c r="BO1024" s="98"/>
      <c r="BP1024" s="98"/>
      <c r="BQ1024" s="98"/>
      <c r="BR1024" s="98"/>
      <c r="BS1024" s="98"/>
      <c r="BT1024" s="98"/>
      <c r="BU1024" s="98"/>
      <c r="BV1024" s="98"/>
      <c r="BW1024" s="98"/>
      <c r="BX1024" s="98"/>
      <c r="BY1024" s="98"/>
      <c r="BZ1024" s="98"/>
      <c r="DA1024" s="177"/>
      <c r="EH1024" s="19"/>
      <c r="EI1024" s="19"/>
      <c r="EJ1024" s="19"/>
      <c r="EK1024" s="19"/>
      <c r="EL1024" s="19"/>
      <c r="EM1024" s="98"/>
      <c r="EN1024" s="98"/>
      <c r="EO1024" s="98"/>
      <c r="EP1024" s="98"/>
      <c r="EQ1024" s="98"/>
      <c r="ER1024" s="98"/>
      <c r="ES1024" s="98"/>
      <c r="ET1024" s="98"/>
      <c r="EU1024" s="98"/>
      <c r="EV1024" s="98"/>
      <c r="EW1024" s="98"/>
      <c r="EX1024" s="98"/>
      <c r="EY1024" s="98"/>
      <c r="EZ1024" s="178"/>
    </row>
    <row r="1025" spans="60:156">
      <c r="BH1025" s="19"/>
      <c r="BI1025" s="19"/>
      <c r="BJ1025" s="19"/>
      <c r="BK1025" s="19"/>
      <c r="BL1025" s="19"/>
      <c r="BM1025" s="98"/>
      <c r="BN1025" s="98"/>
      <c r="BO1025" s="98"/>
      <c r="BP1025" s="98"/>
      <c r="BQ1025" s="98"/>
      <c r="BR1025" s="98"/>
      <c r="BS1025" s="98"/>
      <c r="BT1025" s="98"/>
      <c r="BU1025" s="98"/>
      <c r="BV1025" s="98"/>
      <c r="BW1025" s="98"/>
      <c r="BX1025" s="98"/>
      <c r="BY1025" s="98"/>
      <c r="BZ1025" s="98"/>
      <c r="DA1025" s="177"/>
      <c r="EH1025" s="19"/>
      <c r="EI1025" s="19"/>
      <c r="EJ1025" s="19"/>
      <c r="EK1025" s="19"/>
      <c r="EL1025" s="19"/>
      <c r="EM1025" s="98"/>
      <c r="EN1025" s="98"/>
      <c r="EO1025" s="98"/>
      <c r="EP1025" s="98"/>
      <c r="EQ1025" s="98"/>
      <c r="ER1025" s="98"/>
      <c r="ES1025" s="98"/>
      <c r="ET1025" s="98"/>
      <c r="EU1025" s="98"/>
      <c r="EV1025" s="98"/>
      <c r="EW1025" s="98"/>
      <c r="EX1025" s="98"/>
      <c r="EY1025" s="98"/>
      <c r="EZ1025" s="178"/>
    </row>
    <row r="1026" spans="60:156">
      <c r="BH1026" s="19"/>
      <c r="BI1026" s="19"/>
      <c r="BJ1026" s="19"/>
      <c r="BK1026" s="19"/>
      <c r="BL1026" s="19"/>
      <c r="BM1026" s="98"/>
      <c r="BN1026" s="98"/>
      <c r="BO1026" s="98"/>
      <c r="BP1026" s="98"/>
      <c r="BQ1026" s="98"/>
      <c r="BR1026" s="98"/>
      <c r="BS1026" s="98"/>
      <c r="BT1026" s="98"/>
      <c r="BU1026" s="98"/>
      <c r="BV1026" s="98"/>
      <c r="BW1026" s="98"/>
      <c r="BX1026" s="98"/>
      <c r="BY1026" s="98"/>
      <c r="BZ1026" s="98"/>
      <c r="DA1026" s="177"/>
      <c r="EH1026" s="19"/>
      <c r="EI1026" s="19"/>
      <c r="EJ1026" s="19"/>
      <c r="EK1026" s="19"/>
      <c r="EL1026" s="19"/>
      <c r="EM1026" s="98"/>
      <c r="EN1026" s="98"/>
      <c r="EO1026" s="98"/>
      <c r="EP1026" s="98"/>
      <c r="EQ1026" s="98"/>
      <c r="ER1026" s="98"/>
      <c r="ES1026" s="98"/>
      <c r="ET1026" s="98"/>
      <c r="EU1026" s="98"/>
      <c r="EV1026" s="98"/>
      <c r="EW1026" s="98"/>
      <c r="EX1026" s="98"/>
      <c r="EY1026" s="98"/>
      <c r="EZ1026" s="178"/>
    </row>
    <row r="1027" spans="60:156">
      <c r="BH1027" s="19"/>
      <c r="BI1027" s="19"/>
      <c r="BJ1027" s="19"/>
      <c r="BK1027" s="19"/>
      <c r="BL1027" s="19"/>
      <c r="BM1027" s="98"/>
      <c r="BN1027" s="98"/>
      <c r="BO1027" s="98"/>
      <c r="BP1027" s="98"/>
      <c r="BQ1027" s="98"/>
      <c r="BR1027" s="98"/>
      <c r="BS1027" s="98"/>
      <c r="BT1027" s="98"/>
      <c r="BU1027" s="98"/>
      <c r="BV1027" s="98"/>
      <c r="BW1027" s="98"/>
      <c r="BX1027" s="98"/>
      <c r="BY1027" s="98"/>
      <c r="BZ1027" s="98"/>
      <c r="DA1027" s="177"/>
      <c r="EH1027" s="19"/>
      <c r="EI1027" s="19"/>
      <c r="EJ1027" s="19"/>
      <c r="EK1027" s="19"/>
      <c r="EL1027" s="19"/>
      <c r="EM1027" s="98"/>
      <c r="EN1027" s="98"/>
      <c r="EO1027" s="98"/>
      <c r="EP1027" s="98"/>
      <c r="EQ1027" s="98"/>
      <c r="ER1027" s="98"/>
      <c r="ES1027" s="98"/>
      <c r="ET1027" s="98"/>
      <c r="EU1027" s="98"/>
      <c r="EV1027" s="98"/>
      <c r="EW1027" s="98"/>
      <c r="EX1027" s="98"/>
      <c r="EY1027" s="98"/>
      <c r="EZ1027" s="178"/>
    </row>
    <row r="1028" spans="60:156">
      <c r="BH1028" s="19"/>
      <c r="BI1028" s="19"/>
      <c r="BJ1028" s="19"/>
      <c r="BK1028" s="19"/>
      <c r="BL1028" s="19"/>
      <c r="BM1028" s="98"/>
      <c r="BN1028" s="98"/>
      <c r="BO1028" s="98"/>
      <c r="BP1028" s="98"/>
      <c r="BQ1028" s="98"/>
      <c r="BR1028" s="98"/>
      <c r="BS1028" s="98"/>
      <c r="BT1028" s="98"/>
      <c r="BU1028" s="98"/>
      <c r="BV1028" s="98"/>
      <c r="BW1028" s="98"/>
      <c r="BX1028" s="98"/>
      <c r="BY1028" s="98"/>
      <c r="BZ1028" s="98"/>
      <c r="DA1028" s="177"/>
      <c r="EH1028" s="19"/>
      <c r="EI1028" s="19"/>
      <c r="EJ1028" s="19"/>
      <c r="EK1028" s="19"/>
      <c r="EL1028" s="19"/>
      <c r="EM1028" s="98"/>
      <c r="EN1028" s="98"/>
      <c r="EO1028" s="98"/>
      <c r="EP1028" s="98"/>
      <c r="EQ1028" s="98"/>
      <c r="ER1028" s="98"/>
      <c r="ES1028" s="98"/>
      <c r="ET1028" s="98"/>
      <c r="EU1028" s="98"/>
      <c r="EV1028" s="98"/>
      <c r="EW1028" s="98"/>
      <c r="EX1028" s="98"/>
      <c r="EY1028" s="98"/>
      <c r="EZ1028" s="178"/>
    </row>
    <row r="1029" spans="60:156">
      <c r="BH1029" s="19"/>
      <c r="BI1029" s="19"/>
      <c r="BJ1029" s="19"/>
      <c r="BK1029" s="19"/>
      <c r="BL1029" s="19"/>
      <c r="BM1029" s="98"/>
      <c r="BN1029" s="98"/>
      <c r="BO1029" s="98"/>
      <c r="BP1029" s="98"/>
      <c r="BQ1029" s="98"/>
      <c r="BR1029" s="98"/>
      <c r="BS1029" s="98"/>
      <c r="BT1029" s="98"/>
      <c r="BU1029" s="98"/>
      <c r="BV1029" s="98"/>
      <c r="BW1029" s="98"/>
      <c r="BX1029" s="98"/>
      <c r="BY1029" s="98"/>
      <c r="BZ1029" s="98"/>
      <c r="DA1029" s="177"/>
      <c r="EH1029" s="19"/>
      <c r="EI1029" s="19"/>
      <c r="EJ1029" s="19"/>
      <c r="EK1029" s="19"/>
      <c r="EL1029" s="19"/>
      <c r="EM1029" s="98"/>
      <c r="EN1029" s="98"/>
      <c r="EO1029" s="98"/>
      <c r="EP1029" s="98"/>
      <c r="EQ1029" s="98"/>
      <c r="ER1029" s="98"/>
      <c r="ES1029" s="98"/>
      <c r="ET1029" s="98"/>
      <c r="EU1029" s="98"/>
      <c r="EV1029" s="98"/>
      <c r="EW1029" s="98"/>
      <c r="EX1029" s="98"/>
      <c r="EY1029" s="98"/>
      <c r="EZ1029" s="178"/>
    </row>
    <row r="1030" spans="60:156">
      <c r="BH1030" s="19"/>
      <c r="BI1030" s="19"/>
      <c r="BJ1030" s="19"/>
      <c r="BK1030" s="19"/>
      <c r="BL1030" s="19"/>
      <c r="BM1030" s="98"/>
      <c r="BN1030" s="98"/>
      <c r="BO1030" s="98"/>
      <c r="BP1030" s="98"/>
      <c r="BQ1030" s="98"/>
      <c r="BR1030" s="98"/>
      <c r="BS1030" s="98"/>
      <c r="BT1030" s="98"/>
      <c r="BU1030" s="98"/>
      <c r="BV1030" s="98"/>
      <c r="BW1030" s="98"/>
      <c r="BX1030" s="98"/>
      <c r="BY1030" s="98"/>
      <c r="BZ1030" s="98"/>
      <c r="DA1030" s="177"/>
      <c r="EH1030" s="19"/>
      <c r="EI1030" s="19"/>
      <c r="EJ1030" s="19"/>
      <c r="EK1030" s="19"/>
      <c r="EL1030" s="19"/>
      <c r="EM1030" s="98"/>
      <c r="EN1030" s="98"/>
      <c r="EO1030" s="98"/>
      <c r="EP1030" s="98"/>
      <c r="EQ1030" s="98"/>
      <c r="ER1030" s="98"/>
      <c r="ES1030" s="98"/>
      <c r="ET1030" s="98"/>
      <c r="EU1030" s="98"/>
      <c r="EV1030" s="98"/>
      <c r="EW1030" s="98"/>
      <c r="EX1030" s="98"/>
      <c r="EY1030" s="98"/>
      <c r="EZ1030" s="178"/>
    </row>
    <row r="1031" spans="60:156">
      <c r="BH1031" s="19"/>
      <c r="BI1031" s="19"/>
      <c r="BJ1031" s="19"/>
      <c r="BK1031" s="19"/>
      <c r="BL1031" s="19"/>
      <c r="BM1031" s="98"/>
      <c r="BN1031" s="98"/>
      <c r="BO1031" s="98"/>
      <c r="BP1031" s="98"/>
      <c r="BQ1031" s="98"/>
      <c r="BR1031" s="98"/>
      <c r="BS1031" s="98"/>
      <c r="BT1031" s="98"/>
      <c r="BU1031" s="98"/>
      <c r="BV1031" s="98"/>
      <c r="BW1031" s="98"/>
      <c r="BX1031" s="98"/>
      <c r="BY1031" s="98"/>
      <c r="BZ1031" s="98"/>
      <c r="DA1031" s="177"/>
      <c r="EH1031" s="19"/>
      <c r="EI1031" s="19"/>
      <c r="EJ1031" s="19"/>
      <c r="EK1031" s="19"/>
      <c r="EL1031" s="19"/>
      <c r="EM1031" s="98"/>
      <c r="EN1031" s="98"/>
      <c r="EO1031" s="98"/>
      <c r="EP1031" s="98"/>
      <c r="EQ1031" s="98"/>
      <c r="ER1031" s="98"/>
      <c r="ES1031" s="98"/>
      <c r="ET1031" s="98"/>
      <c r="EU1031" s="98"/>
      <c r="EV1031" s="98"/>
      <c r="EW1031" s="98"/>
      <c r="EX1031" s="98"/>
      <c r="EY1031" s="98"/>
      <c r="EZ1031" s="178"/>
    </row>
    <row r="1032" spans="60:156">
      <c r="BH1032" s="19"/>
      <c r="BI1032" s="19"/>
      <c r="BJ1032" s="19"/>
      <c r="BK1032" s="19"/>
      <c r="BL1032" s="19"/>
      <c r="BM1032" s="98"/>
      <c r="BN1032" s="98"/>
      <c r="BO1032" s="98"/>
      <c r="BP1032" s="98"/>
      <c r="BQ1032" s="98"/>
      <c r="BR1032" s="98"/>
      <c r="BS1032" s="98"/>
      <c r="BT1032" s="98"/>
      <c r="BU1032" s="98"/>
      <c r="BV1032" s="98"/>
      <c r="BW1032" s="98"/>
      <c r="BX1032" s="98"/>
      <c r="BY1032" s="98"/>
      <c r="BZ1032" s="98"/>
      <c r="DA1032" s="177"/>
      <c r="EH1032" s="19"/>
      <c r="EI1032" s="19"/>
      <c r="EJ1032" s="19"/>
      <c r="EK1032" s="19"/>
      <c r="EL1032" s="19"/>
      <c r="EM1032" s="98"/>
      <c r="EN1032" s="98"/>
      <c r="EO1032" s="98"/>
      <c r="EP1032" s="98"/>
      <c r="EQ1032" s="98"/>
      <c r="ER1032" s="98"/>
      <c r="ES1032" s="98"/>
      <c r="ET1032" s="98"/>
      <c r="EU1032" s="98"/>
      <c r="EV1032" s="98"/>
      <c r="EW1032" s="98"/>
      <c r="EX1032" s="98"/>
      <c r="EY1032" s="98"/>
      <c r="EZ1032" s="178"/>
    </row>
    <row r="1033" spans="60:156">
      <c r="BH1033" s="19"/>
      <c r="BI1033" s="19"/>
      <c r="BJ1033" s="19"/>
      <c r="BK1033" s="19"/>
      <c r="BL1033" s="19"/>
      <c r="BM1033" s="98"/>
      <c r="BN1033" s="98"/>
      <c r="BO1033" s="98"/>
      <c r="BP1033" s="98"/>
      <c r="BQ1033" s="98"/>
      <c r="BR1033" s="98"/>
      <c r="BS1033" s="98"/>
      <c r="BT1033" s="98"/>
      <c r="BU1033" s="98"/>
      <c r="BV1033" s="98"/>
      <c r="BW1033" s="98"/>
      <c r="BX1033" s="98"/>
      <c r="BY1033" s="98"/>
      <c r="BZ1033" s="98"/>
      <c r="DA1033" s="177"/>
      <c r="EH1033" s="19"/>
      <c r="EI1033" s="19"/>
      <c r="EJ1033" s="19"/>
      <c r="EK1033" s="19"/>
      <c r="EL1033" s="19"/>
      <c r="EM1033" s="98"/>
      <c r="EN1033" s="98"/>
      <c r="EO1033" s="98"/>
      <c r="EP1033" s="98"/>
      <c r="EQ1033" s="98"/>
      <c r="ER1033" s="98"/>
      <c r="ES1033" s="98"/>
      <c r="ET1033" s="98"/>
      <c r="EU1033" s="98"/>
      <c r="EV1033" s="98"/>
      <c r="EW1033" s="98"/>
      <c r="EX1033" s="98"/>
      <c r="EY1033" s="98"/>
      <c r="EZ1033" s="178"/>
    </row>
    <row r="1034" spans="60:156">
      <c r="BH1034" s="19"/>
      <c r="BI1034" s="19"/>
      <c r="BJ1034" s="19"/>
      <c r="BK1034" s="19"/>
      <c r="BL1034" s="19"/>
      <c r="BM1034" s="98"/>
      <c r="BN1034" s="98"/>
      <c r="BO1034" s="98"/>
      <c r="BP1034" s="98"/>
      <c r="BQ1034" s="98"/>
      <c r="BR1034" s="98"/>
      <c r="BS1034" s="98"/>
      <c r="BT1034" s="98"/>
      <c r="BU1034" s="98"/>
      <c r="BV1034" s="98"/>
      <c r="BW1034" s="98"/>
      <c r="BX1034" s="98"/>
      <c r="BY1034" s="98"/>
      <c r="BZ1034" s="98"/>
      <c r="DA1034" s="177"/>
      <c r="EH1034" s="19"/>
      <c r="EI1034" s="19"/>
      <c r="EJ1034" s="19"/>
      <c r="EK1034" s="19"/>
      <c r="EL1034" s="19"/>
      <c r="EM1034" s="98"/>
      <c r="EN1034" s="98"/>
      <c r="EO1034" s="98"/>
      <c r="EP1034" s="98"/>
      <c r="EQ1034" s="98"/>
      <c r="ER1034" s="98"/>
      <c r="ES1034" s="98"/>
      <c r="ET1034" s="98"/>
      <c r="EU1034" s="98"/>
      <c r="EV1034" s="98"/>
      <c r="EW1034" s="98"/>
      <c r="EX1034" s="98"/>
      <c r="EY1034" s="98"/>
      <c r="EZ1034" s="178"/>
    </row>
    <row r="1035" spans="60:156">
      <c r="BH1035" s="19"/>
      <c r="BI1035" s="19"/>
      <c r="BJ1035" s="19"/>
      <c r="BK1035" s="19"/>
      <c r="BL1035" s="19"/>
      <c r="BM1035" s="98"/>
      <c r="BN1035" s="98"/>
      <c r="BO1035" s="98"/>
      <c r="BP1035" s="98"/>
      <c r="BQ1035" s="98"/>
      <c r="BR1035" s="98"/>
      <c r="BS1035" s="98"/>
      <c r="BT1035" s="98"/>
      <c r="BU1035" s="98"/>
      <c r="BV1035" s="98"/>
      <c r="BW1035" s="98"/>
      <c r="BX1035" s="98"/>
      <c r="BY1035" s="98"/>
      <c r="BZ1035" s="98"/>
      <c r="DA1035" s="177"/>
      <c r="EH1035" s="19"/>
      <c r="EI1035" s="19"/>
      <c r="EJ1035" s="19"/>
      <c r="EK1035" s="19"/>
      <c r="EL1035" s="19"/>
      <c r="EM1035" s="98"/>
      <c r="EN1035" s="98"/>
      <c r="EO1035" s="98"/>
      <c r="EP1035" s="98"/>
      <c r="EQ1035" s="98"/>
      <c r="ER1035" s="98"/>
      <c r="ES1035" s="98"/>
      <c r="ET1035" s="98"/>
      <c r="EU1035" s="98"/>
      <c r="EV1035" s="98"/>
      <c r="EW1035" s="98"/>
      <c r="EX1035" s="98"/>
      <c r="EY1035" s="98"/>
      <c r="EZ1035" s="178"/>
    </row>
    <row r="1036" spans="60:156">
      <c r="BH1036" s="19"/>
      <c r="BI1036" s="19"/>
      <c r="BJ1036" s="19"/>
      <c r="BK1036" s="19"/>
      <c r="BL1036" s="19"/>
      <c r="BM1036" s="98"/>
      <c r="BN1036" s="98"/>
      <c r="BO1036" s="98"/>
      <c r="BP1036" s="98"/>
      <c r="BQ1036" s="98"/>
      <c r="BR1036" s="98"/>
      <c r="BS1036" s="98"/>
      <c r="BT1036" s="98"/>
      <c r="BU1036" s="98"/>
      <c r="BV1036" s="98"/>
      <c r="BW1036" s="98"/>
      <c r="BX1036" s="98"/>
      <c r="BY1036" s="98"/>
      <c r="BZ1036" s="98"/>
      <c r="DA1036" s="177"/>
      <c r="EH1036" s="19"/>
      <c r="EI1036" s="19"/>
      <c r="EJ1036" s="19"/>
      <c r="EK1036" s="19"/>
      <c r="EL1036" s="19"/>
      <c r="EM1036" s="98"/>
      <c r="EN1036" s="98"/>
      <c r="EO1036" s="98"/>
      <c r="EP1036" s="98"/>
      <c r="EQ1036" s="98"/>
      <c r="ER1036" s="98"/>
      <c r="ES1036" s="98"/>
      <c r="ET1036" s="98"/>
      <c r="EU1036" s="98"/>
      <c r="EV1036" s="98"/>
      <c r="EW1036" s="98"/>
      <c r="EX1036" s="98"/>
      <c r="EY1036" s="98"/>
      <c r="EZ1036" s="178"/>
    </row>
    <row r="1037" spans="60:156">
      <c r="BH1037" s="19"/>
      <c r="BI1037" s="19"/>
      <c r="BJ1037" s="19"/>
      <c r="BK1037" s="19"/>
      <c r="BL1037" s="19"/>
      <c r="BM1037" s="98"/>
      <c r="BN1037" s="98"/>
      <c r="BO1037" s="98"/>
      <c r="BP1037" s="98"/>
      <c r="BQ1037" s="98"/>
      <c r="BR1037" s="98"/>
      <c r="BS1037" s="98"/>
      <c r="BT1037" s="98"/>
      <c r="BU1037" s="98"/>
      <c r="BV1037" s="98"/>
      <c r="BW1037" s="98"/>
      <c r="BX1037" s="98"/>
      <c r="BY1037" s="98"/>
      <c r="BZ1037" s="98"/>
      <c r="DA1037" s="177"/>
      <c r="EH1037" s="19"/>
      <c r="EI1037" s="19"/>
      <c r="EJ1037" s="19"/>
      <c r="EK1037" s="19"/>
      <c r="EL1037" s="19"/>
      <c r="EM1037" s="98"/>
      <c r="EN1037" s="98"/>
      <c r="EO1037" s="98"/>
      <c r="EP1037" s="98"/>
      <c r="EQ1037" s="98"/>
      <c r="ER1037" s="98"/>
      <c r="ES1037" s="98"/>
      <c r="ET1037" s="98"/>
      <c r="EU1037" s="98"/>
      <c r="EV1037" s="98"/>
      <c r="EW1037" s="98"/>
      <c r="EX1037" s="98"/>
      <c r="EY1037" s="98"/>
      <c r="EZ1037" s="178"/>
    </row>
    <row r="1038" spans="60:156">
      <c r="BH1038" s="19"/>
      <c r="BI1038" s="19"/>
      <c r="BJ1038" s="19"/>
      <c r="BK1038" s="19"/>
      <c r="BL1038" s="19"/>
      <c r="BM1038" s="98"/>
      <c r="BN1038" s="98"/>
      <c r="BO1038" s="98"/>
      <c r="BP1038" s="98"/>
      <c r="BQ1038" s="98"/>
      <c r="BR1038" s="98"/>
      <c r="BS1038" s="98"/>
      <c r="BT1038" s="98"/>
      <c r="BU1038" s="98"/>
      <c r="BV1038" s="98"/>
      <c r="BW1038" s="98"/>
      <c r="BX1038" s="98"/>
      <c r="BY1038" s="98"/>
      <c r="BZ1038" s="98"/>
      <c r="DA1038" s="177"/>
      <c r="EH1038" s="19"/>
      <c r="EI1038" s="19"/>
      <c r="EJ1038" s="19"/>
      <c r="EK1038" s="19"/>
      <c r="EL1038" s="19"/>
      <c r="EM1038" s="98"/>
      <c r="EN1038" s="98"/>
      <c r="EO1038" s="98"/>
      <c r="EP1038" s="98"/>
      <c r="EQ1038" s="98"/>
      <c r="ER1038" s="98"/>
      <c r="ES1038" s="98"/>
      <c r="ET1038" s="98"/>
      <c r="EU1038" s="98"/>
      <c r="EV1038" s="98"/>
      <c r="EW1038" s="98"/>
      <c r="EX1038" s="98"/>
      <c r="EY1038" s="98"/>
      <c r="EZ1038" s="178"/>
    </row>
    <row r="1039" spans="60:156">
      <c r="BH1039" s="19"/>
      <c r="BI1039" s="19"/>
      <c r="BJ1039" s="19"/>
      <c r="BK1039" s="19"/>
      <c r="BL1039" s="19"/>
      <c r="BM1039" s="98"/>
      <c r="BN1039" s="98"/>
      <c r="BO1039" s="98"/>
      <c r="BP1039" s="98"/>
      <c r="BQ1039" s="98"/>
      <c r="BR1039" s="98"/>
      <c r="BS1039" s="98"/>
      <c r="BT1039" s="98"/>
      <c r="BU1039" s="98"/>
      <c r="BV1039" s="98"/>
      <c r="BW1039" s="98"/>
      <c r="BX1039" s="98"/>
      <c r="BY1039" s="98"/>
      <c r="BZ1039" s="98"/>
      <c r="DA1039" s="177"/>
      <c r="EH1039" s="19"/>
      <c r="EI1039" s="19"/>
      <c r="EJ1039" s="19"/>
      <c r="EK1039" s="19"/>
      <c r="EL1039" s="19"/>
      <c r="EM1039" s="98"/>
      <c r="EN1039" s="98"/>
      <c r="EO1039" s="98"/>
      <c r="EP1039" s="98"/>
      <c r="EQ1039" s="98"/>
      <c r="ER1039" s="98"/>
      <c r="ES1039" s="98"/>
      <c r="ET1039" s="98"/>
      <c r="EU1039" s="98"/>
      <c r="EV1039" s="98"/>
      <c r="EW1039" s="98"/>
      <c r="EX1039" s="98"/>
      <c r="EY1039" s="98"/>
      <c r="EZ1039" s="178"/>
    </row>
    <row r="1040" spans="60:156">
      <c r="BH1040" s="19"/>
      <c r="BI1040" s="19"/>
      <c r="BJ1040" s="19"/>
      <c r="BK1040" s="19"/>
      <c r="BL1040" s="19"/>
      <c r="BM1040" s="98"/>
      <c r="BN1040" s="98"/>
      <c r="BO1040" s="98"/>
      <c r="BP1040" s="98"/>
      <c r="BQ1040" s="98"/>
      <c r="BR1040" s="98"/>
      <c r="BS1040" s="98"/>
      <c r="BT1040" s="98"/>
      <c r="BU1040" s="98"/>
      <c r="BV1040" s="98"/>
      <c r="BW1040" s="98"/>
      <c r="BX1040" s="98"/>
      <c r="BY1040" s="98"/>
      <c r="BZ1040" s="98"/>
      <c r="DA1040" s="177"/>
      <c r="EH1040" s="19"/>
      <c r="EI1040" s="19"/>
      <c r="EJ1040" s="19"/>
      <c r="EK1040" s="19"/>
      <c r="EL1040" s="19"/>
      <c r="EM1040" s="98"/>
      <c r="EN1040" s="98"/>
      <c r="EO1040" s="98"/>
      <c r="EP1040" s="98"/>
      <c r="EQ1040" s="98"/>
      <c r="ER1040" s="98"/>
      <c r="ES1040" s="98"/>
      <c r="ET1040" s="98"/>
      <c r="EU1040" s="98"/>
      <c r="EV1040" s="98"/>
      <c r="EW1040" s="98"/>
      <c r="EX1040" s="98"/>
      <c r="EY1040" s="98"/>
      <c r="EZ1040" s="178"/>
    </row>
    <row r="1041" spans="60:156">
      <c r="BH1041" s="19"/>
      <c r="BI1041" s="19"/>
      <c r="BJ1041" s="19"/>
      <c r="BK1041" s="19"/>
      <c r="BL1041" s="19"/>
      <c r="BM1041" s="98"/>
      <c r="BN1041" s="98"/>
      <c r="BO1041" s="98"/>
      <c r="BP1041" s="98"/>
      <c r="BQ1041" s="98"/>
      <c r="BR1041" s="98"/>
      <c r="BS1041" s="98"/>
      <c r="BT1041" s="98"/>
      <c r="BU1041" s="98"/>
      <c r="BV1041" s="98"/>
      <c r="BW1041" s="98"/>
      <c r="BX1041" s="98"/>
      <c r="BY1041" s="98"/>
      <c r="BZ1041" s="98"/>
      <c r="DA1041" s="177"/>
      <c r="EH1041" s="19"/>
      <c r="EI1041" s="19"/>
      <c r="EJ1041" s="19"/>
      <c r="EK1041" s="19"/>
      <c r="EL1041" s="19"/>
      <c r="EM1041" s="98"/>
      <c r="EN1041" s="98"/>
      <c r="EO1041" s="98"/>
      <c r="EP1041" s="98"/>
      <c r="EQ1041" s="98"/>
      <c r="ER1041" s="98"/>
      <c r="ES1041" s="98"/>
      <c r="ET1041" s="98"/>
      <c r="EU1041" s="98"/>
      <c r="EV1041" s="98"/>
      <c r="EW1041" s="98"/>
      <c r="EX1041" s="98"/>
      <c r="EY1041" s="98"/>
      <c r="EZ1041" s="178"/>
    </row>
    <row r="1042" spans="60:156">
      <c r="BH1042" s="19"/>
      <c r="BI1042" s="19"/>
      <c r="BJ1042" s="19"/>
      <c r="BK1042" s="19"/>
      <c r="BL1042" s="19"/>
      <c r="BM1042" s="98"/>
      <c r="BN1042" s="98"/>
      <c r="BO1042" s="98"/>
      <c r="BP1042" s="98"/>
      <c r="BQ1042" s="98"/>
      <c r="BR1042" s="98"/>
      <c r="BS1042" s="98"/>
      <c r="BT1042" s="98"/>
      <c r="BU1042" s="98"/>
      <c r="BV1042" s="98"/>
      <c r="BW1042" s="98"/>
      <c r="BX1042" s="98"/>
      <c r="BY1042" s="98"/>
      <c r="BZ1042" s="98"/>
      <c r="DA1042" s="177"/>
      <c r="EH1042" s="19"/>
      <c r="EI1042" s="19"/>
      <c r="EJ1042" s="19"/>
      <c r="EK1042" s="19"/>
      <c r="EL1042" s="19"/>
      <c r="EM1042" s="98"/>
      <c r="EN1042" s="98"/>
      <c r="EO1042" s="98"/>
      <c r="EP1042" s="98"/>
      <c r="EQ1042" s="98"/>
      <c r="ER1042" s="98"/>
      <c r="ES1042" s="98"/>
      <c r="ET1042" s="98"/>
      <c r="EU1042" s="98"/>
      <c r="EV1042" s="98"/>
      <c r="EW1042" s="98"/>
      <c r="EX1042" s="98"/>
      <c r="EY1042" s="98"/>
      <c r="EZ1042" s="178"/>
    </row>
    <row r="1043" spans="60:156">
      <c r="BH1043" s="19"/>
      <c r="BI1043" s="19"/>
      <c r="BJ1043" s="19"/>
      <c r="BK1043" s="19"/>
      <c r="BL1043" s="19"/>
      <c r="BM1043" s="98"/>
      <c r="BN1043" s="98"/>
      <c r="BO1043" s="98"/>
      <c r="BP1043" s="98"/>
      <c r="BQ1043" s="98"/>
      <c r="BR1043" s="98"/>
      <c r="BS1043" s="98"/>
      <c r="BT1043" s="98"/>
      <c r="BU1043" s="98"/>
      <c r="BV1043" s="98"/>
      <c r="BW1043" s="98"/>
      <c r="BX1043" s="98"/>
      <c r="BY1043" s="98"/>
      <c r="BZ1043" s="98"/>
      <c r="DA1043" s="177"/>
      <c r="EH1043" s="19"/>
      <c r="EI1043" s="19"/>
      <c r="EJ1043" s="19"/>
      <c r="EK1043" s="19"/>
      <c r="EL1043" s="19"/>
      <c r="EM1043" s="98"/>
      <c r="EN1043" s="98"/>
      <c r="EO1043" s="98"/>
      <c r="EP1043" s="98"/>
      <c r="EQ1043" s="98"/>
      <c r="ER1043" s="98"/>
      <c r="ES1043" s="98"/>
      <c r="ET1043" s="98"/>
      <c r="EU1043" s="98"/>
      <c r="EV1043" s="98"/>
      <c r="EW1043" s="98"/>
      <c r="EX1043" s="98"/>
      <c r="EY1043" s="98"/>
      <c r="EZ1043" s="178"/>
    </row>
    <row r="1044" spans="60:156">
      <c r="BH1044" s="19"/>
      <c r="BI1044" s="19"/>
      <c r="BJ1044" s="19"/>
      <c r="BK1044" s="19"/>
      <c r="BL1044" s="19"/>
      <c r="BM1044" s="98"/>
      <c r="BN1044" s="98"/>
      <c r="BO1044" s="98"/>
      <c r="BP1044" s="98"/>
      <c r="BQ1044" s="98"/>
      <c r="BR1044" s="98"/>
      <c r="BS1044" s="98"/>
      <c r="BT1044" s="98"/>
      <c r="BU1044" s="98"/>
      <c r="BV1044" s="98"/>
      <c r="BW1044" s="98"/>
      <c r="BX1044" s="98"/>
      <c r="BY1044" s="98"/>
      <c r="BZ1044" s="98"/>
      <c r="DA1044" s="177"/>
      <c r="EH1044" s="19"/>
      <c r="EI1044" s="19"/>
      <c r="EJ1044" s="19"/>
      <c r="EK1044" s="19"/>
      <c r="EL1044" s="19"/>
      <c r="EM1044" s="98"/>
      <c r="EN1044" s="98"/>
      <c r="EO1044" s="98"/>
      <c r="EP1044" s="98"/>
      <c r="EQ1044" s="98"/>
      <c r="ER1044" s="98"/>
      <c r="ES1044" s="98"/>
      <c r="ET1044" s="98"/>
      <c r="EU1044" s="98"/>
      <c r="EV1044" s="98"/>
      <c r="EW1044" s="98"/>
      <c r="EX1044" s="98"/>
      <c r="EY1044" s="98"/>
      <c r="EZ1044" s="178"/>
    </row>
    <row r="1045" spans="60:156">
      <c r="BH1045" s="19"/>
      <c r="BI1045" s="19"/>
      <c r="BJ1045" s="19"/>
      <c r="BK1045" s="19"/>
      <c r="BL1045" s="19"/>
      <c r="BM1045" s="98"/>
      <c r="BN1045" s="98"/>
      <c r="BO1045" s="98"/>
      <c r="BP1045" s="98"/>
      <c r="BQ1045" s="98"/>
      <c r="BR1045" s="98"/>
      <c r="BS1045" s="98"/>
      <c r="BT1045" s="98"/>
      <c r="BU1045" s="98"/>
      <c r="BV1045" s="98"/>
      <c r="BW1045" s="98"/>
      <c r="BX1045" s="98"/>
      <c r="BY1045" s="98"/>
      <c r="BZ1045" s="98"/>
      <c r="DA1045" s="177"/>
      <c r="EH1045" s="19"/>
      <c r="EI1045" s="19"/>
      <c r="EJ1045" s="19"/>
      <c r="EK1045" s="19"/>
      <c r="EL1045" s="19"/>
      <c r="EM1045" s="98"/>
      <c r="EN1045" s="98"/>
      <c r="EO1045" s="98"/>
      <c r="EP1045" s="98"/>
      <c r="EQ1045" s="98"/>
      <c r="ER1045" s="98"/>
      <c r="ES1045" s="98"/>
      <c r="ET1045" s="98"/>
      <c r="EU1045" s="98"/>
      <c r="EV1045" s="98"/>
      <c r="EW1045" s="98"/>
      <c r="EX1045" s="98"/>
      <c r="EY1045" s="98"/>
      <c r="EZ1045" s="178"/>
    </row>
    <row r="1046" spans="60:156">
      <c r="BH1046" s="19"/>
      <c r="BI1046" s="19"/>
      <c r="BJ1046" s="19"/>
      <c r="BK1046" s="19"/>
      <c r="BL1046" s="19"/>
      <c r="BM1046" s="98"/>
      <c r="BN1046" s="98"/>
      <c r="BO1046" s="98"/>
      <c r="BP1046" s="98"/>
      <c r="BQ1046" s="98"/>
      <c r="BR1046" s="98"/>
      <c r="BS1046" s="98"/>
      <c r="BT1046" s="98"/>
      <c r="BU1046" s="98"/>
      <c r="BV1046" s="98"/>
      <c r="BW1046" s="98"/>
      <c r="BX1046" s="98"/>
      <c r="BY1046" s="98"/>
      <c r="BZ1046" s="98"/>
      <c r="DA1046" s="177"/>
      <c r="EH1046" s="19"/>
      <c r="EI1046" s="19"/>
      <c r="EJ1046" s="19"/>
      <c r="EK1046" s="19"/>
      <c r="EL1046" s="19"/>
      <c r="EM1046" s="98"/>
      <c r="EN1046" s="98"/>
      <c r="EO1046" s="98"/>
      <c r="EP1046" s="98"/>
      <c r="EQ1046" s="98"/>
      <c r="ER1046" s="98"/>
      <c r="ES1046" s="98"/>
      <c r="ET1046" s="98"/>
      <c r="EU1046" s="98"/>
      <c r="EV1046" s="98"/>
      <c r="EW1046" s="98"/>
      <c r="EX1046" s="98"/>
      <c r="EY1046" s="98"/>
      <c r="EZ1046" s="178"/>
    </row>
    <row r="1047" spans="60:156">
      <c r="BH1047" s="19"/>
      <c r="BI1047" s="19"/>
      <c r="BJ1047" s="19"/>
      <c r="BK1047" s="19"/>
      <c r="BL1047" s="19"/>
      <c r="BM1047" s="98"/>
      <c r="BN1047" s="98"/>
      <c r="BO1047" s="98"/>
      <c r="BP1047" s="98"/>
      <c r="BQ1047" s="98"/>
      <c r="BR1047" s="98"/>
      <c r="BS1047" s="98"/>
      <c r="BT1047" s="98"/>
      <c r="BU1047" s="98"/>
      <c r="BV1047" s="98"/>
      <c r="BW1047" s="98"/>
      <c r="BX1047" s="98"/>
      <c r="BY1047" s="98"/>
      <c r="BZ1047" s="98"/>
      <c r="DA1047" s="177"/>
      <c r="EH1047" s="19"/>
      <c r="EI1047" s="19"/>
      <c r="EJ1047" s="19"/>
      <c r="EK1047" s="19"/>
      <c r="EL1047" s="19"/>
      <c r="EM1047" s="98"/>
      <c r="EN1047" s="98"/>
      <c r="EO1047" s="98"/>
      <c r="EP1047" s="98"/>
      <c r="EQ1047" s="98"/>
      <c r="ER1047" s="98"/>
      <c r="ES1047" s="98"/>
      <c r="ET1047" s="98"/>
      <c r="EU1047" s="98"/>
      <c r="EV1047" s="98"/>
      <c r="EW1047" s="98"/>
      <c r="EX1047" s="98"/>
      <c r="EY1047" s="98"/>
      <c r="EZ1047" s="178"/>
    </row>
    <row r="1048" spans="60:156">
      <c r="BH1048" s="19"/>
      <c r="BI1048" s="19"/>
      <c r="BJ1048" s="19"/>
      <c r="BK1048" s="19"/>
      <c r="BL1048" s="19"/>
      <c r="BM1048" s="98"/>
      <c r="BN1048" s="98"/>
      <c r="BO1048" s="98"/>
      <c r="BP1048" s="98"/>
      <c r="BQ1048" s="98"/>
      <c r="BR1048" s="98"/>
      <c r="BS1048" s="98"/>
      <c r="BT1048" s="98"/>
      <c r="BU1048" s="98"/>
      <c r="BV1048" s="98"/>
      <c r="BW1048" s="98"/>
      <c r="BX1048" s="98"/>
      <c r="BY1048" s="98"/>
      <c r="BZ1048" s="98"/>
      <c r="DA1048" s="177"/>
      <c r="EH1048" s="19"/>
      <c r="EI1048" s="19"/>
      <c r="EJ1048" s="19"/>
      <c r="EK1048" s="19"/>
      <c r="EL1048" s="19"/>
      <c r="EM1048" s="98"/>
      <c r="EN1048" s="98"/>
      <c r="EO1048" s="98"/>
      <c r="EP1048" s="98"/>
      <c r="EQ1048" s="98"/>
      <c r="ER1048" s="98"/>
      <c r="ES1048" s="98"/>
      <c r="ET1048" s="98"/>
      <c r="EU1048" s="98"/>
      <c r="EV1048" s="98"/>
      <c r="EW1048" s="98"/>
      <c r="EX1048" s="98"/>
      <c r="EY1048" s="98"/>
      <c r="EZ1048" s="178"/>
    </row>
    <row r="1049" spans="60:156">
      <c r="BH1049" s="19"/>
      <c r="BI1049" s="19"/>
      <c r="BJ1049" s="19"/>
      <c r="BK1049" s="19"/>
      <c r="BL1049" s="19"/>
      <c r="BM1049" s="98"/>
      <c r="BN1049" s="98"/>
      <c r="BO1049" s="98"/>
      <c r="BP1049" s="98"/>
      <c r="BQ1049" s="98"/>
      <c r="BR1049" s="98"/>
      <c r="BS1049" s="98"/>
      <c r="BT1049" s="98"/>
      <c r="BU1049" s="98"/>
      <c r="BV1049" s="98"/>
      <c r="BW1049" s="98"/>
      <c r="BX1049" s="98"/>
      <c r="BY1049" s="98"/>
      <c r="BZ1049" s="98"/>
      <c r="DA1049" s="177"/>
      <c r="EH1049" s="19"/>
      <c r="EI1049" s="19"/>
      <c r="EJ1049" s="19"/>
      <c r="EK1049" s="19"/>
      <c r="EL1049" s="19"/>
      <c r="EM1049" s="98"/>
      <c r="EN1049" s="98"/>
      <c r="EO1049" s="98"/>
      <c r="EP1049" s="98"/>
      <c r="EQ1049" s="98"/>
      <c r="ER1049" s="98"/>
      <c r="ES1049" s="98"/>
      <c r="ET1049" s="98"/>
      <c r="EU1049" s="98"/>
      <c r="EV1049" s="98"/>
      <c r="EW1049" s="98"/>
      <c r="EX1049" s="98"/>
      <c r="EY1049" s="98"/>
      <c r="EZ1049" s="178"/>
    </row>
    <row r="1050" spans="60:156">
      <c r="BH1050" s="19"/>
      <c r="BI1050" s="19"/>
      <c r="BJ1050" s="19"/>
      <c r="BK1050" s="19"/>
      <c r="BL1050" s="19"/>
      <c r="BM1050" s="98"/>
      <c r="BN1050" s="98"/>
      <c r="BO1050" s="98"/>
      <c r="BP1050" s="98"/>
      <c r="BQ1050" s="98"/>
      <c r="BR1050" s="98"/>
      <c r="BS1050" s="98"/>
      <c r="BT1050" s="98"/>
      <c r="BU1050" s="98"/>
      <c r="BV1050" s="98"/>
      <c r="BW1050" s="98"/>
      <c r="BX1050" s="98"/>
      <c r="BY1050" s="98"/>
      <c r="BZ1050" s="98"/>
      <c r="DA1050" s="177"/>
      <c r="EH1050" s="19"/>
      <c r="EI1050" s="19"/>
      <c r="EJ1050" s="19"/>
      <c r="EK1050" s="19"/>
      <c r="EL1050" s="19"/>
      <c r="EM1050" s="98"/>
      <c r="EN1050" s="98"/>
      <c r="EO1050" s="98"/>
      <c r="EP1050" s="98"/>
      <c r="EQ1050" s="98"/>
      <c r="ER1050" s="98"/>
      <c r="ES1050" s="98"/>
      <c r="ET1050" s="98"/>
      <c r="EU1050" s="98"/>
      <c r="EV1050" s="98"/>
      <c r="EW1050" s="98"/>
      <c r="EX1050" s="98"/>
      <c r="EY1050" s="98"/>
      <c r="EZ1050" s="178"/>
    </row>
    <row r="1051" spans="60:156">
      <c r="BH1051" s="19"/>
      <c r="BI1051" s="19"/>
      <c r="BJ1051" s="19"/>
      <c r="BK1051" s="19"/>
      <c r="BL1051" s="19"/>
      <c r="BM1051" s="98"/>
      <c r="BN1051" s="98"/>
      <c r="BO1051" s="98"/>
      <c r="BP1051" s="98"/>
      <c r="BQ1051" s="98"/>
      <c r="BR1051" s="98"/>
      <c r="BS1051" s="98"/>
      <c r="BT1051" s="98"/>
      <c r="BU1051" s="98"/>
      <c r="BV1051" s="98"/>
      <c r="BW1051" s="98"/>
      <c r="BX1051" s="98"/>
      <c r="BY1051" s="98"/>
      <c r="BZ1051" s="98"/>
      <c r="DA1051" s="177"/>
      <c r="EH1051" s="19"/>
      <c r="EI1051" s="19"/>
      <c r="EJ1051" s="19"/>
      <c r="EK1051" s="19"/>
      <c r="EL1051" s="19"/>
      <c r="EM1051" s="98"/>
      <c r="EN1051" s="98"/>
      <c r="EO1051" s="98"/>
      <c r="EP1051" s="98"/>
      <c r="EQ1051" s="98"/>
      <c r="ER1051" s="98"/>
      <c r="ES1051" s="98"/>
      <c r="ET1051" s="98"/>
      <c r="EU1051" s="98"/>
      <c r="EV1051" s="98"/>
      <c r="EW1051" s="98"/>
      <c r="EX1051" s="98"/>
      <c r="EY1051" s="98"/>
      <c r="EZ1051" s="178"/>
    </row>
    <row r="1052" spans="60:156">
      <c r="BH1052" s="19"/>
      <c r="BI1052" s="19"/>
      <c r="BJ1052" s="19"/>
      <c r="BK1052" s="19"/>
      <c r="BL1052" s="19"/>
      <c r="BM1052" s="98"/>
      <c r="BN1052" s="98"/>
      <c r="BO1052" s="98"/>
      <c r="BP1052" s="98"/>
      <c r="BQ1052" s="98"/>
      <c r="BR1052" s="98"/>
      <c r="BS1052" s="98"/>
      <c r="BT1052" s="98"/>
      <c r="BU1052" s="98"/>
      <c r="BV1052" s="98"/>
      <c r="BW1052" s="98"/>
      <c r="BX1052" s="98"/>
      <c r="BY1052" s="98"/>
      <c r="BZ1052" s="98"/>
      <c r="DA1052" s="177"/>
      <c r="EH1052" s="19"/>
      <c r="EI1052" s="19"/>
      <c r="EJ1052" s="19"/>
      <c r="EK1052" s="19"/>
      <c r="EL1052" s="19"/>
      <c r="EM1052" s="98"/>
      <c r="EN1052" s="98"/>
      <c r="EO1052" s="98"/>
      <c r="EP1052" s="98"/>
      <c r="EQ1052" s="98"/>
      <c r="ER1052" s="98"/>
      <c r="ES1052" s="98"/>
      <c r="ET1052" s="98"/>
      <c r="EU1052" s="98"/>
      <c r="EV1052" s="98"/>
      <c r="EW1052" s="98"/>
      <c r="EX1052" s="98"/>
      <c r="EY1052" s="98"/>
      <c r="EZ1052" s="178"/>
    </row>
    <row r="1053" spans="60:156">
      <c r="BH1053" s="19"/>
      <c r="BI1053" s="19"/>
      <c r="BJ1053" s="19"/>
      <c r="BK1053" s="19"/>
      <c r="BL1053" s="19"/>
      <c r="BM1053" s="98"/>
      <c r="BN1053" s="98"/>
      <c r="BO1053" s="98"/>
      <c r="BP1053" s="98"/>
      <c r="BQ1053" s="98"/>
      <c r="BR1053" s="98"/>
      <c r="BS1053" s="98"/>
      <c r="BT1053" s="98"/>
      <c r="BU1053" s="98"/>
      <c r="BV1053" s="98"/>
      <c r="BW1053" s="98"/>
      <c r="BX1053" s="98"/>
      <c r="BY1053" s="98"/>
      <c r="BZ1053" s="98"/>
      <c r="DA1053" s="177"/>
      <c r="EH1053" s="19"/>
      <c r="EI1053" s="19"/>
      <c r="EJ1053" s="19"/>
      <c r="EK1053" s="19"/>
      <c r="EL1053" s="19"/>
      <c r="EM1053" s="98"/>
      <c r="EN1053" s="98"/>
      <c r="EO1053" s="98"/>
      <c r="EP1053" s="98"/>
      <c r="EQ1053" s="98"/>
      <c r="ER1053" s="98"/>
      <c r="ES1053" s="98"/>
      <c r="ET1053" s="98"/>
      <c r="EU1053" s="98"/>
      <c r="EV1053" s="98"/>
      <c r="EW1053" s="98"/>
      <c r="EX1053" s="98"/>
      <c r="EY1053" s="98"/>
      <c r="EZ1053" s="178"/>
    </row>
    <row r="1054" spans="60:156">
      <c r="BH1054" s="19"/>
      <c r="BI1054" s="19"/>
      <c r="BJ1054" s="19"/>
      <c r="BK1054" s="19"/>
      <c r="BL1054" s="19"/>
      <c r="BM1054" s="98"/>
      <c r="BN1054" s="98"/>
      <c r="BO1054" s="98"/>
      <c r="BP1054" s="98"/>
      <c r="BQ1054" s="98"/>
      <c r="BR1054" s="98"/>
      <c r="BS1054" s="98"/>
      <c r="BT1054" s="98"/>
      <c r="BU1054" s="98"/>
      <c r="BV1054" s="98"/>
      <c r="BW1054" s="98"/>
      <c r="BX1054" s="98"/>
      <c r="BY1054" s="98"/>
      <c r="BZ1054" s="98"/>
      <c r="DA1054" s="177"/>
      <c r="EH1054" s="19"/>
      <c r="EI1054" s="19"/>
      <c r="EJ1054" s="19"/>
      <c r="EK1054" s="19"/>
      <c r="EL1054" s="19"/>
      <c r="EM1054" s="98"/>
      <c r="EN1054" s="98"/>
      <c r="EO1054" s="98"/>
      <c r="EP1054" s="98"/>
      <c r="EQ1054" s="98"/>
      <c r="ER1054" s="98"/>
      <c r="ES1054" s="98"/>
      <c r="ET1054" s="98"/>
      <c r="EU1054" s="98"/>
      <c r="EV1054" s="98"/>
      <c r="EW1054" s="98"/>
      <c r="EX1054" s="98"/>
      <c r="EY1054" s="98"/>
      <c r="EZ1054" s="178"/>
    </row>
    <row r="1055" spans="60:156">
      <c r="BH1055" s="19"/>
      <c r="BI1055" s="19"/>
      <c r="BJ1055" s="19"/>
      <c r="BK1055" s="19"/>
      <c r="BL1055" s="19"/>
      <c r="BM1055" s="98"/>
      <c r="BN1055" s="98"/>
      <c r="BO1055" s="98"/>
      <c r="BP1055" s="98"/>
      <c r="BQ1055" s="98"/>
      <c r="BR1055" s="98"/>
      <c r="BS1055" s="98"/>
      <c r="BT1055" s="98"/>
      <c r="BU1055" s="98"/>
      <c r="BV1055" s="98"/>
      <c r="BW1055" s="98"/>
      <c r="BX1055" s="98"/>
      <c r="BY1055" s="98"/>
      <c r="BZ1055" s="98"/>
      <c r="DA1055" s="177"/>
      <c r="EH1055" s="19"/>
      <c r="EI1055" s="19"/>
      <c r="EJ1055" s="19"/>
      <c r="EK1055" s="19"/>
      <c r="EL1055" s="19"/>
      <c r="EM1055" s="98"/>
      <c r="EN1055" s="98"/>
      <c r="EO1055" s="98"/>
      <c r="EP1055" s="98"/>
      <c r="EQ1055" s="98"/>
      <c r="ER1055" s="98"/>
      <c r="ES1055" s="98"/>
      <c r="ET1055" s="98"/>
      <c r="EU1055" s="98"/>
      <c r="EV1055" s="98"/>
      <c r="EW1055" s="98"/>
      <c r="EX1055" s="98"/>
      <c r="EY1055" s="98"/>
      <c r="EZ1055" s="178"/>
    </row>
    <row r="1056" spans="60:156">
      <c r="BH1056" s="19"/>
      <c r="BI1056" s="19"/>
      <c r="BJ1056" s="19"/>
      <c r="BK1056" s="19"/>
      <c r="BL1056" s="19"/>
      <c r="BM1056" s="98"/>
      <c r="BN1056" s="98"/>
      <c r="BO1056" s="98"/>
      <c r="BP1056" s="98"/>
      <c r="BQ1056" s="98"/>
      <c r="BR1056" s="98"/>
      <c r="BS1056" s="98"/>
      <c r="BT1056" s="98"/>
      <c r="BU1056" s="98"/>
      <c r="BV1056" s="98"/>
      <c r="BW1056" s="98"/>
      <c r="BX1056" s="98"/>
      <c r="BY1056" s="98"/>
      <c r="BZ1056" s="98"/>
      <c r="DA1056" s="177"/>
      <c r="EH1056" s="19"/>
      <c r="EI1056" s="19"/>
      <c r="EJ1056" s="19"/>
      <c r="EK1056" s="19"/>
      <c r="EL1056" s="19"/>
      <c r="EM1056" s="98"/>
      <c r="EN1056" s="98"/>
      <c r="EO1056" s="98"/>
      <c r="EP1056" s="98"/>
      <c r="EQ1056" s="98"/>
      <c r="ER1056" s="98"/>
      <c r="ES1056" s="98"/>
      <c r="ET1056" s="98"/>
      <c r="EU1056" s="98"/>
      <c r="EV1056" s="98"/>
      <c r="EW1056" s="98"/>
      <c r="EX1056" s="98"/>
      <c r="EY1056" s="98"/>
      <c r="EZ1056" s="178"/>
    </row>
    <row r="1057" spans="60:156">
      <c r="BH1057" s="19"/>
      <c r="BI1057" s="19"/>
      <c r="BJ1057" s="19"/>
      <c r="BK1057" s="19"/>
      <c r="BL1057" s="19"/>
      <c r="BM1057" s="98"/>
      <c r="BN1057" s="98"/>
      <c r="BO1057" s="98"/>
      <c r="BP1057" s="98"/>
      <c r="BQ1057" s="98"/>
      <c r="BR1057" s="98"/>
      <c r="BS1057" s="98"/>
      <c r="BT1057" s="98"/>
      <c r="BU1057" s="98"/>
      <c r="BV1057" s="98"/>
      <c r="BW1057" s="98"/>
      <c r="BX1057" s="98"/>
      <c r="BY1057" s="98"/>
      <c r="BZ1057" s="98"/>
      <c r="DA1057" s="177"/>
      <c r="EH1057" s="19"/>
      <c r="EI1057" s="19"/>
      <c r="EJ1057" s="19"/>
      <c r="EK1057" s="19"/>
      <c r="EL1057" s="19"/>
      <c r="EM1057" s="98"/>
      <c r="EN1057" s="98"/>
      <c r="EO1057" s="98"/>
      <c r="EP1057" s="98"/>
      <c r="EQ1057" s="98"/>
      <c r="ER1057" s="98"/>
      <c r="ES1057" s="98"/>
      <c r="ET1057" s="98"/>
      <c r="EU1057" s="98"/>
      <c r="EV1057" s="98"/>
      <c r="EW1057" s="98"/>
      <c r="EX1057" s="98"/>
      <c r="EY1057" s="98"/>
      <c r="EZ1057" s="178"/>
    </row>
    <row r="1058" spans="60:156">
      <c r="BH1058" s="19"/>
      <c r="BI1058" s="19"/>
      <c r="BJ1058" s="19"/>
      <c r="BK1058" s="19"/>
      <c r="BL1058" s="19"/>
      <c r="BM1058" s="98"/>
      <c r="BN1058" s="98"/>
      <c r="BO1058" s="98"/>
      <c r="BP1058" s="98"/>
      <c r="BQ1058" s="98"/>
      <c r="BR1058" s="98"/>
      <c r="BS1058" s="98"/>
      <c r="BT1058" s="98"/>
      <c r="BU1058" s="98"/>
      <c r="BV1058" s="98"/>
      <c r="BW1058" s="98"/>
      <c r="BX1058" s="98"/>
      <c r="BY1058" s="98"/>
      <c r="BZ1058" s="98"/>
      <c r="DA1058" s="177"/>
      <c r="EH1058" s="19"/>
      <c r="EI1058" s="19"/>
      <c r="EJ1058" s="19"/>
      <c r="EK1058" s="19"/>
      <c r="EL1058" s="19"/>
      <c r="EM1058" s="98"/>
      <c r="EN1058" s="98"/>
      <c r="EO1058" s="98"/>
      <c r="EP1058" s="98"/>
      <c r="EQ1058" s="98"/>
      <c r="ER1058" s="98"/>
      <c r="ES1058" s="98"/>
      <c r="ET1058" s="98"/>
      <c r="EU1058" s="98"/>
      <c r="EV1058" s="98"/>
      <c r="EW1058" s="98"/>
      <c r="EX1058" s="98"/>
      <c r="EY1058" s="98"/>
      <c r="EZ1058" s="178"/>
    </row>
    <row r="1059" spans="60:156">
      <c r="BH1059" s="19"/>
      <c r="BI1059" s="19"/>
      <c r="BJ1059" s="19"/>
      <c r="BK1059" s="19"/>
      <c r="BL1059" s="19"/>
      <c r="BM1059" s="98"/>
      <c r="BN1059" s="98"/>
      <c r="BO1059" s="98"/>
      <c r="BP1059" s="98"/>
      <c r="BQ1059" s="98"/>
      <c r="BR1059" s="98"/>
      <c r="BS1059" s="98"/>
      <c r="BT1059" s="98"/>
      <c r="BU1059" s="98"/>
      <c r="BV1059" s="98"/>
      <c r="BW1059" s="98"/>
      <c r="BX1059" s="98"/>
      <c r="BY1059" s="98"/>
      <c r="BZ1059" s="98"/>
      <c r="DA1059" s="177"/>
      <c r="EH1059" s="19"/>
      <c r="EI1059" s="19"/>
      <c r="EJ1059" s="19"/>
      <c r="EK1059" s="19"/>
      <c r="EL1059" s="19"/>
      <c r="EM1059" s="98"/>
      <c r="EN1059" s="98"/>
      <c r="EO1059" s="98"/>
      <c r="EP1059" s="98"/>
      <c r="EQ1059" s="98"/>
      <c r="ER1059" s="98"/>
      <c r="ES1059" s="98"/>
      <c r="ET1059" s="98"/>
      <c r="EU1059" s="98"/>
      <c r="EV1059" s="98"/>
      <c r="EW1059" s="98"/>
      <c r="EX1059" s="98"/>
      <c r="EY1059" s="98"/>
      <c r="EZ1059" s="178"/>
    </row>
    <row r="1060" spans="60:156">
      <c r="BH1060" s="19"/>
      <c r="BI1060" s="19"/>
      <c r="BJ1060" s="19"/>
      <c r="BK1060" s="19"/>
      <c r="BL1060" s="19"/>
      <c r="BM1060" s="98"/>
      <c r="BN1060" s="98"/>
      <c r="BO1060" s="98"/>
      <c r="BP1060" s="98"/>
      <c r="BQ1060" s="98"/>
      <c r="BR1060" s="98"/>
      <c r="BS1060" s="98"/>
      <c r="BT1060" s="98"/>
      <c r="BU1060" s="98"/>
      <c r="BV1060" s="98"/>
      <c r="BW1060" s="98"/>
      <c r="BX1060" s="98"/>
      <c r="BY1060" s="98"/>
      <c r="BZ1060" s="98"/>
      <c r="DA1060" s="177"/>
      <c r="EH1060" s="19"/>
      <c r="EI1060" s="19"/>
      <c r="EJ1060" s="19"/>
      <c r="EK1060" s="19"/>
      <c r="EL1060" s="19"/>
      <c r="EM1060" s="98"/>
      <c r="EN1060" s="98"/>
      <c r="EO1060" s="98"/>
      <c r="EP1060" s="98"/>
      <c r="EQ1060" s="98"/>
      <c r="ER1060" s="98"/>
      <c r="ES1060" s="98"/>
      <c r="ET1060" s="98"/>
      <c r="EU1060" s="98"/>
      <c r="EV1060" s="98"/>
      <c r="EW1060" s="98"/>
      <c r="EX1060" s="98"/>
      <c r="EY1060" s="98"/>
      <c r="EZ1060" s="178"/>
    </row>
    <row r="1061" spans="60:156">
      <c r="BH1061" s="19"/>
      <c r="BI1061" s="19"/>
      <c r="BJ1061" s="19"/>
      <c r="BK1061" s="19"/>
      <c r="BL1061" s="19"/>
      <c r="BM1061" s="98"/>
      <c r="BN1061" s="98"/>
      <c r="BO1061" s="98"/>
      <c r="BP1061" s="98"/>
      <c r="BQ1061" s="98"/>
      <c r="BR1061" s="98"/>
      <c r="BS1061" s="98"/>
      <c r="BT1061" s="98"/>
      <c r="BU1061" s="98"/>
      <c r="BV1061" s="98"/>
      <c r="BW1061" s="98"/>
      <c r="BX1061" s="98"/>
      <c r="BY1061" s="98"/>
      <c r="BZ1061" s="98"/>
      <c r="DA1061" s="177"/>
      <c r="EH1061" s="19"/>
      <c r="EI1061" s="19"/>
      <c r="EJ1061" s="19"/>
      <c r="EK1061" s="19"/>
      <c r="EL1061" s="19"/>
      <c r="EM1061" s="98"/>
      <c r="EN1061" s="98"/>
      <c r="EO1061" s="98"/>
      <c r="EP1061" s="98"/>
      <c r="EQ1061" s="98"/>
      <c r="ER1061" s="98"/>
      <c r="ES1061" s="98"/>
      <c r="ET1061" s="98"/>
      <c r="EU1061" s="98"/>
      <c r="EV1061" s="98"/>
      <c r="EW1061" s="98"/>
      <c r="EX1061" s="98"/>
      <c r="EY1061" s="98"/>
      <c r="EZ1061" s="178"/>
    </row>
    <row r="1062" spans="60:156">
      <c r="BH1062" s="19"/>
      <c r="BI1062" s="19"/>
      <c r="BJ1062" s="19"/>
      <c r="BK1062" s="19"/>
      <c r="BL1062" s="19"/>
      <c r="BM1062" s="98"/>
      <c r="BN1062" s="98"/>
      <c r="BO1062" s="98"/>
      <c r="BP1062" s="98"/>
      <c r="BQ1062" s="98"/>
      <c r="BR1062" s="98"/>
      <c r="BS1062" s="98"/>
      <c r="BT1062" s="98"/>
      <c r="BU1062" s="98"/>
      <c r="BV1062" s="98"/>
      <c r="BW1062" s="98"/>
      <c r="BX1062" s="98"/>
      <c r="BY1062" s="98"/>
      <c r="BZ1062" s="98"/>
      <c r="DA1062" s="177"/>
      <c r="EH1062" s="19"/>
      <c r="EI1062" s="19"/>
      <c r="EJ1062" s="19"/>
      <c r="EK1062" s="19"/>
      <c r="EL1062" s="19"/>
      <c r="EM1062" s="98"/>
      <c r="EN1062" s="98"/>
      <c r="EO1062" s="98"/>
      <c r="EP1062" s="98"/>
      <c r="EQ1062" s="98"/>
      <c r="ER1062" s="98"/>
      <c r="ES1062" s="98"/>
      <c r="ET1062" s="98"/>
      <c r="EU1062" s="98"/>
      <c r="EV1062" s="98"/>
      <c r="EW1062" s="98"/>
      <c r="EX1062" s="98"/>
      <c r="EY1062" s="98"/>
      <c r="EZ1062" s="178"/>
    </row>
    <row r="1063" spans="60:156">
      <c r="BH1063" s="19"/>
      <c r="BI1063" s="19"/>
      <c r="BJ1063" s="19"/>
      <c r="BK1063" s="19"/>
      <c r="BL1063" s="19"/>
      <c r="BM1063" s="98"/>
      <c r="BN1063" s="98"/>
      <c r="BO1063" s="98"/>
      <c r="BP1063" s="98"/>
      <c r="BQ1063" s="98"/>
      <c r="BR1063" s="98"/>
      <c r="BS1063" s="98"/>
      <c r="BT1063" s="98"/>
      <c r="BU1063" s="98"/>
      <c r="BV1063" s="98"/>
      <c r="BW1063" s="98"/>
      <c r="BX1063" s="98"/>
      <c r="BY1063" s="98"/>
      <c r="BZ1063" s="98"/>
      <c r="DA1063" s="177"/>
      <c r="EH1063" s="19"/>
      <c r="EI1063" s="19"/>
      <c r="EJ1063" s="19"/>
      <c r="EK1063" s="19"/>
      <c r="EL1063" s="19"/>
      <c r="EM1063" s="98"/>
      <c r="EN1063" s="98"/>
      <c r="EO1063" s="98"/>
      <c r="EP1063" s="98"/>
      <c r="EQ1063" s="98"/>
      <c r="ER1063" s="98"/>
      <c r="ES1063" s="98"/>
      <c r="ET1063" s="98"/>
      <c r="EU1063" s="98"/>
      <c r="EV1063" s="98"/>
      <c r="EW1063" s="98"/>
      <c r="EX1063" s="98"/>
      <c r="EY1063" s="98"/>
      <c r="EZ1063" s="178"/>
    </row>
    <row r="1064" spans="60:156">
      <c r="BH1064" s="19"/>
      <c r="BI1064" s="19"/>
      <c r="BJ1064" s="19"/>
      <c r="BK1064" s="19"/>
      <c r="BL1064" s="19"/>
      <c r="BM1064" s="98"/>
      <c r="BN1064" s="98"/>
      <c r="BO1064" s="98"/>
      <c r="BP1064" s="98"/>
      <c r="BQ1064" s="98"/>
      <c r="BR1064" s="98"/>
      <c r="BS1064" s="98"/>
      <c r="BT1064" s="98"/>
      <c r="BU1064" s="98"/>
      <c r="BV1064" s="98"/>
      <c r="BW1064" s="98"/>
      <c r="BX1064" s="98"/>
      <c r="BY1064" s="98"/>
      <c r="BZ1064" s="98"/>
      <c r="DA1064" s="177"/>
      <c r="EH1064" s="19"/>
      <c r="EI1064" s="19"/>
      <c r="EJ1064" s="19"/>
      <c r="EK1064" s="19"/>
      <c r="EL1064" s="19"/>
      <c r="EM1064" s="98"/>
      <c r="EN1064" s="98"/>
      <c r="EO1064" s="98"/>
      <c r="EP1064" s="98"/>
      <c r="EQ1064" s="98"/>
      <c r="ER1064" s="98"/>
      <c r="ES1064" s="98"/>
      <c r="ET1064" s="98"/>
      <c r="EU1064" s="98"/>
      <c r="EV1064" s="98"/>
      <c r="EW1064" s="98"/>
      <c r="EX1064" s="98"/>
      <c r="EY1064" s="98"/>
      <c r="EZ1064" s="178"/>
    </row>
    <row r="1065" spans="60:156">
      <c r="BH1065" s="19"/>
      <c r="BI1065" s="19"/>
      <c r="BJ1065" s="19"/>
      <c r="BK1065" s="19"/>
      <c r="BL1065" s="19"/>
      <c r="BM1065" s="98"/>
      <c r="BN1065" s="98"/>
      <c r="BO1065" s="98"/>
      <c r="BP1065" s="98"/>
      <c r="BQ1065" s="98"/>
      <c r="BR1065" s="98"/>
      <c r="BS1065" s="98"/>
      <c r="BT1065" s="98"/>
      <c r="BU1065" s="98"/>
      <c r="BV1065" s="98"/>
      <c r="BW1065" s="98"/>
      <c r="BX1065" s="98"/>
      <c r="BY1065" s="98"/>
      <c r="BZ1065" s="98"/>
      <c r="DA1065" s="177"/>
      <c r="EH1065" s="19"/>
      <c r="EI1065" s="19"/>
      <c r="EJ1065" s="19"/>
      <c r="EK1065" s="19"/>
      <c r="EL1065" s="19"/>
      <c r="EM1065" s="98"/>
      <c r="EN1065" s="98"/>
      <c r="EO1065" s="98"/>
      <c r="EP1065" s="98"/>
      <c r="EQ1065" s="98"/>
      <c r="ER1065" s="98"/>
      <c r="ES1065" s="98"/>
      <c r="ET1065" s="98"/>
      <c r="EU1065" s="98"/>
      <c r="EV1065" s="98"/>
      <c r="EW1065" s="98"/>
      <c r="EX1065" s="98"/>
      <c r="EY1065" s="98"/>
      <c r="EZ1065" s="178"/>
    </row>
    <row r="1066" spans="60:156">
      <c r="BH1066" s="19"/>
      <c r="BI1066" s="19"/>
      <c r="BJ1066" s="19"/>
      <c r="BK1066" s="19"/>
      <c r="BL1066" s="19"/>
      <c r="BM1066" s="98"/>
      <c r="BN1066" s="98"/>
      <c r="BO1066" s="98"/>
      <c r="BP1066" s="98"/>
      <c r="BQ1066" s="98"/>
      <c r="BR1066" s="98"/>
      <c r="BS1066" s="98"/>
      <c r="BT1066" s="98"/>
      <c r="BU1066" s="98"/>
      <c r="BV1066" s="98"/>
      <c r="BW1066" s="98"/>
      <c r="BX1066" s="98"/>
      <c r="BY1066" s="98"/>
      <c r="BZ1066" s="98"/>
      <c r="DA1066" s="177"/>
      <c r="EH1066" s="19"/>
      <c r="EI1066" s="19"/>
      <c r="EJ1066" s="19"/>
      <c r="EK1066" s="19"/>
      <c r="EL1066" s="19"/>
      <c r="EM1066" s="98"/>
      <c r="EN1066" s="98"/>
      <c r="EO1066" s="98"/>
      <c r="EP1066" s="98"/>
      <c r="EQ1066" s="98"/>
      <c r="ER1066" s="98"/>
      <c r="ES1066" s="98"/>
      <c r="ET1066" s="98"/>
      <c r="EU1066" s="98"/>
      <c r="EV1066" s="98"/>
      <c r="EW1066" s="98"/>
      <c r="EX1066" s="98"/>
      <c r="EY1066" s="98"/>
      <c r="EZ1066" s="178"/>
    </row>
    <row r="1067" spans="60:156">
      <c r="BH1067" s="19"/>
      <c r="BI1067" s="19"/>
      <c r="BJ1067" s="19"/>
      <c r="BK1067" s="19"/>
      <c r="BL1067" s="19"/>
      <c r="BM1067" s="98"/>
      <c r="BN1067" s="98"/>
      <c r="BO1067" s="98"/>
      <c r="BP1067" s="98"/>
      <c r="BQ1067" s="98"/>
      <c r="BR1067" s="98"/>
      <c r="BS1067" s="98"/>
      <c r="BT1067" s="98"/>
      <c r="BU1067" s="98"/>
      <c r="BV1067" s="98"/>
      <c r="BW1067" s="98"/>
      <c r="BX1067" s="98"/>
      <c r="BY1067" s="98"/>
      <c r="BZ1067" s="98"/>
      <c r="DA1067" s="177"/>
      <c r="EH1067" s="19"/>
      <c r="EI1067" s="19"/>
      <c r="EJ1067" s="19"/>
      <c r="EK1067" s="19"/>
      <c r="EL1067" s="19"/>
      <c r="EM1067" s="98"/>
      <c r="EN1067" s="98"/>
      <c r="EO1067" s="98"/>
      <c r="EP1067" s="98"/>
      <c r="EQ1067" s="98"/>
      <c r="ER1067" s="98"/>
      <c r="ES1067" s="98"/>
      <c r="ET1067" s="98"/>
      <c r="EU1067" s="98"/>
      <c r="EV1067" s="98"/>
      <c r="EW1067" s="98"/>
      <c r="EX1067" s="98"/>
      <c r="EY1067" s="98"/>
      <c r="EZ1067" s="178"/>
    </row>
    <row r="1068" spans="60:156">
      <c r="BH1068" s="19"/>
      <c r="BI1068" s="19"/>
      <c r="BJ1068" s="19"/>
      <c r="BK1068" s="19"/>
      <c r="BL1068" s="19"/>
      <c r="BM1068" s="98"/>
      <c r="BN1068" s="98"/>
      <c r="BO1068" s="98"/>
      <c r="BP1068" s="98"/>
      <c r="BQ1068" s="98"/>
      <c r="BR1068" s="98"/>
      <c r="BS1068" s="98"/>
      <c r="BT1068" s="98"/>
      <c r="BU1068" s="98"/>
      <c r="BV1068" s="98"/>
      <c r="BW1068" s="98"/>
      <c r="BX1068" s="98"/>
      <c r="BY1068" s="98"/>
      <c r="BZ1068" s="98"/>
      <c r="DA1068" s="177"/>
      <c r="EH1068" s="19"/>
      <c r="EI1068" s="19"/>
      <c r="EJ1068" s="19"/>
      <c r="EK1068" s="19"/>
      <c r="EL1068" s="19"/>
      <c r="EM1068" s="98"/>
      <c r="EN1068" s="98"/>
      <c r="EO1068" s="98"/>
      <c r="EP1068" s="98"/>
      <c r="EQ1068" s="98"/>
      <c r="ER1068" s="98"/>
      <c r="ES1068" s="98"/>
      <c r="ET1068" s="98"/>
      <c r="EU1068" s="98"/>
      <c r="EV1068" s="98"/>
      <c r="EW1068" s="98"/>
      <c r="EX1068" s="98"/>
      <c r="EY1068" s="98"/>
      <c r="EZ1068" s="178"/>
    </row>
    <row r="1069" spans="60:156">
      <c r="BH1069" s="19"/>
      <c r="BI1069" s="19"/>
      <c r="BJ1069" s="19"/>
      <c r="BK1069" s="19"/>
      <c r="BL1069" s="19"/>
      <c r="BM1069" s="98"/>
      <c r="BN1069" s="98"/>
      <c r="BO1069" s="98"/>
      <c r="BP1069" s="98"/>
      <c r="BQ1069" s="98"/>
      <c r="BR1069" s="98"/>
      <c r="BS1069" s="98"/>
      <c r="BT1069" s="98"/>
      <c r="BU1069" s="98"/>
      <c r="BV1069" s="98"/>
      <c r="BW1069" s="98"/>
      <c r="BX1069" s="98"/>
      <c r="BY1069" s="98"/>
      <c r="BZ1069" s="98"/>
      <c r="DA1069" s="177"/>
      <c r="EH1069" s="19"/>
      <c r="EI1069" s="19"/>
      <c r="EJ1069" s="19"/>
      <c r="EK1069" s="19"/>
      <c r="EL1069" s="19"/>
      <c r="EM1069" s="98"/>
      <c r="EN1069" s="98"/>
      <c r="EO1069" s="98"/>
      <c r="EP1069" s="98"/>
      <c r="EQ1069" s="98"/>
      <c r="ER1069" s="98"/>
      <c r="ES1069" s="98"/>
      <c r="ET1069" s="98"/>
      <c r="EU1069" s="98"/>
      <c r="EV1069" s="98"/>
      <c r="EW1069" s="98"/>
      <c r="EX1069" s="98"/>
      <c r="EY1069" s="98"/>
      <c r="EZ1069" s="178"/>
    </row>
    <row r="1070" spans="60:156">
      <c r="BH1070" s="19"/>
      <c r="BI1070" s="19"/>
      <c r="BJ1070" s="19"/>
      <c r="BK1070" s="19"/>
      <c r="BL1070" s="19"/>
      <c r="BM1070" s="98"/>
      <c r="BN1070" s="98"/>
      <c r="BO1070" s="98"/>
      <c r="BP1070" s="98"/>
      <c r="BQ1070" s="98"/>
      <c r="BR1070" s="98"/>
      <c r="BS1070" s="98"/>
      <c r="BT1070" s="98"/>
      <c r="BU1070" s="98"/>
      <c r="BV1070" s="98"/>
      <c r="BW1070" s="98"/>
      <c r="BX1070" s="98"/>
      <c r="BY1070" s="98"/>
      <c r="BZ1070" s="98"/>
      <c r="DA1070" s="177"/>
      <c r="EH1070" s="19"/>
      <c r="EI1070" s="19"/>
      <c r="EJ1070" s="19"/>
      <c r="EK1070" s="19"/>
      <c r="EL1070" s="19"/>
      <c r="EM1070" s="98"/>
      <c r="EN1070" s="98"/>
      <c r="EO1070" s="98"/>
      <c r="EP1070" s="98"/>
      <c r="EQ1070" s="98"/>
      <c r="ER1070" s="98"/>
      <c r="ES1070" s="98"/>
      <c r="ET1070" s="98"/>
      <c r="EU1070" s="98"/>
      <c r="EV1070" s="98"/>
      <c r="EW1070" s="98"/>
      <c r="EX1070" s="98"/>
      <c r="EY1070" s="98"/>
      <c r="EZ1070" s="178"/>
    </row>
    <row r="1071" spans="60:156">
      <c r="BH1071" s="19"/>
      <c r="BI1071" s="19"/>
      <c r="BJ1071" s="19"/>
      <c r="BK1071" s="19"/>
      <c r="BL1071" s="19"/>
      <c r="BM1071" s="98"/>
      <c r="BN1071" s="98"/>
      <c r="BO1071" s="98"/>
      <c r="BP1071" s="98"/>
      <c r="BQ1071" s="98"/>
      <c r="BR1071" s="98"/>
      <c r="BS1071" s="98"/>
      <c r="BT1071" s="98"/>
      <c r="BU1071" s="98"/>
      <c r="BV1071" s="98"/>
      <c r="BW1071" s="98"/>
      <c r="BX1071" s="98"/>
      <c r="BY1071" s="98"/>
      <c r="BZ1071" s="98"/>
      <c r="DA1071" s="177"/>
      <c r="EH1071" s="19"/>
      <c r="EI1071" s="19"/>
      <c r="EJ1071" s="19"/>
      <c r="EK1071" s="19"/>
      <c r="EL1071" s="19"/>
      <c r="EM1071" s="98"/>
      <c r="EN1071" s="98"/>
      <c r="EO1071" s="98"/>
      <c r="EP1071" s="98"/>
      <c r="EQ1071" s="98"/>
      <c r="ER1071" s="98"/>
      <c r="ES1071" s="98"/>
      <c r="ET1071" s="98"/>
      <c r="EU1071" s="98"/>
      <c r="EV1071" s="98"/>
      <c r="EW1071" s="98"/>
      <c r="EX1071" s="98"/>
      <c r="EY1071" s="98"/>
      <c r="EZ1071" s="178"/>
    </row>
    <row r="1072" spans="60:156">
      <c r="BH1072" s="19"/>
      <c r="BI1072" s="19"/>
      <c r="BJ1072" s="19"/>
      <c r="BK1072" s="19"/>
      <c r="BL1072" s="19"/>
      <c r="BM1072" s="98"/>
      <c r="BN1072" s="98"/>
      <c r="BO1072" s="98"/>
      <c r="BP1072" s="98"/>
      <c r="BQ1072" s="98"/>
      <c r="BR1072" s="98"/>
      <c r="BS1072" s="98"/>
      <c r="BT1072" s="98"/>
      <c r="BU1072" s="98"/>
      <c r="BV1072" s="98"/>
      <c r="BW1072" s="98"/>
      <c r="BX1072" s="98"/>
      <c r="BY1072" s="98"/>
      <c r="BZ1072" s="98"/>
      <c r="DA1072" s="177"/>
      <c r="EH1072" s="19"/>
      <c r="EI1072" s="19"/>
      <c r="EJ1072" s="19"/>
      <c r="EK1072" s="19"/>
      <c r="EL1072" s="19"/>
      <c r="EM1072" s="98"/>
      <c r="EN1072" s="98"/>
      <c r="EO1072" s="98"/>
      <c r="EP1072" s="98"/>
      <c r="EQ1072" s="98"/>
      <c r="ER1072" s="98"/>
      <c r="ES1072" s="98"/>
      <c r="ET1072" s="98"/>
      <c r="EU1072" s="98"/>
      <c r="EV1072" s="98"/>
      <c r="EW1072" s="98"/>
      <c r="EX1072" s="98"/>
      <c r="EY1072" s="98"/>
      <c r="EZ1072" s="178"/>
    </row>
    <row r="1073" spans="60:156">
      <c r="BH1073" s="19"/>
      <c r="BI1073" s="19"/>
      <c r="BJ1073" s="19"/>
      <c r="BK1073" s="19"/>
      <c r="BL1073" s="19"/>
      <c r="BM1073" s="98"/>
      <c r="BN1073" s="98"/>
      <c r="BO1073" s="98"/>
      <c r="BP1073" s="98"/>
      <c r="BQ1073" s="98"/>
      <c r="BR1073" s="98"/>
      <c r="BS1073" s="98"/>
      <c r="BT1073" s="98"/>
      <c r="BU1073" s="98"/>
      <c r="BV1073" s="98"/>
      <c r="BW1073" s="98"/>
      <c r="BX1073" s="98"/>
      <c r="BY1073" s="98"/>
      <c r="BZ1073" s="98"/>
      <c r="DA1073" s="177"/>
      <c r="EH1073" s="19"/>
      <c r="EI1073" s="19"/>
      <c r="EJ1073" s="19"/>
      <c r="EK1073" s="19"/>
      <c r="EL1073" s="19"/>
      <c r="EM1073" s="98"/>
      <c r="EN1073" s="98"/>
      <c r="EO1073" s="98"/>
      <c r="EP1073" s="98"/>
      <c r="EQ1073" s="98"/>
      <c r="ER1073" s="98"/>
      <c r="ES1073" s="98"/>
      <c r="ET1073" s="98"/>
      <c r="EU1073" s="98"/>
      <c r="EV1073" s="98"/>
      <c r="EW1073" s="98"/>
      <c r="EX1073" s="98"/>
      <c r="EY1073" s="98"/>
      <c r="EZ1073" s="178"/>
    </row>
    <row r="1074" spans="60:156">
      <c r="BH1074" s="19"/>
      <c r="BI1074" s="19"/>
      <c r="BJ1074" s="19"/>
      <c r="BK1074" s="19"/>
      <c r="BL1074" s="19"/>
      <c r="BM1074" s="98"/>
      <c r="BN1074" s="98"/>
      <c r="BO1074" s="98"/>
      <c r="BP1074" s="98"/>
      <c r="BQ1074" s="98"/>
      <c r="BR1074" s="98"/>
      <c r="BS1074" s="98"/>
      <c r="BT1074" s="98"/>
      <c r="BU1074" s="98"/>
      <c r="BV1074" s="98"/>
      <c r="BW1074" s="98"/>
      <c r="BX1074" s="98"/>
      <c r="BY1074" s="98"/>
      <c r="BZ1074" s="98"/>
      <c r="DA1074" s="177"/>
      <c r="EH1074" s="19"/>
      <c r="EI1074" s="19"/>
      <c r="EJ1074" s="19"/>
      <c r="EK1074" s="19"/>
      <c r="EL1074" s="19"/>
      <c r="EM1074" s="98"/>
      <c r="EN1074" s="98"/>
      <c r="EO1074" s="98"/>
      <c r="EP1074" s="98"/>
      <c r="EQ1074" s="98"/>
      <c r="ER1074" s="98"/>
      <c r="ES1074" s="98"/>
      <c r="ET1074" s="98"/>
      <c r="EU1074" s="98"/>
      <c r="EV1074" s="98"/>
      <c r="EW1074" s="98"/>
      <c r="EX1074" s="98"/>
      <c r="EY1074" s="98"/>
      <c r="EZ1074" s="178"/>
    </row>
    <row r="1075" spans="60:156">
      <c r="BH1075" s="19"/>
      <c r="BI1075" s="19"/>
      <c r="BJ1075" s="19"/>
      <c r="BK1075" s="19"/>
      <c r="BL1075" s="19"/>
      <c r="BM1075" s="98"/>
      <c r="BN1075" s="98"/>
      <c r="BO1075" s="98"/>
      <c r="BP1075" s="98"/>
      <c r="BQ1075" s="98"/>
      <c r="BR1075" s="98"/>
      <c r="BS1075" s="98"/>
      <c r="BT1075" s="98"/>
      <c r="BU1075" s="98"/>
      <c r="BV1075" s="98"/>
      <c r="BW1075" s="98"/>
      <c r="BX1075" s="98"/>
      <c r="BY1075" s="98"/>
      <c r="BZ1075" s="98"/>
      <c r="DA1075" s="177"/>
      <c r="EH1075" s="19"/>
      <c r="EI1075" s="19"/>
      <c r="EJ1075" s="19"/>
      <c r="EK1075" s="19"/>
      <c r="EL1075" s="19"/>
      <c r="EM1075" s="98"/>
      <c r="EN1075" s="98"/>
      <c r="EO1075" s="98"/>
      <c r="EP1075" s="98"/>
      <c r="EQ1075" s="98"/>
      <c r="ER1075" s="98"/>
      <c r="ES1075" s="98"/>
      <c r="ET1075" s="98"/>
      <c r="EU1075" s="98"/>
      <c r="EV1075" s="98"/>
      <c r="EW1075" s="98"/>
      <c r="EX1075" s="98"/>
      <c r="EY1075" s="98"/>
      <c r="EZ1075" s="178"/>
    </row>
    <row r="1076" spans="60:156">
      <c r="BH1076" s="19"/>
      <c r="BI1076" s="19"/>
      <c r="BJ1076" s="19"/>
      <c r="BK1076" s="19"/>
      <c r="BL1076" s="19"/>
      <c r="BM1076" s="98"/>
      <c r="BN1076" s="98"/>
      <c r="BO1076" s="98"/>
      <c r="BP1076" s="98"/>
      <c r="BQ1076" s="98"/>
      <c r="BR1076" s="98"/>
      <c r="BS1076" s="98"/>
      <c r="BT1076" s="98"/>
      <c r="BU1076" s="98"/>
      <c r="BV1076" s="98"/>
      <c r="BW1076" s="98"/>
      <c r="BX1076" s="98"/>
      <c r="BY1076" s="98"/>
      <c r="BZ1076" s="98"/>
      <c r="DA1076" s="177"/>
      <c r="EH1076" s="19"/>
      <c r="EI1076" s="19"/>
      <c r="EJ1076" s="19"/>
      <c r="EK1076" s="19"/>
      <c r="EL1076" s="19"/>
      <c r="EM1076" s="98"/>
      <c r="EN1076" s="98"/>
      <c r="EO1076" s="98"/>
      <c r="EP1076" s="98"/>
      <c r="EQ1076" s="98"/>
      <c r="ER1076" s="98"/>
      <c r="ES1076" s="98"/>
      <c r="ET1076" s="98"/>
      <c r="EU1076" s="98"/>
      <c r="EV1076" s="98"/>
      <c r="EW1076" s="98"/>
      <c r="EX1076" s="98"/>
      <c r="EY1076" s="98"/>
      <c r="EZ1076" s="178"/>
    </row>
    <row r="1077" spans="60:156">
      <c r="BH1077" s="19"/>
      <c r="BI1077" s="19"/>
      <c r="BJ1077" s="19"/>
      <c r="BK1077" s="19"/>
      <c r="BL1077" s="19"/>
      <c r="BM1077" s="98"/>
      <c r="BN1077" s="98"/>
      <c r="BO1077" s="98"/>
      <c r="BP1077" s="98"/>
      <c r="BQ1077" s="98"/>
      <c r="BR1077" s="98"/>
      <c r="BS1077" s="98"/>
      <c r="BT1077" s="98"/>
      <c r="BU1077" s="98"/>
      <c r="BV1077" s="98"/>
      <c r="BW1077" s="98"/>
      <c r="BX1077" s="98"/>
      <c r="BY1077" s="98"/>
      <c r="BZ1077" s="98"/>
      <c r="DA1077" s="177"/>
      <c r="EH1077" s="19"/>
      <c r="EI1077" s="19"/>
      <c r="EJ1077" s="19"/>
      <c r="EK1077" s="19"/>
      <c r="EL1077" s="19"/>
      <c r="EM1077" s="98"/>
      <c r="EN1077" s="98"/>
      <c r="EO1077" s="98"/>
      <c r="EP1077" s="98"/>
      <c r="EQ1077" s="98"/>
      <c r="ER1077" s="98"/>
      <c r="ES1077" s="98"/>
      <c r="ET1077" s="98"/>
      <c r="EU1077" s="98"/>
      <c r="EV1077" s="98"/>
      <c r="EW1077" s="98"/>
      <c r="EX1077" s="98"/>
      <c r="EY1077" s="98"/>
      <c r="EZ1077" s="178"/>
    </row>
    <row r="1078" spans="60:156">
      <c r="BH1078" s="19"/>
      <c r="BI1078" s="19"/>
      <c r="BJ1078" s="19"/>
      <c r="BK1078" s="19"/>
      <c r="BL1078" s="19"/>
      <c r="BM1078" s="98"/>
      <c r="BN1078" s="98"/>
      <c r="BO1078" s="98"/>
      <c r="BP1078" s="98"/>
      <c r="BQ1078" s="98"/>
      <c r="BR1078" s="98"/>
      <c r="BS1078" s="98"/>
      <c r="BT1078" s="98"/>
      <c r="BU1078" s="98"/>
      <c r="BV1078" s="98"/>
      <c r="BW1078" s="98"/>
      <c r="BX1078" s="98"/>
      <c r="BY1078" s="98"/>
      <c r="BZ1078" s="98"/>
      <c r="DA1078" s="177"/>
      <c r="EH1078" s="19"/>
      <c r="EI1078" s="19"/>
      <c r="EJ1078" s="19"/>
      <c r="EK1078" s="19"/>
      <c r="EL1078" s="19"/>
      <c r="EM1078" s="98"/>
      <c r="EN1078" s="98"/>
      <c r="EO1078" s="98"/>
      <c r="EP1078" s="98"/>
      <c r="EQ1078" s="98"/>
      <c r="ER1078" s="98"/>
      <c r="ES1078" s="98"/>
      <c r="ET1078" s="98"/>
      <c r="EU1078" s="98"/>
      <c r="EV1078" s="98"/>
      <c r="EW1078" s="98"/>
      <c r="EX1078" s="98"/>
      <c r="EY1078" s="98"/>
      <c r="EZ1078" s="178"/>
    </row>
    <row r="1079" spans="60:156">
      <c r="BH1079" s="19"/>
      <c r="BI1079" s="19"/>
      <c r="BJ1079" s="19"/>
      <c r="BK1079" s="19"/>
      <c r="BL1079" s="19"/>
      <c r="BM1079" s="98"/>
      <c r="BN1079" s="98"/>
      <c r="BO1079" s="98"/>
      <c r="BP1079" s="98"/>
      <c r="BQ1079" s="98"/>
      <c r="BR1079" s="98"/>
      <c r="BS1079" s="98"/>
      <c r="BT1079" s="98"/>
      <c r="BU1079" s="98"/>
      <c r="BV1079" s="98"/>
      <c r="BW1079" s="98"/>
      <c r="BX1079" s="98"/>
      <c r="BY1079" s="98"/>
      <c r="BZ1079" s="98"/>
      <c r="DA1079" s="177"/>
      <c r="EH1079" s="19"/>
      <c r="EI1079" s="19"/>
      <c r="EJ1079" s="19"/>
      <c r="EK1079" s="19"/>
      <c r="EL1079" s="19"/>
      <c r="EM1079" s="98"/>
      <c r="EN1079" s="98"/>
      <c r="EO1079" s="98"/>
      <c r="EP1079" s="98"/>
      <c r="EQ1079" s="98"/>
      <c r="ER1079" s="98"/>
      <c r="ES1079" s="98"/>
      <c r="ET1079" s="98"/>
      <c r="EU1079" s="98"/>
      <c r="EV1079" s="98"/>
      <c r="EW1079" s="98"/>
      <c r="EX1079" s="98"/>
      <c r="EY1079" s="98"/>
      <c r="EZ1079" s="178"/>
    </row>
    <row r="1080" spans="60:156">
      <c r="BH1080" s="19"/>
      <c r="BI1080" s="19"/>
      <c r="BJ1080" s="19"/>
      <c r="BK1080" s="19"/>
      <c r="BL1080" s="19"/>
      <c r="BM1080" s="98"/>
      <c r="BN1080" s="98"/>
      <c r="BO1080" s="98"/>
      <c r="BP1080" s="98"/>
      <c r="BQ1080" s="98"/>
      <c r="BR1080" s="98"/>
      <c r="BS1080" s="98"/>
      <c r="BT1080" s="98"/>
      <c r="BU1080" s="98"/>
      <c r="BV1080" s="98"/>
      <c r="BW1080" s="98"/>
      <c r="BX1080" s="98"/>
      <c r="BY1080" s="98"/>
      <c r="BZ1080" s="98"/>
      <c r="DA1080" s="177"/>
      <c r="EH1080" s="19"/>
      <c r="EI1080" s="19"/>
      <c r="EJ1080" s="19"/>
      <c r="EK1080" s="19"/>
      <c r="EL1080" s="19"/>
      <c r="EM1080" s="98"/>
      <c r="EN1080" s="98"/>
      <c r="EO1080" s="98"/>
      <c r="EP1080" s="98"/>
      <c r="EQ1080" s="98"/>
      <c r="ER1080" s="98"/>
      <c r="ES1080" s="98"/>
      <c r="ET1080" s="98"/>
      <c r="EU1080" s="98"/>
      <c r="EV1080" s="98"/>
      <c r="EW1080" s="98"/>
      <c r="EX1080" s="98"/>
      <c r="EY1080" s="98"/>
      <c r="EZ1080" s="178"/>
    </row>
    <row r="1081" spans="60:156">
      <c r="BH1081" s="19"/>
      <c r="BI1081" s="19"/>
      <c r="BJ1081" s="19"/>
      <c r="BK1081" s="19"/>
      <c r="BL1081" s="19"/>
      <c r="BM1081" s="98"/>
      <c r="BN1081" s="98"/>
      <c r="BO1081" s="98"/>
      <c r="BP1081" s="98"/>
      <c r="BQ1081" s="98"/>
      <c r="BR1081" s="98"/>
      <c r="BS1081" s="98"/>
      <c r="BT1081" s="98"/>
      <c r="BU1081" s="98"/>
      <c r="BV1081" s="98"/>
      <c r="BW1081" s="98"/>
      <c r="BX1081" s="98"/>
      <c r="BY1081" s="98"/>
      <c r="BZ1081" s="98"/>
      <c r="DA1081" s="177"/>
      <c r="EH1081" s="19"/>
      <c r="EI1081" s="19"/>
      <c r="EJ1081" s="19"/>
      <c r="EK1081" s="19"/>
      <c r="EL1081" s="19"/>
      <c r="EM1081" s="98"/>
      <c r="EN1081" s="98"/>
      <c r="EO1081" s="98"/>
      <c r="EP1081" s="98"/>
      <c r="EQ1081" s="98"/>
      <c r="ER1081" s="98"/>
      <c r="ES1081" s="98"/>
      <c r="ET1081" s="98"/>
      <c r="EU1081" s="98"/>
      <c r="EV1081" s="98"/>
      <c r="EW1081" s="98"/>
      <c r="EX1081" s="98"/>
      <c r="EY1081" s="98"/>
      <c r="EZ1081" s="178"/>
    </row>
    <row r="1082" spans="60:156">
      <c r="BH1082" s="19"/>
      <c r="BI1082" s="19"/>
      <c r="BJ1082" s="19"/>
      <c r="BK1082" s="19"/>
      <c r="BL1082" s="19"/>
      <c r="BM1082" s="98"/>
      <c r="BN1082" s="98"/>
      <c r="BO1082" s="98"/>
      <c r="BP1082" s="98"/>
      <c r="BQ1082" s="98"/>
      <c r="BR1082" s="98"/>
      <c r="BS1082" s="98"/>
      <c r="BT1082" s="98"/>
      <c r="BU1082" s="98"/>
      <c r="BV1082" s="98"/>
      <c r="BW1082" s="98"/>
      <c r="BX1082" s="98"/>
      <c r="BY1082" s="98"/>
      <c r="BZ1082" s="98"/>
      <c r="DA1082" s="177"/>
      <c r="EH1082" s="19"/>
      <c r="EI1082" s="19"/>
      <c r="EJ1082" s="19"/>
      <c r="EK1082" s="19"/>
      <c r="EL1082" s="19"/>
      <c r="EM1082" s="98"/>
      <c r="EN1082" s="98"/>
      <c r="EO1082" s="98"/>
      <c r="EP1082" s="98"/>
      <c r="EQ1082" s="98"/>
      <c r="ER1082" s="98"/>
      <c r="ES1082" s="98"/>
      <c r="ET1082" s="98"/>
      <c r="EU1082" s="98"/>
      <c r="EV1082" s="98"/>
      <c r="EW1082" s="98"/>
      <c r="EX1082" s="98"/>
      <c r="EY1082" s="98"/>
      <c r="EZ1082" s="178"/>
    </row>
    <row r="1083" spans="60:156">
      <c r="BH1083" s="19"/>
      <c r="BI1083" s="19"/>
      <c r="BJ1083" s="19"/>
      <c r="BK1083" s="19"/>
      <c r="BL1083" s="19"/>
      <c r="BM1083" s="98"/>
      <c r="BN1083" s="98"/>
      <c r="BO1083" s="98"/>
      <c r="BP1083" s="98"/>
      <c r="BQ1083" s="98"/>
      <c r="BR1083" s="98"/>
      <c r="BS1083" s="98"/>
      <c r="BT1083" s="98"/>
      <c r="BU1083" s="98"/>
      <c r="BV1083" s="98"/>
      <c r="BW1083" s="98"/>
      <c r="BX1083" s="98"/>
      <c r="BY1083" s="98"/>
      <c r="BZ1083" s="98"/>
      <c r="DA1083" s="177"/>
      <c r="EH1083" s="19"/>
      <c r="EI1083" s="19"/>
      <c r="EJ1083" s="19"/>
      <c r="EK1083" s="19"/>
      <c r="EL1083" s="19"/>
      <c r="EM1083" s="98"/>
      <c r="EN1083" s="98"/>
      <c r="EO1083" s="98"/>
      <c r="EP1083" s="98"/>
      <c r="EQ1083" s="98"/>
      <c r="ER1083" s="98"/>
      <c r="ES1083" s="98"/>
      <c r="ET1083" s="98"/>
      <c r="EU1083" s="98"/>
      <c r="EV1083" s="98"/>
      <c r="EW1083" s="98"/>
      <c r="EX1083" s="98"/>
      <c r="EY1083" s="98"/>
      <c r="EZ1083" s="178"/>
    </row>
    <row r="1084" spans="60:156">
      <c r="BH1084" s="19"/>
      <c r="BI1084" s="19"/>
      <c r="BJ1084" s="19"/>
      <c r="BK1084" s="19"/>
      <c r="BL1084" s="19"/>
      <c r="BM1084" s="98"/>
      <c r="BN1084" s="98"/>
      <c r="BO1084" s="98"/>
      <c r="BP1084" s="98"/>
      <c r="BQ1084" s="98"/>
      <c r="BR1084" s="98"/>
      <c r="BS1084" s="98"/>
      <c r="BT1084" s="98"/>
      <c r="BU1084" s="98"/>
      <c r="BV1084" s="98"/>
      <c r="BW1084" s="98"/>
      <c r="BX1084" s="98"/>
      <c r="BY1084" s="98"/>
      <c r="BZ1084" s="98"/>
      <c r="DA1084" s="177"/>
      <c r="EH1084" s="19"/>
      <c r="EI1084" s="19"/>
      <c r="EJ1084" s="19"/>
      <c r="EK1084" s="19"/>
      <c r="EL1084" s="19"/>
      <c r="EM1084" s="98"/>
      <c r="EN1084" s="98"/>
      <c r="EO1084" s="98"/>
      <c r="EP1084" s="98"/>
      <c r="EQ1084" s="98"/>
      <c r="ER1084" s="98"/>
      <c r="ES1084" s="98"/>
      <c r="ET1084" s="98"/>
      <c r="EU1084" s="98"/>
      <c r="EV1084" s="98"/>
      <c r="EW1084" s="98"/>
      <c r="EX1084" s="98"/>
      <c r="EY1084" s="98"/>
      <c r="EZ1084" s="178"/>
    </row>
    <row r="1085" spans="60:156">
      <c r="BH1085" s="19"/>
      <c r="BI1085" s="19"/>
      <c r="BJ1085" s="19"/>
      <c r="BK1085" s="19"/>
      <c r="BL1085" s="19"/>
      <c r="BM1085" s="98"/>
      <c r="BN1085" s="98"/>
      <c r="BO1085" s="98"/>
      <c r="BP1085" s="98"/>
      <c r="BQ1085" s="98"/>
      <c r="BR1085" s="98"/>
      <c r="BS1085" s="98"/>
      <c r="BT1085" s="98"/>
      <c r="BU1085" s="98"/>
      <c r="BV1085" s="98"/>
      <c r="BW1085" s="98"/>
      <c r="BX1085" s="98"/>
      <c r="BY1085" s="98"/>
      <c r="BZ1085" s="98"/>
      <c r="DA1085" s="177"/>
      <c r="EH1085" s="19"/>
      <c r="EI1085" s="19"/>
      <c r="EJ1085" s="19"/>
      <c r="EK1085" s="19"/>
      <c r="EL1085" s="19"/>
      <c r="EM1085" s="98"/>
      <c r="EN1085" s="98"/>
      <c r="EO1085" s="98"/>
      <c r="EP1085" s="98"/>
      <c r="EQ1085" s="98"/>
      <c r="ER1085" s="98"/>
      <c r="ES1085" s="98"/>
      <c r="ET1085" s="98"/>
      <c r="EU1085" s="98"/>
      <c r="EV1085" s="98"/>
      <c r="EW1085" s="98"/>
      <c r="EX1085" s="98"/>
      <c r="EY1085" s="98"/>
      <c r="EZ1085" s="178"/>
    </row>
    <row r="1086" spans="60:156">
      <c r="BH1086" s="19"/>
      <c r="BI1086" s="19"/>
      <c r="BJ1086" s="19"/>
      <c r="BK1086" s="19"/>
      <c r="BL1086" s="19"/>
      <c r="BM1086" s="98"/>
      <c r="BN1086" s="98"/>
      <c r="BO1086" s="98"/>
      <c r="BP1086" s="98"/>
      <c r="BQ1086" s="98"/>
      <c r="BR1086" s="98"/>
      <c r="BS1086" s="98"/>
      <c r="BT1086" s="98"/>
      <c r="BU1086" s="98"/>
      <c r="BV1086" s="98"/>
      <c r="BW1086" s="98"/>
      <c r="BX1086" s="98"/>
      <c r="BY1086" s="98"/>
      <c r="BZ1086" s="98"/>
      <c r="DA1086" s="177"/>
      <c r="EH1086" s="19"/>
      <c r="EI1086" s="19"/>
      <c r="EJ1086" s="19"/>
      <c r="EK1086" s="19"/>
      <c r="EL1086" s="19"/>
      <c r="EM1086" s="98"/>
      <c r="EN1086" s="98"/>
      <c r="EO1086" s="98"/>
      <c r="EP1086" s="98"/>
      <c r="EQ1086" s="98"/>
      <c r="ER1086" s="98"/>
      <c r="ES1086" s="98"/>
      <c r="ET1086" s="98"/>
      <c r="EU1086" s="98"/>
      <c r="EV1086" s="98"/>
      <c r="EW1086" s="98"/>
      <c r="EX1086" s="98"/>
      <c r="EY1086" s="98"/>
      <c r="EZ1086" s="178"/>
    </row>
    <row r="1087" spans="60:156">
      <c r="BH1087" s="19"/>
      <c r="BI1087" s="19"/>
      <c r="BJ1087" s="19"/>
      <c r="BK1087" s="19"/>
      <c r="BL1087" s="19"/>
      <c r="BM1087" s="98"/>
      <c r="BN1087" s="98"/>
      <c r="BO1087" s="98"/>
      <c r="BP1087" s="98"/>
      <c r="BQ1087" s="98"/>
      <c r="BR1087" s="98"/>
      <c r="BS1087" s="98"/>
      <c r="BT1087" s="98"/>
      <c r="BU1087" s="98"/>
      <c r="BV1087" s="98"/>
      <c r="BW1087" s="98"/>
      <c r="BX1087" s="98"/>
      <c r="BY1087" s="98"/>
      <c r="BZ1087" s="98"/>
      <c r="DA1087" s="177"/>
      <c r="EH1087" s="19"/>
      <c r="EI1087" s="19"/>
      <c r="EJ1087" s="19"/>
      <c r="EK1087" s="19"/>
      <c r="EL1087" s="19"/>
      <c r="EM1087" s="98"/>
      <c r="EN1087" s="98"/>
      <c r="EO1087" s="98"/>
      <c r="EP1087" s="98"/>
      <c r="EQ1087" s="98"/>
      <c r="ER1087" s="98"/>
      <c r="ES1087" s="98"/>
      <c r="ET1087" s="98"/>
      <c r="EU1087" s="98"/>
      <c r="EV1087" s="98"/>
      <c r="EW1087" s="98"/>
      <c r="EX1087" s="98"/>
      <c r="EY1087" s="98"/>
      <c r="EZ1087" s="178"/>
    </row>
    <row r="1088" spans="60:156">
      <c r="BH1088" s="19"/>
      <c r="BI1088" s="19"/>
      <c r="BJ1088" s="19"/>
      <c r="BK1088" s="19"/>
      <c r="BL1088" s="19"/>
      <c r="BM1088" s="98"/>
      <c r="BN1088" s="98"/>
      <c r="BO1088" s="98"/>
      <c r="BP1088" s="98"/>
      <c r="BQ1088" s="98"/>
      <c r="BR1088" s="98"/>
      <c r="BS1088" s="98"/>
      <c r="BT1088" s="98"/>
      <c r="BU1088" s="98"/>
      <c r="BV1088" s="98"/>
      <c r="BW1088" s="98"/>
      <c r="BX1088" s="98"/>
      <c r="BY1088" s="98"/>
      <c r="BZ1088" s="98"/>
      <c r="DA1088" s="177"/>
      <c r="EH1088" s="19"/>
      <c r="EI1088" s="19"/>
      <c r="EJ1088" s="19"/>
      <c r="EK1088" s="19"/>
      <c r="EL1088" s="19"/>
      <c r="EM1088" s="98"/>
      <c r="EN1088" s="98"/>
      <c r="EO1088" s="98"/>
      <c r="EP1088" s="98"/>
      <c r="EQ1088" s="98"/>
      <c r="ER1088" s="98"/>
      <c r="ES1088" s="98"/>
      <c r="ET1088" s="98"/>
      <c r="EU1088" s="98"/>
      <c r="EV1088" s="98"/>
      <c r="EW1088" s="98"/>
      <c r="EX1088" s="98"/>
      <c r="EY1088" s="98"/>
      <c r="EZ1088" s="178"/>
    </row>
    <row r="1089" spans="60:156">
      <c r="BH1089" s="19"/>
      <c r="BI1089" s="19"/>
      <c r="BJ1089" s="19"/>
      <c r="BK1089" s="19"/>
      <c r="BL1089" s="19"/>
      <c r="BM1089" s="98"/>
      <c r="BN1089" s="98"/>
      <c r="BO1089" s="98"/>
      <c r="BP1089" s="98"/>
      <c r="BQ1089" s="98"/>
      <c r="BR1089" s="98"/>
      <c r="BS1089" s="98"/>
      <c r="BT1089" s="98"/>
      <c r="BU1089" s="98"/>
      <c r="BV1089" s="98"/>
      <c r="BW1089" s="98"/>
      <c r="BX1089" s="98"/>
      <c r="BY1089" s="98"/>
      <c r="BZ1089" s="98"/>
      <c r="DA1089" s="177"/>
      <c r="EH1089" s="19"/>
      <c r="EI1089" s="19"/>
      <c r="EJ1089" s="19"/>
      <c r="EK1089" s="19"/>
      <c r="EL1089" s="19"/>
      <c r="EM1089" s="98"/>
      <c r="EN1089" s="98"/>
      <c r="EO1089" s="98"/>
      <c r="EP1089" s="98"/>
      <c r="EQ1089" s="98"/>
      <c r="ER1089" s="98"/>
      <c r="ES1089" s="98"/>
      <c r="ET1089" s="98"/>
      <c r="EU1089" s="98"/>
      <c r="EV1089" s="98"/>
      <c r="EW1089" s="98"/>
      <c r="EX1089" s="98"/>
      <c r="EY1089" s="98"/>
      <c r="EZ1089" s="178"/>
    </row>
    <row r="1090" spans="60:156">
      <c r="BH1090" s="19"/>
      <c r="BI1090" s="19"/>
      <c r="BJ1090" s="19"/>
      <c r="BK1090" s="19"/>
      <c r="BL1090" s="19"/>
      <c r="BM1090" s="98"/>
      <c r="BN1090" s="98"/>
      <c r="BO1090" s="98"/>
      <c r="BP1090" s="98"/>
      <c r="BQ1090" s="98"/>
      <c r="BR1090" s="98"/>
      <c r="BS1090" s="98"/>
      <c r="BT1090" s="98"/>
      <c r="BU1090" s="98"/>
      <c r="BV1090" s="98"/>
      <c r="BW1090" s="98"/>
      <c r="BX1090" s="98"/>
      <c r="BY1090" s="98"/>
      <c r="BZ1090" s="98"/>
      <c r="DA1090" s="177"/>
      <c r="EH1090" s="19"/>
      <c r="EI1090" s="19"/>
      <c r="EJ1090" s="19"/>
      <c r="EK1090" s="19"/>
      <c r="EL1090" s="19"/>
      <c r="EM1090" s="98"/>
      <c r="EN1090" s="98"/>
      <c r="EO1090" s="98"/>
      <c r="EP1090" s="98"/>
      <c r="EQ1090" s="98"/>
      <c r="ER1090" s="98"/>
      <c r="ES1090" s="98"/>
      <c r="ET1090" s="98"/>
      <c r="EU1090" s="98"/>
      <c r="EV1090" s="98"/>
      <c r="EW1090" s="98"/>
      <c r="EX1090" s="98"/>
      <c r="EY1090" s="98"/>
      <c r="EZ1090" s="178"/>
    </row>
    <row r="1091" spans="60:156">
      <c r="BH1091" s="19"/>
      <c r="BI1091" s="19"/>
      <c r="BJ1091" s="19"/>
      <c r="BK1091" s="19"/>
      <c r="BL1091" s="19"/>
      <c r="BM1091" s="98"/>
      <c r="BN1091" s="98"/>
      <c r="BO1091" s="98"/>
      <c r="BP1091" s="98"/>
      <c r="BQ1091" s="98"/>
      <c r="BR1091" s="98"/>
      <c r="BS1091" s="98"/>
      <c r="BT1091" s="98"/>
      <c r="BU1091" s="98"/>
      <c r="BV1091" s="98"/>
      <c r="BW1091" s="98"/>
      <c r="BX1091" s="98"/>
      <c r="BY1091" s="98"/>
      <c r="BZ1091" s="98"/>
      <c r="DA1091" s="177"/>
      <c r="EH1091" s="19"/>
      <c r="EI1091" s="19"/>
      <c r="EJ1091" s="19"/>
      <c r="EK1091" s="19"/>
      <c r="EL1091" s="19"/>
      <c r="EM1091" s="98"/>
      <c r="EN1091" s="98"/>
      <c r="EO1091" s="98"/>
      <c r="EP1091" s="98"/>
      <c r="EQ1091" s="98"/>
      <c r="ER1091" s="98"/>
      <c r="ES1091" s="98"/>
      <c r="ET1091" s="98"/>
      <c r="EU1091" s="98"/>
      <c r="EV1091" s="98"/>
      <c r="EW1091" s="98"/>
      <c r="EX1091" s="98"/>
      <c r="EY1091" s="98"/>
      <c r="EZ1091" s="178"/>
    </row>
    <row r="1092" spans="60:156">
      <c r="BH1092" s="19"/>
      <c r="BI1092" s="19"/>
      <c r="BJ1092" s="19"/>
      <c r="BK1092" s="19"/>
      <c r="BL1092" s="19"/>
      <c r="BM1092" s="98"/>
      <c r="BN1092" s="98"/>
      <c r="BO1092" s="98"/>
      <c r="BP1092" s="98"/>
      <c r="BQ1092" s="98"/>
      <c r="BR1092" s="98"/>
      <c r="BS1092" s="98"/>
      <c r="BT1092" s="98"/>
      <c r="BU1092" s="98"/>
      <c r="BV1092" s="98"/>
      <c r="BW1092" s="98"/>
      <c r="BX1092" s="98"/>
      <c r="BY1092" s="98"/>
      <c r="BZ1092" s="98"/>
      <c r="DA1092" s="177"/>
      <c r="EH1092" s="19"/>
      <c r="EI1092" s="19"/>
      <c r="EJ1092" s="19"/>
      <c r="EK1092" s="19"/>
      <c r="EL1092" s="19"/>
      <c r="EM1092" s="98"/>
      <c r="EN1092" s="98"/>
      <c r="EO1092" s="98"/>
      <c r="EP1092" s="98"/>
      <c r="EQ1092" s="98"/>
      <c r="ER1092" s="98"/>
      <c r="ES1092" s="98"/>
      <c r="ET1092" s="98"/>
      <c r="EU1092" s="98"/>
      <c r="EV1092" s="98"/>
      <c r="EW1092" s="98"/>
      <c r="EX1092" s="98"/>
      <c r="EY1092" s="98"/>
      <c r="EZ1092" s="178"/>
    </row>
    <row r="1093" spans="60:156">
      <c r="BH1093" s="19"/>
      <c r="BI1093" s="19"/>
      <c r="BJ1093" s="19"/>
      <c r="BK1093" s="19"/>
      <c r="BL1093" s="19"/>
      <c r="BM1093" s="98"/>
      <c r="BN1093" s="98"/>
      <c r="BO1093" s="98"/>
      <c r="BP1093" s="98"/>
      <c r="BQ1093" s="98"/>
      <c r="BR1093" s="98"/>
      <c r="BS1093" s="98"/>
      <c r="BT1093" s="98"/>
      <c r="BU1093" s="98"/>
      <c r="BV1093" s="98"/>
      <c r="BW1093" s="98"/>
      <c r="BX1093" s="98"/>
      <c r="BY1093" s="98"/>
      <c r="BZ1093" s="98"/>
      <c r="DA1093" s="177"/>
      <c r="EH1093" s="19"/>
      <c r="EI1093" s="19"/>
      <c r="EJ1093" s="19"/>
      <c r="EK1093" s="19"/>
      <c r="EL1093" s="19"/>
      <c r="EM1093" s="98"/>
      <c r="EN1093" s="98"/>
      <c r="EO1093" s="98"/>
      <c r="EP1093" s="98"/>
      <c r="EQ1093" s="98"/>
      <c r="ER1093" s="98"/>
      <c r="ES1093" s="98"/>
      <c r="ET1093" s="98"/>
      <c r="EU1093" s="98"/>
      <c r="EV1093" s="98"/>
      <c r="EW1093" s="98"/>
      <c r="EX1093" s="98"/>
      <c r="EY1093" s="98"/>
      <c r="EZ1093" s="178"/>
    </row>
    <row r="1094" spans="60:156">
      <c r="BH1094" s="19"/>
      <c r="BI1094" s="19"/>
      <c r="BJ1094" s="19"/>
      <c r="BK1094" s="19"/>
      <c r="BL1094" s="19"/>
      <c r="BM1094" s="98"/>
      <c r="BN1094" s="98"/>
      <c r="BO1094" s="98"/>
      <c r="BP1094" s="98"/>
      <c r="BQ1094" s="98"/>
      <c r="BR1094" s="98"/>
      <c r="BS1094" s="98"/>
      <c r="BT1094" s="98"/>
      <c r="BU1094" s="98"/>
      <c r="BV1094" s="98"/>
      <c r="BW1094" s="98"/>
      <c r="BX1094" s="98"/>
      <c r="BY1094" s="98"/>
      <c r="BZ1094" s="98"/>
      <c r="DA1094" s="177"/>
      <c r="EH1094" s="19"/>
      <c r="EI1094" s="19"/>
      <c r="EJ1094" s="19"/>
      <c r="EK1094" s="19"/>
      <c r="EL1094" s="19"/>
      <c r="EM1094" s="98"/>
      <c r="EN1094" s="98"/>
      <c r="EO1094" s="98"/>
      <c r="EP1094" s="98"/>
      <c r="EQ1094" s="98"/>
      <c r="ER1094" s="98"/>
      <c r="ES1094" s="98"/>
      <c r="ET1094" s="98"/>
      <c r="EU1094" s="98"/>
      <c r="EV1094" s="98"/>
      <c r="EW1094" s="98"/>
      <c r="EX1094" s="98"/>
      <c r="EY1094" s="98"/>
      <c r="EZ1094" s="178"/>
    </row>
    <row r="1095" spans="60:156">
      <c r="BH1095" s="19"/>
      <c r="BI1095" s="19"/>
      <c r="BJ1095" s="19"/>
      <c r="BK1095" s="19"/>
      <c r="BL1095" s="19"/>
      <c r="BM1095" s="98"/>
      <c r="BN1095" s="98"/>
      <c r="BO1095" s="98"/>
      <c r="BP1095" s="98"/>
      <c r="BQ1095" s="98"/>
      <c r="BR1095" s="98"/>
      <c r="BS1095" s="98"/>
      <c r="BT1095" s="98"/>
      <c r="BU1095" s="98"/>
      <c r="BV1095" s="98"/>
      <c r="BW1095" s="98"/>
      <c r="BX1095" s="98"/>
      <c r="BY1095" s="98"/>
      <c r="BZ1095" s="98"/>
      <c r="DA1095" s="177"/>
      <c r="EH1095" s="19"/>
      <c r="EI1095" s="19"/>
      <c r="EJ1095" s="19"/>
      <c r="EK1095" s="19"/>
      <c r="EL1095" s="19"/>
      <c r="EM1095" s="98"/>
      <c r="EN1095" s="98"/>
      <c r="EO1095" s="98"/>
      <c r="EP1095" s="98"/>
      <c r="EQ1095" s="98"/>
      <c r="ER1095" s="98"/>
      <c r="ES1095" s="98"/>
      <c r="ET1095" s="98"/>
      <c r="EU1095" s="98"/>
      <c r="EV1095" s="98"/>
      <c r="EW1095" s="98"/>
      <c r="EX1095" s="98"/>
      <c r="EY1095" s="98"/>
      <c r="EZ1095" s="178"/>
    </row>
    <row r="1096" spans="60:156">
      <c r="BH1096" s="19"/>
      <c r="BI1096" s="19"/>
      <c r="BJ1096" s="19"/>
      <c r="BK1096" s="19"/>
      <c r="BL1096" s="19"/>
      <c r="BM1096" s="98"/>
      <c r="BN1096" s="98"/>
      <c r="BO1096" s="98"/>
      <c r="BP1096" s="98"/>
      <c r="BQ1096" s="98"/>
      <c r="BR1096" s="98"/>
      <c r="BS1096" s="98"/>
      <c r="BT1096" s="98"/>
      <c r="BU1096" s="98"/>
      <c r="BV1096" s="98"/>
      <c r="BW1096" s="98"/>
      <c r="BX1096" s="98"/>
      <c r="BY1096" s="98"/>
      <c r="BZ1096" s="98"/>
      <c r="DA1096" s="177"/>
      <c r="EH1096" s="19"/>
      <c r="EI1096" s="19"/>
      <c r="EJ1096" s="19"/>
      <c r="EK1096" s="19"/>
      <c r="EL1096" s="19"/>
      <c r="EM1096" s="98"/>
      <c r="EN1096" s="98"/>
      <c r="EO1096" s="98"/>
      <c r="EP1096" s="98"/>
      <c r="EQ1096" s="98"/>
      <c r="ER1096" s="98"/>
      <c r="ES1096" s="98"/>
      <c r="ET1096" s="98"/>
      <c r="EU1096" s="98"/>
      <c r="EV1096" s="98"/>
      <c r="EW1096" s="98"/>
      <c r="EX1096" s="98"/>
      <c r="EY1096" s="98"/>
      <c r="EZ1096" s="178"/>
    </row>
    <row r="1097" spans="60:156">
      <c r="BH1097" s="19"/>
      <c r="BI1097" s="19"/>
      <c r="BJ1097" s="19"/>
      <c r="BK1097" s="19"/>
      <c r="BL1097" s="19"/>
      <c r="BM1097" s="98"/>
      <c r="BN1097" s="98"/>
      <c r="BO1097" s="98"/>
      <c r="BP1097" s="98"/>
      <c r="BQ1097" s="98"/>
      <c r="BR1097" s="98"/>
      <c r="BS1097" s="98"/>
      <c r="BT1097" s="98"/>
      <c r="BU1097" s="98"/>
      <c r="BV1097" s="98"/>
      <c r="BW1097" s="98"/>
      <c r="BX1097" s="98"/>
      <c r="BY1097" s="98"/>
      <c r="BZ1097" s="98"/>
      <c r="DA1097" s="177"/>
      <c r="EH1097" s="19"/>
      <c r="EI1097" s="19"/>
      <c r="EJ1097" s="19"/>
      <c r="EK1097" s="19"/>
      <c r="EL1097" s="19"/>
      <c r="EM1097" s="98"/>
      <c r="EN1097" s="98"/>
      <c r="EO1097" s="98"/>
      <c r="EP1097" s="98"/>
      <c r="EQ1097" s="98"/>
      <c r="ER1097" s="98"/>
      <c r="ES1097" s="98"/>
      <c r="ET1097" s="98"/>
      <c r="EU1097" s="98"/>
      <c r="EV1097" s="98"/>
      <c r="EW1097" s="98"/>
      <c r="EX1097" s="98"/>
      <c r="EY1097" s="98"/>
      <c r="EZ1097" s="178"/>
    </row>
    <row r="1098" spans="60:156">
      <c r="BH1098" s="19"/>
      <c r="BI1098" s="19"/>
      <c r="BJ1098" s="19"/>
      <c r="BK1098" s="19"/>
      <c r="BL1098" s="19"/>
      <c r="BM1098" s="98"/>
      <c r="BN1098" s="98"/>
      <c r="BO1098" s="98"/>
      <c r="BP1098" s="98"/>
      <c r="BQ1098" s="98"/>
      <c r="BR1098" s="98"/>
      <c r="BS1098" s="98"/>
      <c r="BT1098" s="98"/>
      <c r="BU1098" s="98"/>
      <c r="BV1098" s="98"/>
      <c r="BW1098" s="98"/>
      <c r="BX1098" s="98"/>
      <c r="BY1098" s="98"/>
      <c r="BZ1098" s="98"/>
      <c r="DA1098" s="177"/>
      <c r="EH1098" s="19"/>
      <c r="EI1098" s="19"/>
      <c r="EJ1098" s="19"/>
      <c r="EK1098" s="19"/>
      <c r="EL1098" s="19"/>
      <c r="EM1098" s="98"/>
      <c r="EN1098" s="98"/>
      <c r="EO1098" s="98"/>
      <c r="EP1098" s="98"/>
      <c r="EQ1098" s="98"/>
      <c r="ER1098" s="98"/>
      <c r="ES1098" s="98"/>
      <c r="ET1098" s="98"/>
      <c r="EU1098" s="98"/>
      <c r="EV1098" s="98"/>
      <c r="EW1098" s="98"/>
      <c r="EX1098" s="98"/>
      <c r="EY1098" s="98"/>
      <c r="EZ1098" s="178"/>
    </row>
    <row r="1099" spans="60:156">
      <c r="BH1099" s="19"/>
      <c r="BI1099" s="19"/>
      <c r="BJ1099" s="19"/>
      <c r="BK1099" s="19"/>
      <c r="BL1099" s="19"/>
      <c r="BM1099" s="98"/>
      <c r="BN1099" s="98"/>
      <c r="BO1099" s="98"/>
      <c r="BP1099" s="98"/>
      <c r="BQ1099" s="98"/>
      <c r="BR1099" s="98"/>
      <c r="BS1099" s="98"/>
      <c r="BT1099" s="98"/>
      <c r="BU1099" s="98"/>
      <c r="BV1099" s="98"/>
      <c r="BW1099" s="98"/>
      <c r="BX1099" s="98"/>
      <c r="BY1099" s="98"/>
      <c r="BZ1099" s="98"/>
      <c r="DA1099" s="177"/>
      <c r="EH1099" s="19"/>
      <c r="EI1099" s="19"/>
      <c r="EJ1099" s="19"/>
      <c r="EK1099" s="19"/>
      <c r="EL1099" s="19"/>
      <c r="EM1099" s="98"/>
      <c r="EN1099" s="98"/>
      <c r="EO1099" s="98"/>
      <c r="EP1099" s="98"/>
      <c r="EQ1099" s="98"/>
      <c r="ER1099" s="98"/>
      <c r="ES1099" s="98"/>
      <c r="ET1099" s="98"/>
      <c r="EU1099" s="98"/>
      <c r="EV1099" s="98"/>
      <c r="EW1099" s="98"/>
      <c r="EX1099" s="98"/>
      <c r="EY1099" s="98"/>
      <c r="EZ1099" s="178"/>
    </row>
    <row r="1100" spans="60:156">
      <c r="BH1100" s="19"/>
      <c r="BI1100" s="19"/>
      <c r="BJ1100" s="19"/>
      <c r="BK1100" s="19"/>
      <c r="BL1100" s="19"/>
      <c r="BM1100" s="98"/>
      <c r="BN1100" s="98"/>
      <c r="BO1100" s="98"/>
      <c r="BP1100" s="98"/>
      <c r="BQ1100" s="98"/>
      <c r="BR1100" s="98"/>
      <c r="BS1100" s="98"/>
      <c r="BT1100" s="98"/>
      <c r="BU1100" s="98"/>
      <c r="BV1100" s="98"/>
      <c r="BW1100" s="98"/>
      <c r="BX1100" s="98"/>
      <c r="BY1100" s="98"/>
      <c r="BZ1100" s="98"/>
      <c r="DA1100" s="177"/>
      <c r="EH1100" s="19"/>
      <c r="EI1100" s="19"/>
      <c r="EJ1100" s="19"/>
      <c r="EK1100" s="19"/>
      <c r="EL1100" s="19"/>
      <c r="EM1100" s="98"/>
      <c r="EN1100" s="98"/>
      <c r="EO1100" s="98"/>
      <c r="EP1100" s="98"/>
      <c r="EQ1100" s="98"/>
      <c r="ER1100" s="98"/>
      <c r="ES1100" s="98"/>
      <c r="ET1100" s="98"/>
      <c r="EU1100" s="98"/>
      <c r="EV1100" s="98"/>
      <c r="EW1100" s="98"/>
      <c r="EX1100" s="98"/>
      <c r="EY1100" s="98"/>
      <c r="EZ1100" s="178"/>
    </row>
    <row r="1101" spans="60:156">
      <c r="BH1101" s="19"/>
      <c r="BI1101" s="19"/>
      <c r="BJ1101" s="19"/>
      <c r="BK1101" s="19"/>
      <c r="BL1101" s="19"/>
      <c r="BM1101" s="98"/>
      <c r="BN1101" s="98"/>
      <c r="BO1101" s="98"/>
      <c r="BP1101" s="98"/>
      <c r="BQ1101" s="98"/>
      <c r="BR1101" s="98"/>
      <c r="BS1101" s="98"/>
      <c r="BT1101" s="98"/>
      <c r="BU1101" s="98"/>
      <c r="BV1101" s="98"/>
      <c r="BW1101" s="98"/>
      <c r="BX1101" s="98"/>
      <c r="BY1101" s="98"/>
      <c r="BZ1101" s="98"/>
      <c r="DA1101" s="177"/>
      <c r="EH1101" s="19"/>
      <c r="EI1101" s="19"/>
      <c r="EJ1101" s="19"/>
      <c r="EK1101" s="19"/>
      <c r="EL1101" s="19"/>
      <c r="EM1101" s="98"/>
      <c r="EN1101" s="98"/>
      <c r="EO1101" s="98"/>
      <c r="EP1101" s="98"/>
      <c r="EQ1101" s="98"/>
      <c r="ER1101" s="98"/>
      <c r="ES1101" s="98"/>
      <c r="ET1101" s="98"/>
      <c r="EU1101" s="98"/>
      <c r="EV1101" s="98"/>
      <c r="EW1101" s="98"/>
      <c r="EX1101" s="98"/>
      <c r="EY1101" s="98"/>
      <c r="EZ1101" s="178"/>
    </row>
    <row r="1102" spans="60:156">
      <c r="BH1102" s="19"/>
      <c r="BI1102" s="19"/>
      <c r="BJ1102" s="19"/>
      <c r="BK1102" s="19"/>
      <c r="BL1102" s="19"/>
      <c r="BM1102" s="98"/>
      <c r="BN1102" s="98"/>
      <c r="BO1102" s="98"/>
      <c r="BP1102" s="98"/>
      <c r="BQ1102" s="98"/>
      <c r="BR1102" s="98"/>
      <c r="BS1102" s="98"/>
      <c r="BT1102" s="98"/>
      <c r="BU1102" s="98"/>
      <c r="BV1102" s="98"/>
      <c r="BW1102" s="98"/>
      <c r="BX1102" s="98"/>
      <c r="BY1102" s="98"/>
      <c r="BZ1102" s="98"/>
      <c r="DA1102" s="177"/>
      <c r="EH1102" s="19"/>
      <c r="EI1102" s="19"/>
      <c r="EJ1102" s="19"/>
      <c r="EK1102" s="19"/>
      <c r="EL1102" s="19"/>
      <c r="EM1102" s="98"/>
      <c r="EN1102" s="98"/>
      <c r="EO1102" s="98"/>
      <c r="EP1102" s="98"/>
      <c r="EQ1102" s="98"/>
      <c r="ER1102" s="98"/>
      <c r="ES1102" s="98"/>
      <c r="ET1102" s="98"/>
      <c r="EU1102" s="98"/>
      <c r="EV1102" s="98"/>
      <c r="EW1102" s="98"/>
      <c r="EX1102" s="98"/>
      <c r="EY1102" s="98"/>
      <c r="EZ1102" s="178"/>
    </row>
    <row r="1103" spans="60:156">
      <c r="BH1103" s="19"/>
      <c r="BI1103" s="19"/>
      <c r="BJ1103" s="19"/>
      <c r="BK1103" s="19"/>
      <c r="BL1103" s="19"/>
      <c r="BM1103" s="98"/>
      <c r="BN1103" s="98"/>
      <c r="BO1103" s="98"/>
      <c r="BP1103" s="98"/>
      <c r="BQ1103" s="98"/>
      <c r="BR1103" s="98"/>
      <c r="BS1103" s="98"/>
      <c r="BT1103" s="98"/>
      <c r="BU1103" s="98"/>
      <c r="BV1103" s="98"/>
      <c r="BW1103" s="98"/>
      <c r="BX1103" s="98"/>
      <c r="BY1103" s="98"/>
      <c r="BZ1103" s="98"/>
      <c r="DA1103" s="177"/>
      <c r="EH1103" s="19"/>
      <c r="EI1103" s="19"/>
      <c r="EJ1103" s="19"/>
      <c r="EK1103" s="19"/>
      <c r="EL1103" s="19"/>
      <c r="EM1103" s="98"/>
      <c r="EN1103" s="98"/>
      <c r="EO1103" s="98"/>
      <c r="EP1103" s="98"/>
      <c r="EQ1103" s="98"/>
      <c r="ER1103" s="98"/>
      <c r="ES1103" s="98"/>
      <c r="ET1103" s="98"/>
      <c r="EU1103" s="98"/>
      <c r="EV1103" s="98"/>
      <c r="EW1103" s="98"/>
      <c r="EX1103" s="98"/>
      <c r="EY1103" s="98"/>
      <c r="EZ1103" s="178"/>
    </row>
    <row r="1104" spans="60:156">
      <c r="BH1104" s="19"/>
      <c r="BI1104" s="19"/>
      <c r="BJ1104" s="19"/>
      <c r="BK1104" s="19"/>
      <c r="BL1104" s="19"/>
      <c r="BM1104" s="98"/>
      <c r="BN1104" s="98"/>
      <c r="BO1104" s="98"/>
      <c r="BP1104" s="98"/>
      <c r="BQ1104" s="98"/>
      <c r="BR1104" s="98"/>
      <c r="BS1104" s="98"/>
      <c r="BT1104" s="98"/>
      <c r="BU1104" s="98"/>
      <c r="BV1104" s="98"/>
      <c r="BW1104" s="98"/>
      <c r="BX1104" s="98"/>
      <c r="BY1104" s="98"/>
      <c r="BZ1104" s="98"/>
      <c r="DA1104" s="177"/>
      <c r="EH1104" s="19"/>
      <c r="EI1104" s="19"/>
      <c r="EJ1104" s="19"/>
      <c r="EK1104" s="19"/>
      <c r="EL1104" s="19"/>
      <c r="EM1104" s="98"/>
      <c r="EN1104" s="98"/>
      <c r="EO1104" s="98"/>
      <c r="EP1104" s="98"/>
      <c r="EQ1104" s="98"/>
      <c r="ER1104" s="98"/>
      <c r="ES1104" s="98"/>
      <c r="ET1104" s="98"/>
      <c r="EU1104" s="98"/>
      <c r="EV1104" s="98"/>
      <c r="EW1104" s="98"/>
      <c r="EX1104" s="98"/>
      <c r="EY1104" s="98"/>
      <c r="EZ1104" s="178"/>
    </row>
    <row r="1105" spans="60:156">
      <c r="BH1105" s="19"/>
      <c r="BI1105" s="19"/>
      <c r="BJ1105" s="19"/>
      <c r="BK1105" s="19"/>
      <c r="BL1105" s="19"/>
      <c r="BM1105" s="98"/>
      <c r="BN1105" s="98"/>
      <c r="BO1105" s="98"/>
      <c r="BP1105" s="98"/>
      <c r="BQ1105" s="98"/>
      <c r="BR1105" s="98"/>
      <c r="BS1105" s="98"/>
      <c r="BT1105" s="98"/>
      <c r="BU1105" s="98"/>
      <c r="BV1105" s="98"/>
      <c r="BW1105" s="98"/>
      <c r="BX1105" s="98"/>
      <c r="BY1105" s="98"/>
      <c r="BZ1105" s="98"/>
      <c r="DA1105" s="177"/>
      <c r="EH1105" s="19"/>
      <c r="EI1105" s="19"/>
      <c r="EJ1105" s="19"/>
      <c r="EK1105" s="19"/>
      <c r="EL1105" s="19"/>
      <c r="EM1105" s="98"/>
      <c r="EN1105" s="98"/>
      <c r="EO1105" s="98"/>
      <c r="EP1105" s="98"/>
      <c r="EQ1105" s="98"/>
      <c r="ER1105" s="98"/>
      <c r="ES1105" s="98"/>
      <c r="ET1105" s="98"/>
      <c r="EU1105" s="98"/>
      <c r="EV1105" s="98"/>
      <c r="EW1105" s="98"/>
      <c r="EX1105" s="98"/>
      <c r="EY1105" s="98"/>
      <c r="EZ1105" s="178"/>
    </row>
    <row r="1106" spans="60:156">
      <c r="BH1106" s="19"/>
      <c r="BI1106" s="19"/>
      <c r="BJ1106" s="19"/>
      <c r="BK1106" s="19"/>
      <c r="BL1106" s="19"/>
      <c r="BM1106" s="98"/>
      <c r="BN1106" s="98"/>
      <c r="BO1106" s="98"/>
      <c r="BP1106" s="98"/>
      <c r="BQ1106" s="98"/>
      <c r="BR1106" s="98"/>
      <c r="BS1106" s="98"/>
      <c r="BT1106" s="98"/>
      <c r="BU1106" s="98"/>
      <c r="BV1106" s="98"/>
      <c r="BW1106" s="98"/>
      <c r="BX1106" s="98"/>
      <c r="BY1106" s="98"/>
      <c r="BZ1106" s="98"/>
      <c r="DA1106" s="177"/>
      <c r="EH1106" s="19"/>
      <c r="EI1106" s="19"/>
      <c r="EJ1106" s="19"/>
      <c r="EK1106" s="19"/>
      <c r="EL1106" s="19"/>
      <c r="EM1106" s="98"/>
      <c r="EN1106" s="98"/>
      <c r="EO1106" s="98"/>
      <c r="EP1106" s="98"/>
      <c r="EQ1106" s="98"/>
      <c r="ER1106" s="98"/>
      <c r="ES1106" s="98"/>
      <c r="ET1106" s="98"/>
      <c r="EU1106" s="98"/>
      <c r="EV1106" s="98"/>
      <c r="EW1106" s="98"/>
      <c r="EX1106" s="98"/>
      <c r="EY1106" s="98"/>
      <c r="EZ1106" s="178"/>
    </row>
    <row r="1107" spans="60:156">
      <c r="BH1107" s="19"/>
      <c r="BI1107" s="19"/>
      <c r="BJ1107" s="19"/>
      <c r="BK1107" s="19"/>
      <c r="BL1107" s="19"/>
      <c r="BM1107" s="98"/>
      <c r="BN1107" s="98"/>
      <c r="BO1107" s="98"/>
      <c r="BP1107" s="98"/>
      <c r="BQ1107" s="98"/>
      <c r="BR1107" s="98"/>
      <c r="BS1107" s="98"/>
      <c r="BT1107" s="98"/>
      <c r="BU1107" s="98"/>
      <c r="BV1107" s="98"/>
      <c r="BW1107" s="98"/>
      <c r="BX1107" s="98"/>
      <c r="BY1107" s="98"/>
      <c r="BZ1107" s="98"/>
      <c r="DA1107" s="177"/>
      <c r="EH1107" s="19"/>
      <c r="EI1107" s="19"/>
      <c r="EJ1107" s="19"/>
      <c r="EK1107" s="19"/>
      <c r="EL1107" s="19"/>
      <c r="EM1107" s="98"/>
      <c r="EN1107" s="98"/>
      <c r="EO1107" s="98"/>
      <c r="EP1107" s="98"/>
      <c r="EQ1107" s="98"/>
      <c r="ER1107" s="98"/>
      <c r="ES1107" s="98"/>
      <c r="ET1107" s="98"/>
      <c r="EU1107" s="98"/>
      <c r="EV1107" s="98"/>
      <c r="EW1107" s="98"/>
      <c r="EX1107" s="98"/>
      <c r="EY1107" s="98"/>
      <c r="EZ1107" s="178"/>
    </row>
    <row r="1108" spans="60:156">
      <c r="BH1108" s="19"/>
      <c r="BI1108" s="19"/>
      <c r="BJ1108" s="19"/>
      <c r="BK1108" s="19"/>
      <c r="BL1108" s="19"/>
      <c r="BM1108" s="98"/>
      <c r="BN1108" s="98"/>
      <c r="BO1108" s="98"/>
      <c r="BP1108" s="98"/>
      <c r="BQ1108" s="98"/>
      <c r="BR1108" s="98"/>
      <c r="BS1108" s="98"/>
      <c r="BT1108" s="98"/>
      <c r="BU1108" s="98"/>
      <c r="BV1108" s="98"/>
      <c r="BW1108" s="98"/>
      <c r="BX1108" s="98"/>
      <c r="BY1108" s="98"/>
      <c r="BZ1108" s="98"/>
      <c r="DA1108" s="177"/>
      <c r="EH1108" s="19"/>
      <c r="EI1108" s="19"/>
      <c r="EJ1108" s="19"/>
      <c r="EK1108" s="19"/>
      <c r="EL1108" s="19"/>
      <c r="EM1108" s="98"/>
      <c r="EN1108" s="98"/>
      <c r="EO1108" s="98"/>
      <c r="EP1108" s="98"/>
      <c r="EQ1108" s="98"/>
      <c r="ER1108" s="98"/>
      <c r="ES1108" s="98"/>
      <c r="ET1108" s="98"/>
      <c r="EU1108" s="98"/>
      <c r="EV1108" s="98"/>
      <c r="EW1108" s="98"/>
      <c r="EX1108" s="98"/>
      <c r="EY1108" s="98"/>
      <c r="EZ1108" s="178"/>
    </row>
    <row r="1109" spans="60:156">
      <c r="BH1109" s="19"/>
      <c r="BI1109" s="19"/>
      <c r="BJ1109" s="19"/>
      <c r="BK1109" s="19"/>
      <c r="BL1109" s="19"/>
      <c r="BM1109" s="98"/>
      <c r="BN1109" s="98"/>
      <c r="BO1109" s="98"/>
      <c r="BP1109" s="98"/>
      <c r="BQ1109" s="98"/>
      <c r="BR1109" s="98"/>
      <c r="BS1109" s="98"/>
      <c r="BT1109" s="98"/>
      <c r="BU1109" s="98"/>
      <c r="BV1109" s="98"/>
      <c r="BW1109" s="98"/>
      <c r="BX1109" s="98"/>
      <c r="BY1109" s="98"/>
      <c r="BZ1109" s="98"/>
      <c r="DA1109" s="177"/>
      <c r="EH1109" s="19"/>
      <c r="EI1109" s="19"/>
      <c r="EJ1109" s="19"/>
      <c r="EK1109" s="19"/>
      <c r="EL1109" s="19"/>
      <c r="EM1109" s="98"/>
      <c r="EN1109" s="98"/>
      <c r="EO1109" s="98"/>
      <c r="EP1109" s="98"/>
      <c r="EQ1109" s="98"/>
      <c r="ER1109" s="98"/>
      <c r="ES1109" s="98"/>
      <c r="ET1109" s="98"/>
      <c r="EU1109" s="98"/>
      <c r="EV1109" s="98"/>
      <c r="EW1109" s="98"/>
      <c r="EX1109" s="98"/>
      <c r="EY1109" s="98"/>
      <c r="EZ1109" s="178"/>
    </row>
    <row r="1110" spans="60:156">
      <c r="BH1110" s="19"/>
      <c r="BI1110" s="19"/>
      <c r="BJ1110" s="19"/>
      <c r="BK1110" s="19"/>
      <c r="BL1110" s="19"/>
      <c r="BM1110" s="98"/>
      <c r="BN1110" s="98"/>
      <c r="BO1110" s="98"/>
      <c r="BP1110" s="98"/>
      <c r="BQ1110" s="98"/>
      <c r="BR1110" s="98"/>
      <c r="BS1110" s="98"/>
      <c r="BT1110" s="98"/>
      <c r="BU1110" s="98"/>
      <c r="BV1110" s="98"/>
      <c r="BW1110" s="98"/>
      <c r="BX1110" s="98"/>
      <c r="BY1110" s="98"/>
      <c r="BZ1110" s="98"/>
      <c r="DA1110" s="177"/>
      <c r="EH1110" s="19"/>
      <c r="EI1110" s="19"/>
      <c r="EJ1110" s="19"/>
      <c r="EK1110" s="19"/>
      <c r="EL1110" s="19"/>
      <c r="EM1110" s="98"/>
      <c r="EN1110" s="98"/>
      <c r="EO1110" s="98"/>
      <c r="EP1110" s="98"/>
      <c r="EQ1110" s="98"/>
      <c r="ER1110" s="98"/>
      <c r="ES1110" s="98"/>
      <c r="ET1110" s="98"/>
      <c r="EU1110" s="98"/>
      <c r="EV1110" s="98"/>
      <c r="EW1110" s="98"/>
      <c r="EX1110" s="98"/>
      <c r="EY1110" s="98"/>
      <c r="EZ1110" s="178"/>
    </row>
    <row r="1111" spans="60:156">
      <c r="BH1111" s="19"/>
      <c r="BI1111" s="19"/>
      <c r="BJ1111" s="19"/>
      <c r="BK1111" s="19"/>
      <c r="BL1111" s="19"/>
      <c r="BM1111" s="98"/>
      <c r="BN1111" s="98"/>
      <c r="BO1111" s="98"/>
      <c r="BP1111" s="98"/>
      <c r="BQ1111" s="98"/>
      <c r="BR1111" s="98"/>
      <c r="BS1111" s="98"/>
      <c r="BT1111" s="98"/>
      <c r="BU1111" s="98"/>
      <c r="BV1111" s="98"/>
      <c r="BW1111" s="98"/>
      <c r="BX1111" s="98"/>
      <c r="BY1111" s="98"/>
      <c r="BZ1111" s="98"/>
      <c r="DA1111" s="177"/>
      <c r="EH1111" s="19"/>
      <c r="EI1111" s="19"/>
      <c r="EJ1111" s="19"/>
      <c r="EK1111" s="19"/>
      <c r="EL1111" s="19"/>
      <c r="EM1111" s="98"/>
      <c r="EN1111" s="98"/>
      <c r="EO1111" s="98"/>
      <c r="EP1111" s="98"/>
      <c r="EQ1111" s="98"/>
      <c r="ER1111" s="98"/>
      <c r="ES1111" s="98"/>
      <c r="ET1111" s="98"/>
      <c r="EU1111" s="98"/>
      <c r="EV1111" s="98"/>
      <c r="EW1111" s="98"/>
      <c r="EX1111" s="98"/>
      <c r="EY1111" s="98"/>
      <c r="EZ1111" s="178"/>
    </row>
    <row r="1112" spans="60:156">
      <c r="BH1112" s="19"/>
      <c r="BI1112" s="19"/>
      <c r="BJ1112" s="19"/>
      <c r="BK1112" s="19"/>
      <c r="BL1112" s="19"/>
      <c r="BM1112" s="98"/>
      <c r="BN1112" s="98"/>
      <c r="BO1112" s="98"/>
      <c r="BP1112" s="98"/>
      <c r="BQ1112" s="98"/>
      <c r="BR1112" s="98"/>
      <c r="BS1112" s="98"/>
      <c r="BT1112" s="98"/>
      <c r="BU1112" s="98"/>
      <c r="BV1112" s="98"/>
      <c r="BW1112" s="98"/>
      <c r="BX1112" s="98"/>
      <c r="BY1112" s="98"/>
      <c r="BZ1112" s="98"/>
      <c r="DA1112" s="177"/>
      <c r="EH1112" s="19"/>
      <c r="EI1112" s="19"/>
      <c r="EJ1112" s="19"/>
      <c r="EK1112" s="19"/>
      <c r="EL1112" s="19"/>
      <c r="EM1112" s="98"/>
      <c r="EN1112" s="98"/>
      <c r="EO1112" s="98"/>
      <c r="EP1112" s="98"/>
      <c r="EQ1112" s="98"/>
      <c r="ER1112" s="98"/>
      <c r="ES1112" s="98"/>
      <c r="ET1112" s="98"/>
      <c r="EU1112" s="98"/>
      <c r="EV1112" s="98"/>
      <c r="EW1112" s="98"/>
      <c r="EX1112" s="98"/>
      <c r="EY1112" s="98"/>
      <c r="EZ1112" s="178"/>
    </row>
    <row r="1113" spans="60:156">
      <c r="BH1113" s="19"/>
      <c r="BI1113" s="19"/>
      <c r="BJ1113" s="19"/>
      <c r="BK1113" s="19"/>
      <c r="BL1113" s="19"/>
      <c r="BM1113" s="98"/>
      <c r="BN1113" s="98"/>
      <c r="BO1113" s="98"/>
      <c r="BP1113" s="98"/>
      <c r="BQ1113" s="98"/>
      <c r="BR1113" s="98"/>
      <c r="BS1113" s="98"/>
      <c r="BT1113" s="98"/>
      <c r="BU1113" s="98"/>
      <c r="BV1113" s="98"/>
      <c r="BW1113" s="98"/>
      <c r="BX1113" s="98"/>
      <c r="BY1113" s="98"/>
      <c r="BZ1113" s="98"/>
      <c r="DA1113" s="177"/>
      <c r="EH1113" s="19"/>
      <c r="EI1113" s="19"/>
      <c r="EJ1113" s="19"/>
      <c r="EK1113" s="19"/>
      <c r="EL1113" s="19"/>
      <c r="EM1113" s="98"/>
      <c r="EN1113" s="98"/>
      <c r="EO1113" s="98"/>
      <c r="EP1113" s="98"/>
      <c r="EQ1113" s="98"/>
      <c r="ER1113" s="98"/>
      <c r="ES1113" s="98"/>
      <c r="ET1113" s="98"/>
      <c r="EU1113" s="98"/>
      <c r="EV1113" s="98"/>
      <c r="EW1113" s="98"/>
      <c r="EX1113" s="98"/>
      <c r="EY1113" s="98"/>
      <c r="EZ1113" s="178"/>
    </row>
    <row r="1114" spans="60:156">
      <c r="BH1114" s="19"/>
      <c r="BI1114" s="19"/>
      <c r="BJ1114" s="19"/>
      <c r="BK1114" s="19"/>
      <c r="BL1114" s="19"/>
      <c r="BM1114" s="98"/>
      <c r="BN1114" s="98"/>
      <c r="BO1114" s="98"/>
      <c r="BP1114" s="98"/>
      <c r="BQ1114" s="98"/>
      <c r="BR1114" s="98"/>
      <c r="BS1114" s="98"/>
      <c r="BT1114" s="98"/>
      <c r="BU1114" s="98"/>
      <c r="BV1114" s="98"/>
      <c r="BW1114" s="98"/>
      <c r="BX1114" s="98"/>
      <c r="BY1114" s="98"/>
      <c r="BZ1114" s="98"/>
      <c r="DA1114" s="177"/>
      <c r="EH1114" s="19"/>
      <c r="EI1114" s="19"/>
      <c r="EJ1114" s="19"/>
      <c r="EK1114" s="19"/>
      <c r="EL1114" s="19"/>
      <c r="EM1114" s="98"/>
      <c r="EN1114" s="98"/>
      <c r="EO1114" s="98"/>
      <c r="EP1114" s="98"/>
      <c r="EQ1114" s="98"/>
      <c r="ER1114" s="98"/>
      <c r="ES1114" s="98"/>
      <c r="ET1114" s="98"/>
      <c r="EU1114" s="98"/>
      <c r="EV1114" s="98"/>
      <c r="EW1114" s="98"/>
      <c r="EX1114" s="98"/>
      <c r="EY1114" s="98"/>
      <c r="EZ1114" s="178"/>
    </row>
    <row r="1115" spans="60:156">
      <c r="BH1115" s="19"/>
      <c r="BI1115" s="19"/>
      <c r="BJ1115" s="19"/>
      <c r="BK1115" s="19"/>
      <c r="BL1115" s="19"/>
      <c r="BM1115" s="98"/>
      <c r="BN1115" s="98"/>
      <c r="BO1115" s="98"/>
      <c r="BP1115" s="98"/>
      <c r="BQ1115" s="98"/>
      <c r="BR1115" s="98"/>
      <c r="BS1115" s="98"/>
      <c r="BT1115" s="98"/>
      <c r="BU1115" s="98"/>
      <c r="BV1115" s="98"/>
      <c r="BW1115" s="98"/>
      <c r="BX1115" s="98"/>
      <c r="BY1115" s="98"/>
      <c r="BZ1115" s="98"/>
      <c r="DA1115" s="177"/>
      <c r="EH1115" s="19"/>
      <c r="EI1115" s="19"/>
      <c r="EJ1115" s="19"/>
      <c r="EK1115" s="19"/>
      <c r="EL1115" s="19"/>
      <c r="EM1115" s="98"/>
      <c r="EN1115" s="98"/>
      <c r="EO1115" s="98"/>
      <c r="EP1115" s="98"/>
      <c r="EQ1115" s="98"/>
      <c r="ER1115" s="98"/>
      <c r="ES1115" s="98"/>
      <c r="ET1115" s="98"/>
      <c r="EU1115" s="98"/>
      <c r="EV1115" s="98"/>
      <c r="EW1115" s="98"/>
      <c r="EX1115" s="98"/>
      <c r="EY1115" s="98"/>
      <c r="EZ1115" s="178"/>
    </row>
    <row r="1116" spans="60:156">
      <c r="BH1116" s="19"/>
      <c r="BI1116" s="19"/>
      <c r="BJ1116" s="19"/>
      <c r="BK1116" s="19"/>
      <c r="BL1116" s="19"/>
      <c r="BM1116" s="98"/>
      <c r="BN1116" s="98"/>
      <c r="BO1116" s="98"/>
      <c r="BP1116" s="98"/>
      <c r="BQ1116" s="98"/>
      <c r="BR1116" s="98"/>
      <c r="BS1116" s="98"/>
      <c r="BT1116" s="98"/>
      <c r="BU1116" s="98"/>
      <c r="BV1116" s="98"/>
      <c r="BW1116" s="98"/>
      <c r="BX1116" s="98"/>
      <c r="BY1116" s="98"/>
      <c r="BZ1116" s="98"/>
      <c r="DA1116" s="177"/>
      <c r="EH1116" s="19"/>
      <c r="EI1116" s="19"/>
      <c r="EJ1116" s="19"/>
      <c r="EK1116" s="19"/>
      <c r="EL1116" s="19"/>
      <c r="EM1116" s="98"/>
      <c r="EN1116" s="98"/>
      <c r="EO1116" s="98"/>
      <c r="EP1116" s="98"/>
      <c r="EQ1116" s="98"/>
      <c r="ER1116" s="98"/>
      <c r="ES1116" s="98"/>
      <c r="ET1116" s="98"/>
      <c r="EU1116" s="98"/>
      <c r="EV1116" s="98"/>
      <c r="EW1116" s="98"/>
      <c r="EX1116" s="98"/>
      <c r="EY1116" s="98"/>
      <c r="EZ1116" s="178"/>
    </row>
    <row r="1117" spans="60:156">
      <c r="BH1117" s="19"/>
      <c r="BI1117" s="19"/>
      <c r="BJ1117" s="19"/>
      <c r="BK1117" s="19"/>
      <c r="BL1117" s="19"/>
      <c r="BM1117" s="98"/>
      <c r="BN1117" s="98"/>
      <c r="BO1117" s="98"/>
      <c r="BP1117" s="98"/>
      <c r="BQ1117" s="98"/>
      <c r="BR1117" s="98"/>
      <c r="BS1117" s="98"/>
      <c r="BT1117" s="98"/>
      <c r="BU1117" s="98"/>
      <c r="BV1117" s="98"/>
      <c r="BW1117" s="98"/>
      <c r="BX1117" s="98"/>
      <c r="BY1117" s="98"/>
      <c r="BZ1117" s="98"/>
      <c r="DA1117" s="177"/>
      <c r="EH1117" s="19"/>
      <c r="EI1117" s="19"/>
      <c r="EJ1117" s="19"/>
      <c r="EK1117" s="19"/>
      <c r="EL1117" s="19"/>
      <c r="EM1117" s="98"/>
      <c r="EN1117" s="98"/>
      <c r="EO1117" s="98"/>
      <c r="EP1117" s="98"/>
      <c r="EQ1117" s="98"/>
      <c r="ER1117" s="98"/>
      <c r="ES1117" s="98"/>
      <c r="ET1117" s="98"/>
      <c r="EU1117" s="98"/>
      <c r="EV1117" s="98"/>
      <c r="EW1117" s="98"/>
      <c r="EX1117" s="98"/>
      <c r="EY1117" s="98"/>
      <c r="EZ1117" s="178"/>
    </row>
    <row r="1118" spans="60:156">
      <c r="BH1118" s="19"/>
      <c r="BI1118" s="19"/>
      <c r="BJ1118" s="19"/>
      <c r="BK1118" s="19"/>
      <c r="BL1118" s="19"/>
      <c r="BM1118" s="98"/>
      <c r="BN1118" s="98"/>
      <c r="BO1118" s="98"/>
      <c r="BP1118" s="98"/>
      <c r="BQ1118" s="98"/>
      <c r="BR1118" s="98"/>
      <c r="BS1118" s="98"/>
      <c r="BT1118" s="98"/>
      <c r="BU1118" s="98"/>
      <c r="BV1118" s="98"/>
      <c r="BW1118" s="98"/>
      <c r="BX1118" s="98"/>
      <c r="BY1118" s="98"/>
      <c r="BZ1118" s="98"/>
      <c r="DA1118" s="177"/>
      <c r="EH1118" s="19"/>
      <c r="EI1118" s="19"/>
      <c r="EJ1118" s="19"/>
      <c r="EK1118" s="19"/>
      <c r="EL1118" s="19"/>
      <c r="EM1118" s="98"/>
      <c r="EN1118" s="98"/>
      <c r="EO1118" s="98"/>
      <c r="EP1118" s="98"/>
      <c r="EQ1118" s="98"/>
      <c r="ER1118" s="98"/>
      <c r="ES1118" s="98"/>
      <c r="ET1118" s="98"/>
      <c r="EU1118" s="98"/>
      <c r="EV1118" s="98"/>
      <c r="EW1118" s="98"/>
      <c r="EX1118" s="98"/>
      <c r="EY1118" s="98"/>
      <c r="EZ1118" s="178"/>
    </row>
    <row r="1119" spans="60:156">
      <c r="BH1119" s="19"/>
      <c r="BI1119" s="19"/>
      <c r="BJ1119" s="19"/>
      <c r="BK1119" s="19"/>
      <c r="BL1119" s="19"/>
      <c r="BM1119" s="98"/>
      <c r="BN1119" s="98"/>
      <c r="BO1119" s="98"/>
      <c r="BP1119" s="98"/>
      <c r="BQ1119" s="98"/>
      <c r="BR1119" s="98"/>
      <c r="BS1119" s="98"/>
      <c r="BT1119" s="98"/>
      <c r="BU1119" s="98"/>
      <c r="BV1119" s="98"/>
      <c r="BW1119" s="98"/>
      <c r="BX1119" s="98"/>
      <c r="BY1119" s="98"/>
      <c r="BZ1119" s="98"/>
      <c r="DA1119" s="177"/>
      <c r="EH1119" s="19"/>
      <c r="EI1119" s="19"/>
      <c r="EJ1119" s="19"/>
      <c r="EK1119" s="19"/>
      <c r="EL1119" s="19"/>
      <c r="EM1119" s="98"/>
      <c r="EN1119" s="98"/>
      <c r="EO1119" s="98"/>
      <c r="EP1119" s="98"/>
      <c r="EQ1119" s="98"/>
      <c r="ER1119" s="98"/>
      <c r="ES1119" s="98"/>
      <c r="ET1119" s="98"/>
      <c r="EU1119" s="98"/>
      <c r="EV1119" s="98"/>
      <c r="EW1119" s="98"/>
      <c r="EX1119" s="98"/>
      <c r="EY1119" s="98"/>
      <c r="EZ1119" s="178"/>
    </row>
    <row r="1120" spans="60:156">
      <c r="BH1120" s="19"/>
      <c r="BI1120" s="19"/>
      <c r="BJ1120" s="19"/>
      <c r="BK1120" s="19"/>
      <c r="BL1120" s="19"/>
      <c r="BM1120" s="98"/>
      <c r="BN1120" s="98"/>
      <c r="BO1120" s="98"/>
      <c r="BP1120" s="98"/>
      <c r="BQ1120" s="98"/>
      <c r="BR1120" s="98"/>
      <c r="BS1120" s="98"/>
      <c r="BT1120" s="98"/>
      <c r="BU1120" s="98"/>
      <c r="BV1120" s="98"/>
      <c r="BW1120" s="98"/>
      <c r="BX1120" s="98"/>
      <c r="BY1120" s="98"/>
      <c r="BZ1120" s="98"/>
      <c r="DA1120" s="177"/>
      <c r="EH1120" s="19"/>
      <c r="EI1120" s="19"/>
      <c r="EJ1120" s="19"/>
      <c r="EK1120" s="19"/>
      <c r="EL1120" s="19"/>
      <c r="EM1120" s="98"/>
      <c r="EN1120" s="98"/>
      <c r="EO1120" s="98"/>
      <c r="EP1120" s="98"/>
      <c r="EQ1120" s="98"/>
      <c r="ER1120" s="98"/>
      <c r="ES1120" s="98"/>
      <c r="ET1120" s="98"/>
      <c r="EU1120" s="98"/>
      <c r="EV1120" s="98"/>
      <c r="EW1120" s="98"/>
      <c r="EX1120" s="98"/>
      <c r="EY1120" s="98"/>
      <c r="EZ1120" s="178"/>
    </row>
    <row r="1121" spans="60:156">
      <c r="BH1121" s="19"/>
      <c r="BI1121" s="19"/>
      <c r="BJ1121" s="19"/>
      <c r="BK1121" s="19"/>
      <c r="BL1121" s="19"/>
      <c r="BM1121" s="98"/>
      <c r="BN1121" s="98"/>
      <c r="BO1121" s="98"/>
      <c r="BP1121" s="98"/>
      <c r="BQ1121" s="98"/>
      <c r="BR1121" s="98"/>
      <c r="BS1121" s="98"/>
      <c r="BT1121" s="98"/>
      <c r="BU1121" s="98"/>
      <c r="BV1121" s="98"/>
      <c r="BW1121" s="98"/>
      <c r="BX1121" s="98"/>
      <c r="BY1121" s="98"/>
      <c r="BZ1121" s="98"/>
      <c r="DA1121" s="177"/>
      <c r="EH1121" s="19"/>
      <c r="EI1121" s="19"/>
      <c r="EJ1121" s="19"/>
      <c r="EK1121" s="19"/>
      <c r="EL1121" s="19"/>
      <c r="EM1121" s="98"/>
      <c r="EN1121" s="98"/>
      <c r="EO1121" s="98"/>
      <c r="EP1121" s="98"/>
      <c r="EQ1121" s="98"/>
      <c r="ER1121" s="98"/>
      <c r="ES1121" s="98"/>
      <c r="ET1121" s="98"/>
      <c r="EU1121" s="98"/>
      <c r="EV1121" s="98"/>
      <c r="EW1121" s="98"/>
      <c r="EX1121" s="98"/>
      <c r="EY1121" s="98"/>
      <c r="EZ1121" s="178"/>
    </row>
    <row r="1122" spans="60:156">
      <c r="BH1122" s="19"/>
      <c r="BI1122" s="19"/>
      <c r="BJ1122" s="19"/>
      <c r="BK1122" s="19"/>
      <c r="BL1122" s="19"/>
      <c r="BM1122" s="98"/>
      <c r="BN1122" s="98"/>
      <c r="BO1122" s="98"/>
      <c r="BP1122" s="98"/>
      <c r="BQ1122" s="98"/>
      <c r="BR1122" s="98"/>
      <c r="BS1122" s="98"/>
      <c r="BT1122" s="98"/>
      <c r="BU1122" s="98"/>
      <c r="BV1122" s="98"/>
      <c r="BW1122" s="98"/>
      <c r="BX1122" s="98"/>
      <c r="BY1122" s="98"/>
      <c r="BZ1122" s="98"/>
      <c r="DA1122" s="177"/>
      <c r="EH1122" s="19"/>
      <c r="EI1122" s="19"/>
      <c r="EJ1122" s="19"/>
      <c r="EK1122" s="19"/>
      <c r="EL1122" s="19"/>
      <c r="EM1122" s="98"/>
      <c r="EN1122" s="98"/>
      <c r="EO1122" s="98"/>
      <c r="EP1122" s="98"/>
      <c r="EQ1122" s="98"/>
      <c r="ER1122" s="98"/>
      <c r="ES1122" s="98"/>
      <c r="ET1122" s="98"/>
      <c r="EU1122" s="98"/>
      <c r="EV1122" s="98"/>
      <c r="EW1122" s="98"/>
      <c r="EX1122" s="98"/>
      <c r="EY1122" s="98"/>
      <c r="EZ1122" s="178"/>
    </row>
    <row r="1123" spans="60:156">
      <c r="BH1123" s="19"/>
      <c r="BI1123" s="19"/>
      <c r="BJ1123" s="19"/>
      <c r="BK1123" s="19"/>
      <c r="BL1123" s="19"/>
      <c r="BM1123" s="98"/>
      <c r="BN1123" s="98"/>
      <c r="BO1123" s="98"/>
      <c r="BP1123" s="98"/>
      <c r="BQ1123" s="98"/>
      <c r="BR1123" s="98"/>
      <c r="BS1123" s="98"/>
      <c r="BT1123" s="98"/>
      <c r="BU1123" s="98"/>
      <c r="BV1123" s="98"/>
      <c r="BW1123" s="98"/>
      <c r="BX1123" s="98"/>
      <c r="BY1123" s="98"/>
      <c r="BZ1123" s="98"/>
      <c r="DA1123" s="177"/>
      <c r="EH1123" s="19"/>
      <c r="EI1123" s="19"/>
      <c r="EJ1123" s="19"/>
      <c r="EK1123" s="19"/>
      <c r="EL1123" s="19"/>
      <c r="EM1123" s="98"/>
      <c r="EN1123" s="98"/>
      <c r="EO1123" s="98"/>
      <c r="EP1123" s="98"/>
      <c r="EQ1123" s="98"/>
      <c r="ER1123" s="98"/>
      <c r="ES1123" s="98"/>
      <c r="ET1123" s="98"/>
      <c r="EU1123" s="98"/>
      <c r="EV1123" s="98"/>
      <c r="EW1123" s="98"/>
      <c r="EX1123" s="98"/>
      <c r="EY1123" s="98"/>
      <c r="EZ1123" s="178"/>
    </row>
    <row r="1124" spans="60:156">
      <c r="BH1124" s="19"/>
      <c r="BI1124" s="19"/>
      <c r="BJ1124" s="19"/>
      <c r="BK1124" s="19"/>
      <c r="BL1124" s="19"/>
      <c r="BM1124" s="98"/>
      <c r="BN1124" s="98"/>
      <c r="BO1124" s="98"/>
      <c r="BP1124" s="98"/>
      <c r="BQ1124" s="98"/>
      <c r="BR1124" s="98"/>
      <c r="BS1124" s="98"/>
      <c r="BT1124" s="98"/>
      <c r="BU1124" s="98"/>
      <c r="BV1124" s="98"/>
      <c r="BW1124" s="98"/>
      <c r="BX1124" s="98"/>
      <c r="BY1124" s="98"/>
      <c r="BZ1124" s="98"/>
      <c r="DA1124" s="177"/>
      <c r="EH1124" s="19"/>
      <c r="EI1124" s="19"/>
      <c r="EJ1124" s="19"/>
      <c r="EK1124" s="19"/>
      <c r="EL1124" s="19"/>
      <c r="EM1124" s="98"/>
      <c r="EN1124" s="98"/>
      <c r="EO1124" s="98"/>
      <c r="EP1124" s="98"/>
      <c r="EQ1124" s="98"/>
      <c r="ER1124" s="98"/>
      <c r="ES1124" s="98"/>
      <c r="ET1124" s="98"/>
      <c r="EU1124" s="98"/>
      <c r="EV1124" s="98"/>
      <c r="EW1124" s="98"/>
      <c r="EX1124" s="98"/>
      <c r="EY1124" s="98"/>
      <c r="EZ1124" s="178"/>
    </row>
    <row r="1125" spans="60:156">
      <c r="BH1125" s="19"/>
      <c r="BI1125" s="19"/>
      <c r="BJ1125" s="19"/>
      <c r="BK1125" s="19"/>
      <c r="BL1125" s="19"/>
      <c r="BM1125" s="98"/>
      <c r="BN1125" s="98"/>
      <c r="BO1125" s="98"/>
      <c r="BP1125" s="98"/>
      <c r="BQ1125" s="98"/>
      <c r="BR1125" s="98"/>
      <c r="BS1125" s="98"/>
      <c r="BT1125" s="98"/>
      <c r="BU1125" s="98"/>
      <c r="BV1125" s="98"/>
      <c r="BW1125" s="98"/>
      <c r="BX1125" s="98"/>
      <c r="BY1125" s="98"/>
      <c r="BZ1125" s="98"/>
      <c r="DA1125" s="177"/>
      <c r="EH1125" s="19"/>
      <c r="EI1125" s="19"/>
      <c r="EJ1125" s="19"/>
      <c r="EK1125" s="19"/>
      <c r="EL1125" s="19"/>
      <c r="EM1125" s="98"/>
      <c r="EN1125" s="98"/>
      <c r="EO1125" s="98"/>
      <c r="EP1125" s="98"/>
      <c r="EQ1125" s="98"/>
      <c r="ER1125" s="98"/>
      <c r="ES1125" s="98"/>
      <c r="ET1125" s="98"/>
      <c r="EU1125" s="98"/>
      <c r="EV1125" s="98"/>
      <c r="EW1125" s="98"/>
      <c r="EX1125" s="98"/>
      <c r="EY1125" s="98"/>
      <c r="EZ1125" s="178"/>
    </row>
    <row r="1126" spans="60:156">
      <c r="BH1126" s="19"/>
      <c r="BI1126" s="19"/>
      <c r="BJ1126" s="19"/>
      <c r="BK1126" s="19"/>
      <c r="BL1126" s="19"/>
      <c r="BM1126" s="98"/>
      <c r="BN1126" s="98"/>
      <c r="BO1126" s="98"/>
      <c r="BP1126" s="98"/>
      <c r="BQ1126" s="98"/>
      <c r="BR1126" s="98"/>
      <c r="BS1126" s="98"/>
      <c r="BT1126" s="98"/>
      <c r="BU1126" s="98"/>
      <c r="BV1126" s="98"/>
      <c r="BW1126" s="98"/>
      <c r="BX1126" s="98"/>
      <c r="BY1126" s="98"/>
      <c r="BZ1126" s="98"/>
      <c r="DA1126" s="177"/>
      <c r="EH1126" s="19"/>
      <c r="EI1126" s="19"/>
      <c r="EJ1126" s="19"/>
      <c r="EK1126" s="19"/>
      <c r="EL1126" s="19"/>
      <c r="EM1126" s="98"/>
      <c r="EN1126" s="98"/>
      <c r="EO1126" s="98"/>
      <c r="EP1126" s="98"/>
      <c r="EQ1126" s="98"/>
      <c r="ER1126" s="98"/>
      <c r="ES1126" s="98"/>
      <c r="ET1126" s="98"/>
      <c r="EU1126" s="98"/>
      <c r="EV1126" s="98"/>
      <c r="EW1126" s="98"/>
      <c r="EX1126" s="98"/>
      <c r="EY1126" s="98"/>
      <c r="EZ1126" s="178"/>
    </row>
    <row r="1127" spans="60:156">
      <c r="BH1127" s="19"/>
      <c r="BI1127" s="19"/>
      <c r="BJ1127" s="19"/>
      <c r="BK1127" s="19"/>
      <c r="BL1127" s="19"/>
      <c r="BM1127" s="98"/>
      <c r="BN1127" s="98"/>
      <c r="BO1127" s="98"/>
      <c r="BP1127" s="98"/>
      <c r="BQ1127" s="98"/>
      <c r="BR1127" s="98"/>
      <c r="BS1127" s="98"/>
      <c r="BT1127" s="98"/>
      <c r="BU1127" s="98"/>
      <c r="BV1127" s="98"/>
      <c r="BW1127" s="98"/>
      <c r="BX1127" s="98"/>
      <c r="BY1127" s="98"/>
      <c r="BZ1127" s="98"/>
      <c r="DA1127" s="177"/>
      <c r="EH1127" s="19"/>
      <c r="EI1127" s="19"/>
      <c r="EJ1127" s="19"/>
      <c r="EK1127" s="19"/>
      <c r="EL1127" s="19"/>
      <c r="EM1127" s="98"/>
      <c r="EN1127" s="98"/>
      <c r="EO1127" s="98"/>
      <c r="EP1127" s="98"/>
      <c r="EQ1127" s="98"/>
      <c r="ER1127" s="98"/>
      <c r="ES1127" s="98"/>
      <c r="ET1127" s="98"/>
      <c r="EU1127" s="98"/>
      <c r="EV1127" s="98"/>
      <c r="EW1127" s="98"/>
      <c r="EX1127" s="98"/>
      <c r="EY1127" s="98"/>
      <c r="EZ1127" s="178"/>
    </row>
    <row r="1128" spans="60:156">
      <c r="BH1128" s="19"/>
      <c r="BI1128" s="19"/>
      <c r="BJ1128" s="19"/>
      <c r="BK1128" s="19"/>
      <c r="BL1128" s="19"/>
      <c r="BM1128" s="98"/>
      <c r="BN1128" s="98"/>
      <c r="BO1128" s="98"/>
      <c r="BP1128" s="98"/>
      <c r="BQ1128" s="98"/>
      <c r="BR1128" s="98"/>
      <c r="BS1128" s="98"/>
      <c r="BT1128" s="98"/>
      <c r="BU1128" s="98"/>
      <c r="BV1128" s="98"/>
      <c r="BW1128" s="98"/>
      <c r="BX1128" s="98"/>
      <c r="BY1128" s="98"/>
      <c r="BZ1128" s="98"/>
      <c r="DA1128" s="177"/>
      <c r="EH1128" s="19"/>
      <c r="EI1128" s="19"/>
      <c r="EJ1128" s="19"/>
      <c r="EK1128" s="19"/>
      <c r="EL1128" s="19"/>
      <c r="EM1128" s="98"/>
      <c r="EN1128" s="98"/>
      <c r="EO1128" s="98"/>
      <c r="EP1128" s="98"/>
      <c r="EQ1128" s="98"/>
      <c r="ER1128" s="98"/>
      <c r="ES1128" s="98"/>
      <c r="ET1128" s="98"/>
      <c r="EU1128" s="98"/>
      <c r="EV1128" s="98"/>
      <c r="EW1128" s="98"/>
      <c r="EX1128" s="98"/>
      <c r="EY1128" s="98"/>
      <c r="EZ1128" s="178"/>
    </row>
    <row r="1129" spans="60:156">
      <c r="BH1129" s="19"/>
      <c r="BI1129" s="19"/>
      <c r="BJ1129" s="19"/>
      <c r="BK1129" s="19"/>
      <c r="BL1129" s="19"/>
      <c r="BM1129" s="98"/>
      <c r="BN1129" s="98"/>
      <c r="BO1129" s="98"/>
      <c r="BP1129" s="98"/>
      <c r="BQ1129" s="98"/>
      <c r="BR1129" s="98"/>
      <c r="BS1129" s="98"/>
      <c r="BT1129" s="98"/>
      <c r="BU1129" s="98"/>
      <c r="BV1129" s="98"/>
      <c r="BW1129" s="98"/>
      <c r="BX1129" s="98"/>
      <c r="BY1129" s="98"/>
      <c r="BZ1129" s="98"/>
      <c r="DA1129" s="177"/>
      <c r="EH1129" s="19"/>
      <c r="EI1129" s="19"/>
      <c r="EJ1129" s="19"/>
      <c r="EK1129" s="19"/>
      <c r="EL1129" s="19"/>
      <c r="EM1129" s="98"/>
      <c r="EN1129" s="98"/>
      <c r="EO1129" s="98"/>
      <c r="EP1129" s="98"/>
      <c r="EQ1129" s="98"/>
      <c r="ER1129" s="98"/>
      <c r="ES1129" s="98"/>
      <c r="ET1129" s="98"/>
      <c r="EU1129" s="98"/>
      <c r="EV1129" s="98"/>
      <c r="EW1129" s="98"/>
      <c r="EX1129" s="98"/>
      <c r="EY1129" s="98"/>
      <c r="EZ1129" s="178"/>
    </row>
    <row r="1130" spans="60:156">
      <c r="BH1130" s="19"/>
      <c r="BI1130" s="19"/>
      <c r="BJ1130" s="19"/>
      <c r="BK1130" s="19"/>
      <c r="BL1130" s="19"/>
      <c r="BM1130" s="98"/>
      <c r="BN1130" s="98"/>
      <c r="BO1130" s="98"/>
      <c r="BP1130" s="98"/>
      <c r="BQ1130" s="98"/>
      <c r="BR1130" s="98"/>
      <c r="BS1130" s="98"/>
      <c r="BT1130" s="98"/>
      <c r="BU1130" s="98"/>
      <c r="BV1130" s="98"/>
      <c r="BW1130" s="98"/>
      <c r="BX1130" s="98"/>
      <c r="BY1130" s="98"/>
      <c r="BZ1130" s="98"/>
      <c r="DA1130" s="177"/>
      <c r="EH1130" s="19"/>
      <c r="EI1130" s="19"/>
      <c r="EJ1130" s="19"/>
      <c r="EK1130" s="19"/>
      <c r="EL1130" s="19"/>
      <c r="EM1130" s="98"/>
      <c r="EN1130" s="98"/>
      <c r="EO1130" s="98"/>
      <c r="EP1130" s="98"/>
      <c r="EQ1130" s="98"/>
      <c r="ER1130" s="98"/>
      <c r="ES1130" s="98"/>
      <c r="ET1130" s="98"/>
      <c r="EU1130" s="98"/>
      <c r="EV1130" s="98"/>
      <c r="EW1130" s="98"/>
      <c r="EX1130" s="98"/>
      <c r="EY1130" s="98"/>
      <c r="EZ1130" s="178"/>
    </row>
    <row r="1131" spans="60:156">
      <c r="BH1131" s="19"/>
      <c r="BI1131" s="19"/>
      <c r="BJ1131" s="19"/>
      <c r="BK1131" s="19"/>
      <c r="BL1131" s="19"/>
      <c r="BM1131" s="98"/>
      <c r="BN1131" s="98"/>
      <c r="BO1131" s="98"/>
      <c r="BP1131" s="98"/>
      <c r="BQ1131" s="98"/>
      <c r="BR1131" s="98"/>
      <c r="BS1131" s="98"/>
      <c r="BT1131" s="98"/>
      <c r="BU1131" s="98"/>
      <c r="BV1131" s="98"/>
      <c r="BW1131" s="98"/>
      <c r="BX1131" s="98"/>
      <c r="BY1131" s="98"/>
      <c r="BZ1131" s="98"/>
      <c r="DA1131" s="177"/>
      <c r="EH1131" s="19"/>
      <c r="EI1131" s="19"/>
      <c r="EJ1131" s="19"/>
      <c r="EK1131" s="19"/>
      <c r="EL1131" s="19"/>
      <c r="EM1131" s="98"/>
      <c r="EN1131" s="98"/>
      <c r="EO1131" s="98"/>
      <c r="EP1131" s="98"/>
      <c r="EQ1131" s="98"/>
      <c r="ER1131" s="98"/>
      <c r="ES1131" s="98"/>
      <c r="ET1131" s="98"/>
      <c r="EU1131" s="98"/>
      <c r="EV1131" s="98"/>
      <c r="EW1131" s="98"/>
      <c r="EX1131" s="98"/>
      <c r="EY1131" s="98"/>
      <c r="EZ1131" s="178"/>
    </row>
    <row r="1132" spans="60:156">
      <c r="BH1132" s="19"/>
      <c r="BI1132" s="19"/>
      <c r="BJ1132" s="19"/>
      <c r="BK1132" s="19"/>
      <c r="BL1132" s="19"/>
      <c r="BM1132" s="98"/>
      <c r="BN1132" s="98"/>
      <c r="BO1132" s="98"/>
      <c r="BP1132" s="98"/>
      <c r="BQ1132" s="98"/>
      <c r="BR1132" s="98"/>
      <c r="BS1132" s="98"/>
      <c r="BT1132" s="98"/>
      <c r="BU1132" s="98"/>
      <c r="BV1132" s="98"/>
      <c r="BW1132" s="98"/>
      <c r="BX1132" s="98"/>
      <c r="BY1132" s="98"/>
      <c r="BZ1132" s="98"/>
      <c r="DA1132" s="177"/>
      <c r="EH1132" s="19"/>
      <c r="EI1132" s="19"/>
      <c r="EJ1132" s="19"/>
      <c r="EK1132" s="19"/>
      <c r="EL1132" s="19"/>
      <c r="EM1132" s="98"/>
      <c r="EN1132" s="98"/>
      <c r="EO1132" s="98"/>
      <c r="EP1132" s="98"/>
      <c r="EQ1132" s="98"/>
      <c r="ER1132" s="98"/>
      <c r="ES1132" s="98"/>
      <c r="ET1132" s="98"/>
      <c r="EU1132" s="98"/>
      <c r="EV1132" s="98"/>
      <c r="EW1132" s="98"/>
      <c r="EX1132" s="98"/>
      <c r="EY1132" s="98"/>
      <c r="EZ1132" s="178"/>
    </row>
    <row r="1133" spans="60:156">
      <c r="BH1133" s="19"/>
      <c r="BI1133" s="19"/>
      <c r="BJ1133" s="19"/>
      <c r="BK1133" s="19"/>
      <c r="BL1133" s="19"/>
      <c r="BM1133" s="98"/>
      <c r="BN1133" s="98"/>
      <c r="BO1133" s="98"/>
      <c r="BP1133" s="98"/>
      <c r="BQ1133" s="98"/>
      <c r="BR1133" s="98"/>
      <c r="BS1133" s="98"/>
      <c r="BT1133" s="98"/>
      <c r="BU1133" s="98"/>
      <c r="BV1133" s="98"/>
      <c r="BW1133" s="98"/>
      <c r="BX1133" s="98"/>
      <c r="BY1133" s="98"/>
      <c r="BZ1133" s="98"/>
      <c r="DA1133" s="177"/>
      <c r="EH1133" s="19"/>
      <c r="EI1133" s="19"/>
      <c r="EJ1133" s="19"/>
      <c r="EK1133" s="19"/>
      <c r="EL1133" s="19"/>
      <c r="EM1133" s="98"/>
      <c r="EN1133" s="98"/>
      <c r="EO1133" s="98"/>
      <c r="EP1133" s="98"/>
      <c r="EQ1133" s="98"/>
      <c r="ER1133" s="98"/>
      <c r="ES1133" s="98"/>
      <c r="ET1133" s="98"/>
      <c r="EU1133" s="98"/>
      <c r="EV1133" s="98"/>
      <c r="EW1133" s="98"/>
      <c r="EX1133" s="98"/>
      <c r="EY1133" s="98"/>
      <c r="EZ1133" s="178"/>
    </row>
    <row r="1134" spans="60:156">
      <c r="BH1134" s="19"/>
      <c r="BI1134" s="19"/>
      <c r="BJ1134" s="19"/>
      <c r="BK1134" s="19"/>
      <c r="BL1134" s="19"/>
      <c r="BM1134" s="98"/>
      <c r="BN1134" s="98"/>
      <c r="BO1134" s="98"/>
      <c r="BP1134" s="98"/>
      <c r="BQ1134" s="98"/>
      <c r="BR1134" s="98"/>
      <c r="BS1134" s="98"/>
      <c r="BT1134" s="98"/>
      <c r="BU1134" s="98"/>
      <c r="BV1134" s="98"/>
      <c r="BW1134" s="98"/>
      <c r="BX1134" s="98"/>
      <c r="BY1134" s="98"/>
      <c r="BZ1134" s="98"/>
      <c r="DA1134" s="177"/>
      <c r="EH1134" s="19"/>
      <c r="EI1134" s="19"/>
      <c r="EJ1134" s="19"/>
      <c r="EK1134" s="19"/>
      <c r="EL1134" s="19"/>
      <c r="EM1134" s="98"/>
      <c r="EN1134" s="98"/>
      <c r="EO1134" s="98"/>
      <c r="EP1134" s="98"/>
      <c r="EQ1134" s="98"/>
      <c r="ER1134" s="98"/>
      <c r="ES1134" s="98"/>
      <c r="ET1134" s="98"/>
      <c r="EU1134" s="98"/>
      <c r="EV1134" s="98"/>
      <c r="EW1134" s="98"/>
      <c r="EX1134" s="98"/>
      <c r="EY1134" s="98"/>
      <c r="EZ1134" s="178"/>
    </row>
    <row r="1135" spans="60:156">
      <c r="BH1135" s="19"/>
      <c r="BI1135" s="19"/>
      <c r="BJ1135" s="19"/>
      <c r="BK1135" s="19"/>
      <c r="BL1135" s="19"/>
      <c r="BM1135" s="98"/>
      <c r="BN1135" s="98"/>
      <c r="BO1135" s="98"/>
      <c r="BP1135" s="98"/>
      <c r="BQ1135" s="98"/>
      <c r="BR1135" s="98"/>
      <c r="BS1135" s="98"/>
      <c r="BT1135" s="98"/>
      <c r="BU1135" s="98"/>
      <c r="BV1135" s="98"/>
      <c r="BW1135" s="98"/>
      <c r="BX1135" s="98"/>
      <c r="BY1135" s="98"/>
      <c r="BZ1135" s="98"/>
      <c r="DA1135" s="177"/>
      <c r="EH1135" s="19"/>
      <c r="EI1135" s="19"/>
      <c r="EJ1135" s="19"/>
      <c r="EK1135" s="19"/>
      <c r="EL1135" s="19"/>
      <c r="EM1135" s="98"/>
      <c r="EN1135" s="98"/>
      <c r="EO1135" s="98"/>
      <c r="EP1135" s="98"/>
      <c r="EQ1135" s="98"/>
      <c r="ER1135" s="98"/>
      <c r="ES1135" s="98"/>
      <c r="ET1135" s="98"/>
      <c r="EU1135" s="98"/>
      <c r="EV1135" s="98"/>
      <c r="EW1135" s="98"/>
      <c r="EX1135" s="98"/>
      <c r="EY1135" s="98"/>
      <c r="EZ1135" s="178"/>
    </row>
    <row r="1136" spans="60:156">
      <c r="BH1136" s="19"/>
      <c r="BI1136" s="19"/>
      <c r="BJ1136" s="19"/>
      <c r="BK1136" s="19"/>
      <c r="BL1136" s="19"/>
      <c r="BM1136" s="98"/>
      <c r="BN1136" s="98"/>
      <c r="BO1136" s="98"/>
      <c r="BP1136" s="98"/>
      <c r="BQ1136" s="98"/>
      <c r="BR1136" s="98"/>
      <c r="BS1136" s="98"/>
      <c r="BT1136" s="98"/>
      <c r="BU1136" s="98"/>
      <c r="BV1136" s="98"/>
      <c r="BW1136" s="98"/>
      <c r="BX1136" s="98"/>
      <c r="BY1136" s="98"/>
      <c r="BZ1136" s="98"/>
      <c r="DA1136" s="177"/>
      <c r="EH1136" s="19"/>
      <c r="EI1136" s="19"/>
      <c r="EJ1136" s="19"/>
      <c r="EK1136" s="19"/>
      <c r="EL1136" s="19"/>
      <c r="EM1136" s="98"/>
      <c r="EN1136" s="98"/>
      <c r="EO1136" s="98"/>
      <c r="EP1136" s="98"/>
      <c r="EQ1136" s="98"/>
      <c r="ER1136" s="98"/>
      <c r="ES1136" s="98"/>
      <c r="ET1136" s="98"/>
      <c r="EU1136" s="98"/>
      <c r="EV1136" s="98"/>
      <c r="EW1136" s="98"/>
      <c r="EX1136" s="98"/>
      <c r="EY1136" s="98"/>
      <c r="EZ1136" s="178"/>
    </row>
    <row r="1137" spans="60:156">
      <c r="BH1137" s="19"/>
      <c r="BI1137" s="19"/>
      <c r="BJ1137" s="19"/>
      <c r="BK1137" s="19"/>
      <c r="BL1137" s="19"/>
      <c r="BM1137" s="98"/>
      <c r="BN1137" s="98"/>
      <c r="BO1137" s="98"/>
      <c r="BP1137" s="98"/>
      <c r="BQ1137" s="98"/>
      <c r="BR1137" s="98"/>
      <c r="BS1137" s="98"/>
      <c r="BT1137" s="98"/>
      <c r="BU1137" s="98"/>
      <c r="BV1137" s="98"/>
      <c r="BW1137" s="98"/>
      <c r="BX1137" s="98"/>
      <c r="BY1137" s="98"/>
      <c r="BZ1137" s="98"/>
      <c r="DA1137" s="177"/>
      <c r="EH1137" s="19"/>
      <c r="EI1137" s="19"/>
      <c r="EJ1137" s="19"/>
      <c r="EK1137" s="19"/>
      <c r="EL1137" s="19"/>
      <c r="EM1137" s="98"/>
      <c r="EN1137" s="98"/>
      <c r="EO1137" s="98"/>
      <c r="EP1137" s="98"/>
      <c r="EQ1137" s="98"/>
      <c r="ER1137" s="98"/>
      <c r="ES1137" s="98"/>
      <c r="ET1137" s="98"/>
      <c r="EU1137" s="98"/>
      <c r="EV1137" s="98"/>
      <c r="EW1137" s="98"/>
      <c r="EX1137" s="98"/>
      <c r="EY1137" s="98"/>
      <c r="EZ1137" s="178"/>
    </row>
    <row r="1138" spans="60:156">
      <c r="BH1138" s="19"/>
      <c r="BI1138" s="19"/>
      <c r="BJ1138" s="19"/>
      <c r="BK1138" s="19"/>
      <c r="BL1138" s="19"/>
      <c r="BM1138" s="98"/>
      <c r="BN1138" s="98"/>
      <c r="BO1138" s="98"/>
      <c r="BP1138" s="98"/>
      <c r="BQ1138" s="98"/>
      <c r="BR1138" s="98"/>
      <c r="BS1138" s="98"/>
      <c r="BT1138" s="98"/>
      <c r="BU1138" s="98"/>
      <c r="BV1138" s="98"/>
      <c r="BW1138" s="98"/>
      <c r="BX1138" s="98"/>
      <c r="BY1138" s="98"/>
      <c r="BZ1138" s="98"/>
      <c r="DA1138" s="177"/>
      <c r="EH1138" s="19"/>
      <c r="EI1138" s="19"/>
      <c r="EJ1138" s="19"/>
      <c r="EK1138" s="19"/>
      <c r="EL1138" s="19"/>
      <c r="EM1138" s="98"/>
      <c r="EN1138" s="98"/>
      <c r="EO1138" s="98"/>
      <c r="EP1138" s="98"/>
      <c r="EQ1138" s="98"/>
      <c r="ER1138" s="98"/>
      <c r="ES1138" s="98"/>
      <c r="ET1138" s="98"/>
      <c r="EU1138" s="98"/>
      <c r="EV1138" s="98"/>
      <c r="EW1138" s="98"/>
      <c r="EX1138" s="98"/>
      <c r="EY1138" s="98"/>
      <c r="EZ1138" s="178"/>
    </row>
    <row r="1139" spans="60:156">
      <c r="BH1139" s="19"/>
      <c r="BI1139" s="19"/>
      <c r="BJ1139" s="19"/>
      <c r="BK1139" s="19"/>
      <c r="BL1139" s="19"/>
      <c r="BM1139" s="98"/>
      <c r="BN1139" s="98"/>
      <c r="BO1139" s="98"/>
      <c r="BP1139" s="98"/>
      <c r="BQ1139" s="98"/>
      <c r="BR1139" s="98"/>
      <c r="BS1139" s="98"/>
      <c r="BT1139" s="98"/>
      <c r="BU1139" s="98"/>
      <c r="BV1139" s="98"/>
      <c r="BW1139" s="98"/>
      <c r="BX1139" s="98"/>
      <c r="BY1139" s="98"/>
      <c r="BZ1139" s="98"/>
      <c r="DA1139" s="177"/>
      <c r="EH1139" s="19"/>
      <c r="EI1139" s="19"/>
      <c r="EJ1139" s="19"/>
      <c r="EK1139" s="19"/>
      <c r="EL1139" s="19"/>
      <c r="EM1139" s="98"/>
      <c r="EN1139" s="98"/>
      <c r="EO1139" s="98"/>
      <c r="EP1139" s="98"/>
      <c r="EQ1139" s="98"/>
      <c r="ER1139" s="98"/>
      <c r="ES1139" s="98"/>
      <c r="ET1139" s="98"/>
      <c r="EU1139" s="98"/>
      <c r="EV1139" s="98"/>
      <c r="EW1139" s="98"/>
      <c r="EX1139" s="98"/>
      <c r="EY1139" s="98"/>
      <c r="EZ1139" s="178"/>
    </row>
    <row r="1140" spans="60:156">
      <c r="BH1140" s="19"/>
      <c r="BI1140" s="19"/>
      <c r="BJ1140" s="19"/>
      <c r="BK1140" s="19"/>
      <c r="BL1140" s="19"/>
      <c r="BM1140" s="98"/>
      <c r="BN1140" s="98"/>
      <c r="BO1140" s="98"/>
      <c r="BP1140" s="98"/>
      <c r="BQ1140" s="98"/>
      <c r="BR1140" s="98"/>
      <c r="BS1140" s="98"/>
      <c r="BT1140" s="98"/>
      <c r="BU1140" s="98"/>
      <c r="BV1140" s="98"/>
      <c r="BW1140" s="98"/>
      <c r="BX1140" s="98"/>
      <c r="BY1140" s="98"/>
      <c r="BZ1140" s="98"/>
      <c r="DA1140" s="177"/>
      <c r="EH1140" s="19"/>
      <c r="EI1140" s="19"/>
      <c r="EJ1140" s="19"/>
      <c r="EK1140" s="19"/>
      <c r="EL1140" s="19"/>
      <c r="EM1140" s="98"/>
      <c r="EN1140" s="98"/>
      <c r="EO1140" s="98"/>
      <c r="EP1140" s="98"/>
      <c r="EQ1140" s="98"/>
      <c r="ER1140" s="98"/>
      <c r="ES1140" s="98"/>
      <c r="ET1140" s="98"/>
      <c r="EU1140" s="98"/>
      <c r="EV1140" s="98"/>
      <c r="EW1140" s="98"/>
      <c r="EX1140" s="98"/>
      <c r="EY1140" s="98"/>
      <c r="EZ1140" s="178"/>
    </row>
    <row r="1141" spans="60:156">
      <c r="BH1141" s="19"/>
      <c r="BI1141" s="19"/>
      <c r="BJ1141" s="19"/>
      <c r="BK1141" s="19"/>
      <c r="BL1141" s="19"/>
      <c r="BM1141" s="98"/>
      <c r="BN1141" s="98"/>
      <c r="BO1141" s="98"/>
      <c r="BP1141" s="98"/>
      <c r="BQ1141" s="98"/>
      <c r="BR1141" s="98"/>
      <c r="BS1141" s="98"/>
      <c r="BT1141" s="98"/>
      <c r="BU1141" s="98"/>
      <c r="BV1141" s="98"/>
      <c r="BW1141" s="98"/>
      <c r="BX1141" s="98"/>
      <c r="BY1141" s="98"/>
      <c r="BZ1141" s="98"/>
      <c r="DA1141" s="177"/>
      <c r="EH1141" s="19"/>
      <c r="EI1141" s="19"/>
      <c r="EJ1141" s="19"/>
      <c r="EK1141" s="19"/>
      <c r="EL1141" s="19"/>
      <c r="EM1141" s="98"/>
      <c r="EN1141" s="98"/>
      <c r="EO1141" s="98"/>
      <c r="EP1141" s="98"/>
      <c r="EQ1141" s="98"/>
      <c r="ER1141" s="98"/>
      <c r="ES1141" s="98"/>
      <c r="ET1141" s="98"/>
      <c r="EU1141" s="98"/>
      <c r="EV1141" s="98"/>
      <c r="EW1141" s="98"/>
      <c r="EX1141" s="98"/>
      <c r="EY1141" s="98"/>
      <c r="EZ1141" s="178"/>
    </row>
    <row r="1142" spans="60:156">
      <c r="BH1142" s="19"/>
      <c r="BI1142" s="19"/>
      <c r="BJ1142" s="19"/>
      <c r="BK1142" s="19"/>
      <c r="BL1142" s="19"/>
      <c r="BM1142" s="98"/>
      <c r="BN1142" s="98"/>
      <c r="BO1142" s="98"/>
      <c r="BP1142" s="98"/>
      <c r="BQ1142" s="98"/>
      <c r="BR1142" s="98"/>
      <c r="BS1142" s="98"/>
      <c r="BT1142" s="98"/>
      <c r="BU1142" s="98"/>
      <c r="BV1142" s="98"/>
      <c r="BW1142" s="98"/>
      <c r="BX1142" s="98"/>
      <c r="BY1142" s="98"/>
      <c r="BZ1142" s="98"/>
      <c r="DA1142" s="177"/>
      <c r="EH1142" s="19"/>
      <c r="EI1142" s="19"/>
      <c r="EJ1142" s="19"/>
      <c r="EK1142" s="19"/>
      <c r="EL1142" s="19"/>
      <c r="EM1142" s="98"/>
      <c r="EN1142" s="98"/>
      <c r="EO1142" s="98"/>
      <c r="EP1142" s="98"/>
      <c r="EQ1142" s="98"/>
      <c r="ER1142" s="98"/>
      <c r="ES1142" s="98"/>
      <c r="ET1142" s="98"/>
      <c r="EU1142" s="98"/>
      <c r="EV1142" s="98"/>
      <c r="EW1142" s="98"/>
      <c r="EX1142" s="98"/>
      <c r="EY1142" s="98"/>
      <c r="EZ1142" s="178"/>
    </row>
    <row r="1143" spans="60:156">
      <c r="BH1143" s="19"/>
      <c r="BI1143" s="19"/>
      <c r="BJ1143" s="19"/>
      <c r="BK1143" s="19"/>
      <c r="BL1143" s="19"/>
      <c r="BM1143" s="98"/>
      <c r="BN1143" s="98"/>
      <c r="BO1143" s="98"/>
      <c r="BP1143" s="98"/>
      <c r="BQ1143" s="98"/>
      <c r="BR1143" s="98"/>
      <c r="BS1143" s="98"/>
      <c r="BT1143" s="98"/>
      <c r="BU1143" s="98"/>
      <c r="BV1143" s="98"/>
      <c r="BW1143" s="98"/>
      <c r="BX1143" s="98"/>
      <c r="BY1143" s="98"/>
      <c r="BZ1143" s="98"/>
      <c r="DA1143" s="177"/>
      <c r="EH1143" s="19"/>
      <c r="EI1143" s="19"/>
      <c r="EJ1143" s="19"/>
      <c r="EK1143" s="19"/>
      <c r="EL1143" s="19"/>
      <c r="EM1143" s="98"/>
      <c r="EN1143" s="98"/>
      <c r="EO1143" s="98"/>
      <c r="EP1143" s="98"/>
      <c r="EQ1143" s="98"/>
      <c r="ER1143" s="98"/>
      <c r="ES1143" s="98"/>
      <c r="ET1143" s="98"/>
      <c r="EU1143" s="98"/>
      <c r="EV1143" s="98"/>
      <c r="EW1143" s="98"/>
      <c r="EX1143" s="98"/>
      <c r="EY1143" s="98"/>
      <c r="EZ1143" s="178"/>
    </row>
    <row r="1144" spans="60:156">
      <c r="BH1144" s="19"/>
      <c r="BI1144" s="19"/>
      <c r="BJ1144" s="19"/>
      <c r="BK1144" s="19"/>
      <c r="BL1144" s="19"/>
      <c r="BM1144" s="98"/>
      <c r="BN1144" s="98"/>
      <c r="BO1144" s="98"/>
      <c r="BP1144" s="98"/>
      <c r="BQ1144" s="98"/>
      <c r="BR1144" s="98"/>
      <c r="BS1144" s="98"/>
      <c r="BT1144" s="98"/>
      <c r="BU1144" s="98"/>
      <c r="BV1144" s="98"/>
      <c r="BW1144" s="98"/>
      <c r="BX1144" s="98"/>
      <c r="BY1144" s="98"/>
      <c r="BZ1144" s="98"/>
      <c r="DA1144" s="177"/>
      <c r="EH1144" s="19"/>
      <c r="EI1144" s="19"/>
      <c r="EJ1144" s="19"/>
      <c r="EK1144" s="19"/>
      <c r="EL1144" s="19"/>
      <c r="EM1144" s="98"/>
      <c r="EN1144" s="98"/>
      <c r="EO1144" s="98"/>
      <c r="EP1144" s="98"/>
      <c r="EQ1144" s="98"/>
      <c r="ER1144" s="98"/>
      <c r="ES1144" s="98"/>
      <c r="ET1144" s="98"/>
      <c r="EU1144" s="98"/>
      <c r="EV1144" s="98"/>
      <c r="EW1144" s="98"/>
      <c r="EX1144" s="98"/>
      <c r="EY1144" s="98"/>
      <c r="EZ1144" s="178"/>
    </row>
    <row r="1145" spans="60:156">
      <c r="BH1145" s="19"/>
      <c r="BI1145" s="19"/>
      <c r="BJ1145" s="19"/>
      <c r="BK1145" s="19"/>
      <c r="BL1145" s="19"/>
      <c r="BM1145" s="98"/>
      <c r="BN1145" s="98"/>
      <c r="BO1145" s="98"/>
      <c r="BP1145" s="98"/>
      <c r="BQ1145" s="98"/>
      <c r="BR1145" s="98"/>
      <c r="BS1145" s="98"/>
      <c r="BT1145" s="98"/>
      <c r="BU1145" s="98"/>
      <c r="BV1145" s="98"/>
      <c r="BW1145" s="98"/>
      <c r="BX1145" s="98"/>
      <c r="BY1145" s="98"/>
      <c r="BZ1145" s="98"/>
      <c r="DA1145" s="177"/>
      <c r="EH1145" s="19"/>
      <c r="EI1145" s="19"/>
      <c r="EJ1145" s="19"/>
      <c r="EK1145" s="19"/>
      <c r="EL1145" s="19"/>
      <c r="EM1145" s="98"/>
      <c r="EN1145" s="98"/>
      <c r="EO1145" s="98"/>
      <c r="EP1145" s="98"/>
      <c r="EQ1145" s="98"/>
      <c r="ER1145" s="98"/>
      <c r="ES1145" s="98"/>
      <c r="ET1145" s="98"/>
      <c r="EU1145" s="98"/>
      <c r="EV1145" s="98"/>
      <c r="EW1145" s="98"/>
      <c r="EX1145" s="98"/>
      <c r="EY1145" s="98"/>
      <c r="EZ1145" s="178"/>
    </row>
    <row r="1146" spans="60:156">
      <c r="BH1146" s="19"/>
      <c r="BI1146" s="19"/>
      <c r="BJ1146" s="19"/>
      <c r="BK1146" s="19"/>
      <c r="BL1146" s="19"/>
      <c r="BM1146" s="98"/>
      <c r="BN1146" s="98"/>
      <c r="BO1146" s="98"/>
      <c r="BP1146" s="98"/>
      <c r="BQ1146" s="98"/>
      <c r="BR1146" s="98"/>
      <c r="BS1146" s="98"/>
      <c r="BT1146" s="98"/>
      <c r="BU1146" s="98"/>
      <c r="BV1146" s="98"/>
      <c r="BW1146" s="98"/>
      <c r="BX1146" s="98"/>
      <c r="BY1146" s="98"/>
      <c r="BZ1146" s="98"/>
      <c r="DA1146" s="177"/>
      <c r="EH1146" s="19"/>
      <c r="EI1146" s="19"/>
      <c r="EJ1146" s="19"/>
      <c r="EK1146" s="19"/>
      <c r="EL1146" s="19"/>
      <c r="EM1146" s="98"/>
      <c r="EN1146" s="98"/>
      <c r="EO1146" s="98"/>
      <c r="EP1146" s="98"/>
      <c r="EQ1146" s="98"/>
      <c r="ER1146" s="98"/>
      <c r="ES1146" s="98"/>
      <c r="ET1146" s="98"/>
      <c r="EU1146" s="98"/>
      <c r="EV1146" s="98"/>
      <c r="EW1146" s="98"/>
      <c r="EX1146" s="98"/>
      <c r="EY1146" s="98"/>
      <c r="EZ1146" s="178"/>
    </row>
    <row r="1147" spans="60:156">
      <c r="BH1147" s="19"/>
      <c r="BI1147" s="19"/>
      <c r="BJ1147" s="19"/>
      <c r="BK1147" s="19"/>
      <c r="BL1147" s="19"/>
      <c r="BM1147" s="98"/>
      <c r="BN1147" s="98"/>
      <c r="BO1147" s="98"/>
      <c r="BP1147" s="98"/>
      <c r="BQ1147" s="98"/>
      <c r="BR1147" s="98"/>
      <c r="BS1147" s="98"/>
      <c r="BT1147" s="98"/>
      <c r="BU1147" s="98"/>
      <c r="BV1147" s="98"/>
      <c r="BW1147" s="98"/>
      <c r="BX1147" s="98"/>
      <c r="BY1147" s="98"/>
      <c r="BZ1147" s="98"/>
      <c r="DA1147" s="177"/>
      <c r="EH1147" s="19"/>
      <c r="EI1147" s="19"/>
      <c r="EJ1147" s="19"/>
      <c r="EK1147" s="19"/>
      <c r="EL1147" s="19"/>
      <c r="EM1147" s="98"/>
      <c r="EN1147" s="98"/>
      <c r="EO1147" s="98"/>
      <c r="EP1147" s="98"/>
      <c r="EQ1147" s="98"/>
      <c r="ER1147" s="98"/>
      <c r="ES1147" s="98"/>
      <c r="ET1147" s="98"/>
      <c r="EU1147" s="98"/>
      <c r="EV1147" s="98"/>
      <c r="EW1147" s="98"/>
      <c r="EX1147" s="98"/>
      <c r="EY1147" s="98"/>
      <c r="EZ1147" s="178"/>
    </row>
    <row r="1148" spans="60:156">
      <c r="BH1148" s="19"/>
      <c r="BI1148" s="19"/>
      <c r="BJ1148" s="19"/>
      <c r="BK1148" s="19"/>
      <c r="BL1148" s="19"/>
      <c r="BM1148" s="98"/>
      <c r="BN1148" s="98"/>
      <c r="BO1148" s="98"/>
      <c r="BP1148" s="98"/>
      <c r="BQ1148" s="98"/>
      <c r="BR1148" s="98"/>
      <c r="BS1148" s="98"/>
      <c r="BT1148" s="98"/>
      <c r="BU1148" s="98"/>
      <c r="BV1148" s="98"/>
      <c r="BW1148" s="98"/>
      <c r="BX1148" s="98"/>
      <c r="BY1148" s="98"/>
      <c r="BZ1148" s="98"/>
      <c r="DA1148" s="177"/>
      <c r="EH1148" s="19"/>
      <c r="EI1148" s="19"/>
      <c r="EJ1148" s="19"/>
      <c r="EK1148" s="19"/>
      <c r="EL1148" s="19"/>
      <c r="EM1148" s="98"/>
      <c r="EN1148" s="98"/>
      <c r="EO1148" s="98"/>
      <c r="EP1148" s="98"/>
      <c r="EQ1148" s="98"/>
      <c r="ER1148" s="98"/>
      <c r="ES1148" s="98"/>
      <c r="ET1148" s="98"/>
      <c r="EU1148" s="98"/>
      <c r="EV1148" s="98"/>
      <c r="EW1148" s="98"/>
      <c r="EX1148" s="98"/>
      <c r="EY1148" s="98"/>
      <c r="EZ1148" s="178"/>
    </row>
    <row r="1149" spans="60:156">
      <c r="BH1149" s="19"/>
      <c r="BI1149" s="19"/>
      <c r="BJ1149" s="19"/>
      <c r="BK1149" s="19"/>
      <c r="BL1149" s="19"/>
      <c r="BM1149" s="98"/>
      <c r="BN1149" s="98"/>
      <c r="BO1149" s="98"/>
      <c r="BP1149" s="98"/>
      <c r="BQ1149" s="98"/>
      <c r="BR1149" s="98"/>
      <c r="BS1149" s="98"/>
      <c r="BT1149" s="98"/>
      <c r="BU1149" s="98"/>
      <c r="BV1149" s="98"/>
      <c r="BW1149" s="98"/>
      <c r="BX1149" s="98"/>
      <c r="BY1149" s="98"/>
      <c r="BZ1149" s="98"/>
      <c r="DA1149" s="177"/>
      <c r="EH1149" s="19"/>
      <c r="EI1149" s="19"/>
      <c r="EJ1149" s="19"/>
      <c r="EK1149" s="19"/>
      <c r="EL1149" s="19"/>
      <c r="EM1149" s="98"/>
      <c r="EN1149" s="98"/>
      <c r="EO1149" s="98"/>
      <c r="EP1149" s="98"/>
      <c r="EQ1149" s="98"/>
      <c r="ER1149" s="98"/>
      <c r="ES1149" s="98"/>
      <c r="ET1149" s="98"/>
      <c r="EU1149" s="98"/>
      <c r="EV1149" s="98"/>
      <c r="EW1149" s="98"/>
      <c r="EX1149" s="98"/>
      <c r="EY1149" s="98"/>
      <c r="EZ1149" s="178"/>
    </row>
    <row r="1150" spans="60:156">
      <c r="BH1150" s="19"/>
      <c r="BI1150" s="19"/>
      <c r="BJ1150" s="19"/>
      <c r="BK1150" s="19"/>
      <c r="BL1150" s="19"/>
      <c r="BM1150" s="98"/>
      <c r="BN1150" s="98"/>
      <c r="BO1150" s="98"/>
      <c r="BP1150" s="98"/>
      <c r="BQ1150" s="98"/>
      <c r="BR1150" s="98"/>
      <c r="BS1150" s="98"/>
      <c r="BT1150" s="98"/>
      <c r="BU1150" s="98"/>
      <c r="BV1150" s="98"/>
      <c r="BW1150" s="98"/>
      <c r="BX1150" s="98"/>
      <c r="BY1150" s="98"/>
      <c r="BZ1150" s="98"/>
      <c r="DA1150" s="177"/>
      <c r="EH1150" s="19"/>
      <c r="EI1150" s="19"/>
      <c r="EJ1150" s="19"/>
      <c r="EK1150" s="19"/>
      <c r="EL1150" s="19"/>
      <c r="EM1150" s="98"/>
      <c r="EN1150" s="98"/>
      <c r="EO1150" s="98"/>
      <c r="EP1150" s="98"/>
      <c r="EQ1150" s="98"/>
      <c r="ER1150" s="98"/>
      <c r="ES1150" s="98"/>
      <c r="ET1150" s="98"/>
      <c r="EU1150" s="98"/>
      <c r="EV1150" s="98"/>
      <c r="EW1150" s="98"/>
      <c r="EX1150" s="98"/>
      <c r="EY1150" s="98"/>
      <c r="EZ1150" s="178"/>
    </row>
    <row r="1151" spans="60:156">
      <c r="BH1151" s="19"/>
      <c r="BI1151" s="19"/>
      <c r="BJ1151" s="19"/>
      <c r="BK1151" s="19"/>
      <c r="BL1151" s="19"/>
      <c r="BM1151" s="98"/>
      <c r="BN1151" s="98"/>
      <c r="BO1151" s="98"/>
      <c r="BP1151" s="98"/>
      <c r="BQ1151" s="98"/>
      <c r="BR1151" s="98"/>
      <c r="BS1151" s="98"/>
      <c r="BT1151" s="98"/>
      <c r="BU1151" s="98"/>
      <c r="BV1151" s="98"/>
      <c r="BW1151" s="98"/>
      <c r="BX1151" s="98"/>
      <c r="BY1151" s="98"/>
      <c r="BZ1151" s="98"/>
      <c r="DA1151" s="177"/>
      <c r="EH1151" s="19"/>
      <c r="EI1151" s="19"/>
      <c r="EJ1151" s="19"/>
      <c r="EK1151" s="19"/>
      <c r="EL1151" s="19"/>
      <c r="EM1151" s="98"/>
      <c r="EN1151" s="98"/>
      <c r="EO1151" s="98"/>
      <c r="EP1151" s="98"/>
      <c r="EQ1151" s="98"/>
      <c r="ER1151" s="98"/>
      <c r="ES1151" s="98"/>
      <c r="ET1151" s="98"/>
      <c r="EU1151" s="98"/>
      <c r="EV1151" s="98"/>
      <c r="EW1151" s="98"/>
      <c r="EX1151" s="98"/>
      <c r="EY1151" s="98"/>
      <c r="EZ1151" s="178"/>
    </row>
    <row r="1152" spans="60:156">
      <c r="BH1152" s="19"/>
      <c r="BI1152" s="19"/>
      <c r="BJ1152" s="19"/>
      <c r="BK1152" s="19"/>
      <c r="BL1152" s="19"/>
      <c r="BM1152" s="98"/>
      <c r="BN1152" s="98"/>
      <c r="BO1152" s="98"/>
      <c r="BP1152" s="98"/>
      <c r="BQ1152" s="98"/>
      <c r="BR1152" s="98"/>
      <c r="BS1152" s="98"/>
      <c r="BT1152" s="98"/>
      <c r="BU1152" s="98"/>
      <c r="BV1152" s="98"/>
      <c r="BW1152" s="98"/>
      <c r="BX1152" s="98"/>
      <c r="BY1152" s="98"/>
      <c r="BZ1152" s="98"/>
      <c r="DA1152" s="177"/>
      <c r="EH1152" s="19"/>
      <c r="EI1152" s="19"/>
      <c r="EJ1152" s="19"/>
      <c r="EK1152" s="19"/>
      <c r="EL1152" s="19"/>
      <c r="EM1152" s="98"/>
      <c r="EN1152" s="98"/>
      <c r="EO1152" s="98"/>
      <c r="EP1152" s="98"/>
      <c r="EQ1152" s="98"/>
      <c r="ER1152" s="98"/>
      <c r="ES1152" s="98"/>
      <c r="ET1152" s="98"/>
      <c r="EU1152" s="98"/>
      <c r="EV1152" s="98"/>
      <c r="EW1152" s="98"/>
      <c r="EX1152" s="98"/>
      <c r="EY1152" s="98"/>
      <c r="EZ1152" s="178"/>
    </row>
    <row r="1153" spans="60:156">
      <c r="BH1153" s="19"/>
      <c r="BI1153" s="19"/>
      <c r="BJ1153" s="19"/>
      <c r="BK1153" s="19"/>
      <c r="BL1153" s="19"/>
      <c r="BM1153" s="98"/>
      <c r="BN1153" s="98"/>
      <c r="BO1153" s="98"/>
      <c r="BP1153" s="98"/>
      <c r="BQ1153" s="98"/>
      <c r="BR1153" s="98"/>
      <c r="BS1153" s="98"/>
      <c r="BT1153" s="98"/>
      <c r="BU1153" s="98"/>
      <c r="BV1153" s="98"/>
      <c r="BW1153" s="98"/>
      <c r="BX1153" s="98"/>
      <c r="BY1153" s="98"/>
      <c r="BZ1153" s="98"/>
      <c r="DA1153" s="177"/>
      <c r="EH1153" s="19"/>
      <c r="EI1153" s="19"/>
      <c r="EJ1153" s="19"/>
      <c r="EK1153" s="19"/>
      <c r="EL1153" s="19"/>
      <c r="EM1153" s="98"/>
      <c r="EN1153" s="98"/>
      <c r="EO1153" s="98"/>
      <c r="EP1153" s="98"/>
      <c r="EQ1153" s="98"/>
      <c r="ER1153" s="98"/>
      <c r="ES1153" s="98"/>
      <c r="ET1153" s="98"/>
      <c r="EU1153" s="98"/>
      <c r="EV1153" s="98"/>
      <c r="EW1153" s="98"/>
      <c r="EX1153" s="98"/>
      <c r="EY1153" s="98"/>
      <c r="EZ1153" s="178"/>
    </row>
    <row r="1154" spans="60:156">
      <c r="BH1154" s="19"/>
      <c r="BI1154" s="19"/>
      <c r="BJ1154" s="19"/>
      <c r="BK1154" s="19"/>
      <c r="BL1154" s="19"/>
      <c r="BM1154" s="98"/>
      <c r="BN1154" s="98"/>
      <c r="BO1154" s="98"/>
      <c r="BP1154" s="98"/>
      <c r="BQ1154" s="98"/>
      <c r="BR1154" s="98"/>
      <c r="BS1154" s="98"/>
      <c r="BT1154" s="98"/>
      <c r="BU1154" s="98"/>
      <c r="BV1154" s="98"/>
      <c r="BW1154" s="98"/>
      <c r="BX1154" s="98"/>
      <c r="BY1154" s="98"/>
      <c r="BZ1154" s="98"/>
      <c r="DA1154" s="177"/>
      <c r="EH1154" s="19"/>
      <c r="EI1154" s="19"/>
      <c r="EJ1154" s="19"/>
      <c r="EK1154" s="19"/>
      <c r="EL1154" s="19"/>
      <c r="EM1154" s="98"/>
      <c r="EN1154" s="98"/>
      <c r="EO1154" s="98"/>
      <c r="EP1154" s="98"/>
      <c r="EQ1154" s="98"/>
      <c r="ER1154" s="98"/>
      <c r="ES1154" s="98"/>
      <c r="ET1154" s="98"/>
      <c r="EU1154" s="98"/>
      <c r="EV1154" s="98"/>
      <c r="EW1154" s="98"/>
      <c r="EX1154" s="98"/>
      <c r="EY1154" s="98"/>
      <c r="EZ1154" s="178"/>
    </row>
    <row r="1155" spans="60:156">
      <c r="BH1155" s="19"/>
      <c r="BI1155" s="19"/>
      <c r="BJ1155" s="19"/>
      <c r="BK1155" s="19"/>
      <c r="BL1155" s="19"/>
      <c r="BM1155" s="98"/>
      <c r="BN1155" s="98"/>
      <c r="BO1155" s="98"/>
      <c r="BP1155" s="98"/>
      <c r="BQ1155" s="98"/>
      <c r="BR1155" s="98"/>
      <c r="BS1155" s="98"/>
      <c r="BT1155" s="98"/>
      <c r="BU1155" s="98"/>
      <c r="BV1155" s="98"/>
      <c r="BW1155" s="98"/>
      <c r="BX1155" s="98"/>
      <c r="BY1155" s="98"/>
      <c r="BZ1155" s="98"/>
      <c r="DA1155" s="177"/>
      <c r="EH1155" s="19"/>
      <c r="EI1155" s="19"/>
      <c r="EJ1155" s="19"/>
      <c r="EK1155" s="19"/>
      <c r="EL1155" s="19"/>
      <c r="EM1155" s="98"/>
      <c r="EN1155" s="98"/>
      <c r="EO1155" s="98"/>
      <c r="EP1155" s="98"/>
      <c r="EQ1155" s="98"/>
      <c r="ER1155" s="98"/>
      <c r="ES1155" s="98"/>
      <c r="ET1155" s="98"/>
      <c r="EU1155" s="98"/>
      <c r="EV1155" s="98"/>
      <c r="EW1155" s="98"/>
      <c r="EX1155" s="98"/>
      <c r="EY1155" s="98"/>
      <c r="EZ1155" s="178"/>
    </row>
    <row r="1156" spans="60:156">
      <c r="BH1156" s="19"/>
      <c r="BI1156" s="19"/>
      <c r="BJ1156" s="19"/>
      <c r="BK1156" s="19"/>
      <c r="BL1156" s="19"/>
      <c r="BM1156" s="98"/>
      <c r="BN1156" s="98"/>
      <c r="BO1156" s="98"/>
      <c r="BP1156" s="98"/>
      <c r="BQ1156" s="98"/>
      <c r="BR1156" s="98"/>
      <c r="BS1156" s="98"/>
      <c r="BT1156" s="98"/>
      <c r="BU1156" s="98"/>
      <c r="BV1156" s="98"/>
      <c r="BW1156" s="98"/>
      <c r="BX1156" s="98"/>
      <c r="BY1156" s="98"/>
      <c r="BZ1156" s="98"/>
      <c r="DA1156" s="177"/>
      <c r="EH1156" s="19"/>
      <c r="EI1156" s="19"/>
      <c r="EJ1156" s="19"/>
      <c r="EK1156" s="19"/>
      <c r="EL1156" s="19"/>
      <c r="EM1156" s="98"/>
      <c r="EN1156" s="98"/>
      <c r="EO1156" s="98"/>
      <c r="EP1156" s="98"/>
      <c r="EQ1156" s="98"/>
      <c r="ER1156" s="98"/>
      <c r="ES1156" s="98"/>
      <c r="ET1156" s="98"/>
      <c r="EU1156" s="98"/>
      <c r="EV1156" s="98"/>
      <c r="EW1156" s="98"/>
      <c r="EX1156" s="98"/>
      <c r="EY1156" s="98"/>
      <c r="EZ1156" s="178"/>
    </row>
    <row r="1157" spans="60:156">
      <c r="BH1157" s="19"/>
      <c r="BI1157" s="19"/>
      <c r="BJ1157" s="19"/>
      <c r="BK1157" s="19"/>
      <c r="BL1157" s="19"/>
      <c r="BM1157" s="98"/>
      <c r="BN1157" s="98"/>
      <c r="BO1157" s="98"/>
      <c r="BP1157" s="98"/>
      <c r="BQ1157" s="98"/>
      <c r="BR1157" s="98"/>
      <c r="BS1157" s="98"/>
      <c r="BT1157" s="98"/>
      <c r="BU1157" s="98"/>
      <c r="BV1157" s="98"/>
      <c r="BW1157" s="98"/>
      <c r="BX1157" s="98"/>
      <c r="BY1157" s="98"/>
      <c r="BZ1157" s="98"/>
      <c r="DA1157" s="177"/>
      <c r="EH1157" s="19"/>
      <c r="EI1157" s="19"/>
      <c r="EJ1157" s="19"/>
      <c r="EK1157" s="19"/>
      <c r="EL1157" s="19"/>
      <c r="EM1157" s="98"/>
      <c r="EN1157" s="98"/>
      <c r="EO1157" s="98"/>
      <c r="EP1157" s="98"/>
      <c r="EQ1157" s="98"/>
      <c r="ER1157" s="98"/>
      <c r="ES1157" s="98"/>
      <c r="ET1157" s="98"/>
      <c r="EU1157" s="98"/>
      <c r="EV1157" s="98"/>
      <c r="EW1157" s="98"/>
      <c r="EX1157" s="98"/>
      <c r="EY1157" s="98"/>
      <c r="EZ1157" s="178"/>
    </row>
    <row r="1158" spans="60:156">
      <c r="BH1158" s="19"/>
      <c r="BI1158" s="19"/>
      <c r="BJ1158" s="19"/>
      <c r="BK1158" s="19"/>
      <c r="BL1158" s="19"/>
      <c r="BM1158" s="98"/>
      <c r="BN1158" s="98"/>
      <c r="BO1158" s="98"/>
      <c r="BP1158" s="98"/>
      <c r="BQ1158" s="98"/>
      <c r="BR1158" s="98"/>
      <c r="BS1158" s="98"/>
      <c r="BT1158" s="98"/>
      <c r="BU1158" s="98"/>
      <c r="BV1158" s="98"/>
      <c r="BW1158" s="98"/>
      <c r="BX1158" s="98"/>
      <c r="BY1158" s="98"/>
      <c r="BZ1158" s="98"/>
      <c r="DA1158" s="177"/>
      <c r="EH1158" s="19"/>
      <c r="EI1158" s="19"/>
      <c r="EJ1158" s="19"/>
      <c r="EK1158" s="19"/>
      <c r="EL1158" s="19"/>
      <c r="EM1158" s="98"/>
      <c r="EN1158" s="98"/>
      <c r="EO1158" s="98"/>
      <c r="EP1158" s="98"/>
      <c r="EQ1158" s="98"/>
      <c r="ER1158" s="98"/>
      <c r="ES1158" s="98"/>
      <c r="ET1158" s="98"/>
      <c r="EU1158" s="98"/>
      <c r="EV1158" s="98"/>
      <c r="EW1158" s="98"/>
      <c r="EX1158" s="98"/>
      <c r="EY1158" s="98"/>
      <c r="EZ1158" s="178"/>
    </row>
    <row r="1159" spans="60:156">
      <c r="BH1159" s="19"/>
      <c r="BI1159" s="19"/>
      <c r="BJ1159" s="19"/>
      <c r="BK1159" s="19"/>
      <c r="BL1159" s="19"/>
      <c r="BM1159" s="98"/>
      <c r="BN1159" s="98"/>
      <c r="BO1159" s="98"/>
      <c r="BP1159" s="98"/>
      <c r="BQ1159" s="98"/>
      <c r="BR1159" s="98"/>
      <c r="BS1159" s="98"/>
      <c r="BT1159" s="98"/>
      <c r="BU1159" s="98"/>
      <c r="BV1159" s="98"/>
      <c r="BW1159" s="98"/>
      <c r="BX1159" s="98"/>
      <c r="BY1159" s="98"/>
      <c r="BZ1159" s="98"/>
      <c r="DA1159" s="177"/>
      <c r="EH1159" s="19"/>
      <c r="EI1159" s="19"/>
      <c r="EJ1159" s="19"/>
      <c r="EK1159" s="19"/>
      <c r="EL1159" s="19"/>
      <c r="EM1159" s="98"/>
      <c r="EN1159" s="98"/>
      <c r="EO1159" s="98"/>
      <c r="EP1159" s="98"/>
      <c r="EQ1159" s="98"/>
      <c r="ER1159" s="98"/>
      <c r="ES1159" s="98"/>
      <c r="ET1159" s="98"/>
      <c r="EU1159" s="98"/>
      <c r="EV1159" s="98"/>
      <c r="EW1159" s="98"/>
      <c r="EX1159" s="98"/>
      <c r="EY1159" s="98"/>
      <c r="EZ1159" s="178"/>
    </row>
    <row r="1160" spans="60:156">
      <c r="BH1160" s="19"/>
      <c r="BI1160" s="19"/>
      <c r="BJ1160" s="19"/>
      <c r="BK1160" s="19"/>
      <c r="BL1160" s="19"/>
      <c r="BM1160" s="98"/>
      <c r="BN1160" s="98"/>
      <c r="BO1160" s="98"/>
      <c r="BP1160" s="98"/>
      <c r="BQ1160" s="98"/>
      <c r="BR1160" s="98"/>
      <c r="BS1160" s="98"/>
      <c r="BT1160" s="98"/>
      <c r="BU1160" s="98"/>
      <c r="BV1160" s="98"/>
      <c r="BW1160" s="98"/>
      <c r="BX1160" s="98"/>
      <c r="BY1160" s="98"/>
      <c r="BZ1160" s="98"/>
      <c r="DA1160" s="177"/>
      <c r="EH1160" s="19"/>
      <c r="EI1160" s="19"/>
      <c r="EJ1160" s="19"/>
      <c r="EK1160" s="19"/>
      <c r="EL1160" s="19"/>
      <c r="EM1160" s="98"/>
      <c r="EN1160" s="98"/>
      <c r="EO1160" s="98"/>
      <c r="EP1160" s="98"/>
      <c r="EQ1160" s="98"/>
      <c r="ER1160" s="98"/>
      <c r="ES1160" s="98"/>
      <c r="ET1160" s="98"/>
      <c r="EU1160" s="98"/>
      <c r="EV1160" s="98"/>
      <c r="EW1160" s="98"/>
      <c r="EX1160" s="98"/>
      <c r="EY1160" s="98"/>
      <c r="EZ1160" s="178"/>
    </row>
    <row r="1161" spans="60:156">
      <c r="BH1161" s="19"/>
      <c r="BI1161" s="19"/>
      <c r="BJ1161" s="19"/>
      <c r="BK1161" s="19"/>
      <c r="BL1161" s="19"/>
      <c r="BM1161" s="98"/>
      <c r="BN1161" s="98"/>
      <c r="BO1161" s="98"/>
      <c r="BP1161" s="98"/>
      <c r="BQ1161" s="98"/>
      <c r="BR1161" s="98"/>
      <c r="BS1161" s="98"/>
      <c r="BT1161" s="98"/>
      <c r="BU1161" s="98"/>
      <c r="BV1161" s="98"/>
      <c r="BW1161" s="98"/>
      <c r="BX1161" s="98"/>
      <c r="BY1161" s="98"/>
      <c r="BZ1161" s="98"/>
      <c r="DA1161" s="177"/>
      <c r="EH1161" s="19"/>
      <c r="EI1161" s="19"/>
      <c r="EJ1161" s="19"/>
      <c r="EK1161" s="19"/>
      <c r="EL1161" s="19"/>
      <c r="EM1161" s="98"/>
      <c r="EN1161" s="98"/>
      <c r="EO1161" s="98"/>
      <c r="EP1161" s="98"/>
      <c r="EQ1161" s="98"/>
      <c r="ER1161" s="98"/>
      <c r="ES1161" s="98"/>
      <c r="ET1161" s="98"/>
      <c r="EU1161" s="98"/>
      <c r="EV1161" s="98"/>
      <c r="EW1161" s="98"/>
      <c r="EX1161" s="98"/>
      <c r="EY1161" s="98"/>
      <c r="EZ1161" s="178"/>
    </row>
    <row r="1162" spans="60:156">
      <c r="BH1162" s="19"/>
      <c r="BI1162" s="19"/>
      <c r="BJ1162" s="19"/>
      <c r="BK1162" s="19"/>
      <c r="BL1162" s="19"/>
      <c r="BM1162" s="98"/>
      <c r="BN1162" s="98"/>
      <c r="BO1162" s="98"/>
      <c r="BP1162" s="98"/>
      <c r="BQ1162" s="98"/>
      <c r="BR1162" s="98"/>
      <c r="BS1162" s="98"/>
      <c r="BT1162" s="98"/>
      <c r="BU1162" s="98"/>
      <c r="BV1162" s="98"/>
      <c r="BW1162" s="98"/>
      <c r="BX1162" s="98"/>
      <c r="BY1162" s="98"/>
      <c r="BZ1162" s="98"/>
      <c r="DA1162" s="177"/>
      <c r="EH1162" s="19"/>
      <c r="EI1162" s="19"/>
      <c r="EJ1162" s="19"/>
      <c r="EK1162" s="19"/>
      <c r="EL1162" s="19"/>
      <c r="EM1162" s="98"/>
      <c r="EN1162" s="98"/>
      <c r="EO1162" s="98"/>
      <c r="EP1162" s="98"/>
      <c r="EQ1162" s="98"/>
      <c r="ER1162" s="98"/>
      <c r="ES1162" s="98"/>
      <c r="ET1162" s="98"/>
      <c r="EU1162" s="98"/>
      <c r="EV1162" s="98"/>
      <c r="EW1162" s="98"/>
      <c r="EX1162" s="98"/>
      <c r="EY1162" s="98"/>
      <c r="EZ1162" s="178"/>
    </row>
    <row r="1163" spans="60:156">
      <c r="BH1163" s="19"/>
      <c r="BI1163" s="19"/>
      <c r="BJ1163" s="19"/>
      <c r="BK1163" s="19"/>
      <c r="BL1163" s="19"/>
      <c r="BM1163" s="98"/>
      <c r="BN1163" s="98"/>
      <c r="BO1163" s="98"/>
      <c r="BP1163" s="98"/>
      <c r="BQ1163" s="98"/>
      <c r="BR1163" s="98"/>
      <c r="BS1163" s="98"/>
      <c r="BT1163" s="98"/>
      <c r="BU1163" s="98"/>
      <c r="BV1163" s="98"/>
      <c r="BW1163" s="98"/>
      <c r="BX1163" s="98"/>
      <c r="BY1163" s="98"/>
      <c r="BZ1163" s="98"/>
      <c r="DA1163" s="177"/>
      <c r="EH1163" s="19"/>
      <c r="EI1163" s="19"/>
      <c r="EJ1163" s="19"/>
      <c r="EK1163" s="19"/>
      <c r="EL1163" s="19"/>
      <c r="EM1163" s="98"/>
      <c r="EN1163" s="98"/>
      <c r="EO1163" s="98"/>
      <c r="EP1163" s="98"/>
      <c r="EQ1163" s="98"/>
      <c r="ER1163" s="98"/>
      <c r="ES1163" s="98"/>
      <c r="ET1163" s="98"/>
      <c r="EU1163" s="98"/>
      <c r="EV1163" s="98"/>
      <c r="EW1163" s="98"/>
      <c r="EX1163" s="98"/>
      <c r="EY1163" s="98"/>
      <c r="EZ1163" s="178"/>
    </row>
    <row r="1164" spans="60:156">
      <c r="BH1164" s="19"/>
      <c r="BI1164" s="19"/>
      <c r="BJ1164" s="19"/>
      <c r="BK1164" s="19"/>
      <c r="BL1164" s="19"/>
      <c r="BM1164" s="98"/>
      <c r="BN1164" s="98"/>
      <c r="BO1164" s="98"/>
      <c r="BP1164" s="98"/>
      <c r="BQ1164" s="98"/>
      <c r="BR1164" s="98"/>
      <c r="BS1164" s="98"/>
      <c r="BT1164" s="98"/>
      <c r="BU1164" s="98"/>
      <c r="BV1164" s="98"/>
      <c r="BW1164" s="98"/>
      <c r="BX1164" s="98"/>
      <c r="BY1164" s="98"/>
      <c r="BZ1164" s="98"/>
      <c r="DA1164" s="177"/>
      <c r="EH1164" s="19"/>
      <c r="EI1164" s="19"/>
      <c r="EJ1164" s="19"/>
      <c r="EK1164" s="19"/>
      <c r="EL1164" s="19"/>
      <c r="EM1164" s="98"/>
      <c r="EN1164" s="98"/>
      <c r="EO1164" s="98"/>
      <c r="EP1164" s="98"/>
      <c r="EQ1164" s="98"/>
      <c r="ER1164" s="98"/>
      <c r="ES1164" s="98"/>
      <c r="ET1164" s="98"/>
      <c r="EU1164" s="98"/>
      <c r="EV1164" s="98"/>
      <c r="EW1164" s="98"/>
      <c r="EX1164" s="98"/>
      <c r="EY1164" s="98"/>
      <c r="EZ1164" s="178"/>
    </row>
    <row r="1165" spans="60:156">
      <c r="BH1165" s="19"/>
      <c r="BI1165" s="19"/>
      <c r="BJ1165" s="19"/>
      <c r="BK1165" s="19"/>
      <c r="BL1165" s="19"/>
      <c r="BM1165" s="98"/>
      <c r="BN1165" s="98"/>
      <c r="BO1165" s="98"/>
      <c r="BP1165" s="98"/>
      <c r="BQ1165" s="98"/>
      <c r="BR1165" s="98"/>
      <c r="BS1165" s="98"/>
      <c r="BT1165" s="98"/>
      <c r="BU1165" s="98"/>
      <c r="BV1165" s="98"/>
      <c r="BW1165" s="98"/>
      <c r="BX1165" s="98"/>
      <c r="BY1165" s="98"/>
      <c r="BZ1165" s="98"/>
      <c r="DA1165" s="177"/>
      <c r="EH1165" s="19"/>
      <c r="EI1165" s="19"/>
      <c r="EJ1165" s="19"/>
      <c r="EK1165" s="19"/>
      <c r="EL1165" s="19"/>
      <c r="EM1165" s="98"/>
      <c r="EN1165" s="98"/>
      <c r="EO1165" s="98"/>
      <c r="EP1165" s="98"/>
      <c r="EQ1165" s="98"/>
      <c r="ER1165" s="98"/>
      <c r="ES1165" s="98"/>
      <c r="ET1165" s="98"/>
      <c r="EU1165" s="98"/>
      <c r="EV1165" s="98"/>
      <c r="EW1165" s="98"/>
      <c r="EX1165" s="98"/>
      <c r="EY1165" s="98"/>
      <c r="EZ1165" s="178"/>
    </row>
    <row r="1166" spans="60:156">
      <c r="BH1166" s="19"/>
      <c r="BI1166" s="19"/>
      <c r="BJ1166" s="19"/>
      <c r="BK1166" s="19"/>
      <c r="BL1166" s="19"/>
      <c r="BM1166" s="98"/>
      <c r="BN1166" s="98"/>
      <c r="BO1166" s="98"/>
      <c r="BP1166" s="98"/>
      <c r="BQ1166" s="98"/>
      <c r="BR1166" s="98"/>
      <c r="BS1166" s="98"/>
      <c r="BT1166" s="98"/>
      <c r="BU1166" s="98"/>
      <c r="BV1166" s="98"/>
      <c r="BW1166" s="98"/>
      <c r="BX1166" s="98"/>
      <c r="BY1166" s="98"/>
      <c r="BZ1166" s="98"/>
      <c r="DA1166" s="177"/>
      <c r="EH1166" s="19"/>
      <c r="EI1166" s="19"/>
      <c r="EJ1166" s="19"/>
      <c r="EK1166" s="19"/>
      <c r="EL1166" s="19"/>
      <c r="EM1166" s="98"/>
      <c r="EN1166" s="98"/>
      <c r="EO1166" s="98"/>
      <c r="EP1166" s="98"/>
      <c r="EQ1166" s="98"/>
      <c r="ER1166" s="98"/>
      <c r="ES1166" s="98"/>
      <c r="ET1166" s="98"/>
      <c r="EU1166" s="98"/>
      <c r="EV1166" s="98"/>
      <c r="EW1166" s="98"/>
      <c r="EX1166" s="98"/>
      <c r="EY1166" s="98"/>
      <c r="EZ1166" s="178"/>
    </row>
    <row r="1167" spans="60:156">
      <c r="BH1167" s="19"/>
      <c r="BI1167" s="19"/>
      <c r="BJ1167" s="19"/>
      <c r="BK1167" s="19"/>
      <c r="BL1167" s="19"/>
      <c r="BM1167" s="98"/>
      <c r="BN1167" s="98"/>
      <c r="BO1167" s="98"/>
      <c r="BP1167" s="98"/>
      <c r="BQ1167" s="98"/>
      <c r="BR1167" s="98"/>
      <c r="BS1167" s="98"/>
      <c r="BT1167" s="98"/>
      <c r="BU1167" s="98"/>
      <c r="BV1167" s="98"/>
      <c r="BW1167" s="98"/>
      <c r="BX1167" s="98"/>
      <c r="BY1167" s="98"/>
      <c r="BZ1167" s="98"/>
      <c r="DA1167" s="177"/>
      <c r="EH1167" s="19"/>
      <c r="EI1167" s="19"/>
      <c r="EJ1167" s="19"/>
      <c r="EK1167" s="19"/>
      <c r="EL1167" s="19"/>
      <c r="EM1167" s="98"/>
      <c r="EN1167" s="98"/>
      <c r="EO1167" s="98"/>
      <c r="EP1167" s="98"/>
      <c r="EQ1167" s="98"/>
      <c r="ER1167" s="98"/>
      <c r="ES1167" s="98"/>
      <c r="ET1167" s="98"/>
      <c r="EU1167" s="98"/>
      <c r="EV1167" s="98"/>
      <c r="EW1167" s="98"/>
      <c r="EX1167" s="98"/>
      <c r="EY1167" s="98"/>
      <c r="EZ1167" s="178"/>
    </row>
    <row r="1168" spans="60:156">
      <c r="BH1168" s="19"/>
      <c r="BI1168" s="19"/>
      <c r="BJ1168" s="19"/>
      <c r="BK1168" s="19"/>
      <c r="BL1168" s="19"/>
      <c r="BM1168" s="98"/>
      <c r="BN1168" s="98"/>
      <c r="BO1168" s="98"/>
      <c r="BP1168" s="98"/>
      <c r="BQ1168" s="98"/>
      <c r="BR1168" s="98"/>
      <c r="BS1168" s="98"/>
      <c r="BT1168" s="98"/>
      <c r="BU1168" s="98"/>
      <c r="BV1168" s="98"/>
      <c r="BW1168" s="98"/>
      <c r="BX1168" s="98"/>
      <c r="BY1168" s="98"/>
      <c r="BZ1168" s="98"/>
      <c r="DA1168" s="177"/>
      <c r="EH1168" s="19"/>
      <c r="EI1168" s="19"/>
      <c r="EJ1168" s="19"/>
      <c r="EK1168" s="19"/>
      <c r="EL1168" s="19"/>
      <c r="EM1168" s="98"/>
      <c r="EN1168" s="98"/>
      <c r="EO1168" s="98"/>
      <c r="EP1168" s="98"/>
      <c r="EQ1168" s="98"/>
      <c r="ER1168" s="98"/>
      <c r="ES1168" s="98"/>
      <c r="ET1168" s="98"/>
      <c r="EU1168" s="98"/>
      <c r="EV1168" s="98"/>
      <c r="EW1168" s="98"/>
      <c r="EX1168" s="98"/>
      <c r="EY1168" s="98"/>
      <c r="EZ1168" s="178"/>
    </row>
    <row r="1169" spans="60:156">
      <c r="BH1169" s="19"/>
      <c r="BI1169" s="19"/>
      <c r="BJ1169" s="19"/>
      <c r="BK1169" s="19"/>
      <c r="BL1169" s="19"/>
      <c r="BM1169" s="98"/>
      <c r="BN1169" s="98"/>
      <c r="BO1169" s="98"/>
      <c r="BP1169" s="98"/>
      <c r="BQ1169" s="98"/>
      <c r="BR1169" s="98"/>
      <c r="BS1169" s="98"/>
      <c r="BT1169" s="98"/>
      <c r="BU1169" s="98"/>
      <c r="BV1169" s="98"/>
      <c r="BW1169" s="98"/>
      <c r="BX1169" s="98"/>
      <c r="BY1169" s="98"/>
      <c r="BZ1169" s="98"/>
      <c r="DA1169" s="177"/>
      <c r="EH1169" s="19"/>
      <c r="EI1169" s="19"/>
      <c r="EJ1169" s="19"/>
      <c r="EK1169" s="19"/>
      <c r="EL1169" s="19"/>
      <c r="EM1169" s="98"/>
      <c r="EN1169" s="98"/>
      <c r="EO1169" s="98"/>
      <c r="EP1169" s="98"/>
      <c r="EQ1169" s="98"/>
      <c r="ER1169" s="98"/>
      <c r="ES1169" s="98"/>
      <c r="ET1169" s="98"/>
      <c r="EU1169" s="98"/>
      <c r="EV1169" s="98"/>
      <c r="EW1169" s="98"/>
      <c r="EX1169" s="98"/>
      <c r="EY1169" s="98"/>
      <c r="EZ1169" s="178"/>
    </row>
    <row r="1170" spans="60:156">
      <c r="BH1170" s="19"/>
      <c r="BI1170" s="19"/>
      <c r="BJ1170" s="19"/>
      <c r="BK1170" s="19"/>
      <c r="BL1170" s="19"/>
      <c r="BM1170" s="98"/>
      <c r="BN1170" s="98"/>
      <c r="BO1170" s="98"/>
      <c r="BP1170" s="98"/>
      <c r="BQ1170" s="98"/>
      <c r="BR1170" s="98"/>
      <c r="BS1170" s="98"/>
      <c r="BT1170" s="98"/>
      <c r="BU1170" s="98"/>
      <c r="BV1170" s="98"/>
      <c r="BW1170" s="98"/>
      <c r="BX1170" s="98"/>
      <c r="BY1170" s="98"/>
      <c r="BZ1170" s="98"/>
      <c r="DA1170" s="177"/>
      <c r="EH1170" s="19"/>
      <c r="EI1170" s="19"/>
      <c r="EJ1170" s="19"/>
      <c r="EK1170" s="19"/>
      <c r="EL1170" s="19"/>
      <c r="EM1170" s="98"/>
      <c r="EN1170" s="98"/>
      <c r="EO1170" s="98"/>
      <c r="EP1170" s="98"/>
      <c r="EQ1170" s="98"/>
      <c r="ER1170" s="98"/>
      <c r="ES1170" s="98"/>
      <c r="ET1170" s="98"/>
      <c r="EU1170" s="98"/>
      <c r="EV1170" s="98"/>
      <c r="EW1170" s="98"/>
      <c r="EX1170" s="98"/>
      <c r="EY1170" s="98"/>
      <c r="EZ1170" s="178"/>
    </row>
    <row r="1171" spans="60:156">
      <c r="BH1171" s="19"/>
      <c r="BI1171" s="19"/>
      <c r="BJ1171" s="19"/>
      <c r="BK1171" s="19"/>
      <c r="BL1171" s="19"/>
      <c r="BM1171" s="98"/>
      <c r="BN1171" s="98"/>
      <c r="BO1171" s="98"/>
      <c r="BP1171" s="98"/>
      <c r="BQ1171" s="98"/>
      <c r="BR1171" s="98"/>
      <c r="BS1171" s="98"/>
      <c r="BT1171" s="98"/>
      <c r="BU1171" s="98"/>
      <c r="BV1171" s="98"/>
      <c r="BW1171" s="98"/>
      <c r="BX1171" s="98"/>
      <c r="BY1171" s="98"/>
      <c r="BZ1171" s="98"/>
      <c r="DA1171" s="177"/>
      <c r="EH1171" s="19"/>
      <c r="EI1171" s="19"/>
      <c r="EJ1171" s="19"/>
      <c r="EK1171" s="19"/>
      <c r="EL1171" s="19"/>
      <c r="EM1171" s="98"/>
      <c r="EN1171" s="98"/>
      <c r="EO1171" s="98"/>
      <c r="EP1171" s="98"/>
      <c r="EQ1171" s="98"/>
      <c r="ER1171" s="98"/>
      <c r="ES1171" s="98"/>
      <c r="ET1171" s="98"/>
      <c r="EU1171" s="98"/>
      <c r="EV1171" s="98"/>
      <c r="EW1171" s="98"/>
      <c r="EX1171" s="98"/>
      <c r="EY1171" s="98"/>
      <c r="EZ1171" s="178"/>
    </row>
    <row r="1172" spans="60:156">
      <c r="BH1172" s="19"/>
      <c r="BI1172" s="19"/>
      <c r="BJ1172" s="19"/>
      <c r="BK1172" s="19"/>
      <c r="BL1172" s="19"/>
      <c r="BM1172" s="98"/>
      <c r="BN1172" s="98"/>
      <c r="BO1172" s="98"/>
      <c r="BP1172" s="98"/>
      <c r="BQ1172" s="98"/>
      <c r="BR1172" s="98"/>
      <c r="BS1172" s="98"/>
      <c r="BT1172" s="98"/>
      <c r="BU1172" s="98"/>
      <c r="BV1172" s="98"/>
      <c r="BW1172" s="98"/>
      <c r="BX1172" s="98"/>
      <c r="BY1172" s="98"/>
      <c r="BZ1172" s="98"/>
      <c r="DA1172" s="177"/>
      <c r="EH1172" s="19"/>
      <c r="EI1172" s="19"/>
      <c r="EJ1172" s="19"/>
      <c r="EK1172" s="19"/>
      <c r="EL1172" s="19"/>
      <c r="EM1172" s="98"/>
      <c r="EN1172" s="98"/>
      <c r="EO1172" s="98"/>
      <c r="EP1172" s="98"/>
      <c r="EQ1172" s="98"/>
      <c r="ER1172" s="98"/>
      <c r="ES1172" s="98"/>
      <c r="ET1172" s="98"/>
      <c r="EU1172" s="98"/>
      <c r="EV1172" s="98"/>
      <c r="EW1172" s="98"/>
      <c r="EX1172" s="98"/>
      <c r="EY1172" s="98"/>
      <c r="EZ1172" s="178"/>
    </row>
    <row r="1173" spans="60:156">
      <c r="BH1173" s="19"/>
      <c r="BI1173" s="19"/>
      <c r="BJ1173" s="19"/>
      <c r="BK1173" s="19"/>
      <c r="BL1173" s="19"/>
      <c r="BM1173" s="98"/>
      <c r="BN1173" s="98"/>
      <c r="BO1173" s="98"/>
      <c r="BP1173" s="98"/>
      <c r="BQ1173" s="98"/>
      <c r="BR1173" s="98"/>
      <c r="BS1173" s="98"/>
      <c r="BT1173" s="98"/>
      <c r="BU1173" s="98"/>
      <c r="BV1173" s="98"/>
      <c r="BW1173" s="98"/>
      <c r="BX1173" s="98"/>
      <c r="BY1173" s="98"/>
      <c r="BZ1173" s="98"/>
      <c r="DA1173" s="177"/>
      <c r="EH1173" s="19"/>
      <c r="EI1173" s="19"/>
      <c r="EJ1173" s="19"/>
      <c r="EK1173" s="19"/>
      <c r="EL1173" s="19"/>
      <c r="EM1173" s="98"/>
      <c r="EN1173" s="98"/>
      <c r="EO1173" s="98"/>
      <c r="EP1173" s="98"/>
      <c r="EQ1173" s="98"/>
      <c r="ER1173" s="98"/>
      <c r="ES1173" s="98"/>
      <c r="ET1173" s="98"/>
      <c r="EU1173" s="98"/>
      <c r="EV1173" s="98"/>
      <c r="EW1173" s="98"/>
      <c r="EX1173" s="98"/>
      <c r="EY1173" s="98"/>
      <c r="EZ1173" s="178"/>
    </row>
    <row r="1174" spans="60:156">
      <c r="BH1174" s="19"/>
      <c r="BI1174" s="19"/>
      <c r="BJ1174" s="19"/>
      <c r="BK1174" s="19"/>
      <c r="BL1174" s="19"/>
      <c r="BM1174" s="98"/>
      <c r="BN1174" s="98"/>
      <c r="BO1174" s="98"/>
      <c r="BP1174" s="98"/>
      <c r="BQ1174" s="98"/>
      <c r="BR1174" s="98"/>
      <c r="BS1174" s="98"/>
      <c r="BT1174" s="98"/>
      <c r="BU1174" s="98"/>
      <c r="BV1174" s="98"/>
      <c r="BW1174" s="98"/>
      <c r="BX1174" s="98"/>
      <c r="BY1174" s="98"/>
      <c r="BZ1174" s="98"/>
      <c r="DA1174" s="177"/>
      <c r="EH1174" s="19"/>
      <c r="EI1174" s="19"/>
      <c r="EJ1174" s="19"/>
      <c r="EK1174" s="19"/>
      <c r="EL1174" s="19"/>
      <c r="EM1174" s="98"/>
      <c r="EN1174" s="98"/>
      <c r="EO1174" s="98"/>
      <c r="EP1174" s="98"/>
      <c r="EQ1174" s="98"/>
      <c r="ER1174" s="98"/>
      <c r="ES1174" s="98"/>
      <c r="ET1174" s="98"/>
      <c r="EU1174" s="98"/>
      <c r="EV1174" s="98"/>
      <c r="EW1174" s="98"/>
      <c r="EX1174" s="98"/>
      <c r="EY1174" s="98"/>
      <c r="EZ1174" s="178"/>
    </row>
    <row r="1175" spans="60:156">
      <c r="BH1175" s="19"/>
      <c r="BI1175" s="19"/>
      <c r="BJ1175" s="19"/>
      <c r="BK1175" s="19"/>
      <c r="BL1175" s="19"/>
      <c r="BM1175" s="98"/>
      <c r="BN1175" s="98"/>
      <c r="BO1175" s="98"/>
      <c r="BP1175" s="98"/>
      <c r="BQ1175" s="98"/>
      <c r="BR1175" s="98"/>
      <c r="BS1175" s="98"/>
      <c r="BT1175" s="98"/>
      <c r="BU1175" s="98"/>
      <c r="BV1175" s="98"/>
      <c r="BW1175" s="98"/>
      <c r="BX1175" s="98"/>
      <c r="BY1175" s="98"/>
      <c r="BZ1175" s="98"/>
      <c r="DA1175" s="177"/>
      <c r="EH1175" s="19"/>
      <c r="EI1175" s="19"/>
      <c r="EJ1175" s="19"/>
      <c r="EK1175" s="19"/>
      <c r="EL1175" s="19"/>
      <c r="EM1175" s="98"/>
      <c r="EN1175" s="98"/>
      <c r="EO1175" s="98"/>
      <c r="EP1175" s="98"/>
      <c r="EQ1175" s="98"/>
      <c r="ER1175" s="98"/>
      <c r="ES1175" s="98"/>
      <c r="ET1175" s="98"/>
      <c r="EU1175" s="98"/>
      <c r="EV1175" s="98"/>
      <c r="EW1175" s="98"/>
      <c r="EX1175" s="98"/>
      <c r="EY1175" s="98"/>
      <c r="EZ1175" s="178"/>
    </row>
    <row r="1176" spans="60:156">
      <c r="BH1176" s="19"/>
      <c r="BI1176" s="19"/>
      <c r="BJ1176" s="19"/>
      <c r="BK1176" s="19"/>
      <c r="BL1176" s="19"/>
      <c r="BM1176" s="98"/>
      <c r="BN1176" s="98"/>
      <c r="BO1176" s="98"/>
      <c r="BP1176" s="98"/>
      <c r="BQ1176" s="98"/>
      <c r="BR1176" s="98"/>
      <c r="BS1176" s="98"/>
      <c r="BT1176" s="98"/>
      <c r="BU1176" s="98"/>
      <c r="BV1176" s="98"/>
      <c r="BW1176" s="98"/>
      <c r="BX1176" s="98"/>
      <c r="BY1176" s="98"/>
      <c r="BZ1176" s="98"/>
      <c r="DA1176" s="177"/>
      <c r="EH1176" s="19"/>
      <c r="EI1176" s="19"/>
      <c r="EJ1176" s="19"/>
      <c r="EK1176" s="19"/>
      <c r="EL1176" s="19"/>
      <c r="EM1176" s="98"/>
      <c r="EN1176" s="98"/>
      <c r="EO1176" s="98"/>
      <c r="EP1176" s="98"/>
      <c r="EQ1176" s="98"/>
      <c r="ER1176" s="98"/>
      <c r="ES1176" s="98"/>
      <c r="ET1176" s="98"/>
      <c r="EU1176" s="98"/>
      <c r="EV1176" s="98"/>
      <c r="EW1176" s="98"/>
      <c r="EX1176" s="98"/>
      <c r="EY1176" s="98"/>
      <c r="EZ1176" s="178"/>
    </row>
    <row r="1177" spans="60:156">
      <c r="BH1177" s="19"/>
      <c r="BI1177" s="19"/>
      <c r="BJ1177" s="19"/>
      <c r="BK1177" s="19"/>
      <c r="BL1177" s="19"/>
      <c r="BM1177" s="98"/>
      <c r="BN1177" s="98"/>
      <c r="BO1177" s="98"/>
      <c r="BP1177" s="98"/>
      <c r="BQ1177" s="98"/>
      <c r="BR1177" s="98"/>
      <c r="BS1177" s="98"/>
      <c r="BT1177" s="98"/>
      <c r="BU1177" s="98"/>
      <c r="BV1177" s="98"/>
      <c r="BW1177" s="98"/>
      <c r="BX1177" s="98"/>
      <c r="BY1177" s="98"/>
      <c r="BZ1177" s="98"/>
      <c r="DA1177" s="177"/>
      <c r="EH1177" s="19"/>
      <c r="EI1177" s="19"/>
      <c r="EJ1177" s="19"/>
      <c r="EK1177" s="19"/>
      <c r="EL1177" s="19"/>
      <c r="EM1177" s="98"/>
      <c r="EN1177" s="98"/>
      <c r="EO1177" s="98"/>
      <c r="EP1177" s="98"/>
      <c r="EQ1177" s="98"/>
      <c r="ER1177" s="98"/>
      <c r="ES1177" s="98"/>
      <c r="ET1177" s="98"/>
      <c r="EU1177" s="98"/>
      <c r="EV1177" s="98"/>
      <c r="EW1177" s="98"/>
      <c r="EX1177" s="98"/>
      <c r="EY1177" s="98"/>
      <c r="EZ1177" s="178"/>
    </row>
    <row r="1178" spans="60:156">
      <c r="BH1178" s="19"/>
      <c r="BI1178" s="19"/>
      <c r="BJ1178" s="19"/>
      <c r="BK1178" s="19"/>
      <c r="BL1178" s="19"/>
      <c r="BM1178" s="98"/>
      <c r="BN1178" s="98"/>
      <c r="BO1178" s="98"/>
      <c r="BP1178" s="98"/>
      <c r="BQ1178" s="98"/>
      <c r="BR1178" s="98"/>
      <c r="BS1178" s="98"/>
      <c r="BT1178" s="98"/>
      <c r="BU1178" s="98"/>
      <c r="BV1178" s="98"/>
      <c r="BW1178" s="98"/>
      <c r="BX1178" s="98"/>
      <c r="BY1178" s="98"/>
      <c r="BZ1178" s="98"/>
      <c r="DA1178" s="177"/>
      <c r="EH1178" s="19"/>
      <c r="EI1178" s="19"/>
      <c r="EJ1178" s="19"/>
      <c r="EK1178" s="19"/>
      <c r="EL1178" s="19"/>
      <c r="EM1178" s="98"/>
      <c r="EN1178" s="98"/>
      <c r="EO1178" s="98"/>
      <c r="EP1178" s="98"/>
      <c r="EQ1178" s="98"/>
      <c r="ER1178" s="98"/>
      <c r="ES1178" s="98"/>
      <c r="ET1178" s="98"/>
      <c r="EU1178" s="98"/>
      <c r="EV1178" s="98"/>
      <c r="EW1178" s="98"/>
      <c r="EX1178" s="98"/>
      <c r="EY1178" s="98"/>
      <c r="EZ1178" s="178"/>
    </row>
    <row r="1179" spans="60:156">
      <c r="BH1179" s="19"/>
      <c r="BI1179" s="19"/>
      <c r="BJ1179" s="19"/>
      <c r="BK1179" s="19"/>
      <c r="BL1179" s="19"/>
      <c r="BM1179" s="98"/>
      <c r="BN1179" s="98"/>
      <c r="BO1179" s="98"/>
      <c r="BP1179" s="98"/>
      <c r="BQ1179" s="98"/>
      <c r="BR1179" s="98"/>
      <c r="BS1179" s="98"/>
      <c r="BT1179" s="98"/>
      <c r="BU1179" s="98"/>
      <c r="BV1179" s="98"/>
      <c r="BW1179" s="98"/>
      <c r="BX1179" s="98"/>
      <c r="BY1179" s="98"/>
      <c r="BZ1179" s="98"/>
      <c r="DA1179" s="177"/>
      <c r="EH1179" s="19"/>
      <c r="EI1179" s="19"/>
      <c r="EJ1179" s="19"/>
      <c r="EK1179" s="19"/>
      <c r="EL1179" s="19"/>
      <c r="EM1179" s="98"/>
      <c r="EN1179" s="98"/>
      <c r="EO1179" s="98"/>
      <c r="EP1179" s="98"/>
      <c r="EQ1179" s="98"/>
      <c r="ER1179" s="98"/>
      <c r="ES1179" s="98"/>
      <c r="ET1179" s="98"/>
      <c r="EU1179" s="98"/>
      <c r="EV1179" s="98"/>
      <c r="EW1179" s="98"/>
      <c r="EX1179" s="98"/>
      <c r="EY1179" s="98"/>
      <c r="EZ1179" s="178"/>
    </row>
    <row r="1180" spans="60:156">
      <c r="BH1180" s="19"/>
      <c r="BI1180" s="19"/>
      <c r="BJ1180" s="19"/>
      <c r="BK1180" s="19"/>
      <c r="BL1180" s="19"/>
      <c r="BM1180" s="98"/>
      <c r="BN1180" s="98"/>
      <c r="BO1180" s="98"/>
      <c r="BP1180" s="98"/>
      <c r="BQ1180" s="98"/>
      <c r="BR1180" s="98"/>
      <c r="BS1180" s="98"/>
      <c r="BT1180" s="98"/>
      <c r="BU1180" s="98"/>
      <c r="BV1180" s="98"/>
      <c r="BW1180" s="98"/>
      <c r="BX1180" s="98"/>
      <c r="BY1180" s="98"/>
      <c r="BZ1180" s="98"/>
      <c r="DA1180" s="177"/>
      <c r="EH1180" s="19"/>
      <c r="EI1180" s="19"/>
      <c r="EJ1180" s="19"/>
      <c r="EK1180" s="19"/>
      <c r="EL1180" s="19"/>
      <c r="EM1180" s="98"/>
      <c r="EN1180" s="98"/>
      <c r="EO1180" s="98"/>
      <c r="EP1180" s="98"/>
      <c r="EQ1180" s="98"/>
      <c r="ER1180" s="98"/>
      <c r="ES1180" s="98"/>
      <c r="ET1180" s="98"/>
      <c r="EU1180" s="98"/>
      <c r="EV1180" s="98"/>
      <c r="EW1180" s="98"/>
      <c r="EX1180" s="98"/>
      <c r="EY1180" s="98"/>
      <c r="EZ1180" s="178"/>
    </row>
    <row r="1181" spans="60:156">
      <c r="BH1181" s="19"/>
      <c r="BI1181" s="19"/>
      <c r="BJ1181" s="19"/>
      <c r="BK1181" s="19"/>
      <c r="BL1181" s="19"/>
      <c r="BM1181" s="98"/>
      <c r="BN1181" s="98"/>
      <c r="BO1181" s="98"/>
      <c r="BP1181" s="98"/>
      <c r="BQ1181" s="98"/>
      <c r="BR1181" s="98"/>
      <c r="BS1181" s="98"/>
      <c r="BT1181" s="98"/>
      <c r="BU1181" s="98"/>
      <c r="BV1181" s="98"/>
      <c r="BW1181" s="98"/>
      <c r="BX1181" s="98"/>
      <c r="BY1181" s="98"/>
      <c r="BZ1181" s="98"/>
      <c r="DA1181" s="177"/>
      <c r="EH1181" s="19"/>
      <c r="EI1181" s="19"/>
      <c r="EJ1181" s="19"/>
      <c r="EK1181" s="19"/>
      <c r="EL1181" s="19"/>
      <c r="EM1181" s="98"/>
      <c r="EN1181" s="98"/>
      <c r="EO1181" s="98"/>
      <c r="EP1181" s="98"/>
      <c r="EQ1181" s="98"/>
      <c r="ER1181" s="98"/>
      <c r="ES1181" s="98"/>
      <c r="ET1181" s="98"/>
      <c r="EU1181" s="98"/>
      <c r="EV1181" s="98"/>
      <c r="EW1181" s="98"/>
      <c r="EX1181" s="98"/>
      <c r="EY1181" s="98"/>
      <c r="EZ1181" s="178"/>
    </row>
    <row r="1182" spans="60:156">
      <c r="BH1182" s="19"/>
      <c r="BI1182" s="19"/>
      <c r="BJ1182" s="19"/>
      <c r="BK1182" s="19"/>
      <c r="BL1182" s="19"/>
      <c r="BM1182" s="98"/>
      <c r="BN1182" s="98"/>
      <c r="BO1182" s="98"/>
      <c r="BP1182" s="98"/>
      <c r="BQ1182" s="98"/>
      <c r="BR1182" s="98"/>
      <c r="BS1182" s="98"/>
      <c r="BT1182" s="98"/>
      <c r="BU1182" s="98"/>
      <c r="BV1182" s="98"/>
      <c r="BW1182" s="98"/>
      <c r="BX1182" s="98"/>
      <c r="BY1182" s="98"/>
      <c r="BZ1182" s="98"/>
      <c r="DA1182" s="177"/>
      <c r="EH1182" s="19"/>
      <c r="EI1182" s="19"/>
      <c r="EJ1182" s="19"/>
      <c r="EK1182" s="19"/>
      <c r="EL1182" s="19"/>
      <c r="EM1182" s="98"/>
      <c r="EN1182" s="98"/>
      <c r="EO1182" s="98"/>
      <c r="EP1182" s="98"/>
      <c r="EQ1182" s="98"/>
      <c r="ER1182" s="98"/>
      <c r="ES1182" s="98"/>
      <c r="ET1182" s="98"/>
      <c r="EU1182" s="98"/>
      <c r="EV1182" s="98"/>
      <c r="EW1182" s="98"/>
      <c r="EX1182" s="98"/>
      <c r="EY1182" s="98"/>
      <c r="EZ1182" s="178"/>
    </row>
    <row r="1183" spans="60:156">
      <c r="BH1183" s="19"/>
      <c r="BI1183" s="19"/>
      <c r="BJ1183" s="19"/>
      <c r="BK1183" s="19"/>
      <c r="BL1183" s="19"/>
      <c r="BM1183" s="98"/>
      <c r="BN1183" s="98"/>
      <c r="BO1183" s="98"/>
      <c r="BP1183" s="98"/>
      <c r="BQ1183" s="98"/>
      <c r="BR1183" s="98"/>
      <c r="BS1183" s="98"/>
      <c r="BT1183" s="98"/>
      <c r="BU1183" s="98"/>
      <c r="BV1183" s="98"/>
      <c r="BW1183" s="98"/>
      <c r="BX1183" s="98"/>
      <c r="BY1183" s="98"/>
      <c r="BZ1183" s="98"/>
      <c r="DA1183" s="177"/>
      <c r="EH1183" s="19"/>
      <c r="EI1183" s="19"/>
      <c r="EJ1183" s="19"/>
      <c r="EK1183" s="19"/>
      <c r="EL1183" s="19"/>
      <c r="EM1183" s="98"/>
      <c r="EN1183" s="98"/>
      <c r="EO1183" s="98"/>
      <c r="EP1183" s="98"/>
      <c r="EQ1183" s="98"/>
      <c r="ER1183" s="98"/>
      <c r="ES1183" s="98"/>
      <c r="ET1183" s="98"/>
      <c r="EU1183" s="98"/>
      <c r="EV1183" s="98"/>
      <c r="EW1183" s="98"/>
      <c r="EX1183" s="98"/>
      <c r="EY1183" s="98"/>
      <c r="EZ1183" s="178"/>
    </row>
    <row r="1184" spans="60:156">
      <c r="BH1184" s="19"/>
      <c r="BI1184" s="19"/>
      <c r="BJ1184" s="19"/>
      <c r="BK1184" s="19"/>
      <c r="BL1184" s="19"/>
      <c r="BM1184" s="98"/>
      <c r="BN1184" s="98"/>
      <c r="BO1184" s="98"/>
      <c r="BP1184" s="98"/>
      <c r="BQ1184" s="98"/>
      <c r="BR1184" s="98"/>
      <c r="BS1184" s="98"/>
      <c r="BT1184" s="98"/>
      <c r="BU1184" s="98"/>
      <c r="BV1184" s="98"/>
      <c r="BW1184" s="98"/>
      <c r="BX1184" s="98"/>
      <c r="BY1184" s="98"/>
      <c r="BZ1184" s="98"/>
      <c r="DA1184" s="177"/>
      <c r="EH1184" s="19"/>
      <c r="EI1184" s="19"/>
      <c r="EJ1184" s="19"/>
      <c r="EK1184" s="19"/>
      <c r="EL1184" s="19"/>
      <c r="EM1184" s="98"/>
      <c r="EN1184" s="98"/>
      <c r="EO1184" s="98"/>
      <c r="EP1184" s="98"/>
      <c r="EQ1184" s="98"/>
      <c r="ER1184" s="98"/>
      <c r="ES1184" s="98"/>
      <c r="ET1184" s="98"/>
      <c r="EU1184" s="98"/>
      <c r="EV1184" s="98"/>
      <c r="EW1184" s="98"/>
      <c r="EX1184" s="98"/>
      <c r="EY1184" s="98"/>
      <c r="EZ1184" s="178"/>
    </row>
    <row r="1185" spans="60:156">
      <c r="BH1185" s="19"/>
      <c r="BI1185" s="19"/>
      <c r="BJ1185" s="19"/>
      <c r="BK1185" s="19"/>
      <c r="BL1185" s="19"/>
      <c r="BM1185" s="98"/>
      <c r="BN1185" s="98"/>
      <c r="BO1185" s="98"/>
      <c r="BP1185" s="98"/>
      <c r="BQ1185" s="98"/>
      <c r="BR1185" s="98"/>
      <c r="BS1185" s="98"/>
      <c r="BT1185" s="98"/>
      <c r="BU1185" s="98"/>
      <c r="BV1185" s="98"/>
      <c r="BW1185" s="98"/>
      <c r="BX1185" s="98"/>
      <c r="BY1185" s="98"/>
      <c r="BZ1185" s="98"/>
      <c r="DA1185" s="177"/>
      <c r="EH1185" s="19"/>
      <c r="EI1185" s="19"/>
      <c r="EJ1185" s="19"/>
      <c r="EK1185" s="19"/>
      <c r="EL1185" s="19"/>
      <c r="EM1185" s="98"/>
      <c r="EN1185" s="98"/>
      <c r="EO1185" s="98"/>
      <c r="EP1185" s="98"/>
      <c r="EQ1185" s="98"/>
      <c r="ER1185" s="98"/>
      <c r="ES1185" s="98"/>
      <c r="ET1185" s="98"/>
      <c r="EU1185" s="98"/>
      <c r="EV1185" s="98"/>
      <c r="EW1185" s="98"/>
      <c r="EX1185" s="98"/>
      <c r="EY1185" s="98"/>
      <c r="EZ1185" s="178"/>
    </row>
    <row r="1186" spans="60:156">
      <c r="BH1186" s="19"/>
      <c r="BI1186" s="19"/>
      <c r="BJ1186" s="19"/>
      <c r="BK1186" s="19"/>
      <c r="BL1186" s="19"/>
      <c r="BM1186" s="98"/>
      <c r="BN1186" s="98"/>
      <c r="BO1186" s="98"/>
      <c r="BP1186" s="98"/>
      <c r="BQ1186" s="98"/>
      <c r="BR1186" s="98"/>
      <c r="BS1186" s="98"/>
      <c r="BT1186" s="98"/>
      <c r="BU1186" s="98"/>
      <c r="BV1186" s="98"/>
      <c r="BW1186" s="98"/>
      <c r="BX1186" s="98"/>
      <c r="BY1186" s="98"/>
      <c r="BZ1186" s="98"/>
      <c r="DA1186" s="177"/>
      <c r="EH1186" s="19"/>
      <c r="EI1186" s="19"/>
      <c r="EJ1186" s="19"/>
      <c r="EK1186" s="19"/>
      <c r="EL1186" s="19"/>
      <c r="EM1186" s="98"/>
      <c r="EN1186" s="98"/>
      <c r="EO1186" s="98"/>
      <c r="EP1186" s="98"/>
      <c r="EQ1186" s="98"/>
      <c r="ER1186" s="98"/>
      <c r="ES1186" s="98"/>
      <c r="ET1186" s="98"/>
      <c r="EU1186" s="98"/>
      <c r="EV1186" s="98"/>
      <c r="EW1186" s="98"/>
      <c r="EX1186" s="98"/>
      <c r="EY1186" s="98"/>
      <c r="EZ1186" s="178"/>
    </row>
    <row r="1187" spans="60:156">
      <c r="BH1187" s="19"/>
      <c r="BI1187" s="19"/>
      <c r="BJ1187" s="19"/>
      <c r="BK1187" s="19"/>
      <c r="BL1187" s="19"/>
      <c r="BM1187" s="98"/>
      <c r="BN1187" s="98"/>
      <c r="BO1187" s="98"/>
      <c r="BP1187" s="98"/>
      <c r="BQ1187" s="98"/>
      <c r="BR1187" s="98"/>
      <c r="BS1187" s="98"/>
      <c r="BT1187" s="98"/>
      <c r="BU1187" s="98"/>
      <c r="BV1187" s="98"/>
      <c r="BW1187" s="98"/>
      <c r="BX1187" s="98"/>
      <c r="BY1187" s="98"/>
      <c r="BZ1187" s="98"/>
      <c r="DA1187" s="177"/>
      <c r="EH1187" s="19"/>
      <c r="EI1187" s="19"/>
      <c r="EJ1187" s="19"/>
      <c r="EK1187" s="19"/>
      <c r="EL1187" s="19"/>
      <c r="EM1187" s="98"/>
      <c r="EN1187" s="98"/>
      <c r="EO1187" s="98"/>
      <c r="EP1187" s="98"/>
      <c r="EQ1187" s="98"/>
      <c r="ER1187" s="98"/>
      <c r="ES1187" s="98"/>
      <c r="ET1187" s="98"/>
      <c r="EU1187" s="98"/>
      <c r="EV1187" s="98"/>
      <c r="EW1187" s="98"/>
      <c r="EX1187" s="98"/>
      <c r="EY1187" s="98"/>
      <c r="EZ1187" s="178"/>
    </row>
    <row r="1188" spans="60:156">
      <c r="BH1188" s="19"/>
      <c r="BI1188" s="19"/>
      <c r="BJ1188" s="19"/>
      <c r="BK1188" s="19"/>
      <c r="BL1188" s="19"/>
      <c r="BM1188" s="98"/>
      <c r="BN1188" s="98"/>
      <c r="BO1188" s="98"/>
      <c r="BP1188" s="98"/>
      <c r="BQ1188" s="98"/>
      <c r="BR1188" s="98"/>
      <c r="BS1188" s="98"/>
      <c r="BT1188" s="98"/>
      <c r="BU1188" s="98"/>
      <c r="BV1188" s="98"/>
      <c r="BW1188" s="98"/>
      <c r="BX1188" s="98"/>
      <c r="BY1188" s="98"/>
      <c r="BZ1188" s="98"/>
      <c r="DA1188" s="177"/>
      <c r="EH1188" s="19"/>
      <c r="EI1188" s="19"/>
      <c r="EJ1188" s="19"/>
      <c r="EK1188" s="19"/>
      <c r="EL1188" s="19"/>
      <c r="EM1188" s="98"/>
      <c r="EN1188" s="98"/>
      <c r="EO1188" s="98"/>
      <c r="EP1188" s="98"/>
      <c r="EQ1188" s="98"/>
      <c r="ER1188" s="98"/>
      <c r="ES1188" s="98"/>
      <c r="ET1188" s="98"/>
      <c r="EU1188" s="98"/>
      <c r="EV1188" s="98"/>
      <c r="EW1188" s="98"/>
      <c r="EX1188" s="98"/>
      <c r="EY1188" s="98"/>
      <c r="EZ1188" s="178"/>
    </row>
    <row r="1189" spans="60:156">
      <c r="BH1189" s="19"/>
      <c r="BI1189" s="19"/>
      <c r="BJ1189" s="19"/>
      <c r="BK1189" s="19"/>
      <c r="BL1189" s="19"/>
      <c r="BM1189" s="98"/>
      <c r="BN1189" s="98"/>
      <c r="BO1189" s="98"/>
      <c r="BP1189" s="98"/>
      <c r="BQ1189" s="98"/>
      <c r="BR1189" s="98"/>
      <c r="BS1189" s="98"/>
      <c r="BT1189" s="98"/>
      <c r="BU1189" s="98"/>
      <c r="BV1189" s="98"/>
      <c r="BW1189" s="98"/>
      <c r="BX1189" s="98"/>
      <c r="BY1189" s="98"/>
      <c r="BZ1189" s="98"/>
      <c r="DA1189" s="177"/>
      <c r="EH1189" s="19"/>
      <c r="EI1189" s="19"/>
      <c r="EJ1189" s="19"/>
      <c r="EK1189" s="19"/>
      <c r="EL1189" s="19"/>
      <c r="EM1189" s="98"/>
      <c r="EN1189" s="98"/>
      <c r="EO1189" s="98"/>
      <c r="EP1189" s="98"/>
      <c r="EQ1189" s="98"/>
      <c r="ER1189" s="98"/>
      <c r="ES1189" s="98"/>
      <c r="ET1189" s="98"/>
      <c r="EU1189" s="98"/>
      <c r="EV1189" s="98"/>
      <c r="EW1189" s="98"/>
      <c r="EX1189" s="98"/>
      <c r="EY1189" s="98"/>
      <c r="EZ1189" s="178"/>
    </row>
    <row r="1190" spans="60:156">
      <c r="BH1190" s="19"/>
      <c r="BI1190" s="19"/>
      <c r="BJ1190" s="19"/>
      <c r="BK1190" s="19"/>
      <c r="BL1190" s="19"/>
      <c r="BM1190" s="98"/>
      <c r="BN1190" s="98"/>
      <c r="BO1190" s="98"/>
      <c r="BP1190" s="98"/>
      <c r="BQ1190" s="98"/>
      <c r="BR1190" s="98"/>
      <c r="BS1190" s="98"/>
      <c r="BT1190" s="98"/>
      <c r="BU1190" s="98"/>
      <c r="BV1190" s="98"/>
      <c r="BW1190" s="98"/>
      <c r="BX1190" s="98"/>
      <c r="BY1190" s="98"/>
      <c r="BZ1190" s="98"/>
      <c r="DA1190" s="177"/>
      <c r="EH1190" s="19"/>
      <c r="EI1190" s="19"/>
      <c r="EJ1190" s="19"/>
      <c r="EK1190" s="19"/>
      <c r="EL1190" s="19"/>
      <c r="EM1190" s="98"/>
      <c r="EN1190" s="98"/>
      <c r="EO1190" s="98"/>
      <c r="EP1190" s="98"/>
      <c r="EQ1190" s="98"/>
      <c r="ER1190" s="98"/>
      <c r="ES1190" s="98"/>
      <c r="ET1190" s="98"/>
      <c r="EU1190" s="98"/>
      <c r="EV1190" s="98"/>
      <c r="EW1190" s="98"/>
      <c r="EX1190" s="98"/>
      <c r="EY1190" s="98"/>
      <c r="EZ1190" s="178"/>
    </row>
    <row r="1191" spans="60:156">
      <c r="BH1191" s="19"/>
      <c r="BI1191" s="19"/>
      <c r="BJ1191" s="19"/>
      <c r="BK1191" s="19"/>
      <c r="BL1191" s="19"/>
      <c r="BM1191" s="98"/>
      <c r="BN1191" s="98"/>
      <c r="BO1191" s="98"/>
      <c r="BP1191" s="98"/>
      <c r="BQ1191" s="98"/>
      <c r="BR1191" s="98"/>
      <c r="BS1191" s="98"/>
      <c r="BT1191" s="98"/>
      <c r="BU1191" s="98"/>
      <c r="BV1191" s="98"/>
      <c r="BW1191" s="98"/>
      <c r="BX1191" s="98"/>
      <c r="BY1191" s="98"/>
      <c r="BZ1191" s="98"/>
      <c r="DA1191" s="177"/>
      <c r="EH1191" s="19"/>
      <c r="EI1191" s="19"/>
      <c r="EJ1191" s="19"/>
      <c r="EK1191" s="19"/>
      <c r="EL1191" s="19"/>
      <c r="EM1191" s="98"/>
      <c r="EN1191" s="98"/>
      <c r="EO1191" s="98"/>
      <c r="EP1191" s="98"/>
      <c r="EQ1191" s="98"/>
      <c r="ER1191" s="98"/>
      <c r="ES1191" s="98"/>
      <c r="ET1191" s="98"/>
      <c r="EU1191" s="98"/>
      <c r="EV1191" s="98"/>
      <c r="EW1191" s="98"/>
      <c r="EX1191" s="98"/>
      <c r="EY1191" s="98"/>
      <c r="EZ1191" s="178"/>
    </row>
    <row r="1192" spans="60:156">
      <c r="BH1192" s="19"/>
      <c r="BI1192" s="19"/>
      <c r="BJ1192" s="19"/>
      <c r="BK1192" s="19"/>
      <c r="BL1192" s="19"/>
      <c r="BM1192" s="98"/>
      <c r="BN1192" s="98"/>
      <c r="BO1192" s="98"/>
      <c r="BP1192" s="98"/>
      <c r="BQ1192" s="98"/>
      <c r="BR1192" s="98"/>
      <c r="BS1192" s="98"/>
      <c r="BT1192" s="98"/>
      <c r="BU1192" s="98"/>
      <c r="BV1192" s="98"/>
      <c r="BW1192" s="98"/>
      <c r="BX1192" s="98"/>
      <c r="BY1192" s="98"/>
      <c r="BZ1192" s="98"/>
      <c r="DA1192" s="177"/>
      <c r="EH1192" s="19"/>
      <c r="EI1192" s="19"/>
      <c r="EJ1192" s="19"/>
      <c r="EK1192" s="19"/>
      <c r="EL1192" s="19"/>
      <c r="EM1192" s="98"/>
      <c r="EN1192" s="98"/>
      <c r="EO1192" s="98"/>
      <c r="EP1192" s="98"/>
      <c r="EQ1192" s="98"/>
      <c r="ER1192" s="98"/>
      <c r="ES1192" s="98"/>
      <c r="ET1192" s="98"/>
      <c r="EU1192" s="98"/>
      <c r="EV1192" s="98"/>
      <c r="EW1192" s="98"/>
      <c r="EX1192" s="98"/>
      <c r="EY1192" s="98"/>
      <c r="EZ1192" s="178"/>
    </row>
    <row r="1193" spans="60:156">
      <c r="BH1193" s="19"/>
      <c r="BI1193" s="19"/>
      <c r="BJ1193" s="19"/>
      <c r="BK1193" s="19"/>
      <c r="BL1193" s="19"/>
      <c r="BM1193" s="98"/>
      <c r="BN1193" s="98"/>
      <c r="BO1193" s="98"/>
      <c r="BP1193" s="98"/>
      <c r="BQ1193" s="98"/>
      <c r="BR1193" s="98"/>
      <c r="BS1193" s="98"/>
      <c r="BT1193" s="98"/>
      <c r="BU1193" s="98"/>
      <c r="BV1193" s="98"/>
      <c r="BW1193" s="98"/>
      <c r="BX1193" s="98"/>
      <c r="BY1193" s="98"/>
      <c r="BZ1193" s="98"/>
      <c r="DA1193" s="177"/>
      <c r="EH1193" s="19"/>
      <c r="EI1193" s="19"/>
      <c r="EJ1193" s="19"/>
      <c r="EK1193" s="19"/>
      <c r="EL1193" s="19"/>
      <c r="EM1193" s="98"/>
      <c r="EN1193" s="98"/>
      <c r="EO1193" s="98"/>
      <c r="EP1193" s="98"/>
      <c r="EQ1193" s="98"/>
      <c r="ER1193" s="98"/>
      <c r="ES1193" s="98"/>
      <c r="ET1193" s="98"/>
      <c r="EU1193" s="98"/>
      <c r="EV1193" s="98"/>
      <c r="EW1193" s="98"/>
      <c r="EX1193" s="98"/>
      <c r="EY1193" s="98"/>
      <c r="EZ1193" s="178"/>
    </row>
    <row r="1194" spans="60:156">
      <c r="BH1194" s="19"/>
      <c r="BI1194" s="19"/>
      <c r="BJ1194" s="19"/>
      <c r="BK1194" s="19"/>
      <c r="BL1194" s="19"/>
      <c r="BM1194" s="98"/>
      <c r="BN1194" s="98"/>
      <c r="BO1194" s="98"/>
      <c r="BP1194" s="98"/>
      <c r="BQ1194" s="98"/>
      <c r="BR1194" s="98"/>
      <c r="BS1194" s="98"/>
      <c r="BT1194" s="98"/>
      <c r="BU1194" s="98"/>
      <c r="BV1194" s="98"/>
      <c r="BW1194" s="98"/>
      <c r="BX1194" s="98"/>
      <c r="BY1194" s="98"/>
      <c r="BZ1194" s="98"/>
      <c r="DA1194" s="177"/>
      <c r="EH1194" s="19"/>
      <c r="EI1194" s="19"/>
      <c r="EJ1194" s="19"/>
      <c r="EK1194" s="19"/>
      <c r="EL1194" s="19"/>
      <c r="EM1194" s="98"/>
      <c r="EN1194" s="98"/>
      <c r="EO1194" s="98"/>
      <c r="EP1194" s="98"/>
      <c r="EQ1194" s="98"/>
      <c r="ER1194" s="98"/>
      <c r="ES1194" s="98"/>
      <c r="ET1194" s="98"/>
      <c r="EU1194" s="98"/>
      <c r="EV1194" s="98"/>
      <c r="EW1194" s="98"/>
      <c r="EX1194" s="98"/>
      <c r="EY1194" s="98"/>
      <c r="EZ1194" s="178"/>
    </row>
    <row r="1195" spans="60:156">
      <c r="BH1195" s="19"/>
      <c r="BI1195" s="19"/>
      <c r="BJ1195" s="19"/>
      <c r="BK1195" s="19"/>
      <c r="BL1195" s="19"/>
      <c r="BM1195" s="98"/>
      <c r="BN1195" s="98"/>
      <c r="BO1195" s="98"/>
      <c r="BP1195" s="98"/>
      <c r="BQ1195" s="98"/>
      <c r="BR1195" s="98"/>
      <c r="BS1195" s="98"/>
      <c r="BT1195" s="98"/>
      <c r="BU1195" s="98"/>
      <c r="BV1195" s="98"/>
      <c r="BW1195" s="98"/>
      <c r="BX1195" s="98"/>
      <c r="BY1195" s="98"/>
      <c r="BZ1195" s="98"/>
      <c r="DA1195" s="177"/>
      <c r="EH1195" s="19"/>
      <c r="EI1195" s="19"/>
      <c r="EJ1195" s="19"/>
      <c r="EK1195" s="19"/>
      <c r="EL1195" s="19"/>
      <c r="EM1195" s="98"/>
      <c r="EN1195" s="98"/>
      <c r="EO1195" s="98"/>
      <c r="EP1195" s="98"/>
      <c r="EQ1195" s="98"/>
      <c r="ER1195" s="98"/>
      <c r="ES1195" s="98"/>
      <c r="ET1195" s="98"/>
      <c r="EU1195" s="98"/>
      <c r="EV1195" s="98"/>
      <c r="EW1195" s="98"/>
      <c r="EX1195" s="98"/>
      <c r="EY1195" s="98"/>
      <c r="EZ1195" s="178"/>
    </row>
    <row r="1196" spans="60:156">
      <c r="BH1196" s="19"/>
      <c r="BI1196" s="19"/>
      <c r="BJ1196" s="19"/>
      <c r="BK1196" s="19"/>
      <c r="BL1196" s="19"/>
      <c r="BM1196" s="98"/>
      <c r="BN1196" s="98"/>
      <c r="BO1196" s="98"/>
      <c r="BP1196" s="98"/>
      <c r="BQ1196" s="98"/>
      <c r="BR1196" s="98"/>
      <c r="BS1196" s="98"/>
      <c r="BT1196" s="98"/>
      <c r="BU1196" s="98"/>
      <c r="BV1196" s="98"/>
      <c r="BW1196" s="98"/>
      <c r="BX1196" s="98"/>
      <c r="BY1196" s="98"/>
      <c r="BZ1196" s="98"/>
      <c r="DA1196" s="177"/>
      <c r="EH1196" s="19"/>
      <c r="EI1196" s="19"/>
      <c r="EJ1196" s="19"/>
      <c r="EK1196" s="19"/>
      <c r="EL1196" s="19"/>
      <c r="EM1196" s="98"/>
      <c r="EN1196" s="98"/>
      <c r="EO1196" s="98"/>
      <c r="EP1196" s="98"/>
      <c r="EQ1196" s="98"/>
      <c r="ER1196" s="98"/>
      <c r="ES1196" s="98"/>
      <c r="ET1196" s="98"/>
      <c r="EU1196" s="98"/>
      <c r="EV1196" s="98"/>
      <c r="EW1196" s="98"/>
      <c r="EX1196" s="98"/>
      <c r="EY1196" s="98"/>
      <c r="EZ1196" s="178"/>
    </row>
    <row r="1197" spans="60:156">
      <c r="BH1197" s="19"/>
      <c r="BI1197" s="19"/>
      <c r="BJ1197" s="19"/>
      <c r="BK1197" s="19"/>
      <c r="BL1197" s="19"/>
      <c r="BM1197" s="98"/>
      <c r="BN1197" s="98"/>
      <c r="BO1197" s="98"/>
      <c r="BP1197" s="98"/>
      <c r="BQ1197" s="98"/>
      <c r="BR1197" s="98"/>
      <c r="BS1197" s="98"/>
      <c r="BT1197" s="98"/>
      <c r="BU1197" s="98"/>
      <c r="BV1197" s="98"/>
      <c r="BW1197" s="98"/>
      <c r="BX1197" s="98"/>
      <c r="BY1197" s="98"/>
      <c r="BZ1197" s="98"/>
      <c r="DA1197" s="177"/>
      <c r="EH1197" s="19"/>
      <c r="EI1197" s="19"/>
      <c r="EJ1197" s="19"/>
      <c r="EK1197" s="19"/>
      <c r="EL1197" s="19"/>
      <c r="EM1197" s="98"/>
      <c r="EN1197" s="98"/>
      <c r="EO1197" s="98"/>
      <c r="EP1197" s="98"/>
      <c r="EQ1197" s="98"/>
      <c r="ER1197" s="98"/>
      <c r="ES1197" s="98"/>
      <c r="ET1197" s="98"/>
      <c r="EU1197" s="98"/>
      <c r="EV1197" s="98"/>
      <c r="EW1197" s="98"/>
      <c r="EX1197" s="98"/>
      <c r="EY1197" s="98"/>
      <c r="EZ1197" s="178"/>
    </row>
    <row r="1198" spans="60:156">
      <c r="BH1198" s="19"/>
      <c r="BI1198" s="19"/>
      <c r="BJ1198" s="19"/>
      <c r="BK1198" s="19"/>
      <c r="BL1198" s="19"/>
      <c r="BM1198" s="98"/>
      <c r="BN1198" s="98"/>
      <c r="BO1198" s="98"/>
      <c r="BP1198" s="98"/>
      <c r="BQ1198" s="98"/>
      <c r="BR1198" s="98"/>
      <c r="BS1198" s="98"/>
      <c r="BT1198" s="98"/>
      <c r="BU1198" s="98"/>
      <c r="BV1198" s="98"/>
      <c r="BW1198" s="98"/>
      <c r="BX1198" s="98"/>
      <c r="BY1198" s="98"/>
      <c r="BZ1198" s="98"/>
      <c r="DA1198" s="177"/>
      <c r="EH1198" s="19"/>
      <c r="EI1198" s="19"/>
      <c r="EJ1198" s="19"/>
      <c r="EK1198" s="19"/>
      <c r="EL1198" s="19"/>
      <c r="EM1198" s="98"/>
      <c r="EN1198" s="98"/>
      <c r="EO1198" s="98"/>
      <c r="EP1198" s="98"/>
      <c r="EQ1198" s="98"/>
      <c r="ER1198" s="98"/>
      <c r="ES1198" s="98"/>
      <c r="ET1198" s="98"/>
      <c r="EU1198" s="98"/>
      <c r="EV1198" s="98"/>
      <c r="EW1198" s="98"/>
      <c r="EX1198" s="98"/>
      <c r="EY1198" s="98"/>
      <c r="EZ1198" s="178"/>
    </row>
    <row r="1199" spans="60:156">
      <c r="BH1199" s="19"/>
      <c r="BI1199" s="19"/>
      <c r="BJ1199" s="19"/>
      <c r="BK1199" s="19"/>
      <c r="BL1199" s="19"/>
      <c r="BM1199" s="98"/>
      <c r="BN1199" s="98"/>
      <c r="BO1199" s="98"/>
      <c r="BP1199" s="98"/>
      <c r="BQ1199" s="98"/>
      <c r="BR1199" s="98"/>
      <c r="BS1199" s="98"/>
      <c r="BT1199" s="98"/>
      <c r="BU1199" s="98"/>
      <c r="BV1199" s="98"/>
      <c r="BW1199" s="98"/>
      <c r="BX1199" s="98"/>
      <c r="BY1199" s="98"/>
      <c r="BZ1199" s="98"/>
      <c r="DA1199" s="177"/>
      <c r="EH1199" s="19"/>
      <c r="EI1199" s="19"/>
      <c r="EJ1199" s="19"/>
      <c r="EK1199" s="19"/>
      <c r="EL1199" s="19"/>
      <c r="EM1199" s="98"/>
      <c r="EN1199" s="98"/>
      <c r="EO1199" s="98"/>
      <c r="EP1199" s="98"/>
      <c r="EQ1199" s="98"/>
      <c r="ER1199" s="98"/>
      <c r="ES1199" s="98"/>
      <c r="ET1199" s="98"/>
      <c r="EU1199" s="98"/>
      <c r="EV1199" s="98"/>
      <c r="EW1199" s="98"/>
      <c r="EX1199" s="98"/>
      <c r="EY1199" s="98"/>
      <c r="EZ1199" s="178"/>
    </row>
    <row r="1200" spans="60:156">
      <c r="BH1200" s="19"/>
      <c r="BI1200" s="19"/>
      <c r="BJ1200" s="19"/>
      <c r="BK1200" s="19"/>
      <c r="BL1200" s="19"/>
      <c r="BM1200" s="98"/>
      <c r="BN1200" s="98"/>
      <c r="BO1200" s="98"/>
      <c r="BP1200" s="98"/>
      <c r="BQ1200" s="98"/>
      <c r="BR1200" s="98"/>
      <c r="BS1200" s="98"/>
      <c r="BT1200" s="98"/>
      <c r="BU1200" s="98"/>
      <c r="BV1200" s="98"/>
      <c r="BW1200" s="98"/>
      <c r="BX1200" s="98"/>
      <c r="BY1200" s="98"/>
      <c r="BZ1200" s="98"/>
      <c r="DA1200" s="177"/>
      <c r="EH1200" s="19"/>
      <c r="EI1200" s="19"/>
      <c r="EJ1200" s="19"/>
      <c r="EK1200" s="19"/>
      <c r="EL1200" s="19"/>
      <c r="EM1200" s="98"/>
      <c r="EN1200" s="98"/>
      <c r="EO1200" s="98"/>
      <c r="EP1200" s="98"/>
      <c r="EQ1200" s="98"/>
      <c r="ER1200" s="98"/>
      <c r="ES1200" s="98"/>
      <c r="ET1200" s="98"/>
      <c r="EU1200" s="98"/>
      <c r="EV1200" s="98"/>
      <c r="EW1200" s="98"/>
      <c r="EX1200" s="98"/>
      <c r="EY1200" s="98"/>
      <c r="EZ1200" s="178"/>
    </row>
    <row r="1201" spans="60:156">
      <c r="BH1201" s="19"/>
      <c r="BI1201" s="19"/>
      <c r="BJ1201" s="19"/>
      <c r="BK1201" s="19"/>
      <c r="BL1201" s="19"/>
      <c r="BM1201" s="98"/>
      <c r="BN1201" s="98"/>
      <c r="BO1201" s="98"/>
      <c r="BP1201" s="98"/>
      <c r="BQ1201" s="98"/>
      <c r="BR1201" s="98"/>
      <c r="BS1201" s="98"/>
      <c r="BT1201" s="98"/>
      <c r="BU1201" s="98"/>
      <c r="BV1201" s="98"/>
      <c r="BW1201" s="98"/>
      <c r="BX1201" s="98"/>
      <c r="BY1201" s="98"/>
      <c r="BZ1201" s="98"/>
      <c r="DA1201" s="177"/>
      <c r="EH1201" s="19"/>
      <c r="EI1201" s="19"/>
      <c r="EJ1201" s="19"/>
      <c r="EK1201" s="19"/>
      <c r="EL1201" s="19"/>
      <c r="EM1201" s="98"/>
      <c r="EN1201" s="98"/>
      <c r="EO1201" s="98"/>
      <c r="EP1201" s="98"/>
      <c r="EQ1201" s="98"/>
      <c r="ER1201" s="98"/>
      <c r="ES1201" s="98"/>
      <c r="ET1201" s="98"/>
      <c r="EU1201" s="98"/>
      <c r="EV1201" s="98"/>
      <c r="EW1201" s="98"/>
      <c r="EX1201" s="98"/>
      <c r="EY1201" s="98"/>
      <c r="EZ1201" s="178"/>
    </row>
    <row r="1202" spans="60:156">
      <c r="BH1202" s="19"/>
      <c r="BI1202" s="19"/>
      <c r="BJ1202" s="19"/>
      <c r="BK1202" s="19"/>
      <c r="BL1202" s="19"/>
      <c r="BM1202" s="98"/>
      <c r="BN1202" s="98"/>
      <c r="BO1202" s="98"/>
      <c r="BP1202" s="98"/>
      <c r="BQ1202" s="98"/>
      <c r="BR1202" s="98"/>
      <c r="BS1202" s="98"/>
      <c r="BT1202" s="98"/>
      <c r="BU1202" s="98"/>
      <c r="BV1202" s="98"/>
      <c r="BW1202" s="98"/>
      <c r="BX1202" s="98"/>
      <c r="BY1202" s="98"/>
      <c r="BZ1202" s="98"/>
      <c r="DA1202" s="177"/>
      <c r="EH1202" s="19"/>
      <c r="EI1202" s="19"/>
      <c r="EJ1202" s="19"/>
      <c r="EK1202" s="19"/>
      <c r="EL1202" s="19"/>
      <c r="EM1202" s="98"/>
      <c r="EN1202" s="98"/>
      <c r="EO1202" s="98"/>
      <c r="EP1202" s="98"/>
      <c r="EQ1202" s="98"/>
      <c r="ER1202" s="98"/>
      <c r="ES1202" s="98"/>
      <c r="ET1202" s="98"/>
      <c r="EU1202" s="98"/>
      <c r="EV1202" s="98"/>
      <c r="EW1202" s="98"/>
      <c r="EX1202" s="98"/>
      <c r="EY1202" s="98"/>
      <c r="EZ1202" s="178"/>
    </row>
    <row r="1203" spans="60:156">
      <c r="BH1203" s="19"/>
      <c r="BI1203" s="19"/>
      <c r="BJ1203" s="19"/>
      <c r="BK1203" s="19"/>
      <c r="BL1203" s="19"/>
      <c r="BM1203" s="98"/>
      <c r="BN1203" s="98"/>
      <c r="BO1203" s="98"/>
      <c r="BP1203" s="98"/>
      <c r="BQ1203" s="98"/>
      <c r="BR1203" s="98"/>
      <c r="BS1203" s="98"/>
      <c r="BT1203" s="98"/>
      <c r="BU1203" s="98"/>
      <c r="BV1203" s="98"/>
      <c r="BW1203" s="98"/>
      <c r="BX1203" s="98"/>
      <c r="BY1203" s="98"/>
      <c r="BZ1203" s="98"/>
      <c r="DA1203" s="177"/>
      <c r="EH1203" s="19"/>
      <c r="EI1203" s="19"/>
      <c r="EJ1203" s="19"/>
      <c r="EK1203" s="19"/>
      <c r="EL1203" s="19"/>
      <c r="EM1203" s="98"/>
      <c r="EN1203" s="98"/>
      <c r="EO1203" s="98"/>
      <c r="EP1203" s="98"/>
      <c r="EQ1203" s="98"/>
      <c r="ER1203" s="98"/>
      <c r="ES1203" s="98"/>
      <c r="ET1203" s="98"/>
      <c r="EU1203" s="98"/>
      <c r="EV1203" s="98"/>
      <c r="EW1203" s="98"/>
      <c r="EX1203" s="98"/>
      <c r="EY1203" s="98"/>
      <c r="EZ1203" s="178"/>
    </row>
    <row r="1204" spans="60:156">
      <c r="BH1204" s="19"/>
      <c r="BI1204" s="19"/>
      <c r="BJ1204" s="19"/>
      <c r="BK1204" s="19"/>
      <c r="BL1204" s="19"/>
      <c r="BM1204" s="98"/>
      <c r="BN1204" s="98"/>
      <c r="BO1204" s="98"/>
      <c r="BP1204" s="98"/>
      <c r="BQ1204" s="98"/>
      <c r="BR1204" s="98"/>
      <c r="BS1204" s="98"/>
      <c r="BT1204" s="98"/>
      <c r="BU1204" s="98"/>
      <c r="BV1204" s="98"/>
      <c r="BW1204" s="98"/>
      <c r="BX1204" s="98"/>
      <c r="BY1204" s="98"/>
      <c r="BZ1204" s="98"/>
      <c r="DA1204" s="177"/>
      <c r="EH1204" s="19"/>
      <c r="EI1204" s="19"/>
      <c r="EJ1204" s="19"/>
      <c r="EK1204" s="19"/>
      <c r="EL1204" s="19"/>
      <c r="EM1204" s="98"/>
      <c r="EN1204" s="98"/>
      <c r="EO1204" s="98"/>
      <c r="EP1204" s="98"/>
      <c r="EQ1204" s="98"/>
      <c r="ER1204" s="98"/>
      <c r="ES1204" s="98"/>
      <c r="ET1204" s="98"/>
      <c r="EU1204" s="98"/>
      <c r="EV1204" s="98"/>
      <c r="EW1204" s="98"/>
      <c r="EX1204" s="98"/>
      <c r="EY1204" s="98"/>
      <c r="EZ1204" s="178"/>
    </row>
    <row r="1205" spans="60:156">
      <c r="BH1205" s="19"/>
      <c r="BI1205" s="19"/>
      <c r="BJ1205" s="19"/>
      <c r="BK1205" s="19"/>
      <c r="BL1205" s="19"/>
      <c r="BM1205" s="98"/>
      <c r="BN1205" s="98"/>
      <c r="BO1205" s="98"/>
      <c r="BP1205" s="98"/>
      <c r="BQ1205" s="98"/>
      <c r="BR1205" s="98"/>
      <c r="BS1205" s="98"/>
      <c r="BT1205" s="98"/>
      <c r="BU1205" s="98"/>
      <c r="BV1205" s="98"/>
      <c r="BW1205" s="98"/>
      <c r="BX1205" s="98"/>
      <c r="BY1205" s="98"/>
      <c r="BZ1205" s="98"/>
      <c r="DA1205" s="177"/>
      <c r="EH1205" s="19"/>
      <c r="EI1205" s="19"/>
      <c r="EJ1205" s="19"/>
      <c r="EK1205" s="19"/>
      <c r="EL1205" s="19"/>
      <c r="EM1205" s="98"/>
      <c r="EN1205" s="98"/>
      <c r="EO1205" s="98"/>
      <c r="EP1205" s="98"/>
      <c r="EQ1205" s="98"/>
      <c r="ER1205" s="98"/>
      <c r="ES1205" s="98"/>
      <c r="ET1205" s="98"/>
      <c r="EU1205" s="98"/>
      <c r="EV1205" s="98"/>
      <c r="EW1205" s="98"/>
      <c r="EX1205" s="98"/>
      <c r="EY1205" s="98"/>
      <c r="EZ1205" s="178"/>
    </row>
    <row r="1206" spans="60:156">
      <c r="BH1206" s="19"/>
      <c r="BI1206" s="19"/>
      <c r="BJ1206" s="19"/>
      <c r="BK1206" s="19"/>
      <c r="BL1206" s="19"/>
      <c r="BM1206" s="98"/>
      <c r="BN1206" s="98"/>
      <c r="BO1206" s="98"/>
      <c r="BP1206" s="98"/>
      <c r="BQ1206" s="98"/>
      <c r="BR1206" s="98"/>
      <c r="BS1206" s="98"/>
      <c r="BT1206" s="98"/>
      <c r="BU1206" s="98"/>
      <c r="BV1206" s="98"/>
      <c r="BW1206" s="98"/>
      <c r="BX1206" s="98"/>
      <c r="BY1206" s="98"/>
      <c r="BZ1206" s="98"/>
      <c r="DA1206" s="177"/>
      <c r="EH1206" s="19"/>
      <c r="EI1206" s="19"/>
      <c r="EJ1206" s="19"/>
      <c r="EK1206" s="19"/>
      <c r="EL1206" s="19"/>
      <c r="EM1206" s="98"/>
      <c r="EN1206" s="98"/>
      <c r="EO1206" s="98"/>
      <c r="EP1206" s="98"/>
      <c r="EQ1206" s="98"/>
      <c r="ER1206" s="98"/>
      <c r="ES1206" s="98"/>
      <c r="ET1206" s="98"/>
      <c r="EU1206" s="98"/>
      <c r="EV1206" s="98"/>
      <c r="EW1206" s="98"/>
      <c r="EX1206" s="98"/>
      <c r="EY1206" s="98"/>
      <c r="EZ1206" s="178"/>
    </row>
    <row r="1207" spans="60:156">
      <c r="BH1207" s="19"/>
      <c r="BI1207" s="19"/>
      <c r="BJ1207" s="19"/>
      <c r="BK1207" s="19"/>
      <c r="BL1207" s="19"/>
      <c r="BM1207" s="98"/>
      <c r="BN1207" s="98"/>
      <c r="BO1207" s="98"/>
      <c r="BP1207" s="98"/>
      <c r="BQ1207" s="98"/>
      <c r="BR1207" s="98"/>
      <c r="BS1207" s="98"/>
      <c r="BT1207" s="98"/>
      <c r="BU1207" s="98"/>
      <c r="BV1207" s="98"/>
      <c r="BW1207" s="98"/>
      <c r="BX1207" s="98"/>
      <c r="BY1207" s="98"/>
      <c r="BZ1207" s="98"/>
      <c r="DA1207" s="177"/>
      <c r="EH1207" s="19"/>
      <c r="EI1207" s="19"/>
      <c r="EJ1207" s="19"/>
      <c r="EK1207" s="19"/>
      <c r="EL1207" s="19"/>
      <c r="EM1207" s="98"/>
      <c r="EN1207" s="98"/>
      <c r="EO1207" s="98"/>
      <c r="EP1207" s="98"/>
      <c r="EQ1207" s="98"/>
      <c r="ER1207" s="98"/>
      <c r="ES1207" s="98"/>
      <c r="ET1207" s="98"/>
      <c r="EU1207" s="98"/>
      <c r="EV1207" s="98"/>
      <c r="EW1207" s="98"/>
      <c r="EX1207" s="98"/>
      <c r="EY1207" s="98"/>
      <c r="EZ1207" s="178"/>
    </row>
    <row r="1208" spans="60:156">
      <c r="BH1208" s="19"/>
      <c r="BI1208" s="19"/>
      <c r="BJ1208" s="19"/>
      <c r="BK1208" s="19"/>
      <c r="BL1208" s="19"/>
      <c r="BM1208" s="98"/>
      <c r="BN1208" s="98"/>
      <c r="BO1208" s="98"/>
      <c r="BP1208" s="98"/>
      <c r="BQ1208" s="98"/>
      <c r="BR1208" s="98"/>
      <c r="BS1208" s="98"/>
      <c r="BT1208" s="98"/>
      <c r="BU1208" s="98"/>
      <c r="BV1208" s="98"/>
      <c r="BW1208" s="98"/>
      <c r="BX1208" s="98"/>
      <c r="BY1208" s="98"/>
      <c r="BZ1208" s="98"/>
      <c r="DA1208" s="177"/>
      <c r="EH1208" s="19"/>
      <c r="EI1208" s="19"/>
      <c r="EJ1208" s="19"/>
      <c r="EK1208" s="19"/>
      <c r="EL1208" s="19"/>
      <c r="EM1208" s="98"/>
      <c r="EN1208" s="98"/>
      <c r="EO1208" s="98"/>
      <c r="EP1208" s="98"/>
      <c r="EQ1208" s="98"/>
      <c r="ER1208" s="98"/>
      <c r="ES1208" s="98"/>
      <c r="ET1208" s="98"/>
      <c r="EU1208" s="98"/>
      <c r="EV1208" s="98"/>
      <c r="EW1208" s="98"/>
      <c r="EX1208" s="98"/>
      <c r="EY1208" s="98"/>
      <c r="EZ1208" s="178"/>
    </row>
    <row r="1209" spans="60:156">
      <c r="BH1209" s="19"/>
      <c r="BI1209" s="19"/>
      <c r="BJ1209" s="19"/>
      <c r="BK1209" s="19"/>
      <c r="BL1209" s="19"/>
      <c r="BM1209" s="98"/>
      <c r="BN1209" s="98"/>
      <c r="BO1209" s="98"/>
      <c r="BP1209" s="98"/>
      <c r="BQ1209" s="98"/>
      <c r="BR1209" s="98"/>
      <c r="BS1209" s="98"/>
      <c r="BT1209" s="98"/>
      <c r="BU1209" s="98"/>
      <c r="BV1209" s="98"/>
      <c r="BW1209" s="98"/>
      <c r="BX1209" s="98"/>
      <c r="BY1209" s="98"/>
      <c r="BZ1209" s="98"/>
      <c r="DA1209" s="177"/>
      <c r="EH1209" s="19"/>
      <c r="EI1209" s="19"/>
      <c r="EJ1209" s="19"/>
      <c r="EK1209" s="19"/>
      <c r="EL1209" s="19"/>
      <c r="EM1209" s="98"/>
      <c r="EN1209" s="98"/>
      <c r="EO1209" s="98"/>
      <c r="EP1209" s="98"/>
      <c r="EQ1209" s="98"/>
      <c r="ER1209" s="98"/>
      <c r="ES1209" s="98"/>
      <c r="ET1209" s="98"/>
      <c r="EU1209" s="98"/>
      <c r="EV1209" s="98"/>
      <c r="EW1209" s="98"/>
      <c r="EX1209" s="98"/>
      <c r="EY1209" s="98"/>
      <c r="EZ1209" s="178"/>
    </row>
    <row r="1210" spans="60:156">
      <c r="BH1210" s="19"/>
      <c r="BI1210" s="19"/>
      <c r="BJ1210" s="19"/>
      <c r="BK1210" s="19"/>
      <c r="BL1210" s="19"/>
      <c r="BM1210" s="98"/>
      <c r="BN1210" s="98"/>
      <c r="BO1210" s="98"/>
      <c r="BP1210" s="98"/>
      <c r="BQ1210" s="98"/>
      <c r="BR1210" s="98"/>
      <c r="BS1210" s="98"/>
      <c r="BT1210" s="98"/>
      <c r="BU1210" s="98"/>
      <c r="BV1210" s="98"/>
      <c r="BW1210" s="98"/>
      <c r="BX1210" s="98"/>
      <c r="BY1210" s="98"/>
      <c r="BZ1210" s="98"/>
      <c r="DA1210" s="177"/>
      <c r="EH1210" s="19"/>
      <c r="EI1210" s="19"/>
      <c r="EJ1210" s="19"/>
      <c r="EK1210" s="19"/>
      <c r="EL1210" s="19"/>
      <c r="EM1210" s="98"/>
      <c r="EN1210" s="98"/>
      <c r="EO1210" s="98"/>
      <c r="EP1210" s="98"/>
      <c r="EQ1210" s="98"/>
      <c r="ER1210" s="98"/>
      <c r="ES1210" s="98"/>
      <c r="ET1210" s="98"/>
      <c r="EU1210" s="98"/>
      <c r="EV1210" s="98"/>
      <c r="EW1210" s="98"/>
      <c r="EX1210" s="98"/>
      <c r="EY1210" s="98"/>
      <c r="EZ1210" s="178"/>
    </row>
    <row r="1211" spans="60:156">
      <c r="BH1211" s="19"/>
      <c r="BI1211" s="19"/>
      <c r="BJ1211" s="19"/>
      <c r="BK1211" s="19"/>
      <c r="BL1211" s="19"/>
      <c r="BM1211" s="98"/>
      <c r="BN1211" s="98"/>
      <c r="BO1211" s="98"/>
      <c r="BP1211" s="98"/>
      <c r="BQ1211" s="98"/>
      <c r="BR1211" s="98"/>
      <c r="BS1211" s="98"/>
      <c r="BT1211" s="98"/>
      <c r="BU1211" s="98"/>
      <c r="BV1211" s="98"/>
      <c r="BW1211" s="98"/>
      <c r="BX1211" s="98"/>
      <c r="BY1211" s="98"/>
      <c r="BZ1211" s="98"/>
      <c r="DA1211" s="177"/>
      <c r="EH1211" s="19"/>
      <c r="EI1211" s="19"/>
      <c r="EJ1211" s="19"/>
      <c r="EK1211" s="19"/>
      <c r="EL1211" s="19"/>
      <c r="EM1211" s="98"/>
      <c r="EN1211" s="98"/>
      <c r="EO1211" s="98"/>
      <c r="EP1211" s="98"/>
      <c r="EQ1211" s="98"/>
      <c r="ER1211" s="98"/>
      <c r="ES1211" s="98"/>
      <c r="ET1211" s="98"/>
      <c r="EU1211" s="98"/>
      <c r="EV1211" s="98"/>
      <c r="EW1211" s="98"/>
      <c r="EX1211" s="98"/>
      <c r="EY1211" s="98"/>
      <c r="EZ1211" s="178"/>
    </row>
    <row r="1212" spans="60:156">
      <c r="BH1212" s="19"/>
      <c r="BI1212" s="19"/>
      <c r="BJ1212" s="19"/>
      <c r="BK1212" s="19"/>
      <c r="BL1212" s="19"/>
      <c r="BM1212" s="98"/>
      <c r="BN1212" s="98"/>
      <c r="BO1212" s="98"/>
      <c r="BP1212" s="98"/>
      <c r="BQ1212" s="98"/>
      <c r="BR1212" s="98"/>
      <c r="BS1212" s="98"/>
      <c r="BT1212" s="98"/>
      <c r="BU1212" s="98"/>
      <c r="BV1212" s="98"/>
      <c r="BW1212" s="98"/>
      <c r="BX1212" s="98"/>
      <c r="BY1212" s="98"/>
      <c r="BZ1212" s="98"/>
      <c r="DA1212" s="177"/>
      <c r="EH1212" s="19"/>
      <c r="EI1212" s="19"/>
      <c r="EJ1212" s="19"/>
      <c r="EK1212" s="19"/>
      <c r="EL1212" s="19"/>
      <c r="EM1212" s="98"/>
      <c r="EN1212" s="98"/>
      <c r="EO1212" s="98"/>
      <c r="EP1212" s="98"/>
      <c r="EQ1212" s="98"/>
      <c r="ER1212" s="98"/>
      <c r="ES1212" s="98"/>
      <c r="ET1212" s="98"/>
      <c r="EU1212" s="98"/>
      <c r="EV1212" s="98"/>
      <c r="EW1212" s="98"/>
      <c r="EX1212" s="98"/>
      <c r="EY1212" s="98"/>
      <c r="EZ1212" s="178"/>
    </row>
    <row r="1213" spans="60:156">
      <c r="BH1213" s="19"/>
      <c r="BI1213" s="19"/>
      <c r="BJ1213" s="19"/>
      <c r="BK1213" s="19"/>
      <c r="BL1213" s="19"/>
      <c r="BM1213" s="98"/>
      <c r="BN1213" s="98"/>
      <c r="BO1213" s="98"/>
      <c r="BP1213" s="98"/>
      <c r="BQ1213" s="98"/>
      <c r="BR1213" s="98"/>
      <c r="BS1213" s="98"/>
      <c r="BT1213" s="98"/>
      <c r="BU1213" s="98"/>
      <c r="BV1213" s="98"/>
      <c r="BW1213" s="98"/>
      <c r="BX1213" s="98"/>
      <c r="BY1213" s="98"/>
      <c r="BZ1213" s="98"/>
      <c r="DA1213" s="177"/>
      <c r="EH1213" s="19"/>
      <c r="EI1213" s="19"/>
      <c r="EJ1213" s="19"/>
      <c r="EK1213" s="19"/>
      <c r="EL1213" s="19"/>
      <c r="EM1213" s="98"/>
      <c r="EN1213" s="98"/>
      <c r="EO1213" s="98"/>
      <c r="EP1213" s="98"/>
      <c r="EQ1213" s="98"/>
      <c r="ER1213" s="98"/>
      <c r="ES1213" s="98"/>
      <c r="ET1213" s="98"/>
      <c r="EU1213" s="98"/>
      <c r="EV1213" s="98"/>
      <c r="EW1213" s="98"/>
      <c r="EX1213" s="98"/>
      <c r="EY1213" s="98"/>
      <c r="EZ1213" s="178"/>
    </row>
    <row r="1214" spans="60:156">
      <c r="BH1214" s="19"/>
      <c r="BI1214" s="19"/>
      <c r="BJ1214" s="19"/>
      <c r="BK1214" s="19"/>
      <c r="BL1214" s="19"/>
      <c r="BM1214" s="98"/>
      <c r="BN1214" s="98"/>
      <c r="BO1214" s="98"/>
      <c r="BP1214" s="98"/>
      <c r="BQ1214" s="98"/>
      <c r="BR1214" s="98"/>
      <c r="BS1214" s="98"/>
      <c r="BT1214" s="98"/>
      <c r="BU1214" s="98"/>
      <c r="BV1214" s="98"/>
      <c r="BW1214" s="98"/>
      <c r="BX1214" s="98"/>
      <c r="BY1214" s="98"/>
      <c r="BZ1214" s="98"/>
      <c r="DA1214" s="177"/>
      <c r="EH1214" s="19"/>
      <c r="EI1214" s="19"/>
      <c r="EJ1214" s="19"/>
      <c r="EK1214" s="19"/>
      <c r="EL1214" s="19"/>
      <c r="EM1214" s="98"/>
      <c r="EN1214" s="98"/>
      <c r="EO1214" s="98"/>
      <c r="EP1214" s="98"/>
      <c r="EQ1214" s="98"/>
      <c r="ER1214" s="98"/>
      <c r="ES1214" s="98"/>
      <c r="ET1214" s="98"/>
      <c r="EU1214" s="98"/>
      <c r="EV1214" s="98"/>
      <c r="EW1214" s="98"/>
      <c r="EX1214" s="98"/>
      <c r="EY1214" s="98"/>
      <c r="EZ1214" s="178"/>
    </row>
    <row r="1215" spans="60:156">
      <c r="BH1215" s="19"/>
      <c r="BI1215" s="19"/>
      <c r="BJ1215" s="19"/>
      <c r="BK1215" s="19"/>
      <c r="BL1215" s="19"/>
      <c r="BM1215" s="98"/>
      <c r="BN1215" s="98"/>
      <c r="BO1215" s="98"/>
      <c r="BP1215" s="98"/>
      <c r="BQ1215" s="98"/>
      <c r="BR1215" s="98"/>
      <c r="BS1215" s="98"/>
      <c r="BT1215" s="98"/>
      <c r="BU1215" s="98"/>
      <c r="BV1215" s="98"/>
      <c r="BW1215" s="98"/>
      <c r="BX1215" s="98"/>
      <c r="BY1215" s="98"/>
      <c r="BZ1215" s="98"/>
      <c r="DA1215" s="177"/>
      <c r="EH1215" s="19"/>
      <c r="EI1215" s="19"/>
      <c r="EJ1215" s="19"/>
      <c r="EK1215" s="19"/>
      <c r="EL1215" s="19"/>
      <c r="EM1215" s="98"/>
      <c r="EN1215" s="98"/>
      <c r="EO1215" s="98"/>
      <c r="EP1215" s="98"/>
      <c r="EQ1215" s="98"/>
      <c r="ER1215" s="98"/>
      <c r="ES1215" s="98"/>
      <c r="ET1215" s="98"/>
      <c r="EU1215" s="98"/>
      <c r="EV1215" s="98"/>
      <c r="EW1215" s="98"/>
      <c r="EX1215" s="98"/>
      <c r="EY1215" s="98"/>
      <c r="EZ1215" s="178"/>
    </row>
    <row r="1216" spans="60:156">
      <c r="BH1216" s="19"/>
      <c r="BI1216" s="19"/>
      <c r="BJ1216" s="19"/>
      <c r="BK1216" s="19"/>
      <c r="BL1216" s="19"/>
      <c r="BM1216" s="98"/>
      <c r="BN1216" s="98"/>
      <c r="BO1216" s="98"/>
      <c r="BP1216" s="98"/>
      <c r="BQ1216" s="98"/>
      <c r="BR1216" s="98"/>
      <c r="BS1216" s="98"/>
      <c r="BT1216" s="98"/>
      <c r="BU1216" s="98"/>
      <c r="BV1216" s="98"/>
      <c r="BW1216" s="98"/>
      <c r="BX1216" s="98"/>
      <c r="BY1216" s="98"/>
      <c r="BZ1216" s="98"/>
      <c r="DA1216" s="177"/>
      <c r="EH1216" s="19"/>
      <c r="EI1216" s="19"/>
      <c r="EJ1216" s="19"/>
      <c r="EK1216" s="19"/>
      <c r="EL1216" s="19"/>
      <c r="EM1216" s="98"/>
      <c r="EN1216" s="98"/>
      <c r="EO1216" s="98"/>
      <c r="EP1216" s="98"/>
      <c r="EQ1216" s="98"/>
      <c r="ER1216" s="98"/>
      <c r="ES1216" s="98"/>
      <c r="ET1216" s="98"/>
      <c r="EU1216" s="98"/>
      <c r="EV1216" s="98"/>
      <c r="EW1216" s="98"/>
      <c r="EX1216" s="98"/>
      <c r="EY1216" s="98"/>
      <c r="EZ1216" s="178"/>
    </row>
    <row r="1217" spans="60:156">
      <c r="BH1217" s="19"/>
      <c r="BI1217" s="19"/>
      <c r="BJ1217" s="19"/>
      <c r="BK1217" s="19"/>
      <c r="BL1217" s="19"/>
      <c r="BM1217" s="98"/>
      <c r="BN1217" s="98"/>
      <c r="BO1217" s="98"/>
      <c r="BP1217" s="98"/>
      <c r="BQ1217" s="98"/>
      <c r="BR1217" s="98"/>
      <c r="BS1217" s="98"/>
      <c r="BT1217" s="98"/>
      <c r="BU1217" s="98"/>
      <c r="BV1217" s="98"/>
      <c r="BW1217" s="98"/>
      <c r="BX1217" s="98"/>
      <c r="BY1217" s="98"/>
      <c r="BZ1217" s="98"/>
      <c r="DA1217" s="177"/>
      <c r="EH1217" s="19"/>
      <c r="EI1217" s="19"/>
      <c r="EJ1217" s="19"/>
      <c r="EK1217" s="19"/>
      <c r="EL1217" s="19"/>
      <c r="EM1217" s="98"/>
      <c r="EN1217" s="98"/>
      <c r="EO1217" s="98"/>
      <c r="EP1217" s="98"/>
      <c r="EQ1217" s="98"/>
      <c r="ER1217" s="98"/>
      <c r="ES1217" s="98"/>
      <c r="ET1217" s="98"/>
      <c r="EU1217" s="98"/>
      <c r="EV1217" s="98"/>
      <c r="EW1217" s="98"/>
      <c r="EX1217" s="98"/>
      <c r="EY1217" s="98"/>
      <c r="EZ1217" s="178"/>
    </row>
    <row r="1218" spans="60:156">
      <c r="BH1218" s="19"/>
      <c r="BI1218" s="19"/>
      <c r="BJ1218" s="19"/>
      <c r="BK1218" s="19"/>
      <c r="BL1218" s="19"/>
      <c r="BM1218" s="98"/>
      <c r="BN1218" s="98"/>
      <c r="BO1218" s="98"/>
      <c r="BP1218" s="98"/>
      <c r="BQ1218" s="98"/>
      <c r="BR1218" s="98"/>
      <c r="BS1218" s="98"/>
      <c r="BT1218" s="98"/>
      <c r="BU1218" s="98"/>
      <c r="BV1218" s="98"/>
      <c r="BW1218" s="98"/>
      <c r="BX1218" s="98"/>
      <c r="BY1218" s="98"/>
      <c r="BZ1218" s="98"/>
      <c r="DA1218" s="177"/>
      <c r="EH1218" s="19"/>
      <c r="EI1218" s="19"/>
      <c r="EJ1218" s="19"/>
      <c r="EK1218" s="19"/>
      <c r="EL1218" s="19"/>
      <c r="EM1218" s="98"/>
      <c r="EN1218" s="98"/>
      <c r="EO1218" s="98"/>
      <c r="EP1218" s="98"/>
      <c r="EQ1218" s="98"/>
      <c r="ER1218" s="98"/>
      <c r="ES1218" s="98"/>
      <c r="ET1218" s="98"/>
      <c r="EU1218" s="98"/>
      <c r="EV1218" s="98"/>
      <c r="EW1218" s="98"/>
      <c r="EX1218" s="98"/>
      <c r="EY1218" s="98"/>
      <c r="EZ1218" s="178"/>
    </row>
    <row r="1219" spans="60:156">
      <c r="BH1219" s="19"/>
      <c r="BI1219" s="19"/>
      <c r="BJ1219" s="19"/>
      <c r="BK1219" s="19"/>
      <c r="BL1219" s="19"/>
      <c r="BM1219" s="98"/>
      <c r="BN1219" s="98"/>
      <c r="BO1219" s="98"/>
      <c r="BP1219" s="98"/>
      <c r="BQ1219" s="98"/>
      <c r="BR1219" s="98"/>
      <c r="BS1219" s="98"/>
      <c r="BT1219" s="98"/>
      <c r="BU1219" s="98"/>
      <c r="BV1219" s="98"/>
      <c r="BW1219" s="98"/>
      <c r="BX1219" s="98"/>
      <c r="BY1219" s="98"/>
      <c r="BZ1219" s="98"/>
      <c r="DA1219" s="177"/>
      <c r="EH1219" s="19"/>
      <c r="EI1219" s="19"/>
      <c r="EJ1219" s="19"/>
      <c r="EK1219" s="19"/>
      <c r="EL1219" s="19"/>
      <c r="EM1219" s="98"/>
      <c r="EN1219" s="98"/>
      <c r="EO1219" s="98"/>
      <c r="EP1219" s="98"/>
      <c r="EQ1219" s="98"/>
      <c r="ER1219" s="98"/>
      <c r="ES1219" s="98"/>
      <c r="ET1219" s="98"/>
      <c r="EU1219" s="98"/>
      <c r="EV1219" s="98"/>
      <c r="EW1219" s="98"/>
      <c r="EX1219" s="98"/>
      <c r="EY1219" s="98"/>
      <c r="EZ1219" s="178"/>
    </row>
    <row r="1220" spans="60:156">
      <c r="BH1220" s="19"/>
      <c r="BI1220" s="19"/>
      <c r="BJ1220" s="19"/>
      <c r="BK1220" s="19"/>
      <c r="BL1220" s="19"/>
      <c r="BM1220" s="98"/>
      <c r="BN1220" s="98"/>
      <c r="BO1220" s="98"/>
      <c r="BP1220" s="98"/>
      <c r="BQ1220" s="98"/>
      <c r="BR1220" s="98"/>
      <c r="BS1220" s="98"/>
      <c r="BT1220" s="98"/>
      <c r="BU1220" s="98"/>
      <c r="BV1220" s="98"/>
      <c r="BW1220" s="98"/>
      <c r="BX1220" s="98"/>
      <c r="BY1220" s="98"/>
      <c r="BZ1220" s="98"/>
      <c r="DA1220" s="177"/>
      <c r="EH1220" s="19"/>
      <c r="EI1220" s="19"/>
      <c r="EJ1220" s="19"/>
      <c r="EK1220" s="19"/>
      <c r="EL1220" s="19"/>
      <c r="EM1220" s="98"/>
      <c r="EN1220" s="98"/>
      <c r="EO1220" s="98"/>
      <c r="EP1220" s="98"/>
      <c r="EQ1220" s="98"/>
      <c r="ER1220" s="98"/>
      <c r="ES1220" s="98"/>
      <c r="ET1220" s="98"/>
      <c r="EU1220" s="98"/>
      <c r="EV1220" s="98"/>
      <c r="EW1220" s="98"/>
      <c r="EX1220" s="98"/>
      <c r="EY1220" s="98"/>
      <c r="EZ1220" s="178"/>
    </row>
    <row r="1221" spans="60:156">
      <c r="BH1221" s="19"/>
      <c r="BI1221" s="19"/>
      <c r="BJ1221" s="19"/>
      <c r="BK1221" s="19"/>
      <c r="BL1221" s="19"/>
      <c r="BM1221" s="98"/>
      <c r="BN1221" s="98"/>
      <c r="BO1221" s="98"/>
      <c r="BP1221" s="98"/>
      <c r="BQ1221" s="98"/>
      <c r="BR1221" s="98"/>
      <c r="BS1221" s="98"/>
      <c r="BT1221" s="98"/>
      <c r="BU1221" s="98"/>
      <c r="BV1221" s="98"/>
      <c r="BW1221" s="98"/>
      <c r="BX1221" s="98"/>
      <c r="BY1221" s="98"/>
      <c r="BZ1221" s="98"/>
      <c r="DA1221" s="177"/>
      <c r="EH1221" s="19"/>
      <c r="EI1221" s="19"/>
      <c r="EJ1221" s="19"/>
      <c r="EK1221" s="19"/>
      <c r="EL1221" s="19"/>
      <c r="EM1221" s="98"/>
      <c r="EN1221" s="98"/>
      <c r="EO1221" s="98"/>
      <c r="EP1221" s="98"/>
      <c r="EQ1221" s="98"/>
      <c r="ER1221" s="98"/>
      <c r="ES1221" s="98"/>
      <c r="ET1221" s="98"/>
      <c r="EU1221" s="98"/>
      <c r="EV1221" s="98"/>
      <c r="EW1221" s="98"/>
      <c r="EX1221" s="98"/>
      <c r="EY1221" s="98"/>
      <c r="EZ1221" s="178"/>
    </row>
    <row r="1222" spans="60:156">
      <c r="BH1222" s="19"/>
      <c r="BI1222" s="19"/>
      <c r="BJ1222" s="19"/>
      <c r="BK1222" s="19"/>
      <c r="BL1222" s="19"/>
      <c r="BM1222" s="98"/>
      <c r="BN1222" s="98"/>
      <c r="BO1222" s="98"/>
      <c r="BP1222" s="98"/>
      <c r="BQ1222" s="98"/>
      <c r="BR1222" s="98"/>
      <c r="BS1222" s="98"/>
      <c r="BT1222" s="98"/>
      <c r="BU1222" s="98"/>
      <c r="BV1222" s="98"/>
      <c r="BW1222" s="98"/>
      <c r="BX1222" s="98"/>
      <c r="BY1222" s="98"/>
      <c r="BZ1222" s="98"/>
      <c r="DA1222" s="177"/>
      <c r="EH1222" s="19"/>
      <c r="EI1222" s="19"/>
      <c r="EJ1222" s="19"/>
      <c r="EK1222" s="19"/>
      <c r="EL1222" s="19"/>
      <c r="EM1222" s="98"/>
      <c r="EN1222" s="98"/>
      <c r="EO1222" s="98"/>
      <c r="EP1222" s="98"/>
      <c r="EQ1222" s="98"/>
      <c r="ER1222" s="98"/>
      <c r="ES1222" s="98"/>
      <c r="ET1222" s="98"/>
      <c r="EU1222" s="98"/>
      <c r="EV1222" s="98"/>
      <c r="EW1222" s="98"/>
      <c r="EX1222" s="98"/>
      <c r="EY1222" s="98"/>
      <c r="EZ1222" s="178"/>
    </row>
    <row r="1223" spans="60:156">
      <c r="BH1223" s="19"/>
      <c r="BI1223" s="19"/>
      <c r="BJ1223" s="19"/>
      <c r="BK1223" s="19"/>
      <c r="BL1223" s="19"/>
      <c r="BM1223" s="98"/>
      <c r="BN1223" s="98"/>
      <c r="BO1223" s="98"/>
      <c r="BP1223" s="98"/>
      <c r="BQ1223" s="98"/>
      <c r="BR1223" s="98"/>
      <c r="BS1223" s="98"/>
      <c r="BT1223" s="98"/>
      <c r="BU1223" s="98"/>
      <c r="BV1223" s="98"/>
      <c r="BW1223" s="98"/>
      <c r="BX1223" s="98"/>
      <c r="BY1223" s="98"/>
      <c r="BZ1223" s="98"/>
      <c r="DA1223" s="177"/>
      <c r="EH1223" s="19"/>
      <c r="EI1223" s="19"/>
      <c r="EJ1223" s="19"/>
      <c r="EK1223" s="19"/>
      <c r="EL1223" s="19"/>
      <c r="EM1223" s="98"/>
      <c r="EN1223" s="98"/>
      <c r="EO1223" s="98"/>
      <c r="EP1223" s="98"/>
      <c r="EQ1223" s="98"/>
      <c r="ER1223" s="98"/>
      <c r="ES1223" s="98"/>
      <c r="ET1223" s="98"/>
      <c r="EU1223" s="98"/>
      <c r="EV1223" s="98"/>
      <c r="EW1223" s="98"/>
      <c r="EX1223" s="98"/>
      <c r="EY1223" s="98"/>
      <c r="EZ1223" s="178"/>
    </row>
    <row r="1224" spans="60:156">
      <c r="BH1224" s="19"/>
      <c r="BI1224" s="19"/>
      <c r="BJ1224" s="19"/>
      <c r="BK1224" s="19"/>
      <c r="BL1224" s="19"/>
      <c r="BM1224" s="98"/>
      <c r="BN1224" s="98"/>
      <c r="BO1224" s="98"/>
      <c r="BP1224" s="98"/>
      <c r="BQ1224" s="98"/>
      <c r="BR1224" s="98"/>
      <c r="BS1224" s="98"/>
      <c r="BT1224" s="98"/>
      <c r="BU1224" s="98"/>
      <c r="BV1224" s="98"/>
      <c r="BW1224" s="98"/>
      <c r="BX1224" s="98"/>
      <c r="BY1224" s="98"/>
      <c r="BZ1224" s="98"/>
      <c r="DA1224" s="177"/>
      <c r="EH1224" s="19"/>
      <c r="EI1224" s="19"/>
      <c r="EJ1224" s="19"/>
      <c r="EK1224" s="19"/>
      <c r="EL1224" s="19"/>
      <c r="EM1224" s="98"/>
      <c r="EN1224" s="98"/>
      <c r="EO1224" s="98"/>
      <c r="EP1224" s="98"/>
      <c r="EQ1224" s="98"/>
      <c r="ER1224" s="98"/>
      <c r="ES1224" s="98"/>
      <c r="ET1224" s="98"/>
      <c r="EU1224" s="98"/>
      <c r="EV1224" s="98"/>
      <c r="EW1224" s="98"/>
      <c r="EX1224" s="98"/>
      <c r="EY1224" s="98"/>
      <c r="EZ1224" s="178"/>
    </row>
    <row r="1225" spans="60:156">
      <c r="BH1225" s="19"/>
      <c r="BI1225" s="19"/>
      <c r="BJ1225" s="19"/>
      <c r="BK1225" s="19"/>
      <c r="BL1225" s="19"/>
      <c r="BM1225" s="98"/>
      <c r="BN1225" s="98"/>
      <c r="BO1225" s="98"/>
      <c r="BP1225" s="98"/>
      <c r="BQ1225" s="98"/>
      <c r="BR1225" s="98"/>
      <c r="BS1225" s="98"/>
      <c r="BT1225" s="98"/>
      <c r="BU1225" s="98"/>
      <c r="BV1225" s="98"/>
      <c r="BW1225" s="98"/>
      <c r="BX1225" s="98"/>
      <c r="BY1225" s="98"/>
      <c r="BZ1225" s="98"/>
      <c r="DA1225" s="177"/>
      <c r="EH1225" s="19"/>
      <c r="EI1225" s="19"/>
      <c r="EJ1225" s="19"/>
      <c r="EK1225" s="19"/>
      <c r="EL1225" s="19"/>
      <c r="EM1225" s="98"/>
      <c r="EN1225" s="98"/>
      <c r="EO1225" s="98"/>
      <c r="EP1225" s="98"/>
      <c r="EQ1225" s="98"/>
      <c r="ER1225" s="98"/>
      <c r="ES1225" s="98"/>
      <c r="ET1225" s="98"/>
      <c r="EU1225" s="98"/>
      <c r="EV1225" s="98"/>
      <c r="EW1225" s="98"/>
      <c r="EX1225" s="98"/>
      <c r="EY1225" s="98"/>
      <c r="EZ1225" s="178"/>
    </row>
    <row r="1226" spans="60:156">
      <c r="BH1226" s="19"/>
      <c r="BI1226" s="19"/>
      <c r="BJ1226" s="19"/>
      <c r="BK1226" s="19"/>
      <c r="BL1226" s="19"/>
      <c r="BM1226" s="98"/>
      <c r="BN1226" s="98"/>
      <c r="BO1226" s="98"/>
      <c r="BP1226" s="98"/>
      <c r="BQ1226" s="98"/>
      <c r="BR1226" s="98"/>
      <c r="BS1226" s="98"/>
      <c r="BT1226" s="98"/>
      <c r="BU1226" s="98"/>
      <c r="BV1226" s="98"/>
      <c r="BW1226" s="98"/>
      <c r="BX1226" s="98"/>
      <c r="BY1226" s="98"/>
      <c r="BZ1226" s="98"/>
      <c r="DA1226" s="177"/>
      <c r="EH1226" s="19"/>
      <c r="EI1226" s="19"/>
      <c r="EJ1226" s="19"/>
      <c r="EK1226" s="19"/>
      <c r="EL1226" s="19"/>
      <c r="EM1226" s="98"/>
      <c r="EN1226" s="98"/>
      <c r="EO1226" s="98"/>
      <c r="EP1226" s="98"/>
      <c r="EQ1226" s="98"/>
      <c r="ER1226" s="98"/>
      <c r="ES1226" s="98"/>
      <c r="ET1226" s="98"/>
      <c r="EU1226" s="98"/>
      <c r="EV1226" s="98"/>
      <c r="EW1226" s="98"/>
      <c r="EX1226" s="98"/>
      <c r="EY1226" s="98"/>
      <c r="EZ1226" s="178"/>
    </row>
    <row r="1227" spans="60:156">
      <c r="BH1227" s="19"/>
      <c r="BI1227" s="19"/>
      <c r="BJ1227" s="19"/>
      <c r="BK1227" s="19"/>
      <c r="BL1227" s="19"/>
      <c r="BM1227" s="98"/>
      <c r="BN1227" s="98"/>
      <c r="BO1227" s="98"/>
      <c r="BP1227" s="98"/>
      <c r="BQ1227" s="98"/>
      <c r="BR1227" s="98"/>
      <c r="BS1227" s="98"/>
      <c r="BT1227" s="98"/>
      <c r="BU1227" s="98"/>
      <c r="BV1227" s="98"/>
      <c r="BW1227" s="98"/>
      <c r="BX1227" s="98"/>
      <c r="BY1227" s="98"/>
      <c r="BZ1227" s="98"/>
      <c r="DA1227" s="177"/>
      <c r="EH1227" s="19"/>
      <c r="EI1227" s="19"/>
      <c r="EJ1227" s="19"/>
      <c r="EK1227" s="19"/>
      <c r="EL1227" s="19"/>
      <c r="EM1227" s="98"/>
      <c r="EN1227" s="98"/>
      <c r="EO1227" s="98"/>
      <c r="EP1227" s="98"/>
      <c r="EQ1227" s="98"/>
      <c r="ER1227" s="98"/>
      <c r="ES1227" s="98"/>
      <c r="ET1227" s="98"/>
      <c r="EU1227" s="98"/>
      <c r="EV1227" s="98"/>
      <c r="EW1227" s="98"/>
      <c r="EX1227" s="98"/>
      <c r="EY1227" s="98"/>
      <c r="EZ1227" s="178"/>
    </row>
    <row r="1228" spans="60:156">
      <c r="BH1228" s="19"/>
      <c r="BI1228" s="19"/>
      <c r="BJ1228" s="19"/>
      <c r="BK1228" s="19"/>
      <c r="BL1228" s="19"/>
      <c r="BM1228" s="98"/>
      <c r="BN1228" s="98"/>
      <c r="BO1228" s="98"/>
      <c r="BP1228" s="98"/>
      <c r="BQ1228" s="98"/>
      <c r="BR1228" s="98"/>
      <c r="BS1228" s="98"/>
      <c r="BT1228" s="98"/>
      <c r="BU1228" s="98"/>
      <c r="BV1228" s="98"/>
      <c r="BW1228" s="98"/>
      <c r="BX1228" s="98"/>
      <c r="BY1228" s="98"/>
      <c r="BZ1228" s="98"/>
      <c r="DA1228" s="177"/>
      <c r="EH1228" s="19"/>
      <c r="EI1228" s="19"/>
      <c r="EJ1228" s="19"/>
      <c r="EK1228" s="19"/>
      <c r="EL1228" s="19"/>
      <c r="EM1228" s="98"/>
      <c r="EN1228" s="98"/>
      <c r="EO1228" s="98"/>
      <c r="EP1228" s="98"/>
      <c r="EQ1228" s="98"/>
      <c r="ER1228" s="98"/>
      <c r="ES1228" s="98"/>
      <c r="ET1228" s="98"/>
      <c r="EU1228" s="98"/>
      <c r="EV1228" s="98"/>
      <c r="EW1228" s="98"/>
      <c r="EX1228" s="98"/>
      <c r="EY1228" s="98"/>
      <c r="EZ1228" s="178"/>
    </row>
    <row r="1229" spans="60:156">
      <c r="BH1229" s="19"/>
      <c r="BI1229" s="19"/>
      <c r="BJ1229" s="19"/>
      <c r="BK1229" s="19"/>
      <c r="BL1229" s="19"/>
      <c r="BM1229" s="98"/>
      <c r="BN1229" s="98"/>
      <c r="BO1229" s="98"/>
      <c r="BP1229" s="98"/>
      <c r="BQ1229" s="98"/>
      <c r="BR1229" s="98"/>
      <c r="BS1229" s="98"/>
      <c r="BT1229" s="98"/>
      <c r="BU1229" s="98"/>
      <c r="BV1229" s="98"/>
      <c r="BW1229" s="98"/>
      <c r="BX1229" s="98"/>
      <c r="BY1229" s="98"/>
      <c r="BZ1229" s="98"/>
      <c r="DA1229" s="177"/>
      <c r="EH1229" s="19"/>
      <c r="EI1229" s="19"/>
      <c r="EJ1229" s="19"/>
      <c r="EK1229" s="19"/>
      <c r="EL1229" s="19"/>
      <c r="EM1229" s="98"/>
      <c r="EN1229" s="98"/>
      <c r="EO1229" s="98"/>
      <c r="EP1229" s="98"/>
      <c r="EQ1229" s="98"/>
      <c r="ER1229" s="98"/>
      <c r="ES1229" s="98"/>
      <c r="ET1229" s="98"/>
      <c r="EU1229" s="98"/>
      <c r="EV1229" s="98"/>
      <c r="EW1229" s="98"/>
      <c r="EX1229" s="98"/>
      <c r="EY1229" s="98"/>
      <c r="EZ1229" s="178"/>
    </row>
    <row r="1230" spans="60:156">
      <c r="BH1230" s="19"/>
      <c r="BI1230" s="19"/>
      <c r="BJ1230" s="19"/>
      <c r="BK1230" s="19"/>
      <c r="BL1230" s="19"/>
      <c r="BM1230" s="98"/>
      <c r="BN1230" s="98"/>
      <c r="BO1230" s="98"/>
      <c r="BP1230" s="98"/>
      <c r="BQ1230" s="98"/>
      <c r="BR1230" s="98"/>
      <c r="BS1230" s="98"/>
      <c r="BT1230" s="98"/>
      <c r="BU1230" s="98"/>
      <c r="BV1230" s="98"/>
      <c r="BW1230" s="98"/>
      <c r="BX1230" s="98"/>
      <c r="BY1230" s="98"/>
      <c r="BZ1230" s="98"/>
      <c r="DA1230" s="177"/>
      <c r="EH1230" s="19"/>
      <c r="EI1230" s="19"/>
      <c r="EJ1230" s="19"/>
      <c r="EK1230" s="19"/>
      <c r="EL1230" s="19"/>
      <c r="EM1230" s="98"/>
      <c r="EN1230" s="98"/>
      <c r="EO1230" s="98"/>
      <c r="EP1230" s="98"/>
      <c r="EQ1230" s="98"/>
      <c r="ER1230" s="98"/>
      <c r="ES1230" s="98"/>
      <c r="ET1230" s="98"/>
      <c r="EU1230" s="98"/>
      <c r="EV1230" s="98"/>
      <c r="EW1230" s="98"/>
      <c r="EX1230" s="98"/>
      <c r="EY1230" s="98"/>
      <c r="EZ1230" s="178"/>
    </row>
    <row r="1231" spans="60:156">
      <c r="BH1231" s="19"/>
      <c r="BI1231" s="19"/>
      <c r="BJ1231" s="19"/>
      <c r="BK1231" s="19"/>
      <c r="BL1231" s="19"/>
      <c r="BM1231" s="98"/>
      <c r="BN1231" s="98"/>
      <c r="BO1231" s="98"/>
      <c r="BP1231" s="98"/>
      <c r="BQ1231" s="98"/>
      <c r="BR1231" s="98"/>
      <c r="BS1231" s="98"/>
      <c r="BT1231" s="98"/>
      <c r="BU1231" s="98"/>
      <c r="BV1231" s="98"/>
      <c r="BW1231" s="98"/>
      <c r="BX1231" s="98"/>
      <c r="BY1231" s="98"/>
      <c r="BZ1231" s="98"/>
      <c r="DA1231" s="177"/>
      <c r="EH1231" s="19"/>
      <c r="EI1231" s="19"/>
      <c r="EJ1231" s="19"/>
      <c r="EK1231" s="19"/>
      <c r="EL1231" s="19"/>
      <c r="EM1231" s="98"/>
      <c r="EN1231" s="98"/>
      <c r="EO1231" s="98"/>
      <c r="EP1231" s="98"/>
      <c r="EQ1231" s="98"/>
      <c r="ER1231" s="98"/>
      <c r="ES1231" s="98"/>
      <c r="ET1231" s="98"/>
      <c r="EU1231" s="98"/>
      <c r="EV1231" s="98"/>
      <c r="EW1231" s="98"/>
      <c r="EX1231" s="98"/>
      <c r="EY1231" s="98"/>
      <c r="EZ1231" s="178"/>
    </row>
    <row r="1232" spans="60:156">
      <c r="BH1232" s="19"/>
      <c r="BI1232" s="19"/>
      <c r="BJ1232" s="19"/>
      <c r="BK1232" s="19"/>
      <c r="BL1232" s="19"/>
      <c r="BM1232" s="98"/>
      <c r="BN1232" s="98"/>
      <c r="BO1232" s="98"/>
      <c r="BP1232" s="98"/>
      <c r="BQ1232" s="98"/>
      <c r="BR1232" s="98"/>
      <c r="BS1232" s="98"/>
      <c r="BT1232" s="98"/>
      <c r="BU1232" s="98"/>
      <c r="BV1232" s="98"/>
      <c r="BW1232" s="98"/>
      <c r="BX1232" s="98"/>
      <c r="BY1232" s="98"/>
      <c r="BZ1232" s="98"/>
      <c r="DA1232" s="177"/>
      <c r="EH1232" s="19"/>
      <c r="EI1232" s="19"/>
      <c r="EJ1232" s="19"/>
      <c r="EK1232" s="19"/>
      <c r="EL1232" s="19"/>
      <c r="EM1232" s="98"/>
      <c r="EN1232" s="98"/>
      <c r="EO1232" s="98"/>
      <c r="EP1232" s="98"/>
      <c r="EQ1232" s="98"/>
      <c r="ER1232" s="98"/>
      <c r="ES1232" s="98"/>
      <c r="ET1232" s="98"/>
      <c r="EU1232" s="98"/>
      <c r="EV1232" s="98"/>
      <c r="EW1232" s="98"/>
      <c r="EX1232" s="98"/>
      <c r="EY1232" s="98"/>
      <c r="EZ1232" s="178"/>
    </row>
    <row r="1233" spans="60:156">
      <c r="BH1233" s="19"/>
      <c r="BI1233" s="19"/>
      <c r="BJ1233" s="19"/>
      <c r="BK1233" s="19"/>
      <c r="BL1233" s="19"/>
      <c r="BM1233" s="98"/>
      <c r="BN1233" s="98"/>
      <c r="BO1233" s="98"/>
      <c r="BP1233" s="98"/>
      <c r="BQ1233" s="98"/>
      <c r="BR1233" s="98"/>
      <c r="BS1233" s="98"/>
      <c r="BT1233" s="98"/>
      <c r="BU1233" s="98"/>
      <c r="BV1233" s="98"/>
      <c r="BW1233" s="98"/>
      <c r="BX1233" s="98"/>
      <c r="BY1233" s="98"/>
      <c r="BZ1233" s="98"/>
      <c r="DA1233" s="177"/>
      <c r="EH1233" s="19"/>
      <c r="EI1233" s="19"/>
      <c r="EJ1233" s="19"/>
      <c r="EK1233" s="19"/>
      <c r="EL1233" s="19"/>
      <c r="EM1233" s="98"/>
      <c r="EN1233" s="98"/>
      <c r="EO1233" s="98"/>
      <c r="EP1233" s="98"/>
      <c r="EQ1233" s="98"/>
      <c r="ER1233" s="98"/>
      <c r="ES1233" s="98"/>
      <c r="ET1233" s="98"/>
      <c r="EU1233" s="98"/>
      <c r="EV1233" s="98"/>
      <c r="EW1233" s="98"/>
      <c r="EX1233" s="98"/>
      <c r="EY1233" s="98"/>
      <c r="EZ1233" s="178"/>
    </row>
    <row r="1234" spans="60:156">
      <c r="BH1234" s="19"/>
      <c r="BI1234" s="19"/>
      <c r="BJ1234" s="19"/>
      <c r="BK1234" s="19"/>
      <c r="BL1234" s="19"/>
      <c r="BM1234" s="98"/>
      <c r="BN1234" s="98"/>
      <c r="BO1234" s="98"/>
      <c r="BP1234" s="98"/>
      <c r="BQ1234" s="98"/>
      <c r="BR1234" s="98"/>
      <c r="BS1234" s="98"/>
      <c r="BT1234" s="98"/>
      <c r="BU1234" s="98"/>
      <c r="BV1234" s="98"/>
      <c r="BW1234" s="98"/>
      <c r="BX1234" s="98"/>
      <c r="BY1234" s="98"/>
      <c r="BZ1234" s="98"/>
      <c r="DA1234" s="177"/>
      <c r="EH1234" s="19"/>
      <c r="EI1234" s="19"/>
      <c r="EJ1234" s="19"/>
      <c r="EK1234" s="19"/>
      <c r="EL1234" s="19"/>
      <c r="EM1234" s="98"/>
      <c r="EN1234" s="98"/>
      <c r="EO1234" s="98"/>
      <c r="EP1234" s="98"/>
      <c r="EQ1234" s="98"/>
      <c r="ER1234" s="98"/>
      <c r="ES1234" s="98"/>
      <c r="ET1234" s="98"/>
      <c r="EU1234" s="98"/>
      <c r="EV1234" s="98"/>
      <c r="EW1234" s="98"/>
      <c r="EX1234" s="98"/>
      <c r="EY1234" s="98"/>
      <c r="EZ1234" s="178"/>
    </row>
    <row r="1235" spans="60:156">
      <c r="BH1235" s="19"/>
      <c r="BI1235" s="19"/>
      <c r="BJ1235" s="19"/>
      <c r="BK1235" s="19"/>
      <c r="BL1235" s="19"/>
      <c r="BM1235" s="98"/>
      <c r="BN1235" s="98"/>
      <c r="BO1235" s="98"/>
      <c r="BP1235" s="98"/>
      <c r="BQ1235" s="98"/>
      <c r="BR1235" s="98"/>
      <c r="BS1235" s="98"/>
      <c r="BT1235" s="98"/>
      <c r="BU1235" s="98"/>
      <c r="BV1235" s="98"/>
      <c r="BW1235" s="98"/>
      <c r="BX1235" s="98"/>
      <c r="BY1235" s="98"/>
      <c r="BZ1235" s="98"/>
      <c r="DA1235" s="177"/>
      <c r="EH1235" s="19"/>
      <c r="EI1235" s="19"/>
      <c r="EJ1235" s="19"/>
      <c r="EK1235" s="19"/>
      <c r="EL1235" s="19"/>
      <c r="EM1235" s="98"/>
      <c r="EN1235" s="98"/>
      <c r="EO1235" s="98"/>
      <c r="EP1235" s="98"/>
      <c r="EQ1235" s="98"/>
      <c r="ER1235" s="98"/>
      <c r="ES1235" s="98"/>
      <c r="ET1235" s="98"/>
      <c r="EU1235" s="98"/>
      <c r="EV1235" s="98"/>
      <c r="EW1235" s="98"/>
      <c r="EX1235" s="98"/>
      <c r="EY1235" s="98"/>
      <c r="EZ1235" s="178"/>
    </row>
    <row r="1236" spans="60:156">
      <c r="BH1236" s="19"/>
      <c r="BI1236" s="19"/>
      <c r="BJ1236" s="19"/>
      <c r="BK1236" s="19"/>
      <c r="BL1236" s="19"/>
      <c r="BM1236" s="98"/>
      <c r="BN1236" s="98"/>
      <c r="BO1236" s="98"/>
      <c r="BP1236" s="98"/>
      <c r="BQ1236" s="98"/>
      <c r="BR1236" s="98"/>
      <c r="BS1236" s="98"/>
      <c r="BT1236" s="98"/>
      <c r="BU1236" s="98"/>
      <c r="BV1236" s="98"/>
      <c r="BW1236" s="98"/>
      <c r="BX1236" s="98"/>
      <c r="BY1236" s="98"/>
      <c r="BZ1236" s="98"/>
      <c r="DA1236" s="177"/>
      <c r="EH1236" s="19"/>
      <c r="EI1236" s="19"/>
      <c r="EJ1236" s="19"/>
      <c r="EK1236" s="19"/>
      <c r="EL1236" s="19"/>
      <c r="EM1236" s="98"/>
      <c r="EN1236" s="98"/>
      <c r="EO1236" s="98"/>
      <c r="EP1236" s="98"/>
      <c r="EQ1236" s="98"/>
      <c r="ER1236" s="98"/>
      <c r="ES1236" s="98"/>
      <c r="ET1236" s="98"/>
      <c r="EU1236" s="98"/>
      <c r="EV1236" s="98"/>
      <c r="EW1236" s="98"/>
      <c r="EX1236" s="98"/>
      <c r="EY1236" s="98"/>
      <c r="EZ1236" s="178"/>
    </row>
    <row r="1237" spans="60:156">
      <c r="BH1237" s="19"/>
      <c r="BI1237" s="19"/>
      <c r="BJ1237" s="19"/>
      <c r="BK1237" s="19"/>
      <c r="BL1237" s="19"/>
      <c r="BM1237" s="98"/>
      <c r="BN1237" s="98"/>
      <c r="BO1237" s="98"/>
      <c r="BP1237" s="98"/>
      <c r="BQ1237" s="98"/>
      <c r="BR1237" s="98"/>
      <c r="BS1237" s="98"/>
      <c r="BT1237" s="98"/>
      <c r="BU1237" s="98"/>
      <c r="BV1237" s="98"/>
      <c r="BW1237" s="98"/>
      <c r="BX1237" s="98"/>
      <c r="BY1237" s="98"/>
      <c r="BZ1237" s="98"/>
      <c r="DA1237" s="177"/>
      <c r="EH1237" s="19"/>
      <c r="EI1237" s="19"/>
      <c r="EJ1237" s="19"/>
      <c r="EK1237" s="19"/>
      <c r="EL1237" s="19"/>
      <c r="EM1237" s="98"/>
      <c r="EN1237" s="98"/>
      <c r="EO1237" s="98"/>
      <c r="EP1237" s="98"/>
      <c r="EQ1237" s="98"/>
      <c r="ER1237" s="98"/>
      <c r="ES1237" s="98"/>
      <c r="ET1237" s="98"/>
      <c r="EU1237" s="98"/>
      <c r="EV1237" s="98"/>
      <c r="EW1237" s="98"/>
      <c r="EX1237" s="98"/>
      <c r="EY1237" s="98"/>
      <c r="EZ1237" s="178"/>
    </row>
    <row r="1238" spans="60:156">
      <c r="BH1238" s="19"/>
      <c r="BI1238" s="19"/>
      <c r="BJ1238" s="19"/>
      <c r="BK1238" s="19"/>
      <c r="BL1238" s="19"/>
      <c r="BM1238" s="98"/>
      <c r="BN1238" s="98"/>
      <c r="BO1238" s="98"/>
      <c r="BP1238" s="98"/>
      <c r="BQ1238" s="98"/>
      <c r="BR1238" s="98"/>
      <c r="BS1238" s="98"/>
      <c r="BT1238" s="98"/>
      <c r="BU1238" s="98"/>
      <c r="BV1238" s="98"/>
      <c r="BW1238" s="98"/>
      <c r="BX1238" s="98"/>
      <c r="BY1238" s="98"/>
      <c r="BZ1238" s="98"/>
      <c r="DA1238" s="177"/>
      <c r="EH1238" s="19"/>
      <c r="EI1238" s="19"/>
      <c r="EJ1238" s="19"/>
      <c r="EK1238" s="19"/>
      <c r="EL1238" s="19"/>
      <c r="EM1238" s="98"/>
      <c r="EN1238" s="98"/>
      <c r="EO1238" s="98"/>
      <c r="EP1238" s="98"/>
      <c r="EQ1238" s="98"/>
      <c r="ER1238" s="98"/>
      <c r="ES1238" s="98"/>
      <c r="ET1238" s="98"/>
      <c r="EU1238" s="98"/>
      <c r="EV1238" s="98"/>
      <c r="EW1238" s="98"/>
      <c r="EX1238" s="98"/>
      <c r="EY1238" s="98"/>
      <c r="EZ1238" s="178"/>
    </row>
    <row r="1239" spans="60:156">
      <c r="BH1239" s="19"/>
      <c r="BI1239" s="19"/>
      <c r="BJ1239" s="19"/>
      <c r="BK1239" s="19"/>
      <c r="BL1239" s="19"/>
      <c r="BM1239" s="98"/>
      <c r="BN1239" s="98"/>
      <c r="BO1239" s="98"/>
      <c r="BP1239" s="98"/>
      <c r="BQ1239" s="98"/>
      <c r="BR1239" s="98"/>
      <c r="BS1239" s="98"/>
      <c r="BT1239" s="98"/>
      <c r="BU1239" s="98"/>
      <c r="BV1239" s="98"/>
      <c r="BW1239" s="98"/>
      <c r="BX1239" s="98"/>
      <c r="BY1239" s="98"/>
      <c r="BZ1239" s="98"/>
      <c r="DA1239" s="177"/>
      <c r="EH1239" s="19"/>
      <c r="EI1239" s="19"/>
      <c r="EJ1239" s="19"/>
      <c r="EK1239" s="19"/>
      <c r="EL1239" s="19"/>
      <c r="EM1239" s="98"/>
      <c r="EN1239" s="98"/>
      <c r="EO1239" s="98"/>
      <c r="EP1239" s="98"/>
      <c r="EQ1239" s="98"/>
      <c r="ER1239" s="98"/>
      <c r="ES1239" s="98"/>
      <c r="ET1239" s="98"/>
      <c r="EU1239" s="98"/>
      <c r="EV1239" s="98"/>
      <c r="EW1239" s="98"/>
      <c r="EX1239" s="98"/>
      <c r="EY1239" s="98"/>
      <c r="EZ1239" s="178"/>
    </row>
    <row r="1240" spans="60:156">
      <c r="BH1240" s="19"/>
      <c r="BI1240" s="19"/>
      <c r="BJ1240" s="19"/>
      <c r="BK1240" s="19"/>
      <c r="BL1240" s="19"/>
      <c r="BM1240" s="98"/>
      <c r="BN1240" s="98"/>
      <c r="BO1240" s="98"/>
      <c r="BP1240" s="98"/>
      <c r="BQ1240" s="98"/>
      <c r="BR1240" s="98"/>
      <c r="BS1240" s="98"/>
      <c r="BT1240" s="98"/>
      <c r="BU1240" s="98"/>
      <c r="BV1240" s="98"/>
      <c r="BW1240" s="98"/>
      <c r="BX1240" s="98"/>
      <c r="BY1240" s="98"/>
      <c r="BZ1240" s="98"/>
      <c r="DA1240" s="177"/>
      <c r="EH1240" s="19"/>
      <c r="EI1240" s="19"/>
      <c r="EJ1240" s="19"/>
      <c r="EK1240" s="19"/>
      <c r="EL1240" s="19"/>
      <c r="EM1240" s="98"/>
      <c r="EN1240" s="98"/>
      <c r="EO1240" s="98"/>
      <c r="EP1240" s="98"/>
      <c r="EQ1240" s="98"/>
      <c r="ER1240" s="98"/>
      <c r="ES1240" s="98"/>
      <c r="ET1240" s="98"/>
      <c r="EU1240" s="98"/>
      <c r="EV1240" s="98"/>
      <c r="EW1240" s="98"/>
      <c r="EX1240" s="98"/>
      <c r="EY1240" s="98"/>
      <c r="EZ1240" s="178"/>
    </row>
    <row r="1241" spans="60:156">
      <c r="BH1241" s="19"/>
      <c r="BI1241" s="19"/>
      <c r="BJ1241" s="19"/>
      <c r="BK1241" s="19"/>
      <c r="BL1241" s="19"/>
      <c r="BM1241" s="98"/>
      <c r="BN1241" s="98"/>
      <c r="BO1241" s="98"/>
      <c r="BP1241" s="98"/>
      <c r="BQ1241" s="98"/>
      <c r="BR1241" s="98"/>
      <c r="BS1241" s="98"/>
      <c r="BT1241" s="98"/>
      <c r="BU1241" s="98"/>
      <c r="BV1241" s="98"/>
      <c r="BW1241" s="98"/>
      <c r="BX1241" s="98"/>
      <c r="BY1241" s="98"/>
      <c r="BZ1241" s="98"/>
      <c r="DA1241" s="177"/>
      <c r="EH1241" s="19"/>
      <c r="EI1241" s="19"/>
      <c r="EJ1241" s="19"/>
      <c r="EK1241" s="19"/>
      <c r="EL1241" s="19"/>
      <c r="EM1241" s="98"/>
      <c r="EN1241" s="98"/>
      <c r="EO1241" s="98"/>
      <c r="EP1241" s="98"/>
      <c r="EQ1241" s="98"/>
      <c r="ER1241" s="98"/>
      <c r="ES1241" s="98"/>
      <c r="ET1241" s="98"/>
      <c r="EU1241" s="98"/>
      <c r="EV1241" s="98"/>
      <c r="EW1241" s="98"/>
      <c r="EX1241" s="98"/>
      <c r="EY1241" s="98"/>
      <c r="EZ1241" s="178"/>
    </row>
    <row r="1242" spans="60:156">
      <c r="BH1242" s="19"/>
      <c r="BI1242" s="19"/>
      <c r="BJ1242" s="19"/>
      <c r="BK1242" s="19"/>
      <c r="BL1242" s="19"/>
      <c r="BM1242" s="98"/>
      <c r="BN1242" s="98"/>
      <c r="BO1242" s="98"/>
      <c r="BP1242" s="98"/>
      <c r="BQ1242" s="98"/>
      <c r="BR1242" s="98"/>
      <c r="BS1242" s="98"/>
      <c r="BT1242" s="98"/>
      <c r="BU1242" s="98"/>
      <c r="BV1242" s="98"/>
      <c r="BW1242" s="98"/>
      <c r="BX1242" s="98"/>
      <c r="BY1242" s="98"/>
      <c r="BZ1242" s="98"/>
      <c r="DA1242" s="177"/>
      <c r="EH1242" s="19"/>
      <c r="EI1242" s="19"/>
      <c r="EJ1242" s="19"/>
      <c r="EK1242" s="19"/>
      <c r="EL1242" s="19"/>
      <c r="EM1242" s="98"/>
      <c r="EN1242" s="98"/>
      <c r="EO1242" s="98"/>
      <c r="EP1242" s="98"/>
      <c r="EQ1242" s="98"/>
      <c r="ER1242" s="98"/>
      <c r="ES1242" s="98"/>
      <c r="ET1242" s="98"/>
      <c r="EU1242" s="98"/>
      <c r="EV1242" s="98"/>
      <c r="EW1242" s="98"/>
      <c r="EX1242" s="98"/>
      <c r="EY1242" s="98"/>
      <c r="EZ1242" s="178"/>
    </row>
    <row r="1243" spans="60:156">
      <c r="BH1243" s="19"/>
      <c r="BI1243" s="19"/>
      <c r="BJ1243" s="19"/>
      <c r="BK1243" s="19"/>
      <c r="BL1243" s="19"/>
      <c r="BM1243" s="98"/>
      <c r="BN1243" s="98"/>
      <c r="BO1243" s="98"/>
      <c r="BP1243" s="98"/>
      <c r="BQ1243" s="98"/>
      <c r="BR1243" s="98"/>
      <c r="BS1243" s="98"/>
      <c r="BT1243" s="98"/>
      <c r="BU1243" s="98"/>
      <c r="BV1243" s="98"/>
      <c r="BW1243" s="98"/>
      <c r="BX1243" s="98"/>
      <c r="BY1243" s="98"/>
      <c r="BZ1243" s="98"/>
      <c r="DA1243" s="177"/>
      <c r="EH1243" s="19"/>
      <c r="EI1243" s="19"/>
      <c r="EJ1243" s="19"/>
      <c r="EK1243" s="19"/>
      <c r="EL1243" s="19"/>
      <c r="EM1243" s="98"/>
      <c r="EN1243" s="98"/>
      <c r="EO1243" s="98"/>
      <c r="EP1243" s="98"/>
      <c r="EQ1243" s="98"/>
      <c r="ER1243" s="98"/>
      <c r="ES1243" s="98"/>
      <c r="ET1243" s="98"/>
      <c r="EU1243" s="98"/>
      <c r="EV1243" s="98"/>
      <c r="EW1243" s="98"/>
      <c r="EX1243" s="98"/>
      <c r="EY1243" s="98"/>
      <c r="EZ1243" s="178"/>
    </row>
    <row r="1244" spans="60:156">
      <c r="BH1244" s="19"/>
      <c r="BI1244" s="19"/>
      <c r="BJ1244" s="19"/>
      <c r="BK1244" s="19"/>
      <c r="BL1244" s="19"/>
      <c r="BM1244" s="98"/>
      <c r="BN1244" s="98"/>
      <c r="BO1244" s="98"/>
      <c r="BP1244" s="98"/>
      <c r="BQ1244" s="98"/>
      <c r="BR1244" s="98"/>
      <c r="BS1244" s="98"/>
      <c r="BT1244" s="98"/>
      <c r="BU1244" s="98"/>
      <c r="BV1244" s="98"/>
      <c r="BW1244" s="98"/>
      <c r="BX1244" s="98"/>
      <c r="BY1244" s="98"/>
      <c r="BZ1244" s="98"/>
      <c r="DA1244" s="177"/>
      <c r="EH1244" s="19"/>
      <c r="EI1244" s="19"/>
      <c r="EJ1244" s="19"/>
      <c r="EK1244" s="19"/>
      <c r="EL1244" s="19"/>
      <c r="EM1244" s="98"/>
      <c r="EN1244" s="98"/>
      <c r="EO1244" s="98"/>
      <c r="EP1244" s="98"/>
      <c r="EQ1244" s="98"/>
      <c r="ER1244" s="98"/>
      <c r="ES1244" s="98"/>
      <c r="ET1244" s="98"/>
      <c r="EU1244" s="98"/>
      <c r="EV1244" s="98"/>
      <c r="EW1244" s="98"/>
      <c r="EX1244" s="98"/>
      <c r="EY1244" s="98"/>
      <c r="EZ1244" s="178"/>
    </row>
    <row r="1245" spans="60:156">
      <c r="BH1245" s="19"/>
      <c r="BI1245" s="19"/>
      <c r="BJ1245" s="19"/>
      <c r="BK1245" s="19"/>
      <c r="BL1245" s="19"/>
      <c r="BM1245" s="98"/>
      <c r="BN1245" s="98"/>
      <c r="BO1245" s="98"/>
      <c r="BP1245" s="98"/>
      <c r="BQ1245" s="98"/>
      <c r="BR1245" s="98"/>
      <c r="BS1245" s="98"/>
      <c r="BT1245" s="98"/>
      <c r="BU1245" s="98"/>
      <c r="BV1245" s="98"/>
      <c r="BW1245" s="98"/>
      <c r="BX1245" s="98"/>
      <c r="BY1245" s="98"/>
      <c r="BZ1245" s="98"/>
      <c r="DA1245" s="177"/>
      <c r="EH1245" s="19"/>
      <c r="EI1245" s="19"/>
      <c r="EJ1245" s="19"/>
      <c r="EK1245" s="19"/>
      <c r="EL1245" s="19"/>
      <c r="EM1245" s="98"/>
      <c r="EN1245" s="98"/>
      <c r="EO1245" s="98"/>
      <c r="EP1245" s="98"/>
      <c r="EQ1245" s="98"/>
      <c r="ER1245" s="98"/>
      <c r="ES1245" s="98"/>
      <c r="ET1245" s="98"/>
      <c r="EU1245" s="98"/>
      <c r="EV1245" s="98"/>
      <c r="EW1245" s="98"/>
      <c r="EX1245" s="98"/>
      <c r="EY1245" s="98"/>
      <c r="EZ1245" s="178"/>
    </row>
    <row r="1246" spans="60:156">
      <c r="BH1246" s="19"/>
      <c r="BI1246" s="19"/>
      <c r="BJ1246" s="19"/>
      <c r="BK1246" s="19"/>
      <c r="BL1246" s="19"/>
      <c r="BM1246" s="98"/>
      <c r="BN1246" s="98"/>
      <c r="BO1246" s="98"/>
      <c r="BP1246" s="98"/>
      <c r="BQ1246" s="98"/>
      <c r="BR1246" s="98"/>
      <c r="BS1246" s="98"/>
      <c r="BT1246" s="98"/>
      <c r="BU1246" s="98"/>
      <c r="BV1246" s="98"/>
      <c r="BW1246" s="98"/>
      <c r="BX1246" s="98"/>
      <c r="BY1246" s="98"/>
      <c r="BZ1246" s="98"/>
      <c r="DA1246" s="177"/>
      <c r="EH1246" s="19"/>
      <c r="EI1246" s="19"/>
      <c r="EJ1246" s="19"/>
      <c r="EK1246" s="19"/>
      <c r="EL1246" s="19"/>
      <c r="EM1246" s="98"/>
      <c r="EN1246" s="98"/>
      <c r="EO1246" s="98"/>
      <c r="EP1246" s="98"/>
      <c r="EQ1246" s="98"/>
      <c r="ER1246" s="98"/>
      <c r="ES1246" s="98"/>
      <c r="ET1246" s="98"/>
      <c r="EU1246" s="98"/>
      <c r="EV1246" s="98"/>
      <c r="EW1246" s="98"/>
      <c r="EX1246" s="98"/>
      <c r="EY1246" s="98"/>
      <c r="EZ1246" s="178"/>
    </row>
    <row r="1247" spans="60:156">
      <c r="BH1247" s="19"/>
      <c r="BI1247" s="19"/>
      <c r="BJ1247" s="19"/>
      <c r="BK1247" s="19"/>
      <c r="BL1247" s="19"/>
      <c r="BM1247" s="98"/>
      <c r="BN1247" s="98"/>
      <c r="BO1247" s="98"/>
      <c r="BP1247" s="98"/>
      <c r="BQ1247" s="98"/>
      <c r="BR1247" s="98"/>
      <c r="BS1247" s="98"/>
      <c r="BT1247" s="98"/>
      <c r="BU1247" s="98"/>
      <c r="BV1247" s="98"/>
      <c r="BW1247" s="98"/>
      <c r="BX1247" s="98"/>
      <c r="BY1247" s="98"/>
      <c r="BZ1247" s="98"/>
      <c r="DA1247" s="177"/>
      <c r="EH1247" s="19"/>
      <c r="EI1247" s="19"/>
      <c r="EJ1247" s="19"/>
      <c r="EK1247" s="19"/>
      <c r="EL1247" s="19"/>
      <c r="EM1247" s="98"/>
      <c r="EN1247" s="98"/>
      <c r="EO1247" s="98"/>
      <c r="EP1247" s="98"/>
      <c r="EQ1247" s="98"/>
      <c r="ER1247" s="98"/>
      <c r="ES1247" s="98"/>
      <c r="ET1247" s="98"/>
      <c r="EU1247" s="98"/>
      <c r="EV1247" s="98"/>
      <c r="EW1247" s="98"/>
      <c r="EX1247" s="98"/>
      <c r="EY1247" s="98"/>
      <c r="EZ1247" s="178"/>
    </row>
    <row r="1248" spans="60:156">
      <c r="BH1248" s="19"/>
      <c r="BI1248" s="19"/>
      <c r="BJ1248" s="19"/>
      <c r="BK1248" s="19"/>
      <c r="BL1248" s="19"/>
      <c r="BM1248" s="98"/>
      <c r="BN1248" s="98"/>
      <c r="BO1248" s="98"/>
      <c r="BP1248" s="98"/>
      <c r="BQ1248" s="98"/>
      <c r="BR1248" s="98"/>
      <c r="BS1248" s="98"/>
      <c r="BT1248" s="98"/>
      <c r="BU1248" s="98"/>
      <c r="BV1248" s="98"/>
      <c r="BW1248" s="98"/>
      <c r="BX1248" s="98"/>
      <c r="BY1248" s="98"/>
      <c r="BZ1248" s="98"/>
      <c r="DA1248" s="177"/>
      <c r="EH1248" s="19"/>
      <c r="EI1248" s="19"/>
      <c r="EJ1248" s="19"/>
      <c r="EK1248" s="19"/>
      <c r="EL1248" s="19"/>
      <c r="EM1248" s="98"/>
      <c r="EN1248" s="98"/>
      <c r="EO1248" s="98"/>
      <c r="EP1248" s="98"/>
      <c r="EQ1248" s="98"/>
      <c r="ER1248" s="98"/>
      <c r="ES1248" s="98"/>
      <c r="ET1248" s="98"/>
      <c r="EU1248" s="98"/>
      <c r="EV1248" s="98"/>
      <c r="EW1248" s="98"/>
      <c r="EX1248" s="98"/>
      <c r="EY1248" s="98"/>
      <c r="EZ1248" s="178"/>
    </row>
    <row r="1249" spans="60:156">
      <c r="BH1249" s="19"/>
      <c r="BI1249" s="19"/>
      <c r="BJ1249" s="19"/>
      <c r="BK1249" s="19"/>
      <c r="BL1249" s="19"/>
      <c r="BM1249" s="98"/>
      <c r="BN1249" s="98"/>
      <c r="BO1249" s="98"/>
      <c r="BP1249" s="98"/>
      <c r="BQ1249" s="98"/>
      <c r="BR1249" s="98"/>
      <c r="BS1249" s="98"/>
      <c r="BT1249" s="98"/>
      <c r="BU1249" s="98"/>
      <c r="BV1249" s="98"/>
      <c r="BW1249" s="98"/>
      <c r="BX1249" s="98"/>
      <c r="BY1249" s="98"/>
      <c r="BZ1249" s="98"/>
      <c r="DA1249" s="177"/>
      <c r="EH1249" s="19"/>
      <c r="EI1249" s="19"/>
      <c r="EJ1249" s="19"/>
      <c r="EK1249" s="19"/>
      <c r="EL1249" s="19"/>
      <c r="EM1249" s="98"/>
      <c r="EN1249" s="98"/>
      <c r="EO1249" s="98"/>
      <c r="EP1249" s="98"/>
      <c r="EQ1249" s="98"/>
      <c r="ER1249" s="98"/>
      <c r="ES1249" s="98"/>
      <c r="ET1249" s="98"/>
      <c r="EU1249" s="98"/>
      <c r="EV1249" s="98"/>
      <c r="EW1249" s="98"/>
      <c r="EX1249" s="98"/>
      <c r="EY1249" s="98"/>
      <c r="EZ1249" s="178"/>
    </row>
    <row r="1250" spans="60:156">
      <c r="BH1250" s="19"/>
      <c r="BI1250" s="19"/>
      <c r="BJ1250" s="19"/>
      <c r="BK1250" s="19"/>
      <c r="BL1250" s="19"/>
      <c r="BM1250" s="98"/>
      <c r="BN1250" s="98"/>
      <c r="BO1250" s="98"/>
      <c r="BP1250" s="98"/>
      <c r="BQ1250" s="98"/>
      <c r="BR1250" s="98"/>
      <c r="BS1250" s="98"/>
      <c r="BT1250" s="98"/>
      <c r="BU1250" s="98"/>
      <c r="BV1250" s="98"/>
      <c r="BW1250" s="98"/>
      <c r="BX1250" s="98"/>
      <c r="BY1250" s="98"/>
      <c r="BZ1250" s="98"/>
      <c r="DA1250" s="177"/>
      <c r="EH1250" s="19"/>
      <c r="EI1250" s="19"/>
      <c r="EJ1250" s="19"/>
      <c r="EK1250" s="19"/>
      <c r="EL1250" s="19"/>
      <c r="EM1250" s="98"/>
      <c r="EN1250" s="98"/>
      <c r="EO1250" s="98"/>
      <c r="EP1250" s="98"/>
      <c r="EQ1250" s="98"/>
      <c r="ER1250" s="98"/>
      <c r="ES1250" s="98"/>
      <c r="ET1250" s="98"/>
      <c r="EU1250" s="98"/>
      <c r="EV1250" s="98"/>
      <c r="EW1250" s="98"/>
      <c r="EX1250" s="98"/>
      <c r="EY1250" s="98"/>
      <c r="EZ1250" s="178"/>
    </row>
    <row r="1251" spans="60:156">
      <c r="BH1251" s="19"/>
      <c r="BI1251" s="19"/>
      <c r="BJ1251" s="19"/>
      <c r="BK1251" s="19"/>
      <c r="BL1251" s="19"/>
      <c r="BM1251" s="98"/>
      <c r="BN1251" s="98"/>
      <c r="BO1251" s="98"/>
      <c r="BP1251" s="98"/>
      <c r="BQ1251" s="98"/>
      <c r="BR1251" s="98"/>
      <c r="BS1251" s="98"/>
      <c r="BT1251" s="98"/>
      <c r="BU1251" s="98"/>
      <c r="BV1251" s="98"/>
      <c r="BW1251" s="98"/>
      <c r="BX1251" s="98"/>
      <c r="BY1251" s="98"/>
      <c r="BZ1251" s="98"/>
      <c r="DA1251" s="177"/>
      <c r="EH1251" s="19"/>
      <c r="EI1251" s="19"/>
      <c r="EJ1251" s="19"/>
      <c r="EK1251" s="19"/>
      <c r="EL1251" s="19"/>
      <c r="EM1251" s="98"/>
      <c r="EN1251" s="98"/>
      <c r="EO1251" s="98"/>
      <c r="EP1251" s="98"/>
      <c r="EQ1251" s="98"/>
      <c r="ER1251" s="98"/>
      <c r="ES1251" s="98"/>
      <c r="ET1251" s="98"/>
      <c r="EU1251" s="98"/>
      <c r="EV1251" s="98"/>
      <c r="EW1251" s="98"/>
      <c r="EX1251" s="98"/>
      <c r="EY1251" s="98"/>
      <c r="EZ1251" s="178"/>
    </row>
    <row r="1252" spans="60:156">
      <c r="BH1252" s="19"/>
      <c r="BI1252" s="19"/>
      <c r="BJ1252" s="19"/>
      <c r="BK1252" s="19"/>
      <c r="BL1252" s="19"/>
      <c r="BM1252" s="98"/>
      <c r="BN1252" s="98"/>
      <c r="BO1252" s="98"/>
      <c r="BP1252" s="98"/>
      <c r="BQ1252" s="98"/>
      <c r="BR1252" s="98"/>
      <c r="BS1252" s="98"/>
      <c r="BT1252" s="98"/>
      <c r="BU1252" s="98"/>
      <c r="BV1252" s="98"/>
      <c r="BW1252" s="98"/>
      <c r="BX1252" s="98"/>
      <c r="BY1252" s="98"/>
      <c r="BZ1252" s="98"/>
      <c r="DA1252" s="177"/>
      <c r="EH1252" s="19"/>
      <c r="EI1252" s="19"/>
      <c r="EJ1252" s="19"/>
      <c r="EK1252" s="19"/>
      <c r="EL1252" s="19"/>
      <c r="EM1252" s="98"/>
      <c r="EN1252" s="98"/>
      <c r="EO1252" s="98"/>
      <c r="EP1252" s="98"/>
      <c r="EQ1252" s="98"/>
      <c r="ER1252" s="98"/>
      <c r="ES1252" s="98"/>
      <c r="ET1252" s="98"/>
      <c r="EU1252" s="98"/>
      <c r="EV1252" s="98"/>
      <c r="EW1252" s="98"/>
      <c r="EX1252" s="98"/>
      <c r="EY1252" s="98"/>
      <c r="EZ1252" s="178"/>
    </row>
    <row r="1253" spans="60:156">
      <c r="BH1253" s="19"/>
      <c r="BI1253" s="19"/>
      <c r="BJ1253" s="19"/>
      <c r="BK1253" s="19"/>
      <c r="BL1253" s="19"/>
      <c r="BM1253" s="98"/>
      <c r="BN1253" s="98"/>
      <c r="BO1253" s="98"/>
      <c r="BP1253" s="98"/>
      <c r="BQ1253" s="98"/>
      <c r="BR1253" s="98"/>
      <c r="BS1253" s="98"/>
      <c r="BT1253" s="98"/>
      <c r="BU1253" s="98"/>
      <c r="BV1253" s="98"/>
      <c r="BW1253" s="98"/>
      <c r="BX1253" s="98"/>
      <c r="BY1253" s="98"/>
      <c r="BZ1253" s="98"/>
      <c r="DA1253" s="177"/>
      <c r="EH1253" s="19"/>
      <c r="EI1253" s="19"/>
      <c r="EJ1253" s="19"/>
      <c r="EK1253" s="19"/>
      <c r="EL1253" s="19"/>
      <c r="EM1253" s="98"/>
      <c r="EN1253" s="98"/>
      <c r="EO1253" s="98"/>
      <c r="EP1253" s="98"/>
      <c r="EQ1253" s="98"/>
      <c r="ER1253" s="98"/>
      <c r="ES1253" s="98"/>
      <c r="ET1253" s="98"/>
      <c r="EU1253" s="98"/>
      <c r="EV1253" s="98"/>
      <c r="EW1253" s="98"/>
      <c r="EX1253" s="98"/>
      <c r="EY1253" s="98"/>
      <c r="EZ1253" s="178"/>
    </row>
    <row r="1254" spans="60:156">
      <c r="BH1254" s="19"/>
      <c r="BI1254" s="19"/>
      <c r="BJ1254" s="19"/>
      <c r="BK1254" s="19"/>
      <c r="BL1254" s="19"/>
      <c r="BM1254" s="98"/>
      <c r="BN1254" s="98"/>
      <c r="BO1254" s="98"/>
      <c r="BP1254" s="98"/>
      <c r="BQ1254" s="98"/>
      <c r="BR1254" s="98"/>
      <c r="BS1254" s="98"/>
      <c r="BT1254" s="98"/>
      <c r="BU1254" s="98"/>
      <c r="BV1254" s="98"/>
      <c r="BW1254" s="98"/>
      <c r="BX1254" s="98"/>
      <c r="BY1254" s="98"/>
      <c r="BZ1254" s="98"/>
      <c r="DA1254" s="177"/>
      <c r="EH1254" s="19"/>
      <c r="EI1254" s="19"/>
      <c r="EJ1254" s="19"/>
      <c r="EK1254" s="19"/>
      <c r="EL1254" s="19"/>
      <c r="EM1254" s="98"/>
      <c r="EN1254" s="98"/>
      <c r="EO1254" s="98"/>
      <c r="EP1254" s="98"/>
      <c r="EQ1254" s="98"/>
      <c r="ER1254" s="98"/>
      <c r="ES1254" s="98"/>
      <c r="ET1254" s="98"/>
      <c r="EU1254" s="98"/>
      <c r="EV1254" s="98"/>
      <c r="EW1254" s="98"/>
      <c r="EX1254" s="98"/>
      <c r="EY1254" s="98"/>
      <c r="EZ1254" s="178"/>
    </row>
    <row r="1255" spans="60:156">
      <c r="BH1255" s="19"/>
      <c r="BI1255" s="19"/>
      <c r="BJ1255" s="19"/>
      <c r="BK1255" s="19"/>
      <c r="BL1255" s="19"/>
      <c r="BM1255" s="98"/>
      <c r="BN1255" s="98"/>
      <c r="BO1255" s="98"/>
      <c r="BP1255" s="98"/>
      <c r="BQ1255" s="98"/>
      <c r="BR1255" s="98"/>
      <c r="BS1255" s="98"/>
      <c r="BT1255" s="98"/>
      <c r="BU1255" s="98"/>
      <c r="BV1255" s="98"/>
      <c r="BW1255" s="98"/>
      <c r="BX1255" s="98"/>
      <c r="BY1255" s="98"/>
      <c r="BZ1255" s="98"/>
      <c r="DA1255" s="177"/>
      <c r="EH1255" s="19"/>
      <c r="EI1255" s="19"/>
      <c r="EJ1255" s="19"/>
      <c r="EK1255" s="19"/>
      <c r="EL1255" s="19"/>
      <c r="EM1255" s="98"/>
      <c r="EN1255" s="98"/>
      <c r="EO1255" s="98"/>
      <c r="EP1255" s="98"/>
      <c r="EQ1255" s="98"/>
      <c r="ER1255" s="98"/>
      <c r="ES1255" s="98"/>
      <c r="ET1255" s="98"/>
      <c r="EU1255" s="98"/>
      <c r="EV1255" s="98"/>
      <c r="EW1255" s="98"/>
      <c r="EX1255" s="98"/>
      <c r="EY1255" s="98"/>
      <c r="EZ1255" s="178"/>
    </row>
    <row r="1256" spans="60:156">
      <c r="BH1256" s="19"/>
      <c r="BI1256" s="19"/>
      <c r="BJ1256" s="19"/>
      <c r="BK1256" s="19"/>
      <c r="BL1256" s="19"/>
      <c r="BM1256" s="98"/>
      <c r="BN1256" s="98"/>
      <c r="BO1256" s="98"/>
      <c r="BP1256" s="98"/>
      <c r="BQ1256" s="98"/>
      <c r="BR1256" s="98"/>
      <c r="BS1256" s="98"/>
      <c r="BT1256" s="98"/>
      <c r="BU1256" s="98"/>
      <c r="BV1256" s="98"/>
      <c r="BW1256" s="98"/>
      <c r="BX1256" s="98"/>
      <c r="BY1256" s="98"/>
      <c r="BZ1256" s="98"/>
      <c r="DA1256" s="177"/>
      <c r="EH1256" s="19"/>
      <c r="EI1256" s="19"/>
      <c r="EJ1256" s="19"/>
      <c r="EK1256" s="19"/>
      <c r="EL1256" s="19"/>
      <c r="EM1256" s="98"/>
      <c r="EN1256" s="98"/>
      <c r="EO1256" s="98"/>
      <c r="EP1256" s="98"/>
      <c r="EQ1256" s="98"/>
      <c r="ER1256" s="98"/>
      <c r="ES1256" s="98"/>
      <c r="ET1256" s="98"/>
      <c r="EU1256" s="98"/>
      <c r="EV1256" s="98"/>
      <c r="EW1256" s="98"/>
      <c r="EX1256" s="98"/>
      <c r="EY1256" s="98"/>
      <c r="EZ1256" s="178"/>
    </row>
    <row r="1257" spans="60:156">
      <c r="BH1257" s="19"/>
      <c r="BI1257" s="19"/>
      <c r="BJ1257" s="19"/>
      <c r="BK1257" s="19"/>
      <c r="BL1257" s="19"/>
      <c r="BM1257" s="98"/>
      <c r="BN1257" s="98"/>
      <c r="BO1257" s="98"/>
      <c r="BP1257" s="98"/>
      <c r="BQ1257" s="98"/>
      <c r="BR1257" s="98"/>
      <c r="BS1257" s="98"/>
      <c r="BT1257" s="98"/>
      <c r="BU1257" s="98"/>
      <c r="BV1257" s="98"/>
      <c r="BW1257" s="98"/>
      <c r="BX1257" s="98"/>
      <c r="BY1257" s="98"/>
      <c r="BZ1257" s="98"/>
      <c r="DA1257" s="177"/>
      <c r="EH1257" s="19"/>
      <c r="EI1257" s="19"/>
      <c r="EJ1257" s="19"/>
      <c r="EK1257" s="19"/>
      <c r="EL1257" s="19"/>
      <c r="EM1257" s="98"/>
      <c r="EN1257" s="98"/>
      <c r="EO1257" s="98"/>
      <c r="EP1257" s="98"/>
      <c r="EQ1257" s="98"/>
      <c r="ER1257" s="98"/>
      <c r="ES1257" s="98"/>
      <c r="ET1257" s="98"/>
      <c r="EU1257" s="98"/>
      <c r="EV1257" s="98"/>
      <c r="EW1257" s="98"/>
      <c r="EX1257" s="98"/>
      <c r="EY1257" s="98"/>
      <c r="EZ1257" s="178"/>
    </row>
    <row r="1258" spans="60:156">
      <c r="BH1258" s="19"/>
      <c r="BI1258" s="19"/>
      <c r="BJ1258" s="19"/>
      <c r="BK1258" s="19"/>
      <c r="BL1258" s="19"/>
      <c r="BM1258" s="98"/>
      <c r="BN1258" s="98"/>
      <c r="BO1258" s="98"/>
      <c r="BP1258" s="98"/>
      <c r="BQ1258" s="98"/>
      <c r="BR1258" s="98"/>
      <c r="BS1258" s="98"/>
      <c r="BT1258" s="98"/>
      <c r="BU1258" s="98"/>
      <c r="BV1258" s="98"/>
      <c r="BW1258" s="98"/>
      <c r="BX1258" s="98"/>
      <c r="BY1258" s="98"/>
      <c r="BZ1258" s="98"/>
      <c r="DA1258" s="177"/>
      <c r="EH1258" s="19"/>
      <c r="EI1258" s="19"/>
      <c r="EJ1258" s="19"/>
      <c r="EK1258" s="19"/>
      <c r="EL1258" s="19"/>
      <c r="EM1258" s="98"/>
      <c r="EN1258" s="98"/>
      <c r="EO1258" s="98"/>
      <c r="EP1258" s="98"/>
      <c r="EQ1258" s="98"/>
      <c r="ER1258" s="98"/>
      <c r="ES1258" s="98"/>
      <c r="ET1258" s="98"/>
      <c r="EU1258" s="98"/>
      <c r="EV1258" s="98"/>
      <c r="EW1258" s="98"/>
      <c r="EX1258" s="98"/>
      <c r="EY1258" s="98"/>
      <c r="EZ1258" s="178"/>
    </row>
    <row r="1259" spans="60:156">
      <c r="BH1259" s="19"/>
      <c r="BI1259" s="19"/>
      <c r="BJ1259" s="19"/>
      <c r="BK1259" s="19"/>
      <c r="BL1259" s="19"/>
      <c r="BM1259" s="98"/>
      <c r="BN1259" s="98"/>
      <c r="BO1259" s="98"/>
      <c r="BP1259" s="98"/>
      <c r="BQ1259" s="98"/>
      <c r="BR1259" s="98"/>
      <c r="BS1259" s="98"/>
      <c r="BT1259" s="98"/>
      <c r="BU1259" s="98"/>
      <c r="BV1259" s="98"/>
      <c r="BW1259" s="98"/>
      <c r="BX1259" s="98"/>
      <c r="BY1259" s="98"/>
      <c r="BZ1259" s="98"/>
      <c r="DA1259" s="177"/>
      <c r="EH1259" s="19"/>
      <c r="EI1259" s="19"/>
      <c r="EJ1259" s="19"/>
      <c r="EK1259" s="19"/>
      <c r="EL1259" s="19"/>
      <c r="EM1259" s="98"/>
      <c r="EN1259" s="98"/>
      <c r="EO1259" s="98"/>
      <c r="EP1259" s="98"/>
      <c r="EQ1259" s="98"/>
      <c r="ER1259" s="98"/>
      <c r="ES1259" s="98"/>
      <c r="ET1259" s="98"/>
      <c r="EU1259" s="98"/>
      <c r="EV1259" s="98"/>
      <c r="EW1259" s="98"/>
      <c r="EX1259" s="98"/>
      <c r="EY1259" s="98"/>
      <c r="EZ1259" s="178"/>
    </row>
    <row r="1260" spans="60:156">
      <c r="BH1260" s="19"/>
      <c r="BI1260" s="19"/>
      <c r="BJ1260" s="19"/>
      <c r="BK1260" s="19"/>
      <c r="BL1260" s="19"/>
      <c r="BM1260" s="98"/>
      <c r="BN1260" s="98"/>
      <c r="BO1260" s="98"/>
      <c r="BP1260" s="98"/>
      <c r="BQ1260" s="98"/>
      <c r="BR1260" s="98"/>
      <c r="BS1260" s="98"/>
      <c r="BT1260" s="98"/>
      <c r="BU1260" s="98"/>
      <c r="BV1260" s="98"/>
      <c r="BW1260" s="98"/>
      <c r="BX1260" s="98"/>
      <c r="BY1260" s="98"/>
      <c r="BZ1260" s="98"/>
      <c r="DA1260" s="177"/>
      <c r="EH1260" s="19"/>
      <c r="EI1260" s="19"/>
      <c r="EJ1260" s="19"/>
      <c r="EK1260" s="19"/>
      <c r="EL1260" s="19"/>
      <c r="EM1260" s="98"/>
      <c r="EN1260" s="98"/>
      <c r="EO1260" s="98"/>
      <c r="EP1260" s="98"/>
      <c r="EQ1260" s="98"/>
      <c r="ER1260" s="98"/>
      <c r="ES1260" s="98"/>
      <c r="ET1260" s="98"/>
      <c r="EU1260" s="98"/>
      <c r="EV1260" s="98"/>
      <c r="EW1260" s="98"/>
      <c r="EX1260" s="98"/>
      <c r="EY1260" s="98"/>
      <c r="EZ1260" s="178"/>
    </row>
    <row r="1261" spans="60:156">
      <c r="BH1261" s="19"/>
      <c r="BI1261" s="19"/>
      <c r="BJ1261" s="19"/>
      <c r="BK1261" s="19"/>
      <c r="BL1261" s="19"/>
      <c r="BM1261" s="98"/>
      <c r="BN1261" s="98"/>
      <c r="BO1261" s="98"/>
      <c r="BP1261" s="98"/>
      <c r="BQ1261" s="98"/>
      <c r="BR1261" s="98"/>
      <c r="BS1261" s="98"/>
      <c r="BT1261" s="98"/>
      <c r="BU1261" s="98"/>
      <c r="BV1261" s="98"/>
      <c r="BW1261" s="98"/>
      <c r="BX1261" s="98"/>
      <c r="BY1261" s="98"/>
      <c r="BZ1261" s="98"/>
      <c r="DA1261" s="177"/>
      <c r="EH1261" s="19"/>
      <c r="EI1261" s="19"/>
      <c r="EJ1261" s="19"/>
      <c r="EK1261" s="19"/>
      <c r="EL1261" s="19"/>
      <c r="EM1261" s="98"/>
      <c r="EN1261" s="98"/>
      <c r="EO1261" s="98"/>
      <c r="EP1261" s="98"/>
      <c r="EQ1261" s="98"/>
      <c r="ER1261" s="98"/>
      <c r="ES1261" s="98"/>
      <c r="ET1261" s="98"/>
      <c r="EU1261" s="98"/>
      <c r="EV1261" s="98"/>
      <c r="EW1261" s="98"/>
      <c r="EX1261" s="98"/>
      <c r="EY1261" s="98"/>
      <c r="EZ1261" s="178"/>
    </row>
    <row r="1262" spans="60:156">
      <c r="BH1262" s="19"/>
      <c r="BI1262" s="19"/>
      <c r="BJ1262" s="19"/>
      <c r="BK1262" s="19"/>
      <c r="BL1262" s="19"/>
      <c r="BM1262" s="98"/>
      <c r="BN1262" s="98"/>
      <c r="BO1262" s="98"/>
      <c r="BP1262" s="98"/>
      <c r="BQ1262" s="98"/>
      <c r="BR1262" s="98"/>
      <c r="BS1262" s="98"/>
      <c r="BT1262" s="98"/>
      <c r="BU1262" s="98"/>
      <c r="BV1262" s="98"/>
      <c r="BW1262" s="98"/>
      <c r="BX1262" s="98"/>
      <c r="BY1262" s="98"/>
      <c r="BZ1262" s="98"/>
      <c r="DA1262" s="177"/>
      <c r="EH1262" s="19"/>
      <c r="EI1262" s="19"/>
      <c r="EJ1262" s="19"/>
      <c r="EK1262" s="19"/>
      <c r="EL1262" s="19"/>
      <c r="EM1262" s="98"/>
      <c r="EN1262" s="98"/>
      <c r="EO1262" s="98"/>
      <c r="EP1262" s="98"/>
      <c r="EQ1262" s="98"/>
      <c r="ER1262" s="98"/>
      <c r="ES1262" s="98"/>
      <c r="ET1262" s="98"/>
      <c r="EU1262" s="98"/>
      <c r="EV1262" s="98"/>
      <c r="EW1262" s="98"/>
      <c r="EX1262" s="98"/>
      <c r="EY1262" s="98"/>
      <c r="EZ1262" s="178"/>
    </row>
    <row r="1263" spans="60:156">
      <c r="BH1263" s="19"/>
      <c r="BI1263" s="19"/>
      <c r="BJ1263" s="19"/>
      <c r="BK1263" s="19"/>
      <c r="BL1263" s="19"/>
      <c r="BM1263" s="98"/>
      <c r="BN1263" s="98"/>
      <c r="BO1263" s="98"/>
      <c r="BP1263" s="98"/>
      <c r="BQ1263" s="98"/>
      <c r="BR1263" s="98"/>
      <c r="BS1263" s="98"/>
      <c r="BT1263" s="98"/>
      <c r="BU1263" s="98"/>
      <c r="BV1263" s="98"/>
      <c r="BW1263" s="98"/>
      <c r="BX1263" s="98"/>
      <c r="BY1263" s="98"/>
      <c r="BZ1263" s="98"/>
      <c r="DA1263" s="177"/>
      <c r="EH1263" s="19"/>
      <c r="EI1263" s="19"/>
      <c r="EJ1263" s="19"/>
      <c r="EK1263" s="19"/>
      <c r="EL1263" s="19"/>
      <c r="EM1263" s="98"/>
      <c r="EN1263" s="98"/>
      <c r="EO1263" s="98"/>
      <c r="EP1263" s="98"/>
      <c r="EQ1263" s="98"/>
      <c r="ER1263" s="98"/>
      <c r="ES1263" s="98"/>
      <c r="ET1263" s="98"/>
      <c r="EU1263" s="98"/>
      <c r="EV1263" s="98"/>
      <c r="EW1263" s="98"/>
      <c r="EX1263" s="98"/>
      <c r="EY1263" s="98"/>
      <c r="EZ1263" s="178"/>
    </row>
    <row r="1264" spans="60:156">
      <c r="BH1264" s="19"/>
      <c r="BI1264" s="19"/>
      <c r="BJ1264" s="19"/>
      <c r="BK1264" s="19"/>
      <c r="BL1264" s="19"/>
      <c r="BM1264" s="98"/>
      <c r="BN1264" s="98"/>
      <c r="BO1264" s="98"/>
      <c r="BP1264" s="98"/>
      <c r="BQ1264" s="98"/>
      <c r="BR1264" s="98"/>
      <c r="BS1264" s="98"/>
      <c r="BT1264" s="98"/>
      <c r="BU1264" s="98"/>
      <c r="BV1264" s="98"/>
      <c r="BW1264" s="98"/>
      <c r="BX1264" s="98"/>
      <c r="BY1264" s="98"/>
      <c r="BZ1264" s="98"/>
      <c r="DA1264" s="177"/>
      <c r="EH1264" s="19"/>
      <c r="EI1264" s="19"/>
      <c r="EJ1264" s="19"/>
      <c r="EK1264" s="19"/>
      <c r="EL1264" s="19"/>
      <c r="EM1264" s="98"/>
      <c r="EN1264" s="98"/>
      <c r="EO1264" s="98"/>
      <c r="EP1264" s="98"/>
      <c r="EQ1264" s="98"/>
      <c r="ER1264" s="98"/>
      <c r="ES1264" s="98"/>
      <c r="ET1264" s="98"/>
      <c r="EU1264" s="98"/>
      <c r="EV1264" s="98"/>
      <c r="EW1264" s="98"/>
      <c r="EX1264" s="98"/>
      <c r="EY1264" s="98"/>
      <c r="EZ1264" s="178"/>
    </row>
    <row r="1265" spans="60:156">
      <c r="BH1265" s="19"/>
      <c r="BI1265" s="19"/>
      <c r="BJ1265" s="19"/>
      <c r="BK1265" s="19"/>
      <c r="BL1265" s="19"/>
      <c r="BM1265" s="98"/>
      <c r="BN1265" s="98"/>
      <c r="BO1265" s="98"/>
      <c r="BP1265" s="98"/>
      <c r="BQ1265" s="98"/>
      <c r="BR1265" s="98"/>
      <c r="BS1265" s="98"/>
      <c r="BT1265" s="98"/>
      <c r="BU1265" s="98"/>
      <c r="BV1265" s="98"/>
      <c r="BW1265" s="98"/>
      <c r="BX1265" s="98"/>
      <c r="BY1265" s="98"/>
      <c r="BZ1265" s="98"/>
      <c r="DA1265" s="177"/>
      <c r="EH1265" s="19"/>
      <c r="EI1265" s="19"/>
      <c r="EJ1265" s="19"/>
      <c r="EK1265" s="19"/>
      <c r="EL1265" s="19"/>
      <c r="EM1265" s="98"/>
      <c r="EN1265" s="98"/>
      <c r="EO1265" s="98"/>
      <c r="EP1265" s="98"/>
      <c r="EQ1265" s="98"/>
      <c r="ER1265" s="98"/>
      <c r="ES1265" s="98"/>
      <c r="ET1265" s="98"/>
      <c r="EU1265" s="98"/>
      <c r="EV1265" s="98"/>
      <c r="EW1265" s="98"/>
      <c r="EX1265" s="98"/>
      <c r="EY1265" s="98"/>
      <c r="EZ1265" s="178"/>
    </row>
    <row r="1266" spans="60:156">
      <c r="BH1266" s="19"/>
      <c r="BI1266" s="19"/>
      <c r="BJ1266" s="19"/>
      <c r="BK1266" s="19"/>
      <c r="BL1266" s="19"/>
      <c r="BM1266" s="98"/>
      <c r="BN1266" s="98"/>
      <c r="BO1266" s="98"/>
      <c r="BP1266" s="98"/>
      <c r="BQ1266" s="98"/>
      <c r="BR1266" s="98"/>
      <c r="BS1266" s="98"/>
      <c r="BT1266" s="98"/>
      <c r="BU1266" s="98"/>
      <c r="BV1266" s="98"/>
      <c r="BW1266" s="98"/>
      <c r="BX1266" s="98"/>
      <c r="BY1266" s="98"/>
      <c r="BZ1266" s="98"/>
      <c r="DA1266" s="177"/>
      <c r="EH1266" s="19"/>
      <c r="EI1266" s="19"/>
      <c r="EJ1266" s="19"/>
      <c r="EK1266" s="19"/>
      <c r="EL1266" s="19"/>
      <c r="EM1266" s="98"/>
      <c r="EN1266" s="98"/>
      <c r="EO1266" s="98"/>
      <c r="EP1266" s="98"/>
      <c r="EQ1266" s="98"/>
      <c r="ER1266" s="98"/>
      <c r="ES1266" s="98"/>
      <c r="ET1266" s="98"/>
      <c r="EU1266" s="98"/>
      <c r="EV1266" s="98"/>
      <c r="EW1266" s="98"/>
      <c r="EX1266" s="98"/>
      <c r="EY1266" s="98"/>
      <c r="EZ1266" s="178"/>
    </row>
    <row r="1267" spans="60:156">
      <c r="BH1267" s="19"/>
      <c r="BI1267" s="19"/>
      <c r="BJ1267" s="19"/>
      <c r="BK1267" s="19"/>
      <c r="BL1267" s="19"/>
      <c r="BM1267" s="98"/>
      <c r="BN1267" s="98"/>
      <c r="BO1267" s="98"/>
      <c r="BP1267" s="98"/>
      <c r="BQ1267" s="98"/>
      <c r="BR1267" s="98"/>
      <c r="BS1267" s="98"/>
      <c r="BT1267" s="98"/>
      <c r="BU1267" s="98"/>
      <c r="BV1267" s="98"/>
      <c r="BW1267" s="98"/>
      <c r="BX1267" s="98"/>
      <c r="BY1267" s="98"/>
      <c r="BZ1267" s="98"/>
      <c r="DA1267" s="177"/>
      <c r="EH1267" s="19"/>
      <c r="EI1267" s="19"/>
      <c r="EJ1267" s="19"/>
      <c r="EK1267" s="19"/>
      <c r="EL1267" s="19"/>
      <c r="EM1267" s="98"/>
      <c r="EN1267" s="98"/>
      <c r="EO1267" s="98"/>
      <c r="EP1267" s="98"/>
      <c r="EQ1267" s="98"/>
      <c r="ER1267" s="98"/>
      <c r="ES1267" s="98"/>
      <c r="ET1267" s="98"/>
      <c r="EU1267" s="98"/>
      <c r="EV1267" s="98"/>
      <c r="EW1267" s="98"/>
      <c r="EX1267" s="98"/>
      <c r="EY1267" s="98"/>
      <c r="EZ1267" s="178"/>
    </row>
    <row r="1268" spans="60:156">
      <c r="BH1268" s="19"/>
      <c r="BI1268" s="19"/>
      <c r="BJ1268" s="19"/>
      <c r="BK1268" s="19"/>
      <c r="BL1268" s="19"/>
      <c r="BM1268" s="98"/>
      <c r="BN1268" s="98"/>
      <c r="BO1268" s="98"/>
      <c r="BP1268" s="98"/>
      <c r="BQ1268" s="98"/>
      <c r="BR1268" s="98"/>
      <c r="BS1268" s="98"/>
      <c r="BT1268" s="98"/>
      <c r="BU1268" s="98"/>
      <c r="BV1268" s="98"/>
      <c r="BW1268" s="98"/>
      <c r="BX1268" s="98"/>
      <c r="BY1268" s="98"/>
      <c r="BZ1268" s="98"/>
      <c r="DA1268" s="177"/>
      <c r="EH1268" s="19"/>
      <c r="EI1268" s="19"/>
      <c r="EJ1268" s="19"/>
      <c r="EK1268" s="19"/>
      <c r="EL1268" s="19"/>
      <c r="EM1268" s="98"/>
      <c r="EN1268" s="98"/>
      <c r="EO1268" s="98"/>
      <c r="EP1268" s="98"/>
      <c r="EQ1268" s="98"/>
      <c r="ER1268" s="98"/>
      <c r="ES1268" s="98"/>
      <c r="ET1268" s="98"/>
      <c r="EU1268" s="98"/>
      <c r="EV1268" s="98"/>
      <c r="EW1268" s="98"/>
      <c r="EX1268" s="98"/>
      <c r="EY1268" s="98"/>
      <c r="EZ1268" s="178"/>
    </row>
    <row r="1269" spans="60:156">
      <c r="BH1269" s="19"/>
      <c r="BI1269" s="19"/>
      <c r="BJ1269" s="19"/>
      <c r="BK1269" s="19"/>
      <c r="BL1269" s="19"/>
      <c r="BM1269" s="98"/>
      <c r="BN1269" s="98"/>
      <c r="BO1269" s="98"/>
      <c r="BP1269" s="98"/>
      <c r="BQ1269" s="98"/>
      <c r="BR1269" s="98"/>
      <c r="BS1269" s="98"/>
      <c r="BT1269" s="98"/>
      <c r="BU1269" s="98"/>
      <c r="BV1269" s="98"/>
      <c r="BW1269" s="98"/>
      <c r="BX1269" s="98"/>
      <c r="BY1269" s="98"/>
      <c r="BZ1269" s="98"/>
      <c r="DA1269" s="177"/>
      <c r="EH1269" s="19"/>
      <c r="EI1269" s="19"/>
      <c r="EJ1269" s="19"/>
      <c r="EK1269" s="19"/>
      <c r="EL1269" s="19"/>
      <c r="EM1269" s="98"/>
      <c r="EN1269" s="98"/>
      <c r="EO1269" s="98"/>
      <c r="EP1269" s="98"/>
      <c r="EQ1269" s="98"/>
      <c r="ER1269" s="98"/>
      <c r="ES1269" s="98"/>
      <c r="ET1269" s="98"/>
      <c r="EU1269" s="98"/>
      <c r="EV1269" s="98"/>
      <c r="EW1269" s="98"/>
      <c r="EX1269" s="98"/>
      <c r="EY1269" s="98"/>
      <c r="EZ1269" s="178"/>
    </row>
    <row r="1270" spans="60:156">
      <c r="BH1270" s="19"/>
      <c r="BI1270" s="19"/>
      <c r="BJ1270" s="19"/>
      <c r="BK1270" s="19"/>
      <c r="BL1270" s="19"/>
      <c r="BM1270" s="98"/>
      <c r="BN1270" s="98"/>
      <c r="BO1270" s="98"/>
      <c r="BP1270" s="98"/>
      <c r="BQ1270" s="98"/>
      <c r="BR1270" s="98"/>
      <c r="BS1270" s="98"/>
      <c r="BT1270" s="98"/>
      <c r="BU1270" s="98"/>
      <c r="BV1270" s="98"/>
      <c r="BW1270" s="98"/>
      <c r="BX1270" s="98"/>
      <c r="BY1270" s="98"/>
      <c r="BZ1270" s="98"/>
      <c r="DA1270" s="177"/>
      <c r="EH1270" s="19"/>
      <c r="EI1270" s="19"/>
      <c r="EJ1270" s="19"/>
      <c r="EK1270" s="19"/>
      <c r="EL1270" s="19"/>
      <c r="EM1270" s="98"/>
      <c r="EN1270" s="98"/>
      <c r="EO1270" s="98"/>
      <c r="EP1270" s="98"/>
      <c r="EQ1270" s="98"/>
      <c r="ER1270" s="98"/>
      <c r="ES1270" s="98"/>
      <c r="ET1270" s="98"/>
      <c r="EU1270" s="98"/>
      <c r="EV1270" s="98"/>
      <c r="EW1270" s="98"/>
      <c r="EX1270" s="98"/>
      <c r="EY1270" s="98"/>
      <c r="EZ1270" s="178"/>
    </row>
    <row r="1271" spans="60:156">
      <c r="BH1271" s="19"/>
      <c r="BI1271" s="19"/>
      <c r="BJ1271" s="19"/>
      <c r="BK1271" s="19"/>
      <c r="BL1271" s="19"/>
      <c r="BM1271" s="98"/>
      <c r="BN1271" s="98"/>
      <c r="BO1271" s="98"/>
      <c r="BP1271" s="98"/>
      <c r="BQ1271" s="98"/>
      <c r="BR1271" s="98"/>
      <c r="BS1271" s="98"/>
      <c r="BT1271" s="98"/>
      <c r="BU1271" s="98"/>
      <c r="BV1271" s="98"/>
      <c r="BW1271" s="98"/>
      <c r="BX1271" s="98"/>
      <c r="BY1271" s="98"/>
      <c r="BZ1271" s="98"/>
      <c r="DA1271" s="177"/>
      <c r="EH1271" s="19"/>
      <c r="EI1271" s="19"/>
      <c r="EJ1271" s="19"/>
      <c r="EK1271" s="19"/>
      <c r="EL1271" s="19"/>
      <c r="EM1271" s="98"/>
      <c r="EN1271" s="98"/>
      <c r="EO1271" s="98"/>
      <c r="EP1271" s="98"/>
      <c r="EQ1271" s="98"/>
      <c r="ER1271" s="98"/>
      <c r="ES1271" s="98"/>
      <c r="ET1271" s="98"/>
      <c r="EU1271" s="98"/>
      <c r="EV1271" s="98"/>
      <c r="EW1271" s="98"/>
      <c r="EX1271" s="98"/>
      <c r="EY1271" s="98"/>
      <c r="EZ1271" s="178"/>
    </row>
    <row r="1272" spans="60:156">
      <c r="BH1272" s="19"/>
      <c r="BI1272" s="19"/>
      <c r="BJ1272" s="19"/>
      <c r="BK1272" s="19"/>
      <c r="BL1272" s="19"/>
      <c r="BM1272" s="98"/>
      <c r="BN1272" s="98"/>
      <c r="BO1272" s="98"/>
      <c r="BP1272" s="98"/>
      <c r="BQ1272" s="98"/>
      <c r="BR1272" s="98"/>
      <c r="BS1272" s="98"/>
      <c r="BT1272" s="98"/>
      <c r="BU1272" s="98"/>
      <c r="BV1272" s="98"/>
      <c r="BW1272" s="98"/>
      <c r="BX1272" s="98"/>
      <c r="BY1272" s="98"/>
      <c r="BZ1272" s="98"/>
      <c r="DA1272" s="177"/>
      <c r="EH1272" s="19"/>
      <c r="EI1272" s="19"/>
      <c r="EJ1272" s="19"/>
      <c r="EK1272" s="19"/>
      <c r="EL1272" s="19"/>
      <c r="EM1272" s="98"/>
      <c r="EN1272" s="98"/>
      <c r="EO1272" s="98"/>
      <c r="EP1272" s="98"/>
      <c r="EQ1272" s="98"/>
      <c r="ER1272" s="98"/>
      <c r="ES1272" s="98"/>
      <c r="ET1272" s="98"/>
      <c r="EU1272" s="98"/>
      <c r="EV1272" s="98"/>
      <c r="EW1272" s="98"/>
      <c r="EX1272" s="98"/>
      <c r="EY1272" s="98"/>
      <c r="EZ1272" s="178"/>
    </row>
    <row r="1273" spans="60:156">
      <c r="BH1273" s="19"/>
      <c r="BI1273" s="19"/>
      <c r="BJ1273" s="19"/>
      <c r="BK1273" s="19"/>
      <c r="BL1273" s="19"/>
      <c r="BM1273" s="98"/>
      <c r="BN1273" s="98"/>
      <c r="BO1273" s="98"/>
      <c r="BP1273" s="98"/>
      <c r="BQ1273" s="98"/>
      <c r="BR1273" s="98"/>
      <c r="BS1273" s="98"/>
      <c r="BT1273" s="98"/>
      <c r="BU1273" s="98"/>
      <c r="BV1273" s="98"/>
      <c r="BW1273" s="98"/>
      <c r="BX1273" s="98"/>
      <c r="BY1273" s="98"/>
      <c r="BZ1273" s="98"/>
      <c r="DA1273" s="177"/>
      <c r="EH1273" s="19"/>
      <c r="EI1273" s="19"/>
      <c r="EJ1273" s="19"/>
      <c r="EK1273" s="19"/>
      <c r="EL1273" s="19"/>
      <c r="EM1273" s="98"/>
      <c r="EN1273" s="98"/>
      <c r="EO1273" s="98"/>
      <c r="EP1273" s="98"/>
      <c r="EQ1273" s="98"/>
      <c r="ER1273" s="98"/>
      <c r="ES1273" s="98"/>
      <c r="ET1273" s="98"/>
      <c r="EU1273" s="98"/>
      <c r="EV1273" s="98"/>
      <c r="EW1273" s="98"/>
      <c r="EX1273" s="98"/>
      <c r="EY1273" s="98"/>
      <c r="EZ1273" s="178"/>
    </row>
    <row r="1274" spans="60:156">
      <c r="BH1274" s="19"/>
      <c r="BI1274" s="19"/>
      <c r="BJ1274" s="19"/>
      <c r="BK1274" s="19"/>
      <c r="BL1274" s="19"/>
      <c r="BM1274" s="98"/>
      <c r="BN1274" s="98"/>
      <c r="BO1274" s="98"/>
      <c r="BP1274" s="98"/>
      <c r="BQ1274" s="98"/>
      <c r="BR1274" s="98"/>
      <c r="BS1274" s="98"/>
      <c r="BT1274" s="98"/>
      <c r="BU1274" s="98"/>
      <c r="BV1274" s="98"/>
      <c r="BW1274" s="98"/>
      <c r="BX1274" s="98"/>
      <c r="BY1274" s="98"/>
      <c r="BZ1274" s="98"/>
      <c r="DA1274" s="177"/>
      <c r="EH1274" s="19"/>
      <c r="EI1274" s="19"/>
      <c r="EJ1274" s="19"/>
      <c r="EK1274" s="19"/>
      <c r="EL1274" s="19"/>
      <c r="EM1274" s="98"/>
      <c r="EN1274" s="98"/>
      <c r="EO1274" s="98"/>
      <c r="EP1274" s="98"/>
      <c r="EQ1274" s="98"/>
      <c r="ER1274" s="98"/>
      <c r="ES1274" s="98"/>
      <c r="ET1274" s="98"/>
      <c r="EU1274" s="98"/>
      <c r="EV1274" s="98"/>
      <c r="EW1274" s="98"/>
      <c r="EX1274" s="98"/>
      <c r="EY1274" s="98"/>
      <c r="EZ1274" s="178"/>
    </row>
    <row r="1275" spans="60:156">
      <c r="BH1275" s="19"/>
      <c r="BI1275" s="19"/>
      <c r="BJ1275" s="19"/>
      <c r="BK1275" s="19"/>
      <c r="BL1275" s="19"/>
      <c r="BM1275" s="98"/>
      <c r="BN1275" s="98"/>
      <c r="BO1275" s="98"/>
      <c r="BP1275" s="98"/>
      <c r="BQ1275" s="98"/>
      <c r="BR1275" s="98"/>
      <c r="BS1275" s="98"/>
      <c r="BT1275" s="98"/>
      <c r="BU1275" s="98"/>
      <c r="BV1275" s="98"/>
      <c r="BW1275" s="98"/>
      <c r="BX1275" s="98"/>
      <c r="BY1275" s="98"/>
      <c r="BZ1275" s="98"/>
      <c r="DA1275" s="177"/>
      <c r="EH1275" s="19"/>
      <c r="EI1275" s="19"/>
      <c r="EJ1275" s="19"/>
      <c r="EK1275" s="19"/>
      <c r="EL1275" s="19"/>
      <c r="EM1275" s="98"/>
      <c r="EN1275" s="98"/>
      <c r="EO1275" s="98"/>
      <c r="EP1275" s="98"/>
      <c r="EQ1275" s="98"/>
      <c r="ER1275" s="98"/>
      <c r="ES1275" s="98"/>
      <c r="ET1275" s="98"/>
      <c r="EU1275" s="98"/>
      <c r="EV1275" s="98"/>
      <c r="EW1275" s="98"/>
      <c r="EX1275" s="98"/>
      <c r="EY1275" s="98"/>
      <c r="EZ1275" s="178"/>
    </row>
    <row r="1276" spans="60:156">
      <c r="BH1276" s="19"/>
      <c r="BI1276" s="19"/>
      <c r="BJ1276" s="19"/>
      <c r="BK1276" s="19"/>
      <c r="BL1276" s="19"/>
      <c r="BM1276" s="98"/>
      <c r="BN1276" s="98"/>
      <c r="BO1276" s="98"/>
      <c r="BP1276" s="98"/>
      <c r="BQ1276" s="98"/>
      <c r="BR1276" s="98"/>
      <c r="BS1276" s="98"/>
      <c r="BT1276" s="98"/>
      <c r="BU1276" s="98"/>
      <c r="BV1276" s="98"/>
      <c r="BW1276" s="98"/>
      <c r="BX1276" s="98"/>
      <c r="BY1276" s="98"/>
      <c r="BZ1276" s="98"/>
      <c r="DA1276" s="177"/>
      <c r="EH1276" s="19"/>
      <c r="EI1276" s="19"/>
      <c r="EJ1276" s="19"/>
      <c r="EK1276" s="19"/>
      <c r="EL1276" s="19"/>
      <c r="EM1276" s="98"/>
      <c r="EN1276" s="98"/>
      <c r="EO1276" s="98"/>
      <c r="EP1276" s="98"/>
      <c r="EQ1276" s="98"/>
      <c r="ER1276" s="98"/>
      <c r="ES1276" s="98"/>
      <c r="ET1276" s="98"/>
      <c r="EU1276" s="98"/>
      <c r="EV1276" s="98"/>
      <c r="EW1276" s="98"/>
      <c r="EX1276" s="98"/>
      <c r="EY1276" s="98"/>
      <c r="EZ1276" s="178"/>
    </row>
    <row r="1277" spans="60:156">
      <c r="BH1277" s="19"/>
      <c r="BI1277" s="19"/>
      <c r="BJ1277" s="19"/>
      <c r="BK1277" s="19"/>
      <c r="BL1277" s="19"/>
      <c r="BM1277" s="98"/>
      <c r="BN1277" s="98"/>
      <c r="BO1277" s="98"/>
      <c r="BP1277" s="98"/>
      <c r="BQ1277" s="98"/>
      <c r="BR1277" s="98"/>
      <c r="BS1277" s="98"/>
      <c r="BT1277" s="98"/>
      <c r="BU1277" s="98"/>
      <c r="BV1277" s="98"/>
      <c r="BW1277" s="98"/>
      <c r="BX1277" s="98"/>
      <c r="BY1277" s="98"/>
      <c r="BZ1277" s="98"/>
      <c r="DA1277" s="177"/>
      <c r="EH1277" s="19"/>
      <c r="EI1277" s="19"/>
      <c r="EJ1277" s="19"/>
      <c r="EK1277" s="19"/>
      <c r="EL1277" s="19"/>
      <c r="EM1277" s="98"/>
      <c r="EN1277" s="98"/>
      <c r="EO1277" s="98"/>
      <c r="EP1277" s="98"/>
      <c r="EQ1277" s="98"/>
      <c r="ER1277" s="98"/>
      <c r="ES1277" s="98"/>
      <c r="ET1277" s="98"/>
      <c r="EU1277" s="98"/>
      <c r="EV1277" s="98"/>
      <c r="EW1277" s="98"/>
      <c r="EX1277" s="98"/>
      <c r="EY1277" s="98"/>
      <c r="EZ1277" s="178"/>
    </row>
    <row r="1278" spans="60:156">
      <c r="BH1278" s="19"/>
      <c r="BI1278" s="19"/>
      <c r="BJ1278" s="19"/>
      <c r="BK1278" s="19"/>
      <c r="BL1278" s="19"/>
      <c r="BM1278" s="98"/>
      <c r="BN1278" s="98"/>
      <c r="BO1278" s="98"/>
      <c r="BP1278" s="98"/>
      <c r="BQ1278" s="98"/>
      <c r="BR1278" s="98"/>
      <c r="BS1278" s="98"/>
      <c r="BT1278" s="98"/>
      <c r="BU1278" s="98"/>
      <c r="BV1278" s="98"/>
      <c r="BW1278" s="98"/>
      <c r="BX1278" s="98"/>
      <c r="BY1278" s="98"/>
      <c r="BZ1278" s="98"/>
      <c r="DA1278" s="177"/>
      <c r="EH1278" s="19"/>
      <c r="EI1278" s="19"/>
      <c r="EJ1278" s="19"/>
      <c r="EK1278" s="19"/>
      <c r="EL1278" s="19"/>
      <c r="EM1278" s="98"/>
      <c r="EN1278" s="98"/>
      <c r="EO1278" s="98"/>
      <c r="EP1278" s="98"/>
      <c r="EQ1278" s="98"/>
      <c r="ER1278" s="98"/>
      <c r="ES1278" s="98"/>
      <c r="ET1278" s="98"/>
      <c r="EU1278" s="98"/>
      <c r="EV1278" s="98"/>
      <c r="EW1278" s="98"/>
      <c r="EX1278" s="98"/>
      <c r="EY1278" s="98"/>
      <c r="EZ1278" s="178"/>
    </row>
    <row r="1279" spans="60:156">
      <c r="BH1279" s="19"/>
      <c r="BI1279" s="19"/>
      <c r="BJ1279" s="19"/>
      <c r="BK1279" s="19"/>
      <c r="BL1279" s="19"/>
      <c r="BM1279" s="98"/>
      <c r="BN1279" s="98"/>
      <c r="BO1279" s="98"/>
      <c r="BP1279" s="98"/>
      <c r="BQ1279" s="98"/>
      <c r="BR1279" s="98"/>
      <c r="BS1279" s="98"/>
      <c r="BT1279" s="98"/>
      <c r="BU1279" s="98"/>
      <c r="BV1279" s="98"/>
      <c r="BW1279" s="98"/>
      <c r="BX1279" s="98"/>
      <c r="BY1279" s="98"/>
      <c r="BZ1279" s="98"/>
      <c r="DA1279" s="177"/>
      <c r="EH1279" s="19"/>
      <c r="EI1279" s="19"/>
      <c r="EJ1279" s="19"/>
      <c r="EK1279" s="19"/>
      <c r="EL1279" s="19"/>
      <c r="EM1279" s="98"/>
      <c r="EN1279" s="98"/>
      <c r="EO1279" s="98"/>
      <c r="EP1279" s="98"/>
      <c r="EQ1279" s="98"/>
      <c r="ER1279" s="98"/>
      <c r="ES1279" s="98"/>
      <c r="ET1279" s="98"/>
      <c r="EU1279" s="98"/>
      <c r="EV1279" s="98"/>
      <c r="EW1279" s="98"/>
      <c r="EX1279" s="98"/>
      <c r="EY1279" s="98"/>
      <c r="EZ1279" s="178"/>
    </row>
    <row r="1280" spans="60:156">
      <c r="BH1280" s="19"/>
      <c r="BI1280" s="19"/>
      <c r="BJ1280" s="19"/>
      <c r="BK1280" s="19"/>
      <c r="BL1280" s="19"/>
      <c r="BM1280" s="98"/>
      <c r="BN1280" s="98"/>
      <c r="BO1280" s="98"/>
      <c r="BP1280" s="98"/>
      <c r="BQ1280" s="98"/>
      <c r="BR1280" s="98"/>
      <c r="BS1280" s="98"/>
      <c r="BT1280" s="98"/>
      <c r="BU1280" s="98"/>
      <c r="BV1280" s="98"/>
      <c r="BW1280" s="98"/>
      <c r="BX1280" s="98"/>
      <c r="BY1280" s="98"/>
      <c r="BZ1280" s="98"/>
      <c r="DA1280" s="177"/>
      <c r="EH1280" s="19"/>
      <c r="EI1280" s="19"/>
      <c r="EJ1280" s="19"/>
      <c r="EK1280" s="19"/>
      <c r="EL1280" s="19"/>
      <c r="EM1280" s="98"/>
      <c r="EN1280" s="98"/>
      <c r="EO1280" s="98"/>
      <c r="EP1280" s="98"/>
      <c r="EQ1280" s="98"/>
      <c r="ER1280" s="98"/>
      <c r="ES1280" s="98"/>
      <c r="ET1280" s="98"/>
      <c r="EU1280" s="98"/>
      <c r="EV1280" s="98"/>
      <c r="EW1280" s="98"/>
      <c r="EX1280" s="98"/>
      <c r="EY1280" s="98"/>
      <c r="EZ1280" s="178"/>
    </row>
    <row r="1281" spans="60:156">
      <c r="BH1281" s="19"/>
      <c r="BI1281" s="19"/>
      <c r="BJ1281" s="19"/>
      <c r="BK1281" s="19"/>
      <c r="BL1281" s="19"/>
      <c r="BM1281" s="98"/>
      <c r="BN1281" s="98"/>
      <c r="BO1281" s="98"/>
      <c r="BP1281" s="98"/>
      <c r="BQ1281" s="98"/>
      <c r="BR1281" s="98"/>
      <c r="BS1281" s="98"/>
      <c r="BT1281" s="98"/>
      <c r="BU1281" s="98"/>
      <c r="BV1281" s="98"/>
      <c r="BW1281" s="98"/>
      <c r="BX1281" s="98"/>
      <c r="BY1281" s="98"/>
      <c r="BZ1281" s="98"/>
      <c r="DA1281" s="177"/>
      <c r="EH1281" s="19"/>
      <c r="EI1281" s="19"/>
      <c r="EJ1281" s="19"/>
      <c r="EK1281" s="19"/>
      <c r="EL1281" s="19"/>
      <c r="EM1281" s="98"/>
      <c r="EN1281" s="98"/>
      <c r="EO1281" s="98"/>
      <c r="EP1281" s="98"/>
      <c r="EQ1281" s="98"/>
      <c r="ER1281" s="98"/>
      <c r="ES1281" s="98"/>
      <c r="ET1281" s="98"/>
      <c r="EU1281" s="98"/>
      <c r="EV1281" s="98"/>
      <c r="EW1281" s="98"/>
      <c r="EX1281" s="98"/>
      <c r="EY1281" s="98"/>
      <c r="EZ1281" s="178"/>
    </row>
    <row r="1282" spans="60:156">
      <c r="BH1282" s="19"/>
      <c r="BI1282" s="19"/>
      <c r="BJ1282" s="19"/>
      <c r="BK1282" s="19"/>
      <c r="BL1282" s="19"/>
      <c r="BM1282" s="98"/>
      <c r="BN1282" s="98"/>
      <c r="BO1282" s="98"/>
      <c r="BP1282" s="98"/>
      <c r="BQ1282" s="98"/>
      <c r="BR1282" s="98"/>
      <c r="BS1282" s="98"/>
      <c r="BT1282" s="98"/>
      <c r="BU1282" s="98"/>
      <c r="BV1282" s="98"/>
      <c r="BW1282" s="98"/>
      <c r="BX1282" s="98"/>
      <c r="BY1282" s="98"/>
      <c r="BZ1282" s="98"/>
      <c r="DA1282" s="177"/>
      <c r="EH1282" s="19"/>
      <c r="EI1282" s="19"/>
      <c r="EJ1282" s="19"/>
      <c r="EK1282" s="19"/>
      <c r="EL1282" s="19"/>
      <c r="EM1282" s="98"/>
      <c r="EN1282" s="98"/>
      <c r="EO1282" s="98"/>
      <c r="EP1282" s="98"/>
      <c r="EQ1282" s="98"/>
      <c r="ER1282" s="98"/>
      <c r="ES1282" s="98"/>
      <c r="ET1282" s="98"/>
      <c r="EU1282" s="98"/>
      <c r="EV1282" s="98"/>
      <c r="EW1282" s="98"/>
      <c r="EX1282" s="98"/>
      <c r="EY1282" s="98"/>
      <c r="EZ1282" s="178"/>
    </row>
    <row r="1283" spans="60:156">
      <c r="BH1283" s="19"/>
      <c r="BI1283" s="19"/>
      <c r="BJ1283" s="19"/>
      <c r="BK1283" s="19"/>
      <c r="BL1283" s="19"/>
      <c r="BM1283" s="98"/>
      <c r="BN1283" s="98"/>
      <c r="BO1283" s="98"/>
      <c r="BP1283" s="98"/>
      <c r="BQ1283" s="98"/>
      <c r="BR1283" s="98"/>
      <c r="BS1283" s="98"/>
      <c r="BT1283" s="98"/>
      <c r="BU1283" s="98"/>
      <c r="BV1283" s="98"/>
      <c r="BW1283" s="98"/>
      <c r="BX1283" s="98"/>
      <c r="BY1283" s="98"/>
      <c r="BZ1283" s="98"/>
      <c r="DA1283" s="177"/>
      <c r="EH1283" s="19"/>
      <c r="EI1283" s="19"/>
      <c r="EJ1283" s="19"/>
      <c r="EK1283" s="19"/>
      <c r="EL1283" s="19"/>
      <c r="EM1283" s="98"/>
      <c r="EN1283" s="98"/>
      <c r="EO1283" s="98"/>
      <c r="EP1283" s="98"/>
      <c r="EQ1283" s="98"/>
      <c r="ER1283" s="98"/>
      <c r="ES1283" s="98"/>
      <c r="ET1283" s="98"/>
      <c r="EU1283" s="98"/>
      <c r="EV1283" s="98"/>
      <c r="EW1283" s="98"/>
      <c r="EX1283" s="98"/>
      <c r="EY1283" s="98"/>
      <c r="EZ1283" s="178"/>
    </row>
    <row r="1284" spans="60:156">
      <c r="BH1284" s="19"/>
      <c r="BI1284" s="19"/>
      <c r="BJ1284" s="19"/>
      <c r="BK1284" s="19"/>
      <c r="BL1284" s="19"/>
      <c r="BM1284" s="98"/>
      <c r="BN1284" s="98"/>
      <c r="BO1284" s="98"/>
      <c r="BP1284" s="98"/>
      <c r="BQ1284" s="98"/>
      <c r="BR1284" s="98"/>
      <c r="BS1284" s="98"/>
      <c r="BT1284" s="98"/>
      <c r="BU1284" s="98"/>
      <c r="BV1284" s="98"/>
      <c r="BW1284" s="98"/>
      <c r="BX1284" s="98"/>
      <c r="BY1284" s="98"/>
      <c r="BZ1284" s="98"/>
      <c r="DA1284" s="177"/>
      <c r="EH1284" s="19"/>
      <c r="EI1284" s="19"/>
      <c r="EJ1284" s="19"/>
      <c r="EK1284" s="19"/>
      <c r="EL1284" s="19"/>
      <c r="EM1284" s="98"/>
      <c r="EN1284" s="98"/>
      <c r="EO1284" s="98"/>
      <c r="EP1284" s="98"/>
      <c r="EQ1284" s="98"/>
      <c r="ER1284" s="98"/>
      <c r="ES1284" s="98"/>
      <c r="ET1284" s="98"/>
      <c r="EU1284" s="98"/>
      <c r="EV1284" s="98"/>
      <c r="EW1284" s="98"/>
      <c r="EX1284" s="98"/>
      <c r="EY1284" s="98"/>
      <c r="EZ1284" s="178"/>
    </row>
    <row r="1285" spans="60:156">
      <c r="BH1285" s="19"/>
      <c r="BI1285" s="19"/>
      <c r="BJ1285" s="19"/>
      <c r="BK1285" s="19"/>
      <c r="BL1285" s="19"/>
      <c r="BM1285" s="98"/>
      <c r="BN1285" s="98"/>
      <c r="BO1285" s="98"/>
      <c r="BP1285" s="98"/>
      <c r="BQ1285" s="98"/>
      <c r="BR1285" s="98"/>
      <c r="BS1285" s="98"/>
      <c r="BT1285" s="98"/>
      <c r="BU1285" s="98"/>
      <c r="BV1285" s="98"/>
      <c r="BW1285" s="98"/>
      <c r="BX1285" s="98"/>
      <c r="BY1285" s="98"/>
      <c r="BZ1285" s="98"/>
      <c r="DA1285" s="177"/>
      <c r="EH1285" s="19"/>
      <c r="EI1285" s="19"/>
      <c r="EJ1285" s="19"/>
      <c r="EK1285" s="19"/>
      <c r="EL1285" s="19"/>
      <c r="EM1285" s="98"/>
      <c r="EN1285" s="98"/>
      <c r="EO1285" s="98"/>
      <c r="EP1285" s="98"/>
      <c r="EQ1285" s="98"/>
      <c r="ER1285" s="98"/>
      <c r="ES1285" s="98"/>
      <c r="ET1285" s="98"/>
      <c r="EU1285" s="98"/>
      <c r="EV1285" s="98"/>
      <c r="EW1285" s="98"/>
      <c r="EX1285" s="98"/>
      <c r="EY1285" s="98"/>
      <c r="EZ1285" s="178"/>
    </row>
    <row r="1286" spans="60:156">
      <c r="BH1286" s="19"/>
      <c r="BI1286" s="19"/>
      <c r="BJ1286" s="19"/>
      <c r="BK1286" s="19"/>
      <c r="BL1286" s="19"/>
      <c r="BM1286" s="98"/>
      <c r="BN1286" s="98"/>
      <c r="BO1286" s="98"/>
      <c r="BP1286" s="98"/>
      <c r="BQ1286" s="98"/>
      <c r="BR1286" s="98"/>
      <c r="BS1286" s="98"/>
      <c r="BT1286" s="98"/>
      <c r="BU1286" s="98"/>
      <c r="BV1286" s="98"/>
      <c r="BW1286" s="98"/>
      <c r="BX1286" s="98"/>
      <c r="BY1286" s="98"/>
      <c r="BZ1286" s="98"/>
      <c r="DA1286" s="177"/>
      <c r="EH1286" s="19"/>
      <c r="EI1286" s="19"/>
      <c r="EJ1286" s="19"/>
      <c r="EK1286" s="19"/>
      <c r="EL1286" s="19"/>
      <c r="EM1286" s="98"/>
      <c r="EN1286" s="98"/>
      <c r="EO1286" s="98"/>
      <c r="EP1286" s="98"/>
      <c r="EQ1286" s="98"/>
      <c r="ER1286" s="98"/>
      <c r="ES1286" s="98"/>
      <c r="ET1286" s="98"/>
      <c r="EU1286" s="98"/>
      <c r="EV1286" s="98"/>
      <c r="EW1286" s="98"/>
      <c r="EX1286" s="98"/>
      <c r="EY1286" s="98"/>
      <c r="EZ1286" s="178"/>
    </row>
    <row r="1287" spans="60:156">
      <c r="BH1287" s="19"/>
      <c r="BI1287" s="19"/>
      <c r="BJ1287" s="19"/>
      <c r="BK1287" s="19"/>
      <c r="BL1287" s="19"/>
      <c r="BM1287" s="98"/>
      <c r="BN1287" s="98"/>
      <c r="BO1287" s="98"/>
      <c r="BP1287" s="98"/>
      <c r="BQ1287" s="98"/>
      <c r="BR1287" s="98"/>
      <c r="BS1287" s="98"/>
      <c r="BT1287" s="98"/>
      <c r="BU1287" s="98"/>
      <c r="BV1287" s="98"/>
      <c r="BW1287" s="98"/>
      <c r="BX1287" s="98"/>
      <c r="BY1287" s="98"/>
      <c r="BZ1287" s="98"/>
      <c r="DA1287" s="177"/>
      <c r="EH1287" s="19"/>
      <c r="EI1287" s="19"/>
      <c r="EJ1287" s="19"/>
      <c r="EK1287" s="19"/>
      <c r="EL1287" s="19"/>
      <c r="EM1287" s="98"/>
      <c r="EN1287" s="98"/>
      <c r="EO1287" s="98"/>
      <c r="EP1287" s="98"/>
      <c r="EQ1287" s="98"/>
      <c r="ER1287" s="98"/>
      <c r="ES1287" s="98"/>
      <c r="ET1287" s="98"/>
      <c r="EU1287" s="98"/>
      <c r="EV1287" s="98"/>
      <c r="EW1287" s="98"/>
      <c r="EX1287" s="98"/>
      <c r="EY1287" s="98"/>
      <c r="EZ1287" s="178"/>
    </row>
    <row r="1288" spans="60:156">
      <c r="BH1288" s="19"/>
      <c r="BI1288" s="19"/>
      <c r="BJ1288" s="19"/>
      <c r="BK1288" s="19"/>
      <c r="BL1288" s="19"/>
      <c r="BM1288" s="98"/>
      <c r="BN1288" s="98"/>
      <c r="BO1288" s="98"/>
      <c r="BP1288" s="98"/>
      <c r="BQ1288" s="98"/>
      <c r="BR1288" s="98"/>
      <c r="BS1288" s="98"/>
      <c r="BT1288" s="98"/>
      <c r="BU1288" s="98"/>
      <c r="BV1288" s="98"/>
      <c r="BW1288" s="98"/>
      <c r="BX1288" s="98"/>
      <c r="BY1288" s="98"/>
      <c r="BZ1288" s="98"/>
      <c r="DA1288" s="177"/>
      <c r="EH1288" s="19"/>
      <c r="EI1288" s="19"/>
      <c r="EJ1288" s="19"/>
      <c r="EK1288" s="19"/>
      <c r="EL1288" s="19"/>
      <c r="EM1288" s="98"/>
      <c r="EN1288" s="98"/>
      <c r="EO1288" s="98"/>
      <c r="EP1288" s="98"/>
      <c r="EQ1288" s="98"/>
      <c r="ER1288" s="98"/>
      <c r="ES1288" s="98"/>
      <c r="ET1288" s="98"/>
      <c r="EU1288" s="98"/>
      <c r="EV1288" s="98"/>
      <c r="EW1288" s="98"/>
      <c r="EX1288" s="98"/>
      <c r="EY1288" s="98"/>
      <c r="EZ1288" s="178"/>
    </row>
    <row r="1289" spans="60:156">
      <c r="BH1289" s="19"/>
      <c r="BI1289" s="19"/>
      <c r="BJ1289" s="19"/>
      <c r="BK1289" s="19"/>
      <c r="BL1289" s="19"/>
      <c r="BM1289" s="98"/>
      <c r="BN1289" s="98"/>
      <c r="BO1289" s="98"/>
      <c r="BP1289" s="98"/>
      <c r="BQ1289" s="98"/>
      <c r="BR1289" s="98"/>
      <c r="BS1289" s="98"/>
      <c r="BT1289" s="98"/>
      <c r="BU1289" s="98"/>
      <c r="BV1289" s="98"/>
      <c r="BW1289" s="98"/>
      <c r="BX1289" s="98"/>
      <c r="BY1289" s="98"/>
      <c r="BZ1289" s="98"/>
      <c r="DA1289" s="177"/>
      <c r="EH1289" s="19"/>
      <c r="EI1289" s="19"/>
      <c r="EJ1289" s="19"/>
      <c r="EK1289" s="19"/>
      <c r="EL1289" s="19"/>
      <c r="EM1289" s="98"/>
      <c r="EN1289" s="98"/>
      <c r="EO1289" s="98"/>
      <c r="EP1289" s="98"/>
      <c r="EQ1289" s="98"/>
      <c r="ER1289" s="98"/>
      <c r="ES1289" s="98"/>
      <c r="ET1289" s="98"/>
      <c r="EU1289" s="98"/>
      <c r="EV1289" s="98"/>
      <c r="EW1289" s="98"/>
      <c r="EX1289" s="98"/>
      <c r="EY1289" s="98"/>
      <c r="EZ1289" s="178"/>
    </row>
    <row r="1290" spans="60:156">
      <c r="BH1290" s="19"/>
      <c r="BI1290" s="19"/>
      <c r="BJ1290" s="19"/>
      <c r="BK1290" s="19"/>
      <c r="BL1290" s="19"/>
      <c r="BM1290" s="98"/>
      <c r="BN1290" s="98"/>
      <c r="BO1290" s="98"/>
      <c r="BP1290" s="98"/>
      <c r="BQ1290" s="98"/>
      <c r="BR1290" s="98"/>
      <c r="BS1290" s="98"/>
      <c r="BT1290" s="98"/>
      <c r="BU1290" s="98"/>
      <c r="BV1290" s="98"/>
      <c r="BW1290" s="98"/>
      <c r="BX1290" s="98"/>
      <c r="BY1290" s="98"/>
      <c r="BZ1290" s="98"/>
      <c r="DA1290" s="177"/>
      <c r="EH1290" s="19"/>
      <c r="EI1290" s="19"/>
      <c r="EJ1290" s="19"/>
      <c r="EK1290" s="19"/>
      <c r="EL1290" s="19"/>
      <c r="EM1290" s="98"/>
      <c r="EN1290" s="98"/>
      <c r="EO1290" s="98"/>
      <c r="EP1290" s="98"/>
      <c r="EQ1290" s="98"/>
      <c r="ER1290" s="98"/>
      <c r="ES1290" s="98"/>
      <c r="ET1290" s="98"/>
      <c r="EU1290" s="98"/>
      <c r="EV1290" s="98"/>
      <c r="EW1290" s="98"/>
      <c r="EX1290" s="98"/>
      <c r="EY1290" s="98"/>
      <c r="EZ1290" s="178"/>
    </row>
    <row r="1291" spans="60:156">
      <c r="BH1291" s="19"/>
      <c r="BI1291" s="19"/>
      <c r="BJ1291" s="19"/>
      <c r="BK1291" s="19"/>
      <c r="BL1291" s="19"/>
      <c r="BM1291" s="98"/>
      <c r="BN1291" s="98"/>
      <c r="BO1291" s="98"/>
      <c r="BP1291" s="98"/>
      <c r="BQ1291" s="98"/>
      <c r="BR1291" s="98"/>
      <c r="BS1291" s="98"/>
      <c r="BT1291" s="98"/>
      <c r="BU1291" s="98"/>
      <c r="BV1291" s="98"/>
      <c r="BW1291" s="98"/>
      <c r="BX1291" s="98"/>
      <c r="BY1291" s="98"/>
      <c r="BZ1291" s="98"/>
      <c r="DA1291" s="177"/>
      <c r="EH1291" s="19"/>
      <c r="EI1291" s="19"/>
      <c r="EJ1291" s="19"/>
      <c r="EK1291" s="19"/>
      <c r="EL1291" s="19"/>
      <c r="EM1291" s="98"/>
      <c r="EN1291" s="98"/>
      <c r="EO1291" s="98"/>
      <c r="EP1291" s="98"/>
      <c r="EQ1291" s="98"/>
      <c r="ER1291" s="98"/>
      <c r="ES1291" s="98"/>
      <c r="ET1291" s="98"/>
      <c r="EU1291" s="98"/>
      <c r="EV1291" s="98"/>
      <c r="EW1291" s="98"/>
      <c r="EX1291" s="98"/>
      <c r="EY1291" s="98"/>
      <c r="EZ1291" s="178"/>
    </row>
    <row r="1292" spans="60:156">
      <c r="BH1292" s="19"/>
      <c r="BI1292" s="19"/>
      <c r="BJ1292" s="19"/>
      <c r="BK1292" s="19"/>
      <c r="BL1292" s="19"/>
      <c r="BM1292" s="98"/>
      <c r="BN1292" s="98"/>
      <c r="BO1292" s="98"/>
      <c r="BP1292" s="98"/>
      <c r="BQ1292" s="98"/>
      <c r="BR1292" s="98"/>
      <c r="BS1292" s="98"/>
      <c r="BT1292" s="98"/>
      <c r="BU1292" s="98"/>
      <c r="BV1292" s="98"/>
      <c r="BW1292" s="98"/>
      <c r="BX1292" s="98"/>
      <c r="BY1292" s="98"/>
      <c r="BZ1292" s="98"/>
      <c r="DA1292" s="177"/>
      <c r="EH1292" s="19"/>
      <c r="EI1292" s="19"/>
      <c r="EJ1292" s="19"/>
      <c r="EK1292" s="19"/>
      <c r="EL1292" s="19"/>
      <c r="EM1292" s="98"/>
      <c r="EN1292" s="98"/>
      <c r="EO1292" s="98"/>
      <c r="EP1292" s="98"/>
      <c r="EQ1292" s="98"/>
      <c r="ER1292" s="98"/>
      <c r="ES1292" s="98"/>
      <c r="ET1292" s="98"/>
      <c r="EU1292" s="98"/>
      <c r="EV1292" s="98"/>
      <c r="EW1292" s="98"/>
      <c r="EX1292" s="98"/>
      <c r="EY1292" s="98"/>
      <c r="EZ1292" s="178"/>
    </row>
    <row r="1293" spans="60:156">
      <c r="BH1293" s="19"/>
      <c r="BI1293" s="19"/>
      <c r="BJ1293" s="19"/>
      <c r="BK1293" s="19"/>
      <c r="BL1293" s="19"/>
      <c r="BM1293" s="98"/>
      <c r="BN1293" s="98"/>
      <c r="BO1293" s="98"/>
      <c r="BP1293" s="98"/>
      <c r="BQ1293" s="98"/>
      <c r="BR1293" s="98"/>
      <c r="BS1293" s="98"/>
      <c r="BT1293" s="98"/>
      <c r="BU1293" s="98"/>
      <c r="BV1293" s="98"/>
      <c r="BW1293" s="98"/>
      <c r="BX1293" s="98"/>
      <c r="BY1293" s="98"/>
      <c r="BZ1293" s="98"/>
      <c r="DA1293" s="177"/>
      <c r="EH1293" s="19"/>
      <c r="EI1293" s="19"/>
      <c r="EJ1293" s="19"/>
      <c r="EK1293" s="19"/>
      <c r="EL1293" s="19"/>
      <c r="EM1293" s="98"/>
      <c r="EN1293" s="98"/>
      <c r="EO1293" s="98"/>
      <c r="EP1293" s="98"/>
      <c r="EQ1293" s="98"/>
      <c r="ER1293" s="98"/>
      <c r="ES1293" s="98"/>
      <c r="ET1293" s="98"/>
      <c r="EU1293" s="98"/>
      <c r="EV1293" s="98"/>
      <c r="EW1293" s="98"/>
      <c r="EX1293" s="98"/>
      <c r="EY1293" s="98"/>
      <c r="EZ1293" s="178"/>
    </row>
    <row r="1294" spans="60:156">
      <c r="BH1294" s="19"/>
      <c r="BI1294" s="19"/>
      <c r="BJ1294" s="19"/>
      <c r="BK1294" s="19"/>
      <c r="BL1294" s="19"/>
      <c r="BM1294" s="98"/>
      <c r="BN1294" s="98"/>
      <c r="BO1294" s="98"/>
      <c r="BP1294" s="98"/>
      <c r="BQ1294" s="98"/>
      <c r="BR1294" s="98"/>
      <c r="BS1294" s="98"/>
      <c r="BT1294" s="98"/>
      <c r="BU1294" s="98"/>
      <c r="BV1294" s="98"/>
      <c r="BW1294" s="98"/>
      <c r="BX1294" s="98"/>
      <c r="BY1294" s="98"/>
      <c r="BZ1294" s="98"/>
      <c r="DA1294" s="177"/>
      <c r="EH1294" s="19"/>
      <c r="EI1294" s="19"/>
      <c r="EJ1294" s="19"/>
      <c r="EK1294" s="19"/>
      <c r="EL1294" s="19"/>
      <c r="EM1294" s="98"/>
      <c r="EN1294" s="98"/>
      <c r="EO1294" s="98"/>
      <c r="EP1294" s="98"/>
      <c r="EQ1294" s="98"/>
      <c r="ER1294" s="98"/>
      <c r="ES1294" s="98"/>
      <c r="ET1294" s="98"/>
      <c r="EU1294" s="98"/>
      <c r="EV1294" s="98"/>
      <c r="EW1294" s="98"/>
      <c r="EX1294" s="98"/>
      <c r="EY1294" s="98"/>
      <c r="EZ1294" s="178"/>
    </row>
    <row r="1295" spans="60:156">
      <c r="BH1295" s="19"/>
      <c r="BI1295" s="19"/>
      <c r="BJ1295" s="19"/>
      <c r="BK1295" s="19"/>
      <c r="BL1295" s="19"/>
      <c r="BM1295" s="98"/>
      <c r="BN1295" s="98"/>
      <c r="BO1295" s="98"/>
      <c r="BP1295" s="98"/>
      <c r="BQ1295" s="98"/>
      <c r="BR1295" s="98"/>
      <c r="BS1295" s="98"/>
      <c r="BT1295" s="98"/>
      <c r="BU1295" s="98"/>
      <c r="BV1295" s="98"/>
      <c r="BW1295" s="98"/>
      <c r="BX1295" s="98"/>
      <c r="BY1295" s="98"/>
      <c r="BZ1295" s="98"/>
      <c r="DA1295" s="177"/>
      <c r="EH1295" s="19"/>
      <c r="EI1295" s="19"/>
      <c r="EJ1295" s="19"/>
      <c r="EK1295" s="19"/>
      <c r="EL1295" s="19"/>
      <c r="EM1295" s="98"/>
      <c r="EN1295" s="98"/>
      <c r="EO1295" s="98"/>
      <c r="EP1295" s="98"/>
      <c r="EQ1295" s="98"/>
      <c r="ER1295" s="98"/>
      <c r="ES1295" s="98"/>
      <c r="ET1295" s="98"/>
      <c r="EU1295" s="98"/>
      <c r="EV1295" s="98"/>
      <c r="EW1295" s="98"/>
      <c r="EX1295" s="98"/>
      <c r="EY1295" s="98"/>
      <c r="EZ1295" s="178"/>
    </row>
    <row r="1296" spans="60:156">
      <c r="BH1296" s="19"/>
      <c r="BI1296" s="19"/>
      <c r="BJ1296" s="19"/>
      <c r="BK1296" s="19"/>
      <c r="BL1296" s="19"/>
      <c r="BM1296" s="98"/>
      <c r="BN1296" s="98"/>
      <c r="BO1296" s="98"/>
      <c r="BP1296" s="98"/>
      <c r="BQ1296" s="98"/>
      <c r="BR1296" s="98"/>
      <c r="BS1296" s="98"/>
      <c r="BT1296" s="98"/>
      <c r="BU1296" s="98"/>
      <c r="BV1296" s="98"/>
      <c r="BW1296" s="98"/>
      <c r="BX1296" s="98"/>
      <c r="BY1296" s="98"/>
      <c r="BZ1296" s="98"/>
      <c r="DA1296" s="177"/>
      <c r="EH1296" s="19"/>
      <c r="EI1296" s="19"/>
      <c r="EJ1296" s="19"/>
      <c r="EK1296" s="19"/>
      <c r="EL1296" s="19"/>
      <c r="EM1296" s="98"/>
      <c r="EN1296" s="98"/>
      <c r="EO1296" s="98"/>
      <c r="EP1296" s="98"/>
      <c r="EQ1296" s="98"/>
      <c r="ER1296" s="98"/>
      <c r="ES1296" s="98"/>
      <c r="ET1296" s="98"/>
      <c r="EU1296" s="98"/>
      <c r="EV1296" s="98"/>
      <c r="EW1296" s="98"/>
      <c r="EX1296" s="98"/>
      <c r="EY1296" s="98"/>
      <c r="EZ1296" s="178"/>
    </row>
    <row r="1297" spans="60:156">
      <c r="BH1297" s="19"/>
      <c r="BI1297" s="19"/>
      <c r="BJ1297" s="19"/>
      <c r="BK1297" s="19"/>
      <c r="BL1297" s="19"/>
      <c r="BM1297" s="98"/>
      <c r="BN1297" s="98"/>
      <c r="BO1297" s="98"/>
      <c r="BP1297" s="98"/>
      <c r="BQ1297" s="98"/>
      <c r="BR1297" s="98"/>
      <c r="BS1297" s="98"/>
      <c r="BT1297" s="98"/>
      <c r="BU1297" s="98"/>
      <c r="BV1297" s="98"/>
      <c r="BW1297" s="98"/>
      <c r="BX1297" s="98"/>
      <c r="BY1297" s="98"/>
      <c r="BZ1297" s="98"/>
      <c r="DA1297" s="177"/>
      <c r="EH1297" s="19"/>
      <c r="EI1297" s="19"/>
      <c r="EJ1297" s="19"/>
      <c r="EK1297" s="19"/>
      <c r="EL1297" s="19"/>
      <c r="EM1297" s="98"/>
      <c r="EN1297" s="98"/>
      <c r="EO1297" s="98"/>
      <c r="EP1297" s="98"/>
      <c r="EQ1297" s="98"/>
      <c r="ER1297" s="98"/>
      <c r="ES1297" s="98"/>
      <c r="ET1297" s="98"/>
      <c r="EU1297" s="98"/>
      <c r="EV1297" s="98"/>
      <c r="EW1297" s="98"/>
      <c r="EX1297" s="98"/>
      <c r="EY1297" s="98"/>
      <c r="EZ1297" s="178"/>
    </row>
    <row r="1298" spans="60:156">
      <c r="BH1298" s="19"/>
      <c r="BI1298" s="19"/>
      <c r="BJ1298" s="19"/>
      <c r="BK1298" s="19"/>
      <c r="BL1298" s="19"/>
      <c r="BM1298" s="98"/>
      <c r="BN1298" s="98"/>
      <c r="BO1298" s="98"/>
      <c r="BP1298" s="98"/>
      <c r="BQ1298" s="98"/>
      <c r="BR1298" s="98"/>
      <c r="BS1298" s="98"/>
      <c r="BT1298" s="98"/>
      <c r="BU1298" s="98"/>
      <c r="BV1298" s="98"/>
      <c r="BW1298" s="98"/>
      <c r="BX1298" s="98"/>
      <c r="BY1298" s="98"/>
      <c r="BZ1298" s="98"/>
      <c r="DA1298" s="177"/>
      <c r="EH1298" s="19"/>
      <c r="EI1298" s="19"/>
      <c r="EJ1298" s="19"/>
      <c r="EK1298" s="19"/>
      <c r="EL1298" s="19"/>
      <c r="EM1298" s="98"/>
      <c r="EN1298" s="98"/>
      <c r="EO1298" s="98"/>
      <c r="EP1298" s="98"/>
      <c r="EQ1298" s="98"/>
      <c r="ER1298" s="98"/>
      <c r="ES1298" s="98"/>
      <c r="ET1298" s="98"/>
      <c r="EU1298" s="98"/>
      <c r="EV1298" s="98"/>
      <c r="EW1298" s="98"/>
      <c r="EX1298" s="98"/>
      <c r="EY1298" s="98"/>
      <c r="EZ1298" s="178"/>
    </row>
    <row r="1299" spans="60:156">
      <c r="BH1299" s="19"/>
      <c r="BI1299" s="19"/>
      <c r="BJ1299" s="19"/>
      <c r="BK1299" s="19"/>
      <c r="BL1299" s="19"/>
      <c r="BM1299" s="98"/>
      <c r="BN1299" s="98"/>
      <c r="BO1299" s="98"/>
      <c r="BP1299" s="98"/>
      <c r="BQ1299" s="98"/>
      <c r="BR1299" s="98"/>
      <c r="BS1299" s="98"/>
      <c r="BT1299" s="98"/>
      <c r="BU1299" s="98"/>
      <c r="BV1299" s="98"/>
      <c r="BW1299" s="98"/>
      <c r="BX1299" s="98"/>
      <c r="BY1299" s="98"/>
      <c r="BZ1299" s="98"/>
      <c r="DA1299" s="177"/>
      <c r="EH1299" s="19"/>
      <c r="EI1299" s="19"/>
      <c r="EJ1299" s="19"/>
      <c r="EK1299" s="19"/>
      <c r="EL1299" s="19"/>
      <c r="EM1299" s="98"/>
      <c r="EN1299" s="98"/>
      <c r="EO1299" s="98"/>
      <c r="EP1299" s="98"/>
      <c r="EQ1299" s="98"/>
      <c r="ER1299" s="98"/>
      <c r="ES1299" s="98"/>
      <c r="ET1299" s="98"/>
      <c r="EU1299" s="98"/>
      <c r="EV1299" s="98"/>
      <c r="EW1299" s="98"/>
      <c r="EX1299" s="98"/>
      <c r="EY1299" s="98"/>
      <c r="EZ1299" s="178"/>
    </row>
    <row r="1300" spans="60:156">
      <c r="BH1300" s="19"/>
      <c r="BI1300" s="19"/>
      <c r="BJ1300" s="19"/>
      <c r="BK1300" s="19"/>
      <c r="BL1300" s="19"/>
      <c r="BM1300" s="98"/>
      <c r="BN1300" s="98"/>
      <c r="BO1300" s="98"/>
      <c r="BP1300" s="98"/>
      <c r="BQ1300" s="98"/>
      <c r="BR1300" s="98"/>
      <c r="BS1300" s="98"/>
      <c r="BT1300" s="98"/>
      <c r="BU1300" s="98"/>
      <c r="BV1300" s="98"/>
      <c r="BW1300" s="98"/>
      <c r="BX1300" s="98"/>
      <c r="BY1300" s="98"/>
      <c r="BZ1300" s="98"/>
      <c r="DA1300" s="177"/>
      <c r="EH1300" s="19"/>
      <c r="EI1300" s="19"/>
      <c r="EJ1300" s="19"/>
      <c r="EK1300" s="19"/>
      <c r="EL1300" s="19"/>
      <c r="EM1300" s="98"/>
      <c r="EN1300" s="98"/>
      <c r="EO1300" s="98"/>
      <c r="EP1300" s="98"/>
      <c r="EQ1300" s="98"/>
      <c r="ER1300" s="98"/>
      <c r="ES1300" s="98"/>
      <c r="ET1300" s="98"/>
      <c r="EU1300" s="98"/>
      <c r="EV1300" s="98"/>
      <c r="EW1300" s="98"/>
      <c r="EX1300" s="98"/>
      <c r="EY1300" s="98"/>
      <c r="EZ1300" s="178"/>
    </row>
    <row r="1301" spans="60:156">
      <c r="BH1301" s="19"/>
      <c r="BI1301" s="19"/>
      <c r="BJ1301" s="19"/>
      <c r="BK1301" s="19"/>
      <c r="BL1301" s="19"/>
      <c r="BM1301" s="98"/>
      <c r="BN1301" s="98"/>
      <c r="BO1301" s="98"/>
      <c r="BP1301" s="98"/>
      <c r="BQ1301" s="98"/>
      <c r="BR1301" s="98"/>
      <c r="BS1301" s="98"/>
      <c r="BT1301" s="98"/>
      <c r="BU1301" s="98"/>
      <c r="BV1301" s="98"/>
      <c r="BW1301" s="98"/>
      <c r="BX1301" s="98"/>
      <c r="BY1301" s="98"/>
      <c r="BZ1301" s="98"/>
      <c r="DA1301" s="177"/>
      <c r="EH1301" s="19"/>
      <c r="EI1301" s="19"/>
      <c r="EJ1301" s="19"/>
      <c r="EK1301" s="19"/>
      <c r="EL1301" s="19"/>
      <c r="EM1301" s="98"/>
      <c r="EN1301" s="98"/>
      <c r="EO1301" s="98"/>
      <c r="EP1301" s="98"/>
      <c r="EQ1301" s="98"/>
      <c r="ER1301" s="98"/>
      <c r="ES1301" s="98"/>
      <c r="ET1301" s="98"/>
      <c r="EU1301" s="98"/>
      <c r="EV1301" s="98"/>
      <c r="EW1301" s="98"/>
      <c r="EX1301" s="98"/>
      <c r="EY1301" s="98"/>
      <c r="EZ1301" s="178"/>
    </row>
    <row r="1302" spans="60:156">
      <c r="BH1302" s="19"/>
      <c r="BI1302" s="19"/>
      <c r="BJ1302" s="19"/>
      <c r="BK1302" s="19"/>
      <c r="BL1302" s="19"/>
      <c r="BM1302" s="98"/>
      <c r="BN1302" s="98"/>
      <c r="BO1302" s="98"/>
      <c r="BP1302" s="98"/>
      <c r="BQ1302" s="98"/>
      <c r="BR1302" s="98"/>
      <c r="BS1302" s="98"/>
      <c r="BT1302" s="98"/>
      <c r="BU1302" s="98"/>
      <c r="BV1302" s="98"/>
      <c r="BW1302" s="98"/>
      <c r="BX1302" s="98"/>
      <c r="BY1302" s="98"/>
      <c r="BZ1302" s="98"/>
      <c r="DA1302" s="177"/>
      <c r="EH1302" s="19"/>
      <c r="EI1302" s="19"/>
      <c r="EJ1302" s="19"/>
      <c r="EK1302" s="19"/>
      <c r="EL1302" s="19"/>
      <c r="EM1302" s="98"/>
      <c r="EN1302" s="98"/>
      <c r="EO1302" s="98"/>
      <c r="EP1302" s="98"/>
      <c r="EQ1302" s="98"/>
      <c r="ER1302" s="98"/>
      <c r="ES1302" s="98"/>
      <c r="ET1302" s="98"/>
      <c r="EU1302" s="98"/>
      <c r="EV1302" s="98"/>
      <c r="EW1302" s="98"/>
      <c r="EX1302" s="98"/>
      <c r="EY1302" s="98"/>
      <c r="EZ1302" s="178"/>
    </row>
    <row r="1303" spans="60:156">
      <c r="BH1303" s="19"/>
      <c r="BI1303" s="19"/>
      <c r="BJ1303" s="19"/>
      <c r="BK1303" s="19"/>
      <c r="BL1303" s="19"/>
      <c r="BM1303" s="98"/>
      <c r="BN1303" s="98"/>
      <c r="BO1303" s="98"/>
      <c r="BP1303" s="98"/>
      <c r="BQ1303" s="98"/>
      <c r="BR1303" s="98"/>
      <c r="BS1303" s="98"/>
      <c r="BT1303" s="98"/>
      <c r="BU1303" s="98"/>
      <c r="BV1303" s="98"/>
      <c r="BW1303" s="98"/>
      <c r="BX1303" s="98"/>
      <c r="BY1303" s="98"/>
      <c r="BZ1303" s="98"/>
      <c r="DA1303" s="177"/>
      <c r="EH1303" s="19"/>
      <c r="EI1303" s="19"/>
      <c r="EJ1303" s="19"/>
      <c r="EK1303" s="19"/>
      <c r="EL1303" s="19"/>
      <c r="EM1303" s="98"/>
      <c r="EN1303" s="98"/>
      <c r="EO1303" s="98"/>
      <c r="EP1303" s="98"/>
      <c r="EQ1303" s="98"/>
      <c r="ER1303" s="98"/>
      <c r="ES1303" s="98"/>
      <c r="ET1303" s="98"/>
      <c r="EU1303" s="98"/>
      <c r="EV1303" s="98"/>
      <c r="EW1303" s="98"/>
      <c r="EX1303" s="98"/>
      <c r="EY1303" s="98"/>
      <c r="EZ1303" s="178"/>
    </row>
    <row r="1304" spans="60:156">
      <c r="BH1304" s="19"/>
      <c r="BI1304" s="19"/>
      <c r="BJ1304" s="19"/>
      <c r="BK1304" s="19"/>
      <c r="BL1304" s="19"/>
      <c r="BM1304" s="98"/>
      <c r="BN1304" s="98"/>
      <c r="BO1304" s="98"/>
      <c r="BP1304" s="98"/>
      <c r="BQ1304" s="98"/>
      <c r="BR1304" s="98"/>
      <c r="BS1304" s="98"/>
      <c r="BT1304" s="98"/>
      <c r="BU1304" s="98"/>
      <c r="BV1304" s="98"/>
      <c r="BW1304" s="98"/>
      <c r="BX1304" s="98"/>
      <c r="BY1304" s="98"/>
      <c r="BZ1304" s="98"/>
      <c r="DA1304" s="177"/>
      <c r="EH1304" s="19"/>
      <c r="EI1304" s="19"/>
      <c r="EJ1304" s="19"/>
      <c r="EK1304" s="19"/>
      <c r="EL1304" s="19"/>
      <c r="EM1304" s="98"/>
      <c r="EN1304" s="98"/>
      <c r="EO1304" s="98"/>
      <c r="EP1304" s="98"/>
      <c r="EQ1304" s="98"/>
      <c r="ER1304" s="98"/>
      <c r="ES1304" s="98"/>
      <c r="ET1304" s="98"/>
      <c r="EU1304" s="98"/>
      <c r="EV1304" s="98"/>
      <c r="EW1304" s="98"/>
      <c r="EX1304" s="98"/>
      <c r="EY1304" s="98"/>
      <c r="EZ1304" s="178"/>
    </row>
    <row r="1305" spans="60:156">
      <c r="BH1305" s="19"/>
      <c r="BI1305" s="19"/>
      <c r="BJ1305" s="19"/>
      <c r="BK1305" s="19"/>
      <c r="BL1305" s="19"/>
      <c r="BM1305" s="98"/>
      <c r="BN1305" s="98"/>
      <c r="BO1305" s="98"/>
      <c r="BP1305" s="98"/>
      <c r="BQ1305" s="98"/>
      <c r="BR1305" s="98"/>
      <c r="BS1305" s="98"/>
      <c r="BT1305" s="98"/>
      <c r="BU1305" s="98"/>
      <c r="BV1305" s="98"/>
      <c r="BW1305" s="98"/>
      <c r="BX1305" s="98"/>
      <c r="BY1305" s="98"/>
      <c r="BZ1305" s="98"/>
      <c r="DA1305" s="177"/>
      <c r="EH1305" s="19"/>
      <c r="EI1305" s="19"/>
      <c r="EJ1305" s="19"/>
      <c r="EK1305" s="19"/>
      <c r="EL1305" s="19"/>
      <c r="EM1305" s="98"/>
      <c r="EN1305" s="98"/>
      <c r="EO1305" s="98"/>
      <c r="EP1305" s="98"/>
      <c r="EQ1305" s="98"/>
      <c r="ER1305" s="98"/>
      <c r="ES1305" s="98"/>
      <c r="ET1305" s="98"/>
      <c r="EU1305" s="98"/>
      <c r="EV1305" s="98"/>
      <c r="EW1305" s="98"/>
      <c r="EX1305" s="98"/>
      <c r="EY1305" s="98"/>
      <c r="EZ1305" s="178"/>
    </row>
    <row r="1306" spans="60:156">
      <c r="BH1306" s="19"/>
      <c r="BI1306" s="19"/>
      <c r="BJ1306" s="19"/>
      <c r="BK1306" s="19"/>
      <c r="BL1306" s="19"/>
      <c r="BM1306" s="98"/>
      <c r="BN1306" s="98"/>
      <c r="BO1306" s="98"/>
      <c r="BP1306" s="98"/>
      <c r="BQ1306" s="98"/>
      <c r="BR1306" s="98"/>
      <c r="BS1306" s="98"/>
      <c r="BT1306" s="98"/>
      <c r="BU1306" s="98"/>
      <c r="BV1306" s="98"/>
      <c r="BW1306" s="98"/>
      <c r="BX1306" s="98"/>
      <c r="BY1306" s="98"/>
      <c r="BZ1306" s="98"/>
      <c r="DA1306" s="177"/>
      <c r="EH1306" s="19"/>
      <c r="EI1306" s="19"/>
      <c r="EJ1306" s="19"/>
      <c r="EK1306" s="19"/>
      <c r="EL1306" s="19"/>
      <c r="EM1306" s="98"/>
      <c r="EN1306" s="98"/>
      <c r="EO1306" s="98"/>
      <c r="EP1306" s="98"/>
      <c r="EQ1306" s="98"/>
      <c r="ER1306" s="98"/>
      <c r="ES1306" s="98"/>
      <c r="ET1306" s="98"/>
      <c r="EU1306" s="98"/>
      <c r="EV1306" s="98"/>
      <c r="EW1306" s="98"/>
      <c r="EX1306" s="98"/>
      <c r="EY1306" s="98"/>
      <c r="EZ1306" s="178"/>
    </row>
    <row r="1307" spans="60:156">
      <c r="BH1307" s="19"/>
      <c r="BI1307" s="19"/>
      <c r="BJ1307" s="19"/>
      <c r="BK1307" s="19"/>
      <c r="BL1307" s="19"/>
      <c r="BM1307" s="98"/>
      <c r="BN1307" s="98"/>
      <c r="BO1307" s="98"/>
      <c r="BP1307" s="98"/>
      <c r="BQ1307" s="98"/>
      <c r="BR1307" s="98"/>
      <c r="BS1307" s="98"/>
      <c r="BT1307" s="98"/>
      <c r="BU1307" s="98"/>
      <c r="BV1307" s="98"/>
      <c r="BW1307" s="98"/>
      <c r="BX1307" s="98"/>
      <c r="BY1307" s="98"/>
      <c r="BZ1307" s="98"/>
      <c r="DA1307" s="177"/>
      <c r="EH1307" s="19"/>
      <c r="EI1307" s="19"/>
      <c r="EJ1307" s="19"/>
      <c r="EK1307" s="19"/>
      <c r="EL1307" s="19"/>
      <c r="EM1307" s="98"/>
      <c r="EN1307" s="98"/>
      <c r="EO1307" s="98"/>
      <c r="EP1307" s="98"/>
      <c r="EQ1307" s="98"/>
      <c r="ER1307" s="98"/>
      <c r="ES1307" s="98"/>
      <c r="ET1307" s="98"/>
      <c r="EU1307" s="98"/>
      <c r="EV1307" s="98"/>
      <c r="EW1307" s="98"/>
      <c r="EX1307" s="98"/>
      <c r="EY1307" s="98"/>
      <c r="EZ1307" s="178"/>
    </row>
    <row r="1308" spans="60:156">
      <c r="BH1308" s="19"/>
      <c r="BI1308" s="19"/>
      <c r="BJ1308" s="19"/>
      <c r="BK1308" s="19"/>
      <c r="BL1308" s="19"/>
      <c r="BM1308" s="98"/>
      <c r="BN1308" s="98"/>
      <c r="BO1308" s="98"/>
      <c r="BP1308" s="98"/>
      <c r="BQ1308" s="98"/>
      <c r="BR1308" s="98"/>
      <c r="BS1308" s="98"/>
      <c r="BT1308" s="98"/>
      <c r="BU1308" s="98"/>
      <c r="BV1308" s="98"/>
      <c r="BW1308" s="98"/>
      <c r="BX1308" s="98"/>
      <c r="BY1308" s="98"/>
      <c r="BZ1308" s="98"/>
      <c r="DA1308" s="177"/>
      <c r="EH1308" s="19"/>
      <c r="EI1308" s="19"/>
      <c r="EJ1308" s="19"/>
      <c r="EK1308" s="19"/>
      <c r="EL1308" s="19"/>
      <c r="EM1308" s="98"/>
      <c r="EN1308" s="98"/>
      <c r="EO1308" s="98"/>
      <c r="EP1308" s="98"/>
      <c r="EQ1308" s="98"/>
      <c r="ER1308" s="98"/>
      <c r="ES1308" s="98"/>
      <c r="ET1308" s="98"/>
      <c r="EU1308" s="98"/>
      <c r="EV1308" s="98"/>
      <c r="EW1308" s="98"/>
      <c r="EX1308" s="98"/>
      <c r="EY1308" s="98"/>
      <c r="EZ1308" s="178"/>
    </row>
    <row r="1309" spans="60:156">
      <c r="BH1309" s="19"/>
      <c r="BI1309" s="19"/>
      <c r="BJ1309" s="19"/>
      <c r="BK1309" s="19"/>
      <c r="BL1309" s="19"/>
      <c r="BM1309" s="98"/>
      <c r="BN1309" s="98"/>
      <c r="BO1309" s="98"/>
      <c r="BP1309" s="98"/>
      <c r="BQ1309" s="98"/>
      <c r="BR1309" s="98"/>
      <c r="BS1309" s="98"/>
      <c r="BT1309" s="98"/>
      <c r="BU1309" s="98"/>
      <c r="BV1309" s="98"/>
      <c r="BW1309" s="98"/>
      <c r="BX1309" s="98"/>
      <c r="BY1309" s="98"/>
      <c r="BZ1309" s="98"/>
      <c r="DA1309" s="177"/>
      <c r="EH1309" s="19"/>
      <c r="EI1309" s="19"/>
      <c r="EJ1309" s="19"/>
      <c r="EK1309" s="19"/>
      <c r="EL1309" s="19"/>
      <c r="EM1309" s="98"/>
      <c r="EN1309" s="98"/>
      <c r="EO1309" s="98"/>
      <c r="EP1309" s="98"/>
      <c r="EQ1309" s="98"/>
      <c r="ER1309" s="98"/>
      <c r="ES1309" s="98"/>
      <c r="ET1309" s="98"/>
      <c r="EU1309" s="98"/>
      <c r="EV1309" s="98"/>
      <c r="EW1309" s="98"/>
      <c r="EX1309" s="98"/>
      <c r="EY1309" s="98"/>
      <c r="EZ1309" s="178"/>
    </row>
    <row r="1310" spans="60:156">
      <c r="BH1310" s="19"/>
      <c r="BI1310" s="19"/>
      <c r="BJ1310" s="19"/>
      <c r="BK1310" s="19"/>
      <c r="BL1310" s="19"/>
      <c r="BM1310" s="98"/>
      <c r="BN1310" s="98"/>
      <c r="BO1310" s="98"/>
      <c r="BP1310" s="98"/>
      <c r="BQ1310" s="98"/>
      <c r="BR1310" s="98"/>
      <c r="BS1310" s="98"/>
      <c r="BT1310" s="98"/>
      <c r="BU1310" s="98"/>
      <c r="BV1310" s="98"/>
      <c r="BW1310" s="98"/>
      <c r="BX1310" s="98"/>
      <c r="BY1310" s="98"/>
      <c r="BZ1310" s="98"/>
      <c r="DA1310" s="177"/>
      <c r="EH1310" s="19"/>
      <c r="EI1310" s="19"/>
      <c r="EJ1310" s="19"/>
      <c r="EK1310" s="19"/>
      <c r="EL1310" s="19"/>
      <c r="EM1310" s="98"/>
      <c r="EN1310" s="98"/>
      <c r="EO1310" s="98"/>
      <c r="EP1310" s="98"/>
      <c r="EQ1310" s="98"/>
      <c r="ER1310" s="98"/>
      <c r="ES1310" s="98"/>
      <c r="ET1310" s="98"/>
      <c r="EU1310" s="98"/>
      <c r="EV1310" s="98"/>
      <c r="EW1310" s="98"/>
      <c r="EX1310" s="98"/>
      <c r="EY1310" s="98"/>
      <c r="EZ1310" s="178"/>
    </row>
    <row r="1311" spans="60:156">
      <c r="BH1311" s="19"/>
      <c r="BI1311" s="19"/>
      <c r="BJ1311" s="19"/>
      <c r="BK1311" s="19"/>
      <c r="BL1311" s="19"/>
      <c r="BM1311" s="98"/>
      <c r="BN1311" s="98"/>
      <c r="BO1311" s="98"/>
      <c r="BP1311" s="98"/>
      <c r="BQ1311" s="98"/>
      <c r="BR1311" s="98"/>
      <c r="BS1311" s="98"/>
      <c r="BT1311" s="98"/>
      <c r="BU1311" s="98"/>
      <c r="BV1311" s="98"/>
      <c r="BW1311" s="98"/>
      <c r="BX1311" s="98"/>
      <c r="BY1311" s="98"/>
      <c r="BZ1311" s="98"/>
      <c r="DA1311" s="177"/>
      <c r="EH1311" s="19"/>
      <c r="EI1311" s="19"/>
      <c r="EJ1311" s="19"/>
      <c r="EK1311" s="19"/>
      <c r="EL1311" s="19"/>
      <c r="EM1311" s="98"/>
      <c r="EN1311" s="98"/>
      <c r="EO1311" s="98"/>
      <c r="EP1311" s="98"/>
      <c r="EQ1311" s="98"/>
      <c r="ER1311" s="98"/>
      <c r="ES1311" s="98"/>
      <c r="ET1311" s="98"/>
      <c r="EU1311" s="98"/>
      <c r="EV1311" s="98"/>
      <c r="EW1311" s="98"/>
      <c r="EX1311" s="98"/>
      <c r="EY1311" s="98"/>
      <c r="EZ1311" s="178"/>
    </row>
    <row r="1312" spans="60:156">
      <c r="BH1312" s="19"/>
      <c r="BI1312" s="19"/>
      <c r="BJ1312" s="19"/>
      <c r="BK1312" s="19"/>
      <c r="BL1312" s="19"/>
      <c r="BM1312" s="98"/>
      <c r="BN1312" s="98"/>
      <c r="BO1312" s="98"/>
      <c r="BP1312" s="98"/>
      <c r="BQ1312" s="98"/>
      <c r="BR1312" s="98"/>
      <c r="BS1312" s="98"/>
      <c r="BT1312" s="98"/>
      <c r="BU1312" s="98"/>
      <c r="BV1312" s="98"/>
      <c r="BW1312" s="98"/>
      <c r="BX1312" s="98"/>
      <c r="BY1312" s="98"/>
      <c r="BZ1312" s="98"/>
      <c r="DA1312" s="177"/>
      <c r="EH1312" s="19"/>
      <c r="EI1312" s="19"/>
      <c r="EJ1312" s="19"/>
      <c r="EK1312" s="19"/>
      <c r="EL1312" s="19"/>
      <c r="EM1312" s="98"/>
      <c r="EN1312" s="98"/>
      <c r="EO1312" s="98"/>
      <c r="EP1312" s="98"/>
      <c r="EQ1312" s="98"/>
      <c r="ER1312" s="98"/>
      <c r="ES1312" s="98"/>
      <c r="ET1312" s="98"/>
      <c r="EU1312" s="98"/>
      <c r="EV1312" s="98"/>
      <c r="EW1312" s="98"/>
      <c r="EX1312" s="98"/>
      <c r="EY1312" s="98"/>
      <c r="EZ1312" s="178"/>
    </row>
    <row r="1313" spans="60:156">
      <c r="BH1313" s="19"/>
      <c r="BI1313" s="19"/>
      <c r="BJ1313" s="19"/>
      <c r="BK1313" s="19"/>
      <c r="BL1313" s="19"/>
      <c r="BM1313" s="98"/>
      <c r="BN1313" s="98"/>
      <c r="BO1313" s="98"/>
      <c r="BP1313" s="98"/>
      <c r="BQ1313" s="98"/>
      <c r="BR1313" s="98"/>
      <c r="BS1313" s="98"/>
      <c r="BT1313" s="98"/>
      <c r="BU1313" s="98"/>
      <c r="BV1313" s="98"/>
      <c r="BW1313" s="98"/>
      <c r="BX1313" s="98"/>
      <c r="BY1313" s="98"/>
      <c r="BZ1313" s="98"/>
      <c r="DA1313" s="177"/>
      <c r="EH1313" s="19"/>
      <c r="EI1313" s="19"/>
      <c r="EJ1313" s="19"/>
      <c r="EK1313" s="19"/>
      <c r="EL1313" s="19"/>
      <c r="EM1313" s="98"/>
      <c r="EN1313" s="98"/>
      <c r="EO1313" s="98"/>
      <c r="EP1313" s="98"/>
      <c r="EQ1313" s="98"/>
      <c r="ER1313" s="98"/>
      <c r="ES1313" s="98"/>
      <c r="ET1313" s="98"/>
      <c r="EU1313" s="98"/>
      <c r="EV1313" s="98"/>
      <c r="EW1313" s="98"/>
      <c r="EX1313" s="98"/>
      <c r="EY1313" s="98"/>
      <c r="EZ1313" s="178"/>
    </row>
    <row r="1314" spans="60:156">
      <c r="BH1314" s="19"/>
      <c r="BI1314" s="19"/>
      <c r="BJ1314" s="19"/>
      <c r="BK1314" s="19"/>
      <c r="BL1314" s="19"/>
      <c r="BM1314" s="98"/>
      <c r="BN1314" s="98"/>
      <c r="BO1314" s="98"/>
      <c r="BP1314" s="98"/>
      <c r="BQ1314" s="98"/>
      <c r="BR1314" s="98"/>
      <c r="BS1314" s="98"/>
      <c r="BT1314" s="98"/>
      <c r="BU1314" s="98"/>
      <c r="BV1314" s="98"/>
      <c r="BW1314" s="98"/>
      <c r="BX1314" s="98"/>
      <c r="BY1314" s="98"/>
      <c r="BZ1314" s="98"/>
      <c r="DA1314" s="177"/>
      <c r="EH1314" s="19"/>
      <c r="EI1314" s="19"/>
      <c r="EJ1314" s="19"/>
      <c r="EK1314" s="19"/>
      <c r="EL1314" s="19"/>
      <c r="EM1314" s="98"/>
      <c r="EN1314" s="98"/>
      <c r="EO1314" s="98"/>
      <c r="EP1314" s="98"/>
      <c r="EQ1314" s="98"/>
      <c r="ER1314" s="98"/>
      <c r="ES1314" s="98"/>
      <c r="ET1314" s="98"/>
      <c r="EU1314" s="98"/>
      <c r="EV1314" s="98"/>
      <c r="EW1314" s="98"/>
      <c r="EX1314" s="98"/>
      <c r="EY1314" s="98"/>
      <c r="EZ1314" s="178"/>
    </row>
    <row r="1315" spans="60:156">
      <c r="BH1315" s="19"/>
      <c r="BI1315" s="19"/>
      <c r="BJ1315" s="19"/>
      <c r="BK1315" s="19"/>
      <c r="BL1315" s="19"/>
      <c r="BM1315" s="98"/>
      <c r="BN1315" s="98"/>
      <c r="BO1315" s="98"/>
      <c r="BP1315" s="98"/>
      <c r="BQ1315" s="98"/>
      <c r="BR1315" s="98"/>
      <c r="BS1315" s="98"/>
      <c r="BT1315" s="98"/>
      <c r="BU1315" s="98"/>
      <c r="BV1315" s="98"/>
      <c r="BW1315" s="98"/>
      <c r="BX1315" s="98"/>
      <c r="BY1315" s="98"/>
      <c r="BZ1315" s="98"/>
      <c r="DA1315" s="177"/>
      <c r="EH1315" s="19"/>
      <c r="EI1315" s="19"/>
      <c r="EJ1315" s="19"/>
      <c r="EK1315" s="19"/>
      <c r="EL1315" s="19"/>
      <c r="EM1315" s="98"/>
      <c r="EN1315" s="98"/>
      <c r="EO1315" s="98"/>
      <c r="EP1315" s="98"/>
      <c r="EQ1315" s="98"/>
      <c r="ER1315" s="98"/>
      <c r="ES1315" s="98"/>
      <c r="ET1315" s="98"/>
      <c r="EU1315" s="98"/>
      <c r="EV1315" s="98"/>
      <c r="EW1315" s="98"/>
      <c r="EX1315" s="98"/>
      <c r="EY1315" s="98"/>
      <c r="EZ1315" s="178"/>
    </row>
    <row r="1316" spans="60:156">
      <c r="BH1316" s="19"/>
      <c r="BI1316" s="19"/>
      <c r="BJ1316" s="19"/>
      <c r="BK1316" s="19"/>
      <c r="BL1316" s="19"/>
      <c r="BM1316" s="98"/>
      <c r="BN1316" s="98"/>
      <c r="BO1316" s="98"/>
      <c r="BP1316" s="98"/>
      <c r="BQ1316" s="98"/>
      <c r="BR1316" s="98"/>
      <c r="BS1316" s="98"/>
      <c r="BT1316" s="98"/>
      <c r="BU1316" s="98"/>
      <c r="BV1316" s="98"/>
      <c r="BW1316" s="98"/>
      <c r="BX1316" s="98"/>
      <c r="BY1316" s="98"/>
      <c r="BZ1316" s="98"/>
      <c r="DA1316" s="177"/>
      <c r="EH1316" s="19"/>
      <c r="EI1316" s="19"/>
      <c r="EJ1316" s="19"/>
      <c r="EK1316" s="19"/>
      <c r="EL1316" s="19"/>
      <c r="EM1316" s="98"/>
      <c r="EN1316" s="98"/>
      <c r="EO1316" s="98"/>
      <c r="EP1316" s="98"/>
      <c r="EQ1316" s="98"/>
      <c r="ER1316" s="98"/>
      <c r="ES1316" s="98"/>
      <c r="ET1316" s="98"/>
      <c r="EU1316" s="98"/>
      <c r="EV1316" s="98"/>
      <c r="EW1316" s="98"/>
      <c r="EX1316" s="98"/>
      <c r="EY1316" s="98"/>
      <c r="EZ1316" s="178"/>
    </row>
    <row r="1317" spans="60:156">
      <c r="BH1317" s="19"/>
      <c r="BI1317" s="19"/>
      <c r="BJ1317" s="19"/>
      <c r="BK1317" s="19"/>
      <c r="BL1317" s="19"/>
      <c r="BM1317" s="98"/>
      <c r="BN1317" s="98"/>
      <c r="BO1317" s="98"/>
      <c r="BP1317" s="98"/>
      <c r="BQ1317" s="98"/>
      <c r="BR1317" s="98"/>
      <c r="BS1317" s="98"/>
      <c r="BT1317" s="98"/>
      <c r="BU1317" s="98"/>
      <c r="BV1317" s="98"/>
      <c r="BW1317" s="98"/>
      <c r="BX1317" s="98"/>
      <c r="BY1317" s="98"/>
      <c r="BZ1317" s="98"/>
      <c r="DA1317" s="177"/>
      <c r="EH1317" s="19"/>
      <c r="EI1317" s="19"/>
      <c r="EJ1317" s="19"/>
      <c r="EK1317" s="19"/>
      <c r="EL1317" s="19"/>
      <c r="EM1317" s="98"/>
      <c r="EN1317" s="98"/>
      <c r="EO1317" s="98"/>
      <c r="EP1317" s="98"/>
      <c r="EQ1317" s="98"/>
      <c r="ER1317" s="98"/>
      <c r="ES1317" s="98"/>
      <c r="ET1317" s="98"/>
      <c r="EU1317" s="98"/>
      <c r="EV1317" s="98"/>
      <c r="EW1317" s="98"/>
      <c r="EX1317" s="98"/>
      <c r="EY1317" s="98"/>
      <c r="EZ1317" s="178"/>
    </row>
    <row r="1318" spans="60:156">
      <c r="BH1318" s="19"/>
      <c r="BI1318" s="19"/>
      <c r="BJ1318" s="19"/>
      <c r="BK1318" s="19"/>
      <c r="BL1318" s="19"/>
      <c r="BM1318" s="98"/>
      <c r="BN1318" s="98"/>
      <c r="BO1318" s="98"/>
      <c r="BP1318" s="98"/>
      <c r="BQ1318" s="98"/>
      <c r="BR1318" s="98"/>
      <c r="BS1318" s="98"/>
      <c r="BT1318" s="98"/>
      <c r="BU1318" s="98"/>
      <c r="BV1318" s="98"/>
      <c r="BW1318" s="98"/>
      <c r="BX1318" s="98"/>
      <c r="BY1318" s="98"/>
      <c r="BZ1318" s="98"/>
      <c r="DA1318" s="177"/>
      <c r="EH1318" s="19"/>
      <c r="EI1318" s="19"/>
      <c r="EJ1318" s="19"/>
      <c r="EK1318" s="19"/>
      <c r="EL1318" s="19"/>
      <c r="EM1318" s="98"/>
      <c r="EN1318" s="98"/>
      <c r="EO1318" s="98"/>
      <c r="EP1318" s="98"/>
      <c r="EQ1318" s="98"/>
      <c r="ER1318" s="98"/>
      <c r="ES1318" s="98"/>
      <c r="ET1318" s="98"/>
      <c r="EU1318" s="98"/>
      <c r="EV1318" s="98"/>
      <c r="EW1318" s="98"/>
      <c r="EX1318" s="98"/>
      <c r="EY1318" s="98"/>
      <c r="EZ1318" s="178"/>
    </row>
    <row r="1319" spans="60:156">
      <c r="BH1319" s="19"/>
      <c r="BI1319" s="19"/>
      <c r="BJ1319" s="19"/>
      <c r="BK1319" s="19"/>
      <c r="BL1319" s="19"/>
      <c r="BM1319" s="98"/>
      <c r="BN1319" s="98"/>
      <c r="BO1319" s="98"/>
      <c r="BP1319" s="98"/>
      <c r="BQ1319" s="98"/>
      <c r="BR1319" s="98"/>
      <c r="BS1319" s="98"/>
      <c r="BT1319" s="98"/>
      <c r="BU1319" s="98"/>
      <c r="BV1319" s="98"/>
      <c r="BW1319" s="98"/>
      <c r="BX1319" s="98"/>
      <c r="BY1319" s="98"/>
      <c r="BZ1319" s="98"/>
      <c r="DA1319" s="177"/>
      <c r="EH1319" s="19"/>
      <c r="EI1319" s="19"/>
      <c r="EJ1319" s="19"/>
      <c r="EK1319" s="19"/>
      <c r="EL1319" s="19"/>
      <c r="EM1319" s="98"/>
      <c r="EN1319" s="98"/>
      <c r="EO1319" s="98"/>
      <c r="EP1319" s="98"/>
      <c r="EQ1319" s="98"/>
      <c r="ER1319" s="98"/>
      <c r="ES1319" s="98"/>
      <c r="ET1319" s="98"/>
      <c r="EU1319" s="98"/>
      <c r="EV1319" s="98"/>
      <c r="EW1319" s="98"/>
      <c r="EX1319" s="98"/>
      <c r="EY1319" s="98"/>
      <c r="EZ1319" s="178"/>
    </row>
    <row r="1320" spans="60:156">
      <c r="BH1320" s="19"/>
      <c r="BI1320" s="19"/>
      <c r="BJ1320" s="19"/>
      <c r="BK1320" s="19"/>
      <c r="BL1320" s="19"/>
      <c r="BM1320" s="98"/>
      <c r="BN1320" s="98"/>
      <c r="BO1320" s="98"/>
      <c r="BP1320" s="98"/>
      <c r="BQ1320" s="98"/>
      <c r="BR1320" s="98"/>
      <c r="BS1320" s="98"/>
      <c r="BT1320" s="98"/>
      <c r="BU1320" s="98"/>
      <c r="BV1320" s="98"/>
      <c r="BW1320" s="98"/>
      <c r="BX1320" s="98"/>
      <c r="BY1320" s="98"/>
      <c r="BZ1320" s="98"/>
      <c r="DA1320" s="177"/>
      <c r="EH1320" s="19"/>
      <c r="EI1320" s="19"/>
      <c r="EJ1320" s="19"/>
      <c r="EK1320" s="19"/>
      <c r="EL1320" s="19"/>
      <c r="EM1320" s="98"/>
      <c r="EN1320" s="98"/>
      <c r="EO1320" s="98"/>
      <c r="EP1320" s="98"/>
      <c r="EQ1320" s="98"/>
      <c r="ER1320" s="98"/>
      <c r="ES1320" s="98"/>
      <c r="ET1320" s="98"/>
      <c r="EU1320" s="98"/>
      <c r="EV1320" s="98"/>
      <c r="EW1320" s="98"/>
      <c r="EX1320" s="98"/>
      <c r="EY1320" s="98"/>
      <c r="EZ1320" s="178"/>
    </row>
    <row r="1321" spans="60:156">
      <c r="BH1321" s="19"/>
      <c r="BI1321" s="19"/>
      <c r="BJ1321" s="19"/>
      <c r="BK1321" s="19"/>
      <c r="BL1321" s="19"/>
      <c r="BM1321" s="98"/>
      <c r="BN1321" s="98"/>
      <c r="BO1321" s="98"/>
      <c r="BP1321" s="98"/>
      <c r="BQ1321" s="98"/>
      <c r="BR1321" s="98"/>
      <c r="BS1321" s="98"/>
      <c r="BT1321" s="98"/>
      <c r="BU1321" s="98"/>
      <c r="BV1321" s="98"/>
      <c r="BW1321" s="98"/>
      <c r="BX1321" s="98"/>
      <c r="BY1321" s="98"/>
      <c r="BZ1321" s="98"/>
      <c r="DA1321" s="177"/>
      <c r="EH1321" s="19"/>
      <c r="EI1321" s="19"/>
      <c r="EJ1321" s="19"/>
      <c r="EK1321" s="19"/>
      <c r="EL1321" s="19"/>
      <c r="EM1321" s="98"/>
      <c r="EN1321" s="98"/>
      <c r="EO1321" s="98"/>
      <c r="EP1321" s="98"/>
      <c r="EQ1321" s="98"/>
      <c r="ER1321" s="98"/>
      <c r="ES1321" s="98"/>
      <c r="ET1321" s="98"/>
      <c r="EU1321" s="98"/>
      <c r="EV1321" s="98"/>
      <c r="EW1321" s="98"/>
      <c r="EX1321" s="98"/>
      <c r="EY1321" s="98"/>
      <c r="EZ1321" s="178"/>
    </row>
    <row r="1322" spans="60:156">
      <c r="BH1322" s="19"/>
      <c r="BI1322" s="19"/>
      <c r="BJ1322" s="19"/>
      <c r="BK1322" s="19"/>
      <c r="BL1322" s="19"/>
      <c r="BM1322" s="98"/>
      <c r="BN1322" s="98"/>
      <c r="BO1322" s="98"/>
      <c r="BP1322" s="98"/>
      <c r="BQ1322" s="98"/>
      <c r="BR1322" s="98"/>
      <c r="BS1322" s="98"/>
      <c r="BT1322" s="98"/>
      <c r="BU1322" s="98"/>
      <c r="BV1322" s="98"/>
      <c r="BW1322" s="98"/>
      <c r="BX1322" s="98"/>
      <c r="BY1322" s="98"/>
      <c r="BZ1322" s="98"/>
      <c r="DA1322" s="177"/>
      <c r="EH1322" s="19"/>
      <c r="EI1322" s="19"/>
      <c r="EJ1322" s="19"/>
      <c r="EK1322" s="19"/>
      <c r="EL1322" s="19"/>
      <c r="EM1322" s="98"/>
      <c r="EN1322" s="98"/>
      <c r="EO1322" s="98"/>
      <c r="EP1322" s="98"/>
      <c r="EQ1322" s="98"/>
      <c r="ER1322" s="98"/>
      <c r="ES1322" s="98"/>
      <c r="ET1322" s="98"/>
      <c r="EU1322" s="98"/>
      <c r="EV1322" s="98"/>
      <c r="EW1322" s="98"/>
      <c r="EX1322" s="98"/>
      <c r="EY1322" s="98"/>
      <c r="EZ1322" s="178"/>
    </row>
    <row r="1323" spans="60:156">
      <c r="BH1323" s="19"/>
      <c r="BI1323" s="19"/>
      <c r="BJ1323" s="19"/>
      <c r="BK1323" s="19"/>
      <c r="BL1323" s="19"/>
      <c r="BM1323" s="98"/>
      <c r="BN1323" s="98"/>
      <c r="BO1323" s="98"/>
      <c r="BP1323" s="98"/>
      <c r="BQ1323" s="98"/>
      <c r="BR1323" s="98"/>
      <c r="BS1323" s="98"/>
      <c r="BT1323" s="98"/>
      <c r="BU1323" s="98"/>
      <c r="BV1323" s="98"/>
      <c r="BW1323" s="98"/>
      <c r="BX1323" s="98"/>
      <c r="BY1323" s="98"/>
      <c r="BZ1323" s="98"/>
      <c r="DA1323" s="177"/>
      <c r="EH1323" s="19"/>
      <c r="EI1323" s="19"/>
      <c r="EJ1323" s="19"/>
      <c r="EK1323" s="19"/>
      <c r="EL1323" s="19"/>
      <c r="EM1323" s="98"/>
      <c r="EN1323" s="98"/>
      <c r="EO1323" s="98"/>
      <c r="EP1323" s="98"/>
      <c r="EQ1323" s="98"/>
      <c r="ER1323" s="98"/>
      <c r="ES1323" s="98"/>
      <c r="ET1323" s="98"/>
      <c r="EU1323" s="98"/>
      <c r="EV1323" s="98"/>
      <c r="EW1323" s="98"/>
      <c r="EX1323" s="98"/>
      <c r="EY1323" s="98"/>
      <c r="EZ1323" s="178"/>
    </row>
    <row r="1324" spans="60:156">
      <c r="BH1324" s="19"/>
      <c r="BI1324" s="19"/>
      <c r="BJ1324" s="19"/>
      <c r="BK1324" s="19"/>
      <c r="BL1324" s="19"/>
      <c r="BM1324" s="98"/>
      <c r="BN1324" s="98"/>
      <c r="BO1324" s="98"/>
      <c r="BP1324" s="98"/>
      <c r="BQ1324" s="98"/>
      <c r="BR1324" s="98"/>
      <c r="BS1324" s="98"/>
      <c r="BT1324" s="98"/>
      <c r="BU1324" s="98"/>
      <c r="BV1324" s="98"/>
      <c r="BW1324" s="98"/>
      <c r="BX1324" s="98"/>
      <c r="BY1324" s="98"/>
      <c r="BZ1324" s="98"/>
      <c r="DA1324" s="177"/>
      <c r="EH1324" s="19"/>
      <c r="EI1324" s="19"/>
      <c r="EJ1324" s="19"/>
      <c r="EK1324" s="19"/>
      <c r="EL1324" s="19"/>
      <c r="EM1324" s="98"/>
      <c r="EN1324" s="98"/>
      <c r="EO1324" s="98"/>
      <c r="EP1324" s="98"/>
      <c r="EQ1324" s="98"/>
      <c r="ER1324" s="98"/>
      <c r="ES1324" s="98"/>
      <c r="ET1324" s="98"/>
      <c r="EU1324" s="98"/>
      <c r="EV1324" s="98"/>
      <c r="EW1324" s="98"/>
      <c r="EX1324" s="98"/>
      <c r="EY1324" s="98"/>
      <c r="EZ1324" s="178"/>
    </row>
    <row r="1325" spans="60:156">
      <c r="BH1325" s="19"/>
      <c r="BI1325" s="19"/>
      <c r="BJ1325" s="19"/>
      <c r="BK1325" s="19"/>
      <c r="BL1325" s="19"/>
      <c r="BM1325" s="98"/>
      <c r="BN1325" s="98"/>
      <c r="BO1325" s="98"/>
      <c r="BP1325" s="98"/>
      <c r="BQ1325" s="98"/>
      <c r="BR1325" s="98"/>
      <c r="BS1325" s="98"/>
      <c r="BT1325" s="98"/>
      <c r="BU1325" s="98"/>
      <c r="BV1325" s="98"/>
      <c r="BW1325" s="98"/>
      <c r="BX1325" s="98"/>
      <c r="BY1325" s="98"/>
      <c r="BZ1325" s="98"/>
      <c r="DA1325" s="177"/>
      <c r="EH1325" s="19"/>
      <c r="EI1325" s="19"/>
      <c r="EJ1325" s="19"/>
      <c r="EK1325" s="19"/>
      <c r="EL1325" s="19"/>
      <c r="EM1325" s="98"/>
      <c r="EN1325" s="98"/>
      <c r="EO1325" s="98"/>
      <c r="EP1325" s="98"/>
      <c r="EQ1325" s="98"/>
      <c r="ER1325" s="98"/>
      <c r="ES1325" s="98"/>
      <c r="ET1325" s="98"/>
      <c r="EU1325" s="98"/>
      <c r="EV1325" s="98"/>
      <c r="EW1325" s="98"/>
      <c r="EX1325" s="98"/>
      <c r="EY1325" s="98"/>
      <c r="EZ1325" s="178"/>
    </row>
    <row r="1326" spans="60:156">
      <c r="BH1326" s="19"/>
      <c r="BI1326" s="19"/>
      <c r="BJ1326" s="19"/>
      <c r="BK1326" s="19"/>
      <c r="BL1326" s="19"/>
      <c r="BM1326" s="98"/>
      <c r="BN1326" s="98"/>
      <c r="BO1326" s="98"/>
      <c r="BP1326" s="98"/>
      <c r="BQ1326" s="98"/>
      <c r="BR1326" s="98"/>
      <c r="BS1326" s="98"/>
      <c r="BT1326" s="98"/>
      <c r="BU1326" s="98"/>
      <c r="BV1326" s="98"/>
      <c r="BW1326" s="98"/>
      <c r="BX1326" s="98"/>
      <c r="BY1326" s="98"/>
      <c r="BZ1326" s="98"/>
      <c r="DA1326" s="177"/>
      <c r="EH1326" s="19"/>
      <c r="EI1326" s="19"/>
      <c r="EJ1326" s="19"/>
      <c r="EK1326" s="19"/>
      <c r="EL1326" s="19"/>
      <c r="EM1326" s="98"/>
      <c r="EN1326" s="98"/>
      <c r="EO1326" s="98"/>
      <c r="EP1326" s="98"/>
      <c r="EQ1326" s="98"/>
      <c r="ER1326" s="98"/>
      <c r="ES1326" s="98"/>
      <c r="ET1326" s="98"/>
      <c r="EU1326" s="98"/>
      <c r="EV1326" s="98"/>
      <c r="EW1326" s="98"/>
      <c r="EX1326" s="98"/>
      <c r="EY1326" s="98"/>
      <c r="EZ1326" s="178"/>
    </row>
    <row r="1327" spans="60:156">
      <c r="BH1327" s="19"/>
      <c r="BI1327" s="19"/>
      <c r="BJ1327" s="19"/>
      <c r="BK1327" s="19"/>
      <c r="BL1327" s="19"/>
      <c r="BM1327" s="98"/>
      <c r="BN1327" s="98"/>
      <c r="BO1327" s="98"/>
      <c r="BP1327" s="98"/>
      <c r="BQ1327" s="98"/>
      <c r="BR1327" s="98"/>
      <c r="BS1327" s="98"/>
      <c r="BT1327" s="98"/>
      <c r="BU1327" s="98"/>
      <c r="BV1327" s="98"/>
      <c r="BW1327" s="98"/>
      <c r="BX1327" s="98"/>
      <c r="BY1327" s="98"/>
      <c r="BZ1327" s="98"/>
      <c r="DA1327" s="177"/>
      <c r="EH1327" s="19"/>
      <c r="EI1327" s="19"/>
      <c r="EJ1327" s="19"/>
      <c r="EK1327" s="19"/>
      <c r="EL1327" s="19"/>
      <c r="EM1327" s="98"/>
      <c r="EN1327" s="98"/>
      <c r="EO1327" s="98"/>
      <c r="EP1327" s="98"/>
      <c r="EQ1327" s="98"/>
      <c r="ER1327" s="98"/>
      <c r="ES1327" s="98"/>
      <c r="ET1327" s="98"/>
      <c r="EU1327" s="98"/>
      <c r="EV1327" s="98"/>
      <c r="EW1327" s="98"/>
      <c r="EX1327" s="98"/>
      <c r="EY1327" s="98"/>
      <c r="EZ1327" s="178"/>
    </row>
    <row r="1328" spans="60:156">
      <c r="BH1328" s="19"/>
      <c r="BI1328" s="19"/>
      <c r="BJ1328" s="19"/>
      <c r="BK1328" s="19"/>
      <c r="BL1328" s="19"/>
      <c r="BM1328" s="98"/>
      <c r="BN1328" s="98"/>
      <c r="BO1328" s="98"/>
      <c r="BP1328" s="98"/>
      <c r="BQ1328" s="98"/>
      <c r="BR1328" s="98"/>
      <c r="BS1328" s="98"/>
      <c r="BT1328" s="98"/>
      <c r="BU1328" s="98"/>
      <c r="BV1328" s="98"/>
      <c r="BW1328" s="98"/>
      <c r="BX1328" s="98"/>
      <c r="BY1328" s="98"/>
      <c r="BZ1328" s="98"/>
      <c r="DA1328" s="177"/>
      <c r="EH1328" s="19"/>
      <c r="EI1328" s="19"/>
      <c r="EJ1328" s="19"/>
      <c r="EK1328" s="19"/>
      <c r="EL1328" s="19"/>
      <c r="EM1328" s="98"/>
      <c r="EN1328" s="98"/>
      <c r="EO1328" s="98"/>
      <c r="EP1328" s="98"/>
      <c r="EQ1328" s="98"/>
      <c r="ER1328" s="98"/>
      <c r="ES1328" s="98"/>
      <c r="ET1328" s="98"/>
      <c r="EU1328" s="98"/>
      <c r="EV1328" s="98"/>
      <c r="EW1328" s="98"/>
      <c r="EX1328" s="98"/>
      <c r="EY1328" s="98"/>
      <c r="EZ1328" s="178"/>
    </row>
    <row r="1329" spans="60:156">
      <c r="BH1329" s="19"/>
      <c r="BI1329" s="19"/>
      <c r="BJ1329" s="19"/>
      <c r="BK1329" s="19"/>
      <c r="BL1329" s="19"/>
      <c r="BM1329" s="98"/>
      <c r="BN1329" s="98"/>
      <c r="BO1329" s="98"/>
      <c r="BP1329" s="98"/>
      <c r="BQ1329" s="98"/>
      <c r="BR1329" s="98"/>
      <c r="BS1329" s="98"/>
      <c r="BT1329" s="98"/>
      <c r="BU1329" s="98"/>
      <c r="BV1329" s="98"/>
      <c r="BW1329" s="98"/>
      <c r="BX1329" s="98"/>
      <c r="BY1329" s="98"/>
      <c r="BZ1329" s="98"/>
      <c r="DA1329" s="177"/>
      <c r="EH1329" s="19"/>
      <c r="EI1329" s="19"/>
      <c r="EJ1329" s="19"/>
      <c r="EK1329" s="19"/>
      <c r="EL1329" s="19"/>
      <c r="EM1329" s="98"/>
      <c r="EN1329" s="98"/>
      <c r="EO1329" s="98"/>
      <c r="EP1329" s="98"/>
      <c r="EQ1329" s="98"/>
      <c r="ER1329" s="98"/>
      <c r="ES1329" s="98"/>
      <c r="ET1329" s="98"/>
      <c r="EU1329" s="98"/>
      <c r="EV1329" s="98"/>
      <c r="EW1329" s="98"/>
      <c r="EX1329" s="98"/>
      <c r="EY1329" s="98"/>
      <c r="EZ1329" s="178"/>
    </row>
    <row r="1330" spans="60:156">
      <c r="BH1330" s="19"/>
      <c r="BI1330" s="19"/>
      <c r="BJ1330" s="19"/>
      <c r="BK1330" s="19"/>
      <c r="BL1330" s="19"/>
      <c r="BM1330" s="98"/>
      <c r="BN1330" s="98"/>
      <c r="BO1330" s="98"/>
      <c r="BP1330" s="98"/>
      <c r="BQ1330" s="98"/>
      <c r="BR1330" s="98"/>
      <c r="BS1330" s="98"/>
      <c r="BT1330" s="98"/>
      <c r="BU1330" s="98"/>
      <c r="BV1330" s="98"/>
      <c r="BW1330" s="98"/>
      <c r="BX1330" s="98"/>
      <c r="BY1330" s="98"/>
      <c r="BZ1330" s="98"/>
      <c r="DA1330" s="177"/>
      <c r="EH1330" s="19"/>
      <c r="EI1330" s="19"/>
      <c r="EJ1330" s="19"/>
      <c r="EK1330" s="19"/>
      <c r="EL1330" s="19"/>
      <c r="EM1330" s="98"/>
      <c r="EN1330" s="98"/>
      <c r="EO1330" s="98"/>
      <c r="EP1330" s="98"/>
      <c r="EQ1330" s="98"/>
      <c r="ER1330" s="98"/>
      <c r="ES1330" s="98"/>
      <c r="ET1330" s="98"/>
      <c r="EU1330" s="98"/>
      <c r="EV1330" s="98"/>
      <c r="EW1330" s="98"/>
      <c r="EX1330" s="98"/>
      <c r="EY1330" s="98"/>
      <c r="EZ1330" s="178"/>
    </row>
    <row r="1331" spans="60:156">
      <c r="BH1331" s="19"/>
      <c r="BI1331" s="19"/>
      <c r="BJ1331" s="19"/>
      <c r="BK1331" s="19"/>
      <c r="BL1331" s="19"/>
      <c r="BM1331" s="98"/>
      <c r="BN1331" s="98"/>
      <c r="BO1331" s="98"/>
      <c r="BP1331" s="98"/>
      <c r="BQ1331" s="98"/>
      <c r="BR1331" s="98"/>
      <c r="BS1331" s="98"/>
      <c r="BT1331" s="98"/>
      <c r="BU1331" s="98"/>
      <c r="BV1331" s="98"/>
      <c r="BW1331" s="98"/>
      <c r="BX1331" s="98"/>
      <c r="BY1331" s="98"/>
      <c r="BZ1331" s="98"/>
      <c r="DA1331" s="177"/>
      <c r="EH1331" s="19"/>
      <c r="EI1331" s="19"/>
      <c r="EJ1331" s="19"/>
      <c r="EK1331" s="19"/>
      <c r="EL1331" s="19"/>
      <c r="EM1331" s="98"/>
      <c r="EN1331" s="98"/>
      <c r="EO1331" s="98"/>
      <c r="EP1331" s="98"/>
      <c r="EQ1331" s="98"/>
      <c r="ER1331" s="98"/>
      <c r="ES1331" s="98"/>
      <c r="ET1331" s="98"/>
      <c r="EU1331" s="98"/>
      <c r="EV1331" s="98"/>
      <c r="EW1331" s="98"/>
      <c r="EX1331" s="98"/>
      <c r="EY1331" s="98"/>
      <c r="EZ1331" s="178"/>
    </row>
    <row r="1332" spans="60:156">
      <c r="BH1332" s="19"/>
      <c r="BI1332" s="19"/>
      <c r="BJ1332" s="19"/>
      <c r="BK1332" s="19"/>
      <c r="BL1332" s="19"/>
      <c r="BM1332" s="98"/>
      <c r="BN1332" s="98"/>
      <c r="BO1332" s="98"/>
      <c r="BP1332" s="98"/>
      <c r="BQ1332" s="98"/>
      <c r="BR1332" s="98"/>
      <c r="BS1332" s="98"/>
      <c r="BT1332" s="98"/>
      <c r="BU1332" s="98"/>
      <c r="BV1332" s="98"/>
      <c r="BW1332" s="98"/>
      <c r="BX1332" s="98"/>
      <c r="BY1332" s="98"/>
      <c r="BZ1332" s="98"/>
      <c r="DA1332" s="177"/>
      <c r="EH1332" s="19"/>
      <c r="EI1332" s="19"/>
      <c r="EJ1332" s="19"/>
      <c r="EK1332" s="19"/>
      <c r="EL1332" s="19"/>
      <c r="EM1332" s="98"/>
      <c r="EN1332" s="98"/>
      <c r="EO1332" s="98"/>
      <c r="EP1332" s="98"/>
      <c r="EQ1332" s="98"/>
      <c r="ER1332" s="98"/>
      <c r="ES1332" s="98"/>
      <c r="ET1332" s="98"/>
      <c r="EU1332" s="98"/>
      <c r="EV1332" s="98"/>
      <c r="EW1332" s="98"/>
      <c r="EX1332" s="98"/>
      <c r="EY1332" s="98"/>
      <c r="EZ1332" s="178"/>
    </row>
    <row r="1333" spans="60:156">
      <c r="BH1333" s="19"/>
      <c r="BI1333" s="19"/>
      <c r="BJ1333" s="19"/>
      <c r="BK1333" s="19"/>
      <c r="BL1333" s="19"/>
      <c r="BM1333" s="98"/>
      <c r="BN1333" s="98"/>
      <c r="BO1333" s="98"/>
      <c r="BP1333" s="98"/>
      <c r="BQ1333" s="98"/>
      <c r="BR1333" s="98"/>
      <c r="BS1333" s="98"/>
      <c r="BT1333" s="98"/>
      <c r="BU1333" s="98"/>
      <c r="BV1333" s="98"/>
      <c r="BW1333" s="98"/>
      <c r="BX1333" s="98"/>
      <c r="BY1333" s="98"/>
      <c r="BZ1333" s="98"/>
      <c r="DA1333" s="177"/>
      <c r="EH1333" s="19"/>
      <c r="EI1333" s="19"/>
      <c r="EJ1333" s="19"/>
      <c r="EK1333" s="19"/>
      <c r="EL1333" s="19"/>
      <c r="EM1333" s="98"/>
      <c r="EN1333" s="98"/>
      <c r="EO1333" s="98"/>
      <c r="EP1333" s="98"/>
      <c r="EQ1333" s="98"/>
      <c r="ER1333" s="98"/>
      <c r="ES1333" s="98"/>
      <c r="ET1333" s="98"/>
      <c r="EU1333" s="98"/>
      <c r="EV1333" s="98"/>
      <c r="EW1333" s="98"/>
      <c r="EX1333" s="98"/>
      <c r="EY1333" s="98"/>
      <c r="EZ1333" s="178"/>
    </row>
    <row r="1334" spans="60:156">
      <c r="BH1334" s="19"/>
      <c r="BI1334" s="19"/>
      <c r="BJ1334" s="19"/>
      <c r="BK1334" s="19"/>
      <c r="BL1334" s="19"/>
      <c r="BM1334" s="98"/>
      <c r="BN1334" s="98"/>
      <c r="BO1334" s="98"/>
      <c r="BP1334" s="98"/>
      <c r="BQ1334" s="98"/>
      <c r="BR1334" s="98"/>
      <c r="BS1334" s="98"/>
      <c r="BT1334" s="98"/>
      <c r="BU1334" s="98"/>
      <c r="BV1334" s="98"/>
      <c r="BW1334" s="98"/>
      <c r="BX1334" s="98"/>
      <c r="BY1334" s="98"/>
      <c r="BZ1334" s="98"/>
      <c r="DA1334" s="177"/>
      <c r="EH1334" s="19"/>
      <c r="EI1334" s="19"/>
      <c r="EJ1334" s="19"/>
      <c r="EK1334" s="19"/>
      <c r="EL1334" s="19"/>
      <c r="EM1334" s="98"/>
      <c r="EN1334" s="98"/>
      <c r="EO1334" s="98"/>
      <c r="EP1334" s="98"/>
      <c r="EQ1334" s="98"/>
      <c r="ER1334" s="98"/>
      <c r="ES1334" s="98"/>
      <c r="ET1334" s="98"/>
      <c r="EU1334" s="98"/>
      <c r="EV1334" s="98"/>
      <c r="EW1334" s="98"/>
      <c r="EX1334" s="98"/>
      <c r="EY1334" s="98"/>
      <c r="EZ1334" s="178"/>
    </row>
    <row r="1335" spans="60:156">
      <c r="BH1335" s="19"/>
      <c r="BI1335" s="19"/>
      <c r="BJ1335" s="19"/>
      <c r="BK1335" s="19"/>
      <c r="BL1335" s="19"/>
      <c r="BM1335" s="98"/>
      <c r="BN1335" s="98"/>
      <c r="BO1335" s="98"/>
      <c r="BP1335" s="98"/>
      <c r="BQ1335" s="98"/>
      <c r="BR1335" s="98"/>
      <c r="BS1335" s="98"/>
      <c r="BT1335" s="98"/>
      <c r="BU1335" s="98"/>
      <c r="BV1335" s="98"/>
      <c r="BW1335" s="98"/>
      <c r="BX1335" s="98"/>
      <c r="BY1335" s="98"/>
      <c r="BZ1335" s="98"/>
      <c r="DA1335" s="177"/>
      <c r="EH1335" s="19"/>
      <c r="EI1335" s="19"/>
      <c r="EJ1335" s="19"/>
      <c r="EK1335" s="19"/>
      <c r="EL1335" s="19"/>
      <c r="EM1335" s="98"/>
      <c r="EN1335" s="98"/>
      <c r="EO1335" s="98"/>
      <c r="EP1335" s="98"/>
      <c r="EQ1335" s="98"/>
      <c r="ER1335" s="98"/>
      <c r="ES1335" s="98"/>
      <c r="ET1335" s="98"/>
      <c r="EU1335" s="98"/>
      <c r="EV1335" s="98"/>
      <c r="EW1335" s="98"/>
      <c r="EX1335" s="98"/>
      <c r="EY1335" s="98"/>
      <c r="EZ1335" s="178"/>
    </row>
    <row r="1336" spans="60:156">
      <c r="BH1336" s="19"/>
      <c r="BI1336" s="19"/>
      <c r="BJ1336" s="19"/>
      <c r="BK1336" s="19"/>
      <c r="BL1336" s="19"/>
      <c r="BM1336" s="98"/>
      <c r="BN1336" s="98"/>
      <c r="BO1336" s="98"/>
      <c r="BP1336" s="98"/>
      <c r="BQ1336" s="98"/>
      <c r="BR1336" s="98"/>
      <c r="BS1336" s="98"/>
      <c r="BT1336" s="98"/>
      <c r="BU1336" s="98"/>
      <c r="BV1336" s="98"/>
      <c r="BW1336" s="98"/>
      <c r="BX1336" s="98"/>
      <c r="BY1336" s="98"/>
      <c r="BZ1336" s="98"/>
      <c r="DA1336" s="177"/>
      <c r="EH1336" s="19"/>
      <c r="EI1336" s="19"/>
      <c r="EJ1336" s="19"/>
      <c r="EK1336" s="19"/>
      <c r="EL1336" s="19"/>
      <c r="EM1336" s="98"/>
      <c r="EN1336" s="98"/>
      <c r="EO1336" s="98"/>
      <c r="EP1336" s="98"/>
      <c r="EQ1336" s="98"/>
      <c r="ER1336" s="98"/>
      <c r="ES1336" s="98"/>
      <c r="ET1336" s="98"/>
      <c r="EU1336" s="98"/>
      <c r="EV1336" s="98"/>
      <c r="EW1336" s="98"/>
      <c r="EX1336" s="98"/>
      <c r="EY1336" s="98"/>
      <c r="EZ1336" s="178"/>
    </row>
    <row r="1337" spans="60:156">
      <c r="BH1337" s="19"/>
      <c r="BI1337" s="19"/>
      <c r="BJ1337" s="19"/>
      <c r="BK1337" s="19"/>
      <c r="BL1337" s="19"/>
      <c r="BM1337" s="98"/>
      <c r="BN1337" s="98"/>
      <c r="BO1337" s="98"/>
      <c r="BP1337" s="98"/>
      <c r="BQ1337" s="98"/>
      <c r="BR1337" s="98"/>
      <c r="BS1337" s="98"/>
      <c r="BT1337" s="98"/>
      <c r="BU1337" s="98"/>
      <c r="BV1337" s="98"/>
      <c r="BW1337" s="98"/>
      <c r="BX1337" s="98"/>
      <c r="BY1337" s="98"/>
      <c r="BZ1337" s="98"/>
      <c r="DA1337" s="177"/>
      <c r="EH1337" s="19"/>
      <c r="EI1337" s="19"/>
      <c r="EJ1337" s="19"/>
      <c r="EK1337" s="19"/>
      <c r="EL1337" s="19"/>
      <c r="EM1337" s="98"/>
      <c r="EN1337" s="98"/>
      <c r="EO1337" s="98"/>
      <c r="EP1337" s="98"/>
      <c r="EQ1337" s="98"/>
      <c r="ER1337" s="98"/>
      <c r="ES1337" s="98"/>
      <c r="ET1337" s="98"/>
      <c r="EU1337" s="98"/>
      <c r="EV1337" s="98"/>
      <c r="EW1337" s="98"/>
      <c r="EX1337" s="98"/>
      <c r="EY1337" s="98"/>
      <c r="EZ1337" s="178"/>
    </row>
    <row r="1338" spans="60:156">
      <c r="BH1338" s="19"/>
      <c r="BI1338" s="19"/>
      <c r="BJ1338" s="19"/>
      <c r="BK1338" s="19"/>
      <c r="BL1338" s="19"/>
      <c r="BM1338" s="98"/>
      <c r="BN1338" s="98"/>
      <c r="BO1338" s="98"/>
      <c r="BP1338" s="98"/>
      <c r="BQ1338" s="98"/>
      <c r="BR1338" s="98"/>
      <c r="BS1338" s="98"/>
      <c r="BT1338" s="98"/>
      <c r="BU1338" s="98"/>
      <c r="BV1338" s="98"/>
      <c r="BW1338" s="98"/>
      <c r="BX1338" s="98"/>
      <c r="BY1338" s="98"/>
      <c r="BZ1338" s="98"/>
      <c r="DA1338" s="177"/>
      <c r="EH1338" s="19"/>
      <c r="EI1338" s="19"/>
      <c r="EJ1338" s="19"/>
      <c r="EK1338" s="19"/>
      <c r="EL1338" s="19"/>
      <c r="EM1338" s="98"/>
      <c r="EN1338" s="98"/>
      <c r="EO1338" s="98"/>
      <c r="EP1338" s="98"/>
      <c r="EQ1338" s="98"/>
      <c r="ER1338" s="98"/>
      <c r="ES1338" s="98"/>
      <c r="ET1338" s="98"/>
      <c r="EU1338" s="98"/>
      <c r="EV1338" s="98"/>
      <c r="EW1338" s="98"/>
      <c r="EX1338" s="98"/>
      <c r="EY1338" s="98"/>
      <c r="EZ1338" s="178"/>
    </row>
    <row r="1339" spans="60:156">
      <c r="BH1339" s="19"/>
      <c r="BI1339" s="19"/>
      <c r="BJ1339" s="19"/>
      <c r="BK1339" s="19"/>
      <c r="BL1339" s="19"/>
      <c r="BM1339" s="98"/>
      <c r="BN1339" s="98"/>
      <c r="BO1339" s="98"/>
      <c r="BP1339" s="98"/>
      <c r="BQ1339" s="98"/>
      <c r="BR1339" s="98"/>
      <c r="BS1339" s="98"/>
      <c r="BT1339" s="98"/>
      <c r="BU1339" s="98"/>
      <c r="BV1339" s="98"/>
      <c r="BW1339" s="98"/>
      <c r="BX1339" s="98"/>
      <c r="BY1339" s="98"/>
      <c r="BZ1339" s="98"/>
      <c r="DA1339" s="177"/>
      <c r="EH1339" s="19"/>
      <c r="EI1339" s="19"/>
      <c r="EJ1339" s="19"/>
      <c r="EK1339" s="19"/>
      <c r="EL1339" s="19"/>
      <c r="EM1339" s="98"/>
      <c r="EN1339" s="98"/>
      <c r="EO1339" s="98"/>
      <c r="EP1339" s="98"/>
      <c r="EQ1339" s="98"/>
      <c r="ER1339" s="98"/>
      <c r="ES1339" s="98"/>
      <c r="ET1339" s="98"/>
      <c r="EU1339" s="98"/>
      <c r="EV1339" s="98"/>
      <c r="EW1339" s="98"/>
      <c r="EX1339" s="98"/>
      <c r="EY1339" s="98"/>
      <c r="EZ1339" s="178"/>
    </row>
    <row r="1340" spans="60:156">
      <c r="BH1340" s="19"/>
      <c r="BI1340" s="19"/>
      <c r="BJ1340" s="19"/>
      <c r="BK1340" s="19"/>
      <c r="BL1340" s="19"/>
      <c r="BM1340" s="98"/>
      <c r="BN1340" s="98"/>
      <c r="BO1340" s="98"/>
      <c r="BP1340" s="98"/>
      <c r="BQ1340" s="98"/>
      <c r="BR1340" s="98"/>
      <c r="BS1340" s="98"/>
      <c r="BT1340" s="98"/>
      <c r="BU1340" s="98"/>
      <c r="BV1340" s="98"/>
      <c r="BW1340" s="98"/>
      <c r="BX1340" s="98"/>
      <c r="BY1340" s="98"/>
      <c r="BZ1340" s="98"/>
      <c r="DA1340" s="177"/>
      <c r="EH1340" s="19"/>
      <c r="EI1340" s="19"/>
      <c r="EJ1340" s="19"/>
      <c r="EK1340" s="19"/>
      <c r="EL1340" s="19"/>
      <c r="EM1340" s="98"/>
      <c r="EN1340" s="98"/>
      <c r="EO1340" s="98"/>
      <c r="EP1340" s="98"/>
      <c r="EQ1340" s="98"/>
      <c r="ER1340" s="98"/>
      <c r="ES1340" s="98"/>
      <c r="ET1340" s="98"/>
      <c r="EU1340" s="98"/>
      <c r="EV1340" s="98"/>
      <c r="EW1340" s="98"/>
      <c r="EX1340" s="98"/>
      <c r="EY1340" s="98"/>
      <c r="EZ1340" s="178"/>
    </row>
    <row r="1341" spans="60:156">
      <c r="BH1341" s="19"/>
      <c r="BI1341" s="19"/>
      <c r="BJ1341" s="19"/>
      <c r="BK1341" s="19"/>
      <c r="BL1341" s="19"/>
      <c r="BM1341" s="98"/>
      <c r="BN1341" s="98"/>
      <c r="BO1341" s="98"/>
      <c r="BP1341" s="98"/>
      <c r="BQ1341" s="98"/>
      <c r="BR1341" s="98"/>
      <c r="BS1341" s="98"/>
      <c r="BT1341" s="98"/>
      <c r="BU1341" s="98"/>
      <c r="BV1341" s="98"/>
      <c r="BW1341" s="98"/>
      <c r="BX1341" s="98"/>
      <c r="BY1341" s="98"/>
      <c r="BZ1341" s="98"/>
      <c r="DA1341" s="177"/>
      <c r="EH1341" s="19"/>
      <c r="EI1341" s="19"/>
      <c r="EJ1341" s="19"/>
      <c r="EK1341" s="19"/>
      <c r="EL1341" s="19"/>
      <c r="EM1341" s="98"/>
      <c r="EN1341" s="98"/>
      <c r="EO1341" s="98"/>
      <c r="EP1341" s="98"/>
      <c r="EQ1341" s="98"/>
      <c r="ER1341" s="98"/>
      <c r="ES1341" s="98"/>
      <c r="ET1341" s="98"/>
      <c r="EU1341" s="98"/>
      <c r="EV1341" s="98"/>
      <c r="EW1341" s="98"/>
      <c r="EX1341" s="98"/>
      <c r="EY1341" s="98"/>
      <c r="EZ1341" s="178"/>
    </row>
    <row r="1342" spans="60:156">
      <c r="BH1342" s="19"/>
      <c r="BI1342" s="19"/>
      <c r="BJ1342" s="19"/>
      <c r="BK1342" s="19"/>
      <c r="BL1342" s="19"/>
      <c r="BM1342" s="98"/>
      <c r="BN1342" s="98"/>
      <c r="BO1342" s="98"/>
      <c r="BP1342" s="98"/>
      <c r="BQ1342" s="98"/>
      <c r="BR1342" s="98"/>
      <c r="BS1342" s="98"/>
      <c r="BT1342" s="98"/>
      <c r="BU1342" s="98"/>
      <c r="BV1342" s="98"/>
      <c r="BW1342" s="98"/>
      <c r="BX1342" s="98"/>
      <c r="BY1342" s="98"/>
      <c r="BZ1342" s="98"/>
      <c r="DA1342" s="177"/>
      <c r="EH1342" s="19"/>
      <c r="EI1342" s="19"/>
      <c r="EJ1342" s="19"/>
      <c r="EK1342" s="19"/>
      <c r="EL1342" s="19"/>
      <c r="EM1342" s="98"/>
      <c r="EN1342" s="98"/>
      <c r="EO1342" s="98"/>
      <c r="EP1342" s="98"/>
      <c r="EQ1342" s="98"/>
      <c r="ER1342" s="98"/>
      <c r="ES1342" s="98"/>
      <c r="ET1342" s="98"/>
      <c r="EU1342" s="98"/>
      <c r="EV1342" s="98"/>
      <c r="EW1342" s="98"/>
      <c r="EX1342" s="98"/>
      <c r="EY1342" s="98"/>
      <c r="EZ1342" s="178"/>
    </row>
    <row r="1343" spans="60:156">
      <c r="BH1343" s="19"/>
      <c r="BI1343" s="19"/>
      <c r="BJ1343" s="19"/>
      <c r="BK1343" s="19"/>
      <c r="BL1343" s="19"/>
      <c r="BM1343" s="98"/>
      <c r="BN1343" s="98"/>
      <c r="BO1343" s="98"/>
      <c r="BP1343" s="98"/>
      <c r="BQ1343" s="98"/>
      <c r="BR1343" s="98"/>
      <c r="BS1343" s="98"/>
      <c r="BT1343" s="98"/>
      <c r="BU1343" s="98"/>
      <c r="BV1343" s="98"/>
      <c r="BW1343" s="98"/>
      <c r="BX1343" s="98"/>
      <c r="BY1343" s="98"/>
      <c r="BZ1343" s="98"/>
      <c r="DA1343" s="177"/>
      <c r="EH1343" s="19"/>
      <c r="EI1343" s="19"/>
      <c r="EJ1343" s="19"/>
      <c r="EK1343" s="19"/>
      <c r="EL1343" s="19"/>
      <c r="EM1343" s="98"/>
      <c r="EN1343" s="98"/>
      <c r="EO1343" s="98"/>
      <c r="EP1343" s="98"/>
      <c r="EQ1343" s="98"/>
      <c r="ER1343" s="98"/>
      <c r="ES1343" s="98"/>
      <c r="ET1343" s="98"/>
      <c r="EU1343" s="98"/>
      <c r="EV1343" s="98"/>
      <c r="EW1343" s="98"/>
      <c r="EX1343" s="98"/>
      <c r="EY1343" s="98"/>
      <c r="EZ1343" s="178"/>
    </row>
    <row r="1344" spans="60:156">
      <c r="BH1344" s="19"/>
      <c r="BI1344" s="19"/>
      <c r="BJ1344" s="19"/>
      <c r="BK1344" s="19"/>
      <c r="BL1344" s="19"/>
      <c r="BM1344" s="98"/>
      <c r="BN1344" s="98"/>
      <c r="BO1344" s="98"/>
      <c r="BP1344" s="98"/>
      <c r="BQ1344" s="98"/>
      <c r="BR1344" s="98"/>
      <c r="BS1344" s="98"/>
      <c r="BT1344" s="98"/>
      <c r="BU1344" s="98"/>
      <c r="BV1344" s="98"/>
      <c r="BW1344" s="98"/>
      <c r="BX1344" s="98"/>
      <c r="BY1344" s="98"/>
      <c r="BZ1344" s="98"/>
      <c r="DA1344" s="177"/>
      <c r="EH1344" s="19"/>
      <c r="EI1344" s="19"/>
      <c r="EJ1344" s="19"/>
      <c r="EK1344" s="19"/>
      <c r="EL1344" s="19"/>
      <c r="EM1344" s="98"/>
      <c r="EN1344" s="98"/>
      <c r="EO1344" s="98"/>
      <c r="EP1344" s="98"/>
      <c r="EQ1344" s="98"/>
      <c r="ER1344" s="98"/>
      <c r="ES1344" s="98"/>
      <c r="ET1344" s="98"/>
      <c r="EU1344" s="98"/>
      <c r="EV1344" s="98"/>
      <c r="EW1344" s="98"/>
      <c r="EX1344" s="98"/>
      <c r="EY1344" s="98"/>
      <c r="EZ1344" s="178"/>
    </row>
    <row r="1345" spans="60:156">
      <c r="BH1345" s="19"/>
      <c r="BI1345" s="19"/>
      <c r="BJ1345" s="19"/>
      <c r="BK1345" s="19"/>
      <c r="BL1345" s="19"/>
      <c r="BM1345" s="98"/>
      <c r="BN1345" s="98"/>
      <c r="BO1345" s="98"/>
      <c r="BP1345" s="98"/>
      <c r="BQ1345" s="98"/>
      <c r="BR1345" s="98"/>
      <c r="BS1345" s="98"/>
      <c r="BT1345" s="98"/>
      <c r="BU1345" s="98"/>
      <c r="BV1345" s="98"/>
      <c r="BW1345" s="98"/>
      <c r="BX1345" s="98"/>
      <c r="BY1345" s="98"/>
      <c r="BZ1345" s="98"/>
      <c r="DA1345" s="177"/>
      <c r="EH1345" s="19"/>
      <c r="EI1345" s="19"/>
      <c r="EJ1345" s="19"/>
      <c r="EK1345" s="19"/>
      <c r="EL1345" s="19"/>
      <c r="EM1345" s="98"/>
      <c r="EN1345" s="98"/>
      <c r="EO1345" s="98"/>
      <c r="EP1345" s="98"/>
      <c r="EQ1345" s="98"/>
      <c r="ER1345" s="98"/>
      <c r="ES1345" s="98"/>
      <c r="ET1345" s="98"/>
      <c r="EU1345" s="98"/>
      <c r="EV1345" s="98"/>
      <c r="EW1345" s="98"/>
      <c r="EX1345" s="98"/>
      <c r="EY1345" s="98"/>
      <c r="EZ1345" s="178"/>
    </row>
    <row r="1346" spans="60:156">
      <c r="BH1346" s="19"/>
      <c r="BI1346" s="19"/>
      <c r="BJ1346" s="19"/>
      <c r="BK1346" s="19"/>
      <c r="BL1346" s="19"/>
      <c r="BM1346" s="98"/>
      <c r="BN1346" s="98"/>
      <c r="BO1346" s="98"/>
      <c r="BP1346" s="98"/>
      <c r="BQ1346" s="98"/>
      <c r="BR1346" s="98"/>
      <c r="BS1346" s="98"/>
      <c r="BT1346" s="98"/>
      <c r="BU1346" s="98"/>
      <c r="BV1346" s="98"/>
      <c r="BW1346" s="98"/>
      <c r="BX1346" s="98"/>
      <c r="BY1346" s="98"/>
      <c r="BZ1346" s="98"/>
      <c r="DA1346" s="177"/>
      <c r="EH1346" s="19"/>
      <c r="EI1346" s="19"/>
      <c r="EJ1346" s="19"/>
      <c r="EK1346" s="19"/>
      <c r="EL1346" s="19"/>
      <c r="EM1346" s="98"/>
      <c r="EN1346" s="98"/>
      <c r="EO1346" s="98"/>
      <c r="EP1346" s="98"/>
      <c r="EQ1346" s="98"/>
      <c r="ER1346" s="98"/>
      <c r="ES1346" s="98"/>
      <c r="ET1346" s="98"/>
      <c r="EU1346" s="98"/>
      <c r="EV1346" s="98"/>
      <c r="EW1346" s="98"/>
      <c r="EX1346" s="98"/>
      <c r="EY1346" s="98"/>
      <c r="EZ1346" s="178"/>
    </row>
    <row r="1347" spans="60:156">
      <c r="BH1347" s="19"/>
      <c r="BI1347" s="19"/>
      <c r="BJ1347" s="19"/>
      <c r="BK1347" s="19"/>
      <c r="BL1347" s="19"/>
      <c r="BM1347" s="98"/>
      <c r="BN1347" s="98"/>
      <c r="BO1347" s="98"/>
      <c r="BP1347" s="98"/>
      <c r="BQ1347" s="98"/>
      <c r="BR1347" s="98"/>
      <c r="BS1347" s="98"/>
      <c r="BT1347" s="98"/>
      <c r="BU1347" s="98"/>
      <c r="BV1347" s="98"/>
      <c r="BW1347" s="98"/>
      <c r="BX1347" s="98"/>
      <c r="BY1347" s="98"/>
      <c r="BZ1347" s="98"/>
      <c r="DA1347" s="177"/>
      <c r="EH1347" s="19"/>
      <c r="EI1347" s="19"/>
      <c r="EJ1347" s="19"/>
      <c r="EK1347" s="19"/>
      <c r="EL1347" s="19"/>
      <c r="EM1347" s="98"/>
      <c r="EN1347" s="98"/>
      <c r="EO1347" s="98"/>
      <c r="EP1347" s="98"/>
      <c r="EQ1347" s="98"/>
      <c r="ER1347" s="98"/>
      <c r="ES1347" s="98"/>
      <c r="ET1347" s="98"/>
      <c r="EU1347" s="98"/>
      <c r="EV1347" s="98"/>
      <c r="EW1347" s="98"/>
      <c r="EX1347" s="98"/>
      <c r="EY1347" s="98"/>
      <c r="EZ1347" s="178"/>
    </row>
    <row r="1348" spans="60:156">
      <c r="BH1348" s="19"/>
      <c r="BI1348" s="19"/>
      <c r="BJ1348" s="19"/>
      <c r="BK1348" s="19"/>
      <c r="BL1348" s="19"/>
      <c r="BM1348" s="98"/>
      <c r="BN1348" s="98"/>
      <c r="BO1348" s="98"/>
      <c r="BP1348" s="98"/>
      <c r="BQ1348" s="98"/>
      <c r="BR1348" s="98"/>
      <c r="BS1348" s="98"/>
      <c r="BT1348" s="98"/>
      <c r="BU1348" s="98"/>
      <c r="BV1348" s="98"/>
      <c r="BW1348" s="98"/>
      <c r="BX1348" s="98"/>
      <c r="BY1348" s="98"/>
      <c r="BZ1348" s="98"/>
      <c r="DA1348" s="177"/>
      <c r="EH1348" s="19"/>
      <c r="EI1348" s="19"/>
      <c r="EJ1348" s="19"/>
      <c r="EK1348" s="19"/>
      <c r="EL1348" s="19"/>
      <c r="EM1348" s="98"/>
      <c r="EN1348" s="98"/>
      <c r="EO1348" s="98"/>
      <c r="EP1348" s="98"/>
      <c r="EQ1348" s="98"/>
      <c r="ER1348" s="98"/>
      <c r="ES1348" s="98"/>
      <c r="ET1348" s="98"/>
      <c r="EU1348" s="98"/>
      <c r="EV1348" s="98"/>
      <c r="EW1348" s="98"/>
      <c r="EX1348" s="98"/>
      <c r="EY1348" s="98"/>
      <c r="EZ1348" s="178"/>
    </row>
    <row r="1349" spans="60:156">
      <c r="BH1349" s="19"/>
      <c r="BI1349" s="19"/>
      <c r="BJ1349" s="19"/>
      <c r="BK1349" s="19"/>
      <c r="BL1349" s="19"/>
      <c r="BM1349" s="98"/>
      <c r="BN1349" s="98"/>
      <c r="BO1349" s="98"/>
      <c r="BP1349" s="98"/>
      <c r="BQ1349" s="98"/>
      <c r="BR1349" s="98"/>
      <c r="BS1349" s="98"/>
      <c r="BT1349" s="98"/>
      <c r="BU1349" s="98"/>
      <c r="BV1349" s="98"/>
      <c r="BW1349" s="98"/>
      <c r="BX1349" s="98"/>
      <c r="BY1349" s="98"/>
      <c r="BZ1349" s="98"/>
      <c r="DA1349" s="177"/>
      <c r="EH1349" s="19"/>
      <c r="EI1349" s="19"/>
      <c r="EJ1349" s="19"/>
      <c r="EK1349" s="19"/>
      <c r="EL1349" s="19"/>
      <c r="EM1349" s="98"/>
      <c r="EN1349" s="98"/>
      <c r="EO1349" s="98"/>
      <c r="EP1349" s="98"/>
      <c r="EQ1349" s="98"/>
      <c r="ER1349" s="98"/>
      <c r="ES1349" s="98"/>
      <c r="ET1349" s="98"/>
      <c r="EU1349" s="98"/>
      <c r="EV1349" s="98"/>
      <c r="EW1349" s="98"/>
      <c r="EX1349" s="98"/>
      <c r="EY1349" s="98"/>
      <c r="EZ1349" s="178"/>
    </row>
    <row r="1350" spans="60:156">
      <c r="BH1350" s="19"/>
      <c r="BI1350" s="19"/>
      <c r="BJ1350" s="19"/>
      <c r="BK1350" s="19"/>
      <c r="BL1350" s="19"/>
      <c r="BM1350" s="98"/>
      <c r="BN1350" s="98"/>
      <c r="BO1350" s="98"/>
      <c r="BP1350" s="98"/>
      <c r="BQ1350" s="98"/>
      <c r="BR1350" s="98"/>
      <c r="BS1350" s="98"/>
      <c r="BT1350" s="98"/>
      <c r="BU1350" s="98"/>
      <c r="BV1350" s="98"/>
      <c r="BW1350" s="98"/>
      <c r="BX1350" s="98"/>
      <c r="BY1350" s="98"/>
      <c r="BZ1350" s="98"/>
      <c r="DA1350" s="177"/>
      <c r="EH1350" s="19"/>
      <c r="EI1350" s="19"/>
      <c r="EJ1350" s="19"/>
      <c r="EK1350" s="19"/>
      <c r="EL1350" s="19"/>
      <c r="EM1350" s="98"/>
      <c r="EN1350" s="98"/>
      <c r="EO1350" s="98"/>
      <c r="EP1350" s="98"/>
      <c r="EQ1350" s="98"/>
      <c r="ER1350" s="98"/>
      <c r="ES1350" s="98"/>
      <c r="ET1350" s="98"/>
      <c r="EU1350" s="98"/>
      <c r="EV1350" s="98"/>
      <c r="EW1350" s="98"/>
      <c r="EX1350" s="98"/>
      <c r="EY1350" s="98"/>
      <c r="EZ1350" s="178"/>
    </row>
    <row r="1351" spans="60:156">
      <c r="BH1351" s="19"/>
      <c r="BI1351" s="19"/>
      <c r="BJ1351" s="19"/>
      <c r="BK1351" s="19"/>
      <c r="BL1351" s="19"/>
      <c r="BM1351" s="98"/>
      <c r="BN1351" s="98"/>
      <c r="BO1351" s="98"/>
      <c r="BP1351" s="98"/>
      <c r="BQ1351" s="98"/>
      <c r="BR1351" s="98"/>
      <c r="BS1351" s="98"/>
      <c r="BT1351" s="98"/>
      <c r="BU1351" s="98"/>
      <c r="BV1351" s="98"/>
      <c r="BW1351" s="98"/>
      <c r="BX1351" s="98"/>
      <c r="BY1351" s="98"/>
      <c r="BZ1351" s="98"/>
      <c r="DA1351" s="177"/>
      <c r="EH1351" s="19"/>
      <c r="EI1351" s="19"/>
      <c r="EJ1351" s="19"/>
      <c r="EK1351" s="19"/>
      <c r="EL1351" s="19"/>
      <c r="EM1351" s="98"/>
      <c r="EN1351" s="98"/>
      <c r="EO1351" s="98"/>
      <c r="EP1351" s="98"/>
      <c r="EQ1351" s="98"/>
      <c r="ER1351" s="98"/>
      <c r="ES1351" s="98"/>
      <c r="ET1351" s="98"/>
      <c r="EU1351" s="98"/>
      <c r="EV1351" s="98"/>
      <c r="EW1351" s="98"/>
      <c r="EX1351" s="98"/>
      <c r="EY1351" s="98"/>
      <c r="EZ1351" s="178"/>
    </row>
    <row r="1352" spans="60:156">
      <c r="BH1352" s="19"/>
      <c r="BI1352" s="19"/>
      <c r="BJ1352" s="19"/>
      <c r="BK1352" s="19"/>
      <c r="BL1352" s="19"/>
      <c r="BM1352" s="98"/>
      <c r="BN1352" s="98"/>
      <c r="BO1352" s="98"/>
      <c r="BP1352" s="98"/>
      <c r="BQ1352" s="98"/>
      <c r="BR1352" s="98"/>
      <c r="BS1352" s="98"/>
      <c r="BT1352" s="98"/>
      <c r="BU1352" s="98"/>
      <c r="BV1352" s="98"/>
      <c r="BW1352" s="98"/>
      <c r="BX1352" s="98"/>
      <c r="BY1352" s="98"/>
      <c r="BZ1352" s="98"/>
      <c r="DA1352" s="177"/>
      <c r="EH1352" s="19"/>
      <c r="EI1352" s="19"/>
      <c r="EJ1352" s="19"/>
      <c r="EK1352" s="19"/>
      <c r="EL1352" s="19"/>
      <c r="EM1352" s="98"/>
      <c r="EN1352" s="98"/>
      <c r="EO1352" s="98"/>
      <c r="EP1352" s="98"/>
      <c r="EQ1352" s="98"/>
      <c r="ER1352" s="98"/>
      <c r="ES1352" s="98"/>
      <c r="ET1352" s="98"/>
      <c r="EU1352" s="98"/>
      <c r="EV1352" s="98"/>
      <c r="EW1352" s="98"/>
      <c r="EX1352" s="98"/>
      <c r="EY1352" s="98"/>
      <c r="EZ1352" s="178"/>
    </row>
    <row r="1353" spans="60:156">
      <c r="BH1353" s="19"/>
      <c r="BI1353" s="19"/>
      <c r="BJ1353" s="19"/>
      <c r="BK1353" s="19"/>
      <c r="BL1353" s="19"/>
      <c r="BM1353" s="98"/>
      <c r="BN1353" s="98"/>
      <c r="BO1353" s="98"/>
      <c r="BP1353" s="98"/>
      <c r="BQ1353" s="98"/>
      <c r="BR1353" s="98"/>
      <c r="BS1353" s="98"/>
      <c r="BT1353" s="98"/>
      <c r="BU1353" s="98"/>
      <c r="BV1353" s="98"/>
      <c r="BW1353" s="98"/>
      <c r="BX1353" s="98"/>
      <c r="BY1353" s="98"/>
      <c r="BZ1353" s="98"/>
      <c r="DA1353" s="177"/>
      <c r="EH1353" s="19"/>
      <c r="EI1353" s="19"/>
      <c r="EJ1353" s="19"/>
      <c r="EK1353" s="19"/>
      <c r="EL1353" s="19"/>
      <c r="EM1353" s="98"/>
      <c r="EN1353" s="98"/>
      <c r="EO1353" s="98"/>
      <c r="EP1353" s="98"/>
      <c r="EQ1353" s="98"/>
      <c r="ER1353" s="98"/>
      <c r="ES1353" s="98"/>
      <c r="ET1353" s="98"/>
      <c r="EU1353" s="98"/>
      <c r="EV1353" s="98"/>
      <c r="EW1353" s="98"/>
      <c r="EX1353" s="98"/>
      <c r="EY1353" s="98"/>
      <c r="EZ1353" s="178"/>
    </row>
    <row r="1354" spans="60:156">
      <c r="BH1354" s="19"/>
      <c r="BI1354" s="19"/>
      <c r="BJ1354" s="19"/>
      <c r="BK1354" s="19"/>
      <c r="BL1354" s="19"/>
      <c r="BM1354" s="98"/>
      <c r="BN1354" s="98"/>
      <c r="BO1354" s="98"/>
      <c r="BP1354" s="98"/>
      <c r="BQ1354" s="98"/>
      <c r="BR1354" s="98"/>
      <c r="BS1354" s="98"/>
      <c r="BT1354" s="98"/>
      <c r="BU1354" s="98"/>
      <c r="BV1354" s="98"/>
      <c r="BW1354" s="98"/>
      <c r="BX1354" s="98"/>
      <c r="BY1354" s="98"/>
      <c r="BZ1354" s="98"/>
      <c r="DA1354" s="177"/>
      <c r="EH1354" s="19"/>
      <c r="EI1354" s="19"/>
      <c r="EJ1354" s="19"/>
      <c r="EK1354" s="19"/>
      <c r="EL1354" s="19"/>
      <c r="EM1354" s="98"/>
      <c r="EN1354" s="98"/>
      <c r="EO1354" s="98"/>
      <c r="EP1354" s="98"/>
      <c r="EQ1354" s="98"/>
      <c r="ER1354" s="98"/>
      <c r="ES1354" s="98"/>
      <c r="ET1354" s="98"/>
      <c r="EU1354" s="98"/>
      <c r="EV1354" s="98"/>
      <c r="EW1354" s="98"/>
      <c r="EX1354" s="98"/>
      <c r="EY1354" s="98"/>
      <c r="EZ1354" s="178"/>
    </row>
    <row r="1355" spans="60:156">
      <c r="BH1355" s="19"/>
      <c r="BI1355" s="19"/>
      <c r="BJ1355" s="19"/>
      <c r="BK1355" s="19"/>
      <c r="BL1355" s="19"/>
      <c r="BM1355" s="98"/>
      <c r="BN1355" s="98"/>
      <c r="BO1355" s="98"/>
      <c r="BP1355" s="98"/>
      <c r="BQ1355" s="98"/>
      <c r="BR1355" s="98"/>
      <c r="BS1355" s="98"/>
      <c r="BT1355" s="98"/>
      <c r="BU1355" s="98"/>
      <c r="BV1355" s="98"/>
      <c r="BW1355" s="98"/>
      <c r="BX1355" s="98"/>
      <c r="BY1355" s="98"/>
      <c r="BZ1355" s="98"/>
      <c r="DA1355" s="177"/>
      <c r="EH1355" s="19"/>
      <c r="EI1355" s="19"/>
      <c r="EJ1355" s="19"/>
      <c r="EK1355" s="19"/>
      <c r="EL1355" s="19"/>
      <c r="EM1355" s="98"/>
      <c r="EN1355" s="98"/>
      <c r="EO1355" s="98"/>
      <c r="EP1355" s="98"/>
      <c r="EQ1355" s="98"/>
      <c r="ER1355" s="98"/>
      <c r="ES1355" s="98"/>
      <c r="ET1355" s="98"/>
      <c r="EU1355" s="98"/>
      <c r="EV1355" s="98"/>
      <c r="EW1355" s="98"/>
      <c r="EX1355" s="98"/>
      <c r="EY1355" s="98"/>
      <c r="EZ1355" s="178"/>
    </row>
    <row r="1356" spans="60:156">
      <c r="BH1356" s="19"/>
      <c r="BI1356" s="19"/>
      <c r="BJ1356" s="19"/>
      <c r="BK1356" s="19"/>
      <c r="BL1356" s="19"/>
      <c r="BM1356" s="98"/>
      <c r="BN1356" s="98"/>
      <c r="BO1356" s="98"/>
      <c r="BP1356" s="98"/>
      <c r="BQ1356" s="98"/>
      <c r="BR1356" s="98"/>
      <c r="BS1356" s="98"/>
      <c r="BT1356" s="98"/>
      <c r="BU1356" s="98"/>
      <c r="BV1356" s="98"/>
      <c r="BW1356" s="98"/>
      <c r="BX1356" s="98"/>
      <c r="BY1356" s="98"/>
      <c r="BZ1356" s="98"/>
      <c r="DA1356" s="177"/>
      <c r="EH1356" s="19"/>
      <c r="EI1356" s="19"/>
      <c r="EJ1356" s="19"/>
      <c r="EK1356" s="19"/>
      <c r="EL1356" s="19"/>
      <c r="EM1356" s="98"/>
      <c r="EN1356" s="98"/>
      <c r="EO1356" s="98"/>
      <c r="EP1356" s="98"/>
      <c r="EQ1356" s="98"/>
      <c r="ER1356" s="98"/>
      <c r="ES1356" s="98"/>
      <c r="ET1356" s="98"/>
      <c r="EU1356" s="98"/>
      <c r="EV1356" s="98"/>
      <c r="EW1356" s="98"/>
      <c r="EX1356" s="98"/>
      <c r="EY1356" s="98"/>
      <c r="EZ1356" s="178"/>
    </row>
    <row r="1357" spans="60:156">
      <c r="BH1357" s="19"/>
      <c r="BI1357" s="19"/>
      <c r="BJ1357" s="19"/>
      <c r="BK1357" s="19"/>
      <c r="BL1357" s="19"/>
      <c r="BM1357" s="98"/>
      <c r="BN1357" s="98"/>
      <c r="BO1357" s="98"/>
      <c r="BP1357" s="98"/>
      <c r="BQ1357" s="98"/>
      <c r="BR1357" s="98"/>
      <c r="BS1357" s="98"/>
      <c r="BT1357" s="98"/>
      <c r="BU1357" s="98"/>
      <c r="BV1357" s="98"/>
      <c r="BW1357" s="98"/>
      <c r="BX1357" s="98"/>
      <c r="BY1357" s="98"/>
      <c r="BZ1357" s="98"/>
      <c r="DA1357" s="177"/>
      <c r="EH1357" s="19"/>
      <c r="EI1357" s="19"/>
      <c r="EJ1357" s="19"/>
      <c r="EK1357" s="19"/>
      <c r="EL1357" s="19"/>
      <c r="EM1357" s="98"/>
      <c r="EN1357" s="98"/>
      <c r="EO1357" s="98"/>
      <c r="EP1357" s="98"/>
      <c r="EQ1357" s="98"/>
      <c r="ER1357" s="98"/>
      <c r="ES1357" s="98"/>
      <c r="ET1357" s="98"/>
      <c r="EU1357" s="98"/>
      <c r="EV1357" s="98"/>
      <c r="EW1357" s="98"/>
      <c r="EX1357" s="98"/>
      <c r="EY1357" s="98"/>
      <c r="EZ1357" s="178"/>
    </row>
    <row r="1358" spans="60:156">
      <c r="BH1358" s="19"/>
      <c r="BI1358" s="19"/>
      <c r="BJ1358" s="19"/>
      <c r="BK1358" s="19"/>
      <c r="BL1358" s="19"/>
      <c r="BM1358" s="98"/>
      <c r="BN1358" s="98"/>
      <c r="BO1358" s="98"/>
      <c r="BP1358" s="98"/>
      <c r="BQ1358" s="98"/>
      <c r="BR1358" s="98"/>
      <c r="BS1358" s="98"/>
      <c r="BT1358" s="98"/>
      <c r="BU1358" s="98"/>
      <c r="BV1358" s="98"/>
      <c r="BW1358" s="98"/>
      <c r="BX1358" s="98"/>
      <c r="BY1358" s="98"/>
      <c r="BZ1358" s="98"/>
      <c r="DA1358" s="177"/>
      <c r="EH1358" s="19"/>
      <c r="EI1358" s="19"/>
      <c r="EJ1358" s="19"/>
      <c r="EK1358" s="19"/>
      <c r="EL1358" s="19"/>
      <c r="EM1358" s="98"/>
      <c r="EN1358" s="98"/>
      <c r="EO1358" s="98"/>
      <c r="EP1358" s="98"/>
      <c r="EQ1358" s="98"/>
      <c r="ER1358" s="98"/>
      <c r="ES1358" s="98"/>
      <c r="ET1358" s="98"/>
      <c r="EU1358" s="98"/>
      <c r="EV1358" s="98"/>
      <c r="EW1358" s="98"/>
      <c r="EX1358" s="98"/>
      <c r="EY1358" s="98"/>
      <c r="EZ1358" s="178"/>
    </row>
    <row r="1359" spans="60:156">
      <c r="BH1359" s="19"/>
      <c r="BI1359" s="19"/>
      <c r="BJ1359" s="19"/>
      <c r="BK1359" s="19"/>
      <c r="BL1359" s="19"/>
      <c r="BM1359" s="98"/>
      <c r="BN1359" s="98"/>
      <c r="BO1359" s="98"/>
      <c r="BP1359" s="98"/>
      <c r="BQ1359" s="98"/>
      <c r="BR1359" s="98"/>
      <c r="BS1359" s="98"/>
      <c r="BT1359" s="98"/>
      <c r="BU1359" s="98"/>
      <c r="BV1359" s="98"/>
      <c r="BW1359" s="98"/>
      <c r="BX1359" s="98"/>
      <c r="BY1359" s="98"/>
      <c r="BZ1359" s="98"/>
      <c r="DA1359" s="177"/>
      <c r="EH1359" s="19"/>
      <c r="EI1359" s="19"/>
      <c r="EJ1359" s="19"/>
      <c r="EK1359" s="19"/>
      <c r="EL1359" s="19"/>
      <c r="EM1359" s="98"/>
      <c r="EN1359" s="98"/>
      <c r="EO1359" s="98"/>
      <c r="EP1359" s="98"/>
      <c r="EQ1359" s="98"/>
      <c r="ER1359" s="98"/>
      <c r="ES1359" s="98"/>
      <c r="ET1359" s="98"/>
      <c r="EU1359" s="98"/>
      <c r="EV1359" s="98"/>
      <c r="EW1359" s="98"/>
      <c r="EX1359" s="98"/>
      <c r="EY1359" s="98"/>
      <c r="EZ1359" s="178"/>
    </row>
    <row r="1360" spans="60:156">
      <c r="BH1360" s="19"/>
      <c r="BI1360" s="19"/>
      <c r="BJ1360" s="19"/>
      <c r="BK1360" s="19"/>
      <c r="BL1360" s="19"/>
      <c r="BM1360" s="98"/>
      <c r="BN1360" s="98"/>
      <c r="BO1360" s="98"/>
      <c r="BP1360" s="98"/>
      <c r="BQ1360" s="98"/>
      <c r="BR1360" s="98"/>
      <c r="BS1360" s="98"/>
      <c r="BT1360" s="98"/>
      <c r="BU1360" s="98"/>
      <c r="BV1360" s="98"/>
      <c r="BW1360" s="98"/>
      <c r="BX1360" s="98"/>
      <c r="BY1360" s="98"/>
      <c r="BZ1360" s="98"/>
      <c r="DA1360" s="177"/>
      <c r="EH1360" s="19"/>
      <c r="EI1360" s="19"/>
      <c r="EJ1360" s="19"/>
      <c r="EK1360" s="19"/>
      <c r="EL1360" s="19"/>
      <c r="EM1360" s="98"/>
      <c r="EN1360" s="98"/>
      <c r="EO1360" s="98"/>
      <c r="EP1360" s="98"/>
      <c r="EQ1360" s="98"/>
      <c r="ER1360" s="98"/>
      <c r="ES1360" s="98"/>
      <c r="ET1360" s="98"/>
      <c r="EU1360" s="98"/>
      <c r="EV1360" s="98"/>
      <c r="EW1360" s="98"/>
      <c r="EX1360" s="98"/>
      <c r="EY1360" s="98"/>
      <c r="EZ1360" s="178"/>
    </row>
    <row r="1361" spans="60:156">
      <c r="BH1361" s="19"/>
      <c r="BI1361" s="19"/>
      <c r="BJ1361" s="19"/>
      <c r="BK1361" s="19"/>
      <c r="BL1361" s="19"/>
      <c r="BM1361" s="98"/>
      <c r="BN1361" s="98"/>
      <c r="BO1361" s="98"/>
      <c r="BP1361" s="98"/>
      <c r="BQ1361" s="98"/>
      <c r="BR1361" s="98"/>
      <c r="BS1361" s="98"/>
      <c r="BT1361" s="98"/>
      <c r="BU1361" s="98"/>
      <c r="BV1361" s="98"/>
      <c r="BW1361" s="98"/>
      <c r="BX1361" s="98"/>
      <c r="BY1361" s="98"/>
      <c r="BZ1361" s="98"/>
      <c r="DA1361" s="177"/>
      <c r="EH1361" s="19"/>
      <c r="EI1361" s="19"/>
      <c r="EJ1361" s="19"/>
      <c r="EK1361" s="19"/>
      <c r="EL1361" s="19"/>
      <c r="EM1361" s="98"/>
      <c r="EN1361" s="98"/>
      <c r="EO1361" s="98"/>
      <c r="EP1361" s="98"/>
      <c r="EQ1361" s="98"/>
      <c r="ER1361" s="98"/>
      <c r="ES1361" s="98"/>
      <c r="ET1361" s="98"/>
      <c r="EU1361" s="98"/>
      <c r="EV1361" s="98"/>
      <c r="EW1361" s="98"/>
      <c r="EX1361" s="98"/>
      <c r="EY1361" s="98"/>
      <c r="EZ1361" s="178"/>
    </row>
    <row r="1362" spans="60:156">
      <c r="BH1362" s="19"/>
      <c r="BI1362" s="19"/>
      <c r="BJ1362" s="19"/>
      <c r="BK1362" s="19"/>
      <c r="BL1362" s="19"/>
      <c r="BM1362" s="98"/>
      <c r="BN1362" s="98"/>
      <c r="BO1362" s="98"/>
      <c r="BP1362" s="98"/>
      <c r="BQ1362" s="98"/>
      <c r="BR1362" s="98"/>
      <c r="BS1362" s="98"/>
      <c r="BT1362" s="98"/>
      <c r="BU1362" s="98"/>
      <c r="BV1362" s="98"/>
      <c r="BW1362" s="98"/>
      <c r="BX1362" s="98"/>
      <c r="BY1362" s="98"/>
      <c r="BZ1362" s="98"/>
      <c r="DA1362" s="177"/>
      <c r="EH1362" s="19"/>
      <c r="EI1362" s="19"/>
      <c r="EJ1362" s="19"/>
      <c r="EK1362" s="19"/>
      <c r="EL1362" s="19"/>
      <c r="EM1362" s="98"/>
      <c r="EN1362" s="98"/>
      <c r="EO1362" s="98"/>
      <c r="EP1362" s="98"/>
      <c r="EQ1362" s="98"/>
      <c r="ER1362" s="98"/>
      <c r="ES1362" s="98"/>
      <c r="ET1362" s="98"/>
      <c r="EU1362" s="98"/>
      <c r="EV1362" s="98"/>
      <c r="EW1362" s="98"/>
      <c r="EX1362" s="98"/>
      <c r="EY1362" s="98"/>
      <c r="EZ1362" s="178"/>
    </row>
    <row r="1363" spans="60:156">
      <c r="BH1363" s="19"/>
      <c r="BI1363" s="19"/>
      <c r="BJ1363" s="19"/>
      <c r="BK1363" s="19"/>
      <c r="BL1363" s="19"/>
      <c r="BM1363" s="98"/>
      <c r="BN1363" s="98"/>
      <c r="BO1363" s="98"/>
      <c r="BP1363" s="98"/>
      <c r="BQ1363" s="98"/>
      <c r="BR1363" s="98"/>
      <c r="BS1363" s="98"/>
      <c r="BT1363" s="98"/>
      <c r="BU1363" s="98"/>
      <c r="BV1363" s="98"/>
      <c r="BW1363" s="98"/>
      <c r="BX1363" s="98"/>
      <c r="BY1363" s="98"/>
      <c r="BZ1363" s="98"/>
      <c r="DA1363" s="177"/>
      <c r="EH1363" s="19"/>
      <c r="EI1363" s="19"/>
      <c r="EJ1363" s="19"/>
      <c r="EK1363" s="19"/>
      <c r="EL1363" s="19"/>
      <c r="EM1363" s="98"/>
      <c r="EN1363" s="98"/>
      <c r="EO1363" s="98"/>
      <c r="EP1363" s="98"/>
      <c r="EQ1363" s="98"/>
      <c r="ER1363" s="98"/>
      <c r="ES1363" s="98"/>
      <c r="ET1363" s="98"/>
      <c r="EU1363" s="98"/>
      <c r="EV1363" s="98"/>
      <c r="EW1363" s="98"/>
      <c r="EX1363" s="98"/>
      <c r="EY1363" s="98"/>
      <c r="EZ1363" s="178"/>
    </row>
    <row r="1364" spans="60:156">
      <c r="BH1364" s="19"/>
      <c r="BI1364" s="19"/>
      <c r="BJ1364" s="19"/>
      <c r="BK1364" s="19"/>
      <c r="BL1364" s="19"/>
      <c r="BM1364" s="98"/>
      <c r="BN1364" s="98"/>
      <c r="BO1364" s="98"/>
      <c r="BP1364" s="98"/>
      <c r="BQ1364" s="98"/>
      <c r="BR1364" s="98"/>
      <c r="BS1364" s="98"/>
      <c r="BT1364" s="98"/>
      <c r="BU1364" s="98"/>
      <c r="BV1364" s="98"/>
      <c r="BW1364" s="98"/>
      <c r="BX1364" s="98"/>
      <c r="BY1364" s="98"/>
      <c r="BZ1364" s="98"/>
      <c r="DA1364" s="177"/>
      <c r="EH1364" s="19"/>
      <c r="EI1364" s="19"/>
      <c r="EJ1364" s="19"/>
      <c r="EK1364" s="19"/>
      <c r="EL1364" s="19"/>
      <c r="EM1364" s="98"/>
      <c r="EN1364" s="98"/>
      <c r="EO1364" s="98"/>
      <c r="EP1364" s="98"/>
      <c r="EQ1364" s="98"/>
      <c r="ER1364" s="98"/>
      <c r="ES1364" s="98"/>
      <c r="ET1364" s="98"/>
      <c r="EU1364" s="98"/>
      <c r="EV1364" s="98"/>
      <c r="EW1364" s="98"/>
      <c r="EX1364" s="98"/>
      <c r="EY1364" s="98"/>
      <c r="EZ1364" s="178"/>
    </row>
    <row r="1365" spans="60:156">
      <c r="BH1365" s="19"/>
      <c r="BI1365" s="19"/>
      <c r="BJ1365" s="19"/>
      <c r="BK1365" s="19"/>
      <c r="BL1365" s="19"/>
      <c r="BM1365" s="98"/>
      <c r="BN1365" s="98"/>
      <c r="BO1365" s="98"/>
      <c r="BP1365" s="98"/>
      <c r="BQ1365" s="98"/>
      <c r="BR1365" s="98"/>
      <c r="BS1365" s="98"/>
      <c r="BT1365" s="98"/>
      <c r="BU1365" s="98"/>
      <c r="BV1365" s="98"/>
      <c r="BW1365" s="98"/>
      <c r="BX1365" s="98"/>
      <c r="BY1365" s="98"/>
      <c r="BZ1365" s="98"/>
      <c r="DA1365" s="177"/>
      <c r="EH1365" s="19"/>
      <c r="EI1365" s="19"/>
      <c r="EJ1365" s="19"/>
      <c r="EK1365" s="19"/>
      <c r="EL1365" s="19"/>
      <c r="EM1365" s="98"/>
      <c r="EN1365" s="98"/>
      <c r="EO1365" s="98"/>
      <c r="EP1365" s="98"/>
      <c r="EQ1365" s="98"/>
      <c r="ER1365" s="98"/>
      <c r="ES1365" s="98"/>
      <c r="ET1365" s="98"/>
      <c r="EU1365" s="98"/>
      <c r="EV1365" s="98"/>
      <c r="EW1365" s="98"/>
      <c r="EX1365" s="98"/>
      <c r="EY1365" s="98"/>
      <c r="EZ1365" s="178"/>
    </row>
    <row r="1366" spans="60:156">
      <c r="BH1366" s="19"/>
      <c r="BI1366" s="19"/>
      <c r="BJ1366" s="19"/>
      <c r="BK1366" s="19"/>
      <c r="BL1366" s="19"/>
      <c r="BM1366" s="98"/>
      <c r="BN1366" s="98"/>
      <c r="BO1366" s="98"/>
      <c r="BP1366" s="98"/>
      <c r="BQ1366" s="98"/>
      <c r="BR1366" s="98"/>
      <c r="BS1366" s="98"/>
      <c r="BT1366" s="98"/>
      <c r="BU1366" s="98"/>
      <c r="BV1366" s="98"/>
      <c r="BW1366" s="98"/>
      <c r="BX1366" s="98"/>
      <c r="BY1366" s="98"/>
      <c r="BZ1366" s="98"/>
      <c r="DA1366" s="177"/>
      <c r="EH1366" s="19"/>
      <c r="EI1366" s="19"/>
      <c r="EJ1366" s="19"/>
      <c r="EK1366" s="19"/>
      <c r="EL1366" s="19"/>
      <c r="EM1366" s="98"/>
      <c r="EN1366" s="98"/>
      <c r="EO1366" s="98"/>
      <c r="EP1366" s="98"/>
      <c r="EQ1366" s="98"/>
      <c r="ER1366" s="98"/>
      <c r="ES1366" s="98"/>
      <c r="ET1366" s="98"/>
      <c r="EU1366" s="98"/>
      <c r="EV1366" s="98"/>
      <c r="EW1366" s="98"/>
      <c r="EX1366" s="98"/>
      <c r="EY1366" s="98"/>
      <c r="EZ1366" s="178"/>
    </row>
    <row r="1367" spans="60:156">
      <c r="BH1367" s="19"/>
      <c r="BI1367" s="19"/>
      <c r="BJ1367" s="19"/>
      <c r="BK1367" s="19"/>
      <c r="BL1367" s="19"/>
      <c r="BM1367" s="98"/>
      <c r="BN1367" s="98"/>
      <c r="BO1367" s="98"/>
      <c r="BP1367" s="98"/>
      <c r="BQ1367" s="98"/>
      <c r="BR1367" s="98"/>
      <c r="BS1367" s="98"/>
      <c r="BT1367" s="98"/>
      <c r="BU1367" s="98"/>
      <c r="BV1367" s="98"/>
      <c r="BW1367" s="98"/>
      <c r="BX1367" s="98"/>
      <c r="BY1367" s="98"/>
      <c r="BZ1367" s="98"/>
      <c r="DA1367" s="177"/>
      <c r="EH1367" s="19"/>
      <c r="EI1367" s="19"/>
      <c r="EJ1367" s="19"/>
      <c r="EK1367" s="19"/>
      <c r="EL1367" s="19"/>
      <c r="EM1367" s="98"/>
      <c r="EN1367" s="98"/>
      <c r="EO1367" s="98"/>
      <c r="EP1367" s="98"/>
      <c r="EQ1367" s="98"/>
      <c r="ER1367" s="98"/>
      <c r="ES1367" s="98"/>
      <c r="ET1367" s="98"/>
      <c r="EU1367" s="98"/>
      <c r="EV1367" s="98"/>
      <c r="EW1367" s="98"/>
      <c r="EX1367" s="98"/>
      <c r="EY1367" s="98"/>
      <c r="EZ1367" s="178"/>
    </row>
    <row r="1368" spans="60:156">
      <c r="BH1368" s="19"/>
      <c r="BI1368" s="19"/>
      <c r="BJ1368" s="19"/>
      <c r="BK1368" s="19"/>
      <c r="BL1368" s="19"/>
      <c r="BM1368" s="98"/>
      <c r="BN1368" s="98"/>
      <c r="BO1368" s="98"/>
      <c r="BP1368" s="98"/>
      <c r="BQ1368" s="98"/>
      <c r="BR1368" s="98"/>
      <c r="BS1368" s="98"/>
      <c r="BT1368" s="98"/>
      <c r="BU1368" s="98"/>
      <c r="BV1368" s="98"/>
      <c r="BW1368" s="98"/>
      <c r="BX1368" s="98"/>
      <c r="BY1368" s="98"/>
      <c r="BZ1368" s="98"/>
      <c r="DA1368" s="177"/>
      <c r="EH1368" s="19"/>
      <c r="EI1368" s="19"/>
      <c r="EJ1368" s="19"/>
      <c r="EK1368" s="19"/>
      <c r="EL1368" s="19"/>
      <c r="EM1368" s="98"/>
      <c r="EN1368" s="98"/>
      <c r="EO1368" s="98"/>
      <c r="EP1368" s="98"/>
      <c r="EQ1368" s="98"/>
      <c r="ER1368" s="98"/>
      <c r="ES1368" s="98"/>
      <c r="ET1368" s="98"/>
      <c r="EU1368" s="98"/>
      <c r="EV1368" s="98"/>
      <c r="EW1368" s="98"/>
      <c r="EX1368" s="98"/>
      <c r="EY1368" s="98"/>
      <c r="EZ1368" s="178"/>
    </row>
    <row r="1369" spans="60:156">
      <c r="BH1369" s="19"/>
      <c r="BI1369" s="19"/>
      <c r="BJ1369" s="19"/>
      <c r="BK1369" s="19"/>
      <c r="BL1369" s="19"/>
      <c r="BM1369" s="98"/>
      <c r="BN1369" s="98"/>
      <c r="BO1369" s="98"/>
      <c r="BP1369" s="98"/>
      <c r="BQ1369" s="98"/>
      <c r="BR1369" s="98"/>
      <c r="BS1369" s="98"/>
      <c r="BT1369" s="98"/>
      <c r="BU1369" s="98"/>
      <c r="BV1369" s="98"/>
      <c r="BW1369" s="98"/>
      <c r="BX1369" s="98"/>
      <c r="BY1369" s="98"/>
      <c r="BZ1369" s="98"/>
      <c r="DA1369" s="177"/>
      <c r="EH1369" s="19"/>
      <c r="EI1369" s="19"/>
      <c r="EJ1369" s="19"/>
      <c r="EK1369" s="19"/>
      <c r="EL1369" s="19"/>
      <c r="EM1369" s="98"/>
      <c r="EN1369" s="98"/>
      <c r="EO1369" s="98"/>
      <c r="EP1369" s="98"/>
      <c r="EQ1369" s="98"/>
      <c r="ER1369" s="98"/>
      <c r="ES1369" s="98"/>
      <c r="ET1369" s="98"/>
      <c r="EU1369" s="98"/>
      <c r="EV1369" s="98"/>
      <c r="EW1369" s="98"/>
      <c r="EX1369" s="98"/>
      <c r="EY1369" s="98"/>
      <c r="EZ1369" s="178"/>
    </row>
    <row r="1370" spans="60:156">
      <c r="BH1370" s="19"/>
      <c r="BI1370" s="19"/>
      <c r="BJ1370" s="19"/>
      <c r="BK1370" s="19"/>
      <c r="BL1370" s="19"/>
      <c r="BM1370" s="98"/>
      <c r="BN1370" s="98"/>
      <c r="BO1370" s="98"/>
      <c r="BP1370" s="98"/>
      <c r="BQ1370" s="98"/>
      <c r="BR1370" s="98"/>
      <c r="BS1370" s="98"/>
      <c r="BT1370" s="98"/>
      <c r="BU1370" s="98"/>
      <c r="BV1370" s="98"/>
      <c r="BW1370" s="98"/>
      <c r="BX1370" s="98"/>
      <c r="BY1370" s="98"/>
      <c r="BZ1370" s="98"/>
      <c r="DA1370" s="177"/>
      <c r="EH1370" s="19"/>
      <c r="EI1370" s="19"/>
      <c r="EJ1370" s="19"/>
      <c r="EK1370" s="19"/>
      <c r="EL1370" s="19"/>
      <c r="EM1370" s="98"/>
      <c r="EN1370" s="98"/>
      <c r="EO1370" s="98"/>
      <c r="EP1370" s="98"/>
      <c r="EQ1370" s="98"/>
      <c r="ER1370" s="98"/>
      <c r="ES1370" s="98"/>
      <c r="ET1370" s="98"/>
      <c r="EU1370" s="98"/>
      <c r="EV1370" s="98"/>
      <c r="EW1370" s="98"/>
      <c r="EX1370" s="98"/>
      <c r="EY1370" s="98"/>
      <c r="EZ1370" s="178"/>
    </row>
    <row r="1371" spans="60:156">
      <c r="BH1371" s="19"/>
      <c r="BI1371" s="19"/>
      <c r="BJ1371" s="19"/>
      <c r="BK1371" s="19"/>
      <c r="BL1371" s="19"/>
      <c r="BM1371" s="98"/>
      <c r="BN1371" s="98"/>
      <c r="BO1371" s="98"/>
      <c r="BP1371" s="98"/>
      <c r="BQ1371" s="98"/>
      <c r="BR1371" s="98"/>
      <c r="BS1371" s="98"/>
      <c r="BT1371" s="98"/>
      <c r="BU1371" s="98"/>
      <c r="BV1371" s="98"/>
      <c r="BW1371" s="98"/>
      <c r="BX1371" s="98"/>
      <c r="BY1371" s="98"/>
      <c r="BZ1371" s="98"/>
      <c r="DA1371" s="177"/>
      <c r="EH1371" s="19"/>
      <c r="EI1371" s="19"/>
      <c r="EJ1371" s="19"/>
      <c r="EK1371" s="19"/>
      <c r="EL1371" s="19"/>
      <c r="EM1371" s="98"/>
      <c r="EN1371" s="98"/>
      <c r="EO1371" s="98"/>
      <c r="EP1371" s="98"/>
      <c r="EQ1371" s="98"/>
      <c r="ER1371" s="98"/>
      <c r="ES1371" s="98"/>
      <c r="ET1371" s="98"/>
      <c r="EU1371" s="98"/>
      <c r="EV1371" s="98"/>
      <c r="EW1371" s="98"/>
      <c r="EX1371" s="98"/>
      <c r="EY1371" s="98"/>
      <c r="EZ1371" s="178"/>
    </row>
    <row r="1372" spans="60:156">
      <c r="BH1372" s="19"/>
      <c r="BI1372" s="19"/>
      <c r="BJ1372" s="19"/>
      <c r="BK1372" s="19"/>
      <c r="BL1372" s="19"/>
      <c r="BM1372" s="98"/>
      <c r="BN1372" s="98"/>
      <c r="BO1372" s="98"/>
      <c r="BP1372" s="98"/>
      <c r="BQ1372" s="98"/>
      <c r="BR1372" s="98"/>
      <c r="BS1372" s="98"/>
      <c r="BT1372" s="98"/>
      <c r="BU1372" s="98"/>
      <c r="BV1372" s="98"/>
      <c r="BW1372" s="98"/>
      <c r="BX1372" s="98"/>
      <c r="BY1372" s="98"/>
      <c r="BZ1372" s="98"/>
      <c r="DA1372" s="177"/>
      <c r="EH1372" s="19"/>
      <c r="EI1372" s="19"/>
      <c r="EJ1372" s="19"/>
      <c r="EK1372" s="19"/>
      <c r="EL1372" s="19"/>
      <c r="EM1372" s="98"/>
      <c r="EN1372" s="98"/>
      <c r="EO1372" s="98"/>
      <c r="EP1372" s="98"/>
      <c r="EQ1372" s="98"/>
      <c r="ER1372" s="98"/>
      <c r="ES1372" s="98"/>
      <c r="ET1372" s="98"/>
      <c r="EU1372" s="98"/>
      <c r="EV1372" s="98"/>
      <c r="EW1372" s="98"/>
      <c r="EX1372" s="98"/>
      <c r="EY1372" s="98"/>
      <c r="EZ1372" s="178"/>
    </row>
    <row r="1373" spans="60:156">
      <c r="BH1373" s="19"/>
      <c r="BI1373" s="19"/>
      <c r="BJ1373" s="19"/>
      <c r="BK1373" s="19"/>
      <c r="BL1373" s="19"/>
      <c r="BM1373" s="98"/>
      <c r="BN1373" s="98"/>
      <c r="BO1373" s="98"/>
      <c r="BP1373" s="98"/>
      <c r="BQ1373" s="98"/>
      <c r="BR1373" s="98"/>
      <c r="BS1373" s="98"/>
      <c r="BT1373" s="98"/>
      <c r="BU1373" s="98"/>
      <c r="BV1373" s="98"/>
      <c r="BW1373" s="98"/>
      <c r="BX1373" s="98"/>
      <c r="BY1373" s="98"/>
      <c r="BZ1373" s="98"/>
      <c r="DA1373" s="177"/>
      <c r="EH1373" s="19"/>
      <c r="EI1373" s="19"/>
      <c r="EJ1373" s="19"/>
      <c r="EK1373" s="19"/>
      <c r="EL1373" s="19"/>
      <c r="EM1373" s="98"/>
      <c r="EN1373" s="98"/>
      <c r="EO1373" s="98"/>
      <c r="EP1373" s="98"/>
      <c r="EQ1373" s="98"/>
      <c r="ER1373" s="98"/>
      <c r="ES1373" s="98"/>
      <c r="ET1373" s="98"/>
      <c r="EU1373" s="98"/>
      <c r="EV1373" s="98"/>
      <c r="EW1373" s="98"/>
      <c r="EX1373" s="98"/>
      <c r="EY1373" s="98"/>
      <c r="EZ1373" s="178"/>
    </row>
    <row r="1374" spans="60:156">
      <c r="BH1374" s="19"/>
      <c r="BI1374" s="19"/>
      <c r="BJ1374" s="19"/>
      <c r="BK1374" s="19"/>
      <c r="BL1374" s="19"/>
      <c r="BM1374" s="98"/>
      <c r="BN1374" s="98"/>
      <c r="BO1374" s="98"/>
      <c r="BP1374" s="98"/>
      <c r="BQ1374" s="98"/>
      <c r="BR1374" s="98"/>
      <c r="BS1374" s="98"/>
      <c r="BT1374" s="98"/>
      <c r="BU1374" s="98"/>
      <c r="BV1374" s="98"/>
      <c r="BW1374" s="98"/>
      <c r="BX1374" s="98"/>
      <c r="BY1374" s="98"/>
      <c r="BZ1374" s="98"/>
      <c r="DA1374" s="177"/>
      <c r="EH1374" s="19"/>
      <c r="EI1374" s="19"/>
      <c r="EJ1374" s="19"/>
      <c r="EK1374" s="19"/>
      <c r="EL1374" s="19"/>
      <c r="EM1374" s="98"/>
      <c r="EN1374" s="98"/>
      <c r="EO1374" s="98"/>
      <c r="EP1374" s="98"/>
      <c r="EQ1374" s="98"/>
      <c r="ER1374" s="98"/>
      <c r="ES1374" s="98"/>
      <c r="ET1374" s="98"/>
      <c r="EU1374" s="98"/>
      <c r="EV1374" s="98"/>
      <c r="EW1374" s="98"/>
      <c r="EX1374" s="98"/>
      <c r="EY1374" s="98"/>
      <c r="EZ1374" s="178"/>
    </row>
    <row r="1375" spans="60:156">
      <c r="BH1375" s="19"/>
      <c r="BI1375" s="19"/>
      <c r="BJ1375" s="19"/>
      <c r="BK1375" s="19"/>
      <c r="BL1375" s="19"/>
      <c r="BM1375" s="98"/>
      <c r="BN1375" s="98"/>
      <c r="BO1375" s="98"/>
      <c r="BP1375" s="98"/>
      <c r="BQ1375" s="98"/>
      <c r="BR1375" s="98"/>
      <c r="BS1375" s="98"/>
      <c r="BT1375" s="98"/>
      <c r="BU1375" s="98"/>
      <c r="BV1375" s="98"/>
      <c r="BW1375" s="98"/>
      <c r="BX1375" s="98"/>
      <c r="BY1375" s="98"/>
      <c r="BZ1375" s="98"/>
      <c r="DA1375" s="177"/>
      <c r="EH1375" s="19"/>
      <c r="EI1375" s="19"/>
      <c r="EJ1375" s="19"/>
      <c r="EK1375" s="19"/>
      <c r="EL1375" s="19"/>
      <c r="EM1375" s="98"/>
      <c r="EN1375" s="98"/>
      <c r="EO1375" s="98"/>
      <c r="EP1375" s="98"/>
      <c r="EQ1375" s="98"/>
      <c r="ER1375" s="98"/>
      <c r="ES1375" s="98"/>
      <c r="ET1375" s="98"/>
      <c r="EU1375" s="98"/>
      <c r="EV1375" s="98"/>
      <c r="EW1375" s="98"/>
      <c r="EX1375" s="98"/>
      <c r="EY1375" s="98"/>
      <c r="EZ1375" s="178"/>
    </row>
    <row r="1376" spans="60:156">
      <c r="BH1376" s="19"/>
      <c r="BI1376" s="19"/>
      <c r="BJ1376" s="19"/>
      <c r="BK1376" s="19"/>
      <c r="BL1376" s="19"/>
      <c r="BM1376" s="98"/>
      <c r="BN1376" s="98"/>
      <c r="BO1376" s="98"/>
      <c r="BP1376" s="98"/>
      <c r="BQ1376" s="98"/>
      <c r="BR1376" s="98"/>
      <c r="BS1376" s="98"/>
      <c r="BT1376" s="98"/>
      <c r="BU1376" s="98"/>
      <c r="BV1376" s="98"/>
      <c r="BW1376" s="98"/>
      <c r="BX1376" s="98"/>
      <c r="BY1376" s="98"/>
      <c r="BZ1376" s="98"/>
      <c r="DA1376" s="177"/>
      <c r="EH1376" s="19"/>
      <c r="EI1376" s="19"/>
      <c r="EJ1376" s="19"/>
      <c r="EK1376" s="19"/>
      <c r="EL1376" s="19"/>
      <c r="EM1376" s="98"/>
      <c r="EN1376" s="98"/>
      <c r="EO1376" s="98"/>
      <c r="EP1376" s="98"/>
      <c r="EQ1376" s="98"/>
      <c r="ER1376" s="98"/>
      <c r="ES1376" s="98"/>
      <c r="ET1376" s="98"/>
      <c r="EU1376" s="98"/>
      <c r="EV1376" s="98"/>
      <c r="EW1376" s="98"/>
      <c r="EX1376" s="98"/>
      <c r="EY1376" s="98"/>
      <c r="EZ1376" s="178"/>
    </row>
    <row r="1377" spans="60:156">
      <c r="BH1377" s="19"/>
      <c r="BI1377" s="19"/>
      <c r="BJ1377" s="19"/>
      <c r="BK1377" s="19"/>
      <c r="BL1377" s="19"/>
      <c r="BM1377" s="98"/>
      <c r="BN1377" s="98"/>
      <c r="BO1377" s="98"/>
      <c r="BP1377" s="98"/>
      <c r="BQ1377" s="98"/>
      <c r="BR1377" s="98"/>
      <c r="BS1377" s="98"/>
      <c r="BT1377" s="98"/>
      <c r="BU1377" s="98"/>
      <c r="BV1377" s="98"/>
      <c r="BW1377" s="98"/>
      <c r="BX1377" s="98"/>
      <c r="BY1377" s="98"/>
      <c r="BZ1377" s="98"/>
      <c r="DA1377" s="177"/>
      <c r="EH1377" s="19"/>
      <c r="EI1377" s="19"/>
      <c r="EJ1377" s="19"/>
      <c r="EK1377" s="19"/>
      <c r="EL1377" s="19"/>
      <c r="EM1377" s="98"/>
      <c r="EN1377" s="98"/>
      <c r="EO1377" s="98"/>
      <c r="EP1377" s="98"/>
      <c r="EQ1377" s="98"/>
      <c r="ER1377" s="98"/>
      <c r="ES1377" s="98"/>
      <c r="ET1377" s="98"/>
      <c r="EU1377" s="98"/>
      <c r="EV1377" s="98"/>
      <c r="EW1377" s="98"/>
      <c r="EX1377" s="98"/>
      <c r="EY1377" s="98"/>
      <c r="EZ1377" s="178"/>
    </row>
    <row r="1378" spans="60:156">
      <c r="BH1378" s="19"/>
      <c r="BI1378" s="19"/>
      <c r="BJ1378" s="19"/>
      <c r="BK1378" s="19"/>
      <c r="BL1378" s="19"/>
      <c r="BM1378" s="98"/>
      <c r="BN1378" s="98"/>
      <c r="BO1378" s="98"/>
      <c r="BP1378" s="98"/>
      <c r="BQ1378" s="98"/>
      <c r="BR1378" s="98"/>
      <c r="BS1378" s="98"/>
      <c r="BT1378" s="98"/>
      <c r="BU1378" s="98"/>
      <c r="BV1378" s="98"/>
      <c r="BW1378" s="98"/>
      <c r="BX1378" s="98"/>
      <c r="BY1378" s="98"/>
      <c r="BZ1378" s="98"/>
      <c r="DA1378" s="177"/>
      <c r="EH1378" s="19"/>
      <c r="EI1378" s="19"/>
      <c r="EJ1378" s="19"/>
      <c r="EK1378" s="19"/>
      <c r="EL1378" s="19"/>
      <c r="EM1378" s="98"/>
      <c r="EN1378" s="98"/>
      <c r="EO1378" s="98"/>
      <c r="EP1378" s="98"/>
      <c r="EQ1378" s="98"/>
      <c r="ER1378" s="98"/>
      <c r="ES1378" s="98"/>
      <c r="ET1378" s="98"/>
      <c r="EU1378" s="98"/>
      <c r="EV1378" s="98"/>
      <c r="EW1378" s="98"/>
      <c r="EX1378" s="98"/>
      <c r="EY1378" s="98"/>
      <c r="EZ1378" s="178"/>
    </row>
    <row r="1379" spans="60:156">
      <c r="BH1379" s="19"/>
      <c r="BI1379" s="19"/>
      <c r="BJ1379" s="19"/>
      <c r="BK1379" s="19"/>
      <c r="BL1379" s="19"/>
      <c r="BM1379" s="98"/>
      <c r="BN1379" s="98"/>
      <c r="BO1379" s="98"/>
      <c r="BP1379" s="98"/>
      <c r="BQ1379" s="98"/>
      <c r="BR1379" s="98"/>
      <c r="BS1379" s="98"/>
      <c r="BT1379" s="98"/>
      <c r="BU1379" s="98"/>
      <c r="BV1379" s="98"/>
      <c r="BW1379" s="98"/>
      <c r="BX1379" s="98"/>
      <c r="BY1379" s="98"/>
      <c r="BZ1379" s="98"/>
      <c r="DA1379" s="177"/>
      <c r="EH1379" s="19"/>
      <c r="EI1379" s="19"/>
      <c r="EJ1379" s="19"/>
      <c r="EK1379" s="19"/>
      <c r="EL1379" s="19"/>
      <c r="EM1379" s="98"/>
      <c r="EN1379" s="98"/>
      <c r="EO1379" s="98"/>
      <c r="EP1379" s="98"/>
      <c r="EQ1379" s="98"/>
      <c r="ER1379" s="98"/>
      <c r="ES1379" s="98"/>
      <c r="ET1379" s="98"/>
      <c r="EU1379" s="98"/>
      <c r="EV1379" s="98"/>
      <c r="EW1379" s="98"/>
      <c r="EX1379" s="98"/>
      <c r="EY1379" s="98"/>
      <c r="EZ1379" s="178"/>
    </row>
    <row r="1380" spans="60:156">
      <c r="BH1380" s="19"/>
      <c r="BI1380" s="19"/>
      <c r="BJ1380" s="19"/>
      <c r="BK1380" s="19"/>
      <c r="BL1380" s="19"/>
      <c r="BM1380" s="98"/>
      <c r="BN1380" s="98"/>
      <c r="BO1380" s="98"/>
      <c r="BP1380" s="98"/>
      <c r="BQ1380" s="98"/>
      <c r="BR1380" s="98"/>
      <c r="BS1380" s="98"/>
      <c r="BT1380" s="98"/>
      <c r="BU1380" s="98"/>
      <c r="BV1380" s="98"/>
      <c r="BW1380" s="98"/>
      <c r="BX1380" s="98"/>
      <c r="BY1380" s="98"/>
      <c r="BZ1380" s="98"/>
      <c r="DA1380" s="177"/>
      <c r="EH1380" s="19"/>
      <c r="EI1380" s="19"/>
      <c r="EJ1380" s="19"/>
      <c r="EK1380" s="19"/>
      <c r="EL1380" s="19"/>
      <c r="EM1380" s="98"/>
      <c r="EN1380" s="98"/>
      <c r="EO1380" s="98"/>
      <c r="EP1380" s="98"/>
      <c r="EQ1380" s="98"/>
      <c r="ER1380" s="98"/>
      <c r="ES1380" s="98"/>
      <c r="ET1380" s="98"/>
      <c r="EU1380" s="98"/>
      <c r="EV1380" s="98"/>
      <c r="EW1380" s="98"/>
      <c r="EX1380" s="98"/>
      <c r="EY1380" s="98"/>
      <c r="EZ1380" s="178"/>
    </row>
    <row r="1381" spans="60:156">
      <c r="BH1381" s="19"/>
      <c r="BI1381" s="19"/>
      <c r="BJ1381" s="19"/>
      <c r="BK1381" s="19"/>
      <c r="BL1381" s="19"/>
      <c r="BM1381" s="98"/>
      <c r="BN1381" s="98"/>
      <c r="BO1381" s="98"/>
      <c r="BP1381" s="98"/>
      <c r="BQ1381" s="98"/>
      <c r="BR1381" s="98"/>
      <c r="BS1381" s="98"/>
      <c r="BT1381" s="98"/>
      <c r="BU1381" s="98"/>
      <c r="BV1381" s="98"/>
      <c r="BW1381" s="98"/>
      <c r="BX1381" s="98"/>
      <c r="BY1381" s="98"/>
      <c r="BZ1381" s="98"/>
      <c r="DA1381" s="177"/>
      <c r="EH1381" s="19"/>
      <c r="EI1381" s="19"/>
      <c r="EJ1381" s="19"/>
      <c r="EK1381" s="19"/>
      <c r="EL1381" s="19"/>
      <c r="EM1381" s="98"/>
      <c r="EN1381" s="98"/>
      <c r="EO1381" s="98"/>
      <c r="EP1381" s="98"/>
      <c r="EQ1381" s="98"/>
      <c r="ER1381" s="98"/>
      <c r="ES1381" s="98"/>
      <c r="ET1381" s="98"/>
      <c r="EU1381" s="98"/>
      <c r="EV1381" s="98"/>
      <c r="EW1381" s="98"/>
      <c r="EX1381" s="98"/>
      <c r="EY1381" s="98"/>
      <c r="EZ1381" s="178"/>
    </row>
    <row r="1382" spans="60:156">
      <c r="BH1382" s="19"/>
      <c r="BI1382" s="19"/>
      <c r="BJ1382" s="19"/>
      <c r="BK1382" s="19"/>
      <c r="BL1382" s="19"/>
      <c r="BM1382" s="98"/>
      <c r="BN1382" s="98"/>
      <c r="BO1382" s="98"/>
      <c r="BP1382" s="98"/>
      <c r="BQ1382" s="98"/>
      <c r="BR1382" s="98"/>
      <c r="BS1382" s="98"/>
      <c r="BT1382" s="98"/>
      <c r="BU1382" s="98"/>
      <c r="BV1382" s="98"/>
      <c r="BW1382" s="98"/>
      <c r="BX1382" s="98"/>
      <c r="BY1382" s="98"/>
      <c r="BZ1382" s="98"/>
      <c r="DA1382" s="177"/>
      <c r="EH1382" s="19"/>
      <c r="EI1382" s="19"/>
      <c r="EJ1382" s="19"/>
      <c r="EK1382" s="19"/>
      <c r="EL1382" s="19"/>
      <c r="EM1382" s="98"/>
      <c r="EN1382" s="98"/>
      <c r="EO1382" s="98"/>
      <c r="EP1382" s="98"/>
      <c r="EQ1382" s="98"/>
      <c r="ER1382" s="98"/>
      <c r="ES1382" s="98"/>
      <c r="ET1382" s="98"/>
      <c r="EU1382" s="98"/>
      <c r="EV1382" s="98"/>
      <c r="EW1382" s="98"/>
      <c r="EX1382" s="98"/>
      <c r="EY1382" s="98"/>
      <c r="EZ1382" s="178"/>
    </row>
    <row r="1383" spans="60:156">
      <c r="BH1383" s="19"/>
      <c r="BI1383" s="19"/>
      <c r="BJ1383" s="19"/>
      <c r="BK1383" s="19"/>
      <c r="BL1383" s="19"/>
      <c r="BM1383" s="98"/>
      <c r="BN1383" s="98"/>
      <c r="BO1383" s="98"/>
      <c r="BP1383" s="98"/>
      <c r="BQ1383" s="98"/>
      <c r="BR1383" s="98"/>
      <c r="BS1383" s="98"/>
      <c r="BT1383" s="98"/>
      <c r="BU1383" s="98"/>
      <c r="BV1383" s="98"/>
      <c r="BW1383" s="98"/>
      <c r="BX1383" s="98"/>
      <c r="BY1383" s="98"/>
      <c r="BZ1383" s="98"/>
      <c r="DA1383" s="177"/>
      <c r="EH1383" s="19"/>
      <c r="EI1383" s="19"/>
      <c r="EJ1383" s="19"/>
      <c r="EK1383" s="19"/>
      <c r="EL1383" s="19"/>
      <c r="EM1383" s="98"/>
      <c r="EN1383" s="98"/>
      <c r="EO1383" s="98"/>
      <c r="EP1383" s="98"/>
      <c r="EQ1383" s="98"/>
      <c r="ER1383" s="98"/>
      <c r="ES1383" s="98"/>
      <c r="ET1383" s="98"/>
      <c r="EU1383" s="98"/>
      <c r="EV1383" s="98"/>
      <c r="EW1383" s="98"/>
      <c r="EX1383" s="98"/>
      <c r="EY1383" s="98"/>
      <c r="EZ1383" s="178"/>
    </row>
    <row r="1384" spans="60:156">
      <c r="BH1384" s="19"/>
      <c r="BI1384" s="19"/>
      <c r="BJ1384" s="19"/>
      <c r="BK1384" s="19"/>
      <c r="BL1384" s="19"/>
      <c r="BM1384" s="98"/>
      <c r="BN1384" s="98"/>
      <c r="BO1384" s="98"/>
      <c r="BP1384" s="98"/>
      <c r="BQ1384" s="98"/>
      <c r="BR1384" s="98"/>
      <c r="BS1384" s="98"/>
      <c r="BT1384" s="98"/>
      <c r="BU1384" s="98"/>
      <c r="BV1384" s="98"/>
      <c r="BW1384" s="98"/>
      <c r="BX1384" s="98"/>
      <c r="BY1384" s="98"/>
      <c r="BZ1384" s="98"/>
      <c r="DA1384" s="177"/>
      <c r="EH1384" s="19"/>
      <c r="EI1384" s="19"/>
      <c r="EJ1384" s="19"/>
      <c r="EK1384" s="19"/>
      <c r="EL1384" s="19"/>
      <c r="EM1384" s="98"/>
      <c r="EN1384" s="98"/>
      <c r="EO1384" s="98"/>
      <c r="EP1384" s="98"/>
      <c r="EQ1384" s="98"/>
      <c r="ER1384" s="98"/>
      <c r="ES1384" s="98"/>
      <c r="ET1384" s="98"/>
      <c r="EU1384" s="98"/>
      <c r="EV1384" s="98"/>
      <c r="EW1384" s="98"/>
      <c r="EX1384" s="98"/>
      <c r="EY1384" s="98"/>
      <c r="EZ1384" s="178"/>
    </row>
    <row r="1385" spans="60:156">
      <c r="BH1385" s="19"/>
      <c r="BI1385" s="19"/>
      <c r="BJ1385" s="19"/>
      <c r="BK1385" s="19"/>
      <c r="BL1385" s="19"/>
      <c r="BM1385" s="98"/>
      <c r="BN1385" s="98"/>
      <c r="BO1385" s="98"/>
      <c r="BP1385" s="98"/>
      <c r="BQ1385" s="98"/>
      <c r="BR1385" s="98"/>
      <c r="BS1385" s="98"/>
      <c r="BT1385" s="98"/>
      <c r="BU1385" s="98"/>
      <c r="BV1385" s="98"/>
      <c r="BW1385" s="98"/>
      <c r="BX1385" s="98"/>
      <c r="BY1385" s="98"/>
      <c r="BZ1385" s="98"/>
      <c r="DA1385" s="177"/>
      <c r="EH1385" s="19"/>
      <c r="EI1385" s="19"/>
      <c r="EJ1385" s="19"/>
      <c r="EK1385" s="19"/>
      <c r="EL1385" s="19"/>
      <c r="EM1385" s="98"/>
      <c r="EN1385" s="98"/>
      <c r="EO1385" s="98"/>
      <c r="EP1385" s="98"/>
      <c r="EQ1385" s="98"/>
      <c r="ER1385" s="98"/>
      <c r="ES1385" s="98"/>
      <c r="ET1385" s="98"/>
      <c r="EU1385" s="98"/>
      <c r="EV1385" s="98"/>
      <c r="EW1385" s="98"/>
      <c r="EX1385" s="98"/>
      <c r="EY1385" s="98"/>
      <c r="EZ1385" s="178"/>
    </row>
    <row r="1386" spans="60:156">
      <c r="BH1386" s="19"/>
      <c r="BI1386" s="19"/>
      <c r="BJ1386" s="19"/>
      <c r="BK1386" s="19"/>
      <c r="BL1386" s="19"/>
      <c r="BM1386" s="98"/>
      <c r="BN1386" s="98"/>
      <c r="BO1386" s="98"/>
      <c r="BP1386" s="98"/>
      <c r="BQ1386" s="98"/>
      <c r="BR1386" s="98"/>
      <c r="BS1386" s="98"/>
      <c r="BT1386" s="98"/>
      <c r="BU1386" s="98"/>
      <c r="BV1386" s="98"/>
      <c r="BW1386" s="98"/>
      <c r="BX1386" s="98"/>
      <c r="BY1386" s="98"/>
      <c r="BZ1386" s="98"/>
      <c r="DA1386" s="177"/>
      <c r="EH1386" s="19"/>
      <c r="EI1386" s="19"/>
      <c r="EJ1386" s="19"/>
      <c r="EK1386" s="19"/>
      <c r="EL1386" s="19"/>
      <c r="EM1386" s="98"/>
      <c r="EN1386" s="98"/>
      <c r="EO1386" s="98"/>
      <c r="EP1386" s="98"/>
      <c r="EQ1386" s="98"/>
      <c r="ER1386" s="98"/>
      <c r="ES1386" s="98"/>
      <c r="ET1386" s="98"/>
      <c r="EU1386" s="98"/>
      <c r="EV1386" s="98"/>
      <c r="EW1386" s="98"/>
      <c r="EX1386" s="98"/>
      <c r="EY1386" s="98"/>
      <c r="EZ1386" s="178"/>
    </row>
    <row r="1387" spans="60:156">
      <c r="BH1387" s="19"/>
      <c r="BI1387" s="19"/>
      <c r="BJ1387" s="19"/>
      <c r="BK1387" s="19"/>
      <c r="BL1387" s="19"/>
      <c r="BM1387" s="98"/>
      <c r="BN1387" s="98"/>
      <c r="BO1387" s="98"/>
      <c r="BP1387" s="98"/>
      <c r="BQ1387" s="98"/>
      <c r="BR1387" s="98"/>
      <c r="BS1387" s="98"/>
      <c r="BT1387" s="98"/>
      <c r="BU1387" s="98"/>
      <c r="BV1387" s="98"/>
      <c r="BW1387" s="98"/>
      <c r="BX1387" s="98"/>
      <c r="BY1387" s="98"/>
      <c r="BZ1387" s="98"/>
      <c r="DA1387" s="177"/>
      <c r="EH1387" s="19"/>
      <c r="EI1387" s="19"/>
      <c r="EJ1387" s="19"/>
      <c r="EK1387" s="19"/>
      <c r="EL1387" s="19"/>
      <c r="EM1387" s="98"/>
      <c r="EN1387" s="98"/>
      <c r="EO1387" s="98"/>
      <c r="EP1387" s="98"/>
      <c r="EQ1387" s="98"/>
      <c r="ER1387" s="98"/>
      <c r="ES1387" s="98"/>
      <c r="ET1387" s="98"/>
      <c r="EU1387" s="98"/>
      <c r="EV1387" s="98"/>
      <c r="EW1387" s="98"/>
      <c r="EX1387" s="98"/>
      <c r="EY1387" s="98"/>
      <c r="EZ1387" s="178"/>
    </row>
    <row r="1388" spans="60:156">
      <c r="BH1388" s="19"/>
      <c r="BI1388" s="19"/>
      <c r="BJ1388" s="19"/>
      <c r="BK1388" s="19"/>
      <c r="BL1388" s="19"/>
      <c r="BM1388" s="98"/>
      <c r="BN1388" s="98"/>
      <c r="BO1388" s="98"/>
      <c r="BP1388" s="98"/>
      <c r="BQ1388" s="98"/>
      <c r="BR1388" s="98"/>
      <c r="BS1388" s="98"/>
      <c r="BT1388" s="98"/>
      <c r="BU1388" s="98"/>
      <c r="BV1388" s="98"/>
      <c r="BW1388" s="98"/>
      <c r="BX1388" s="98"/>
      <c r="BY1388" s="98"/>
      <c r="BZ1388" s="98"/>
      <c r="DA1388" s="177"/>
      <c r="EH1388" s="19"/>
      <c r="EI1388" s="19"/>
      <c r="EJ1388" s="19"/>
      <c r="EK1388" s="19"/>
      <c r="EL1388" s="19"/>
      <c r="EM1388" s="98"/>
      <c r="EN1388" s="98"/>
      <c r="EO1388" s="98"/>
      <c r="EP1388" s="98"/>
      <c r="EQ1388" s="98"/>
      <c r="ER1388" s="98"/>
      <c r="ES1388" s="98"/>
      <c r="ET1388" s="98"/>
      <c r="EU1388" s="98"/>
      <c r="EV1388" s="98"/>
      <c r="EW1388" s="98"/>
      <c r="EX1388" s="98"/>
      <c r="EY1388" s="98"/>
      <c r="EZ1388" s="178"/>
    </row>
    <row r="1389" spans="60:156">
      <c r="BH1389" s="19"/>
      <c r="BI1389" s="19"/>
      <c r="BJ1389" s="19"/>
      <c r="BK1389" s="19"/>
      <c r="BL1389" s="19"/>
      <c r="BM1389" s="98"/>
      <c r="BN1389" s="98"/>
      <c r="BO1389" s="98"/>
      <c r="BP1389" s="98"/>
      <c r="BQ1389" s="98"/>
      <c r="BR1389" s="98"/>
      <c r="BS1389" s="98"/>
      <c r="BT1389" s="98"/>
      <c r="BU1389" s="98"/>
      <c r="BV1389" s="98"/>
      <c r="BW1389" s="98"/>
      <c r="BX1389" s="98"/>
      <c r="BY1389" s="98"/>
      <c r="BZ1389" s="98"/>
      <c r="DA1389" s="177"/>
      <c r="EH1389" s="19"/>
      <c r="EI1389" s="19"/>
      <c r="EJ1389" s="19"/>
      <c r="EK1389" s="19"/>
      <c r="EL1389" s="19"/>
      <c r="EM1389" s="98"/>
      <c r="EN1389" s="98"/>
      <c r="EO1389" s="98"/>
      <c r="EP1389" s="98"/>
      <c r="EQ1389" s="98"/>
      <c r="ER1389" s="98"/>
      <c r="ES1389" s="98"/>
      <c r="ET1389" s="98"/>
      <c r="EU1389" s="98"/>
      <c r="EV1389" s="98"/>
      <c r="EW1389" s="98"/>
      <c r="EX1389" s="98"/>
      <c r="EY1389" s="98"/>
      <c r="EZ1389" s="178"/>
    </row>
    <row r="1390" spans="60:156">
      <c r="BH1390" s="19"/>
      <c r="BI1390" s="19"/>
      <c r="BJ1390" s="19"/>
      <c r="BK1390" s="19"/>
      <c r="BL1390" s="19"/>
      <c r="BM1390" s="98"/>
      <c r="BN1390" s="98"/>
      <c r="BO1390" s="98"/>
      <c r="BP1390" s="98"/>
      <c r="BQ1390" s="98"/>
      <c r="BR1390" s="98"/>
      <c r="BS1390" s="98"/>
      <c r="BT1390" s="98"/>
      <c r="BU1390" s="98"/>
      <c r="BV1390" s="98"/>
      <c r="BW1390" s="98"/>
      <c r="BX1390" s="98"/>
      <c r="BY1390" s="98"/>
      <c r="BZ1390" s="98"/>
      <c r="DA1390" s="177"/>
      <c r="EH1390" s="19"/>
      <c r="EI1390" s="19"/>
      <c r="EJ1390" s="19"/>
      <c r="EK1390" s="19"/>
      <c r="EL1390" s="19"/>
      <c r="EM1390" s="98"/>
      <c r="EN1390" s="98"/>
      <c r="EO1390" s="98"/>
      <c r="EP1390" s="98"/>
      <c r="EQ1390" s="98"/>
      <c r="ER1390" s="98"/>
      <c r="ES1390" s="98"/>
      <c r="ET1390" s="98"/>
      <c r="EU1390" s="98"/>
      <c r="EV1390" s="98"/>
      <c r="EW1390" s="98"/>
      <c r="EX1390" s="98"/>
      <c r="EY1390" s="98"/>
      <c r="EZ1390" s="178"/>
    </row>
    <row r="1391" spans="60:156">
      <c r="BH1391" s="19"/>
      <c r="BI1391" s="19"/>
      <c r="BJ1391" s="19"/>
      <c r="BK1391" s="19"/>
      <c r="BL1391" s="19"/>
      <c r="BM1391" s="98"/>
      <c r="BN1391" s="98"/>
      <c r="BO1391" s="98"/>
      <c r="BP1391" s="98"/>
      <c r="BQ1391" s="98"/>
      <c r="BR1391" s="98"/>
      <c r="BS1391" s="98"/>
      <c r="BT1391" s="98"/>
      <c r="BU1391" s="98"/>
      <c r="BV1391" s="98"/>
      <c r="BW1391" s="98"/>
      <c r="BX1391" s="98"/>
      <c r="BY1391" s="98"/>
      <c r="BZ1391" s="98"/>
      <c r="DA1391" s="177"/>
      <c r="EH1391" s="19"/>
      <c r="EI1391" s="19"/>
      <c r="EJ1391" s="19"/>
      <c r="EK1391" s="19"/>
      <c r="EL1391" s="19"/>
      <c r="EM1391" s="98"/>
      <c r="EN1391" s="98"/>
      <c r="EO1391" s="98"/>
      <c r="EP1391" s="98"/>
      <c r="EQ1391" s="98"/>
      <c r="ER1391" s="98"/>
      <c r="ES1391" s="98"/>
      <c r="ET1391" s="98"/>
      <c r="EU1391" s="98"/>
      <c r="EV1391" s="98"/>
      <c r="EW1391" s="98"/>
      <c r="EX1391" s="98"/>
      <c r="EY1391" s="98"/>
      <c r="EZ1391" s="178"/>
    </row>
    <row r="1392" spans="60:156">
      <c r="BH1392" s="19"/>
      <c r="BI1392" s="19"/>
      <c r="BJ1392" s="19"/>
      <c r="BK1392" s="19"/>
      <c r="BL1392" s="19"/>
      <c r="BM1392" s="98"/>
      <c r="BN1392" s="98"/>
      <c r="BO1392" s="98"/>
      <c r="BP1392" s="98"/>
      <c r="BQ1392" s="98"/>
      <c r="BR1392" s="98"/>
      <c r="BS1392" s="98"/>
      <c r="BT1392" s="98"/>
      <c r="BU1392" s="98"/>
      <c r="BV1392" s="98"/>
      <c r="BW1392" s="98"/>
      <c r="BX1392" s="98"/>
      <c r="BY1392" s="98"/>
      <c r="BZ1392" s="98"/>
      <c r="DA1392" s="177"/>
      <c r="EH1392" s="19"/>
      <c r="EI1392" s="19"/>
      <c r="EJ1392" s="19"/>
      <c r="EK1392" s="19"/>
      <c r="EL1392" s="19"/>
      <c r="EM1392" s="98"/>
      <c r="EN1392" s="98"/>
      <c r="EO1392" s="98"/>
      <c r="EP1392" s="98"/>
      <c r="EQ1392" s="98"/>
      <c r="ER1392" s="98"/>
      <c r="ES1392" s="98"/>
      <c r="ET1392" s="98"/>
      <c r="EU1392" s="98"/>
      <c r="EV1392" s="98"/>
      <c r="EW1392" s="98"/>
      <c r="EX1392" s="98"/>
      <c r="EY1392" s="98"/>
      <c r="EZ1392" s="178"/>
    </row>
    <row r="1393" spans="60:156">
      <c r="BH1393" s="19"/>
      <c r="BI1393" s="19"/>
      <c r="BJ1393" s="19"/>
      <c r="BK1393" s="19"/>
      <c r="BL1393" s="19"/>
      <c r="BM1393" s="98"/>
      <c r="BN1393" s="98"/>
      <c r="BO1393" s="98"/>
      <c r="BP1393" s="98"/>
      <c r="BQ1393" s="98"/>
      <c r="BR1393" s="98"/>
      <c r="BS1393" s="98"/>
      <c r="BT1393" s="98"/>
      <c r="BU1393" s="98"/>
      <c r="BV1393" s="98"/>
      <c r="BW1393" s="98"/>
      <c r="BX1393" s="98"/>
      <c r="BY1393" s="98"/>
      <c r="BZ1393" s="98"/>
      <c r="DA1393" s="177"/>
      <c r="EH1393" s="19"/>
      <c r="EI1393" s="19"/>
      <c r="EJ1393" s="19"/>
      <c r="EK1393" s="19"/>
      <c r="EL1393" s="19"/>
      <c r="EM1393" s="98"/>
      <c r="EN1393" s="98"/>
      <c r="EO1393" s="98"/>
      <c r="EP1393" s="98"/>
      <c r="EQ1393" s="98"/>
      <c r="ER1393" s="98"/>
      <c r="ES1393" s="98"/>
      <c r="ET1393" s="98"/>
      <c r="EU1393" s="98"/>
      <c r="EV1393" s="98"/>
      <c r="EW1393" s="98"/>
      <c r="EX1393" s="98"/>
      <c r="EY1393" s="98"/>
      <c r="EZ1393" s="178"/>
    </row>
    <row r="1394" spans="60:156">
      <c r="BH1394" s="19"/>
      <c r="BI1394" s="19"/>
      <c r="BJ1394" s="19"/>
      <c r="BK1394" s="19"/>
      <c r="BL1394" s="19"/>
      <c r="BM1394" s="98"/>
      <c r="BN1394" s="98"/>
      <c r="BO1394" s="98"/>
      <c r="BP1394" s="98"/>
      <c r="BQ1394" s="98"/>
      <c r="BR1394" s="98"/>
      <c r="BS1394" s="98"/>
      <c r="BT1394" s="98"/>
      <c r="BU1394" s="98"/>
      <c r="BV1394" s="98"/>
      <c r="BW1394" s="98"/>
      <c r="BX1394" s="98"/>
      <c r="BY1394" s="98"/>
      <c r="BZ1394" s="98"/>
      <c r="DA1394" s="177"/>
      <c r="EH1394" s="19"/>
      <c r="EI1394" s="19"/>
      <c r="EJ1394" s="19"/>
      <c r="EK1394" s="19"/>
      <c r="EL1394" s="19"/>
      <c r="EM1394" s="98"/>
      <c r="EN1394" s="98"/>
      <c r="EO1394" s="98"/>
      <c r="EP1394" s="98"/>
      <c r="EQ1394" s="98"/>
      <c r="ER1394" s="98"/>
      <c r="ES1394" s="98"/>
      <c r="ET1394" s="98"/>
      <c r="EU1394" s="98"/>
      <c r="EV1394" s="98"/>
      <c r="EW1394" s="98"/>
      <c r="EX1394" s="98"/>
      <c r="EY1394" s="98"/>
      <c r="EZ1394" s="178"/>
    </row>
    <row r="1395" spans="60:156">
      <c r="BH1395" s="19"/>
      <c r="BI1395" s="19"/>
      <c r="BJ1395" s="19"/>
      <c r="BK1395" s="19"/>
      <c r="BL1395" s="19"/>
      <c r="BM1395" s="98"/>
      <c r="BN1395" s="98"/>
      <c r="BO1395" s="98"/>
      <c r="BP1395" s="98"/>
      <c r="BQ1395" s="98"/>
      <c r="BR1395" s="98"/>
      <c r="BS1395" s="98"/>
      <c r="BT1395" s="98"/>
      <c r="BU1395" s="98"/>
      <c r="BV1395" s="98"/>
      <c r="BW1395" s="98"/>
      <c r="BX1395" s="98"/>
      <c r="BY1395" s="98"/>
      <c r="BZ1395" s="98"/>
      <c r="DA1395" s="177"/>
      <c r="EH1395" s="19"/>
      <c r="EI1395" s="19"/>
      <c r="EJ1395" s="19"/>
      <c r="EK1395" s="19"/>
      <c r="EL1395" s="19"/>
      <c r="EM1395" s="98"/>
      <c r="EN1395" s="98"/>
      <c r="EO1395" s="98"/>
      <c r="EP1395" s="98"/>
      <c r="EQ1395" s="98"/>
      <c r="ER1395" s="98"/>
      <c r="ES1395" s="98"/>
      <c r="ET1395" s="98"/>
      <c r="EU1395" s="98"/>
      <c r="EV1395" s="98"/>
      <c r="EW1395" s="98"/>
      <c r="EX1395" s="98"/>
      <c r="EY1395" s="98"/>
      <c r="EZ1395" s="178"/>
    </row>
    <row r="1396" spans="60:156">
      <c r="BH1396" s="19"/>
      <c r="BI1396" s="19"/>
      <c r="BJ1396" s="19"/>
      <c r="BK1396" s="19"/>
      <c r="BL1396" s="19"/>
      <c r="BM1396" s="98"/>
      <c r="BN1396" s="98"/>
      <c r="BO1396" s="98"/>
      <c r="BP1396" s="98"/>
      <c r="BQ1396" s="98"/>
      <c r="BR1396" s="98"/>
      <c r="BS1396" s="98"/>
      <c r="BT1396" s="98"/>
      <c r="BU1396" s="98"/>
      <c r="BV1396" s="98"/>
      <c r="BW1396" s="98"/>
      <c r="BX1396" s="98"/>
      <c r="BY1396" s="98"/>
      <c r="BZ1396" s="98"/>
      <c r="DA1396" s="177"/>
      <c r="EH1396" s="19"/>
      <c r="EI1396" s="19"/>
      <c r="EJ1396" s="19"/>
      <c r="EK1396" s="19"/>
      <c r="EL1396" s="19"/>
      <c r="EM1396" s="98"/>
      <c r="EN1396" s="98"/>
      <c r="EO1396" s="98"/>
      <c r="EP1396" s="98"/>
      <c r="EQ1396" s="98"/>
      <c r="ER1396" s="98"/>
      <c r="ES1396" s="98"/>
      <c r="ET1396" s="98"/>
      <c r="EU1396" s="98"/>
      <c r="EV1396" s="98"/>
      <c r="EW1396" s="98"/>
      <c r="EX1396" s="98"/>
      <c r="EY1396" s="98"/>
      <c r="EZ1396" s="178"/>
    </row>
    <row r="1397" spans="60:156">
      <c r="BH1397" s="19"/>
      <c r="BI1397" s="19"/>
      <c r="BJ1397" s="19"/>
      <c r="BK1397" s="19"/>
      <c r="BL1397" s="19"/>
      <c r="BM1397" s="98"/>
      <c r="BN1397" s="98"/>
      <c r="BO1397" s="98"/>
      <c r="BP1397" s="98"/>
      <c r="BQ1397" s="98"/>
      <c r="BR1397" s="98"/>
      <c r="BS1397" s="98"/>
      <c r="BT1397" s="98"/>
      <c r="BU1397" s="98"/>
      <c r="BV1397" s="98"/>
      <c r="BW1397" s="98"/>
      <c r="BX1397" s="98"/>
      <c r="BY1397" s="98"/>
      <c r="BZ1397" s="98"/>
      <c r="DA1397" s="177"/>
      <c r="EH1397" s="19"/>
      <c r="EI1397" s="19"/>
      <c r="EJ1397" s="19"/>
      <c r="EK1397" s="19"/>
      <c r="EL1397" s="19"/>
      <c r="EM1397" s="98"/>
      <c r="EN1397" s="98"/>
      <c r="EO1397" s="98"/>
      <c r="EP1397" s="98"/>
      <c r="EQ1397" s="98"/>
      <c r="ER1397" s="98"/>
      <c r="ES1397" s="98"/>
      <c r="ET1397" s="98"/>
      <c r="EU1397" s="98"/>
      <c r="EV1397" s="98"/>
      <c r="EW1397" s="98"/>
      <c r="EX1397" s="98"/>
      <c r="EY1397" s="98"/>
      <c r="EZ1397" s="178"/>
    </row>
    <row r="1398" spans="60:156">
      <c r="BH1398" s="19"/>
      <c r="BI1398" s="19"/>
      <c r="BJ1398" s="19"/>
      <c r="BK1398" s="19"/>
      <c r="BL1398" s="19"/>
      <c r="BM1398" s="98"/>
      <c r="BN1398" s="98"/>
      <c r="BO1398" s="98"/>
      <c r="BP1398" s="98"/>
      <c r="BQ1398" s="98"/>
      <c r="BR1398" s="98"/>
      <c r="BS1398" s="98"/>
      <c r="BT1398" s="98"/>
      <c r="BU1398" s="98"/>
      <c r="BV1398" s="98"/>
      <c r="BW1398" s="98"/>
      <c r="BX1398" s="98"/>
      <c r="BY1398" s="98"/>
      <c r="BZ1398" s="98"/>
      <c r="DA1398" s="177"/>
      <c r="EH1398" s="19"/>
      <c r="EI1398" s="19"/>
      <c r="EJ1398" s="19"/>
      <c r="EK1398" s="19"/>
      <c r="EL1398" s="19"/>
      <c r="EM1398" s="98"/>
      <c r="EN1398" s="98"/>
      <c r="EO1398" s="98"/>
      <c r="EP1398" s="98"/>
      <c r="EQ1398" s="98"/>
      <c r="ER1398" s="98"/>
      <c r="ES1398" s="98"/>
      <c r="ET1398" s="98"/>
      <c r="EU1398" s="98"/>
      <c r="EV1398" s="98"/>
      <c r="EW1398" s="98"/>
      <c r="EX1398" s="98"/>
      <c r="EY1398" s="98"/>
      <c r="EZ1398" s="178"/>
    </row>
    <row r="1399" spans="60:156">
      <c r="BH1399" s="19"/>
      <c r="BI1399" s="19"/>
      <c r="BJ1399" s="19"/>
      <c r="BK1399" s="19"/>
      <c r="BL1399" s="19"/>
      <c r="BM1399" s="98"/>
      <c r="BN1399" s="98"/>
      <c r="BO1399" s="98"/>
      <c r="BP1399" s="98"/>
      <c r="BQ1399" s="98"/>
      <c r="BR1399" s="98"/>
      <c r="BS1399" s="98"/>
      <c r="BT1399" s="98"/>
      <c r="BU1399" s="98"/>
      <c r="BV1399" s="98"/>
      <c r="BW1399" s="98"/>
      <c r="BX1399" s="98"/>
      <c r="BY1399" s="98"/>
      <c r="BZ1399" s="98"/>
      <c r="DA1399" s="177"/>
      <c r="EH1399" s="19"/>
      <c r="EI1399" s="19"/>
      <c r="EJ1399" s="19"/>
      <c r="EK1399" s="19"/>
      <c r="EL1399" s="19"/>
      <c r="EM1399" s="98"/>
      <c r="EN1399" s="98"/>
      <c r="EO1399" s="98"/>
      <c r="EP1399" s="98"/>
      <c r="EQ1399" s="98"/>
      <c r="ER1399" s="98"/>
      <c r="ES1399" s="98"/>
      <c r="ET1399" s="98"/>
      <c r="EU1399" s="98"/>
      <c r="EV1399" s="98"/>
      <c r="EW1399" s="98"/>
      <c r="EX1399" s="98"/>
      <c r="EY1399" s="98"/>
      <c r="EZ1399" s="178"/>
    </row>
    <row r="1400" spans="60:156">
      <c r="BH1400" s="19"/>
      <c r="BI1400" s="19"/>
      <c r="BJ1400" s="19"/>
      <c r="BK1400" s="19"/>
      <c r="BL1400" s="19"/>
      <c r="BM1400" s="98"/>
      <c r="BN1400" s="98"/>
      <c r="BO1400" s="98"/>
      <c r="BP1400" s="98"/>
      <c r="BQ1400" s="98"/>
      <c r="BR1400" s="98"/>
      <c r="BS1400" s="98"/>
      <c r="BT1400" s="98"/>
      <c r="BU1400" s="98"/>
      <c r="BV1400" s="98"/>
      <c r="BW1400" s="98"/>
      <c r="BX1400" s="98"/>
      <c r="BY1400" s="98"/>
      <c r="BZ1400" s="98"/>
      <c r="DA1400" s="177"/>
      <c r="EH1400" s="19"/>
      <c r="EI1400" s="19"/>
      <c r="EJ1400" s="19"/>
      <c r="EK1400" s="19"/>
      <c r="EL1400" s="19"/>
      <c r="EM1400" s="98"/>
      <c r="EN1400" s="98"/>
      <c r="EO1400" s="98"/>
      <c r="EP1400" s="98"/>
      <c r="EQ1400" s="98"/>
      <c r="ER1400" s="98"/>
      <c r="ES1400" s="98"/>
      <c r="ET1400" s="98"/>
      <c r="EU1400" s="98"/>
      <c r="EV1400" s="98"/>
      <c r="EW1400" s="98"/>
      <c r="EX1400" s="98"/>
      <c r="EY1400" s="98"/>
      <c r="EZ1400" s="178"/>
    </row>
    <row r="1401" spans="60:156">
      <c r="BH1401" s="19"/>
      <c r="BI1401" s="19"/>
      <c r="BJ1401" s="19"/>
      <c r="BK1401" s="19"/>
      <c r="BL1401" s="19"/>
      <c r="BM1401" s="98"/>
      <c r="BN1401" s="98"/>
      <c r="BO1401" s="98"/>
      <c r="BP1401" s="98"/>
      <c r="BQ1401" s="98"/>
      <c r="BR1401" s="98"/>
      <c r="BS1401" s="98"/>
      <c r="BT1401" s="98"/>
      <c r="BU1401" s="98"/>
      <c r="BV1401" s="98"/>
      <c r="BW1401" s="98"/>
      <c r="BX1401" s="98"/>
      <c r="BY1401" s="98"/>
      <c r="BZ1401" s="98"/>
      <c r="DA1401" s="177"/>
      <c r="EH1401" s="19"/>
      <c r="EI1401" s="19"/>
      <c r="EJ1401" s="19"/>
      <c r="EK1401" s="19"/>
      <c r="EL1401" s="19"/>
      <c r="EM1401" s="98"/>
      <c r="EN1401" s="98"/>
      <c r="EO1401" s="98"/>
      <c r="EP1401" s="98"/>
      <c r="EQ1401" s="98"/>
      <c r="ER1401" s="98"/>
      <c r="ES1401" s="98"/>
      <c r="ET1401" s="98"/>
      <c r="EU1401" s="98"/>
      <c r="EV1401" s="98"/>
      <c r="EW1401" s="98"/>
      <c r="EX1401" s="98"/>
      <c r="EY1401" s="98"/>
      <c r="EZ1401" s="178"/>
    </row>
    <row r="1402" spans="60:156">
      <c r="BH1402" s="19"/>
      <c r="BI1402" s="19"/>
      <c r="BJ1402" s="19"/>
      <c r="BK1402" s="19"/>
      <c r="BL1402" s="19"/>
      <c r="BM1402" s="98"/>
      <c r="BN1402" s="98"/>
      <c r="BO1402" s="98"/>
      <c r="BP1402" s="98"/>
      <c r="BQ1402" s="98"/>
      <c r="BR1402" s="98"/>
      <c r="BS1402" s="98"/>
      <c r="BT1402" s="98"/>
      <c r="BU1402" s="98"/>
      <c r="BV1402" s="98"/>
      <c r="BW1402" s="98"/>
      <c r="BX1402" s="98"/>
      <c r="BY1402" s="98"/>
      <c r="BZ1402" s="98"/>
      <c r="DA1402" s="177"/>
      <c r="EH1402" s="19"/>
      <c r="EI1402" s="19"/>
      <c r="EJ1402" s="19"/>
      <c r="EK1402" s="19"/>
      <c r="EL1402" s="19"/>
      <c r="EM1402" s="98"/>
      <c r="EN1402" s="98"/>
      <c r="EO1402" s="98"/>
      <c r="EP1402" s="98"/>
      <c r="EQ1402" s="98"/>
      <c r="ER1402" s="98"/>
      <c r="ES1402" s="98"/>
      <c r="ET1402" s="98"/>
      <c r="EU1402" s="98"/>
      <c r="EV1402" s="98"/>
      <c r="EW1402" s="98"/>
      <c r="EX1402" s="98"/>
      <c r="EY1402" s="98"/>
      <c r="EZ1402" s="178"/>
    </row>
    <row r="1403" spans="60:156">
      <c r="BH1403" s="19"/>
      <c r="BI1403" s="19"/>
      <c r="BJ1403" s="19"/>
      <c r="BK1403" s="19"/>
      <c r="BL1403" s="19"/>
      <c r="BM1403" s="98"/>
      <c r="BN1403" s="98"/>
      <c r="BO1403" s="98"/>
      <c r="BP1403" s="98"/>
      <c r="BQ1403" s="98"/>
      <c r="BR1403" s="98"/>
      <c r="BS1403" s="98"/>
      <c r="BT1403" s="98"/>
      <c r="BU1403" s="98"/>
      <c r="BV1403" s="98"/>
      <c r="BW1403" s="98"/>
      <c r="BX1403" s="98"/>
      <c r="BY1403" s="98"/>
      <c r="BZ1403" s="98"/>
      <c r="DA1403" s="177"/>
      <c r="EH1403" s="19"/>
      <c r="EI1403" s="19"/>
      <c r="EJ1403" s="19"/>
      <c r="EK1403" s="19"/>
      <c r="EL1403" s="19"/>
      <c r="EM1403" s="98"/>
      <c r="EN1403" s="98"/>
      <c r="EO1403" s="98"/>
      <c r="EP1403" s="98"/>
      <c r="EQ1403" s="98"/>
      <c r="ER1403" s="98"/>
      <c r="ES1403" s="98"/>
      <c r="ET1403" s="98"/>
      <c r="EU1403" s="98"/>
      <c r="EV1403" s="98"/>
      <c r="EW1403" s="98"/>
      <c r="EX1403" s="98"/>
      <c r="EY1403" s="98"/>
      <c r="EZ1403" s="178"/>
    </row>
    <row r="1404" spans="60:156">
      <c r="BH1404" s="19"/>
      <c r="BI1404" s="19"/>
      <c r="BJ1404" s="19"/>
      <c r="BK1404" s="19"/>
      <c r="BL1404" s="19"/>
      <c r="BM1404" s="98"/>
      <c r="BN1404" s="98"/>
      <c r="BO1404" s="98"/>
      <c r="BP1404" s="98"/>
      <c r="BQ1404" s="98"/>
      <c r="BR1404" s="98"/>
      <c r="BS1404" s="98"/>
      <c r="BT1404" s="98"/>
      <c r="BU1404" s="98"/>
      <c r="BV1404" s="98"/>
      <c r="BW1404" s="98"/>
      <c r="BX1404" s="98"/>
      <c r="BY1404" s="98"/>
      <c r="BZ1404" s="98"/>
      <c r="DA1404" s="177"/>
      <c r="EH1404" s="19"/>
      <c r="EI1404" s="19"/>
      <c r="EJ1404" s="19"/>
      <c r="EK1404" s="19"/>
      <c r="EL1404" s="19"/>
      <c r="EM1404" s="98"/>
      <c r="EN1404" s="98"/>
      <c r="EO1404" s="98"/>
      <c r="EP1404" s="98"/>
      <c r="EQ1404" s="98"/>
      <c r="ER1404" s="98"/>
      <c r="ES1404" s="98"/>
      <c r="ET1404" s="98"/>
      <c r="EU1404" s="98"/>
      <c r="EV1404" s="98"/>
      <c r="EW1404" s="98"/>
      <c r="EX1404" s="98"/>
      <c r="EY1404" s="98"/>
      <c r="EZ1404" s="178"/>
    </row>
    <row r="1405" spans="60:156">
      <c r="BH1405" s="19"/>
      <c r="BI1405" s="19"/>
      <c r="BJ1405" s="19"/>
      <c r="BK1405" s="19"/>
      <c r="BL1405" s="19"/>
      <c r="BM1405" s="98"/>
      <c r="BN1405" s="98"/>
      <c r="BO1405" s="98"/>
      <c r="BP1405" s="98"/>
      <c r="BQ1405" s="98"/>
      <c r="BR1405" s="98"/>
      <c r="BS1405" s="98"/>
      <c r="BT1405" s="98"/>
      <c r="BU1405" s="98"/>
      <c r="BV1405" s="98"/>
      <c r="BW1405" s="98"/>
      <c r="BX1405" s="98"/>
      <c r="BY1405" s="98"/>
      <c r="BZ1405" s="98"/>
      <c r="DA1405" s="177"/>
      <c r="EH1405" s="19"/>
      <c r="EI1405" s="19"/>
      <c r="EJ1405" s="19"/>
      <c r="EK1405" s="19"/>
      <c r="EL1405" s="19"/>
      <c r="EM1405" s="98"/>
      <c r="EN1405" s="98"/>
      <c r="EO1405" s="98"/>
      <c r="EP1405" s="98"/>
      <c r="EQ1405" s="98"/>
      <c r="ER1405" s="98"/>
      <c r="ES1405" s="98"/>
      <c r="ET1405" s="98"/>
      <c r="EU1405" s="98"/>
      <c r="EV1405" s="98"/>
      <c r="EW1405" s="98"/>
      <c r="EX1405" s="98"/>
      <c r="EY1405" s="98"/>
      <c r="EZ1405" s="178"/>
    </row>
    <row r="1406" spans="60:156">
      <c r="BH1406" s="19"/>
      <c r="BI1406" s="19"/>
      <c r="BJ1406" s="19"/>
      <c r="BK1406" s="19"/>
      <c r="BL1406" s="19"/>
      <c r="BM1406" s="98"/>
      <c r="BN1406" s="98"/>
      <c r="BO1406" s="98"/>
      <c r="BP1406" s="98"/>
      <c r="BQ1406" s="98"/>
      <c r="BR1406" s="98"/>
      <c r="BS1406" s="98"/>
      <c r="BT1406" s="98"/>
      <c r="BU1406" s="98"/>
      <c r="BV1406" s="98"/>
      <c r="BW1406" s="98"/>
      <c r="BX1406" s="98"/>
      <c r="BY1406" s="98"/>
      <c r="BZ1406" s="98"/>
      <c r="DA1406" s="177"/>
      <c r="EH1406" s="19"/>
      <c r="EI1406" s="19"/>
      <c r="EJ1406" s="19"/>
      <c r="EK1406" s="19"/>
      <c r="EL1406" s="19"/>
      <c r="EM1406" s="98"/>
      <c r="EN1406" s="98"/>
      <c r="EO1406" s="98"/>
      <c r="EP1406" s="98"/>
      <c r="EQ1406" s="98"/>
      <c r="ER1406" s="98"/>
      <c r="ES1406" s="98"/>
      <c r="ET1406" s="98"/>
      <c r="EU1406" s="98"/>
      <c r="EV1406" s="98"/>
      <c r="EW1406" s="98"/>
      <c r="EX1406" s="98"/>
      <c r="EY1406" s="98"/>
      <c r="EZ1406" s="178"/>
    </row>
    <row r="1407" spans="60:156">
      <c r="BH1407" s="19"/>
      <c r="BI1407" s="19"/>
      <c r="BJ1407" s="19"/>
      <c r="BK1407" s="19"/>
      <c r="BL1407" s="19"/>
      <c r="BM1407" s="98"/>
      <c r="BN1407" s="98"/>
      <c r="BO1407" s="98"/>
      <c r="BP1407" s="98"/>
      <c r="BQ1407" s="98"/>
      <c r="BR1407" s="98"/>
      <c r="BS1407" s="98"/>
      <c r="BT1407" s="98"/>
      <c r="BU1407" s="98"/>
      <c r="BV1407" s="98"/>
      <c r="BW1407" s="98"/>
      <c r="BX1407" s="98"/>
      <c r="BY1407" s="98"/>
      <c r="BZ1407" s="98"/>
      <c r="DA1407" s="177"/>
      <c r="EH1407" s="19"/>
      <c r="EI1407" s="19"/>
      <c r="EJ1407" s="19"/>
      <c r="EK1407" s="19"/>
      <c r="EL1407" s="19"/>
      <c r="EM1407" s="98"/>
      <c r="EN1407" s="98"/>
      <c r="EO1407" s="98"/>
      <c r="EP1407" s="98"/>
      <c r="EQ1407" s="98"/>
      <c r="ER1407" s="98"/>
      <c r="ES1407" s="98"/>
      <c r="ET1407" s="98"/>
      <c r="EU1407" s="98"/>
      <c r="EV1407" s="98"/>
      <c r="EW1407" s="98"/>
      <c r="EX1407" s="98"/>
      <c r="EY1407" s="98"/>
      <c r="EZ1407" s="178"/>
    </row>
    <row r="1408" spans="60:156">
      <c r="BH1408" s="19"/>
      <c r="BI1408" s="19"/>
      <c r="BJ1408" s="19"/>
      <c r="BK1408" s="19"/>
      <c r="BL1408" s="19"/>
      <c r="BM1408" s="98"/>
      <c r="BN1408" s="98"/>
      <c r="BO1408" s="98"/>
      <c r="BP1408" s="98"/>
      <c r="BQ1408" s="98"/>
      <c r="BR1408" s="98"/>
      <c r="BS1408" s="98"/>
      <c r="BT1408" s="98"/>
      <c r="BU1408" s="98"/>
      <c r="BV1408" s="98"/>
      <c r="BW1408" s="98"/>
      <c r="BX1408" s="98"/>
      <c r="BY1408" s="98"/>
      <c r="BZ1408" s="98"/>
      <c r="DA1408" s="177"/>
      <c r="EH1408" s="19"/>
      <c r="EI1408" s="19"/>
      <c r="EJ1408" s="19"/>
      <c r="EK1408" s="19"/>
      <c r="EL1408" s="19"/>
      <c r="EM1408" s="98"/>
      <c r="EN1408" s="98"/>
      <c r="EO1408" s="98"/>
      <c r="EP1408" s="98"/>
      <c r="EQ1408" s="98"/>
      <c r="ER1408" s="98"/>
      <c r="ES1408" s="98"/>
      <c r="ET1408" s="98"/>
      <c r="EU1408" s="98"/>
      <c r="EV1408" s="98"/>
      <c r="EW1408" s="98"/>
      <c r="EX1408" s="98"/>
      <c r="EY1408" s="98"/>
      <c r="EZ1408" s="178"/>
    </row>
    <row r="1409" spans="60:156">
      <c r="BH1409" s="19"/>
      <c r="BI1409" s="19"/>
      <c r="BJ1409" s="19"/>
      <c r="BK1409" s="19"/>
      <c r="BL1409" s="19"/>
      <c r="BM1409" s="98"/>
      <c r="BN1409" s="98"/>
      <c r="BO1409" s="98"/>
      <c r="BP1409" s="98"/>
      <c r="BQ1409" s="98"/>
      <c r="BR1409" s="98"/>
      <c r="BS1409" s="98"/>
      <c r="BT1409" s="98"/>
      <c r="BU1409" s="98"/>
      <c r="BV1409" s="98"/>
      <c r="BW1409" s="98"/>
      <c r="BX1409" s="98"/>
      <c r="BY1409" s="98"/>
      <c r="BZ1409" s="98"/>
      <c r="DA1409" s="177"/>
      <c r="EH1409" s="19"/>
      <c r="EI1409" s="19"/>
      <c r="EJ1409" s="19"/>
      <c r="EK1409" s="19"/>
      <c r="EL1409" s="19"/>
      <c r="EM1409" s="98"/>
      <c r="EN1409" s="98"/>
      <c r="EO1409" s="98"/>
      <c r="EP1409" s="98"/>
      <c r="EQ1409" s="98"/>
      <c r="ER1409" s="98"/>
      <c r="ES1409" s="98"/>
      <c r="ET1409" s="98"/>
      <c r="EU1409" s="98"/>
      <c r="EV1409" s="98"/>
      <c r="EW1409" s="98"/>
      <c r="EX1409" s="98"/>
      <c r="EY1409" s="98"/>
      <c r="EZ1409" s="178"/>
    </row>
    <row r="1410" spans="60:156">
      <c r="BH1410" s="19"/>
      <c r="BI1410" s="19"/>
      <c r="BJ1410" s="19"/>
      <c r="BK1410" s="19"/>
      <c r="BL1410" s="19"/>
      <c r="BM1410" s="98"/>
      <c r="BN1410" s="98"/>
      <c r="BO1410" s="98"/>
      <c r="BP1410" s="98"/>
      <c r="BQ1410" s="98"/>
      <c r="BR1410" s="98"/>
      <c r="BS1410" s="98"/>
      <c r="BT1410" s="98"/>
      <c r="BU1410" s="98"/>
      <c r="BV1410" s="98"/>
      <c r="BW1410" s="98"/>
      <c r="BX1410" s="98"/>
      <c r="BY1410" s="98"/>
      <c r="BZ1410" s="98"/>
      <c r="DA1410" s="177"/>
      <c r="EH1410" s="19"/>
      <c r="EI1410" s="19"/>
      <c r="EJ1410" s="19"/>
      <c r="EK1410" s="19"/>
      <c r="EL1410" s="19"/>
      <c r="EM1410" s="98"/>
      <c r="EN1410" s="98"/>
      <c r="EO1410" s="98"/>
      <c r="EP1410" s="98"/>
      <c r="EQ1410" s="98"/>
      <c r="ER1410" s="98"/>
      <c r="ES1410" s="98"/>
      <c r="ET1410" s="98"/>
      <c r="EU1410" s="98"/>
      <c r="EV1410" s="98"/>
      <c r="EW1410" s="98"/>
      <c r="EX1410" s="98"/>
      <c r="EY1410" s="98"/>
      <c r="EZ1410" s="178"/>
    </row>
    <row r="1411" spans="60:156">
      <c r="BH1411" s="19"/>
      <c r="BI1411" s="19"/>
      <c r="BJ1411" s="19"/>
      <c r="BK1411" s="19"/>
      <c r="BL1411" s="19"/>
      <c r="BM1411" s="98"/>
      <c r="BN1411" s="98"/>
      <c r="BO1411" s="98"/>
      <c r="BP1411" s="98"/>
      <c r="BQ1411" s="98"/>
      <c r="BR1411" s="98"/>
      <c r="BS1411" s="98"/>
      <c r="BT1411" s="98"/>
      <c r="BU1411" s="98"/>
      <c r="BV1411" s="98"/>
      <c r="BW1411" s="98"/>
      <c r="BX1411" s="98"/>
      <c r="BY1411" s="98"/>
      <c r="BZ1411" s="98"/>
      <c r="DA1411" s="177"/>
      <c r="EH1411" s="19"/>
      <c r="EI1411" s="19"/>
      <c r="EJ1411" s="19"/>
      <c r="EK1411" s="19"/>
      <c r="EL1411" s="19"/>
      <c r="EM1411" s="98"/>
      <c r="EN1411" s="98"/>
      <c r="EO1411" s="98"/>
      <c r="EP1411" s="98"/>
      <c r="EQ1411" s="98"/>
      <c r="ER1411" s="98"/>
      <c r="ES1411" s="98"/>
      <c r="ET1411" s="98"/>
      <c r="EU1411" s="98"/>
      <c r="EV1411" s="98"/>
      <c r="EW1411" s="98"/>
      <c r="EX1411" s="98"/>
      <c r="EY1411" s="98"/>
      <c r="EZ1411" s="178"/>
    </row>
    <row r="1412" spans="60:156">
      <c r="BH1412" s="19"/>
      <c r="BI1412" s="19"/>
      <c r="BJ1412" s="19"/>
      <c r="BK1412" s="19"/>
      <c r="BL1412" s="19"/>
      <c r="BM1412" s="98"/>
      <c r="BN1412" s="98"/>
      <c r="BO1412" s="98"/>
      <c r="BP1412" s="98"/>
      <c r="BQ1412" s="98"/>
      <c r="BR1412" s="98"/>
      <c r="BS1412" s="98"/>
      <c r="BT1412" s="98"/>
      <c r="BU1412" s="98"/>
      <c r="BV1412" s="98"/>
      <c r="BW1412" s="98"/>
      <c r="BX1412" s="98"/>
      <c r="BY1412" s="98"/>
      <c r="BZ1412" s="98"/>
      <c r="DA1412" s="177"/>
      <c r="EH1412" s="19"/>
      <c r="EI1412" s="19"/>
      <c r="EJ1412" s="19"/>
      <c r="EK1412" s="19"/>
      <c r="EL1412" s="19"/>
      <c r="EM1412" s="98"/>
      <c r="EN1412" s="98"/>
      <c r="EO1412" s="98"/>
      <c r="EP1412" s="98"/>
      <c r="EQ1412" s="98"/>
      <c r="ER1412" s="98"/>
      <c r="ES1412" s="98"/>
      <c r="ET1412" s="98"/>
      <c r="EU1412" s="98"/>
      <c r="EV1412" s="98"/>
      <c r="EW1412" s="98"/>
      <c r="EX1412" s="98"/>
      <c r="EY1412" s="98"/>
      <c r="EZ1412" s="178"/>
    </row>
    <row r="1413" spans="60:156">
      <c r="BH1413" s="19"/>
      <c r="BI1413" s="19"/>
      <c r="BJ1413" s="19"/>
      <c r="BK1413" s="19"/>
      <c r="BL1413" s="19"/>
      <c r="BM1413" s="98"/>
      <c r="BN1413" s="98"/>
      <c r="BO1413" s="98"/>
      <c r="BP1413" s="98"/>
      <c r="BQ1413" s="98"/>
      <c r="BR1413" s="98"/>
      <c r="BS1413" s="98"/>
      <c r="BT1413" s="98"/>
      <c r="BU1413" s="98"/>
      <c r="BV1413" s="98"/>
      <c r="BW1413" s="98"/>
      <c r="BX1413" s="98"/>
      <c r="BY1413" s="98"/>
      <c r="BZ1413" s="98"/>
      <c r="DA1413" s="177"/>
      <c r="EH1413" s="19"/>
      <c r="EI1413" s="19"/>
      <c r="EJ1413" s="19"/>
      <c r="EK1413" s="19"/>
      <c r="EL1413" s="19"/>
      <c r="EM1413" s="98"/>
      <c r="EN1413" s="98"/>
      <c r="EO1413" s="98"/>
      <c r="EP1413" s="98"/>
      <c r="EQ1413" s="98"/>
      <c r="ER1413" s="98"/>
      <c r="ES1413" s="98"/>
      <c r="ET1413" s="98"/>
      <c r="EU1413" s="98"/>
      <c r="EV1413" s="98"/>
      <c r="EW1413" s="98"/>
      <c r="EX1413" s="98"/>
      <c r="EY1413" s="98"/>
      <c r="EZ1413" s="178"/>
    </row>
    <row r="1414" spans="60:156">
      <c r="BH1414" s="19"/>
      <c r="BI1414" s="19"/>
      <c r="BJ1414" s="19"/>
      <c r="BK1414" s="19"/>
      <c r="BL1414" s="19"/>
      <c r="BM1414" s="98"/>
      <c r="BN1414" s="98"/>
      <c r="BO1414" s="98"/>
      <c r="BP1414" s="98"/>
      <c r="BQ1414" s="98"/>
      <c r="BR1414" s="98"/>
      <c r="BS1414" s="98"/>
      <c r="BT1414" s="98"/>
      <c r="BU1414" s="98"/>
      <c r="BV1414" s="98"/>
      <c r="BW1414" s="98"/>
      <c r="BX1414" s="98"/>
      <c r="BY1414" s="98"/>
      <c r="BZ1414" s="98"/>
      <c r="DA1414" s="177"/>
      <c r="EH1414" s="19"/>
      <c r="EI1414" s="19"/>
      <c r="EJ1414" s="19"/>
      <c r="EK1414" s="19"/>
      <c r="EL1414" s="19"/>
      <c r="EM1414" s="98"/>
      <c r="EN1414" s="98"/>
      <c r="EO1414" s="98"/>
      <c r="EP1414" s="98"/>
      <c r="EQ1414" s="98"/>
      <c r="ER1414" s="98"/>
      <c r="ES1414" s="98"/>
      <c r="ET1414" s="98"/>
      <c r="EU1414" s="98"/>
      <c r="EV1414" s="98"/>
      <c r="EW1414" s="98"/>
      <c r="EX1414" s="98"/>
      <c r="EY1414" s="98"/>
      <c r="EZ1414" s="178"/>
    </row>
    <row r="1415" spans="60:156">
      <c r="BH1415" s="19"/>
      <c r="BI1415" s="19"/>
      <c r="BJ1415" s="19"/>
      <c r="BK1415" s="19"/>
      <c r="BL1415" s="19"/>
      <c r="BM1415" s="98"/>
      <c r="BN1415" s="98"/>
      <c r="BO1415" s="98"/>
      <c r="BP1415" s="98"/>
      <c r="BQ1415" s="98"/>
      <c r="BR1415" s="98"/>
      <c r="BS1415" s="98"/>
      <c r="BT1415" s="98"/>
      <c r="BU1415" s="98"/>
      <c r="BV1415" s="98"/>
      <c r="BW1415" s="98"/>
      <c r="BX1415" s="98"/>
      <c r="BY1415" s="98"/>
      <c r="BZ1415" s="98"/>
      <c r="DA1415" s="177"/>
      <c r="EH1415" s="19"/>
      <c r="EI1415" s="19"/>
      <c r="EJ1415" s="19"/>
      <c r="EK1415" s="19"/>
      <c r="EL1415" s="19"/>
      <c r="EM1415" s="98"/>
      <c r="EN1415" s="98"/>
      <c r="EO1415" s="98"/>
      <c r="EP1415" s="98"/>
      <c r="EQ1415" s="98"/>
      <c r="ER1415" s="98"/>
      <c r="ES1415" s="98"/>
      <c r="ET1415" s="98"/>
      <c r="EU1415" s="98"/>
      <c r="EV1415" s="98"/>
      <c r="EW1415" s="98"/>
      <c r="EX1415" s="98"/>
      <c r="EY1415" s="98"/>
      <c r="EZ1415" s="178"/>
    </row>
    <row r="1416" spans="60:156">
      <c r="BH1416" s="19"/>
      <c r="BI1416" s="19"/>
      <c r="BJ1416" s="19"/>
      <c r="BK1416" s="19"/>
      <c r="BL1416" s="19"/>
      <c r="BM1416" s="98"/>
      <c r="BN1416" s="98"/>
      <c r="BO1416" s="98"/>
      <c r="BP1416" s="98"/>
      <c r="BQ1416" s="98"/>
      <c r="BR1416" s="98"/>
      <c r="BS1416" s="98"/>
      <c r="BT1416" s="98"/>
      <c r="BU1416" s="98"/>
      <c r="BV1416" s="98"/>
      <c r="BW1416" s="98"/>
      <c r="BX1416" s="98"/>
      <c r="BY1416" s="98"/>
      <c r="BZ1416" s="98"/>
      <c r="DA1416" s="177"/>
      <c r="EH1416" s="19"/>
      <c r="EI1416" s="19"/>
      <c r="EJ1416" s="19"/>
      <c r="EK1416" s="19"/>
      <c r="EL1416" s="19"/>
      <c r="EM1416" s="98"/>
      <c r="EN1416" s="98"/>
      <c r="EO1416" s="98"/>
      <c r="EP1416" s="98"/>
      <c r="EQ1416" s="98"/>
      <c r="ER1416" s="98"/>
      <c r="ES1416" s="98"/>
      <c r="ET1416" s="98"/>
      <c r="EU1416" s="98"/>
      <c r="EV1416" s="98"/>
      <c r="EW1416" s="98"/>
      <c r="EX1416" s="98"/>
      <c r="EY1416" s="98"/>
      <c r="EZ1416" s="178"/>
    </row>
    <row r="1417" spans="60:156">
      <c r="BH1417" s="19"/>
      <c r="BI1417" s="19"/>
      <c r="BJ1417" s="19"/>
      <c r="BK1417" s="19"/>
      <c r="BL1417" s="19"/>
      <c r="BM1417" s="98"/>
      <c r="BN1417" s="98"/>
      <c r="BO1417" s="98"/>
      <c r="BP1417" s="98"/>
      <c r="BQ1417" s="98"/>
      <c r="BR1417" s="98"/>
      <c r="BS1417" s="98"/>
      <c r="BT1417" s="98"/>
      <c r="BU1417" s="98"/>
      <c r="BV1417" s="98"/>
      <c r="BW1417" s="98"/>
      <c r="BX1417" s="98"/>
      <c r="BY1417" s="98"/>
      <c r="BZ1417" s="98"/>
      <c r="DA1417" s="177"/>
      <c r="EH1417" s="19"/>
      <c r="EI1417" s="19"/>
      <c r="EJ1417" s="19"/>
      <c r="EK1417" s="19"/>
      <c r="EL1417" s="19"/>
      <c r="EM1417" s="98"/>
      <c r="EN1417" s="98"/>
      <c r="EO1417" s="98"/>
      <c r="EP1417" s="98"/>
      <c r="EQ1417" s="98"/>
      <c r="ER1417" s="98"/>
      <c r="ES1417" s="98"/>
      <c r="ET1417" s="98"/>
      <c r="EU1417" s="98"/>
      <c r="EV1417" s="98"/>
      <c r="EW1417" s="98"/>
      <c r="EX1417" s="98"/>
      <c r="EY1417" s="98"/>
      <c r="EZ1417" s="178"/>
    </row>
    <row r="1418" spans="60:156">
      <c r="BH1418" s="19"/>
      <c r="BI1418" s="19"/>
      <c r="BJ1418" s="19"/>
      <c r="BK1418" s="19"/>
      <c r="BL1418" s="19"/>
      <c r="BM1418" s="98"/>
      <c r="BN1418" s="98"/>
      <c r="BO1418" s="98"/>
      <c r="BP1418" s="98"/>
      <c r="BQ1418" s="98"/>
      <c r="BR1418" s="98"/>
      <c r="BS1418" s="98"/>
      <c r="BT1418" s="98"/>
      <c r="BU1418" s="98"/>
      <c r="BV1418" s="98"/>
      <c r="BW1418" s="98"/>
      <c r="BX1418" s="98"/>
      <c r="BY1418" s="98"/>
      <c r="BZ1418" s="98"/>
      <c r="DA1418" s="177"/>
      <c r="EH1418" s="19"/>
      <c r="EI1418" s="19"/>
      <c r="EJ1418" s="19"/>
      <c r="EK1418" s="19"/>
      <c r="EL1418" s="19"/>
      <c r="EM1418" s="98"/>
      <c r="EN1418" s="98"/>
      <c r="EO1418" s="98"/>
      <c r="EP1418" s="98"/>
      <c r="EQ1418" s="98"/>
      <c r="ER1418" s="98"/>
      <c r="ES1418" s="98"/>
      <c r="ET1418" s="98"/>
      <c r="EU1418" s="98"/>
      <c r="EV1418" s="98"/>
      <c r="EW1418" s="98"/>
      <c r="EX1418" s="98"/>
      <c r="EY1418" s="98"/>
      <c r="EZ1418" s="178"/>
    </row>
    <row r="1419" spans="60:156">
      <c r="BH1419" s="19"/>
      <c r="BI1419" s="19"/>
      <c r="BJ1419" s="19"/>
      <c r="BK1419" s="19"/>
      <c r="BL1419" s="19"/>
      <c r="BM1419" s="98"/>
      <c r="BN1419" s="98"/>
      <c r="BO1419" s="98"/>
      <c r="BP1419" s="98"/>
      <c r="BQ1419" s="98"/>
      <c r="BR1419" s="98"/>
      <c r="BS1419" s="98"/>
      <c r="BT1419" s="98"/>
      <c r="BU1419" s="98"/>
      <c r="BV1419" s="98"/>
      <c r="BW1419" s="98"/>
      <c r="BX1419" s="98"/>
      <c r="BY1419" s="98"/>
      <c r="BZ1419" s="98"/>
      <c r="DA1419" s="177"/>
      <c r="EH1419" s="19"/>
      <c r="EI1419" s="19"/>
      <c r="EJ1419" s="19"/>
      <c r="EK1419" s="19"/>
      <c r="EL1419" s="19"/>
      <c r="EM1419" s="98"/>
      <c r="EN1419" s="98"/>
      <c r="EO1419" s="98"/>
      <c r="EP1419" s="98"/>
      <c r="EQ1419" s="98"/>
      <c r="ER1419" s="98"/>
      <c r="ES1419" s="98"/>
      <c r="ET1419" s="98"/>
      <c r="EU1419" s="98"/>
      <c r="EV1419" s="98"/>
      <c r="EW1419" s="98"/>
      <c r="EX1419" s="98"/>
      <c r="EY1419" s="98"/>
      <c r="EZ1419" s="178"/>
    </row>
    <row r="1420" spans="60:156">
      <c r="BH1420" s="19"/>
      <c r="BI1420" s="19"/>
      <c r="BJ1420" s="19"/>
      <c r="BK1420" s="19"/>
      <c r="BL1420" s="19"/>
      <c r="BM1420" s="98"/>
      <c r="BN1420" s="98"/>
      <c r="BO1420" s="98"/>
      <c r="BP1420" s="98"/>
      <c r="BQ1420" s="98"/>
      <c r="BR1420" s="98"/>
      <c r="BS1420" s="98"/>
      <c r="BT1420" s="98"/>
      <c r="BU1420" s="98"/>
      <c r="BV1420" s="98"/>
      <c r="BW1420" s="98"/>
      <c r="BX1420" s="98"/>
      <c r="BY1420" s="98"/>
      <c r="BZ1420" s="98"/>
      <c r="DA1420" s="177"/>
      <c r="EH1420" s="19"/>
      <c r="EI1420" s="19"/>
      <c r="EJ1420" s="19"/>
      <c r="EK1420" s="19"/>
      <c r="EL1420" s="19"/>
      <c r="EM1420" s="98"/>
      <c r="EN1420" s="98"/>
      <c r="EO1420" s="98"/>
      <c r="EP1420" s="98"/>
      <c r="EQ1420" s="98"/>
      <c r="ER1420" s="98"/>
      <c r="ES1420" s="98"/>
      <c r="ET1420" s="98"/>
      <c r="EU1420" s="98"/>
      <c r="EV1420" s="98"/>
      <c r="EW1420" s="98"/>
      <c r="EX1420" s="98"/>
      <c r="EY1420" s="98"/>
      <c r="EZ1420" s="178"/>
    </row>
    <row r="1421" spans="60:156">
      <c r="BH1421" s="19"/>
      <c r="BI1421" s="19"/>
      <c r="BJ1421" s="19"/>
      <c r="BK1421" s="19"/>
      <c r="BL1421" s="19"/>
      <c r="BM1421" s="98"/>
      <c r="BN1421" s="98"/>
      <c r="BO1421" s="98"/>
      <c r="BP1421" s="98"/>
      <c r="BQ1421" s="98"/>
      <c r="BR1421" s="98"/>
      <c r="BS1421" s="98"/>
      <c r="BT1421" s="98"/>
      <c r="BU1421" s="98"/>
      <c r="BV1421" s="98"/>
      <c r="BW1421" s="98"/>
      <c r="BX1421" s="98"/>
      <c r="BY1421" s="98"/>
      <c r="BZ1421" s="98"/>
      <c r="DA1421" s="177"/>
      <c r="EH1421" s="19"/>
      <c r="EI1421" s="19"/>
      <c r="EJ1421" s="19"/>
      <c r="EK1421" s="19"/>
      <c r="EL1421" s="19"/>
      <c r="EM1421" s="98"/>
      <c r="EN1421" s="98"/>
      <c r="EO1421" s="98"/>
      <c r="EP1421" s="98"/>
      <c r="EQ1421" s="98"/>
      <c r="ER1421" s="98"/>
      <c r="ES1421" s="98"/>
      <c r="ET1421" s="98"/>
      <c r="EU1421" s="98"/>
      <c r="EV1421" s="98"/>
      <c r="EW1421" s="98"/>
      <c r="EX1421" s="98"/>
      <c r="EY1421" s="98"/>
      <c r="EZ1421" s="178"/>
    </row>
    <row r="1422" spans="60:156">
      <c r="BH1422" s="19"/>
      <c r="BI1422" s="19"/>
      <c r="BJ1422" s="19"/>
      <c r="BK1422" s="19"/>
      <c r="BL1422" s="19"/>
      <c r="BM1422" s="98"/>
      <c r="BN1422" s="98"/>
      <c r="BO1422" s="98"/>
      <c r="BP1422" s="98"/>
      <c r="BQ1422" s="98"/>
      <c r="BR1422" s="98"/>
      <c r="BS1422" s="98"/>
      <c r="BT1422" s="98"/>
      <c r="BU1422" s="98"/>
      <c r="BV1422" s="98"/>
      <c r="BW1422" s="98"/>
      <c r="BX1422" s="98"/>
      <c r="BY1422" s="98"/>
      <c r="BZ1422" s="98"/>
      <c r="DA1422" s="177"/>
      <c r="EH1422" s="19"/>
      <c r="EI1422" s="19"/>
      <c r="EJ1422" s="19"/>
      <c r="EK1422" s="19"/>
      <c r="EL1422" s="19"/>
      <c r="EM1422" s="98"/>
      <c r="EN1422" s="98"/>
      <c r="EO1422" s="98"/>
      <c r="EP1422" s="98"/>
      <c r="EQ1422" s="98"/>
      <c r="ER1422" s="98"/>
      <c r="ES1422" s="98"/>
      <c r="ET1422" s="98"/>
      <c r="EU1422" s="98"/>
      <c r="EV1422" s="98"/>
      <c r="EW1422" s="98"/>
      <c r="EX1422" s="98"/>
      <c r="EY1422" s="98"/>
      <c r="EZ1422" s="178"/>
    </row>
    <row r="1423" spans="60:156">
      <c r="BH1423" s="19"/>
      <c r="BI1423" s="19"/>
      <c r="BJ1423" s="19"/>
      <c r="BK1423" s="19"/>
      <c r="BL1423" s="19"/>
      <c r="BM1423" s="98"/>
      <c r="BN1423" s="98"/>
      <c r="BO1423" s="98"/>
      <c r="BP1423" s="98"/>
      <c r="BQ1423" s="98"/>
      <c r="BR1423" s="98"/>
      <c r="BS1423" s="98"/>
      <c r="BT1423" s="98"/>
      <c r="BU1423" s="98"/>
      <c r="BV1423" s="98"/>
      <c r="BW1423" s="98"/>
      <c r="BX1423" s="98"/>
      <c r="BY1423" s="98"/>
      <c r="BZ1423" s="98"/>
      <c r="DA1423" s="177"/>
      <c r="EH1423" s="19"/>
      <c r="EI1423" s="19"/>
      <c r="EJ1423" s="19"/>
      <c r="EK1423" s="19"/>
      <c r="EL1423" s="19"/>
      <c r="EM1423" s="98"/>
      <c r="EN1423" s="98"/>
      <c r="EO1423" s="98"/>
      <c r="EP1423" s="98"/>
      <c r="EQ1423" s="98"/>
      <c r="ER1423" s="98"/>
      <c r="ES1423" s="98"/>
      <c r="ET1423" s="98"/>
      <c r="EU1423" s="98"/>
      <c r="EV1423" s="98"/>
      <c r="EW1423" s="98"/>
      <c r="EX1423" s="98"/>
      <c r="EY1423" s="98"/>
      <c r="EZ1423" s="178"/>
    </row>
    <row r="1424" spans="60:156">
      <c r="BH1424" s="19"/>
      <c r="BI1424" s="19"/>
      <c r="BJ1424" s="19"/>
      <c r="BK1424" s="19"/>
      <c r="BL1424" s="19"/>
      <c r="BM1424" s="98"/>
      <c r="BN1424" s="98"/>
      <c r="BO1424" s="98"/>
      <c r="BP1424" s="98"/>
      <c r="BQ1424" s="98"/>
      <c r="BR1424" s="98"/>
      <c r="BS1424" s="98"/>
      <c r="BT1424" s="98"/>
      <c r="BU1424" s="98"/>
      <c r="BV1424" s="98"/>
      <c r="BW1424" s="98"/>
      <c r="BX1424" s="98"/>
      <c r="BY1424" s="98"/>
      <c r="BZ1424" s="98"/>
      <c r="DA1424" s="177"/>
      <c r="EH1424" s="19"/>
      <c r="EI1424" s="19"/>
      <c r="EJ1424" s="19"/>
      <c r="EK1424" s="19"/>
      <c r="EL1424" s="19"/>
      <c r="EM1424" s="98"/>
      <c r="EN1424" s="98"/>
      <c r="EO1424" s="98"/>
      <c r="EP1424" s="98"/>
      <c r="EQ1424" s="98"/>
      <c r="ER1424" s="98"/>
      <c r="ES1424" s="98"/>
      <c r="ET1424" s="98"/>
      <c r="EU1424" s="98"/>
      <c r="EV1424" s="98"/>
      <c r="EW1424" s="98"/>
      <c r="EX1424" s="98"/>
      <c r="EY1424" s="98"/>
      <c r="EZ1424" s="178"/>
    </row>
    <row r="1425" spans="60:156">
      <c r="BH1425" s="19"/>
      <c r="BI1425" s="19"/>
      <c r="BJ1425" s="19"/>
      <c r="BK1425" s="19"/>
      <c r="BL1425" s="19"/>
      <c r="BM1425" s="98"/>
      <c r="BN1425" s="98"/>
      <c r="BO1425" s="98"/>
      <c r="BP1425" s="98"/>
      <c r="BQ1425" s="98"/>
      <c r="BR1425" s="98"/>
      <c r="BS1425" s="98"/>
      <c r="BT1425" s="98"/>
      <c r="BU1425" s="98"/>
      <c r="BV1425" s="98"/>
      <c r="BW1425" s="98"/>
      <c r="BX1425" s="98"/>
      <c r="BY1425" s="98"/>
      <c r="BZ1425" s="98"/>
      <c r="DA1425" s="177"/>
      <c r="EH1425" s="19"/>
      <c r="EI1425" s="19"/>
      <c r="EJ1425" s="19"/>
      <c r="EK1425" s="19"/>
      <c r="EL1425" s="19"/>
      <c r="EM1425" s="98"/>
      <c r="EN1425" s="98"/>
      <c r="EO1425" s="98"/>
      <c r="EP1425" s="98"/>
      <c r="EQ1425" s="98"/>
      <c r="ER1425" s="98"/>
      <c r="ES1425" s="98"/>
      <c r="ET1425" s="98"/>
      <c r="EU1425" s="98"/>
      <c r="EV1425" s="98"/>
      <c r="EW1425" s="98"/>
      <c r="EX1425" s="98"/>
      <c r="EY1425" s="98"/>
      <c r="EZ1425" s="178"/>
    </row>
    <row r="1426" spans="60:156">
      <c r="BH1426" s="19"/>
      <c r="BI1426" s="19"/>
      <c r="BJ1426" s="19"/>
      <c r="BK1426" s="19"/>
      <c r="BL1426" s="19"/>
      <c r="BM1426" s="98"/>
      <c r="BN1426" s="98"/>
      <c r="BO1426" s="98"/>
      <c r="BP1426" s="98"/>
      <c r="BQ1426" s="98"/>
      <c r="BR1426" s="98"/>
      <c r="BS1426" s="98"/>
      <c r="BT1426" s="98"/>
      <c r="BU1426" s="98"/>
      <c r="BV1426" s="98"/>
      <c r="BW1426" s="98"/>
      <c r="BX1426" s="98"/>
      <c r="BY1426" s="98"/>
      <c r="BZ1426" s="98"/>
      <c r="DA1426" s="177"/>
      <c r="EH1426" s="19"/>
      <c r="EI1426" s="19"/>
      <c r="EJ1426" s="19"/>
      <c r="EK1426" s="19"/>
      <c r="EL1426" s="19"/>
      <c r="EM1426" s="98"/>
      <c r="EN1426" s="98"/>
      <c r="EO1426" s="98"/>
      <c r="EP1426" s="98"/>
      <c r="EQ1426" s="98"/>
      <c r="ER1426" s="98"/>
      <c r="ES1426" s="98"/>
      <c r="ET1426" s="98"/>
      <c r="EU1426" s="98"/>
      <c r="EV1426" s="98"/>
      <c r="EW1426" s="98"/>
      <c r="EX1426" s="98"/>
      <c r="EY1426" s="98"/>
      <c r="EZ1426" s="178"/>
    </row>
    <row r="1427" spans="60:156">
      <c r="BH1427" s="19"/>
      <c r="BI1427" s="19"/>
      <c r="BJ1427" s="19"/>
      <c r="BK1427" s="19"/>
      <c r="BL1427" s="19"/>
      <c r="BM1427" s="98"/>
      <c r="BN1427" s="98"/>
      <c r="BO1427" s="98"/>
      <c r="BP1427" s="98"/>
      <c r="BQ1427" s="98"/>
      <c r="BR1427" s="98"/>
      <c r="BS1427" s="98"/>
      <c r="BT1427" s="98"/>
      <c r="BU1427" s="98"/>
      <c r="BV1427" s="98"/>
      <c r="BW1427" s="98"/>
      <c r="BX1427" s="98"/>
      <c r="BY1427" s="98"/>
      <c r="BZ1427" s="98"/>
      <c r="DA1427" s="177"/>
      <c r="EH1427" s="19"/>
      <c r="EI1427" s="19"/>
      <c r="EJ1427" s="19"/>
      <c r="EK1427" s="19"/>
      <c r="EL1427" s="19"/>
      <c r="EM1427" s="98"/>
      <c r="EN1427" s="98"/>
      <c r="EO1427" s="98"/>
      <c r="EP1427" s="98"/>
      <c r="EQ1427" s="98"/>
      <c r="ER1427" s="98"/>
      <c r="ES1427" s="98"/>
      <c r="ET1427" s="98"/>
      <c r="EU1427" s="98"/>
      <c r="EV1427" s="98"/>
      <c r="EW1427" s="98"/>
      <c r="EX1427" s="98"/>
      <c r="EY1427" s="98"/>
      <c r="EZ1427" s="178"/>
    </row>
    <row r="1428" spans="60:156">
      <c r="BH1428" s="19"/>
      <c r="BI1428" s="19"/>
      <c r="BJ1428" s="19"/>
      <c r="BK1428" s="19"/>
      <c r="BL1428" s="19"/>
      <c r="BM1428" s="98"/>
      <c r="BN1428" s="98"/>
      <c r="BO1428" s="98"/>
      <c r="BP1428" s="98"/>
      <c r="BQ1428" s="98"/>
      <c r="BR1428" s="98"/>
      <c r="BS1428" s="98"/>
      <c r="BT1428" s="98"/>
      <c r="BU1428" s="98"/>
      <c r="BV1428" s="98"/>
      <c r="BW1428" s="98"/>
      <c r="BX1428" s="98"/>
      <c r="BY1428" s="98"/>
      <c r="BZ1428" s="98"/>
      <c r="DA1428" s="177"/>
      <c r="EH1428" s="19"/>
      <c r="EI1428" s="19"/>
      <c r="EJ1428" s="19"/>
      <c r="EK1428" s="19"/>
      <c r="EL1428" s="19"/>
      <c r="EM1428" s="98"/>
      <c r="EN1428" s="98"/>
      <c r="EO1428" s="98"/>
      <c r="EP1428" s="98"/>
      <c r="EQ1428" s="98"/>
      <c r="ER1428" s="98"/>
      <c r="ES1428" s="98"/>
      <c r="ET1428" s="98"/>
      <c r="EU1428" s="98"/>
      <c r="EV1428" s="98"/>
      <c r="EW1428" s="98"/>
      <c r="EX1428" s="98"/>
      <c r="EY1428" s="98"/>
      <c r="EZ1428" s="178"/>
    </row>
    <row r="1429" spans="60:156">
      <c r="BH1429" s="19"/>
      <c r="BI1429" s="19"/>
      <c r="BJ1429" s="19"/>
      <c r="BK1429" s="19"/>
      <c r="BL1429" s="19"/>
      <c r="BM1429" s="98"/>
      <c r="BN1429" s="98"/>
      <c r="BO1429" s="98"/>
      <c r="BP1429" s="98"/>
      <c r="BQ1429" s="98"/>
      <c r="BR1429" s="98"/>
      <c r="BS1429" s="98"/>
      <c r="BT1429" s="98"/>
      <c r="BU1429" s="98"/>
      <c r="BV1429" s="98"/>
      <c r="BW1429" s="98"/>
      <c r="BX1429" s="98"/>
      <c r="BY1429" s="98"/>
      <c r="BZ1429" s="98"/>
      <c r="DA1429" s="177"/>
      <c r="EH1429" s="19"/>
      <c r="EI1429" s="19"/>
      <c r="EJ1429" s="19"/>
      <c r="EK1429" s="19"/>
      <c r="EL1429" s="19"/>
      <c r="EM1429" s="98"/>
      <c r="EN1429" s="98"/>
      <c r="EO1429" s="98"/>
      <c r="EP1429" s="98"/>
      <c r="EQ1429" s="98"/>
      <c r="ER1429" s="98"/>
      <c r="ES1429" s="98"/>
      <c r="ET1429" s="98"/>
      <c r="EU1429" s="98"/>
      <c r="EV1429" s="98"/>
      <c r="EW1429" s="98"/>
      <c r="EX1429" s="98"/>
      <c r="EY1429" s="98"/>
      <c r="EZ1429" s="178"/>
    </row>
    <row r="1430" spans="60:156">
      <c r="BH1430" s="19"/>
      <c r="BI1430" s="19"/>
      <c r="BJ1430" s="19"/>
      <c r="BK1430" s="19"/>
      <c r="BL1430" s="19"/>
      <c r="BM1430" s="98"/>
      <c r="BN1430" s="98"/>
      <c r="BO1430" s="98"/>
      <c r="BP1430" s="98"/>
      <c r="BQ1430" s="98"/>
      <c r="BR1430" s="98"/>
      <c r="BS1430" s="98"/>
      <c r="BT1430" s="98"/>
      <c r="BU1430" s="98"/>
      <c r="BV1430" s="98"/>
      <c r="BW1430" s="98"/>
      <c r="BX1430" s="98"/>
      <c r="BY1430" s="98"/>
      <c r="BZ1430" s="98"/>
      <c r="DA1430" s="177"/>
      <c r="EH1430" s="19"/>
      <c r="EI1430" s="19"/>
      <c r="EJ1430" s="19"/>
      <c r="EK1430" s="19"/>
      <c r="EL1430" s="19"/>
      <c r="EM1430" s="98"/>
      <c r="EN1430" s="98"/>
      <c r="EO1430" s="98"/>
      <c r="EP1430" s="98"/>
      <c r="EQ1430" s="98"/>
      <c r="ER1430" s="98"/>
      <c r="ES1430" s="98"/>
      <c r="ET1430" s="98"/>
      <c r="EU1430" s="98"/>
      <c r="EV1430" s="98"/>
      <c r="EW1430" s="98"/>
      <c r="EX1430" s="98"/>
      <c r="EY1430" s="98"/>
      <c r="EZ1430" s="178"/>
    </row>
    <row r="1431" spans="60:156">
      <c r="BH1431" s="19"/>
      <c r="BI1431" s="19"/>
      <c r="BJ1431" s="19"/>
      <c r="BK1431" s="19"/>
      <c r="BL1431" s="19"/>
      <c r="BM1431" s="98"/>
      <c r="BN1431" s="98"/>
      <c r="BO1431" s="98"/>
      <c r="BP1431" s="98"/>
      <c r="BQ1431" s="98"/>
      <c r="BR1431" s="98"/>
      <c r="BS1431" s="98"/>
      <c r="BT1431" s="98"/>
      <c r="BU1431" s="98"/>
      <c r="BV1431" s="98"/>
      <c r="BW1431" s="98"/>
      <c r="BX1431" s="98"/>
      <c r="BY1431" s="98"/>
      <c r="BZ1431" s="98"/>
      <c r="DA1431" s="177"/>
      <c r="EH1431" s="19"/>
      <c r="EI1431" s="19"/>
      <c r="EJ1431" s="19"/>
      <c r="EK1431" s="19"/>
      <c r="EL1431" s="19"/>
      <c r="EM1431" s="98"/>
      <c r="EN1431" s="98"/>
      <c r="EO1431" s="98"/>
      <c r="EP1431" s="98"/>
      <c r="EQ1431" s="98"/>
      <c r="ER1431" s="98"/>
      <c r="ES1431" s="98"/>
      <c r="ET1431" s="98"/>
      <c r="EU1431" s="98"/>
      <c r="EV1431" s="98"/>
      <c r="EW1431" s="98"/>
      <c r="EX1431" s="98"/>
      <c r="EY1431" s="98"/>
      <c r="EZ1431" s="178"/>
    </row>
    <row r="1432" spans="60:156">
      <c r="BH1432" s="19"/>
      <c r="BI1432" s="19"/>
      <c r="BJ1432" s="19"/>
      <c r="BK1432" s="19"/>
      <c r="BL1432" s="19"/>
      <c r="BM1432" s="98"/>
      <c r="BN1432" s="98"/>
      <c r="BO1432" s="98"/>
      <c r="BP1432" s="98"/>
      <c r="BQ1432" s="98"/>
      <c r="BR1432" s="98"/>
      <c r="BS1432" s="98"/>
      <c r="BT1432" s="98"/>
      <c r="BU1432" s="98"/>
      <c r="BV1432" s="98"/>
      <c r="BW1432" s="98"/>
      <c r="BX1432" s="98"/>
      <c r="BY1432" s="98"/>
      <c r="BZ1432" s="98"/>
      <c r="DA1432" s="177"/>
      <c r="EH1432" s="19"/>
      <c r="EI1432" s="19"/>
      <c r="EJ1432" s="19"/>
      <c r="EK1432" s="19"/>
      <c r="EL1432" s="19"/>
      <c r="EM1432" s="98"/>
      <c r="EN1432" s="98"/>
      <c r="EO1432" s="98"/>
      <c r="EP1432" s="98"/>
      <c r="EQ1432" s="98"/>
      <c r="ER1432" s="98"/>
      <c r="ES1432" s="98"/>
      <c r="ET1432" s="98"/>
      <c r="EU1432" s="98"/>
      <c r="EV1432" s="98"/>
      <c r="EW1432" s="98"/>
      <c r="EX1432" s="98"/>
      <c r="EY1432" s="98"/>
      <c r="EZ1432" s="178"/>
    </row>
    <row r="1433" spans="60:156">
      <c r="BH1433" s="19"/>
      <c r="BI1433" s="19"/>
      <c r="BJ1433" s="19"/>
      <c r="BK1433" s="19"/>
      <c r="BL1433" s="19"/>
      <c r="BM1433" s="98"/>
      <c r="BN1433" s="98"/>
      <c r="BO1433" s="98"/>
      <c r="BP1433" s="98"/>
      <c r="BQ1433" s="98"/>
      <c r="BR1433" s="98"/>
      <c r="BS1433" s="98"/>
      <c r="BT1433" s="98"/>
      <c r="BU1433" s="98"/>
      <c r="BV1433" s="98"/>
      <c r="BW1433" s="98"/>
      <c r="BX1433" s="98"/>
      <c r="BY1433" s="98"/>
      <c r="BZ1433" s="98"/>
      <c r="DA1433" s="177"/>
      <c r="EH1433" s="19"/>
      <c r="EI1433" s="19"/>
      <c r="EJ1433" s="19"/>
      <c r="EK1433" s="19"/>
      <c r="EL1433" s="19"/>
      <c r="EM1433" s="98"/>
      <c r="EN1433" s="98"/>
      <c r="EO1433" s="98"/>
      <c r="EP1433" s="98"/>
      <c r="EQ1433" s="98"/>
      <c r="ER1433" s="98"/>
      <c r="ES1433" s="98"/>
      <c r="ET1433" s="98"/>
      <c r="EU1433" s="98"/>
      <c r="EV1433" s="98"/>
      <c r="EW1433" s="98"/>
      <c r="EX1433" s="98"/>
      <c r="EY1433" s="98"/>
      <c r="EZ1433" s="178"/>
    </row>
    <row r="1434" spans="60:156">
      <c r="BH1434" s="19"/>
      <c r="BI1434" s="19"/>
      <c r="BJ1434" s="19"/>
      <c r="BK1434" s="19"/>
      <c r="BL1434" s="19"/>
      <c r="BM1434" s="98"/>
      <c r="BN1434" s="98"/>
      <c r="BO1434" s="98"/>
      <c r="BP1434" s="98"/>
      <c r="BQ1434" s="98"/>
      <c r="BR1434" s="98"/>
      <c r="BS1434" s="98"/>
      <c r="BT1434" s="98"/>
      <c r="BU1434" s="98"/>
      <c r="BV1434" s="98"/>
      <c r="BW1434" s="98"/>
      <c r="BX1434" s="98"/>
      <c r="BY1434" s="98"/>
      <c r="BZ1434" s="98"/>
      <c r="DA1434" s="177"/>
      <c r="EH1434" s="19"/>
      <c r="EI1434" s="19"/>
      <c r="EJ1434" s="19"/>
      <c r="EK1434" s="19"/>
      <c r="EL1434" s="19"/>
      <c r="EM1434" s="98"/>
      <c r="EN1434" s="98"/>
      <c r="EO1434" s="98"/>
      <c r="EP1434" s="98"/>
      <c r="EQ1434" s="98"/>
      <c r="ER1434" s="98"/>
      <c r="ES1434" s="98"/>
      <c r="ET1434" s="98"/>
      <c r="EU1434" s="98"/>
      <c r="EV1434" s="98"/>
      <c r="EW1434" s="98"/>
      <c r="EX1434" s="98"/>
      <c r="EY1434" s="98"/>
      <c r="EZ1434" s="178"/>
    </row>
    <row r="1435" spans="60:156">
      <c r="BH1435" s="19"/>
      <c r="BI1435" s="19"/>
      <c r="BJ1435" s="19"/>
      <c r="BK1435" s="19"/>
      <c r="BL1435" s="19"/>
      <c r="BM1435" s="98"/>
      <c r="BN1435" s="98"/>
      <c r="BO1435" s="98"/>
      <c r="BP1435" s="98"/>
      <c r="BQ1435" s="98"/>
      <c r="BR1435" s="98"/>
      <c r="BS1435" s="98"/>
      <c r="BT1435" s="98"/>
      <c r="BU1435" s="98"/>
      <c r="BV1435" s="98"/>
      <c r="BW1435" s="98"/>
      <c r="BX1435" s="98"/>
      <c r="BY1435" s="98"/>
      <c r="BZ1435" s="98"/>
      <c r="DA1435" s="177"/>
      <c r="EH1435" s="19"/>
      <c r="EI1435" s="19"/>
      <c r="EJ1435" s="19"/>
      <c r="EK1435" s="19"/>
      <c r="EL1435" s="19"/>
      <c r="EM1435" s="98"/>
      <c r="EN1435" s="98"/>
      <c r="EO1435" s="98"/>
      <c r="EP1435" s="98"/>
      <c r="EQ1435" s="98"/>
      <c r="ER1435" s="98"/>
      <c r="ES1435" s="98"/>
      <c r="ET1435" s="98"/>
      <c r="EU1435" s="98"/>
      <c r="EV1435" s="98"/>
      <c r="EW1435" s="98"/>
      <c r="EX1435" s="98"/>
      <c r="EY1435" s="98"/>
      <c r="EZ1435" s="178"/>
    </row>
    <row r="1436" spans="60:156">
      <c r="BH1436" s="19"/>
      <c r="BI1436" s="19"/>
      <c r="BJ1436" s="19"/>
      <c r="BK1436" s="19"/>
      <c r="BL1436" s="19"/>
      <c r="BM1436" s="98"/>
      <c r="BN1436" s="98"/>
      <c r="BO1436" s="98"/>
      <c r="BP1436" s="98"/>
      <c r="BQ1436" s="98"/>
      <c r="BR1436" s="98"/>
      <c r="BS1436" s="98"/>
      <c r="BT1436" s="98"/>
      <c r="BU1436" s="98"/>
      <c r="BV1436" s="98"/>
      <c r="BW1436" s="98"/>
      <c r="BX1436" s="98"/>
      <c r="BY1436" s="98"/>
      <c r="BZ1436" s="98"/>
      <c r="DA1436" s="177"/>
      <c r="EH1436" s="19"/>
      <c r="EI1436" s="19"/>
      <c r="EJ1436" s="19"/>
      <c r="EK1436" s="19"/>
      <c r="EL1436" s="19"/>
      <c r="EM1436" s="98"/>
      <c r="EN1436" s="98"/>
      <c r="EO1436" s="98"/>
      <c r="EP1436" s="98"/>
      <c r="EQ1436" s="98"/>
      <c r="ER1436" s="98"/>
      <c r="ES1436" s="98"/>
      <c r="ET1436" s="98"/>
      <c r="EU1436" s="98"/>
      <c r="EV1436" s="98"/>
      <c r="EW1436" s="98"/>
      <c r="EX1436" s="98"/>
      <c r="EY1436" s="98"/>
      <c r="EZ1436" s="178"/>
    </row>
    <row r="1437" spans="60:156">
      <c r="BH1437" s="19"/>
      <c r="BI1437" s="19"/>
      <c r="BJ1437" s="19"/>
      <c r="BK1437" s="19"/>
      <c r="BL1437" s="19"/>
      <c r="BM1437" s="98"/>
      <c r="BN1437" s="98"/>
      <c r="BO1437" s="98"/>
      <c r="BP1437" s="98"/>
      <c r="BQ1437" s="98"/>
      <c r="BR1437" s="98"/>
      <c r="BS1437" s="98"/>
      <c r="BT1437" s="98"/>
      <c r="BU1437" s="98"/>
      <c r="BV1437" s="98"/>
      <c r="BW1437" s="98"/>
      <c r="BX1437" s="98"/>
      <c r="BY1437" s="98"/>
      <c r="BZ1437" s="98"/>
      <c r="DA1437" s="177"/>
      <c r="EH1437" s="19"/>
      <c r="EI1437" s="19"/>
      <c r="EJ1437" s="19"/>
      <c r="EK1437" s="19"/>
      <c r="EL1437" s="19"/>
      <c r="EM1437" s="98"/>
      <c r="EN1437" s="98"/>
      <c r="EO1437" s="98"/>
      <c r="EP1437" s="98"/>
      <c r="EQ1437" s="98"/>
      <c r="ER1437" s="98"/>
      <c r="ES1437" s="98"/>
      <c r="ET1437" s="98"/>
      <c r="EU1437" s="98"/>
      <c r="EV1437" s="98"/>
      <c r="EW1437" s="98"/>
      <c r="EX1437" s="98"/>
      <c r="EY1437" s="98"/>
      <c r="EZ1437" s="178"/>
    </row>
    <row r="1438" spans="60:156">
      <c r="BH1438" s="19"/>
      <c r="BI1438" s="19"/>
      <c r="BJ1438" s="19"/>
      <c r="BK1438" s="19"/>
      <c r="BL1438" s="19"/>
      <c r="BM1438" s="98"/>
      <c r="BN1438" s="98"/>
      <c r="BO1438" s="98"/>
      <c r="BP1438" s="98"/>
      <c r="BQ1438" s="98"/>
      <c r="BR1438" s="98"/>
      <c r="BS1438" s="98"/>
      <c r="BT1438" s="98"/>
      <c r="BU1438" s="98"/>
      <c r="BV1438" s="98"/>
      <c r="BW1438" s="98"/>
      <c r="BX1438" s="98"/>
      <c r="BY1438" s="98"/>
      <c r="BZ1438" s="98"/>
      <c r="DA1438" s="177"/>
      <c r="EH1438" s="19"/>
      <c r="EI1438" s="19"/>
      <c r="EJ1438" s="19"/>
      <c r="EK1438" s="19"/>
      <c r="EL1438" s="19"/>
      <c r="EM1438" s="98"/>
      <c r="EN1438" s="98"/>
      <c r="EO1438" s="98"/>
      <c r="EP1438" s="98"/>
      <c r="EQ1438" s="98"/>
      <c r="ER1438" s="98"/>
      <c r="ES1438" s="98"/>
      <c r="ET1438" s="98"/>
      <c r="EU1438" s="98"/>
      <c r="EV1438" s="98"/>
      <c r="EW1438" s="98"/>
      <c r="EX1438" s="98"/>
      <c r="EY1438" s="98"/>
      <c r="EZ1438" s="178"/>
    </row>
    <row r="1439" spans="60:156">
      <c r="BH1439" s="19"/>
      <c r="BI1439" s="19"/>
      <c r="BJ1439" s="19"/>
      <c r="BK1439" s="19"/>
      <c r="BL1439" s="19"/>
      <c r="BM1439" s="98"/>
      <c r="BN1439" s="98"/>
      <c r="BO1439" s="98"/>
      <c r="BP1439" s="98"/>
      <c r="BQ1439" s="98"/>
      <c r="BR1439" s="98"/>
      <c r="BS1439" s="98"/>
      <c r="BT1439" s="98"/>
      <c r="BU1439" s="98"/>
      <c r="BV1439" s="98"/>
      <c r="BW1439" s="98"/>
      <c r="BX1439" s="98"/>
      <c r="BY1439" s="98"/>
      <c r="BZ1439" s="98"/>
      <c r="DA1439" s="177"/>
      <c r="EH1439" s="19"/>
      <c r="EI1439" s="19"/>
      <c r="EJ1439" s="19"/>
      <c r="EK1439" s="19"/>
      <c r="EL1439" s="19"/>
      <c r="EM1439" s="98"/>
      <c r="EN1439" s="98"/>
      <c r="EO1439" s="98"/>
      <c r="EP1439" s="98"/>
      <c r="EQ1439" s="98"/>
      <c r="ER1439" s="98"/>
      <c r="ES1439" s="98"/>
      <c r="ET1439" s="98"/>
      <c r="EU1439" s="98"/>
      <c r="EV1439" s="98"/>
      <c r="EW1439" s="98"/>
      <c r="EX1439" s="98"/>
      <c r="EY1439" s="98"/>
      <c r="EZ1439" s="178"/>
    </row>
    <row r="1440" spans="60:156">
      <c r="BH1440" s="19"/>
      <c r="BI1440" s="19"/>
      <c r="BJ1440" s="19"/>
      <c r="BK1440" s="19"/>
      <c r="BL1440" s="19"/>
      <c r="BM1440" s="98"/>
      <c r="BN1440" s="98"/>
      <c r="BO1440" s="98"/>
      <c r="BP1440" s="98"/>
      <c r="BQ1440" s="98"/>
      <c r="BR1440" s="98"/>
      <c r="BS1440" s="98"/>
      <c r="BT1440" s="98"/>
      <c r="BU1440" s="98"/>
      <c r="BV1440" s="98"/>
      <c r="BW1440" s="98"/>
      <c r="BX1440" s="98"/>
      <c r="BY1440" s="98"/>
      <c r="BZ1440" s="98"/>
      <c r="DA1440" s="177"/>
      <c r="EH1440" s="19"/>
      <c r="EI1440" s="19"/>
      <c r="EJ1440" s="19"/>
      <c r="EK1440" s="19"/>
      <c r="EL1440" s="19"/>
      <c r="EM1440" s="98"/>
      <c r="EN1440" s="98"/>
      <c r="EO1440" s="98"/>
      <c r="EP1440" s="98"/>
      <c r="EQ1440" s="98"/>
      <c r="ER1440" s="98"/>
      <c r="ES1440" s="98"/>
      <c r="ET1440" s="98"/>
      <c r="EU1440" s="98"/>
      <c r="EV1440" s="98"/>
      <c r="EW1440" s="98"/>
      <c r="EX1440" s="98"/>
      <c r="EY1440" s="98"/>
      <c r="EZ1440" s="178"/>
    </row>
    <row r="1441" spans="60:156">
      <c r="BH1441" s="19"/>
      <c r="BI1441" s="19"/>
      <c r="BJ1441" s="19"/>
      <c r="BK1441" s="19"/>
      <c r="BL1441" s="19"/>
      <c r="BM1441" s="98"/>
      <c r="BN1441" s="98"/>
      <c r="BO1441" s="98"/>
      <c r="BP1441" s="98"/>
      <c r="BQ1441" s="98"/>
      <c r="BR1441" s="98"/>
      <c r="BS1441" s="98"/>
      <c r="BT1441" s="98"/>
      <c r="BU1441" s="98"/>
      <c r="BV1441" s="98"/>
      <c r="BW1441" s="98"/>
      <c r="BX1441" s="98"/>
      <c r="BY1441" s="98"/>
      <c r="BZ1441" s="98"/>
      <c r="DA1441" s="177"/>
      <c r="EH1441" s="19"/>
      <c r="EI1441" s="19"/>
      <c r="EJ1441" s="19"/>
      <c r="EK1441" s="19"/>
      <c r="EL1441" s="19"/>
      <c r="EM1441" s="98"/>
      <c r="EN1441" s="98"/>
      <c r="EO1441" s="98"/>
      <c r="EP1441" s="98"/>
      <c r="EQ1441" s="98"/>
      <c r="ER1441" s="98"/>
      <c r="ES1441" s="98"/>
      <c r="ET1441" s="98"/>
      <c r="EU1441" s="98"/>
      <c r="EV1441" s="98"/>
      <c r="EW1441" s="98"/>
      <c r="EX1441" s="98"/>
      <c r="EY1441" s="98"/>
      <c r="EZ1441" s="178"/>
    </row>
    <row r="1442" spans="60:156">
      <c r="BH1442" s="19"/>
      <c r="BI1442" s="19"/>
      <c r="BJ1442" s="19"/>
      <c r="BK1442" s="19"/>
      <c r="BL1442" s="19"/>
      <c r="BM1442" s="98"/>
      <c r="BN1442" s="98"/>
      <c r="BO1442" s="98"/>
      <c r="BP1442" s="98"/>
      <c r="BQ1442" s="98"/>
      <c r="BR1442" s="98"/>
      <c r="BS1442" s="98"/>
      <c r="BT1442" s="98"/>
      <c r="BU1442" s="98"/>
      <c r="BV1442" s="98"/>
      <c r="BW1442" s="98"/>
      <c r="BX1442" s="98"/>
      <c r="BY1442" s="98"/>
      <c r="BZ1442" s="98"/>
      <c r="DA1442" s="177"/>
      <c r="EH1442" s="19"/>
      <c r="EI1442" s="19"/>
      <c r="EJ1442" s="19"/>
      <c r="EK1442" s="19"/>
      <c r="EL1442" s="19"/>
      <c r="EM1442" s="98"/>
      <c r="EN1442" s="98"/>
      <c r="EO1442" s="98"/>
      <c r="EP1442" s="98"/>
      <c r="EQ1442" s="98"/>
      <c r="ER1442" s="98"/>
      <c r="ES1442" s="98"/>
      <c r="ET1442" s="98"/>
      <c r="EU1442" s="98"/>
      <c r="EV1442" s="98"/>
      <c r="EW1442" s="98"/>
      <c r="EX1442" s="98"/>
      <c r="EY1442" s="98"/>
      <c r="EZ1442" s="178"/>
    </row>
    <row r="1443" spans="60:156">
      <c r="BH1443" s="19"/>
      <c r="BI1443" s="19"/>
      <c r="BJ1443" s="19"/>
      <c r="BK1443" s="19"/>
      <c r="BL1443" s="19"/>
      <c r="BM1443" s="98"/>
      <c r="BN1443" s="98"/>
      <c r="BO1443" s="98"/>
      <c r="BP1443" s="98"/>
      <c r="BQ1443" s="98"/>
      <c r="BR1443" s="98"/>
      <c r="BS1443" s="98"/>
      <c r="BT1443" s="98"/>
      <c r="BU1443" s="98"/>
      <c r="BV1443" s="98"/>
      <c r="BW1443" s="98"/>
      <c r="BX1443" s="98"/>
      <c r="BY1443" s="98"/>
      <c r="BZ1443" s="98"/>
      <c r="DA1443" s="177"/>
      <c r="EH1443" s="19"/>
      <c r="EI1443" s="19"/>
      <c r="EJ1443" s="19"/>
      <c r="EK1443" s="19"/>
      <c r="EL1443" s="19"/>
      <c r="EM1443" s="98"/>
      <c r="EN1443" s="98"/>
      <c r="EO1443" s="98"/>
      <c r="EP1443" s="98"/>
      <c r="EQ1443" s="98"/>
      <c r="ER1443" s="98"/>
      <c r="ES1443" s="98"/>
      <c r="ET1443" s="98"/>
      <c r="EU1443" s="98"/>
      <c r="EV1443" s="98"/>
      <c r="EW1443" s="98"/>
      <c r="EX1443" s="98"/>
      <c r="EY1443" s="98"/>
      <c r="EZ1443" s="178"/>
    </row>
    <row r="1444" spans="60:156">
      <c r="BH1444" s="19"/>
      <c r="BI1444" s="19"/>
      <c r="BJ1444" s="19"/>
      <c r="BK1444" s="19"/>
      <c r="BL1444" s="19"/>
      <c r="BM1444" s="98"/>
      <c r="BN1444" s="98"/>
      <c r="BO1444" s="98"/>
      <c r="BP1444" s="98"/>
      <c r="BQ1444" s="98"/>
      <c r="BR1444" s="98"/>
      <c r="BS1444" s="98"/>
      <c r="BT1444" s="98"/>
      <c r="BU1444" s="98"/>
      <c r="BV1444" s="98"/>
      <c r="BW1444" s="98"/>
      <c r="BX1444" s="98"/>
      <c r="BY1444" s="98"/>
      <c r="BZ1444" s="98"/>
      <c r="DA1444" s="177"/>
      <c r="EH1444" s="19"/>
      <c r="EI1444" s="19"/>
      <c r="EJ1444" s="19"/>
      <c r="EK1444" s="19"/>
      <c r="EL1444" s="19"/>
      <c r="EM1444" s="98"/>
      <c r="EN1444" s="98"/>
      <c r="EO1444" s="98"/>
      <c r="EP1444" s="98"/>
      <c r="EQ1444" s="98"/>
      <c r="ER1444" s="98"/>
      <c r="ES1444" s="98"/>
      <c r="ET1444" s="98"/>
      <c r="EU1444" s="98"/>
      <c r="EV1444" s="98"/>
      <c r="EW1444" s="98"/>
      <c r="EX1444" s="98"/>
      <c r="EY1444" s="98"/>
      <c r="EZ1444" s="178"/>
    </row>
    <row r="1445" spans="60:156">
      <c r="BH1445" s="19"/>
      <c r="BI1445" s="19"/>
      <c r="BJ1445" s="19"/>
      <c r="BK1445" s="19"/>
      <c r="BL1445" s="19"/>
      <c r="BM1445" s="98"/>
      <c r="BN1445" s="98"/>
      <c r="BO1445" s="98"/>
      <c r="BP1445" s="98"/>
      <c r="BQ1445" s="98"/>
      <c r="BR1445" s="98"/>
      <c r="BS1445" s="98"/>
      <c r="BT1445" s="98"/>
      <c r="BU1445" s="98"/>
      <c r="BV1445" s="98"/>
      <c r="BW1445" s="98"/>
      <c r="BX1445" s="98"/>
      <c r="BY1445" s="98"/>
      <c r="BZ1445" s="98"/>
      <c r="DA1445" s="177"/>
      <c r="EH1445" s="19"/>
      <c r="EI1445" s="19"/>
      <c r="EJ1445" s="19"/>
      <c r="EK1445" s="19"/>
      <c r="EL1445" s="19"/>
      <c r="EM1445" s="98"/>
      <c r="EN1445" s="98"/>
      <c r="EO1445" s="98"/>
      <c r="EP1445" s="98"/>
      <c r="EQ1445" s="98"/>
      <c r="ER1445" s="98"/>
      <c r="ES1445" s="98"/>
      <c r="ET1445" s="98"/>
      <c r="EU1445" s="98"/>
      <c r="EV1445" s="98"/>
      <c r="EW1445" s="98"/>
      <c r="EX1445" s="98"/>
      <c r="EY1445" s="98"/>
      <c r="EZ1445" s="178"/>
    </row>
    <row r="1446" spans="60:156">
      <c r="BH1446" s="19"/>
      <c r="BI1446" s="19"/>
      <c r="BJ1446" s="19"/>
      <c r="BK1446" s="19"/>
      <c r="BL1446" s="19"/>
      <c r="BM1446" s="98"/>
      <c r="BN1446" s="98"/>
      <c r="BO1446" s="98"/>
      <c r="BP1446" s="98"/>
      <c r="BQ1446" s="98"/>
      <c r="BR1446" s="98"/>
      <c r="BS1446" s="98"/>
      <c r="BT1446" s="98"/>
      <c r="BU1446" s="98"/>
      <c r="BV1446" s="98"/>
      <c r="BW1446" s="98"/>
      <c r="BX1446" s="98"/>
      <c r="BY1446" s="98"/>
      <c r="BZ1446" s="98"/>
      <c r="DA1446" s="177"/>
      <c r="EH1446" s="19"/>
      <c r="EI1446" s="19"/>
      <c r="EJ1446" s="19"/>
      <c r="EK1446" s="19"/>
      <c r="EL1446" s="19"/>
      <c r="EM1446" s="98"/>
      <c r="EN1446" s="98"/>
      <c r="EO1446" s="98"/>
      <c r="EP1446" s="98"/>
      <c r="EQ1446" s="98"/>
      <c r="ER1446" s="98"/>
      <c r="ES1446" s="98"/>
      <c r="ET1446" s="98"/>
      <c r="EU1446" s="98"/>
      <c r="EV1446" s="98"/>
      <c r="EW1446" s="98"/>
      <c r="EX1446" s="98"/>
      <c r="EY1446" s="98"/>
      <c r="EZ1446" s="178"/>
    </row>
    <row r="1447" spans="60:156">
      <c r="BH1447" s="19"/>
      <c r="BI1447" s="19"/>
      <c r="BJ1447" s="19"/>
      <c r="BK1447" s="19"/>
      <c r="BL1447" s="19"/>
      <c r="BM1447" s="98"/>
      <c r="BN1447" s="98"/>
      <c r="BO1447" s="98"/>
      <c r="BP1447" s="98"/>
      <c r="BQ1447" s="98"/>
      <c r="BR1447" s="98"/>
      <c r="BS1447" s="98"/>
      <c r="BT1447" s="98"/>
      <c r="BU1447" s="98"/>
      <c r="BV1447" s="98"/>
      <c r="BW1447" s="98"/>
      <c r="BX1447" s="98"/>
      <c r="BY1447" s="98"/>
      <c r="BZ1447" s="98"/>
      <c r="DA1447" s="177"/>
      <c r="EH1447" s="19"/>
      <c r="EI1447" s="19"/>
      <c r="EJ1447" s="19"/>
      <c r="EK1447" s="19"/>
      <c r="EL1447" s="19"/>
      <c r="EM1447" s="98"/>
      <c r="EN1447" s="98"/>
      <c r="EO1447" s="98"/>
      <c r="EP1447" s="98"/>
      <c r="EQ1447" s="98"/>
      <c r="ER1447" s="98"/>
      <c r="ES1447" s="98"/>
      <c r="ET1447" s="98"/>
      <c r="EU1447" s="98"/>
      <c r="EV1447" s="98"/>
      <c r="EW1447" s="98"/>
      <c r="EX1447" s="98"/>
      <c r="EY1447" s="98"/>
      <c r="EZ1447" s="178"/>
    </row>
    <row r="1448" spans="60:156">
      <c r="BH1448" s="19"/>
      <c r="BI1448" s="19"/>
      <c r="BJ1448" s="19"/>
      <c r="BK1448" s="19"/>
      <c r="BL1448" s="19"/>
      <c r="BM1448" s="98"/>
      <c r="BN1448" s="98"/>
      <c r="BO1448" s="98"/>
      <c r="BP1448" s="98"/>
      <c r="BQ1448" s="98"/>
      <c r="BR1448" s="98"/>
      <c r="BS1448" s="98"/>
      <c r="BT1448" s="98"/>
      <c r="BU1448" s="98"/>
      <c r="BV1448" s="98"/>
      <c r="BW1448" s="98"/>
      <c r="BX1448" s="98"/>
      <c r="BY1448" s="98"/>
      <c r="BZ1448" s="98"/>
      <c r="DA1448" s="177"/>
      <c r="EH1448" s="19"/>
      <c r="EI1448" s="19"/>
      <c r="EJ1448" s="19"/>
      <c r="EK1448" s="19"/>
      <c r="EL1448" s="19"/>
      <c r="EM1448" s="98"/>
      <c r="EN1448" s="98"/>
      <c r="EO1448" s="98"/>
      <c r="EP1448" s="98"/>
      <c r="EQ1448" s="98"/>
      <c r="ER1448" s="98"/>
      <c r="ES1448" s="98"/>
      <c r="ET1448" s="98"/>
      <c r="EU1448" s="98"/>
      <c r="EV1448" s="98"/>
      <c r="EW1448" s="98"/>
      <c r="EX1448" s="98"/>
      <c r="EY1448" s="98"/>
      <c r="EZ1448" s="178"/>
    </row>
    <row r="1449" spans="60:156">
      <c r="BH1449" s="19"/>
      <c r="BI1449" s="19"/>
      <c r="BJ1449" s="19"/>
      <c r="BK1449" s="19"/>
      <c r="BL1449" s="19"/>
      <c r="BM1449" s="98"/>
      <c r="BN1449" s="98"/>
      <c r="BO1449" s="98"/>
      <c r="BP1449" s="98"/>
      <c r="BQ1449" s="98"/>
      <c r="BR1449" s="98"/>
      <c r="BS1449" s="98"/>
      <c r="BT1449" s="98"/>
      <c r="BU1449" s="98"/>
      <c r="BV1449" s="98"/>
      <c r="BW1449" s="98"/>
      <c r="BX1449" s="98"/>
      <c r="BY1449" s="98"/>
      <c r="BZ1449" s="98"/>
      <c r="DA1449" s="177"/>
      <c r="EH1449" s="19"/>
      <c r="EI1449" s="19"/>
      <c r="EJ1449" s="19"/>
      <c r="EK1449" s="19"/>
      <c r="EL1449" s="19"/>
      <c r="EM1449" s="98"/>
      <c r="EN1449" s="98"/>
      <c r="EO1449" s="98"/>
      <c r="EP1449" s="98"/>
      <c r="EQ1449" s="98"/>
      <c r="ER1449" s="98"/>
      <c r="ES1449" s="98"/>
      <c r="ET1449" s="98"/>
      <c r="EU1449" s="98"/>
      <c r="EV1449" s="98"/>
      <c r="EW1449" s="98"/>
      <c r="EX1449" s="98"/>
      <c r="EY1449" s="98"/>
      <c r="EZ1449" s="178"/>
    </row>
    <row r="1450" spans="60:156">
      <c r="BH1450" s="19"/>
      <c r="BI1450" s="19"/>
      <c r="BJ1450" s="19"/>
      <c r="BK1450" s="19"/>
      <c r="BL1450" s="19"/>
      <c r="BM1450" s="98"/>
      <c r="BN1450" s="98"/>
      <c r="BO1450" s="98"/>
      <c r="BP1450" s="98"/>
      <c r="BQ1450" s="98"/>
      <c r="BR1450" s="98"/>
      <c r="BS1450" s="98"/>
      <c r="BT1450" s="98"/>
      <c r="BU1450" s="98"/>
      <c r="BV1450" s="98"/>
      <c r="BW1450" s="98"/>
      <c r="BX1450" s="98"/>
      <c r="BY1450" s="98"/>
      <c r="BZ1450" s="98"/>
      <c r="DA1450" s="177"/>
      <c r="EH1450" s="19"/>
      <c r="EI1450" s="19"/>
      <c r="EJ1450" s="19"/>
      <c r="EK1450" s="19"/>
      <c r="EL1450" s="19"/>
      <c r="EM1450" s="98"/>
      <c r="EN1450" s="98"/>
      <c r="EO1450" s="98"/>
      <c r="EP1450" s="98"/>
      <c r="EQ1450" s="98"/>
      <c r="ER1450" s="98"/>
      <c r="ES1450" s="98"/>
      <c r="ET1450" s="98"/>
      <c r="EU1450" s="98"/>
      <c r="EV1450" s="98"/>
      <c r="EW1450" s="98"/>
      <c r="EX1450" s="98"/>
      <c r="EY1450" s="98"/>
      <c r="EZ1450" s="178"/>
    </row>
    <row r="1451" spans="60:156">
      <c r="BH1451" s="19"/>
      <c r="BI1451" s="19"/>
      <c r="BJ1451" s="19"/>
      <c r="BK1451" s="19"/>
      <c r="BL1451" s="19"/>
      <c r="BM1451" s="98"/>
      <c r="BN1451" s="98"/>
      <c r="BO1451" s="98"/>
      <c r="BP1451" s="98"/>
      <c r="BQ1451" s="98"/>
      <c r="BR1451" s="98"/>
      <c r="BS1451" s="98"/>
      <c r="BT1451" s="98"/>
      <c r="BU1451" s="98"/>
      <c r="BV1451" s="98"/>
      <c r="BW1451" s="98"/>
      <c r="BX1451" s="98"/>
      <c r="BY1451" s="98"/>
      <c r="BZ1451" s="98"/>
      <c r="DA1451" s="177"/>
      <c r="EH1451" s="19"/>
      <c r="EI1451" s="19"/>
      <c r="EJ1451" s="19"/>
      <c r="EK1451" s="19"/>
      <c r="EL1451" s="19"/>
      <c r="EM1451" s="98"/>
      <c r="EN1451" s="98"/>
      <c r="EO1451" s="98"/>
      <c r="EP1451" s="98"/>
      <c r="EQ1451" s="98"/>
      <c r="ER1451" s="98"/>
      <c r="ES1451" s="98"/>
      <c r="ET1451" s="98"/>
      <c r="EU1451" s="98"/>
      <c r="EV1451" s="98"/>
      <c r="EW1451" s="98"/>
      <c r="EX1451" s="98"/>
      <c r="EY1451" s="98"/>
      <c r="EZ1451" s="178"/>
    </row>
    <row r="1452" spans="60:156">
      <c r="BH1452" s="19"/>
      <c r="BI1452" s="19"/>
      <c r="BJ1452" s="19"/>
      <c r="BK1452" s="19"/>
      <c r="BL1452" s="19"/>
      <c r="BM1452" s="98"/>
      <c r="BN1452" s="98"/>
      <c r="BO1452" s="98"/>
      <c r="BP1452" s="98"/>
      <c r="BQ1452" s="98"/>
      <c r="BR1452" s="98"/>
      <c r="BS1452" s="98"/>
      <c r="BT1452" s="98"/>
      <c r="BU1452" s="98"/>
      <c r="BV1452" s="98"/>
      <c r="BW1452" s="98"/>
      <c r="BX1452" s="98"/>
      <c r="BY1452" s="98"/>
      <c r="BZ1452" s="98"/>
      <c r="DA1452" s="177"/>
      <c r="EH1452" s="19"/>
      <c r="EI1452" s="19"/>
      <c r="EJ1452" s="19"/>
      <c r="EK1452" s="19"/>
      <c r="EL1452" s="19"/>
      <c r="EM1452" s="98"/>
      <c r="EN1452" s="98"/>
      <c r="EO1452" s="98"/>
      <c r="EP1452" s="98"/>
      <c r="EQ1452" s="98"/>
      <c r="ER1452" s="98"/>
      <c r="ES1452" s="98"/>
      <c r="ET1452" s="98"/>
      <c r="EU1452" s="98"/>
      <c r="EV1452" s="98"/>
      <c r="EW1452" s="98"/>
      <c r="EX1452" s="98"/>
      <c r="EY1452" s="98"/>
      <c r="EZ1452" s="178"/>
    </row>
    <row r="1453" spans="60:156">
      <c r="BH1453" s="19"/>
      <c r="BI1453" s="19"/>
      <c r="BJ1453" s="19"/>
      <c r="BK1453" s="19"/>
      <c r="BL1453" s="19"/>
      <c r="BM1453" s="98"/>
      <c r="BN1453" s="98"/>
      <c r="BO1453" s="98"/>
      <c r="BP1453" s="98"/>
      <c r="BQ1453" s="98"/>
      <c r="BR1453" s="98"/>
      <c r="BS1453" s="98"/>
      <c r="BT1453" s="98"/>
      <c r="BU1453" s="98"/>
      <c r="BV1453" s="98"/>
      <c r="BW1453" s="98"/>
      <c r="BX1453" s="98"/>
      <c r="BY1453" s="98"/>
      <c r="BZ1453" s="98"/>
      <c r="DA1453" s="177"/>
      <c r="EH1453" s="19"/>
      <c r="EI1453" s="19"/>
      <c r="EJ1453" s="19"/>
      <c r="EK1453" s="19"/>
      <c r="EL1453" s="19"/>
      <c r="EM1453" s="98"/>
      <c r="EN1453" s="98"/>
      <c r="EO1453" s="98"/>
      <c r="EP1453" s="98"/>
      <c r="EQ1453" s="98"/>
      <c r="ER1453" s="98"/>
      <c r="ES1453" s="98"/>
      <c r="ET1453" s="98"/>
      <c r="EU1453" s="98"/>
      <c r="EV1453" s="98"/>
      <c r="EW1453" s="98"/>
      <c r="EX1453" s="98"/>
      <c r="EY1453" s="98"/>
      <c r="EZ1453" s="178"/>
    </row>
    <row r="1454" spans="60:156">
      <c r="BH1454" s="19"/>
      <c r="BI1454" s="19"/>
      <c r="BJ1454" s="19"/>
      <c r="BK1454" s="19"/>
      <c r="BL1454" s="19"/>
      <c r="BM1454" s="98"/>
      <c r="BN1454" s="98"/>
      <c r="BO1454" s="98"/>
      <c r="BP1454" s="98"/>
      <c r="BQ1454" s="98"/>
      <c r="BR1454" s="98"/>
      <c r="BS1454" s="98"/>
      <c r="BT1454" s="98"/>
      <c r="BU1454" s="98"/>
      <c r="BV1454" s="98"/>
      <c r="BW1454" s="98"/>
      <c r="BX1454" s="98"/>
      <c r="BY1454" s="98"/>
      <c r="BZ1454" s="98"/>
      <c r="DA1454" s="177"/>
      <c r="EH1454" s="19"/>
      <c r="EI1454" s="19"/>
      <c r="EJ1454" s="19"/>
      <c r="EK1454" s="19"/>
      <c r="EL1454" s="19"/>
      <c r="EM1454" s="98"/>
      <c r="EN1454" s="98"/>
      <c r="EO1454" s="98"/>
      <c r="EP1454" s="98"/>
      <c r="EQ1454" s="98"/>
      <c r="ER1454" s="98"/>
      <c r="ES1454" s="98"/>
      <c r="ET1454" s="98"/>
      <c r="EU1454" s="98"/>
      <c r="EV1454" s="98"/>
      <c r="EW1454" s="98"/>
      <c r="EX1454" s="98"/>
      <c r="EY1454" s="98"/>
      <c r="EZ1454" s="178"/>
    </row>
    <row r="1455" spans="60:156">
      <c r="BH1455" s="19"/>
      <c r="BI1455" s="19"/>
      <c r="BJ1455" s="19"/>
      <c r="BK1455" s="19"/>
      <c r="BL1455" s="19"/>
      <c r="BM1455" s="98"/>
      <c r="BN1455" s="98"/>
      <c r="BO1455" s="98"/>
      <c r="BP1455" s="98"/>
      <c r="BQ1455" s="98"/>
      <c r="BR1455" s="98"/>
      <c r="BS1455" s="98"/>
      <c r="BT1455" s="98"/>
      <c r="BU1455" s="98"/>
      <c r="BV1455" s="98"/>
      <c r="BW1455" s="98"/>
      <c r="BX1455" s="98"/>
      <c r="BY1455" s="98"/>
      <c r="BZ1455" s="98"/>
      <c r="DA1455" s="177"/>
      <c r="EH1455" s="19"/>
      <c r="EI1455" s="19"/>
      <c r="EJ1455" s="19"/>
      <c r="EK1455" s="19"/>
      <c r="EL1455" s="19"/>
      <c r="EM1455" s="98"/>
      <c r="EN1455" s="98"/>
      <c r="EO1455" s="98"/>
      <c r="EP1455" s="98"/>
      <c r="EQ1455" s="98"/>
      <c r="ER1455" s="98"/>
      <c r="ES1455" s="98"/>
      <c r="ET1455" s="98"/>
      <c r="EU1455" s="98"/>
      <c r="EV1455" s="98"/>
      <c r="EW1455" s="98"/>
      <c r="EX1455" s="98"/>
      <c r="EY1455" s="98"/>
      <c r="EZ1455" s="178"/>
    </row>
    <row r="1456" spans="60:156">
      <c r="BH1456" s="19"/>
      <c r="BI1456" s="19"/>
      <c r="BJ1456" s="19"/>
      <c r="BK1456" s="19"/>
      <c r="BL1456" s="19"/>
      <c r="BM1456" s="98"/>
      <c r="BN1456" s="98"/>
      <c r="BO1456" s="98"/>
      <c r="BP1456" s="98"/>
      <c r="BQ1456" s="98"/>
      <c r="BR1456" s="98"/>
      <c r="BS1456" s="98"/>
      <c r="BT1456" s="98"/>
      <c r="BU1456" s="98"/>
      <c r="BV1456" s="98"/>
      <c r="BW1456" s="98"/>
      <c r="BX1456" s="98"/>
      <c r="BY1456" s="98"/>
      <c r="BZ1456" s="98"/>
      <c r="DA1456" s="177"/>
      <c r="EH1456" s="19"/>
      <c r="EI1456" s="19"/>
      <c r="EJ1456" s="19"/>
      <c r="EK1456" s="19"/>
      <c r="EL1456" s="19"/>
      <c r="EM1456" s="98"/>
      <c r="EN1456" s="98"/>
      <c r="EO1456" s="98"/>
      <c r="EP1456" s="98"/>
      <c r="EQ1456" s="98"/>
      <c r="ER1456" s="98"/>
      <c r="ES1456" s="98"/>
      <c r="ET1456" s="98"/>
      <c r="EU1456" s="98"/>
      <c r="EV1456" s="98"/>
      <c r="EW1456" s="98"/>
      <c r="EX1456" s="98"/>
      <c r="EY1456" s="98"/>
      <c r="EZ1456" s="178"/>
    </row>
    <row r="1457" spans="60:156">
      <c r="BH1457" s="19"/>
      <c r="BI1457" s="19"/>
      <c r="BJ1457" s="19"/>
      <c r="BK1457" s="19"/>
      <c r="BL1457" s="19"/>
      <c r="BM1457" s="98"/>
      <c r="BN1457" s="98"/>
      <c r="BO1457" s="98"/>
      <c r="BP1457" s="98"/>
      <c r="BQ1457" s="98"/>
      <c r="BR1457" s="98"/>
      <c r="BS1457" s="98"/>
      <c r="BT1457" s="98"/>
      <c r="BU1457" s="98"/>
      <c r="BV1457" s="98"/>
      <c r="BW1457" s="98"/>
      <c r="BX1457" s="98"/>
      <c r="BY1457" s="98"/>
      <c r="BZ1457" s="98"/>
      <c r="DA1457" s="177"/>
      <c r="EH1457" s="19"/>
      <c r="EI1457" s="19"/>
      <c r="EJ1457" s="19"/>
      <c r="EK1457" s="19"/>
      <c r="EL1457" s="19"/>
      <c r="EM1457" s="98"/>
      <c r="EN1457" s="98"/>
      <c r="EO1457" s="98"/>
      <c r="EP1457" s="98"/>
      <c r="EQ1457" s="98"/>
      <c r="ER1457" s="98"/>
      <c r="ES1457" s="98"/>
      <c r="ET1457" s="98"/>
      <c r="EU1457" s="98"/>
      <c r="EV1457" s="98"/>
      <c r="EW1457" s="98"/>
      <c r="EX1457" s="98"/>
      <c r="EY1457" s="98"/>
      <c r="EZ1457" s="178"/>
    </row>
    <row r="1458" spans="60:156">
      <c r="BH1458" s="19"/>
      <c r="BI1458" s="19"/>
      <c r="BJ1458" s="19"/>
      <c r="BK1458" s="19"/>
      <c r="BL1458" s="19"/>
      <c r="BM1458" s="98"/>
      <c r="BN1458" s="98"/>
      <c r="BO1458" s="98"/>
      <c r="BP1458" s="98"/>
      <c r="BQ1458" s="98"/>
      <c r="BR1458" s="98"/>
      <c r="BS1458" s="98"/>
      <c r="BT1458" s="98"/>
      <c r="BU1458" s="98"/>
      <c r="BV1458" s="98"/>
      <c r="BW1458" s="98"/>
      <c r="BX1458" s="98"/>
      <c r="BY1458" s="98"/>
      <c r="BZ1458" s="98"/>
      <c r="DA1458" s="177"/>
      <c r="EH1458" s="19"/>
      <c r="EI1458" s="19"/>
      <c r="EJ1458" s="19"/>
      <c r="EK1458" s="19"/>
      <c r="EL1458" s="19"/>
      <c r="EM1458" s="98"/>
      <c r="EN1458" s="98"/>
      <c r="EO1458" s="98"/>
      <c r="EP1458" s="98"/>
      <c r="EQ1458" s="98"/>
      <c r="ER1458" s="98"/>
      <c r="ES1458" s="98"/>
      <c r="ET1458" s="98"/>
      <c r="EU1458" s="98"/>
      <c r="EV1458" s="98"/>
      <c r="EW1458" s="98"/>
      <c r="EX1458" s="98"/>
      <c r="EY1458" s="98"/>
      <c r="EZ1458" s="178"/>
    </row>
    <row r="1459" spans="60:156">
      <c r="BH1459" s="19"/>
      <c r="BI1459" s="19"/>
      <c r="BJ1459" s="19"/>
      <c r="BK1459" s="19"/>
      <c r="BL1459" s="19"/>
      <c r="BM1459" s="98"/>
      <c r="BN1459" s="98"/>
      <c r="BO1459" s="98"/>
      <c r="BP1459" s="98"/>
      <c r="BQ1459" s="98"/>
      <c r="BR1459" s="98"/>
      <c r="BS1459" s="98"/>
      <c r="BT1459" s="98"/>
      <c r="BU1459" s="98"/>
      <c r="BV1459" s="98"/>
      <c r="BW1459" s="98"/>
      <c r="BX1459" s="98"/>
      <c r="BY1459" s="98"/>
      <c r="BZ1459" s="98"/>
      <c r="DA1459" s="177"/>
      <c r="EH1459" s="19"/>
      <c r="EI1459" s="19"/>
      <c r="EJ1459" s="19"/>
      <c r="EK1459" s="19"/>
      <c r="EL1459" s="19"/>
      <c r="EM1459" s="98"/>
      <c r="EN1459" s="98"/>
      <c r="EO1459" s="98"/>
      <c r="EP1459" s="98"/>
      <c r="EQ1459" s="98"/>
      <c r="ER1459" s="98"/>
      <c r="ES1459" s="98"/>
      <c r="ET1459" s="98"/>
      <c r="EU1459" s="98"/>
      <c r="EV1459" s="98"/>
      <c r="EW1459" s="98"/>
      <c r="EX1459" s="98"/>
      <c r="EY1459" s="98"/>
      <c r="EZ1459" s="178"/>
    </row>
    <row r="1460" spans="60:156">
      <c r="BH1460" s="19"/>
      <c r="BI1460" s="19"/>
      <c r="BJ1460" s="19"/>
      <c r="BK1460" s="19"/>
      <c r="BL1460" s="19"/>
      <c r="BM1460" s="98"/>
      <c r="BN1460" s="98"/>
      <c r="BO1460" s="98"/>
      <c r="BP1460" s="98"/>
      <c r="BQ1460" s="98"/>
      <c r="BR1460" s="98"/>
      <c r="BS1460" s="98"/>
      <c r="BT1460" s="98"/>
      <c r="BU1460" s="98"/>
      <c r="BV1460" s="98"/>
      <c r="BW1460" s="98"/>
      <c r="BX1460" s="98"/>
      <c r="BY1460" s="98"/>
      <c r="BZ1460" s="98"/>
      <c r="DA1460" s="177"/>
      <c r="EH1460" s="19"/>
      <c r="EI1460" s="19"/>
      <c r="EJ1460" s="19"/>
      <c r="EK1460" s="19"/>
      <c r="EL1460" s="19"/>
      <c r="EM1460" s="98"/>
      <c r="EN1460" s="98"/>
      <c r="EO1460" s="98"/>
      <c r="EP1460" s="98"/>
      <c r="EQ1460" s="98"/>
      <c r="ER1460" s="98"/>
      <c r="ES1460" s="98"/>
      <c r="ET1460" s="98"/>
      <c r="EU1460" s="98"/>
      <c r="EV1460" s="98"/>
      <c r="EW1460" s="98"/>
      <c r="EX1460" s="98"/>
      <c r="EY1460" s="98"/>
      <c r="EZ1460" s="178"/>
    </row>
    <row r="1461" spans="60:156">
      <c r="BH1461" s="19"/>
      <c r="BI1461" s="19"/>
      <c r="BJ1461" s="19"/>
      <c r="BK1461" s="19"/>
      <c r="BL1461" s="19"/>
      <c r="BM1461" s="98"/>
      <c r="BN1461" s="98"/>
      <c r="BO1461" s="98"/>
      <c r="BP1461" s="98"/>
      <c r="BQ1461" s="98"/>
      <c r="BR1461" s="98"/>
      <c r="BS1461" s="98"/>
      <c r="BT1461" s="98"/>
      <c r="BU1461" s="98"/>
      <c r="BV1461" s="98"/>
      <c r="BW1461" s="98"/>
      <c r="BX1461" s="98"/>
      <c r="BY1461" s="98"/>
      <c r="BZ1461" s="98"/>
      <c r="DA1461" s="177"/>
      <c r="EH1461" s="19"/>
      <c r="EI1461" s="19"/>
      <c r="EJ1461" s="19"/>
      <c r="EK1461" s="19"/>
      <c r="EL1461" s="19"/>
      <c r="EM1461" s="98"/>
      <c r="EN1461" s="98"/>
      <c r="EO1461" s="98"/>
      <c r="EP1461" s="98"/>
      <c r="EQ1461" s="98"/>
      <c r="ER1461" s="98"/>
      <c r="ES1461" s="98"/>
      <c r="ET1461" s="98"/>
      <c r="EU1461" s="98"/>
      <c r="EV1461" s="98"/>
      <c r="EW1461" s="98"/>
      <c r="EX1461" s="98"/>
      <c r="EY1461" s="98"/>
      <c r="EZ1461" s="178"/>
    </row>
    <row r="1462" spans="60:156">
      <c r="BH1462" s="19"/>
      <c r="BI1462" s="19"/>
      <c r="BJ1462" s="19"/>
      <c r="BK1462" s="19"/>
      <c r="BL1462" s="19"/>
      <c r="BM1462" s="98"/>
      <c r="BN1462" s="98"/>
      <c r="BO1462" s="98"/>
      <c r="BP1462" s="98"/>
      <c r="BQ1462" s="98"/>
      <c r="BR1462" s="98"/>
      <c r="BS1462" s="98"/>
      <c r="BT1462" s="98"/>
      <c r="BU1462" s="98"/>
      <c r="BV1462" s="98"/>
      <c r="BW1462" s="98"/>
      <c r="BX1462" s="98"/>
      <c r="BY1462" s="98"/>
      <c r="BZ1462" s="98"/>
      <c r="DA1462" s="177"/>
      <c r="EH1462" s="19"/>
      <c r="EI1462" s="19"/>
      <c r="EJ1462" s="19"/>
      <c r="EK1462" s="19"/>
      <c r="EL1462" s="19"/>
      <c r="EM1462" s="98"/>
      <c r="EN1462" s="98"/>
      <c r="EO1462" s="98"/>
      <c r="EP1462" s="98"/>
      <c r="EQ1462" s="98"/>
      <c r="ER1462" s="98"/>
      <c r="ES1462" s="98"/>
      <c r="ET1462" s="98"/>
      <c r="EU1462" s="98"/>
      <c r="EV1462" s="98"/>
      <c r="EW1462" s="98"/>
      <c r="EX1462" s="98"/>
      <c r="EY1462" s="98"/>
      <c r="EZ1462" s="178"/>
    </row>
    <row r="1463" spans="60:156">
      <c r="BH1463" s="19"/>
      <c r="BI1463" s="19"/>
      <c r="BJ1463" s="19"/>
      <c r="BK1463" s="19"/>
      <c r="BL1463" s="19"/>
      <c r="BM1463" s="98"/>
      <c r="BN1463" s="98"/>
      <c r="BO1463" s="98"/>
      <c r="BP1463" s="98"/>
      <c r="BQ1463" s="98"/>
      <c r="BR1463" s="98"/>
      <c r="BS1463" s="98"/>
      <c r="BT1463" s="98"/>
      <c r="BU1463" s="98"/>
      <c r="BV1463" s="98"/>
      <c r="BW1463" s="98"/>
      <c r="BX1463" s="98"/>
      <c r="BY1463" s="98"/>
      <c r="BZ1463" s="98"/>
      <c r="DA1463" s="177"/>
      <c r="EH1463" s="19"/>
      <c r="EI1463" s="19"/>
      <c r="EJ1463" s="19"/>
      <c r="EK1463" s="19"/>
      <c r="EL1463" s="19"/>
      <c r="EM1463" s="98"/>
      <c r="EN1463" s="98"/>
      <c r="EO1463" s="98"/>
      <c r="EP1463" s="98"/>
      <c r="EQ1463" s="98"/>
      <c r="ER1463" s="98"/>
      <c r="ES1463" s="98"/>
      <c r="ET1463" s="98"/>
      <c r="EU1463" s="98"/>
      <c r="EV1463" s="98"/>
      <c r="EW1463" s="98"/>
      <c r="EX1463" s="98"/>
      <c r="EY1463" s="98"/>
      <c r="EZ1463" s="178"/>
    </row>
    <row r="1464" spans="60:156">
      <c r="BH1464" s="19"/>
      <c r="BI1464" s="19"/>
      <c r="BJ1464" s="19"/>
      <c r="BK1464" s="19"/>
      <c r="BL1464" s="19"/>
      <c r="BM1464" s="98"/>
      <c r="BN1464" s="98"/>
      <c r="BO1464" s="98"/>
      <c r="BP1464" s="98"/>
      <c r="BQ1464" s="98"/>
      <c r="BR1464" s="98"/>
      <c r="BS1464" s="98"/>
      <c r="BT1464" s="98"/>
      <c r="BU1464" s="98"/>
      <c r="BV1464" s="98"/>
      <c r="BW1464" s="98"/>
      <c r="BX1464" s="98"/>
      <c r="BY1464" s="98"/>
      <c r="BZ1464" s="98"/>
      <c r="DA1464" s="177"/>
      <c r="EH1464" s="19"/>
      <c r="EI1464" s="19"/>
      <c r="EJ1464" s="19"/>
      <c r="EK1464" s="19"/>
      <c r="EL1464" s="19"/>
      <c r="EM1464" s="98"/>
      <c r="EN1464" s="98"/>
      <c r="EO1464" s="98"/>
      <c r="EP1464" s="98"/>
      <c r="EQ1464" s="98"/>
      <c r="ER1464" s="98"/>
      <c r="ES1464" s="98"/>
      <c r="ET1464" s="98"/>
      <c r="EU1464" s="98"/>
      <c r="EV1464" s="98"/>
      <c r="EW1464" s="98"/>
      <c r="EX1464" s="98"/>
      <c r="EY1464" s="98"/>
      <c r="EZ1464" s="178"/>
    </row>
    <row r="1465" spans="60:156">
      <c r="BH1465" s="19"/>
      <c r="BI1465" s="19"/>
      <c r="BJ1465" s="19"/>
      <c r="BK1465" s="19"/>
      <c r="BL1465" s="19"/>
      <c r="BM1465" s="98"/>
      <c r="BN1465" s="98"/>
      <c r="BO1465" s="98"/>
      <c r="BP1465" s="98"/>
      <c r="BQ1465" s="98"/>
      <c r="BR1465" s="98"/>
      <c r="BS1465" s="98"/>
      <c r="BT1465" s="98"/>
      <c r="BU1465" s="98"/>
      <c r="BV1465" s="98"/>
      <c r="BW1465" s="98"/>
      <c r="BX1465" s="98"/>
      <c r="BY1465" s="98"/>
      <c r="BZ1465" s="98"/>
      <c r="DA1465" s="177"/>
      <c r="EH1465" s="19"/>
      <c r="EI1465" s="19"/>
      <c r="EJ1465" s="19"/>
      <c r="EK1465" s="19"/>
      <c r="EL1465" s="19"/>
      <c r="EM1465" s="98"/>
      <c r="EN1465" s="98"/>
      <c r="EO1465" s="98"/>
      <c r="EP1465" s="98"/>
      <c r="EQ1465" s="98"/>
      <c r="ER1465" s="98"/>
      <c r="ES1465" s="98"/>
      <c r="ET1465" s="98"/>
      <c r="EU1465" s="98"/>
      <c r="EV1465" s="98"/>
      <c r="EW1465" s="98"/>
      <c r="EX1465" s="98"/>
      <c r="EY1465" s="98"/>
      <c r="EZ1465" s="178"/>
    </row>
    <row r="1466" spans="60:156">
      <c r="BH1466" s="19"/>
      <c r="BI1466" s="19"/>
      <c r="BJ1466" s="19"/>
      <c r="BK1466" s="19"/>
      <c r="BL1466" s="19"/>
      <c r="BM1466" s="98"/>
      <c r="BN1466" s="98"/>
      <c r="BO1466" s="98"/>
      <c r="BP1466" s="98"/>
      <c r="BQ1466" s="98"/>
      <c r="BR1466" s="98"/>
      <c r="BS1466" s="98"/>
      <c r="BT1466" s="98"/>
      <c r="BU1466" s="98"/>
      <c r="BV1466" s="98"/>
      <c r="BW1466" s="98"/>
      <c r="BX1466" s="98"/>
      <c r="BY1466" s="98"/>
      <c r="BZ1466" s="98"/>
      <c r="DA1466" s="177"/>
      <c r="EH1466" s="19"/>
      <c r="EI1466" s="19"/>
      <c r="EJ1466" s="19"/>
      <c r="EK1466" s="19"/>
      <c r="EL1466" s="19"/>
      <c r="EM1466" s="98"/>
      <c r="EN1466" s="98"/>
      <c r="EO1466" s="98"/>
      <c r="EP1466" s="98"/>
      <c r="EQ1466" s="98"/>
      <c r="ER1466" s="98"/>
      <c r="ES1466" s="98"/>
      <c r="ET1466" s="98"/>
      <c r="EU1466" s="98"/>
      <c r="EV1466" s="98"/>
      <c r="EW1466" s="98"/>
      <c r="EX1466" s="98"/>
      <c r="EY1466" s="98"/>
      <c r="EZ1466" s="178"/>
    </row>
    <row r="1467" spans="60:156">
      <c r="BH1467" s="19"/>
      <c r="BI1467" s="19"/>
      <c r="BJ1467" s="19"/>
      <c r="BK1467" s="19"/>
      <c r="BL1467" s="19"/>
      <c r="BM1467" s="98"/>
      <c r="BN1467" s="98"/>
      <c r="BO1467" s="98"/>
      <c r="BP1467" s="98"/>
      <c r="BQ1467" s="98"/>
      <c r="BR1467" s="98"/>
      <c r="BS1467" s="98"/>
      <c r="BT1467" s="98"/>
      <c r="BU1467" s="98"/>
      <c r="BV1467" s="98"/>
      <c r="BW1467" s="98"/>
      <c r="BX1467" s="98"/>
      <c r="BY1467" s="98"/>
      <c r="BZ1467" s="98"/>
      <c r="DA1467" s="177"/>
      <c r="EH1467" s="19"/>
      <c r="EI1467" s="19"/>
      <c r="EJ1467" s="19"/>
      <c r="EK1467" s="19"/>
      <c r="EL1467" s="19"/>
      <c r="EM1467" s="98"/>
      <c r="EN1467" s="98"/>
      <c r="EO1467" s="98"/>
      <c r="EP1467" s="98"/>
      <c r="EQ1467" s="98"/>
      <c r="ER1467" s="98"/>
      <c r="ES1467" s="98"/>
      <c r="ET1467" s="98"/>
      <c r="EU1467" s="98"/>
      <c r="EV1467" s="98"/>
      <c r="EW1467" s="98"/>
      <c r="EX1467" s="98"/>
      <c r="EY1467" s="98"/>
      <c r="EZ1467" s="178"/>
    </row>
    <row r="1468" spans="60:156">
      <c r="BH1468" s="19"/>
      <c r="BI1468" s="19"/>
      <c r="BJ1468" s="19"/>
      <c r="BK1468" s="19"/>
      <c r="BL1468" s="19"/>
      <c r="BM1468" s="98"/>
      <c r="BN1468" s="98"/>
      <c r="BO1468" s="98"/>
      <c r="BP1468" s="98"/>
      <c r="BQ1468" s="98"/>
      <c r="BR1468" s="98"/>
      <c r="BS1468" s="98"/>
      <c r="BT1468" s="98"/>
      <c r="BU1468" s="98"/>
      <c r="BV1468" s="98"/>
      <c r="BW1468" s="98"/>
      <c r="BX1468" s="98"/>
      <c r="BY1468" s="98"/>
      <c r="BZ1468" s="98"/>
      <c r="DA1468" s="177"/>
      <c r="EH1468" s="19"/>
      <c r="EI1468" s="19"/>
      <c r="EJ1468" s="19"/>
      <c r="EK1468" s="19"/>
      <c r="EL1468" s="19"/>
      <c r="EM1468" s="98"/>
      <c r="EN1468" s="98"/>
      <c r="EO1468" s="98"/>
      <c r="EP1468" s="98"/>
      <c r="EQ1468" s="98"/>
      <c r="ER1468" s="98"/>
      <c r="ES1468" s="98"/>
      <c r="ET1468" s="98"/>
      <c r="EU1468" s="98"/>
      <c r="EV1468" s="98"/>
      <c r="EW1468" s="98"/>
      <c r="EX1468" s="98"/>
      <c r="EY1468" s="98"/>
      <c r="EZ1468" s="178"/>
    </row>
    <row r="1469" spans="60:156">
      <c r="BH1469" s="19"/>
      <c r="BI1469" s="19"/>
      <c r="BJ1469" s="19"/>
      <c r="BK1469" s="19"/>
      <c r="BL1469" s="19"/>
      <c r="BM1469" s="98"/>
      <c r="BN1469" s="98"/>
      <c r="BO1469" s="98"/>
      <c r="BP1469" s="98"/>
      <c r="BQ1469" s="98"/>
      <c r="BR1469" s="98"/>
      <c r="BS1469" s="98"/>
      <c r="BT1469" s="98"/>
      <c r="BU1469" s="98"/>
      <c r="BV1469" s="98"/>
      <c r="BW1469" s="98"/>
      <c r="BX1469" s="98"/>
      <c r="BY1469" s="98"/>
      <c r="BZ1469" s="98"/>
      <c r="DA1469" s="177"/>
      <c r="EH1469" s="19"/>
      <c r="EI1469" s="19"/>
      <c r="EJ1469" s="19"/>
      <c r="EK1469" s="19"/>
      <c r="EL1469" s="19"/>
      <c r="EM1469" s="98"/>
      <c r="EN1469" s="98"/>
      <c r="EO1469" s="98"/>
      <c r="EP1469" s="98"/>
      <c r="EQ1469" s="98"/>
      <c r="ER1469" s="98"/>
      <c r="ES1469" s="98"/>
      <c r="ET1469" s="98"/>
      <c r="EU1469" s="98"/>
      <c r="EV1469" s="98"/>
      <c r="EW1469" s="98"/>
      <c r="EX1469" s="98"/>
      <c r="EY1469" s="98"/>
      <c r="EZ1469" s="178"/>
    </row>
    <row r="1470" spans="60:156">
      <c r="BH1470" s="19"/>
      <c r="BI1470" s="19"/>
      <c r="BJ1470" s="19"/>
      <c r="BK1470" s="19"/>
      <c r="BL1470" s="19"/>
      <c r="BM1470" s="98"/>
      <c r="BN1470" s="98"/>
      <c r="BO1470" s="98"/>
      <c r="BP1470" s="98"/>
      <c r="BQ1470" s="98"/>
      <c r="BR1470" s="98"/>
      <c r="BS1470" s="98"/>
      <c r="BT1470" s="98"/>
      <c r="BU1470" s="98"/>
      <c r="BV1470" s="98"/>
      <c r="BW1470" s="98"/>
      <c r="BX1470" s="98"/>
      <c r="BY1470" s="98"/>
      <c r="BZ1470" s="98"/>
      <c r="DA1470" s="177"/>
      <c r="EH1470" s="19"/>
      <c r="EI1470" s="19"/>
      <c r="EJ1470" s="19"/>
      <c r="EK1470" s="19"/>
      <c r="EL1470" s="19"/>
      <c r="EM1470" s="98"/>
      <c r="EN1470" s="98"/>
      <c r="EO1470" s="98"/>
      <c r="EP1470" s="98"/>
      <c r="EQ1470" s="98"/>
      <c r="ER1470" s="98"/>
      <c r="ES1470" s="98"/>
      <c r="ET1470" s="98"/>
      <c r="EU1470" s="98"/>
      <c r="EV1470" s="98"/>
      <c r="EW1470" s="98"/>
      <c r="EX1470" s="98"/>
      <c r="EY1470" s="98"/>
      <c r="EZ1470" s="178"/>
    </row>
    <row r="1471" spans="60:156">
      <c r="BH1471" s="19"/>
      <c r="BI1471" s="19"/>
      <c r="BJ1471" s="19"/>
      <c r="BK1471" s="19"/>
      <c r="BL1471" s="19"/>
      <c r="BM1471" s="98"/>
      <c r="BN1471" s="98"/>
      <c r="BO1471" s="98"/>
      <c r="BP1471" s="98"/>
      <c r="BQ1471" s="98"/>
      <c r="BR1471" s="98"/>
      <c r="BS1471" s="98"/>
      <c r="BT1471" s="98"/>
      <c r="BU1471" s="98"/>
      <c r="BV1471" s="98"/>
      <c r="BW1471" s="98"/>
      <c r="BX1471" s="98"/>
      <c r="BY1471" s="98"/>
      <c r="BZ1471" s="98"/>
      <c r="DA1471" s="177"/>
      <c r="EH1471" s="19"/>
      <c r="EI1471" s="19"/>
      <c r="EJ1471" s="19"/>
      <c r="EK1471" s="19"/>
      <c r="EL1471" s="19"/>
      <c r="EM1471" s="98"/>
      <c r="EN1471" s="98"/>
      <c r="EO1471" s="98"/>
      <c r="EP1471" s="98"/>
      <c r="EQ1471" s="98"/>
      <c r="ER1471" s="98"/>
      <c r="ES1471" s="98"/>
      <c r="ET1471" s="98"/>
      <c r="EU1471" s="98"/>
      <c r="EV1471" s="98"/>
      <c r="EW1471" s="98"/>
      <c r="EX1471" s="98"/>
      <c r="EY1471" s="98"/>
      <c r="EZ1471" s="178"/>
    </row>
    <row r="1472" spans="60:156">
      <c r="BH1472" s="19"/>
      <c r="BI1472" s="19"/>
      <c r="BJ1472" s="19"/>
      <c r="BK1472" s="19"/>
      <c r="BL1472" s="19"/>
      <c r="BM1472" s="98"/>
      <c r="BN1472" s="98"/>
      <c r="BO1472" s="98"/>
      <c r="BP1472" s="98"/>
      <c r="BQ1472" s="98"/>
      <c r="BR1472" s="98"/>
      <c r="BS1472" s="98"/>
      <c r="BT1472" s="98"/>
      <c r="BU1472" s="98"/>
      <c r="BV1472" s="98"/>
      <c r="BW1472" s="98"/>
      <c r="BX1472" s="98"/>
      <c r="BY1472" s="98"/>
      <c r="BZ1472" s="98"/>
      <c r="DA1472" s="177"/>
      <c r="EH1472" s="19"/>
      <c r="EI1472" s="19"/>
      <c r="EJ1472" s="19"/>
      <c r="EK1472" s="19"/>
      <c r="EL1472" s="19"/>
      <c r="EM1472" s="98"/>
      <c r="EN1472" s="98"/>
      <c r="EO1472" s="98"/>
      <c r="EP1472" s="98"/>
      <c r="EQ1472" s="98"/>
      <c r="ER1472" s="98"/>
      <c r="ES1472" s="98"/>
      <c r="ET1472" s="98"/>
      <c r="EU1472" s="98"/>
      <c r="EV1472" s="98"/>
      <c r="EW1472" s="98"/>
      <c r="EX1472" s="98"/>
      <c r="EY1472" s="98"/>
      <c r="EZ1472" s="178"/>
    </row>
    <row r="1473" spans="60:156">
      <c r="BH1473" s="19"/>
      <c r="BI1473" s="19"/>
      <c r="BJ1473" s="19"/>
      <c r="BK1473" s="19"/>
      <c r="BL1473" s="19"/>
      <c r="BM1473" s="98"/>
      <c r="BN1473" s="98"/>
      <c r="BO1473" s="98"/>
      <c r="BP1473" s="98"/>
      <c r="BQ1473" s="98"/>
      <c r="BR1473" s="98"/>
      <c r="BS1473" s="98"/>
      <c r="BT1473" s="98"/>
      <c r="BU1473" s="98"/>
      <c r="BV1473" s="98"/>
      <c r="BW1473" s="98"/>
      <c r="BX1473" s="98"/>
      <c r="BY1473" s="98"/>
      <c r="BZ1473" s="98"/>
      <c r="DA1473" s="177"/>
      <c r="EH1473" s="19"/>
      <c r="EI1473" s="19"/>
      <c r="EJ1473" s="19"/>
      <c r="EK1473" s="19"/>
      <c r="EL1473" s="19"/>
      <c r="EM1473" s="98"/>
      <c r="EN1473" s="98"/>
      <c r="EO1473" s="98"/>
      <c r="EP1473" s="98"/>
      <c r="EQ1473" s="98"/>
      <c r="ER1473" s="98"/>
      <c r="ES1473" s="98"/>
      <c r="ET1473" s="98"/>
      <c r="EU1473" s="98"/>
      <c r="EV1473" s="98"/>
      <c r="EW1473" s="98"/>
      <c r="EX1473" s="98"/>
      <c r="EY1473" s="98"/>
      <c r="EZ1473" s="178"/>
    </row>
    <row r="1474" spans="60:156">
      <c r="BH1474" s="19"/>
      <c r="BI1474" s="19"/>
      <c r="BJ1474" s="19"/>
      <c r="BK1474" s="19"/>
      <c r="BL1474" s="19"/>
      <c r="BM1474" s="98"/>
      <c r="BN1474" s="98"/>
      <c r="BO1474" s="98"/>
      <c r="BP1474" s="98"/>
      <c r="BQ1474" s="98"/>
      <c r="BR1474" s="98"/>
      <c r="BS1474" s="98"/>
      <c r="BT1474" s="98"/>
      <c r="BU1474" s="98"/>
      <c r="BV1474" s="98"/>
      <c r="BW1474" s="98"/>
      <c r="BX1474" s="98"/>
      <c r="BY1474" s="98"/>
      <c r="BZ1474" s="98"/>
      <c r="DA1474" s="177"/>
      <c r="EH1474" s="19"/>
      <c r="EI1474" s="19"/>
      <c r="EJ1474" s="19"/>
      <c r="EK1474" s="19"/>
      <c r="EL1474" s="19"/>
      <c r="EM1474" s="98"/>
      <c r="EN1474" s="98"/>
      <c r="EO1474" s="98"/>
      <c r="EP1474" s="98"/>
      <c r="EQ1474" s="98"/>
      <c r="ER1474" s="98"/>
      <c r="ES1474" s="98"/>
      <c r="ET1474" s="98"/>
      <c r="EU1474" s="98"/>
      <c r="EV1474" s="98"/>
      <c r="EW1474" s="98"/>
      <c r="EX1474" s="98"/>
      <c r="EY1474" s="98"/>
      <c r="EZ1474" s="178"/>
    </row>
    <row r="1475" spans="60:156">
      <c r="BH1475" s="19"/>
      <c r="BI1475" s="19"/>
      <c r="BJ1475" s="19"/>
      <c r="BK1475" s="19"/>
      <c r="BL1475" s="19"/>
      <c r="BM1475" s="98"/>
      <c r="BN1475" s="98"/>
      <c r="BO1475" s="98"/>
      <c r="BP1475" s="98"/>
      <c r="BQ1475" s="98"/>
      <c r="BR1475" s="98"/>
      <c r="BS1475" s="98"/>
      <c r="BT1475" s="98"/>
      <c r="BU1475" s="98"/>
      <c r="BV1475" s="98"/>
      <c r="BW1475" s="98"/>
      <c r="BX1475" s="98"/>
      <c r="BY1475" s="98"/>
      <c r="BZ1475" s="98"/>
      <c r="DA1475" s="177"/>
      <c r="EH1475" s="19"/>
      <c r="EI1475" s="19"/>
      <c r="EJ1475" s="19"/>
      <c r="EK1475" s="19"/>
      <c r="EL1475" s="19"/>
      <c r="EM1475" s="98"/>
      <c r="EN1475" s="98"/>
      <c r="EO1475" s="98"/>
      <c r="EP1475" s="98"/>
      <c r="EQ1475" s="98"/>
      <c r="ER1475" s="98"/>
      <c r="ES1475" s="98"/>
      <c r="ET1475" s="98"/>
      <c r="EU1475" s="98"/>
      <c r="EV1475" s="98"/>
      <c r="EW1475" s="98"/>
      <c r="EX1475" s="98"/>
      <c r="EY1475" s="98"/>
      <c r="EZ1475" s="178"/>
    </row>
    <row r="1476" spans="60:156">
      <c r="BH1476" s="19"/>
      <c r="BI1476" s="19"/>
      <c r="BJ1476" s="19"/>
      <c r="BK1476" s="19"/>
      <c r="BL1476" s="19"/>
      <c r="BM1476" s="98"/>
      <c r="BN1476" s="98"/>
      <c r="BO1476" s="98"/>
      <c r="BP1476" s="98"/>
      <c r="BQ1476" s="98"/>
      <c r="BR1476" s="98"/>
      <c r="BS1476" s="98"/>
      <c r="BT1476" s="98"/>
      <c r="BU1476" s="98"/>
      <c r="BV1476" s="98"/>
      <c r="BW1476" s="98"/>
      <c r="BX1476" s="98"/>
      <c r="BY1476" s="98"/>
      <c r="BZ1476" s="98"/>
      <c r="DA1476" s="177"/>
      <c r="EH1476" s="19"/>
      <c r="EI1476" s="19"/>
      <c r="EJ1476" s="19"/>
      <c r="EK1476" s="19"/>
      <c r="EL1476" s="19"/>
      <c r="EM1476" s="98"/>
      <c r="EN1476" s="98"/>
      <c r="EO1476" s="98"/>
      <c r="EP1476" s="98"/>
      <c r="EQ1476" s="98"/>
      <c r="ER1476" s="98"/>
      <c r="ES1476" s="98"/>
      <c r="ET1476" s="98"/>
      <c r="EU1476" s="98"/>
      <c r="EV1476" s="98"/>
      <c r="EW1476" s="98"/>
      <c r="EX1476" s="98"/>
      <c r="EY1476" s="98"/>
      <c r="EZ1476" s="178"/>
    </row>
    <row r="1477" spans="60:156">
      <c r="BH1477" s="19"/>
      <c r="BI1477" s="19"/>
      <c r="BJ1477" s="19"/>
      <c r="BK1477" s="19"/>
      <c r="BL1477" s="19"/>
      <c r="BM1477" s="98"/>
      <c r="BN1477" s="98"/>
      <c r="BO1477" s="98"/>
      <c r="BP1477" s="98"/>
      <c r="BQ1477" s="98"/>
      <c r="BR1477" s="98"/>
      <c r="BS1477" s="98"/>
      <c r="BT1477" s="98"/>
      <c r="BU1477" s="98"/>
      <c r="BV1477" s="98"/>
      <c r="BW1477" s="98"/>
      <c r="BX1477" s="98"/>
      <c r="BY1477" s="98"/>
      <c r="BZ1477" s="98"/>
      <c r="DA1477" s="177"/>
      <c r="EH1477" s="19"/>
      <c r="EI1477" s="19"/>
      <c r="EJ1477" s="19"/>
      <c r="EK1477" s="19"/>
      <c r="EL1477" s="19"/>
      <c r="EM1477" s="98"/>
      <c r="EN1477" s="98"/>
      <c r="EO1477" s="98"/>
      <c r="EP1477" s="98"/>
      <c r="EQ1477" s="98"/>
      <c r="ER1477" s="98"/>
      <c r="ES1477" s="98"/>
      <c r="ET1477" s="98"/>
      <c r="EU1477" s="98"/>
      <c r="EV1477" s="98"/>
      <c r="EW1477" s="98"/>
      <c r="EX1477" s="98"/>
      <c r="EY1477" s="98"/>
      <c r="EZ1477" s="178"/>
    </row>
    <row r="1478" spans="60:156">
      <c r="BH1478" s="19"/>
      <c r="BI1478" s="19"/>
      <c r="BJ1478" s="19"/>
      <c r="BK1478" s="19"/>
      <c r="BL1478" s="19"/>
      <c r="BM1478" s="98"/>
      <c r="BN1478" s="98"/>
      <c r="BO1478" s="98"/>
      <c r="BP1478" s="98"/>
      <c r="BQ1478" s="98"/>
      <c r="BR1478" s="98"/>
      <c r="BS1478" s="98"/>
      <c r="BT1478" s="98"/>
      <c r="BU1478" s="98"/>
      <c r="BV1478" s="98"/>
      <c r="BW1478" s="98"/>
      <c r="BX1478" s="98"/>
      <c r="BY1478" s="98"/>
      <c r="BZ1478" s="98"/>
      <c r="DA1478" s="177"/>
      <c r="EH1478" s="19"/>
      <c r="EI1478" s="19"/>
      <c r="EJ1478" s="19"/>
      <c r="EK1478" s="19"/>
      <c r="EL1478" s="19"/>
      <c r="EM1478" s="98"/>
      <c r="EN1478" s="98"/>
      <c r="EO1478" s="98"/>
      <c r="EP1478" s="98"/>
      <c r="EQ1478" s="98"/>
      <c r="ER1478" s="98"/>
      <c r="ES1478" s="98"/>
      <c r="ET1478" s="98"/>
      <c r="EU1478" s="98"/>
      <c r="EV1478" s="98"/>
      <c r="EW1478" s="98"/>
      <c r="EX1478" s="98"/>
      <c r="EY1478" s="98"/>
      <c r="EZ1478" s="178"/>
    </row>
    <row r="1479" spans="60:156">
      <c r="BH1479" s="19"/>
      <c r="BI1479" s="19"/>
      <c r="BJ1479" s="19"/>
      <c r="BK1479" s="19"/>
      <c r="BL1479" s="19"/>
      <c r="BM1479" s="98"/>
      <c r="BN1479" s="98"/>
      <c r="BO1479" s="98"/>
      <c r="BP1479" s="98"/>
      <c r="BQ1479" s="98"/>
      <c r="BR1479" s="98"/>
      <c r="BS1479" s="98"/>
      <c r="BT1479" s="98"/>
      <c r="BU1479" s="98"/>
      <c r="BV1479" s="98"/>
      <c r="BW1479" s="98"/>
      <c r="BX1479" s="98"/>
      <c r="BY1479" s="98"/>
      <c r="BZ1479" s="98"/>
      <c r="DA1479" s="177"/>
      <c r="EH1479" s="19"/>
      <c r="EI1479" s="19"/>
      <c r="EJ1479" s="19"/>
      <c r="EK1479" s="19"/>
      <c r="EL1479" s="19"/>
      <c r="EM1479" s="98"/>
      <c r="EN1479" s="98"/>
      <c r="EO1479" s="98"/>
      <c r="EP1479" s="98"/>
      <c r="EQ1479" s="98"/>
      <c r="ER1479" s="98"/>
      <c r="ES1479" s="98"/>
      <c r="ET1479" s="98"/>
      <c r="EU1479" s="98"/>
      <c r="EV1479" s="98"/>
      <c r="EW1479" s="98"/>
      <c r="EX1479" s="98"/>
      <c r="EY1479" s="98"/>
      <c r="EZ1479" s="178"/>
    </row>
    <row r="1480" spans="60:156">
      <c r="BH1480" s="19"/>
      <c r="BI1480" s="19"/>
      <c r="BJ1480" s="19"/>
      <c r="BK1480" s="19"/>
      <c r="BL1480" s="19"/>
      <c r="BM1480" s="98"/>
      <c r="BN1480" s="98"/>
      <c r="BO1480" s="98"/>
      <c r="BP1480" s="98"/>
      <c r="BQ1480" s="98"/>
      <c r="BR1480" s="98"/>
      <c r="BS1480" s="98"/>
      <c r="BT1480" s="98"/>
      <c r="BU1480" s="98"/>
      <c r="BV1480" s="98"/>
      <c r="BW1480" s="98"/>
      <c r="BX1480" s="98"/>
      <c r="BY1480" s="98"/>
      <c r="BZ1480" s="98"/>
      <c r="DA1480" s="177"/>
      <c r="EH1480" s="19"/>
      <c r="EI1480" s="19"/>
      <c r="EJ1480" s="19"/>
      <c r="EK1480" s="19"/>
      <c r="EL1480" s="19"/>
      <c r="EM1480" s="98"/>
      <c r="EN1480" s="98"/>
      <c r="EO1480" s="98"/>
      <c r="EP1480" s="98"/>
      <c r="EQ1480" s="98"/>
      <c r="ER1480" s="98"/>
      <c r="ES1480" s="98"/>
      <c r="ET1480" s="98"/>
      <c r="EU1480" s="98"/>
      <c r="EV1480" s="98"/>
      <c r="EW1480" s="98"/>
      <c r="EX1480" s="98"/>
      <c r="EY1480" s="98"/>
      <c r="EZ1480" s="178"/>
    </row>
    <row r="1481" spans="60:156">
      <c r="BH1481" s="19"/>
      <c r="BI1481" s="19"/>
      <c r="BJ1481" s="19"/>
      <c r="BK1481" s="19"/>
      <c r="BL1481" s="19"/>
      <c r="BM1481" s="98"/>
      <c r="BN1481" s="98"/>
      <c r="BO1481" s="98"/>
      <c r="BP1481" s="98"/>
      <c r="BQ1481" s="98"/>
      <c r="BR1481" s="98"/>
      <c r="BS1481" s="98"/>
      <c r="BT1481" s="98"/>
      <c r="BU1481" s="98"/>
      <c r="BV1481" s="98"/>
      <c r="BW1481" s="98"/>
      <c r="BX1481" s="98"/>
      <c r="BY1481" s="98"/>
      <c r="BZ1481" s="98"/>
      <c r="DA1481" s="177"/>
      <c r="EH1481" s="19"/>
      <c r="EI1481" s="19"/>
      <c r="EJ1481" s="19"/>
      <c r="EK1481" s="19"/>
      <c r="EL1481" s="19"/>
      <c r="EM1481" s="98"/>
      <c r="EN1481" s="98"/>
      <c r="EO1481" s="98"/>
      <c r="EP1481" s="98"/>
      <c r="EQ1481" s="98"/>
      <c r="ER1481" s="98"/>
      <c r="ES1481" s="98"/>
      <c r="ET1481" s="98"/>
      <c r="EU1481" s="98"/>
      <c r="EV1481" s="98"/>
      <c r="EW1481" s="98"/>
      <c r="EX1481" s="98"/>
      <c r="EY1481" s="98"/>
      <c r="EZ1481" s="178"/>
    </row>
    <row r="1482" spans="60:156">
      <c r="BH1482" s="19"/>
      <c r="BI1482" s="19"/>
      <c r="BJ1482" s="19"/>
      <c r="BK1482" s="19"/>
      <c r="BL1482" s="19"/>
      <c r="BM1482" s="98"/>
      <c r="BN1482" s="98"/>
      <c r="BO1482" s="98"/>
      <c r="BP1482" s="98"/>
      <c r="BQ1482" s="98"/>
      <c r="BR1482" s="98"/>
      <c r="BS1482" s="98"/>
      <c r="BT1482" s="98"/>
      <c r="BU1482" s="98"/>
      <c r="BV1482" s="98"/>
      <c r="BW1482" s="98"/>
      <c r="BX1482" s="98"/>
      <c r="BY1482" s="98"/>
      <c r="BZ1482" s="98"/>
      <c r="DA1482" s="177"/>
      <c r="EH1482" s="19"/>
      <c r="EI1482" s="19"/>
      <c r="EJ1482" s="19"/>
      <c r="EK1482" s="19"/>
      <c r="EL1482" s="19"/>
      <c r="EM1482" s="98"/>
      <c r="EN1482" s="98"/>
      <c r="EO1482" s="98"/>
      <c r="EP1482" s="98"/>
      <c r="EQ1482" s="98"/>
      <c r="ER1482" s="98"/>
      <c r="ES1482" s="98"/>
      <c r="ET1482" s="98"/>
      <c r="EU1482" s="98"/>
      <c r="EV1482" s="98"/>
      <c r="EW1482" s="98"/>
      <c r="EX1482" s="98"/>
      <c r="EY1482" s="98"/>
      <c r="EZ1482" s="178"/>
    </row>
    <row r="1483" spans="60:156">
      <c r="BH1483" s="19"/>
      <c r="BI1483" s="19"/>
      <c r="BJ1483" s="19"/>
      <c r="BK1483" s="19"/>
      <c r="BL1483" s="19"/>
      <c r="BM1483" s="98"/>
      <c r="BN1483" s="98"/>
      <c r="BO1483" s="98"/>
      <c r="BP1483" s="98"/>
      <c r="BQ1483" s="98"/>
      <c r="BR1483" s="98"/>
      <c r="BS1483" s="98"/>
      <c r="BT1483" s="98"/>
      <c r="BU1483" s="98"/>
      <c r="BV1483" s="98"/>
      <c r="BW1483" s="98"/>
      <c r="BX1483" s="98"/>
      <c r="BY1483" s="98"/>
      <c r="BZ1483" s="98"/>
      <c r="DA1483" s="177"/>
      <c r="EH1483" s="19"/>
      <c r="EI1483" s="19"/>
      <c r="EJ1483" s="19"/>
      <c r="EK1483" s="19"/>
      <c r="EL1483" s="19"/>
      <c r="EM1483" s="98"/>
      <c r="EN1483" s="98"/>
      <c r="EO1483" s="98"/>
      <c r="EP1483" s="98"/>
      <c r="EQ1483" s="98"/>
      <c r="ER1483" s="98"/>
      <c r="ES1483" s="98"/>
      <c r="ET1483" s="98"/>
      <c r="EU1483" s="98"/>
      <c r="EV1483" s="98"/>
      <c r="EW1483" s="98"/>
      <c r="EX1483" s="98"/>
      <c r="EY1483" s="98"/>
      <c r="EZ1483" s="178"/>
    </row>
    <row r="1484" spans="60:156">
      <c r="BH1484" s="19"/>
      <c r="BI1484" s="19"/>
      <c r="BJ1484" s="19"/>
      <c r="BK1484" s="19"/>
      <c r="BL1484" s="19"/>
      <c r="BM1484" s="98"/>
      <c r="BN1484" s="98"/>
      <c r="BO1484" s="98"/>
      <c r="BP1484" s="98"/>
      <c r="BQ1484" s="98"/>
      <c r="BR1484" s="98"/>
      <c r="BS1484" s="98"/>
      <c r="BT1484" s="98"/>
      <c r="BU1484" s="98"/>
      <c r="BV1484" s="98"/>
      <c r="BW1484" s="98"/>
      <c r="BX1484" s="98"/>
      <c r="BY1484" s="98"/>
      <c r="BZ1484" s="98"/>
      <c r="DA1484" s="177"/>
      <c r="EH1484" s="19"/>
      <c r="EI1484" s="19"/>
      <c r="EJ1484" s="19"/>
      <c r="EK1484" s="19"/>
      <c r="EL1484" s="19"/>
      <c r="EM1484" s="98"/>
      <c r="EN1484" s="98"/>
      <c r="EO1484" s="98"/>
      <c r="EP1484" s="98"/>
      <c r="EQ1484" s="98"/>
      <c r="ER1484" s="98"/>
      <c r="ES1484" s="98"/>
      <c r="ET1484" s="98"/>
      <c r="EU1484" s="98"/>
      <c r="EV1484" s="98"/>
      <c r="EW1484" s="98"/>
      <c r="EX1484" s="98"/>
      <c r="EY1484" s="98"/>
      <c r="EZ1484" s="178"/>
    </row>
    <row r="1485" spans="60:156">
      <c r="BH1485" s="19"/>
      <c r="BI1485" s="19"/>
      <c r="BJ1485" s="19"/>
      <c r="BK1485" s="19"/>
      <c r="BL1485" s="19"/>
      <c r="BM1485" s="98"/>
      <c r="BN1485" s="98"/>
      <c r="BO1485" s="98"/>
      <c r="BP1485" s="98"/>
      <c r="BQ1485" s="98"/>
      <c r="BR1485" s="98"/>
      <c r="BS1485" s="98"/>
      <c r="BT1485" s="98"/>
      <c r="BU1485" s="98"/>
      <c r="BV1485" s="98"/>
      <c r="BW1485" s="98"/>
      <c r="BX1485" s="98"/>
      <c r="BY1485" s="98"/>
      <c r="BZ1485" s="98"/>
      <c r="DA1485" s="177"/>
      <c r="EH1485" s="19"/>
      <c r="EI1485" s="19"/>
      <c r="EJ1485" s="19"/>
      <c r="EK1485" s="19"/>
      <c r="EL1485" s="19"/>
      <c r="EM1485" s="98"/>
      <c r="EN1485" s="98"/>
      <c r="EO1485" s="98"/>
      <c r="EP1485" s="98"/>
      <c r="EQ1485" s="98"/>
      <c r="ER1485" s="98"/>
      <c r="ES1485" s="98"/>
      <c r="ET1485" s="98"/>
      <c r="EU1485" s="98"/>
      <c r="EV1485" s="98"/>
      <c r="EW1485" s="98"/>
      <c r="EX1485" s="98"/>
      <c r="EY1485" s="98"/>
      <c r="EZ1485" s="178"/>
    </row>
    <row r="1486" spans="60:156">
      <c r="BH1486" s="19"/>
      <c r="BI1486" s="19"/>
      <c r="BJ1486" s="19"/>
      <c r="BK1486" s="19"/>
      <c r="BL1486" s="19"/>
      <c r="BM1486" s="98"/>
      <c r="BN1486" s="98"/>
      <c r="BO1486" s="98"/>
      <c r="BP1486" s="98"/>
      <c r="BQ1486" s="98"/>
      <c r="BR1486" s="98"/>
      <c r="BS1486" s="98"/>
      <c r="BT1486" s="98"/>
      <c r="BU1486" s="98"/>
      <c r="BV1486" s="98"/>
      <c r="BW1486" s="98"/>
      <c r="BX1486" s="98"/>
      <c r="BY1486" s="98"/>
      <c r="BZ1486" s="98"/>
      <c r="DA1486" s="177"/>
      <c r="EH1486" s="19"/>
      <c r="EI1486" s="19"/>
      <c r="EJ1486" s="19"/>
      <c r="EK1486" s="19"/>
      <c r="EL1486" s="19"/>
      <c r="EM1486" s="98"/>
      <c r="EN1486" s="98"/>
      <c r="EO1486" s="98"/>
      <c r="EP1486" s="98"/>
      <c r="EQ1486" s="98"/>
      <c r="ER1486" s="98"/>
      <c r="ES1486" s="98"/>
      <c r="ET1486" s="98"/>
      <c r="EU1486" s="98"/>
      <c r="EV1486" s="98"/>
      <c r="EW1486" s="98"/>
      <c r="EX1486" s="98"/>
      <c r="EY1486" s="98"/>
      <c r="EZ1486" s="178"/>
    </row>
    <row r="1487" spans="60:156">
      <c r="BH1487" s="19"/>
      <c r="BI1487" s="19"/>
      <c r="BJ1487" s="19"/>
      <c r="BK1487" s="19"/>
      <c r="BL1487" s="19"/>
      <c r="BM1487" s="98"/>
      <c r="BN1487" s="98"/>
      <c r="BO1487" s="98"/>
      <c r="BP1487" s="98"/>
      <c r="BQ1487" s="98"/>
      <c r="BR1487" s="98"/>
      <c r="BS1487" s="98"/>
      <c r="BT1487" s="98"/>
      <c r="BU1487" s="98"/>
      <c r="BV1487" s="98"/>
      <c r="BW1487" s="98"/>
      <c r="BX1487" s="98"/>
      <c r="BY1487" s="98"/>
      <c r="BZ1487" s="98"/>
      <c r="DA1487" s="177"/>
      <c r="EH1487" s="19"/>
      <c r="EI1487" s="19"/>
      <c r="EJ1487" s="19"/>
      <c r="EK1487" s="19"/>
      <c r="EL1487" s="19"/>
      <c r="EM1487" s="98"/>
      <c r="EN1487" s="98"/>
      <c r="EO1487" s="98"/>
      <c r="EP1487" s="98"/>
      <c r="EQ1487" s="98"/>
      <c r="ER1487" s="98"/>
      <c r="ES1487" s="98"/>
      <c r="ET1487" s="98"/>
      <c r="EU1487" s="98"/>
      <c r="EV1487" s="98"/>
      <c r="EW1487" s="98"/>
      <c r="EX1487" s="98"/>
      <c r="EY1487" s="98"/>
      <c r="EZ1487" s="178"/>
    </row>
    <row r="1488" spans="60:156">
      <c r="BH1488" s="19"/>
      <c r="BI1488" s="19"/>
      <c r="BJ1488" s="19"/>
      <c r="BK1488" s="19"/>
      <c r="BL1488" s="19"/>
      <c r="BM1488" s="98"/>
      <c r="BN1488" s="98"/>
      <c r="BO1488" s="98"/>
      <c r="BP1488" s="98"/>
      <c r="BQ1488" s="98"/>
      <c r="BR1488" s="98"/>
      <c r="BS1488" s="98"/>
      <c r="BT1488" s="98"/>
      <c r="BU1488" s="98"/>
      <c r="BV1488" s="98"/>
      <c r="BW1488" s="98"/>
      <c r="BX1488" s="98"/>
      <c r="BY1488" s="98"/>
      <c r="BZ1488" s="98"/>
      <c r="DA1488" s="177"/>
      <c r="EH1488" s="19"/>
      <c r="EI1488" s="19"/>
      <c r="EJ1488" s="19"/>
      <c r="EK1488" s="19"/>
      <c r="EL1488" s="19"/>
      <c r="EM1488" s="98"/>
      <c r="EN1488" s="98"/>
      <c r="EO1488" s="98"/>
      <c r="EP1488" s="98"/>
      <c r="EQ1488" s="98"/>
      <c r="ER1488" s="98"/>
      <c r="ES1488" s="98"/>
      <c r="ET1488" s="98"/>
      <c r="EU1488" s="98"/>
      <c r="EV1488" s="98"/>
      <c r="EW1488" s="98"/>
      <c r="EX1488" s="98"/>
      <c r="EY1488" s="98"/>
      <c r="EZ1488" s="178"/>
    </row>
    <row r="1489" spans="60:156">
      <c r="BH1489" s="19"/>
      <c r="BI1489" s="19"/>
      <c r="BJ1489" s="19"/>
      <c r="BK1489" s="19"/>
      <c r="BL1489" s="19"/>
      <c r="BM1489" s="98"/>
      <c r="BN1489" s="98"/>
      <c r="BO1489" s="98"/>
      <c r="BP1489" s="98"/>
      <c r="BQ1489" s="98"/>
      <c r="BR1489" s="98"/>
      <c r="BS1489" s="98"/>
      <c r="BT1489" s="98"/>
      <c r="BU1489" s="98"/>
      <c r="BV1489" s="98"/>
      <c r="BW1489" s="98"/>
      <c r="BX1489" s="98"/>
      <c r="BY1489" s="98"/>
      <c r="BZ1489" s="98"/>
      <c r="DA1489" s="177"/>
      <c r="EH1489" s="19"/>
      <c r="EI1489" s="19"/>
      <c r="EJ1489" s="19"/>
      <c r="EK1489" s="19"/>
      <c r="EL1489" s="19"/>
      <c r="EM1489" s="98"/>
      <c r="EN1489" s="98"/>
      <c r="EO1489" s="98"/>
      <c r="EP1489" s="98"/>
      <c r="EQ1489" s="98"/>
      <c r="ER1489" s="98"/>
      <c r="ES1489" s="98"/>
      <c r="ET1489" s="98"/>
      <c r="EU1489" s="98"/>
      <c r="EV1489" s="98"/>
      <c r="EW1489" s="98"/>
      <c r="EX1489" s="98"/>
      <c r="EY1489" s="98"/>
      <c r="EZ1489" s="178"/>
    </row>
    <row r="1490" spans="60:156">
      <c r="BH1490" s="19"/>
      <c r="BI1490" s="19"/>
      <c r="BJ1490" s="19"/>
      <c r="BK1490" s="19"/>
      <c r="BL1490" s="19"/>
      <c r="BM1490" s="98"/>
      <c r="BN1490" s="98"/>
      <c r="BO1490" s="98"/>
      <c r="BP1490" s="98"/>
      <c r="BQ1490" s="98"/>
      <c r="BR1490" s="98"/>
      <c r="BS1490" s="98"/>
      <c r="BT1490" s="98"/>
      <c r="BU1490" s="98"/>
      <c r="BV1490" s="98"/>
      <c r="BW1490" s="98"/>
      <c r="BX1490" s="98"/>
      <c r="BY1490" s="98"/>
      <c r="BZ1490" s="98"/>
      <c r="DA1490" s="177"/>
      <c r="EH1490" s="19"/>
      <c r="EI1490" s="19"/>
      <c r="EJ1490" s="19"/>
      <c r="EK1490" s="19"/>
      <c r="EL1490" s="19"/>
      <c r="EM1490" s="98"/>
      <c r="EN1490" s="98"/>
      <c r="EO1490" s="98"/>
      <c r="EP1490" s="98"/>
      <c r="EQ1490" s="98"/>
      <c r="ER1490" s="98"/>
      <c r="ES1490" s="98"/>
      <c r="ET1490" s="98"/>
      <c r="EU1490" s="98"/>
      <c r="EV1490" s="98"/>
      <c r="EW1490" s="98"/>
      <c r="EX1490" s="98"/>
      <c r="EY1490" s="98"/>
      <c r="EZ1490" s="178"/>
    </row>
    <row r="1491" spans="60:156">
      <c r="BH1491" s="19"/>
      <c r="BI1491" s="19"/>
      <c r="BJ1491" s="19"/>
      <c r="BK1491" s="19"/>
      <c r="BL1491" s="19"/>
      <c r="BM1491" s="98"/>
      <c r="BN1491" s="98"/>
      <c r="BO1491" s="98"/>
      <c r="BP1491" s="98"/>
      <c r="BQ1491" s="98"/>
      <c r="BR1491" s="98"/>
      <c r="BS1491" s="98"/>
      <c r="BT1491" s="98"/>
      <c r="BU1491" s="98"/>
      <c r="BV1491" s="98"/>
      <c r="BW1491" s="98"/>
      <c r="BX1491" s="98"/>
      <c r="BY1491" s="98"/>
      <c r="BZ1491" s="98"/>
      <c r="DA1491" s="177"/>
      <c r="EH1491" s="19"/>
      <c r="EI1491" s="19"/>
      <c r="EJ1491" s="19"/>
      <c r="EK1491" s="19"/>
      <c r="EL1491" s="19"/>
      <c r="EM1491" s="98"/>
      <c r="EN1491" s="98"/>
      <c r="EO1491" s="98"/>
      <c r="EP1491" s="98"/>
      <c r="EQ1491" s="98"/>
      <c r="ER1491" s="98"/>
      <c r="ES1491" s="98"/>
      <c r="ET1491" s="98"/>
      <c r="EU1491" s="98"/>
      <c r="EV1491" s="98"/>
      <c r="EW1491" s="98"/>
      <c r="EX1491" s="98"/>
      <c r="EY1491" s="98"/>
      <c r="EZ1491" s="178"/>
    </row>
    <row r="1492" spans="60:156">
      <c r="BH1492" s="19"/>
      <c r="BI1492" s="19"/>
      <c r="BJ1492" s="19"/>
      <c r="BK1492" s="19"/>
      <c r="BL1492" s="19"/>
      <c r="BM1492" s="98"/>
      <c r="BN1492" s="98"/>
      <c r="BO1492" s="98"/>
      <c r="BP1492" s="98"/>
      <c r="BQ1492" s="98"/>
      <c r="BR1492" s="98"/>
      <c r="BS1492" s="98"/>
      <c r="BT1492" s="98"/>
      <c r="BU1492" s="98"/>
      <c r="BV1492" s="98"/>
      <c r="BW1492" s="98"/>
      <c r="BX1492" s="98"/>
      <c r="BY1492" s="98"/>
      <c r="BZ1492" s="98"/>
      <c r="DA1492" s="177"/>
      <c r="EH1492" s="19"/>
      <c r="EI1492" s="19"/>
      <c r="EJ1492" s="19"/>
      <c r="EK1492" s="19"/>
      <c r="EL1492" s="19"/>
      <c r="EM1492" s="98"/>
      <c r="EN1492" s="98"/>
      <c r="EO1492" s="98"/>
      <c r="EP1492" s="98"/>
      <c r="EQ1492" s="98"/>
      <c r="ER1492" s="98"/>
      <c r="ES1492" s="98"/>
      <c r="ET1492" s="98"/>
      <c r="EU1492" s="98"/>
      <c r="EV1492" s="98"/>
      <c r="EW1492" s="98"/>
      <c r="EX1492" s="98"/>
      <c r="EY1492" s="98"/>
      <c r="EZ1492" s="178"/>
    </row>
    <row r="1493" spans="60:156">
      <c r="BH1493" s="19"/>
      <c r="BI1493" s="19"/>
      <c r="BJ1493" s="19"/>
      <c r="BK1493" s="19"/>
      <c r="BL1493" s="19"/>
      <c r="BM1493" s="98"/>
      <c r="BN1493" s="98"/>
      <c r="BO1493" s="98"/>
      <c r="BP1493" s="98"/>
      <c r="BQ1493" s="98"/>
      <c r="BR1493" s="98"/>
      <c r="BS1493" s="98"/>
      <c r="BT1493" s="98"/>
      <c r="BU1493" s="98"/>
      <c r="BV1493" s="98"/>
      <c r="BW1493" s="98"/>
      <c r="BX1493" s="98"/>
      <c r="BY1493" s="98"/>
      <c r="BZ1493" s="98"/>
      <c r="DA1493" s="177"/>
      <c r="EH1493" s="19"/>
      <c r="EI1493" s="19"/>
      <c r="EJ1493" s="19"/>
      <c r="EK1493" s="19"/>
      <c r="EL1493" s="19"/>
      <c r="EM1493" s="98"/>
      <c r="EN1493" s="98"/>
      <c r="EO1493" s="98"/>
      <c r="EP1493" s="98"/>
      <c r="EQ1493" s="98"/>
      <c r="ER1493" s="98"/>
      <c r="ES1493" s="98"/>
      <c r="ET1493" s="98"/>
      <c r="EU1493" s="98"/>
      <c r="EV1493" s="98"/>
      <c r="EW1493" s="98"/>
      <c r="EX1493" s="98"/>
      <c r="EY1493" s="98"/>
      <c r="EZ1493" s="178"/>
    </row>
    <row r="1494" spans="60:156">
      <c r="BH1494" s="19"/>
      <c r="BI1494" s="19"/>
      <c r="BJ1494" s="19"/>
      <c r="BK1494" s="19"/>
      <c r="BL1494" s="19"/>
      <c r="BM1494" s="98"/>
      <c r="BN1494" s="98"/>
      <c r="BO1494" s="98"/>
      <c r="BP1494" s="98"/>
      <c r="BQ1494" s="98"/>
      <c r="BR1494" s="98"/>
      <c r="BS1494" s="98"/>
      <c r="BT1494" s="98"/>
      <c r="BU1494" s="98"/>
      <c r="BV1494" s="98"/>
      <c r="BW1494" s="98"/>
      <c r="BX1494" s="98"/>
      <c r="BY1494" s="98"/>
      <c r="BZ1494" s="98"/>
      <c r="DA1494" s="177"/>
      <c r="EH1494" s="19"/>
      <c r="EI1494" s="19"/>
      <c r="EJ1494" s="19"/>
      <c r="EK1494" s="19"/>
      <c r="EL1494" s="19"/>
      <c r="EM1494" s="98"/>
      <c r="EN1494" s="98"/>
      <c r="EO1494" s="98"/>
      <c r="EP1494" s="98"/>
      <c r="EQ1494" s="98"/>
      <c r="ER1494" s="98"/>
      <c r="ES1494" s="98"/>
      <c r="ET1494" s="98"/>
      <c r="EU1494" s="98"/>
      <c r="EV1494" s="98"/>
      <c r="EW1494" s="98"/>
      <c r="EX1494" s="98"/>
      <c r="EY1494" s="98"/>
      <c r="EZ1494" s="178"/>
    </row>
    <row r="1495" spans="60:156">
      <c r="BH1495" s="19"/>
      <c r="BI1495" s="19"/>
      <c r="BJ1495" s="19"/>
      <c r="BK1495" s="19"/>
      <c r="BL1495" s="19"/>
      <c r="BM1495" s="98"/>
      <c r="BN1495" s="98"/>
      <c r="BO1495" s="98"/>
      <c r="BP1495" s="98"/>
      <c r="BQ1495" s="98"/>
      <c r="BR1495" s="98"/>
      <c r="BS1495" s="98"/>
      <c r="BT1495" s="98"/>
      <c r="BU1495" s="98"/>
      <c r="BV1495" s="98"/>
      <c r="BW1495" s="98"/>
      <c r="BX1495" s="98"/>
      <c r="BY1495" s="98"/>
      <c r="BZ1495" s="98"/>
      <c r="DA1495" s="177"/>
      <c r="EH1495" s="19"/>
      <c r="EI1495" s="19"/>
      <c r="EJ1495" s="19"/>
      <c r="EK1495" s="19"/>
      <c r="EL1495" s="19"/>
      <c r="EM1495" s="98"/>
      <c r="EN1495" s="98"/>
      <c r="EO1495" s="98"/>
      <c r="EP1495" s="98"/>
      <c r="EQ1495" s="98"/>
      <c r="ER1495" s="98"/>
      <c r="ES1495" s="98"/>
      <c r="ET1495" s="98"/>
      <c r="EU1495" s="98"/>
      <c r="EV1495" s="98"/>
      <c r="EW1495" s="98"/>
      <c r="EX1495" s="98"/>
      <c r="EY1495" s="98"/>
      <c r="EZ1495" s="178"/>
    </row>
    <row r="1496" spans="60:156">
      <c r="BH1496" s="19"/>
      <c r="BI1496" s="19"/>
      <c r="BJ1496" s="19"/>
      <c r="BK1496" s="19"/>
      <c r="BL1496" s="19"/>
      <c r="BM1496" s="98"/>
      <c r="BN1496" s="98"/>
      <c r="BO1496" s="98"/>
      <c r="BP1496" s="98"/>
      <c r="BQ1496" s="98"/>
      <c r="BR1496" s="98"/>
      <c r="BS1496" s="98"/>
      <c r="BT1496" s="98"/>
      <c r="BU1496" s="98"/>
      <c r="BV1496" s="98"/>
      <c r="BW1496" s="98"/>
      <c r="BX1496" s="98"/>
      <c r="BY1496" s="98"/>
      <c r="BZ1496" s="98"/>
      <c r="DA1496" s="177"/>
      <c r="EH1496" s="19"/>
      <c r="EI1496" s="19"/>
      <c r="EJ1496" s="19"/>
      <c r="EK1496" s="19"/>
      <c r="EL1496" s="19"/>
      <c r="EM1496" s="98"/>
      <c r="EN1496" s="98"/>
      <c r="EO1496" s="98"/>
      <c r="EP1496" s="98"/>
      <c r="EQ1496" s="98"/>
      <c r="ER1496" s="98"/>
      <c r="ES1496" s="98"/>
      <c r="ET1496" s="98"/>
      <c r="EU1496" s="98"/>
      <c r="EV1496" s="98"/>
      <c r="EW1496" s="98"/>
      <c r="EX1496" s="98"/>
      <c r="EY1496" s="98"/>
      <c r="EZ1496" s="178"/>
    </row>
    <row r="1497" spans="60:156">
      <c r="BH1497" s="19"/>
      <c r="BI1497" s="19"/>
      <c r="BJ1497" s="19"/>
      <c r="BK1497" s="19"/>
      <c r="BL1497" s="19"/>
      <c r="BM1497" s="98"/>
      <c r="BN1497" s="98"/>
      <c r="BO1497" s="98"/>
      <c r="BP1497" s="98"/>
      <c r="BQ1497" s="98"/>
      <c r="BR1497" s="98"/>
      <c r="BS1497" s="98"/>
      <c r="BT1497" s="98"/>
      <c r="BU1497" s="98"/>
      <c r="BV1497" s="98"/>
      <c r="BW1497" s="98"/>
      <c r="BX1497" s="98"/>
      <c r="BY1497" s="98"/>
      <c r="BZ1497" s="98"/>
      <c r="DA1497" s="177"/>
      <c r="EH1497" s="19"/>
      <c r="EI1497" s="19"/>
      <c r="EJ1497" s="19"/>
      <c r="EK1497" s="19"/>
      <c r="EL1497" s="19"/>
      <c r="EM1497" s="98"/>
      <c r="EN1497" s="98"/>
      <c r="EO1497" s="98"/>
      <c r="EP1497" s="98"/>
      <c r="EQ1497" s="98"/>
      <c r="ER1497" s="98"/>
      <c r="ES1497" s="98"/>
      <c r="ET1497" s="98"/>
      <c r="EU1497" s="98"/>
      <c r="EV1497" s="98"/>
      <c r="EW1497" s="98"/>
      <c r="EX1497" s="98"/>
      <c r="EY1497" s="98"/>
      <c r="EZ1497" s="178"/>
    </row>
    <row r="1498" spans="60:156">
      <c r="BH1498" s="19"/>
      <c r="BI1498" s="19"/>
      <c r="BJ1498" s="19"/>
      <c r="BK1498" s="19"/>
      <c r="BL1498" s="19"/>
      <c r="BM1498" s="98"/>
      <c r="BN1498" s="98"/>
      <c r="BO1498" s="98"/>
      <c r="BP1498" s="98"/>
      <c r="BQ1498" s="98"/>
      <c r="BR1498" s="98"/>
      <c r="BS1498" s="98"/>
      <c r="BT1498" s="98"/>
      <c r="BU1498" s="98"/>
      <c r="BV1498" s="98"/>
      <c r="BW1498" s="98"/>
      <c r="BX1498" s="98"/>
      <c r="BY1498" s="98"/>
      <c r="BZ1498" s="98"/>
      <c r="DA1498" s="177"/>
      <c r="EH1498" s="19"/>
      <c r="EI1498" s="19"/>
      <c r="EJ1498" s="19"/>
      <c r="EK1498" s="19"/>
      <c r="EL1498" s="19"/>
      <c r="EM1498" s="98"/>
      <c r="EN1498" s="98"/>
      <c r="EO1498" s="98"/>
      <c r="EP1498" s="98"/>
      <c r="EQ1498" s="98"/>
      <c r="ER1498" s="98"/>
      <c r="ES1498" s="98"/>
      <c r="ET1498" s="98"/>
      <c r="EU1498" s="98"/>
      <c r="EV1498" s="98"/>
      <c r="EW1498" s="98"/>
      <c r="EX1498" s="98"/>
      <c r="EY1498" s="98"/>
      <c r="EZ1498" s="178"/>
    </row>
    <row r="1499" spans="60:156">
      <c r="BH1499" s="19"/>
      <c r="BI1499" s="19"/>
      <c r="BJ1499" s="19"/>
      <c r="BK1499" s="19"/>
      <c r="BL1499" s="19"/>
      <c r="BM1499" s="98"/>
      <c r="BN1499" s="98"/>
      <c r="BO1499" s="98"/>
      <c r="BP1499" s="98"/>
      <c r="BQ1499" s="98"/>
      <c r="BR1499" s="98"/>
      <c r="BS1499" s="98"/>
      <c r="BT1499" s="98"/>
      <c r="BU1499" s="98"/>
      <c r="BV1499" s="98"/>
      <c r="BW1499" s="98"/>
      <c r="BX1499" s="98"/>
      <c r="BY1499" s="98"/>
      <c r="BZ1499" s="98"/>
      <c r="DA1499" s="177"/>
      <c r="EH1499" s="19"/>
      <c r="EI1499" s="19"/>
      <c r="EJ1499" s="19"/>
      <c r="EK1499" s="19"/>
      <c r="EL1499" s="19"/>
      <c r="EM1499" s="98"/>
      <c r="EN1499" s="98"/>
      <c r="EO1499" s="98"/>
      <c r="EP1499" s="98"/>
      <c r="EQ1499" s="98"/>
      <c r="ER1499" s="98"/>
      <c r="ES1499" s="98"/>
      <c r="ET1499" s="98"/>
      <c r="EU1499" s="98"/>
      <c r="EV1499" s="98"/>
      <c r="EW1499" s="98"/>
      <c r="EX1499" s="98"/>
      <c r="EY1499" s="98"/>
      <c r="EZ1499" s="178"/>
    </row>
    <row r="1500" spans="60:156">
      <c r="BH1500" s="19"/>
      <c r="BI1500" s="19"/>
      <c r="BJ1500" s="19"/>
      <c r="BK1500" s="19"/>
      <c r="BL1500" s="19"/>
      <c r="BM1500" s="98"/>
      <c r="BN1500" s="98"/>
      <c r="BO1500" s="98"/>
      <c r="BP1500" s="98"/>
      <c r="BQ1500" s="98"/>
      <c r="BR1500" s="98"/>
      <c r="BS1500" s="98"/>
      <c r="BT1500" s="98"/>
      <c r="BU1500" s="98"/>
      <c r="BV1500" s="98"/>
      <c r="BW1500" s="98"/>
      <c r="BX1500" s="98"/>
      <c r="BY1500" s="98"/>
      <c r="BZ1500" s="98"/>
      <c r="DA1500" s="177"/>
      <c r="EH1500" s="19"/>
      <c r="EI1500" s="19"/>
      <c r="EJ1500" s="19"/>
      <c r="EK1500" s="19"/>
      <c r="EL1500" s="19"/>
      <c r="EM1500" s="98"/>
      <c r="EN1500" s="98"/>
      <c r="EO1500" s="98"/>
      <c r="EP1500" s="98"/>
      <c r="EQ1500" s="98"/>
      <c r="ER1500" s="98"/>
      <c r="ES1500" s="98"/>
      <c r="ET1500" s="98"/>
      <c r="EU1500" s="98"/>
      <c r="EV1500" s="98"/>
      <c r="EW1500" s="98"/>
      <c r="EX1500" s="98"/>
      <c r="EY1500" s="98"/>
      <c r="EZ1500" s="178"/>
    </row>
    <row r="1501" spans="60:156">
      <c r="BH1501" s="19"/>
      <c r="BI1501" s="19"/>
      <c r="BJ1501" s="19"/>
      <c r="BK1501" s="19"/>
      <c r="BL1501" s="19"/>
      <c r="BM1501" s="98"/>
      <c r="BN1501" s="98"/>
      <c r="BO1501" s="98"/>
      <c r="BP1501" s="98"/>
      <c r="BQ1501" s="98"/>
      <c r="BR1501" s="98"/>
      <c r="BS1501" s="98"/>
      <c r="BT1501" s="98"/>
      <c r="BU1501" s="98"/>
      <c r="BV1501" s="98"/>
      <c r="BW1501" s="98"/>
      <c r="BX1501" s="98"/>
      <c r="BY1501" s="98"/>
      <c r="BZ1501" s="98"/>
      <c r="DA1501" s="177"/>
      <c r="EH1501" s="19"/>
      <c r="EI1501" s="19"/>
      <c r="EJ1501" s="19"/>
      <c r="EK1501" s="19"/>
      <c r="EL1501" s="19"/>
      <c r="EM1501" s="98"/>
      <c r="EN1501" s="98"/>
      <c r="EO1501" s="98"/>
      <c r="EP1501" s="98"/>
      <c r="EQ1501" s="98"/>
      <c r="ER1501" s="98"/>
      <c r="ES1501" s="98"/>
      <c r="ET1501" s="98"/>
      <c r="EU1501" s="98"/>
      <c r="EV1501" s="98"/>
      <c r="EW1501" s="98"/>
      <c r="EX1501" s="98"/>
      <c r="EY1501" s="98"/>
      <c r="EZ1501" s="178"/>
    </row>
    <row r="1502" spans="60:156">
      <c r="BH1502" s="19"/>
      <c r="BI1502" s="19"/>
      <c r="BJ1502" s="19"/>
      <c r="BK1502" s="19"/>
      <c r="BL1502" s="19"/>
      <c r="BM1502" s="98"/>
      <c r="BN1502" s="98"/>
      <c r="BO1502" s="98"/>
      <c r="BP1502" s="98"/>
      <c r="BQ1502" s="98"/>
      <c r="BR1502" s="98"/>
      <c r="BS1502" s="98"/>
      <c r="BT1502" s="98"/>
      <c r="BU1502" s="98"/>
      <c r="BV1502" s="98"/>
      <c r="BW1502" s="98"/>
      <c r="BX1502" s="98"/>
      <c r="BY1502" s="98"/>
      <c r="BZ1502" s="98"/>
      <c r="DA1502" s="177"/>
      <c r="EH1502" s="19"/>
      <c r="EI1502" s="19"/>
      <c r="EJ1502" s="19"/>
      <c r="EK1502" s="19"/>
      <c r="EL1502" s="19"/>
      <c r="EM1502" s="98"/>
      <c r="EN1502" s="98"/>
      <c r="EO1502" s="98"/>
      <c r="EP1502" s="98"/>
      <c r="EQ1502" s="98"/>
      <c r="ER1502" s="98"/>
      <c r="ES1502" s="98"/>
      <c r="ET1502" s="98"/>
      <c r="EU1502" s="98"/>
      <c r="EV1502" s="98"/>
      <c r="EW1502" s="98"/>
      <c r="EX1502" s="98"/>
      <c r="EY1502" s="98"/>
      <c r="EZ1502" s="178"/>
    </row>
    <row r="1503" spans="60:156">
      <c r="BH1503" s="19"/>
      <c r="BI1503" s="19"/>
      <c r="BJ1503" s="19"/>
      <c r="BK1503" s="19"/>
      <c r="BL1503" s="19"/>
      <c r="BM1503" s="98"/>
      <c r="BN1503" s="98"/>
      <c r="BO1503" s="98"/>
      <c r="BP1503" s="98"/>
      <c r="BQ1503" s="98"/>
      <c r="BR1503" s="98"/>
      <c r="BS1503" s="98"/>
      <c r="BT1503" s="98"/>
      <c r="BU1503" s="98"/>
      <c r="BV1503" s="98"/>
      <c r="BW1503" s="98"/>
      <c r="BX1503" s="98"/>
      <c r="BY1503" s="98"/>
      <c r="BZ1503" s="98"/>
      <c r="DA1503" s="177"/>
      <c r="EH1503" s="19"/>
      <c r="EI1503" s="19"/>
      <c r="EJ1503" s="19"/>
      <c r="EK1503" s="19"/>
      <c r="EL1503" s="19"/>
      <c r="EM1503" s="98"/>
      <c r="EN1503" s="98"/>
      <c r="EO1503" s="98"/>
      <c r="EP1503" s="98"/>
      <c r="EQ1503" s="98"/>
      <c r="ER1503" s="98"/>
      <c r="ES1503" s="98"/>
      <c r="ET1503" s="98"/>
      <c r="EU1503" s="98"/>
      <c r="EV1503" s="98"/>
      <c r="EW1503" s="98"/>
      <c r="EX1503" s="98"/>
      <c r="EY1503" s="98"/>
      <c r="EZ1503" s="178"/>
    </row>
    <row r="1504" spans="60:156">
      <c r="BH1504" s="19"/>
      <c r="BI1504" s="19"/>
      <c r="BJ1504" s="19"/>
      <c r="BK1504" s="19"/>
      <c r="BL1504" s="19"/>
      <c r="BM1504" s="98"/>
      <c r="BN1504" s="98"/>
      <c r="BO1504" s="98"/>
      <c r="BP1504" s="98"/>
      <c r="BQ1504" s="98"/>
      <c r="BR1504" s="98"/>
      <c r="BS1504" s="98"/>
      <c r="BT1504" s="98"/>
      <c r="BU1504" s="98"/>
      <c r="BV1504" s="98"/>
      <c r="BW1504" s="98"/>
      <c r="BX1504" s="98"/>
      <c r="BY1504" s="98"/>
      <c r="BZ1504" s="98"/>
      <c r="DA1504" s="177"/>
      <c r="EH1504" s="19"/>
      <c r="EI1504" s="19"/>
      <c r="EJ1504" s="19"/>
      <c r="EK1504" s="19"/>
      <c r="EL1504" s="19"/>
      <c r="EM1504" s="98"/>
      <c r="EN1504" s="98"/>
      <c r="EO1504" s="98"/>
      <c r="EP1504" s="98"/>
      <c r="EQ1504" s="98"/>
      <c r="ER1504" s="98"/>
      <c r="ES1504" s="98"/>
      <c r="ET1504" s="98"/>
      <c r="EU1504" s="98"/>
      <c r="EV1504" s="98"/>
      <c r="EW1504" s="98"/>
      <c r="EX1504" s="98"/>
      <c r="EY1504" s="98"/>
      <c r="EZ1504" s="178"/>
    </row>
    <row r="1505" spans="60:156">
      <c r="BH1505" s="19"/>
      <c r="BI1505" s="19"/>
      <c r="BJ1505" s="19"/>
      <c r="BK1505" s="19"/>
      <c r="BL1505" s="19"/>
      <c r="BM1505" s="98"/>
      <c r="BN1505" s="98"/>
      <c r="BO1505" s="98"/>
      <c r="BP1505" s="98"/>
      <c r="BQ1505" s="98"/>
      <c r="BR1505" s="98"/>
      <c r="BS1505" s="98"/>
      <c r="BT1505" s="98"/>
      <c r="BU1505" s="98"/>
      <c r="BV1505" s="98"/>
      <c r="BW1505" s="98"/>
      <c r="BX1505" s="98"/>
      <c r="BY1505" s="98"/>
      <c r="BZ1505" s="98"/>
      <c r="DA1505" s="177"/>
      <c r="EH1505" s="19"/>
      <c r="EI1505" s="19"/>
      <c r="EJ1505" s="19"/>
      <c r="EK1505" s="19"/>
      <c r="EL1505" s="19"/>
      <c r="EM1505" s="98"/>
      <c r="EN1505" s="98"/>
      <c r="EO1505" s="98"/>
      <c r="EP1505" s="98"/>
      <c r="EQ1505" s="98"/>
      <c r="ER1505" s="98"/>
      <c r="ES1505" s="98"/>
      <c r="ET1505" s="98"/>
      <c r="EU1505" s="98"/>
      <c r="EV1505" s="98"/>
      <c r="EW1505" s="98"/>
      <c r="EX1505" s="98"/>
      <c r="EY1505" s="98"/>
      <c r="EZ1505" s="178"/>
    </row>
    <row r="1506" spans="60:156">
      <c r="BH1506" s="19"/>
      <c r="BI1506" s="19"/>
      <c r="BJ1506" s="19"/>
      <c r="BK1506" s="19"/>
      <c r="BL1506" s="19"/>
      <c r="BM1506" s="98"/>
      <c r="BN1506" s="98"/>
      <c r="BO1506" s="98"/>
      <c r="BP1506" s="98"/>
      <c r="BQ1506" s="98"/>
      <c r="BR1506" s="98"/>
      <c r="BS1506" s="98"/>
      <c r="BT1506" s="98"/>
      <c r="BU1506" s="98"/>
      <c r="BV1506" s="98"/>
      <c r="BW1506" s="98"/>
      <c r="BX1506" s="98"/>
      <c r="BY1506" s="98"/>
      <c r="BZ1506" s="98"/>
      <c r="DA1506" s="177"/>
      <c r="EH1506" s="19"/>
      <c r="EI1506" s="19"/>
      <c r="EJ1506" s="19"/>
      <c r="EK1506" s="19"/>
      <c r="EL1506" s="19"/>
      <c r="EM1506" s="98"/>
      <c r="EN1506" s="98"/>
      <c r="EO1506" s="98"/>
      <c r="EP1506" s="98"/>
      <c r="EQ1506" s="98"/>
      <c r="ER1506" s="98"/>
      <c r="ES1506" s="98"/>
      <c r="ET1506" s="98"/>
      <c r="EU1506" s="98"/>
      <c r="EV1506" s="98"/>
      <c r="EW1506" s="98"/>
      <c r="EX1506" s="98"/>
      <c r="EY1506" s="98"/>
      <c r="EZ1506" s="178"/>
    </row>
    <row r="1507" spans="60:156">
      <c r="BH1507" s="19"/>
      <c r="BI1507" s="19"/>
      <c r="BJ1507" s="19"/>
      <c r="BK1507" s="19"/>
      <c r="BL1507" s="19"/>
      <c r="BM1507" s="98"/>
      <c r="BN1507" s="98"/>
      <c r="BO1507" s="98"/>
      <c r="BP1507" s="98"/>
      <c r="BQ1507" s="98"/>
      <c r="BR1507" s="98"/>
      <c r="BS1507" s="98"/>
      <c r="BT1507" s="98"/>
      <c r="BU1507" s="98"/>
      <c r="BV1507" s="98"/>
      <c r="BW1507" s="98"/>
      <c r="BX1507" s="98"/>
      <c r="BY1507" s="98"/>
      <c r="BZ1507" s="98"/>
      <c r="DA1507" s="177"/>
      <c r="EH1507" s="19"/>
      <c r="EI1507" s="19"/>
      <c r="EJ1507" s="19"/>
      <c r="EK1507" s="19"/>
      <c r="EL1507" s="19"/>
      <c r="EM1507" s="98"/>
      <c r="EN1507" s="98"/>
      <c r="EO1507" s="98"/>
      <c r="EP1507" s="98"/>
      <c r="EQ1507" s="98"/>
      <c r="ER1507" s="98"/>
      <c r="ES1507" s="98"/>
      <c r="ET1507" s="98"/>
      <c r="EU1507" s="98"/>
      <c r="EV1507" s="98"/>
      <c r="EW1507" s="98"/>
      <c r="EX1507" s="98"/>
      <c r="EY1507" s="98"/>
      <c r="EZ1507" s="178"/>
    </row>
    <row r="1508" spans="60:156">
      <c r="BH1508" s="19"/>
      <c r="BI1508" s="19"/>
      <c r="BJ1508" s="19"/>
      <c r="BK1508" s="19"/>
      <c r="BL1508" s="19"/>
      <c r="BM1508" s="98"/>
      <c r="BN1508" s="98"/>
      <c r="BO1508" s="98"/>
      <c r="BP1508" s="98"/>
      <c r="BQ1508" s="98"/>
      <c r="BR1508" s="98"/>
      <c r="BS1508" s="98"/>
      <c r="BT1508" s="98"/>
      <c r="BU1508" s="98"/>
      <c r="BV1508" s="98"/>
      <c r="BW1508" s="98"/>
      <c r="BX1508" s="98"/>
      <c r="BY1508" s="98"/>
      <c r="BZ1508" s="98"/>
      <c r="DA1508" s="177"/>
      <c r="EH1508" s="19"/>
      <c r="EI1508" s="19"/>
      <c r="EJ1508" s="19"/>
      <c r="EK1508" s="19"/>
      <c r="EL1508" s="19"/>
      <c r="EM1508" s="98"/>
      <c r="EN1508" s="98"/>
      <c r="EO1508" s="98"/>
      <c r="EP1508" s="98"/>
      <c r="EQ1508" s="98"/>
      <c r="ER1508" s="98"/>
      <c r="ES1508" s="98"/>
      <c r="ET1508" s="98"/>
      <c r="EU1508" s="98"/>
      <c r="EV1508" s="98"/>
      <c r="EW1508" s="98"/>
      <c r="EX1508" s="98"/>
      <c r="EY1508" s="98"/>
      <c r="EZ1508" s="178"/>
    </row>
    <row r="1509" spans="60:156">
      <c r="BH1509" s="19"/>
      <c r="BI1509" s="19"/>
      <c r="BJ1509" s="19"/>
      <c r="BK1509" s="19"/>
      <c r="BL1509" s="19"/>
      <c r="BM1509" s="98"/>
      <c r="BN1509" s="98"/>
      <c r="BO1509" s="98"/>
      <c r="BP1509" s="98"/>
      <c r="BQ1509" s="98"/>
      <c r="BR1509" s="98"/>
      <c r="BS1509" s="98"/>
      <c r="BT1509" s="98"/>
      <c r="BU1509" s="98"/>
      <c r="BV1509" s="98"/>
      <c r="BW1509" s="98"/>
      <c r="BX1509" s="98"/>
      <c r="BY1509" s="98"/>
      <c r="BZ1509" s="98"/>
      <c r="DA1509" s="177"/>
      <c r="EH1509" s="19"/>
      <c r="EI1509" s="19"/>
      <c r="EJ1509" s="19"/>
      <c r="EK1509" s="19"/>
      <c r="EL1509" s="19"/>
      <c r="EM1509" s="98"/>
      <c r="EN1509" s="98"/>
      <c r="EO1509" s="98"/>
      <c r="EP1509" s="98"/>
      <c r="EQ1509" s="98"/>
      <c r="ER1509" s="98"/>
      <c r="ES1509" s="98"/>
      <c r="ET1509" s="98"/>
      <c r="EU1509" s="98"/>
      <c r="EV1509" s="98"/>
      <c r="EW1509" s="98"/>
      <c r="EX1509" s="98"/>
      <c r="EY1509" s="98"/>
      <c r="EZ1509" s="178"/>
    </row>
    <row r="1510" spans="60:156">
      <c r="BH1510" s="19"/>
      <c r="BI1510" s="19"/>
      <c r="BJ1510" s="19"/>
      <c r="BK1510" s="19"/>
      <c r="BL1510" s="19"/>
      <c r="BM1510" s="98"/>
      <c r="BN1510" s="98"/>
      <c r="BO1510" s="98"/>
      <c r="BP1510" s="98"/>
      <c r="BQ1510" s="98"/>
      <c r="BR1510" s="98"/>
      <c r="BS1510" s="98"/>
      <c r="BT1510" s="98"/>
      <c r="BU1510" s="98"/>
      <c r="BV1510" s="98"/>
      <c r="BW1510" s="98"/>
      <c r="BX1510" s="98"/>
      <c r="BY1510" s="98"/>
      <c r="BZ1510" s="98"/>
      <c r="DA1510" s="177"/>
      <c r="EH1510" s="19"/>
      <c r="EI1510" s="19"/>
      <c r="EJ1510" s="19"/>
      <c r="EK1510" s="19"/>
      <c r="EL1510" s="19"/>
      <c r="EM1510" s="98"/>
      <c r="EN1510" s="98"/>
      <c r="EO1510" s="98"/>
      <c r="EP1510" s="98"/>
      <c r="EQ1510" s="98"/>
      <c r="ER1510" s="98"/>
      <c r="ES1510" s="98"/>
      <c r="ET1510" s="98"/>
      <c r="EU1510" s="98"/>
      <c r="EV1510" s="98"/>
      <c r="EW1510" s="98"/>
      <c r="EX1510" s="98"/>
      <c r="EY1510" s="98"/>
      <c r="EZ1510" s="178"/>
    </row>
    <row r="1511" spans="60:156">
      <c r="BH1511" s="19"/>
      <c r="BI1511" s="19"/>
      <c r="BJ1511" s="19"/>
      <c r="BK1511" s="19"/>
      <c r="BL1511" s="19"/>
      <c r="BM1511" s="98"/>
      <c r="BN1511" s="98"/>
      <c r="BO1511" s="98"/>
      <c r="BP1511" s="98"/>
      <c r="BQ1511" s="98"/>
      <c r="BR1511" s="98"/>
      <c r="BS1511" s="98"/>
      <c r="BT1511" s="98"/>
      <c r="BU1511" s="98"/>
      <c r="BV1511" s="98"/>
      <c r="BW1511" s="98"/>
      <c r="BX1511" s="98"/>
      <c r="BY1511" s="98"/>
      <c r="BZ1511" s="98"/>
      <c r="DA1511" s="177"/>
      <c r="EH1511" s="19"/>
      <c r="EI1511" s="19"/>
      <c r="EJ1511" s="19"/>
      <c r="EK1511" s="19"/>
      <c r="EL1511" s="19"/>
      <c r="EM1511" s="98"/>
      <c r="EN1511" s="98"/>
      <c r="EO1511" s="98"/>
      <c r="EP1511" s="98"/>
      <c r="EQ1511" s="98"/>
      <c r="ER1511" s="98"/>
      <c r="ES1511" s="98"/>
      <c r="ET1511" s="98"/>
      <c r="EU1511" s="98"/>
      <c r="EV1511" s="98"/>
      <c r="EW1511" s="98"/>
      <c r="EX1511" s="98"/>
      <c r="EY1511" s="98"/>
      <c r="EZ1511" s="178"/>
    </row>
    <row r="1512" spans="60:156">
      <c r="BH1512" s="19"/>
      <c r="BI1512" s="19"/>
      <c r="BJ1512" s="19"/>
      <c r="BK1512" s="19"/>
      <c r="BL1512" s="19"/>
      <c r="BM1512" s="98"/>
      <c r="BN1512" s="98"/>
      <c r="BO1512" s="98"/>
      <c r="BP1512" s="98"/>
      <c r="BQ1512" s="98"/>
      <c r="BR1512" s="98"/>
      <c r="BS1512" s="98"/>
      <c r="BT1512" s="98"/>
      <c r="BU1512" s="98"/>
      <c r="BV1512" s="98"/>
      <c r="BW1512" s="98"/>
      <c r="BX1512" s="98"/>
      <c r="BY1512" s="98"/>
      <c r="BZ1512" s="98"/>
      <c r="DA1512" s="177"/>
      <c r="EH1512" s="19"/>
      <c r="EI1512" s="19"/>
      <c r="EJ1512" s="19"/>
      <c r="EK1512" s="19"/>
      <c r="EL1512" s="19"/>
      <c r="EM1512" s="98"/>
      <c r="EN1512" s="98"/>
      <c r="EO1512" s="98"/>
      <c r="EP1512" s="98"/>
      <c r="EQ1512" s="98"/>
      <c r="ER1512" s="98"/>
      <c r="ES1512" s="98"/>
      <c r="ET1512" s="98"/>
      <c r="EU1512" s="98"/>
      <c r="EV1512" s="98"/>
      <c r="EW1512" s="98"/>
      <c r="EX1512" s="98"/>
      <c r="EY1512" s="98"/>
      <c r="EZ1512" s="178"/>
    </row>
    <row r="1513" spans="60:156">
      <c r="BH1513" s="19"/>
      <c r="BI1513" s="19"/>
      <c r="BJ1513" s="19"/>
      <c r="BK1513" s="19"/>
      <c r="BL1513" s="19"/>
      <c r="BM1513" s="98"/>
      <c r="BN1513" s="98"/>
      <c r="BO1513" s="98"/>
      <c r="BP1513" s="98"/>
      <c r="BQ1513" s="98"/>
      <c r="BR1513" s="98"/>
      <c r="BS1513" s="98"/>
      <c r="BT1513" s="98"/>
      <c r="BU1513" s="98"/>
      <c r="BV1513" s="98"/>
      <c r="BW1513" s="98"/>
      <c r="BX1513" s="98"/>
      <c r="BY1513" s="98"/>
      <c r="BZ1513" s="98"/>
      <c r="DA1513" s="177"/>
      <c r="EH1513" s="19"/>
      <c r="EI1513" s="19"/>
      <c r="EJ1513" s="19"/>
      <c r="EK1513" s="19"/>
      <c r="EL1513" s="19"/>
      <c r="EM1513" s="98"/>
      <c r="EN1513" s="98"/>
      <c r="EO1513" s="98"/>
      <c r="EP1513" s="98"/>
      <c r="EQ1513" s="98"/>
      <c r="ER1513" s="98"/>
      <c r="ES1513" s="98"/>
      <c r="ET1513" s="98"/>
      <c r="EU1513" s="98"/>
      <c r="EV1513" s="98"/>
      <c r="EW1513" s="98"/>
      <c r="EX1513" s="98"/>
      <c r="EY1513" s="98"/>
      <c r="EZ1513" s="178"/>
    </row>
    <row r="1514" spans="60:156">
      <c r="BH1514" s="19"/>
      <c r="BI1514" s="19"/>
      <c r="BJ1514" s="19"/>
      <c r="BK1514" s="19"/>
      <c r="BL1514" s="19"/>
      <c r="BM1514" s="98"/>
      <c r="BN1514" s="98"/>
      <c r="BO1514" s="98"/>
      <c r="BP1514" s="98"/>
      <c r="BQ1514" s="98"/>
      <c r="BR1514" s="98"/>
      <c r="BS1514" s="98"/>
      <c r="BT1514" s="98"/>
      <c r="BU1514" s="98"/>
      <c r="BV1514" s="98"/>
      <c r="BW1514" s="98"/>
      <c r="BX1514" s="98"/>
      <c r="BY1514" s="98"/>
      <c r="BZ1514" s="98"/>
      <c r="DA1514" s="177"/>
      <c r="EH1514" s="19"/>
      <c r="EI1514" s="19"/>
      <c r="EJ1514" s="19"/>
      <c r="EK1514" s="19"/>
      <c r="EL1514" s="19"/>
      <c r="EM1514" s="98"/>
      <c r="EN1514" s="98"/>
      <c r="EO1514" s="98"/>
      <c r="EP1514" s="98"/>
      <c r="EQ1514" s="98"/>
      <c r="ER1514" s="98"/>
      <c r="ES1514" s="98"/>
      <c r="ET1514" s="98"/>
      <c r="EU1514" s="98"/>
      <c r="EV1514" s="98"/>
      <c r="EW1514" s="98"/>
      <c r="EX1514" s="98"/>
      <c r="EY1514" s="98"/>
      <c r="EZ1514" s="178"/>
    </row>
    <row r="1515" spans="60:156">
      <c r="BH1515" s="19"/>
      <c r="BI1515" s="19"/>
      <c r="BJ1515" s="19"/>
      <c r="BK1515" s="19"/>
      <c r="BL1515" s="19"/>
      <c r="BM1515" s="98"/>
      <c r="BN1515" s="98"/>
      <c r="BO1515" s="98"/>
      <c r="BP1515" s="98"/>
      <c r="BQ1515" s="98"/>
      <c r="BR1515" s="98"/>
      <c r="BS1515" s="98"/>
      <c r="BT1515" s="98"/>
      <c r="BU1515" s="98"/>
      <c r="BV1515" s="98"/>
      <c r="BW1515" s="98"/>
      <c r="BX1515" s="98"/>
      <c r="BY1515" s="98"/>
      <c r="BZ1515" s="98"/>
      <c r="DA1515" s="177"/>
      <c r="EH1515" s="19"/>
      <c r="EI1515" s="19"/>
      <c r="EJ1515" s="19"/>
      <c r="EK1515" s="19"/>
      <c r="EL1515" s="19"/>
      <c r="EM1515" s="98"/>
      <c r="EN1515" s="98"/>
      <c r="EO1515" s="98"/>
      <c r="EP1515" s="98"/>
      <c r="EQ1515" s="98"/>
      <c r="ER1515" s="98"/>
      <c r="ES1515" s="98"/>
      <c r="ET1515" s="98"/>
      <c r="EU1515" s="98"/>
      <c r="EV1515" s="98"/>
      <c r="EW1515" s="98"/>
      <c r="EX1515" s="98"/>
      <c r="EY1515" s="98"/>
      <c r="EZ1515" s="178"/>
    </row>
    <row r="1516" spans="60:156">
      <c r="BH1516" s="19"/>
      <c r="BI1516" s="19"/>
      <c r="BJ1516" s="19"/>
      <c r="BK1516" s="19"/>
      <c r="BL1516" s="19"/>
      <c r="BM1516" s="98"/>
      <c r="BN1516" s="98"/>
      <c r="BO1516" s="98"/>
      <c r="BP1516" s="98"/>
      <c r="BQ1516" s="98"/>
      <c r="BR1516" s="98"/>
      <c r="BS1516" s="98"/>
      <c r="BT1516" s="98"/>
      <c r="BU1516" s="98"/>
      <c r="BV1516" s="98"/>
      <c r="BW1516" s="98"/>
      <c r="BX1516" s="98"/>
      <c r="BY1516" s="98"/>
      <c r="BZ1516" s="98"/>
      <c r="DA1516" s="177"/>
      <c r="EH1516" s="19"/>
      <c r="EI1516" s="19"/>
      <c r="EJ1516" s="19"/>
      <c r="EK1516" s="19"/>
      <c r="EL1516" s="19"/>
      <c r="EM1516" s="98"/>
      <c r="EN1516" s="98"/>
      <c r="EO1516" s="98"/>
      <c r="EP1516" s="98"/>
      <c r="EQ1516" s="98"/>
      <c r="ER1516" s="98"/>
      <c r="ES1516" s="98"/>
      <c r="ET1516" s="98"/>
      <c r="EU1516" s="98"/>
      <c r="EV1516" s="98"/>
      <c r="EW1516" s="98"/>
      <c r="EX1516" s="98"/>
      <c r="EY1516" s="98"/>
      <c r="EZ1516" s="178"/>
    </row>
    <row r="1517" spans="60:156">
      <c r="BH1517" s="19"/>
      <c r="BI1517" s="19"/>
      <c r="BJ1517" s="19"/>
      <c r="BK1517" s="19"/>
      <c r="BL1517" s="19"/>
      <c r="BM1517" s="98"/>
      <c r="BN1517" s="98"/>
      <c r="BO1517" s="98"/>
      <c r="BP1517" s="98"/>
      <c r="BQ1517" s="98"/>
      <c r="BR1517" s="98"/>
      <c r="BS1517" s="98"/>
      <c r="BT1517" s="98"/>
      <c r="BU1517" s="98"/>
      <c r="BV1517" s="98"/>
      <c r="BW1517" s="98"/>
      <c r="BX1517" s="98"/>
      <c r="BY1517" s="98"/>
      <c r="BZ1517" s="98"/>
      <c r="DA1517" s="177"/>
      <c r="EH1517" s="19"/>
      <c r="EI1517" s="19"/>
      <c r="EJ1517" s="19"/>
      <c r="EK1517" s="19"/>
      <c r="EL1517" s="19"/>
      <c r="EM1517" s="98"/>
      <c r="EN1517" s="98"/>
      <c r="EO1517" s="98"/>
      <c r="EP1517" s="98"/>
      <c r="EQ1517" s="98"/>
      <c r="ER1517" s="98"/>
      <c r="ES1517" s="98"/>
      <c r="ET1517" s="98"/>
      <c r="EU1517" s="98"/>
      <c r="EV1517" s="98"/>
      <c r="EW1517" s="98"/>
      <c r="EX1517" s="98"/>
      <c r="EY1517" s="98"/>
      <c r="EZ1517" s="178"/>
    </row>
    <row r="1518" spans="60:156">
      <c r="BH1518" s="19"/>
      <c r="BI1518" s="19"/>
      <c r="BJ1518" s="19"/>
      <c r="BK1518" s="19"/>
      <c r="BL1518" s="19"/>
      <c r="BM1518" s="98"/>
      <c r="BN1518" s="98"/>
      <c r="BO1518" s="98"/>
      <c r="BP1518" s="98"/>
      <c r="BQ1518" s="98"/>
      <c r="BR1518" s="98"/>
      <c r="BS1518" s="98"/>
      <c r="BT1518" s="98"/>
      <c r="BU1518" s="98"/>
      <c r="BV1518" s="98"/>
      <c r="BW1518" s="98"/>
      <c r="BX1518" s="98"/>
      <c r="BY1518" s="98"/>
      <c r="BZ1518" s="98"/>
      <c r="DA1518" s="177"/>
      <c r="EH1518" s="19"/>
      <c r="EI1518" s="19"/>
      <c r="EJ1518" s="19"/>
      <c r="EK1518" s="19"/>
      <c r="EL1518" s="19"/>
      <c r="EM1518" s="98"/>
      <c r="EN1518" s="98"/>
      <c r="EO1518" s="98"/>
      <c r="EP1518" s="98"/>
      <c r="EQ1518" s="98"/>
      <c r="ER1518" s="98"/>
      <c r="ES1518" s="98"/>
      <c r="ET1518" s="98"/>
      <c r="EU1518" s="98"/>
      <c r="EV1518" s="98"/>
      <c r="EW1518" s="98"/>
      <c r="EX1518" s="98"/>
      <c r="EY1518" s="98"/>
      <c r="EZ1518" s="178"/>
    </row>
    <row r="1519" spans="60:156">
      <c r="BH1519" s="19"/>
      <c r="BI1519" s="19"/>
      <c r="BJ1519" s="19"/>
      <c r="BK1519" s="19"/>
      <c r="BL1519" s="19"/>
      <c r="BM1519" s="98"/>
      <c r="BN1519" s="98"/>
      <c r="BO1519" s="98"/>
      <c r="BP1519" s="98"/>
      <c r="BQ1519" s="98"/>
      <c r="BR1519" s="98"/>
      <c r="BS1519" s="98"/>
      <c r="BT1519" s="98"/>
      <c r="BU1519" s="98"/>
      <c r="BV1519" s="98"/>
      <c r="BW1519" s="98"/>
      <c r="BX1519" s="98"/>
      <c r="BY1519" s="98"/>
      <c r="BZ1519" s="98"/>
      <c r="DA1519" s="177"/>
      <c r="EH1519" s="19"/>
      <c r="EI1519" s="19"/>
      <c r="EJ1519" s="19"/>
      <c r="EK1519" s="19"/>
      <c r="EL1519" s="19"/>
      <c r="EM1519" s="98"/>
      <c r="EN1519" s="98"/>
      <c r="EO1519" s="98"/>
      <c r="EP1519" s="98"/>
      <c r="EQ1519" s="98"/>
      <c r="ER1519" s="98"/>
      <c r="ES1519" s="98"/>
      <c r="ET1519" s="98"/>
      <c r="EU1519" s="98"/>
      <c r="EV1519" s="98"/>
      <c r="EW1519" s="98"/>
      <c r="EX1519" s="98"/>
      <c r="EY1519" s="98"/>
      <c r="EZ1519" s="178"/>
    </row>
    <row r="1520" spans="60:156">
      <c r="BH1520" s="19"/>
      <c r="BI1520" s="19"/>
      <c r="BJ1520" s="19"/>
      <c r="BK1520" s="19"/>
      <c r="BL1520" s="19"/>
      <c r="BM1520" s="98"/>
      <c r="BN1520" s="98"/>
      <c r="BO1520" s="98"/>
      <c r="BP1520" s="98"/>
      <c r="BQ1520" s="98"/>
      <c r="BR1520" s="98"/>
      <c r="BS1520" s="98"/>
      <c r="BT1520" s="98"/>
      <c r="BU1520" s="98"/>
      <c r="BV1520" s="98"/>
      <c r="BW1520" s="98"/>
      <c r="BX1520" s="98"/>
      <c r="BY1520" s="98"/>
      <c r="BZ1520" s="98"/>
      <c r="DA1520" s="177"/>
      <c r="EH1520" s="19"/>
      <c r="EI1520" s="19"/>
      <c r="EJ1520" s="19"/>
      <c r="EK1520" s="19"/>
      <c r="EL1520" s="19"/>
      <c r="EM1520" s="98"/>
      <c r="EN1520" s="98"/>
      <c r="EO1520" s="98"/>
      <c r="EP1520" s="98"/>
      <c r="EQ1520" s="98"/>
      <c r="ER1520" s="98"/>
      <c r="ES1520" s="98"/>
      <c r="ET1520" s="98"/>
      <c r="EU1520" s="98"/>
      <c r="EV1520" s="98"/>
      <c r="EW1520" s="98"/>
      <c r="EX1520" s="98"/>
      <c r="EY1520" s="98"/>
      <c r="EZ1520" s="178"/>
    </row>
    <row r="1521" spans="60:156">
      <c r="BH1521" s="19"/>
      <c r="BI1521" s="19"/>
      <c r="BJ1521" s="19"/>
      <c r="BK1521" s="19"/>
      <c r="BL1521" s="19"/>
      <c r="BM1521" s="98"/>
      <c r="BN1521" s="98"/>
      <c r="BO1521" s="98"/>
      <c r="BP1521" s="98"/>
      <c r="BQ1521" s="98"/>
      <c r="BR1521" s="98"/>
      <c r="BS1521" s="98"/>
      <c r="BT1521" s="98"/>
      <c r="BU1521" s="98"/>
      <c r="BV1521" s="98"/>
      <c r="BW1521" s="98"/>
      <c r="BX1521" s="98"/>
      <c r="BY1521" s="98"/>
      <c r="BZ1521" s="98"/>
      <c r="DA1521" s="177"/>
      <c r="EH1521" s="19"/>
      <c r="EI1521" s="19"/>
      <c r="EJ1521" s="19"/>
      <c r="EK1521" s="19"/>
      <c r="EL1521" s="19"/>
      <c r="EM1521" s="98"/>
      <c r="EN1521" s="98"/>
      <c r="EO1521" s="98"/>
      <c r="EP1521" s="98"/>
      <c r="EQ1521" s="98"/>
      <c r="ER1521" s="98"/>
      <c r="ES1521" s="98"/>
      <c r="ET1521" s="98"/>
      <c r="EU1521" s="98"/>
      <c r="EV1521" s="98"/>
      <c r="EW1521" s="98"/>
      <c r="EX1521" s="98"/>
      <c r="EY1521" s="98"/>
      <c r="EZ1521" s="178"/>
    </row>
    <row r="1522" spans="60:156">
      <c r="BH1522" s="19"/>
      <c r="BI1522" s="19"/>
      <c r="BJ1522" s="19"/>
      <c r="BK1522" s="19"/>
      <c r="BL1522" s="19"/>
      <c r="BM1522" s="98"/>
      <c r="BN1522" s="98"/>
      <c r="BO1522" s="98"/>
      <c r="BP1522" s="98"/>
      <c r="BQ1522" s="98"/>
      <c r="BR1522" s="98"/>
      <c r="BS1522" s="98"/>
      <c r="BT1522" s="98"/>
      <c r="BU1522" s="98"/>
      <c r="BV1522" s="98"/>
      <c r="BW1522" s="98"/>
      <c r="BX1522" s="98"/>
      <c r="BY1522" s="98"/>
      <c r="BZ1522" s="98"/>
      <c r="DA1522" s="179"/>
      <c r="DB1522" s="180"/>
      <c r="DC1522" s="180"/>
      <c r="DD1522" s="181"/>
      <c r="DE1522" s="181"/>
      <c r="DF1522" s="182"/>
      <c r="DG1522" s="182"/>
      <c r="DH1522" s="182"/>
      <c r="DI1522" s="183"/>
      <c r="DJ1522" s="183"/>
      <c r="DK1522" s="183"/>
      <c r="DL1522" s="183"/>
      <c r="DM1522" s="183"/>
      <c r="DN1522" s="183"/>
      <c r="DO1522" s="183"/>
      <c r="DP1522" s="183"/>
      <c r="DQ1522" s="183"/>
      <c r="DR1522" s="183"/>
      <c r="DS1522" s="183"/>
      <c r="DT1522" s="183"/>
      <c r="DU1522" s="183"/>
      <c r="DV1522" s="183"/>
      <c r="DW1522" s="183"/>
      <c r="DX1522" s="183"/>
      <c r="DY1522" s="183"/>
      <c r="DZ1522" s="183"/>
      <c r="EA1522" s="184"/>
      <c r="EB1522" s="185"/>
      <c r="EC1522" s="185"/>
      <c r="ED1522" s="185"/>
      <c r="EE1522" s="185"/>
      <c r="EF1522" s="186"/>
      <c r="EG1522" s="186"/>
      <c r="EH1522" s="186"/>
      <c r="EI1522" s="186"/>
      <c r="EJ1522" s="186"/>
      <c r="EK1522" s="186"/>
      <c r="EL1522" s="186"/>
      <c r="EM1522" s="187"/>
      <c r="EN1522" s="187"/>
      <c r="EO1522" s="187"/>
      <c r="EP1522" s="187"/>
      <c r="EQ1522" s="187"/>
      <c r="ER1522" s="187"/>
      <c r="ES1522" s="187"/>
      <c r="ET1522" s="187"/>
      <c r="EU1522" s="187"/>
      <c r="EV1522" s="187"/>
      <c r="EW1522" s="187"/>
      <c r="EX1522" s="187"/>
      <c r="EY1522" s="187"/>
      <c r="EZ1522" s="188"/>
    </row>
    <row r="1523" spans="60:156">
      <c r="DA1523" s="164"/>
      <c r="DB1523" s="164"/>
      <c r="DC1523" s="164"/>
      <c r="DD1523" s="165"/>
      <c r="DE1523" s="165"/>
      <c r="DF1523" s="166"/>
      <c r="DG1523" s="166"/>
      <c r="DH1523" s="166"/>
      <c r="DI1523" s="167"/>
      <c r="DJ1523" s="167"/>
      <c r="DK1523" s="167"/>
      <c r="DL1523" s="167"/>
      <c r="DM1523" s="167"/>
      <c r="DN1523" s="167"/>
      <c r="DO1523" s="167"/>
      <c r="DP1523" s="167"/>
      <c r="DQ1523" s="167"/>
      <c r="DR1523" s="167"/>
      <c r="DS1523" s="167"/>
      <c r="DT1523" s="167"/>
      <c r="DU1523" s="167"/>
      <c r="DV1523" s="167"/>
      <c r="DW1523" s="167"/>
      <c r="DX1523" s="167"/>
      <c r="DY1523" s="167"/>
      <c r="DZ1523" s="167"/>
      <c r="EA1523" s="168"/>
      <c r="EB1523" s="169"/>
      <c r="EC1523" s="169"/>
      <c r="ED1523" s="169"/>
      <c r="EE1523" s="169"/>
      <c r="EF1523" s="170"/>
      <c r="EG1523" s="170"/>
    </row>
  </sheetData>
  <mergeCells count="103">
    <mergeCell ref="I16:J16"/>
    <mergeCell ref="I11:K12"/>
    <mergeCell ref="BY21:BY22"/>
    <mergeCell ref="BZ21:BZ22"/>
    <mergeCell ref="BS21:BS22"/>
    <mergeCell ref="BT19:BW20"/>
    <mergeCell ref="AC21:AC22"/>
    <mergeCell ref="AD21:AD22"/>
    <mergeCell ref="AF19:AJ20"/>
    <mergeCell ref="AK19:AQ20"/>
    <mergeCell ref="AA19:AE20"/>
    <mergeCell ref="BV21:BV22"/>
    <mergeCell ref="BW21:BW22"/>
    <mergeCell ref="BA21:BA22"/>
    <mergeCell ref="AW21:AW22"/>
    <mergeCell ref="AY21:AY22"/>
    <mergeCell ref="BN21:BN22"/>
    <mergeCell ref="BR21:BR22"/>
    <mergeCell ref="AN21:AQ21"/>
    <mergeCell ref="M11:U12"/>
    <mergeCell ref="AB21:AB22"/>
    <mergeCell ref="AA12:BZ12"/>
    <mergeCell ref="AA11:BZ11"/>
    <mergeCell ref="V11:X12"/>
    <mergeCell ref="U75:W75"/>
    <mergeCell ref="U76:W76"/>
    <mergeCell ref="O58:P59"/>
    <mergeCell ref="M78:O78"/>
    <mergeCell ref="M68:O68"/>
    <mergeCell ref="P69:S69"/>
    <mergeCell ref="U70:W70"/>
    <mergeCell ref="U71:W71"/>
    <mergeCell ref="U72:W72"/>
    <mergeCell ref="U73:W73"/>
    <mergeCell ref="P70:S70"/>
    <mergeCell ref="P71:S71"/>
    <mergeCell ref="U69:W69"/>
    <mergeCell ref="U58:U59"/>
    <mergeCell ref="R64:S65"/>
    <mergeCell ref="R66:S66"/>
    <mergeCell ref="T58:T59"/>
    <mergeCell ref="P110:P111"/>
    <mergeCell ref="S110:S111"/>
    <mergeCell ref="P106:P107"/>
    <mergeCell ref="S106:S107"/>
    <mergeCell ref="O60:P60"/>
    <mergeCell ref="U74:W74"/>
    <mergeCell ref="A43:D43"/>
    <mergeCell ref="E44:F44"/>
    <mergeCell ref="DA19:DS20"/>
    <mergeCell ref="C44:C45"/>
    <mergeCell ref="G43:I43"/>
    <mergeCell ref="N53:O53"/>
    <mergeCell ref="N54:O54"/>
    <mergeCell ref="DS21:DS22"/>
    <mergeCell ref="P76:S76"/>
    <mergeCell ref="P75:S75"/>
    <mergeCell ref="P74:S74"/>
    <mergeCell ref="P72:S72"/>
    <mergeCell ref="P73:S73"/>
    <mergeCell ref="G58:K64"/>
    <mergeCell ref="O61:P61"/>
    <mergeCell ref="Q58:Q59"/>
    <mergeCell ref="R58:R59"/>
    <mergeCell ref="S58:S59"/>
    <mergeCell ref="ES21:ES22"/>
    <mergeCell ref="EV21:EV22"/>
    <mergeCell ref="EW21:EW22"/>
    <mergeCell ref="J44:K44"/>
    <mergeCell ref="BA19:BF20"/>
    <mergeCell ref="BX19:BZ20"/>
    <mergeCell ref="N52:O52"/>
    <mergeCell ref="N55:O55"/>
    <mergeCell ref="P55:R55"/>
    <mergeCell ref="EA19:EF20"/>
    <mergeCell ref="DC21:DC22"/>
    <mergeCell ref="DD21:DD22"/>
    <mergeCell ref="DN21:DQ21"/>
    <mergeCell ref="T55:V55"/>
    <mergeCell ref="M126:X127"/>
    <mergeCell ref="EY21:EY22"/>
    <mergeCell ref="EG21:EG22"/>
    <mergeCell ref="O64:Q64"/>
    <mergeCell ref="A11:G11"/>
    <mergeCell ref="F17:G25"/>
    <mergeCell ref="I13:J13"/>
    <mergeCell ref="I14:J14"/>
    <mergeCell ref="I15:J15"/>
    <mergeCell ref="DA11:EZ11"/>
    <mergeCell ref="DA12:EZ12"/>
    <mergeCell ref="ET19:EW20"/>
    <mergeCell ref="EX19:EZ20"/>
    <mergeCell ref="DW21:DW22"/>
    <mergeCell ref="DY21:DY22"/>
    <mergeCell ref="EA21:EA22"/>
    <mergeCell ref="EN21:EN22"/>
    <mergeCell ref="EZ21:EZ22"/>
    <mergeCell ref="EH19:ES20"/>
    <mergeCell ref="DB21:DB22"/>
    <mergeCell ref="ER21:ER22"/>
    <mergeCell ref="M13:O13"/>
    <mergeCell ref="BG21:BG22"/>
    <mergeCell ref="BH19:BS20"/>
  </mergeCells>
  <phoneticPr fontId="26" type="noConversion"/>
  <conditionalFormatting sqref="X86 X93 X103 X117 X143 X147 X149 X159 X163 X165 X168:X169 X133 BS23:BS554 BW23:BW554 BZ23:BZ554 ES23:ES554 EW23:EW554 EZ23:EZ554">
    <cfRule type="containsText" dxfId="25" priority="87" operator="containsText" text="OK">
      <formula>NOT(ISERROR(SEARCH("OK",X23)))</formula>
    </cfRule>
  </conditionalFormatting>
  <conditionalFormatting sqref="X86 X93 X103 X117 X143 X147 X149 X159 X163 X165 X168:X169 X133 BS23:BS554 BW23:BW554 BZ23:BZ554 ES23:ES554 EW23:EW554 EZ23:EZ554">
    <cfRule type="containsText" dxfId="24" priority="86" operator="containsText" text="CHECK">
      <formula>NOT(ISERROR(SEARCH("CHECK",X23)))</formula>
    </cfRule>
  </conditionalFormatting>
  <conditionalFormatting sqref="BV555:BV1048576 BV1:BV10 BV13:BV22">
    <cfRule type="top10" dxfId="23" priority="65" rank="1"/>
  </conditionalFormatting>
  <conditionalFormatting sqref="G45:K53 A45:B45">
    <cfRule type="expression" dxfId="22" priority="142">
      <formula>$G45=$K$43</formula>
    </cfRule>
  </conditionalFormatting>
  <conditionalFormatting sqref="X133">
    <cfRule type="containsText" dxfId="21" priority="56" operator="containsText" text="Gia cường">
      <formula>NOT(ISERROR(SEARCH("Gia cường",X133)))</formula>
    </cfRule>
  </conditionalFormatting>
  <conditionalFormatting sqref="D45:F45">
    <cfRule type="expression" dxfId="20" priority="149">
      <formula>$G45=$K$43</formula>
    </cfRule>
  </conditionalFormatting>
  <conditionalFormatting sqref="A46:F64">
    <cfRule type="expression" dxfId="19" priority="152">
      <formula>$A46=$F$43</formula>
    </cfRule>
  </conditionalFormatting>
  <conditionalFormatting sqref="BR21:BR22">
    <cfRule type="top10" dxfId="18" priority="153" rank="1"/>
  </conditionalFormatting>
  <conditionalFormatting sqref="BY555:BY1048576 BY1:BY10 BY13:BY22">
    <cfRule type="top10" dxfId="17" priority="46" rank="1"/>
  </conditionalFormatting>
  <conditionalFormatting sqref="A22:A25 A13:E21">
    <cfRule type="expression" dxfId="16" priority="165">
      <formula>$A13=$W$44</formula>
    </cfRule>
  </conditionalFormatting>
  <conditionalFormatting sqref="W83">
    <cfRule type="containsText" dxfId="15" priority="30" operator="containsText" text="O/S">
      <formula>NOT(ISERROR(SEARCH("O/S",W83)))</formula>
    </cfRule>
  </conditionalFormatting>
  <conditionalFormatting sqref="A58:F64">
    <cfRule type="expression" dxfId="14" priority="20">
      <formula>$A58=$F$43</formula>
    </cfRule>
  </conditionalFormatting>
  <conditionalFormatting sqref="A59:F64">
    <cfRule type="expression" dxfId="13" priority="19">
      <formula>$A59=$F$43</formula>
    </cfRule>
  </conditionalFormatting>
  <conditionalFormatting sqref="A60:F64">
    <cfRule type="expression" dxfId="12" priority="18">
      <formula>$A60=$F$43</formula>
    </cfRule>
  </conditionalFormatting>
  <conditionalFormatting sqref="A61:F64">
    <cfRule type="expression" dxfId="11" priority="17">
      <formula>$A61=$F$43</formula>
    </cfRule>
  </conditionalFormatting>
  <conditionalFormatting sqref="A62:F64">
    <cfRule type="expression" dxfId="10" priority="16">
      <formula>$A62=$F$43</formula>
    </cfRule>
  </conditionalFormatting>
  <conditionalFormatting sqref="A63:F64">
    <cfRule type="expression" dxfId="9" priority="15">
      <formula>$A63=$F$43</formula>
    </cfRule>
  </conditionalFormatting>
  <conditionalFormatting sqref="A64:F64">
    <cfRule type="expression" dxfId="8" priority="14">
      <formula>$A64=$F$43</formula>
    </cfRule>
  </conditionalFormatting>
  <conditionalFormatting sqref="EV555:EV1048576 EV1:EV10 EV13:EV22">
    <cfRule type="top10" dxfId="7" priority="12" rank="1"/>
  </conditionalFormatting>
  <conditionalFormatting sqref="ER21:ER22">
    <cfRule type="top10" dxfId="6" priority="13" rank="1"/>
  </conditionalFormatting>
  <conditionalFormatting sqref="EY555:EY1048576 EY1:EY10 EY13:EY22">
    <cfRule type="top10" dxfId="5" priority="7" rank="1"/>
  </conditionalFormatting>
  <conditionalFormatting sqref="X132">
    <cfRule type="containsText" dxfId="4" priority="1" operator="containsText" text="Shear key">
      <formula>NOT(ISERROR(SEARCH("Shear key",X132)))</formula>
    </cfRule>
    <cfRule type="containsText" dxfId="3" priority="2" operator="containsText" text="Gia cường">
      <formula>NOT(ISERROR(SEARCH("Gia cường",X132)))</formula>
    </cfRule>
    <cfRule type="containsText" dxfId="2" priority="3" operator="containsText" text="Check">
      <formula>NOT(ISERROR(SEARCH("Check",X132)))</formula>
    </cfRule>
    <cfRule type="containsText" dxfId="1" priority="4" operator="containsText" text="OK">
      <formula>NOT(ISERROR(SEARCH("OK",X132)))</formula>
    </cfRule>
  </conditionalFormatting>
  <dataValidations count="4">
    <dataValidation type="list" allowBlank="1" showInputMessage="1" showErrorMessage="1" sqref="U81" xr:uid="{00000000-0002-0000-0100-000000000000}">
      <formula1>"Trái, Phải"</formula1>
    </dataValidation>
    <dataValidation type="list" allowBlank="1" showInputMessage="1" showErrorMessage="1" sqref="AR22 DR22" xr:uid="{00000000-0002-0000-0100-000001000000}">
      <formula1>$I$27:$I$28</formula1>
    </dataValidation>
    <dataValidation type="list" allowBlank="1" showInputMessage="1" showErrorMessage="1" sqref="K16" xr:uid="{00000000-0002-0000-0100-000002000000}">
      <formula1>$K$13:$K$15</formula1>
    </dataValidation>
    <dataValidation type="list" allowBlank="1" showInputMessage="1" showErrorMessage="1" sqref="I11:K12" xr:uid="{00000000-0002-0000-0100-000003000000}">
      <formula1>$K$14:$K$15</formula1>
    </dataValidation>
  </dataValidations>
  <printOptions horizontalCentered="1"/>
  <pageMargins left="0.5" right="0.5" top="0.5" bottom="0.5" header="0.31496062992125984" footer="0.31496062992125984"/>
  <pageSetup fitToHeight="0" orientation="portrait" r:id="rId1"/>
  <ignoredErrors>
    <ignoredError sqref="W98" evalError="1"/>
  </ignoredErrors>
  <drawing r:id="rId2"/>
  <legacyDrawing r:id="rId3"/>
  <picture r:id="rId4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100-000004000000}">
          <x14:formula1>
            <xm:f>Data!$K$4:$K$99</xm:f>
          </x14:formula1>
          <xm:sqref>W17</xm:sqref>
        </x14:dataValidation>
        <x14:dataValidation type="list" allowBlank="1" showInputMessage="1" showErrorMessage="1" xr:uid="{00000000-0002-0000-0100-000005000000}">
          <x14:formula1>
            <xm:f>Data!$A$3:$A$99</xm:f>
          </x14:formula1>
          <xm:sqref>W22</xm:sqref>
        </x14:dataValidation>
        <x14:dataValidation type="list" allowBlank="1" showInputMessage="1" showErrorMessage="1" xr:uid="{00000000-0002-0000-0100-000006000000}">
          <x14:formula1>
            <xm:f>Data!$AZ$3:$AZ$99</xm:f>
          </x14:formula1>
          <xm:sqref>W28</xm:sqref>
        </x14:dataValidation>
        <x14:dataValidation type="list" allowBlank="1" showInputMessage="1" showErrorMessage="1" xr:uid="{00000000-0002-0000-0100-000007000000}">
          <x14:formula1>
            <xm:f>Data!$DF$2:$DF$5</xm:f>
          </x14:formula1>
          <xm:sqref>U63</xm:sqref>
        </x14:dataValidation>
        <x14:dataValidation type="list" allowBlank="1" showInputMessage="1" showErrorMessage="1" xr:uid="{00000000-0002-0000-0100-000008000000}">
          <x14:formula1>
            <xm:f>Data!$DH$2:$DH$7</xm:f>
          </x14:formula1>
          <xm:sqref>W16</xm:sqref>
        </x14:dataValidation>
        <x14:dataValidation type="list" allowBlank="1" showInputMessage="1" showErrorMessage="1" xr:uid="{00000000-0002-0000-0100-000009000000}">
          <x14:formula1>
            <xm:f>Data!$BJ$5:$BJ$16</xm:f>
          </x14:formula1>
          <xm:sqref>W35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M34"/>
  <sheetViews>
    <sheetView showGridLines="0" zoomScale="130" zoomScaleNormal="130" workbookViewId="0">
      <selection activeCell="K5" sqref="K5"/>
    </sheetView>
  </sheetViews>
  <sheetFormatPr defaultRowHeight="14.4"/>
  <cols>
    <col min="4" max="10" width="9.109375" style="107"/>
  </cols>
  <sheetData>
    <row r="1" spans="1:13" ht="15">
      <c r="A1" s="112" t="str">
        <f>"- Số bu lông theo phương bản cánh:"</f>
        <v>- Số bu lông theo phương bản cánh:</v>
      </c>
      <c r="B1" s="112"/>
      <c r="C1" s="113"/>
      <c r="D1" s="114"/>
      <c r="E1" s="115" t="s">
        <v>350</v>
      </c>
      <c r="F1" s="118">
        <f>Cal!W46</f>
        <v>2</v>
      </c>
      <c r="G1" s="116" t="s">
        <v>1</v>
      </c>
      <c r="H1" s="120"/>
      <c r="I1" s="121" t="s">
        <v>219</v>
      </c>
      <c r="J1" s="121" t="s">
        <v>220</v>
      </c>
      <c r="K1" s="121" t="s">
        <v>221</v>
      </c>
      <c r="L1" s="121" t="s">
        <v>222</v>
      </c>
      <c r="M1" s="121" t="s">
        <v>225</v>
      </c>
    </row>
    <row r="2" spans="1:13" ht="15">
      <c r="A2" s="112" t="str">
        <f>"- Số bu lông theo phương bản bụng:"</f>
        <v>- Số bu lông theo phương bản bụng:</v>
      </c>
      <c r="B2" s="112"/>
      <c r="C2" s="113"/>
      <c r="D2" s="114"/>
      <c r="E2" s="115" t="s">
        <v>351</v>
      </c>
      <c r="F2" s="118">
        <f>Cal!W47</f>
        <v>4</v>
      </c>
      <c r="G2" s="116" t="s">
        <v>1</v>
      </c>
      <c r="H2" s="121">
        <f>Cal!W44</f>
        <v>30</v>
      </c>
      <c r="I2" s="120">
        <f>VLOOKUP(H2,Cal!$A$13:$E$30,2,FALSE)</f>
        <v>60</v>
      </c>
      <c r="J2" s="120">
        <f>VLOOKUP(H2,Cal!$A$13:$E$30,3,FALSE)</f>
        <v>70</v>
      </c>
      <c r="K2" s="120">
        <f>VLOOKUP(H2,Cal!$A$13:$E$30,4,FALSE)</f>
        <v>80</v>
      </c>
      <c r="L2" s="120">
        <f>VLOOKUP(H2,Cal!$A$13:$E$30,5,FALSE)</f>
        <v>200</v>
      </c>
      <c r="M2" s="120">
        <f>VLOOKUP(C4,Cal!$G$46:$K$57,2,FALSE)</f>
        <v>120</v>
      </c>
    </row>
    <row r="4" spans="1:13">
      <c r="A4" s="104" t="s">
        <v>334</v>
      </c>
      <c r="B4" s="104" t="s">
        <v>335</v>
      </c>
      <c r="C4" s="117">
        <f>Cal!W50</f>
        <v>212</v>
      </c>
      <c r="D4" s="106" t="s">
        <v>337</v>
      </c>
      <c r="E4" s="106">
        <f>C5/2</f>
        <v>442</v>
      </c>
      <c r="F4" s="106">
        <f>E4</f>
        <v>442</v>
      </c>
      <c r="G4" s="106">
        <f>-F4</f>
        <v>-442</v>
      </c>
      <c r="H4" s="106">
        <f>G4</f>
        <v>-442</v>
      </c>
      <c r="I4" s="106">
        <f>E4</f>
        <v>442</v>
      </c>
      <c r="J4" s="106"/>
    </row>
    <row r="5" spans="1:13">
      <c r="A5" s="104"/>
      <c r="B5" s="104" t="s">
        <v>336</v>
      </c>
      <c r="C5" s="117">
        <f>Cal!W49</f>
        <v>884</v>
      </c>
      <c r="D5" s="106" t="s">
        <v>338</v>
      </c>
      <c r="E5" s="106">
        <f>C4/2</f>
        <v>106</v>
      </c>
      <c r="F5" s="106">
        <f>-E5</f>
        <v>-106</v>
      </c>
      <c r="G5" s="106">
        <f>F5</f>
        <v>-106</v>
      </c>
      <c r="H5" s="106">
        <f>E5</f>
        <v>106</v>
      </c>
      <c r="I5" s="106">
        <f>E5</f>
        <v>106</v>
      </c>
      <c r="J5" s="106"/>
    </row>
    <row r="7" spans="1:13">
      <c r="A7" s="104" t="s">
        <v>340</v>
      </c>
      <c r="B7" s="104" t="s">
        <v>335</v>
      </c>
      <c r="C7" s="117">
        <f>Cal!W40</f>
        <v>185</v>
      </c>
      <c r="D7" s="106" t="s">
        <v>337</v>
      </c>
      <c r="E7" s="106">
        <f>C8/2</f>
        <v>312</v>
      </c>
      <c r="F7" s="106">
        <f>E7</f>
        <v>312</v>
      </c>
      <c r="G7" s="106">
        <f>-C8/2</f>
        <v>-312</v>
      </c>
      <c r="H7" s="106">
        <f>C8/2</f>
        <v>312</v>
      </c>
      <c r="I7" s="106">
        <f>-E7</f>
        <v>-312</v>
      </c>
      <c r="J7" s="106">
        <f>I7</f>
        <v>-312</v>
      </c>
    </row>
    <row r="8" spans="1:13">
      <c r="A8" s="104"/>
      <c r="B8" s="104" t="s">
        <v>339</v>
      </c>
      <c r="C8" s="117">
        <f>Cal!W39</f>
        <v>624</v>
      </c>
      <c r="D8" s="106" t="s">
        <v>338</v>
      </c>
      <c r="E8" s="106">
        <f>C7/2</f>
        <v>92.5</v>
      </c>
      <c r="F8" s="106">
        <f>-E8</f>
        <v>-92.5</v>
      </c>
      <c r="G8" s="106">
        <v>0</v>
      </c>
      <c r="H8" s="106">
        <v>0</v>
      </c>
      <c r="I8" s="106">
        <f>E8</f>
        <v>92.5</v>
      </c>
      <c r="J8" s="106">
        <f>-I8</f>
        <v>-92.5</v>
      </c>
    </row>
    <row r="10" spans="1:13" ht="15" customHeight="1">
      <c r="A10" s="414" t="s">
        <v>341</v>
      </c>
      <c r="B10" s="104" t="s">
        <v>216</v>
      </c>
      <c r="C10" s="117">
        <f>F1</f>
        <v>2</v>
      </c>
      <c r="D10" s="106" t="s">
        <v>337</v>
      </c>
      <c r="E10" s="108">
        <f>-C5/2+C12</f>
        <v>-382</v>
      </c>
      <c r="F10" s="108">
        <f>E10</f>
        <v>-382</v>
      </c>
      <c r="G10" s="108">
        <f>F10</f>
        <v>-382</v>
      </c>
      <c r="H10" s="106">
        <f>ABS(E10)</f>
        <v>382</v>
      </c>
      <c r="I10" s="106">
        <f>H10</f>
        <v>382</v>
      </c>
      <c r="J10" s="106">
        <f>I10</f>
        <v>382</v>
      </c>
    </row>
    <row r="11" spans="1:13">
      <c r="A11" s="414"/>
      <c r="B11" s="104" t="s">
        <v>225</v>
      </c>
      <c r="C11" s="117">
        <f>M2</f>
        <v>120</v>
      </c>
      <c r="D11" s="106" t="s">
        <v>338</v>
      </c>
      <c r="E11" s="108">
        <f>IF(C10=2,-C11/2,-C11)</f>
        <v>-60</v>
      </c>
      <c r="F11" s="108">
        <f>E11+C11</f>
        <v>60</v>
      </c>
      <c r="G11" s="108">
        <f>IF(C10=2,F11,F11+C11)</f>
        <v>60</v>
      </c>
      <c r="H11" s="106">
        <f>E11</f>
        <v>-60</v>
      </c>
      <c r="I11" s="106">
        <f t="shared" ref="I11:J11" si="0">F11</f>
        <v>60</v>
      </c>
      <c r="J11" s="106">
        <f t="shared" si="0"/>
        <v>60</v>
      </c>
    </row>
    <row r="12" spans="1:13">
      <c r="A12" s="414"/>
      <c r="B12" s="104" t="s">
        <v>219</v>
      </c>
      <c r="C12" s="117">
        <f>I2</f>
        <v>60</v>
      </c>
      <c r="D12" s="106"/>
      <c r="E12" s="108"/>
      <c r="F12" s="108"/>
      <c r="G12" s="108"/>
      <c r="H12" s="106"/>
      <c r="I12" s="106"/>
      <c r="J12" s="106"/>
    </row>
    <row r="14" spans="1:13">
      <c r="A14" s="414" t="s">
        <v>342</v>
      </c>
      <c r="B14" s="106" t="s">
        <v>216</v>
      </c>
      <c r="C14" s="119" t="str">
        <f>IF(MOD(F2,2)=1,"Y","N")</f>
        <v>N</v>
      </c>
      <c r="D14" s="106" t="s">
        <v>337</v>
      </c>
      <c r="E14" s="106">
        <f>IF(C14="Y",0,E10)</f>
        <v>-382</v>
      </c>
      <c r="F14" s="106">
        <f>IF(C14="Y",0,J10)</f>
        <v>382</v>
      </c>
      <c r="G14" s="106"/>
      <c r="H14" s="106"/>
      <c r="I14" s="106"/>
      <c r="J14" s="106"/>
    </row>
    <row r="15" spans="1:13">
      <c r="A15" s="414"/>
      <c r="B15" s="106"/>
      <c r="C15" s="106"/>
      <c r="D15" s="106" t="s">
        <v>338</v>
      </c>
      <c r="E15" s="106">
        <f>E11</f>
        <v>-60</v>
      </c>
      <c r="F15" s="106">
        <f>J11</f>
        <v>60</v>
      </c>
      <c r="G15" s="106"/>
      <c r="H15" s="106"/>
      <c r="I15" s="106"/>
      <c r="J15" s="106"/>
    </row>
    <row r="16" spans="1:13">
      <c r="A16" s="414"/>
      <c r="B16" s="106"/>
      <c r="C16" s="106"/>
      <c r="D16" s="106"/>
      <c r="E16" s="106"/>
      <c r="F16" s="106"/>
      <c r="G16" s="106"/>
      <c r="H16" s="106"/>
      <c r="I16" s="106"/>
      <c r="J16" s="106"/>
    </row>
    <row r="18" spans="1:12">
      <c r="A18" s="414" t="s">
        <v>343</v>
      </c>
      <c r="B18" s="104" t="s">
        <v>344</v>
      </c>
      <c r="C18" s="105"/>
      <c r="D18" s="106" t="s">
        <v>337</v>
      </c>
      <c r="E18" s="108">
        <f>IF(F2&gt;3,E10+C19,E10)</f>
        <v>-232</v>
      </c>
      <c r="F18" s="108">
        <f>E18</f>
        <v>-232</v>
      </c>
      <c r="G18" s="108"/>
      <c r="H18" s="106">
        <f>ABS(E18)</f>
        <v>232</v>
      </c>
      <c r="I18" s="106">
        <f>H18</f>
        <v>232</v>
      </c>
      <c r="J18" s="106"/>
    </row>
    <row r="19" spans="1:12">
      <c r="A19" s="414"/>
      <c r="B19" s="104" t="s">
        <v>345</v>
      </c>
      <c r="C19" s="117">
        <f>J2+K2</f>
        <v>150</v>
      </c>
      <c r="D19" s="106" t="s">
        <v>338</v>
      </c>
      <c r="E19" s="108">
        <f>E11</f>
        <v>-60</v>
      </c>
      <c r="F19" s="108">
        <f>ABS(E19)</f>
        <v>60</v>
      </c>
      <c r="G19" s="108"/>
      <c r="H19" s="106">
        <f>E19</f>
        <v>-60</v>
      </c>
      <c r="I19" s="106">
        <f t="shared" ref="I19" si="1">F19</f>
        <v>60</v>
      </c>
      <c r="J19" s="106"/>
    </row>
    <row r="20" spans="1:12">
      <c r="A20" s="414"/>
      <c r="B20" s="104"/>
      <c r="C20" s="105"/>
      <c r="D20" s="106"/>
      <c r="E20" s="108"/>
      <c r="F20" s="108"/>
      <c r="G20" s="108"/>
      <c r="H20" s="106"/>
      <c r="I20" s="106"/>
      <c r="J20" s="106"/>
    </row>
    <row r="22" spans="1:12">
      <c r="A22" s="414" t="s">
        <v>343</v>
      </c>
      <c r="B22" s="104" t="s">
        <v>344</v>
      </c>
      <c r="C22" s="105"/>
      <c r="D22" s="106" t="s">
        <v>337</v>
      </c>
      <c r="E22" s="108">
        <f>IF(F2&gt;5,E18+C23,E10)</f>
        <v>-382</v>
      </c>
      <c r="F22" s="108">
        <f>E22</f>
        <v>-382</v>
      </c>
      <c r="G22" s="108"/>
      <c r="H22" s="106">
        <f>ABS(E22)</f>
        <v>382</v>
      </c>
      <c r="I22" s="106">
        <f>H22</f>
        <v>382</v>
      </c>
      <c r="J22" s="106"/>
    </row>
    <row r="23" spans="1:12">
      <c r="A23" s="414"/>
      <c r="B23" s="104" t="s">
        <v>222</v>
      </c>
      <c r="C23" s="117">
        <f>L2</f>
        <v>200</v>
      </c>
      <c r="D23" s="106" t="s">
        <v>338</v>
      </c>
      <c r="E23" s="108">
        <f>E19</f>
        <v>-60</v>
      </c>
      <c r="F23" s="108">
        <f>F19</f>
        <v>60</v>
      </c>
      <c r="G23" s="108"/>
      <c r="H23" s="106">
        <f>E23</f>
        <v>-60</v>
      </c>
      <c r="I23" s="106">
        <f t="shared" ref="I23" si="2">F23</f>
        <v>60</v>
      </c>
      <c r="J23" s="106"/>
    </row>
    <row r="24" spans="1:12">
      <c r="A24" s="414"/>
      <c r="B24" s="104"/>
      <c r="C24" s="105"/>
      <c r="D24" s="106"/>
      <c r="E24" s="108"/>
      <c r="F24" s="108"/>
      <c r="G24" s="108"/>
      <c r="H24" s="106"/>
      <c r="I24" s="106"/>
      <c r="J24" s="106"/>
    </row>
    <row r="26" spans="1:12">
      <c r="A26" s="414" t="s">
        <v>346</v>
      </c>
      <c r="B26" s="104" t="s">
        <v>216</v>
      </c>
      <c r="C26" s="117">
        <f>Cal!Q61</f>
        <v>1</v>
      </c>
      <c r="D26" s="106" t="s">
        <v>337</v>
      </c>
      <c r="E26" s="108">
        <f>(-1)*IF(C26=0,0,C5/2)</f>
        <v>-442</v>
      </c>
      <c r="F26" s="108">
        <f>IF(C26=0,0,E26+(C5-C8)/2)</f>
        <v>-312</v>
      </c>
      <c r="G26" s="108"/>
      <c r="H26" s="106">
        <f>IF(C26=0,0,E26)</f>
        <v>-442</v>
      </c>
      <c r="I26" s="106">
        <f>IF(C26=0,0,F26)</f>
        <v>-312</v>
      </c>
      <c r="J26" s="106"/>
    </row>
    <row r="27" spans="1:12">
      <c r="A27" s="414"/>
      <c r="B27" s="104"/>
      <c r="C27" s="105"/>
      <c r="D27" s="106" t="s">
        <v>338</v>
      </c>
      <c r="E27" s="108">
        <f>IF(C26=0,0,IF(C26=1,0,-C11/2))</f>
        <v>0</v>
      </c>
      <c r="F27" s="108">
        <f>IF(C26=0,0,E27)</f>
        <v>0</v>
      </c>
      <c r="G27" s="108"/>
      <c r="H27" s="106">
        <f>IF(C26=0,0,IF(C26=1,E27,E27+C11))</f>
        <v>0</v>
      </c>
      <c r="I27" s="106">
        <f>H27</f>
        <v>0</v>
      </c>
      <c r="J27" s="106"/>
    </row>
    <row r="28" spans="1:12">
      <c r="A28" s="414"/>
      <c r="B28" s="104"/>
      <c r="C28" s="105"/>
      <c r="D28" s="106" t="s">
        <v>337</v>
      </c>
      <c r="E28" s="108">
        <f>IF(C26=0,0,C5/2)</f>
        <v>442</v>
      </c>
      <c r="F28" s="108">
        <f>IF(C26=0,0,E28-(C5-C8)/2)</f>
        <v>312</v>
      </c>
      <c r="G28" s="108"/>
      <c r="H28" s="106">
        <f>IF(C26=0,0,E28)</f>
        <v>442</v>
      </c>
      <c r="I28" s="106">
        <f>IF(C26=0,0,F28)</f>
        <v>312</v>
      </c>
      <c r="J28" s="106"/>
    </row>
    <row r="29" spans="1:12">
      <c r="A29" s="104"/>
      <c r="B29" s="104"/>
      <c r="C29" s="104"/>
      <c r="D29" s="106" t="s">
        <v>338</v>
      </c>
      <c r="E29" s="108">
        <f>E27</f>
        <v>0</v>
      </c>
      <c r="F29" s="108">
        <f>F27</f>
        <v>0</v>
      </c>
      <c r="G29" s="108"/>
      <c r="H29" s="106">
        <f>H27</f>
        <v>0</v>
      </c>
      <c r="I29" s="106">
        <f>I27</f>
        <v>0</v>
      </c>
      <c r="J29" s="106"/>
      <c r="K29" t="s">
        <v>349</v>
      </c>
      <c r="L29">
        <v>4</v>
      </c>
    </row>
    <row r="30" spans="1:12">
      <c r="D30"/>
      <c r="E30"/>
      <c r="F30"/>
      <c r="G30"/>
      <c r="H30"/>
      <c r="I30"/>
      <c r="J30"/>
    </row>
    <row r="31" spans="1:12">
      <c r="A31" s="414" t="s">
        <v>347</v>
      </c>
      <c r="B31" s="104" t="s">
        <v>216</v>
      </c>
      <c r="C31" s="117">
        <f>Cal!Q60</f>
        <v>2</v>
      </c>
      <c r="D31" s="106" t="s">
        <v>337</v>
      </c>
      <c r="E31" s="108">
        <f>IF(C31=0,0,IF(C31=1,0,IF(C31=2,-C8/6)))</f>
        <v>-104</v>
      </c>
      <c r="F31" s="108">
        <f>E31</f>
        <v>-104</v>
      </c>
      <c r="G31" s="108"/>
      <c r="H31" s="106">
        <f>E31</f>
        <v>-104</v>
      </c>
      <c r="I31" s="106">
        <f>F31</f>
        <v>-104</v>
      </c>
      <c r="J31" s="106"/>
      <c r="K31" t="s">
        <v>348</v>
      </c>
      <c r="L31">
        <f>C5-2*(C12+C19)</f>
        <v>464</v>
      </c>
    </row>
    <row r="32" spans="1:12">
      <c r="A32" s="414"/>
      <c r="B32" s="104"/>
      <c r="C32" s="105"/>
      <c r="D32" s="106" t="s">
        <v>338</v>
      </c>
      <c r="E32" s="108">
        <v>0</v>
      </c>
      <c r="F32" s="108">
        <f>IF(C31=0,0,-C7/2)</f>
        <v>-92.5</v>
      </c>
      <c r="G32" s="108"/>
      <c r="H32" s="106">
        <f>E32</f>
        <v>0</v>
      </c>
      <c r="I32" s="106">
        <f>ABS(F32)</f>
        <v>92.5</v>
      </c>
      <c r="J32" s="106"/>
    </row>
    <row r="33" spans="1:10">
      <c r="A33" s="414"/>
      <c r="B33" s="104"/>
      <c r="C33" s="105"/>
      <c r="D33" s="106" t="s">
        <v>337</v>
      </c>
      <c r="E33" s="108">
        <f>ABS(E31)</f>
        <v>104</v>
      </c>
      <c r="F33" s="108">
        <f>E33</f>
        <v>104</v>
      </c>
      <c r="G33" s="108"/>
      <c r="H33" s="106">
        <f>E33</f>
        <v>104</v>
      </c>
      <c r="I33" s="106">
        <f>H33</f>
        <v>104</v>
      </c>
      <c r="J33" s="106"/>
    </row>
    <row r="34" spans="1:10">
      <c r="A34" s="104"/>
      <c r="B34" s="104"/>
      <c r="C34" s="104"/>
      <c r="D34" s="106" t="s">
        <v>338</v>
      </c>
      <c r="E34" s="108">
        <f>E32</f>
        <v>0</v>
      </c>
      <c r="F34" s="108">
        <f>F32</f>
        <v>-92.5</v>
      </c>
      <c r="G34" s="108"/>
      <c r="H34" s="106">
        <f>H32</f>
        <v>0</v>
      </c>
      <c r="I34" s="106">
        <f>I32</f>
        <v>92.5</v>
      </c>
      <c r="J34" s="106"/>
    </row>
  </sheetData>
  <mergeCells count="6">
    <mergeCell ref="A31:A33"/>
    <mergeCell ref="A10:A12"/>
    <mergeCell ref="A14:A16"/>
    <mergeCell ref="A18:A20"/>
    <mergeCell ref="A22:A24"/>
    <mergeCell ref="A26:A28"/>
  </mergeCells>
  <conditionalFormatting sqref="H2:M2">
    <cfRule type="expression" dxfId="0" priority="1">
      <formula>$A3=$W$20</formula>
    </cfRule>
  </conditionalFormatting>
  <pageMargins left="0.7" right="0.7" top="0.75" bottom="0.75" header="0.3" footer="0.3"/>
  <pageSetup orientation="portrait" r:id="rId1"/>
  <ignoredErrors>
    <ignoredError sqref="F32" 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Data</vt:lpstr>
      <vt:lpstr>Cal</vt:lpstr>
      <vt:lpstr>Cal!Print_Area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 Nguyen</dc:creator>
  <cp:lastModifiedBy>toan huynh vu minh</cp:lastModifiedBy>
  <cp:lastPrinted>2026-02-01T05:11:41Z</cp:lastPrinted>
  <dcterms:created xsi:type="dcterms:W3CDTF">2023-12-24T09:13:35Z</dcterms:created>
  <dcterms:modified xsi:type="dcterms:W3CDTF">2026-09-22T03:24:48Z</dcterms:modified>
</cp:coreProperties>
</file>