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566" documentId="11_DF0F4A5A81AA8C503F804A43EABE8399EB1ACBA7" xr6:coauthVersionLast="47" xr6:coauthVersionMax="47" xr10:uidLastSave="{5633AAC8-B23D-4002-919A-C2C5AC5BFE15}"/>
  <bookViews>
    <workbookView xWindow="-120" yWindow="-120" windowWidth="29040" windowHeight="15720" tabRatio="926" xr2:uid="{00000000-000D-0000-FFFF-FFFF00000000}"/>
  </bookViews>
  <sheets>
    <sheet name="TCVN" sheetId="29" r:id="rId1"/>
    <sheet name="BangTra2737_2023" sheetId="30" state="hidden" r:id="rId2"/>
  </sheets>
  <functionGroups builtInGroupCount="19"/>
  <definedNames>
    <definedName name="_Fill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b">#REF!</definedName>
    <definedName name="Bang8_10">BangTra2737_2023!$A$3:$K$5</definedName>
    <definedName name="d">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ModeGon">OFFSET(#REF!,0,0,COUNTA(#REF!)-1,1)</definedName>
    <definedName name="Period">OFFSET(#REF!,0,0,COUNTA(#REF!)-1,1)</definedName>
    <definedName name="_xlnm.Print_Area" localSheetId="0">TCVN!$E$1:$Q$61</definedName>
    <definedName name="_xlnm.Print_Titles" localSheetId="0">TCVN!$1:$5</definedName>
    <definedName name="Stype">#REF!</definedName>
    <definedName name="UX.PhanTramKhoiLuong">OFFSET(#REF!,0,0,COUNTA(#REF!)-1,1)</definedName>
    <definedName name="UY.PhanTramKhoiLuong">OFFSET(#REF!,0,0,COUNTA(#REF!)-1,1)</definedName>
    <definedName name="wrn.chi._.tiÆt." hidden="1">{#N/A,#N/A,FALSE,"Chi tiÆt"}</definedName>
    <definedName name="W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9" l="1"/>
  <c r="Q57" i="29"/>
  <c r="Q58" i="29"/>
  <c r="Q59" i="29"/>
  <c r="Q60" i="29"/>
  <c r="Q61" i="29"/>
  <c r="P57" i="29"/>
  <c r="P58" i="29"/>
  <c r="P59" i="29"/>
  <c r="P60" i="29"/>
  <c r="P61" i="29"/>
  <c r="O57" i="29"/>
  <c r="O58" i="29"/>
  <c r="O59" i="29"/>
  <c r="O60" i="29"/>
  <c r="O61" i="29"/>
  <c r="N57" i="29"/>
  <c r="N58" i="29"/>
  <c r="N59" i="29"/>
  <c r="N60" i="29"/>
  <c r="N61" i="29"/>
  <c r="M57" i="29"/>
  <c r="M58" i="29"/>
  <c r="M59" i="29"/>
  <c r="M60" i="29"/>
  <c r="M61" i="29"/>
  <c r="L57" i="29"/>
  <c r="L58" i="29"/>
  <c r="L59" i="29"/>
  <c r="L60" i="29"/>
  <c r="L61" i="29"/>
  <c r="K57" i="29"/>
  <c r="K58" i="29"/>
  <c r="K59" i="29"/>
  <c r="K60" i="29"/>
  <c r="K61" i="29"/>
  <c r="J57" i="29"/>
  <c r="J58" i="29"/>
  <c r="J59" i="29"/>
  <c r="J60" i="29"/>
  <c r="J61" i="29"/>
  <c r="Q42" i="29"/>
  <c r="Q43" i="29"/>
  <c r="Q44" i="29"/>
  <c r="Q45" i="29"/>
  <c r="Q46" i="29"/>
  <c r="P42" i="29"/>
  <c r="P43" i="29"/>
  <c r="P44" i="29"/>
  <c r="P45" i="29"/>
  <c r="P46" i="29"/>
  <c r="O42" i="29"/>
  <c r="O43" i="29"/>
  <c r="O44" i="29"/>
  <c r="O45" i="29"/>
  <c r="O46" i="29"/>
  <c r="N42" i="29"/>
  <c r="N43" i="29"/>
  <c r="N44" i="29"/>
  <c r="N45" i="29"/>
  <c r="N46" i="29"/>
  <c r="M42" i="29"/>
  <c r="M43" i="29"/>
  <c r="M44" i="29"/>
  <c r="M45" i="29"/>
  <c r="M46" i="29"/>
  <c r="L42" i="29"/>
  <c r="L43" i="29"/>
  <c r="L44" i="29"/>
  <c r="L45" i="29"/>
  <c r="L46" i="29"/>
  <c r="K46" i="29"/>
  <c r="K42" i="29"/>
  <c r="K43" i="29"/>
  <c r="K44" i="29"/>
  <c r="K45" i="29"/>
  <c r="J42" i="29"/>
  <c r="J43" i="29"/>
  <c r="J44" i="29"/>
  <c r="J45" i="29"/>
  <c r="J46" i="29"/>
  <c r="E53" i="29"/>
  <c r="G53" i="29"/>
  <c r="E54" i="29"/>
  <c r="G54" i="29"/>
  <c r="E55" i="29"/>
  <c r="G55" i="29"/>
  <c r="E56" i="29"/>
  <c r="F56" i="29"/>
  <c r="G56" i="29"/>
  <c r="E57" i="29"/>
  <c r="F57" i="29"/>
  <c r="G57" i="29"/>
  <c r="E58" i="29"/>
  <c r="F58" i="29"/>
  <c r="G58" i="29"/>
  <c r="E59" i="29"/>
  <c r="F59" i="29"/>
  <c r="G59" i="29"/>
  <c r="E60" i="29"/>
  <c r="F60" i="29"/>
  <c r="G60" i="29"/>
  <c r="E61" i="29"/>
  <c r="F61" i="29"/>
  <c r="G61" i="29"/>
  <c r="G52" i="29"/>
  <c r="E52" i="29"/>
  <c r="F55" i="29"/>
  <c r="F54" i="29"/>
  <c r="F53" i="29"/>
  <c r="F52" i="29"/>
  <c r="T37" i="29" l="1"/>
  <c r="T52" i="29" s="1"/>
  <c r="I23" i="29" l="1"/>
  <c r="J23" i="29"/>
  <c r="K23" i="29"/>
  <c r="H23" i="29"/>
  <c r="I22" i="29"/>
  <c r="J22" i="29"/>
  <c r="K22" i="29"/>
  <c r="H22" i="29"/>
  <c r="K13" i="29"/>
  <c r="K18" i="29" l="1"/>
  <c r="K17" i="29"/>
  <c r="K16" i="29"/>
  <c r="K15" i="29"/>
  <c r="T40" i="29" l="1"/>
  <c r="T55" i="29" s="1"/>
  <c r="T47" i="29"/>
  <c r="T39" i="29"/>
  <c r="T54" i="29" s="1"/>
  <c r="T41" i="29"/>
  <c r="T56" i="29" s="1"/>
  <c r="T46" i="29"/>
  <c r="T61" i="29" s="1"/>
  <c r="T38" i="29"/>
  <c r="T53" i="29" s="1"/>
  <c r="T45" i="29"/>
  <c r="T60" i="29" s="1"/>
  <c r="T44" i="29"/>
  <c r="T59" i="29" s="1"/>
  <c r="T43" i="29"/>
  <c r="T58" i="29" s="1"/>
  <c r="T42" i="29"/>
  <c r="T57" i="29" s="1"/>
  <c r="H37" i="29"/>
  <c r="H38" i="29"/>
  <c r="H39" i="29"/>
  <c r="H41" i="29"/>
  <c r="H40" i="29"/>
  <c r="H29" i="29" l="1"/>
  <c r="I37" i="29"/>
  <c r="N27" i="29"/>
  <c r="N28" i="29"/>
  <c r="H10" i="29"/>
  <c r="H53" i="29"/>
  <c r="H55" i="29"/>
  <c r="H52" i="29"/>
  <c r="H56" i="29"/>
  <c r="H54" i="29"/>
  <c r="I52" i="29" l="1"/>
  <c r="I56" i="29"/>
  <c r="I54" i="29"/>
  <c r="I55" i="29"/>
  <c r="I53" i="29"/>
  <c r="H30" i="29"/>
  <c r="H31" i="29"/>
  <c r="A30" i="29"/>
  <c r="N29" i="29"/>
  <c r="K5" i="30"/>
  <c r="I5" i="30"/>
  <c r="K4" i="30"/>
  <c r="I4" i="30"/>
  <c r="K3" i="30"/>
  <c r="I3" i="30"/>
  <c r="B30" i="29" a="1"/>
  <c r="C30" i="29" a="1"/>
  <c r="K54" i="29" l="1"/>
  <c r="K56" i="29"/>
  <c r="N56" i="29"/>
  <c r="O52" i="29"/>
  <c r="N52" i="29"/>
  <c r="C30" i="29"/>
  <c r="B30" i="29"/>
  <c r="A31" i="29"/>
  <c r="N31" i="29"/>
  <c r="Q56" i="29" s="1"/>
  <c r="N30" i="29"/>
  <c r="N55" i="29" s="1"/>
  <c r="O3" i="29"/>
  <c r="B31" i="29" a="1"/>
  <c r="C31" i="29" a="1"/>
  <c r="O54" i="29" l="1"/>
  <c r="L54" i="29"/>
  <c r="N54" i="29"/>
  <c r="Q53" i="29"/>
  <c r="Q54" i="29"/>
  <c r="L52" i="29"/>
  <c r="K53" i="29"/>
  <c r="Q55" i="29"/>
  <c r="P54" i="29"/>
  <c r="P53" i="29"/>
  <c r="O53" i="29"/>
  <c r="L53" i="29"/>
  <c r="O55" i="29"/>
  <c r="P52" i="29"/>
  <c r="P56" i="29"/>
  <c r="L55" i="29"/>
  <c r="K55" i="29"/>
  <c r="Q52" i="29"/>
  <c r="L56" i="29"/>
  <c r="P55" i="29"/>
  <c r="M52" i="29"/>
  <c r="M54" i="29"/>
  <c r="M53" i="29"/>
  <c r="N53" i="29"/>
  <c r="M55" i="29"/>
  <c r="M56" i="29"/>
  <c r="O56" i="29"/>
  <c r="K52" i="29"/>
  <c r="C31" i="29"/>
  <c r="B31" i="29"/>
  <c r="K14" i="29"/>
  <c r="J53" i="29" l="1"/>
  <c r="J55" i="29"/>
  <c r="J52" i="29"/>
  <c r="J54" i="29"/>
  <c r="J56" i="29"/>
  <c r="Q37" i="29"/>
  <c r="L37" i="29"/>
  <c r="J37" i="29"/>
  <c r="K37" i="29"/>
  <c r="P37" i="29"/>
  <c r="M37" i="29"/>
  <c r="O37" i="29"/>
  <c r="N37" i="29"/>
  <c r="I38" i="29" l="1"/>
  <c r="I39" i="29"/>
  <c r="I40" i="29"/>
  <c r="I41" i="29"/>
  <c r="P41" i="29" l="1"/>
  <c r="K41" i="29"/>
  <c r="M41" i="29"/>
  <c r="J41" i="29"/>
  <c r="N41" i="29"/>
  <c r="O41" i="29"/>
  <c r="L41" i="29"/>
  <c r="Q41" i="29"/>
  <c r="N40" i="29"/>
  <c r="M40" i="29"/>
  <c r="P40" i="29"/>
  <c r="L40" i="29"/>
  <c r="O40" i="29"/>
  <c r="J40" i="29"/>
  <c r="Q40" i="29"/>
  <c r="K40" i="29"/>
  <c r="N39" i="29"/>
  <c r="P39" i="29"/>
  <c r="L39" i="29"/>
  <c r="J39" i="29"/>
  <c r="Q39" i="29"/>
  <c r="M39" i="29"/>
  <c r="K39" i="29"/>
  <c r="O39" i="29"/>
  <c r="O38" i="29"/>
  <c r="L38" i="29"/>
  <c r="M38" i="29"/>
  <c r="Q38" i="29"/>
  <c r="J38" i="29"/>
  <c r="K38" i="29"/>
  <c r="N38" i="29"/>
  <c r="P38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Duy Nguyễn</author>
  </authors>
  <commentList>
    <comment ref="H2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Duy Nguyễn:</t>
        </r>
        <r>
          <rPr>
            <sz val="9"/>
            <color indexed="81"/>
            <rFont val="Tahoma"/>
            <family val="2"/>
          </rPr>
          <t xml:space="preserve">
ĐIỀN LẠI B VÀ D</t>
        </r>
      </text>
    </comment>
    <comment ref="H2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Duy Nguyễn:</t>
        </r>
        <r>
          <rPr>
            <sz val="9"/>
            <color indexed="81"/>
            <rFont val="Tahoma"/>
            <family val="2"/>
          </rPr>
          <t xml:space="preserve">
ĐIỀN LẠI B VÀ D</t>
        </r>
      </text>
    </comment>
    <comment ref="H35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Duy Nguyễn:</t>
        </r>
        <r>
          <rPr>
            <sz val="9"/>
            <color indexed="81"/>
            <rFont val="Tahoma"/>
            <family val="2"/>
          </rPr>
          <t xml:space="preserve">
Độ cao tương đương:
10.2.4 - 2737 - 2023</t>
        </r>
      </text>
    </comment>
    <comment ref="I35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 xml:space="preserve">Duy Nguyễn:
</t>
        </r>
        <r>
          <rPr>
            <sz val="9"/>
            <color indexed="81"/>
            <rFont val="Tahoma"/>
            <family val="2"/>
          </rPr>
          <t>kể đến sự thay đổi áp lực gió theo độ cao ze so với mốc chuẩn và dạng địa hình
CT12 - 10.2.5 - 2737-2023</t>
        </r>
      </text>
    </comment>
    <comment ref="H50" authorId="0" shapeId="0" xr:uid="{705DC26D-63B3-4F67-98C8-33B3BF786ACE}">
      <text>
        <r>
          <rPr>
            <b/>
            <sz val="9"/>
            <color indexed="81"/>
            <rFont val="Tahoma"/>
            <family val="2"/>
          </rPr>
          <t>Duy Nguyễn:</t>
        </r>
        <r>
          <rPr>
            <sz val="9"/>
            <color indexed="81"/>
            <rFont val="Tahoma"/>
            <family val="2"/>
          </rPr>
          <t xml:space="preserve">
Độ cao tương đương:
10.2.4 - 2737 - 2023</t>
        </r>
      </text>
    </comment>
    <comment ref="I50" authorId="0" shapeId="0" xr:uid="{965C2E30-61BD-4FCB-8ECC-59703065814F}">
      <text>
        <r>
          <rPr>
            <b/>
            <sz val="9"/>
            <color indexed="81"/>
            <rFont val="Tahoma"/>
            <family val="2"/>
          </rPr>
          <t xml:space="preserve">Duy Nguyễn:
</t>
        </r>
        <r>
          <rPr>
            <sz val="9"/>
            <color indexed="81"/>
            <rFont val="Tahoma"/>
            <family val="2"/>
          </rPr>
          <t>kể đến sự thay đổi áp lực gió theo độ cao ze so với mốc chuẩn và dạng địa hình
CT12 - 10.2.5 - 2737-2023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<sst xmlns="http://schemas.openxmlformats.org/spreadsheetml/2006/main" count="161" uniqueCount="108">
  <si>
    <t>Story</t>
  </si>
  <si>
    <t>-</t>
  </si>
  <si>
    <t>Project Code / Mã dự án</t>
  </si>
  <si>
    <t>Rev.No.</t>
  </si>
  <si>
    <t>00</t>
  </si>
  <si>
    <t>Project / Dự án</t>
  </si>
  <si>
    <t>Date / Ngày</t>
  </si>
  <si>
    <t>The Client / Chủ đầu tư</t>
  </si>
  <si>
    <t>Designer / Thiết kế</t>
  </si>
  <si>
    <t>Item / Hạng mục</t>
  </si>
  <si>
    <t>Checker / Kiểm tra</t>
  </si>
  <si>
    <t>m</t>
  </si>
  <si>
    <t>A</t>
  </si>
  <si>
    <t>Z</t>
  </si>
  <si>
    <t>Base</t>
  </si>
  <si>
    <t>DBIM</t>
  </si>
  <si>
    <t>II</t>
  </si>
  <si>
    <t>III</t>
  </si>
  <si>
    <t>I</t>
  </si>
  <si>
    <t>IV</t>
  </si>
  <si>
    <t>V</t>
  </si>
  <si>
    <t>Ze</t>
  </si>
  <si>
    <t>(m)</t>
  </si>
  <si>
    <t xml:space="preserve"> (m)</t>
  </si>
  <si>
    <t>B</t>
  </si>
  <si>
    <t xml:space="preserve">Dạng
địa hình </t>
  </si>
  <si>
    <t xml:space="preserve">Mô tả dạng địa hình </t>
  </si>
  <si>
    <t>Max k(ze)</t>
  </si>
  <si>
    <t>cr</t>
  </si>
  <si>
    <t>l,m</t>
  </si>
  <si>
    <t>Trống trải, không có hoặc có rất ít vật cản cao không quá 1,5 m (bờ biển thoáng, mặt sông, hồ lớn, đồng muối, cánh đồng không có cây cao...), xem Hình D.1, Phụ lục D.</t>
  </si>
  <si>
    <t>Tương đối trống trải, có một số vật cản thưa thớt cao không quá 10 m (vùng ngoại ô ít nhà, thị trấn, làng mạc, rừng thưa hoặc rừng non, vùng trồng cây thưa…), xem Hình D.2, Phụ lục D.</t>
  </si>
  <si>
    <t>C</t>
  </si>
  <si>
    <t>Bị che chắn mạnh, có nhiều vật cản sát nhau cao từ 10 m trở lên (trong thành phố, vùng rừng rậm...), xem Hình D.3, Phụ lục D.</t>
  </si>
  <si>
    <t>Kết cấu BT và BTCT</t>
  </si>
  <si>
    <t>Vùng áp lực gió:</t>
  </si>
  <si>
    <t>Dạng địa hình:</t>
  </si>
  <si>
    <t>Loại kết cấu:</t>
  </si>
  <si>
    <t>Hệ số độ tin cậy:</t>
  </si>
  <si>
    <r>
      <t>Áp lực gió trung bình W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</si>
  <si>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>Áp lực gió 3s, chu kỳ lặp 10 năm W</t>
    </r>
    <r>
      <rPr>
        <vertAlign val="subscript"/>
        <sz val="10"/>
        <rFont val="Arial"/>
        <family val="2"/>
      </rPr>
      <t>3s,10</t>
    </r>
    <r>
      <rPr>
        <sz val="10"/>
        <rFont val="Arial"/>
        <family val="2"/>
      </rPr>
      <t xml:space="preserve"> (kN/m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</si>
  <si>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r>
      <t xml:space="preserve">Giá trị </t>
    </r>
    <r>
      <rPr>
        <i/>
        <sz val="11"/>
        <color rgb="FF000000"/>
        <rFont val="Arial-BoldItalicMT"/>
      </rPr>
      <t>z</t>
    </r>
    <r>
      <rPr>
        <i/>
        <vertAlign val="subscript"/>
        <sz val="11"/>
        <color rgb="FF000000"/>
        <rFont val="Arial-BoldItalicMT"/>
      </rPr>
      <t>g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</si>
  <si>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rPr>
        <sz val="11"/>
        <color rgb="FF000000"/>
        <rFont val="Arial-BoldMT"/>
      </rPr>
      <t>Giá trị Z</t>
    </r>
    <r>
      <rPr>
        <sz val="7"/>
        <color rgb="FF000000"/>
        <rFont val="Arial-BoldMT"/>
      </rPr>
      <t>min</t>
    </r>
    <r>
      <rPr>
        <sz val="11"/>
        <color rgb="FF000000"/>
        <rFont val="Arial-BoldMT"/>
      </rPr>
      <t xml:space="preserve">, </t>
    </r>
    <r>
      <rPr>
        <sz val="11"/>
        <color rgb="FF000000"/>
        <rFont val="ArialMT"/>
      </rPr>
      <t xml:space="preserve">m </t>
    </r>
  </si>
  <si>
    <r>
      <t xml:space="preserve">Giá trị </t>
    </r>
    <r>
      <rPr>
        <sz val="11"/>
        <color rgb="FF000000"/>
        <rFont val="Symbol"/>
        <family val="1"/>
        <charset val="2"/>
      </rPr>
      <t>a</t>
    </r>
  </si>
  <si>
    <t>BẢNG 8</t>
  </si>
  <si>
    <t>BẢNG 10</t>
  </si>
  <si>
    <r>
      <t>Giá trị z</t>
    </r>
    <r>
      <rPr>
        <vertAlign val="subscript"/>
        <sz val="10"/>
        <rFont val="Arial"/>
        <family val="2"/>
      </rPr>
      <t xml:space="preserve">min </t>
    </r>
    <r>
      <rPr>
        <sz val="10"/>
        <rFont val="Arial"/>
        <family val="2"/>
      </rPr>
      <t>(m)</t>
    </r>
  </si>
  <si>
    <r>
      <t>Giá trị z</t>
    </r>
    <r>
      <rPr>
        <vertAlign val="subscript"/>
        <sz val="10"/>
        <rFont val="Arial"/>
        <family val="2"/>
      </rPr>
      <t xml:space="preserve">g </t>
    </r>
    <r>
      <rPr>
        <sz val="10"/>
        <rFont val="Arial"/>
        <family val="2"/>
      </rPr>
      <t>(m)</t>
    </r>
  </si>
  <si>
    <r>
      <t>Giá trị max k(z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)</t>
    </r>
  </si>
  <si>
    <t>TCVN 2737-2023 - 10.2.2</t>
  </si>
  <si>
    <t>QCVN 02</t>
  </si>
  <si>
    <t>TCVN 2737-2023 - 10.1.6</t>
  </si>
  <si>
    <r>
      <t>Hệ số hiệu ứng giật G</t>
    </r>
    <r>
      <rPr>
        <vertAlign val="subscript"/>
        <sz val="10"/>
        <rFont val="Arial"/>
        <family val="2"/>
      </rPr>
      <t xml:space="preserve">f </t>
    </r>
    <r>
      <rPr>
        <sz val="10"/>
        <rFont val="Arial"/>
        <family val="2"/>
      </rPr>
      <t>:</t>
    </r>
  </si>
  <si>
    <t>Thông số chung</t>
  </si>
  <si>
    <t>Gió phương X</t>
  </si>
  <si>
    <t>Gió phương Y</t>
  </si>
  <si>
    <t>Chiều cao lan can tầng mái:</t>
  </si>
  <si>
    <t>Giá trị α</t>
  </si>
  <si>
    <t>Diễn giải</t>
  </si>
  <si>
    <t>Chiều cao nhà từ mặt đất (m)</t>
  </si>
  <si>
    <t>TÍNH TOÁN TẢI TRỌNG GIÓ THEO TCVN 2737:2023</t>
  </si>
  <si>
    <t>10.2.7.3 - (13)</t>
  </si>
  <si>
    <t>TCVN 2737-2023 - 10.2.5 - Bảng 8</t>
  </si>
  <si>
    <t>h/d</t>
  </si>
  <si>
    <t>D</t>
  </si>
  <si>
    <t>E</t>
  </si>
  <si>
    <t>Phụ lục F.4.1.1</t>
  </si>
  <si>
    <t>Chiều cao
đón gió</t>
  </si>
  <si>
    <t>Tính toán gió</t>
  </si>
  <si>
    <t>TCVN 2737-2023 - Phụ lục F.12</t>
  </si>
  <si>
    <t>Hướng gió</t>
  </si>
  <si>
    <t>X+</t>
  </si>
  <si>
    <t>X-</t>
  </si>
  <si>
    <t>Y+</t>
  </si>
  <si>
    <t>Y-</t>
  </si>
  <si>
    <r>
      <t xml:space="preserve">Độ hở của công trình </t>
    </r>
    <r>
      <rPr>
        <sz val="10"/>
        <rFont val="Symbol"/>
        <family val="1"/>
        <charset val="2"/>
      </rPr>
      <t>m</t>
    </r>
  </si>
  <si>
    <t>Hệ số áp lực trong</t>
  </si>
  <si>
    <t>Bề rộng mặt đón gió TB (b)</t>
  </si>
  <si>
    <t>Chiều dài công trình (d)</t>
  </si>
  <si>
    <t>Vùng D</t>
  </si>
  <si>
    <t>Vùng E</t>
  </si>
  <si>
    <t xml:space="preserve">Terrain </t>
  </si>
  <si>
    <t>zg</t>
  </si>
  <si>
    <t>zmin</t>
  </si>
  <si>
    <t>a</t>
  </si>
  <si>
    <t>k(ze)max</t>
  </si>
  <si>
    <t>Zone</t>
  </si>
  <si>
    <t>W3s,20</t>
  </si>
  <si>
    <t>Hệ số khí động</t>
  </si>
  <si>
    <t>Xét đến áp lực trong</t>
  </si>
  <si>
    <t>TH1</t>
  </si>
  <si>
    <t>TH2</t>
  </si>
  <si>
    <t>Tỉ số h/d</t>
  </si>
  <si>
    <r>
      <t>Hệ số khí động C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vùng D</t>
    </r>
  </si>
  <si>
    <r>
      <t>Hệ số khí động C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 xml:space="preserve"> vùng E</t>
    </r>
  </si>
  <si>
    <t>Bảng F.4</t>
  </si>
  <si>
    <t>Gió phương X+</t>
  </si>
  <si>
    <t>Gió phương X-</t>
  </si>
  <si>
    <t>Gió phương Y+</t>
  </si>
  <si>
    <t>Gió phương Y-</t>
  </si>
  <si>
    <r>
      <t>H</t>
    </r>
    <r>
      <rPr>
        <b/>
        <vertAlign val="subscript"/>
        <sz val="10"/>
        <color theme="1"/>
        <rFont val="Arial"/>
        <family val="2"/>
      </rPr>
      <t>s</t>
    </r>
    <r>
      <rPr>
        <b/>
        <sz val="10"/>
        <color theme="1"/>
        <rFont val="Arial"/>
        <family val="2"/>
      </rPr>
      <t xml:space="preserve"> </t>
    </r>
  </si>
  <si>
    <r>
      <t>k(z</t>
    </r>
    <r>
      <rPr>
        <b/>
        <vertAlign val="subscript"/>
        <sz val="10"/>
        <color theme="1"/>
        <rFont val="Arial"/>
        <family val="2"/>
      </rPr>
      <t>e</t>
    </r>
    <r>
      <rPr>
        <b/>
        <sz val="10"/>
        <color theme="1"/>
        <rFont val="Arial"/>
        <family val="2"/>
      </rPr>
      <t>)</t>
    </r>
  </si>
  <si>
    <t>Tải trọng gió tính toán lên các tầng theo phương X (kN/m)</t>
  </si>
  <si>
    <t>Tải trọng gió tính toán lên các tầng theo phương Y (kN/m)</t>
  </si>
  <si>
    <t>Story4</t>
  </si>
  <si>
    <t>Story3</t>
  </si>
  <si>
    <t>Story2</t>
  </si>
  <si>
    <t>Story1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</si>
</sst>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6" formatCode="[$-1010000]d/m/yyyy;@"/>
    <numFmt numFmtId="168" formatCode="0.0"/>
    <numFmt numFmtId="169" formatCode="0.0%"/>
  </numFmts>
  <fonts count="38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  <charset val="163"/>
    </font>
    <font>
      <sz val="10"/>
      <name val="Symbol"/>
      <family val="1"/>
      <charset val="2"/>
    </font>
    <font>
      <sz val="10"/>
      <name val="Arial"/>
      <family val="2"/>
    </font>
    <font>
      <b/>
      <sz val="15"/>
      <name val="Arial"/>
      <family val="2"/>
    </font>
    <font>
      <i/>
      <sz val="9"/>
      <name val="Arial"/>
      <family val="2"/>
    </font>
    <font>
      <vertAlign val="sub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vertAlign val="superscript"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sz val="11"/>
      <color rgb="FF000000"/>
      <name val="ArialMT"/>
    </font>
    <font>
      <i/>
      <sz val="11"/>
      <color rgb="FF000000"/>
      <name val="Arial-ItalicMT"/>
    </font>
    <font>
      <sz val="11"/>
      <color rgb="FF000000"/>
      <name val="Arial-BoldMT"/>
    </font>
    <font>
      <i/>
      <sz val="11"/>
      <color rgb="FF000000"/>
      <name val="Arial-BoldItalicMT"/>
    </font>
    <font>
      <i/>
      <vertAlign val="subscript"/>
      <sz val="11"/>
      <color rgb="FF000000"/>
      <name val="Arial-BoldItalicMT"/>
    </font>
    <font>
      <sz val="11"/>
      <color rgb="FF000000"/>
      <name val="Arial-BoldItalicMT"/>
    </font>
    <font>
      <sz val="7"/>
      <color rgb="FF000000"/>
      <name val="Arial-BoldMT"/>
    </font>
    <font>
      <sz val="11"/>
      <color rgb="FF000000"/>
      <name val="Symbol"/>
      <family val="1"/>
      <charset val="2"/>
    </font>
    <font>
      <sz val="9"/>
      <color rgb="FF0000FF"/>
      <name val="Arial"/>
      <family val="2"/>
    </font>
    <font>
      <i/>
      <sz val="12"/>
      <name val="Arial"/>
      <family val="2"/>
    </font>
    <font>
      <b/>
      <sz val="12"/>
      <color rgb="FF0000FF"/>
      <name val="Arial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0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sz val="10"/>
      <color theme="1"/>
      <name val="Arial"/>
      <family val="2"/>
    </font>
    <font>
      <sz val="10"/>
      <color indexed="12"/>
      <name val="Symbol"/>
      <family val="1"/>
      <charset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1" fillId="0" borderId="0"/>
    <xf numFmtId="0" fontId="28" fillId="4" borderId="0" applyNumberFormat="0" applyBorder="0" applyAlignment="0" applyProtection="0"/>
  </cellStyleXfs>
  <cellXfs count="119">
    <xf numFmtId="0" fontId="0" fillId="0" borderId="0" xfId="0"/>
    <xf numFmtId="0" fontId="4" fillId="3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4" fillId="0" borderId="1" xfId="6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2" fontId="16" fillId="0" borderId="1" xfId="6" applyNumberFormat="1" applyFont="1" applyBorder="1" applyAlignment="1">
      <alignment horizontal="center" vertical="center"/>
    </xf>
    <xf numFmtId="0" fontId="16" fillId="0" borderId="1" xfId="6" applyFont="1" applyBorder="1" applyAlignment="1">
      <alignment horizontal="left" vertical="center" wrapText="1"/>
    </xf>
    <xf numFmtId="164" fontId="4" fillId="2" borderId="7" xfId="0" applyNumberFormat="1" applyFont="1" applyFill="1" applyBorder="1" applyAlignment="1" applyProtection="1">
      <alignment horizontal="right" vertical="center"/>
      <protection hidden="1"/>
    </xf>
    <xf numFmtId="164" fontId="14" fillId="2" borderId="7" xfId="0" applyNumberFormat="1" applyFont="1" applyFill="1" applyBorder="1" applyAlignment="1">
      <alignment horizontal="right" vertical="center"/>
    </xf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2" fontId="14" fillId="2" borderId="7" xfId="0" applyNumberFormat="1" applyFont="1" applyFill="1" applyBorder="1" applyAlignment="1">
      <alignment horizontal="left" vertical="center"/>
    </xf>
    <xf numFmtId="2" fontId="14" fillId="2" borderId="7" xfId="0" applyNumberFormat="1" applyFont="1" applyFill="1" applyBorder="1" applyAlignment="1" applyProtection="1">
      <alignment horizontal="left" vertical="center"/>
      <protection locked="0"/>
    </xf>
    <xf numFmtId="2" fontId="4" fillId="2" borderId="7" xfId="0" applyNumberFormat="1" applyFont="1" applyFill="1" applyBorder="1" applyAlignment="1" applyProtection="1">
      <alignment horizontal="left" vertical="center"/>
      <protection locked="0"/>
    </xf>
    <xf numFmtId="0" fontId="4" fillId="2" borderId="7" xfId="0" applyFont="1" applyFill="1" applyBorder="1" applyAlignment="1">
      <alignment vertical="center"/>
    </xf>
    <xf numFmtId="0" fontId="14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64" fontId="12" fillId="3" borderId="1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vertical="center" wrapText="1"/>
    </xf>
    <xf numFmtId="164" fontId="27" fillId="2" borderId="7" xfId="0" applyNumberFormat="1" applyFont="1" applyFill="1" applyBorder="1" applyAlignment="1" applyProtection="1">
      <alignment horizontal="right" vertical="center"/>
      <protection hidden="1"/>
    </xf>
    <xf numFmtId="0" fontId="27" fillId="2" borderId="7" xfId="0" applyFont="1" applyFill="1" applyBorder="1" applyAlignment="1">
      <alignment horizontal="left" vertical="center"/>
    </xf>
    <xf numFmtId="9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12" fillId="2" borderId="7" xfId="0" applyFont="1" applyFill="1" applyBorder="1" applyAlignment="1" applyProtection="1">
      <alignment horizontal="left" vertical="center"/>
      <protection locked="0"/>
    </xf>
    <xf numFmtId="164" fontId="12" fillId="2" borderId="7" xfId="0" applyNumberFormat="1" applyFont="1" applyFill="1" applyBorder="1" applyAlignment="1" applyProtection="1">
      <alignment horizontal="right" vertical="center"/>
      <protection locked="0"/>
    </xf>
    <xf numFmtId="0" fontId="4" fillId="2" borderId="7" xfId="0" applyFont="1" applyFill="1" applyBorder="1" applyAlignment="1">
      <alignment horizontal="left" vertical="center" indent="1"/>
    </xf>
    <xf numFmtId="0" fontId="14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 indent="1"/>
    </xf>
    <xf numFmtId="164" fontId="27" fillId="2" borderId="0" xfId="0" applyNumberFormat="1" applyFont="1" applyFill="1" applyAlignment="1" applyProtection="1">
      <alignment horizontal="right" vertical="center"/>
      <protection hidden="1"/>
    </xf>
    <xf numFmtId="0" fontId="27" fillId="2" borderId="0" xfId="0" applyFont="1" applyFill="1" applyAlignment="1">
      <alignment horizontal="left" vertical="center"/>
    </xf>
    <xf numFmtId="2" fontId="12" fillId="2" borderId="0" xfId="0" applyNumberFormat="1" applyFont="1" applyFill="1" applyAlignment="1">
      <alignment horizontal="center" vertical="center"/>
    </xf>
    <xf numFmtId="2" fontId="24" fillId="2" borderId="0" xfId="0" applyNumberFormat="1" applyFont="1" applyFill="1" applyAlignment="1">
      <alignment horizontal="center" vertical="center"/>
    </xf>
    <xf numFmtId="2" fontId="4" fillId="2" borderId="0" xfId="0" applyNumberFormat="1" applyFont="1" applyFill="1" applyAlignment="1" applyProtection="1">
      <alignment horizontal="center" vertical="center"/>
      <protection hidden="1"/>
    </xf>
    <xf numFmtId="164" fontId="15" fillId="2" borderId="0" xfId="0" applyNumberFormat="1" applyFont="1" applyFill="1" applyAlignment="1">
      <alignment horizontal="center" vertical="center"/>
    </xf>
    <xf numFmtId="168" fontId="12" fillId="2" borderId="0" xfId="0" applyNumberFormat="1" applyFont="1" applyFill="1" applyAlignment="1">
      <alignment horizontal="center" vertical="center"/>
    </xf>
    <xf numFmtId="0" fontId="30" fillId="4" borderId="0" xfId="8" applyFont="1" applyBorder="1" applyAlignment="1">
      <alignment horizontal="center" vertical="center"/>
    </xf>
    <xf numFmtId="169" fontId="29" fillId="3" borderId="0" xfId="0" applyNumberFormat="1" applyFont="1" applyFill="1" applyAlignment="1">
      <alignment horizontal="center" vertical="center"/>
    </xf>
    <xf numFmtId="2" fontId="33" fillId="3" borderId="1" xfId="0" applyNumberFormat="1" applyFont="1" applyFill="1" applyBorder="1" applyAlignment="1">
      <alignment horizontal="center" vertical="center"/>
    </xf>
    <xf numFmtId="164" fontId="34" fillId="3" borderId="1" xfId="0" applyNumberFormat="1" applyFont="1" applyFill="1" applyBorder="1" applyAlignment="1">
      <alignment horizontal="center" vertical="center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35" fillId="5" borderId="1" xfId="0" applyFont="1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 wrapText="1"/>
    </xf>
    <xf numFmtId="164" fontId="31" fillId="3" borderId="1" xfId="0" applyNumberFormat="1" applyFon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2" fontId="4" fillId="2" borderId="7" xfId="0" applyNumberFormat="1" applyFont="1" applyFill="1" applyBorder="1" applyAlignment="1" applyProtection="1">
      <alignment horizontal="right" vertical="center"/>
      <protection hidden="1"/>
    </xf>
    <xf numFmtId="0" fontId="0" fillId="2" borderId="7" xfId="0" applyFill="1" applyBorder="1" applyAlignment="1">
      <alignment vertical="center"/>
    </xf>
    <xf numFmtId="0" fontId="3" fillId="2" borderId="7" xfId="0" applyFont="1" applyFill="1" applyBorder="1" applyAlignment="1">
      <alignment horizontal="center" vertical="center"/>
    </xf>
    <xf numFmtId="169" fontId="14" fillId="2" borderId="7" xfId="0" applyNumberFormat="1" applyFont="1" applyFill="1" applyBorder="1" applyAlignment="1">
      <alignment horizontal="center" vertical="center"/>
    </xf>
    <xf numFmtId="169" fontId="12" fillId="2" borderId="7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168" fontId="14" fillId="2" borderId="7" xfId="0" applyNumberFormat="1" applyFont="1" applyFill="1" applyBorder="1" applyAlignment="1">
      <alignment horizontal="right" vertical="center"/>
    </xf>
    <xf numFmtId="2" fontId="4" fillId="2" borderId="7" xfId="0" applyNumberFormat="1" applyFont="1" applyFill="1" applyBorder="1" applyAlignment="1">
      <alignment horizontal="right" vertical="center"/>
    </xf>
    <xf numFmtId="168" fontId="4" fillId="2" borderId="7" xfId="0" applyNumberFormat="1" applyFont="1" applyFill="1" applyBorder="1" applyAlignment="1">
      <alignment horizontal="right" vertical="center"/>
    </xf>
    <xf numFmtId="0" fontId="4" fillId="2" borderId="7" xfId="0" applyFont="1" applyFill="1" applyBorder="1" applyAlignment="1">
      <alignment horizontal="right" vertical="center"/>
    </xf>
    <xf numFmtId="164" fontId="14" fillId="2" borderId="9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 applyProtection="1">
      <alignment horizontal="center" vertical="center"/>
      <protection hidden="1"/>
    </xf>
    <xf numFmtId="2" fontId="4" fillId="2" borderId="9" xfId="0" applyNumberFormat="1" applyFont="1" applyFill="1" applyBorder="1" applyAlignment="1">
      <alignment horizontal="center" vertical="center"/>
    </xf>
    <xf numFmtId="2" fontId="31" fillId="2" borderId="9" xfId="0" applyNumberFormat="1" applyFont="1" applyFill="1" applyBorder="1" applyAlignment="1">
      <alignment horizontal="center" vertical="center"/>
    </xf>
    <xf numFmtId="164" fontId="14" fillId="2" borderId="10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4" fillId="2" borderId="10" xfId="0" applyNumberFormat="1" applyFont="1" applyFill="1" applyBorder="1" applyAlignment="1" applyProtection="1">
      <alignment horizontal="center" vertical="center"/>
      <protection hidden="1"/>
    </xf>
    <xf numFmtId="2" fontId="4" fillId="2" borderId="10" xfId="0" applyNumberFormat="1" applyFont="1" applyFill="1" applyBorder="1" applyAlignment="1">
      <alignment horizontal="center" vertical="center"/>
    </xf>
    <xf numFmtId="2" fontId="31" fillId="2" borderId="10" xfId="0" applyNumberFormat="1" applyFont="1" applyFill="1" applyBorder="1" applyAlignment="1">
      <alignment horizontal="center" vertical="center"/>
    </xf>
    <xf numFmtId="2" fontId="12" fillId="2" borderId="10" xfId="0" applyNumberFormat="1" applyFont="1" applyFill="1" applyBorder="1" applyAlignment="1">
      <alignment horizontal="center" vertical="center"/>
    </xf>
    <xf numFmtId="2" fontId="24" fillId="2" borderId="10" xfId="0" applyNumberFormat="1" applyFont="1" applyFill="1" applyBorder="1" applyAlignment="1">
      <alignment horizontal="center" vertical="center"/>
    </xf>
    <xf numFmtId="2" fontId="12" fillId="2" borderId="11" xfId="0" applyNumberFormat="1" applyFont="1" applyFill="1" applyBorder="1" applyAlignment="1">
      <alignment horizontal="center" vertical="center"/>
    </xf>
    <xf numFmtId="2" fontId="24" fillId="2" borderId="11" xfId="0" applyNumberFormat="1" applyFont="1" applyFill="1" applyBorder="1" applyAlignment="1">
      <alignment horizontal="center" vertical="center"/>
    </xf>
    <xf numFmtId="2" fontId="4" fillId="2" borderId="11" xfId="0" applyNumberFormat="1" applyFont="1" applyFill="1" applyBorder="1" applyAlignment="1" applyProtection="1">
      <alignment horizontal="center" vertical="center"/>
      <protection hidden="1"/>
    </xf>
    <xf numFmtId="2" fontId="4" fillId="2" borderId="11" xfId="0" applyNumberFormat="1" applyFont="1" applyFill="1" applyBorder="1" applyAlignment="1">
      <alignment horizontal="center" vertical="center"/>
    </xf>
    <xf numFmtId="2" fontId="31" fillId="2" borderId="11" xfId="0" applyNumberFormat="1" applyFont="1" applyFill="1" applyBorder="1" applyAlignment="1">
      <alignment horizontal="center" vertical="center"/>
    </xf>
    <xf numFmtId="164" fontId="31" fillId="2" borderId="9" xfId="0" applyNumberFormat="1" applyFont="1" applyFill="1" applyBorder="1" applyAlignment="1">
      <alignment horizontal="center" vertical="center"/>
    </xf>
    <xf numFmtId="2" fontId="31" fillId="2" borderId="9" xfId="0" applyNumberFormat="1" applyFont="1" applyFill="1" applyBorder="1" applyAlignment="1" applyProtection="1">
      <alignment horizontal="center" vertical="center"/>
      <protection hidden="1"/>
    </xf>
    <xf numFmtId="164" fontId="31" fillId="2" borderId="10" xfId="0" applyNumberFormat="1" applyFont="1" applyFill="1" applyBorder="1" applyAlignment="1">
      <alignment horizontal="center" vertical="center"/>
    </xf>
    <xf numFmtId="2" fontId="31" fillId="2" borderId="10" xfId="0" applyNumberFormat="1" applyFont="1" applyFill="1" applyBorder="1" applyAlignment="1" applyProtection="1">
      <alignment horizontal="center" vertical="center"/>
      <protection hidden="1"/>
    </xf>
    <xf numFmtId="164" fontId="31" fillId="2" borderId="11" xfId="0" applyNumberFormat="1" applyFont="1" applyFill="1" applyBorder="1" applyAlignment="1">
      <alignment horizontal="center" vertical="center"/>
    </xf>
    <xf numFmtId="2" fontId="31" fillId="2" borderId="11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37" fillId="6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35" fillId="5" borderId="1" xfId="0" applyFont="1" applyFill="1" applyBorder="1" applyAlignment="1">
      <alignment horizontal="center" vertical="center" wrapText="1"/>
    </xf>
    <xf numFmtId="0" fontId="35" fillId="5" borderId="4" xfId="0" applyFont="1" applyFill="1" applyBorder="1" applyAlignment="1">
      <alignment horizontal="center" vertical="center"/>
    </xf>
    <xf numFmtId="0" fontId="35" fillId="5" borderId="3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0" fontId="35" fillId="5" borderId="1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14" fillId="2" borderId="7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166" fontId="6" fillId="0" borderId="1" xfId="0" applyNumberFormat="1" applyFont="1" applyBorder="1" applyAlignment="1">
      <alignment horizontal="left" vertical="center"/>
    </xf>
    <xf numFmtId="164" fontId="6" fillId="0" borderId="1" xfId="0" applyNumberFormat="1" applyFont="1" applyBorder="1" applyAlignment="1">
      <alignment horizontal="left" vertical="center"/>
    </xf>
    <xf numFmtId="164" fontId="6" fillId="0" borderId="6" xfId="0" applyNumberFormat="1" applyFont="1" applyBorder="1" applyAlignment="1">
      <alignment horizontal="left" vertical="center"/>
    </xf>
    <xf numFmtId="1" fontId="6" fillId="0" borderId="1" xfId="0" applyNumberFormat="1" applyFont="1" applyBorder="1" applyAlignment="1">
      <alignment horizontal="left" vertical="center"/>
    </xf>
    <xf numFmtId="1" fontId="6" fillId="0" borderId="6" xfId="0" applyNumberFormat="1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9">
    <cellStyle name="Good" xfId="8" builtinId="26"/>
    <cellStyle name="Normal" xfId="0" builtinId="0"/>
    <cellStyle name="Normal 2" xfId="1" xr:uid="{00000000-0005-0000-0000-000001000000}"/>
    <cellStyle name="Normal 2 2" xfId="7" xr:uid="{00000000-0005-0000-0000-000002000000}"/>
    <cellStyle name="Normal 3" xfId="2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  <cellStyle name="Normal 7" xfId="6" xr:uid="{00000000-0005-0000-0000-000007000000}"/>
  </cellStyles>
  <dxfs count="0"/>
  <tableStyles count="0" defaultTableStyle="TableStyleMedium9" defaultPivotStyle="PivotStyleLight16"/>
  <colors>
    <mruColors>
      <color rgb="FF0000FF"/>
      <color rgb="FFFF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180974</xdr:colOff>
      <xdr:row>0</xdr:row>
      <xdr:rowOff>28576</xdr:rowOff>
    </xdr:from>
    <xdr:to>
      <xdr:col>16</xdr:col>
      <xdr:colOff>508551</xdr:colOff>
      <xdr:row>0</xdr:row>
      <xdr:rowOff>329405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299" y="28576"/>
          <a:ext cx="327577" cy="300829"/>
        </a:xfrm>
        <a:prstGeom prst="rect">
          <a:avLst/>
        </a:prstGeom>
      </xdr:spPr>
    </xdr:pic>
    <xdr:clientData/>
  </xdr:twoCellAnchor>
  <xdr:twoCellAnchor editAs="oneCell">
    <xdr:from>
      <xdr:col>24</xdr:col>
      <xdr:colOff>372940</xdr:colOff>
      <xdr:row>32</xdr:row>
      <xdr:rowOff>96716</xdr:rowOff>
    </xdr:from>
    <xdr:to>
      <xdr:col>33</xdr:col>
      <xdr:colOff>356929</xdr:colOff>
      <xdr:row>48</xdr:row>
      <xdr:rowOff>58190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5036" y="11109081"/>
          <a:ext cx="5427893" cy="2562532"/>
        </a:xfrm>
        <a:prstGeom prst="rect">
          <a:avLst/>
        </a:prstGeom>
      </xdr:spPr>
    </xdr:pic>
    <xdr:clientData/>
  </xdr:twoCellAnchor>
  <xdr:twoCellAnchor editAs="oneCell">
    <xdr:from>
      <xdr:col>21</xdr:col>
      <xdr:colOff>140498</xdr:colOff>
      <xdr:row>56</xdr:row>
      <xdr:rowOff>61624</xdr:rowOff>
    </xdr:from>
    <xdr:to>
      <xdr:col>31</xdr:col>
      <xdr:colOff>15839</xdr:colOff>
      <xdr:row>79</xdr:row>
      <xdr:rowOff>95561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34267" y="9689201"/>
          <a:ext cx="5414495" cy="3741360"/>
        </a:xfrm>
        <a:prstGeom prst="rect">
          <a:avLst/>
        </a:prstGeom>
      </xdr:spPr>
    </xdr:pic>
    <xdr:clientData/>
  </xdr:twoCellAnchor>
  <xdr:twoCellAnchor editAs="oneCell">
    <xdr:from>
      <xdr:col>31</xdr:col>
      <xdr:colOff>96611</xdr:colOff>
      <xdr:row>17</xdr:row>
      <xdr:rowOff>87087</xdr:rowOff>
    </xdr:from>
    <xdr:to>
      <xdr:col>39</xdr:col>
      <xdr:colOff>572192</xdr:colOff>
      <xdr:row>55</xdr:row>
      <xdr:rowOff>36083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59325" y="3257551"/>
          <a:ext cx="5374153" cy="6371568"/>
        </a:xfrm>
        <a:prstGeom prst="rect">
          <a:avLst/>
        </a:prstGeom>
      </xdr:spPr>
    </xdr:pic>
    <xdr:clientData/>
  </xdr:twoCellAnchor>
  <xdr:twoCellAnchor editAs="oneCell">
    <xdr:from>
      <xdr:col>21</xdr:col>
      <xdr:colOff>203260</xdr:colOff>
      <xdr:row>13</xdr:row>
      <xdr:rowOff>94744</xdr:rowOff>
    </xdr:from>
    <xdr:to>
      <xdr:col>32</xdr:col>
      <xdr:colOff>71383</xdr:colOff>
      <xdr:row>55</xdr:row>
      <xdr:rowOff>72177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897029" y="2461340"/>
          <a:ext cx="6015412" cy="7077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44870</xdr:colOff>
      <xdr:row>1</xdr:row>
      <xdr:rowOff>19050</xdr:rowOff>
    </xdr:from>
    <xdr:to>
      <xdr:col>8</xdr:col>
      <xdr:colOff>247689</xdr:colOff>
      <xdr:row>1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1070" y="180975"/>
          <a:ext cx="202819" cy="20955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95250</xdr:colOff>
      <xdr:row>1</xdr:row>
      <xdr:rowOff>16357</xdr:rowOff>
    </xdr:from>
    <xdr:to>
      <xdr:col>9</xdr:col>
      <xdr:colOff>266700</xdr:colOff>
      <xdr:row>1</xdr:row>
      <xdr:rowOff>209550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00" y="178282"/>
          <a:ext cx="171450" cy="193193"/>
        </a:xfrm>
        <a:prstGeom prst="rect">
          <a:avLst/>
        </a:prstGeom>
      </xdr:spPr>
    </xdr:pic>
    <xdr:clientData/>
  </xdr:twoCellAnchor>
  <xdr:twoCellAnchor editAs="oneCell">
    <xdr:from>
      <xdr:col>10</xdr:col>
      <xdr:colOff>57150</xdr:colOff>
      <xdr:row>1</xdr:row>
      <xdr:rowOff>41098</xdr:rowOff>
    </xdr:from>
    <xdr:to>
      <xdr:col>10</xdr:col>
      <xdr:colOff>276225</xdr:colOff>
      <xdr:row>1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763375" y="203023"/>
          <a:ext cx="219075" cy="1589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FF0000"/>
  </sheetPr>
  <dimension ref="A1:AL61"/>
  <sheetViews>
    <sheetView tabSelected="1" view="pageBreakPreview" zoomScale="130" zoomScaleNormal="100" zoomScaleSheetLayoutView="130" workbookViewId="0">
      <selection activeCell="R64" sqref="R64"/>
    </sheetView>
  </sheetViews>
  <sheetFormatPr defaultRowHeight="12.75"/>
  <cols>
    <col min="1" max="1" width="9.140625" style="1" bestFit="1" customWidth="1"/>
    <col min="2" max="3" width="7.85546875" style="1" bestFit="1" customWidth="1"/>
    <col min="4" max="4" width="4.85546875" style="1" customWidth="1"/>
    <col min="5" max="17" width="8.7109375" style="2" customWidth="1"/>
    <col min="18" max="18" width="8.7109375" style="1" customWidth="1"/>
    <col min="19" max="19" width="8.7109375" style="3" customWidth="1"/>
    <col min="20" max="20" width="9.28515625" style="1" bestFit="1" customWidth="1"/>
    <col min="21" max="21" width="6" style="1" customWidth="1"/>
    <col min="22" max="22" width="5.42578125" style="1" customWidth="1"/>
    <col min="23" max="23" width="6.28515625" style="1" customWidth="1"/>
    <col min="24" max="24" width="8" style="1" customWidth="1"/>
    <col min="25" max="25" width="6.42578125" style="1" customWidth="1"/>
    <col min="26" max="26" width="7.5703125" style="1" bestFit="1" customWidth="1"/>
    <col min="27" max="27" width="12.85546875" style="1" bestFit="1" customWidth="1"/>
    <col min="28" max="16384" width="9.140625" style="1"/>
  </cols>
  <sheetData>
    <row r="1" spans="5:38" ht="26.25" customHeight="1">
      <c r="E1" s="104" t="s">
        <v>15</v>
      </c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7"/>
      <c r="S1" s="1"/>
    </row>
    <row r="2" spans="5:38" ht="12.75" customHeight="1">
      <c r="E2" s="103" t="s">
        <v>2</v>
      </c>
      <c r="F2" s="103"/>
      <c r="G2" s="103"/>
      <c r="H2" s="115" t="s">
        <v>1</v>
      </c>
      <c r="I2" s="115"/>
      <c r="J2" s="115"/>
      <c r="K2" s="115"/>
      <c r="L2" s="113" t="s">
        <v>3</v>
      </c>
      <c r="M2" s="113"/>
      <c r="N2" s="113"/>
      <c r="O2" s="103" t="s">
        <v>4</v>
      </c>
      <c r="P2" s="103"/>
      <c r="Q2" s="103"/>
      <c r="R2" s="18"/>
      <c r="S2" s="1"/>
      <c r="AA2" s="30"/>
    </row>
    <row r="3" spans="5:38" ht="12.75" customHeight="1">
      <c r="E3" s="103" t="s">
        <v>5</v>
      </c>
      <c r="F3" s="106"/>
      <c r="G3" s="106"/>
      <c r="H3" s="115" t="s">
        <v>1</v>
      </c>
      <c r="I3" s="106"/>
      <c r="J3" s="106"/>
      <c r="K3" s="106"/>
      <c r="L3" s="113" t="s">
        <v>6</v>
      </c>
      <c r="M3" s="106"/>
      <c r="N3" s="106"/>
      <c r="O3" s="112">
        <f ca="1">TODAY()</f>
        <v>45521</v>
      </c>
      <c r="P3" s="106"/>
      <c r="Q3" s="106"/>
      <c r="R3" s="19"/>
      <c r="S3" s="1"/>
      <c r="AA3" s="30"/>
    </row>
    <row r="4" spans="5:38" ht="12.75" customHeight="1">
      <c r="E4" s="103" t="s">
        <v>7</v>
      </c>
      <c r="F4" s="106"/>
      <c r="G4" s="106"/>
      <c r="H4" s="115" t="s">
        <v>1</v>
      </c>
      <c r="I4" s="106"/>
      <c r="J4" s="106"/>
      <c r="K4" s="106"/>
      <c r="L4" s="113" t="s">
        <v>8</v>
      </c>
      <c r="M4" s="106"/>
      <c r="N4" s="106"/>
      <c r="O4" s="103" t="s">
        <v>1</v>
      </c>
      <c r="P4" s="106"/>
      <c r="Q4" s="106"/>
      <c r="R4" s="19"/>
      <c r="S4" s="1"/>
      <c r="AA4" s="30"/>
    </row>
    <row r="5" spans="5:38" ht="12.75" customHeight="1">
      <c r="E5" s="107" t="s">
        <v>9</v>
      </c>
      <c r="F5" s="108"/>
      <c r="G5" s="108"/>
      <c r="H5" s="116" t="s">
        <v>68</v>
      </c>
      <c r="I5" s="108"/>
      <c r="J5" s="108"/>
      <c r="K5" s="108"/>
      <c r="L5" s="114" t="s">
        <v>10</v>
      </c>
      <c r="M5" s="108"/>
      <c r="N5" s="108"/>
      <c r="O5" s="107" t="s">
        <v>1</v>
      </c>
      <c r="P5" s="108"/>
      <c r="Q5" s="108"/>
      <c r="R5" s="19"/>
      <c r="AA5" s="30"/>
    </row>
    <row r="6" spans="5:38" ht="14.25" customHeight="1">
      <c r="E6" s="92" t="s">
        <v>60</v>
      </c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U6" s="38" t="s">
        <v>81</v>
      </c>
      <c r="V6" s="38" t="s">
        <v>82</v>
      </c>
      <c r="W6" s="38" t="s">
        <v>83</v>
      </c>
      <c r="X6" s="39" t="s">
        <v>84</v>
      </c>
      <c r="Y6" s="38" t="s">
        <v>85</v>
      </c>
      <c r="AA6" s="30"/>
    </row>
    <row r="7" spans="5:38" ht="15.75"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20"/>
      <c r="U7" s="38" t="s">
        <v>12</v>
      </c>
      <c r="V7" s="38">
        <v>213.36</v>
      </c>
      <c r="W7" s="38">
        <v>2.13</v>
      </c>
      <c r="X7" s="38">
        <v>11.5</v>
      </c>
      <c r="Y7" s="38">
        <v>1.99</v>
      </c>
      <c r="AA7" s="30"/>
    </row>
    <row r="8" spans="5:38">
      <c r="E8" s="94" t="s">
        <v>59</v>
      </c>
      <c r="F8" s="94"/>
      <c r="G8" s="94"/>
      <c r="H8" s="21">
        <f>$G$37</f>
        <v>13.700000000000001</v>
      </c>
      <c r="I8" s="94" t="s">
        <v>56</v>
      </c>
      <c r="J8" s="95"/>
      <c r="K8" s="95"/>
      <c r="L8" s="95"/>
      <c r="M8" s="22">
        <v>1.2</v>
      </c>
      <c r="N8" s="23" t="s">
        <v>11</v>
      </c>
      <c r="O8" s="24"/>
      <c r="P8" s="25"/>
      <c r="Q8" s="24"/>
      <c r="U8" s="38" t="s">
        <v>24</v>
      </c>
      <c r="V8" s="38">
        <v>274.32</v>
      </c>
      <c r="W8" s="38">
        <v>4.57</v>
      </c>
      <c r="X8" s="38">
        <v>9.5</v>
      </c>
      <c r="Y8" s="38">
        <v>1.97</v>
      </c>
    </row>
    <row r="9" spans="5:38">
      <c r="E9" s="94" t="s">
        <v>35</v>
      </c>
      <c r="F9" s="94"/>
      <c r="G9" s="25" t="s">
        <v>18</v>
      </c>
      <c r="H9" s="24"/>
      <c r="I9" s="24"/>
      <c r="J9" s="24"/>
      <c r="K9" s="26"/>
      <c r="L9" s="25"/>
      <c r="M9" s="25"/>
      <c r="N9" s="22"/>
      <c r="O9" s="26"/>
      <c r="P9" s="25"/>
      <c r="Q9" s="24"/>
      <c r="U9" s="38" t="s">
        <v>32</v>
      </c>
      <c r="V9" s="38">
        <v>365.76</v>
      </c>
      <c r="W9" s="38">
        <v>9.14</v>
      </c>
      <c r="X9" s="38">
        <v>7</v>
      </c>
      <c r="Y9" s="38">
        <v>1.98</v>
      </c>
    </row>
    <row r="10" spans="5:38">
      <c r="E10" s="94" t="s">
        <v>36</v>
      </c>
      <c r="F10" s="95"/>
      <c r="G10" s="35" t="s">
        <v>12</v>
      </c>
      <c r="H10" s="94" t="str">
        <f>IF($G$10="A","Trống trải, không có hoặc có rất ít vật cản cao không quá 1,5 m",IF($G$10="B","Tương đối trống trải, có một số vật cản thưa thớt cao không quá 10 m ","Bị che chắn mạnh, có nhiều vật cản sát nhau cao từ 10 m trở lên"))</f>
        <v>Trống trải, không có hoặc có rất ít vật cản cao không quá 1,5 m</v>
      </c>
      <c r="I10" s="95"/>
      <c r="J10" s="95"/>
      <c r="K10" s="95"/>
      <c r="L10" s="95"/>
      <c r="M10" s="95"/>
      <c r="N10" s="95"/>
      <c r="O10" s="95"/>
      <c r="P10" s="95"/>
      <c r="Q10" s="95"/>
      <c r="R10" s="19"/>
      <c r="U10" s="38" t="s">
        <v>86</v>
      </c>
      <c r="V10" s="38" t="s">
        <v>87</v>
      </c>
      <c r="W10"/>
      <c r="X10"/>
      <c r="Y10"/>
    </row>
    <row r="11" spans="5:38">
      <c r="E11" s="94" t="s">
        <v>37</v>
      </c>
      <c r="F11" s="94"/>
      <c r="G11" s="94"/>
      <c r="H11" s="95"/>
      <c r="I11" s="95"/>
      <c r="J11" s="95"/>
      <c r="K11" s="105" t="s">
        <v>34</v>
      </c>
      <c r="L11" s="95"/>
      <c r="M11" s="95"/>
      <c r="N11" s="24"/>
      <c r="O11" s="24"/>
      <c r="P11" s="24"/>
      <c r="Q11" s="24"/>
      <c r="U11" s="40" t="s">
        <v>18</v>
      </c>
      <c r="V11" s="40">
        <v>0.65</v>
      </c>
      <c r="W11"/>
      <c r="X11"/>
      <c r="Y11"/>
    </row>
    <row r="12" spans="5:38">
      <c r="E12" s="94" t="s">
        <v>38</v>
      </c>
      <c r="F12" s="95"/>
      <c r="G12" s="95"/>
      <c r="H12" s="95"/>
      <c r="I12" s="95"/>
      <c r="J12" s="95"/>
      <c r="K12" s="36">
        <v>1</v>
      </c>
      <c r="L12" s="24"/>
      <c r="M12" s="94" t="s">
        <v>51</v>
      </c>
      <c r="N12" s="95"/>
      <c r="O12" s="95"/>
      <c r="P12" s="95"/>
      <c r="Q12" s="95"/>
      <c r="R12" s="19"/>
      <c r="U12" s="40" t="s">
        <v>16</v>
      </c>
      <c r="V12" s="40">
        <v>0.95</v>
      </c>
      <c r="W12"/>
      <c r="X12"/>
      <c r="Y1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</row>
    <row r="13" spans="5:38" ht="15.75">
      <c r="E13" s="94" t="s">
        <v>39</v>
      </c>
      <c r="F13" s="95"/>
      <c r="G13" s="95"/>
      <c r="H13" s="95"/>
      <c r="I13" s="95"/>
      <c r="J13" s="95"/>
      <c r="K13" s="15">
        <f>VLOOKUP(G9,$U$11:$V$15,2,FALSE)</f>
        <v>0.65</v>
      </c>
      <c r="L13" s="24"/>
      <c r="M13" s="94" t="s">
        <v>50</v>
      </c>
      <c r="N13" s="95"/>
      <c r="O13" s="95"/>
      <c r="P13" s="95"/>
      <c r="Q13" s="95"/>
      <c r="R13" s="19"/>
      <c r="U13" s="40" t="s">
        <v>17</v>
      </c>
      <c r="V13" s="40">
        <v>1.25</v>
      </c>
      <c r="W13"/>
      <c r="X13"/>
      <c r="Y13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</row>
    <row r="14" spans="5:38" ht="15.75">
      <c r="E14" s="94" t="s">
        <v>40</v>
      </c>
      <c r="F14" s="95"/>
      <c r="G14" s="95"/>
      <c r="H14" s="95"/>
      <c r="I14" s="95"/>
      <c r="J14" s="95"/>
      <c r="K14" s="15">
        <f>K13*0.852</f>
        <v>0.55379999999999996</v>
      </c>
      <c r="L14" s="24"/>
      <c r="M14" s="94" t="s">
        <v>49</v>
      </c>
      <c r="N14" s="95"/>
      <c r="O14" s="95"/>
      <c r="P14" s="95"/>
      <c r="Q14" s="95"/>
      <c r="R14" s="19"/>
      <c r="U14" s="40" t="s">
        <v>19</v>
      </c>
      <c r="V14" s="40">
        <v>1.55</v>
      </c>
      <c r="W14"/>
      <c r="X14"/>
      <c r="Y14"/>
    </row>
    <row r="15" spans="5:38" ht="15.75">
      <c r="E15" s="26" t="s">
        <v>46</v>
      </c>
      <c r="F15" s="57"/>
      <c r="G15" s="57"/>
      <c r="H15" s="57"/>
      <c r="I15" s="57"/>
      <c r="J15" s="57"/>
      <c r="K15" s="15">
        <f>VLOOKUP($G$10,Bang8_10,4)</f>
        <v>2.13</v>
      </c>
      <c r="L15" s="24"/>
      <c r="M15" s="26" t="s">
        <v>62</v>
      </c>
      <c r="N15" s="57"/>
      <c r="O15" s="57"/>
      <c r="P15" s="57"/>
      <c r="Q15" s="57"/>
      <c r="R15" s="19"/>
      <c r="S15" s="1"/>
      <c r="U15" s="40" t="s">
        <v>20</v>
      </c>
      <c r="V15" s="40">
        <v>1.85</v>
      </c>
      <c r="W15"/>
      <c r="X15"/>
      <c r="Y15"/>
    </row>
    <row r="16" spans="5:38" ht="15.75">
      <c r="E16" s="26" t="s">
        <v>47</v>
      </c>
      <c r="F16" s="57"/>
      <c r="G16" s="57"/>
      <c r="H16" s="57"/>
      <c r="I16" s="57"/>
      <c r="J16" s="57"/>
      <c r="K16" s="58">
        <f>VLOOKUP($G$10,Bang8_10,3)</f>
        <v>213.36</v>
      </c>
      <c r="L16" s="24"/>
      <c r="M16" s="26" t="s">
        <v>62</v>
      </c>
      <c r="N16" s="57"/>
      <c r="O16" s="57"/>
      <c r="P16" s="57"/>
      <c r="Q16" s="57"/>
      <c r="R16" s="19"/>
      <c r="S16" s="1"/>
    </row>
    <row r="17" spans="1:19">
      <c r="E17" s="26" t="s">
        <v>57</v>
      </c>
      <c r="F17" s="57"/>
      <c r="G17" s="57"/>
      <c r="H17" s="57"/>
      <c r="I17" s="57"/>
      <c r="J17" s="57"/>
      <c r="K17" s="15">
        <f>VLOOKUP($G$10,Bang8_10,5)</f>
        <v>11.5</v>
      </c>
      <c r="L17" s="24"/>
      <c r="M17" s="26" t="s">
        <v>62</v>
      </c>
      <c r="N17" s="57"/>
      <c r="O17" s="57"/>
      <c r="P17" s="57"/>
      <c r="Q17" s="57"/>
      <c r="R17" s="19"/>
      <c r="S17" s="1"/>
    </row>
    <row r="18" spans="1:19" ht="15.75">
      <c r="E18" s="26" t="s">
        <v>48</v>
      </c>
      <c r="F18" s="57"/>
      <c r="G18" s="57"/>
      <c r="H18" s="57"/>
      <c r="I18" s="57"/>
      <c r="J18" s="57"/>
      <c r="K18" s="15">
        <f>VLOOKUP(G10,Bang8_10,6)</f>
        <v>1.99</v>
      </c>
      <c r="L18" s="24"/>
      <c r="M18" s="26" t="s">
        <v>62</v>
      </c>
      <c r="N18" s="57"/>
      <c r="O18" s="57"/>
      <c r="P18" s="57"/>
      <c r="Q18" s="57"/>
      <c r="R18" s="19"/>
      <c r="S18" s="1"/>
    </row>
    <row r="19" spans="1:19">
      <c r="E19" s="24"/>
      <c r="F19" s="24"/>
      <c r="G19" s="24"/>
      <c r="H19" s="24"/>
      <c r="I19" s="24"/>
      <c r="J19" s="24"/>
      <c r="K19" s="15"/>
      <c r="L19" s="24"/>
      <c r="M19" s="94" t="s">
        <v>69</v>
      </c>
      <c r="N19" s="95"/>
      <c r="O19" s="95"/>
      <c r="P19" s="95"/>
      <c r="Q19" s="95"/>
      <c r="R19" s="19"/>
      <c r="S19" s="1"/>
    </row>
    <row r="20" spans="1:19">
      <c r="E20" s="24" t="s">
        <v>70</v>
      </c>
      <c r="F20" s="59"/>
      <c r="G20" s="59"/>
      <c r="H20" s="27" t="s">
        <v>71</v>
      </c>
      <c r="I20" s="27" t="s">
        <v>72</v>
      </c>
      <c r="J20" s="27" t="s">
        <v>73</v>
      </c>
      <c r="K20" s="27" t="s">
        <v>74</v>
      </c>
      <c r="L20" s="24"/>
      <c r="M20" s="24"/>
      <c r="N20" s="24"/>
      <c r="O20" s="24"/>
      <c r="P20" s="24"/>
      <c r="Q20" s="24"/>
      <c r="R20" s="19"/>
      <c r="S20" s="1"/>
    </row>
    <row r="21" spans="1:19">
      <c r="A21" s="110" t="s">
        <v>76</v>
      </c>
      <c r="B21" s="110"/>
      <c r="C21" s="110"/>
      <c r="E21" s="24" t="s">
        <v>75</v>
      </c>
      <c r="F21" s="60"/>
      <c r="G21" s="27"/>
      <c r="H21" s="61">
        <v>0.05</v>
      </c>
      <c r="I21" s="61">
        <v>7.0000000000000007E-2</v>
      </c>
      <c r="J21" s="61">
        <v>0.1</v>
      </c>
      <c r="K21" s="61">
        <v>0.02</v>
      </c>
      <c r="L21" s="24"/>
      <c r="M21" s="24"/>
      <c r="N21" s="24"/>
      <c r="O21" s="57"/>
      <c r="P21" s="57"/>
      <c r="Q21" s="57"/>
      <c r="R21" s="19"/>
      <c r="S21" s="1"/>
    </row>
    <row r="22" spans="1:19">
      <c r="A22" s="33">
        <v>0.05</v>
      </c>
      <c r="B22" s="34">
        <v>0.2</v>
      </c>
      <c r="C22" s="34">
        <v>-0.2</v>
      </c>
      <c r="E22" s="24" t="s">
        <v>88</v>
      </c>
      <c r="F22" s="62"/>
      <c r="G22" s="27" t="s">
        <v>90</v>
      </c>
      <c r="H22" s="63">
        <f>MIN(MAX(2.4*H21+0.08,$B$22),$B$23)</f>
        <v>0.2</v>
      </c>
      <c r="I22" s="63">
        <f t="shared" ref="I22:K22" si="0">MIN(MAX(2.4*I21+0.08,$B$22),$B$23)</f>
        <v>0.248</v>
      </c>
      <c r="J22" s="63">
        <f t="shared" si="0"/>
        <v>0.32</v>
      </c>
      <c r="K22" s="63">
        <f t="shared" si="0"/>
        <v>0.2</v>
      </c>
      <c r="L22" s="24"/>
      <c r="M22" s="24"/>
      <c r="N22" s="24"/>
      <c r="O22" s="57"/>
      <c r="P22" s="57"/>
      <c r="Q22" s="57"/>
      <c r="R22" s="19"/>
      <c r="S22" s="1"/>
    </row>
    <row r="23" spans="1:19">
      <c r="A23" s="33">
        <v>0.3</v>
      </c>
      <c r="B23" s="34">
        <v>0.8</v>
      </c>
      <c r="C23" s="34">
        <v>-0.5</v>
      </c>
      <c r="E23" s="24" t="s">
        <v>89</v>
      </c>
      <c r="F23" s="62"/>
      <c r="G23" s="27" t="s">
        <v>91</v>
      </c>
      <c r="H23" s="63">
        <f>MIN(MAX(-1.2*H21-0.14,$C$23),$C$22)</f>
        <v>-0.2</v>
      </c>
      <c r="I23" s="63">
        <f t="shared" ref="I23:K23" si="1">MIN(MAX(-1.2*I21-0.14,$C$23),$C$22)</f>
        <v>-0.22400000000000003</v>
      </c>
      <c r="J23" s="63">
        <f t="shared" si="1"/>
        <v>-0.26</v>
      </c>
      <c r="K23" s="63">
        <f t="shared" si="1"/>
        <v>-0.2</v>
      </c>
      <c r="L23" s="24"/>
      <c r="M23" s="24"/>
      <c r="N23" s="24"/>
      <c r="O23" s="57"/>
      <c r="P23" s="57"/>
      <c r="Q23" s="57"/>
      <c r="R23" s="19"/>
      <c r="S23" s="1"/>
    </row>
    <row r="24" spans="1:19" ht="15">
      <c r="A24" s="50"/>
      <c r="B24" s="49"/>
      <c r="C24" s="49"/>
      <c r="E24" s="26"/>
      <c r="F24" s="57"/>
      <c r="G24" s="57"/>
      <c r="H24" s="57"/>
      <c r="I24" s="57"/>
      <c r="J24" s="57"/>
      <c r="K24" s="15"/>
      <c r="L24" s="24"/>
      <c r="M24" s="26"/>
      <c r="N24" s="57"/>
      <c r="O24" s="57"/>
      <c r="P24" s="57"/>
      <c r="Q24" s="57"/>
      <c r="R24" s="19"/>
      <c r="S24" s="1"/>
    </row>
    <row r="25" spans="1:19">
      <c r="A25" s="109" t="s">
        <v>66</v>
      </c>
      <c r="B25" s="109"/>
      <c r="C25" s="109"/>
      <c r="E25" s="111" t="s">
        <v>54</v>
      </c>
      <c r="F25" s="111"/>
      <c r="G25" s="111"/>
      <c r="H25" s="111"/>
      <c r="I25" s="111"/>
      <c r="J25" s="111" t="s">
        <v>55</v>
      </c>
      <c r="K25" s="111"/>
      <c r="L25" s="111"/>
      <c r="M25" s="111"/>
      <c r="N25" s="111"/>
      <c r="O25" s="111"/>
      <c r="P25" s="94" t="s">
        <v>58</v>
      </c>
      <c r="Q25" s="95"/>
      <c r="R25" s="19"/>
      <c r="S25" s="1"/>
    </row>
    <row r="26" spans="1:19" ht="15.75">
      <c r="A26" s="4" t="s">
        <v>63</v>
      </c>
      <c r="B26" s="4" t="s">
        <v>64</v>
      </c>
      <c r="C26" s="4" t="s">
        <v>65</v>
      </c>
      <c r="E26" s="94" t="s">
        <v>52</v>
      </c>
      <c r="F26" s="95"/>
      <c r="G26" s="95"/>
      <c r="H26" s="16">
        <v>0.85</v>
      </c>
      <c r="I26" s="24"/>
      <c r="J26" s="94" t="s">
        <v>52</v>
      </c>
      <c r="K26" s="95"/>
      <c r="L26" s="95"/>
      <c r="M26" s="95"/>
      <c r="N26" s="16">
        <v>0.85</v>
      </c>
      <c r="O26" s="24"/>
      <c r="P26" s="94" t="s">
        <v>61</v>
      </c>
      <c r="Q26" s="95"/>
      <c r="R26" s="19"/>
      <c r="S26" s="1"/>
    </row>
    <row r="27" spans="1:19">
      <c r="A27" s="4">
        <v>0.25</v>
      </c>
      <c r="B27" s="4">
        <v>0.7</v>
      </c>
      <c r="C27" s="4">
        <v>-0.3</v>
      </c>
      <c r="E27" s="26" t="s">
        <v>77</v>
      </c>
      <c r="F27" s="26"/>
      <c r="G27" s="26"/>
      <c r="H27" s="64">
        <v>5</v>
      </c>
      <c r="I27" s="27"/>
      <c r="J27" s="26" t="s">
        <v>77</v>
      </c>
      <c r="K27" s="26"/>
      <c r="L27" s="26"/>
      <c r="M27" s="26"/>
      <c r="N27" s="65">
        <f>H28</f>
        <v>20</v>
      </c>
      <c r="O27" s="27"/>
      <c r="P27" s="26"/>
      <c r="Q27" s="57"/>
      <c r="R27" s="19"/>
      <c r="S27" s="1"/>
    </row>
    <row r="28" spans="1:19">
      <c r="A28" s="4">
        <v>1</v>
      </c>
      <c r="B28" s="4">
        <v>0.8</v>
      </c>
      <c r="C28" s="4">
        <v>-0.5</v>
      </c>
      <c r="E28" s="26" t="s">
        <v>78</v>
      </c>
      <c r="F28" s="57"/>
      <c r="G28" s="57"/>
      <c r="H28" s="64">
        <v>20</v>
      </c>
      <c r="I28" s="27"/>
      <c r="J28" s="26" t="s">
        <v>78</v>
      </c>
      <c r="K28" s="57"/>
      <c r="L28" s="57"/>
      <c r="M28" s="57"/>
      <c r="N28" s="65">
        <f>H27</f>
        <v>5</v>
      </c>
      <c r="O28" s="27"/>
      <c r="P28" s="26"/>
      <c r="Q28" s="57"/>
      <c r="R28" s="19"/>
      <c r="S28" s="1"/>
    </row>
    <row r="29" spans="1:19">
      <c r="A29" s="4">
        <v>5</v>
      </c>
      <c r="B29" s="4">
        <v>0.8</v>
      </c>
      <c r="C29" s="4">
        <v>-0.7</v>
      </c>
      <c r="E29" s="26" t="s">
        <v>92</v>
      </c>
      <c r="F29" s="57"/>
      <c r="G29" s="57"/>
      <c r="H29" s="66">
        <f>$H$8/H28</f>
        <v>0.68500000000000005</v>
      </c>
      <c r="I29" s="27"/>
      <c r="J29" s="26" t="s">
        <v>92</v>
      </c>
      <c r="K29" s="57"/>
      <c r="L29" s="57"/>
      <c r="M29" s="57"/>
      <c r="N29" s="65">
        <f>$H$8/N28</f>
        <v>2.74</v>
      </c>
      <c r="O29" s="27"/>
      <c r="P29" s="94" t="s">
        <v>95</v>
      </c>
      <c r="Q29" s="95"/>
      <c r="R29" s="19"/>
      <c r="S29" s="1"/>
    </row>
    <row r="30" spans="1:19" ht="15.75">
      <c r="A30" s="51">
        <f>H29</f>
        <v>0.68500000000000005</v>
      </c>
      <c r="B30" s="52" cm="1">
        <f t="array" ref="B30">noisuy1chieu(A30,$A$27:$A$29,B27:B29)</f>
        <v>0.75800001621246338</v>
      </c>
      <c r="C30" s="52" cm="1">
        <f t="array" ref="C30">noisuy1chieu(A30,$A$27:$A$29,C27:C29)</f>
        <v>-0.41600000858306885</v>
      </c>
      <c r="E30" s="26" t="s">
        <v>93</v>
      </c>
      <c r="F30" s="32"/>
      <c r="G30" s="32"/>
      <c r="H30" s="67">
        <f>MIN(MAX((2/15)*H29+(2/3),0.7),0.8)</f>
        <v>0.75800000000000001</v>
      </c>
      <c r="I30" s="32"/>
      <c r="J30" s="26" t="s">
        <v>93</v>
      </c>
      <c r="K30" s="31"/>
      <c r="L30" s="37"/>
      <c r="M30" s="32"/>
      <c r="N30" s="67">
        <f>MIN(MAX((2/15)*N29+(2/3),0.7),0.8)</f>
        <v>0.8</v>
      </c>
      <c r="O30" s="32"/>
      <c r="P30" s="32"/>
      <c r="Q30" s="32"/>
      <c r="R30" s="19"/>
      <c r="S30" s="1"/>
    </row>
    <row r="31" spans="1:19" ht="15.75">
      <c r="A31" s="51">
        <f>N29</f>
        <v>2.74</v>
      </c>
      <c r="B31" s="52" cm="1">
        <f t="array" ref="B31">noisuy1chieu(A31,$A$27:$A$29,B27:B29)</f>
        <v>0.80000001192092896</v>
      </c>
      <c r="C31" s="52" cm="1">
        <f t="array" ref="C31">noisuy1chieu(A31,$A$27:$A$29,C27:C29)</f>
        <v>-0.58700001239776611</v>
      </c>
      <c r="E31" s="26" t="s">
        <v>94</v>
      </c>
      <c r="F31" s="32"/>
      <c r="G31" s="32"/>
      <c r="H31" s="67">
        <f>MIN(MAX(IF(H29&lt;=1,-4/15*H29-7/30,-1/20*H29-9/20),-0.7),-0.3)</f>
        <v>-0.41600000000000004</v>
      </c>
      <c r="I31" s="32"/>
      <c r="J31" s="26" t="s">
        <v>94</v>
      </c>
      <c r="K31" s="31"/>
      <c r="L31" s="37"/>
      <c r="M31" s="32"/>
      <c r="N31" s="67">
        <f>MIN(MAX(IF(N29&lt;=1,-4/15*N29-7/30,-1/20*N29-9/20),-0.7),-0.3)</f>
        <v>-0.58699999999999997</v>
      </c>
      <c r="O31" s="32"/>
      <c r="P31" s="32"/>
      <c r="Q31" s="32"/>
      <c r="R31" s="19"/>
      <c r="S31" s="1"/>
    </row>
    <row r="32" spans="1:19">
      <c r="E32" s="41"/>
      <c r="F32" s="43"/>
      <c r="G32" s="43"/>
      <c r="H32" s="6"/>
      <c r="I32" s="43"/>
      <c r="J32" s="43"/>
      <c r="K32" s="42"/>
      <c r="L32" s="41"/>
      <c r="M32" s="43"/>
      <c r="N32" s="6"/>
      <c r="O32" s="43"/>
      <c r="P32" s="43"/>
      <c r="Q32" s="43"/>
      <c r="R32" s="19"/>
      <c r="S32" s="1"/>
    </row>
    <row r="33" spans="5:20" ht="12.75" customHeight="1">
      <c r="E33" s="97" t="s">
        <v>102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9"/>
      <c r="S33" s="1"/>
    </row>
    <row r="34" spans="5:20" ht="12.75" customHeight="1">
      <c r="E34" s="97" t="s">
        <v>53</v>
      </c>
      <c r="F34" s="98"/>
      <c r="G34" s="98"/>
      <c r="H34" s="98"/>
      <c r="I34" s="99"/>
      <c r="J34" s="97" t="s">
        <v>96</v>
      </c>
      <c r="K34" s="98"/>
      <c r="L34" s="98"/>
      <c r="M34" s="99"/>
      <c r="N34" s="97" t="s">
        <v>97</v>
      </c>
      <c r="O34" s="98"/>
      <c r="P34" s="98"/>
      <c r="Q34" s="99"/>
      <c r="T34" s="91" t="s">
        <v>67</v>
      </c>
    </row>
    <row r="35" spans="5:20" ht="14.25" customHeight="1">
      <c r="E35" s="100" t="s">
        <v>0</v>
      </c>
      <c r="F35" s="53" t="s">
        <v>100</v>
      </c>
      <c r="G35" s="54" t="s">
        <v>13</v>
      </c>
      <c r="H35" s="54" t="s">
        <v>21</v>
      </c>
      <c r="I35" s="101" t="s">
        <v>101</v>
      </c>
      <c r="J35" s="96" t="s">
        <v>79</v>
      </c>
      <c r="K35" s="96"/>
      <c r="L35" s="96" t="s">
        <v>80</v>
      </c>
      <c r="M35" s="96"/>
      <c r="N35" s="96" t="s">
        <v>79</v>
      </c>
      <c r="O35" s="96"/>
      <c r="P35" s="96" t="s">
        <v>80</v>
      </c>
      <c r="Q35" s="96"/>
      <c r="T35" s="91"/>
    </row>
    <row r="36" spans="5:20">
      <c r="E36" s="100"/>
      <c r="F36" s="53" t="s">
        <v>22</v>
      </c>
      <c r="G36" s="54" t="s">
        <v>23</v>
      </c>
      <c r="H36" s="54" t="s">
        <v>23</v>
      </c>
      <c r="I36" s="101"/>
      <c r="J36" s="55" t="s">
        <v>90</v>
      </c>
      <c r="K36" s="55" t="s">
        <v>91</v>
      </c>
      <c r="L36" s="55" t="s">
        <v>90</v>
      </c>
      <c r="M36" s="55" t="s">
        <v>91</v>
      </c>
      <c r="N36" s="55" t="s">
        <v>90</v>
      </c>
      <c r="O36" s="55" t="s">
        <v>91</v>
      </c>
      <c r="P36" s="55" t="s">
        <v>90</v>
      </c>
      <c r="Q36" s="55" t="s">
        <v>91</v>
      </c>
      <c r="T36" s="4" t="s">
        <v>11</v>
      </c>
    </row>
    <row r="37" spans="5:20">
      <c r="E37" s="68" t="s">
        <v>104</v>
      </c>
      <c r="F37" s="69">
        <v>3.5</v>
      </c>
      <c r="G37" s="69">
        <v>13.700000000000001</v>
      </c>
      <c r="H37" s="70">
        <f>IF(G37&lt;&gt;"",ze(G37, $H$27, $H$8, $G$10),"")</f>
        <v>13.700000000000001</v>
      </c>
      <c r="I37" s="71">
        <f>IF(H37&lt;&gt;"",MIN($K$18,2.01*(H37/$K$16)^(2/$K$17)),"")</f>
        <v>1.2468765577416341</v>
      </c>
      <c r="J37" s="71">
        <f>IF(I37="","",MAX($K$14*I37*($H$30-$H$22)*$H$26*T37,0))</f>
        <v>0.96616555875453669</v>
      </c>
      <c r="K37" s="72">
        <f>IF(I37="","",MAX($K$14*I37*($H$30-$H$23)*$H$26*T37,0))</f>
        <v>1.6587573571448853</v>
      </c>
      <c r="L37" s="70">
        <f>IF(I37="","",MIN($K$14*I37*($H$31-$H$22)*$H$26*T37,0))</f>
        <v>-1.0665913695211373</v>
      </c>
      <c r="M37" s="71">
        <f>IF(I37="","",MIN($K$14*I37*($H$31-$H$23)*$H$26*T37,0))</f>
        <v>-0.37399957113078841</v>
      </c>
      <c r="N37" s="71">
        <f>IF(I37="","",MAX($K$14*I37*($H$30-$I$22)*$H$26*T37,0))</f>
        <v>0.88305454294769481</v>
      </c>
      <c r="O37" s="72">
        <f>IF(I37="","",MAX($K$14*I37*($H$30-$I$23)*$H$26*T37,0))</f>
        <v>1.7003128650483064</v>
      </c>
      <c r="P37" s="70">
        <f>IF(I37="","",MIN($K$14*I37*($H$31-$I$22)*$H$26*T37,0))</f>
        <v>-1.1497023853279791</v>
      </c>
      <c r="Q37" s="71">
        <f>IF(I37="","",MIN($K$14*I37*($H$31-$I$23)*$H$26*T37,0))</f>
        <v>-0.33244406322736741</v>
      </c>
      <c r="T37" s="29">
        <f t="shared" ref="T37:T47" si="2">IF(E37&lt;&gt;"",IF(G37&lt;=0,0,IF(G38&lt;=0,(0.5*F36+G37),IF(ISNUMBER(F36),0.5*(F37+F36),0.5*(F37)+$M$8))),"")</f>
        <v>2.95</v>
      </c>
    </row>
    <row r="38" spans="5:20">
      <c r="E38" s="73" t="s">
        <v>105</v>
      </c>
      <c r="F38" s="74">
        <v>3.3</v>
      </c>
      <c r="G38" s="74">
        <v>10.200000000000001</v>
      </c>
      <c r="H38" s="75">
        <f>IF(G38&lt;&gt;"",ze(G38, $H$27, $H$8, $G$10),"")</f>
        <v>13.700000000000001</v>
      </c>
      <c r="I38" s="76">
        <f>IF(H38&lt;&gt;"",MIN($K$18,2.01*(H38/$K$16)^(2/$K$17)),"")</f>
        <v>1.2468765577416341</v>
      </c>
      <c r="J38" s="76">
        <f t="shared" ref="J38:J46" si="3">IF(I38="","",MAX($K$14*I38*($H$30-$H$22)*$H$26*T38,0))</f>
        <v>1.1135467456831947</v>
      </c>
      <c r="K38" s="77">
        <f t="shared" ref="K38:K45" si="4">IF(I38="","",MAX($K$14*I38*($H$30-$H$23)*$H$26*T38,0))</f>
        <v>1.9117881404381727</v>
      </c>
      <c r="L38" s="75">
        <f t="shared" ref="L38:L46" si="5">IF(I38="","",MIN($K$14*I38*($H$31-$H$22)*$H$26*T38,0))</f>
        <v>-1.2292917479226666</v>
      </c>
      <c r="M38" s="76">
        <f t="shared" ref="M38:M46" si="6">IF(I38="","",MIN($K$14*I38*($H$31-$H$23)*$H$26*T38,0))</f>
        <v>-0.43105035316768825</v>
      </c>
      <c r="N38" s="76">
        <f t="shared" ref="N38:N46" si="7">IF(I38="","",MAX($K$14*I38*($H$30-$I$22)*$H$26*T38,0))</f>
        <v>1.0177577783125973</v>
      </c>
      <c r="O38" s="77">
        <f t="shared" ref="O38:O46" si="8">IF(I38="","",MAX($K$14*I38*($H$30-$I$23)*$H$26*T38,0))</f>
        <v>1.9596826241234715</v>
      </c>
      <c r="P38" s="75">
        <f t="shared" ref="P38:P46" si="9">IF(I38="","",MIN($K$14*I38*($H$31-$I$22)*$H$26*T38,0))</f>
        <v>-1.3250807152932638</v>
      </c>
      <c r="Q38" s="76">
        <f t="shared" ref="Q38:Q46" si="10">IF(I38="","",MIN($K$14*I38*($H$31-$I$23)*$H$26*T38,0))</f>
        <v>-0.3831558694823895</v>
      </c>
      <c r="T38" s="29">
        <f t="shared" si="2"/>
        <v>3.4</v>
      </c>
    </row>
    <row r="39" spans="5:20">
      <c r="E39" s="73" t="s">
        <v>106</v>
      </c>
      <c r="F39" s="74">
        <v>3.3</v>
      </c>
      <c r="G39" s="74">
        <v>6.9</v>
      </c>
      <c r="H39" s="75">
        <f>IF(G39&lt;&gt;"",ze(G39, $H$27, $H$8, $G$10),"")</f>
        <v>6.9</v>
      </c>
      <c r="I39" s="76">
        <f>IF(H39&lt;&gt;"",MIN($K$18,2.01*(H39/$K$16)^(2/$K$17)),"")</f>
        <v>1.1066740460679652</v>
      </c>
      <c r="J39" s="76">
        <f t="shared" si="3"/>
        <v>0.95926752216144262</v>
      </c>
      <c r="K39" s="77">
        <f t="shared" si="4"/>
        <v>1.6469144914527991</v>
      </c>
      <c r="L39" s="75">
        <f>IF(I39="","",MIN($K$14*I39*($H$31-$H$22)*$H$26*T39,0))</f>
        <v>-1.0589763327086894</v>
      </c>
      <c r="M39" s="76">
        <f t="shared" si="6"/>
        <v>-0.37132936341733264</v>
      </c>
      <c r="N39" s="76">
        <f t="shared" si="7"/>
        <v>0.87674988584647973</v>
      </c>
      <c r="O39" s="77">
        <f t="shared" si="8"/>
        <v>1.6881733096102804</v>
      </c>
      <c r="P39" s="75">
        <f t="shared" si="9"/>
        <v>-1.1414939690236519</v>
      </c>
      <c r="Q39" s="76">
        <f t="shared" si="10"/>
        <v>-0.33007054525985119</v>
      </c>
      <c r="T39" s="29">
        <f t="shared" si="2"/>
        <v>3.3</v>
      </c>
    </row>
    <row r="40" spans="5:20">
      <c r="E40" s="73" t="s">
        <v>107</v>
      </c>
      <c r="F40" s="74">
        <v>3.6</v>
      </c>
      <c r="G40" s="74">
        <v>3.6</v>
      </c>
      <c r="H40" s="75">
        <f>IF(G40&lt;&gt;"",ze(G40, $H$27, $H$8, $G$10),"")</f>
        <v>5</v>
      </c>
      <c r="I40" s="76">
        <f>IF(H40&lt;&gt;"",MIN($K$18,2.01*(H40/$K$16)^(2/$K$17)),"")</f>
        <v>1.0463884258925578</v>
      </c>
      <c r="J40" s="76">
        <f>IF(I40="","",MAX($K$14*I40*($H$30-$H$22)*$H$26*T40,0))</f>
        <v>1.4429733382889225</v>
      </c>
      <c r="K40" s="77">
        <f t="shared" si="4"/>
        <v>2.4773628281017701</v>
      </c>
      <c r="L40" s="75">
        <f t="shared" si="5"/>
        <v>-1.5929598143117858</v>
      </c>
      <c r="M40" s="76">
        <f t="shared" si="6"/>
        <v>-0.55857032449893784</v>
      </c>
      <c r="N40" s="76">
        <f t="shared" si="7"/>
        <v>1.3188465995113809</v>
      </c>
      <c r="O40" s="77">
        <f t="shared" si="8"/>
        <v>2.5394261974905405</v>
      </c>
      <c r="P40" s="75">
        <f t="shared" si="9"/>
        <v>-1.7170865530893271</v>
      </c>
      <c r="Q40" s="76">
        <f t="shared" si="10"/>
        <v>-0.4965069551101669</v>
      </c>
      <c r="T40" s="29">
        <f t="shared" si="2"/>
        <v>5.25</v>
      </c>
    </row>
    <row r="41" spans="5:20">
      <c r="E41" s="73" t="s">
        <v>14</v>
      </c>
      <c r="F41" s="74">
        <v>0</v>
      </c>
      <c r="G41" s="74">
        <v>0</v>
      </c>
      <c r="H41" s="75">
        <f>IF(G41&lt;&gt;"",ze(G41, $H$27, $H$8, $G$10),"")</f>
        <v>2.13</v>
      </c>
      <c r="I41" s="76">
        <f>IF(H41&lt;&gt;"",MIN($K$18,2.01*(H41/$K$16)^(2/$K$17)),"")</f>
        <v>0.90207453424794337</v>
      </c>
      <c r="J41" s="76">
        <f t="shared" si="3"/>
        <v>0</v>
      </c>
      <c r="K41" s="77">
        <f t="shared" si="4"/>
        <v>0</v>
      </c>
      <c r="L41" s="75">
        <f t="shared" si="5"/>
        <v>0</v>
      </c>
      <c r="M41" s="76">
        <f t="shared" si="6"/>
        <v>0</v>
      </c>
      <c r="N41" s="76">
        <f t="shared" si="7"/>
        <v>0</v>
      </c>
      <c r="O41" s="77">
        <f t="shared" si="8"/>
        <v>0</v>
      </c>
      <c r="P41" s="75">
        <f t="shared" si="9"/>
        <v>0</v>
      </c>
      <c r="Q41" s="76">
        <f t="shared" si="10"/>
        <v>0</v>
      </c>
      <c r="T41" s="29">
        <f t="shared" si="2"/>
        <v>0</v>
      </c>
    </row>
    <row r="42" spans="5:20">
      <c r="E42" s="78"/>
      <c r="F42" s="79"/>
      <c r="G42" s="78"/>
      <c r="H42" s="75"/>
      <c r="I42" s="76"/>
      <c r="J42" s="76" t="str">
        <f t="shared" si="3"/>
        <v/>
      </c>
      <c r="K42" s="77" t="str">
        <f t="shared" si="4"/>
        <v/>
      </c>
      <c r="L42" s="75" t="str">
        <f t="shared" si="5"/>
        <v/>
      </c>
      <c r="M42" s="76" t="str">
        <f t="shared" si="6"/>
        <v/>
      </c>
      <c r="N42" s="76" t="str">
        <f t="shared" si="7"/>
        <v/>
      </c>
      <c r="O42" s="77" t="str">
        <f t="shared" si="8"/>
        <v/>
      </c>
      <c r="P42" s="75" t="str">
        <f t="shared" si="9"/>
        <v/>
      </c>
      <c r="Q42" s="76" t="str">
        <f t="shared" si="10"/>
        <v/>
      </c>
      <c r="S42" s="1"/>
      <c r="T42" s="29" t="str">
        <f t="shared" si="2"/>
        <v/>
      </c>
    </row>
    <row r="43" spans="5:20">
      <c r="E43" s="78"/>
      <c r="F43" s="79"/>
      <c r="G43" s="78"/>
      <c r="H43" s="75"/>
      <c r="I43" s="76"/>
      <c r="J43" s="76" t="str">
        <f t="shared" si="3"/>
        <v/>
      </c>
      <c r="K43" s="77" t="str">
        <f t="shared" si="4"/>
        <v/>
      </c>
      <c r="L43" s="75" t="str">
        <f t="shared" si="5"/>
        <v/>
      </c>
      <c r="M43" s="76" t="str">
        <f t="shared" si="6"/>
        <v/>
      </c>
      <c r="N43" s="76" t="str">
        <f t="shared" si="7"/>
        <v/>
      </c>
      <c r="O43" s="77" t="str">
        <f t="shared" si="8"/>
        <v/>
      </c>
      <c r="P43" s="75" t="str">
        <f t="shared" si="9"/>
        <v/>
      </c>
      <c r="Q43" s="76" t="str">
        <f t="shared" si="10"/>
        <v/>
      </c>
      <c r="S43" s="1"/>
      <c r="T43" s="29" t="str">
        <f t="shared" si="2"/>
        <v/>
      </c>
    </row>
    <row r="44" spans="5:20">
      <c r="E44" s="78"/>
      <c r="F44" s="79"/>
      <c r="G44" s="78"/>
      <c r="H44" s="75"/>
      <c r="I44" s="76"/>
      <c r="J44" s="76" t="str">
        <f t="shared" si="3"/>
        <v/>
      </c>
      <c r="K44" s="77" t="str">
        <f t="shared" si="4"/>
        <v/>
      </c>
      <c r="L44" s="75" t="str">
        <f t="shared" si="5"/>
        <v/>
      </c>
      <c r="M44" s="76" t="str">
        <f t="shared" si="6"/>
        <v/>
      </c>
      <c r="N44" s="76" t="str">
        <f t="shared" si="7"/>
        <v/>
      </c>
      <c r="O44" s="77" t="str">
        <f t="shared" si="8"/>
        <v/>
      </c>
      <c r="P44" s="75" t="str">
        <f t="shared" si="9"/>
        <v/>
      </c>
      <c r="Q44" s="76" t="str">
        <f t="shared" si="10"/>
        <v/>
      </c>
      <c r="S44" s="1"/>
      <c r="T44" s="29" t="str">
        <f t="shared" si="2"/>
        <v/>
      </c>
    </row>
    <row r="45" spans="5:20">
      <c r="E45" s="78"/>
      <c r="F45" s="79"/>
      <c r="G45" s="78"/>
      <c r="H45" s="75"/>
      <c r="I45" s="76"/>
      <c r="J45" s="76" t="str">
        <f t="shared" si="3"/>
        <v/>
      </c>
      <c r="K45" s="77" t="str">
        <f t="shared" si="4"/>
        <v/>
      </c>
      <c r="L45" s="75" t="str">
        <f t="shared" si="5"/>
        <v/>
      </c>
      <c r="M45" s="76" t="str">
        <f t="shared" si="6"/>
        <v/>
      </c>
      <c r="N45" s="76" t="str">
        <f t="shared" si="7"/>
        <v/>
      </c>
      <c r="O45" s="77" t="str">
        <f t="shared" si="8"/>
        <v/>
      </c>
      <c r="P45" s="75" t="str">
        <f t="shared" si="9"/>
        <v/>
      </c>
      <c r="Q45" s="76" t="str">
        <f t="shared" si="10"/>
        <v/>
      </c>
      <c r="S45" s="1"/>
      <c r="T45" s="29" t="str">
        <f t="shared" si="2"/>
        <v/>
      </c>
    </row>
    <row r="46" spans="5:20">
      <c r="E46" s="80"/>
      <c r="F46" s="81"/>
      <c r="G46" s="80"/>
      <c r="H46" s="82"/>
      <c r="I46" s="83"/>
      <c r="J46" s="83" t="str">
        <f t="shared" si="3"/>
        <v/>
      </c>
      <c r="K46" s="84" t="str">
        <f>IF(I46="","",MAX($K$14*I46*($H$30-$H$23)*$H$26*T46,0))</f>
        <v/>
      </c>
      <c r="L46" s="82" t="str">
        <f t="shared" si="5"/>
        <v/>
      </c>
      <c r="M46" s="83" t="str">
        <f t="shared" si="6"/>
        <v/>
      </c>
      <c r="N46" s="83" t="str">
        <f t="shared" si="7"/>
        <v/>
      </c>
      <c r="O46" s="84" t="str">
        <f t="shared" si="8"/>
        <v/>
      </c>
      <c r="P46" s="82" t="str">
        <f t="shared" si="9"/>
        <v/>
      </c>
      <c r="Q46" s="83" t="str">
        <f t="shared" si="10"/>
        <v/>
      </c>
      <c r="S46" s="1"/>
      <c r="T46" s="29" t="str">
        <f t="shared" si="2"/>
        <v/>
      </c>
    </row>
    <row r="47" spans="5:20">
      <c r="E47" s="44"/>
      <c r="F47" s="45"/>
      <c r="G47" s="44"/>
      <c r="H47" s="46"/>
      <c r="I47" s="7"/>
      <c r="J47" s="47"/>
      <c r="K47" s="48"/>
      <c r="L47" s="46"/>
      <c r="M47" s="7"/>
      <c r="N47" s="7"/>
      <c r="O47" s="47"/>
      <c r="P47" s="48"/>
      <c r="Q47" s="46"/>
      <c r="S47" s="1"/>
      <c r="T47" s="1" t="str">
        <f t="shared" si="2"/>
        <v/>
      </c>
    </row>
    <row r="48" spans="5:20">
      <c r="E48" s="97" t="s">
        <v>103</v>
      </c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9"/>
      <c r="S48" s="1"/>
    </row>
    <row r="49" spans="5:21">
      <c r="E49" s="97" t="s">
        <v>53</v>
      </c>
      <c r="F49" s="98"/>
      <c r="G49" s="98"/>
      <c r="H49" s="98"/>
      <c r="I49" s="99"/>
      <c r="J49" s="97" t="s">
        <v>98</v>
      </c>
      <c r="K49" s="98"/>
      <c r="L49" s="98"/>
      <c r="M49" s="99"/>
      <c r="N49" s="97" t="s">
        <v>99</v>
      </c>
      <c r="O49" s="98"/>
      <c r="P49" s="98"/>
      <c r="Q49" s="99"/>
      <c r="S49" s="1"/>
      <c r="T49" s="91" t="s">
        <v>67</v>
      </c>
    </row>
    <row r="50" spans="5:21" ht="14.25" customHeight="1">
      <c r="E50" s="100" t="s">
        <v>0</v>
      </c>
      <c r="F50" s="53" t="s">
        <v>100</v>
      </c>
      <c r="G50" s="54" t="s">
        <v>13</v>
      </c>
      <c r="H50" s="54" t="s">
        <v>21</v>
      </c>
      <c r="I50" s="101" t="s">
        <v>101</v>
      </c>
      <c r="J50" s="96" t="s">
        <v>79</v>
      </c>
      <c r="K50" s="96"/>
      <c r="L50" s="96" t="s">
        <v>80</v>
      </c>
      <c r="M50" s="96"/>
      <c r="N50" s="96" t="s">
        <v>79</v>
      </c>
      <c r="O50" s="96"/>
      <c r="P50" s="96" t="s">
        <v>80</v>
      </c>
      <c r="Q50" s="96"/>
      <c r="S50" s="1"/>
      <c r="T50" s="91"/>
    </row>
    <row r="51" spans="5:21">
      <c r="E51" s="100"/>
      <c r="F51" s="53" t="s">
        <v>22</v>
      </c>
      <c r="G51" s="54" t="s">
        <v>23</v>
      </c>
      <c r="H51" s="54" t="s">
        <v>23</v>
      </c>
      <c r="I51" s="101"/>
      <c r="J51" s="55" t="s">
        <v>90</v>
      </c>
      <c r="K51" s="55" t="s">
        <v>91</v>
      </c>
      <c r="L51" s="55" t="s">
        <v>90</v>
      </c>
      <c r="M51" s="55" t="s">
        <v>91</v>
      </c>
      <c r="N51" s="55" t="s">
        <v>90</v>
      </c>
      <c r="O51" s="55" t="s">
        <v>91</v>
      </c>
      <c r="P51" s="55" t="s">
        <v>90</v>
      </c>
      <c r="Q51" s="55" t="s">
        <v>91</v>
      </c>
      <c r="S51" s="1"/>
      <c r="T51" s="4" t="s">
        <v>11</v>
      </c>
    </row>
    <row r="52" spans="5:21">
      <c r="E52" s="85" t="str">
        <f>IF(E37="","",E37)</f>
        <v>Story4</v>
      </c>
      <c r="F52" s="72">
        <f t="shared" ref="F52:G52" si="11">IF(F37="","",F37)</f>
        <v>3.5</v>
      </c>
      <c r="G52" s="72">
        <f t="shared" si="11"/>
        <v>13.700000000000001</v>
      </c>
      <c r="H52" s="70">
        <f>IF(G37&lt;&gt;"",ze(G37, $N$27, $H$8, $G$10),"")</f>
        <v>13.700000000000001</v>
      </c>
      <c r="I52" s="71">
        <f>IF(H52&lt;&gt;"",MIN($K$18,2.01*(H52/$K$16)^(2/$K$17)),"")</f>
        <v>1.2468765577416341</v>
      </c>
      <c r="J52" s="72">
        <f>IF(I52="","",MAX($K$14*I52*($N$30-$J$22)*$N$26*T52,0))</f>
        <v>0.83111015806841859</v>
      </c>
      <c r="K52" s="72">
        <f>IF(I52="","",MAX($K$14*I52*($N$30-$J$23)*$N$26*T52,0))</f>
        <v>1.8353682657344241</v>
      </c>
      <c r="L52" s="86">
        <f>IF(I52="","",MIN($K$14*I52*($N$31-$J$22)*$N$26*T52,0))</f>
        <v>-1.570451902850116</v>
      </c>
      <c r="M52" s="72">
        <f>IF(I52="","",MIN($K$14*I52*($N$31-$J$23)*$N$26*T52,0))</f>
        <v>-0.56619379518411006</v>
      </c>
      <c r="N52" s="72">
        <f>IF(I52="","",MAX($K$14*I52*($N$30-$K$22)*$N$26*T52,0))</f>
        <v>1.0388876975855235</v>
      </c>
      <c r="O52" s="72">
        <f>IF(I52="","",MAX($K$14*I52*($N$30-$K$23)*$N$26*T52,0))</f>
        <v>1.7314794959758721</v>
      </c>
      <c r="P52" s="86">
        <f>IF(I52="","",MIN($K$14*I52*($N$31-$K$22)*$N$26*T52,0))</f>
        <v>-1.362674363333011</v>
      </c>
      <c r="Q52" s="72">
        <f>IF(I52="","",MIN($K$14*I52*($N$31-$K$23)*$N$26*T52,0))</f>
        <v>-0.67008256494266238</v>
      </c>
      <c r="S52" s="1"/>
      <c r="T52" s="56">
        <f>T37</f>
        <v>2.95</v>
      </c>
    </row>
    <row r="53" spans="5:21">
      <c r="E53" s="87" t="str">
        <f t="shared" ref="E53:G53" si="12">IF(E38="","",E38)</f>
        <v>Story3</v>
      </c>
      <c r="F53" s="77">
        <f t="shared" si="12"/>
        <v>3.3</v>
      </c>
      <c r="G53" s="77">
        <f t="shared" si="12"/>
        <v>10.200000000000001</v>
      </c>
      <c r="H53" s="75">
        <f>IF(G38&lt;&gt;"",ze(G38, $N$27, $H$8, $G$10),"")</f>
        <v>13.700000000000001</v>
      </c>
      <c r="I53" s="76">
        <f>IF(H53&lt;&gt;"",MIN($K$18,2.01*(H53/$K$16)^(2/$K$17)),"")</f>
        <v>1.2468765577416341</v>
      </c>
      <c r="J53" s="77">
        <f t="shared" ref="J53:J61" si="13">IF(I53="","",MAX($K$14*I53*($N$30-$J$22)*$N$26*T53,0))</f>
        <v>0.95788967370597389</v>
      </c>
      <c r="K53" s="77">
        <f t="shared" ref="K53:K61" si="14">IF(I53="","",MAX($K$14*I53*($N$30-$J$23)*$N$26*T53,0))</f>
        <v>2.1153396961006923</v>
      </c>
      <c r="L53" s="88">
        <f t="shared" ref="L53:L61" si="15">IF(I53="","",MIN($K$14*I53*($N$31-$J$22)*$N$26*T53,0))</f>
        <v>-1.8100123626069131</v>
      </c>
      <c r="M53" s="77">
        <f t="shared" ref="M53:M61" si="16">IF(I53="","",MIN($K$14*I53*($N$31-$J$23)*$N$26*T53,0))</f>
        <v>-0.65256234021219461</v>
      </c>
      <c r="N53" s="77">
        <f t="shared" ref="N53:N61" si="17">IF(I53="","",MAX($K$14*I53*($N$30-$K$22)*$N$26*T53,0))</f>
        <v>1.1973620921324675</v>
      </c>
      <c r="O53" s="77">
        <f t="shared" ref="O53:O61" si="18">IF(I53="","",MAX($K$14*I53*($N$30-$K$23)*$N$26*T53,0))</f>
        <v>1.9956034868874457</v>
      </c>
      <c r="P53" s="88">
        <f t="shared" ref="P53:P61" si="19">IF(I53="","",MIN($K$14*I53*($N$31-$K$22)*$N$26*T53,0))</f>
        <v>-1.5705399441804193</v>
      </c>
      <c r="Q53" s="77">
        <f t="shared" ref="Q53:Q61" si="20">IF(I53="","",MIN($K$14*I53*($N$31-$K$23)*$N$26*T53,0))</f>
        <v>-0.77229854942544129</v>
      </c>
      <c r="S53" s="1"/>
      <c r="T53" s="56">
        <f t="shared" ref="T53:T61" si="21">T38</f>
        <v>3.4</v>
      </c>
      <c r="U53" s="28"/>
    </row>
    <row r="54" spans="5:21">
      <c r="E54" s="87" t="str">
        <f t="shared" ref="E54:G54" si="22">IF(E39="","",E39)</f>
        <v>Story2</v>
      </c>
      <c r="F54" s="77">
        <f t="shared" si="22"/>
        <v>3.3</v>
      </c>
      <c r="G54" s="77">
        <f t="shared" si="22"/>
        <v>6.9</v>
      </c>
      <c r="H54" s="75">
        <f>IF(G39&lt;&gt;"",ze(G39, $N$27, $H$8, $G$10),"")</f>
        <v>13.700000000000001</v>
      </c>
      <c r="I54" s="76">
        <f>IF(H54&lt;&gt;"",MIN($K$18,2.01*(H54/$K$16)^(2/$K$17)),"")</f>
        <v>1.2468765577416341</v>
      </c>
      <c r="J54" s="77">
        <f t="shared" si="13"/>
        <v>0.92971644800873932</v>
      </c>
      <c r="K54" s="77">
        <f t="shared" si="14"/>
        <v>2.0531238226859658</v>
      </c>
      <c r="L54" s="88">
        <f t="shared" si="15"/>
        <v>-1.7567767048831804</v>
      </c>
      <c r="M54" s="77">
        <f t="shared" si="16"/>
        <v>-0.63336933020595354</v>
      </c>
      <c r="N54" s="77">
        <f t="shared" si="17"/>
        <v>1.1621455600109243</v>
      </c>
      <c r="O54" s="77">
        <f t="shared" si="18"/>
        <v>1.9369092666848737</v>
      </c>
      <c r="P54" s="88">
        <f t="shared" si="19"/>
        <v>-1.5243475928809953</v>
      </c>
      <c r="Q54" s="77">
        <f t="shared" si="20"/>
        <v>-0.74958388620704597</v>
      </c>
      <c r="S54" s="1"/>
      <c r="T54" s="56">
        <f t="shared" si="21"/>
        <v>3.3</v>
      </c>
      <c r="U54" s="28"/>
    </row>
    <row r="55" spans="5:21">
      <c r="E55" s="87" t="str">
        <f t="shared" ref="E55:G55" si="23">IF(E40="","",E40)</f>
        <v>Story1</v>
      </c>
      <c r="F55" s="77">
        <f t="shared" si="23"/>
        <v>3.6</v>
      </c>
      <c r="G55" s="77">
        <f t="shared" si="23"/>
        <v>3.6</v>
      </c>
      <c r="H55" s="75">
        <f>IF(G40&lt;&gt;"",ze(G40, $N$27, $H$8, $G$10),"")</f>
        <v>13.700000000000001</v>
      </c>
      <c r="I55" s="76">
        <f>IF(H55&lt;&gt;"",MIN($K$18,2.01*(H55/$K$16)^(2/$K$17)),"")</f>
        <v>1.2468765577416341</v>
      </c>
      <c r="J55" s="77">
        <f t="shared" si="13"/>
        <v>1.4790943491048127</v>
      </c>
      <c r="K55" s="77">
        <f t="shared" si="14"/>
        <v>3.2663333542731277</v>
      </c>
      <c r="L55" s="88">
        <f t="shared" si="15"/>
        <v>-2.7948720304959691</v>
      </c>
      <c r="M55" s="77">
        <f t="shared" si="16"/>
        <v>-1.0076330253276535</v>
      </c>
      <c r="N55" s="77">
        <f t="shared" si="17"/>
        <v>1.8488679363810161</v>
      </c>
      <c r="O55" s="77">
        <f t="shared" si="18"/>
        <v>3.0814465606350265</v>
      </c>
      <c r="P55" s="88">
        <f t="shared" si="19"/>
        <v>-2.4250984432197651</v>
      </c>
      <c r="Q55" s="77">
        <f t="shared" si="20"/>
        <v>-1.1925198189657551</v>
      </c>
      <c r="S55" s="1"/>
      <c r="T55" s="56">
        <f t="shared" si="21"/>
        <v>5.25</v>
      </c>
      <c r="U55" s="28"/>
    </row>
    <row r="56" spans="5:21">
      <c r="E56" s="87" t="str">
        <f t="shared" ref="E56:G56" si="24">IF(E41="","",E41)</f>
        <v>Base</v>
      </c>
      <c r="F56" s="77">
        <f t="shared" si="24"/>
        <v>0</v>
      </c>
      <c r="G56" s="77">
        <f t="shared" si="24"/>
        <v>0</v>
      </c>
      <c r="H56" s="75">
        <f>IF(G41&lt;&gt;"",ze(G41, $N$27, $H$8, $G$10),"")</f>
        <v>13.700000000000001</v>
      </c>
      <c r="I56" s="76">
        <f>IF(H56&lt;&gt;"",MIN($K$18,2.01*(H56/$K$16)^(2/$K$17)),"")</f>
        <v>1.2468765577416341</v>
      </c>
      <c r="J56" s="77">
        <f t="shared" si="13"/>
        <v>0</v>
      </c>
      <c r="K56" s="77">
        <f t="shared" si="14"/>
        <v>0</v>
      </c>
      <c r="L56" s="88">
        <f t="shared" si="15"/>
        <v>0</v>
      </c>
      <c r="M56" s="77">
        <f t="shared" si="16"/>
        <v>0</v>
      </c>
      <c r="N56" s="77">
        <f t="shared" si="17"/>
        <v>0</v>
      </c>
      <c r="O56" s="77">
        <f t="shared" si="18"/>
        <v>0</v>
      </c>
      <c r="P56" s="88">
        <f t="shared" si="19"/>
        <v>0</v>
      </c>
      <c r="Q56" s="77">
        <f t="shared" si="20"/>
        <v>0</v>
      </c>
      <c r="S56" s="1"/>
      <c r="T56" s="56">
        <f t="shared" si="21"/>
        <v>0</v>
      </c>
      <c r="U56" s="28"/>
    </row>
    <row r="57" spans="5:21">
      <c r="E57" s="87" t="str">
        <f t="shared" ref="E57:G57" si="25">IF(E42="","",E42)</f>
        <v/>
      </c>
      <c r="F57" s="77" t="str">
        <f t="shared" si="25"/>
        <v/>
      </c>
      <c r="G57" s="77" t="str">
        <f t="shared" si="25"/>
        <v/>
      </c>
      <c r="H57" s="75"/>
      <c r="I57" s="76"/>
      <c r="J57" s="77" t="str">
        <f t="shared" si="13"/>
        <v/>
      </c>
      <c r="K57" s="77" t="str">
        <f t="shared" si="14"/>
        <v/>
      </c>
      <c r="L57" s="88" t="str">
        <f t="shared" si="15"/>
        <v/>
      </c>
      <c r="M57" s="77" t="str">
        <f t="shared" si="16"/>
        <v/>
      </c>
      <c r="N57" s="77" t="str">
        <f t="shared" si="17"/>
        <v/>
      </c>
      <c r="O57" s="77" t="str">
        <f t="shared" si="18"/>
        <v/>
      </c>
      <c r="P57" s="88" t="str">
        <f t="shared" si="19"/>
        <v/>
      </c>
      <c r="Q57" s="77" t="str">
        <f t="shared" si="20"/>
        <v/>
      </c>
      <c r="S57" s="1"/>
      <c r="T57" s="56" t="str">
        <f t="shared" si="21"/>
        <v/>
      </c>
      <c r="U57" s="28"/>
    </row>
    <row r="58" spans="5:21">
      <c r="E58" s="87" t="str">
        <f t="shared" ref="E58:G58" si="26">IF(E43="","",E43)</f>
        <v/>
      </c>
      <c r="F58" s="77" t="str">
        <f t="shared" si="26"/>
        <v/>
      </c>
      <c r="G58" s="77" t="str">
        <f t="shared" si="26"/>
        <v/>
      </c>
      <c r="H58" s="75"/>
      <c r="I58" s="76"/>
      <c r="J58" s="77" t="str">
        <f t="shared" si="13"/>
        <v/>
      </c>
      <c r="K58" s="77" t="str">
        <f t="shared" si="14"/>
        <v/>
      </c>
      <c r="L58" s="88" t="str">
        <f t="shared" si="15"/>
        <v/>
      </c>
      <c r="M58" s="77" t="str">
        <f t="shared" si="16"/>
        <v/>
      </c>
      <c r="N58" s="77" t="str">
        <f t="shared" si="17"/>
        <v/>
      </c>
      <c r="O58" s="77" t="str">
        <f t="shared" si="18"/>
        <v/>
      </c>
      <c r="P58" s="88" t="str">
        <f t="shared" si="19"/>
        <v/>
      </c>
      <c r="Q58" s="77" t="str">
        <f t="shared" si="20"/>
        <v/>
      </c>
      <c r="S58" s="1"/>
      <c r="T58" s="56" t="str">
        <f t="shared" si="21"/>
        <v/>
      </c>
      <c r="U58" s="28"/>
    </row>
    <row r="59" spans="5:21">
      <c r="E59" s="87" t="str">
        <f t="shared" ref="E59:G59" si="27">IF(E44="","",E44)</f>
        <v/>
      </c>
      <c r="F59" s="77" t="str">
        <f t="shared" si="27"/>
        <v/>
      </c>
      <c r="G59" s="77" t="str">
        <f t="shared" si="27"/>
        <v/>
      </c>
      <c r="H59" s="75"/>
      <c r="I59" s="76"/>
      <c r="J59" s="77" t="str">
        <f t="shared" si="13"/>
        <v/>
      </c>
      <c r="K59" s="77" t="str">
        <f t="shared" si="14"/>
        <v/>
      </c>
      <c r="L59" s="88" t="str">
        <f t="shared" si="15"/>
        <v/>
      </c>
      <c r="M59" s="77" t="str">
        <f t="shared" si="16"/>
        <v/>
      </c>
      <c r="N59" s="77" t="str">
        <f t="shared" si="17"/>
        <v/>
      </c>
      <c r="O59" s="77" t="str">
        <f t="shared" si="18"/>
        <v/>
      </c>
      <c r="P59" s="88" t="str">
        <f t="shared" si="19"/>
        <v/>
      </c>
      <c r="Q59" s="77" t="str">
        <f t="shared" si="20"/>
        <v/>
      </c>
      <c r="S59" s="1"/>
      <c r="T59" s="56" t="str">
        <f t="shared" si="21"/>
        <v/>
      </c>
      <c r="U59" s="28"/>
    </row>
    <row r="60" spans="5:21">
      <c r="E60" s="87" t="str">
        <f t="shared" ref="E60:G60" si="28">IF(E45="","",E45)</f>
        <v/>
      </c>
      <c r="F60" s="77" t="str">
        <f t="shared" si="28"/>
        <v/>
      </c>
      <c r="G60" s="77" t="str">
        <f t="shared" si="28"/>
        <v/>
      </c>
      <c r="H60" s="75"/>
      <c r="I60" s="76"/>
      <c r="J60" s="77" t="str">
        <f t="shared" si="13"/>
        <v/>
      </c>
      <c r="K60" s="77" t="str">
        <f t="shared" si="14"/>
        <v/>
      </c>
      <c r="L60" s="88" t="str">
        <f t="shared" si="15"/>
        <v/>
      </c>
      <c r="M60" s="77" t="str">
        <f t="shared" si="16"/>
        <v/>
      </c>
      <c r="N60" s="77" t="str">
        <f t="shared" si="17"/>
        <v/>
      </c>
      <c r="O60" s="77" t="str">
        <f t="shared" si="18"/>
        <v/>
      </c>
      <c r="P60" s="88" t="str">
        <f t="shared" si="19"/>
        <v/>
      </c>
      <c r="Q60" s="77" t="str">
        <f t="shared" si="20"/>
        <v/>
      </c>
      <c r="S60" s="1"/>
      <c r="T60" s="56" t="str">
        <f t="shared" si="21"/>
        <v/>
      </c>
      <c r="U60" s="28"/>
    </row>
    <row r="61" spans="5:21">
      <c r="E61" s="89" t="str">
        <f t="shared" ref="E61:G61" si="29">IF(E46="","",E46)</f>
        <v/>
      </c>
      <c r="F61" s="84" t="str">
        <f t="shared" si="29"/>
        <v/>
      </c>
      <c r="G61" s="84" t="str">
        <f t="shared" si="29"/>
        <v/>
      </c>
      <c r="H61" s="82"/>
      <c r="I61" s="83"/>
      <c r="J61" s="84" t="str">
        <f t="shared" si="13"/>
        <v/>
      </c>
      <c r="K61" s="84" t="str">
        <f t="shared" si="14"/>
        <v/>
      </c>
      <c r="L61" s="90" t="str">
        <f t="shared" si="15"/>
        <v/>
      </c>
      <c r="M61" s="84" t="str">
        <f t="shared" si="16"/>
        <v/>
      </c>
      <c r="N61" s="84" t="str">
        <f t="shared" si="17"/>
        <v/>
      </c>
      <c r="O61" s="84" t="str">
        <f t="shared" si="18"/>
        <v/>
      </c>
      <c r="P61" s="90" t="str">
        <f t="shared" si="19"/>
        <v/>
      </c>
      <c r="Q61" s="84" t="str">
        <f t="shared" si="20"/>
        <v/>
      </c>
      <c r="S61" s="1"/>
      <c r="T61" s="56" t="str">
        <f t="shared" si="21"/>
        <v/>
      </c>
      <c r="U61" s="28"/>
    </row>
  </sheetData>
  <dataConsolidate/>
  <mergeCells count="64">
    <mergeCell ref="A25:C25"/>
    <mergeCell ref="A21:C21"/>
    <mergeCell ref="E25:I25"/>
    <mergeCell ref="J25:O25"/>
    <mergeCell ref="O2:Q2"/>
    <mergeCell ref="O3:Q3"/>
    <mergeCell ref="O4:Q4"/>
    <mergeCell ref="O5:Q5"/>
    <mergeCell ref="L2:N2"/>
    <mergeCell ref="L3:N3"/>
    <mergeCell ref="L4:N4"/>
    <mergeCell ref="L5:N5"/>
    <mergeCell ref="H2:K2"/>
    <mergeCell ref="H3:K3"/>
    <mergeCell ref="H4:K4"/>
    <mergeCell ref="H5:K5"/>
    <mergeCell ref="E2:G2"/>
    <mergeCell ref="E1:Q1"/>
    <mergeCell ref="P26:Q26"/>
    <mergeCell ref="P25:Q25"/>
    <mergeCell ref="H10:Q10"/>
    <mergeCell ref="K11:M11"/>
    <mergeCell ref="M12:Q12"/>
    <mergeCell ref="M13:Q13"/>
    <mergeCell ref="M14:Q14"/>
    <mergeCell ref="E3:G3"/>
    <mergeCell ref="E4:G4"/>
    <mergeCell ref="E5:G5"/>
    <mergeCell ref="E8:G8"/>
    <mergeCell ref="E12:J12"/>
    <mergeCell ref="E13:J13"/>
    <mergeCell ref="E14:J14"/>
    <mergeCell ref="N49:Q49"/>
    <mergeCell ref="I8:L8"/>
    <mergeCell ref="E9:F9"/>
    <mergeCell ref="E10:F10"/>
    <mergeCell ref="E11:J11"/>
    <mergeCell ref="E48:Q48"/>
    <mergeCell ref="E49:I49"/>
    <mergeCell ref="J49:M49"/>
    <mergeCell ref="AC12:AL13"/>
    <mergeCell ref="M19:Q19"/>
    <mergeCell ref="E35:E36"/>
    <mergeCell ref="I35:I36"/>
    <mergeCell ref="E33:Q33"/>
    <mergeCell ref="J26:M26"/>
    <mergeCell ref="E26:G26"/>
    <mergeCell ref="T34:T35"/>
    <mergeCell ref="T49:T50"/>
    <mergeCell ref="E6:Q7"/>
    <mergeCell ref="P29:Q29"/>
    <mergeCell ref="J35:K35"/>
    <mergeCell ref="L35:M35"/>
    <mergeCell ref="N35:O35"/>
    <mergeCell ref="P35:Q35"/>
    <mergeCell ref="E34:I34"/>
    <mergeCell ref="J34:M34"/>
    <mergeCell ref="N34:Q34"/>
    <mergeCell ref="E50:E51"/>
    <mergeCell ref="I50:I51"/>
    <mergeCell ref="J50:K50"/>
    <mergeCell ref="L50:M50"/>
    <mergeCell ref="N50:O50"/>
    <mergeCell ref="P50:Q50"/>
  </mergeCells>
  <dataValidations disablePrompts="1" count="3">
    <dataValidation type="list" allowBlank="1" showInputMessage="1" showErrorMessage="1" sqref="K11" xr:uid="{00000000-0002-0000-0700-000000000000}">
      <formula1>"Kết cấu thép,KC liên hợp thép-BT,Kết cấu BT và BTCT"</formula1>
    </dataValidation>
    <dataValidation type="list" allowBlank="1" showInputMessage="1" showErrorMessage="1" sqref="G10" xr:uid="{00000000-0002-0000-0700-000001000000}">
      <formula1>"A,B,C"</formula1>
    </dataValidation>
    <dataValidation type="list" allowBlank="1" showInputMessage="1" showErrorMessage="1" sqref="G9" xr:uid="{00000000-0002-0000-0700-000002000000}">
      <formula1>"I,II,III,IV,V"</formula1>
    </dataValidation>
  </dataValidations>
  <pageMargins left="0.7" right="0.7" top="0.75" bottom="0.75" header="0.3" footer="0.3"/>
  <pageSetup scale="6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700-000005000000}">
          <x14:formula1>
            <xm:f>OFFSET(#REF!,MATCH(W2,#REF!,0),1,COUNTIF(#REF!,W2))</xm:f>
          </x14:formula1>
          <xm:sqref>W3:Y3</xm:sqref>
        </x14:dataValidation>
        <x14:dataValidation type="list" allowBlank="1" showInputMessage="1" showErrorMessage="1" xr:uid="{00000000-0002-0000-0700-000006000000}">
          <x14:formula1>
            <xm:f>OFFSET(#REF!,MATCH(W2&amp;W3,#REF!,0),1,COUNTIF(#REF!,W2&amp;W3))</xm:f>
          </x14:formula1>
          <xm:sqref>W4:Y4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5"/>
  <sheetViews>
    <sheetView workbookViewId="0">
      <selection activeCell="B37" sqref="B37"/>
    </sheetView>
  </sheetViews>
  <sheetFormatPr defaultRowHeight="12.75"/>
  <cols>
    <col min="1" max="1" width="13.85546875" style="5" bestFit="1" customWidth="1"/>
    <col min="2" max="2" width="93.42578125" style="5" customWidth="1"/>
    <col min="3" max="3" width="12.42578125" style="5" bestFit="1" customWidth="1"/>
    <col min="4" max="4" width="13.42578125" style="5" bestFit="1" customWidth="1"/>
    <col min="5" max="5" width="8.42578125" style="5" bestFit="1" customWidth="1"/>
    <col min="6" max="6" width="10" style="5" bestFit="1" customWidth="1"/>
    <col min="7" max="7" width="5.5703125" style="5" bestFit="1" customWidth="1"/>
    <col min="8" max="8" width="7.85546875" style="5" bestFit="1" customWidth="1"/>
    <col min="9" max="9" width="5" style="5" bestFit="1" customWidth="1"/>
    <col min="10" max="10" width="5.5703125" style="5" bestFit="1" customWidth="1"/>
    <col min="11" max="11" width="5" style="5" bestFit="1" customWidth="1"/>
    <col min="12" max="16384" width="9.140625" style="5"/>
  </cols>
  <sheetData>
    <row r="1" spans="1:11" ht="19.5" customHeight="1">
      <c r="A1" s="117" t="s">
        <v>44</v>
      </c>
      <c r="B1" s="117"/>
      <c r="C1" s="117"/>
      <c r="D1" s="117"/>
      <c r="E1" s="117"/>
      <c r="F1" s="117"/>
      <c r="G1" s="117" t="s">
        <v>45</v>
      </c>
      <c r="H1" s="118"/>
      <c r="I1" s="118"/>
      <c r="J1" s="118"/>
      <c r="K1" s="118"/>
    </row>
    <row r="2" spans="1:11" ht="18.75">
      <c r="A2" s="8" t="s">
        <v>25</v>
      </c>
      <c r="B2" s="8" t="s">
        <v>26</v>
      </c>
      <c r="C2" s="8" t="s">
        <v>41</v>
      </c>
      <c r="D2" s="9" t="s">
        <v>42</v>
      </c>
      <c r="E2" s="8" t="s">
        <v>43</v>
      </c>
      <c r="F2" s="8" t="s">
        <v>27</v>
      </c>
      <c r="G2" s="10" t="s">
        <v>28</v>
      </c>
      <c r="H2" s="8" t="s">
        <v>29</v>
      </c>
      <c r="I2" s="11"/>
      <c r="J2" s="11"/>
      <c r="K2" s="11"/>
    </row>
    <row r="3" spans="1:11" ht="28.5">
      <c r="A3" s="12" t="s">
        <v>12</v>
      </c>
      <c r="B3" s="14" t="s">
        <v>30</v>
      </c>
      <c r="C3" s="12">
        <v>213.36</v>
      </c>
      <c r="D3" s="12">
        <v>2.13</v>
      </c>
      <c r="E3" s="12">
        <v>11.5</v>
      </c>
      <c r="F3" s="12">
        <v>1.99</v>
      </c>
      <c r="G3" s="12">
        <v>0.15</v>
      </c>
      <c r="H3" s="12">
        <v>198.12</v>
      </c>
      <c r="I3" s="13">
        <f>1/8</f>
        <v>0.125</v>
      </c>
      <c r="J3" s="12">
        <v>0.8</v>
      </c>
      <c r="K3" s="13">
        <f>1/9</f>
        <v>0.1111111111111111</v>
      </c>
    </row>
    <row r="4" spans="1:11" ht="28.5">
      <c r="A4" s="12" t="s">
        <v>24</v>
      </c>
      <c r="B4" s="14" t="s">
        <v>31</v>
      </c>
      <c r="C4" s="12">
        <v>274.32</v>
      </c>
      <c r="D4" s="12">
        <v>4.57</v>
      </c>
      <c r="E4" s="12">
        <v>9.5</v>
      </c>
      <c r="F4" s="12">
        <v>1.97</v>
      </c>
      <c r="G4" s="12">
        <v>0.2</v>
      </c>
      <c r="H4" s="12">
        <v>152.4</v>
      </c>
      <c r="I4" s="13">
        <f>1/5</f>
        <v>0.2</v>
      </c>
      <c r="J4" s="12">
        <v>0.65</v>
      </c>
      <c r="K4" s="13">
        <f>1/6.5</f>
        <v>0.15384615384615385</v>
      </c>
    </row>
    <row r="5" spans="1:11" ht="28.5">
      <c r="A5" s="12" t="s">
        <v>32</v>
      </c>
      <c r="B5" s="14" t="s">
        <v>33</v>
      </c>
      <c r="C5" s="12">
        <v>365.76</v>
      </c>
      <c r="D5" s="12">
        <v>9.14</v>
      </c>
      <c r="E5" s="12">
        <v>7</v>
      </c>
      <c r="F5" s="12">
        <v>1.98</v>
      </c>
      <c r="G5" s="12">
        <v>0.3</v>
      </c>
      <c r="H5" s="12">
        <v>97.54</v>
      </c>
      <c r="I5" s="13">
        <f>1/3</f>
        <v>0.33333333333333331</v>
      </c>
      <c r="J5" s="12">
        <v>0.45</v>
      </c>
      <c r="K5" s="13">
        <f>1/4</f>
        <v>0.25</v>
      </c>
    </row>
  </sheetData>
  <mergeCells count="2">
    <mergeCell ref="G1:K1"/>
    <mergeCell ref="A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TCVN</vt:lpstr>
      <vt:lpstr>BangTra2737_2023</vt:lpstr>
      <vt:lpstr>Bang8_10</vt:lpstr>
      <vt:lpstr>TCVN!Print_Area</vt:lpstr>
      <vt:lpstr>TCVN!Print_Titles</vt:lpstr>
    </vt:vector>
  </TitlesOfParts>
  <Company>DHBK Tp.HCM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Duynv</dc:creator>
  <cp:lastModifiedBy>toan huynh vu minh</cp:lastModifiedBy>
  <cp:lastPrinted>2023-07-09T02:16:42Z</cp:lastPrinted>
  <dcterms:created xsi:type="dcterms:W3CDTF">2005-12-04T06:56:17Z</dcterms:created>
  <dcterms:modified xsi:type="dcterms:W3CDTF">2024-08-17T15:30:39Z</dcterms:modified>
</cp:coreProperties>
</file>